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usmh.sharepoint.com/sites/AndroidPOS/Shared Documents/General/Luvinaより/00_機能概要/付随資料/"/>
    </mc:Choice>
  </mc:AlternateContent>
  <xr:revisionPtr revIDLastSave="39" documentId="106_{F4449A2E-9850-434E-84FE-6CB041A2B2C5}" xr6:coauthVersionLast="47" xr6:coauthVersionMax="47" xr10:uidLastSave="{F74953C9-E22C-40B6-BF0F-3372120868C5}"/>
  <bookViews>
    <workbookView xWindow="-120" yWindow="-120" windowWidth="38640" windowHeight="15720" tabRatio="811" firstSheet="3" activeTab="3" xr2:uid="{00000000-000D-0000-FFFF-FFFF00000000}"/>
  </bookViews>
  <sheets>
    <sheet name="表紙" sheetId="19" r:id="rId1"/>
    <sheet name="改廃履歴" sheetId="18" r:id="rId2"/>
    <sheet name="概要" sheetId="3" r:id="rId3"/>
    <sheet name="価格決定表" sheetId="10" r:id="rId4"/>
    <sheet name="マークダウン" sheetId="4" r:id="rId5"/>
    <sheet name="特売" sheetId="5" r:id="rId6"/>
    <sheet name="値引バーコード" sheetId="6" r:id="rId7"/>
    <sheet name="分類" sheetId="12" r:id="rId8"/>
    <sheet name="ミックスマッチ" sheetId="7" r:id="rId9"/>
    <sheet name="マニュアル単品" sheetId="8" r:id="rId10"/>
    <sheet name="マニュアル小計" sheetId="9" r:id="rId11"/>
    <sheet name="朝割" sheetId="14" r:id="rId12"/>
    <sheet name="メガ割" sheetId="16" r:id="rId13"/>
    <sheet name="テンプレート" sheetId="17" r:id="rId14"/>
    <sheet name="雛型" sheetId="1" state="hidden" r:id="rId15"/>
  </sheets>
  <definedNames>
    <definedName name="_xlnm.Print_Area" localSheetId="1">改廃履歴!$A$1:$BK$55</definedName>
    <definedName name="_xlnm.Print_Area" localSheetId="2">概要!$A$1:$BK$152</definedName>
    <definedName name="_xlnm.Print_Area" localSheetId="0">表紙!$A$1:$BK$55</definedName>
    <definedName name="_xlnm.Print_Titles" localSheetId="13">テンプレート!$1:$5</definedName>
    <definedName name="_xlnm.Print_Titles" localSheetId="4">マークダウン!$1:$5</definedName>
    <definedName name="_xlnm.Print_Titles" localSheetId="10">マニュアル小計!$1:$5</definedName>
    <definedName name="_xlnm.Print_Titles" localSheetId="9">マニュアル単品!$1:$5</definedName>
    <definedName name="_xlnm.Print_Titles" localSheetId="8">ミックスマッチ!$1:$5</definedName>
    <definedName name="_xlnm.Print_Titles" localSheetId="12">メガ割!$1:$5</definedName>
    <definedName name="_xlnm.Print_Titles" localSheetId="3">価格決定表!$1:$5</definedName>
    <definedName name="_xlnm.Print_Titles" localSheetId="1">改廃履歴!$1:$5</definedName>
    <definedName name="_xlnm.Print_Titles" localSheetId="2">概要!$1:$5</definedName>
    <definedName name="_xlnm.Print_Titles" localSheetId="6">値引バーコード!$1:$5</definedName>
    <definedName name="_xlnm.Print_Titles" localSheetId="11">朝割!$1:$5</definedName>
    <definedName name="_xlnm.Print_Titles" localSheetId="5">特売!$1:$5</definedName>
    <definedName name="_xlnm.Print_Titles" localSheetId="0">表紙!$1:$5</definedName>
    <definedName name="_xlnm.Print_Titles" localSheetId="7">分類!$1:$5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1" i="7" l="1"/>
  <c r="R160" i="7"/>
  <c r="M160" i="7"/>
  <c r="AP4" i="10" a="1"/>
  <c r="AP4" i="10" s="1"/>
  <c r="AP4" i="16" a="1"/>
  <c r="AP4" i="16" s="1"/>
  <c r="BH2" i="16"/>
  <c r="BC2" i="16"/>
  <c r="AY2" i="16"/>
  <c r="AT2" i="16"/>
  <c r="AP2" i="16"/>
  <c r="Z4" i="16"/>
  <c r="W1" i="16"/>
  <c r="K2" i="16"/>
  <c r="H4" i="16"/>
  <c r="A2" i="16"/>
  <c r="AP4" i="14" a="1"/>
  <c r="AP4" i="14" s="1"/>
  <c r="BH2" i="14"/>
  <c r="BC2" i="14"/>
  <c r="AY2" i="14"/>
  <c r="AT2" i="14"/>
  <c r="AP2" i="14"/>
  <c r="Z4" i="14"/>
  <c r="W1" i="14"/>
  <c r="K2" i="14"/>
  <c r="H4" i="14"/>
  <c r="A2" i="14"/>
  <c r="AP4" i="9" a="1"/>
  <c r="AP4" i="9" s="1"/>
  <c r="BH2" i="9"/>
  <c r="BC2" i="9"/>
  <c r="AY2" i="9"/>
  <c r="AT2" i="9"/>
  <c r="AP2" i="9"/>
  <c r="Z4" i="9"/>
  <c r="W1" i="9"/>
  <c r="K2" i="9"/>
  <c r="H4" i="9"/>
  <c r="A2" i="9"/>
  <c r="AP4" i="8" a="1"/>
  <c r="AP4" i="8" s="1"/>
  <c r="BH2" i="8"/>
  <c r="BC2" i="8"/>
  <c r="AY2" i="8"/>
  <c r="AT2" i="8"/>
  <c r="AP2" i="8"/>
  <c r="Z4" i="8"/>
  <c r="W1" i="8"/>
  <c r="K2" i="8"/>
  <c r="H4" i="8"/>
  <c r="A2" i="8"/>
  <c r="AP4" i="7" a="1"/>
  <c r="AP4" i="7" s="1"/>
  <c r="BH2" i="7"/>
  <c r="BC2" i="7"/>
  <c r="AY2" i="7"/>
  <c r="AT2" i="7"/>
  <c r="AP2" i="7"/>
  <c r="Z4" i="7"/>
  <c r="W1" i="7"/>
  <c r="K2" i="7"/>
  <c r="H4" i="7"/>
  <c r="A2" i="7"/>
  <c r="AP4" i="12" a="1"/>
  <c r="AP4" i="12" s="1"/>
  <c r="BH2" i="12"/>
  <c r="BC2" i="12"/>
  <c r="AY2" i="12"/>
  <c r="AT2" i="12"/>
  <c r="AP2" i="12"/>
  <c r="Z4" i="12"/>
  <c r="W1" i="12"/>
  <c r="K2" i="12"/>
  <c r="H4" i="12"/>
  <c r="A2" i="12"/>
  <c r="AP4" i="6" a="1"/>
  <c r="AP4" i="6" s="1"/>
  <c r="BH2" i="6"/>
  <c r="BC2" i="6"/>
  <c r="AY2" i="6"/>
  <c r="AT2" i="6"/>
  <c r="AP2" i="6"/>
  <c r="Z4" i="6"/>
  <c r="W1" i="6"/>
  <c r="K2" i="6"/>
  <c r="H4" i="6"/>
  <c r="A2" i="6"/>
  <c r="AP4" i="5" a="1"/>
  <c r="AP4" i="5" s="1"/>
  <c r="BH2" i="5"/>
  <c r="BC2" i="5"/>
  <c r="AY2" i="5"/>
  <c r="AT2" i="5"/>
  <c r="AP2" i="5"/>
  <c r="Z4" i="5"/>
  <c r="W1" i="5"/>
  <c r="K2" i="5"/>
  <c r="H4" i="5"/>
  <c r="A2" i="5"/>
  <c r="AP4" i="4" a="1"/>
  <c r="AP4" i="4" s="1"/>
  <c r="BH2" i="4"/>
  <c r="BC2" i="4"/>
  <c r="AY2" i="4"/>
  <c r="AT2" i="4"/>
  <c r="AP2" i="4"/>
  <c r="Z4" i="4"/>
  <c r="W1" i="4"/>
  <c r="K2" i="4"/>
  <c r="H4" i="4"/>
  <c r="A2" i="4"/>
  <c r="BH2" i="10"/>
  <c r="BC2" i="10"/>
  <c r="AY2" i="10"/>
  <c r="AT2" i="10"/>
  <c r="AP2" i="10"/>
  <c r="Z4" i="10"/>
  <c r="W1" i="10"/>
  <c r="K2" i="10"/>
  <c r="H4" i="10"/>
  <c r="A2" i="10"/>
  <c r="AP4" i="3" a="1"/>
  <c r="AP4" i="3" s="1"/>
  <c r="BH2" i="3"/>
  <c r="BC2" i="3"/>
  <c r="AY2" i="3"/>
  <c r="AT2" i="3"/>
  <c r="AP2" i="3"/>
  <c r="Z4" i="3"/>
  <c r="W1" i="3"/>
  <c r="K2" i="3"/>
  <c r="H4" i="3"/>
  <c r="A2" i="3"/>
  <c r="AP4" i="17" a="1"/>
  <c r="AP4" i="17" s="1"/>
  <c r="Z4" i="17"/>
  <c r="W1" i="17"/>
  <c r="K2" i="17"/>
  <c r="H4" i="17"/>
  <c r="A2" i="17"/>
  <c r="L24" i="19"/>
  <c r="AP4" i="19" a="1"/>
  <c r="AP4" i="19" s="1"/>
  <c r="BH2" i="19"/>
  <c r="BH2" i="18" s="1"/>
  <c r="BC2" i="19"/>
  <c r="BC2" i="18" s="1"/>
  <c r="AY2" i="19"/>
  <c r="AY2" i="18" s="1"/>
  <c r="AT2" i="19"/>
  <c r="AT2" i="18" s="1"/>
  <c r="AP2" i="19"/>
  <c r="AP2" i="18" s="1"/>
  <c r="AP4" i="18" a="1"/>
  <c r="AP4" i="18" s="1"/>
  <c r="Z4" i="18"/>
  <c r="W1" i="18"/>
  <c r="K2" i="18"/>
  <c r="H4" i="18"/>
  <c r="A2" i="18"/>
  <c r="BH2" i="17" l="1"/>
  <c r="AP2" i="17"/>
  <c r="AY2" i="17"/>
  <c r="AT2" i="17"/>
  <c r="BC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水落 秀臣 (581)</author>
  </authors>
  <commentList>
    <comment ref="G40" authorId="0" shapeId="0" xr:uid="{00000000-0006-0000-0800-000001000000}">
      <text>
        <r>
          <rPr>
            <b/>
            <sz val="9"/>
            <color indexed="81"/>
            <rFont val="ＭＳ Ｐゴシック"/>
            <family val="3"/>
            <charset val="128"/>
          </rPr>
          <t>通常売価/強制売価/特売のいずれか</t>
        </r>
      </text>
    </comment>
    <comment ref="G46" authorId="0" shapeId="0" xr:uid="{00000000-0006-0000-0800-000002000000}">
      <text>
        <r>
          <rPr>
            <b/>
            <sz val="9"/>
            <color indexed="81"/>
            <rFont val="ＭＳ Ｐゴシック"/>
            <family val="3"/>
            <charset val="128"/>
          </rPr>
          <t>通常売価/強制売価/特売のいずれか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<sst xmlns="http://schemas.openxmlformats.org/spreadsheetml/2006/main" count="1931" uniqueCount="702">
  <si>
    <t>システム名</t>
  </si>
  <si>
    <t>システム種別</t>
  </si>
  <si>
    <t>機能概要</t>
    <rPh sb="0" eb="4">
      <t>キノウガイヨウ</t>
    </rPh>
    <phoneticPr fontId="14"/>
  </si>
  <si>
    <t>作成者</t>
  </si>
  <si>
    <t>作成日</t>
  </si>
  <si>
    <t>更新者</t>
  </si>
  <si>
    <t>更新日</t>
  </si>
  <si>
    <t>版数</t>
  </si>
  <si>
    <t>POSシステム</t>
    <phoneticPr fontId="14"/>
  </si>
  <si>
    <t>いなげや様向け</t>
    <rPh sb="4" eb="5">
      <t>サマ</t>
    </rPh>
    <rPh sb="5" eb="6">
      <t>ム</t>
    </rPh>
    <phoneticPr fontId="14"/>
  </si>
  <si>
    <t>機能カテゴリ</t>
  </si>
  <si>
    <t>売上</t>
    <rPh sb="0" eb="2">
      <t>ウリアゲ</t>
    </rPh>
    <phoneticPr fontId="14"/>
  </si>
  <si>
    <t>項目</t>
  </si>
  <si>
    <t>価格コントロール</t>
    <rPh sb="0" eb="2">
      <t>カカク</t>
    </rPh>
    <phoneticPr fontId="14"/>
  </si>
  <si>
    <t>現金専用簡易セルフPOS 基本設計書</t>
  </si>
  <si>
    <t>承認日</t>
  </si>
  <si>
    <t>承認者</t>
  </si>
  <si>
    <t>■改廃履歴</t>
  </si>
  <si>
    <t>更新日付</t>
  </si>
  <si>
    <t>変更内容</t>
  </si>
  <si>
    <t>承認日付</t>
  </si>
  <si>
    <t>Thanh Nguyên</t>
    <phoneticPr fontId="14"/>
  </si>
  <si>
    <t>初版作成</t>
    <rPh sb="0" eb="2">
      <t>ショハン</t>
    </rPh>
    <rPh sb="2" eb="4">
      <t>サクセイ</t>
    </rPh>
    <phoneticPr fontId="14"/>
  </si>
  <si>
    <t>価格決定の種類について</t>
    <rPh sb="0" eb="2">
      <t>カカク</t>
    </rPh>
    <rPh sb="2" eb="4">
      <t>ケッテイ</t>
    </rPh>
    <rPh sb="5" eb="7">
      <t>シュルイ</t>
    </rPh>
    <phoneticPr fontId="1"/>
  </si>
  <si>
    <t>価格決定の種類は以下の通りです。(機能名称で黄色の部分が差異在り)</t>
    <rPh sb="0" eb="2">
      <t>カカク</t>
    </rPh>
    <rPh sb="2" eb="4">
      <t>ケッテイ</t>
    </rPh>
    <rPh sb="5" eb="7">
      <t>シュルイ</t>
    </rPh>
    <rPh sb="8" eb="10">
      <t>イカ</t>
    </rPh>
    <rPh sb="11" eb="12">
      <t>トオ</t>
    </rPh>
    <rPh sb="17" eb="19">
      <t>キノウ</t>
    </rPh>
    <rPh sb="19" eb="21">
      <t>メイショウ</t>
    </rPh>
    <rPh sb="22" eb="24">
      <t>キイロ</t>
    </rPh>
    <rPh sb="25" eb="27">
      <t>ブブン</t>
    </rPh>
    <rPh sb="28" eb="31">
      <t>サイア</t>
    </rPh>
    <phoneticPr fontId="1"/>
  </si>
  <si>
    <t>※青果→1対Nができていないので、POSサーバでねじっている。</t>
    <rPh sb="1" eb="3">
      <t>セイカ</t>
    </rPh>
    <rPh sb="5" eb="6">
      <t>タイ</t>
    </rPh>
    <phoneticPr fontId="1"/>
  </si>
  <si>
    <t>適用対象</t>
    <rPh sb="0" eb="2">
      <t>テキヨウ</t>
    </rPh>
    <rPh sb="2" eb="4">
      <t>タイショウ</t>
    </rPh>
    <phoneticPr fontId="1"/>
  </si>
  <si>
    <t>機能名称</t>
    <rPh sb="0" eb="2">
      <t>キノウ</t>
    </rPh>
    <rPh sb="2" eb="4">
      <t>メイショウ</t>
    </rPh>
    <phoneticPr fontId="1"/>
  </si>
  <si>
    <t>価格決定方法</t>
    <rPh sb="0" eb="2">
      <t>カカク</t>
    </rPh>
    <rPh sb="2" eb="4">
      <t>ケッテイ</t>
    </rPh>
    <rPh sb="4" eb="6">
      <t>ホウホウ</t>
    </rPh>
    <phoneticPr fontId="1"/>
  </si>
  <si>
    <t>適用タイミング</t>
    <rPh sb="0" eb="2">
      <t>テキヨウ</t>
    </rPh>
    <phoneticPr fontId="1"/>
  </si>
  <si>
    <t>仕様説明</t>
    <rPh sb="0" eb="2">
      <t>シヨウ</t>
    </rPh>
    <rPh sb="2" eb="4">
      <t>セツメイ</t>
    </rPh>
    <phoneticPr fontId="1"/>
  </si>
  <si>
    <t>カスミ様</t>
    <rPh sb="3" eb="4">
      <t>サマ</t>
    </rPh>
    <phoneticPr fontId="1"/>
  </si>
  <si>
    <t>いなげや様</t>
    <rPh sb="4" eb="5">
      <t>サマ</t>
    </rPh>
    <phoneticPr fontId="1"/>
  </si>
  <si>
    <t>商品</t>
    <rPh sb="0" eb="2">
      <t>ショウヒン</t>
    </rPh>
    <phoneticPr fontId="1"/>
  </si>
  <si>
    <t>通常売価</t>
    <rPh sb="0" eb="2">
      <t>ツウジョウ</t>
    </rPh>
    <rPh sb="2" eb="4">
      <t>バイカ</t>
    </rPh>
    <phoneticPr fontId="1"/>
  </si>
  <si>
    <t>売価指定</t>
    <rPh sb="0" eb="2">
      <t>バイカ</t>
    </rPh>
    <rPh sb="2" eb="4">
      <t>シテイ</t>
    </rPh>
    <phoneticPr fontId="1"/>
  </si>
  <si>
    <t>商品登録時に自動適用</t>
    <rPh sb="0" eb="2">
      <t>ショウヒン</t>
    </rPh>
    <rPh sb="2" eb="4">
      <t>トウロク</t>
    </rPh>
    <rPh sb="4" eb="5">
      <t>ジ</t>
    </rPh>
    <rPh sb="6" eb="8">
      <t>ジドウ</t>
    </rPh>
    <rPh sb="8" eb="10">
      <t>テキヨウ</t>
    </rPh>
    <phoneticPr fontId="1"/>
  </si>
  <si>
    <t>全部門対象</t>
  </si>
  <si>
    <r>
      <rPr>
        <sz val="11"/>
        <rFont val="Meiryo UI"/>
        <family val="3"/>
        <charset val="128"/>
      </rPr>
      <t>2:野菜9:フルーツ 15:フローラ(青果売変）</t>
    </r>
  </si>
  <si>
    <t>果物、野菜の部門のみ可能 (青果売変 本部からマスタが送られてきたときは、元に戻る。)</t>
    <rPh sb="14" eb="18">
      <t>セイカバイヘン</t>
    </rPh>
    <rPh sb="19" eb="21">
      <t>ホンブ</t>
    </rPh>
    <rPh sb="27" eb="28">
      <t>オク</t>
    </rPh>
    <rPh sb="37" eb="38">
      <t>モト</t>
    </rPh>
    <rPh sb="39" eb="40">
      <t>モド</t>
    </rPh>
    <phoneticPr fontId="1"/>
  </si>
  <si>
    <t>※店と本部で発生</t>
    <phoneticPr fontId="1"/>
  </si>
  <si>
    <t>マークダウン</t>
    <phoneticPr fontId="1"/>
  </si>
  <si>
    <t>マークダウンシート</t>
    <phoneticPr fontId="1"/>
  </si>
  <si>
    <t>通常売価より、値上げができる。</t>
    <rPh sb="0" eb="2">
      <t>ツウジョウ</t>
    </rPh>
    <rPh sb="2" eb="4">
      <t>バイカ</t>
    </rPh>
    <rPh sb="7" eb="9">
      <t>ネア</t>
    </rPh>
    <phoneticPr fontId="1"/>
  </si>
  <si>
    <t>通常売価より、値上げはできない,同額はできない</t>
    <rPh sb="0" eb="4">
      <t>ツウジョウバイカ</t>
    </rPh>
    <phoneticPr fontId="1"/>
  </si>
  <si>
    <t>※店で発生</t>
    <rPh sb="1" eb="2">
      <t>ミセ</t>
    </rPh>
    <rPh sb="3" eb="5">
      <t>ハッセイ</t>
    </rPh>
    <phoneticPr fontId="1"/>
  </si>
  <si>
    <t>特売</t>
    <rPh sb="0" eb="2">
      <t>トクバイ</t>
    </rPh>
    <phoneticPr fontId="1"/>
  </si>
  <si>
    <t>売価変更</t>
    <rPh sb="0" eb="2">
      <t>バイカ</t>
    </rPh>
    <rPh sb="2" eb="4">
      <t>ヘンコウ</t>
    </rPh>
    <phoneticPr fontId="1"/>
  </si>
  <si>
    <t>特売シート</t>
    <rPh sb="0" eb="2">
      <t>トクバイ</t>
    </rPh>
    <phoneticPr fontId="1"/>
  </si>
  <si>
    <t>値引</t>
    <rPh sb="0" eb="2">
      <t>ネビキ</t>
    </rPh>
    <phoneticPr fontId="1"/>
  </si>
  <si>
    <t>－</t>
    <phoneticPr fontId="1"/>
  </si>
  <si>
    <t>割引</t>
    <rPh sb="0" eb="2">
      <t>ワリビキ</t>
    </rPh>
    <phoneticPr fontId="1"/>
  </si>
  <si>
    <t>※お肉半額などの設定はここ。</t>
    <rPh sb="2" eb="3">
      <t>ニク</t>
    </rPh>
    <rPh sb="3" eb="5">
      <t>ハンガク</t>
    </rPh>
    <rPh sb="8" eb="10">
      <t>セッテイ</t>
    </rPh>
    <phoneticPr fontId="1"/>
  </si>
  <si>
    <t>値引バーコード</t>
    <rPh sb="0" eb="2">
      <t>ネビキ</t>
    </rPh>
    <phoneticPr fontId="1"/>
  </si>
  <si>
    <t>値引バーコードシート</t>
    <rPh sb="0" eb="2">
      <t>ネビキ</t>
    </rPh>
    <phoneticPr fontId="1"/>
  </si>
  <si>
    <t>分類</t>
    <rPh sb="0" eb="2">
      <t>ブンルイ</t>
    </rPh>
    <phoneticPr fontId="1"/>
  </si>
  <si>
    <t>分類シート</t>
    <rPh sb="0" eb="2">
      <t>ブンルイ</t>
    </rPh>
    <phoneticPr fontId="1"/>
  </si>
  <si>
    <t>※POSサーバーから一部除外設定を行っている。例）トップバリュの割引のデータを調整</t>
    <phoneticPr fontId="1"/>
  </si>
  <si>
    <t>※店で発生</t>
    <phoneticPr fontId="1"/>
  </si>
  <si>
    <t>ミックスマッチ</t>
    <phoneticPr fontId="1"/>
  </si>
  <si>
    <t>ミックスマッチシート</t>
    <phoneticPr fontId="1"/>
  </si>
  <si>
    <t xml:space="preserve">1個100円　2個@75×2＝150円 
3個@75×2＋100＝250円 </t>
    <rPh sb="18" eb="19">
      <t>エン</t>
    </rPh>
    <rPh sb="22" eb="23">
      <t>コ</t>
    </rPh>
    <rPh sb="36" eb="37">
      <t>エン</t>
    </rPh>
    <phoneticPr fontId="1"/>
  </si>
  <si>
    <t xml:space="preserve">1個100円　2個@75×2＝150円 
3個@75×3＝225円 </t>
    <phoneticPr fontId="1"/>
  </si>
  <si>
    <t>※店と本部で発生</t>
    <rPh sb="3" eb="5">
      <t>ホンブ</t>
    </rPh>
    <phoneticPr fontId="1"/>
  </si>
  <si>
    <t>マニュアル単品</t>
    <rPh sb="5" eb="7">
      <t>タンピン</t>
    </rPh>
    <phoneticPr fontId="1"/>
  </si>
  <si>
    <t>商品登録後、マニュアル操作で適用</t>
    <rPh sb="0" eb="2">
      <t>ショウヒン</t>
    </rPh>
    <rPh sb="2" eb="4">
      <t>トウロク</t>
    </rPh>
    <rPh sb="4" eb="5">
      <t>ゴ</t>
    </rPh>
    <rPh sb="11" eb="13">
      <t>ソウサ</t>
    </rPh>
    <rPh sb="14" eb="16">
      <t>テキヨウ</t>
    </rPh>
    <phoneticPr fontId="1"/>
  </si>
  <si>
    <t>マニュアル単品シート</t>
    <rPh sb="5" eb="7">
      <t>タンピン</t>
    </rPh>
    <phoneticPr fontId="1"/>
  </si>
  <si>
    <t>取引</t>
    <rPh sb="0" eb="2">
      <t>トリヒキ</t>
    </rPh>
    <phoneticPr fontId="1"/>
  </si>
  <si>
    <t>朝割</t>
    <rPh sb="0" eb="1">
      <t>アサ</t>
    </rPh>
    <rPh sb="1" eb="2">
      <t>ワリ</t>
    </rPh>
    <phoneticPr fontId="1"/>
  </si>
  <si>
    <t>支払登録開始時、自動適用</t>
    <rPh sb="0" eb="2">
      <t>シハライ</t>
    </rPh>
    <rPh sb="2" eb="4">
      <t>トウロク</t>
    </rPh>
    <rPh sb="4" eb="6">
      <t>カイシ</t>
    </rPh>
    <rPh sb="6" eb="7">
      <t>ジ</t>
    </rPh>
    <rPh sb="8" eb="10">
      <t>ジドウ</t>
    </rPh>
    <rPh sb="10" eb="12">
      <t>テキヨウ</t>
    </rPh>
    <phoneticPr fontId="1"/>
  </si>
  <si>
    <t>朝割シート</t>
    <rPh sb="0" eb="1">
      <t>アサ</t>
    </rPh>
    <rPh sb="1" eb="2">
      <t>ワリ</t>
    </rPh>
    <phoneticPr fontId="1"/>
  </si>
  <si>
    <t>自動小計割引</t>
  </si>
  <si>
    <t>メガ割</t>
    <rPh sb="2" eb="3">
      <t>ワリ</t>
    </rPh>
    <phoneticPr fontId="1"/>
  </si>
  <si>
    <t>メガ割シート</t>
    <rPh sb="2" eb="3">
      <t>ワリ</t>
    </rPh>
    <phoneticPr fontId="1"/>
  </si>
  <si>
    <t>クレジット小計割引</t>
    <rPh sb="5" eb="7">
      <t>ショウケイ</t>
    </rPh>
    <rPh sb="7" eb="9">
      <t>ワリビキ</t>
    </rPh>
    <phoneticPr fontId="1"/>
  </si>
  <si>
    <t>クレジット支払時、自動適用</t>
    <rPh sb="5" eb="7">
      <t>シハライ</t>
    </rPh>
    <rPh sb="7" eb="8">
      <t>ジ</t>
    </rPh>
    <rPh sb="9" eb="11">
      <t>ジドウ</t>
    </rPh>
    <rPh sb="11" eb="13">
      <t>テキヨウ</t>
    </rPh>
    <phoneticPr fontId="1"/>
  </si>
  <si>
    <t>サンにち割り５％</t>
  </si>
  <si>
    <t>ー</t>
    <phoneticPr fontId="1"/>
  </si>
  <si>
    <t>Vクレジット会員に、支払種別に関係なく割引実施</t>
    <rPh sb="6" eb="8">
      <t>カイイン</t>
    </rPh>
    <rPh sb="10" eb="12">
      <t>シハライ</t>
    </rPh>
    <rPh sb="12" eb="14">
      <t>シュベツ</t>
    </rPh>
    <rPh sb="15" eb="17">
      <t>カンケイ</t>
    </rPh>
    <rPh sb="19" eb="23">
      <t>ワリビキジッシ</t>
    </rPh>
    <phoneticPr fontId="1"/>
  </si>
  <si>
    <t>※ポイントサーバーから</t>
    <phoneticPr fontId="1"/>
  </si>
  <si>
    <t>マニュアル小計</t>
    <rPh sb="5" eb="7">
      <t>ショウケイ</t>
    </rPh>
    <phoneticPr fontId="1"/>
  </si>
  <si>
    <t>マニュアル操作で適用</t>
    <rPh sb="5" eb="7">
      <t>ソウサ</t>
    </rPh>
    <rPh sb="8" eb="10">
      <t>テキヨウ</t>
    </rPh>
    <phoneticPr fontId="1"/>
  </si>
  <si>
    <t>マニュアル小計シート</t>
    <rPh sb="5" eb="7">
      <t>ショウケイ</t>
    </rPh>
    <phoneticPr fontId="1"/>
  </si>
  <si>
    <t>商品の価格決定の方法について</t>
    <rPh sb="0" eb="2">
      <t>ショウヒン</t>
    </rPh>
    <rPh sb="3" eb="5">
      <t>カカク</t>
    </rPh>
    <rPh sb="5" eb="7">
      <t>ケッテイ</t>
    </rPh>
    <rPh sb="8" eb="10">
      <t>ホウホウ</t>
    </rPh>
    <phoneticPr fontId="1"/>
  </si>
  <si>
    <t>以下順に価格操作を行い、商品売価を決定します。</t>
    <rPh sb="0" eb="2">
      <t>イカ</t>
    </rPh>
    <rPh sb="2" eb="3">
      <t>ジュン</t>
    </rPh>
    <rPh sb="4" eb="6">
      <t>カカク</t>
    </rPh>
    <rPh sb="6" eb="8">
      <t>ソウサ</t>
    </rPh>
    <rPh sb="9" eb="10">
      <t>オコナ</t>
    </rPh>
    <rPh sb="12" eb="14">
      <t>ショウヒン</t>
    </rPh>
    <rPh sb="14" eb="16">
      <t>バイカ</t>
    </rPh>
    <rPh sb="17" eb="19">
      <t>ケッテイ</t>
    </rPh>
    <phoneticPr fontId="1"/>
  </si>
  <si>
    <t>１、</t>
    <phoneticPr fontId="1"/>
  </si>
  <si>
    <t>商品の売価を決定</t>
    <rPh sb="0" eb="2">
      <t>ショウヒン</t>
    </rPh>
    <rPh sb="3" eb="5">
      <t>バイカ</t>
    </rPh>
    <rPh sb="6" eb="8">
      <t>ケッテイ</t>
    </rPh>
    <phoneticPr fontId="1"/>
  </si>
  <si>
    <t>商品売価を決定します。</t>
    <rPh sb="0" eb="2">
      <t>ショウヒン</t>
    </rPh>
    <rPh sb="2" eb="4">
      <t>バイカ</t>
    </rPh>
    <rPh sb="5" eb="7">
      <t>ケッテイ</t>
    </rPh>
    <phoneticPr fontId="1"/>
  </si>
  <si>
    <t>＜対象＞</t>
    <rPh sb="1" eb="3">
      <t>タイショウ</t>
    </rPh>
    <phoneticPr fontId="1"/>
  </si>
  <si>
    <t>通常売価、マークダウン、特売（売価変更）、特売（値引）、特売（割引）、値引バーコード（売価変更）</t>
    <rPh sb="0" eb="2">
      <t>ツウジョウ</t>
    </rPh>
    <rPh sb="2" eb="4">
      <t>バイカ</t>
    </rPh>
    <rPh sb="12" eb="14">
      <t>トクバイ</t>
    </rPh>
    <rPh sb="15" eb="17">
      <t>バイカ</t>
    </rPh>
    <rPh sb="17" eb="19">
      <t>ヘンコウ</t>
    </rPh>
    <rPh sb="21" eb="23">
      <t>トクバイ</t>
    </rPh>
    <rPh sb="24" eb="26">
      <t>ネビキ</t>
    </rPh>
    <rPh sb="28" eb="30">
      <t>トクバイ</t>
    </rPh>
    <rPh sb="31" eb="33">
      <t>ワリビキ</t>
    </rPh>
    <rPh sb="35" eb="37">
      <t>ネビキ</t>
    </rPh>
    <rPh sb="43" eb="45">
      <t>バイカ</t>
    </rPh>
    <rPh sb="45" eb="47">
      <t>ヘンコウ</t>
    </rPh>
    <phoneticPr fontId="1"/>
  </si>
  <si>
    <t>＜優先順位＞</t>
    <rPh sb="1" eb="3">
      <t>ユウセン</t>
    </rPh>
    <rPh sb="3" eb="5">
      <t>ジュンイ</t>
    </rPh>
    <phoneticPr fontId="1"/>
  </si>
  <si>
    <t>以下優先順位で売価を決定します。</t>
    <rPh sb="0" eb="2">
      <t>イカ</t>
    </rPh>
    <rPh sb="2" eb="4">
      <t>ユウセン</t>
    </rPh>
    <rPh sb="4" eb="6">
      <t>ジュンイ</t>
    </rPh>
    <rPh sb="7" eb="9">
      <t>バイカ</t>
    </rPh>
    <rPh sb="10" eb="12">
      <t>ケッテイ</t>
    </rPh>
    <phoneticPr fontId="1"/>
  </si>
  <si>
    <t>優先順位</t>
    <rPh sb="0" eb="2">
      <t>ユウセン</t>
    </rPh>
    <rPh sb="2" eb="4">
      <t>ジュンイ</t>
    </rPh>
    <phoneticPr fontId="1"/>
  </si>
  <si>
    <t>価格決定</t>
    <rPh sb="0" eb="2">
      <t>カカク</t>
    </rPh>
    <rPh sb="2" eb="4">
      <t>ケッテイ</t>
    </rPh>
    <phoneticPr fontId="1"/>
  </si>
  <si>
    <t>1</t>
    <phoneticPr fontId="1"/>
  </si>
  <si>
    <t>値引バーコード（売価変更）</t>
    <phoneticPr fontId="1"/>
  </si>
  <si>
    <t>2</t>
    <phoneticPr fontId="1"/>
  </si>
  <si>
    <t>3</t>
    <phoneticPr fontId="1"/>
  </si>
  <si>
    <t>特売（売価変更）</t>
    <phoneticPr fontId="1"/>
  </si>
  <si>
    <t>特売（値引）※筑波大学では運用なし</t>
    <rPh sb="0" eb="2">
      <t>トクバイ</t>
    </rPh>
    <rPh sb="3" eb="5">
      <t>ネビキ</t>
    </rPh>
    <rPh sb="7" eb="9">
      <t>ツクバ</t>
    </rPh>
    <rPh sb="9" eb="11">
      <t>ダイガク</t>
    </rPh>
    <rPh sb="13" eb="15">
      <t>ウンヨウ</t>
    </rPh>
    <phoneticPr fontId="1"/>
  </si>
  <si>
    <t>特売（割引）</t>
    <phoneticPr fontId="1"/>
  </si>
  <si>
    <t>通常売価</t>
    <phoneticPr fontId="1"/>
  </si>
  <si>
    <t>（※安価採用）</t>
  </si>
  <si>
    <t>＜重複適用について＞</t>
    <rPh sb="1" eb="3">
      <t>チョウフク</t>
    </rPh>
    <rPh sb="3" eb="5">
      <t>テキヨウ</t>
    </rPh>
    <phoneticPr fontId="1"/>
  </si>
  <si>
    <t>・</t>
    <phoneticPr fontId="1"/>
  </si>
  <si>
    <t>値引バーコード（売価変更）同士の重複適用は不可です。</t>
    <rPh sb="8" eb="10">
      <t>バイカ</t>
    </rPh>
    <rPh sb="10" eb="12">
      <t>ヘンコウ</t>
    </rPh>
    <rPh sb="13" eb="15">
      <t>ドウシ</t>
    </rPh>
    <rPh sb="16" eb="18">
      <t>チョウフク</t>
    </rPh>
    <rPh sb="18" eb="20">
      <t>テキヨウ</t>
    </rPh>
    <rPh sb="21" eb="23">
      <t>フカ</t>
    </rPh>
    <phoneticPr fontId="1"/>
  </si>
  <si>
    <t>マークダウン／特売（売価変更）／特売（値引）／特売（割引）／通常売価の重複適用は不可です。</t>
    <rPh sb="7" eb="9">
      <t>トクバイ</t>
    </rPh>
    <rPh sb="10" eb="12">
      <t>バイカ</t>
    </rPh>
    <rPh sb="12" eb="14">
      <t>ヘンコウ</t>
    </rPh>
    <rPh sb="16" eb="18">
      <t>トクバイ</t>
    </rPh>
    <rPh sb="19" eb="21">
      <t>ネビキ</t>
    </rPh>
    <rPh sb="23" eb="25">
      <t>トクバイ</t>
    </rPh>
    <rPh sb="26" eb="28">
      <t>ワリビキ</t>
    </rPh>
    <rPh sb="30" eb="32">
      <t>ツウジョウ</t>
    </rPh>
    <rPh sb="32" eb="34">
      <t>バイカ</t>
    </rPh>
    <rPh sb="35" eb="37">
      <t>チョウフク</t>
    </rPh>
    <rPh sb="37" eb="39">
      <t>テキヨウ</t>
    </rPh>
    <rPh sb="40" eb="42">
      <t>フカ</t>
    </rPh>
    <phoneticPr fontId="1"/>
  </si>
  <si>
    <t>値引バーコード（売価変更）と、マークダウン／特売（売価変更）／特売（値引）／特売（割引）／通常売価の重複適用は可能です。</t>
    <rPh sb="8" eb="10">
      <t>バイカ</t>
    </rPh>
    <rPh sb="10" eb="12">
      <t>ヘンコウ</t>
    </rPh>
    <rPh sb="50" eb="52">
      <t>チョウフク</t>
    </rPh>
    <rPh sb="52" eb="54">
      <t>テキヨウ</t>
    </rPh>
    <rPh sb="55" eb="57">
      <t>カノウ</t>
    </rPh>
    <phoneticPr fontId="1"/>
  </si>
  <si>
    <t>※</t>
    <phoneticPr fontId="1"/>
  </si>
  <si>
    <t>価格としては値引バーコード適用後の価格を採用しますが、実績データ出力時に重複適用の考慮が必要です。</t>
    <rPh sb="0" eb="2">
      <t>カカク</t>
    </rPh>
    <rPh sb="13" eb="15">
      <t>テキヨウ</t>
    </rPh>
    <rPh sb="15" eb="16">
      <t>ゴ</t>
    </rPh>
    <rPh sb="17" eb="19">
      <t>カカク</t>
    </rPh>
    <rPh sb="20" eb="22">
      <t>サイヨウ</t>
    </rPh>
    <rPh sb="36" eb="38">
      <t>チョウフク</t>
    </rPh>
    <rPh sb="38" eb="40">
      <t>テキヨウ</t>
    </rPh>
    <phoneticPr fontId="1"/>
  </si>
  <si>
    <t>マークダウン／特売（売価変更）／特売（値引）／特売（割引）／通常売価とミックスマッチの重複適用は可能です。</t>
    <rPh sb="43" eb="45">
      <t>チョウフク</t>
    </rPh>
    <rPh sb="45" eb="47">
      <t>テキヨウ</t>
    </rPh>
    <rPh sb="48" eb="50">
      <t>カノウ</t>
    </rPh>
    <phoneticPr fontId="1"/>
  </si>
  <si>
    <t>但し、売価として安価なほうが採用されます。</t>
    <rPh sb="0" eb="1">
      <t>タダ</t>
    </rPh>
    <rPh sb="3" eb="5">
      <t>バイカ</t>
    </rPh>
    <rPh sb="8" eb="10">
      <t>アンカ</t>
    </rPh>
    <rPh sb="14" eb="16">
      <t>サイヨウ</t>
    </rPh>
    <phoneticPr fontId="1"/>
  </si>
  <si>
    <t>２、</t>
    <phoneticPr fontId="1"/>
  </si>
  <si>
    <t>自動値引割引の適用①</t>
    <rPh sb="0" eb="2">
      <t>ジドウ</t>
    </rPh>
    <rPh sb="2" eb="4">
      <t>ネビキ</t>
    </rPh>
    <rPh sb="4" eb="6">
      <t>ワリビキ</t>
    </rPh>
    <rPh sb="7" eb="9">
      <t>テキヨウ</t>
    </rPh>
    <phoneticPr fontId="1"/>
  </si>
  <si>
    <t>値引割引を自動適用します。</t>
    <rPh sb="0" eb="2">
      <t>ネビキ</t>
    </rPh>
    <rPh sb="2" eb="4">
      <t>ワリビキ</t>
    </rPh>
    <rPh sb="5" eb="7">
      <t>ジドウ</t>
    </rPh>
    <rPh sb="7" eb="9">
      <t>テキヨウ</t>
    </rPh>
    <phoneticPr fontId="1"/>
  </si>
  <si>
    <t>分類（値引）、分類（割引）</t>
    <rPh sb="0" eb="2">
      <t>ブンルイ</t>
    </rPh>
    <rPh sb="3" eb="5">
      <t>ネビキ</t>
    </rPh>
    <rPh sb="10" eb="12">
      <t>ワリビキ</t>
    </rPh>
    <phoneticPr fontId="1"/>
  </si>
  <si>
    <t>売価指定をする価格決定方法と分類（値引）／分類（割引）の重複適用は可能です。</t>
    <rPh sb="0" eb="2">
      <t>バイカ</t>
    </rPh>
    <rPh sb="2" eb="4">
      <t>シテイ</t>
    </rPh>
    <rPh sb="7" eb="9">
      <t>カカク</t>
    </rPh>
    <rPh sb="9" eb="11">
      <t>ケッテイ</t>
    </rPh>
    <rPh sb="11" eb="13">
      <t>ホウホウ</t>
    </rPh>
    <rPh sb="17" eb="19">
      <t>ネビキ</t>
    </rPh>
    <rPh sb="24" eb="26">
      <t>ワリビキ</t>
    </rPh>
    <rPh sb="28" eb="30">
      <t>チョウフク</t>
    </rPh>
    <rPh sb="30" eb="32">
      <t>テキヨウ</t>
    </rPh>
    <rPh sb="33" eb="35">
      <t>カノウ</t>
    </rPh>
    <phoneticPr fontId="1"/>
  </si>
  <si>
    <t>分類（値引）／分類（割引）の重複適用は不可です。</t>
    <rPh sb="14" eb="16">
      <t>チョウフク</t>
    </rPh>
    <rPh sb="16" eb="18">
      <t>テキヨウ</t>
    </rPh>
    <rPh sb="19" eb="21">
      <t>フカ</t>
    </rPh>
    <phoneticPr fontId="1"/>
  </si>
  <si>
    <t>分類（値引）の複数件適用は不可です。</t>
    <rPh sb="7" eb="9">
      <t>フクスウ</t>
    </rPh>
    <rPh sb="9" eb="10">
      <t>ケン</t>
    </rPh>
    <rPh sb="10" eb="12">
      <t>テキヨウ</t>
    </rPh>
    <rPh sb="13" eb="15">
      <t>フカ</t>
    </rPh>
    <phoneticPr fontId="1"/>
  </si>
  <si>
    <t>分類（割引）の複数件適用は不可です。</t>
    <rPh sb="3" eb="5">
      <t>ワリビキ</t>
    </rPh>
    <rPh sb="7" eb="9">
      <t>フクスウ</t>
    </rPh>
    <rPh sb="9" eb="10">
      <t>ケン</t>
    </rPh>
    <rPh sb="10" eb="12">
      <t>テキヨウ</t>
    </rPh>
    <rPh sb="13" eb="15">
      <t>フカ</t>
    </rPh>
    <phoneticPr fontId="1"/>
  </si>
  <si>
    <t>＜値引割引禁止商品について＞</t>
    <rPh sb="1" eb="3">
      <t>ネビキ</t>
    </rPh>
    <rPh sb="3" eb="5">
      <t>ワリビキ</t>
    </rPh>
    <rPh sb="5" eb="7">
      <t>キンシ</t>
    </rPh>
    <rPh sb="7" eb="9">
      <t>ショウヒン</t>
    </rPh>
    <phoneticPr fontId="1"/>
  </si>
  <si>
    <t>商品マスタ.自動値引き不可フラグ(ItemMaster.IsAutoDiscountProhibition)＝'1'の商品は</t>
    <rPh sb="0" eb="2">
      <t>ショウヒン</t>
    </rPh>
    <rPh sb="6" eb="8">
      <t>ジドウ</t>
    </rPh>
    <rPh sb="8" eb="10">
      <t>ネビ</t>
    </rPh>
    <rPh sb="11" eb="13">
      <t>フカ</t>
    </rPh>
    <rPh sb="59" eb="61">
      <t>ショウヒン</t>
    </rPh>
    <phoneticPr fontId="1"/>
  </si>
  <si>
    <t>分類（値引）／分類（割引）の適用は不可です。</t>
    <phoneticPr fontId="1"/>
  </si>
  <si>
    <t>３、</t>
    <phoneticPr fontId="1"/>
  </si>
  <si>
    <t>値引バーコードの適用</t>
    <rPh sb="0" eb="2">
      <t>ネビキ</t>
    </rPh>
    <rPh sb="8" eb="10">
      <t>テキヨウ</t>
    </rPh>
    <phoneticPr fontId="1"/>
  </si>
  <si>
    <t>値引バーコードを適用します。</t>
    <rPh sb="0" eb="2">
      <t>ネビキ</t>
    </rPh>
    <rPh sb="8" eb="10">
      <t>テキヨウ</t>
    </rPh>
    <phoneticPr fontId="1"/>
  </si>
  <si>
    <t>値引バーコード（割引）</t>
    <rPh sb="0" eb="2">
      <t>ネビキ</t>
    </rPh>
    <rPh sb="8" eb="10">
      <t>ワリビキ</t>
    </rPh>
    <phoneticPr fontId="1"/>
  </si>
  <si>
    <t>売価指定をする価格決定方法、および分類(値引）／分類（割引）と値引バーコード（割引）の重複適用は可能です。</t>
    <rPh sb="0" eb="2">
      <t>バイカ</t>
    </rPh>
    <rPh sb="2" eb="4">
      <t>シテイ</t>
    </rPh>
    <rPh sb="7" eb="9">
      <t>カカク</t>
    </rPh>
    <rPh sb="9" eb="11">
      <t>ケッテイ</t>
    </rPh>
    <rPh sb="11" eb="13">
      <t>ホウホウ</t>
    </rPh>
    <rPh sb="17" eb="19">
      <t>ブンルイ</t>
    </rPh>
    <rPh sb="20" eb="22">
      <t>ネビキ</t>
    </rPh>
    <rPh sb="24" eb="26">
      <t>ブンルイ</t>
    </rPh>
    <rPh sb="27" eb="29">
      <t>ワリビキ</t>
    </rPh>
    <rPh sb="31" eb="33">
      <t>ネビ</t>
    </rPh>
    <rPh sb="39" eb="41">
      <t>ワリビキ</t>
    </rPh>
    <rPh sb="43" eb="45">
      <t>チョウフク</t>
    </rPh>
    <rPh sb="45" eb="47">
      <t>テキヨウ</t>
    </rPh>
    <rPh sb="48" eb="50">
      <t>カノウ</t>
    </rPh>
    <phoneticPr fontId="1"/>
  </si>
  <si>
    <t>値引バーコード（割引）の複数件適用は不可です。</t>
    <rPh sb="8" eb="10">
      <t>ワリビキ</t>
    </rPh>
    <rPh sb="12" eb="14">
      <t>フクスウ</t>
    </rPh>
    <rPh sb="14" eb="15">
      <t>ケン</t>
    </rPh>
    <rPh sb="15" eb="17">
      <t>テキヨウ</t>
    </rPh>
    <rPh sb="18" eb="20">
      <t>フカ</t>
    </rPh>
    <phoneticPr fontId="1"/>
  </si>
  <si>
    <r>
      <t>４、</t>
    </r>
    <r>
      <rPr>
        <strike/>
        <sz val="11"/>
        <rFont val="Meiryo UI"/>
        <family val="3"/>
        <charset val="128"/>
      </rPr>
      <t>２、</t>
    </r>
    <phoneticPr fontId="1"/>
  </si>
  <si>
    <t>マニュアル単品値引割引、マニュアル単品売価変更の適用</t>
    <rPh sb="5" eb="7">
      <t>タンピン</t>
    </rPh>
    <rPh sb="7" eb="9">
      <t>ネビキ</t>
    </rPh>
    <rPh sb="9" eb="11">
      <t>ワリビキ</t>
    </rPh>
    <rPh sb="19" eb="21">
      <t>バイカ</t>
    </rPh>
    <rPh sb="21" eb="23">
      <t>ヘンコウ</t>
    </rPh>
    <rPh sb="24" eb="26">
      <t>テキヨウ</t>
    </rPh>
    <phoneticPr fontId="1"/>
  </si>
  <si>
    <t>値引割引、売価変更をマニュアル操作にて適用します。</t>
    <rPh sb="0" eb="2">
      <t>ネビキ</t>
    </rPh>
    <rPh sb="2" eb="4">
      <t>ワリビキ</t>
    </rPh>
    <rPh sb="5" eb="7">
      <t>バイカ</t>
    </rPh>
    <rPh sb="7" eb="9">
      <t>ヘンコウ</t>
    </rPh>
    <rPh sb="15" eb="17">
      <t>ソウサ</t>
    </rPh>
    <rPh sb="19" eb="21">
      <t>テキヨウ</t>
    </rPh>
    <phoneticPr fontId="1"/>
  </si>
  <si>
    <t>マニュアル単品売価変更、マニュアル単品値引、マニュアル単品割引</t>
    <rPh sb="5" eb="7">
      <t>タンピン</t>
    </rPh>
    <rPh sb="7" eb="9">
      <t>バイカ</t>
    </rPh>
    <rPh sb="9" eb="11">
      <t>ヘンコウ</t>
    </rPh>
    <rPh sb="19" eb="21">
      <t>ネビキ</t>
    </rPh>
    <rPh sb="29" eb="31">
      <t>ワリビキ</t>
    </rPh>
    <phoneticPr fontId="1"/>
  </si>
  <si>
    <t>＜値引割引の重複適用について＞</t>
    <rPh sb="1" eb="3">
      <t>ネビキ</t>
    </rPh>
    <rPh sb="3" eb="5">
      <t>ワリビキ</t>
    </rPh>
    <rPh sb="6" eb="8">
      <t>チョウフク</t>
    </rPh>
    <rPh sb="8" eb="10">
      <t>テキヨウ</t>
    </rPh>
    <phoneticPr fontId="1"/>
  </si>
  <si>
    <t>売価指定をする価格決定方法とマニュアル単品売価変更／マニュアル単品値引／マニュアル単品割引の重複適用は可能です。</t>
    <rPh sb="46" eb="48">
      <t>チョウフク</t>
    </rPh>
    <rPh sb="48" eb="50">
      <t>テキヨウ</t>
    </rPh>
    <rPh sb="51" eb="53">
      <t>カノウ</t>
    </rPh>
    <phoneticPr fontId="1"/>
  </si>
  <si>
    <t>値引バーコード（割引）とマニュアル単品値引／マニュアル単品割引の重複適用は不可です。</t>
    <rPh sb="8" eb="10">
      <t>ワリビキ</t>
    </rPh>
    <rPh sb="37" eb="39">
      <t>フカ</t>
    </rPh>
    <phoneticPr fontId="1"/>
  </si>
  <si>
    <t>マニュアル単品売価変更／マニュアル単品値引／マニュアル単品割引同士の重複適用は不可です。</t>
    <rPh sb="31" eb="33">
      <t>ドウシ</t>
    </rPh>
    <phoneticPr fontId="1"/>
  </si>
  <si>
    <t>マニュアル単品売価変更の複数件適用は不可です。</t>
    <phoneticPr fontId="1"/>
  </si>
  <si>
    <t>マニュアル単品値引の複数件適用は不可です。</t>
    <phoneticPr fontId="1"/>
  </si>
  <si>
    <t>マニュアル単品割引の複数件適用は不可です。</t>
    <phoneticPr fontId="1"/>
  </si>
  <si>
    <t>商品マスタ．手動アイテム値引禁止フラグ(ItemMaster.IsItemManualDiscountProhibition)＝'1'　の商品は</t>
    <rPh sb="0" eb="2">
      <t>ショウヒン</t>
    </rPh>
    <rPh sb="69" eb="71">
      <t>ショウヒン</t>
    </rPh>
    <phoneticPr fontId="1"/>
  </si>
  <si>
    <t>マニュアル単品値引、マニュアル単品割引の適用は不可です。</t>
    <rPh sb="5" eb="7">
      <t>タンピン</t>
    </rPh>
    <rPh sb="7" eb="9">
      <t>ネビキ</t>
    </rPh>
    <rPh sb="15" eb="17">
      <t>タンピン</t>
    </rPh>
    <rPh sb="17" eb="19">
      <t>ワリビキ</t>
    </rPh>
    <rPh sb="20" eb="22">
      <t>テキヨウ</t>
    </rPh>
    <rPh sb="23" eb="25">
      <t>フカ</t>
    </rPh>
    <phoneticPr fontId="1"/>
  </si>
  <si>
    <t>＜売価変更禁止商品について＞</t>
    <rPh sb="1" eb="3">
      <t>バイカ</t>
    </rPh>
    <rPh sb="3" eb="5">
      <t>ヘンコウ</t>
    </rPh>
    <rPh sb="5" eb="7">
      <t>キンシ</t>
    </rPh>
    <rPh sb="7" eb="9">
      <t>ショウヒン</t>
    </rPh>
    <phoneticPr fontId="1"/>
  </si>
  <si>
    <t>商品マスタ．売価変更禁止フラグ(ItemMaster.IsChangePriceProhibition)＝'1'　の商品は</t>
    <rPh sb="0" eb="2">
      <t>ショウヒン</t>
    </rPh>
    <rPh sb="58" eb="60">
      <t>ショウヒン</t>
    </rPh>
    <phoneticPr fontId="1"/>
  </si>
  <si>
    <t>マニュアル単品売価変更の適用は不可です。</t>
    <rPh sb="5" eb="7">
      <t>タンピン</t>
    </rPh>
    <rPh sb="7" eb="9">
      <t>バイカ</t>
    </rPh>
    <rPh sb="9" eb="11">
      <t>ヘンコウ</t>
    </rPh>
    <rPh sb="12" eb="14">
      <t>テキヨウ</t>
    </rPh>
    <rPh sb="15" eb="17">
      <t>フカ</t>
    </rPh>
    <phoneticPr fontId="1"/>
  </si>
  <si>
    <r>
      <t>５、</t>
    </r>
    <r>
      <rPr>
        <strike/>
        <sz val="11"/>
        <rFont val="Meiryo UI"/>
        <family val="3"/>
        <charset val="128"/>
      </rPr>
      <t>３、</t>
    </r>
    <phoneticPr fontId="1"/>
  </si>
  <si>
    <t>自動値引割引の適用②</t>
    <rPh sb="0" eb="2">
      <t>ジドウ</t>
    </rPh>
    <rPh sb="2" eb="4">
      <t>ネビキ</t>
    </rPh>
    <rPh sb="4" eb="6">
      <t>ワリビキ</t>
    </rPh>
    <rPh sb="7" eb="9">
      <t>テキヨウ</t>
    </rPh>
    <phoneticPr fontId="1"/>
  </si>
  <si>
    <t>売価指定をする価格決定方法とミックスマッチの重複適用は可能です。</t>
    <rPh sb="0" eb="2">
      <t>バイカ</t>
    </rPh>
    <rPh sb="2" eb="4">
      <t>シテイ</t>
    </rPh>
    <rPh sb="7" eb="9">
      <t>カカク</t>
    </rPh>
    <rPh sb="9" eb="11">
      <t>ケッテイ</t>
    </rPh>
    <rPh sb="11" eb="13">
      <t>ホウホウ</t>
    </rPh>
    <rPh sb="22" eb="24">
      <t>チョウフク</t>
    </rPh>
    <rPh sb="24" eb="26">
      <t>テキヨウ</t>
    </rPh>
    <rPh sb="27" eb="29">
      <t>カノウ</t>
    </rPh>
    <phoneticPr fontId="1"/>
  </si>
  <si>
    <t>ミックスマッチ同士の重複適用は不可です。</t>
    <rPh sb="7" eb="9">
      <t>ドウシ</t>
    </rPh>
    <rPh sb="10" eb="12">
      <t>チョウフク</t>
    </rPh>
    <rPh sb="12" eb="14">
      <t>テキヨウ</t>
    </rPh>
    <rPh sb="15" eb="17">
      <t>フカ</t>
    </rPh>
    <phoneticPr fontId="1"/>
  </si>
  <si>
    <t>取引において、各商品種別ごとに適用対象のミックスマッチは1種類になります。</t>
    <rPh sb="0" eb="2">
      <t>トリヒキ</t>
    </rPh>
    <rPh sb="7" eb="10">
      <t>カクショウヒン</t>
    </rPh>
    <rPh sb="10" eb="12">
      <t>シュベツ</t>
    </rPh>
    <rPh sb="15" eb="17">
      <t>テキヨウ</t>
    </rPh>
    <rPh sb="17" eb="19">
      <t>タイショウ</t>
    </rPh>
    <rPh sb="29" eb="31">
      <t>シュルイ</t>
    </rPh>
    <phoneticPr fontId="1"/>
  </si>
  <si>
    <t>詳細は[ミックスマッチ]シートをご確認ください。</t>
    <rPh sb="0" eb="2">
      <t>ショウサイ</t>
    </rPh>
    <rPh sb="17" eb="19">
      <t>カクニン</t>
    </rPh>
    <phoneticPr fontId="1"/>
  </si>
  <si>
    <t>ミックスマッチと分類（値引）／分類（割引）／値引バーコード／マニュアル単品売価変更／マニュアル単品値引／マニュアル単品割引の重複適用は可能です。</t>
    <rPh sb="8" eb="10">
      <t>ブンルイ</t>
    </rPh>
    <rPh sb="11" eb="13">
      <t>ネビ</t>
    </rPh>
    <rPh sb="15" eb="17">
      <t>ブンルイ</t>
    </rPh>
    <rPh sb="18" eb="20">
      <t>ワリビキ</t>
    </rPh>
    <rPh sb="62" eb="64">
      <t>チョウフク</t>
    </rPh>
    <rPh sb="64" eb="66">
      <t>テキヨウ</t>
    </rPh>
    <rPh sb="67" eb="69">
      <t>カノウ</t>
    </rPh>
    <phoneticPr fontId="1"/>
  </si>
  <si>
    <t>重複適用時の価格決定方法について、[ミックスマッチ]シートをご確認ください。</t>
    <rPh sb="0" eb="2">
      <t>チョウフク</t>
    </rPh>
    <rPh sb="2" eb="4">
      <t>テキヨウ</t>
    </rPh>
    <rPh sb="4" eb="5">
      <t>ジ</t>
    </rPh>
    <rPh sb="6" eb="8">
      <t>カカク</t>
    </rPh>
    <rPh sb="8" eb="10">
      <t>ケッテイ</t>
    </rPh>
    <rPh sb="10" eb="12">
      <t>ホウホウ</t>
    </rPh>
    <phoneticPr fontId="1"/>
  </si>
  <si>
    <t>商品に対し適用する価格決定について、重複可否は価格決定表シートを参照ください。</t>
    <rPh sb="0" eb="2">
      <t>ショウヒン</t>
    </rPh>
    <rPh sb="3" eb="4">
      <t>タイ</t>
    </rPh>
    <rPh sb="5" eb="7">
      <t>テキヨウ</t>
    </rPh>
    <rPh sb="9" eb="11">
      <t>カカク</t>
    </rPh>
    <rPh sb="11" eb="13">
      <t>ケッテイ</t>
    </rPh>
    <rPh sb="18" eb="20">
      <t>チョウフク</t>
    </rPh>
    <rPh sb="20" eb="22">
      <t>カヒ</t>
    </rPh>
    <rPh sb="23" eb="25">
      <t>カカク</t>
    </rPh>
    <rPh sb="25" eb="27">
      <t>ケッテイ</t>
    </rPh>
    <rPh sb="27" eb="28">
      <t>ヒョウ</t>
    </rPh>
    <rPh sb="32" eb="34">
      <t>サンショウ</t>
    </rPh>
    <phoneticPr fontId="1"/>
  </si>
  <si>
    <t>取引に対する値引割引について</t>
    <rPh sb="0" eb="2">
      <t>トリヒキ</t>
    </rPh>
    <rPh sb="3" eb="4">
      <t>タイ</t>
    </rPh>
    <rPh sb="6" eb="8">
      <t>ネビキ</t>
    </rPh>
    <rPh sb="8" eb="10">
      <t>ワリビキ</t>
    </rPh>
    <phoneticPr fontId="1"/>
  </si>
  <si>
    <t>お支払時、以下順に価格操作を行い、取引合計額を決定します。</t>
    <rPh sb="1" eb="3">
      <t>シハライ</t>
    </rPh>
    <rPh sb="3" eb="4">
      <t>ジ</t>
    </rPh>
    <rPh sb="5" eb="7">
      <t>イカ</t>
    </rPh>
    <rPh sb="7" eb="8">
      <t>ジュン</t>
    </rPh>
    <rPh sb="9" eb="11">
      <t>カカク</t>
    </rPh>
    <rPh sb="11" eb="13">
      <t>ソウサ</t>
    </rPh>
    <rPh sb="14" eb="15">
      <t>オコナ</t>
    </rPh>
    <rPh sb="17" eb="19">
      <t>トリヒキ</t>
    </rPh>
    <rPh sb="19" eb="21">
      <t>ゴウケイ</t>
    </rPh>
    <rPh sb="21" eb="22">
      <t>ガク</t>
    </rPh>
    <rPh sb="23" eb="25">
      <t>ケッテイ</t>
    </rPh>
    <phoneticPr fontId="1"/>
  </si>
  <si>
    <t>自動値引割引の適用</t>
    <rPh sb="0" eb="2">
      <t>ジドウ</t>
    </rPh>
    <rPh sb="2" eb="4">
      <t>ネビキ</t>
    </rPh>
    <rPh sb="4" eb="6">
      <t>ワリビキ</t>
    </rPh>
    <rPh sb="7" eb="9">
      <t>テキヨウ</t>
    </rPh>
    <phoneticPr fontId="1"/>
  </si>
  <si>
    <t>メガ割、朝割</t>
    <rPh sb="2" eb="3">
      <t>ワリ</t>
    </rPh>
    <rPh sb="4" eb="5">
      <t>アサ</t>
    </rPh>
    <rPh sb="5" eb="6">
      <t>ワリ</t>
    </rPh>
    <phoneticPr fontId="1"/>
  </si>
  <si>
    <t>メガ割と朝割の重複適用は不可です。</t>
    <rPh sb="2" eb="3">
      <t>ワリ</t>
    </rPh>
    <rPh sb="4" eb="5">
      <t>アサ</t>
    </rPh>
    <rPh sb="5" eb="6">
      <t>ワリ</t>
    </rPh>
    <rPh sb="7" eb="9">
      <t>チョウフク</t>
    </rPh>
    <rPh sb="9" eb="11">
      <t>テキヨウ</t>
    </rPh>
    <rPh sb="12" eb="14">
      <t>フカ</t>
    </rPh>
    <phoneticPr fontId="1"/>
  </si>
  <si>
    <t>カスミ様運用上、メガ割と朝割の適用タイミングが重複することはありません。</t>
    <rPh sb="3" eb="4">
      <t>サマ</t>
    </rPh>
    <rPh sb="4" eb="6">
      <t>ウンヨウ</t>
    </rPh>
    <rPh sb="6" eb="7">
      <t>ジョウ</t>
    </rPh>
    <rPh sb="15" eb="17">
      <t>テキヨウ</t>
    </rPh>
    <rPh sb="23" eb="25">
      <t>チョウフク</t>
    </rPh>
    <phoneticPr fontId="1"/>
  </si>
  <si>
    <t>メガ割／朝割とマニュアル小計値引／マニュアル小計割引の重複適用は可能です。</t>
    <rPh sb="2" eb="3">
      <t>ワリ</t>
    </rPh>
    <rPh sb="4" eb="5">
      <t>アサ</t>
    </rPh>
    <rPh sb="5" eb="6">
      <t>ワリ</t>
    </rPh>
    <rPh sb="22" eb="24">
      <t>ショウケイ</t>
    </rPh>
    <rPh sb="24" eb="26">
      <t>ワリビキ</t>
    </rPh>
    <rPh sb="27" eb="29">
      <t>チョウフク</t>
    </rPh>
    <rPh sb="29" eb="31">
      <t>テキヨウ</t>
    </rPh>
    <rPh sb="32" eb="34">
      <t>カノウ</t>
    </rPh>
    <phoneticPr fontId="1"/>
  </si>
  <si>
    <t>メガ割とクレジット小計割引の重複適用は不可です。</t>
    <rPh sb="2" eb="3">
      <t>ワリ</t>
    </rPh>
    <rPh sb="9" eb="11">
      <t>ショウケイ</t>
    </rPh>
    <rPh sb="11" eb="13">
      <t>ワリビキ</t>
    </rPh>
    <rPh sb="14" eb="16">
      <t>チョウフク</t>
    </rPh>
    <rPh sb="16" eb="18">
      <t>テキヨウ</t>
    </rPh>
    <rPh sb="19" eb="21">
      <t>フカ</t>
    </rPh>
    <phoneticPr fontId="1"/>
  </si>
  <si>
    <t>朝割とクレジット小計割引の重複適用は可能です。</t>
    <rPh sb="0" eb="1">
      <t>アサ</t>
    </rPh>
    <rPh sb="1" eb="2">
      <t>ワリ</t>
    </rPh>
    <rPh sb="8" eb="10">
      <t>ショウケイ</t>
    </rPh>
    <rPh sb="10" eb="12">
      <t>ワリビキ</t>
    </rPh>
    <rPh sb="13" eb="15">
      <t>チョウフク</t>
    </rPh>
    <rPh sb="15" eb="17">
      <t>テキヨウ</t>
    </rPh>
    <rPh sb="18" eb="20">
      <t>カノウ</t>
    </rPh>
    <phoneticPr fontId="1"/>
  </si>
  <si>
    <r>
      <t>２、</t>
    </r>
    <r>
      <rPr>
        <strike/>
        <sz val="11"/>
        <rFont val="Meiryo UI"/>
        <family val="3"/>
        <charset val="128"/>
      </rPr>
      <t>３、</t>
    </r>
    <phoneticPr fontId="1"/>
  </si>
  <si>
    <t>クレジット小計割引の適用</t>
    <rPh sb="5" eb="7">
      <t>ショウケイ</t>
    </rPh>
    <rPh sb="7" eb="9">
      <t>ワリビキ</t>
    </rPh>
    <rPh sb="10" eb="12">
      <t>テキヨウ</t>
    </rPh>
    <phoneticPr fontId="1"/>
  </si>
  <si>
    <t>特定のカードによるクレジット支払を含む場合、割引を自動適用します。</t>
    <rPh sb="0" eb="2">
      <t>トクテイ</t>
    </rPh>
    <rPh sb="14" eb="16">
      <t>シハライ</t>
    </rPh>
    <rPh sb="17" eb="18">
      <t>フク</t>
    </rPh>
    <rPh sb="19" eb="21">
      <t>バアイ</t>
    </rPh>
    <rPh sb="22" eb="24">
      <t>ワリビキ</t>
    </rPh>
    <rPh sb="25" eb="27">
      <t>ジドウ</t>
    </rPh>
    <rPh sb="27" eb="29">
      <t>テキヨウ</t>
    </rPh>
    <phoneticPr fontId="1"/>
  </si>
  <si>
    <t>マニュアル小計値引／マニュアル小計割引とクレジット小計割引の重複適用は可能です。</t>
    <rPh sb="25" eb="27">
      <t>ショウケイ</t>
    </rPh>
    <rPh sb="27" eb="29">
      <t>ワリビキ</t>
    </rPh>
    <rPh sb="30" eb="32">
      <t>チョウフク</t>
    </rPh>
    <rPh sb="32" eb="34">
      <t>テキヨウ</t>
    </rPh>
    <rPh sb="35" eb="37">
      <t>カノウ</t>
    </rPh>
    <phoneticPr fontId="1"/>
  </si>
  <si>
    <r>
      <t>３、</t>
    </r>
    <r>
      <rPr>
        <strike/>
        <sz val="11"/>
        <rFont val="Meiryo UI"/>
        <family val="3"/>
        <charset val="128"/>
      </rPr>
      <t>２、</t>
    </r>
    <phoneticPr fontId="1"/>
  </si>
  <si>
    <t>マニュアル値引割引の適用</t>
    <rPh sb="5" eb="7">
      <t>ネビキ</t>
    </rPh>
    <rPh sb="7" eb="9">
      <t>ワリビキ</t>
    </rPh>
    <rPh sb="10" eb="12">
      <t>テキヨウ</t>
    </rPh>
    <phoneticPr fontId="1"/>
  </si>
  <si>
    <t>値引割引をマニュアル操作にて適用します。</t>
    <rPh sb="0" eb="2">
      <t>ネビキ</t>
    </rPh>
    <rPh sb="2" eb="4">
      <t>ワリビキ</t>
    </rPh>
    <rPh sb="10" eb="12">
      <t>ソウサ</t>
    </rPh>
    <rPh sb="14" eb="16">
      <t>テキヨウ</t>
    </rPh>
    <phoneticPr fontId="1"/>
  </si>
  <si>
    <t>マニュアル小計値引、マニュアル小計割引</t>
    <phoneticPr fontId="1"/>
  </si>
  <si>
    <t>マニュアル小計値引、マニュアル小計割引の重複適用は可能です。</t>
    <rPh sb="20" eb="22">
      <t>チョウフク</t>
    </rPh>
    <rPh sb="22" eb="24">
      <t>テキヨウ</t>
    </rPh>
    <rPh sb="25" eb="27">
      <t>カノウ</t>
    </rPh>
    <phoneticPr fontId="1"/>
  </si>
  <si>
    <t>マニュアル小計値引の重複適用（複数件適用）は可能です。</t>
    <rPh sb="10" eb="12">
      <t>チョウフク</t>
    </rPh>
    <rPh sb="12" eb="14">
      <t>テキヨウ</t>
    </rPh>
    <rPh sb="15" eb="17">
      <t>フクスウ</t>
    </rPh>
    <rPh sb="17" eb="18">
      <t>ケン</t>
    </rPh>
    <rPh sb="18" eb="20">
      <t>テキヨウ</t>
    </rPh>
    <rPh sb="22" eb="24">
      <t>カノウ</t>
    </rPh>
    <phoneticPr fontId="1"/>
  </si>
  <si>
    <t>マニュアル小計値引の重複適用（複数件適用）は不可です。</t>
    <rPh sb="10" eb="12">
      <t>チョウフク</t>
    </rPh>
    <rPh sb="12" eb="14">
      <t>テキヨウ</t>
    </rPh>
    <rPh sb="15" eb="17">
      <t>フクスウ</t>
    </rPh>
    <rPh sb="17" eb="18">
      <t>ケン</t>
    </rPh>
    <rPh sb="18" eb="20">
      <t>テキヨウ</t>
    </rPh>
    <rPh sb="22" eb="24">
      <t>フカ</t>
    </rPh>
    <phoneticPr fontId="1"/>
  </si>
  <si>
    <t>メガ割／朝割とマニュアル小計値引／マニュアル小計割引の重複適用は可能です。</t>
    <rPh sb="2" eb="3">
      <t>ワリ</t>
    </rPh>
    <rPh sb="4" eb="5">
      <t>アサ</t>
    </rPh>
    <rPh sb="5" eb="6">
      <t>ワリ</t>
    </rPh>
    <rPh sb="27" eb="29">
      <t>チョウフク</t>
    </rPh>
    <rPh sb="29" eb="31">
      <t>テキヨウ</t>
    </rPh>
    <rPh sb="32" eb="34">
      <t>カノウ</t>
    </rPh>
    <phoneticPr fontId="1"/>
  </si>
  <si>
    <t>マークダウン
（売価）</t>
    <phoneticPr fontId="1"/>
  </si>
  <si>
    <t>タイムサービス
特売（売価）</t>
    <phoneticPr fontId="1"/>
  </si>
  <si>
    <t>特売
(売価変更)</t>
    <rPh sb="0" eb="2">
      <t>トクバイ</t>
    </rPh>
    <rPh sb="4" eb="6">
      <t>バイカ</t>
    </rPh>
    <rPh sb="6" eb="8">
      <t>ヘンコウ</t>
    </rPh>
    <phoneticPr fontId="1"/>
  </si>
  <si>
    <t>特売
(割引)</t>
    <rPh sb="0" eb="2">
      <t>トクバイ</t>
    </rPh>
    <rPh sb="4" eb="6">
      <t>ワリビキ</t>
    </rPh>
    <phoneticPr fontId="1"/>
  </si>
  <si>
    <t>マニュアル
単品売価変更</t>
    <rPh sb="6" eb="8">
      <t>タンピン</t>
    </rPh>
    <rPh sb="8" eb="10">
      <t>バイカ</t>
    </rPh>
    <rPh sb="10" eb="12">
      <t>ヘンコウ</t>
    </rPh>
    <phoneticPr fontId="1"/>
  </si>
  <si>
    <t>マニュアル
単品値引</t>
    <rPh sb="6" eb="8">
      <t>タンピン</t>
    </rPh>
    <rPh sb="8" eb="10">
      <t>ネビキ</t>
    </rPh>
    <phoneticPr fontId="1"/>
  </si>
  <si>
    <t>マニュアル
単品割引</t>
    <rPh sb="6" eb="8">
      <t>タンピン</t>
    </rPh>
    <rPh sb="8" eb="10">
      <t>ワリビキ</t>
    </rPh>
    <phoneticPr fontId="1"/>
  </si>
  <si>
    <t>値引バーコード
(売価変更)</t>
    <rPh sb="9" eb="11">
      <t>バイカ</t>
    </rPh>
    <rPh sb="11" eb="13">
      <t>ヘンコウ</t>
    </rPh>
    <phoneticPr fontId="1"/>
  </si>
  <si>
    <t>値引バーコード
(割引)</t>
    <rPh sb="0" eb="2">
      <t>ネビキ</t>
    </rPh>
    <rPh sb="9" eb="11">
      <t>ワリビキ</t>
    </rPh>
    <phoneticPr fontId="1"/>
  </si>
  <si>
    <t>分類
(値引)</t>
    <rPh sb="4" eb="6">
      <t>ネビキ</t>
    </rPh>
    <phoneticPr fontId="1"/>
  </si>
  <si>
    <t>分類
(割引)</t>
    <rPh sb="4" eb="6">
      <t>ワリビキ</t>
    </rPh>
    <phoneticPr fontId="1"/>
  </si>
  <si>
    <t>カスミ</t>
    <phoneticPr fontId="1"/>
  </si>
  <si>
    <t>いなげや</t>
    <phoneticPr fontId="1"/>
  </si>
  <si>
    <t>MV関東</t>
    <rPh sb="2" eb="4">
      <t>カントウ</t>
    </rPh>
    <phoneticPr fontId="1"/>
  </si>
  <si>
    <t>タイムサービス特売</t>
    <phoneticPr fontId="1"/>
  </si>
  <si>
    <t>期間特売</t>
    <phoneticPr fontId="1"/>
  </si>
  <si>
    <t>自動値引/割引</t>
    <phoneticPr fontId="1"/>
  </si>
  <si>
    <t>バンドルミックスマッチ</t>
    <phoneticPr fontId="1"/>
  </si>
  <si>
    <t>マニュアル（売価）</t>
    <phoneticPr fontId="1"/>
  </si>
  <si>
    <t>マニュアル（値引）</t>
    <phoneticPr fontId="1"/>
  </si>
  <si>
    <t>マニュアル（割引）</t>
    <phoneticPr fontId="1"/>
  </si>
  <si>
    <t>重複なし</t>
    <rPh sb="0" eb="2">
      <t>チョウフク</t>
    </rPh>
    <phoneticPr fontId="1"/>
  </si>
  <si>
    <t>重複不可
マークダウン売価
採用</t>
    <phoneticPr fontId="1"/>
  </si>
  <si>
    <t>重複不可
安価採用</t>
    <rPh sb="0" eb="2">
      <t>チョウフク</t>
    </rPh>
    <rPh sb="2" eb="4">
      <t>フカ</t>
    </rPh>
    <rPh sb="5" eb="7">
      <t>アンカ</t>
    </rPh>
    <rPh sb="7" eb="9">
      <t>サイヨウ</t>
    </rPh>
    <phoneticPr fontId="1"/>
  </si>
  <si>
    <t>通常売価
-ミックスマッチ
値引額
※1</t>
    <rPh sb="0" eb="2">
      <t>ツウジョウ</t>
    </rPh>
    <rPh sb="2" eb="4">
      <t>バイカ</t>
    </rPh>
    <rPh sb="14" eb="16">
      <t>ネビキ</t>
    </rPh>
    <rPh sb="16" eb="17">
      <t>ガク</t>
    </rPh>
    <phoneticPr fontId="1"/>
  </si>
  <si>
    <t>重複不可
マニュアル
単品売価変更</t>
    <rPh sb="0" eb="2">
      <t>チョウフク</t>
    </rPh>
    <rPh sb="2" eb="4">
      <t>フカ</t>
    </rPh>
    <rPh sb="11" eb="13">
      <t>タンピン</t>
    </rPh>
    <rPh sb="13" eb="15">
      <t>バイカ</t>
    </rPh>
    <rPh sb="15" eb="17">
      <t>ヘンコウ</t>
    </rPh>
    <phoneticPr fontId="1"/>
  </si>
  <si>
    <t>通常売価
-マニュアル
単品値引</t>
    <rPh sb="0" eb="2">
      <t>ツウジョウ</t>
    </rPh>
    <rPh sb="2" eb="4">
      <t>バイカ</t>
    </rPh>
    <rPh sb="12" eb="14">
      <t>タンピン</t>
    </rPh>
    <rPh sb="14" eb="16">
      <t>ネビキ</t>
    </rPh>
    <phoneticPr fontId="1"/>
  </si>
  <si>
    <t>通常売価
-マニュアル
単品割引</t>
    <rPh sb="0" eb="2">
      <t>ツウジョウ</t>
    </rPh>
    <rPh sb="2" eb="4">
      <t>バイカ</t>
    </rPh>
    <rPh sb="12" eb="14">
      <t>タンピン</t>
    </rPh>
    <rPh sb="14" eb="16">
      <t>ワリビキ</t>
    </rPh>
    <phoneticPr fontId="1"/>
  </si>
  <si>
    <t>重複不可
値引バーコード
(売価変更)採用</t>
    <rPh sb="0" eb="2">
      <t>チョウフク</t>
    </rPh>
    <rPh sb="2" eb="4">
      <t>フカ</t>
    </rPh>
    <rPh sb="14" eb="16">
      <t>バイカ</t>
    </rPh>
    <rPh sb="16" eb="18">
      <t>ヘンコウ</t>
    </rPh>
    <rPh sb="19" eb="21">
      <t>サイヨウ</t>
    </rPh>
    <phoneticPr fontId="1"/>
  </si>
  <si>
    <t>通常売価
-値引バーコード
割引</t>
    <rPh sb="0" eb="2">
      <t>ツウジョウ</t>
    </rPh>
    <rPh sb="2" eb="4">
      <t>バイカ</t>
    </rPh>
    <rPh sb="6" eb="8">
      <t>ネビキ</t>
    </rPh>
    <rPh sb="14" eb="16">
      <t>ワリビキ</t>
    </rPh>
    <phoneticPr fontId="1"/>
  </si>
  <si>
    <t>通常売価
-分類値引</t>
    <rPh sb="0" eb="2">
      <t>ツウジョウ</t>
    </rPh>
    <rPh sb="2" eb="4">
      <t>バイカ</t>
    </rPh>
    <rPh sb="8" eb="10">
      <t>ネビキ</t>
    </rPh>
    <phoneticPr fontId="1"/>
  </si>
  <si>
    <t>通常売価
-分類割引</t>
    <rPh sb="0" eb="2">
      <t>ツウジョウ</t>
    </rPh>
    <rPh sb="2" eb="4">
      <t>バイカ</t>
    </rPh>
    <rPh sb="8" eb="10">
      <t>ワリビキ</t>
    </rPh>
    <phoneticPr fontId="1"/>
  </si>
  <si>
    <t>重複不可
マークダウン売価</t>
    <rPh sb="0" eb="2">
      <t>チョウフク</t>
    </rPh>
    <rPh sb="2" eb="4">
      <t>フカ</t>
    </rPh>
    <rPh sb="11" eb="13">
      <t>バイカ</t>
    </rPh>
    <phoneticPr fontId="1"/>
  </si>
  <si>
    <t>マークダウン売価
-ミックスマッチ
値引額 ※1</t>
    <rPh sb="18" eb="20">
      <t>ネビキ</t>
    </rPh>
    <rPh sb="20" eb="21">
      <t>ガク</t>
    </rPh>
    <phoneticPr fontId="1"/>
  </si>
  <si>
    <t>マークダウン売価
-マニュアル
単品値引</t>
    <rPh sb="6" eb="8">
      <t>バイカ</t>
    </rPh>
    <rPh sb="16" eb="18">
      <t>タンピン</t>
    </rPh>
    <rPh sb="18" eb="20">
      <t>ネビキ</t>
    </rPh>
    <phoneticPr fontId="1"/>
  </si>
  <si>
    <t>マークダウン売価
-値引バーコード割引</t>
    <rPh sb="6" eb="8">
      <t>バイカ</t>
    </rPh>
    <rPh sb="10" eb="12">
      <t>ネビキ</t>
    </rPh>
    <rPh sb="17" eb="19">
      <t>ワリビキ</t>
    </rPh>
    <phoneticPr fontId="1"/>
  </si>
  <si>
    <t>マークダウン売価
-分類値引</t>
    <rPh sb="6" eb="8">
      <t>バイカ</t>
    </rPh>
    <rPh sb="12" eb="14">
      <t>ネビキ</t>
    </rPh>
    <phoneticPr fontId="1"/>
  </si>
  <si>
    <t>マークダウン売価
-分類割引</t>
    <rPh sb="6" eb="8">
      <t>バイカ</t>
    </rPh>
    <rPh sb="12" eb="14">
      <t>ワリビキ</t>
    </rPh>
    <phoneticPr fontId="1"/>
  </si>
  <si>
    <t>重複不可
安価採用</t>
    <phoneticPr fontId="1"/>
  </si>
  <si>
    <t>特売売価
-ミックスマッチ
値引額  ※1</t>
    <rPh sb="0" eb="2">
      <t>トクバイ</t>
    </rPh>
    <rPh sb="2" eb="4">
      <t>バイカ</t>
    </rPh>
    <rPh sb="14" eb="16">
      <t>ネビキ</t>
    </rPh>
    <rPh sb="16" eb="17">
      <t>ガク</t>
    </rPh>
    <phoneticPr fontId="1"/>
  </si>
  <si>
    <t>特売売価
-マニュアル
単品値引</t>
    <rPh sb="0" eb="2">
      <t>トクバイ</t>
    </rPh>
    <rPh sb="2" eb="4">
      <t>バイカ</t>
    </rPh>
    <phoneticPr fontId="1"/>
  </si>
  <si>
    <t>特売売価
-マニュアル
単品割引</t>
    <rPh sb="0" eb="2">
      <t>トクバイ</t>
    </rPh>
    <rPh sb="2" eb="4">
      <t>バイカ</t>
    </rPh>
    <rPh sb="14" eb="16">
      <t>ワリビキ</t>
    </rPh>
    <phoneticPr fontId="1"/>
  </si>
  <si>
    <t>特売売価
-値引バーコード割引</t>
    <rPh sb="0" eb="2">
      <t>トクバイ</t>
    </rPh>
    <rPh sb="2" eb="4">
      <t>バイカ</t>
    </rPh>
    <rPh sb="6" eb="8">
      <t>ネビキ</t>
    </rPh>
    <rPh sb="13" eb="15">
      <t>ワリビキ</t>
    </rPh>
    <phoneticPr fontId="1"/>
  </si>
  <si>
    <t>特売売価
-分類値引</t>
    <rPh sb="0" eb="2">
      <t>トクバイ</t>
    </rPh>
    <rPh sb="2" eb="4">
      <t>バイカ</t>
    </rPh>
    <rPh sb="8" eb="10">
      <t>ネビキ</t>
    </rPh>
    <phoneticPr fontId="1"/>
  </si>
  <si>
    <t>特売売価
-分類割引</t>
    <rPh sb="0" eb="2">
      <t>トクバイ</t>
    </rPh>
    <rPh sb="2" eb="4">
      <t>バイカ</t>
    </rPh>
    <rPh sb="8" eb="10">
      <t>ワリビキ</t>
    </rPh>
    <phoneticPr fontId="1"/>
  </si>
  <si>
    <t>値引バーコード売価
-ミックスマッチ
値引額  ※2</t>
    <rPh sb="7" eb="9">
      <t>バイカ</t>
    </rPh>
    <phoneticPr fontId="1"/>
  </si>
  <si>
    <t>値引バーコード
売価
-マニュアル
単品値引</t>
    <rPh sb="8" eb="10">
      <t>バイカ</t>
    </rPh>
    <phoneticPr fontId="1"/>
  </si>
  <si>
    <t>値引バーコード
売価
-分類値引</t>
    <rPh sb="0" eb="2">
      <t>ネビキ</t>
    </rPh>
    <rPh sb="8" eb="10">
      <t>バイカ</t>
    </rPh>
    <rPh sb="14" eb="16">
      <t>ネビキ</t>
    </rPh>
    <phoneticPr fontId="1"/>
  </si>
  <si>
    <t>値引バーコード
売価
-分類割引</t>
    <rPh sb="0" eb="2">
      <t>ネビキ</t>
    </rPh>
    <rPh sb="8" eb="10">
      <t>バイカ</t>
    </rPh>
    <rPh sb="14" eb="16">
      <t>ワリビキ</t>
    </rPh>
    <phoneticPr fontId="1"/>
  </si>
  <si>
    <t>採用売価
-値引バーコード割引
-ミックスマッチ単品値引
※2</t>
    <rPh sb="0" eb="1">
      <t>サイヨウ</t>
    </rPh>
    <rPh sb="1" eb="3">
      <t>バイカ</t>
    </rPh>
    <phoneticPr fontId="1"/>
  </si>
  <si>
    <t>重複不可
採用売価
-マニュアル
単品値引</t>
    <rPh sb="0" eb="2">
      <t>チョウフク</t>
    </rPh>
    <rPh sb="2" eb="4">
      <t>フカ</t>
    </rPh>
    <rPh sb="5" eb="7">
      <t>サイヨウ</t>
    </rPh>
    <rPh sb="7" eb="9">
      <t>バイカ</t>
    </rPh>
    <rPh sb="17" eb="19">
      <t>タンピン</t>
    </rPh>
    <rPh sb="19" eb="21">
      <t>ネビキ</t>
    </rPh>
    <phoneticPr fontId="1"/>
  </si>
  <si>
    <t>重複不可
採用売価
-マニュアル
単品割引</t>
    <rPh sb="0" eb="2">
      <t>チョウフク</t>
    </rPh>
    <rPh sb="2" eb="4">
      <t>フカ</t>
    </rPh>
    <rPh sb="5" eb="7">
      <t>サイヨウ</t>
    </rPh>
    <rPh sb="7" eb="9">
      <t>バイカ</t>
    </rPh>
    <rPh sb="17" eb="19">
      <t>タンピン</t>
    </rPh>
    <rPh sb="19" eb="21">
      <t>ワリビキ</t>
    </rPh>
    <phoneticPr fontId="1"/>
  </si>
  <si>
    <t>採用売価
-分類値引
-値引バーコード割引</t>
    <rPh sb="0" eb="2">
      <t>サイヨウ</t>
    </rPh>
    <rPh sb="2" eb="4">
      <t>バイカ</t>
    </rPh>
    <rPh sb="8" eb="10">
      <t>ネビキ</t>
    </rPh>
    <rPh sb="12" eb="14">
      <t>ネビキ</t>
    </rPh>
    <rPh sb="19" eb="21">
      <t>ワリビキ</t>
    </rPh>
    <phoneticPr fontId="1"/>
  </si>
  <si>
    <t>採用売価
-分類割引
-値引バーコード割引</t>
    <rPh sb="0" eb="2">
      <t>サイヨウ</t>
    </rPh>
    <rPh sb="2" eb="4">
      <t>バイカ</t>
    </rPh>
    <rPh sb="8" eb="10">
      <t>ワリビキ</t>
    </rPh>
    <rPh sb="12" eb="14">
      <t>ネビキ</t>
    </rPh>
    <rPh sb="19" eb="21">
      <t>ワリビキ</t>
    </rPh>
    <phoneticPr fontId="1"/>
  </si>
  <si>
    <t>分類
（値引）</t>
    <rPh sb="4" eb="6">
      <t>ネビキ</t>
    </rPh>
    <phoneticPr fontId="1"/>
  </si>
  <si>
    <t>採用売価
-分類値引
-ミックスマッチ単品値引
※2</t>
    <rPh sb="0" eb="2">
      <t>バイカ</t>
    </rPh>
    <rPh sb="17" eb="19">
      <t>タンピン</t>
    </rPh>
    <rPh sb="19" eb="21">
      <t>ネビキ</t>
    </rPh>
    <phoneticPr fontId="1"/>
  </si>
  <si>
    <t>マニュアル
単品売価変更
-分類値引</t>
    <rPh sb="16" eb="18">
      <t>ネビキ</t>
    </rPh>
    <phoneticPr fontId="1"/>
  </si>
  <si>
    <t>採用売価
-分類値引
-マニュアル
単品値引</t>
    <rPh sb="0" eb="2">
      <t>バイカ</t>
    </rPh>
    <phoneticPr fontId="1"/>
  </si>
  <si>
    <t>採用売価
-分類値引
-マニュアル
単品割引</t>
    <rPh sb="0" eb="2">
      <t>バイカ</t>
    </rPh>
    <rPh sb="19" eb="21">
      <t>ワリビキ</t>
    </rPh>
    <phoneticPr fontId="1"/>
  </si>
  <si>
    <t>重複不可
スケジュール優先
※３</t>
    <rPh sb="0" eb="2">
      <t>チョウフク</t>
    </rPh>
    <rPh sb="2" eb="4">
      <t>フカ</t>
    </rPh>
    <rPh sb="11" eb="13">
      <t>ユウセン</t>
    </rPh>
    <phoneticPr fontId="1"/>
  </si>
  <si>
    <t>分類
（割引）</t>
    <rPh sb="4" eb="6">
      <t>ワリビキ</t>
    </rPh>
    <phoneticPr fontId="1"/>
  </si>
  <si>
    <t>採用売価
-分類割引
-ミックスマッチ単品値引
※2</t>
    <rPh sb="0" eb="2">
      <t>バイカ</t>
    </rPh>
    <rPh sb="7" eb="9">
      <t>ワリビキ</t>
    </rPh>
    <rPh sb="17" eb="19">
      <t>タンピン</t>
    </rPh>
    <rPh sb="19" eb="21">
      <t>ネビキ</t>
    </rPh>
    <phoneticPr fontId="1"/>
  </si>
  <si>
    <t>マニュアル
単品売価変更
-分類割引</t>
    <rPh sb="16" eb="18">
      <t>ワリビキ</t>
    </rPh>
    <phoneticPr fontId="1"/>
  </si>
  <si>
    <t>採用売価
-分類割引
-マニュアル
単品値引</t>
    <rPh sb="0" eb="2">
      <t>バイカ</t>
    </rPh>
    <rPh sb="7" eb="9">
      <t>ワリビキ</t>
    </rPh>
    <phoneticPr fontId="1"/>
  </si>
  <si>
    <t>採用売価
-分類割引
-マニュアル
単品割引</t>
    <rPh sb="0" eb="2">
      <t>バイカ</t>
    </rPh>
    <rPh sb="7" eb="9">
      <t>ワリビキ</t>
    </rPh>
    <rPh sb="19" eb="21">
      <t>ワリビキ</t>
    </rPh>
    <phoneticPr fontId="1"/>
  </si>
  <si>
    <t>マニュアル
単品売価変更
-ミックスマッチ
値引額  ※1</t>
    <phoneticPr fontId="1"/>
  </si>
  <si>
    <t>採用売価
-マニュアル単品値引
-ミックスマッチ単品値引
※2</t>
    <rPh sb="0" eb="2">
      <t>サイヨウ</t>
    </rPh>
    <rPh sb="2" eb="4">
      <t>バイカ</t>
    </rPh>
    <rPh sb="11" eb="13">
      <t>タンピン</t>
    </rPh>
    <rPh sb="13" eb="15">
      <t>ネビキ</t>
    </rPh>
    <phoneticPr fontId="1"/>
  </si>
  <si>
    <t>採用売価
-マニュアル単品割引
-ミックスマッチ単品値引
※2</t>
    <rPh sb="0" eb="1">
      <t>サイヨウ</t>
    </rPh>
    <rPh sb="1" eb="3">
      <t>バイカ</t>
    </rPh>
    <rPh sb="11" eb="12">
      <t>タン</t>
    </rPh>
    <rPh sb="12" eb="14">
      <t>ワリビキ</t>
    </rPh>
    <phoneticPr fontId="1"/>
  </si>
  <si>
    <t>重複不可</t>
    <rPh sb="0" eb="2">
      <t>チョウフク</t>
    </rPh>
    <rPh sb="2" eb="4">
      <t>フカ</t>
    </rPh>
    <phoneticPr fontId="1"/>
  </si>
  <si>
    <t>※1、採用売価(通常売価/強制売価/特売)およびマニュアル売価変更により指定した売価から、ミックスマッチで指定した売価までの値下を行う。</t>
    <rPh sb="3" eb="5">
      <t>サイヨウ</t>
    </rPh>
    <rPh sb="5" eb="7">
      <t>バイカ</t>
    </rPh>
    <rPh sb="8" eb="10">
      <t>ツウジョウ</t>
    </rPh>
    <rPh sb="10" eb="12">
      <t>バイカ</t>
    </rPh>
    <rPh sb="13" eb="15">
      <t>キョウセイ</t>
    </rPh>
    <rPh sb="15" eb="17">
      <t>バイカ</t>
    </rPh>
    <rPh sb="18" eb="20">
      <t>トクバイ</t>
    </rPh>
    <rPh sb="29" eb="31">
      <t>バイカ</t>
    </rPh>
    <rPh sb="31" eb="33">
      <t>ヘンコウ</t>
    </rPh>
    <rPh sb="36" eb="38">
      <t>シテイ</t>
    </rPh>
    <rPh sb="40" eb="42">
      <t>バイカ</t>
    </rPh>
    <rPh sb="53" eb="55">
      <t>シテイ</t>
    </rPh>
    <rPh sb="57" eb="59">
      <t>バイカ</t>
    </rPh>
    <rPh sb="62" eb="64">
      <t>ネサゲ</t>
    </rPh>
    <rPh sb="65" eb="66">
      <t>オコナ</t>
    </rPh>
    <phoneticPr fontId="1"/>
  </si>
  <si>
    <t>　　採用売価、マニュアル売価変更により指定した売価の方が安価の場合、ミックスマッチは適用しない。</t>
    <rPh sb="2" eb="4">
      <t>サイヨウ</t>
    </rPh>
    <rPh sb="4" eb="6">
      <t>バイカ</t>
    </rPh>
    <rPh sb="12" eb="14">
      <t>バイカ</t>
    </rPh>
    <rPh sb="14" eb="16">
      <t>ヘンコウ</t>
    </rPh>
    <rPh sb="19" eb="21">
      <t>シテイ</t>
    </rPh>
    <rPh sb="23" eb="25">
      <t>バイカ</t>
    </rPh>
    <rPh sb="26" eb="27">
      <t>ホウ</t>
    </rPh>
    <rPh sb="28" eb="30">
      <t>アンカ</t>
    </rPh>
    <rPh sb="31" eb="33">
      <t>バアイ</t>
    </rPh>
    <rPh sb="42" eb="44">
      <t>テキヨウ</t>
    </rPh>
    <phoneticPr fontId="1"/>
  </si>
  <si>
    <t>※2、値引バーコード、分類値引割引、マニュアル値引割引を適用する前の売価を基準にミックスマッチによる値下額を算出し、</t>
    <rPh sb="3" eb="5">
      <t>ネビキ</t>
    </rPh>
    <rPh sb="13" eb="15">
      <t>ネビキ</t>
    </rPh>
    <rPh sb="15" eb="17">
      <t>ワリビキ</t>
    </rPh>
    <rPh sb="23" eb="25">
      <t>ネビキ</t>
    </rPh>
    <rPh sb="25" eb="27">
      <t>ワリビキ</t>
    </rPh>
    <rPh sb="28" eb="30">
      <t>テキヨウ</t>
    </rPh>
    <rPh sb="32" eb="33">
      <t>マエ</t>
    </rPh>
    <rPh sb="34" eb="36">
      <t>バイカ</t>
    </rPh>
    <rPh sb="37" eb="39">
      <t>キジュン</t>
    </rPh>
    <rPh sb="50" eb="52">
      <t>ネサゲ</t>
    </rPh>
    <rPh sb="52" eb="53">
      <t>ガク</t>
    </rPh>
    <rPh sb="54" eb="56">
      <t>サンシュツ</t>
    </rPh>
    <phoneticPr fontId="1"/>
  </si>
  <si>
    <t>　　値引バーコード、分類値引割引、マニュアル値引割引を適用した後の売価にミックスマッチによる値下を行う。</t>
    <rPh sb="12" eb="14">
      <t>ネビキ</t>
    </rPh>
    <rPh sb="14" eb="16">
      <t>ワリビキ</t>
    </rPh>
    <rPh sb="27" eb="29">
      <t>テキヨウ</t>
    </rPh>
    <rPh sb="31" eb="32">
      <t>アト</t>
    </rPh>
    <rPh sb="33" eb="35">
      <t>バイカ</t>
    </rPh>
    <rPh sb="46" eb="48">
      <t>ネサゲ</t>
    </rPh>
    <rPh sb="49" eb="50">
      <t>オコナ</t>
    </rPh>
    <phoneticPr fontId="1"/>
  </si>
  <si>
    <t>※3、分類値引割引の設定が重複する場合、スケジュール優先で適用する分類値引割引を決定する。</t>
    <rPh sb="3" eb="5">
      <t>ブンルイ</t>
    </rPh>
    <rPh sb="5" eb="7">
      <t>ネビ</t>
    </rPh>
    <rPh sb="7" eb="9">
      <t>ワリビキ</t>
    </rPh>
    <rPh sb="10" eb="12">
      <t>セッテイ</t>
    </rPh>
    <rPh sb="13" eb="15">
      <t>チョウフク</t>
    </rPh>
    <rPh sb="17" eb="19">
      <t>バアイ</t>
    </rPh>
    <rPh sb="26" eb="28">
      <t>ユウセン</t>
    </rPh>
    <rPh sb="29" eb="31">
      <t>テキヨウ</t>
    </rPh>
    <rPh sb="33" eb="35">
      <t>ブンルイ</t>
    </rPh>
    <rPh sb="35" eb="37">
      <t>ネビ</t>
    </rPh>
    <rPh sb="37" eb="39">
      <t>ワリビキ</t>
    </rPh>
    <rPh sb="40" eb="42">
      <t>ケッテイ</t>
    </rPh>
    <phoneticPr fontId="1"/>
  </si>
  <si>
    <t>　　詳細は、分類シート参照</t>
    <rPh sb="2" eb="4">
      <t>ショウサイ</t>
    </rPh>
    <rPh sb="6" eb="8">
      <t>ブンルイ</t>
    </rPh>
    <rPh sb="11" eb="13">
      <t>サンショウ</t>
    </rPh>
    <phoneticPr fontId="1"/>
  </si>
  <si>
    <t>マークダウン　（今日、1日だけの売変　PDAからのみ操作）</t>
    <rPh sb="8" eb="10">
      <t>キョウ</t>
    </rPh>
    <rPh sb="12" eb="13">
      <t>ニチ</t>
    </rPh>
    <rPh sb="16" eb="18">
      <t>バイヘン</t>
    </rPh>
    <rPh sb="26" eb="28">
      <t>ソウサ</t>
    </rPh>
    <phoneticPr fontId="1"/>
  </si>
  <si>
    <t>機能概要</t>
    <rPh sb="0" eb="2">
      <t>キノウ</t>
    </rPh>
    <rPh sb="2" eb="4">
      <t>ガイヨウ</t>
    </rPh>
    <phoneticPr fontId="1"/>
  </si>
  <si>
    <t>採用売価を指定された強制売価に変更する。</t>
    <rPh sb="0" eb="2">
      <t>サイヨウ</t>
    </rPh>
    <rPh sb="2" eb="4">
      <t>バイカ</t>
    </rPh>
    <rPh sb="5" eb="7">
      <t>シテイ</t>
    </rPh>
    <rPh sb="10" eb="12">
      <t>キョウセイ</t>
    </rPh>
    <rPh sb="12" eb="14">
      <t>バイカ</t>
    </rPh>
    <rPh sb="15" eb="17">
      <t>ヘンコウ</t>
    </rPh>
    <phoneticPr fontId="5"/>
  </si>
  <si>
    <t>参照するマスタ</t>
    <rPh sb="0" eb="2">
      <t>サンショウ</t>
    </rPh>
    <phoneticPr fontId="1"/>
  </si>
  <si>
    <t>強制売価マスタ</t>
    <rPh sb="0" eb="2">
      <t>キョウセイ</t>
    </rPh>
    <rPh sb="2" eb="4">
      <t>バイカ</t>
    </rPh>
    <phoneticPr fontId="1"/>
  </si>
  <si>
    <t>前提条件</t>
    <rPh sb="0" eb="2">
      <t>ゼンテイ</t>
    </rPh>
    <rPh sb="2" eb="4">
      <t>ジョウケン</t>
    </rPh>
    <phoneticPr fontId="1"/>
  </si>
  <si>
    <t>強制単価マスタには、商品マスタ.親単品コードに紐付く設定のみ保持する。</t>
    <rPh sb="10" eb="12">
      <t>ショウヒン</t>
    </rPh>
    <rPh sb="16" eb="17">
      <t>オヤ</t>
    </rPh>
    <rPh sb="17" eb="19">
      <t>タンピン</t>
    </rPh>
    <rPh sb="23" eb="24">
      <t>ヒモ</t>
    </rPh>
    <rPh sb="24" eb="25">
      <t>ヅ</t>
    </rPh>
    <rPh sb="26" eb="28">
      <t>セッテイ</t>
    </rPh>
    <rPh sb="30" eb="32">
      <t>ホジ</t>
    </rPh>
    <phoneticPr fontId="1"/>
  </si>
  <si>
    <t>強制単価マスタ上、1件の商品マスタ.親単品コードに対し、有効なレコードは1件のみ登録される。</t>
    <rPh sb="0" eb="2">
      <t>キョウセイ</t>
    </rPh>
    <rPh sb="2" eb="4">
      <t>タンカ</t>
    </rPh>
    <rPh sb="7" eb="8">
      <t>ジョウ</t>
    </rPh>
    <rPh sb="10" eb="11">
      <t>ケン</t>
    </rPh>
    <rPh sb="18" eb="19">
      <t>オヤ</t>
    </rPh>
    <rPh sb="19" eb="21">
      <t>タンピン</t>
    </rPh>
    <rPh sb="25" eb="26">
      <t>タイ</t>
    </rPh>
    <rPh sb="28" eb="30">
      <t>ユウコウ</t>
    </rPh>
    <rPh sb="37" eb="38">
      <t>ケン</t>
    </rPh>
    <rPh sb="40" eb="42">
      <t>トウロク</t>
    </rPh>
    <phoneticPr fontId="1"/>
  </si>
  <si>
    <t>制約事項</t>
    <rPh sb="0" eb="2">
      <t>セイヤク</t>
    </rPh>
    <rPh sb="2" eb="4">
      <t>ジコウ</t>
    </rPh>
    <phoneticPr fontId="1"/>
  </si>
  <si>
    <t>NON-PLU商品に対し、強制単価は適用しない。</t>
    <rPh sb="7" eb="9">
      <t>ショウヒン</t>
    </rPh>
    <rPh sb="10" eb="11">
      <t>タイ</t>
    </rPh>
    <rPh sb="13" eb="15">
      <t>キョウセイ</t>
    </rPh>
    <rPh sb="15" eb="17">
      <t>タンカ</t>
    </rPh>
    <rPh sb="18" eb="20">
      <t>テキヨウ</t>
    </rPh>
    <phoneticPr fontId="1"/>
  </si>
  <si>
    <t>処理説明</t>
    <rPh sb="0" eb="2">
      <t>ショリ</t>
    </rPh>
    <rPh sb="2" eb="4">
      <t>セツメイ</t>
    </rPh>
    <phoneticPr fontId="1"/>
  </si>
  <si>
    <t>商品登録時、強制単価マスタを参照し、商品に対し有効な設定を取得する。</t>
    <rPh sb="0" eb="2">
      <t>ショウヒン</t>
    </rPh>
    <rPh sb="2" eb="4">
      <t>トウロク</t>
    </rPh>
    <rPh sb="4" eb="5">
      <t>ジ</t>
    </rPh>
    <rPh sb="6" eb="8">
      <t>キョウセイ</t>
    </rPh>
    <rPh sb="8" eb="10">
      <t>タンカ</t>
    </rPh>
    <rPh sb="14" eb="16">
      <t>サンショウ</t>
    </rPh>
    <rPh sb="18" eb="20">
      <t>ショウヒン</t>
    </rPh>
    <rPh sb="21" eb="22">
      <t>タイ</t>
    </rPh>
    <rPh sb="23" eb="25">
      <t>ユウコウ</t>
    </rPh>
    <rPh sb="26" eb="28">
      <t>セッテイ</t>
    </rPh>
    <rPh sb="29" eb="31">
      <t>シュトク</t>
    </rPh>
    <phoneticPr fontId="1"/>
  </si>
  <si>
    <t>取得した設定の強制売価マスタ．強制売価値段＞０以上の場合、</t>
    <rPh sb="0" eb="2">
      <t>シュトク</t>
    </rPh>
    <rPh sb="4" eb="6">
      <t>セッテイ</t>
    </rPh>
    <rPh sb="7" eb="9">
      <t>キョウセイ</t>
    </rPh>
    <rPh sb="9" eb="11">
      <t>バイカ</t>
    </rPh>
    <rPh sb="23" eb="25">
      <t>イジョウ</t>
    </rPh>
    <rPh sb="26" eb="28">
      <t>バアイ</t>
    </rPh>
    <phoneticPr fontId="1"/>
  </si>
  <si>
    <t>商品に対し取得した強制売価値段を適用する。</t>
  </si>
  <si>
    <t>取得した設定の強制売価マスタ．強制売価値段＝０の場合、</t>
    <rPh sb="24" eb="26">
      <t>バアイ</t>
    </rPh>
    <phoneticPr fontId="1"/>
  </si>
  <si>
    <t>商品に対し強制売価値段の適用は行わない。</t>
  </si>
  <si>
    <t>出力する実績データ</t>
    <rPh sb="0" eb="2">
      <t>シュツリョク</t>
    </rPh>
    <rPh sb="4" eb="6">
      <t>ジッセキ</t>
    </rPh>
    <phoneticPr fontId="1"/>
  </si>
  <si>
    <t>アイテム明細実績データテーブル</t>
  </si>
  <si>
    <t>採用売価を指定された特売売価に変更する。</t>
    <rPh sb="0" eb="2">
      <t>サイヨウ</t>
    </rPh>
    <rPh sb="2" eb="4">
      <t>バイカ</t>
    </rPh>
    <rPh sb="5" eb="7">
      <t>シテイ</t>
    </rPh>
    <rPh sb="10" eb="12">
      <t>トクバイ</t>
    </rPh>
    <rPh sb="12" eb="14">
      <t>バイカ</t>
    </rPh>
    <rPh sb="15" eb="17">
      <t>ヘンコウ</t>
    </rPh>
    <phoneticPr fontId="1"/>
  </si>
  <si>
    <t>特売マスタ</t>
  </si>
  <si>
    <t>特売マスタには、商品マスタ.親単品コードに紐付く設定のみ保持する。</t>
    <rPh sb="0" eb="2">
      <t>トクバイ</t>
    </rPh>
    <rPh sb="8" eb="10">
      <t>ショウヒン</t>
    </rPh>
    <rPh sb="14" eb="15">
      <t>オヤ</t>
    </rPh>
    <rPh sb="15" eb="17">
      <t>タンピン</t>
    </rPh>
    <rPh sb="21" eb="22">
      <t>ヒモ</t>
    </rPh>
    <rPh sb="22" eb="23">
      <t>ヅ</t>
    </rPh>
    <rPh sb="24" eb="26">
      <t>セッテイ</t>
    </rPh>
    <rPh sb="28" eb="30">
      <t>ホジ</t>
    </rPh>
    <phoneticPr fontId="1"/>
  </si>
  <si>
    <t>特売の種類は「売価変更」「値引」「割引」の3種類が存在する。</t>
  </si>
  <si>
    <t>「値引」は使用していない</t>
  </si>
  <si>
    <t>特売マスタ上、1件の商品マスタ.親単品コードに対し、有効なレコードは複数件登録される。</t>
    <rPh sb="0" eb="2">
      <t>トクバイ</t>
    </rPh>
    <rPh sb="5" eb="6">
      <t>ジョウ</t>
    </rPh>
    <rPh sb="8" eb="9">
      <t>ケン</t>
    </rPh>
    <rPh sb="16" eb="17">
      <t>オヤ</t>
    </rPh>
    <rPh sb="17" eb="19">
      <t>タンピン</t>
    </rPh>
    <rPh sb="23" eb="24">
      <t>タイ</t>
    </rPh>
    <rPh sb="26" eb="28">
      <t>ユウコウ</t>
    </rPh>
    <rPh sb="34" eb="36">
      <t>フクスウ</t>
    </rPh>
    <rPh sb="36" eb="37">
      <t>ケン</t>
    </rPh>
    <rPh sb="37" eb="39">
      <t>トウロク</t>
    </rPh>
    <phoneticPr fontId="1"/>
  </si>
  <si>
    <t>NON-PLU商品に対して、特売（割引）は適用可能とする。</t>
    <rPh sb="7" eb="9">
      <t>ショウヒン</t>
    </rPh>
    <rPh sb="10" eb="11">
      <t>タイ</t>
    </rPh>
    <rPh sb="14" eb="16">
      <t>トクバイ</t>
    </rPh>
    <rPh sb="17" eb="19">
      <t>ワリビキ</t>
    </rPh>
    <rPh sb="21" eb="23">
      <t>テキヨウ</t>
    </rPh>
    <rPh sb="23" eb="25">
      <t>カノウ</t>
    </rPh>
    <phoneticPr fontId="1"/>
  </si>
  <si>
    <r>
      <t>NON-PLU商品に対して、特売（売価変更）は適用</t>
    </r>
    <r>
      <rPr>
        <b/>
        <sz val="11"/>
        <color rgb="FFFF0000"/>
        <rFont val="Meiryo UI"/>
        <family val="3"/>
        <charset val="128"/>
      </rPr>
      <t>不可</t>
    </r>
    <r>
      <rPr>
        <sz val="11"/>
        <rFont val="Meiryo UI"/>
        <family val="3"/>
        <charset val="128"/>
      </rPr>
      <t>とする。</t>
    </r>
    <rPh sb="7" eb="9">
      <t>ショウヒン</t>
    </rPh>
    <rPh sb="10" eb="11">
      <t>タイ</t>
    </rPh>
    <rPh sb="14" eb="16">
      <t>トクバイ</t>
    </rPh>
    <rPh sb="17" eb="19">
      <t>バイカ</t>
    </rPh>
    <rPh sb="19" eb="21">
      <t>ヘンコウ</t>
    </rPh>
    <rPh sb="23" eb="25">
      <t>テキヨウ</t>
    </rPh>
    <rPh sb="25" eb="27">
      <t>フカ</t>
    </rPh>
    <phoneticPr fontId="1"/>
  </si>
  <si>
    <t>特売（値引）は、筑波大学では運用なし。</t>
    <rPh sb="0" eb="2">
      <t>トクバイ</t>
    </rPh>
    <rPh sb="3" eb="5">
      <t>ネビキ</t>
    </rPh>
    <phoneticPr fontId="1"/>
  </si>
  <si>
    <t>商品登録時、特売マスタを参照し、商品に対し有効な設定を取得する。</t>
    <rPh sb="0" eb="2">
      <t>ショウヒン</t>
    </rPh>
    <rPh sb="2" eb="4">
      <t>トウロク</t>
    </rPh>
    <rPh sb="4" eb="5">
      <t>ジ</t>
    </rPh>
    <rPh sb="6" eb="8">
      <t>トクバイ</t>
    </rPh>
    <rPh sb="12" eb="14">
      <t>サンショウ</t>
    </rPh>
    <rPh sb="16" eb="18">
      <t>ショウヒン</t>
    </rPh>
    <rPh sb="19" eb="20">
      <t>タイ</t>
    </rPh>
    <rPh sb="21" eb="23">
      <t>ユウコウ</t>
    </rPh>
    <rPh sb="24" eb="26">
      <t>セッテイ</t>
    </rPh>
    <rPh sb="27" eb="29">
      <t>シュトク</t>
    </rPh>
    <phoneticPr fontId="1"/>
  </si>
  <si>
    <t>複数件取得する可能性があります。</t>
    <rPh sb="0" eb="2">
      <t>フクスウ</t>
    </rPh>
    <rPh sb="2" eb="3">
      <t>ケン</t>
    </rPh>
    <rPh sb="3" eb="5">
      <t>シュトク</t>
    </rPh>
    <rPh sb="7" eb="10">
      <t>カノウセイ</t>
    </rPh>
    <phoneticPr fontId="1"/>
  </si>
  <si>
    <t>取得した特売の設定の中から、優先順位が1位となるレコードを特定する。</t>
    <rPh sb="0" eb="2">
      <t>シュトク</t>
    </rPh>
    <rPh sb="4" eb="6">
      <t>トクバイ</t>
    </rPh>
    <rPh sb="7" eb="9">
      <t>セッテイ</t>
    </rPh>
    <rPh sb="10" eb="11">
      <t>ナカ</t>
    </rPh>
    <rPh sb="14" eb="16">
      <t>ユウセン</t>
    </rPh>
    <rPh sb="16" eb="18">
      <t>ジュンイ</t>
    </rPh>
    <rPh sb="20" eb="21">
      <t>イ</t>
    </rPh>
    <rPh sb="29" eb="31">
      <t>トクテイ</t>
    </rPh>
    <phoneticPr fontId="1"/>
  </si>
  <si>
    <t>＜優先順位のつけ方＞</t>
    <rPh sb="1" eb="3">
      <t>ユウセン</t>
    </rPh>
    <rPh sb="3" eb="5">
      <t>ジュンイ</t>
    </rPh>
    <rPh sb="8" eb="9">
      <t>カタ</t>
    </rPh>
    <phoneticPr fontId="1"/>
  </si>
  <si>
    <t>以下(1)～(4)で特売情報のソートを行い、1レコード目が適用対象の特売情報となる。</t>
    <rPh sb="0" eb="2">
      <t>イカ</t>
    </rPh>
    <rPh sb="10" eb="12">
      <t>トクバイ</t>
    </rPh>
    <rPh sb="12" eb="14">
      <t>ジョウホウ</t>
    </rPh>
    <rPh sb="19" eb="20">
      <t>オコナ</t>
    </rPh>
    <rPh sb="27" eb="28">
      <t>メ</t>
    </rPh>
    <rPh sb="29" eb="31">
      <t>テキヨウ</t>
    </rPh>
    <rPh sb="31" eb="33">
      <t>タイショウ</t>
    </rPh>
    <rPh sb="34" eb="36">
      <t>トクバイ</t>
    </rPh>
    <rPh sb="36" eb="38">
      <t>ジョウホウ</t>
    </rPh>
    <phoneticPr fontId="1"/>
  </si>
  <si>
    <t>(1)</t>
    <phoneticPr fontId="1"/>
  </si>
  <si>
    <t>特売売価(※後述)の安い順</t>
    <rPh sb="0" eb="2">
      <t>トクバイ</t>
    </rPh>
    <rPh sb="2" eb="4">
      <t>バイカ</t>
    </rPh>
    <rPh sb="6" eb="8">
      <t>コウジュツ</t>
    </rPh>
    <rPh sb="10" eb="11">
      <t>ヤス</t>
    </rPh>
    <rPh sb="12" eb="13">
      <t>ジュン</t>
    </rPh>
    <phoneticPr fontId="1"/>
  </si>
  <si>
    <t>(2)</t>
    <phoneticPr fontId="1"/>
  </si>
  <si>
    <t>特売マスタ.開始日時が当日日時に近い順</t>
    <rPh sb="0" eb="2">
      <t>トクバイ</t>
    </rPh>
    <rPh sb="6" eb="8">
      <t>カイシ</t>
    </rPh>
    <rPh sb="8" eb="10">
      <t>ニチジ</t>
    </rPh>
    <rPh sb="11" eb="13">
      <t>トウジツ</t>
    </rPh>
    <rPh sb="13" eb="15">
      <t>ニチジ</t>
    </rPh>
    <rPh sb="16" eb="17">
      <t>チカ</t>
    </rPh>
    <rPh sb="18" eb="19">
      <t>ジュン</t>
    </rPh>
    <phoneticPr fontId="1"/>
  </si>
  <si>
    <t>(3)</t>
    <phoneticPr fontId="1"/>
  </si>
  <si>
    <t>特売マスタ.終了日時が当日日時に近い順</t>
    <rPh sb="0" eb="2">
      <t>トクバイ</t>
    </rPh>
    <rPh sb="6" eb="8">
      <t>シュウリョウ</t>
    </rPh>
    <rPh sb="8" eb="10">
      <t>ニチジ</t>
    </rPh>
    <rPh sb="11" eb="13">
      <t>トウジツ</t>
    </rPh>
    <rPh sb="13" eb="15">
      <t>ニチジ</t>
    </rPh>
    <rPh sb="16" eb="17">
      <t>チカ</t>
    </rPh>
    <rPh sb="18" eb="19">
      <t>ジュン</t>
    </rPh>
    <phoneticPr fontId="1"/>
  </si>
  <si>
    <t>(4)</t>
    <phoneticPr fontId="1"/>
  </si>
  <si>
    <t>特売マスタ.スケジュール番号の昇順</t>
    <rPh sb="0" eb="2">
      <t>トクバイ</t>
    </rPh>
    <rPh sb="12" eb="14">
      <t>バンゴウ</t>
    </rPh>
    <rPh sb="15" eb="17">
      <t>ショウジュン</t>
    </rPh>
    <phoneticPr fontId="1"/>
  </si>
  <si>
    <t>＜優先順位付けを行う際の特売売価の算出方法について＞</t>
    <rPh sb="1" eb="3">
      <t>ユウセン</t>
    </rPh>
    <rPh sb="3" eb="5">
      <t>ジュンイ</t>
    </rPh>
    <rPh sb="5" eb="6">
      <t>ヅ</t>
    </rPh>
    <rPh sb="8" eb="9">
      <t>オコナ</t>
    </rPh>
    <rPh sb="10" eb="11">
      <t>サイ</t>
    </rPh>
    <rPh sb="12" eb="14">
      <t>トクバイ</t>
    </rPh>
    <rPh sb="14" eb="16">
      <t>バイカ</t>
    </rPh>
    <rPh sb="17" eb="19">
      <t>サンシュツ</t>
    </rPh>
    <rPh sb="19" eb="21">
      <t>ホウホウ</t>
    </rPh>
    <phoneticPr fontId="1"/>
  </si>
  <si>
    <t>優先順位付け行う際の特売売価の算出方法は、登録する商品により異なる。</t>
    <rPh sb="0" eb="2">
      <t>ユウセン</t>
    </rPh>
    <rPh sb="2" eb="4">
      <t>ジュンイ</t>
    </rPh>
    <rPh sb="4" eb="5">
      <t>ヅ</t>
    </rPh>
    <rPh sb="6" eb="7">
      <t>オコナ</t>
    </rPh>
    <rPh sb="8" eb="9">
      <t>サイ</t>
    </rPh>
    <rPh sb="10" eb="12">
      <t>トクバイ</t>
    </rPh>
    <rPh sb="12" eb="14">
      <t>バイカ</t>
    </rPh>
    <rPh sb="15" eb="17">
      <t>サンシュツ</t>
    </rPh>
    <rPh sb="17" eb="19">
      <t>ホウホウ</t>
    </rPh>
    <rPh sb="21" eb="23">
      <t>トウロク</t>
    </rPh>
    <rPh sb="25" eb="27">
      <t>ショウヒン</t>
    </rPh>
    <rPh sb="30" eb="31">
      <t>コト</t>
    </rPh>
    <phoneticPr fontId="1"/>
  </si>
  <si>
    <t>1)</t>
    <phoneticPr fontId="1"/>
  </si>
  <si>
    <t>通常商品(NON-PLU以外)を登録する場合</t>
    <rPh sb="0" eb="2">
      <t>ツウジョウ</t>
    </rPh>
    <rPh sb="2" eb="4">
      <t>ショウヒン</t>
    </rPh>
    <rPh sb="12" eb="14">
      <t>イガイ</t>
    </rPh>
    <rPh sb="16" eb="18">
      <t>トウロク</t>
    </rPh>
    <rPh sb="20" eb="22">
      <t>バアイ</t>
    </rPh>
    <phoneticPr fontId="1"/>
  </si>
  <si>
    <r>
      <t>特売の種別が「売価変更」の場合、</t>
    </r>
    <r>
      <rPr>
        <u/>
        <sz val="11"/>
        <color theme="1"/>
        <rFont val="Meiryo UI"/>
        <family val="3"/>
        <charset val="128"/>
      </rPr>
      <t>特売マスタ.特売値段</t>
    </r>
    <r>
      <rPr>
        <sz val="11"/>
        <rFont val="Meiryo UI"/>
        <family val="3"/>
        <charset val="128"/>
      </rPr>
      <t>が「特売売価」となる。</t>
    </r>
    <rPh sb="0" eb="2">
      <t>トクバイ</t>
    </rPh>
    <rPh sb="3" eb="5">
      <t>シュベツ</t>
    </rPh>
    <rPh sb="7" eb="9">
      <t>バイカ</t>
    </rPh>
    <rPh sb="9" eb="11">
      <t>ヘンコウ</t>
    </rPh>
    <rPh sb="13" eb="15">
      <t>バアイ</t>
    </rPh>
    <rPh sb="16" eb="18">
      <t>トクバイ</t>
    </rPh>
    <rPh sb="28" eb="30">
      <t>トクバイ</t>
    </rPh>
    <rPh sb="30" eb="32">
      <t>バイカ</t>
    </rPh>
    <phoneticPr fontId="1"/>
  </si>
  <si>
    <t>特売の種別が「割引」の場合、</t>
    <rPh sb="0" eb="2">
      <t>トクバイ</t>
    </rPh>
    <rPh sb="3" eb="5">
      <t>シュベツ</t>
    </rPh>
    <rPh sb="7" eb="9">
      <t>ワリビキ</t>
    </rPh>
    <rPh sb="11" eb="13">
      <t>バアイ</t>
    </rPh>
    <phoneticPr fontId="1"/>
  </si>
  <si>
    <r>
      <t>単品マスタ.単価　－　（単品マスタ.単価×割引率）</t>
    </r>
    <r>
      <rPr>
        <sz val="11"/>
        <color theme="1"/>
        <rFont val="Meiryo UI"/>
        <family val="3"/>
        <charset val="128"/>
      </rPr>
      <t>が「特売売価」となる。</t>
    </r>
    <rPh sb="0" eb="2">
      <t>タンピン</t>
    </rPh>
    <rPh sb="21" eb="23">
      <t>ワリビキ</t>
    </rPh>
    <rPh sb="23" eb="24">
      <t>リツ</t>
    </rPh>
    <rPh sb="27" eb="29">
      <t>トクバイ</t>
    </rPh>
    <rPh sb="29" eb="31">
      <t>バイカ</t>
    </rPh>
    <phoneticPr fontId="1"/>
  </si>
  <si>
    <t>Ex.1 特売情報の優先順位付けについて(通常商品)</t>
    <rPh sb="5" eb="7">
      <t>トクバイ</t>
    </rPh>
    <rPh sb="7" eb="9">
      <t>ジョウホウ</t>
    </rPh>
    <rPh sb="10" eb="12">
      <t>ユウセン</t>
    </rPh>
    <rPh sb="12" eb="14">
      <t>ジュンイ</t>
    </rPh>
    <rPh sb="14" eb="15">
      <t>ヅ</t>
    </rPh>
    <rPh sb="21" eb="23">
      <t>ツウジョウ</t>
    </rPh>
    <rPh sb="23" eb="25">
      <t>ショウヒン</t>
    </rPh>
    <phoneticPr fontId="1"/>
  </si>
  <si>
    <t>登録商品の単品コード：4900000000001</t>
    <rPh sb="0" eb="2">
      <t>トウロク</t>
    </rPh>
    <rPh sb="2" eb="4">
      <t>ショウヒン</t>
    </rPh>
    <rPh sb="5" eb="7">
      <t>タンピン</t>
    </rPh>
    <phoneticPr fontId="1"/>
  </si>
  <si>
    <t>単品マスタ</t>
    <rPh sb="0" eb="2">
      <t>タンピン</t>
    </rPh>
    <phoneticPr fontId="1"/>
  </si>
  <si>
    <t>単品コード</t>
    <rPh sb="0" eb="2">
      <t>タンピン</t>
    </rPh>
    <phoneticPr fontId="1"/>
  </si>
  <si>
    <t>親単品コード</t>
    <rPh sb="0" eb="1">
      <t>オヤ</t>
    </rPh>
    <rPh sb="1" eb="3">
      <t>タンピン</t>
    </rPh>
    <phoneticPr fontId="1"/>
  </si>
  <si>
    <t>単価</t>
    <rPh sb="0" eb="2">
      <t>タンカ</t>
    </rPh>
    <phoneticPr fontId="1"/>
  </si>
  <si>
    <t>4900000000001</t>
    <phoneticPr fontId="1"/>
  </si>
  <si>
    <t>200</t>
    <phoneticPr fontId="1"/>
  </si>
  <si>
    <t>特売マスタ</t>
    <rPh sb="0" eb="2">
      <t>トクバイ</t>
    </rPh>
    <phoneticPr fontId="1"/>
  </si>
  <si>
    <t>値引方法コード</t>
  </si>
  <si>
    <t>値引金額/率</t>
    <phoneticPr fontId="1"/>
  </si>
  <si>
    <t>特売値段</t>
  </si>
  <si>
    <t>優先順位決定のための特売売価</t>
    <rPh sb="0" eb="2">
      <t>ユウセン</t>
    </rPh>
    <rPh sb="2" eb="4">
      <t>ジュンイ</t>
    </rPh>
    <rPh sb="4" eb="6">
      <t>ケッテイ</t>
    </rPh>
    <rPh sb="10" eb="12">
      <t>トクバイ</t>
    </rPh>
    <rPh sb="12" eb="14">
      <t>バイカ</t>
    </rPh>
    <phoneticPr fontId="1"/>
  </si>
  <si>
    <t>02</t>
    <phoneticPr fontId="1"/>
  </si>
  <si>
    <t>20</t>
    <phoneticPr fontId="1"/>
  </si>
  <si>
    <r>
      <rPr>
        <b/>
        <u/>
        <sz val="11"/>
        <color theme="1"/>
        <rFont val="Meiryo UI"/>
        <family val="3"/>
        <charset val="128"/>
      </rPr>
      <t>160</t>
    </r>
    <r>
      <rPr>
        <sz val="11"/>
        <rFont val="Meiryo UI"/>
        <family val="3"/>
        <charset val="128"/>
      </rPr>
      <t xml:space="preserve"> (内訳： 200 - (200 * 20%))</t>
    </r>
    <rPh sb="5" eb="7">
      <t>ウチワケ</t>
    </rPh>
    <phoneticPr fontId="1"/>
  </si>
  <si>
    <t>03</t>
    <phoneticPr fontId="1"/>
  </si>
  <si>
    <t>0</t>
    <phoneticPr fontId="1"/>
  </si>
  <si>
    <t>150</t>
    <phoneticPr fontId="1"/>
  </si>
  <si>
    <t>★こちらを採用</t>
  </si>
  <si>
    <t>2)</t>
    <phoneticPr fontId="1"/>
  </si>
  <si>
    <t>NON-PLU商品を登録する場合</t>
    <rPh sb="7" eb="9">
      <t>ショウヒン</t>
    </rPh>
    <rPh sb="10" eb="12">
      <t>トウロク</t>
    </rPh>
    <rPh sb="14" eb="16">
      <t>バアイ</t>
    </rPh>
    <phoneticPr fontId="1"/>
  </si>
  <si>
    <t>特売の種別が「割引」の場合、NON-PLU商品の商品マスタ.単価により、算出方法が異なる。</t>
    <rPh sb="0" eb="2">
      <t>トクバイ</t>
    </rPh>
    <rPh sb="3" eb="5">
      <t>シュベツ</t>
    </rPh>
    <rPh sb="7" eb="9">
      <t>ワリビキ</t>
    </rPh>
    <rPh sb="11" eb="13">
      <t>バアイ</t>
    </rPh>
    <rPh sb="21" eb="23">
      <t>ショウヒン</t>
    </rPh>
    <rPh sb="24" eb="26">
      <t>ショウヒン</t>
    </rPh>
    <rPh sb="30" eb="32">
      <t>タンカ</t>
    </rPh>
    <rPh sb="36" eb="38">
      <t>サンシュツ</t>
    </rPh>
    <rPh sb="38" eb="40">
      <t>ホウホウ</t>
    </rPh>
    <rPh sb="41" eb="42">
      <t>コト</t>
    </rPh>
    <phoneticPr fontId="1"/>
  </si>
  <si>
    <t>①</t>
    <phoneticPr fontId="1"/>
  </si>
  <si>
    <t>NON-PLU商品の商品マスタ.単価＞0の場合</t>
    <rPh sb="21" eb="23">
      <t>バアイ</t>
    </rPh>
    <phoneticPr fontId="1"/>
  </si>
  <si>
    <t>②</t>
    <phoneticPr fontId="1"/>
  </si>
  <si>
    <t>NON-PLU商品の商品マスタ.単価＝0の場合</t>
    <rPh sb="21" eb="23">
      <t>バアイ</t>
    </rPh>
    <phoneticPr fontId="1"/>
  </si>
  <si>
    <r>
      <rPr>
        <u/>
        <sz val="11"/>
        <color theme="1"/>
        <rFont val="Meiryo UI"/>
        <family val="3"/>
        <charset val="128"/>
      </rPr>
      <t>バーコード内売価　－　（バーコード内売価×割引率）</t>
    </r>
    <r>
      <rPr>
        <sz val="11"/>
        <rFont val="Meiryo UI"/>
        <family val="3"/>
        <charset val="128"/>
      </rPr>
      <t>が「特売売価」となる。</t>
    </r>
    <rPh sb="5" eb="6">
      <t>ナイ</t>
    </rPh>
    <rPh sb="6" eb="8">
      <t>バイカ</t>
    </rPh>
    <rPh sb="17" eb="18">
      <t>ナイ</t>
    </rPh>
    <rPh sb="18" eb="20">
      <t>バイカ</t>
    </rPh>
    <rPh sb="21" eb="23">
      <t>ワリビキ</t>
    </rPh>
    <rPh sb="23" eb="24">
      <t>リツ</t>
    </rPh>
    <rPh sb="27" eb="29">
      <t>トクバイ</t>
    </rPh>
    <rPh sb="29" eb="31">
      <t>バイカ</t>
    </rPh>
    <phoneticPr fontId="1"/>
  </si>
  <si>
    <t>Ex.2 特売情報の優先順位付けについて(NON-PLU商品)</t>
    <phoneticPr fontId="1"/>
  </si>
  <si>
    <t>パターン１、単品マスタ上の単価＞０</t>
    <rPh sb="6" eb="8">
      <t>タンピン</t>
    </rPh>
    <rPh sb="11" eb="12">
      <t>ジョウ</t>
    </rPh>
    <rPh sb="13" eb="15">
      <t>タンカ</t>
    </rPh>
    <phoneticPr fontId="1"/>
  </si>
  <si>
    <t>登録商品の単品コード：0211111001804</t>
    <rPh sb="0" eb="2">
      <t>トウロク</t>
    </rPh>
    <rPh sb="2" eb="4">
      <t>ショウヒン</t>
    </rPh>
    <rPh sb="5" eb="7">
      <t>タンピン</t>
    </rPh>
    <phoneticPr fontId="1"/>
  </si>
  <si>
    <t>0211111000000</t>
    <phoneticPr fontId="1"/>
  </si>
  <si>
    <r>
      <rPr>
        <b/>
        <u/>
        <sz val="11"/>
        <color theme="1"/>
        <rFont val="Meiryo UI"/>
        <family val="3"/>
        <charset val="128"/>
      </rPr>
      <t>160</t>
    </r>
    <r>
      <rPr>
        <sz val="11"/>
        <rFont val="Meiryo UI"/>
        <family val="3"/>
        <charset val="128"/>
      </rPr>
      <t xml:space="preserve"> (内訳：200 - (200 * 20%))</t>
    </r>
    <rPh sb="5" eb="7">
      <t>ウチワケ</t>
    </rPh>
    <phoneticPr fontId="1"/>
  </si>
  <si>
    <t>パターン２、単品マスタ上の単価＝０</t>
    <rPh sb="6" eb="8">
      <t>タンピン</t>
    </rPh>
    <rPh sb="11" eb="12">
      <t>ジョウ</t>
    </rPh>
    <rPh sb="13" eb="15">
      <t>タンカ</t>
    </rPh>
    <phoneticPr fontId="1"/>
  </si>
  <si>
    <t>登録商品の単品コード：0222222001805</t>
    <rPh sb="0" eb="2">
      <t>トウロク</t>
    </rPh>
    <rPh sb="2" eb="4">
      <t>ショウヒン</t>
    </rPh>
    <rPh sb="5" eb="7">
      <t>タンピン</t>
    </rPh>
    <phoneticPr fontId="1"/>
  </si>
  <si>
    <t>0222222000000</t>
    <phoneticPr fontId="1"/>
  </si>
  <si>
    <r>
      <rPr>
        <b/>
        <u/>
        <sz val="11"/>
        <color theme="1"/>
        <rFont val="Meiryo UI"/>
        <family val="3"/>
        <charset val="128"/>
      </rPr>
      <t>144</t>
    </r>
    <r>
      <rPr>
        <sz val="11"/>
        <rFont val="Meiryo UI"/>
        <family val="3"/>
        <charset val="128"/>
      </rPr>
      <t xml:space="preserve"> (内訳：180 - (180 * 20%))</t>
    </r>
    <rPh sb="5" eb="7">
      <t>ウチワケ</t>
    </rPh>
    <phoneticPr fontId="1"/>
  </si>
  <si>
    <t>２で特定した特売情報を商品に適用する。</t>
    <rPh sb="2" eb="4">
      <t>トクテイ</t>
    </rPh>
    <rPh sb="6" eb="8">
      <t>トクバイ</t>
    </rPh>
    <rPh sb="8" eb="10">
      <t>ジョウホウ</t>
    </rPh>
    <rPh sb="11" eb="13">
      <t>ショウヒン</t>
    </rPh>
    <rPh sb="14" eb="16">
      <t>テキヨウ</t>
    </rPh>
    <phoneticPr fontId="1"/>
  </si>
  <si>
    <t>特定した特売情報が「売価変更」</t>
  </si>
  <si>
    <t>「通常売価≧特売売価＞０」の場合、商品に対し特売売価の適用を行う。</t>
    <rPh sb="1" eb="3">
      <t>ツウジョウ</t>
    </rPh>
    <rPh sb="3" eb="5">
      <t>バイカ</t>
    </rPh>
    <rPh sb="6" eb="8">
      <t>トクバイ</t>
    </rPh>
    <rPh sb="8" eb="10">
      <t>バイカ</t>
    </rPh>
    <rPh sb="14" eb="16">
      <t>バアイ</t>
    </rPh>
    <phoneticPr fontId="1"/>
  </si>
  <si>
    <t>「通常売価＜特売売価」の場合、商品に対し特売売価の適用は行わない。</t>
    <rPh sb="1" eb="3">
      <t>ツウジョウ</t>
    </rPh>
    <rPh sb="3" eb="5">
      <t>バイカ</t>
    </rPh>
    <rPh sb="6" eb="8">
      <t>トクバイ</t>
    </rPh>
    <rPh sb="8" eb="10">
      <t>バイカ</t>
    </rPh>
    <rPh sb="12" eb="14">
      <t>バアイ</t>
    </rPh>
    <phoneticPr fontId="1"/>
  </si>
  <si>
    <t>特定した特売情報が「割引」</t>
    <rPh sb="10" eb="12">
      <t>ワリビキ</t>
    </rPh>
    <phoneticPr fontId="1"/>
  </si>
  <si>
    <r>
      <rPr>
        <u/>
        <sz val="11"/>
        <color theme="1"/>
        <rFont val="Meiryo UI"/>
        <family val="3"/>
        <charset val="128"/>
      </rPr>
      <t>単品マスタ.単価　－　（単品マスタ.単価×割引率）</t>
    </r>
    <r>
      <rPr>
        <sz val="11"/>
        <rFont val="Meiryo UI"/>
        <family val="3"/>
        <charset val="128"/>
      </rPr>
      <t>を特売売価とし、商品に対し特売売価の適用を行う。</t>
    </r>
    <rPh sb="26" eb="28">
      <t>トクバイ</t>
    </rPh>
    <rPh sb="28" eb="30">
      <t>バイカ</t>
    </rPh>
    <rPh sb="33" eb="35">
      <t>ショウヒン</t>
    </rPh>
    <rPh sb="36" eb="37">
      <t>タイ</t>
    </rPh>
    <rPh sb="38" eb="40">
      <t>トクバイ</t>
    </rPh>
    <rPh sb="40" eb="42">
      <t>バイカ</t>
    </rPh>
    <rPh sb="43" eb="45">
      <t>テキヨウ</t>
    </rPh>
    <rPh sb="46" eb="47">
      <t>オコナ</t>
    </rPh>
    <phoneticPr fontId="1"/>
  </si>
  <si>
    <t>割引額の小数点以下端数は「切り上げ」を行う。</t>
    <rPh sb="0" eb="2">
      <t>ワリビキ</t>
    </rPh>
    <rPh sb="2" eb="3">
      <t>ガク</t>
    </rPh>
    <rPh sb="4" eb="7">
      <t>ショウスウテン</t>
    </rPh>
    <rPh sb="7" eb="9">
      <t>イカ</t>
    </rPh>
    <rPh sb="9" eb="11">
      <t>ハスウ</t>
    </rPh>
    <rPh sb="13" eb="14">
      <t>キ</t>
    </rPh>
    <rPh sb="15" eb="16">
      <t>ア</t>
    </rPh>
    <rPh sb="19" eb="20">
      <t>オコナ</t>
    </rPh>
    <phoneticPr fontId="1"/>
  </si>
  <si>
    <t>Ex.3 通常商品に対する特売の適用について</t>
    <rPh sb="5" eb="7">
      <t>ツウジョウ</t>
    </rPh>
    <rPh sb="7" eb="9">
      <t>ショウヒン</t>
    </rPh>
    <rPh sb="10" eb="11">
      <t>タイ</t>
    </rPh>
    <rPh sb="13" eb="15">
      <t>トクバイ</t>
    </rPh>
    <rPh sb="16" eb="18">
      <t>テキヨウ</t>
    </rPh>
    <phoneticPr fontId="1"/>
  </si>
  <si>
    <t>Ex.1で特定した特売情報を商品に適用する場合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</si>
  <si>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特売値段 \150 を適用し、</t>
    <rPh sb="0" eb="2">
      <t>トクバイ</t>
    </rPh>
    <rPh sb="2" eb="4">
      <t>ネダン</t>
    </rPh>
    <rPh sb="11" eb="13">
      <t>テキヨウ</t>
    </rPh>
    <phoneticPr fontId="1"/>
  </si>
  <si>
    <r>
      <t>商品の採用売価は \</t>
    </r>
    <r>
      <rPr>
        <b/>
        <u/>
        <sz val="11"/>
        <color theme="1"/>
        <rFont val="Meiryo UI"/>
        <family val="3"/>
        <charset val="128"/>
      </rPr>
      <t>150</t>
    </r>
    <r>
      <rPr>
        <sz val="11"/>
        <rFont val="Meiryo UI"/>
        <family val="3"/>
        <charset val="128"/>
      </rPr>
      <t xml:space="preserve"> (特売マスタ.特売値段)となる。</t>
    </r>
    <rPh sb="0" eb="2">
      <t>ショウヒン</t>
    </rPh>
    <rPh sb="3" eb="5">
      <t>サイヨウ</t>
    </rPh>
    <rPh sb="5" eb="7">
      <t>バイカ</t>
    </rPh>
    <rPh sb="15" eb="17">
      <t>トクバイ</t>
    </rPh>
    <rPh sb="21" eb="23">
      <t>トクバイ</t>
    </rPh>
    <rPh sb="23" eb="25">
      <t>ネダン</t>
    </rPh>
    <phoneticPr fontId="1"/>
  </si>
  <si>
    <t>商品に対し特売売価の適用は行わない。</t>
    <rPh sb="0" eb="2">
      <t>ショウヒン</t>
    </rPh>
    <rPh sb="3" eb="4">
      <t>タイ</t>
    </rPh>
    <rPh sb="5" eb="7">
      <t>トクバイ</t>
    </rPh>
    <rPh sb="7" eb="9">
      <t>バイカ</t>
    </rPh>
    <rPh sb="10" eb="12">
      <t>テキヨウ</t>
    </rPh>
    <rPh sb="13" eb="14">
      <t>オコナ</t>
    </rPh>
    <phoneticPr fontId="1"/>
  </si>
  <si>
    <t>NON-PLU商品には「特売（売価変更）」は適用しない</t>
    <rPh sb="7" eb="9">
      <t>ショウヒン</t>
    </rPh>
    <rPh sb="12" eb="14">
      <t>トクバイ</t>
    </rPh>
    <rPh sb="15" eb="17">
      <t>バイカ</t>
    </rPh>
    <rPh sb="17" eb="19">
      <t>ヘンコウ</t>
    </rPh>
    <rPh sb="22" eb="24">
      <t>テキヨウ</t>
    </rPh>
    <phoneticPr fontId="1"/>
  </si>
  <si>
    <r>
      <rPr>
        <u/>
        <sz val="11"/>
        <color theme="1"/>
        <rFont val="Meiryo UI"/>
        <family val="3"/>
        <charset val="128"/>
      </rPr>
      <t>バーコード内売価　－　（バーコード内売価×割引率）</t>
    </r>
    <r>
      <rPr>
        <sz val="11"/>
        <rFont val="Meiryo UI"/>
        <family val="3"/>
        <charset val="128"/>
      </rPr>
      <t>を特売売価とし、商品に対し特売売価の適用を行う。</t>
    </r>
    <phoneticPr fontId="1"/>
  </si>
  <si>
    <t>Ex.4 NON-PLU商品に対する特売の適用について</t>
    <phoneticPr fontId="1"/>
  </si>
  <si>
    <t>Ex.2で特定した特売情報を商品に適用する場合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</si>
  <si>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NON-PLU商品のため、特売（売価変更）は採用しない。</t>
    <rPh sb="7" eb="9">
      <t>ショウヒン</t>
    </rPh>
    <rPh sb="13" eb="15">
      <t>トクバイ</t>
    </rPh>
    <rPh sb="16" eb="18">
      <t>バイカ</t>
    </rPh>
    <rPh sb="18" eb="20">
      <t>ヘンコウ</t>
    </rPh>
    <rPh sb="22" eb="24">
      <t>サイヨウ</t>
    </rPh>
    <phoneticPr fontId="1"/>
  </si>
  <si>
    <r>
      <t xml:space="preserve">商品の採用売価は </t>
    </r>
    <r>
      <rPr>
        <b/>
        <u/>
        <sz val="11"/>
        <color theme="1"/>
        <rFont val="Meiryo UI"/>
        <family val="3"/>
        <charset val="128"/>
      </rPr>
      <t>\180</t>
    </r>
    <r>
      <rPr>
        <sz val="11"/>
        <rFont val="Meiryo UI"/>
        <family val="3"/>
        <charset val="128"/>
      </rPr>
      <t>（バーコード内売価） となる。</t>
    </r>
    <rPh sb="0" eb="2">
      <t>ショウヒン</t>
    </rPh>
    <rPh sb="3" eb="5">
      <t>サイヨウ</t>
    </rPh>
    <rPh sb="5" eb="7">
      <t>バイカ</t>
    </rPh>
    <rPh sb="19" eb="20">
      <t>ナイ</t>
    </rPh>
    <rPh sb="20" eb="22">
      <t>バイカ</t>
    </rPh>
    <phoneticPr fontId="1"/>
  </si>
  <si>
    <t>バーコード内売価と特売マスタ上の割引率をもとに</t>
    <rPh sb="5" eb="6">
      <t>ナイ</t>
    </rPh>
    <rPh sb="6" eb="8">
      <t>バイカ</t>
    </rPh>
    <rPh sb="9" eb="11">
      <t>トクバイ</t>
    </rPh>
    <rPh sb="14" eb="15">
      <t>ジョウ</t>
    </rPh>
    <rPh sb="16" eb="18">
      <t>ワリビキ</t>
    </rPh>
    <rPh sb="18" eb="19">
      <t>リツ</t>
    </rPh>
    <phoneticPr fontId="1"/>
  </si>
  <si>
    <t>割引額を算出し、バーコード内売価から控除する。</t>
    <rPh sb="0" eb="2">
      <t>ワリビキ</t>
    </rPh>
    <rPh sb="2" eb="3">
      <t>ガク</t>
    </rPh>
    <rPh sb="4" eb="6">
      <t>サンシュツ</t>
    </rPh>
    <rPh sb="13" eb="14">
      <t>ナイ</t>
    </rPh>
    <rPh sb="14" eb="16">
      <t>バイカ</t>
    </rPh>
    <rPh sb="18" eb="20">
      <t>コウジョ</t>
    </rPh>
    <phoneticPr fontId="1"/>
  </si>
  <si>
    <r>
      <t xml:space="preserve">商品の採用売価は </t>
    </r>
    <r>
      <rPr>
        <b/>
        <u/>
        <sz val="11"/>
        <color theme="1"/>
        <rFont val="Meiryo UI"/>
        <family val="3"/>
        <charset val="128"/>
      </rPr>
      <t>\144</t>
    </r>
    <r>
      <rPr>
        <sz val="11"/>
        <rFont val="Meiryo UI"/>
        <family val="3"/>
        <charset val="128"/>
      </rPr>
      <t>（180－(180×20%)) となる。</t>
    </r>
    <rPh sb="0" eb="2">
      <t>ショウヒン</t>
    </rPh>
    <rPh sb="3" eb="5">
      <t>サイヨウ</t>
    </rPh>
    <rPh sb="5" eb="7">
      <t>バイカ</t>
    </rPh>
    <phoneticPr fontId="1"/>
  </si>
  <si>
    <t>(1)、(2)に記載した商品種と特売種の組合せごとの実績出力内容は以下の通り。</t>
    <rPh sb="8" eb="10">
      <t>キサイ</t>
    </rPh>
    <rPh sb="12" eb="14">
      <t>ショウヒン</t>
    </rPh>
    <rPh sb="14" eb="15">
      <t>シュ</t>
    </rPh>
    <rPh sb="16" eb="18">
      <t>トクバイ</t>
    </rPh>
    <rPh sb="18" eb="19">
      <t>シュ</t>
    </rPh>
    <rPh sb="20" eb="22">
      <t>クミアワ</t>
    </rPh>
    <rPh sb="26" eb="28">
      <t>ジッセキ</t>
    </rPh>
    <rPh sb="28" eb="30">
      <t>シュツリョク</t>
    </rPh>
    <rPh sb="30" eb="32">
      <t>ナイヨウ</t>
    </rPh>
    <rPh sb="33" eb="35">
      <t>イカ</t>
    </rPh>
    <rPh sb="36" eb="37">
      <t>トオ</t>
    </rPh>
    <phoneticPr fontId="1"/>
  </si>
  <si>
    <t>商品の種類</t>
    <rPh sb="0" eb="2">
      <t>ショウヒン</t>
    </rPh>
    <rPh sb="3" eb="5">
      <t>シュルイ</t>
    </rPh>
    <phoneticPr fontId="11"/>
  </si>
  <si>
    <t>特売の種類</t>
    <rPh sb="0" eb="2">
      <t>トクバイ</t>
    </rPh>
    <rPh sb="3" eb="5">
      <t>シュルイ</t>
    </rPh>
    <phoneticPr fontId="11"/>
  </si>
  <si>
    <t>特売売価</t>
    <rPh sb="0" eb="2">
      <t>トクバイ</t>
    </rPh>
    <rPh sb="2" eb="4">
      <t>バイカ</t>
    </rPh>
    <phoneticPr fontId="11"/>
  </si>
  <si>
    <t>特売割引率</t>
    <rPh sb="0" eb="2">
      <t>トクバイ</t>
    </rPh>
    <rPh sb="2" eb="4">
      <t>ワリビキ</t>
    </rPh>
    <rPh sb="4" eb="5">
      <t>リツ</t>
    </rPh>
    <phoneticPr fontId="11"/>
  </si>
  <si>
    <t>アイテム明細実績データテーブル</t>
    <phoneticPr fontId="1"/>
  </si>
  <si>
    <t>販売のため採用された売単価</t>
    <phoneticPr fontId="1"/>
  </si>
  <si>
    <t>採用値段区分</t>
    <rPh sb="0" eb="2">
      <t>サイヨウ</t>
    </rPh>
    <rPh sb="2" eb="4">
      <t>ネダン</t>
    </rPh>
    <rPh sb="4" eb="6">
      <t>クブン</t>
    </rPh>
    <phoneticPr fontId="11"/>
  </si>
  <si>
    <t>通常商品</t>
    <rPh sb="0" eb="2">
      <t>ツウジョウ</t>
    </rPh>
    <rPh sb="2" eb="4">
      <t>ショウヒン</t>
    </rPh>
    <phoneticPr fontId="11"/>
  </si>
  <si>
    <t>売価変更</t>
    <rPh sb="0" eb="2">
      <t>バイカ</t>
    </rPh>
    <rPh sb="2" eb="4">
      <t>ヘンコウ</t>
    </rPh>
    <phoneticPr fontId="11"/>
  </si>
  <si>
    <t>0円</t>
    <rPh sb="1" eb="2">
      <t>エン</t>
    </rPh>
    <phoneticPr fontId="11"/>
  </si>
  <si>
    <t>－</t>
    <phoneticPr fontId="11"/>
  </si>
  <si>
    <t>通常売価</t>
    <rPh sb="0" eb="2">
      <t>ツウジョウ</t>
    </rPh>
    <rPh sb="2" eb="4">
      <t>バイカ</t>
    </rPh>
    <phoneticPr fontId="11"/>
  </si>
  <si>
    <t>02：特売</t>
    <rPh sb="3" eb="5">
      <t>トクバイ</t>
    </rPh>
    <phoneticPr fontId="11"/>
  </si>
  <si>
    <t>1円≦特売売価≦通常売価</t>
    <rPh sb="1" eb="2">
      <t>エン</t>
    </rPh>
    <rPh sb="3" eb="5">
      <t>トクバイ</t>
    </rPh>
    <rPh sb="5" eb="7">
      <t>バイカ</t>
    </rPh>
    <rPh sb="8" eb="10">
      <t>ツウジョウ</t>
    </rPh>
    <rPh sb="10" eb="12">
      <t>バイカ</t>
    </rPh>
    <phoneticPr fontId="11"/>
  </si>
  <si>
    <t>特売価格</t>
    <rPh sb="0" eb="2">
      <t>トクバイ</t>
    </rPh>
    <rPh sb="2" eb="4">
      <t>カカク</t>
    </rPh>
    <phoneticPr fontId="11"/>
  </si>
  <si>
    <t>通常売価＜特売売価</t>
    <rPh sb="0" eb="2">
      <t>ツウジョウ</t>
    </rPh>
    <rPh sb="2" eb="4">
      <t>バイカ</t>
    </rPh>
    <rPh sb="5" eb="7">
      <t>トクバイ</t>
    </rPh>
    <rPh sb="7" eb="9">
      <t>バイカ</t>
    </rPh>
    <phoneticPr fontId="1"/>
  </si>
  <si>
    <t>01：通常</t>
    <rPh sb="3" eb="5">
      <t>ツウジョウ</t>
    </rPh>
    <phoneticPr fontId="1"/>
  </si>
  <si>
    <t>割引</t>
    <rPh sb="0" eb="2">
      <t>ワリビキ</t>
    </rPh>
    <phoneticPr fontId="11"/>
  </si>
  <si>
    <t>0%</t>
    <phoneticPr fontId="11"/>
  </si>
  <si>
    <t>1%～99%</t>
    <phoneticPr fontId="11"/>
  </si>
  <si>
    <t>NON-PLU商品</t>
    <rPh sb="7" eb="9">
      <t>ショウヒン</t>
    </rPh>
    <phoneticPr fontId="11"/>
  </si>
  <si>
    <t>バーコード内売価</t>
    <rPh sb="5" eb="6">
      <t>ナイ</t>
    </rPh>
    <rPh sb="6" eb="8">
      <t>バイカ</t>
    </rPh>
    <phoneticPr fontId="11"/>
  </si>
  <si>
    <t>商品に対し有効な特売設定が1件以上存在する場合、</t>
    <rPh sb="0" eb="2">
      <t>ショウヒン</t>
    </rPh>
    <rPh sb="3" eb="4">
      <t>タイ</t>
    </rPh>
    <rPh sb="5" eb="7">
      <t>ユウコウ</t>
    </rPh>
    <rPh sb="8" eb="10">
      <t>トクバイ</t>
    </rPh>
    <rPh sb="10" eb="12">
      <t>セッテイ</t>
    </rPh>
    <rPh sb="14" eb="15">
      <t>ケン</t>
    </rPh>
    <rPh sb="15" eb="17">
      <t>イジョウ</t>
    </rPh>
    <rPh sb="17" eb="19">
      <t>ソンザイ</t>
    </rPh>
    <rPh sb="21" eb="23">
      <t>バアイ</t>
    </rPh>
    <phoneticPr fontId="1"/>
  </si>
  <si>
    <t>商品に対して特売情報を適用したかどうかに関わらず、</t>
    <rPh sb="0" eb="2">
      <t>ショウヒン</t>
    </rPh>
    <rPh sb="3" eb="4">
      <t>タイ</t>
    </rPh>
    <rPh sb="6" eb="8">
      <t>トクバイ</t>
    </rPh>
    <rPh sb="8" eb="10">
      <t>ジョウホウ</t>
    </rPh>
    <rPh sb="11" eb="13">
      <t>テキヨウ</t>
    </rPh>
    <rPh sb="20" eb="21">
      <t>カカ</t>
    </rPh>
    <phoneticPr fontId="1"/>
  </si>
  <si>
    <t>アイテム明細実績データテーブルに対し、必ず特売情報を出力する必要があります。</t>
    <rPh sb="4" eb="6">
      <t>メイサイ</t>
    </rPh>
    <rPh sb="6" eb="8">
      <t>ジッセキ</t>
    </rPh>
    <rPh sb="16" eb="17">
      <t>タイ</t>
    </rPh>
    <rPh sb="19" eb="20">
      <t>カナラ</t>
    </rPh>
    <rPh sb="21" eb="23">
      <t>トクバイ</t>
    </rPh>
    <rPh sb="23" eb="25">
      <t>ジョウホウ</t>
    </rPh>
    <rPh sb="26" eb="28">
      <t>シュツリョク</t>
    </rPh>
    <rPh sb="30" eb="32">
      <t>ヒツヨウ</t>
    </rPh>
    <phoneticPr fontId="1"/>
  </si>
  <si>
    <t>（機能説明の２で優先順位1位となった特売情報を、アイテム明細実績データテーブルに出力する）</t>
    <rPh sb="1" eb="3">
      <t>キノウ</t>
    </rPh>
    <rPh sb="3" eb="5">
      <t>セツメイ</t>
    </rPh>
    <rPh sb="8" eb="10">
      <t>ユウセン</t>
    </rPh>
    <rPh sb="10" eb="12">
      <t>ジュンイ</t>
    </rPh>
    <rPh sb="13" eb="14">
      <t>イ</t>
    </rPh>
    <rPh sb="18" eb="20">
      <t>トクバイ</t>
    </rPh>
    <rPh sb="20" eb="22">
      <t>ジョウホウ</t>
    </rPh>
    <rPh sb="40" eb="42">
      <t>シュツリョク</t>
    </rPh>
    <phoneticPr fontId="1"/>
  </si>
  <si>
    <t>対象となる項目は以下の通りです。</t>
    <rPh sb="0" eb="2">
      <t>タイショウ</t>
    </rPh>
    <rPh sb="5" eb="7">
      <t>コウモク</t>
    </rPh>
    <rPh sb="8" eb="10">
      <t>イカ</t>
    </rPh>
    <rPh sb="11" eb="12">
      <t>トオ</t>
    </rPh>
    <phoneticPr fontId="1"/>
  </si>
  <si>
    <t>アイテム明細実績データテーブル《LineItem》</t>
    <phoneticPr fontId="1"/>
  </si>
  <si>
    <t>Column Name</t>
  </si>
  <si>
    <t>Description</t>
  </si>
  <si>
    <t>UnitPriceForSpecialSale</t>
  </si>
  <si>
    <t>特売価格</t>
  </si>
  <si>
    <t>DescriptionForSpecialSale</t>
  </si>
  <si>
    <t>特売名称</t>
  </si>
  <si>
    <t>DiscountMethodCodeForSpecialSale</t>
  </si>
  <si>
    <t>特売方法コード</t>
    <rPh sb="0" eb="2">
      <t>トクバイ</t>
    </rPh>
    <rPh sb="2" eb="4">
      <t>ホウホウ</t>
    </rPh>
    <phoneticPr fontId="2"/>
  </si>
  <si>
    <t>ScheduleNoForSpecialSale</t>
  </si>
  <si>
    <t>特売スケジュールコード</t>
    <rPh sb="0" eb="2">
      <t>トクバイ</t>
    </rPh>
    <phoneticPr fontId="2"/>
  </si>
  <si>
    <t>PromotionCodeForSpecialSale</t>
  </si>
  <si>
    <t>特売企画コード</t>
  </si>
  <si>
    <t>SpecialPriceTypeCode</t>
  </si>
  <si>
    <t>特売タイプコード</t>
  </si>
  <si>
    <t>StartDateTimeSpecialSale</t>
  </si>
  <si>
    <t>特売開始日時</t>
    <rPh sb="0" eb="2">
      <t>トクバイ</t>
    </rPh>
    <rPh sb="2" eb="4">
      <t>カイシ</t>
    </rPh>
    <rPh sb="4" eb="6">
      <t>ニチジ</t>
    </rPh>
    <phoneticPr fontId="3"/>
  </si>
  <si>
    <t>EndDateTimeSpecialSale</t>
  </si>
  <si>
    <t>特売終了日時</t>
    <rPh sb="0" eb="2">
      <t>トクバイ</t>
    </rPh>
    <rPh sb="2" eb="4">
      <t>シュウリョウ</t>
    </rPh>
    <rPh sb="4" eb="6">
      <t>ニチジ</t>
    </rPh>
    <phoneticPr fontId="3"/>
  </si>
  <si>
    <t>値引/割引つきバーコードに定義された値引割引、売価変更を適用する。</t>
    <rPh sb="0" eb="2">
      <t>ネビキ</t>
    </rPh>
    <rPh sb="3" eb="5">
      <t>ワリビキ</t>
    </rPh>
    <rPh sb="13" eb="15">
      <t>テイギ</t>
    </rPh>
    <rPh sb="18" eb="20">
      <t>ネビキ</t>
    </rPh>
    <rPh sb="20" eb="22">
      <t>ワリビキ</t>
    </rPh>
    <rPh sb="23" eb="25">
      <t>バイカ</t>
    </rPh>
    <rPh sb="25" eb="27">
      <t>ヘンコウ</t>
    </rPh>
    <rPh sb="28" eb="30">
      <t>テキヨウ</t>
    </rPh>
    <phoneticPr fontId="1"/>
  </si>
  <si>
    <t>なし</t>
    <phoneticPr fontId="1"/>
  </si>
  <si>
    <t>値引バーコードによる値引割引は「売価変更」「値引」「割引」の3種類が存在する。</t>
    <rPh sb="10" eb="12">
      <t>ネビキ</t>
    </rPh>
    <rPh sb="12" eb="14">
      <t>ワリビキ</t>
    </rPh>
    <rPh sb="16" eb="18">
      <t>バイカ</t>
    </rPh>
    <rPh sb="18" eb="20">
      <t>ヘンコウ</t>
    </rPh>
    <rPh sb="22" eb="24">
      <t>ネビキ</t>
    </rPh>
    <rPh sb="26" eb="28">
      <t>ワリビキ</t>
    </rPh>
    <rPh sb="31" eb="33">
      <t>シュルイ</t>
    </rPh>
    <rPh sb="34" eb="36">
      <t>ソンザイ</t>
    </rPh>
    <phoneticPr fontId="1"/>
  </si>
  <si>
    <t>値引/割引つきバーコードのコード体系は、CODE128の20桁バーコードとする。</t>
    <rPh sb="16" eb="18">
      <t>タイケイ</t>
    </rPh>
    <rPh sb="30" eb="31">
      <t>ケタ</t>
    </rPh>
    <phoneticPr fontId="1"/>
  </si>
  <si>
    <t>バーコード体系は以下の通り。</t>
    <rPh sb="5" eb="7">
      <t>タイケイ</t>
    </rPh>
    <rPh sb="8" eb="10">
      <t>イカ</t>
    </rPh>
    <rPh sb="11" eb="12">
      <t>トオ</t>
    </rPh>
    <phoneticPr fontId="1"/>
  </si>
  <si>
    <t>桁</t>
    <rPh sb="0" eb="1">
      <t>ケタ</t>
    </rPh>
    <phoneticPr fontId="1"/>
  </si>
  <si>
    <t>説明</t>
    <rPh sb="0" eb="2">
      <t>セツメイ</t>
    </rPh>
    <phoneticPr fontId="1"/>
  </si>
  <si>
    <t>1-13</t>
    <phoneticPr fontId="1"/>
  </si>
  <si>
    <t>14</t>
    <phoneticPr fontId="1"/>
  </si>
  <si>
    <t>値引フラグ、"3"：売価変更</t>
    <rPh sb="0" eb="2">
      <t>ネビキ</t>
    </rPh>
    <rPh sb="10" eb="12">
      <t>バイカ</t>
    </rPh>
    <rPh sb="12" eb="14">
      <t>ヘンコウ</t>
    </rPh>
    <phoneticPr fontId="1"/>
  </si>
  <si>
    <t>15-19</t>
    <phoneticPr fontId="1"/>
  </si>
  <si>
    <t>売価変更額(右詰、上位桁0埋め)</t>
    <rPh sb="0" eb="2">
      <t>バイカ</t>
    </rPh>
    <rPh sb="2" eb="4">
      <t>ヘンコウ</t>
    </rPh>
    <rPh sb="4" eb="5">
      <t>ガク</t>
    </rPh>
    <rPh sb="6" eb="8">
      <t>ミギヅメ</t>
    </rPh>
    <rPh sb="9" eb="11">
      <t>ジョウイ</t>
    </rPh>
    <rPh sb="11" eb="12">
      <t>ケタ</t>
    </rPh>
    <rPh sb="13" eb="14">
      <t>ウ</t>
    </rPh>
    <phoneticPr fontId="1"/>
  </si>
  <si>
    <t>C/D</t>
    <phoneticPr fontId="1"/>
  </si>
  <si>
    <t>値引フラグ、"2"：割引</t>
    <rPh sb="0" eb="2">
      <t>ネビキ</t>
    </rPh>
    <rPh sb="10" eb="12">
      <t>ワリビキ</t>
    </rPh>
    <phoneticPr fontId="1"/>
  </si>
  <si>
    <t>割引率(右詰、上位桁0埋め、1%-99%)</t>
    <rPh sb="0" eb="2">
      <t>ワリビキ</t>
    </rPh>
    <rPh sb="2" eb="3">
      <t>リツ</t>
    </rPh>
    <rPh sb="4" eb="6">
      <t>ミギヅメ</t>
    </rPh>
    <rPh sb="7" eb="9">
      <t>ジョウイ</t>
    </rPh>
    <rPh sb="9" eb="10">
      <t>ケタ</t>
    </rPh>
    <rPh sb="11" eb="12">
      <t>ウ</t>
    </rPh>
    <phoneticPr fontId="1"/>
  </si>
  <si>
    <t>NON-PLU商品に対しても、値引/割引つきバーコードで指定した売価を適用する。</t>
    <rPh sb="7" eb="9">
      <t>ショウヒン</t>
    </rPh>
    <rPh sb="10" eb="11">
      <t>タイ</t>
    </rPh>
    <rPh sb="15" eb="17">
      <t>ネビキ</t>
    </rPh>
    <rPh sb="18" eb="20">
      <t>ワリビキ</t>
    </rPh>
    <rPh sb="28" eb="30">
      <t>シテイ</t>
    </rPh>
    <rPh sb="32" eb="34">
      <t>バイカ</t>
    </rPh>
    <rPh sb="35" eb="37">
      <t>テキヨウ</t>
    </rPh>
    <phoneticPr fontId="1"/>
  </si>
  <si>
    <t>商品の採用売価より、値引/割引つきバーコードで指定した売価が大きい場合も、値引バーコードによる売価変更を適用する。</t>
    <rPh sb="0" eb="2">
      <t>ショウヒン</t>
    </rPh>
    <rPh sb="3" eb="5">
      <t>サイヨウ</t>
    </rPh>
    <rPh sb="5" eb="7">
      <t>バイカ</t>
    </rPh>
    <rPh sb="10" eb="12">
      <t>ネビキ</t>
    </rPh>
    <rPh sb="13" eb="15">
      <t>ワリビキ</t>
    </rPh>
    <rPh sb="23" eb="25">
      <t>シテイ</t>
    </rPh>
    <rPh sb="27" eb="29">
      <t>バイカ</t>
    </rPh>
    <rPh sb="30" eb="31">
      <t>オオ</t>
    </rPh>
    <rPh sb="33" eb="35">
      <t>バアイ</t>
    </rPh>
    <rPh sb="47" eb="49">
      <t>バイカ</t>
    </rPh>
    <rPh sb="49" eb="51">
      <t>ヘンコウ</t>
    </rPh>
    <rPh sb="52" eb="54">
      <t>テキヨウ</t>
    </rPh>
    <phoneticPr fontId="1"/>
  </si>
  <si>
    <t>値引バーコード（割引）登録時、他販促との併用により売価が0円となる場合、商品登録自体をエラーとする。</t>
    <rPh sb="0" eb="2">
      <t>ネビキ</t>
    </rPh>
    <rPh sb="8" eb="10">
      <t>ワリビキ</t>
    </rPh>
    <rPh sb="11" eb="13">
      <t>トウロク</t>
    </rPh>
    <rPh sb="13" eb="14">
      <t>ジ</t>
    </rPh>
    <rPh sb="15" eb="16">
      <t>ホカ</t>
    </rPh>
    <rPh sb="16" eb="18">
      <t>ハンソク</t>
    </rPh>
    <rPh sb="20" eb="22">
      <t>ヘイヨウ</t>
    </rPh>
    <rPh sb="25" eb="27">
      <t>バイカ</t>
    </rPh>
    <rPh sb="29" eb="30">
      <t>エン</t>
    </rPh>
    <rPh sb="33" eb="35">
      <t>バアイ</t>
    </rPh>
    <rPh sb="36" eb="38">
      <t>ショウヒン</t>
    </rPh>
    <rPh sb="38" eb="40">
      <t>トウロク</t>
    </rPh>
    <rPh sb="40" eb="42">
      <t>ジタイ</t>
    </rPh>
    <phoneticPr fontId="1"/>
  </si>
  <si>
    <t>Ex.</t>
    <phoneticPr fontId="1"/>
  </si>
  <si>
    <t>80円の商品に値引バーコード(99%割引)が貼り付けられている場合</t>
    <rPh sb="2" eb="3">
      <t>エン</t>
    </rPh>
    <rPh sb="4" eb="6">
      <t>ショウヒン</t>
    </rPh>
    <rPh sb="7" eb="9">
      <t>ネビキ</t>
    </rPh>
    <rPh sb="18" eb="20">
      <t>ワリビキ</t>
    </rPh>
    <rPh sb="22" eb="23">
      <t>ハ</t>
    </rPh>
    <rPh sb="24" eb="25">
      <t>ツ</t>
    </rPh>
    <rPh sb="31" eb="33">
      <t>バアイ</t>
    </rPh>
    <phoneticPr fontId="1"/>
  </si>
  <si>
    <t>値引額</t>
    <rPh sb="0" eb="2">
      <t>ネビキ</t>
    </rPh>
    <rPh sb="2" eb="3">
      <t>ガク</t>
    </rPh>
    <phoneticPr fontId="1"/>
  </si>
  <si>
    <t>：</t>
    <phoneticPr fontId="1"/>
  </si>
  <si>
    <t>80×0.99＝79.2　⇒　割引額は小数点以下切上のため、80</t>
    <rPh sb="15" eb="17">
      <t>ワリビキ</t>
    </rPh>
    <rPh sb="17" eb="18">
      <t>ガク</t>
    </rPh>
    <rPh sb="19" eb="22">
      <t>ショウスウテン</t>
    </rPh>
    <rPh sb="22" eb="24">
      <t>イカ</t>
    </rPh>
    <rPh sb="24" eb="26">
      <t>キリアゲ</t>
    </rPh>
    <phoneticPr fontId="1"/>
  </si>
  <si>
    <t>売価</t>
    <rPh sb="0" eb="2">
      <t>バイカ</t>
    </rPh>
    <phoneticPr fontId="1"/>
  </si>
  <si>
    <t>80－80＝0</t>
    <phoneticPr fontId="1"/>
  </si>
  <si>
    <r>
      <t>この場合、</t>
    </r>
    <r>
      <rPr>
        <b/>
        <sz val="11"/>
        <color rgb="FF0000FF"/>
        <rFont val="Meiryo UI"/>
        <family val="3"/>
        <charset val="128"/>
      </rPr>
      <t>商品登録自体をエラー</t>
    </r>
    <r>
      <rPr>
        <sz val="11"/>
        <color rgb="FF0000FF"/>
        <rFont val="Meiryo UI"/>
        <family val="3"/>
        <charset val="128"/>
      </rPr>
      <t>とする。</t>
    </r>
    <rPh sb="2" eb="4">
      <t>バアイ</t>
    </rPh>
    <rPh sb="5" eb="7">
      <t>ショウヒン</t>
    </rPh>
    <rPh sb="7" eb="9">
      <t>トウロク</t>
    </rPh>
    <rPh sb="9" eb="11">
      <t>ジタイ</t>
    </rPh>
    <phoneticPr fontId="1"/>
  </si>
  <si>
    <t>値引バーコードによる「値引」「割引」は、筑波大学では運用なし</t>
    <phoneticPr fontId="1"/>
  </si>
  <si>
    <t>値引/割引つきバーコードの1-13桁を用いて商品の採用売価を確定後、</t>
    <rPh sb="17" eb="18">
      <t>ケタ</t>
    </rPh>
    <rPh sb="19" eb="20">
      <t>モチ</t>
    </rPh>
    <rPh sb="22" eb="24">
      <t>ショウヒン</t>
    </rPh>
    <rPh sb="25" eb="27">
      <t>サイヨウ</t>
    </rPh>
    <rPh sb="27" eb="29">
      <t>バイカ</t>
    </rPh>
    <rPh sb="30" eb="32">
      <t>カクテイ</t>
    </rPh>
    <rPh sb="32" eb="33">
      <t>アト</t>
    </rPh>
    <phoneticPr fontId="1"/>
  </si>
  <si>
    <r>
      <t>値引/割引つきバーコードの14-19桁を用いて、売価変更</t>
    </r>
    <r>
      <rPr>
        <sz val="11"/>
        <color rgb="FF0000FF"/>
        <rFont val="Meiryo UI"/>
        <family val="3"/>
        <charset val="128"/>
      </rPr>
      <t>、もしくは割引</t>
    </r>
    <r>
      <rPr>
        <sz val="11"/>
        <rFont val="Meiryo UI"/>
        <family val="3"/>
        <charset val="128"/>
      </rPr>
      <t>を適用する。</t>
    </r>
    <rPh sb="18" eb="19">
      <t>ケタ</t>
    </rPh>
    <rPh sb="20" eb="21">
      <t>モチ</t>
    </rPh>
    <rPh sb="24" eb="26">
      <t>バイカ</t>
    </rPh>
    <rPh sb="26" eb="28">
      <t>ヘンコウ</t>
    </rPh>
    <rPh sb="33" eb="35">
      <t>ワリビキ</t>
    </rPh>
    <rPh sb="36" eb="38">
      <t>テキヨウ</t>
    </rPh>
    <phoneticPr fontId="1"/>
  </si>
  <si>
    <r>
      <rPr>
        <sz val="11"/>
        <color rgb="FF0000FF"/>
        <rFont val="Meiryo UI"/>
        <family val="3"/>
        <charset val="128"/>
      </rPr>
      <t>売価指定の場合、</t>
    </r>
    <r>
      <rPr>
        <sz val="11"/>
        <rFont val="Meiryo UI"/>
        <family val="3"/>
        <charset val="128"/>
      </rPr>
      <t>実績に対し採用売価と値引/割引つきバーコードで指定した売価の差額を出力するため、</t>
    </r>
    <rPh sb="0" eb="2">
      <t>バイカ</t>
    </rPh>
    <rPh sb="2" eb="4">
      <t>シテイ</t>
    </rPh>
    <rPh sb="5" eb="7">
      <t>バアイ</t>
    </rPh>
    <rPh sb="8" eb="10">
      <t>ジッセキ</t>
    </rPh>
    <rPh sb="11" eb="12">
      <t>タイ</t>
    </rPh>
    <rPh sb="13" eb="15">
      <t>サイヨウ</t>
    </rPh>
    <rPh sb="15" eb="17">
      <t>バイカ</t>
    </rPh>
    <rPh sb="31" eb="33">
      <t>シテイ</t>
    </rPh>
    <rPh sb="35" eb="37">
      <t>バイカ</t>
    </rPh>
    <rPh sb="38" eb="40">
      <t>サガク</t>
    </rPh>
    <rPh sb="41" eb="43">
      <t>シュツリョク</t>
    </rPh>
    <phoneticPr fontId="1"/>
  </si>
  <si>
    <t>まず採用売価(通常売価/強制売価/特売)の確定が必要です。</t>
  </si>
  <si>
    <t>＜割引額の算出方法について＞</t>
    <rPh sb="1" eb="3">
      <t>ワリビキ</t>
    </rPh>
    <rPh sb="3" eb="4">
      <t>ガク</t>
    </rPh>
    <rPh sb="5" eb="7">
      <t>サンシュツ</t>
    </rPh>
    <rPh sb="7" eb="9">
      <t>ホウホウ</t>
    </rPh>
    <phoneticPr fontId="1"/>
  </si>
  <si>
    <t>値引バーコード（割引）による割引額は、採用売価（通常売価/強制売価/特売)および分類値引割引適用後の売価をもとに算出する。</t>
    <rPh sb="0" eb="2">
      <t>ネビキ</t>
    </rPh>
    <rPh sb="8" eb="10">
      <t>ワリビキ</t>
    </rPh>
    <rPh sb="14" eb="16">
      <t>ワリビキ</t>
    </rPh>
    <rPh sb="16" eb="17">
      <t>ガク</t>
    </rPh>
    <rPh sb="19" eb="21">
      <t>サイヨウ</t>
    </rPh>
    <rPh sb="21" eb="23">
      <t>バイカ</t>
    </rPh>
    <rPh sb="24" eb="26">
      <t>ツウジョウ</t>
    </rPh>
    <rPh sb="26" eb="28">
      <t>バイカ</t>
    </rPh>
    <rPh sb="29" eb="31">
      <t>キョウセイ</t>
    </rPh>
    <rPh sb="31" eb="33">
      <t>バイカ</t>
    </rPh>
    <rPh sb="34" eb="36">
      <t>トクバイ</t>
    </rPh>
    <rPh sb="40" eb="42">
      <t>ブンルイ</t>
    </rPh>
    <rPh sb="42" eb="44">
      <t>ネビキ</t>
    </rPh>
    <rPh sb="44" eb="46">
      <t>ワリビキ</t>
    </rPh>
    <rPh sb="46" eb="49">
      <t>テキヨウゴ</t>
    </rPh>
    <rPh sb="50" eb="52">
      <t>バイカ</t>
    </rPh>
    <rPh sb="56" eb="58">
      <t>サンシュツ</t>
    </rPh>
    <phoneticPr fontId="1"/>
  </si>
  <si>
    <t>アイテム明細値引実績データテーブル</t>
  </si>
  <si>
    <r>
      <t>商品の採用売価（通常売価/強制売価/特売)＞値引/割引つきバーコード</t>
    </r>
    <r>
      <rPr>
        <sz val="11"/>
        <color rgb="FF0000FF"/>
        <rFont val="Meiryo UI"/>
        <family val="3"/>
        <charset val="128"/>
      </rPr>
      <t>（売価指定）</t>
    </r>
    <r>
      <rPr>
        <sz val="11"/>
        <rFont val="Meiryo UI"/>
        <family val="3"/>
        <charset val="128"/>
      </rPr>
      <t>で指定した売価　の場合</t>
    </r>
    <rPh sb="0" eb="2">
      <t>ショウヒン</t>
    </rPh>
    <rPh sb="3" eb="5">
      <t>サイヨウ</t>
    </rPh>
    <rPh sb="5" eb="7">
      <t>バイカ</t>
    </rPh>
    <rPh sb="35" eb="37">
      <t>バイカ</t>
    </rPh>
    <rPh sb="37" eb="39">
      <t>シテイ</t>
    </rPh>
    <rPh sb="49" eb="51">
      <t>バアイ</t>
    </rPh>
    <phoneticPr fontId="1"/>
  </si>
  <si>
    <r>
      <t>商品の採用売価（通常売価/強制売価/特売)と値引/割引つきバーコード</t>
    </r>
    <r>
      <rPr>
        <sz val="11"/>
        <color rgb="FF0000FF"/>
        <rFont val="Meiryo UI"/>
        <family val="3"/>
        <charset val="128"/>
      </rPr>
      <t>（売価指定）</t>
    </r>
    <r>
      <rPr>
        <sz val="11"/>
        <rFont val="Meiryo UI"/>
        <family val="3"/>
        <charset val="128"/>
      </rPr>
      <t>で指定した売価の差額を出力する。</t>
    </r>
    <rPh sb="0" eb="2">
      <t>ショウヒン</t>
    </rPh>
    <rPh sb="3" eb="5">
      <t>サイヨウ</t>
    </rPh>
    <rPh sb="5" eb="7">
      <t>バイカ</t>
    </rPh>
    <rPh sb="8" eb="10">
      <t>ツウジョウ</t>
    </rPh>
    <rPh sb="10" eb="12">
      <t>バイカ</t>
    </rPh>
    <rPh sb="13" eb="15">
      <t>キョウセイ</t>
    </rPh>
    <rPh sb="15" eb="17">
      <t>バイカ</t>
    </rPh>
    <rPh sb="18" eb="20">
      <t>トクバイ</t>
    </rPh>
    <rPh sb="48" eb="50">
      <t>サガク</t>
    </rPh>
    <rPh sb="51" eb="53">
      <t>シュツリョク</t>
    </rPh>
    <phoneticPr fontId="1"/>
  </si>
  <si>
    <t>アイテム明細値増実績データテーブル</t>
  </si>
  <si>
    <r>
      <t>商品の採用売価（通常売価/強制売価/特売)≦値引/割引つきバーコード</t>
    </r>
    <r>
      <rPr>
        <sz val="11"/>
        <color rgb="FF0000FF"/>
        <rFont val="Meiryo UI"/>
        <family val="3"/>
        <charset val="128"/>
      </rPr>
      <t>（売価指定）</t>
    </r>
    <r>
      <rPr>
        <sz val="11"/>
        <rFont val="Meiryo UI"/>
        <family val="3"/>
        <charset val="128"/>
      </rPr>
      <t>で指定した売価　の場合</t>
    </r>
    <rPh sb="0" eb="2">
      <t>ショウヒン</t>
    </rPh>
    <rPh sb="3" eb="5">
      <t>サイヨウ</t>
    </rPh>
    <rPh sb="5" eb="7">
      <t>バイカ</t>
    </rPh>
    <rPh sb="49" eb="51">
      <t>バアイ</t>
    </rPh>
    <phoneticPr fontId="1"/>
  </si>
  <si>
    <t>※POSサーバーから一部除外設定を行っている。例）トップバリュの割引のデータを調整</t>
    <rPh sb="10" eb="12">
      <t>イチブ</t>
    </rPh>
    <rPh sb="12" eb="16">
      <t>ジョガイセッテイ</t>
    </rPh>
    <rPh sb="17" eb="18">
      <t>オコナ</t>
    </rPh>
    <rPh sb="23" eb="24">
      <t>レイ</t>
    </rPh>
    <rPh sb="32" eb="34">
      <t>ワリビキ</t>
    </rPh>
    <rPh sb="39" eb="41">
      <t>チョウセイ</t>
    </rPh>
    <phoneticPr fontId="1"/>
  </si>
  <si>
    <t>商品の分類ごとに定義された値割引を適用する。</t>
    <rPh sb="0" eb="2">
      <t>ショウヒン</t>
    </rPh>
    <rPh sb="3" eb="5">
      <t>ブンルイ</t>
    </rPh>
    <rPh sb="8" eb="10">
      <t>テイギ</t>
    </rPh>
    <rPh sb="13" eb="14">
      <t>ネ</t>
    </rPh>
    <rPh sb="14" eb="16">
      <t>ワリビキ</t>
    </rPh>
    <rPh sb="17" eb="19">
      <t>テキヨウ</t>
    </rPh>
    <phoneticPr fontId="1"/>
  </si>
  <si>
    <t>分類値引マスタ</t>
    <rPh sb="0" eb="2">
      <t>ブンルイ</t>
    </rPh>
    <rPh sb="2" eb="4">
      <t>ネビキ</t>
    </rPh>
    <phoneticPr fontId="1"/>
  </si>
  <si>
    <t>分類値引マスタには、値割引を適用する分類のレベルとコードを保持する。</t>
    <rPh sb="0" eb="2">
      <t>ブンルイ</t>
    </rPh>
    <rPh sb="2" eb="4">
      <t>ネビキ</t>
    </rPh>
    <rPh sb="10" eb="13">
      <t>ネワリビキ</t>
    </rPh>
    <rPh sb="14" eb="16">
      <t>テキヨウ</t>
    </rPh>
    <rPh sb="18" eb="20">
      <t>ブンルイ</t>
    </rPh>
    <rPh sb="29" eb="31">
      <t>ホジ</t>
    </rPh>
    <phoneticPr fontId="1"/>
  </si>
  <si>
    <t>分類値引マスタ上、1件の商品が属する分類に対し、有効なレコードは複数件登録される場合がある。</t>
    <rPh sb="0" eb="2">
      <t>ブンルイ</t>
    </rPh>
    <rPh sb="2" eb="4">
      <t>ネビキ</t>
    </rPh>
    <rPh sb="7" eb="8">
      <t>ジョウ</t>
    </rPh>
    <rPh sb="15" eb="16">
      <t>ゾク</t>
    </rPh>
    <rPh sb="18" eb="20">
      <t>ブンルイ</t>
    </rPh>
    <rPh sb="40" eb="42">
      <t>バアイ</t>
    </rPh>
    <phoneticPr fontId="1"/>
  </si>
  <si>
    <t>商品マスタ．自動値引き不可フラグ(ItemMaster.IsAutoDiscountProhibition)＝'1'　の商品は</t>
    <rPh sb="0" eb="2">
      <t>ショウヒン</t>
    </rPh>
    <rPh sb="60" eb="62">
      <t>ショウヒン</t>
    </rPh>
    <phoneticPr fontId="1"/>
  </si>
  <si>
    <r>
      <t>分類（値引）、分類（割引）は適用</t>
    </r>
    <r>
      <rPr>
        <b/>
        <sz val="11"/>
        <color rgb="FFFF0000"/>
        <rFont val="Meiryo UI"/>
        <family val="3"/>
        <charset val="128"/>
      </rPr>
      <t>不可</t>
    </r>
    <r>
      <rPr>
        <sz val="11"/>
        <color rgb="FF0000FF"/>
        <rFont val="Meiryo UI"/>
        <family val="3"/>
        <charset val="128"/>
      </rPr>
      <t>とする。</t>
    </r>
    <phoneticPr fontId="1"/>
  </si>
  <si>
    <r>
      <t>NON-PLU商品に対して、分類（値引）、分類（割引）は適用</t>
    </r>
    <r>
      <rPr>
        <b/>
        <sz val="11"/>
        <color rgb="FFFF0000"/>
        <rFont val="Meiryo UI"/>
        <family val="3"/>
        <charset val="128"/>
      </rPr>
      <t>不可</t>
    </r>
    <r>
      <rPr>
        <sz val="11"/>
        <color rgb="FF0000FF"/>
        <rFont val="Meiryo UI"/>
        <family val="3"/>
        <charset val="128"/>
      </rPr>
      <t>とする。</t>
    </r>
    <rPh sb="7" eb="9">
      <t>ショウヒン</t>
    </rPh>
    <rPh sb="10" eb="11">
      <t>タイ</t>
    </rPh>
    <rPh sb="17" eb="19">
      <t>ネビキ</t>
    </rPh>
    <rPh sb="24" eb="26">
      <t>ワリビキ</t>
    </rPh>
    <rPh sb="28" eb="30">
      <t>テキヨウ</t>
    </rPh>
    <rPh sb="30" eb="32">
      <t>フカ</t>
    </rPh>
    <phoneticPr fontId="1"/>
  </si>
  <si>
    <t>商品の採用売価≦分類（値引）の値引額　または　商品の採用売価≦他値引との値引合計額　となる場合、</t>
    <rPh sb="0" eb="2">
      <t>ショウヒン</t>
    </rPh>
    <rPh sb="3" eb="5">
      <t>サイヨウ</t>
    </rPh>
    <rPh sb="5" eb="7">
      <t>バイカ</t>
    </rPh>
    <rPh sb="8" eb="10">
      <t>ブンルイ</t>
    </rPh>
    <rPh sb="11" eb="13">
      <t>ネビキ</t>
    </rPh>
    <rPh sb="15" eb="17">
      <t>ネビ</t>
    </rPh>
    <rPh sb="17" eb="18">
      <t>ガク</t>
    </rPh>
    <rPh sb="23" eb="25">
      <t>ショウヒン</t>
    </rPh>
    <rPh sb="26" eb="28">
      <t>サイヨウ</t>
    </rPh>
    <rPh sb="28" eb="30">
      <t>バイカ</t>
    </rPh>
    <rPh sb="31" eb="32">
      <t>ホカ</t>
    </rPh>
    <rPh sb="32" eb="34">
      <t>ネビキ</t>
    </rPh>
    <rPh sb="36" eb="38">
      <t>ネビ</t>
    </rPh>
    <rPh sb="38" eb="40">
      <t>ゴウケイ</t>
    </rPh>
    <rPh sb="40" eb="41">
      <t>ガク</t>
    </rPh>
    <rPh sb="45" eb="47">
      <t>バアイ</t>
    </rPh>
    <phoneticPr fontId="1"/>
  </si>
  <si>
    <r>
      <t>分類（値引）は適用</t>
    </r>
    <r>
      <rPr>
        <b/>
        <sz val="11"/>
        <color rgb="FFFF0000"/>
        <rFont val="Meiryo UI"/>
        <family val="3"/>
        <charset val="128"/>
      </rPr>
      <t>不可</t>
    </r>
    <r>
      <rPr>
        <sz val="11"/>
        <color rgb="FF0000FF"/>
        <rFont val="Meiryo UI"/>
        <family val="3"/>
        <charset val="128"/>
      </rPr>
      <t>とする。</t>
    </r>
    <rPh sb="0" eb="2">
      <t>ブンルイ</t>
    </rPh>
    <rPh sb="3" eb="5">
      <t>ネビ</t>
    </rPh>
    <rPh sb="7" eb="9">
      <t>テキヨウ</t>
    </rPh>
    <rPh sb="9" eb="11">
      <t>フカ</t>
    </rPh>
    <phoneticPr fontId="1"/>
  </si>
  <si>
    <t>商品登録時、分類値引マスタを参照し、商品に対し有効な設定を取得する。</t>
    <rPh sb="0" eb="2">
      <t>ショウヒン</t>
    </rPh>
    <rPh sb="2" eb="4">
      <t>トウロク</t>
    </rPh>
    <rPh sb="4" eb="5">
      <t>ジ</t>
    </rPh>
    <rPh sb="6" eb="8">
      <t>ブンルイ</t>
    </rPh>
    <rPh sb="8" eb="10">
      <t>ネビキ</t>
    </rPh>
    <rPh sb="14" eb="16">
      <t>サンショウ</t>
    </rPh>
    <rPh sb="18" eb="20">
      <t>ショウヒン</t>
    </rPh>
    <rPh sb="21" eb="22">
      <t>タイ</t>
    </rPh>
    <rPh sb="23" eb="25">
      <t>ユウコウ</t>
    </rPh>
    <rPh sb="26" eb="28">
      <t>セッテイ</t>
    </rPh>
    <rPh sb="29" eb="31">
      <t>シュトク</t>
    </rPh>
    <phoneticPr fontId="1"/>
  </si>
  <si>
    <t>取得した分類値引マスタの設定の中から、優先順位が1位となるレコードを特定する。</t>
    <rPh sb="0" eb="2">
      <t>シュトク</t>
    </rPh>
    <rPh sb="4" eb="6">
      <t>ブンルイ</t>
    </rPh>
    <rPh sb="6" eb="8">
      <t>ネビ</t>
    </rPh>
    <phoneticPr fontId="1"/>
  </si>
  <si>
    <t>以下(1)～(3)で分類値引情報のソートを行い、1レコード目が適用対象の分類値引き情報となる。</t>
    <rPh sb="0" eb="2">
      <t>イカ</t>
    </rPh>
    <rPh sb="10" eb="12">
      <t>ブンルイ</t>
    </rPh>
    <rPh sb="12" eb="14">
      <t>ネビ</t>
    </rPh>
    <rPh sb="14" eb="16">
      <t>ジョウホウ</t>
    </rPh>
    <rPh sb="21" eb="22">
      <t>オコナ</t>
    </rPh>
    <rPh sb="29" eb="30">
      <t>メ</t>
    </rPh>
    <rPh sb="31" eb="33">
      <t>テキヨウ</t>
    </rPh>
    <rPh sb="33" eb="35">
      <t>タイショウ</t>
    </rPh>
    <rPh sb="36" eb="38">
      <t>ブンルイ</t>
    </rPh>
    <rPh sb="38" eb="40">
      <t>ネビ</t>
    </rPh>
    <rPh sb="41" eb="43">
      <t>ジョウホウ</t>
    </rPh>
    <phoneticPr fontId="1"/>
  </si>
  <si>
    <t>分類値引マスタ.開始日時が当日日時に近い順</t>
    <rPh sb="8" eb="10">
      <t>カイシ</t>
    </rPh>
    <rPh sb="10" eb="12">
      <t>ニチジ</t>
    </rPh>
    <rPh sb="13" eb="15">
      <t>トウジツ</t>
    </rPh>
    <rPh sb="15" eb="17">
      <t>ニチジ</t>
    </rPh>
    <rPh sb="18" eb="19">
      <t>チカ</t>
    </rPh>
    <rPh sb="20" eb="21">
      <t>ジュン</t>
    </rPh>
    <phoneticPr fontId="1"/>
  </si>
  <si>
    <t>分類値引マスタ.終了日時が当日日時に近い順</t>
    <rPh sb="8" eb="10">
      <t>シュウリョウ</t>
    </rPh>
    <rPh sb="10" eb="12">
      <t>ニチジ</t>
    </rPh>
    <rPh sb="13" eb="15">
      <t>トウジツ</t>
    </rPh>
    <rPh sb="15" eb="17">
      <t>ニチジ</t>
    </rPh>
    <rPh sb="18" eb="19">
      <t>チカ</t>
    </rPh>
    <rPh sb="20" eb="21">
      <t>ジュン</t>
    </rPh>
    <phoneticPr fontId="1"/>
  </si>
  <si>
    <t>分類値引マスタ.MD階層自動値引コードの昇順</t>
    <rPh sb="20" eb="22">
      <t>ショウジュン</t>
    </rPh>
    <phoneticPr fontId="1"/>
  </si>
  <si>
    <t>分類（割引）の割引額は、採用売価（通常売価/強制売価/特売/売価変更)および値引バーコード（売価変更）適用後の売価をもとに算出する。</t>
    <rPh sb="0" eb="2">
      <t>ブンルイ</t>
    </rPh>
    <rPh sb="3" eb="5">
      <t>ワリビキ</t>
    </rPh>
    <rPh sb="7" eb="9">
      <t>ワリビキ</t>
    </rPh>
    <rPh sb="9" eb="10">
      <t>ガク</t>
    </rPh>
    <rPh sb="12" eb="14">
      <t>サイヨウ</t>
    </rPh>
    <rPh sb="14" eb="16">
      <t>バイカ</t>
    </rPh>
    <rPh sb="17" eb="19">
      <t>ツウジョウ</t>
    </rPh>
    <rPh sb="19" eb="21">
      <t>バイカ</t>
    </rPh>
    <rPh sb="22" eb="24">
      <t>キョウセイ</t>
    </rPh>
    <rPh sb="24" eb="26">
      <t>バイカ</t>
    </rPh>
    <rPh sb="27" eb="29">
      <t>トクバイ</t>
    </rPh>
    <rPh sb="30" eb="32">
      <t>バイカ</t>
    </rPh>
    <rPh sb="32" eb="34">
      <t>ヘンコウ</t>
    </rPh>
    <rPh sb="46" eb="50">
      <t>バイカヘンコウ</t>
    </rPh>
    <rPh sb="51" eb="54">
      <t>テキヨウゴ</t>
    </rPh>
    <rPh sb="55" eb="57">
      <t>バイカ</t>
    </rPh>
    <rPh sb="61" eb="63">
      <t>サンシュツ</t>
    </rPh>
    <phoneticPr fontId="1"/>
  </si>
  <si>
    <t>値引バーコード（割引）、マニュアル値引割引は、分類（値引）／分類（割引）適用後の売価をもとに算出する。</t>
    <rPh sb="0" eb="2">
      <t>ネビキ</t>
    </rPh>
    <rPh sb="8" eb="10">
      <t>ワリビキ</t>
    </rPh>
    <rPh sb="17" eb="19">
      <t>ネビキ</t>
    </rPh>
    <rPh sb="19" eb="21">
      <t>ワリビキ</t>
    </rPh>
    <rPh sb="23" eb="25">
      <t>ブンルイ</t>
    </rPh>
    <rPh sb="26" eb="28">
      <t>ネビ</t>
    </rPh>
    <rPh sb="30" eb="32">
      <t>ブンルイ</t>
    </rPh>
    <rPh sb="33" eb="35">
      <t>ワリビキ</t>
    </rPh>
    <rPh sb="36" eb="38">
      <t>テキヨウ</t>
    </rPh>
    <rPh sb="38" eb="39">
      <t>ゴ</t>
    </rPh>
    <rPh sb="40" eb="42">
      <t>バイカ</t>
    </rPh>
    <rPh sb="46" eb="48">
      <t>サンシュツ</t>
    </rPh>
    <phoneticPr fontId="1"/>
  </si>
  <si>
    <t>部門値引き実績データテーブル</t>
    <phoneticPr fontId="1"/>
  </si>
  <si>
    <t>・</t>
  </si>
  <si>
    <t>対象商品郡の中から一定数購入する（同一商品を一定数購入することも可能）ことで、値引する。</t>
    <rPh sb="0" eb="2">
      <t>タイショウ</t>
    </rPh>
    <rPh sb="2" eb="4">
      <t>ショウヒン</t>
    </rPh>
    <rPh sb="4" eb="5">
      <t>グン</t>
    </rPh>
    <rPh sb="6" eb="7">
      <t>ナカ</t>
    </rPh>
    <phoneticPr fontId="6"/>
  </si>
  <si>
    <t>１個：@100円　２個：合計150円　１個@75円　３個買った場合：いなげや @75円×3個＝225円　カスミ @75円×２個＋@100円＝250円</t>
    <rPh sb="12" eb="14">
      <t>ゴウケイ</t>
    </rPh>
    <rPh sb="17" eb="18">
      <t>エン</t>
    </rPh>
    <rPh sb="45" eb="46">
      <t>コ</t>
    </rPh>
    <rPh sb="50" eb="51">
      <t>エン</t>
    </rPh>
    <rPh sb="59" eb="60">
      <t>エン</t>
    </rPh>
    <rPh sb="62" eb="63">
      <t>コ</t>
    </rPh>
    <rPh sb="73" eb="74">
      <t>エン</t>
    </rPh>
    <phoneticPr fontId="1"/>
  </si>
  <si>
    <t>ミックスマッチマスタ</t>
    <phoneticPr fontId="1"/>
  </si>
  <si>
    <t>ミックスマッチ商品マスタ</t>
    <phoneticPr fontId="1"/>
  </si>
  <si>
    <t>ミックスマッチ商品マスタには、商品マスタ.親単品コードに紐付く設定のみ保持する。</t>
    <rPh sb="15" eb="17">
      <t>ショウヒン</t>
    </rPh>
    <rPh sb="21" eb="22">
      <t>オヤ</t>
    </rPh>
    <rPh sb="22" eb="24">
      <t>タンピン</t>
    </rPh>
    <rPh sb="28" eb="29">
      <t>ヒモ</t>
    </rPh>
    <rPh sb="29" eb="30">
      <t>ヅ</t>
    </rPh>
    <rPh sb="31" eb="33">
      <t>セッテイ</t>
    </rPh>
    <rPh sb="35" eb="37">
      <t>ホジ</t>
    </rPh>
    <phoneticPr fontId="1"/>
  </si>
  <si>
    <t>成立個数については、2段階までの設定が可能。</t>
    <rPh sb="0" eb="2">
      <t>セイリツ</t>
    </rPh>
    <rPh sb="2" eb="4">
      <t>コスウ</t>
    </rPh>
    <rPh sb="11" eb="13">
      <t>ダンカイ</t>
    </rPh>
    <rPh sb="19" eb="21">
      <t>カノウ</t>
    </rPh>
    <phoneticPr fontId="2"/>
  </si>
  <si>
    <t>ミックスマッチマスタ、ミックスマッチ商品マスタ上、1件の商品マスタ.親単品コードに対し、有効なレコードは複数件登録される。</t>
    <rPh sb="23" eb="24">
      <t>ジョウ</t>
    </rPh>
    <phoneticPr fontId="1"/>
  </si>
  <si>
    <t>1取引内で商品種別ごとの採用対象のミックスマッチ設定は1件のみ。</t>
    <rPh sb="1" eb="3">
      <t>トリヒキ</t>
    </rPh>
    <rPh sb="3" eb="4">
      <t>ナイ</t>
    </rPh>
    <rPh sb="5" eb="7">
      <t>ショウヒン</t>
    </rPh>
    <rPh sb="7" eb="9">
      <t>シュベツ</t>
    </rPh>
    <rPh sb="12" eb="14">
      <t>サイヨウ</t>
    </rPh>
    <rPh sb="14" eb="16">
      <t>タイショウ</t>
    </rPh>
    <rPh sb="24" eb="26">
      <t>セッテイ</t>
    </rPh>
    <rPh sb="28" eb="29">
      <t>ケン</t>
    </rPh>
    <phoneticPr fontId="1"/>
  </si>
  <si>
    <t>取引に対する商品登録内容によっては、複数のミックスマッチ設定が適用できるように見えるが、</t>
    <rPh sb="28" eb="30">
      <t>セッテイ</t>
    </rPh>
    <rPh sb="31" eb="33">
      <t>テキヨウ</t>
    </rPh>
    <rPh sb="39" eb="40">
      <t>ミ</t>
    </rPh>
    <phoneticPr fontId="1"/>
  </si>
  <si>
    <t>取引内で商品毎に適用するミックスマッチ設定を1件のみに特定するため、</t>
    <rPh sb="0" eb="2">
      <t>トリヒキ</t>
    </rPh>
    <rPh sb="2" eb="3">
      <t>ナイ</t>
    </rPh>
    <rPh sb="4" eb="6">
      <t>ショウヒン</t>
    </rPh>
    <rPh sb="6" eb="7">
      <t>ゴト</t>
    </rPh>
    <rPh sb="8" eb="10">
      <t>テキヨウ</t>
    </rPh>
    <rPh sb="19" eb="21">
      <t>セッテイ</t>
    </rPh>
    <rPh sb="23" eb="24">
      <t>ケン</t>
    </rPh>
    <rPh sb="27" eb="29">
      <t>トクテイ</t>
    </rPh>
    <phoneticPr fontId="1"/>
  </si>
  <si>
    <t>特定されたもの以外の設定は、取引内において適用しない。</t>
    <rPh sb="0" eb="2">
      <t>トクテイ</t>
    </rPh>
    <rPh sb="7" eb="9">
      <t>イガイ</t>
    </rPh>
    <rPh sb="10" eb="12">
      <t>セッテイ</t>
    </rPh>
    <rPh sb="14" eb="16">
      <t>トリヒキ</t>
    </rPh>
    <rPh sb="16" eb="17">
      <t>ナイ</t>
    </rPh>
    <rPh sb="21" eb="23">
      <t>テキヨウ</t>
    </rPh>
    <phoneticPr fontId="1"/>
  </si>
  <si>
    <t>MMの適用判定時、商品マスタ．自動値引き不可フラグ(ItemMaster.IsAutoDiscountProhibition)は参照しない。</t>
    <rPh sb="3" eb="5">
      <t>テキヨウ</t>
    </rPh>
    <rPh sb="5" eb="7">
      <t>ハンテイ</t>
    </rPh>
    <rPh sb="7" eb="8">
      <t>ジ</t>
    </rPh>
    <rPh sb="9" eb="11">
      <t>ショウヒン</t>
    </rPh>
    <rPh sb="64" eb="66">
      <t>サンショウ</t>
    </rPh>
    <phoneticPr fontId="1"/>
  </si>
  <si>
    <t>商品登録時、ミックスマッチマスタ、ミックスマッチ商品マスタを参照し、商品に対し有効な設定を取得する。</t>
    <rPh sb="0" eb="2">
      <t>ショウヒン</t>
    </rPh>
    <rPh sb="2" eb="4">
      <t>トウロク</t>
    </rPh>
    <rPh sb="4" eb="5">
      <t>ジ</t>
    </rPh>
    <rPh sb="24" eb="26">
      <t>ショウヒン</t>
    </rPh>
    <rPh sb="30" eb="32">
      <t>サンショウ</t>
    </rPh>
    <rPh sb="34" eb="36">
      <t>ショウヒン</t>
    </rPh>
    <rPh sb="37" eb="38">
      <t>タイ</t>
    </rPh>
    <rPh sb="39" eb="41">
      <t>ユウコウ</t>
    </rPh>
    <rPh sb="42" eb="44">
      <t>セッテイ</t>
    </rPh>
    <rPh sb="45" eb="47">
      <t>シュトク</t>
    </rPh>
    <phoneticPr fontId="1"/>
  </si>
  <si>
    <t>取得したミックスマッチの設定の中から、優先順位が1位となるレコードを特定する。</t>
    <rPh sb="0" eb="2">
      <t>シュトク</t>
    </rPh>
    <rPh sb="12" eb="14">
      <t>セッテイ</t>
    </rPh>
    <rPh sb="15" eb="16">
      <t>ナカ</t>
    </rPh>
    <rPh sb="19" eb="21">
      <t>ユウセン</t>
    </rPh>
    <rPh sb="21" eb="23">
      <t>ジュンイ</t>
    </rPh>
    <rPh sb="25" eb="26">
      <t>イ</t>
    </rPh>
    <rPh sb="34" eb="36">
      <t>トクテイ</t>
    </rPh>
    <phoneticPr fontId="1"/>
  </si>
  <si>
    <t>以下(1)～(4)でミックスマッチ情報のソートを行い、1レコード目が適用対象のミックスマッチ情報となる。</t>
    <rPh sb="0" eb="2">
      <t>イカ</t>
    </rPh>
    <rPh sb="17" eb="19">
      <t>ジョウホウ</t>
    </rPh>
    <rPh sb="24" eb="25">
      <t>オコナ</t>
    </rPh>
    <rPh sb="32" eb="33">
      <t>メ</t>
    </rPh>
    <rPh sb="34" eb="36">
      <t>テキヨウ</t>
    </rPh>
    <rPh sb="36" eb="38">
      <t>タイショウ</t>
    </rPh>
    <rPh sb="46" eb="48">
      <t>ジョウホウ</t>
    </rPh>
    <phoneticPr fontId="1"/>
  </si>
  <si>
    <t>ミックスマッチ成立時の1点あたりの売価が安い順</t>
    <rPh sb="7" eb="9">
      <t>セイリツ</t>
    </rPh>
    <rPh sb="9" eb="10">
      <t>ジ</t>
    </rPh>
    <rPh sb="12" eb="13">
      <t>テン</t>
    </rPh>
    <rPh sb="17" eb="19">
      <t>バイカ</t>
    </rPh>
    <rPh sb="20" eb="21">
      <t>ヤス</t>
    </rPh>
    <rPh sb="22" eb="23">
      <t>ジュン</t>
    </rPh>
    <phoneticPr fontId="1"/>
  </si>
  <si>
    <t>1段階目の設定で判定する、小数第2位を切り捨てる、</t>
    <rPh sb="1" eb="3">
      <t>ダンカイ</t>
    </rPh>
    <rPh sb="3" eb="4">
      <t>メ</t>
    </rPh>
    <rPh sb="5" eb="7">
      <t>セッテイ</t>
    </rPh>
    <rPh sb="8" eb="10">
      <t>ハンテイ</t>
    </rPh>
    <rPh sb="13" eb="15">
      <t>ショウスウ</t>
    </rPh>
    <rPh sb="15" eb="16">
      <t>ダイ</t>
    </rPh>
    <rPh sb="17" eb="18">
      <t>イ</t>
    </rPh>
    <rPh sb="19" eb="20">
      <t>キ</t>
    </rPh>
    <rPh sb="21" eb="22">
      <t>ス</t>
    </rPh>
    <phoneticPr fontId="1"/>
  </si>
  <si>
    <t>ミックスマッチマスタ.開始日時が当日日時に近い順</t>
    <rPh sb="11" eb="13">
      <t>カイシ</t>
    </rPh>
    <rPh sb="13" eb="15">
      <t>ニチジ</t>
    </rPh>
    <rPh sb="16" eb="18">
      <t>トウジツ</t>
    </rPh>
    <rPh sb="18" eb="20">
      <t>ニチジ</t>
    </rPh>
    <rPh sb="21" eb="22">
      <t>チカ</t>
    </rPh>
    <rPh sb="23" eb="24">
      <t>ジュン</t>
    </rPh>
    <phoneticPr fontId="1"/>
  </si>
  <si>
    <t>ミックスマッチマスタ.終了日時が当日日時に近い順</t>
    <rPh sb="11" eb="13">
      <t>シュウリョウ</t>
    </rPh>
    <rPh sb="13" eb="15">
      <t>ニチジ</t>
    </rPh>
    <rPh sb="16" eb="18">
      <t>トウジツ</t>
    </rPh>
    <rPh sb="18" eb="20">
      <t>ニチジ</t>
    </rPh>
    <rPh sb="21" eb="22">
      <t>チカ</t>
    </rPh>
    <rPh sb="23" eb="24">
      <t>ジュン</t>
    </rPh>
    <phoneticPr fontId="1"/>
  </si>
  <si>
    <t>ミックスマッチマスタ.ミックスマッチコードの昇順</t>
    <rPh sb="22" eb="24">
      <t>ショウジュン</t>
    </rPh>
    <phoneticPr fontId="1"/>
  </si>
  <si>
    <t>Ex.1 ミックスマッチ情報の優先順位付けについて</t>
    <phoneticPr fontId="1"/>
  </si>
  <si>
    <t>商品A</t>
    <rPh sb="0" eb="2">
      <t>ショウヒン</t>
    </rPh>
    <phoneticPr fontId="1"/>
  </si>
  <si>
    <t>4900000000011</t>
    <phoneticPr fontId="1"/>
  </si>
  <si>
    <t>120</t>
    <phoneticPr fontId="1"/>
  </si>
  <si>
    <t>商品B</t>
    <rPh sb="0" eb="2">
      <t>ショウヒン</t>
    </rPh>
    <phoneticPr fontId="1"/>
  </si>
  <si>
    <t>4900000000012</t>
    <phoneticPr fontId="1"/>
  </si>
  <si>
    <t>100</t>
    <phoneticPr fontId="1"/>
  </si>
  <si>
    <t>商品C</t>
    <rPh sb="0" eb="2">
      <t>ショウヒン</t>
    </rPh>
    <phoneticPr fontId="1"/>
  </si>
  <si>
    <t>4900000000013</t>
    <phoneticPr fontId="1"/>
  </si>
  <si>
    <t>130</t>
    <phoneticPr fontId="1"/>
  </si>
  <si>
    <t>ミックスマッチ商品マスタ</t>
    <rPh sb="7" eb="9">
      <t>ショウヒン</t>
    </rPh>
    <phoneticPr fontId="1"/>
  </si>
  <si>
    <t>ミックスマッチコード</t>
  </si>
  <si>
    <t>成立数１</t>
  </si>
  <si>
    <t>成立価格１</t>
  </si>
  <si>
    <t>成立数２</t>
  </si>
  <si>
    <t>成立価格２</t>
  </si>
  <si>
    <t>170</t>
    <phoneticPr fontId="1"/>
  </si>
  <si>
    <t>･･･商品A</t>
    <rPh sb="3" eb="5">
      <t>ショウヒン</t>
    </rPh>
    <phoneticPr fontId="1"/>
  </si>
  <si>
    <t>270</t>
    <phoneticPr fontId="1"/>
  </si>
  <si>
    <t>5</t>
    <phoneticPr fontId="1"/>
  </si>
  <si>
    <t>425</t>
    <phoneticPr fontId="1"/>
  </si>
  <si>
    <t>･･･商品B</t>
    <rPh sb="3" eb="5">
      <t>ショウヒン</t>
    </rPh>
    <phoneticPr fontId="1"/>
  </si>
  <si>
    <t>･･･商品C</t>
    <rPh sb="3" eb="5">
      <t>ショウヒン</t>
    </rPh>
    <phoneticPr fontId="1"/>
  </si>
  <si>
    <r>
      <t>ミックスマッチコード：</t>
    </r>
    <r>
      <rPr>
        <sz val="11"/>
        <color theme="1"/>
        <rFont val="Meiryo UI"/>
        <family val="3"/>
        <charset val="128"/>
      </rPr>
      <t>1</t>
    </r>
    <r>
      <rPr>
        <sz val="11"/>
        <rFont val="Meiryo UI"/>
        <family val="3"/>
        <charset val="128"/>
      </rPr>
      <t>の1点あたりの売価　</t>
    </r>
    <r>
      <rPr>
        <b/>
        <u/>
        <sz val="11"/>
        <color theme="1"/>
        <rFont val="Meiryo UI"/>
        <family val="3"/>
        <charset val="128"/>
      </rPr>
      <t>85</t>
    </r>
    <r>
      <rPr>
        <sz val="11"/>
        <rFont val="Meiryo UI"/>
        <family val="3"/>
        <charset val="128"/>
      </rPr>
      <t xml:space="preserve"> (180÷2)</t>
    </r>
    <rPh sb="14" eb="15">
      <t>テン</t>
    </rPh>
    <rPh sb="19" eb="21">
      <t>バイカ</t>
    </rPh>
    <phoneticPr fontId="1"/>
  </si>
  <si>
    <t>★こちらを採用</t>
    <rPh sb="5" eb="7">
      <t>サイヨウ</t>
    </rPh>
    <phoneticPr fontId="1"/>
  </si>
  <si>
    <r>
      <t>ミックスマッチコード：</t>
    </r>
    <r>
      <rPr>
        <sz val="11"/>
        <color theme="1"/>
        <rFont val="Meiryo UI"/>
        <family val="3"/>
        <charset val="128"/>
      </rPr>
      <t>2</t>
    </r>
    <r>
      <rPr>
        <sz val="11"/>
        <rFont val="Meiryo UI"/>
        <family val="3"/>
        <charset val="128"/>
      </rPr>
      <t>の1点あたりの売価　</t>
    </r>
    <r>
      <rPr>
        <b/>
        <u/>
        <sz val="11"/>
        <color theme="1"/>
        <rFont val="Meiryo UI"/>
        <family val="3"/>
        <charset val="128"/>
      </rPr>
      <t>90</t>
    </r>
    <r>
      <rPr>
        <sz val="11"/>
        <rFont val="Meiryo UI"/>
        <family val="3"/>
        <charset val="128"/>
      </rPr>
      <t xml:space="preserve"> (270÷3)</t>
    </r>
    <rPh sb="14" eb="15">
      <t>テン</t>
    </rPh>
    <rPh sb="19" eb="21">
      <t>バイカ</t>
    </rPh>
    <phoneticPr fontId="1"/>
  </si>
  <si>
    <t>3)</t>
    <phoneticPr fontId="1"/>
  </si>
  <si>
    <t>２で特定したミックスマッチ情報を商品に適用する。</t>
    <rPh sb="2" eb="4">
      <t>トクテイ</t>
    </rPh>
    <rPh sb="13" eb="15">
      <t>ジョウホウ</t>
    </rPh>
    <rPh sb="16" eb="18">
      <t>ショウヒン</t>
    </rPh>
    <rPh sb="19" eb="21">
      <t>テキヨウ</t>
    </rPh>
    <phoneticPr fontId="1"/>
  </si>
  <si>
    <t>商品登録内容に応じて、取引金額が最安となるようミックスマッチの適用を行う。</t>
    <rPh sb="0" eb="2">
      <t>ショウヒン</t>
    </rPh>
    <rPh sb="2" eb="4">
      <t>トウロク</t>
    </rPh>
    <rPh sb="4" eb="6">
      <t>ナイヨウ</t>
    </rPh>
    <rPh sb="7" eb="8">
      <t>オウ</t>
    </rPh>
    <rPh sb="11" eb="13">
      <t>トリヒキ</t>
    </rPh>
    <rPh sb="13" eb="15">
      <t>キンガク</t>
    </rPh>
    <rPh sb="16" eb="17">
      <t>サイ</t>
    </rPh>
    <rPh sb="17" eb="18">
      <t>ヤス</t>
    </rPh>
    <rPh sb="31" eb="33">
      <t>テキヨウ</t>
    </rPh>
    <rPh sb="34" eb="35">
      <t>オコナ</t>
    </rPh>
    <phoneticPr fontId="1"/>
  </si>
  <si>
    <t>1取引内で、ミックスマッチを成立させられる対象商品が複数存在する場合、</t>
    <rPh sb="1" eb="3">
      <t>トリヒキ</t>
    </rPh>
    <rPh sb="3" eb="4">
      <t>ナイ</t>
    </rPh>
    <rPh sb="14" eb="16">
      <t>セイリツ</t>
    </rPh>
    <rPh sb="21" eb="23">
      <t>タイショウ</t>
    </rPh>
    <rPh sb="23" eb="25">
      <t>ショウヒン</t>
    </rPh>
    <rPh sb="26" eb="28">
      <t>フクスウ</t>
    </rPh>
    <rPh sb="28" eb="30">
      <t>ソンザイ</t>
    </rPh>
    <rPh sb="32" eb="34">
      <t>バアイ</t>
    </rPh>
    <phoneticPr fontId="1"/>
  </si>
  <si>
    <t>商品の採用売価(通常売価/強制売価/特売)が高いものからミックスマッチを適用する。</t>
    <rPh sb="0" eb="2">
      <t>ショウヒン</t>
    </rPh>
    <rPh sb="3" eb="5">
      <t>サイヨウ</t>
    </rPh>
    <rPh sb="5" eb="7">
      <t>バイカ</t>
    </rPh>
    <rPh sb="8" eb="10">
      <t>ツウジョウ</t>
    </rPh>
    <rPh sb="10" eb="12">
      <t>バイカ</t>
    </rPh>
    <rPh sb="13" eb="15">
      <t>キョウセイ</t>
    </rPh>
    <rPh sb="15" eb="17">
      <t>バイカ</t>
    </rPh>
    <rPh sb="18" eb="20">
      <t>トクバイ</t>
    </rPh>
    <rPh sb="22" eb="23">
      <t>タカ</t>
    </rPh>
    <rPh sb="36" eb="38">
      <t>テキヨウ</t>
    </rPh>
    <phoneticPr fontId="1"/>
  </si>
  <si>
    <t>Ex.2 ミックスマッチの適用について</t>
    <rPh sb="13" eb="15">
      <t>テキヨウ</t>
    </rPh>
    <phoneticPr fontId="1"/>
  </si>
  <si>
    <t>取引に対する商品登録内容ごとミックスマッチ適用例</t>
    <rPh sb="0" eb="2">
      <t>トリヒキ</t>
    </rPh>
    <rPh sb="3" eb="4">
      <t>タイ</t>
    </rPh>
    <rPh sb="6" eb="8">
      <t>ショウヒン</t>
    </rPh>
    <rPh sb="8" eb="10">
      <t>トウロク</t>
    </rPh>
    <rPh sb="10" eb="12">
      <t>ナイヨウ</t>
    </rPh>
    <rPh sb="21" eb="23">
      <t>テキヨウ</t>
    </rPh>
    <rPh sb="23" eb="24">
      <t>レイ</t>
    </rPh>
    <phoneticPr fontId="1"/>
  </si>
  <si>
    <t>Ex.1で確定した商品毎に適用するミックスマッチの設定を用いる</t>
    <rPh sb="5" eb="7">
      <t>カクテイ</t>
    </rPh>
    <rPh sb="9" eb="11">
      <t>ショウヒン</t>
    </rPh>
    <rPh sb="11" eb="12">
      <t>ゴト</t>
    </rPh>
    <rPh sb="13" eb="15">
      <t>テキヨウ</t>
    </rPh>
    <rPh sb="25" eb="27">
      <t>セッテイ</t>
    </rPh>
    <rPh sb="28" eb="29">
      <t>モチ</t>
    </rPh>
    <phoneticPr fontId="1"/>
  </si>
  <si>
    <t>パターン1</t>
  </si>
  <si>
    <t>明細登録内容</t>
    <rPh sb="0" eb="2">
      <t>メイサイ</t>
    </rPh>
    <rPh sb="2" eb="4">
      <t>トウロク</t>
    </rPh>
    <rPh sb="4" eb="6">
      <t>ナイヨウ</t>
    </rPh>
    <phoneticPr fontId="1"/>
  </si>
  <si>
    <t>ミックスマッチ適用結果</t>
    <rPh sb="7" eb="9">
      <t>テキヨウ</t>
    </rPh>
    <rPh sb="9" eb="11">
      <t>ケッカ</t>
    </rPh>
    <phoneticPr fontId="1"/>
  </si>
  <si>
    <t>登録数</t>
    <rPh sb="0" eb="3">
      <t>トウロクスウ</t>
    </rPh>
    <phoneticPr fontId="1"/>
  </si>
  <si>
    <t>4900000000011</t>
  </si>
  <si>
    <t>ミックスマッチコード：1を適用</t>
    <rPh sb="13" eb="15">
      <t>テキヨウ</t>
    </rPh>
    <phoneticPr fontId="1"/>
  </si>
  <si>
    <t>ミックスマッチ未適用</t>
    <rPh sb="7" eb="8">
      <t>ミ</t>
    </rPh>
    <rPh sb="8" eb="10">
      <t>テキヨウ</t>
    </rPh>
    <phoneticPr fontId="1"/>
  </si>
  <si>
    <t>パターン2</t>
    <phoneticPr fontId="1"/>
  </si>
  <si>
    <t>ミックスマッチコード：2を適用</t>
    <rPh sb="13" eb="15">
      <t>テキヨウ</t>
    </rPh>
    <phoneticPr fontId="1"/>
  </si>
  <si>
    <t>パターン3</t>
    <phoneticPr fontId="1"/>
  </si>
  <si>
    <t>商品明細ごとにミックスマッチとして適用した値引額を按分して出力する。</t>
    <rPh sb="0" eb="2">
      <t>ショウヒン</t>
    </rPh>
    <rPh sb="2" eb="4">
      <t>メイサイ</t>
    </rPh>
    <rPh sb="17" eb="19">
      <t>テキヨウ</t>
    </rPh>
    <rPh sb="21" eb="23">
      <t>ネビキ</t>
    </rPh>
    <rPh sb="23" eb="24">
      <t>ガク</t>
    </rPh>
    <rPh sb="25" eb="27">
      <t>アンブン</t>
    </rPh>
    <rPh sb="29" eb="31">
      <t>シュツリョク</t>
    </rPh>
    <phoneticPr fontId="1"/>
  </si>
  <si>
    <t>＜値引額の明細に対する按分について＞</t>
    <rPh sb="1" eb="3">
      <t>ネビキ</t>
    </rPh>
    <rPh sb="3" eb="4">
      <t>ガク</t>
    </rPh>
    <rPh sb="5" eb="7">
      <t>メイサイ</t>
    </rPh>
    <rPh sb="8" eb="9">
      <t>タイ</t>
    </rPh>
    <rPh sb="11" eb="13">
      <t>アンブン</t>
    </rPh>
    <phoneticPr fontId="1"/>
  </si>
  <si>
    <t>ミックスマッチによる値引額の按分は、採用売価(通常売価/強制売価/特売/値引バーコードによる値上(※))の構成比をベースに行います。</t>
    <rPh sb="10" eb="12">
      <t>ネビキ</t>
    </rPh>
    <rPh sb="12" eb="13">
      <t>ガク</t>
    </rPh>
    <rPh sb="14" eb="16">
      <t>アンブン</t>
    </rPh>
    <rPh sb="18" eb="20">
      <t>サイヨウ</t>
    </rPh>
    <rPh sb="20" eb="22">
      <t>バイカ</t>
    </rPh>
    <rPh sb="46" eb="48">
      <t>ネア</t>
    </rPh>
    <rPh sb="53" eb="56">
      <t>コウセイヒ</t>
    </rPh>
    <rPh sb="61" eb="62">
      <t>オコナ</t>
    </rPh>
    <phoneticPr fontId="1"/>
  </si>
  <si>
    <t>(※値引バーコードによる値下を行っている場合、値引バーコード適用前の採用売価をベースに判定)</t>
    <rPh sb="12" eb="14">
      <t>ネサゲ</t>
    </rPh>
    <rPh sb="15" eb="16">
      <t>オコナ</t>
    </rPh>
    <rPh sb="20" eb="22">
      <t>バアイ</t>
    </rPh>
    <rPh sb="23" eb="25">
      <t>ネビキ</t>
    </rPh>
    <rPh sb="30" eb="32">
      <t>テキヨウ</t>
    </rPh>
    <rPh sb="32" eb="33">
      <t>マエ</t>
    </rPh>
    <rPh sb="34" eb="36">
      <t>サイヨウ</t>
    </rPh>
    <rPh sb="36" eb="38">
      <t>バイカ</t>
    </rPh>
    <rPh sb="43" eb="45">
      <t>ハンテイ</t>
    </rPh>
    <phoneticPr fontId="1"/>
  </si>
  <si>
    <t>手順は以下の通りです。</t>
    <rPh sb="0" eb="2">
      <t>テジュン</t>
    </rPh>
    <rPh sb="3" eb="5">
      <t>イカ</t>
    </rPh>
    <rPh sb="6" eb="7">
      <t>トオ</t>
    </rPh>
    <phoneticPr fontId="1"/>
  </si>
  <si>
    <t>価格構成比をベースに、商品1点ごとに値引額を按分する。</t>
    <rPh sb="0" eb="2">
      <t>カカク</t>
    </rPh>
    <rPh sb="2" eb="5">
      <t>コウセイヒ</t>
    </rPh>
    <rPh sb="11" eb="13">
      <t>ショウヒン</t>
    </rPh>
    <rPh sb="14" eb="15">
      <t>テン</t>
    </rPh>
    <rPh sb="18" eb="20">
      <t>ネビキ</t>
    </rPh>
    <rPh sb="20" eb="21">
      <t>ガク</t>
    </rPh>
    <rPh sb="22" eb="24">
      <t>アンブン</t>
    </rPh>
    <phoneticPr fontId="1"/>
  </si>
  <si>
    <t>この際、按分した値引額の1円未満端数は切り捨てる。</t>
    <rPh sb="2" eb="3">
      <t>サイ</t>
    </rPh>
    <rPh sb="4" eb="6">
      <t>アンブン</t>
    </rPh>
    <rPh sb="8" eb="10">
      <t>ネビキ</t>
    </rPh>
    <rPh sb="10" eb="11">
      <t>ガク</t>
    </rPh>
    <rPh sb="13" eb="14">
      <t>エン</t>
    </rPh>
    <rPh sb="14" eb="16">
      <t>ミマン</t>
    </rPh>
    <rPh sb="16" eb="18">
      <t>ハスウ</t>
    </rPh>
    <rPh sb="19" eb="20">
      <t>キ</t>
    </rPh>
    <rPh sb="21" eb="22">
      <t>ス</t>
    </rPh>
    <phoneticPr fontId="1"/>
  </si>
  <si>
    <t>①により発生した端数を、採用売価が高い明細から順に明細1点につき1円を割り振る。</t>
    <rPh sb="4" eb="6">
      <t>ハッセイ</t>
    </rPh>
    <rPh sb="8" eb="10">
      <t>ハスウ</t>
    </rPh>
    <rPh sb="12" eb="14">
      <t>サイヨウ</t>
    </rPh>
    <rPh sb="14" eb="16">
      <t>バイカ</t>
    </rPh>
    <rPh sb="17" eb="18">
      <t>タカ</t>
    </rPh>
    <rPh sb="19" eb="21">
      <t>メイサイ</t>
    </rPh>
    <rPh sb="23" eb="24">
      <t>ジュン</t>
    </rPh>
    <rPh sb="25" eb="27">
      <t>メイサイ</t>
    </rPh>
    <rPh sb="28" eb="29">
      <t>テン</t>
    </rPh>
    <rPh sb="33" eb="34">
      <t>エン</t>
    </rPh>
    <rPh sb="35" eb="36">
      <t>ワ</t>
    </rPh>
    <rPh sb="37" eb="38">
      <t>フ</t>
    </rPh>
    <phoneticPr fontId="1"/>
  </si>
  <si>
    <t>Ex.3 ミックスマッチによる値引額の按分について</t>
    <rPh sb="15" eb="17">
      <t>ネビキ</t>
    </rPh>
    <rPh sb="17" eb="18">
      <t>ガク</t>
    </rPh>
    <rPh sb="19" eb="21">
      <t>アンブン</t>
    </rPh>
    <phoneticPr fontId="1"/>
  </si>
  <si>
    <t>パターン１</t>
    <phoneticPr fontId="1"/>
  </si>
  <si>
    <t>商品D</t>
    <rPh sb="0" eb="2">
      <t>ショウヒン</t>
    </rPh>
    <phoneticPr fontId="1"/>
  </si>
  <si>
    <t>4900000000014</t>
    <phoneticPr fontId="1"/>
  </si>
  <si>
    <t>160</t>
    <phoneticPr fontId="1"/>
  </si>
  <si>
    <t>商品E</t>
    <rPh sb="0" eb="2">
      <t>ショウヒン</t>
    </rPh>
    <phoneticPr fontId="1"/>
  </si>
  <si>
    <t>4900000000015</t>
    <phoneticPr fontId="1"/>
  </si>
  <si>
    <t>180</t>
    <phoneticPr fontId="1"/>
  </si>
  <si>
    <t>450</t>
    <phoneticPr fontId="1"/>
  </si>
  <si>
    <t>700</t>
    <phoneticPr fontId="1"/>
  </si>
  <si>
    <t>･･･商品D</t>
    <rPh sb="3" eb="5">
      <t>ショウヒン</t>
    </rPh>
    <phoneticPr fontId="1"/>
  </si>
  <si>
    <t>･･･商品E</t>
    <rPh sb="3" eb="5">
      <t>ショウヒン</t>
    </rPh>
    <phoneticPr fontId="1"/>
  </si>
  <si>
    <t>値引額按分結果</t>
    <rPh sb="0" eb="2">
      <t>ネビキ</t>
    </rPh>
    <rPh sb="2" eb="3">
      <t>ガク</t>
    </rPh>
    <rPh sb="3" eb="5">
      <t>アンブン</t>
    </rPh>
    <rPh sb="5" eb="7">
      <t>ケッカ</t>
    </rPh>
    <phoneticPr fontId="1"/>
  </si>
  <si>
    <t>明細合計</t>
    <rPh sb="0" eb="2">
      <t>メイサイ</t>
    </rPh>
    <rPh sb="2" eb="4">
      <t>ゴウケイ</t>
    </rPh>
    <phoneticPr fontId="1"/>
  </si>
  <si>
    <t>①値引按分</t>
    <rPh sb="1" eb="3">
      <t>ネビキ</t>
    </rPh>
    <rPh sb="3" eb="5">
      <t>アンブン</t>
    </rPh>
    <phoneticPr fontId="1"/>
  </si>
  <si>
    <t>②端数割振り</t>
    <rPh sb="1" eb="3">
      <t>ハスウ</t>
    </rPh>
    <rPh sb="3" eb="5">
      <t>ワリフ</t>
    </rPh>
    <phoneticPr fontId="1"/>
  </si>
  <si>
    <t>21</t>
    <phoneticPr fontId="1"/>
  </si>
  <si>
    <t>360</t>
    <phoneticPr fontId="1"/>
  </si>
  <si>
    <t>48</t>
    <phoneticPr fontId="1"/>
  </si>
  <si>
    <t>←</t>
    <phoneticPr fontId="1"/>
  </si>
  <si>
    <t>採用売価が高い明細から</t>
    <phoneticPr fontId="1"/>
  </si>
  <si>
    <t>1円ずつ明細数分の端数を割振り</t>
    <rPh sb="1" eb="2">
      <t>エン</t>
    </rPh>
    <rPh sb="4" eb="6">
      <t>メイサイ</t>
    </rPh>
    <rPh sb="6" eb="7">
      <t>スウ</t>
    </rPh>
    <rPh sb="7" eb="8">
      <t>ブン</t>
    </rPh>
    <phoneticPr fontId="1"/>
  </si>
  <si>
    <t>320</t>
    <phoneticPr fontId="1"/>
  </si>
  <si>
    <t>58</t>
    <phoneticPr fontId="1"/>
  </si>
  <si>
    <t>33</t>
    <phoneticPr fontId="1"/>
  </si>
  <si>
    <t>66</t>
    <phoneticPr fontId="1"/>
  </si>
  <si>
    <t>補足</t>
    <rPh sb="0" eb="2">
      <t>ホソク</t>
    </rPh>
    <phoneticPr fontId="1"/>
  </si>
  <si>
    <t>■</t>
    <phoneticPr fontId="1"/>
  </si>
  <si>
    <t>ミックスマッチと、他販促を重複適用した場合の振舞いについて</t>
    <rPh sb="9" eb="10">
      <t>ホカ</t>
    </rPh>
    <rPh sb="10" eb="12">
      <t>ハンソク</t>
    </rPh>
    <rPh sb="13" eb="15">
      <t>チョウフク</t>
    </rPh>
    <rPh sb="15" eb="17">
      <t>テキヨウ</t>
    </rPh>
    <rPh sb="19" eb="21">
      <t>バアイ</t>
    </rPh>
    <rPh sb="22" eb="24">
      <t>フルマ</t>
    </rPh>
    <phoneticPr fontId="1"/>
  </si>
  <si>
    <t>商品に対し、ミックスマッチと一部販促は重複しての値引割引適用が可能です。</t>
    <rPh sb="0" eb="2">
      <t>ショウヒン</t>
    </rPh>
    <rPh sb="3" eb="4">
      <t>タイ</t>
    </rPh>
    <rPh sb="19" eb="21">
      <t>チョウフク</t>
    </rPh>
    <rPh sb="24" eb="26">
      <t>ネビキ</t>
    </rPh>
    <rPh sb="26" eb="28">
      <t>ワリビキ</t>
    </rPh>
    <rPh sb="28" eb="30">
      <t>テキヨウ</t>
    </rPh>
    <rPh sb="31" eb="33">
      <t>カノウ</t>
    </rPh>
    <phoneticPr fontId="1"/>
  </si>
  <si>
    <t>＜重複して値引割引を適用する機能＞</t>
    <rPh sb="1" eb="3">
      <t>チョウフク</t>
    </rPh>
    <rPh sb="5" eb="7">
      <t>ネビキ</t>
    </rPh>
    <rPh sb="7" eb="9">
      <t>ワリビキ</t>
    </rPh>
    <rPh sb="10" eb="12">
      <t>テキヨウ</t>
    </rPh>
    <rPh sb="14" eb="16">
      <t>キノウ</t>
    </rPh>
    <phoneticPr fontId="1"/>
  </si>
  <si>
    <t>マニュアル単品売価変更</t>
    <rPh sb="5" eb="7">
      <t>タンピン</t>
    </rPh>
    <rPh sb="7" eb="9">
      <t>バイカ</t>
    </rPh>
    <rPh sb="9" eb="11">
      <t>ヘンコウ</t>
    </rPh>
    <phoneticPr fontId="1"/>
  </si>
  <si>
    <t>マニュアル単品値引</t>
    <rPh sb="5" eb="7">
      <t>タンピン</t>
    </rPh>
    <rPh sb="7" eb="9">
      <t>ネビキ</t>
    </rPh>
    <phoneticPr fontId="1"/>
  </si>
  <si>
    <t>マニュアル単品割引</t>
    <rPh sb="5" eb="7">
      <t>タンピン</t>
    </rPh>
    <rPh sb="7" eb="9">
      <t>ワリビキ</t>
    </rPh>
    <phoneticPr fontId="1"/>
  </si>
  <si>
    <t>値引バーコード</t>
  </si>
  <si>
    <t>重複して適用した場合、</t>
    <rPh sb="0" eb="2">
      <t>チョウフク</t>
    </rPh>
    <rPh sb="4" eb="6">
      <t>テキヨウ</t>
    </rPh>
    <rPh sb="8" eb="10">
      <t>バアイ</t>
    </rPh>
    <phoneticPr fontId="1"/>
  </si>
  <si>
    <t>商品の価格は</t>
    <rPh sb="0" eb="2">
      <t>ショウヒン</t>
    </rPh>
    <rPh sb="3" eb="5">
      <t>カカク</t>
    </rPh>
    <phoneticPr fontId="1"/>
  </si>
  <si>
    <t>「ミックスマッチ以外の販促を適用して決定した売価に、ミックスマッチとしての値引を追加適用する」</t>
    <rPh sb="37" eb="39">
      <t>ネビキ</t>
    </rPh>
    <rPh sb="40" eb="42">
      <t>ツイカ</t>
    </rPh>
    <rPh sb="42" eb="44">
      <t>テキヨウ</t>
    </rPh>
    <phoneticPr fontId="1"/>
  </si>
  <si>
    <t>という振舞いになります。</t>
    <rPh sb="3" eb="5">
      <t>フルマ</t>
    </rPh>
    <phoneticPr fontId="1"/>
  </si>
  <si>
    <t>また、ミックスマッチとしての値引額は、他販促の適用内容により算出方法が異なります。</t>
    <rPh sb="14" eb="16">
      <t>ネビキ</t>
    </rPh>
    <rPh sb="16" eb="17">
      <t>ガク</t>
    </rPh>
    <rPh sb="19" eb="20">
      <t>ホカ</t>
    </rPh>
    <rPh sb="20" eb="22">
      <t>ハンソク</t>
    </rPh>
    <rPh sb="23" eb="25">
      <t>テキヨウ</t>
    </rPh>
    <rPh sb="25" eb="27">
      <t>ナイヨウ</t>
    </rPh>
    <rPh sb="30" eb="32">
      <t>サンシュツ</t>
    </rPh>
    <rPh sb="32" eb="34">
      <t>ホウホウ</t>
    </rPh>
    <rPh sb="35" eb="36">
      <t>コト</t>
    </rPh>
    <phoneticPr fontId="1"/>
  </si>
  <si>
    <t>Ex.4 ミックスマッチと他販促を重複した場合のミックスマッチ値引額の算出について</t>
    <rPh sb="13" eb="14">
      <t>ホカ</t>
    </rPh>
    <rPh sb="14" eb="16">
      <t>ハンソク</t>
    </rPh>
    <rPh sb="17" eb="19">
      <t>チョウフク</t>
    </rPh>
    <rPh sb="21" eb="23">
      <t>バアイ</t>
    </rPh>
    <rPh sb="31" eb="33">
      <t>ネビキ</t>
    </rPh>
    <rPh sb="33" eb="34">
      <t>ガク</t>
    </rPh>
    <rPh sb="35" eb="37">
      <t>サンシュツ</t>
    </rPh>
    <phoneticPr fontId="1"/>
  </si>
  <si>
    <t>パターン1、ミックスマッチとマニュアル売価変更（値下）の適用</t>
    <rPh sb="19" eb="21">
      <t>バイカ</t>
    </rPh>
    <rPh sb="21" eb="23">
      <t>ヘンコウ</t>
    </rPh>
    <rPh sb="24" eb="26">
      <t>ネサゲ</t>
    </rPh>
    <rPh sb="28" eb="30">
      <t>テキヨウ</t>
    </rPh>
    <phoneticPr fontId="1"/>
  </si>
  <si>
    <t>ﾏﾆｭｱﾙ売価変更</t>
    <rPh sb="5" eb="7">
      <t>バイカ</t>
    </rPh>
    <rPh sb="7" eb="9">
      <t>ヘンコウ</t>
    </rPh>
    <phoneticPr fontId="1"/>
  </si>
  <si>
    <t>-</t>
    <phoneticPr fontId="1"/>
  </si>
  <si>
    <t>ミックスマッチコード：3を
売価変更後価格に対し適用</t>
    <rPh sb="14" eb="16">
      <t>バイカ</t>
    </rPh>
    <rPh sb="16" eb="18">
      <t>ヘンコウ</t>
    </rPh>
    <rPh sb="18" eb="19">
      <t>ゴ</t>
    </rPh>
    <rPh sb="19" eb="21">
      <t>カカク</t>
    </rPh>
    <rPh sb="22" eb="23">
      <t>タイ</t>
    </rPh>
    <rPh sb="24" eb="26">
      <t>テキヨウ</t>
    </rPh>
    <phoneticPr fontId="1"/>
  </si>
  <si>
    <t>340</t>
    <phoneticPr fontId="1"/>
  </si>
  <si>
    <t>↑</t>
    <phoneticPr fontId="1"/>
  </si>
  <si>
    <t>この場合、マニュアル売価変更適用前の売価をもとに</t>
    <rPh sb="2" eb="4">
      <t>バアイ</t>
    </rPh>
    <rPh sb="10" eb="12">
      <t>バイカ</t>
    </rPh>
    <rPh sb="12" eb="14">
      <t>ヘンコウ</t>
    </rPh>
    <rPh sb="14" eb="16">
      <t>テキヨウ</t>
    </rPh>
    <rPh sb="16" eb="17">
      <t>マエ</t>
    </rPh>
    <rPh sb="18" eb="20">
      <t>バイカ</t>
    </rPh>
    <phoneticPr fontId="1"/>
  </si>
  <si>
    <t>ミックスマッチ値引額を算出します。</t>
    <rPh sb="7" eb="9">
      <t>ネビキ</t>
    </rPh>
    <rPh sb="9" eb="10">
      <t>ガク</t>
    </rPh>
    <rPh sb="11" eb="13">
      <t>サンシュツ</t>
    </rPh>
    <phoneticPr fontId="1"/>
  </si>
  <si>
    <t>＜ミックスマッチ値引額＞</t>
    <rPh sb="8" eb="10">
      <t>ネビキ</t>
    </rPh>
    <rPh sb="10" eb="11">
      <t>ガク</t>
    </rPh>
    <phoneticPr fontId="1"/>
  </si>
  <si>
    <r>
      <t>（160×1＋</t>
    </r>
    <r>
      <rPr>
        <b/>
        <sz val="11"/>
        <color rgb="FF0000FF"/>
        <rFont val="Meiryo UI"/>
        <family val="3"/>
        <charset val="128"/>
      </rPr>
      <t>180</t>
    </r>
    <r>
      <rPr>
        <sz val="11"/>
        <rFont val="Meiryo UI"/>
        <family val="3"/>
        <charset val="128"/>
      </rPr>
      <t>×2）－450＝</t>
    </r>
    <r>
      <rPr>
        <b/>
        <u/>
        <sz val="11"/>
        <color theme="1"/>
        <rFont val="Meiryo UI"/>
        <family val="3"/>
        <charset val="128"/>
      </rPr>
      <t>70</t>
    </r>
    <phoneticPr fontId="1"/>
  </si>
  <si>
    <t>パターン2、ミックスマッチとマニュアル売価変更（値上）の適用</t>
    <rPh sb="19" eb="21">
      <t>バイカ</t>
    </rPh>
    <rPh sb="21" eb="23">
      <t>ヘンコウ</t>
    </rPh>
    <rPh sb="24" eb="26">
      <t>ネア</t>
    </rPh>
    <rPh sb="28" eb="30">
      <t>テキヨウ</t>
    </rPh>
    <phoneticPr fontId="1"/>
  </si>
  <si>
    <t>190</t>
    <phoneticPr fontId="1"/>
  </si>
  <si>
    <t>380</t>
    <phoneticPr fontId="1"/>
  </si>
  <si>
    <t>この場合、マニュアル売価変更適用後の売価をもとに</t>
    <rPh sb="2" eb="4">
      <t>バアイ</t>
    </rPh>
    <rPh sb="10" eb="12">
      <t>バイカ</t>
    </rPh>
    <rPh sb="12" eb="14">
      <t>ヘンコウ</t>
    </rPh>
    <rPh sb="14" eb="16">
      <t>テキヨウ</t>
    </rPh>
    <rPh sb="16" eb="17">
      <t>アト</t>
    </rPh>
    <rPh sb="18" eb="20">
      <t>バイカ</t>
    </rPh>
    <phoneticPr fontId="1"/>
  </si>
  <si>
    <r>
      <t>（160×1＋</t>
    </r>
    <r>
      <rPr>
        <b/>
        <sz val="11"/>
        <color rgb="FFFF0000"/>
        <rFont val="Meiryo UI"/>
        <family val="3"/>
        <charset val="128"/>
      </rPr>
      <t>190</t>
    </r>
    <r>
      <rPr>
        <sz val="11"/>
        <rFont val="Meiryo UI"/>
        <family val="3"/>
        <charset val="128"/>
      </rPr>
      <t>×2）－450＝</t>
    </r>
    <r>
      <rPr>
        <b/>
        <u/>
        <sz val="11"/>
        <color theme="1"/>
        <rFont val="Meiryo UI"/>
        <family val="3"/>
        <charset val="128"/>
      </rPr>
      <t>90</t>
    </r>
    <phoneticPr fontId="1"/>
  </si>
  <si>
    <t>パターン3、ミックスマッチとマニュアル値引の適用　※マニュアル割引の場合も同様</t>
    <rPh sb="19" eb="21">
      <t>ネビキ</t>
    </rPh>
    <rPh sb="22" eb="24">
      <t>テキヨウ</t>
    </rPh>
    <rPh sb="31" eb="33">
      <t>ワリビキ</t>
    </rPh>
    <rPh sb="34" eb="36">
      <t>バアイ</t>
    </rPh>
    <rPh sb="37" eb="39">
      <t>ドウヨウ</t>
    </rPh>
    <phoneticPr fontId="1"/>
  </si>
  <si>
    <t>マニュアル値引</t>
    <rPh sb="5" eb="7">
      <t>ネビキ</t>
    </rPh>
    <phoneticPr fontId="1"/>
  </si>
  <si>
    <t>ミックスマッチコード：3を
値引後価格に対し適用</t>
    <rPh sb="14" eb="16">
      <t>ネビキ</t>
    </rPh>
    <rPh sb="16" eb="17">
      <t>ゴ</t>
    </rPh>
    <rPh sb="17" eb="19">
      <t>カカク</t>
    </rPh>
    <rPh sb="20" eb="21">
      <t>タイ</t>
    </rPh>
    <rPh sb="22" eb="24">
      <t>テキヨウ</t>
    </rPh>
    <phoneticPr fontId="1"/>
  </si>
  <si>
    <t>-10</t>
    <phoneticPr fontId="1"/>
  </si>
  <si>
    <t>この場合、マニュアル値引適用前の売価をもとに</t>
    <rPh sb="2" eb="4">
      <t>バアイ</t>
    </rPh>
    <rPh sb="10" eb="12">
      <t>ネビキ</t>
    </rPh>
    <rPh sb="12" eb="14">
      <t>テキヨウ</t>
    </rPh>
    <rPh sb="14" eb="15">
      <t>マエ</t>
    </rPh>
    <rPh sb="16" eb="18">
      <t>バイカ</t>
    </rPh>
    <phoneticPr fontId="1"/>
  </si>
  <si>
    <t>パターン4、ミックスマッチと、値引バーコード売価変更（値下）の適用</t>
    <rPh sb="22" eb="24">
      <t>バイカ</t>
    </rPh>
    <rPh sb="24" eb="26">
      <t>ヘンコウ</t>
    </rPh>
    <rPh sb="27" eb="29">
      <t>ネサゲ</t>
    </rPh>
    <rPh sb="31" eb="33">
      <t>テキヨウ</t>
    </rPh>
    <phoneticPr fontId="1"/>
  </si>
  <si>
    <t>値引バーコード売価変更</t>
    <rPh sb="7" eb="9">
      <t>バイカ</t>
    </rPh>
    <rPh sb="9" eb="11">
      <t>ヘンコウ</t>
    </rPh>
    <phoneticPr fontId="1"/>
  </si>
  <si>
    <t>この場合、値引バーコード売価変更適用前の売価をもとに</t>
    <rPh sb="2" eb="4">
      <t>バアイ</t>
    </rPh>
    <rPh sb="5" eb="7">
      <t>ネビキ</t>
    </rPh>
    <rPh sb="12" eb="14">
      <t>バイカ</t>
    </rPh>
    <rPh sb="14" eb="16">
      <t>ヘンコウ</t>
    </rPh>
    <rPh sb="16" eb="18">
      <t>テキヨウ</t>
    </rPh>
    <rPh sb="18" eb="19">
      <t>マエ</t>
    </rPh>
    <rPh sb="20" eb="22">
      <t>バイカ</t>
    </rPh>
    <phoneticPr fontId="1"/>
  </si>
  <si>
    <t>パターン5、ミックスマッチと値引バーコード売価変更（値上）の適用</t>
    <rPh sb="21" eb="23">
      <t>バイカ</t>
    </rPh>
    <rPh sb="23" eb="25">
      <t>ヘンコウ</t>
    </rPh>
    <rPh sb="26" eb="28">
      <t>ネア</t>
    </rPh>
    <rPh sb="30" eb="32">
      <t>テキヨウ</t>
    </rPh>
    <phoneticPr fontId="1"/>
  </si>
  <si>
    <t>この場合、値引バーコード売価変更適用後の売価をもとに</t>
    <rPh sb="2" eb="4">
      <t>バアイ</t>
    </rPh>
    <rPh sb="12" eb="14">
      <t>バイカ</t>
    </rPh>
    <rPh sb="14" eb="16">
      <t>ヘンコウ</t>
    </rPh>
    <rPh sb="16" eb="18">
      <t>テキヨウ</t>
    </rPh>
    <rPh sb="18" eb="19">
      <t>アト</t>
    </rPh>
    <rPh sb="20" eb="22">
      <t>バイカ</t>
    </rPh>
    <phoneticPr fontId="1"/>
  </si>
  <si>
    <t>明細に対し値引割引、売価変更を適用する。</t>
    <rPh sb="0" eb="2">
      <t>メイサイ</t>
    </rPh>
    <rPh sb="3" eb="4">
      <t>タイ</t>
    </rPh>
    <rPh sb="5" eb="7">
      <t>ネビキ</t>
    </rPh>
    <rPh sb="7" eb="9">
      <t>ワリビキ</t>
    </rPh>
    <rPh sb="10" eb="12">
      <t>バイカ</t>
    </rPh>
    <rPh sb="12" eb="14">
      <t>ヘンコウ</t>
    </rPh>
    <rPh sb="15" eb="17">
      <t>テキヨウ</t>
    </rPh>
    <phoneticPr fontId="1"/>
  </si>
  <si>
    <r>
      <t>マニュアル単品値引、マニュアル単品割引の適用は</t>
    </r>
    <r>
      <rPr>
        <b/>
        <sz val="11"/>
        <color rgb="FFFF0000"/>
        <rFont val="Meiryo UI"/>
        <family val="3"/>
        <charset val="128"/>
      </rPr>
      <t>不可</t>
    </r>
    <r>
      <rPr>
        <sz val="11"/>
        <rFont val="Meiryo UI"/>
        <family val="3"/>
        <charset val="128"/>
      </rPr>
      <t>とする。</t>
    </r>
    <rPh sb="5" eb="7">
      <t>タンピン</t>
    </rPh>
    <rPh sb="7" eb="9">
      <t>ネビキ</t>
    </rPh>
    <rPh sb="15" eb="17">
      <t>タンピン</t>
    </rPh>
    <rPh sb="17" eb="19">
      <t>ワリビキ</t>
    </rPh>
    <rPh sb="20" eb="22">
      <t>テキヨウ</t>
    </rPh>
    <rPh sb="23" eb="25">
      <t>フカ</t>
    </rPh>
    <phoneticPr fontId="1"/>
  </si>
  <si>
    <r>
      <t>マニュアル単品売価変更の適用は</t>
    </r>
    <r>
      <rPr>
        <b/>
        <sz val="11"/>
        <color rgb="FFFF0000"/>
        <rFont val="Meiryo UI"/>
        <family val="3"/>
        <charset val="128"/>
      </rPr>
      <t>不可</t>
    </r>
    <r>
      <rPr>
        <sz val="11"/>
        <rFont val="Meiryo UI"/>
        <family val="3"/>
        <charset val="128"/>
      </rPr>
      <t>とする。</t>
    </r>
    <rPh sb="5" eb="7">
      <t>タンピン</t>
    </rPh>
    <rPh sb="7" eb="9">
      <t>バイカ</t>
    </rPh>
    <rPh sb="9" eb="11">
      <t>ヘンコウ</t>
    </rPh>
    <rPh sb="12" eb="14">
      <t>テキヨウ</t>
    </rPh>
    <rPh sb="15" eb="17">
      <t>フカ</t>
    </rPh>
    <phoneticPr fontId="1"/>
  </si>
  <si>
    <t>１、マニュアルで入力した値引割引、売価変更を明細に適用する。</t>
    <rPh sb="8" eb="10">
      <t>ニュウリョク</t>
    </rPh>
    <rPh sb="12" eb="14">
      <t>ネビキ</t>
    </rPh>
    <rPh sb="14" eb="16">
      <t>ワリビキ</t>
    </rPh>
    <rPh sb="17" eb="19">
      <t>バイカ</t>
    </rPh>
    <rPh sb="19" eb="21">
      <t>ヘンコウ</t>
    </rPh>
    <rPh sb="22" eb="24">
      <t>メイサイ</t>
    </rPh>
    <rPh sb="25" eb="27">
      <t>テキヨウ</t>
    </rPh>
    <phoneticPr fontId="1"/>
  </si>
  <si>
    <r>
      <t>マニュアル割引額は、採用売価（通常売価/強制売価/特売)</t>
    </r>
    <r>
      <rPr>
        <sz val="11"/>
        <color rgb="FF0000FF"/>
        <rFont val="Meiryo UI"/>
        <family val="3"/>
        <charset val="128"/>
      </rPr>
      <t>、分類値引割引</t>
    </r>
    <r>
      <rPr>
        <sz val="11"/>
        <rFont val="Meiryo UI"/>
        <family val="3"/>
        <charset val="128"/>
      </rPr>
      <t>および値引バーコード適用後の売価をもとに算出する。</t>
    </r>
    <rPh sb="5" eb="7">
      <t>ワリビキ</t>
    </rPh>
    <rPh sb="7" eb="8">
      <t>ガク</t>
    </rPh>
    <rPh sb="10" eb="12">
      <t>サイヨウ</t>
    </rPh>
    <rPh sb="12" eb="14">
      <t>バイカ</t>
    </rPh>
    <rPh sb="15" eb="17">
      <t>ツウジョウ</t>
    </rPh>
    <rPh sb="17" eb="19">
      <t>バイカ</t>
    </rPh>
    <rPh sb="20" eb="22">
      <t>キョウセイ</t>
    </rPh>
    <rPh sb="22" eb="24">
      <t>バイカ</t>
    </rPh>
    <rPh sb="25" eb="27">
      <t>トクバイ</t>
    </rPh>
    <rPh sb="29" eb="31">
      <t>ブンルイ</t>
    </rPh>
    <rPh sb="31" eb="33">
      <t>ネビキ</t>
    </rPh>
    <rPh sb="33" eb="35">
      <t>ワリビキ</t>
    </rPh>
    <rPh sb="45" eb="48">
      <t>テキヨウゴ</t>
    </rPh>
    <rPh sb="49" eb="51">
      <t>バイカ</t>
    </rPh>
    <rPh sb="55" eb="57">
      <t>サンシュツ</t>
    </rPh>
    <phoneticPr fontId="1"/>
  </si>
  <si>
    <t>アイテム売価変更値引実績データテーブル</t>
  </si>
  <si>
    <t>マニュアル売価変更により、値下を行った場合</t>
    <rPh sb="5" eb="7">
      <t>バイカ</t>
    </rPh>
    <rPh sb="7" eb="9">
      <t>ヘンコウ</t>
    </rPh>
    <rPh sb="13" eb="15">
      <t>ネサゲ</t>
    </rPh>
    <rPh sb="16" eb="17">
      <t>オコナ</t>
    </rPh>
    <rPh sb="19" eb="21">
      <t>バアイ</t>
    </rPh>
    <phoneticPr fontId="1"/>
  </si>
  <si>
    <t>商品の採用売価（通常売価/強制売価/特売)と売価変更後売価の差額を出力する。</t>
    <rPh sb="0" eb="2">
      <t>ショウヒン</t>
    </rPh>
    <rPh sb="3" eb="5">
      <t>サイヨウ</t>
    </rPh>
    <rPh sb="5" eb="7">
      <t>バイカ</t>
    </rPh>
    <rPh sb="8" eb="10">
      <t>ツウジョウ</t>
    </rPh>
    <rPh sb="10" eb="12">
      <t>バイカ</t>
    </rPh>
    <rPh sb="13" eb="15">
      <t>キョウセイ</t>
    </rPh>
    <rPh sb="15" eb="17">
      <t>バイカ</t>
    </rPh>
    <rPh sb="18" eb="20">
      <t>トクバイ</t>
    </rPh>
    <rPh sb="22" eb="24">
      <t>バイカ</t>
    </rPh>
    <rPh sb="24" eb="26">
      <t>ヘンコウ</t>
    </rPh>
    <rPh sb="26" eb="27">
      <t>ゴ</t>
    </rPh>
    <rPh sb="27" eb="29">
      <t>バイカ</t>
    </rPh>
    <rPh sb="30" eb="32">
      <t>サガク</t>
    </rPh>
    <rPh sb="33" eb="35">
      <t>シュツリョク</t>
    </rPh>
    <phoneticPr fontId="1"/>
  </si>
  <si>
    <t>マニュアル売価変更により、値上を行った場合出力しない。</t>
    <rPh sb="5" eb="7">
      <t>バイカ</t>
    </rPh>
    <rPh sb="7" eb="9">
      <t>ヘンコウ</t>
    </rPh>
    <rPh sb="13" eb="15">
      <t>ネアゲ</t>
    </rPh>
    <rPh sb="16" eb="17">
      <t>オコナ</t>
    </rPh>
    <rPh sb="19" eb="21">
      <t>バアイ</t>
    </rPh>
    <rPh sb="21" eb="23">
      <t>シュツリョク</t>
    </rPh>
    <phoneticPr fontId="1"/>
  </si>
  <si>
    <t>取引に対し値引割引を適用する。</t>
    <rPh sb="0" eb="2">
      <t>トリヒキ</t>
    </rPh>
    <rPh sb="3" eb="4">
      <t>タイ</t>
    </rPh>
    <rPh sb="5" eb="7">
      <t>ネビキ</t>
    </rPh>
    <rPh sb="7" eb="9">
      <t>ワリビキ</t>
    </rPh>
    <rPh sb="10" eb="12">
      <t>テキヨウ</t>
    </rPh>
    <phoneticPr fontId="1"/>
  </si>
  <si>
    <t>1取引に対し、マニュアル小計値引の複数回適用が可能とする。</t>
    <rPh sb="1" eb="3">
      <t>トリヒキ</t>
    </rPh>
    <rPh sb="4" eb="5">
      <t>タイ</t>
    </rPh>
    <rPh sb="12" eb="14">
      <t>ショウケイ</t>
    </rPh>
    <rPh sb="14" eb="16">
      <t>ネビキ</t>
    </rPh>
    <rPh sb="17" eb="19">
      <t>フクスウ</t>
    </rPh>
    <rPh sb="19" eb="20">
      <t>カイ</t>
    </rPh>
    <rPh sb="20" eb="22">
      <t>テキヨウ</t>
    </rPh>
    <rPh sb="23" eb="25">
      <t>カノウ</t>
    </rPh>
    <phoneticPr fontId="1"/>
  </si>
  <si>
    <r>
      <t>1取引に対し、マニュアル小計割引の複数回適用が</t>
    </r>
    <r>
      <rPr>
        <b/>
        <sz val="11"/>
        <color rgb="FFFF0000"/>
        <rFont val="Meiryo UI"/>
        <family val="3"/>
        <charset val="128"/>
      </rPr>
      <t>不可</t>
    </r>
    <r>
      <rPr>
        <sz val="11"/>
        <rFont val="Meiryo UI"/>
        <family val="3"/>
        <charset val="128"/>
      </rPr>
      <t>とする。</t>
    </r>
    <rPh sb="1" eb="3">
      <t>トリヒキ</t>
    </rPh>
    <rPh sb="4" eb="5">
      <t>タイ</t>
    </rPh>
    <rPh sb="12" eb="14">
      <t>ショウケイ</t>
    </rPh>
    <rPh sb="14" eb="16">
      <t>ワリビキ</t>
    </rPh>
    <rPh sb="23" eb="25">
      <t>フカ</t>
    </rPh>
    <phoneticPr fontId="1"/>
  </si>
  <si>
    <t>１、マニュアルで入力した値引割引を取引に適用する。</t>
    <rPh sb="8" eb="10">
      <t>ニュウリョク</t>
    </rPh>
    <rPh sb="12" eb="14">
      <t>ネビキ</t>
    </rPh>
    <rPh sb="14" eb="16">
      <t>ワリビキ</t>
    </rPh>
    <rPh sb="17" eb="19">
      <t>トリヒキ</t>
    </rPh>
    <rPh sb="20" eb="22">
      <t>テキヨウ</t>
    </rPh>
    <phoneticPr fontId="1"/>
  </si>
  <si>
    <t>小計値引、小計割引により取引に対し適用された値引額合計を按分して出力する</t>
    <rPh sb="0" eb="2">
      <t>ショウケイ</t>
    </rPh>
    <rPh sb="2" eb="4">
      <t>ネビキ</t>
    </rPh>
    <rPh sb="5" eb="7">
      <t>ショウケイ</t>
    </rPh>
    <rPh sb="7" eb="9">
      <t>ワリビキ</t>
    </rPh>
    <rPh sb="12" eb="14">
      <t>トリヒキ</t>
    </rPh>
    <rPh sb="15" eb="16">
      <t>タイ</t>
    </rPh>
    <rPh sb="17" eb="19">
      <t>テキヨウ</t>
    </rPh>
    <rPh sb="22" eb="24">
      <t>ネビキ</t>
    </rPh>
    <rPh sb="24" eb="25">
      <t>ガク</t>
    </rPh>
    <rPh sb="25" eb="27">
      <t>ゴウケイ</t>
    </rPh>
    <rPh sb="28" eb="30">
      <t>アンブン</t>
    </rPh>
    <rPh sb="32" eb="34">
      <t>シュツリョク</t>
    </rPh>
    <phoneticPr fontId="1"/>
  </si>
  <si>
    <t>小計値引実績データテーブル</t>
  </si>
  <si>
    <t>小計値引割引による値引額の按分は、売価の構成比をベースに行います。</t>
    <rPh sb="0" eb="2">
      <t>ショウケイ</t>
    </rPh>
    <rPh sb="2" eb="4">
      <t>ネビキ</t>
    </rPh>
    <rPh sb="4" eb="6">
      <t>ワリビキ</t>
    </rPh>
    <rPh sb="9" eb="11">
      <t>ネビキ</t>
    </rPh>
    <rPh sb="11" eb="12">
      <t>ガク</t>
    </rPh>
    <rPh sb="13" eb="15">
      <t>アンブン</t>
    </rPh>
    <rPh sb="17" eb="19">
      <t>バイカ</t>
    </rPh>
    <rPh sb="20" eb="23">
      <t>コウセイヒ</t>
    </rPh>
    <rPh sb="28" eb="29">
      <t>オコナ</t>
    </rPh>
    <phoneticPr fontId="1"/>
  </si>
  <si>
    <t>明細に対する値引割引も含めた売価の価格構成比をベースに、商品1点ごとに値引額を按分する。</t>
    <rPh sb="0" eb="2">
      <t>メイサイ</t>
    </rPh>
    <rPh sb="3" eb="4">
      <t>タイ</t>
    </rPh>
    <rPh sb="6" eb="8">
      <t>ネビキ</t>
    </rPh>
    <rPh sb="8" eb="10">
      <t>ワリビキ</t>
    </rPh>
    <rPh sb="11" eb="12">
      <t>フク</t>
    </rPh>
    <rPh sb="14" eb="16">
      <t>バイカ</t>
    </rPh>
    <rPh sb="17" eb="19">
      <t>カカク</t>
    </rPh>
    <rPh sb="19" eb="22">
      <t>コウセイヒ</t>
    </rPh>
    <rPh sb="28" eb="30">
      <t>ショウヒン</t>
    </rPh>
    <rPh sb="31" eb="32">
      <t>テン</t>
    </rPh>
    <rPh sb="35" eb="37">
      <t>ネビキ</t>
    </rPh>
    <rPh sb="37" eb="38">
      <t>ガク</t>
    </rPh>
    <rPh sb="39" eb="41">
      <t>アンブン</t>
    </rPh>
    <phoneticPr fontId="1"/>
  </si>
  <si>
    <t>①により発生した端数を、売価が高い明細から順に明細1点につき1円を割り振る。</t>
    <rPh sb="4" eb="6">
      <t>ハッセイ</t>
    </rPh>
    <rPh sb="8" eb="10">
      <t>ハスウ</t>
    </rPh>
    <rPh sb="12" eb="14">
      <t>バイカ</t>
    </rPh>
    <rPh sb="15" eb="16">
      <t>タカ</t>
    </rPh>
    <rPh sb="17" eb="19">
      <t>メイサイ</t>
    </rPh>
    <rPh sb="21" eb="22">
      <t>ジュン</t>
    </rPh>
    <rPh sb="23" eb="25">
      <t>メイサイ</t>
    </rPh>
    <rPh sb="26" eb="27">
      <t>テン</t>
    </rPh>
    <rPh sb="31" eb="32">
      <t>エン</t>
    </rPh>
    <rPh sb="33" eb="34">
      <t>ワ</t>
    </rPh>
    <rPh sb="35" eb="36">
      <t>フ</t>
    </rPh>
    <phoneticPr fontId="1"/>
  </si>
  <si>
    <t>Ex.1 小計値引割引額按分について</t>
    <rPh sb="5" eb="7">
      <t>ショウケイ</t>
    </rPh>
    <rPh sb="7" eb="9">
      <t>ネビキ</t>
    </rPh>
    <rPh sb="9" eb="11">
      <t>ワリビキ</t>
    </rPh>
    <rPh sb="11" eb="12">
      <t>ガク</t>
    </rPh>
    <rPh sb="12" eb="14">
      <t>アンブン</t>
    </rPh>
    <phoneticPr fontId="1"/>
  </si>
  <si>
    <t>パターン1、マニュアル売価変更、小計値引(100円)を適用した場合</t>
    <rPh sb="11" eb="13">
      <t>バイカ</t>
    </rPh>
    <rPh sb="13" eb="15">
      <t>ヘンコウ</t>
    </rPh>
    <rPh sb="16" eb="18">
      <t>ショウケイ</t>
    </rPh>
    <rPh sb="18" eb="20">
      <t>ネビキ</t>
    </rPh>
    <rPh sb="24" eb="25">
      <t>エン</t>
    </rPh>
    <rPh sb="27" eb="29">
      <t>テキヨウ</t>
    </rPh>
    <rPh sb="31" eb="33">
      <t>バアイ</t>
    </rPh>
    <phoneticPr fontId="1"/>
  </si>
  <si>
    <t>採用売価</t>
    <rPh sb="0" eb="2">
      <t>サイヨウ</t>
    </rPh>
    <rPh sb="2" eb="4">
      <t>バイカ</t>
    </rPh>
    <phoneticPr fontId="1"/>
  </si>
  <si>
    <t>32</t>
    <phoneticPr fontId="1"/>
  </si>
  <si>
    <t>68</t>
    <phoneticPr fontId="1"/>
  </si>
  <si>
    <t>パターン2、マニュアル小計値引、小計割引(10%(50円))を適用した場合</t>
    <rPh sb="11" eb="15">
      <t>ショウケイネビキ</t>
    </rPh>
    <rPh sb="16" eb="18">
      <t>ショウケイ</t>
    </rPh>
    <rPh sb="18" eb="20">
      <t>ワリビキ</t>
    </rPh>
    <rPh sb="27" eb="28">
      <t>エン</t>
    </rPh>
    <rPh sb="31" eb="33">
      <t>テキヨウ</t>
    </rPh>
    <rPh sb="35" eb="37">
      <t>バアイ</t>
    </rPh>
    <phoneticPr fontId="1"/>
  </si>
  <si>
    <t>ﾏﾆｭｱﾙ単品値引</t>
    <rPh sb="5" eb="9">
      <t>タンピンネビキ</t>
    </rPh>
    <phoneticPr fontId="1"/>
  </si>
  <si>
    <t>16</t>
    <phoneticPr fontId="1"/>
  </si>
  <si>
    <t>34</t>
    <phoneticPr fontId="1"/>
  </si>
  <si>
    <t>小計値引マスタ（曜日指定）</t>
    <phoneticPr fontId="1"/>
  </si>
  <si>
    <t>分類拡張マスタ</t>
  </si>
  <si>
    <t>小計値引マスタ（曜日指定）に対し、朝割の割引率、および朝割を適用する期間・曜日が設定される。</t>
    <rPh sb="14" eb="15">
      <t>タイ</t>
    </rPh>
    <rPh sb="17" eb="18">
      <t>アサ</t>
    </rPh>
    <rPh sb="18" eb="19">
      <t>ワリ</t>
    </rPh>
    <rPh sb="20" eb="22">
      <t>ワリビキ</t>
    </rPh>
    <rPh sb="22" eb="23">
      <t>リツ</t>
    </rPh>
    <rPh sb="27" eb="28">
      <t>アサ</t>
    </rPh>
    <rPh sb="28" eb="29">
      <t>ワリ</t>
    </rPh>
    <rPh sb="30" eb="32">
      <t>テキヨウ</t>
    </rPh>
    <rPh sb="34" eb="36">
      <t>キカン</t>
    </rPh>
    <rPh sb="37" eb="39">
      <t>ヨウビ</t>
    </rPh>
    <rPh sb="40" eb="42">
      <t>セッテイ</t>
    </rPh>
    <phoneticPr fontId="1"/>
  </si>
  <si>
    <r>
      <t>朝割を適用する時間（適用開始時間、適用終了時間）は、インタフェースされるマスタには</t>
    </r>
    <r>
      <rPr>
        <b/>
        <sz val="11"/>
        <color rgb="FF0000FF"/>
        <rFont val="Meiryo UI"/>
        <family val="3"/>
        <charset val="128"/>
      </rPr>
      <t>設定されない</t>
    </r>
    <r>
      <rPr>
        <sz val="11"/>
        <color rgb="FF0000FF"/>
        <rFont val="Meiryo UI"/>
        <family val="3"/>
        <charset val="128"/>
      </rPr>
      <t>。</t>
    </r>
    <rPh sb="0" eb="1">
      <t>アサ</t>
    </rPh>
    <rPh sb="1" eb="2">
      <t>ワリ</t>
    </rPh>
    <rPh sb="3" eb="5">
      <t>テキヨウ</t>
    </rPh>
    <rPh sb="7" eb="9">
      <t>ジカン</t>
    </rPh>
    <rPh sb="10" eb="12">
      <t>テキヨウ</t>
    </rPh>
    <rPh sb="12" eb="14">
      <t>カイシ</t>
    </rPh>
    <rPh sb="14" eb="16">
      <t>ジカン</t>
    </rPh>
    <rPh sb="17" eb="19">
      <t>テキヨウ</t>
    </rPh>
    <rPh sb="19" eb="21">
      <t>シュウリョウ</t>
    </rPh>
    <rPh sb="21" eb="23">
      <t>ジカン</t>
    </rPh>
    <rPh sb="41" eb="43">
      <t>セッテイ</t>
    </rPh>
    <phoneticPr fontId="1"/>
  </si>
  <si>
    <t>⇒</t>
    <phoneticPr fontId="1"/>
  </si>
  <si>
    <t>店舗にて朝割を適用する場合、インタフェースされるマスタ情報とは別に</t>
    <rPh sb="0" eb="2">
      <t>テンポ</t>
    </rPh>
    <rPh sb="4" eb="5">
      <t>アサ</t>
    </rPh>
    <rPh sb="5" eb="6">
      <t>ワリ</t>
    </rPh>
    <rPh sb="7" eb="9">
      <t>テキヨウ</t>
    </rPh>
    <rPh sb="11" eb="13">
      <t>バアイ</t>
    </rPh>
    <rPh sb="27" eb="29">
      <t>ジョウホウ</t>
    </rPh>
    <rPh sb="31" eb="32">
      <t>ベツ</t>
    </rPh>
    <phoneticPr fontId="1"/>
  </si>
  <si>
    <t>販促を適用する時間を個別に管理する必要がある。</t>
    <rPh sb="0" eb="2">
      <t>ハンソク</t>
    </rPh>
    <rPh sb="3" eb="5">
      <t>テキヨウ</t>
    </rPh>
    <rPh sb="7" eb="9">
      <t>ジカン</t>
    </rPh>
    <rPh sb="10" eb="12">
      <t>コベツ</t>
    </rPh>
    <rPh sb="13" eb="15">
      <t>カンリ</t>
    </rPh>
    <rPh sb="17" eb="19">
      <t>ヒツヨウ</t>
    </rPh>
    <phoneticPr fontId="1"/>
  </si>
  <si>
    <t>商品マスタ．小計値引禁止フラグ(ItemMaster.IsSubTotalDiscountProhibition)＝'1'　の商品は</t>
    <rPh sb="0" eb="2">
      <t>ショウヒン</t>
    </rPh>
    <rPh sb="63" eb="65">
      <t>ショウヒン</t>
    </rPh>
    <phoneticPr fontId="1"/>
  </si>
  <si>
    <r>
      <t>朝割は適用</t>
    </r>
    <r>
      <rPr>
        <b/>
        <sz val="11"/>
        <color rgb="FFFF0000"/>
        <rFont val="Meiryo UI"/>
        <family val="3"/>
        <charset val="128"/>
      </rPr>
      <t>不可</t>
    </r>
    <r>
      <rPr>
        <sz val="11"/>
        <color rgb="FF0000FF"/>
        <rFont val="Meiryo UI"/>
        <family val="3"/>
        <charset val="128"/>
      </rPr>
      <t>とする。</t>
    </r>
    <rPh sb="0" eb="1">
      <t>アサ</t>
    </rPh>
    <rPh sb="1" eb="2">
      <t>ワリ</t>
    </rPh>
    <phoneticPr fontId="1"/>
  </si>
  <si>
    <r>
      <t>分類拡張マスタにおいて、朝割除外設定されている分類に属する商品は、朝割は適用</t>
    </r>
    <r>
      <rPr>
        <b/>
        <sz val="11"/>
        <color rgb="FFFF0000"/>
        <rFont val="Meiryo UI"/>
        <family val="3"/>
        <charset val="128"/>
      </rPr>
      <t>不可</t>
    </r>
    <r>
      <rPr>
        <sz val="11"/>
        <color rgb="FF0000FF"/>
        <rFont val="Meiryo UI"/>
        <family val="3"/>
        <charset val="128"/>
      </rPr>
      <t>とする。</t>
    </r>
    <rPh sb="0" eb="2">
      <t>ブンルイ</t>
    </rPh>
    <rPh sb="2" eb="4">
      <t>カクチョウ</t>
    </rPh>
    <rPh sb="12" eb="13">
      <t>アサ</t>
    </rPh>
    <rPh sb="13" eb="14">
      <t>ワリ</t>
    </rPh>
    <rPh sb="14" eb="16">
      <t>ジョガイ</t>
    </rPh>
    <rPh sb="16" eb="18">
      <t>セッテイ</t>
    </rPh>
    <rPh sb="23" eb="25">
      <t>ブンルイ</t>
    </rPh>
    <rPh sb="26" eb="27">
      <t>ゾク</t>
    </rPh>
    <rPh sb="29" eb="31">
      <t>ショウヒン</t>
    </rPh>
    <rPh sb="33" eb="34">
      <t>アサ</t>
    </rPh>
    <rPh sb="34" eb="35">
      <t>ワリ</t>
    </rPh>
    <rPh sb="36" eb="38">
      <t>テキヨウ</t>
    </rPh>
    <rPh sb="38" eb="40">
      <t>フカ</t>
    </rPh>
    <phoneticPr fontId="1"/>
  </si>
  <si>
    <t>朝割除外設定する分類は、分類拡張マスタ．拡張区分(MDHierarchyExKsmMaster.ExType)＝'1'として定義する。</t>
    <rPh sb="0" eb="1">
      <t>アサ</t>
    </rPh>
    <rPh sb="1" eb="2">
      <t>ワリ</t>
    </rPh>
    <rPh sb="2" eb="4">
      <t>ジョガイ</t>
    </rPh>
    <rPh sb="4" eb="6">
      <t>セッテイ</t>
    </rPh>
    <rPh sb="8" eb="10">
      <t>ブンルイ</t>
    </rPh>
    <rPh sb="12" eb="14">
      <t>ブンルイ</t>
    </rPh>
    <rPh sb="14" eb="16">
      <t>カクチョウ</t>
    </rPh>
    <rPh sb="62" eb="64">
      <t>テイギ</t>
    </rPh>
    <phoneticPr fontId="1"/>
  </si>
  <si>
    <t>朝割対象取引において、朝割除外設定された分類に属する商品は「小計値引禁止商品」として取り扱うため、</t>
    <rPh sb="0" eb="1">
      <t>アサ</t>
    </rPh>
    <rPh sb="1" eb="2">
      <t>ワリ</t>
    </rPh>
    <rPh sb="2" eb="4">
      <t>タイショウ</t>
    </rPh>
    <rPh sb="4" eb="6">
      <t>トリヒキ</t>
    </rPh>
    <rPh sb="11" eb="12">
      <t>アサ</t>
    </rPh>
    <rPh sb="12" eb="13">
      <t>ワリ</t>
    </rPh>
    <rPh sb="13" eb="15">
      <t>ジョガイ</t>
    </rPh>
    <rPh sb="15" eb="17">
      <t>セッテイ</t>
    </rPh>
    <rPh sb="20" eb="22">
      <t>ブンルイ</t>
    </rPh>
    <rPh sb="23" eb="24">
      <t>ゾク</t>
    </rPh>
    <rPh sb="26" eb="28">
      <t>ショウヒン</t>
    </rPh>
    <rPh sb="30" eb="32">
      <t>ショウケイ</t>
    </rPh>
    <rPh sb="32" eb="34">
      <t>ネビ</t>
    </rPh>
    <rPh sb="34" eb="36">
      <t>キンシ</t>
    </rPh>
    <rPh sb="36" eb="38">
      <t>ショウヒン</t>
    </rPh>
    <rPh sb="42" eb="43">
      <t>ト</t>
    </rPh>
    <rPh sb="44" eb="45">
      <t>アツカ</t>
    </rPh>
    <phoneticPr fontId="1"/>
  </si>
  <si>
    <t>当該取引において、朝割以外の小計値割引も適用対象外とする。</t>
    <rPh sb="0" eb="2">
      <t>トウガイ</t>
    </rPh>
    <rPh sb="2" eb="4">
      <t>トリヒキ</t>
    </rPh>
    <rPh sb="9" eb="10">
      <t>アサ</t>
    </rPh>
    <rPh sb="10" eb="11">
      <t>ワリ</t>
    </rPh>
    <rPh sb="11" eb="13">
      <t>イガイ</t>
    </rPh>
    <rPh sb="14" eb="16">
      <t>ショウケイ</t>
    </rPh>
    <rPh sb="16" eb="17">
      <t>ネ</t>
    </rPh>
    <rPh sb="17" eb="19">
      <t>ワリビキ</t>
    </rPh>
    <rPh sb="20" eb="22">
      <t>テキヨウ</t>
    </rPh>
    <rPh sb="22" eb="24">
      <t>タイショウ</t>
    </rPh>
    <rPh sb="24" eb="25">
      <t>ガイ</t>
    </rPh>
    <phoneticPr fontId="1"/>
  </si>
  <si>
    <t>朝割</t>
    <rPh sb="0" eb="1">
      <t>アサ</t>
    </rPh>
    <rPh sb="1" eb="2">
      <t>ワリ</t>
    </rPh>
    <phoneticPr fontId="0"/>
  </si>
  <si>
    <t>その他小計割引</t>
    <rPh sb="2" eb="3">
      <t>タ</t>
    </rPh>
    <rPh sb="3" eb="5">
      <t>ショウケイ</t>
    </rPh>
    <rPh sb="5" eb="7">
      <t>ワリビキ</t>
    </rPh>
    <phoneticPr fontId="0"/>
  </si>
  <si>
    <t>備考</t>
    <rPh sb="0" eb="2">
      <t>ビコウ</t>
    </rPh>
    <phoneticPr fontId="0"/>
  </si>
  <si>
    <t>朝割適用対象取引
※規定時間帯の取引</t>
    <rPh sb="10" eb="12">
      <t>キテイ</t>
    </rPh>
    <rPh sb="12" eb="14">
      <t>ジカン</t>
    </rPh>
    <rPh sb="14" eb="15">
      <t>オビ</t>
    </rPh>
    <rPh sb="16" eb="18">
      <t>トリヒキ</t>
    </rPh>
    <phoneticPr fontId="11"/>
  </si>
  <si>
    <t>小計値引禁止商品</t>
    <rPh sb="0" eb="2">
      <t>ショウケイ</t>
    </rPh>
    <rPh sb="2" eb="4">
      <t>ネビキ</t>
    </rPh>
    <rPh sb="4" eb="6">
      <t>キンシ</t>
    </rPh>
    <rPh sb="6" eb="8">
      <t>ショウヒン</t>
    </rPh>
    <phoneticPr fontId="0"/>
  </si>
  <si>
    <t>適用しない</t>
    <rPh sb="0" eb="2">
      <t>テキヨウ</t>
    </rPh>
    <phoneticPr fontId="0"/>
  </si>
  <si>
    <t>小計値引禁止　かつ　朝割除外部門の商品は、
小計値引禁止商品として取り扱う</t>
    <rPh sb="0" eb="2">
      <t>ショウケイ</t>
    </rPh>
    <rPh sb="2" eb="4">
      <t>ネビキ</t>
    </rPh>
    <rPh sb="4" eb="6">
      <t>キンシ</t>
    </rPh>
    <rPh sb="10" eb="11">
      <t>アサ</t>
    </rPh>
    <rPh sb="11" eb="12">
      <t>ワリ</t>
    </rPh>
    <rPh sb="12" eb="14">
      <t>ジョガイ</t>
    </rPh>
    <rPh sb="14" eb="16">
      <t>ブモン</t>
    </rPh>
    <rPh sb="17" eb="19">
      <t>ショウヒン</t>
    </rPh>
    <rPh sb="22" eb="24">
      <t>ショウケイ</t>
    </rPh>
    <rPh sb="24" eb="26">
      <t>ネビキ</t>
    </rPh>
    <rPh sb="26" eb="28">
      <t>キンシ</t>
    </rPh>
    <rPh sb="28" eb="30">
      <t>ショウヒン</t>
    </rPh>
    <rPh sb="33" eb="34">
      <t>ト</t>
    </rPh>
    <rPh sb="35" eb="36">
      <t>アツカ</t>
    </rPh>
    <phoneticPr fontId="0"/>
  </si>
  <si>
    <t>朝割除外部門の商品</t>
    <rPh sb="0" eb="1">
      <t>アサ</t>
    </rPh>
    <rPh sb="1" eb="2">
      <t>ワリ</t>
    </rPh>
    <rPh sb="2" eb="4">
      <t>ジョガイ</t>
    </rPh>
    <rPh sb="4" eb="6">
      <t>ブモン</t>
    </rPh>
    <rPh sb="7" eb="9">
      <t>ショウヒン</t>
    </rPh>
    <phoneticPr fontId="0"/>
  </si>
  <si>
    <t>どちらにも該当しない</t>
    <rPh sb="5" eb="7">
      <t>ガイトウ</t>
    </rPh>
    <phoneticPr fontId="0"/>
  </si>
  <si>
    <t>適用する</t>
    <rPh sb="0" eb="2">
      <t>テキヨウ</t>
    </rPh>
    <phoneticPr fontId="0"/>
  </si>
  <si>
    <t>朝割適用対象外取引
※規定時間帯以外の取引</t>
    <rPh sb="11" eb="13">
      <t>キテイ</t>
    </rPh>
    <rPh sb="13" eb="16">
      <t>ジカンタイ</t>
    </rPh>
    <rPh sb="16" eb="18">
      <t>イガイ</t>
    </rPh>
    <rPh sb="19" eb="21">
      <t>トリヒキ</t>
    </rPh>
    <phoneticPr fontId="11"/>
  </si>
  <si>
    <t>店舗ごとに管理する「朝割の適用開始時間」を過ぎて行なわれる取引に対し、朝割を自動適用する。</t>
    <rPh sb="0" eb="2">
      <t>テンポ</t>
    </rPh>
    <rPh sb="5" eb="7">
      <t>カンリ</t>
    </rPh>
    <rPh sb="10" eb="11">
      <t>アサ</t>
    </rPh>
    <rPh sb="11" eb="12">
      <t>ワリ</t>
    </rPh>
    <rPh sb="13" eb="15">
      <t>テキヨウ</t>
    </rPh>
    <rPh sb="15" eb="17">
      <t>カイシ</t>
    </rPh>
    <rPh sb="17" eb="19">
      <t>ジカン</t>
    </rPh>
    <rPh sb="21" eb="22">
      <t>ス</t>
    </rPh>
    <rPh sb="24" eb="25">
      <t>オコ</t>
    </rPh>
    <rPh sb="29" eb="31">
      <t>トリヒキ</t>
    </rPh>
    <rPh sb="32" eb="33">
      <t>タイ</t>
    </rPh>
    <rPh sb="35" eb="36">
      <t>アサ</t>
    </rPh>
    <rPh sb="36" eb="37">
      <t>ワリ</t>
    </rPh>
    <rPh sb="38" eb="40">
      <t>ジドウ</t>
    </rPh>
    <rPh sb="40" eb="42">
      <t>テキヨウ</t>
    </rPh>
    <phoneticPr fontId="1"/>
  </si>
  <si>
    <t>但し、店舗ごとに管理する「朝割の適用終了時間」を過ぎても、朝割が自動適用される状態は終了しない。</t>
    <rPh sb="0" eb="1">
      <t>タダ</t>
    </rPh>
    <rPh sb="3" eb="5">
      <t>テンポ</t>
    </rPh>
    <rPh sb="8" eb="10">
      <t>カンリ</t>
    </rPh>
    <rPh sb="13" eb="14">
      <t>アサ</t>
    </rPh>
    <rPh sb="14" eb="15">
      <t>ワリ</t>
    </rPh>
    <rPh sb="16" eb="18">
      <t>テキヨウ</t>
    </rPh>
    <rPh sb="18" eb="20">
      <t>シュウリョウ</t>
    </rPh>
    <rPh sb="20" eb="22">
      <t>ジカン</t>
    </rPh>
    <rPh sb="24" eb="25">
      <t>ス</t>
    </rPh>
    <rPh sb="29" eb="30">
      <t>アサ</t>
    </rPh>
    <rPh sb="30" eb="31">
      <t>ワリ</t>
    </rPh>
    <rPh sb="32" eb="34">
      <t>ジドウ</t>
    </rPh>
    <rPh sb="34" eb="36">
      <t>テキヨウ</t>
    </rPh>
    <rPh sb="39" eb="41">
      <t>ジョウタイ</t>
    </rPh>
    <rPh sb="42" eb="44">
      <t>シュウリョウ</t>
    </rPh>
    <phoneticPr fontId="1"/>
  </si>
  <si>
    <t>店舗様のストコンから各POSに対し「朝割の適用終了通知」を行った後、</t>
    <rPh sb="0" eb="2">
      <t>テンポ</t>
    </rPh>
    <rPh sb="2" eb="3">
      <t>サマ</t>
    </rPh>
    <rPh sb="10" eb="11">
      <t>カク</t>
    </rPh>
    <rPh sb="15" eb="16">
      <t>タイ</t>
    </rPh>
    <rPh sb="18" eb="19">
      <t>アサ</t>
    </rPh>
    <rPh sb="19" eb="20">
      <t>ワリ</t>
    </rPh>
    <rPh sb="21" eb="23">
      <t>テキヨウ</t>
    </rPh>
    <rPh sb="23" eb="25">
      <t>シュウリョウ</t>
    </rPh>
    <rPh sb="25" eb="27">
      <t>ツウチ</t>
    </rPh>
    <rPh sb="29" eb="30">
      <t>オコナ</t>
    </rPh>
    <rPh sb="32" eb="33">
      <t>アト</t>
    </rPh>
    <phoneticPr fontId="1"/>
  </si>
  <si>
    <t>各POSにて「朝割の適用終了操作」を行なうことで、朝割が自動適用される状態の解除を行う運用となっています。</t>
    <rPh sb="0" eb="1">
      <t>カク</t>
    </rPh>
    <rPh sb="7" eb="8">
      <t>アサ</t>
    </rPh>
    <rPh sb="8" eb="9">
      <t>ワリ</t>
    </rPh>
    <rPh sb="10" eb="12">
      <t>テキヨウ</t>
    </rPh>
    <rPh sb="12" eb="14">
      <t>シュウリョウ</t>
    </rPh>
    <rPh sb="14" eb="16">
      <t>ソウサ</t>
    </rPh>
    <rPh sb="18" eb="19">
      <t>オコ</t>
    </rPh>
    <rPh sb="25" eb="26">
      <t>アサ</t>
    </rPh>
    <rPh sb="26" eb="27">
      <t>ワリ</t>
    </rPh>
    <rPh sb="28" eb="30">
      <t>ジドウ</t>
    </rPh>
    <rPh sb="30" eb="32">
      <t>テキヨウ</t>
    </rPh>
    <rPh sb="35" eb="37">
      <t>ジョウタイ</t>
    </rPh>
    <rPh sb="38" eb="40">
      <t>カイジョ</t>
    </rPh>
    <rPh sb="41" eb="42">
      <t>オコナ</t>
    </rPh>
    <rPh sb="43" eb="45">
      <t>ウンヨウ</t>
    </rPh>
    <phoneticPr fontId="1"/>
  </si>
  <si>
    <t>2019/09時点で、ストコンから各POSに対し「朝割の適用終了通知」が行われないため、</t>
    <rPh sb="7" eb="9">
      <t>ジテン</t>
    </rPh>
    <rPh sb="17" eb="18">
      <t>カク</t>
    </rPh>
    <rPh sb="22" eb="23">
      <t>タイ</t>
    </rPh>
    <rPh sb="25" eb="26">
      <t>アサ</t>
    </rPh>
    <rPh sb="26" eb="27">
      <t>ワリ</t>
    </rPh>
    <rPh sb="28" eb="30">
      <t>テキヨウ</t>
    </rPh>
    <rPh sb="30" eb="32">
      <t>シュウリョウ</t>
    </rPh>
    <rPh sb="32" eb="34">
      <t>ツウチ</t>
    </rPh>
    <rPh sb="36" eb="37">
      <t>オコナ</t>
    </rPh>
    <phoneticPr fontId="1"/>
  </si>
  <si>
    <t>「朝割の適用終了操作」のみが、朝割の自動適用状態の終了条件となります。</t>
    <rPh sb="1" eb="2">
      <t>アサ</t>
    </rPh>
    <rPh sb="2" eb="3">
      <t>ワリ</t>
    </rPh>
    <rPh sb="4" eb="6">
      <t>テキヨウ</t>
    </rPh>
    <rPh sb="6" eb="8">
      <t>シュウリョウ</t>
    </rPh>
    <rPh sb="8" eb="10">
      <t>ソウサ</t>
    </rPh>
    <rPh sb="15" eb="16">
      <t>アサ</t>
    </rPh>
    <rPh sb="16" eb="17">
      <t>ワリ</t>
    </rPh>
    <rPh sb="18" eb="20">
      <t>ジドウ</t>
    </rPh>
    <rPh sb="20" eb="22">
      <t>テキヨウ</t>
    </rPh>
    <rPh sb="22" eb="24">
      <t>ジョウタイ</t>
    </rPh>
    <rPh sb="25" eb="27">
      <t>シュウリョウ</t>
    </rPh>
    <rPh sb="27" eb="29">
      <t>ジョウケン</t>
    </rPh>
    <phoneticPr fontId="1"/>
  </si>
  <si>
    <t>店舗ごとに管理する「朝割の適用終了時間」は、誤オペレーション防止(規定の時刻より前の朝割の適用終了操作の禁止)に使用しています。</t>
    <rPh sb="22" eb="23">
      <t>ゴ</t>
    </rPh>
    <rPh sb="30" eb="32">
      <t>ボウシ</t>
    </rPh>
    <rPh sb="33" eb="35">
      <t>キテイ</t>
    </rPh>
    <rPh sb="36" eb="38">
      <t>ジコク</t>
    </rPh>
    <rPh sb="40" eb="41">
      <t>マエ</t>
    </rPh>
    <rPh sb="42" eb="43">
      <t>アサ</t>
    </rPh>
    <rPh sb="43" eb="44">
      <t>ワリ</t>
    </rPh>
    <rPh sb="45" eb="47">
      <t>テキヨウ</t>
    </rPh>
    <rPh sb="47" eb="49">
      <t>シュウリョウ</t>
    </rPh>
    <rPh sb="49" eb="51">
      <t>ソウサ</t>
    </rPh>
    <rPh sb="52" eb="54">
      <t>キンシ</t>
    </rPh>
    <rPh sb="56" eb="58">
      <t>シヨウ</t>
    </rPh>
    <phoneticPr fontId="1"/>
  </si>
  <si>
    <t>・</t>
    <phoneticPr fontId="11"/>
  </si>
  <si>
    <t>取引に対し適用された朝割を、手動で解除することは禁止する。</t>
    <rPh sb="0" eb="2">
      <t>トリヒキ</t>
    </rPh>
    <rPh sb="3" eb="4">
      <t>タイ</t>
    </rPh>
    <rPh sb="5" eb="7">
      <t>テキヨウ</t>
    </rPh>
    <rPh sb="10" eb="11">
      <t>アサ</t>
    </rPh>
    <rPh sb="11" eb="12">
      <t>ワリ</t>
    </rPh>
    <rPh sb="14" eb="16">
      <t>シュドウ</t>
    </rPh>
    <rPh sb="17" eb="19">
      <t>カイジョ</t>
    </rPh>
    <rPh sb="24" eb="26">
      <t>キンシ</t>
    </rPh>
    <phoneticPr fontId="11"/>
  </si>
  <si>
    <t>朝割が適用されなかった取引に対し、手動で朝割を適用することは禁止する。</t>
    <rPh sb="0" eb="1">
      <t>アサ</t>
    </rPh>
    <rPh sb="1" eb="2">
      <t>ワリ</t>
    </rPh>
    <rPh sb="3" eb="5">
      <t>テキヨウ</t>
    </rPh>
    <rPh sb="11" eb="13">
      <t>トリヒキ</t>
    </rPh>
    <rPh sb="14" eb="15">
      <t>タイ</t>
    </rPh>
    <rPh sb="17" eb="19">
      <t>シュドウ</t>
    </rPh>
    <rPh sb="20" eb="21">
      <t>アサ</t>
    </rPh>
    <rPh sb="21" eb="22">
      <t>ワリ</t>
    </rPh>
    <rPh sb="23" eb="25">
      <t>テキヨウ</t>
    </rPh>
    <rPh sb="30" eb="32">
      <t>キンシ</t>
    </rPh>
    <phoneticPr fontId="11"/>
  </si>
  <si>
    <t>＜参考＞朝割の運用について</t>
    <rPh sb="1" eb="3">
      <t>サンコウ</t>
    </rPh>
    <rPh sb="4" eb="5">
      <t>アサ</t>
    </rPh>
    <rPh sb="5" eb="6">
      <t>ワ</t>
    </rPh>
    <rPh sb="7" eb="9">
      <t>ウンヨウ</t>
    </rPh>
    <phoneticPr fontId="11"/>
  </si>
  <si>
    <t>Ex.小計値引割引マスタ（曜日指定）上、「日曜日」を朝割適用期間に指定</t>
    <rPh sb="18" eb="19">
      <t>ジョウ</t>
    </rPh>
    <rPh sb="21" eb="24">
      <t>ニチヨウビ</t>
    </rPh>
    <rPh sb="26" eb="27">
      <t>アサ</t>
    </rPh>
    <rPh sb="27" eb="28">
      <t>ワリ</t>
    </rPh>
    <rPh sb="28" eb="30">
      <t>テキヨウ</t>
    </rPh>
    <rPh sb="30" eb="32">
      <t>キカン</t>
    </rPh>
    <rPh sb="33" eb="35">
      <t>シテイ</t>
    </rPh>
    <phoneticPr fontId="11"/>
  </si>
  <si>
    <t>　　対象店舗における朝割の適用開始時間：9:00、適用終了時間：12:00　とする。</t>
    <rPh sb="2" eb="4">
      <t>タイショウ</t>
    </rPh>
    <rPh sb="4" eb="6">
      <t>テンポ</t>
    </rPh>
    <rPh sb="10" eb="11">
      <t>アサ</t>
    </rPh>
    <rPh sb="11" eb="12">
      <t>ワリ</t>
    </rPh>
    <rPh sb="13" eb="15">
      <t>テキヨウ</t>
    </rPh>
    <rPh sb="15" eb="17">
      <t>カイシ</t>
    </rPh>
    <rPh sb="17" eb="19">
      <t>ジカン</t>
    </rPh>
    <rPh sb="25" eb="27">
      <t>テキヨウ</t>
    </rPh>
    <rPh sb="27" eb="29">
      <t>シュウリョウ</t>
    </rPh>
    <rPh sb="29" eb="31">
      <t>ジカン</t>
    </rPh>
    <phoneticPr fontId="1"/>
  </si>
  <si>
    <t>～土曜日</t>
    <rPh sb="1" eb="4">
      <t>ドヨウビ</t>
    </rPh>
    <phoneticPr fontId="11"/>
  </si>
  <si>
    <t>日曜日～</t>
    <rPh sb="0" eb="3">
      <t>ニチヨウビ</t>
    </rPh>
    <phoneticPr fontId="11"/>
  </si>
  <si>
    <t>上位</t>
    <rPh sb="0" eb="2">
      <t>ジョウイ</t>
    </rPh>
    <phoneticPr fontId="11"/>
  </si>
  <si>
    <t>■ストコン-朝割解除操作</t>
    <rPh sb="6" eb="7">
      <t>アサ</t>
    </rPh>
    <rPh sb="7" eb="8">
      <t>ワリ</t>
    </rPh>
    <rPh sb="8" eb="10">
      <t>カイジョ</t>
    </rPh>
    <rPh sb="10" eb="12">
      <t>ソウサ</t>
    </rPh>
    <phoneticPr fontId="11"/>
  </si>
  <si>
    <t>POSに対し、朝割の適用終了を通知</t>
    <rPh sb="4" eb="5">
      <t>タイ</t>
    </rPh>
    <rPh sb="7" eb="8">
      <t>アサ</t>
    </rPh>
    <rPh sb="8" eb="9">
      <t>ワリ</t>
    </rPh>
    <rPh sb="10" eb="12">
      <t>テキヨウ</t>
    </rPh>
    <rPh sb="12" eb="14">
      <t>シュウリョウ</t>
    </rPh>
    <rPh sb="15" eb="17">
      <t>ツウチ</t>
    </rPh>
    <phoneticPr fontId="11"/>
  </si>
  <si>
    <t>POS</t>
    <phoneticPr fontId="11"/>
  </si>
  <si>
    <t>■開設</t>
    <rPh sb="1" eb="3">
      <t>カイセツ</t>
    </rPh>
    <phoneticPr fontId="11"/>
  </si>
  <si>
    <t>■開店</t>
    <rPh sb="1" eb="3">
      <t>カイテン</t>
    </rPh>
    <phoneticPr fontId="11"/>
  </si>
  <si>
    <t>■朝割解除通知受信</t>
    <rPh sb="7" eb="9">
      <t>ジュシン</t>
    </rPh>
    <phoneticPr fontId="11"/>
  </si>
  <si>
    <t>■</t>
    <phoneticPr fontId="11"/>
  </si>
  <si>
    <t>朝割適用可能状態の解除</t>
    <rPh sb="0" eb="1">
      <t>アサ</t>
    </rPh>
    <rPh sb="1" eb="2">
      <t>ワリ</t>
    </rPh>
    <rPh sb="2" eb="4">
      <t>テキヨウ</t>
    </rPh>
    <rPh sb="4" eb="6">
      <t>カノウ</t>
    </rPh>
    <rPh sb="6" eb="8">
      <t>ジョウタイ</t>
    </rPh>
    <rPh sb="9" eb="11">
      <t>カイジョ</t>
    </rPh>
    <phoneticPr fontId="11"/>
  </si>
  <si>
    <t>朝割の適用終了を受信</t>
    <rPh sb="0" eb="1">
      <t>アサ</t>
    </rPh>
    <rPh sb="1" eb="2">
      <t>ワリ</t>
    </rPh>
    <rPh sb="3" eb="5">
      <t>テキヨウ</t>
    </rPh>
    <rPh sb="5" eb="7">
      <t>シュウリョウ</t>
    </rPh>
    <rPh sb="8" eb="10">
      <t>ジュシン</t>
    </rPh>
    <phoneticPr fontId="11"/>
  </si>
  <si>
    <t>(操作時間は一例)</t>
  </si>
  <si>
    <t>0:00</t>
    <phoneticPr fontId="11"/>
  </si>
  <si>
    <t>8:45</t>
    <phoneticPr fontId="11"/>
  </si>
  <si>
    <t>9:00</t>
    <phoneticPr fontId="11"/>
  </si>
  <si>
    <t>12:00</t>
    <phoneticPr fontId="11"/>
  </si>
  <si>
    <t>12:05</t>
    <phoneticPr fontId="11"/>
  </si>
  <si>
    <t>１、商品登録後、支払情報入力前に朝割を取引に自動適用する。</t>
    <rPh sb="2" eb="4">
      <t>ショウヒン</t>
    </rPh>
    <rPh sb="4" eb="6">
      <t>トウロク</t>
    </rPh>
    <rPh sb="6" eb="7">
      <t>ゴ</t>
    </rPh>
    <rPh sb="8" eb="10">
      <t>シハライ</t>
    </rPh>
    <rPh sb="10" eb="12">
      <t>ジョウホウ</t>
    </rPh>
    <rPh sb="12" eb="14">
      <t>ニュウリョク</t>
    </rPh>
    <rPh sb="14" eb="15">
      <t>マエ</t>
    </rPh>
    <rPh sb="16" eb="17">
      <t>アサ</t>
    </rPh>
    <rPh sb="17" eb="18">
      <t>ワリ</t>
    </rPh>
    <rPh sb="19" eb="21">
      <t>トリヒキ</t>
    </rPh>
    <rPh sb="22" eb="24">
      <t>ジドウ</t>
    </rPh>
    <rPh sb="24" eb="26">
      <t>テキヨウ</t>
    </rPh>
    <phoneticPr fontId="1"/>
  </si>
  <si>
    <t>※</t>
    <phoneticPr fontId="11"/>
  </si>
  <si>
    <t>按分詳細は、「マニュアル小計」の「出力する実績データ」を参照</t>
    <rPh sb="0" eb="2">
      <t>アンブン</t>
    </rPh>
    <rPh sb="2" eb="4">
      <t>ショウサイ</t>
    </rPh>
    <rPh sb="12" eb="14">
      <t>ショウケイ</t>
    </rPh>
    <rPh sb="17" eb="19">
      <t>シュツリョク</t>
    </rPh>
    <rPh sb="21" eb="23">
      <t>ジッセキ</t>
    </rPh>
    <rPh sb="28" eb="30">
      <t>サンショウ</t>
    </rPh>
    <phoneticPr fontId="11"/>
  </si>
  <si>
    <t>小計値引マスタ（曜日指定）に対し、メガ割の割引率、およびメガ割を適用する期間・曜日が設定される。</t>
    <rPh sb="14" eb="15">
      <t>タイ</t>
    </rPh>
    <rPh sb="19" eb="20">
      <t>ワリ</t>
    </rPh>
    <rPh sb="21" eb="23">
      <t>ワリビキ</t>
    </rPh>
    <rPh sb="23" eb="24">
      <t>リツ</t>
    </rPh>
    <rPh sb="30" eb="31">
      <t>ワリ</t>
    </rPh>
    <rPh sb="32" eb="34">
      <t>テキヨウ</t>
    </rPh>
    <rPh sb="36" eb="38">
      <t>キカン</t>
    </rPh>
    <rPh sb="39" eb="41">
      <t>ヨウビ</t>
    </rPh>
    <rPh sb="42" eb="44">
      <t>セッテイ</t>
    </rPh>
    <phoneticPr fontId="1"/>
  </si>
  <si>
    <r>
      <t>メガ割を適用する時間（適用開始時間、適用終了時間）は、インタフェースされるマスタには</t>
    </r>
    <r>
      <rPr>
        <b/>
        <sz val="11"/>
        <color rgb="FF0000FF"/>
        <rFont val="Meiryo UI"/>
        <family val="3"/>
        <charset val="128"/>
      </rPr>
      <t>設定されない</t>
    </r>
    <r>
      <rPr>
        <sz val="11"/>
        <color rgb="FF0000FF"/>
        <rFont val="Meiryo UI"/>
        <family val="3"/>
        <charset val="128"/>
      </rPr>
      <t>。</t>
    </r>
    <rPh sb="2" eb="3">
      <t>ワリ</t>
    </rPh>
    <rPh sb="4" eb="6">
      <t>テキヨウ</t>
    </rPh>
    <rPh sb="8" eb="10">
      <t>ジカン</t>
    </rPh>
    <rPh sb="11" eb="13">
      <t>テキヨウ</t>
    </rPh>
    <rPh sb="13" eb="15">
      <t>カイシ</t>
    </rPh>
    <rPh sb="15" eb="17">
      <t>ジカン</t>
    </rPh>
    <rPh sb="18" eb="20">
      <t>テキヨウ</t>
    </rPh>
    <rPh sb="20" eb="22">
      <t>シュウリョウ</t>
    </rPh>
    <rPh sb="22" eb="24">
      <t>ジカン</t>
    </rPh>
    <rPh sb="42" eb="44">
      <t>セッテイ</t>
    </rPh>
    <phoneticPr fontId="1"/>
  </si>
  <si>
    <t>店舗にてメガ割を適用する場合、インタフェースされるマスタ情報とは別に</t>
    <rPh sb="0" eb="2">
      <t>テンポ</t>
    </rPh>
    <rPh sb="6" eb="7">
      <t>ワリ</t>
    </rPh>
    <rPh sb="8" eb="10">
      <t>テキヨウ</t>
    </rPh>
    <rPh sb="12" eb="14">
      <t>バアイ</t>
    </rPh>
    <rPh sb="28" eb="30">
      <t>ジョウホウ</t>
    </rPh>
    <rPh sb="32" eb="33">
      <t>ベツ</t>
    </rPh>
    <phoneticPr fontId="1"/>
  </si>
  <si>
    <r>
      <t>メガ割は適用</t>
    </r>
    <r>
      <rPr>
        <b/>
        <sz val="11"/>
        <color rgb="FFFF0000"/>
        <rFont val="Meiryo UI"/>
        <family val="3"/>
        <charset val="128"/>
      </rPr>
      <t>不可</t>
    </r>
    <r>
      <rPr>
        <sz val="11"/>
        <color rgb="FF0000FF"/>
        <rFont val="Meiryo UI"/>
        <family val="3"/>
        <charset val="128"/>
      </rPr>
      <t>とする。</t>
    </r>
    <rPh sb="2" eb="3">
      <t>ワ</t>
    </rPh>
    <phoneticPr fontId="1"/>
  </si>
  <si>
    <r>
      <t>分類拡張マスタにおいて、メガ割除外設定されている分類に属する商品は、メガ割は適用</t>
    </r>
    <r>
      <rPr>
        <b/>
        <sz val="11"/>
        <color rgb="FFFF0000"/>
        <rFont val="Meiryo UI"/>
        <family val="3"/>
        <charset val="128"/>
      </rPr>
      <t>不可</t>
    </r>
    <r>
      <rPr>
        <sz val="11"/>
        <color rgb="FF0000FF"/>
        <rFont val="Meiryo UI"/>
        <family val="3"/>
        <charset val="128"/>
      </rPr>
      <t>とする。</t>
    </r>
    <rPh sb="0" eb="2">
      <t>ブンルイ</t>
    </rPh>
    <rPh sb="2" eb="4">
      <t>カクチョウ</t>
    </rPh>
    <rPh sb="14" eb="15">
      <t>ワリ</t>
    </rPh>
    <rPh sb="15" eb="17">
      <t>ジョガイ</t>
    </rPh>
    <rPh sb="17" eb="19">
      <t>セッテイ</t>
    </rPh>
    <rPh sb="24" eb="26">
      <t>ブンルイ</t>
    </rPh>
    <rPh sb="27" eb="28">
      <t>ゾク</t>
    </rPh>
    <rPh sb="30" eb="32">
      <t>ショウヒン</t>
    </rPh>
    <rPh sb="36" eb="37">
      <t>ワリ</t>
    </rPh>
    <rPh sb="38" eb="40">
      <t>テキヨウ</t>
    </rPh>
    <rPh sb="40" eb="42">
      <t>フカ</t>
    </rPh>
    <phoneticPr fontId="1"/>
  </si>
  <si>
    <t>メガ割除外設定する分類は、分類拡張マスタ．拡張区分(MDHierarchyExKsmMaster.ExType)＝'2'として定義する。</t>
    <rPh sb="2" eb="3">
      <t>ワリ</t>
    </rPh>
    <rPh sb="3" eb="5">
      <t>ジョガイ</t>
    </rPh>
    <rPh sb="5" eb="7">
      <t>セッテイ</t>
    </rPh>
    <rPh sb="9" eb="11">
      <t>ブンルイ</t>
    </rPh>
    <rPh sb="13" eb="15">
      <t>ブンルイ</t>
    </rPh>
    <rPh sb="15" eb="17">
      <t>カクチョウ</t>
    </rPh>
    <rPh sb="63" eb="65">
      <t>テイギ</t>
    </rPh>
    <phoneticPr fontId="1"/>
  </si>
  <si>
    <t>メガ割対象取引において、メガ割除外設定された分類に属する商品は「小計値引禁止商品」として取り扱うため、</t>
    <rPh sb="2" eb="3">
      <t>ワリ</t>
    </rPh>
    <rPh sb="3" eb="5">
      <t>タイショウ</t>
    </rPh>
    <rPh sb="5" eb="7">
      <t>トリヒキ</t>
    </rPh>
    <rPh sb="14" eb="15">
      <t>ワリ</t>
    </rPh>
    <rPh sb="15" eb="17">
      <t>ジョガイ</t>
    </rPh>
    <rPh sb="17" eb="19">
      <t>セッテイ</t>
    </rPh>
    <rPh sb="22" eb="24">
      <t>ブンルイ</t>
    </rPh>
    <rPh sb="25" eb="26">
      <t>ゾク</t>
    </rPh>
    <rPh sb="28" eb="30">
      <t>ショウヒン</t>
    </rPh>
    <rPh sb="32" eb="34">
      <t>ショウケイ</t>
    </rPh>
    <rPh sb="34" eb="36">
      <t>ネビ</t>
    </rPh>
    <rPh sb="36" eb="38">
      <t>キンシ</t>
    </rPh>
    <rPh sb="38" eb="40">
      <t>ショウヒン</t>
    </rPh>
    <rPh sb="44" eb="45">
      <t>ト</t>
    </rPh>
    <rPh sb="46" eb="47">
      <t>アツカ</t>
    </rPh>
    <phoneticPr fontId="1"/>
  </si>
  <si>
    <t>当該取引において、メガ割以外の小計値割引も適用対象外とする。</t>
    <rPh sb="0" eb="2">
      <t>トウガイ</t>
    </rPh>
    <rPh sb="2" eb="4">
      <t>トリヒキ</t>
    </rPh>
    <rPh sb="11" eb="12">
      <t>ワリ</t>
    </rPh>
    <rPh sb="12" eb="14">
      <t>イガイ</t>
    </rPh>
    <rPh sb="15" eb="17">
      <t>ショウケイ</t>
    </rPh>
    <rPh sb="17" eb="18">
      <t>ネ</t>
    </rPh>
    <rPh sb="18" eb="20">
      <t>ワリビキ</t>
    </rPh>
    <rPh sb="21" eb="23">
      <t>テキヨウ</t>
    </rPh>
    <rPh sb="23" eb="25">
      <t>タイショウ</t>
    </rPh>
    <rPh sb="25" eb="26">
      <t>ガイ</t>
    </rPh>
    <phoneticPr fontId="1"/>
  </si>
  <si>
    <t>メガ割</t>
    <rPh sb="2" eb="3">
      <t>ワリ</t>
    </rPh>
    <phoneticPr fontId="0"/>
  </si>
  <si>
    <t>メガ割適用対象取引
※規定時間帯の取引</t>
    <rPh sb="11" eb="13">
      <t>キテイ</t>
    </rPh>
    <rPh sb="13" eb="15">
      <t>ジカン</t>
    </rPh>
    <rPh sb="15" eb="16">
      <t>オビ</t>
    </rPh>
    <rPh sb="17" eb="19">
      <t>トリヒキ</t>
    </rPh>
    <phoneticPr fontId="11"/>
  </si>
  <si>
    <t>小計値引禁止　かつ　メガ割除外部門の商品は、
小計値引禁止商品として取り扱う</t>
    <rPh sb="0" eb="2">
      <t>ショウケイ</t>
    </rPh>
    <rPh sb="2" eb="4">
      <t>ネビキ</t>
    </rPh>
    <rPh sb="4" eb="6">
      <t>キンシ</t>
    </rPh>
    <rPh sb="12" eb="13">
      <t>ワリ</t>
    </rPh>
    <rPh sb="13" eb="15">
      <t>ジョガイ</t>
    </rPh>
    <rPh sb="15" eb="17">
      <t>ブモン</t>
    </rPh>
    <rPh sb="18" eb="20">
      <t>ショウヒン</t>
    </rPh>
    <rPh sb="23" eb="25">
      <t>ショウケイ</t>
    </rPh>
    <rPh sb="25" eb="27">
      <t>ネビキ</t>
    </rPh>
    <rPh sb="27" eb="29">
      <t>キンシ</t>
    </rPh>
    <rPh sb="29" eb="31">
      <t>ショウヒン</t>
    </rPh>
    <rPh sb="34" eb="35">
      <t>ト</t>
    </rPh>
    <rPh sb="36" eb="37">
      <t>アツカ</t>
    </rPh>
    <phoneticPr fontId="0"/>
  </si>
  <si>
    <t>メガ割除外部門の商品</t>
    <rPh sb="2" eb="3">
      <t>ワリ</t>
    </rPh>
    <rPh sb="3" eb="5">
      <t>ジョガイ</t>
    </rPh>
    <rPh sb="5" eb="7">
      <t>ブモン</t>
    </rPh>
    <rPh sb="8" eb="10">
      <t>ショウヒン</t>
    </rPh>
    <phoneticPr fontId="0"/>
  </si>
  <si>
    <t>メガ割適用対象外取引
※規定時間帯以外の取引</t>
    <rPh sb="12" eb="14">
      <t>キテイ</t>
    </rPh>
    <rPh sb="14" eb="17">
      <t>ジカンタイ</t>
    </rPh>
    <rPh sb="17" eb="19">
      <t>イガイ</t>
    </rPh>
    <rPh sb="20" eb="22">
      <t>トリヒキ</t>
    </rPh>
    <phoneticPr fontId="11"/>
  </si>
  <si>
    <t>店舗ごとに管理する「メガ割の適用開始時間」から「メガ割の適用終了時間」の間に行なわれる取引に対し、メガ割を自動適用する。</t>
    <rPh sb="0" eb="2">
      <t>テンポ</t>
    </rPh>
    <rPh sb="5" eb="7">
      <t>カンリ</t>
    </rPh>
    <rPh sb="12" eb="13">
      <t>ワリ</t>
    </rPh>
    <rPh sb="14" eb="16">
      <t>テキヨウ</t>
    </rPh>
    <rPh sb="16" eb="18">
      <t>カイシ</t>
    </rPh>
    <rPh sb="18" eb="20">
      <t>ジカン</t>
    </rPh>
    <rPh sb="26" eb="27">
      <t>ワリ</t>
    </rPh>
    <rPh sb="28" eb="30">
      <t>テキヨウ</t>
    </rPh>
    <rPh sb="30" eb="32">
      <t>シュウリョウ</t>
    </rPh>
    <rPh sb="32" eb="34">
      <t>ジカン</t>
    </rPh>
    <rPh sb="36" eb="37">
      <t>アイダ</t>
    </rPh>
    <rPh sb="38" eb="39">
      <t>オコ</t>
    </rPh>
    <rPh sb="43" eb="45">
      <t>トリヒキ</t>
    </rPh>
    <rPh sb="46" eb="47">
      <t>タイ</t>
    </rPh>
    <rPh sb="51" eb="52">
      <t>ワリ</t>
    </rPh>
    <rPh sb="53" eb="55">
      <t>ジドウ</t>
    </rPh>
    <rPh sb="55" eb="57">
      <t>テキヨウ</t>
    </rPh>
    <phoneticPr fontId="1"/>
  </si>
  <si>
    <t>取引に対し適用されたメガ割を、手動で解除することは禁止する。</t>
    <rPh sb="0" eb="2">
      <t>トリヒキ</t>
    </rPh>
    <rPh sb="3" eb="4">
      <t>タイ</t>
    </rPh>
    <rPh sb="5" eb="7">
      <t>テキヨウ</t>
    </rPh>
    <rPh sb="12" eb="13">
      <t>ワリ</t>
    </rPh>
    <rPh sb="15" eb="17">
      <t>シュドウ</t>
    </rPh>
    <rPh sb="18" eb="20">
      <t>カイジョ</t>
    </rPh>
    <rPh sb="25" eb="27">
      <t>キンシ</t>
    </rPh>
    <phoneticPr fontId="11"/>
  </si>
  <si>
    <t>メガ割が適用されなかった取引に対し、手動でメガ割を適用することは禁止する。</t>
    <rPh sb="2" eb="3">
      <t>ワリ</t>
    </rPh>
    <rPh sb="4" eb="6">
      <t>テキヨウ</t>
    </rPh>
    <rPh sb="12" eb="14">
      <t>トリヒキ</t>
    </rPh>
    <rPh sb="15" eb="16">
      <t>タイ</t>
    </rPh>
    <rPh sb="18" eb="20">
      <t>シュドウ</t>
    </rPh>
    <rPh sb="23" eb="24">
      <t>ワリ</t>
    </rPh>
    <rPh sb="25" eb="27">
      <t>テキヨウ</t>
    </rPh>
    <rPh sb="32" eb="34">
      <t>キンシ</t>
    </rPh>
    <phoneticPr fontId="11"/>
  </si>
  <si>
    <t>メガ割とクレジット小計割引は禁止する。</t>
    <rPh sb="2" eb="3">
      <t>ワリ</t>
    </rPh>
    <rPh sb="9" eb="11">
      <t>ショウケイ</t>
    </rPh>
    <rPh sb="11" eb="13">
      <t>ワリビキ</t>
    </rPh>
    <rPh sb="14" eb="16">
      <t>キンシ</t>
    </rPh>
    <phoneticPr fontId="1"/>
  </si>
  <si>
    <t>１、商品登録後、支払情報入力前にメガ割を取引に自動適用する。</t>
    <rPh sb="2" eb="4">
      <t>ショウヒン</t>
    </rPh>
    <rPh sb="4" eb="6">
      <t>トウロク</t>
    </rPh>
    <rPh sb="6" eb="7">
      <t>ゴ</t>
    </rPh>
    <rPh sb="8" eb="10">
      <t>シハライ</t>
    </rPh>
    <rPh sb="10" eb="12">
      <t>ジョウホウ</t>
    </rPh>
    <rPh sb="12" eb="14">
      <t>ニュウリョク</t>
    </rPh>
    <rPh sb="14" eb="15">
      <t>マエ</t>
    </rPh>
    <rPh sb="18" eb="19">
      <t>ワリ</t>
    </rPh>
    <rPh sb="20" eb="22">
      <t>トリヒキ</t>
    </rPh>
    <rPh sb="23" eb="25">
      <t>ジドウ</t>
    </rPh>
    <rPh sb="25" eb="27">
      <t>テキヨウ</t>
    </rPh>
    <phoneticPr fontId="1"/>
  </si>
  <si>
    <t>タイトル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</si>
</sst>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4">
    <font>
      <sz val="11"/>
      <name val="Meiryo UI"/>
      <family val="3"/>
      <charset val="128"/>
    </font>
    <font>
      <sz val="6"/>
      <name val="ＭＳ ゴシック"/>
      <family val="2"/>
      <charset val="128"/>
    </font>
    <font>
      <b/>
      <sz val="10"/>
      <color rgb="FFFF0000"/>
      <name val="ＭＳ ゴシック"/>
      <family val="3"/>
      <charset val="128"/>
    </font>
    <font>
      <sz val="10"/>
      <name val="ＭＳ ゴシック"/>
      <family val="3"/>
      <charset val="128"/>
    </font>
    <font>
      <u/>
      <sz val="10"/>
      <color theme="10"/>
      <name val="ＭＳ ゴシック"/>
      <family val="2"/>
      <charset val="128"/>
    </font>
    <font>
      <sz val="6"/>
      <name val="ＭＳ Ｐ明朝"/>
      <family val="1"/>
      <charset val="128"/>
    </font>
    <font>
      <b/>
      <u/>
      <sz val="10"/>
      <color theme="1"/>
      <name val="ＭＳ ゴシック"/>
      <family val="3"/>
      <charset val="128"/>
    </font>
    <font>
      <b/>
      <u/>
      <sz val="12"/>
      <color theme="1"/>
      <name val="ＭＳ ゴシック"/>
      <family val="3"/>
      <charset val="128"/>
    </font>
    <font>
      <b/>
      <sz val="10"/>
      <color indexed="8"/>
      <name val="ＭＳ ゴシック"/>
      <family val="3"/>
      <charset val="128"/>
    </font>
    <font>
      <sz val="11"/>
      <name val="ＭＳ Ｐ明朝"/>
      <family val="1"/>
      <charset val="128"/>
    </font>
    <font>
      <sz val="9"/>
      <name val="ＭＳ ゴシック"/>
      <family val="3"/>
      <charset val="128"/>
    </font>
    <font>
      <sz val="6"/>
      <name val="ＭＳ ゴシック"/>
      <family val="3"/>
      <charset val="128"/>
    </font>
    <font>
      <b/>
      <sz val="9"/>
      <color indexed="81"/>
      <name val="ＭＳ Ｐゴシック"/>
      <family val="3"/>
      <charset val="128"/>
    </font>
    <font>
      <sz val="11"/>
      <color theme="1"/>
      <name val="Meiryo UI"/>
      <family val="3"/>
      <charset val="128"/>
    </font>
    <font>
      <sz val="6"/>
      <name val="Meiryo UI"/>
      <family val="3"/>
      <charset val="128"/>
    </font>
    <font>
      <sz val="11"/>
      <color theme="0"/>
      <name val="Meiryo UI"/>
      <family val="3"/>
      <charset val="128"/>
    </font>
    <font>
      <sz val="18"/>
      <name val="Meiryo UI"/>
      <family val="3"/>
      <charset val="128"/>
    </font>
    <font>
      <b/>
      <sz val="11"/>
      <name val="Meiryo UI"/>
      <family val="3"/>
      <charset val="128"/>
    </font>
    <font>
      <b/>
      <sz val="24"/>
      <name val="Meiryo UI"/>
      <family val="3"/>
      <charset val="128"/>
    </font>
    <font>
      <b/>
      <sz val="11"/>
      <color theme="1"/>
      <name val="Meiryo UI"/>
      <family val="3"/>
      <charset val="128"/>
    </font>
    <font>
      <b/>
      <sz val="11"/>
      <color rgb="FFFF0000"/>
      <name val="Meiryo UI"/>
      <family val="3"/>
      <charset val="128"/>
    </font>
    <font>
      <sz val="11"/>
      <color rgb="FFFF0000"/>
      <name val="Meiryo UI"/>
      <family val="3"/>
      <charset val="128"/>
    </font>
    <font>
      <b/>
      <u/>
      <sz val="11"/>
      <color rgb="FF0000FF"/>
      <name val="Meiryo UI"/>
      <family val="3"/>
      <charset val="128"/>
    </font>
    <font>
      <sz val="11"/>
      <color rgb="FF0000FF"/>
      <name val="Meiryo UI"/>
      <family val="3"/>
      <charset val="128"/>
    </font>
    <font>
      <u/>
      <sz val="11"/>
      <name val="Meiryo UI"/>
      <family val="3"/>
      <charset val="128"/>
    </font>
    <font>
      <sz val="10"/>
      <name val="Meiryo UI"/>
      <family val="3"/>
      <charset val="128"/>
    </font>
    <font>
      <b/>
      <sz val="11"/>
      <color rgb="FF0000FF"/>
      <name val="Meiryo UI"/>
      <family val="3"/>
      <charset val="128"/>
    </font>
    <font>
      <b/>
      <strike/>
      <sz val="11"/>
      <color rgb="FF0000FF"/>
      <name val="Meiryo UI"/>
      <family val="3"/>
      <charset val="128"/>
    </font>
    <font>
      <b/>
      <u/>
      <sz val="11"/>
      <color theme="1"/>
      <name val="Meiryo UI"/>
      <family val="3"/>
      <charset val="128"/>
    </font>
    <font>
      <strike/>
      <sz val="11"/>
      <name val="Meiryo UI"/>
      <family val="3"/>
      <charset val="128"/>
    </font>
    <font>
      <u/>
      <sz val="11"/>
      <color theme="1"/>
      <name val="Meiryo UI"/>
      <family val="3"/>
      <charset val="128"/>
    </font>
    <font>
      <b/>
      <sz val="11"/>
      <color indexed="8"/>
      <name val="Meiryo UI"/>
      <family val="3"/>
      <charset val="128"/>
    </font>
    <font>
      <b/>
      <strike/>
      <sz val="11"/>
      <color rgb="FF00B050"/>
      <name val="Meiryo UI"/>
      <family val="3"/>
      <charset val="128"/>
    </font>
    <font>
      <b/>
      <sz val="11"/>
      <color rgb="FF00B050"/>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s>
  <borders count="5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thin">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3" fillId="0" borderId="0"/>
    <xf numFmtId="0" fontId="9" fillId="0" borderId="0">
      <alignment vertical="top"/>
    </xf>
  </cellStyleXfs>
  <cellXfs count="337">
    <xf numFmtId="0" fontId="0" fillId="0" borderId="0" xfId="0">
      <alignment vertical="center"/>
    </xf>
    <xf numFmtId="0" fontId="7" fillId="0" borderId="0" xfId="0" applyFont="1">
      <alignment vertical="center"/>
    </xf>
    <xf numFmtId="0" fontId="8" fillId="0" borderId="0" xfId="0" applyFont="1">
      <alignment vertical="center"/>
    </xf>
    <xf numFmtId="0" fontId="10" fillId="0" borderId="0" xfId="3" applyFont="1" applyAlignment="1">
      <alignment vertical="center"/>
    </xf>
    <xf numFmtId="0" fontId="0" fillId="0" borderId="16" xfId="0" applyBorder="1">
      <alignment vertical="center"/>
    </xf>
    <xf numFmtId="0" fontId="0" fillId="0" borderId="9" xfId="0" applyBorder="1">
      <alignment vertical="center"/>
    </xf>
    <xf numFmtId="0" fontId="0" fillId="0" borderId="8" xfId="0" applyBorder="1">
      <alignment vertical="center"/>
    </xf>
    <xf numFmtId="0" fontId="0" fillId="0" borderId="4" xfId="0" applyBorder="1">
      <alignment vertical="center"/>
    </xf>
    <xf numFmtId="0" fontId="0" fillId="0" borderId="17" xfId="0" applyBorder="1">
      <alignment vertical="center"/>
    </xf>
    <xf numFmtId="0" fontId="0" fillId="0" borderId="5" xfId="0" applyBorder="1">
      <alignment vertical="center"/>
    </xf>
    <xf numFmtId="0" fontId="0" fillId="0" borderId="0" xfId="0" applyAlignment="1">
      <alignment horizontal="center" vertical="center"/>
    </xf>
    <xf numFmtId="0" fontId="0" fillId="0" borderId="2" xfId="0" applyBorder="1">
      <alignment vertical="center"/>
    </xf>
    <xf numFmtId="0" fontId="0" fillId="0" borderId="3"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0" fillId="2" borderId="2" xfId="0" applyFill="1" applyBorder="1">
      <alignment vertical="center"/>
    </xf>
    <xf numFmtId="0" fontId="0" fillId="2" borderId="3" xfId="0" applyFill="1" applyBorder="1">
      <alignment vertical="center"/>
    </xf>
    <xf numFmtId="0" fontId="0" fillId="4" borderId="1" xfId="0" applyFill="1" applyBorder="1">
      <alignment vertical="center"/>
    </xf>
    <xf numFmtId="0" fontId="0" fillId="4" borderId="2" xfId="0" applyFill="1" applyBorder="1">
      <alignment vertical="center"/>
    </xf>
    <xf numFmtId="0" fontId="0" fillId="4" borderId="3" xfId="0" applyFill="1" applyBorder="1">
      <alignment vertical="center"/>
    </xf>
    <xf numFmtId="0" fontId="0" fillId="4" borderId="6" xfId="0" applyFill="1" applyBorder="1">
      <alignment vertical="center"/>
    </xf>
    <xf numFmtId="0" fontId="0" fillId="4" borderId="9" xfId="0" applyFill="1" applyBorder="1">
      <alignment vertical="center"/>
    </xf>
    <xf numFmtId="0" fontId="0" fillId="4" borderId="4" xfId="0" applyFill="1" applyBorder="1">
      <alignment vertical="center"/>
    </xf>
    <xf numFmtId="0" fontId="0" fillId="4" borderId="5" xfId="0" applyFill="1" applyBorder="1">
      <alignment vertical="center"/>
    </xf>
    <xf numFmtId="0" fontId="0" fillId="4" borderId="16" xfId="0" applyFill="1" applyBorder="1">
      <alignment vertical="center"/>
    </xf>
    <xf numFmtId="0" fontId="0" fillId="3" borderId="1" xfId="0"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4" borderId="8" xfId="0" applyFill="1" applyBorder="1">
      <alignment vertical="center"/>
    </xf>
    <xf numFmtId="0" fontId="0" fillId="4" borderId="7" xfId="0" applyFill="1" applyBorder="1">
      <alignment vertical="center"/>
    </xf>
    <xf numFmtId="0" fontId="0" fillId="4" borderId="17" xfId="0" applyFill="1" applyBorder="1">
      <alignment vertical="center"/>
    </xf>
    <xf numFmtId="0" fontId="0" fillId="4" borderId="18" xfId="0" applyFill="1" applyBorder="1">
      <alignment vertical="center"/>
    </xf>
    <xf numFmtId="0" fontId="0" fillId="4" borderId="19" xfId="0" applyFill="1" applyBorder="1">
      <alignment vertical="center"/>
    </xf>
    <xf numFmtId="0" fontId="0" fillId="4" borderId="20" xfId="0" applyFill="1" applyBorder="1">
      <alignment vertical="center"/>
    </xf>
    <xf numFmtId="0" fontId="0" fillId="4" borderId="11" xfId="0" applyFill="1" applyBorder="1">
      <alignment vertical="center"/>
    </xf>
    <xf numFmtId="0" fontId="0" fillId="4" borderId="12" xfId="0" applyFill="1" applyBorder="1">
      <alignment vertical="center"/>
    </xf>
    <xf numFmtId="0" fontId="0" fillId="4" borderId="10" xfId="0" applyFill="1" applyBorder="1">
      <alignment vertical="center"/>
    </xf>
    <xf numFmtId="0" fontId="0" fillId="4" borderId="6" xfId="0" quotePrefix="1" applyFill="1" applyBorder="1" applyAlignment="1">
      <alignment horizontal="centerContinuous" vertical="center"/>
    </xf>
    <xf numFmtId="0" fontId="0" fillId="4" borderId="7" xfId="0" applyFill="1" applyBorder="1" applyAlignment="1">
      <alignment horizontal="centerContinuous" vertical="center"/>
    </xf>
    <xf numFmtId="0" fontId="0" fillId="4" borderId="1" xfId="0" quotePrefix="1" applyFill="1" applyBorder="1" applyAlignment="1">
      <alignment horizontal="centerContinuous" vertical="center"/>
    </xf>
    <xf numFmtId="0" fontId="0" fillId="4" borderId="3" xfId="0" applyFill="1" applyBorder="1" applyAlignment="1">
      <alignment horizontal="centerContinuous" vertical="center"/>
    </xf>
    <xf numFmtId="0" fontId="0" fillId="4" borderId="16" xfId="0" quotePrefix="1" applyFill="1" applyBorder="1" applyAlignment="1">
      <alignment horizontal="centerContinuous" vertical="center"/>
    </xf>
    <xf numFmtId="0" fontId="0" fillId="4" borderId="17" xfId="0" applyFill="1" applyBorder="1" applyAlignment="1">
      <alignment horizontal="centerContinuous" vertical="center"/>
    </xf>
    <xf numFmtId="0" fontId="0" fillId="4" borderId="8" xfId="0" quotePrefix="1" applyFill="1" applyBorder="1" applyAlignment="1">
      <alignment horizontal="centerContinuous" vertical="center"/>
    </xf>
    <xf numFmtId="0" fontId="0" fillId="4" borderId="5" xfId="0" applyFill="1" applyBorder="1" applyAlignment="1">
      <alignment horizontal="centerContinuous" vertical="center"/>
    </xf>
    <xf numFmtId="0" fontId="19" fillId="0" borderId="0" xfId="0" applyFont="1">
      <alignment vertical="center"/>
    </xf>
    <xf numFmtId="0" fontId="19" fillId="2" borderId="1" xfId="0" applyFont="1" applyFill="1" applyBorder="1">
      <alignment vertical="center"/>
    </xf>
    <xf numFmtId="0" fontId="19" fillId="2" borderId="2" xfId="0" applyFont="1" applyFill="1" applyBorder="1">
      <alignment vertical="center"/>
    </xf>
    <xf numFmtId="0" fontId="19" fillId="2" borderId="3" xfId="0" applyFont="1" applyFill="1" applyBorder="1">
      <alignment vertical="center"/>
    </xf>
    <xf numFmtId="0" fontId="13" fillId="0" borderId="0" xfId="0" applyFont="1">
      <alignment vertical="center"/>
    </xf>
    <xf numFmtId="0" fontId="0" fillId="4" borderId="0" xfId="0" applyFill="1">
      <alignment vertical="center"/>
    </xf>
    <xf numFmtId="20" fontId="0" fillId="4" borderId="1" xfId="0" applyNumberFormat="1" applyFill="1" applyBorder="1">
      <alignment vertical="center"/>
    </xf>
    <xf numFmtId="0" fontId="0" fillId="4" borderId="13" xfId="0" applyFill="1" applyBorder="1">
      <alignment vertical="center"/>
    </xf>
    <xf numFmtId="0" fontId="0" fillId="4" borderId="14" xfId="0" applyFill="1" applyBorder="1">
      <alignment vertical="center"/>
    </xf>
    <xf numFmtId="0" fontId="0" fillId="4" borderId="15" xfId="0" applyFill="1" applyBorder="1">
      <alignment vertical="center"/>
    </xf>
    <xf numFmtId="20" fontId="21" fillId="4" borderId="1" xfId="0" applyNumberFormat="1" applyFont="1" applyFill="1" applyBorder="1">
      <alignment vertical="center"/>
    </xf>
    <xf numFmtId="0" fontId="26" fillId="0" borderId="0" xfId="0" applyFont="1">
      <alignment vertical="center"/>
    </xf>
    <xf numFmtId="0" fontId="23" fillId="0" borderId="0" xfId="0" applyFont="1">
      <alignment vertical="center"/>
    </xf>
    <xf numFmtId="0" fontId="0" fillId="0" borderId="0" xfId="0" applyAlignment="1">
      <alignment horizontal="left" vertical="center"/>
    </xf>
    <xf numFmtId="0" fontId="0" fillId="2" borderId="1" xfId="0" applyFill="1" applyBorder="1">
      <alignment vertical="center"/>
    </xf>
    <xf numFmtId="0" fontId="24" fillId="0" borderId="0" xfId="0" applyFont="1">
      <alignment vertical="center"/>
    </xf>
    <xf numFmtId="0" fontId="28" fillId="0" borderId="0" xfId="0" applyFont="1">
      <alignment vertical="center"/>
    </xf>
    <xf numFmtId="0" fontId="0" fillId="0" borderId="0" xfId="2" applyFont="1" applyAlignment="1">
      <alignment vertical="center"/>
    </xf>
    <xf numFmtId="0" fontId="0" fillId="0" borderId="0" xfId="0" quotePrefix="1">
      <alignment vertical="center"/>
    </xf>
    <xf numFmtId="0" fontId="0" fillId="0" borderId="1" xfId="0" quotePrefix="1" applyBorder="1">
      <alignment vertical="center"/>
    </xf>
    <xf numFmtId="0" fontId="30" fillId="0" borderId="0" xfId="0" applyFont="1">
      <alignment vertical="center"/>
    </xf>
    <xf numFmtId="0" fontId="13" fillId="2" borderId="1" xfId="0" applyFont="1" applyFill="1" applyBorder="1">
      <alignment vertical="center"/>
    </xf>
    <xf numFmtId="0" fontId="13" fillId="2" borderId="2" xfId="0" applyFont="1" applyFill="1" applyBorder="1">
      <alignment vertical="center"/>
    </xf>
    <xf numFmtId="0" fontId="13" fillId="2" borderId="3" xfId="0" applyFont="1" applyFill="1" applyBorder="1">
      <alignment vertical="center"/>
    </xf>
    <xf numFmtId="0" fontId="13" fillId="0" borderId="1" xfId="0" quotePrefix="1" applyFont="1" applyBorder="1">
      <alignment vertical="center"/>
    </xf>
    <xf numFmtId="0" fontId="13" fillId="0" borderId="2" xfId="0" applyFont="1" applyBorder="1">
      <alignment vertical="center"/>
    </xf>
    <xf numFmtId="0" fontId="13" fillId="0" borderId="3" xfId="0" applyFont="1" applyBorder="1">
      <alignment vertical="center"/>
    </xf>
    <xf numFmtId="0" fontId="28" fillId="0" borderId="0" xfId="0" quotePrefix="1" applyFont="1">
      <alignment vertical="center"/>
    </xf>
    <xf numFmtId="0" fontId="0" fillId="0" borderId="1" xfId="0" applyBorder="1">
      <alignment vertical="center"/>
    </xf>
    <xf numFmtId="0" fontId="21" fillId="0" borderId="0" xfId="0" applyFont="1">
      <alignment vertical="center"/>
    </xf>
    <xf numFmtId="0" fontId="20" fillId="0" borderId="0" xfId="0" applyFont="1">
      <alignment vertical="center"/>
    </xf>
    <xf numFmtId="0" fontId="0" fillId="2" borderId="6" xfId="3" applyFont="1" applyFill="1" applyBorder="1" applyAlignment="1">
      <alignment vertical="center"/>
    </xf>
    <xf numFmtId="0" fontId="0" fillId="5" borderId="1" xfId="3" applyFont="1" applyFill="1" applyBorder="1" applyAlignment="1">
      <alignment vertical="center"/>
    </xf>
    <xf numFmtId="0" fontId="0" fillId="5" borderId="2" xfId="3" applyFont="1" applyFill="1" applyBorder="1" applyAlignment="1">
      <alignment vertical="center"/>
    </xf>
    <xf numFmtId="0" fontId="0" fillId="5" borderId="3" xfId="3" applyFont="1" applyFill="1" applyBorder="1" applyAlignment="1">
      <alignment vertical="center"/>
    </xf>
    <xf numFmtId="0" fontId="0" fillId="2" borderId="9"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2" borderId="4" xfId="0" applyFill="1" applyBorder="1">
      <alignment vertical="center"/>
    </xf>
    <xf numFmtId="0" fontId="0" fillId="2" borderId="5" xfId="0" applyFill="1" applyBorder="1">
      <alignment vertical="center"/>
    </xf>
    <xf numFmtId="0" fontId="0" fillId="4" borderId="6" xfId="3" applyFont="1" applyFill="1" applyBorder="1" applyAlignment="1">
      <alignment vertical="center"/>
    </xf>
    <xf numFmtId="0" fontId="0" fillId="4" borderId="1" xfId="3" applyFont="1" applyFill="1" applyBorder="1" applyAlignment="1">
      <alignment vertical="center"/>
    </xf>
    <xf numFmtId="0" fontId="0" fillId="4" borderId="2" xfId="3" applyFont="1" applyFill="1" applyBorder="1" applyAlignment="1">
      <alignment vertical="center"/>
    </xf>
    <xf numFmtId="0" fontId="0" fillId="4" borderId="3" xfId="3" applyFont="1" applyFill="1" applyBorder="1" applyAlignment="1">
      <alignment vertical="center"/>
    </xf>
    <xf numFmtId="0" fontId="0" fillId="8" borderId="6" xfId="3" applyFont="1" applyFill="1" applyBorder="1" applyAlignment="1">
      <alignment vertical="center"/>
    </xf>
    <xf numFmtId="0" fontId="0" fillId="8" borderId="9" xfId="0" applyFill="1" applyBorder="1">
      <alignment vertical="center"/>
    </xf>
    <xf numFmtId="0" fontId="0" fillId="8" borderId="7" xfId="0" applyFill="1" applyBorder="1">
      <alignment vertical="center"/>
    </xf>
    <xf numFmtId="0" fontId="0" fillId="8" borderId="8" xfId="0" applyFill="1" applyBorder="1">
      <alignment vertical="center"/>
    </xf>
    <xf numFmtId="0" fontId="0" fillId="8" borderId="4" xfId="0" applyFill="1" applyBorder="1">
      <alignment vertical="center"/>
    </xf>
    <xf numFmtId="0" fontId="0" fillId="8" borderId="5" xfId="0" applyFill="1" applyBorder="1">
      <alignment vertical="center"/>
    </xf>
    <xf numFmtId="0" fontId="0" fillId="8" borderId="1" xfId="3" applyFont="1" applyFill="1" applyBorder="1" applyAlignment="1">
      <alignment vertical="center"/>
    </xf>
    <xf numFmtId="0" fontId="0" fillId="8" borderId="2" xfId="0" applyFill="1" applyBorder="1">
      <alignment vertical="center"/>
    </xf>
    <xf numFmtId="0" fontId="0" fillId="8" borderId="3" xfId="0" applyFill="1" applyBorder="1">
      <alignment vertical="center"/>
    </xf>
    <xf numFmtId="0" fontId="0" fillId="8" borderId="16" xfId="0" applyFill="1" applyBorder="1">
      <alignment vertical="center"/>
    </xf>
    <xf numFmtId="0" fontId="0" fillId="8" borderId="0" xfId="0" applyFill="1">
      <alignment vertical="center"/>
    </xf>
    <xf numFmtId="0" fontId="0" fillId="8" borderId="17" xfId="0" applyFill="1" applyBorder="1">
      <alignment vertical="center"/>
    </xf>
    <xf numFmtId="9" fontId="0" fillId="4" borderId="1" xfId="3" quotePrefix="1" applyNumberFormat="1" applyFont="1" applyFill="1" applyBorder="1" applyAlignment="1">
      <alignment vertical="center"/>
    </xf>
    <xf numFmtId="0" fontId="0" fillId="5" borderId="2" xfId="0" applyFill="1" applyBorder="1">
      <alignment vertical="center"/>
    </xf>
    <xf numFmtId="0" fontId="0" fillId="5" borderId="3" xfId="0" applyFill="1" applyBorder="1">
      <alignment vertical="center"/>
    </xf>
    <xf numFmtId="0" fontId="13" fillId="4" borderId="1" xfId="0" applyFont="1" applyFill="1" applyBorder="1">
      <alignment vertical="center"/>
    </xf>
    <xf numFmtId="0" fontId="23" fillId="0" borderId="1" xfId="0" quotePrefix="1" applyFont="1" applyBorder="1">
      <alignment vertical="center"/>
    </xf>
    <xf numFmtId="0" fontId="23" fillId="0" borderId="1" xfId="0" applyFont="1" applyBorder="1">
      <alignment vertical="center"/>
    </xf>
    <xf numFmtId="0" fontId="31" fillId="0" borderId="0" xfId="0" applyFont="1">
      <alignment vertical="center"/>
    </xf>
    <xf numFmtId="0" fontId="22" fillId="0" borderId="0" xfId="0" applyFont="1">
      <alignment vertical="center"/>
    </xf>
    <xf numFmtId="0" fontId="23" fillId="0" borderId="0" xfId="0" quotePrefix="1" applyFont="1">
      <alignment vertical="center"/>
    </xf>
    <xf numFmtId="0" fontId="0" fillId="5" borderId="6" xfId="0" applyFill="1" applyBorder="1">
      <alignment vertical="center"/>
    </xf>
    <xf numFmtId="0" fontId="0" fillId="5" borderId="9" xfId="0" applyFill="1" applyBorder="1">
      <alignment vertical="center"/>
    </xf>
    <xf numFmtId="0" fontId="0" fillId="5" borderId="7" xfId="0" applyFill="1" applyBorder="1">
      <alignment vertical="center"/>
    </xf>
    <xf numFmtId="0" fontId="0" fillId="5" borderId="1" xfId="0" applyFill="1" applyBorder="1">
      <alignment vertical="center"/>
    </xf>
    <xf numFmtId="0" fontId="26" fillId="0" borderId="1" xfId="0" quotePrefix="1" applyFont="1" applyBorder="1">
      <alignment vertical="center"/>
    </xf>
    <xf numFmtId="0" fontId="20" fillId="0" borderId="1" xfId="0" quotePrefix="1" applyFont="1" applyBorder="1">
      <alignment vertical="center"/>
    </xf>
    <xf numFmtId="0" fontId="17" fillId="0" borderId="0" xfId="3" applyFont="1" applyAlignment="1">
      <alignment vertical="center"/>
    </xf>
    <xf numFmtId="0" fontId="26" fillId="0" borderId="0" xfId="3" applyFont="1" applyAlignment="1">
      <alignment vertical="center"/>
    </xf>
    <xf numFmtId="0" fontId="0" fillId="0" borderId="0" xfId="3" applyFont="1" applyAlignment="1">
      <alignment vertical="center"/>
    </xf>
    <xf numFmtId="0" fontId="23" fillId="0" borderId="0" xfId="3" applyFont="1" applyAlignment="1">
      <alignment vertical="center"/>
    </xf>
    <xf numFmtId="0" fontId="23" fillId="0" borderId="0" xfId="3" applyFont="1" applyAlignment="1">
      <alignment horizontal="right" vertical="center"/>
    </xf>
    <xf numFmtId="0" fontId="23" fillId="0" borderId="0" xfId="3" applyFont="1" applyAlignment="1">
      <alignment horizontal="left" vertical="center"/>
    </xf>
    <xf numFmtId="0" fontId="17" fillId="0" borderId="16" xfId="3" applyFont="1" applyBorder="1" applyAlignment="1">
      <alignment vertical="center"/>
    </xf>
    <xf numFmtId="0" fontId="0" fillId="0" borderId="17" xfId="3" applyFont="1" applyBorder="1" applyAlignment="1">
      <alignment vertical="center"/>
    </xf>
    <xf numFmtId="0" fontId="0" fillId="4" borderId="1" xfId="0" quotePrefix="1" applyFill="1" applyBorder="1">
      <alignment vertical="center"/>
    </xf>
    <xf numFmtId="0" fontId="0" fillId="4" borderId="2" xfId="0" quotePrefix="1" applyFill="1" applyBorder="1">
      <alignment vertical="center"/>
    </xf>
    <xf numFmtId="0" fontId="0" fillId="5" borderId="8" xfId="0" applyFill="1" applyBorder="1">
      <alignment vertical="center"/>
    </xf>
    <xf numFmtId="0" fontId="0" fillId="5" borderId="4" xfId="0" applyFill="1" applyBorder="1">
      <alignment vertical="center"/>
    </xf>
    <xf numFmtId="0" fontId="0" fillId="5" borderId="5" xfId="0" applyFill="1" applyBorder="1">
      <alignment vertical="center"/>
    </xf>
    <xf numFmtId="0" fontId="0" fillId="0" borderId="9" xfId="0" quotePrefix="1" applyBorder="1">
      <alignment vertical="center"/>
    </xf>
    <xf numFmtId="0" fontId="32" fillId="0" borderId="0" xfId="3" applyFont="1" applyAlignment="1">
      <alignment vertical="center"/>
    </xf>
    <xf numFmtId="0" fontId="27" fillId="0" borderId="0" xfId="3" applyFont="1" applyAlignment="1">
      <alignment vertical="center"/>
    </xf>
    <xf numFmtId="0" fontId="33" fillId="0" borderId="0" xfId="3" applyFont="1" applyAlignment="1">
      <alignment vertical="center"/>
    </xf>
    <xf numFmtId="20" fontId="23" fillId="0" borderId="0" xfId="3" quotePrefix="1" applyNumberFormat="1" applyFont="1" applyAlignment="1">
      <alignment vertical="center"/>
    </xf>
    <xf numFmtId="0" fontId="23" fillId="0" borderId="0" xfId="3" quotePrefix="1" applyFont="1" applyAlignment="1">
      <alignment vertical="center"/>
    </xf>
    <xf numFmtId="0" fontId="26" fillId="0" borderId="0" xfId="3" quotePrefix="1" applyFont="1" applyAlignment="1">
      <alignment vertical="center"/>
    </xf>
    <xf numFmtId="0" fontId="21" fillId="4" borderId="1" xfId="0" applyFont="1" applyFill="1" applyBorder="1">
      <alignment vertical="center"/>
    </xf>
    <xf numFmtId="0" fontId="0" fillId="9" borderId="1" xfId="0" applyFill="1" applyBorder="1">
      <alignment vertical="center"/>
    </xf>
    <xf numFmtId="0" fontId="0" fillId="9" borderId="2" xfId="0" applyFill="1" applyBorder="1">
      <alignment vertical="center"/>
    </xf>
    <xf numFmtId="0" fontId="0" fillId="9" borderId="3" xfId="0" applyFill="1" applyBorder="1">
      <alignment vertical="center"/>
    </xf>
    <xf numFmtId="0" fontId="0" fillId="9" borderId="6" xfId="0" applyFill="1" applyBorder="1">
      <alignment vertical="center"/>
    </xf>
    <xf numFmtId="0" fontId="0" fillId="9" borderId="9" xfId="0" applyFill="1" applyBorder="1">
      <alignment vertical="center"/>
    </xf>
    <xf numFmtId="0" fontId="0" fillId="9" borderId="4" xfId="0" applyFill="1" applyBorder="1">
      <alignment vertical="center"/>
    </xf>
    <xf numFmtId="0" fontId="0" fillId="9" borderId="5" xfId="0" applyFill="1" applyBorder="1">
      <alignment vertical="center"/>
    </xf>
    <xf numFmtId="0" fontId="0" fillId="9" borderId="7" xfId="0" applyFill="1" applyBorder="1">
      <alignment vertical="center"/>
    </xf>
    <xf numFmtId="0" fontId="0" fillId="9" borderId="8" xfId="0" applyFill="1" applyBorder="1">
      <alignment vertical="center"/>
    </xf>
    <xf numFmtId="0" fontId="21" fillId="4" borderId="8" xfId="0" applyFont="1" applyFill="1" applyBorder="1">
      <alignment vertical="center"/>
    </xf>
    <xf numFmtId="0" fontId="25" fillId="8" borderId="43" xfId="0" applyFont="1" applyFill="1" applyBorder="1" applyAlignment="1">
      <alignment horizontal="center" vertical="center" wrapText="1"/>
    </xf>
    <xf numFmtId="0" fontId="25" fillId="8" borderId="45" xfId="0" applyFont="1" applyFill="1" applyBorder="1" applyAlignment="1">
      <alignment horizontal="center" vertical="center" wrapText="1"/>
    </xf>
    <xf numFmtId="0" fontId="25" fillId="8" borderId="46" xfId="0" applyFont="1" applyFill="1" applyBorder="1" applyAlignment="1">
      <alignment horizontal="center" vertical="center" wrapText="1"/>
    </xf>
    <xf numFmtId="0" fontId="25" fillId="8" borderId="48" xfId="0" applyFont="1" applyFill="1" applyBorder="1" applyAlignment="1">
      <alignment horizontal="center" vertical="center" wrapText="1"/>
    </xf>
    <xf numFmtId="0" fontId="25" fillId="0" borderId="45" xfId="0" applyFont="1" applyBorder="1" applyAlignment="1">
      <alignment horizontal="center" vertical="center" wrapText="1"/>
    </xf>
    <xf numFmtId="0" fontId="25" fillId="0" borderId="46" xfId="0" applyFont="1" applyBorder="1" applyAlignment="1">
      <alignment horizontal="center" vertical="center" wrapText="1"/>
    </xf>
    <xf numFmtId="0" fontId="25" fillId="0" borderId="0" xfId="0" applyFont="1" applyAlignment="1">
      <alignment horizontal="center" vertical="center" wrapText="1"/>
    </xf>
    <xf numFmtId="0" fontId="25" fillId="8" borderId="0" xfId="0" applyFont="1" applyFill="1" applyAlignment="1">
      <alignment horizontal="center" vertical="center" wrapText="1"/>
    </xf>
    <xf numFmtId="0" fontId="18" fillId="0" borderId="0" xfId="0" applyFont="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5" fillId="6" borderId="6" xfId="0" applyFont="1" applyFill="1" applyBorder="1" applyAlignment="1">
      <alignment horizontal="center" vertical="center"/>
    </xf>
    <xf numFmtId="0" fontId="15" fillId="6" borderId="9" xfId="0" applyFont="1" applyFill="1" applyBorder="1" applyAlignment="1">
      <alignment horizontal="center" vertical="center"/>
    </xf>
    <xf numFmtId="0" fontId="15" fillId="6" borderId="7" xfId="0" applyFont="1" applyFill="1" applyBorder="1" applyAlignment="1">
      <alignment horizontal="center" vertical="center"/>
    </xf>
    <xf numFmtId="0" fontId="15" fillId="6" borderId="8" xfId="0" applyFont="1" applyFill="1" applyBorder="1" applyAlignment="1">
      <alignment horizontal="center" vertical="center"/>
    </xf>
    <xf numFmtId="0" fontId="15" fillId="6" borderId="4" xfId="0" applyFont="1" applyFill="1" applyBorder="1" applyAlignment="1">
      <alignment horizontal="center" vertical="center"/>
    </xf>
    <xf numFmtId="0" fontId="15" fillId="6" borderId="5" xfId="0" applyFont="1" applyFill="1" applyBorder="1" applyAlignment="1">
      <alignment horizontal="center" vertical="center"/>
    </xf>
    <xf numFmtId="0" fontId="15" fillId="6" borderId="1"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6" fillId="0" borderId="6" xfId="0" applyFont="1" applyBorder="1" applyAlignment="1">
      <alignment horizontal="center" vertical="center"/>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16" xfId="0" applyFont="1" applyBorder="1" applyAlignment="1">
      <alignment horizontal="center" vertical="center"/>
    </xf>
    <xf numFmtId="0" fontId="16" fillId="0" borderId="0" xfId="0" applyFont="1" applyAlignment="1">
      <alignment horizontal="center" vertical="center"/>
    </xf>
    <xf numFmtId="0" fontId="16" fillId="0" borderId="17" xfId="0" applyFont="1" applyBorder="1" applyAlignment="1">
      <alignment horizontal="center" vertical="center"/>
    </xf>
    <xf numFmtId="0" fontId="16" fillId="0" borderId="8"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76" fontId="0" fillId="0" borderId="7" xfId="0" applyNumberFormat="1" applyBorder="1" applyAlignment="1">
      <alignment horizontal="center" vertical="center"/>
    </xf>
    <xf numFmtId="176" fontId="0" fillId="0" borderId="8" xfId="0" applyNumberFormat="1" applyBorder="1" applyAlignment="1">
      <alignment horizontal="center" vertical="center"/>
    </xf>
    <xf numFmtId="176" fontId="0" fillId="0" borderId="4" xfId="0" applyNumberFormat="1" applyBorder="1" applyAlignment="1">
      <alignment horizontal="center" vertical="center"/>
    </xf>
    <xf numFmtId="176"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9" xfId="0" applyBorder="1">
      <alignment vertical="center"/>
    </xf>
    <xf numFmtId="0" fontId="0" fillId="0" borderId="7"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15" fillId="6" borderId="0" xfId="0" applyFont="1" applyFill="1">
      <alignment vertical="center"/>
    </xf>
    <xf numFmtId="14" fontId="0" fillId="0" borderId="6" xfId="0" applyNumberFormat="1" applyBorder="1" applyAlignment="1">
      <alignment horizontal="center" vertical="center"/>
    </xf>
    <xf numFmtId="0" fontId="0" fillId="4" borderId="1" xfId="0" applyFill="1" applyBorder="1" applyAlignment="1">
      <alignment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21" fillId="4" borderId="1" xfId="0" applyFont="1" applyFill="1" applyBorder="1" applyAlignment="1">
      <alignment vertical="center" wrapText="1"/>
    </xf>
    <xf numFmtId="0" fontId="21" fillId="4" borderId="2" xfId="0" applyFont="1" applyFill="1" applyBorder="1">
      <alignment vertical="center"/>
    </xf>
    <xf numFmtId="0" fontId="21" fillId="4" borderId="3" xfId="0" applyFont="1" applyFill="1" applyBorder="1">
      <alignment vertical="center"/>
    </xf>
    <xf numFmtId="0" fontId="24" fillId="4" borderId="21" xfId="1" applyFont="1" applyFill="1" applyBorder="1" applyAlignment="1">
      <alignment vertical="center"/>
    </xf>
    <xf numFmtId="0" fontId="24" fillId="0" borderId="22" xfId="1" applyFont="1" applyBorder="1" applyAlignment="1">
      <alignment vertical="center"/>
    </xf>
    <xf numFmtId="0" fontId="24" fillId="0" borderId="23" xfId="1" applyFont="1" applyBorder="1" applyAlignment="1">
      <alignment vertical="center"/>
    </xf>
    <xf numFmtId="0" fontId="24" fillId="0" borderId="24" xfId="1" applyFont="1" applyBorder="1" applyAlignme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2" borderId="1" xfId="0" applyFill="1" applyBorder="1" applyAlignment="1">
      <alignment vertical="center" shrinkToFit="1"/>
    </xf>
    <xf numFmtId="0" fontId="0" fillId="2" borderId="3" xfId="0" applyFill="1" applyBorder="1" applyAlignment="1">
      <alignment vertical="center" shrinkToFit="1"/>
    </xf>
    <xf numFmtId="0" fontId="0" fillId="4" borderId="1" xfId="0" applyFill="1" applyBorder="1">
      <alignment vertical="center"/>
    </xf>
    <xf numFmtId="0" fontId="0" fillId="0" borderId="2" xfId="0" applyBorder="1">
      <alignment vertical="center"/>
    </xf>
    <xf numFmtId="0" fontId="0" fillId="0" borderId="3" xfId="0" applyBorder="1">
      <alignment vertical="center"/>
    </xf>
    <xf numFmtId="0" fontId="24" fillId="4" borderId="6" xfId="1" applyFont="1" applyFill="1" applyBorder="1" applyAlignment="1">
      <alignment vertical="center"/>
    </xf>
    <xf numFmtId="0" fontId="24" fillId="0" borderId="9" xfId="1" applyFont="1" applyBorder="1" applyAlignment="1">
      <alignment vertical="center"/>
    </xf>
    <xf numFmtId="0" fontId="24" fillId="0" borderId="7" xfId="1" applyFont="1" applyBorder="1" applyAlignment="1">
      <alignment vertical="center"/>
    </xf>
    <xf numFmtId="0" fontId="24" fillId="0" borderId="16" xfId="1" applyFont="1" applyBorder="1" applyAlignment="1">
      <alignment vertical="center"/>
    </xf>
    <xf numFmtId="0" fontId="24" fillId="0" borderId="0" xfId="1" applyFont="1" applyBorder="1" applyAlignment="1">
      <alignment vertical="center"/>
    </xf>
    <xf numFmtId="0" fontId="24" fillId="0" borderId="17" xfId="1" applyFont="1" applyBorder="1" applyAlignment="1">
      <alignment vertical="center"/>
    </xf>
    <xf numFmtId="0" fontId="24" fillId="0" borderId="18" xfId="1" applyFont="1" applyBorder="1" applyAlignment="1">
      <alignment vertical="center"/>
    </xf>
    <xf numFmtId="0" fontId="24" fillId="0" borderId="19" xfId="1" applyFont="1" applyBorder="1" applyAlignment="1">
      <alignment vertical="center"/>
    </xf>
    <xf numFmtId="0" fontId="24" fillId="0" borderId="20" xfId="1" applyFont="1" applyBorder="1" applyAlignment="1">
      <alignment vertical="center"/>
    </xf>
    <xf numFmtId="0" fontId="24" fillId="0" borderId="8" xfId="1" applyFont="1" applyBorder="1" applyAlignment="1">
      <alignment vertical="center"/>
    </xf>
    <xf numFmtId="0" fontId="24" fillId="0" borderId="4" xfId="1" applyFont="1" applyBorder="1" applyAlignment="1">
      <alignment vertical="center"/>
    </xf>
    <xf numFmtId="0" fontId="24" fillId="0" borderId="5" xfId="1" applyFont="1" applyBorder="1" applyAlignment="1">
      <alignment vertical="center"/>
    </xf>
    <xf numFmtId="0" fontId="24" fillId="4" borderId="1" xfId="1" applyFont="1" applyFill="1" applyBorder="1" applyAlignment="1">
      <alignment vertical="center"/>
    </xf>
    <xf numFmtId="0" fontId="24" fillId="0" borderId="2" xfId="1" applyFont="1" applyBorder="1" applyAlignment="1">
      <alignment vertical="center"/>
    </xf>
    <xf numFmtId="0" fontId="24" fillId="0" borderId="3" xfId="1" applyFont="1" applyBorder="1" applyAlignment="1">
      <alignment vertical="center"/>
    </xf>
    <xf numFmtId="0" fontId="24" fillId="4" borderId="2" xfId="1" applyFont="1" applyFill="1" applyBorder="1" applyAlignment="1">
      <alignment vertical="center"/>
    </xf>
    <xf numFmtId="0" fontId="24" fillId="4" borderId="3" xfId="1" applyFont="1" applyFill="1" applyBorder="1" applyAlignment="1">
      <alignment vertical="center"/>
    </xf>
    <xf numFmtId="0" fontId="25" fillId="0" borderId="42"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44" xfId="0" applyFont="1" applyBorder="1" applyAlignment="1">
      <alignment horizontal="center" vertical="center" wrapText="1"/>
    </xf>
    <xf numFmtId="0" fontId="25" fillId="0" borderId="45" xfId="0" applyFont="1" applyBorder="1" applyAlignment="1">
      <alignment horizontal="center" vertical="center" wrapText="1"/>
    </xf>
    <xf numFmtId="0" fontId="25" fillId="0" borderId="0" xfId="0" applyFont="1" applyAlignment="1">
      <alignment horizontal="center" vertical="center" wrapText="1"/>
    </xf>
    <xf numFmtId="0" fontId="25" fillId="0" borderId="46" xfId="0" applyFont="1" applyBorder="1" applyAlignment="1">
      <alignment horizontal="center" vertical="center" wrapText="1"/>
    </xf>
    <xf numFmtId="0" fontId="25" fillId="0" borderId="47"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49" xfId="0" applyFont="1" applyBorder="1" applyAlignment="1">
      <alignment horizontal="center" vertical="center" wrapText="1"/>
    </xf>
    <xf numFmtId="0" fontId="25" fillId="8" borderId="42" xfId="0" applyFont="1" applyFill="1" applyBorder="1" applyAlignment="1">
      <alignment horizontal="center" vertical="center" wrapText="1"/>
    </xf>
    <xf numFmtId="0" fontId="25" fillId="8" borderId="43" xfId="0" applyFont="1" applyFill="1" applyBorder="1" applyAlignment="1">
      <alignment horizontal="center" vertical="center" wrapText="1"/>
    </xf>
    <xf numFmtId="0" fontId="25" fillId="8" borderId="44" xfId="0" applyFont="1" applyFill="1" applyBorder="1" applyAlignment="1">
      <alignment horizontal="center" vertical="center" wrapText="1"/>
    </xf>
    <xf numFmtId="0" fontId="25" fillId="8" borderId="45" xfId="0" applyFont="1" applyFill="1" applyBorder="1" applyAlignment="1">
      <alignment horizontal="center" vertical="center" wrapText="1"/>
    </xf>
    <xf numFmtId="0" fontId="25" fillId="8" borderId="0" xfId="0" applyFont="1" applyFill="1" applyAlignment="1">
      <alignment horizontal="center" vertical="center" wrapText="1"/>
    </xf>
    <xf numFmtId="0" fontId="25" fillId="8" borderId="46" xfId="0" applyFont="1" applyFill="1" applyBorder="1" applyAlignment="1">
      <alignment horizontal="center" vertical="center" wrapText="1"/>
    </xf>
    <xf numFmtId="0" fontId="25" fillId="8" borderId="47" xfId="0" applyFont="1" applyFill="1" applyBorder="1" applyAlignment="1">
      <alignment horizontal="center" vertical="center" wrapText="1"/>
    </xf>
    <xf numFmtId="0" fontId="25" fillId="8" borderId="48" xfId="0" applyFont="1" applyFill="1" applyBorder="1" applyAlignment="1">
      <alignment horizontal="center" vertical="center" wrapText="1"/>
    </xf>
    <xf numFmtId="0" fontId="25" fillId="8" borderId="49" xfId="0" applyFont="1" applyFill="1" applyBorder="1" applyAlignment="1">
      <alignment horizontal="center" vertical="center" wrapText="1"/>
    </xf>
    <xf numFmtId="0" fontId="25" fillId="7" borderId="42" xfId="0" applyFont="1" applyFill="1" applyBorder="1" applyAlignment="1">
      <alignment horizontal="center" vertical="center" wrapText="1"/>
    </xf>
    <xf numFmtId="0" fontId="25" fillId="7" borderId="43" xfId="0" applyFont="1" applyFill="1" applyBorder="1" applyAlignment="1">
      <alignment horizontal="center" vertical="center" wrapText="1"/>
    </xf>
    <xf numFmtId="0" fontId="25" fillId="7" borderId="44" xfId="0" applyFont="1" applyFill="1" applyBorder="1" applyAlignment="1">
      <alignment horizontal="center" vertical="center" wrapText="1"/>
    </xf>
    <xf numFmtId="0" fontId="25" fillId="7" borderId="45" xfId="0" applyFont="1" applyFill="1" applyBorder="1" applyAlignment="1">
      <alignment horizontal="center" vertical="center" wrapText="1"/>
    </xf>
    <xf numFmtId="0" fontId="25" fillId="7" borderId="0" xfId="0" applyFont="1" applyFill="1" applyAlignment="1">
      <alignment horizontal="center" vertical="center" wrapText="1"/>
    </xf>
    <xf numFmtId="0" fontId="25" fillId="7" borderId="46" xfId="0" applyFont="1" applyFill="1" applyBorder="1" applyAlignment="1">
      <alignment horizontal="center" vertical="center" wrapText="1"/>
    </xf>
    <xf numFmtId="0" fontId="25" fillId="7" borderId="47" xfId="0" applyFont="1" applyFill="1" applyBorder="1" applyAlignment="1">
      <alignment horizontal="center" vertical="center" wrapText="1"/>
    </xf>
    <xf numFmtId="0" fontId="25" fillId="7" borderId="48" xfId="0" applyFont="1" applyFill="1" applyBorder="1" applyAlignment="1">
      <alignment horizontal="center" vertical="center" wrapText="1"/>
    </xf>
    <xf numFmtId="0" fontId="25" fillId="7" borderId="49" xfId="0" applyFont="1" applyFill="1" applyBorder="1" applyAlignment="1">
      <alignment horizontal="center" vertical="center" wrapText="1"/>
    </xf>
    <xf numFmtId="0" fontId="25" fillId="4" borderId="50" xfId="0" applyFont="1" applyFill="1" applyBorder="1" applyAlignment="1">
      <alignment horizontal="center" vertical="center" shrinkToFit="1"/>
    </xf>
    <xf numFmtId="0" fontId="25" fillId="4" borderId="51" xfId="0" applyFont="1" applyFill="1" applyBorder="1" applyAlignment="1">
      <alignment horizontal="center" vertical="center" shrinkToFit="1"/>
    </xf>
    <xf numFmtId="0" fontId="25" fillId="4" borderId="52" xfId="0" applyFont="1" applyFill="1" applyBorder="1" applyAlignment="1">
      <alignment horizontal="center" vertical="center" shrinkToFit="1"/>
    </xf>
    <xf numFmtId="0" fontId="25" fillId="7" borderId="43" xfId="0" applyFont="1" applyFill="1" applyBorder="1" applyAlignment="1">
      <alignment horizontal="center" vertical="center"/>
    </xf>
    <xf numFmtId="0" fontId="25" fillId="7" borderId="44" xfId="0" applyFont="1" applyFill="1" applyBorder="1" applyAlignment="1">
      <alignment horizontal="center" vertical="center"/>
    </xf>
    <xf numFmtId="0" fontId="25" fillId="7" borderId="45" xfId="0" applyFont="1" applyFill="1" applyBorder="1" applyAlignment="1">
      <alignment horizontal="center" vertical="center"/>
    </xf>
    <xf numFmtId="0" fontId="25" fillId="7" borderId="0" xfId="0" applyFont="1" applyFill="1" applyAlignment="1">
      <alignment horizontal="center" vertical="center"/>
    </xf>
    <xf numFmtId="0" fontId="25" fillId="7" borderId="46" xfId="0" applyFont="1" applyFill="1" applyBorder="1" applyAlignment="1">
      <alignment horizontal="center" vertical="center"/>
    </xf>
    <xf numFmtId="0" fontId="25" fillId="7" borderId="47" xfId="0" applyFont="1" applyFill="1" applyBorder="1" applyAlignment="1">
      <alignment horizontal="center" vertical="center"/>
    </xf>
    <xf numFmtId="0" fontId="25" fillId="7" borderId="48" xfId="0" applyFont="1" applyFill="1" applyBorder="1" applyAlignment="1">
      <alignment horizontal="center" vertical="center"/>
    </xf>
    <xf numFmtId="0" fontId="25" fillId="7" borderId="49" xfId="0" applyFont="1" applyFill="1" applyBorder="1" applyAlignment="1">
      <alignment horizontal="center" vertical="center"/>
    </xf>
    <xf numFmtId="0" fontId="25" fillId="7" borderId="42" xfId="0" applyFont="1" applyFill="1" applyBorder="1" applyAlignment="1">
      <alignment horizontal="center" vertical="center"/>
    </xf>
    <xf numFmtId="0" fontId="25" fillId="7" borderId="41" xfId="0" applyFont="1" applyFill="1" applyBorder="1" applyAlignment="1">
      <alignment horizontal="center" vertical="center"/>
    </xf>
    <xf numFmtId="0" fontId="25" fillId="4" borderId="53" xfId="0" applyFont="1" applyFill="1" applyBorder="1" applyAlignment="1">
      <alignment horizontal="center" vertical="center" shrinkToFit="1"/>
    </xf>
    <xf numFmtId="0" fontId="25" fillId="4" borderId="54" xfId="0" applyFont="1" applyFill="1" applyBorder="1" applyAlignment="1">
      <alignment horizontal="center" vertical="center" shrinkToFit="1"/>
    </xf>
    <xf numFmtId="0" fontId="25" fillId="4" borderId="55" xfId="0" applyFont="1" applyFill="1" applyBorder="1" applyAlignment="1">
      <alignment horizontal="center" vertical="center" shrinkToFit="1"/>
    </xf>
    <xf numFmtId="0" fontId="25" fillId="4" borderId="56" xfId="0" applyFont="1" applyFill="1" applyBorder="1" applyAlignment="1">
      <alignment horizontal="center" vertical="center" shrinkToFit="1"/>
    </xf>
    <xf numFmtId="0" fontId="25" fillId="4" borderId="57" xfId="0" applyFont="1" applyFill="1" applyBorder="1" applyAlignment="1">
      <alignment horizontal="center" vertical="center" shrinkToFit="1"/>
    </xf>
    <xf numFmtId="0" fontId="25" fillId="4" borderId="58" xfId="0" applyFont="1" applyFill="1" applyBorder="1" applyAlignment="1">
      <alignment horizontal="center" vertical="center" shrinkToFit="1"/>
    </xf>
    <xf numFmtId="0" fontId="0" fillId="0" borderId="6"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16" xfId="0" applyBorder="1">
      <alignment vertical="center"/>
    </xf>
    <xf numFmtId="0" fontId="0" fillId="0" borderId="0" xfId="0">
      <alignment vertical="center"/>
    </xf>
    <xf numFmtId="0" fontId="0" fillId="0" borderId="17" xfId="0" applyBorder="1">
      <alignment vertical="center"/>
    </xf>
    <xf numFmtId="0" fontId="23" fillId="5" borderId="24" xfId="0" applyFont="1" applyFill="1" applyBorder="1">
      <alignment vertical="center"/>
    </xf>
    <xf numFmtId="0" fontId="23" fillId="5" borderId="6" xfId="0" applyFont="1" applyFill="1" applyBorder="1" applyAlignment="1">
      <alignment vertical="center" wrapText="1"/>
    </xf>
    <xf numFmtId="0" fontId="23" fillId="5" borderId="16" xfId="0" applyFont="1" applyFill="1" applyBorder="1" applyAlignment="1">
      <alignment vertical="center" wrapText="1"/>
    </xf>
    <xf numFmtId="0" fontId="0" fillId="0" borderId="0" xfId="0" applyAlignment="1">
      <alignment vertical="center" wrapText="1"/>
    </xf>
    <xf numFmtId="0" fontId="0" fillId="0" borderId="17" xfId="0" applyBorder="1" applyAlignment="1">
      <alignment vertical="center" wrapText="1"/>
    </xf>
    <xf numFmtId="0" fontId="0" fillId="0" borderId="16" xfId="0" applyBorder="1" applyAlignment="1">
      <alignment vertical="center" wrapText="1"/>
    </xf>
    <xf numFmtId="0" fontId="23" fillId="0" borderId="24" xfId="0" applyFont="1" applyBorder="1">
      <alignment vertical="center"/>
    </xf>
    <xf numFmtId="0" fontId="23" fillId="5" borderId="6" xfId="0" applyFont="1" applyFill="1" applyBorder="1">
      <alignment vertical="center"/>
    </xf>
    <xf numFmtId="0" fontId="23" fillId="5" borderId="9" xfId="0" applyFont="1" applyFill="1" applyBorder="1">
      <alignment vertical="center"/>
    </xf>
    <xf numFmtId="0" fontId="23" fillId="5" borderId="7" xfId="0" applyFont="1" applyFill="1" applyBorder="1">
      <alignment vertical="center"/>
    </xf>
    <xf numFmtId="0" fontId="23" fillId="0" borderId="6" xfId="0" applyFont="1" applyBorder="1">
      <alignment vertical="center"/>
    </xf>
    <xf numFmtId="0" fontId="23" fillId="0" borderId="9" xfId="0" applyFont="1" applyBorder="1">
      <alignment vertical="center"/>
    </xf>
    <xf numFmtId="0" fontId="23" fillId="0" borderId="7" xfId="0" applyFont="1" applyBorder="1">
      <alignment vertical="center"/>
    </xf>
    <xf numFmtId="0" fontId="23" fillId="0" borderId="1" xfId="0" applyFont="1" applyBorder="1">
      <alignment vertical="center"/>
    </xf>
    <xf numFmtId="0" fontId="23" fillId="0" borderId="2" xfId="0" applyFont="1" applyBorder="1">
      <alignment vertical="center"/>
    </xf>
    <xf numFmtId="0" fontId="23" fillId="0" borderId="3" xfId="0" applyFont="1" applyBorder="1">
      <alignment vertical="center"/>
    </xf>
    <xf numFmtId="0" fontId="23" fillId="0" borderId="6" xfId="0" applyFont="1" applyBorder="1" applyAlignment="1">
      <alignment vertical="center" wrapText="1"/>
    </xf>
    <xf numFmtId="0" fontId="23" fillId="0" borderId="9" xfId="0" applyFont="1" applyBorder="1" applyAlignment="1">
      <alignment vertical="center" wrapText="1"/>
    </xf>
    <xf numFmtId="0" fontId="23" fillId="0" borderId="7" xfId="0" applyFont="1" applyBorder="1" applyAlignment="1">
      <alignment vertical="center" wrapText="1"/>
    </xf>
    <xf numFmtId="0" fontId="23" fillId="5" borderId="1" xfId="0" applyFont="1" applyFill="1" applyBorder="1">
      <alignment vertical="center"/>
    </xf>
    <xf numFmtId="0" fontId="23" fillId="5" borderId="2" xfId="0" applyFont="1" applyFill="1" applyBorder="1">
      <alignment vertical="center"/>
    </xf>
    <xf numFmtId="0" fontId="23" fillId="5" borderId="3" xfId="0" applyFont="1" applyFill="1" applyBorder="1">
      <alignment vertical="center"/>
    </xf>
  </cellXfs>
  <cellStyles count="4">
    <cellStyle name="ハイパーリンク" xfId="1" builtinId="8"/>
    <cellStyle name="標準" xfId="0" builtinId="0" customBuiltin="1"/>
    <cellStyle name="標準_ドキュメント記述ルール" xfId="3" xr:uid="{00000000-0005-0000-0000-000002000000}"/>
    <cellStyle name="標準_外部設計書（サンプル）" xfId="2" xr:uid="{00000000-0005-0000-0000-000003000000}"/>
  </cellStyles>
  <dxfs count="0"/>
  <tableStyles count="0" defaultTableStyle="TableStyleMedium2" defaultPivotStyle="PivotStyleLight16"/>
  <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22</xdr:col>
      <xdr:colOff>152400</xdr:colOff>
      <xdr:row>107</xdr:row>
      <xdr:rowOff>152399</xdr:rowOff>
    </xdr:from>
    <xdr:to>
      <xdr:col>24</xdr:col>
      <xdr:colOff>57150</xdr:colOff>
      <xdr:row>109</xdr:row>
      <xdr:rowOff>142874</xdr:rowOff>
    </xdr:to>
    <xdr:sp macro="" textlink="">
      <xdr:nvSpPr>
        <xdr:cNvPr id="2" name="右矢印 1">
          <a:extLst>
            <a:ext uri="{FF2B5EF4-FFF2-40B4-BE49-F238E27FC236}">
              <a16:creationId xmlns:a16="http://schemas.microsoft.com/office/drawing/2014/main" id="{00000000-0008-0000-0300-000002000000}"/>
            </a:ext>
          </a:extLst>
        </xdr:cNvPr>
        <xdr:cNvSpPr/>
      </xdr:nvSpPr>
      <xdr:spPr>
        <a:xfrm>
          <a:off x="5295900" y="1252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152400</xdr:colOff>
      <xdr:row>130</xdr:row>
      <xdr:rowOff>9524</xdr:rowOff>
    </xdr:from>
    <xdr:to>
      <xdr:col>25</xdr:col>
      <xdr:colOff>57150</xdr:colOff>
      <xdr:row>131</xdr:row>
      <xdr:rowOff>152399</xdr:rowOff>
    </xdr:to>
    <xdr:sp macro="" textlink="">
      <xdr:nvSpPr>
        <xdr:cNvPr id="3" name="右矢印 2">
          <a:extLst>
            <a:ext uri="{FF2B5EF4-FFF2-40B4-BE49-F238E27FC236}">
              <a16:creationId xmlns:a16="http://schemas.microsoft.com/office/drawing/2014/main" id="{00000000-0008-0000-0300-000003000000}"/>
            </a:ext>
          </a:extLst>
        </xdr:cNvPr>
        <xdr:cNvSpPr/>
      </xdr:nvSpPr>
      <xdr:spPr>
        <a:xfrm>
          <a:off x="5295900" y="15278099"/>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152400</xdr:colOff>
      <xdr:row>142</xdr:row>
      <xdr:rowOff>152399</xdr:rowOff>
    </xdr:from>
    <xdr:to>
      <xdr:col>25</xdr:col>
      <xdr:colOff>57150</xdr:colOff>
      <xdr:row>144</xdr:row>
      <xdr:rowOff>142874</xdr:rowOff>
    </xdr:to>
    <xdr:sp macro="" textlink="">
      <xdr:nvSpPr>
        <xdr:cNvPr id="4" name="右矢印 3">
          <a:extLst>
            <a:ext uri="{FF2B5EF4-FFF2-40B4-BE49-F238E27FC236}">
              <a16:creationId xmlns:a16="http://schemas.microsoft.com/office/drawing/2014/main" id="{00000000-0008-0000-0300-000004000000}"/>
            </a:ext>
          </a:extLst>
        </xdr:cNvPr>
        <xdr:cNvSpPr/>
      </xdr:nvSpPr>
      <xdr:spPr>
        <a:xfrm>
          <a:off x="5295900" y="1633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0</xdr:colOff>
      <xdr:row>79</xdr:row>
      <xdr:rowOff>0</xdr:rowOff>
    </xdr:from>
    <xdr:to>
      <xdr:col>41</xdr:col>
      <xdr:colOff>0</xdr:colOff>
      <xdr:row>83</xdr:row>
      <xdr:rowOff>38100</xdr:rowOff>
    </xdr:to>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5715000" y="15156656"/>
          <a:ext cx="4048125" cy="8001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1100">
              <a:latin typeface="Meiryo UI" panose="020B0604030504040204" pitchFamily="50" charset="-128"/>
              <a:ea typeface="Meiryo UI" panose="020B0604030504040204" pitchFamily="50" charset="-128"/>
            </a:rPr>
            <a:t>単品コード：</a:t>
          </a:r>
          <a:r>
            <a:rPr kumimoji="1" lang="en-US" altLang="ja-JP" sz="1100">
              <a:latin typeface="Meiryo UI" panose="020B0604030504040204" pitchFamily="50" charset="-128"/>
              <a:ea typeface="Meiryo UI" panose="020B0604030504040204" pitchFamily="50" charset="-128"/>
            </a:rPr>
            <a:t>4900000000011</a:t>
          </a:r>
          <a:r>
            <a:rPr kumimoji="1" lang="ja-JP" altLang="en-US" sz="1100">
              <a:latin typeface="Meiryo UI" panose="020B0604030504040204" pitchFamily="50" charset="-128"/>
              <a:ea typeface="Meiryo UI" panose="020B0604030504040204" pitchFamily="50" charset="-128"/>
            </a:rPr>
            <a:t>は、</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が適用対象のミックスマッチ設定のため、</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は</a:t>
          </a:r>
          <a:r>
            <a:rPr kumimoji="1" lang="ja-JP" altLang="en-US" sz="1100" baseline="0">
              <a:latin typeface="Meiryo UI" panose="020B0604030504040204" pitchFamily="50" charset="-128"/>
              <a:ea typeface="Meiryo UI" panose="020B0604030504040204" pitchFamily="50" charset="-128"/>
            </a:rPr>
            <a:t>成立しない。</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90</xdr:row>
      <xdr:rowOff>9525</xdr:rowOff>
    </xdr:from>
    <xdr:to>
      <xdr:col>24</xdr:col>
      <xdr:colOff>0</xdr:colOff>
      <xdr:row>93</xdr:row>
      <xdr:rowOff>9525</xdr:rowOff>
    </xdr:to>
    <xdr:sp macro="" textlink="">
      <xdr:nvSpPr>
        <xdr:cNvPr id="5" name="右中かっこ 4">
          <a:extLst>
            <a:ext uri="{FF2B5EF4-FFF2-40B4-BE49-F238E27FC236}">
              <a16:creationId xmlns:a16="http://schemas.microsoft.com/office/drawing/2014/main" id="{00000000-0008-0000-0600-000005000000}"/>
            </a:ext>
          </a:extLst>
        </xdr:cNvPr>
        <xdr:cNvSpPr/>
      </xdr:nvSpPr>
      <xdr:spPr>
        <a:xfrm>
          <a:off x="5400675" y="11925300"/>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24</xdr:col>
      <xdr:colOff>0</xdr:colOff>
      <xdr:row>89</xdr:row>
      <xdr:rowOff>0</xdr:rowOff>
    </xdr:from>
    <xdr:to>
      <xdr:col>41</xdr:col>
      <xdr:colOff>0</xdr:colOff>
      <xdr:row>93</xdr:row>
      <xdr:rowOff>38100</xdr:rowOff>
    </xdr:to>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5715000" y="17061656"/>
          <a:ext cx="4048125" cy="8001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1100">
              <a:latin typeface="Meiryo UI" panose="020B0604030504040204" pitchFamily="50" charset="-128"/>
              <a:ea typeface="Meiryo UI" panose="020B0604030504040204" pitchFamily="50" charset="-128"/>
            </a:rPr>
            <a:t>商品の採用売価が高いものからミックスマッチを適用するため、</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商品コード：</a:t>
          </a:r>
          <a:r>
            <a:rPr kumimoji="1" lang="en-US" altLang="ja-JP" sz="1100">
              <a:latin typeface="Meiryo UI" panose="020B0604030504040204" pitchFamily="50" charset="-128"/>
              <a:ea typeface="Meiryo UI" panose="020B0604030504040204" pitchFamily="50" charset="-128"/>
            </a:rPr>
            <a:t>4900000000013</a:t>
          </a:r>
          <a:r>
            <a:rPr kumimoji="1" lang="ja-JP" altLang="en-US" sz="1100">
              <a:latin typeface="Meiryo UI" panose="020B0604030504040204" pitchFamily="50" charset="-128"/>
              <a:ea typeface="Meiryo UI" panose="020B0604030504040204" pitchFamily="50" charset="-128"/>
            </a:rPr>
            <a:t>　から、ミックスマッチを成立させる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98</xdr:row>
      <xdr:rowOff>19051</xdr:rowOff>
    </xdr:from>
    <xdr:to>
      <xdr:col>24</xdr:col>
      <xdr:colOff>0</xdr:colOff>
      <xdr:row>101</xdr:row>
      <xdr:rowOff>19051</xdr:rowOff>
    </xdr:to>
    <xdr:sp macro="" textlink="">
      <xdr:nvSpPr>
        <xdr:cNvPr id="7" name="右中かっこ 6">
          <a:extLst>
            <a:ext uri="{FF2B5EF4-FFF2-40B4-BE49-F238E27FC236}">
              <a16:creationId xmlns:a16="http://schemas.microsoft.com/office/drawing/2014/main" id="{00000000-0008-0000-0600-000007000000}"/>
            </a:ext>
          </a:extLst>
        </xdr:cNvPr>
        <xdr:cNvSpPr/>
      </xdr:nvSpPr>
      <xdr:spPr>
        <a:xfrm>
          <a:off x="5400675" y="13154026"/>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101</xdr:row>
      <xdr:rowOff>19050</xdr:rowOff>
    </xdr:from>
    <xdr:to>
      <xdr:col>24</xdr:col>
      <xdr:colOff>0</xdr:colOff>
      <xdr:row>104</xdr:row>
      <xdr:rowOff>19050</xdr:rowOff>
    </xdr:to>
    <xdr:sp macro="" textlink="">
      <xdr:nvSpPr>
        <xdr:cNvPr id="9" name="右中かっこ 8">
          <a:extLst>
            <a:ext uri="{FF2B5EF4-FFF2-40B4-BE49-F238E27FC236}">
              <a16:creationId xmlns:a16="http://schemas.microsoft.com/office/drawing/2014/main" id="{00000000-0008-0000-0600-000009000000}"/>
            </a:ext>
          </a:extLst>
        </xdr:cNvPr>
        <xdr:cNvSpPr/>
      </xdr:nvSpPr>
      <xdr:spPr>
        <a:xfrm>
          <a:off x="5400675" y="1361122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23</xdr:col>
      <xdr:colOff>238124</xdr:colOff>
      <xdr:row>98</xdr:row>
      <xdr:rowOff>0</xdr:rowOff>
    </xdr:from>
    <xdr:to>
      <xdr:col>45</xdr:col>
      <xdr:colOff>0</xdr:colOff>
      <xdr:row>104</xdr:row>
      <xdr:rowOff>28575</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5714999" y="18776156"/>
          <a:ext cx="5000626" cy="11715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の</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段階目</a:t>
          </a:r>
          <a:r>
            <a:rPr kumimoji="1" lang="en-US" altLang="ja-JP" sz="1100">
              <a:latin typeface="Meiryo UI" panose="020B0604030504040204" pitchFamily="50" charset="-128"/>
              <a:ea typeface="Meiryo UI" panose="020B0604030504040204" pitchFamily="50" charset="-128"/>
            </a:rPr>
            <a:t>(5</a:t>
          </a:r>
          <a:r>
            <a:rPr kumimoji="1" lang="ja-JP" altLang="en-US" sz="1100">
              <a:latin typeface="Meiryo UI" panose="020B0604030504040204" pitchFamily="50" charset="-128"/>
              <a:ea typeface="Meiryo UI" panose="020B0604030504040204" pitchFamily="50" charset="-128"/>
            </a:rPr>
            <a:t>個　</a:t>
          </a:r>
          <a:r>
            <a:rPr kumimoji="1" lang="en-US" altLang="ja-JP" sz="1100">
              <a:latin typeface="Meiryo UI" panose="020B0604030504040204" pitchFamily="50" charset="-128"/>
              <a:ea typeface="Meiryo UI" panose="020B0604030504040204" pitchFamily="50" charset="-128"/>
            </a:rPr>
            <a:t>425</a:t>
          </a:r>
          <a:r>
            <a:rPr kumimoji="1" lang="ja-JP" altLang="en-US" sz="1100">
              <a:latin typeface="Meiryo UI" panose="020B0604030504040204" pitchFamily="50" charset="-128"/>
              <a:ea typeface="Meiryo UI" panose="020B0604030504040204" pitchFamily="50" charset="-128"/>
            </a:rPr>
            <a:t>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成立＋通常単価」（合計　</a:t>
          </a:r>
          <a:r>
            <a:rPr kumimoji="1" lang="en-US" altLang="ja-JP" sz="1100">
              <a:latin typeface="Meiryo UI" panose="020B0604030504040204" pitchFamily="50" charset="-128"/>
              <a:ea typeface="Meiryo UI" panose="020B0604030504040204" pitchFamily="50" charset="-128"/>
            </a:rPr>
            <a:t>555</a:t>
          </a:r>
          <a:r>
            <a:rPr kumimoji="1" lang="ja-JP" altLang="en-US" sz="1100">
              <a:latin typeface="Meiryo UI" panose="020B0604030504040204" pitchFamily="50" charset="-128"/>
              <a:ea typeface="Meiryo UI" panose="020B0604030504040204" pitchFamily="50" charset="-128"/>
            </a:rPr>
            <a:t>円）</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よりも</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の</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段階目</a:t>
          </a:r>
          <a:r>
            <a:rPr kumimoji="1" lang="en-US" altLang="ja-JP" sz="1100">
              <a:latin typeface="Meiryo UI" panose="020B0604030504040204" pitchFamily="50" charset="-128"/>
              <a:ea typeface="Meiryo UI" panose="020B0604030504040204" pitchFamily="50" charset="-128"/>
            </a:rPr>
            <a:t>(3</a:t>
          </a:r>
          <a:r>
            <a:rPr kumimoji="1" lang="ja-JP" altLang="en-US" sz="1100">
              <a:latin typeface="Meiryo UI" panose="020B0604030504040204" pitchFamily="50" charset="-128"/>
              <a:ea typeface="Meiryo UI" panose="020B0604030504040204" pitchFamily="50" charset="-128"/>
            </a:rPr>
            <a:t>個　</a:t>
          </a:r>
          <a:r>
            <a:rPr kumimoji="1" lang="en-US" altLang="ja-JP" sz="1100">
              <a:latin typeface="Meiryo UI" panose="020B0604030504040204" pitchFamily="50" charset="-128"/>
              <a:ea typeface="Meiryo UI" panose="020B0604030504040204" pitchFamily="50" charset="-128"/>
            </a:rPr>
            <a:t>270</a:t>
          </a:r>
          <a:r>
            <a:rPr kumimoji="1" lang="ja-JP" altLang="en-US" sz="1100">
              <a:latin typeface="Meiryo UI" panose="020B0604030504040204" pitchFamily="50" charset="-128"/>
              <a:ea typeface="Meiryo UI" panose="020B0604030504040204" pitchFamily="50" charset="-128"/>
            </a:rPr>
            <a:t>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成立</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セット」（合計　</a:t>
          </a:r>
          <a:r>
            <a:rPr kumimoji="1" lang="en-US" altLang="ja-JP" sz="1100">
              <a:latin typeface="Meiryo UI" panose="020B0604030504040204" pitchFamily="50" charset="-128"/>
              <a:ea typeface="Meiryo UI" panose="020B0604030504040204" pitchFamily="50" charset="-128"/>
            </a:rPr>
            <a:t>540</a:t>
          </a:r>
          <a:r>
            <a:rPr kumimoji="1" lang="ja-JP" altLang="en-US" sz="1100">
              <a:latin typeface="Meiryo UI" panose="020B0604030504040204" pitchFamily="50" charset="-128"/>
              <a:ea typeface="Meiryo UI" panose="020B0604030504040204" pitchFamily="50" charset="-128"/>
            </a:rPr>
            <a:t>円）</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の方が、取引合計額が安価となるため、</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段階目を</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セット成立させる。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80</xdr:row>
      <xdr:rowOff>0</xdr:rowOff>
    </xdr:from>
    <xdr:to>
      <xdr:col>24</xdr:col>
      <xdr:colOff>0</xdr:colOff>
      <xdr:row>83</xdr:row>
      <xdr:rowOff>0</xdr:rowOff>
    </xdr:to>
    <xdr:sp macro="" textlink="">
      <xdr:nvSpPr>
        <xdr:cNvPr id="11" name="右中かっこ 10">
          <a:extLst>
            <a:ext uri="{FF2B5EF4-FFF2-40B4-BE49-F238E27FC236}">
              <a16:creationId xmlns:a16="http://schemas.microsoft.com/office/drawing/2014/main" id="{00000000-0008-0000-0600-00000B000000}"/>
            </a:ext>
          </a:extLst>
        </xdr:cNvPr>
        <xdr:cNvSpPr/>
      </xdr:nvSpPr>
      <xdr:spPr>
        <a:xfrm>
          <a:off x="5400675" y="1039177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22</xdr:col>
      <xdr:colOff>66675</xdr:colOff>
      <xdr:row>137</xdr:row>
      <xdr:rowOff>57150</xdr:rowOff>
    </xdr:from>
    <xdr:to>
      <xdr:col>37</xdr:col>
      <xdr:colOff>0</xdr:colOff>
      <xdr:row>142</xdr:row>
      <xdr:rowOff>104775</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5305425" y="26262806"/>
          <a:ext cx="3505200" cy="1000125"/>
        </a:xfrm>
        <a:prstGeom prst="borderCallout1">
          <a:avLst>
            <a:gd name="adj1" fmla="val 5809"/>
            <a:gd name="adj2" fmla="val -2160"/>
            <a:gd name="adj3" fmla="val -29853"/>
            <a:gd name="adj4" fmla="val -1611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1100">
              <a:latin typeface="Meiryo UI" panose="020B0604030504040204" pitchFamily="50" charset="-128"/>
              <a:ea typeface="Meiryo UI" panose="020B0604030504040204" pitchFamily="50" charset="-128"/>
            </a:rPr>
            <a:t>計算式は</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商品</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点あたりの割引按分額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70</a:t>
          </a:r>
          <a:r>
            <a:rPr kumimoji="1" lang="en-US" altLang="ja-JP" sz="1100" baseline="0">
              <a:latin typeface="Meiryo UI" panose="020B0604030504040204" pitchFamily="50" charset="-128"/>
              <a:ea typeface="Meiryo UI" panose="020B0604030504040204" pitchFamily="50" charset="-128"/>
            </a:rPr>
            <a:t>×(180÷(160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360))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24</a:t>
          </a: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端数切捨て</a:t>
          </a:r>
          <a:endParaRPr kumimoji="1" lang="en-US" altLang="ja-JP" sz="1100" baseline="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明細行としての割引按分額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24×2</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48</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22</xdr:col>
      <xdr:colOff>9525</xdr:colOff>
      <xdr:row>160</xdr:row>
      <xdr:rowOff>0</xdr:rowOff>
    </xdr:from>
    <xdr:to>
      <xdr:col>37</xdr:col>
      <xdr:colOff>0</xdr:colOff>
      <xdr:row>165</xdr:row>
      <xdr:rowOff>47625</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5248275" y="30587156"/>
          <a:ext cx="3562350" cy="1000125"/>
        </a:xfrm>
        <a:prstGeom prst="borderCallout1">
          <a:avLst>
            <a:gd name="adj1" fmla="val 15221"/>
            <a:gd name="adj2" fmla="val -2160"/>
            <a:gd name="adj3" fmla="val -63971"/>
            <a:gd name="adj4" fmla="val -124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1100">
              <a:latin typeface="Meiryo UI" panose="020B0604030504040204" pitchFamily="50" charset="-128"/>
              <a:ea typeface="Meiryo UI" panose="020B0604030504040204" pitchFamily="50" charset="-128"/>
            </a:rPr>
            <a:t>計算式は</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商品</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点あたりの割引按分額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160</a:t>
          </a:r>
          <a:r>
            <a:rPr kumimoji="1" lang="en-US" altLang="ja-JP" sz="1100" baseline="0">
              <a:latin typeface="Meiryo UI" panose="020B0604030504040204" pitchFamily="50" charset="-128"/>
              <a:ea typeface="Meiryo UI" panose="020B0604030504040204" pitchFamily="50" charset="-128"/>
            </a:rPr>
            <a:t>×(160÷(320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180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360))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29</a:t>
          </a: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端数切捨て</a:t>
          </a:r>
          <a:endParaRPr kumimoji="1" lang="en-US" altLang="ja-JP" sz="1100" baseline="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明細行としての割引按分額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29×2</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58</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70</xdr:row>
      <xdr:rowOff>0</xdr:rowOff>
    </xdr:from>
    <xdr:to>
      <xdr:col>34</xdr:col>
      <xdr:colOff>0</xdr:colOff>
      <xdr:row>70</xdr:row>
      <xdr:rowOff>0</xdr:rowOff>
    </xdr:to>
    <xdr:cxnSp macro="">
      <xdr:nvCxnSpPr>
        <xdr:cNvPr id="2" name="直線矢印コネクタ 1">
          <a:extLst>
            <a:ext uri="{FF2B5EF4-FFF2-40B4-BE49-F238E27FC236}">
              <a16:creationId xmlns:a16="http://schemas.microsoft.com/office/drawing/2014/main" id="{00000000-0008-0000-0900-000002000000}"/>
            </a:ext>
          </a:extLst>
        </xdr:cNvPr>
        <xdr:cNvCxnSpPr/>
      </xdr:nvCxnSpPr>
      <xdr:spPr bwMode="auto">
        <a:xfrm>
          <a:off x="190500" y="49453800"/>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59</xdr:row>
      <xdr:rowOff>1</xdr:rowOff>
    </xdr:from>
    <xdr:to>
      <xdr:col>34</xdr:col>
      <xdr:colOff>0</xdr:colOff>
      <xdr:row>59</xdr:row>
      <xdr:rowOff>1</xdr:rowOff>
    </xdr:to>
    <xdr:cxnSp macro="">
      <xdr:nvCxnSpPr>
        <xdr:cNvPr id="3" name="直線矢印コネクタ 2">
          <a:extLst>
            <a:ext uri="{FF2B5EF4-FFF2-40B4-BE49-F238E27FC236}">
              <a16:creationId xmlns:a16="http://schemas.microsoft.com/office/drawing/2014/main" id="{00000000-0008-0000-0900-000003000000}"/>
            </a:ext>
          </a:extLst>
        </xdr:cNvPr>
        <xdr:cNvCxnSpPr/>
      </xdr:nvCxnSpPr>
      <xdr:spPr bwMode="auto">
        <a:xfrm>
          <a:off x="190500" y="45853351"/>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54</xdr:row>
      <xdr:rowOff>0</xdr:rowOff>
    </xdr:from>
    <xdr:to>
      <xdr:col>5</xdr:col>
      <xdr:colOff>0</xdr:colOff>
      <xdr:row>71</xdr:row>
      <xdr:rowOff>0</xdr:rowOff>
    </xdr:to>
    <xdr:cxnSp macro="">
      <xdr:nvCxnSpPr>
        <xdr:cNvPr id="4" name="直線コネクタ 3">
          <a:extLst>
            <a:ext uri="{FF2B5EF4-FFF2-40B4-BE49-F238E27FC236}">
              <a16:creationId xmlns:a16="http://schemas.microsoft.com/office/drawing/2014/main" id="{00000000-0008-0000-0900-000004000000}"/>
            </a:ext>
          </a:extLst>
        </xdr:cNvPr>
        <xdr:cNvCxnSpPr/>
      </xdr:nvCxnSpPr>
      <xdr:spPr bwMode="auto">
        <a:xfrm>
          <a:off x="952500" y="44996100"/>
          <a:ext cx="0" cy="46291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61</xdr:row>
      <xdr:rowOff>0</xdr:rowOff>
    </xdr:from>
    <xdr:to>
      <xdr:col>9</xdr:col>
      <xdr:colOff>0</xdr:colOff>
      <xdr:row>71</xdr:row>
      <xdr:rowOff>0</xdr:rowOff>
    </xdr:to>
    <xdr:cxnSp macro="">
      <xdr:nvCxnSpPr>
        <xdr:cNvPr id="5" name="直線コネクタ 4">
          <a:extLst>
            <a:ext uri="{FF2B5EF4-FFF2-40B4-BE49-F238E27FC236}">
              <a16:creationId xmlns:a16="http://schemas.microsoft.com/office/drawing/2014/main" id="{00000000-0008-0000-0900-000005000000}"/>
            </a:ext>
          </a:extLst>
        </xdr:cNvPr>
        <xdr:cNvCxnSpPr/>
      </xdr:nvCxnSpPr>
      <xdr:spPr bwMode="auto">
        <a:xfrm>
          <a:off x="17145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61</xdr:row>
      <xdr:rowOff>0</xdr:rowOff>
    </xdr:from>
    <xdr:to>
      <xdr:col>12</xdr:col>
      <xdr:colOff>0</xdr:colOff>
      <xdr:row>71</xdr:row>
      <xdr:rowOff>0</xdr:rowOff>
    </xdr:to>
    <xdr:cxnSp macro="">
      <xdr:nvCxnSpPr>
        <xdr:cNvPr id="6" name="直線コネクタ 5">
          <a:extLst>
            <a:ext uri="{FF2B5EF4-FFF2-40B4-BE49-F238E27FC236}">
              <a16:creationId xmlns:a16="http://schemas.microsoft.com/office/drawing/2014/main" id="{00000000-0008-0000-0900-000006000000}"/>
            </a:ext>
          </a:extLst>
        </xdr:cNvPr>
        <xdr:cNvCxnSpPr/>
      </xdr:nvCxnSpPr>
      <xdr:spPr bwMode="auto">
        <a:xfrm>
          <a:off x="304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57</xdr:row>
      <xdr:rowOff>0</xdr:rowOff>
    </xdr:from>
    <xdr:to>
      <xdr:col>20</xdr:col>
      <xdr:colOff>0</xdr:colOff>
      <xdr:row>71</xdr:row>
      <xdr:rowOff>0</xdr:rowOff>
    </xdr:to>
    <xdr:cxnSp macro="">
      <xdr:nvCxnSpPr>
        <xdr:cNvPr id="7" name="直線コネクタ 6">
          <a:extLst>
            <a:ext uri="{FF2B5EF4-FFF2-40B4-BE49-F238E27FC236}">
              <a16:creationId xmlns:a16="http://schemas.microsoft.com/office/drawing/2014/main" id="{00000000-0008-0000-0900-000007000000}"/>
            </a:ext>
          </a:extLst>
        </xdr:cNvPr>
        <xdr:cNvCxnSpPr/>
      </xdr:nvCxnSpPr>
      <xdr:spPr bwMode="auto">
        <a:xfrm>
          <a:off x="4572000" y="45510450"/>
          <a:ext cx="0" cy="41148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61</xdr:row>
      <xdr:rowOff>0</xdr:rowOff>
    </xdr:from>
    <xdr:to>
      <xdr:col>27</xdr:col>
      <xdr:colOff>0</xdr:colOff>
      <xdr:row>71</xdr:row>
      <xdr:rowOff>0</xdr:rowOff>
    </xdr:to>
    <xdr:cxnSp macro="">
      <xdr:nvCxnSpPr>
        <xdr:cNvPr id="8" name="直線コネクタ 7">
          <a:extLst>
            <a:ext uri="{FF2B5EF4-FFF2-40B4-BE49-F238E27FC236}">
              <a16:creationId xmlns:a16="http://schemas.microsoft.com/office/drawing/2014/main" id="{00000000-0008-0000-0900-000008000000}"/>
            </a:ext>
          </a:extLst>
        </xdr:cNvPr>
        <xdr:cNvCxnSpPr/>
      </xdr:nvCxnSpPr>
      <xdr:spPr bwMode="auto">
        <a:xfrm>
          <a:off x="685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64</xdr:row>
      <xdr:rowOff>47625</xdr:rowOff>
    </xdr:from>
    <xdr:to>
      <xdr:col>20</xdr:col>
      <xdr:colOff>0</xdr:colOff>
      <xdr:row>65</xdr:row>
      <xdr:rowOff>47625</xdr:rowOff>
    </xdr:to>
    <xdr:sp macro="" textlink="">
      <xdr:nvSpPr>
        <xdr:cNvPr id="9" name="左右矢印 8">
          <a:extLst>
            <a:ext uri="{FF2B5EF4-FFF2-40B4-BE49-F238E27FC236}">
              <a16:creationId xmlns:a16="http://schemas.microsoft.com/office/drawing/2014/main" id="{00000000-0008-0000-0900-000009000000}"/>
            </a:ext>
          </a:extLst>
        </xdr:cNvPr>
        <xdr:cNvSpPr/>
      </xdr:nvSpPr>
      <xdr:spPr bwMode="auto">
        <a:xfrm>
          <a:off x="4114800" y="6724650"/>
          <a:ext cx="2057400" cy="171450"/>
        </a:xfrm>
        <a:prstGeom prst="leftRightArrow">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114300</xdr:colOff>
      <xdr:row>62</xdr:row>
      <xdr:rowOff>66115</xdr:rowOff>
    </xdr:from>
    <xdr:to>
      <xdr:col>20</xdr:col>
      <xdr:colOff>166687</xdr:colOff>
      <xdr:row>63</xdr:row>
      <xdr:rowOff>147936</xdr:rowOff>
    </xdr:to>
    <xdr:sp macro="" textlink="">
      <xdr:nvSpPr>
        <xdr:cNvPr id="10" name="テキスト ボックス 9">
          <a:extLst>
            <a:ext uri="{FF2B5EF4-FFF2-40B4-BE49-F238E27FC236}">
              <a16:creationId xmlns:a16="http://schemas.microsoft.com/office/drawing/2014/main" id="{00000000-0008-0000-0900-00000A000000}"/>
            </a:ext>
          </a:extLst>
        </xdr:cNvPr>
        <xdr:cNvSpPr txBox="1"/>
      </xdr:nvSpPr>
      <xdr:spPr>
        <a:xfrm>
          <a:off x="2733675" y="11984271"/>
          <a:ext cx="2195512" cy="272321"/>
        </a:xfrm>
        <a:prstGeom prst="rect">
          <a:avLst/>
        </a:prstGeom>
        <a:solidFill>
          <a:srgbClr xmlns:mc="http://schemas.openxmlformats.org/markup-compatibility/2006" xmlns:a14="http://schemas.microsoft.com/office/drawing/2010/main" val="FFFFFF" mc:Ignorable="a14" a14:legacySpreadsheetColorIndex="65"/>
        </a:solidFill>
        <a:ln w="9525" cmpd="sng">
          <a:solidFill>
            <a:srgbClr xmlns:mc="http://schemas.openxmlformats.org/markup-compatibility/2006" xmlns:a14="http://schemas.microsoft.com/office/drawing/2010/main" val="000000" mc:Ignorable="a14" a14:legacySpreadsheetColorIndex="64"/>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rgbClr val="0000FF"/>
              </a:solidFill>
            </a:rPr>
            <a:t>店舗毎に個別管理している朝割適用時間</a:t>
          </a:r>
        </a:p>
      </xdr:txBody>
    </xdr:sp>
    <xdr:clientData/>
  </xdr:twoCellAnchor>
  <xdr:twoCellAnchor>
    <xdr:from>
      <xdr:col>12</xdr:col>
      <xdr:colOff>0</xdr:colOff>
      <xdr:row>68</xdr:row>
      <xdr:rowOff>1</xdr:rowOff>
    </xdr:from>
    <xdr:to>
      <xdr:col>27</xdr:col>
      <xdr:colOff>0</xdr:colOff>
      <xdr:row>69</xdr:row>
      <xdr:rowOff>0</xdr:rowOff>
    </xdr:to>
    <xdr:sp macro="" textlink="">
      <xdr:nvSpPr>
        <xdr:cNvPr id="11" name="左右矢印 10">
          <a:extLst>
            <a:ext uri="{FF2B5EF4-FFF2-40B4-BE49-F238E27FC236}">
              <a16:creationId xmlns:a16="http://schemas.microsoft.com/office/drawing/2014/main" id="{00000000-0008-0000-0900-00000B000000}"/>
            </a:ext>
          </a:extLst>
        </xdr:cNvPr>
        <xdr:cNvSpPr/>
      </xdr:nvSpPr>
      <xdr:spPr bwMode="auto">
        <a:xfrm>
          <a:off x="4114800" y="8734426"/>
          <a:ext cx="5143500" cy="171449"/>
        </a:xfrm>
        <a:prstGeom prst="leftRightArrow">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78441</xdr:colOff>
      <xdr:row>66</xdr:row>
      <xdr:rowOff>24655</xdr:rowOff>
    </xdr:from>
    <xdr:to>
      <xdr:col>25</xdr:col>
      <xdr:colOff>0</xdr:colOff>
      <xdr:row>67</xdr:row>
      <xdr:rowOff>95250</xdr:rowOff>
    </xdr:to>
    <xdr:sp macro="" textlink="">
      <xdr:nvSpPr>
        <xdr:cNvPr id="12" name="テキスト ボックス 11">
          <a:extLst>
            <a:ext uri="{FF2B5EF4-FFF2-40B4-BE49-F238E27FC236}">
              <a16:creationId xmlns:a16="http://schemas.microsoft.com/office/drawing/2014/main" id="{00000000-0008-0000-0900-00000C000000}"/>
            </a:ext>
          </a:extLst>
        </xdr:cNvPr>
        <xdr:cNvSpPr txBox="1"/>
      </xdr:nvSpPr>
      <xdr:spPr>
        <a:xfrm>
          <a:off x="4964766" y="7044580"/>
          <a:ext cx="3332069" cy="242045"/>
        </a:xfrm>
        <a:prstGeom prst="rect">
          <a:avLst/>
        </a:prstGeom>
        <a:solidFill>
          <a:srgbClr val="FFFF00"/>
        </a:solidFill>
        <a:ln w="9525" cmpd="sng">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t>売上操作で朝割が適用される期間</a:t>
          </a:r>
        </a:p>
      </xdr:txBody>
    </xdr:sp>
    <xdr:clientData/>
  </xdr:twoCellAnchor>
  <xdr:twoCellAnchor>
    <xdr:from>
      <xdr:col>27</xdr:col>
      <xdr:colOff>123825</xdr:colOff>
      <xdr:row>63</xdr:row>
      <xdr:rowOff>142875</xdr:rowOff>
    </xdr:from>
    <xdr:to>
      <xdr:col>34</xdr:col>
      <xdr:colOff>71437</xdr:colOff>
      <xdr:row>67</xdr:row>
      <xdr:rowOff>28575</xdr:rowOff>
    </xdr:to>
    <xdr:sp macro="" textlink="">
      <xdr:nvSpPr>
        <xdr:cNvPr id="18" name="角丸四角形吹き出し 17">
          <a:extLst>
            <a:ext uri="{FF2B5EF4-FFF2-40B4-BE49-F238E27FC236}">
              <a16:creationId xmlns:a16="http://schemas.microsoft.com/office/drawing/2014/main" id="{00000000-0008-0000-0900-000012000000}"/>
            </a:ext>
          </a:extLst>
        </xdr:cNvPr>
        <xdr:cNvSpPr/>
      </xdr:nvSpPr>
      <xdr:spPr>
        <a:xfrm>
          <a:off x="6553200" y="12251531"/>
          <a:ext cx="1614487" cy="647700"/>
        </a:xfrm>
        <a:prstGeom prst="wedgeRoundRectCallout">
          <a:avLst>
            <a:gd name="adj1" fmla="val -55228"/>
            <a:gd name="adj2" fmla="val 8750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900">
              <a:solidFill>
                <a:srgbClr val="0000FF"/>
              </a:solidFill>
            </a:rPr>
            <a:t>朝割の適用可能状態の</a:t>
          </a:r>
          <a:endParaRPr kumimoji="1" lang="en-US" altLang="ja-JP" sz="900">
            <a:solidFill>
              <a:srgbClr val="0000FF"/>
            </a:solidFill>
          </a:endParaRPr>
        </a:p>
        <a:p>
          <a:pPr algn="ctr"/>
          <a:r>
            <a:rPr kumimoji="1" lang="ja-JP" altLang="en-US" sz="900">
              <a:solidFill>
                <a:srgbClr val="0000FF"/>
              </a:solidFill>
            </a:rPr>
            <a:t>終了操作以降の取引には、</a:t>
          </a:r>
          <a:endParaRPr kumimoji="1" lang="en-US" altLang="ja-JP" sz="900">
            <a:solidFill>
              <a:srgbClr val="0000FF"/>
            </a:solidFill>
          </a:endParaRPr>
        </a:p>
        <a:p>
          <a:pPr algn="ctr"/>
          <a:r>
            <a:rPr kumimoji="1" lang="ja-JP" altLang="en-US" sz="900">
              <a:solidFill>
                <a:srgbClr val="0000FF"/>
              </a:solidFill>
            </a:rPr>
            <a:t>朝割が適用されない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0188-D494-4006-8C14-7BC380CF58B1}">
  <sheetPr>
    <pageSetUpPr fitToPage="1"/>
  </sheetPr>
  <dimension ref="A1:BK55"/>
  <sheetViews>
    <sheetView view="pageBreakPreview" zoomScale="80" zoomScaleNormal="75" zoomScaleSheetLayoutView="80" workbookViewId="0">
      <selection activeCell="L24" sqref="L24:AZ36"/>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
        <v>2</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
        <v>8</v>
      </c>
      <c r="B2" s="167"/>
      <c r="C2" s="167"/>
      <c r="D2" s="167"/>
      <c r="E2" s="167"/>
      <c r="F2" s="167"/>
      <c r="G2" s="167"/>
      <c r="H2" s="167"/>
      <c r="I2" s="167"/>
      <c r="J2" s="168"/>
      <c r="K2" s="166" t="s">
        <v>9</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改廃履歴!$H$11</f>
        <v>Thanh Nguyên</v>
      </c>
      <c r="AQ2" s="167"/>
      <c r="AR2" s="167"/>
      <c r="AS2" s="168"/>
      <c r="AT2" s="199">
        <f>改廃履歴!$B$11</f>
        <v>45321</v>
      </c>
      <c r="AU2" s="200"/>
      <c r="AV2" s="200"/>
      <c r="AW2" s="200"/>
      <c r="AX2" s="201"/>
      <c r="AY2" s="166" t="str">
        <f>LOOKUP(2,1/(改廃履歴!H11:H30000&lt;&gt;""),改廃履歴!H11:H30000)</f>
        <v>Thanh Nguyên</v>
      </c>
      <c r="AZ2" s="167"/>
      <c r="BA2" s="167"/>
      <c r="BB2" s="168"/>
      <c r="BC2" s="199">
        <f>LOOKUP(2,1/(改廃履歴!B11:B30000&lt;&gt;""),改廃履歴!B11:B30000)</f>
        <v>45321</v>
      </c>
      <c r="BD2" s="200"/>
      <c r="BE2" s="200"/>
      <c r="BF2" s="200"/>
      <c r="BG2" s="201"/>
      <c r="BH2" s="193">
        <f>LOOKUP(2,1/(改廃履歴!O11:O30000&lt;&gt;""),改廃履歴!O11:O30000)</f>
        <v>0.1</v>
      </c>
      <c r="BI2" s="194"/>
      <c r="BJ2" s="194"/>
      <c r="BK2" s="195"/>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96"/>
      <c r="BI3" s="197"/>
      <c r="BJ3" s="197"/>
      <c r="BK3" s="198"/>
    </row>
    <row r="4" spans="1:63" ht="24.95" customHeight="1">
      <c r="A4" s="181" t="s">
        <v>10</v>
      </c>
      <c r="B4" s="182"/>
      <c r="C4" s="182"/>
      <c r="D4" s="182"/>
      <c r="E4" s="182"/>
      <c r="F4" s="182"/>
      <c r="G4" s="183"/>
      <c r="H4" s="205" t="s">
        <v>11</v>
      </c>
      <c r="I4" s="206"/>
      <c r="J4" s="206"/>
      <c r="K4" s="206"/>
      <c r="L4" s="206"/>
      <c r="M4" s="206"/>
      <c r="N4" s="206"/>
      <c r="O4" s="206"/>
      <c r="P4" s="206"/>
      <c r="Q4" s="206"/>
      <c r="R4" s="206"/>
      <c r="S4" s="206"/>
      <c r="T4" s="207"/>
      <c r="U4" s="181" t="s">
        <v>12</v>
      </c>
      <c r="V4" s="182"/>
      <c r="W4" s="182"/>
      <c r="X4" s="182"/>
      <c r="Y4" s="183"/>
      <c r="Z4" s="205" t="s">
        <v>13</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表紙</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K8" s="8"/>
    </row>
    <row r="9" spans="1:63" ht="15" customHeight="1">
      <c r="A9" s="4"/>
      <c r="BK9" s="8"/>
    </row>
    <row r="10" spans="1:63" ht="15" customHeight="1">
      <c r="A10" s="4"/>
      <c r="BK10" s="8"/>
    </row>
    <row r="11" spans="1:63" ht="15" customHeight="1">
      <c r="A11" s="4"/>
      <c r="BK11" s="8"/>
    </row>
    <row r="12" spans="1:63" ht="15" customHeight="1">
      <c r="A12" s="4"/>
      <c r="BK12" s="8"/>
    </row>
    <row r="13" spans="1:63" ht="15" customHeight="1">
      <c r="A13" s="4"/>
      <c r="BK13" s="8"/>
    </row>
    <row r="14" spans="1:63" ht="15" customHeight="1" thickBot="1">
      <c r="A14" s="4"/>
      <c r="BK14" s="8"/>
    </row>
    <row r="15" spans="1:63" ht="15" customHeight="1" thickTop="1">
      <c r="A15" s="4"/>
      <c r="K15" s="14"/>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8"/>
      <c r="BK15" s="8"/>
    </row>
    <row r="16" spans="1:63" ht="15" customHeight="1">
      <c r="A16" s="4"/>
      <c r="K16" s="13"/>
      <c r="L16" s="165" t="s">
        <v>14</v>
      </c>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9"/>
      <c r="BK16" s="8"/>
    </row>
    <row r="17" spans="1:63" ht="15" customHeight="1">
      <c r="A17" s="4"/>
      <c r="K17" s="13"/>
      <c r="L17" s="165"/>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c r="AY17" s="165"/>
      <c r="AZ17" s="165"/>
      <c r="BA17" s="19"/>
      <c r="BK17" s="8"/>
    </row>
    <row r="18" spans="1:63" ht="15" customHeight="1">
      <c r="A18" s="4"/>
      <c r="K18" s="13"/>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9"/>
      <c r="BK18" s="8"/>
    </row>
    <row r="19" spans="1:63" ht="15" customHeight="1">
      <c r="A19" s="4"/>
      <c r="K19" s="13"/>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9"/>
      <c r="BK19" s="8"/>
    </row>
    <row r="20" spans="1:63" ht="15" customHeight="1">
      <c r="A20" s="4"/>
      <c r="K20" s="13"/>
      <c r="L20" s="165"/>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9"/>
      <c r="BK20" s="8"/>
    </row>
    <row r="21" spans="1:63" ht="15" customHeight="1">
      <c r="A21" s="4"/>
      <c r="K21" s="13"/>
      <c r="L21" s="165"/>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9"/>
      <c r="BK21" s="8"/>
    </row>
    <row r="22" spans="1:63" ht="15" customHeight="1" thickBot="1">
      <c r="A22" s="4"/>
      <c r="K22" s="13"/>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19"/>
      <c r="BK22" s="8"/>
    </row>
    <row r="23" spans="1:63" ht="15" customHeight="1">
      <c r="A23" s="4"/>
      <c r="K23" s="13"/>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19"/>
      <c r="BK23" s="8"/>
    </row>
    <row r="24" spans="1:63" ht="15" customHeight="1">
      <c r="A24" s="4"/>
      <c r="K24" s="13"/>
      <c r="L24" s="165" t="str">
        <f>K2&amp;"/"&amp;H4&amp;"/"&amp;Z4</f>
        <v>いなげや様向け/売上/価格コントロール</v>
      </c>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9"/>
      <c r="BK24" s="8"/>
    </row>
    <row r="25" spans="1:63" ht="15" customHeight="1">
      <c r="A25" s="4"/>
      <c r="K25" s="13"/>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9"/>
      <c r="BK25" s="8"/>
    </row>
    <row r="26" spans="1:63" ht="15" customHeight="1">
      <c r="A26" s="4"/>
      <c r="K26" s="13"/>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9"/>
      <c r="BK26" s="8"/>
    </row>
    <row r="27" spans="1:63" ht="15" customHeight="1">
      <c r="A27" s="4"/>
      <c r="K27" s="13"/>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9"/>
      <c r="BK27" s="8"/>
    </row>
    <row r="28" spans="1:63" ht="15" customHeight="1">
      <c r="A28" s="4"/>
      <c r="K28" s="13"/>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9"/>
      <c r="BK28" s="8"/>
    </row>
    <row r="29" spans="1:63" ht="15" customHeight="1">
      <c r="A29" s="4"/>
      <c r="K29" s="13"/>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65"/>
      <c r="BA29" s="19"/>
      <c r="BK29" s="8"/>
    </row>
    <row r="30" spans="1:63" ht="15" customHeight="1">
      <c r="A30" s="4"/>
      <c r="K30" s="13"/>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9"/>
      <c r="BK30" s="8"/>
    </row>
    <row r="31" spans="1:63" ht="15" customHeight="1">
      <c r="A31" s="4"/>
      <c r="K31" s="13"/>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65"/>
      <c r="BA31" s="19"/>
      <c r="BK31" s="8"/>
    </row>
    <row r="32" spans="1:63" ht="15" customHeight="1">
      <c r="A32" s="4"/>
      <c r="K32" s="13"/>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65"/>
      <c r="BA32" s="19"/>
      <c r="BK32" s="8"/>
    </row>
    <row r="33" spans="1:63" ht="15" customHeight="1">
      <c r="A33" s="4"/>
      <c r="K33" s="13"/>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9"/>
      <c r="BK33" s="8"/>
    </row>
    <row r="34" spans="1:63" ht="15" customHeight="1">
      <c r="A34" s="4"/>
      <c r="K34" s="13"/>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9"/>
      <c r="BK34" s="8"/>
    </row>
    <row r="35" spans="1:63" ht="15" customHeight="1">
      <c r="A35" s="4"/>
      <c r="K35" s="13"/>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9"/>
      <c r="BK35" s="8"/>
    </row>
    <row r="36" spans="1:63" ht="15" customHeight="1">
      <c r="A36" s="4"/>
      <c r="K36" s="13"/>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9"/>
      <c r="BK36" s="8"/>
    </row>
    <row r="37" spans="1:63" ht="15" customHeight="1" thickBot="1">
      <c r="A37" s="4"/>
      <c r="K37" s="16"/>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20"/>
      <c r="BK37" s="8"/>
    </row>
    <row r="38" spans="1:63" ht="15" customHeight="1" thickTop="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Q44" s="175" t="s">
        <v>15</v>
      </c>
      <c r="R44" s="176"/>
      <c r="S44" s="176"/>
      <c r="T44" s="176"/>
      <c r="U44" s="176"/>
      <c r="V44" s="176"/>
      <c r="W44" s="176"/>
      <c r="X44" s="176"/>
      <c r="Y44" s="176"/>
      <c r="Z44" s="177"/>
      <c r="AA44" s="175" t="s">
        <v>16</v>
      </c>
      <c r="AB44" s="176"/>
      <c r="AC44" s="176"/>
      <c r="AD44" s="176"/>
      <c r="AE44" s="176"/>
      <c r="AF44" s="176"/>
      <c r="AG44" s="176"/>
      <c r="AH44" s="176"/>
      <c r="AI44" s="176"/>
      <c r="AJ44" s="176"/>
      <c r="AK44" s="176"/>
      <c r="AL44" s="176"/>
      <c r="AM44" s="176"/>
      <c r="AN44" s="176"/>
      <c r="AO44" s="176"/>
      <c r="AP44" s="177"/>
      <c r="AQ44" s="175" t="s">
        <v>7</v>
      </c>
      <c r="AR44" s="176"/>
      <c r="AS44" s="176"/>
      <c r="AT44" s="176"/>
      <c r="AU44" s="177"/>
      <c r="BK44" s="8"/>
    </row>
    <row r="45" spans="1:63" ht="15" customHeight="1">
      <c r="A45" s="4"/>
      <c r="Q45" s="178"/>
      <c r="R45" s="179"/>
      <c r="S45" s="179"/>
      <c r="T45" s="179"/>
      <c r="U45" s="179"/>
      <c r="V45" s="179"/>
      <c r="W45" s="179"/>
      <c r="X45" s="179"/>
      <c r="Y45" s="179"/>
      <c r="Z45" s="180"/>
      <c r="AA45" s="178"/>
      <c r="AB45" s="179"/>
      <c r="AC45" s="179"/>
      <c r="AD45" s="179"/>
      <c r="AE45" s="179"/>
      <c r="AF45" s="179"/>
      <c r="AG45" s="179"/>
      <c r="AH45" s="179"/>
      <c r="AI45" s="179"/>
      <c r="AJ45" s="179"/>
      <c r="AK45" s="179"/>
      <c r="AL45" s="179"/>
      <c r="AM45" s="179"/>
      <c r="AN45" s="179"/>
      <c r="AO45" s="179"/>
      <c r="AP45" s="180"/>
      <c r="AQ45" s="178"/>
      <c r="AR45" s="179"/>
      <c r="AS45" s="179"/>
      <c r="AT45" s="179"/>
      <c r="AU45" s="180"/>
      <c r="BK45" s="8"/>
    </row>
    <row r="46" spans="1:63" ht="15" customHeight="1">
      <c r="A46" s="4"/>
      <c r="Q46" s="166"/>
      <c r="R46" s="167"/>
      <c r="S46" s="167"/>
      <c r="T46" s="167"/>
      <c r="U46" s="167"/>
      <c r="V46" s="167"/>
      <c r="W46" s="167"/>
      <c r="X46" s="167"/>
      <c r="Y46" s="167"/>
      <c r="Z46" s="168"/>
      <c r="AA46" s="166"/>
      <c r="AB46" s="167"/>
      <c r="AC46" s="167"/>
      <c r="AD46" s="167"/>
      <c r="AE46" s="167"/>
      <c r="AF46" s="167"/>
      <c r="AG46" s="167"/>
      <c r="AH46" s="167"/>
      <c r="AI46" s="167"/>
      <c r="AJ46" s="167"/>
      <c r="AK46" s="167"/>
      <c r="AL46" s="167"/>
      <c r="AM46" s="167"/>
      <c r="AN46" s="167"/>
      <c r="AO46" s="167"/>
      <c r="AP46" s="168"/>
      <c r="AQ46" s="166"/>
      <c r="AR46" s="167"/>
      <c r="AS46" s="167"/>
      <c r="AT46" s="167"/>
      <c r="AU46" s="168"/>
      <c r="BK46" s="8"/>
    </row>
    <row r="47" spans="1:63" ht="15" customHeight="1">
      <c r="A47" s="4"/>
      <c r="Q47" s="169"/>
      <c r="R47" s="170"/>
      <c r="S47" s="170"/>
      <c r="T47" s="170"/>
      <c r="U47" s="170"/>
      <c r="V47" s="170"/>
      <c r="W47" s="170"/>
      <c r="X47" s="170"/>
      <c r="Y47" s="170"/>
      <c r="Z47" s="171"/>
      <c r="AA47" s="169"/>
      <c r="AB47" s="170"/>
      <c r="AC47" s="170"/>
      <c r="AD47" s="170"/>
      <c r="AE47" s="170"/>
      <c r="AF47" s="170"/>
      <c r="AG47" s="170"/>
      <c r="AH47" s="170"/>
      <c r="AI47" s="170"/>
      <c r="AJ47" s="170"/>
      <c r="AK47" s="170"/>
      <c r="AL47" s="170"/>
      <c r="AM47" s="170"/>
      <c r="AN47" s="170"/>
      <c r="AO47" s="170"/>
      <c r="AP47" s="171"/>
      <c r="AQ47" s="169"/>
      <c r="AR47" s="170"/>
      <c r="AS47" s="170"/>
      <c r="AT47" s="170"/>
      <c r="AU47" s="171"/>
      <c r="BK47" s="8"/>
    </row>
    <row r="48" spans="1:63" ht="15" customHeight="1">
      <c r="A48" s="4"/>
      <c r="Q48" s="169"/>
      <c r="R48" s="170"/>
      <c r="S48" s="170"/>
      <c r="T48" s="170"/>
      <c r="U48" s="170"/>
      <c r="V48" s="170"/>
      <c r="W48" s="170"/>
      <c r="X48" s="170"/>
      <c r="Y48" s="170"/>
      <c r="Z48" s="171"/>
      <c r="AA48" s="169"/>
      <c r="AB48" s="170"/>
      <c r="AC48" s="170"/>
      <c r="AD48" s="170"/>
      <c r="AE48" s="170"/>
      <c r="AF48" s="170"/>
      <c r="AG48" s="170"/>
      <c r="AH48" s="170"/>
      <c r="AI48" s="170"/>
      <c r="AJ48" s="170"/>
      <c r="AK48" s="170"/>
      <c r="AL48" s="170"/>
      <c r="AM48" s="170"/>
      <c r="AN48" s="170"/>
      <c r="AO48" s="170"/>
      <c r="AP48" s="171"/>
      <c r="AQ48" s="169"/>
      <c r="AR48" s="170"/>
      <c r="AS48" s="170"/>
      <c r="AT48" s="170"/>
      <c r="AU48" s="171"/>
      <c r="BK48" s="8"/>
    </row>
    <row r="49" spans="1:63" ht="15" customHeight="1">
      <c r="A49" s="4"/>
      <c r="Q49" s="172"/>
      <c r="R49" s="173"/>
      <c r="S49" s="173"/>
      <c r="T49" s="173"/>
      <c r="U49" s="173"/>
      <c r="V49" s="173"/>
      <c r="W49" s="173"/>
      <c r="X49" s="173"/>
      <c r="Y49" s="173"/>
      <c r="Z49" s="174"/>
      <c r="AA49" s="172"/>
      <c r="AB49" s="173"/>
      <c r="AC49" s="173"/>
      <c r="AD49" s="173"/>
      <c r="AE49" s="173"/>
      <c r="AF49" s="173"/>
      <c r="AG49" s="173"/>
      <c r="AH49" s="173"/>
      <c r="AI49" s="173"/>
      <c r="AJ49" s="173"/>
      <c r="AK49" s="173"/>
      <c r="AL49" s="173"/>
      <c r="AM49" s="173"/>
      <c r="AN49" s="173"/>
      <c r="AO49" s="173"/>
      <c r="AP49" s="174"/>
      <c r="AQ49" s="172"/>
      <c r="AR49" s="173"/>
      <c r="AS49" s="173"/>
      <c r="AT49" s="173"/>
      <c r="AU49" s="17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honeticPr fontId="14"/>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FB40-CEC5-4607-B0AE-834CDFA55020}">
  <sheetPr>
    <pageSetUpPr fitToPage="1"/>
  </sheetPr>
  <dimension ref="A1:BK55"/>
  <sheetViews>
    <sheetView view="pageBreakPreview" zoomScale="80" zoomScaleNormal="75" zoomScaleSheetLayoutView="80" workbookViewId="0">
      <selection activeCell="S29" sqref="S29:AW29"/>
    </sheetView>
  </sheetViews>
  <sheetFormatPr defaultColWidth="2.77734375" defaultRowHeight="15.7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改廃履歴</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t="s">
        <v>17</v>
      </c>
      <c r="BK8" s="8"/>
    </row>
    <row r="9" spans="1:63" ht="15" customHeight="1">
      <c r="A9" s="4"/>
      <c r="BK9" s="8"/>
    </row>
    <row r="10" spans="1:63" ht="15" customHeight="1">
      <c r="A10" s="4"/>
      <c r="B10" s="220" t="s">
        <v>18</v>
      </c>
      <c r="C10" s="220"/>
      <c r="D10" s="220"/>
      <c r="E10" s="220"/>
      <c r="F10" s="220"/>
      <c r="G10" s="220"/>
      <c r="H10" s="220" t="s">
        <v>5</v>
      </c>
      <c r="I10" s="220"/>
      <c r="J10" s="220"/>
      <c r="K10" s="220"/>
      <c r="L10" s="220"/>
      <c r="M10" s="220"/>
      <c r="N10" s="220"/>
      <c r="O10" s="220" t="s">
        <v>7</v>
      </c>
      <c r="P10" s="220"/>
      <c r="Q10" s="220"/>
      <c r="R10" s="220"/>
      <c r="S10" s="220" t="s">
        <v>19</v>
      </c>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t="s">
        <v>20</v>
      </c>
      <c r="AY10" s="220"/>
      <c r="AZ10" s="220"/>
      <c r="BA10" s="220"/>
      <c r="BB10" s="220"/>
      <c r="BC10" s="220"/>
      <c r="BD10" s="220" t="s">
        <v>16</v>
      </c>
      <c r="BE10" s="220"/>
      <c r="BF10" s="220"/>
      <c r="BG10" s="220"/>
      <c r="BH10" s="220"/>
      <c r="BI10" s="220"/>
      <c r="BJ10" s="220"/>
      <c r="BK10" s="8"/>
    </row>
    <row r="11" spans="1:63" ht="15" customHeight="1">
      <c r="A11" s="4"/>
      <c r="B11" s="221">
        <v>45321</v>
      </c>
      <c r="C11" s="167"/>
      <c r="D11" s="167"/>
      <c r="E11" s="167"/>
      <c r="F11" s="167"/>
      <c r="G11" s="168"/>
      <c r="H11" s="166" t="s">
        <v>21</v>
      </c>
      <c r="I11" s="167"/>
      <c r="J11" s="167"/>
      <c r="K11" s="167"/>
      <c r="L11" s="167"/>
      <c r="M11" s="167"/>
      <c r="N11" s="168"/>
      <c r="O11" s="166">
        <v>0.1</v>
      </c>
      <c r="P11" s="167"/>
      <c r="Q11" s="167"/>
      <c r="R11" s="167"/>
      <c r="S11" s="208" t="s">
        <v>22</v>
      </c>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10"/>
      <c r="AX11" s="211"/>
      <c r="AY11" s="211"/>
      <c r="AZ11" s="211"/>
      <c r="BA11" s="211"/>
      <c r="BB11" s="211"/>
      <c r="BC11" s="212"/>
      <c r="BD11" s="215"/>
      <c r="BE11" s="211"/>
      <c r="BF11" s="211"/>
      <c r="BG11" s="211"/>
      <c r="BH11" s="211"/>
      <c r="BI11" s="211"/>
      <c r="BJ11" s="212"/>
      <c r="BK11" s="8"/>
    </row>
    <row r="12" spans="1:63" ht="15" customHeight="1">
      <c r="A12" s="4"/>
      <c r="B12" s="172"/>
      <c r="C12" s="173"/>
      <c r="D12" s="173"/>
      <c r="E12" s="173"/>
      <c r="F12" s="173"/>
      <c r="G12" s="174"/>
      <c r="H12" s="172"/>
      <c r="I12" s="173"/>
      <c r="J12" s="173"/>
      <c r="K12" s="173"/>
      <c r="L12" s="173"/>
      <c r="M12" s="173"/>
      <c r="N12" s="174"/>
      <c r="O12" s="172"/>
      <c r="P12" s="173"/>
      <c r="Q12" s="173"/>
      <c r="R12" s="173"/>
      <c r="S12" s="217"/>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9"/>
      <c r="AX12" s="213"/>
      <c r="AY12" s="213"/>
      <c r="AZ12" s="213"/>
      <c r="BA12" s="213"/>
      <c r="BB12" s="213"/>
      <c r="BC12" s="214"/>
      <c r="BD12" s="216"/>
      <c r="BE12" s="213"/>
      <c r="BF12" s="213"/>
      <c r="BG12" s="213"/>
      <c r="BH12" s="213"/>
      <c r="BI12" s="213"/>
      <c r="BJ12" s="214"/>
      <c r="BK12" s="8"/>
    </row>
    <row r="13" spans="1:63" ht="15" customHeight="1">
      <c r="A13" s="4"/>
      <c r="B13" s="166"/>
      <c r="C13" s="167"/>
      <c r="D13" s="167"/>
      <c r="E13" s="167"/>
      <c r="F13" s="167"/>
      <c r="G13" s="168"/>
      <c r="H13" s="166"/>
      <c r="I13" s="167"/>
      <c r="J13" s="167"/>
      <c r="K13" s="167"/>
      <c r="L13" s="167"/>
      <c r="M13" s="167"/>
      <c r="N13" s="168"/>
      <c r="O13" s="166"/>
      <c r="P13" s="167"/>
      <c r="Q13" s="167"/>
      <c r="R13" s="167"/>
      <c r="S13" s="208"/>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10"/>
      <c r="AX13" s="211"/>
      <c r="AY13" s="211"/>
      <c r="AZ13" s="211"/>
      <c r="BA13" s="211"/>
      <c r="BB13" s="211"/>
      <c r="BC13" s="212"/>
      <c r="BD13" s="215"/>
      <c r="BE13" s="211"/>
      <c r="BF13" s="211"/>
      <c r="BG13" s="211"/>
      <c r="BH13" s="211"/>
      <c r="BI13" s="211"/>
      <c r="BJ13" s="212"/>
      <c r="BK13" s="8"/>
    </row>
    <row r="14" spans="1:63" ht="15" customHeight="1">
      <c r="A14" s="4"/>
      <c r="B14" s="172"/>
      <c r="C14" s="173"/>
      <c r="D14" s="173"/>
      <c r="E14" s="173"/>
      <c r="F14" s="173"/>
      <c r="G14" s="174"/>
      <c r="H14" s="172"/>
      <c r="I14" s="173"/>
      <c r="J14" s="173"/>
      <c r="K14" s="173"/>
      <c r="L14" s="173"/>
      <c r="M14" s="173"/>
      <c r="N14" s="174"/>
      <c r="O14" s="172"/>
      <c r="P14" s="173"/>
      <c r="Q14" s="173"/>
      <c r="R14" s="173"/>
      <c r="S14" s="217"/>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9"/>
      <c r="AX14" s="213"/>
      <c r="AY14" s="213"/>
      <c r="AZ14" s="213"/>
      <c r="BA14" s="213"/>
      <c r="BB14" s="213"/>
      <c r="BC14" s="214"/>
      <c r="BD14" s="216"/>
      <c r="BE14" s="213"/>
      <c r="BF14" s="213"/>
      <c r="BG14" s="213"/>
      <c r="BH14" s="213"/>
      <c r="BI14" s="213"/>
      <c r="BJ14" s="214"/>
      <c r="BK14" s="8"/>
    </row>
    <row r="15" spans="1:63" ht="15" customHeight="1">
      <c r="A15" s="4"/>
      <c r="B15" s="166"/>
      <c r="C15" s="167"/>
      <c r="D15" s="167"/>
      <c r="E15" s="167"/>
      <c r="F15" s="167"/>
      <c r="G15" s="168"/>
      <c r="H15" s="166"/>
      <c r="I15" s="167"/>
      <c r="J15" s="167"/>
      <c r="K15" s="167"/>
      <c r="L15" s="167"/>
      <c r="M15" s="167"/>
      <c r="N15" s="168"/>
      <c r="O15" s="166"/>
      <c r="P15" s="167"/>
      <c r="Q15" s="167"/>
      <c r="R15" s="167"/>
      <c r="S15" s="208"/>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10"/>
      <c r="AX15" s="211"/>
      <c r="AY15" s="211"/>
      <c r="AZ15" s="211"/>
      <c r="BA15" s="211"/>
      <c r="BB15" s="211"/>
      <c r="BC15" s="212"/>
      <c r="BD15" s="215"/>
      <c r="BE15" s="211"/>
      <c r="BF15" s="211"/>
      <c r="BG15" s="211"/>
      <c r="BH15" s="211"/>
      <c r="BI15" s="211"/>
      <c r="BJ15" s="212"/>
      <c r="BK15" s="8"/>
    </row>
    <row r="16" spans="1:63" ht="15" customHeight="1">
      <c r="A16" s="4"/>
      <c r="B16" s="172"/>
      <c r="C16" s="173"/>
      <c r="D16" s="173"/>
      <c r="E16" s="173"/>
      <c r="F16" s="173"/>
      <c r="G16" s="174"/>
      <c r="H16" s="172"/>
      <c r="I16" s="173"/>
      <c r="J16" s="173"/>
      <c r="K16" s="173"/>
      <c r="L16" s="173"/>
      <c r="M16" s="173"/>
      <c r="N16" s="174"/>
      <c r="O16" s="172"/>
      <c r="P16" s="173"/>
      <c r="Q16" s="173"/>
      <c r="R16" s="173"/>
      <c r="S16" s="217"/>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9"/>
      <c r="AX16" s="213"/>
      <c r="AY16" s="213"/>
      <c r="AZ16" s="213"/>
      <c r="BA16" s="213"/>
      <c r="BB16" s="213"/>
      <c r="BC16" s="214"/>
      <c r="BD16" s="216"/>
      <c r="BE16" s="213"/>
      <c r="BF16" s="213"/>
      <c r="BG16" s="213"/>
      <c r="BH16" s="213"/>
      <c r="BI16" s="213"/>
      <c r="BJ16" s="214"/>
      <c r="BK16" s="8"/>
    </row>
    <row r="17" spans="1:63" ht="15" customHeight="1">
      <c r="A17" s="4"/>
      <c r="B17" s="166"/>
      <c r="C17" s="167"/>
      <c r="D17" s="167"/>
      <c r="E17" s="167"/>
      <c r="F17" s="167"/>
      <c r="G17" s="168"/>
      <c r="H17" s="166"/>
      <c r="I17" s="167"/>
      <c r="J17" s="167"/>
      <c r="K17" s="167"/>
      <c r="L17" s="167"/>
      <c r="M17" s="167"/>
      <c r="N17" s="168"/>
      <c r="O17" s="166"/>
      <c r="P17" s="167"/>
      <c r="Q17" s="167"/>
      <c r="R17" s="167"/>
      <c r="S17" s="208"/>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10"/>
      <c r="AX17" s="211"/>
      <c r="AY17" s="211"/>
      <c r="AZ17" s="211"/>
      <c r="BA17" s="211"/>
      <c r="BB17" s="211"/>
      <c r="BC17" s="212"/>
      <c r="BD17" s="215"/>
      <c r="BE17" s="211"/>
      <c r="BF17" s="211"/>
      <c r="BG17" s="211"/>
      <c r="BH17" s="211"/>
      <c r="BI17" s="211"/>
      <c r="BJ17" s="212"/>
      <c r="BK17" s="8"/>
    </row>
    <row r="18" spans="1:63" ht="15" customHeight="1">
      <c r="A18" s="4"/>
      <c r="B18" s="172"/>
      <c r="C18" s="173"/>
      <c r="D18" s="173"/>
      <c r="E18" s="173"/>
      <c r="F18" s="173"/>
      <c r="G18" s="174"/>
      <c r="H18" s="172"/>
      <c r="I18" s="173"/>
      <c r="J18" s="173"/>
      <c r="K18" s="173"/>
      <c r="L18" s="173"/>
      <c r="M18" s="173"/>
      <c r="N18" s="174"/>
      <c r="O18" s="172"/>
      <c r="P18" s="173"/>
      <c r="Q18" s="173"/>
      <c r="R18" s="173"/>
      <c r="S18" s="217"/>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9"/>
      <c r="AX18" s="213"/>
      <c r="AY18" s="213"/>
      <c r="AZ18" s="213"/>
      <c r="BA18" s="213"/>
      <c r="BB18" s="213"/>
      <c r="BC18" s="214"/>
      <c r="BD18" s="216"/>
      <c r="BE18" s="213"/>
      <c r="BF18" s="213"/>
      <c r="BG18" s="213"/>
      <c r="BH18" s="213"/>
      <c r="BI18" s="213"/>
      <c r="BJ18" s="214"/>
      <c r="BK18" s="8"/>
    </row>
    <row r="19" spans="1:63" ht="15" customHeight="1">
      <c r="A19" s="4"/>
      <c r="B19" s="166"/>
      <c r="C19" s="167"/>
      <c r="D19" s="167"/>
      <c r="E19" s="167"/>
      <c r="F19" s="167"/>
      <c r="G19" s="168"/>
      <c r="H19" s="166"/>
      <c r="I19" s="167"/>
      <c r="J19" s="167"/>
      <c r="K19" s="167"/>
      <c r="L19" s="167"/>
      <c r="M19" s="167"/>
      <c r="N19" s="168"/>
      <c r="O19" s="166"/>
      <c r="P19" s="167"/>
      <c r="Q19" s="167"/>
      <c r="R19" s="167"/>
      <c r="S19" s="208"/>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10"/>
      <c r="AX19" s="211"/>
      <c r="AY19" s="211"/>
      <c r="AZ19" s="211"/>
      <c r="BA19" s="211"/>
      <c r="BB19" s="211"/>
      <c r="BC19" s="212"/>
      <c r="BD19" s="215"/>
      <c r="BE19" s="211"/>
      <c r="BF19" s="211"/>
      <c r="BG19" s="211"/>
      <c r="BH19" s="211"/>
      <c r="BI19" s="211"/>
      <c r="BJ19" s="212"/>
      <c r="BK19" s="8"/>
    </row>
    <row r="20" spans="1:63" ht="15" customHeight="1">
      <c r="A20" s="4"/>
      <c r="B20" s="172"/>
      <c r="C20" s="173"/>
      <c r="D20" s="173"/>
      <c r="E20" s="173"/>
      <c r="F20" s="173"/>
      <c r="G20" s="174"/>
      <c r="H20" s="172"/>
      <c r="I20" s="173"/>
      <c r="J20" s="173"/>
      <c r="K20" s="173"/>
      <c r="L20" s="173"/>
      <c r="M20" s="173"/>
      <c r="N20" s="174"/>
      <c r="O20" s="172"/>
      <c r="P20" s="173"/>
      <c r="Q20" s="173"/>
      <c r="R20" s="173"/>
      <c r="S20" s="217"/>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9"/>
      <c r="AX20" s="213"/>
      <c r="AY20" s="213"/>
      <c r="AZ20" s="213"/>
      <c r="BA20" s="213"/>
      <c r="BB20" s="213"/>
      <c r="BC20" s="214"/>
      <c r="BD20" s="216"/>
      <c r="BE20" s="213"/>
      <c r="BF20" s="213"/>
      <c r="BG20" s="213"/>
      <c r="BH20" s="213"/>
      <c r="BI20" s="213"/>
      <c r="BJ20" s="214"/>
      <c r="BK20" s="8"/>
    </row>
    <row r="21" spans="1:63" ht="15" customHeight="1">
      <c r="A21" s="4"/>
      <c r="B21" s="166"/>
      <c r="C21" s="167"/>
      <c r="D21" s="167"/>
      <c r="E21" s="167"/>
      <c r="F21" s="167"/>
      <c r="G21" s="168"/>
      <c r="H21" s="166"/>
      <c r="I21" s="167"/>
      <c r="J21" s="167"/>
      <c r="K21" s="167"/>
      <c r="L21" s="167"/>
      <c r="M21" s="167"/>
      <c r="N21" s="168"/>
      <c r="O21" s="166"/>
      <c r="P21" s="167"/>
      <c r="Q21" s="167"/>
      <c r="R21" s="167"/>
      <c r="S21" s="208"/>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10"/>
      <c r="AX21" s="211"/>
      <c r="AY21" s="211"/>
      <c r="AZ21" s="211"/>
      <c r="BA21" s="211"/>
      <c r="BB21" s="211"/>
      <c r="BC21" s="212"/>
      <c r="BD21" s="215"/>
      <c r="BE21" s="211"/>
      <c r="BF21" s="211"/>
      <c r="BG21" s="211"/>
      <c r="BH21" s="211"/>
      <c r="BI21" s="211"/>
      <c r="BJ21" s="212"/>
      <c r="BK21" s="8"/>
    </row>
    <row r="22" spans="1:63" ht="15" customHeight="1">
      <c r="A22" s="4"/>
      <c r="B22" s="172"/>
      <c r="C22" s="173"/>
      <c r="D22" s="173"/>
      <c r="E22" s="173"/>
      <c r="F22" s="173"/>
      <c r="G22" s="174"/>
      <c r="H22" s="172"/>
      <c r="I22" s="173"/>
      <c r="J22" s="173"/>
      <c r="K22" s="173"/>
      <c r="L22" s="173"/>
      <c r="M22" s="173"/>
      <c r="N22" s="174"/>
      <c r="O22" s="172"/>
      <c r="P22" s="173"/>
      <c r="Q22" s="173"/>
      <c r="R22" s="173"/>
      <c r="S22" s="217"/>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9"/>
      <c r="AX22" s="213"/>
      <c r="AY22" s="213"/>
      <c r="AZ22" s="213"/>
      <c r="BA22" s="213"/>
      <c r="BB22" s="213"/>
      <c r="BC22" s="214"/>
      <c r="BD22" s="216"/>
      <c r="BE22" s="213"/>
      <c r="BF22" s="213"/>
      <c r="BG22" s="213"/>
      <c r="BH22" s="213"/>
      <c r="BI22" s="213"/>
      <c r="BJ22" s="214"/>
      <c r="BK22" s="8"/>
    </row>
    <row r="23" spans="1:63" ht="15" customHeight="1">
      <c r="A23" s="4"/>
      <c r="B23" s="166"/>
      <c r="C23" s="167"/>
      <c r="D23" s="167"/>
      <c r="E23" s="167"/>
      <c r="F23" s="167"/>
      <c r="G23" s="168"/>
      <c r="H23" s="166"/>
      <c r="I23" s="167"/>
      <c r="J23" s="167"/>
      <c r="K23" s="167"/>
      <c r="L23" s="167"/>
      <c r="M23" s="167"/>
      <c r="N23" s="168"/>
      <c r="O23" s="166"/>
      <c r="P23" s="167"/>
      <c r="Q23" s="167"/>
      <c r="R23" s="167"/>
      <c r="S23" s="208"/>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10"/>
      <c r="AX23" s="211"/>
      <c r="AY23" s="211"/>
      <c r="AZ23" s="211"/>
      <c r="BA23" s="211"/>
      <c r="BB23" s="211"/>
      <c r="BC23" s="212"/>
      <c r="BD23" s="215"/>
      <c r="BE23" s="211"/>
      <c r="BF23" s="211"/>
      <c r="BG23" s="211"/>
      <c r="BH23" s="211"/>
      <c r="BI23" s="211"/>
      <c r="BJ23" s="212"/>
      <c r="BK23" s="8"/>
    </row>
    <row r="24" spans="1:63" ht="15" customHeight="1">
      <c r="A24" s="4"/>
      <c r="B24" s="172"/>
      <c r="C24" s="173"/>
      <c r="D24" s="173"/>
      <c r="E24" s="173"/>
      <c r="F24" s="173"/>
      <c r="G24" s="174"/>
      <c r="H24" s="172"/>
      <c r="I24" s="173"/>
      <c r="J24" s="173"/>
      <c r="K24" s="173"/>
      <c r="L24" s="173"/>
      <c r="M24" s="173"/>
      <c r="N24" s="174"/>
      <c r="O24" s="172"/>
      <c r="P24" s="173"/>
      <c r="Q24" s="173"/>
      <c r="R24" s="173"/>
      <c r="S24" s="217"/>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9"/>
      <c r="AX24" s="213"/>
      <c r="AY24" s="213"/>
      <c r="AZ24" s="213"/>
      <c r="BA24" s="213"/>
      <c r="BB24" s="213"/>
      <c r="BC24" s="214"/>
      <c r="BD24" s="216"/>
      <c r="BE24" s="213"/>
      <c r="BF24" s="213"/>
      <c r="BG24" s="213"/>
      <c r="BH24" s="213"/>
      <c r="BI24" s="213"/>
      <c r="BJ24" s="214"/>
      <c r="BK24" s="8"/>
    </row>
    <row r="25" spans="1:63" ht="15" customHeight="1">
      <c r="A25" s="4"/>
      <c r="B25" s="166"/>
      <c r="C25" s="167"/>
      <c r="D25" s="167"/>
      <c r="E25" s="167"/>
      <c r="F25" s="167"/>
      <c r="G25" s="168"/>
      <c r="H25" s="166"/>
      <c r="I25" s="167"/>
      <c r="J25" s="167"/>
      <c r="K25" s="167"/>
      <c r="L25" s="167"/>
      <c r="M25" s="167"/>
      <c r="N25" s="168"/>
      <c r="O25" s="166"/>
      <c r="P25" s="167"/>
      <c r="Q25" s="167"/>
      <c r="R25" s="167"/>
      <c r="S25" s="208"/>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10"/>
      <c r="AX25" s="211"/>
      <c r="AY25" s="211"/>
      <c r="AZ25" s="211"/>
      <c r="BA25" s="211"/>
      <c r="BB25" s="211"/>
      <c r="BC25" s="212"/>
      <c r="BD25" s="215"/>
      <c r="BE25" s="211"/>
      <c r="BF25" s="211"/>
      <c r="BG25" s="211"/>
      <c r="BH25" s="211"/>
      <c r="BI25" s="211"/>
      <c r="BJ25" s="212"/>
      <c r="BK25" s="8"/>
    </row>
    <row r="26" spans="1:63" ht="15" customHeight="1">
      <c r="A26" s="4"/>
      <c r="B26" s="172"/>
      <c r="C26" s="173"/>
      <c r="D26" s="173"/>
      <c r="E26" s="173"/>
      <c r="F26" s="173"/>
      <c r="G26" s="174"/>
      <c r="H26" s="172"/>
      <c r="I26" s="173"/>
      <c r="J26" s="173"/>
      <c r="K26" s="173"/>
      <c r="L26" s="173"/>
      <c r="M26" s="173"/>
      <c r="N26" s="174"/>
      <c r="O26" s="172"/>
      <c r="P26" s="173"/>
      <c r="Q26" s="173"/>
      <c r="R26" s="173"/>
      <c r="S26" s="217"/>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9"/>
      <c r="AX26" s="213"/>
      <c r="AY26" s="213"/>
      <c r="AZ26" s="213"/>
      <c r="BA26" s="213"/>
      <c r="BB26" s="213"/>
      <c r="BC26" s="214"/>
      <c r="BD26" s="216"/>
      <c r="BE26" s="213"/>
      <c r="BF26" s="213"/>
      <c r="BG26" s="213"/>
      <c r="BH26" s="213"/>
      <c r="BI26" s="213"/>
      <c r="BJ26" s="214"/>
      <c r="BK26" s="8"/>
    </row>
    <row r="27" spans="1:63" ht="15" customHeight="1">
      <c r="A27" s="4"/>
      <c r="B27" s="166"/>
      <c r="C27" s="167"/>
      <c r="D27" s="167"/>
      <c r="E27" s="167"/>
      <c r="F27" s="167"/>
      <c r="G27" s="168"/>
      <c r="H27" s="166"/>
      <c r="I27" s="167"/>
      <c r="J27" s="167"/>
      <c r="K27" s="167"/>
      <c r="L27" s="167"/>
      <c r="M27" s="167"/>
      <c r="N27" s="168"/>
      <c r="O27" s="166"/>
      <c r="P27" s="167"/>
      <c r="Q27" s="167"/>
      <c r="R27" s="167"/>
      <c r="S27" s="208"/>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10"/>
      <c r="AX27" s="211"/>
      <c r="AY27" s="211"/>
      <c r="AZ27" s="211"/>
      <c r="BA27" s="211"/>
      <c r="BB27" s="211"/>
      <c r="BC27" s="212"/>
      <c r="BD27" s="215"/>
      <c r="BE27" s="211"/>
      <c r="BF27" s="211"/>
      <c r="BG27" s="211"/>
      <c r="BH27" s="211"/>
      <c r="BI27" s="211"/>
      <c r="BJ27" s="212"/>
      <c r="BK27" s="8"/>
    </row>
    <row r="28" spans="1:63" ht="15" customHeight="1">
      <c r="A28" s="4"/>
      <c r="B28" s="172"/>
      <c r="C28" s="173"/>
      <c r="D28" s="173"/>
      <c r="E28" s="173"/>
      <c r="F28" s="173"/>
      <c r="G28" s="174"/>
      <c r="H28" s="172"/>
      <c r="I28" s="173"/>
      <c r="J28" s="173"/>
      <c r="K28" s="173"/>
      <c r="L28" s="173"/>
      <c r="M28" s="173"/>
      <c r="N28" s="174"/>
      <c r="O28" s="172"/>
      <c r="P28" s="173"/>
      <c r="Q28" s="173"/>
      <c r="R28" s="173"/>
      <c r="S28" s="217"/>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9"/>
      <c r="AX28" s="213"/>
      <c r="AY28" s="213"/>
      <c r="AZ28" s="213"/>
      <c r="BA28" s="213"/>
      <c r="BB28" s="213"/>
      <c r="BC28" s="214"/>
      <c r="BD28" s="216"/>
      <c r="BE28" s="213"/>
      <c r="BF28" s="213"/>
      <c r="BG28" s="213"/>
      <c r="BH28" s="213"/>
      <c r="BI28" s="213"/>
      <c r="BJ28" s="214"/>
      <c r="BK28" s="8"/>
    </row>
    <row r="29" spans="1:63" ht="15" customHeight="1">
      <c r="A29" s="4"/>
      <c r="B29" s="166"/>
      <c r="C29" s="167"/>
      <c r="D29" s="167"/>
      <c r="E29" s="167"/>
      <c r="F29" s="167"/>
      <c r="G29" s="168"/>
      <c r="H29" s="166"/>
      <c r="I29" s="167"/>
      <c r="J29" s="167"/>
      <c r="K29" s="167"/>
      <c r="L29" s="167"/>
      <c r="M29" s="167"/>
      <c r="N29" s="168"/>
      <c r="O29" s="166"/>
      <c r="P29" s="167"/>
      <c r="Q29" s="167"/>
      <c r="R29" s="167"/>
      <c r="S29" s="208"/>
      <c r="T29" s="209"/>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10"/>
      <c r="AX29" s="211"/>
      <c r="AY29" s="211"/>
      <c r="AZ29" s="211"/>
      <c r="BA29" s="211"/>
      <c r="BB29" s="211"/>
      <c r="BC29" s="212"/>
      <c r="BD29" s="215"/>
      <c r="BE29" s="211"/>
      <c r="BF29" s="211"/>
      <c r="BG29" s="211"/>
      <c r="BH29" s="211"/>
      <c r="BI29" s="211"/>
      <c r="BJ29" s="212"/>
      <c r="BK29" s="8"/>
    </row>
    <row r="30" spans="1:63" ht="15" customHeight="1">
      <c r="A30" s="4"/>
      <c r="B30" s="172"/>
      <c r="C30" s="173"/>
      <c r="D30" s="173"/>
      <c r="E30" s="173"/>
      <c r="F30" s="173"/>
      <c r="G30" s="174"/>
      <c r="H30" s="172"/>
      <c r="I30" s="173"/>
      <c r="J30" s="173"/>
      <c r="K30" s="173"/>
      <c r="L30" s="173"/>
      <c r="M30" s="173"/>
      <c r="N30" s="174"/>
      <c r="O30" s="172"/>
      <c r="P30" s="173"/>
      <c r="Q30" s="173"/>
      <c r="R30" s="173"/>
      <c r="S30" s="217"/>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9"/>
      <c r="AX30" s="213"/>
      <c r="AY30" s="213"/>
      <c r="AZ30" s="213"/>
      <c r="BA30" s="213"/>
      <c r="BB30" s="213"/>
      <c r="BC30" s="214"/>
      <c r="BD30" s="216"/>
      <c r="BE30" s="213"/>
      <c r="BF30" s="213"/>
      <c r="BG30" s="213"/>
      <c r="BH30" s="213"/>
      <c r="BI30" s="213"/>
      <c r="BJ30" s="214"/>
      <c r="BK30" s="8"/>
    </row>
    <row r="31" spans="1:63" ht="15" customHeight="1">
      <c r="A31" s="4"/>
      <c r="B31" s="166"/>
      <c r="C31" s="167"/>
      <c r="D31" s="167"/>
      <c r="E31" s="167"/>
      <c r="F31" s="167"/>
      <c r="G31" s="168"/>
      <c r="H31" s="166"/>
      <c r="I31" s="167"/>
      <c r="J31" s="167"/>
      <c r="K31" s="167"/>
      <c r="L31" s="167"/>
      <c r="M31" s="167"/>
      <c r="N31" s="168"/>
      <c r="O31" s="166"/>
      <c r="P31" s="167"/>
      <c r="Q31" s="167"/>
      <c r="R31" s="167"/>
      <c r="S31" s="208"/>
      <c r="T31" s="209"/>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10"/>
      <c r="AX31" s="211"/>
      <c r="AY31" s="211"/>
      <c r="AZ31" s="211"/>
      <c r="BA31" s="211"/>
      <c r="BB31" s="211"/>
      <c r="BC31" s="212"/>
      <c r="BD31" s="215"/>
      <c r="BE31" s="211"/>
      <c r="BF31" s="211"/>
      <c r="BG31" s="211"/>
      <c r="BH31" s="211"/>
      <c r="BI31" s="211"/>
      <c r="BJ31" s="212"/>
      <c r="BK31" s="8"/>
    </row>
    <row r="32" spans="1:63" ht="15" customHeight="1">
      <c r="A32" s="4"/>
      <c r="B32" s="172"/>
      <c r="C32" s="173"/>
      <c r="D32" s="173"/>
      <c r="E32" s="173"/>
      <c r="F32" s="173"/>
      <c r="G32" s="174"/>
      <c r="H32" s="172"/>
      <c r="I32" s="173"/>
      <c r="J32" s="173"/>
      <c r="K32" s="173"/>
      <c r="L32" s="173"/>
      <c r="M32" s="173"/>
      <c r="N32" s="174"/>
      <c r="O32" s="172"/>
      <c r="P32" s="173"/>
      <c r="Q32" s="173"/>
      <c r="R32" s="173"/>
      <c r="S32" s="217"/>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9"/>
      <c r="AX32" s="213"/>
      <c r="AY32" s="213"/>
      <c r="AZ32" s="213"/>
      <c r="BA32" s="213"/>
      <c r="BB32" s="213"/>
      <c r="BC32" s="214"/>
      <c r="BD32" s="216"/>
      <c r="BE32" s="213"/>
      <c r="BF32" s="213"/>
      <c r="BG32" s="213"/>
      <c r="BH32" s="213"/>
      <c r="BI32" s="213"/>
      <c r="BJ32" s="214"/>
      <c r="BK32" s="8"/>
    </row>
    <row r="33" spans="1:63" ht="15" customHeight="1">
      <c r="A33" s="4"/>
      <c r="B33" s="166"/>
      <c r="C33" s="167"/>
      <c r="D33" s="167"/>
      <c r="E33" s="167"/>
      <c r="F33" s="167"/>
      <c r="G33" s="168"/>
      <c r="H33" s="166"/>
      <c r="I33" s="167"/>
      <c r="J33" s="167"/>
      <c r="K33" s="167"/>
      <c r="L33" s="167"/>
      <c r="M33" s="167"/>
      <c r="N33" s="168"/>
      <c r="O33" s="166"/>
      <c r="P33" s="167"/>
      <c r="Q33" s="167"/>
      <c r="R33" s="167"/>
      <c r="S33" s="208"/>
      <c r="T33" s="209"/>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10"/>
      <c r="AX33" s="211"/>
      <c r="AY33" s="211"/>
      <c r="AZ33" s="211"/>
      <c r="BA33" s="211"/>
      <c r="BB33" s="211"/>
      <c r="BC33" s="212"/>
      <c r="BD33" s="215"/>
      <c r="BE33" s="211"/>
      <c r="BF33" s="211"/>
      <c r="BG33" s="211"/>
      <c r="BH33" s="211"/>
      <c r="BI33" s="211"/>
      <c r="BJ33" s="212"/>
      <c r="BK33" s="8"/>
    </row>
    <row r="34" spans="1:63" ht="15" customHeight="1">
      <c r="A34" s="4"/>
      <c r="B34" s="172"/>
      <c r="C34" s="173"/>
      <c r="D34" s="173"/>
      <c r="E34" s="173"/>
      <c r="F34" s="173"/>
      <c r="G34" s="174"/>
      <c r="H34" s="172"/>
      <c r="I34" s="173"/>
      <c r="J34" s="173"/>
      <c r="K34" s="173"/>
      <c r="L34" s="173"/>
      <c r="M34" s="173"/>
      <c r="N34" s="174"/>
      <c r="O34" s="172"/>
      <c r="P34" s="173"/>
      <c r="Q34" s="173"/>
      <c r="R34" s="173"/>
      <c r="S34" s="217"/>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9"/>
      <c r="AX34" s="213"/>
      <c r="AY34" s="213"/>
      <c r="AZ34" s="213"/>
      <c r="BA34" s="213"/>
      <c r="BB34" s="213"/>
      <c r="BC34" s="214"/>
      <c r="BD34" s="216"/>
      <c r="BE34" s="213"/>
      <c r="BF34" s="213"/>
      <c r="BG34" s="213"/>
      <c r="BH34" s="213"/>
      <c r="BI34" s="213"/>
      <c r="BJ34" s="214"/>
      <c r="BK34" s="8"/>
    </row>
    <row r="35" spans="1:63" ht="15" customHeight="1">
      <c r="A35" s="4"/>
      <c r="B35" s="166"/>
      <c r="C35" s="167"/>
      <c r="D35" s="167"/>
      <c r="E35" s="167"/>
      <c r="F35" s="167"/>
      <c r="G35" s="168"/>
      <c r="H35" s="166"/>
      <c r="I35" s="167"/>
      <c r="J35" s="167"/>
      <c r="K35" s="167"/>
      <c r="L35" s="167"/>
      <c r="M35" s="167"/>
      <c r="N35" s="168"/>
      <c r="O35" s="166"/>
      <c r="P35" s="167"/>
      <c r="Q35" s="167"/>
      <c r="R35" s="167"/>
      <c r="S35" s="208"/>
      <c r="T35" s="209"/>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10"/>
      <c r="AX35" s="211"/>
      <c r="AY35" s="211"/>
      <c r="AZ35" s="211"/>
      <c r="BA35" s="211"/>
      <c r="BB35" s="211"/>
      <c r="BC35" s="212"/>
      <c r="BD35" s="215"/>
      <c r="BE35" s="211"/>
      <c r="BF35" s="211"/>
      <c r="BG35" s="211"/>
      <c r="BH35" s="211"/>
      <c r="BI35" s="211"/>
      <c r="BJ35" s="212"/>
      <c r="BK35" s="8"/>
    </row>
    <row r="36" spans="1:63" ht="15" customHeight="1">
      <c r="A36" s="4"/>
      <c r="B36" s="172"/>
      <c r="C36" s="173"/>
      <c r="D36" s="173"/>
      <c r="E36" s="173"/>
      <c r="F36" s="173"/>
      <c r="G36" s="174"/>
      <c r="H36" s="172"/>
      <c r="I36" s="173"/>
      <c r="J36" s="173"/>
      <c r="K36" s="173"/>
      <c r="L36" s="173"/>
      <c r="M36" s="173"/>
      <c r="N36" s="174"/>
      <c r="O36" s="172"/>
      <c r="P36" s="173"/>
      <c r="Q36" s="173"/>
      <c r="R36" s="173"/>
      <c r="S36" s="217"/>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9"/>
      <c r="AX36" s="213"/>
      <c r="AY36" s="213"/>
      <c r="AZ36" s="213"/>
      <c r="BA36" s="213"/>
      <c r="BB36" s="213"/>
      <c r="BC36" s="214"/>
      <c r="BD36" s="216"/>
      <c r="BE36" s="213"/>
      <c r="BF36" s="213"/>
      <c r="BG36" s="213"/>
      <c r="BH36" s="213"/>
      <c r="BI36" s="213"/>
      <c r="BJ36" s="214"/>
      <c r="BK36" s="8"/>
    </row>
    <row r="37" spans="1:63" ht="15" customHeight="1">
      <c r="A37" s="4"/>
      <c r="B37" s="166"/>
      <c r="C37" s="167"/>
      <c r="D37" s="167"/>
      <c r="E37" s="167"/>
      <c r="F37" s="167"/>
      <c r="G37" s="168"/>
      <c r="H37" s="166"/>
      <c r="I37" s="167"/>
      <c r="J37" s="167"/>
      <c r="K37" s="167"/>
      <c r="L37" s="167"/>
      <c r="M37" s="167"/>
      <c r="N37" s="168"/>
      <c r="O37" s="166"/>
      <c r="P37" s="167"/>
      <c r="Q37" s="167"/>
      <c r="R37" s="167"/>
      <c r="S37" s="208"/>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10"/>
      <c r="AX37" s="211"/>
      <c r="AY37" s="211"/>
      <c r="AZ37" s="211"/>
      <c r="BA37" s="211"/>
      <c r="BB37" s="211"/>
      <c r="BC37" s="212"/>
      <c r="BD37" s="215"/>
      <c r="BE37" s="211"/>
      <c r="BF37" s="211"/>
      <c r="BG37" s="211"/>
      <c r="BH37" s="211"/>
      <c r="BI37" s="211"/>
      <c r="BJ37" s="212"/>
      <c r="BK37" s="8"/>
    </row>
    <row r="38" spans="1:63" ht="15" customHeight="1">
      <c r="A38" s="4"/>
      <c r="B38" s="172"/>
      <c r="C38" s="173"/>
      <c r="D38" s="173"/>
      <c r="E38" s="173"/>
      <c r="F38" s="173"/>
      <c r="G38" s="174"/>
      <c r="H38" s="172"/>
      <c r="I38" s="173"/>
      <c r="J38" s="173"/>
      <c r="K38" s="173"/>
      <c r="L38" s="173"/>
      <c r="M38" s="173"/>
      <c r="N38" s="174"/>
      <c r="O38" s="172"/>
      <c r="P38" s="173"/>
      <c r="Q38" s="173"/>
      <c r="R38" s="173"/>
      <c r="S38" s="217"/>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9"/>
      <c r="AX38" s="213"/>
      <c r="AY38" s="213"/>
      <c r="AZ38" s="213"/>
      <c r="BA38" s="213"/>
      <c r="BB38" s="213"/>
      <c r="BC38" s="214"/>
      <c r="BD38" s="216"/>
      <c r="BE38" s="213"/>
      <c r="BF38" s="213"/>
      <c r="BG38" s="213"/>
      <c r="BH38" s="213"/>
      <c r="BI38" s="213"/>
      <c r="BJ38" s="214"/>
      <c r="BK38" s="8"/>
    </row>
    <row r="39" spans="1:63" ht="15" customHeight="1">
      <c r="A39" s="4"/>
      <c r="B39" s="166"/>
      <c r="C39" s="167"/>
      <c r="D39" s="167"/>
      <c r="E39" s="167"/>
      <c r="F39" s="167"/>
      <c r="G39" s="168"/>
      <c r="H39" s="166"/>
      <c r="I39" s="167"/>
      <c r="J39" s="167"/>
      <c r="K39" s="167"/>
      <c r="L39" s="167"/>
      <c r="M39" s="167"/>
      <c r="N39" s="168"/>
      <c r="O39" s="166"/>
      <c r="P39" s="167"/>
      <c r="Q39" s="167"/>
      <c r="R39" s="167"/>
      <c r="S39" s="208"/>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10"/>
      <c r="AX39" s="211"/>
      <c r="AY39" s="211"/>
      <c r="AZ39" s="211"/>
      <c r="BA39" s="211"/>
      <c r="BB39" s="211"/>
      <c r="BC39" s="212"/>
      <c r="BD39" s="215"/>
      <c r="BE39" s="211"/>
      <c r="BF39" s="211"/>
      <c r="BG39" s="211"/>
      <c r="BH39" s="211"/>
      <c r="BI39" s="211"/>
      <c r="BJ39" s="212"/>
      <c r="BK39" s="8"/>
    </row>
    <row r="40" spans="1:63" ht="15" customHeight="1">
      <c r="A40" s="4"/>
      <c r="B40" s="172"/>
      <c r="C40" s="173"/>
      <c r="D40" s="173"/>
      <c r="E40" s="173"/>
      <c r="F40" s="173"/>
      <c r="G40" s="174"/>
      <c r="H40" s="172"/>
      <c r="I40" s="173"/>
      <c r="J40" s="173"/>
      <c r="K40" s="173"/>
      <c r="L40" s="173"/>
      <c r="M40" s="173"/>
      <c r="N40" s="174"/>
      <c r="O40" s="172"/>
      <c r="P40" s="173"/>
      <c r="Q40" s="173"/>
      <c r="R40" s="173"/>
      <c r="S40" s="217"/>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9"/>
      <c r="AX40" s="213"/>
      <c r="AY40" s="213"/>
      <c r="AZ40" s="213"/>
      <c r="BA40" s="213"/>
      <c r="BB40" s="213"/>
      <c r="BC40" s="214"/>
      <c r="BD40" s="216"/>
      <c r="BE40" s="213"/>
      <c r="BF40" s="213"/>
      <c r="BG40" s="213"/>
      <c r="BH40" s="213"/>
      <c r="BI40" s="213"/>
      <c r="BJ40" s="214"/>
      <c r="BK40" s="8"/>
    </row>
    <row r="41" spans="1:63" ht="15" customHeight="1">
      <c r="A41" s="4"/>
      <c r="B41" s="166"/>
      <c r="C41" s="167"/>
      <c r="D41" s="167"/>
      <c r="E41" s="167"/>
      <c r="F41" s="167"/>
      <c r="G41" s="168"/>
      <c r="H41" s="166"/>
      <c r="I41" s="167"/>
      <c r="J41" s="167"/>
      <c r="K41" s="167"/>
      <c r="L41" s="167"/>
      <c r="M41" s="167"/>
      <c r="N41" s="168"/>
      <c r="O41" s="166"/>
      <c r="P41" s="167"/>
      <c r="Q41" s="167"/>
      <c r="R41" s="167"/>
      <c r="S41" s="208"/>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10"/>
      <c r="AX41" s="211"/>
      <c r="AY41" s="211"/>
      <c r="AZ41" s="211"/>
      <c r="BA41" s="211"/>
      <c r="BB41" s="211"/>
      <c r="BC41" s="212"/>
      <c r="BD41" s="215"/>
      <c r="BE41" s="211"/>
      <c r="BF41" s="211"/>
      <c r="BG41" s="211"/>
      <c r="BH41" s="211"/>
      <c r="BI41" s="211"/>
      <c r="BJ41" s="212"/>
      <c r="BK41" s="8"/>
    </row>
    <row r="42" spans="1:63" ht="15" customHeight="1">
      <c r="A42" s="4"/>
      <c r="B42" s="172"/>
      <c r="C42" s="173"/>
      <c r="D42" s="173"/>
      <c r="E42" s="173"/>
      <c r="F42" s="173"/>
      <c r="G42" s="174"/>
      <c r="H42" s="172"/>
      <c r="I42" s="173"/>
      <c r="J42" s="173"/>
      <c r="K42" s="173"/>
      <c r="L42" s="173"/>
      <c r="M42" s="173"/>
      <c r="N42" s="174"/>
      <c r="O42" s="172"/>
      <c r="P42" s="173"/>
      <c r="Q42" s="173"/>
      <c r="R42" s="173"/>
      <c r="S42" s="217"/>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9"/>
      <c r="AX42" s="213"/>
      <c r="AY42" s="213"/>
      <c r="AZ42" s="213"/>
      <c r="BA42" s="213"/>
      <c r="BB42" s="213"/>
      <c r="BC42" s="214"/>
      <c r="BD42" s="216"/>
      <c r="BE42" s="213"/>
      <c r="BF42" s="213"/>
      <c r="BG42" s="213"/>
      <c r="BH42" s="213"/>
      <c r="BI42" s="213"/>
      <c r="BJ42" s="214"/>
      <c r="BK42" s="8"/>
    </row>
    <row r="43" spans="1:63" ht="15" customHeight="1">
      <c r="A43" s="4"/>
      <c r="B43" s="166"/>
      <c r="C43" s="167"/>
      <c r="D43" s="167"/>
      <c r="E43" s="167"/>
      <c r="F43" s="167"/>
      <c r="G43" s="168"/>
      <c r="H43" s="166"/>
      <c r="I43" s="167"/>
      <c r="J43" s="167"/>
      <c r="K43" s="167"/>
      <c r="L43" s="167"/>
      <c r="M43" s="167"/>
      <c r="N43" s="168"/>
      <c r="O43" s="166"/>
      <c r="P43" s="167"/>
      <c r="Q43" s="167"/>
      <c r="R43" s="167"/>
      <c r="S43" s="208"/>
      <c r="T43" s="209"/>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10"/>
      <c r="AX43" s="211"/>
      <c r="AY43" s="211"/>
      <c r="AZ43" s="211"/>
      <c r="BA43" s="211"/>
      <c r="BB43" s="211"/>
      <c r="BC43" s="212"/>
      <c r="BD43" s="215"/>
      <c r="BE43" s="211"/>
      <c r="BF43" s="211"/>
      <c r="BG43" s="211"/>
      <c r="BH43" s="211"/>
      <c r="BI43" s="211"/>
      <c r="BJ43" s="212"/>
      <c r="BK43" s="8"/>
    </row>
    <row r="44" spans="1:63" ht="15" customHeight="1">
      <c r="A44" s="4"/>
      <c r="B44" s="172"/>
      <c r="C44" s="173"/>
      <c r="D44" s="173"/>
      <c r="E44" s="173"/>
      <c r="F44" s="173"/>
      <c r="G44" s="174"/>
      <c r="H44" s="172"/>
      <c r="I44" s="173"/>
      <c r="J44" s="173"/>
      <c r="K44" s="173"/>
      <c r="L44" s="173"/>
      <c r="M44" s="173"/>
      <c r="N44" s="174"/>
      <c r="O44" s="172"/>
      <c r="P44" s="173"/>
      <c r="Q44" s="173"/>
      <c r="R44" s="173"/>
      <c r="S44" s="217"/>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9"/>
      <c r="AX44" s="213"/>
      <c r="AY44" s="213"/>
      <c r="AZ44" s="213"/>
      <c r="BA44" s="213"/>
      <c r="BB44" s="213"/>
      <c r="BC44" s="214"/>
      <c r="BD44" s="216"/>
      <c r="BE44" s="213"/>
      <c r="BF44" s="213"/>
      <c r="BG44" s="213"/>
      <c r="BH44" s="213"/>
      <c r="BI44" s="213"/>
      <c r="BJ44" s="214"/>
      <c r="BK44" s="8"/>
    </row>
    <row r="45" spans="1:63" ht="15" customHeight="1">
      <c r="A45" s="4"/>
      <c r="B45" s="166"/>
      <c r="C45" s="167"/>
      <c r="D45" s="167"/>
      <c r="E45" s="167"/>
      <c r="F45" s="167"/>
      <c r="G45" s="168"/>
      <c r="H45" s="166"/>
      <c r="I45" s="167"/>
      <c r="J45" s="167"/>
      <c r="K45" s="167"/>
      <c r="L45" s="167"/>
      <c r="M45" s="167"/>
      <c r="N45" s="168"/>
      <c r="O45" s="166"/>
      <c r="P45" s="167"/>
      <c r="Q45" s="167"/>
      <c r="R45" s="167"/>
      <c r="S45" s="208"/>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10"/>
      <c r="AX45" s="211"/>
      <c r="AY45" s="211"/>
      <c r="AZ45" s="211"/>
      <c r="BA45" s="211"/>
      <c r="BB45" s="211"/>
      <c r="BC45" s="212"/>
      <c r="BD45" s="215"/>
      <c r="BE45" s="211"/>
      <c r="BF45" s="211"/>
      <c r="BG45" s="211"/>
      <c r="BH45" s="211"/>
      <c r="BI45" s="211"/>
      <c r="BJ45" s="212"/>
      <c r="BK45" s="8"/>
    </row>
    <row r="46" spans="1:63" ht="15" customHeight="1">
      <c r="A46" s="4"/>
      <c r="B46" s="172"/>
      <c r="C46" s="173"/>
      <c r="D46" s="173"/>
      <c r="E46" s="173"/>
      <c r="F46" s="173"/>
      <c r="G46" s="174"/>
      <c r="H46" s="172"/>
      <c r="I46" s="173"/>
      <c r="J46" s="173"/>
      <c r="K46" s="173"/>
      <c r="L46" s="173"/>
      <c r="M46" s="173"/>
      <c r="N46" s="174"/>
      <c r="O46" s="172"/>
      <c r="P46" s="173"/>
      <c r="Q46" s="173"/>
      <c r="R46" s="173"/>
      <c r="S46" s="217"/>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9"/>
      <c r="AX46" s="213"/>
      <c r="AY46" s="213"/>
      <c r="AZ46" s="213"/>
      <c r="BA46" s="213"/>
      <c r="BB46" s="213"/>
      <c r="BC46" s="214"/>
      <c r="BD46" s="216"/>
      <c r="BE46" s="213"/>
      <c r="BF46" s="213"/>
      <c r="BG46" s="213"/>
      <c r="BH46" s="213"/>
      <c r="BI46" s="213"/>
      <c r="BJ46" s="214"/>
      <c r="BK46" s="8"/>
    </row>
    <row r="47" spans="1:63" ht="15" customHeight="1">
      <c r="A47" s="4"/>
      <c r="B47" s="166"/>
      <c r="C47" s="167"/>
      <c r="D47" s="167"/>
      <c r="E47" s="167"/>
      <c r="F47" s="167"/>
      <c r="G47" s="168"/>
      <c r="H47" s="166"/>
      <c r="I47" s="167"/>
      <c r="J47" s="167"/>
      <c r="K47" s="167"/>
      <c r="L47" s="167"/>
      <c r="M47" s="167"/>
      <c r="N47" s="168"/>
      <c r="O47" s="166"/>
      <c r="P47" s="167"/>
      <c r="Q47" s="167"/>
      <c r="R47" s="167"/>
      <c r="S47" s="208"/>
      <c r="T47" s="209"/>
      <c r="U47" s="209"/>
      <c r="V47" s="209"/>
      <c r="W47" s="209"/>
      <c r="X47" s="209"/>
      <c r="Y47" s="209"/>
      <c r="Z47" s="209"/>
      <c r="AA47" s="209"/>
      <c r="AB47" s="209"/>
      <c r="AC47" s="209"/>
      <c r="AD47" s="209"/>
      <c r="AE47" s="209"/>
      <c r="AF47" s="209"/>
      <c r="AG47" s="209"/>
      <c r="AH47" s="209"/>
      <c r="AI47" s="209"/>
      <c r="AJ47" s="209"/>
      <c r="AK47" s="209"/>
      <c r="AL47" s="209"/>
      <c r="AM47" s="209"/>
      <c r="AN47" s="209"/>
      <c r="AO47" s="209"/>
      <c r="AP47" s="209"/>
      <c r="AQ47" s="209"/>
      <c r="AR47" s="209"/>
      <c r="AS47" s="209"/>
      <c r="AT47" s="209"/>
      <c r="AU47" s="209"/>
      <c r="AV47" s="209"/>
      <c r="AW47" s="210"/>
      <c r="AX47" s="211"/>
      <c r="AY47" s="211"/>
      <c r="AZ47" s="211"/>
      <c r="BA47" s="211"/>
      <c r="BB47" s="211"/>
      <c r="BC47" s="212"/>
      <c r="BD47" s="215"/>
      <c r="BE47" s="211"/>
      <c r="BF47" s="211"/>
      <c r="BG47" s="211"/>
      <c r="BH47" s="211"/>
      <c r="BI47" s="211"/>
      <c r="BJ47" s="212"/>
      <c r="BK47" s="8"/>
    </row>
    <row r="48" spans="1:63" ht="15" customHeight="1">
      <c r="A48" s="4"/>
      <c r="B48" s="172"/>
      <c r="C48" s="173"/>
      <c r="D48" s="173"/>
      <c r="E48" s="173"/>
      <c r="F48" s="173"/>
      <c r="G48" s="174"/>
      <c r="H48" s="172"/>
      <c r="I48" s="173"/>
      <c r="J48" s="173"/>
      <c r="K48" s="173"/>
      <c r="L48" s="173"/>
      <c r="M48" s="173"/>
      <c r="N48" s="174"/>
      <c r="O48" s="172"/>
      <c r="P48" s="173"/>
      <c r="Q48" s="173"/>
      <c r="R48" s="173"/>
      <c r="S48" s="217"/>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9"/>
      <c r="AX48" s="213"/>
      <c r="AY48" s="213"/>
      <c r="AZ48" s="213"/>
      <c r="BA48" s="213"/>
      <c r="BB48" s="213"/>
      <c r="BC48" s="214"/>
      <c r="BD48" s="216"/>
      <c r="BE48" s="213"/>
      <c r="BF48" s="213"/>
      <c r="BG48" s="213"/>
      <c r="BH48" s="213"/>
      <c r="BI48" s="213"/>
      <c r="BJ48" s="214"/>
      <c r="BK48" s="8"/>
    </row>
    <row r="49" spans="1:63" ht="15" customHeight="1">
      <c r="A49" s="4"/>
      <c r="B49" s="166"/>
      <c r="C49" s="167"/>
      <c r="D49" s="167"/>
      <c r="E49" s="167"/>
      <c r="F49" s="167"/>
      <c r="G49" s="168"/>
      <c r="H49" s="166"/>
      <c r="I49" s="167"/>
      <c r="J49" s="167"/>
      <c r="K49" s="167"/>
      <c r="L49" s="167"/>
      <c r="M49" s="167"/>
      <c r="N49" s="168"/>
      <c r="O49" s="166"/>
      <c r="P49" s="167"/>
      <c r="Q49" s="167"/>
      <c r="R49" s="167"/>
      <c r="S49" s="208"/>
      <c r="T49" s="209"/>
      <c r="U49" s="209"/>
      <c r="V49" s="209"/>
      <c r="W49" s="209"/>
      <c r="X49" s="209"/>
      <c r="Y49" s="209"/>
      <c r="Z49" s="209"/>
      <c r="AA49" s="209"/>
      <c r="AB49" s="209"/>
      <c r="AC49" s="209"/>
      <c r="AD49" s="209"/>
      <c r="AE49" s="209"/>
      <c r="AF49" s="209"/>
      <c r="AG49" s="209"/>
      <c r="AH49" s="209"/>
      <c r="AI49" s="209"/>
      <c r="AJ49" s="209"/>
      <c r="AK49" s="209"/>
      <c r="AL49" s="209"/>
      <c r="AM49" s="209"/>
      <c r="AN49" s="209"/>
      <c r="AO49" s="209"/>
      <c r="AP49" s="209"/>
      <c r="AQ49" s="209"/>
      <c r="AR49" s="209"/>
      <c r="AS49" s="209"/>
      <c r="AT49" s="209"/>
      <c r="AU49" s="209"/>
      <c r="AV49" s="209"/>
      <c r="AW49" s="210"/>
      <c r="AX49" s="211"/>
      <c r="AY49" s="211"/>
      <c r="AZ49" s="211"/>
      <c r="BA49" s="211"/>
      <c r="BB49" s="211"/>
      <c r="BC49" s="212"/>
      <c r="BD49" s="215"/>
      <c r="BE49" s="211"/>
      <c r="BF49" s="211"/>
      <c r="BG49" s="211"/>
      <c r="BH49" s="211"/>
      <c r="BI49" s="211"/>
      <c r="BJ49" s="212"/>
      <c r="BK49" s="8"/>
    </row>
    <row r="50" spans="1:63" ht="15" customHeight="1">
      <c r="A50" s="4"/>
      <c r="B50" s="172"/>
      <c r="C50" s="173"/>
      <c r="D50" s="173"/>
      <c r="E50" s="173"/>
      <c r="F50" s="173"/>
      <c r="G50" s="174"/>
      <c r="H50" s="172"/>
      <c r="I50" s="173"/>
      <c r="J50" s="173"/>
      <c r="K50" s="173"/>
      <c r="L50" s="173"/>
      <c r="M50" s="173"/>
      <c r="N50" s="174"/>
      <c r="O50" s="172"/>
      <c r="P50" s="173"/>
      <c r="Q50" s="173"/>
      <c r="R50" s="173"/>
      <c r="S50" s="217"/>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9"/>
      <c r="AX50" s="213"/>
      <c r="AY50" s="213"/>
      <c r="AZ50" s="213"/>
      <c r="BA50" s="213"/>
      <c r="BB50" s="213"/>
      <c r="BC50" s="214"/>
      <c r="BD50" s="216"/>
      <c r="BE50" s="213"/>
      <c r="BF50" s="213"/>
      <c r="BG50" s="213"/>
      <c r="BH50" s="213"/>
      <c r="BI50" s="213"/>
      <c r="BJ50" s="214"/>
      <c r="BK50" s="8"/>
    </row>
    <row r="51" spans="1:63" ht="15" customHeight="1">
      <c r="A51" s="4"/>
      <c r="B51" s="166"/>
      <c r="C51" s="167"/>
      <c r="D51" s="167"/>
      <c r="E51" s="167"/>
      <c r="F51" s="167"/>
      <c r="G51" s="168"/>
      <c r="H51" s="166"/>
      <c r="I51" s="167"/>
      <c r="J51" s="167"/>
      <c r="K51" s="167"/>
      <c r="L51" s="167"/>
      <c r="M51" s="167"/>
      <c r="N51" s="168"/>
      <c r="O51" s="166"/>
      <c r="P51" s="167"/>
      <c r="Q51" s="167"/>
      <c r="R51" s="167"/>
      <c r="S51" s="208"/>
      <c r="T51" s="209"/>
      <c r="U51" s="209"/>
      <c r="V51" s="209"/>
      <c r="W51" s="209"/>
      <c r="X51" s="209"/>
      <c r="Y51" s="209"/>
      <c r="Z51" s="209"/>
      <c r="AA51" s="209"/>
      <c r="AB51" s="209"/>
      <c r="AC51" s="209"/>
      <c r="AD51" s="209"/>
      <c r="AE51" s="209"/>
      <c r="AF51" s="209"/>
      <c r="AG51" s="209"/>
      <c r="AH51" s="209"/>
      <c r="AI51" s="209"/>
      <c r="AJ51" s="209"/>
      <c r="AK51" s="209"/>
      <c r="AL51" s="209"/>
      <c r="AM51" s="209"/>
      <c r="AN51" s="209"/>
      <c r="AO51" s="209"/>
      <c r="AP51" s="209"/>
      <c r="AQ51" s="209"/>
      <c r="AR51" s="209"/>
      <c r="AS51" s="209"/>
      <c r="AT51" s="209"/>
      <c r="AU51" s="209"/>
      <c r="AV51" s="209"/>
      <c r="AW51" s="210"/>
      <c r="AX51" s="211"/>
      <c r="AY51" s="211"/>
      <c r="AZ51" s="211"/>
      <c r="BA51" s="211"/>
      <c r="BB51" s="211"/>
      <c r="BC51" s="212"/>
      <c r="BD51" s="215"/>
      <c r="BE51" s="211"/>
      <c r="BF51" s="211"/>
      <c r="BG51" s="211"/>
      <c r="BH51" s="211"/>
      <c r="BI51" s="211"/>
      <c r="BJ51" s="212"/>
      <c r="BK51" s="8"/>
    </row>
    <row r="52" spans="1:63" ht="15" customHeight="1">
      <c r="A52" s="4"/>
      <c r="B52" s="172"/>
      <c r="C52" s="173"/>
      <c r="D52" s="173"/>
      <c r="E52" s="173"/>
      <c r="F52" s="173"/>
      <c r="G52" s="174"/>
      <c r="H52" s="172"/>
      <c r="I52" s="173"/>
      <c r="J52" s="173"/>
      <c r="K52" s="173"/>
      <c r="L52" s="173"/>
      <c r="M52" s="173"/>
      <c r="N52" s="174"/>
      <c r="O52" s="172"/>
      <c r="P52" s="173"/>
      <c r="Q52" s="173"/>
      <c r="R52" s="173"/>
      <c r="S52" s="217"/>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9"/>
      <c r="AX52" s="213"/>
      <c r="AY52" s="213"/>
      <c r="AZ52" s="213"/>
      <c r="BA52" s="213"/>
      <c r="BB52" s="213"/>
      <c r="BC52" s="214"/>
      <c r="BD52" s="216"/>
      <c r="BE52" s="213"/>
      <c r="BF52" s="213"/>
      <c r="BG52" s="213"/>
      <c r="BH52" s="213"/>
      <c r="BI52" s="213"/>
      <c r="BJ52" s="214"/>
      <c r="BK52" s="8"/>
    </row>
    <row r="53" spans="1:63" ht="15" customHeight="1">
      <c r="A53" s="4"/>
      <c r="B53" s="166"/>
      <c r="C53" s="167"/>
      <c r="D53" s="167"/>
      <c r="E53" s="167"/>
      <c r="F53" s="167"/>
      <c r="G53" s="168"/>
      <c r="H53" s="166"/>
      <c r="I53" s="167"/>
      <c r="J53" s="167"/>
      <c r="K53" s="167"/>
      <c r="L53" s="167"/>
      <c r="M53" s="167"/>
      <c r="N53" s="168"/>
      <c r="O53" s="166"/>
      <c r="P53" s="167"/>
      <c r="Q53" s="167"/>
      <c r="R53" s="167"/>
      <c r="S53" s="208"/>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10"/>
      <c r="AX53" s="211"/>
      <c r="AY53" s="211"/>
      <c r="AZ53" s="211"/>
      <c r="BA53" s="211"/>
      <c r="BB53" s="211"/>
      <c r="BC53" s="212"/>
      <c r="BD53" s="215"/>
      <c r="BE53" s="211"/>
      <c r="BF53" s="211"/>
      <c r="BG53" s="211"/>
      <c r="BH53" s="211"/>
      <c r="BI53" s="211"/>
      <c r="BJ53" s="212"/>
      <c r="BK53" s="8"/>
    </row>
    <row r="54" spans="1:63" ht="15" customHeight="1">
      <c r="A54" s="4"/>
      <c r="B54" s="172"/>
      <c r="C54" s="173"/>
      <c r="D54" s="173"/>
      <c r="E54" s="173"/>
      <c r="F54" s="173"/>
      <c r="G54" s="174"/>
      <c r="H54" s="172"/>
      <c r="I54" s="173"/>
      <c r="J54" s="173"/>
      <c r="K54" s="173"/>
      <c r="L54" s="173"/>
      <c r="M54" s="173"/>
      <c r="N54" s="174"/>
      <c r="O54" s="172"/>
      <c r="P54" s="173"/>
      <c r="Q54" s="173"/>
      <c r="R54" s="173"/>
      <c r="S54" s="217"/>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9"/>
      <c r="AX54" s="213"/>
      <c r="AY54" s="213"/>
      <c r="AZ54" s="213"/>
      <c r="BA54" s="213"/>
      <c r="BB54" s="213"/>
      <c r="BC54" s="214"/>
      <c r="BD54" s="216"/>
      <c r="BE54" s="213"/>
      <c r="BF54" s="213"/>
      <c r="BG54" s="213"/>
      <c r="BH54" s="213"/>
      <c r="BI54" s="213"/>
      <c r="BJ54" s="21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14"/>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K152"/>
  <sheetViews>
    <sheetView view="pageBreakPreview" zoomScaleNormal="75" zoomScaleSheetLayoutView="100" workbookViewId="0">
      <selection activeCell="AR20" sqref="AR20:BC20"/>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概要</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AR6" s="5"/>
      <c r="AS6" s="5"/>
      <c r="BK6" s="8"/>
    </row>
    <row r="7" spans="1:63" ht="15" customHeight="1">
      <c r="A7" s="4"/>
      <c r="B7" s="55" t="s">
        <v>23</v>
      </c>
      <c r="BK7" s="8"/>
    </row>
    <row r="8" spans="1:63" ht="15" customHeight="1">
      <c r="A8" s="4"/>
      <c r="C8" t="s">
        <v>24</v>
      </c>
      <c r="AR8" s="84" t="s">
        <v>25</v>
      </c>
      <c r="BK8" s="8"/>
    </row>
    <row r="9" spans="1:63" ht="15" customHeight="1">
      <c r="A9" s="4"/>
      <c r="C9" s="56" t="s">
        <v>26</v>
      </c>
      <c r="D9" s="23"/>
      <c r="E9" s="24"/>
      <c r="F9" s="56" t="s">
        <v>27</v>
      </c>
      <c r="G9" s="57"/>
      <c r="H9" s="57"/>
      <c r="I9" s="57"/>
      <c r="J9" s="23"/>
      <c r="K9" s="23"/>
      <c r="L9" s="24"/>
      <c r="M9" s="56" t="s">
        <v>28</v>
      </c>
      <c r="N9" s="23"/>
      <c r="O9" s="23"/>
      <c r="P9" s="24"/>
      <c r="Q9" s="57" t="s">
        <v>29</v>
      </c>
      <c r="R9" s="23"/>
      <c r="S9" s="23"/>
      <c r="T9" s="23"/>
      <c r="U9" s="23"/>
      <c r="V9" s="23"/>
      <c r="W9" s="23"/>
      <c r="X9" s="23"/>
      <c r="Y9" s="23"/>
      <c r="Z9" s="56" t="s">
        <v>30</v>
      </c>
      <c r="AA9" s="23"/>
      <c r="AB9" s="23"/>
      <c r="AC9" s="23"/>
      <c r="AD9" s="23"/>
      <c r="AE9" s="23"/>
      <c r="AF9" s="56" t="s">
        <v>31</v>
      </c>
      <c r="AG9" s="57"/>
      <c r="AH9" s="57"/>
      <c r="AI9" s="57"/>
      <c r="AJ9" s="57"/>
      <c r="AK9" s="57"/>
      <c r="AL9" s="57"/>
      <c r="AM9" s="57"/>
      <c r="AN9" s="57"/>
      <c r="AO9" s="57"/>
      <c r="AP9" s="57"/>
      <c r="AQ9" s="58"/>
      <c r="AR9" s="56" t="s">
        <v>32</v>
      </c>
      <c r="AS9" s="57"/>
      <c r="AT9" s="57"/>
      <c r="AU9" s="57"/>
      <c r="AV9" s="57"/>
      <c r="AW9" s="57"/>
      <c r="AX9" s="57"/>
      <c r="AY9" s="57"/>
      <c r="AZ9" s="57"/>
      <c r="BA9" s="57"/>
      <c r="BB9" s="57"/>
      <c r="BC9" s="58"/>
      <c r="BK9" s="8"/>
    </row>
    <row r="10" spans="1:63" ht="15" customHeight="1">
      <c r="A10" s="4"/>
      <c r="C10" s="166" t="s">
        <v>33</v>
      </c>
      <c r="D10" s="167"/>
      <c r="E10" s="168"/>
      <c r="F10" s="147" t="s">
        <v>34</v>
      </c>
      <c r="G10" s="148"/>
      <c r="H10" s="148"/>
      <c r="I10" s="148"/>
      <c r="J10" s="148"/>
      <c r="K10" s="148"/>
      <c r="L10" s="149"/>
      <c r="M10" s="25" t="s">
        <v>35</v>
      </c>
      <c r="N10" s="26"/>
      <c r="O10" s="26"/>
      <c r="P10" s="27"/>
      <c r="Q10" s="26" t="s">
        <v>36</v>
      </c>
      <c r="R10" s="26"/>
      <c r="S10" s="26"/>
      <c r="T10" s="26"/>
      <c r="U10" s="26"/>
      <c r="V10" s="26"/>
      <c r="W10" s="26"/>
      <c r="X10" s="26"/>
      <c r="Y10" s="26"/>
      <c r="Z10" s="240" t="s">
        <v>37</v>
      </c>
      <c r="AA10" s="241"/>
      <c r="AB10" s="241"/>
      <c r="AC10" s="241"/>
      <c r="AD10" s="241"/>
      <c r="AE10" s="242"/>
      <c r="AF10" s="61" t="s">
        <v>38</v>
      </c>
      <c r="AG10" s="26"/>
      <c r="AH10" s="26"/>
      <c r="AI10" s="26"/>
      <c r="AJ10" s="26"/>
      <c r="AK10" s="26"/>
      <c r="AL10" s="26"/>
      <c r="AM10" s="26"/>
      <c r="AN10" s="26"/>
      <c r="AO10" s="26"/>
      <c r="AP10" s="26"/>
      <c r="AQ10" s="27"/>
      <c r="AR10" s="65" t="s">
        <v>39</v>
      </c>
      <c r="AS10" s="26"/>
      <c r="AT10" s="26"/>
      <c r="AU10" s="26"/>
      <c r="AV10" s="26"/>
      <c r="AW10" s="26"/>
      <c r="AX10" s="26"/>
      <c r="AY10" s="26"/>
      <c r="AZ10" s="26"/>
      <c r="BA10" s="26"/>
      <c r="BB10" s="26"/>
      <c r="BC10" s="27"/>
      <c r="BD10" t="s">
        <v>40</v>
      </c>
      <c r="BK10" s="8"/>
    </row>
    <row r="11" spans="1:63" ht="15" customHeight="1">
      <c r="A11" s="4"/>
      <c r="C11" s="169"/>
      <c r="D11" s="170"/>
      <c r="E11" s="171"/>
      <c r="F11" s="150" t="s">
        <v>41</v>
      </c>
      <c r="G11" s="151"/>
      <c r="H11" s="151"/>
      <c r="I11" s="151"/>
      <c r="J11" s="148"/>
      <c r="K11" s="152"/>
      <c r="L11" s="153"/>
      <c r="M11" s="25" t="s">
        <v>35</v>
      </c>
      <c r="N11" s="26"/>
      <c r="O11" s="26"/>
      <c r="P11" s="27"/>
      <c r="Q11" s="26" t="s">
        <v>36</v>
      </c>
      <c r="R11" s="26"/>
      <c r="S11" s="26"/>
      <c r="T11" s="26"/>
      <c r="U11" s="26"/>
      <c r="V11" s="26"/>
      <c r="W11" s="26"/>
      <c r="X11" s="26"/>
      <c r="Y11" s="26"/>
      <c r="Z11" s="255" t="s">
        <v>42</v>
      </c>
      <c r="AA11" s="256"/>
      <c r="AB11" s="256"/>
      <c r="AC11" s="256"/>
      <c r="AD11" s="256"/>
      <c r="AE11" s="257"/>
      <c r="AF11" s="25" t="s">
        <v>43</v>
      </c>
      <c r="AG11" s="26"/>
      <c r="AH11" s="26"/>
      <c r="AI11" s="26"/>
      <c r="AJ11" s="26"/>
      <c r="AK11" s="26"/>
      <c r="AL11" s="26"/>
      <c r="AM11" s="26"/>
      <c r="AN11" s="26"/>
      <c r="AO11" s="26"/>
      <c r="AP11" s="26"/>
      <c r="AQ11" s="27"/>
      <c r="AR11" s="146" t="s">
        <v>44</v>
      </c>
      <c r="AS11" s="26"/>
      <c r="AT11" s="26"/>
      <c r="AU11" s="26"/>
      <c r="AV11" s="26"/>
      <c r="AW11" s="26"/>
      <c r="AX11" s="26"/>
      <c r="AY11" s="26"/>
      <c r="AZ11" s="26"/>
      <c r="BA11" s="26"/>
      <c r="BB11" s="26"/>
      <c r="BC11" s="27"/>
      <c r="BD11" t="s">
        <v>45</v>
      </c>
      <c r="BK11" s="8"/>
    </row>
    <row r="12" spans="1:63" ht="15" customHeight="1">
      <c r="A12" s="4"/>
      <c r="C12" s="169"/>
      <c r="D12" s="170"/>
      <c r="E12" s="171"/>
      <c r="F12" s="28" t="s">
        <v>46</v>
      </c>
      <c r="G12" s="29"/>
      <c r="H12" s="29"/>
      <c r="I12" s="29"/>
      <c r="J12" s="25" t="s">
        <v>47</v>
      </c>
      <c r="K12" s="30"/>
      <c r="L12" s="31"/>
      <c r="M12" s="25" t="s">
        <v>35</v>
      </c>
      <c r="N12" s="26"/>
      <c r="O12" s="26"/>
      <c r="P12" s="27"/>
      <c r="Q12" s="26" t="s">
        <v>36</v>
      </c>
      <c r="R12" s="26"/>
      <c r="S12" s="26"/>
      <c r="T12" s="26"/>
      <c r="U12" s="26"/>
      <c r="V12" s="26"/>
      <c r="W12" s="26"/>
      <c r="X12" s="26"/>
      <c r="Y12" s="26"/>
      <c r="Z12" s="255" t="s">
        <v>48</v>
      </c>
      <c r="AA12" s="256"/>
      <c r="AB12" s="256"/>
      <c r="AC12" s="256"/>
      <c r="AD12" s="256"/>
      <c r="AE12" s="257"/>
      <c r="AF12" s="25"/>
      <c r="AG12" s="26"/>
      <c r="AH12" s="26"/>
      <c r="AI12" s="26"/>
      <c r="AJ12" s="26"/>
      <c r="AK12" s="26"/>
      <c r="AL12" s="26"/>
      <c r="AM12" s="26"/>
      <c r="AN12" s="26"/>
      <c r="AO12" s="26"/>
      <c r="AP12" s="26"/>
      <c r="AQ12" s="27"/>
      <c r="AR12" s="25"/>
      <c r="AS12" s="26"/>
      <c r="AT12" s="26"/>
      <c r="AU12" s="26"/>
      <c r="AV12" s="26"/>
      <c r="AW12" s="26"/>
      <c r="AX12" s="26"/>
      <c r="AY12" s="26"/>
      <c r="AZ12" s="26"/>
      <c r="BA12" s="26"/>
      <c r="BB12" s="26"/>
      <c r="BC12" s="27"/>
      <c r="BK12" s="8"/>
    </row>
    <row r="13" spans="1:63" ht="15" customHeight="1">
      <c r="A13" s="4"/>
      <c r="C13" s="169"/>
      <c r="D13" s="170"/>
      <c r="E13" s="171"/>
      <c r="F13" s="32"/>
      <c r="G13" s="60"/>
      <c r="H13" s="60"/>
      <c r="I13" s="60"/>
      <c r="J13" s="33" t="s">
        <v>49</v>
      </c>
      <c r="K13" s="34"/>
      <c r="L13" s="35"/>
      <c r="M13" s="33" t="s">
        <v>35</v>
      </c>
      <c r="N13" s="36"/>
      <c r="O13" s="36"/>
      <c r="P13" s="37"/>
      <c r="Q13" s="36" t="s">
        <v>36</v>
      </c>
      <c r="R13" s="36"/>
      <c r="S13" s="36"/>
      <c r="T13" s="36"/>
      <c r="U13" s="36"/>
      <c r="V13" s="36"/>
      <c r="W13" s="36"/>
      <c r="X13" s="36"/>
      <c r="Y13" s="36"/>
      <c r="Z13" s="33" t="s">
        <v>50</v>
      </c>
      <c r="AA13" s="36"/>
      <c r="AB13" s="36"/>
      <c r="AC13" s="36"/>
      <c r="AD13" s="36"/>
      <c r="AE13" s="36"/>
      <c r="AF13" s="33"/>
      <c r="AG13" s="36"/>
      <c r="AH13" s="36"/>
      <c r="AI13" s="36"/>
      <c r="AJ13" s="36"/>
      <c r="AK13" s="36"/>
      <c r="AL13" s="36"/>
      <c r="AM13" s="36"/>
      <c r="AN13" s="36"/>
      <c r="AO13" s="36"/>
      <c r="AP13" s="36"/>
      <c r="AQ13" s="37"/>
      <c r="AR13" s="33"/>
      <c r="AS13" s="36"/>
      <c r="AT13" s="36"/>
      <c r="AU13" s="36"/>
      <c r="AV13" s="36"/>
      <c r="AW13" s="36"/>
      <c r="AX13" s="36"/>
      <c r="AY13" s="36"/>
      <c r="AZ13" s="36"/>
      <c r="BA13" s="36"/>
      <c r="BB13" s="36"/>
      <c r="BC13" s="37"/>
      <c r="BK13" s="8"/>
    </row>
    <row r="14" spans="1:63" ht="15" customHeight="1">
      <c r="A14" s="4"/>
      <c r="C14" s="169"/>
      <c r="D14" s="170"/>
      <c r="E14" s="171"/>
      <c r="F14" s="38"/>
      <c r="G14" s="30"/>
      <c r="H14" s="30"/>
      <c r="I14" s="30"/>
      <c r="J14" s="25" t="s">
        <v>51</v>
      </c>
      <c r="K14" s="26"/>
      <c r="L14" s="27"/>
      <c r="M14" s="25" t="s">
        <v>35</v>
      </c>
      <c r="N14" s="26"/>
      <c r="O14" s="26"/>
      <c r="P14" s="27"/>
      <c r="Q14" s="26" t="s">
        <v>36</v>
      </c>
      <c r="R14" s="26"/>
      <c r="S14" s="26"/>
      <c r="T14" s="26"/>
      <c r="U14" s="26"/>
      <c r="V14" s="26"/>
      <c r="W14" s="26"/>
      <c r="X14" s="26"/>
      <c r="Y14" s="26"/>
      <c r="Z14" s="255" t="s">
        <v>48</v>
      </c>
      <c r="AA14" s="256"/>
      <c r="AB14" s="256"/>
      <c r="AC14" s="256"/>
      <c r="AD14" s="256"/>
      <c r="AE14" s="257"/>
      <c r="AF14" s="25"/>
      <c r="AG14" s="26"/>
      <c r="AH14" s="26"/>
      <c r="AI14" s="26"/>
      <c r="AJ14" s="26"/>
      <c r="AK14" s="26"/>
      <c r="AL14" s="26"/>
      <c r="AM14" s="26"/>
      <c r="AN14" s="26"/>
      <c r="AO14" s="26"/>
      <c r="AP14" s="26"/>
      <c r="AQ14" s="27"/>
      <c r="AR14" s="25" t="s">
        <v>52</v>
      </c>
      <c r="AS14" s="26"/>
      <c r="AT14" s="26"/>
      <c r="AU14" s="26"/>
      <c r="AV14" s="26"/>
      <c r="AW14" s="26"/>
      <c r="AX14" s="26"/>
      <c r="AY14" s="26"/>
      <c r="AZ14" s="26"/>
      <c r="BA14" s="26"/>
      <c r="BB14" s="26"/>
      <c r="BC14" s="27"/>
      <c r="BK14" s="8"/>
    </row>
    <row r="15" spans="1:63" ht="15" customHeight="1">
      <c r="A15" s="4"/>
      <c r="C15" s="169"/>
      <c r="D15" s="170"/>
      <c r="E15" s="171"/>
      <c r="F15" s="28" t="s">
        <v>53</v>
      </c>
      <c r="G15" s="29"/>
      <c r="H15" s="29"/>
      <c r="I15" s="29"/>
      <c r="J15" s="25" t="s">
        <v>47</v>
      </c>
      <c r="K15" s="26"/>
      <c r="L15" s="27"/>
      <c r="M15" s="25" t="s">
        <v>35</v>
      </c>
      <c r="N15" s="26"/>
      <c r="O15" s="26"/>
      <c r="P15" s="27"/>
      <c r="Q15" s="26" t="s">
        <v>36</v>
      </c>
      <c r="R15" s="26"/>
      <c r="S15" s="26"/>
      <c r="T15" s="26"/>
      <c r="U15" s="26"/>
      <c r="V15" s="26"/>
      <c r="W15" s="26"/>
      <c r="X15" s="26"/>
      <c r="Y15" s="26"/>
      <c r="Z15" s="255" t="s">
        <v>54</v>
      </c>
      <c r="AA15" s="256"/>
      <c r="AB15" s="256"/>
      <c r="AC15" s="256"/>
      <c r="AD15" s="256"/>
      <c r="AE15" s="257"/>
      <c r="AF15" s="25"/>
      <c r="AG15" s="26"/>
      <c r="AH15" s="26"/>
      <c r="AI15" s="26"/>
      <c r="AJ15" s="26"/>
      <c r="AK15" s="26"/>
      <c r="AL15" s="26"/>
      <c r="AM15" s="26"/>
      <c r="AN15" s="26"/>
      <c r="AO15" s="26"/>
      <c r="AP15" s="26"/>
      <c r="AQ15" s="27"/>
      <c r="AR15" s="25"/>
      <c r="AS15" s="26"/>
      <c r="AT15" s="26"/>
      <c r="AU15" s="26"/>
      <c r="AV15" s="26"/>
      <c r="AW15" s="26"/>
      <c r="AX15" s="26"/>
      <c r="AY15" s="26"/>
      <c r="AZ15" s="26"/>
      <c r="BA15" s="26"/>
      <c r="BB15" s="26"/>
      <c r="BC15" s="27"/>
      <c r="BK15" s="8"/>
    </row>
    <row r="16" spans="1:63" ht="15" customHeight="1">
      <c r="A16" s="4"/>
      <c r="C16" s="169"/>
      <c r="D16" s="170"/>
      <c r="E16" s="171"/>
      <c r="F16" s="32"/>
      <c r="G16" s="60"/>
      <c r="H16" s="60"/>
      <c r="I16" s="60"/>
      <c r="J16" s="33" t="s">
        <v>49</v>
      </c>
      <c r="K16" s="36"/>
      <c r="L16" s="37"/>
      <c r="M16" s="33" t="s">
        <v>49</v>
      </c>
      <c r="N16" s="36"/>
      <c r="O16" s="36"/>
      <c r="P16" s="37"/>
      <c r="Q16" s="36" t="s">
        <v>36</v>
      </c>
      <c r="R16" s="36"/>
      <c r="S16" s="36"/>
      <c r="T16" s="36"/>
      <c r="U16" s="36"/>
      <c r="V16" s="36"/>
      <c r="W16" s="36"/>
      <c r="X16" s="36"/>
      <c r="Y16" s="36"/>
      <c r="Z16" s="33" t="s">
        <v>50</v>
      </c>
      <c r="AA16" s="36"/>
      <c r="AB16" s="36"/>
      <c r="AC16" s="36"/>
      <c r="AD16" s="36"/>
      <c r="AE16" s="36"/>
      <c r="AF16" s="33"/>
      <c r="AG16" s="36"/>
      <c r="AH16" s="36"/>
      <c r="AI16" s="36"/>
      <c r="AJ16" s="36"/>
      <c r="AK16" s="36"/>
      <c r="AL16" s="36"/>
      <c r="AM16" s="36"/>
      <c r="AN16" s="36"/>
      <c r="AO16" s="36"/>
      <c r="AP16" s="36"/>
      <c r="AQ16" s="37"/>
      <c r="AR16" s="33"/>
      <c r="AS16" s="36"/>
      <c r="AT16" s="36"/>
      <c r="AU16" s="36"/>
      <c r="AV16" s="36"/>
      <c r="AW16" s="36"/>
      <c r="AX16" s="36"/>
      <c r="AY16" s="36"/>
      <c r="AZ16" s="36"/>
      <c r="BA16" s="36"/>
      <c r="BB16" s="36"/>
      <c r="BC16" s="37"/>
      <c r="BK16" s="8"/>
    </row>
    <row r="17" spans="1:63" ht="15" customHeight="1">
      <c r="A17" s="4"/>
      <c r="C17" s="169"/>
      <c r="D17" s="170"/>
      <c r="E17" s="171"/>
      <c r="F17" s="38"/>
      <c r="G17" s="30"/>
      <c r="H17" s="30"/>
      <c r="I17" s="30"/>
      <c r="J17" s="25" t="s">
        <v>51</v>
      </c>
      <c r="K17" s="26"/>
      <c r="L17" s="27"/>
      <c r="M17" s="25" t="s">
        <v>51</v>
      </c>
      <c r="N17" s="26"/>
      <c r="O17" s="26"/>
      <c r="P17" s="27"/>
      <c r="Q17" s="26" t="s">
        <v>36</v>
      </c>
      <c r="R17" s="26"/>
      <c r="S17" s="26"/>
      <c r="T17" s="26"/>
      <c r="U17" s="26"/>
      <c r="V17" s="26"/>
      <c r="W17" s="26"/>
      <c r="X17" s="26"/>
      <c r="Y17" s="26"/>
      <c r="Z17" s="255" t="s">
        <v>54</v>
      </c>
      <c r="AA17" s="256"/>
      <c r="AB17" s="256"/>
      <c r="AC17" s="256"/>
      <c r="AD17" s="256"/>
      <c r="AE17" s="257"/>
      <c r="AF17" s="38"/>
      <c r="AG17" s="26"/>
      <c r="AH17" s="26"/>
      <c r="AI17" s="26"/>
      <c r="AJ17" s="26"/>
      <c r="AK17" s="26"/>
      <c r="AL17" s="26"/>
      <c r="AM17" s="26"/>
      <c r="AN17" s="26"/>
      <c r="AO17" s="26"/>
      <c r="AP17" s="26"/>
      <c r="AQ17" s="27"/>
      <c r="AR17" s="38"/>
      <c r="AS17" s="26"/>
      <c r="AT17" s="26"/>
      <c r="AU17" s="26"/>
      <c r="AV17" s="26"/>
      <c r="AW17" s="26"/>
      <c r="AX17" s="26"/>
      <c r="AY17" s="26"/>
      <c r="AZ17" s="26"/>
      <c r="BA17" s="26"/>
      <c r="BB17" s="26"/>
      <c r="BC17" s="27"/>
      <c r="BK17" s="8"/>
    </row>
    <row r="18" spans="1:63" ht="15" customHeight="1">
      <c r="A18" s="4"/>
      <c r="C18" s="169"/>
      <c r="D18" s="170"/>
      <c r="E18" s="171"/>
      <c r="F18" s="150" t="s">
        <v>55</v>
      </c>
      <c r="G18" s="151"/>
      <c r="H18" s="151"/>
      <c r="I18" s="154"/>
      <c r="J18" s="148" t="s">
        <v>49</v>
      </c>
      <c r="K18" s="148"/>
      <c r="L18" s="149"/>
      <c r="M18" s="25" t="s">
        <v>49</v>
      </c>
      <c r="N18" s="26"/>
      <c r="O18" s="26"/>
      <c r="P18" s="27"/>
      <c r="Q18" s="26" t="s">
        <v>36</v>
      </c>
      <c r="R18" s="26"/>
      <c r="S18" s="26"/>
      <c r="T18" s="26"/>
      <c r="U18" s="26"/>
      <c r="V18" s="26"/>
      <c r="W18" s="26"/>
      <c r="X18" s="26"/>
      <c r="Y18" s="26"/>
      <c r="Z18" s="243" t="s">
        <v>56</v>
      </c>
      <c r="AA18" s="244"/>
      <c r="AB18" s="244"/>
      <c r="AC18" s="244"/>
      <c r="AD18" s="244"/>
      <c r="AE18" s="245"/>
      <c r="AF18" s="38"/>
      <c r="AG18" s="26"/>
      <c r="AH18" s="26"/>
      <c r="AI18" s="26"/>
      <c r="AJ18" s="26"/>
      <c r="AK18" s="26"/>
      <c r="AL18" s="26"/>
      <c r="AM18" s="26"/>
      <c r="AN18" s="26"/>
      <c r="AO18" s="26"/>
      <c r="AP18" s="26"/>
      <c r="AQ18" s="27"/>
      <c r="AR18" s="156" t="s">
        <v>57</v>
      </c>
      <c r="AS18" s="26"/>
      <c r="AT18" s="26"/>
      <c r="AU18" s="26"/>
      <c r="AV18" s="26"/>
      <c r="AW18" s="26"/>
      <c r="AX18" s="26"/>
      <c r="AY18" s="26"/>
      <c r="AZ18" s="26"/>
      <c r="BA18" s="26"/>
      <c r="BB18" s="26"/>
      <c r="BC18" s="27"/>
      <c r="BD18" t="s">
        <v>58</v>
      </c>
      <c r="BK18" s="8"/>
    </row>
    <row r="19" spans="1:63" ht="15" customHeight="1">
      <c r="A19" s="4"/>
      <c r="C19" s="169"/>
      <c r="D19" s="170"/>
      <c r="E19" s="171"/>
      <c r="F19" s="155"/>
      <c r="G19" s="152"/>
      <c r="H19" s="152"/>
      <c r="I19" s="153"/>
      <c r="J19" s="148" t="s">
        <v>51</v>
      </c>
      <c r="K19" s="148"/>
      <c r="L19" s="149"/>
      <c r="M19" s="25" t="s">
        <v>51</v>
      </c>
      <c r="N19" s="26"/>
      <c r="O19" s="26"/>
      <c r="P19" s="27"/>
      <c r="Q19" s="26" t="s">
        <v>36</v>
      </c>
      <c r="R19" s="26"/>
      <c r="S19" s="26"/>
      <c r="T19" s="26"/>
      <c r="U19" s="26"/>
      <c r="V19" s="26"/>
      <c r="W19" s="26"/>
      <c r="X19" s="26"/>
      <c r="Y19" s="26"/>
      <c r="Z19" s="216"/>
      <c r="AA19" s="213"/>
      <c r="AB19" s="213"/>
      <c r="AC19" s="213"/>
      <c r="AD19" s="213"/>
      <c r="AE19" s="214"/>
      <c r="AF19" s="38"/>
      <c r="AG19" s="26"/>
      <c r="AH19" s="26"/>
      <c r="AI19" s="26"/>
      <c r="AJ19" s="26"/>
      <c r="AK19" s="26"/>
      <c r="AL19" s="26"/>
      <c r="AM19" s="26"/>
      <c r="AN19" s="26"/>
      <c r="AO19" s="26"/>
      <c r="AP19" s="26"/>
      <c r="AQ19" s="27"/>
      <c r="AR19" s="38"/>
      <c r="AS19" s="26"/>
      <c r="AT19" s="26"/>
      <c r="AU19" s="26"/>
      <c r="AV19" s="26"/>
      <c r="AW19" s="26"/>
      <c r="AX19" s="26"/>
      <c r="AY19" s="26"/>
      <c r="AZ19" s="26"/>
      <c r="BA19" s="26"/>
      <c r="BB19" s="26"/>
      <c r="BC19" s="27"/>
      <c r="BK19" s="8"/>
    </row>
    <row r="20" spans="1:63" ht="35.25" customHeight="1">
      <c r="A20" s="4"/>
      <c r="C20" s="169"/>
      <c r="D20" s="170"/>
      <c r="E20" s="171"/>
      <c r="F20" s="147" t="s">
        <v>59</v>
      </c>
      <c r="G20" s="148"/>
      <c r="H20" s="148"/>
      <c r="I20" s="148"/>
      <c r="J20" s="148"/>
      <c r="K20" s="148"/>
      <c r="L20" s="149"/>
      <c r="M20" s="25" t="s">
        <v>49</v>
      </c>
      <c r="N20" s="26"/>
      <c r="O20" s="26"/>
      <c r="P20" s="27"/>
      <c r="Q20" s="26" t="s">
        <v>36</v>
      </c>
      <c r="R20" s="26"/>
      <c r="S20" s="26"/>
      <c r="T20" s="26"/>
      <c r="U20" s="26"/>
      <c r="V20" s="26"/>
      <c r="W20" s="26"/>
      <c r="X20" s="26"/>
      <c r="Y20" s="26"/>
      <c r="Z20" s="255" t="s">
        <v>60</v>
      </c>
      <c r="AA20" s="258"/>
      <c r="AB20" s="258"/>
      <c r="AC20" s="258"/>
      <c r="AD20" s="258"/>
      <c r="AE20" s="259"/>
      <c r="AF20" s="222" t="s">
        <v>61</v>
      </c>
      <c r="AG20" s="223"/>
      <c r="AH20" s="223"/>
      <c r="AI20" s="223"/>
      <c r="AJ20" s="223"/>
      <c r="AK20" s="223"/>
      <c r="AL20" s="223"/>
      <c r="AM20" s="223"/>
      <c r="AN20" s="223"/>
      <c r="AO20" s="223"/>
      <c r="AP20" s="223"/>
      <c r="AQ20" s="224"/>
      <c r="AR20" s="225" t="s">
        <v>62</v>
      </c>
      <c r="AS20" s="226"/>
      <c r="AT20" s="226"/>
      <c r="AU20" s="226"/>
      <c r="AV20" s="226"/>
      <c r="AW20" s="226"/>
      <c r="AX20" s="226"/>
      <c r="AY20" s="226"/>
      <c r="AZ20" s="226"/>
      <c r="BA20" s="226"/>
      <c r="BB20" s="226"/>
      <c r="BC20" s="227"/>
      <c r="BD20" t="s">
        <v>63</v>
      </c>
      <c r="BK20" s="8"/>
    </row>
    <row r="21" spans="1:63" ht="15" customHeight="1">
      <c r="A21" s="4"/>
      <c r="C21" s="169"/>
      <c r="D21" s="170"/>
      <c r="E21" s="171"/>
      <c r="F21" s="28" t="s">
        <v>64</v>
      </c>
      <c r="G21" s="29"/>
      <c r="H21" s="29"/>
      <c r="I21" s="39"/>
      <c r="J21" s="26" t="s">
        <v>47</v>
      </c>
      <c r="K21" s="26"/>
      <c r="L21" s="27"/>
      <c r="M21" s="25" t="s">
        <v>35</v>
      </c>
      <c r="N21" s="26"/>
      <c r="O21" s="26"/>
      <c r="P21" s="27"/>
      <c r="Q21" s="26" t="s">
        <v>65</v>
      </c>
      <c r="R21" s="26"/>
      <c r="S21" s="26"/>
      <c r="T21" s="26"/>
      <c r="U21" s="26"/>
      <c r="V21" s="26"/>
      <c r="W21" s="26"/>
      <c r="X21" s="26"/>
      <c r="Y21" s="26"/>
      <c r="Z21" s="243" t="s">
        <v>66</v>
      </c>
      <c r="AA21" s="244"/>
      <c r="AB21" s="244"/>
      <c r="AC21" s="244"/>
      <c r="AD21" s="244"/>
      <c r="AE21" s="245"/>
      <c r="AF21" s="25"/>
      <c r="AG21" s="26"/>
      <c r="AH21" s="26"/>
      <c r="AI21" s="26"/>
      <c r="AJ21" s="26"/>
      <c r="AK21" s="26"/>
      <c r="AL21" s="26"/>
      <c r="AM21" s="26"/>
      <c r="AN21" s="26"/>
      <c r="AO21" s="26"/>
      <c r="AP21" s="26"/>
      <c r="AQ21" s="27"/>
      <c r="AR21" s="25"/>
      <c r="AS21" s="26"/>
      <c r="AT21" s="26"/>
      <c r="AU21" s="26"/>
      <c r="AV21" s="26"/>
      <c r="AW21" s="26"/>
      <c r="AX21" s="26"/>
      <c r="AY21" s="26"/>
      <c r="AZ21" s="26"/>
      <c r="BA21" s="26"/>
      <c r="BB21" s="26"/>
      <c r="BC21" s="27"/>
      <c r="BK21" s="8"/>
    </row>
    <row r="22" spans="1:63" ht="15" customHeight="1">
      <c r="A22" s="4"/>
      <c r="C22" s="169"/>
      <c r="D22" s="170"/>
      <c r="E22" s="171"/>
      <c r="F22" s="32"/>
      <c r="G22" s="60"/>
      <c r="H22" s="60"/>
      <c r="I22" s="40"/>
      <c r="J22" s="26" t="s">
        <v>49</v>
      </c>
      <c r="K22" s="26"/>
      <c r="L22" s="27"/>
      <c r="M22" s="25" t="s">
        <v>49</v>
      </c>
      <c r="N22" s="26"/>
      <c r="O22" s="26"/>
      <c r="P22" s="27"/>
      <c r="Q22" s="26" t="s">
        <v>65</v>
      </c>
      <c r="R22" s="26"/>
      <c r="S22" s="26"/>
      <c r="T22" s="26"/>
      <c r="U22" s="26"/>
      <c r="V22" s="26"/>
      <c r="W22" s="26"/>
      <c r="X22" s="26"/>
      <c r="Y22" s="26"/>
      <c r="Z22" s="246"/>
      <c r="AA22" s="247"/>
      <c r="AB22" s="247"/>
      <c r="AC22" s="247"/>
      <c r="AD22" s="247"/>
      <c r="AE22" s="248"/>
      <c r="AF22" s="25"/>
      <c r="AG22" s="26"/>
      <c r="AH22" s="26"/>
      <c r="AI22" s="26"/>
      <c r="AJ22" s="26"/>
      <c r="AK22" s="26"/>
      <c r="AL22" s="26"/>
      <c r="AM22" s="26"/>
      <c r="AN22" s="26"/>
      <c r="AO22" s="26"/>
      <c r="AP22" s="26"/>
      <c r="AQ22" s="27"/>
      <c r="AR22" s="25"/>
      <c r="AS22" s="26"/>
      <c r="AT22" s="26"/>
      <c r="AU22" s="26"/>
      <c r="AV22" s="26"/>
      <c r="AW22" s="26"/>
      <c r="AX22" s="26"/>
      <c r="AY22" s="26"/>
      <c r="AZ22" s="26"/>
      <c r="BA22" s="26"/>
      <c r="BB22" s="26"/>
      <c r="BC22" s="27"/>
      <c r="BK22" s="8"/>
    </row>
    <row r="23" spans="1:63" ht="15" customHeight="1" thickBot="1">
      <c r="A23" s="4"/>
      <c r="C23" s="232"/>
      <c r="D23" s="233"/>
      <c r="E23" s="234"/>
      <c r="F23" s="41"/>
      <c r="G23" s="42"/>
      <c r="H23" s="42"/>
      <c r="I23" s="43"/>
      <c r="J23" s="44" t="s">
        <v>51</v>
      </c>
      <c r="K23" s="44"/>
      <c r="L23" s="45"/>
      <c r="M23" s="46" t="s">
        <v>51</v>
      </c>
      <c r="N23" s="44"/>
      <c r="O23" s="44"/>
      <c r="P23" s="45"/>
      <c r="Q23" s="44" t="s">
        <v>65</v>
      </c>
      <c r="R23" s="44"/>
      <c r="S23" s="44"/>
      <c r="T23" s="44"/>
      <c r="U23" s="44"/>
      <c r="V23" s="44"/>
      <c r="W23" s="44"/>
      <c r="X23" s="44"/>
      <c r="Y23" s="44"/>
      <c r="Z23" s="249"/>
      <c r="AA23" s="250"/>
      <c r="AB23" s="250"/>
      <c r="AC23" s="250"/>
      <c r="AD23" s="250"/>
      <c r="AE23" s="251"/>
      <c r="AF23" s="46"/>
      <c r="AG23" s="44"/>
      <c r="AH23" s="44"/>
      <c r="AI23" s="44"/>
      <c r="AJ23" s="44"/>
      <c r="AK23" s="44"/>
      <c r="AL23" s="44"/>
      <c r="AM23" s="44"/>
      <c r="AN23" s="44"/>
      <c r="AO23" s="44"/>
      <c r="AP23" s="44"/>
      <c r="AQ23" s="45"/>
      <c r="AR23" s="46"/>
      <c r="AS23" s="44"/>
      <c r="AT23" s="44"/>
      <c r="AU23" s="44"/>
      <c r="AV23" s="44"/>
      <c r="AW23" s="44"/>
      <c r="AX23" s="44"/>
      <c r="AY23" s="44"/>
      <c r="AZ23" s="44"/>
      <c r="BA23" s="44"/>
      <c r="BB23" s="44"/>
      <c r="BC23" s="45"/>
      <c r="BK23" s="8"/>
    </row>
    <row r="24" spans="1:63" ht="15" customHeight="1" thickTop="1" thickBot="1">
      <c r="A24" s="4"/>
      <c r="C24" s="235" t="s">
        <v>67</v>
      </c>
      <c r="D24" s="236"/>
      <c r="E24" s="237"/>
      <c r="F24" s="62" t="s">
        <v>68</v>
      </c>
      <c r="G24" s="63"/>
      <c r="H24" s="63"/>
      <c r="I24" s="63"/>
      <c r="J24" s="63"/>
      <c r="K24" s="63"/>
      <c r="L24" s="64"/>
      <c r="M24" s="62" t="s">
        <v>51</v>
      </c>
      <c r="N24" s="63"/>
      <c r="O24" s="63"/>
      <c r="P24" s="64"/>
      <c r="Q24" s="63" t="s">
        <v>69</v>
      </c>
      <c r="R24" s="63"/>
      <c r="S24" s="63"/>
      <c r="T24" s="63"/>
      <c r="U24" s="63"/>
      <c r="V24" s="63"/>
      <c r="W24" s="63"/>
      <c r="X24" s="63"/>
      <c r="Y24" s="63"/>
      <c r="Z24" s="228" t="s">
        <v>70</v>
      </c>
      <c r="AA24" s="229"/>
      <c r="AB24" s="229"/>
      <c r="AC24" s="229"/>
      <c r="AD24" s="229"/>
      <c r="AE24" s="230"/>
      <c r="AF24" s="62" t="s">
        <v>71</v>
      </c>
      <c r="AG24" s="63"/>
      <c r="AH24" s="63"/>
      <c r="AI24" s="63"/>
      <c r="AJ24" s="63"/>
      <c r="AK24" s="63"/>
      <c r="AL24" s="63"/>
      <c r="AM24" s="63"/>
      <c r="AN24" s="63"/>
      <c r="AO24" s="63"/>
      <c r="AP24" s="63"/>
      <c r="AQ24" s="64"/>
      <c r="AR24" s="62"/>
      <c r="AS24" s="63"/>
      <c r="AT24" s="63"/>
      <c r="AU24" s="63"/>
      <c r="AV24" s="63"/>
      <c r="AW24" s="63"/>
      <c r="AX24" s="63"/>
      <c r="AY24" s="63"/>
      <c r="AZ24" s="63"/>
      <c r="BA24" s="63"/>
      <c r="BB24" s="63"/>
      <c r="BC24" s="64"/>
      <c r="BK24" s="8"/>
    </row>
    <row r="25" spans="1:63" ht="15" customHeight="1" thickTop="1">
      <c r="A25" s="4"/>
      <c r="C25" s="169"/>
      <c r="D25" s="170"/>
      <c r="E25" s="171"/>
      <c r="F25" s="38" t="s">
        <v>72</v>
      </c>
      <c r="G25" s="30"/>
      <c r="H25" s="30"/>
      <c r="I25" s="30"/>
      <c r="J25" s="30"/>
      <c r="K25" s="30"/>
      <c r="L25" s="31"/>
      <c r="M25" s="38" t="s">
        <v>51</v>
      </c>
      <c r="N25" s="30"/>
      <c r="O25" s="30"/>
      <c r="P25" s="31"/>
      <c r="Q25" s="30" t="s">
        <v>69</v>
      </c>
      <c r="R25" s="30"/>
      <c r="S25" s="30"/>
      <c r="T25" s="30"/>
      <c r="U25" s="30"/>
      <c r="V25" s="30"/>
      <c r="W25" s="30"/>
      <c r="X25" s="30"/>
      <c r="Y25" s="30"/>
      <c r="Z25" s="231" t="s">
        <v>73</v>
      </c>
      <c r="AA25" s="231"/>
      <c r="AB25" s="231"/>
      <c r="AC25" s="231"/>
      <c r="AD25" s="231"/>
      <c r="AE25" s="231"/>
      <c r="AF25" s="62" t="s">
        <v>71</v>
      </c>
      <c r="AG25" s="30"/>
      <c r="AH25" s="30"/>
      <c r="AI25" s="30"/>
      <c r="AJ25" s="30"/>
      <c r="AK25" s="30"/>
      <c r="AL25" s="30"/>
      <c r="AM25" s="30"/>
      <c r="AN25" s="30"/>
      <c r="AO25" s="30"/>
      <c r="AP25" s="30"/>
      <c r="AQ25" s="31"/>
      <c r="AR25" s="62"/>
      <c r="AS25" s="30"/>
      <c r="AT25" s="30"/>
      <c r="AU25" s="30"/>
      <c r="AV25" s="30"/>
      <c r="AW25" s="30"/>
      <c r="AX25" s="30"/>
      <c r="AY25" s="30"/>
      <c r="AZ25" s="30"/>
      <c r="BA25" s="30"/>
      <c r="BB25" s="30"/>
      <c r="BC25" s="31"/>
      <c r="BK25" s="8"/>
    </row>
    <row r="26" spans="1:63" ht="15" customHeight="1">
      <c r="A26" s="4"/>
      <c r="C26" s="169"/>
      <c r="D26" s="170"/>
      <c r="E26" s="171"/>
      <c r="F26" s="147" t="s">
        <v>74</v>
      </c>
      <c r="G26" s="148"/>
      <c r="H26" s="148"/>
      <c r="I26" s="148"/>
      <c r="J26" s="148"/>
      <c r="K26" s="148"/>
      <c r="L26" s="149"/>
      <c r="M26" s="33" t="s">
        <v>51</v>
      </c>
      <c r="N26" s="36"/>
      <c r="O26" s="36"/>
      <c r="P26" s="37"/>
      <c r="Q26" s="36" t="s">
        <v>75</v>
      </c>
      <c r="R26" s="36"/>
      <c r="S26" s="36"/>
      <c r="T26" s="36"/>
      <c r="U26" s="36"/>
      <c r="V26" s="36"/>
      <c r="W26" s="36"/>
      <c r="X26" s="36"/>
      <c r="Y26" s="36"/>
      <c r="Z26" s="33" t="s">
        <v>76</v>
      </c>
      <c r="AA26" s="36"/>
      <c r="AB26" s="36"/>
      <c r="AC26" s="36"/>
      <c r="AD26" s="36"/>
      <c r="AE26" s="36"/>
      <c r="AF26" s="33" t="s">
        <v>77</v>
      </c>
      <c r="AG26" s="36"/>
      <c r="AH26" s="36"/>
      <c r="AI26" s="36"/>
      <c r="AJ26" s="36"/>
      <c r="AK26" s="36"/>
      <c r="AL26" s="36"/>
      <c r="AM26" s="36"/>
      <c r="AN26" s="36"/>
      <c r="AO26" s="36"/>
      <c r="AP26" s="36"/>
      <c r="AQ26" s="37"/>
      <c r="AR26" s="146" t="s">
        <v>78</v>
      </c>
      <c r="AS26" s="26"/>
      <c r="AT26" s="26"/>
      <c r="AU26" s="26"/>
      <c r="AV26" s="26"/>
      <c r="AW26" s="26"/>
      <c r="AX26" s="26"/>
      <c r="AY26" s="26"/>
      <c r="AZ26" s="26"/>
      <c r="BA26" s="26"/>
      <c r="BB26" s="26"/>
      <c r="BC26" s="27"/>
      <c r="BD26" t="s">
        <v>79</v>
      </c>
      <c r="BK26" s="8"/>
    </row>
    <row r="27" spans="1:63" ht="15" customHeight="1">
      <c r="A27" s="4"/>
      <c r="C27" s="169"/>
      <c r="D27" s="170"/>
      <c r="E27" s="171"/>
      <c r="F27" s="28" t="s">
        <v>80</v>
      </c>
      <c r="G27" s="29"/>
      <c r="H27" s="29"/>
      <c r="I27" s="39"/>
      <c r="J27" s="25" t="s">
        <v>49</v>
      </c>
      <c r="K27" s="26"/>
      <c r="L27" s="27"/>
      <c r="M27" s="25" t="s">
        <v>49</v>
      </c>
      <c r="N27" s="26"/>
      <c r="O27" s="26"/>
      <c r="P27" s="27"/>
      <c r="Q27" s="26" t="s">
        <v>81</v>
      </c>
      <c r="R27" s="26"/>
      <c r="S27" s="26"/>
      <c r="T27" s="26"/>
      <c r="U27" s="26"/>
      <c r="V27" s="26"/>
      <c r="W27" s="26"/>
      <c r="X27" s="26"/>
      <c r="Y27" s="26"/>
      <c r="Z27" s="243" t="s">
        <v>82</v>
      </c>
      <c r="AA27" s="244"/>
      <c r="AB27" s="244"/>
      <c r="AC27" s="244"/>
      <c r="AD27" s="244"/>
      <c r="AE27" s="245"/>
      <c r="AF27" s="25"/>
      <c r="AG27" s="26"/>
      <c r="AH27" s="26"/>
      <c r="AI27" s="26"/>
      <c r="AJ27" s="26"/>
      <c r="AK27" s="26"/>
      <c r="AL27" s="26"/>
      <c r="AM27" s="26"/>
      <c r="AN27" s="26"/>
      <c r="AO27" s="26"/>
      <c r="AP27" s="26"/>
      <c r="AQ27" s="27"/>
      <c r="AR27" s="25"/>
      <c r="AS27" s="26"/>
      <c r="AT27" s="26"/>
      <c r="AU27" s="26"/>
      <c r="AV27" s="26"/>
      <c r="AW27" s="26"/>
      <c r="AX27" s="26"/>
      <c r="AY27" s="26"/>
      <c r="AZ27" s="26"/>
      <c r="BA27" s="26"/>
      <c r="BB27" s="26"/>
      <c r="BC27" s="27"/>
      <c r="BK27" s="8"/>
    </row>
    <row r="28" spans="1:63" ht="15" customHeight="1">
      <c r="A28" s="4"/>
      <c r="C28" s="172"/>
      <c r="D28" s="173"/>
      <c r="E28" s="174"/>
      <c r="F28" s="38"/>
      <c r="G28" s="30"/>
      <c r="H28" s="30"/>
      <c r="I28" s="31"/>
      <c r="J28" s="25" t="s">
        <v>51</v>
      </c>
      <c r="K28" s="26"/>
      <c r="L28" s="27"/>
      <c r="M28" s="25" t="s">
        <v>51</v>
      </c>
      <c r="N28" s="26"/>
      <c r="O28" s="26"/>
      <c r="P28" s="27"/>
      <c r="Q28" s="26" t="s">
        <v>81</v>
      </c>
      <c r="R28" s="26"/>
      <c r="S28" s="26"/>
      <c r="T28" s="26"/>
      <c r="U28" s="26"/>
      <c r="V28" s="26"/>
      <c r="W28" s="26"/>
      <c r="X28" s="26"/>
      <c r="Y28" s="26"/>
      <c r="Z28" s="252"/>
      <c r="AA28" s="253"/>
      <c r="AB28" s="253"/>
      <c r="AC28" s="253"/>
      <c r="AD28" s="253"/>
      <c r="AE28" s="254"/>
      <c r="AF28" s="25"/>
      <c r="AG28" s="26"/>
      <c r="AH28" s="26"/>
      <c r="AI28" s="26"/>
      <c r="AJ28" s="26"/>
      <c r="AK28" s="26"/>
      <c r="AL28" s="26"/>
      <c r="AM28" s="26"/>
      <c r="AN28" s="26"/>
      <c r="AO28" s="26"/>
      <c r="AP28" s="26"/>
      <c r="AQ28" s="27"/>
      <c r="AR28" s="25"/>
      <c r="AS28" s="26"/>
      <c r="AT28" s="26"/>
      <c r="AU28" s="26"/>
      <c r="AV28" s="26"/>
      <c r="AW28" s="26"/>
      <c r="AX28" s="26"/>
      <c r="AY28" s="26"/>
      <c r="AZ28" s="26"/>
      <c r="BA28" s="26"/>
      <c r="BB28" s="26"/>
      <c r="BC28" s="27"/>
      <c r="BK28" s="8"/>
    </row>
    <row r="29" spans="1:63" ht="15" customHeight="1">
      <c r="A29" s="4"/>
      <c r="BK29" s="8"/>
    </row>
    <row r="30" spans="1:63" ht="15" customHeight="1">
      <c r="A30" s="4"/>
      <c r="B30" t="s">
        <v>83</v>
      </c>
      <c r="BK30" s="8"/>
    </row>
    <row r="31" spans="1:63" ht="15" customHeight="1">
      <c r="A31" s="4"/>
      <c r="C31" t="s">
        <v>84</v>
      </c>
      <c r="BK31" s="8"/>
    </row>
    <row r="32" spans="1:63" ht="15" customHeight="1">
      <c r="A32" s="4"/>
      <c r="C32" s="68" t="s">
        <v>85</v>
      </c>
      <c r="D32" t="s">
        <v>86</v>
      </c>
      <c r="BK32" s="8"/>
    </row>
    <row r="33" spans="1:63" ht="15" customHeight="1">
      <c r="A33" s="4"/>
      <c r="C33" s="10"/>
      <c r="D33" t="s">
        <v>87</v>
      </c>
      <c r="BK33" s="8"/>
    </row>
    <row r="34" spans="1:63" ht="15" customHeight="1">
      <c r="A34" s="4"/>
      <c r="D34" t="s">
        <v>88</v>
      </c>
      <c r="BK34" s="8"/>
    </row>
    <row r="35" spans="1:63" ht="15" customHeight="1">
      <c r="A35" s="4"/>
      <c r="D35" t="s">
        <v>89</v>
      </c>
      <c r="BK35" s="8"/>
    </row>
    <row r="36" spans="1:63" ht="15" customHeight="1">
      <c r="A36" s="4"/>
      <c r="BK36" s="8"/>
    </row>
    <row r="37" spans="1:63" ht="15" customHeight="1">
      <c r="A37" s="4"/>
      <c r="D37" t="s">
        <v>90</v>
      </c>
      <c r="BK37" s="8"/>
    </row>
    <row r="38" spans="1:63" ht="15" customHeight="1">
      <c r="A38" s="4"/>
      <c r="D38" t="s">
        <v>91</v>
      </c>
      <c r="BK38" s="8"/>
    </row>
    <row r="39" spans="1:63" ht="15" customHeight="1">
      <c r="A39" s="4"/>
      <c r="D39" s="238" t="s">
        <v>92</v>
      </c>
      <c r="E39" s="239"/>
      <c r="F39" s="69" t="s">
        <v>93</v>
      </c>
      <c r="G39" s="23"/>
      <c r="H39" s="23"/>
      <c r="I39" s="23"/>
      <c r="J39" s="23"/>
      <c r="K39" s="23"/>
      <c r="L39" s="23"/>
      <c r="M39" s="23"/>
      <c r="N39" s="23"/>
      <c r="O39" s="23"/>
      <c r="P39" s="23"/>
      <c r="Q39" s="23"/>
      <c r="R39" s="24"/>
      <c r="BK39" s="8"/>
    </row>
    <row r="40" spans="1:63" ht="15" customHeight="1">
      <c r="A40" s="4"/>
      <c r="D40" s="47" t="s">
        <v>94</v>
      </c>
      <c r="E40" s="48"/>
      <c r="F40" s="28" t="s">
        <v>95</v>
      </c>
      <c r="G40" s="29"/>
      <c r="H40" s="29"/>
      <c r="I40" s="29"/>
      <c r="J40" s="29"/>
      <c r="K40" s="29"/>
      <c r="L40" s="29"/>
      <c r="M40" s="29"/>
      <c r="N40" s="29"/>
      <c r="O40" s="29"/>
      <c r="P40" s="29"/>
      <c r="Q40" s="29"/>
      <c r="R40" s="39"/>
      <c r="BK40" s="8"/>
    </row>
    <row r="41" spans="1:63" ht="15" customHeight="1">
      <c r="A41" s="4"/>
      <c r="D41" s="49" t="s">
        <v>96</v>
      </c>
      <c r="E41" s="50"/>
      <c r="F41" s="25" t="s">
        <v>41</v>
      </c>
      <c r="G41" s="26"/>
      <c r="H41" s="26"/>
      <c r="I41" s="26"/>
      <c r="J41" s="26"/>
      <c r="K41" s="26"/>
      <c r="L41" s="26"/>
      <c r="M41" s="26"/>
      <c r="N41" s="26"/>
      <c r="O41" s="26"/>
      <c r="P41" s="26"/>
      <c r="Q41" s="26"/>
      <c r="R41" s="27"/>
      <c r="BK41" s="8"/>
    </row>
    <row r="42" spans="1:63" ht="15" customHeight="1">
      <c r="A42" s="4"/>
      <c r="D42" s="47" t="s">
        <v>97</v>
      </c>
      <c r="E42" s="48"/>
      <c r="F42" s="28" t="s">
        <v>98</v>
      </c>
      <c r="G42" s="29"/>
      <c r="H42" s="29"/>
      <c r="I42" s="29"/>
      <c r="J42" s="29"/>
      <c r="K42" s="29"/>
      <c r="L42" s="29"/>
      <c r="M42" s="29"/>
      <c r="N42" s="29"/>
      <c r="O42" s="29"/>
      <c r="P42" s="29"/>
      <c r="Q42" s="29"/>
      <c r="R42" s="39"/>
      <c r="BK42" s="8"/>
    </row>
    <row r="43" spans="1:63" ht="15" customHeight="1">
      <c r="A43" s="4"/>
      <c r="D43" s="51"/>
      <c r="E43" s="52"/>
      <c r="F43" s="32" t="s">
        <v>99</v>
      </c>
      <c r="G43" s="60"/>
      <c r="H43" s="60"/>
      <c r="I43" s="60"/>
      <c r="J43" s="60"/>
      <c r="K43" s="60"/>
      <c r="L43" s="60"/>
      <c r="M43" s="60"/>
      <c r="N43" s="60"/>
      <c r="O43" s="60"/>
      <c r="P43" s="60"/>
      <c r="Q43" s="60"/>
      <c r="R43" s="40"/>
      <c r="BK43" s="8"/>
    </row>
    <row r="44" spans="1:63" ht="15" customHeight="1">
      <c r="A44" s="4"/>
      <c r="D44" s="51"/>
      <c r="E44" s="52"/>
      <c r="F44" s="32" t="s">
        <v>100</v>
      </c>
      <c r="G44" s="60"/>
      <c r="H44" s="60"/>
      <c r="I44" s="60"/>
      <c r="J44" s="60"/>
      <c r="K44" s="60"/>
      <c r="L44" s="60"/>
      <c r="M44" s="60"/>
      <c r="N44" s="60"/>
      <c r="O44" s="60"/>
      <c r="P44" s="60"/>
      <c r="Q44" s="60"/>
      <c r="R44" s="40"/>
      <c r="BK44" s="8"/>
    </row>
    <row r="45" spans="1:63" ht="15" customHeight="1">
      <c r="A45" s="4"/>
      <c r="D45" s="51"/>
      <c r="E45" s="52"/>
      <c r="F45" s="32" t="s">
        <v>101</v>
      </c>
      <c r="G45" s="60"/>
      <c r="H45" s="60"/>
      <c r="I45" s="60"/>
      <c r="J45" s="60"/>
      <c r="K45" s="60"/>
      <c r="L45" s="60"/>
      <c r="M45" s="60"/>
      <c r="N45" s="60"/>
      <c r="O45" s="60"/>
      <c r="P45" s="60"/>
      <c r="Q45" s="60"/>
      <c r="R45" s="40"/>
      <c r="BK45" s="8"/>
    </row>
    <row r="46" spans="1:63" ht="15" customHeight="1">
      <c r="A46" s="4"/>
      <c r="D46" s="53"/>
      <c r="E46" s="54"/>
      <c r="F46" s="38" t="s">
        <v>102</v>
      </c>
      <c r="G46" s="30"/>
      <c r="H46" s="30"/>
      <c r="I46" s="30"/>
      <c r="J46" s="30"/>
      <c r="K46" s="30"/>
      <c r="L46" s="30"/>
      <c r="M46" s="30"/>
      <c r="N46" s="30"/>
      <c r="O46" s="30"/>
      <c r="P46" s="30"/>
      <c r="Q46" s="30"/>
      <c r="R46" s="31"/>
      <c r="BK46" s="8"/>
    </row>
    <row r="47" spans="1:63" ht="15" customHeight="1">
      <c r="A47" s="4"/>
      <c r="BK47" s="8"/>
    </row>
    <row r="48" spans="1:63" ht="15" customHeight="1">
      <c r="A48" s="4"/>
      <c r="D48" t="s">
        <v>103</v>
      </c>
      <c r="BK48" s="8"/>
    </row>
    <row r="49" spans="1:63" ht="15" customHeight="1">
      <c r="A49" s="4"/>
      <c r="D49" t="s">
        <v>104</v>
      </c>
      <c r="E49" t="s">
        <v>105</v>
      </c>
      <c r="BK49" s="8"/>
    </row>
    <row r="50" spans="1:63" ht="15" customHeight="1">
      <c r="A50" s="4"/>
      <c r="D50" t="s">
        <v>104</v>
      </c>
      <c r="E50" t="s">
        <v>106</v>
      </c>
      <c r="BK50" s="8"/>
    </row>
    <row r="51" spans="1:63" ht="15" customHeight="1">
      <c r="A51" s="4"/>
      <c r="D51" t="s">
        <v>104</v>
      </c>
      <c r="E51" t="s">
        <v>107</v>
      </c>
      <c r="BK51" s="8"/>
    </row>
    <row r="52" spans="1:63" ht="15" customHeight="1">
      <c r="A52" s="4"/>
      <c r="E52" t="s">
        <v>108</v>
      </c>
      <c r="F52" t="s">
        <v>109</v>
      </c>
      <c r="BK52" s="8"/>
    </row>
    <row r="53" spans="1:63" ht="15" customHeight="1">
      <c r="A53" s="4"/>
      <c r="D53" t="s">
        <v>104</v>
      </c>
      <c r="E53" t="s">
        <v>110</v>
      </c>
      <c r="BK53" s="8"/>
    </row>
    <row r="54" spans="1:63" ht="15" customHeight="1">
      <c r="A54" s="4"/>
      <c r="E54" t="s">
        <v>111</v>
      </c>
      <c r="BK54" s="8"/>
    </row>
    <row r="55" spans="1:63" ht="15" customHeight="1">
      <c r="A55" s="4"/>
    </row>
    <row r="56" spans="1:63" ht="15" customHeight="1">
      <c r="A56" s="4"/>
      <c r="C56" t="s">
        <v>112</v>
      </c>
      <c r="D56" t="s">
        <v>113</v>
      </c>
    </row>
    <row r="57" spans="1:63" ht="15" customHeight="1">
      <c r="A57" s="4"/>
      <c r="D57" t="s">
        <v>114</v>
      </c>
    </row>
    <row r="58" spans="1:63" ht="15" customHeight="1">
      <c r="A58" s="4"/>
      <c r="D58" t="s">
        <v>88</v>
      </c>
    </row>
    <row r="59" spans="1:63" ht="15" customHeight="1">
      <c r="A59" s="4"/>
      <c r="D59" t="s">
        <v>104</v>
      </c>
      <c r="E59" t="s">
        <v>115</v>
      </c>
    </row>
    <row r="60" spans="1:63" ht="15" customHeight="1">
      <c r="A60" s="4"/>
    </row>
    <row r="61" spans="1:63" ht="15" customHeight="1">
      <c r="A61" s="4"/>
      <c r="D61" t="s">
        <v>103</v>
      </c>
    </row>
    <row r="62" spans="1:63" ht="15" customHeight="1">
      <c r="A62" s="4"/>
      <c r="D62" t="s">
        <v>104</v>
      </c>
      <c r="E62" t="s">
        <v>116</v>
      </c>
    </row>
    <row r="63" spans="1:63" ht="15" customHeight="1">
      <c r="A63" s="4"/>
      <c r="D63" t="s">
        <v>104</v>
      </c>
      <c r="E63" t="s">
        <v>117</v>
      </c>
    </row>
    <row r="64" spans="1:63" ht="15" customHeight="1">
      <c r="A64" s="4"/>
      <c r="D64" t="s">
        <v>104</v>
      </c>
      <c r="E64" t="s">
        <v>118</v>
      </c>
    </row>
    <row r="65" spans="1:5" ht="15" customHeight="1">
      <c r="A65" s="4"/>
      <c r="D65" t="s">
        <v>104</v>
      </c>
      <c r="E65" t="s">
        <v>119</v>
      </c>
    </row>
    <row r="66" spans="1:5" ht="15" customHeight="1">
      <c r="A66" s="4"/>
    </row>
    <row r="67" spans="1:5" ht="15" customHeight="1">
      <c r="A67" s="4"/>
      <c r="D67" t="s">
        <v>120</v>
      </c>
    </row>
    <row r="68" spans="1:5" ht="15" customHeight="1">
      <c r="A68" s="4"/>
      <c r="D68" t="s">
        <v>104</v>
      </c>
      <c r="E68" t="s">
        <v>121</v>
      </c>
    </row>
    <row r="69" spans="1:5" ht="15" customHeight="1">
      <c r="A69" s="4"/>
      <c r="E69" t="s">
        <v>122</v>
      </c>
    </row>
    <row r="70" spans="1:5" ht="15" customHeight="1">
      <c r="A70" s="4"/>
    </row>
    <row r="71" spans="1:5" ht="15" customHeight="1">
      <c r="A71" s="4"/>
      <c r="C71" t="s">
        <v>123</v>
      </c>
      <c r="D71" t="s">
        <v>124</v>
      </c>
    </row>
    <row r="72" spans="1:5" ht="15" customHeight="1">
      <c r="A72" s="4"/>
      <c r="D72" t="s">
        <v>125</v>
      </c>
    </row>
    <row r="73" spans="1:5" ht="15" customHeight="1">
      <c r="A73" s="4"/>
      <c r="D73" t="s">
        <v>88</v>
      </c>
    </row>
    <row r="74" spans="1:5" ht="15" customHeight="1">
      <c r="A74" s="4"/>
      <c r="D74" t="s">
        <v>104</v>
      </c>
      <c r="E74" t="s">
        <v>126</v>
      </c>
    </row>
    <row r="75" spans="1:5" ht="15" customHeight="1">
      <c r="A75" s="4"/>
    </row>
    <row r="76" spans="1:5" ht="15" customHeight="1">
      <c r="A76" s="4"/>
      <c r="D76" t="s">
        <v>103</v>
      </c>
    </row>
    <row r="77" spans="1:5" ht="15" customHeight="1">
      <c r="A77" s="4"/>
      <c r="D77" t="s">
        <v>104</v>
      </c>
      <c r="E77" t="s">
        <v>127</v>
      </c>
    </row>
    <row r="78" spans="1:5" ht="15" customHeight="1">
      <c r="A78" s="4"/>
      <c r="D78" t="s">
        <v>104</v>
      </c>
      <c r="E78" t="s">
        <v>128</v>
      </c>
    </row>
    <row r="79" spans="1:5" ht="15" customHeight="1">
      <c r="A79" s="4"/>
    </row>
    <row r="80" spans="1:5" ht="15" customHeight="1">
      <c r="A80" s="4"/>
      <c r="C80" s="68" t="s">
        <v>129</v>
      </c>
      <c r="D80" t="s">
        <v>130</v>
      </c>
    </row>
    <row r="81" spans="1:5" ht="15" customHeight="1">
      <c r="A81" s="4"/>
      <c r="C81" s="10"/>
      <c r="D81" t="s">
        <v>131</v>
      </c>
    </row>
    <row r="82" spans="1:5" ht="15" customHeight="1">
      <c r="A82" s="4"/>
      <c r="D82" t="s">
        <v>88</v>
      </c>
    </row>
    <row r="83" spans="1:5" ht="15" customHeight="1">
      <c r="A83" s="4"/>
      <c r="D83" t="s">
        <v>104</v>
      </c>
      <c r="E83" t="s">
        <v>132</v>
      </c>
    </row>
    <row r="84" spans="1:5" ht="15" customHeight="1">
      <c r="A84" s="4"/>
    </row>
    <row r="85" spans="1:5" ht="15" customHeight="1">
      <c r="A85" s="4"/>
      <c r="D85" t="s">
        <v>133</v>
      </c>
    </row>
    <row r="86" spans="1:5" ht="15" customHeight="1">
      <c r="A86" s="4"/>
      <c r="D86" t="s">
        <v>104</v>
      </c>
      <c r="E86" t="s">
        <v>134</v>
      </c>
    </row>
    <row r="87" spans="1:5" ht="15" customHeight="1">
      <c r="A87" s="4"/>
      <c r="D87" t="s">
        <v>104</v>
      </c>
      <c r="E87" t="s">
        <v>135</v>
      </c>
    </row>
    <row r="88" spans="1:5" ht="15" customHeight="1">
      <c r="A88" s="4"/>
      <c r="D88" t="s">
        <v>104</v>
      </c>
      <c r="E88" t="s">
        <v>136</v>
      </c>
    </row>
    <row r="89" spans="1:5" ht="15" customHeight="1">
      <c r="A89" s="4"/>
      <c r="D89" t="s">
        <v>104</v>
      </c>
      <c r="E89" t="s">
        <v>137</v>
      </c>
    </row>
    <row r="90" spans="1:5" ht="15" customHeight="1">
      <c r="A90" s="4"/>
      <c r="D90" t="s">
        <v>104</v>
      </c>
      <c r="E90" t="s">
        <v>138</v>
      </c>
    </row>
    <row r="91" spans="1:5" ht="15" customHeight="1">
      <c r="A91" s="4"/>
      <c r="D91" t="s">
        <v>104</v>
      </c>
      <c r="E91" t="s">
        <v>139</v>
      </c>
    </row>
    <row r="92" spans="1:5" ht="15" customHeight="1">
      <c r="A92" s="4"/>
    </row>
    <row r="93" spans="1:5" ht="15" customHeight="1">
      <c r="A93" s="4"/>
      <c r="D93" t="s">
        <v>120</v>
      </c>
    </row>
    <row r="94" spans="1:5" ht="15" customHeight="1">
      <c r="A94" s="4"/>
      <c r="D94" t="s">
        <v>104</v>
      </c>
      <c r="E94" t="s">
        <v>140</v>
      </c>
    </row>
    <row r="95" spans="1:5" ht="15" customHeight="1">
      <c r="A95" s="4"/>
      <c r="E95" t="s">
        <v>141</v>
      </c>
    </row>
    <row r="96" spans="1:5" ht="15" customHeight="1">
      <c r="A96" s="4"/>
    </row>
    <row r="97" spans="1:6" ht="15" customHeight="1">
      <c r="A97" s="4"/>
      <c r="D97" t="s">
        <v>142</v>
      </c>
    </row>
    <row r="98" spans="1:6" ht="15" customHeight="1">
      <c r="A98" s="4"/>
      <c r="D98" t="s">
        <v>104</v>
      </c>
      <c r="E98" t="s">
        <v>143</v>
      </c>
    </row>
    <row r="99" spans="1:6" ht="15" customHeight="1">
      <c r="A99" s="4"/>
      <c r="E99" t="s">
        <v>144</v>
      </c>
    </row>
    <row r="100" spans="1:6" ht="15" customHeight="1">
      <c r="A100" s="4"/>
    </row>
    <row r="101" spans="1:6" ht="15" customHeight="1">
      <c r="A101" s="4"/>
      <c r="C101" s="68" t="s">
        <v>145</v>
      </c>
      <c r="D101" t="s">
        <v>146</v>
      </c>
    </row>
    <row r="102" spans="1:6" ht="15" customHeight="1">
      <c r="A102" s="4"/>
      <c r="C102" s="10"/>
      <c r="D102" t="s">
        <v>114</v>
      </c>
    </row>
    <row r="103" spans="1:6" ht="15" customHeight="1">
      <c r="A103" s="4"/>
      <c r="D103" t="s">
        <v>88</v>
      </c>
    </row>
    <row r="104" spans="1:6" ht="15" customHeight="1">
      <c r="A104" s="4"/>
      <c r="D104" t="s">
        <v>104</v>
      </c>
      <c r="E104" t="s">
        <v>59</v>
      </c>
    </row>
    <row r="105" spans="1:6" ht="15" customHeight="1">
      <c r="A105" s="4"/>
    </row>
    <row r="106" spans="1:6" ht="15" customHeight="1">
      <c r="A106" s="4"/>
      <c r="D106" t="s">
        <v>103</v>
      </c>
    </row>
    <row r="107" spans="1:6" ht="15" customHeight="1">
      <c r="A107" s="4"/>
      <c r="D107" t="s">
        <v>104</v>
      </c>
      <c r="E107" t="s">
        <v>147</v>
      </c>
    </row>
    <row r="108" spans="1:6" ht="15" customHeight="1">
      <c r="A108" s="4"/>
      <c r="D108" t="s">
        <v>104</v>
      </c>
      <c r="E108" t="s">
        <v>148</v>
      </c>
    </row>
    <row r="109" spans="1:6" ht="15" customHeight="1">
      <c r="A109" s="4"/>
      <c r="E109" t="s">
        <v>108</v>
      </c>
      <c r="F109" t="s">
        <v>149</v>
      </c>
    </row>
    <row r="110" spans="1:6" ht="15" customHeight="1">
      <c r="A110" s="4"/>
      <c r="F110" t="s">
        <v>150</v>
      </c>
    </row>
    <row r="111" spans="1:6" ht="15" customHeight="1">
      <c r="A111" s="4"/>
      <c r="D111" t="s">
        <v>104</v>
      </c>
      <c r="E111" t="s">
        <v>151</v>
      </c>
    </row>
    <row r="112" spans="1:6" ht="15" customHeight="1">
      <c r="A112" s="4"/>
      <c r="E112" t="s">
        <v>152</v>
      </c>
    </row>
    <row r="113" spans="1:6" ht="15" customHeight="1">
      <c r="A113" s="4"/>
    </row>
    <row r="114" spans="1:6" ht="15" customHeight="1">
      <c r="A114" s="4"/>
      <c r="C114" s="70" t="s">
        <v>108</v>
      </c>
      <c r="D114" s="70" t="s">
        <v>153</v>
      </c>
    </row>
    <row r="115" spans="1:6" ht="15" customHeight="1">
      <c r="A115" s="4"/>
    </row>
    <row r="116" spans="1:6" ht="15" customHeight="1">
      <c r="A116" s="4"/>
      <c r="B116" t="s">
        <v>154</v>
      </c>
    </row>
    <row r="117" spans="1:6" ht="15" customHeight="1">
      <c r="A117" s="4"/>
      <c r="C117" t="s">
        <v>155</v>
      </c>
    </row>
    <row r="118" spans="1:6" ht="15" customHeight="1">
      <c r="A118" s="4"/>
      <c r="C118" t="s">
        <v>85</v>
      </c>
      <c r="D118" t="s">
        <v>156</v>
      </c>
    </row>
    <row r="119" spans="1:6" ht="15" customHeight="1">
      <c r="A119" s="4"/>
      <c r="D119" t="s">
        <v>114</v>
      </c>
    </row>
    <row r="120" spans="1:6" ht="15" customHeight="1">
      <c r="A120" s="4"/>
      <c r="D120" t="s">
        <v>88</v>
      </c>
    </row>
    <row r="121" spans="1:6" ht="15" customHeight="1">
      <c r="A121" s="4"/>
      <c r="D121" t="s">
        <v>157</v>
      </c>
    </row>
    <row r="122" spans="1:6" ht="15" customHeight="1">
      <c r="A122" s="4"/>
    </row>
    <row r="123" spans="1:6" ht="15" customHeight="1">
      <c r="A123" s="4"/>
      <c r="D123" t="s">
        <v>103</v>
      </c>
    </row>
    <row r="124" spans="1:6" ht="15" customHeight="1">
      <c r="A124" s="4"/>
      <c r="D124" t="s">
        <v>104</v>
      </c>
      <c r="E124" t="s">
        <v>158</v>
      </c>
    </row>
    <row r="125" spans="1:6" ht="15" customHeight="1">
      <c r="A125" s="4"/>
      <c r="E125" t="s">
        <v>108</v>
      </c>
      <c r="F125" t="s">
        <v>159</v>
      </c>
    </row>
    <row r="126" spans="1:6" ht="15" customHeight="1">
      <c r="A126" s="4"/>
      <c r="D126" t="s">
        <v>104</v>
      </c>
      <c r="E126" t="s">
        <v>160</v>
      </c>
    </row>
    <row r="127" spans="1:6" ht="15" customHeight="1">
      <c r="A127" s="4"/>
      <c r="D127" t="s">
        <v>104</v>
      </c>
      <c r="E127" t="s">
        <v>161</v>
      </c>
    </row>
    <row r="128" spans="1:6" ht="15" customHeight="1">
      <c r="A128" s="4"/>
      <c r="D128" t="s">
        <v>104</v>
      </c>
      <c r="E128" t="s">
        <v>162</v>
      </c>
    </row>
    <row r="129" spans="1:5" ht="15" customHeight="1">
      <c r="A129" s="4"/>
    </row>
    <row r="130" spans="1:5" ht="15" customHeight="1">
      <c r="A130" s="4"/>
      <c r="C130" t="s">
        <v>163</v>
      </c>
      <c r="D130" t="s">
        <v>164</v>
      </c>
    </row>
    <row r="131" spans="1:5" ht="15" customHeight="1">
      <c r="A131" s="4"/>
      <c r="D131" t="s">
        <v>165</v>
      </c>
    </row>
    <row r="132" spans="1:5" ht="15" customHeight="1">
      <c r="A132" s="4"/>
      <c r="D132" t="s">
        <v>88</v>
      </c>
    </row>
    <row r="133" spans="1:5" ht="15" customHeight="1">
      <c r="A133" s="4"/>
      <c r="D133" t="s">
        <v>74</v>
      </c>
    </row>
    <row r="134" spans="1:5" ht="15" customHeight="1">
      <c r="A134" s="4"/>
    </row>
    <row r="135" spans="1:5" ht="15" customHeight="1">
      <c r="A135" s="4"/>
      <c r="D135" t="s">
        <v>103</v>
      </c>
    </row>
    <row r="136" spans="1:5" ht="15" customHeight="1">
      <c r="A136" s="4"/>
      <c r="D136" t="s">
        <v>104</v>
      </c>
      <c r="E136" t="s">
        <v>161</v>
      </c>
    </row>
    <row r="137" spans="1:5" ht="15" customHeight="1">
      <c r="A137" s="4"/>
      <c r="D137" t="s">
        <v>104</v>
      </c>
      <c r="E137" t="s">
        <v>162</v>
      </c>
    </row>
    <row r="138" spans="1:5" ht="15" customHeight="1">
      <c r="A138" s="4"/>
      <c r="D138" t="s">
        <v>104</v>
      </c>
      <c r="E138" t="s">
        <v>166</v>
      </c>
    </row>
    <row r="139" spans="1:5" ht="15" customHeight="1">
      <c r="A139" s="4"/>
    </row>
    <row r="140" spans="1:5" ht="15" customHeight="1">
      <c r="A140" s="4"/>
      <c r="C140" t="s">
        <v>167</v>
      </c>
      <c r="D140" t="s">
        <v>168</v>
      </c>
    </row>
    <row r="141" spans="1:5" ht="15" customHeight="1">
      <c r="A141" s="4"/>
      <c r="D141" t="s">
        <v>169</v>
      </c>
    </row>
    <row r="142" spans="1:5" ht="15" customHeight="1">
      <c r="A142" s="4"/>
      <c r="D142" t="s">
        <v>88</v>
      </c>
    </row>
    <row r="143" spans="1:5" ht="15" customHeight="1">
      <c r="A143" s="4"/>
      <c r="D143" t="s">
        <v>170</v>
      </c>
    </row>
    <row r="144" spans="1:5" ht="15" customHeight="1">
      <c r="A144" s="4"/>
    </row>
    <row r="145" spans="1:44" ht="15" customHeight="1">
      <c r="A145" s="4"/>
      <c r="D145" t="s">
        <v>103</v>
      </c>
    </row>
    <row r="146" spans="1:44" ht="15" customHeight="1">
      <c r="A146" s="4"/>
      <c r="D146" t="s">
        <v>104</v>
      </c>
      <c r="E146" t="s">
        <v>171</v>
      </c>
    </row>
    <row r="147" spans="1:44" ht="15" customHeight="1">
      <c r="A147" s="4"/>
      <c r="D147" t="s">
        <v>104</v>
      </c>
      <c r="E147" t="s">
        <v>172</v>
      </c>
    </row>
    <row r="148" spans="1:44" ht="15" customHeight="1">
      <c r="A148" s="4"/>
      <c r="D148" t="s">
        <v>104</v>
      </c>
      <c r="E148" t="s">
        <v>173</v>
      </c>
    </row>
    <row r="149" spans="1:44" ht="15" customHeight="1">
      <c r="A149" s="4"/>
      <c r="D149" t="s">
        <v>104</v>
      </c>
      <c r="E149" t="s">
        <v>174</v>
      </c>
    </row>
    <row r="150" spans="1:44" ht="15" customHeight="1">
      <c r="A150" s="4"/>
      <c r="D150" t="s">
        <v>104</v>
      </c>
      <c r="E150" t="s">
        <v>166</v>
      </c>
    </row>
    <row r="151" spans="1:44" ht="15" customHeight="1">
      <c r="A151" s="4"/>
    </row>
    <row r="152" spans="1:44" ht="15" customHeight="1">
      <c r="A152" s="6"/>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row>
  </sheetData>
  <mergeCells count="37">
    <mergeCell ref="D39:E39"/>
    <mergeCell ref="Z10:AE10"/>
    <mergeCell ref="Z21:AE23"/>
    <mergeCell ref="Z27:AE28"/>
    <mergeCell ref="Z11:AE11"/>
    <mergeCell ref="Z12:AE12"/>
    <mergeCell ref="Z14:AE14"/>
    <mergeCell ref="Z15:AE15"/>
    <mergeCell ref="Z20:AE20"/>
    <mergeCell ref="Z17:AE17"/>
    <mergeCell ref="Z18:AE19"/>
    <mergeCell ref="A4:G4"/>
    <mergeCell ref="Z24:AE24"/>
    <mergeCell ref="Z25:AE25"/>
    <mergeCell ref="C10:E23"/>
    <mergeCell ref="C24:E28"/>
    <mergeCell ref="AP2:AS3"/>
    <mergeCell ref="AP4:BK4"/>
    <mergeCell ref="Z4:AO4"/>
    <mergeCell ref="U4:Y4"/>
    <mergeCell ref="H4:T4"/>
    <mergeCell ref="AF20:AQ20"/>
    <mergeCell ref="AR20:BC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s>
  <phoneticPr fontId="1"/>
  <hyperlinks>
    <hyperlink ref="Z11:AE11" location="マークダウン!A1" display="マークダウンシート" xr:uid="{00000000-0004-0000-0000-000000000000}"/>
    <hyperlink ref="Z12:AE12" location="特売!A1" display="特売シート" xr:uid="{00000000-0004-0000-0000-000001000000}"/>
    <hyperlink ref="Z14:AE14" location="特売!A1" display="特売シート" xr:uid="{00000000-0004-0000-0000-000002000000}"/>
    <hyperlink ref="Z15:AE15" location="値引バーコード!A1" display="値引バーコードシート" xr:uid="{00000000-0004-0000-0000-000003000000}"/>
    <hyperlink ref="Z20:AE20" location="ミックスマッチ!A1" display="ミックスマッチシート" xr:uid="{00000000-0004-0000-0000-000004000000}"/>
    <hyperlink ref="Z21:AE23" location="マニュアル単品!A1" display="マニュアル単品シート" xr:uid="{00000000-0004-0000-0000-000005000000}"/>
    <hyperlink ref="Z27:AE28" location="マニュアル小計!A1" display="マニュアル小計シート" xr:uid="{00000000-0004-0000-0000-000006000000}"/>
    <hyperlink ref="Z17:AE17" location="値引バーコード!A1" display="値引バーコードシート" xr:uid="{00000000-0004-0000-0000-000007000000}"/>
    <hyperlink ref="Z18:AE18" location="カテゴリ!A1" display="カテゴリシート" xr:uid="{00000000-0004-0000-0000-000008000000}"/>
    <hyperlink ref="Z24:AE24" location="朝割!A1" display="朝割シート" xr:uid="{00000000-0004-0000-0000-000009000000}"/>
    <hyperlink ref="Z25:AE25" location="メガ割!A1" display="メガ割シート" xr:uid="{00000000-0004-0000-0000-00000A000000}"/>
  </hyperlinks>
  <printOptions horizontalCentered="1" verticalCentered="1"/>
  <pageMargins left="0.59055118110236204" right="0.59055118110236204" top="0.39370078740157499" bottom="0.39370078740157499" header="0.31496062992126" footer="0.31496062992126"/>
  <pageSetup paperSize="9" scale="22" orientation="landscape" r:id="rId1"/>
  <headerFooter>
    <oddHeader>&amp;R&amp;F</oddHeader>
    <oddFooter>&amp;C&amp;P / &amp;N ページ</oddFooter>
  </headerFooter>
  <rowBreaks count="1" manualBreakCount="1">
    <brk id="2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O96"/>
  <sheetViews>
    <sheetView tabSelected="1" view="pageBreakPreview" zoomScale="80" zoomScaleNormal="75" zoomScaleSheetLayoutView="80" workbookViewId="0">
      <selection activeCell="AL19" sqref="AL19:AQ23"/>
    </sheetView>
  </sheetViews>
  <sheetFormatPr defaultColWidth="2.77734375" defaultRowHeight="15" customHeight="1"/>
  <sheetData>
    <row r="1" spans="1:67"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7"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7"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7"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価格決定表</v>
      </c>
      <c r="AQ4" s="206"/>
      <c r="AR4" s="206"/>
      <c r="AS4" s="206"/>
      <c r="AT4" s="206"/>
      <c r="AU4" s="206"/>
      <c r="AV4" s="206"/>
      <c r="AW4" s="206"/>
      <c r="AX4" s="206"/>
      <c r="AY4" s="206"/>
      <c r="AZ4" s="206"/>
      <c r="BA4" s="206"/>
      <c r="BB4" s="206"/>
      <c r="BC4" s="206"/>
      <c r="BD4" s="206"/>
      <c r="BE4" s="206"/>
      <c r="BF4" s="206"/>
      <c r="BG4" s="206"/>
      <c r="BH4" s="206"/>
      <c r="BI4" s="206"/>
      <c r="BJ4" s="206"/>
      <c r="BK4" s="207"/>
    </row>
    <row r="5" spans="1:67"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7" ht="15" customHeight="1">
      <c r="A6" s="4"/>
      <c r="B6" s="67"/>
      <c r="BO6" s="8"/>
    </row>
    <row r="7" spans="1:67" ht="15" customHeight="1">
      <c r="A7" s="4"/>
      <c r="B7" s="67"/>
      <c r="C7" s="299"/>
      <c r="D7" s="299"/>
      <c r="E7" s="299"/>
      <c r="F7" s="299"/>
      <c r="G7" s="278" t="s">
        <v>34</v>
      </c>
      <c r="H7" s="279"/>
      <c r="I7" s="279"/>
      <c r="J7" s="280"/>
      <c r="K7" s="278" t="s">
        <v>175</v>
      </c>
      <c r="L7" s="279"/>
      <c r="M7" s="279"/>
      <c r="N7" s="280"/>
      <c r="O7" s="278" t="s">
        <v>176</v>
      </c>
      <c r="P7" s="279"/>
      <c r="Q7" s="279"/>
      <c r="R7" s="280"/>
      <c r="S7" s="278" t="s">
        <v>177</v>
      </c>
      <c r="T7" s="279"/>
      <c r="U7" s="279"/>
      <c r="V7" s="280"/>
      <c r="W7" s="278" t="s">
        <v>178</v>
      </c>
      <c r="X7" s="279"/>
      <c r="Y7" s="279"/>
      <c r="Z7" s="280"/>
      <c r="AA7" s="278" t="s">
        <v>59</v>
      </c>
      <c r="AB7" s="279"/>
      <c r="AC7" s="279"/>
      <c r="AD7" s="279"/>
      <c r="AE7" s="279"/>
      <c r="AF7" s="280"/>
      <c r="AG7" s="278" t="s">
        <v>179</v>
      </c>
      <c r="AH7" s="279"/>
      <c r="AI7" s="279"/>
      <c r="AJ7" s="279"/>
      <c r="AK7" s="280"/>
      <c r="AL7" s="278" t="s">
        <v>180</v>
      </c>
      <c r="AM7" s="279"/>
      <c r="AN7" s="279"/>
      <c r="AO7" s="279"/>
      <c r="AP7" s="279"/>
      <c r="AQ7" s="280"/>
      <c r="AR7" s="278" t="s">
        <v>181</v>
      </c>
      <c r="AS7" s="279"/>
      <c r="AT7" s="279"/>
      <c r="AU7" s="279"/>
      <c r="AV7" s="279"/>
      <c r="AW7" s="280"/>
      <c r="AX7" s="278" t="s">
        <v>182</v>
      </c>
      <c r="AY7" s="279"/>
      <c r="AZ7" s="279"/>
      <c r="BA7" s="279"/>
      <c r="BB7" s="280"/>
      <c r="BC7" s="278" t="s">
        <v>183</v>
      </c>
      <c r="BD7" s="279"/>
      <c r="BE7" s="279"/>
      <c r="BF7" s="280"/>
      <c r="BG7" s="278" t="s">
        <v>184</v>
      </c>
      <c r="BH7" s="279"/>
      <c r="BI7" s="279"/>
      <c r="BJ7" s="280"/>
      <c r="BK7" s="278" t="s">
        <v>185</v>
      </c>
      <c r="BL7" s="279"/>
      <c r="BM7" s="279"/>
      <c r="BN7" s="280"/>
      <c r="BO7" s="8"/>
    </row>
    <row r="8" spans="1:67" ht="15" customHeight="1">
      <c r="A8" s="4"/>
      <c r="C8" s="299"/>
      <c r="D8" s="299"/>
      <c r="E8" s="299"/>
      <c r="F8" s="299"/>
      <c r="G8" s="281"/>
      <c r="H8" s="282"/>
      <c r="I8" s="282"/>
      <c r="J8" s="283"/>
      <c r="K8" s="281"/>
      <c r="L8" s="282"/>
      <c r="M8" s="282"/>
      <c r="N8" s="283"/>
      <c r="O8" s="281"/>
      <c r="P8" s="282"/>
      <c r="Q8" s="282"/>
      <c r="R8" s="283"/>
      <c r="S8" s="281"/>
      <c r="T8" s="282"/>
      <c r="U8" s="282"/>
      <c r="V8" s="283"/>
      <c r="W8" s="281"/>
      <c r="X8" s="282"/>
      <c r="Y8" s="282"/>
      <c r="Z8" s="283"/>
      <c r="AA8" s="281"/>
      <c r="AB8" s="282"/>
      <c r="AC8" s="282"/>
      <c r="AD8" s="282"/>
      <c r="AE8" s="282"/>
      <c r="AF8" s="283"/>
      <c r="AG8" s="281"/>
      <c r="AH8" s="282"/>
      <c r="AI8" s="282"/>
      <c r="AJ8" s="282"/>
      <c r="AK8" s="283"/>
      <c r="AL8" s="281"/>
      <c r="AM8" s="282"/>
      <c r="AN8" s="282"/>
      <c r="AO8" s="282"/>
      <c r="AP8" s="282"/>
      <c r="AQ8" s="283"/>
      <c r="AR8" s="281"/>
      <c r="AS8" s="282"/>
      <c r="AT8" s="282"/>
      <c r="AU8" s="282"/>
      <c r="AV8" s="282"/>
      <c r="AW8" s="283"/>
      <c r="AX8" s="281"/>
      <c r="AY8" s="282"/>
      <c r="AZ8" s="282"/>
      <c r="BA8" s="282"/>
      <c r="BB8" s="283"/>
      <c r="BC8" s="281"/>
      <c r="BD8" s="282"/>
      <c r="BE8" s="282"/>
      <c r="BF8" s="283"/>
      <c r="BG8" s="281"/>
      <c r="BH8" s="282"/>
      <c r="BI8" s="282"/>
      <c r="BJ8" s="283"/>
      <c r="BK8" s="281"/>
      <c r="BL8" s="282"/>
      <c r="BM8" s="282"/>
      <c r="BN8" s="283"/>
      <c r="BO8" s="8"/>
    </row>
    <row r="9" spans="1:67" ht="15" customHeight="1">
      <c r="A9" s="4"/>
      <c r="C9" s="299"/>
      <c r="D9" s="299"/>
      <c r="E9" s="299"/>
      <c r="F9" s="299"/>
      <c r="G9" s="284"/>
      <c r="H9" s="285"/>
      <c r="I9" s="285"/>
      <c r="J9" s="286"/>
      <c r="K9" s="284"/>
      <c r="L9" s="285"/>
      <c r="M9" s="285"/>
      <c r="N9" s="286"/>
      <c r="O9" s="284"/>
      <c r="P9" s="285"/>
      <c r="Q9" s="285"/>
      <c r="R9" s="286"/>
      <c r="S9" s="284"/>
      <c r="T9" s="285"/>
      <c r="U9" s="285"/>
      <c r="V9" s="286"/>
      <c r="W9" s="284"/>
      <c r="X9" s="285"/>
      <c r="Y9" s="285"/>
      <c r="Z9" s="286"/>
      <c r="AA9" s="284"/>
      <c r="AB9" s="285"/>
      <c r="AC9" s="285"/>
      <c r="AD9" s="285"/>
      <c r="AE9" s="285"/>
      <c r="AF9" s="286"/>
      <c r="AG9" s="284"/>
      <c r="AH9" s="285"/>
      <c r="AI9" s="285"/>
      <c r="AJ9" s="285"/>
      <c r="AK9" s="286"/>
      <c r="AL9" s="284"/>
      <c r="AM9" s="285"/>
      <c r="AN9" s="285"/>
      <c r="AO9" s="285"/>
      <c r="AP9" s="285"/>
      <c r="AQ9" s="286"/>
      <c r="AR9" s="284"/>
      <c r="AS9" s="285"/>
      <c r="AT9" s="285"/>
      <c r="AU9" s="285"/>
      <c r="AV9" s="285"/>
      <c r="AW9" s="286"/>
      <c r="AX9" s="284"/>
      <c r="AY9" s="285"/>
      <c r="AZ9" s="285"/>
      <c r="BA9" s="285"/>
      <c r="BB9" s="286"/>
      <c r="BC9" s="284"/>
      <c r="BD9" s="285"/>
      <c r="BE9" s="285"/>
      <c r="BF9" s="286"/>
      <c r="BG9" s="284"/>
      <c r="BH9" s="285"/>
      <c r="BI9" s="285"/>
      <c r="BJ9" s="286"/>
      <c r="BK9" s="284"/>
      <c r="BL9" s="285"/>
      <c r="BM9" s="285"/>
      <c r="BN9" s="286"/>
      <c r="BO9" s="8"/>
    </row>
    <row r="10" spans="1:67" ht="15" customHeight="1">
      <c r="A10" s="4"/>
      <c r="C10" s="287" t="s">
        <v>186</v>
      </c>
      <c r="D10" s="288"/>
      <c r="E10" s="288"/>
      <c r="F10" s="289"/>
      <c r="G10" s="287"/>
      <c r="H10" s="288"/>
      <c r="I10" s="288"/>
      <c r="J10" s="289"/>
      <c r="K10" s="287"/>
      <c r="L10" s="288"/>
      <c r="M10" s="288"/>
      <c r="N10" s="289"/>
      <c r="O10" s="287"/>
      <c r="P10" s="288"/>
      <c r="Q10" s="288"/>
      <c r="R10" s="289"/>
      <c r="S10" s="287"/>
      <c r="T10" s="288"/>
      <c r="U10" s="288"/>
      <c r="V10" s="289"/>
      <c r="W10" s="287"/>
      <c r="X10" s="288"/>
      <c r="Y10" s="288"/>
      <c r="Z10" s="289"/>
      <c r="AA10" s="287"/>
      <c r="AB10" s="288"/>
      <c r="AC10" s="288"/>
      <c r="AD10" s="288"/>
      <c r="AE10" s="288"/>
      <c r="AF10" s="289"/>
      <c r="AG10" s="287"/>
      <c r="AH10" s="288"/>
      <c r="AI10" s="288"/>
      <c r="AJ10" s="288"/>
      <c r="AK10" s="289"/>
      <c r="AL10" s="287"/>
      <c r="AM10" s="288"/>
      <c r="AN10" s="288"/>
      <c r="AO10" s="288"/>
      <c r="AP10" s="288"/>
      <c r="AQ10" s="289"/>
      <c r="AR10" s="287"/>
      <c r="AS10" s="288"/>
      <c r="AT10" s="288"/>
      <c r="AU10" s="288"/>
      <c r="AV10" s="288"/>
      <c r="AW10" s="289"/>
      <c r="AX10" s="287"/>
      <c r="AY10" s="288"/>
      <c r="AZ10" s="288"/>
      <c r="BA10" s="288"/>
      <c r="BB10" s="289"/>
      <c r="BC10" s="287"/>
      <c r="BD10" s="288"/>
      <c r="BE10" s="288"/>
      <c r="BF10" s="289"/>
      <c r="BG10" s="287"/>
      <c r="BH10" s="288"/>
      <c r="BI10" s="288"/>
      <c r="BJ10" s="289"/>
      <c r="BK10" s="287"/>
      <c r="BL10" s="288"/>
      <c r="BM10" s="288"/>
      <c r="BN10" s="289"/>
      <c r="BO10" s="8"/>
    </row>
    <row r="11" spans="1:67" ht="15" customHeight="1">
      <c r="A11" s="4"/>
      <c r="C11" s="300" t="s">
        <v>187</v>
      </c>
      <c r="D11" s="301"/>
      <c r="E11" s="301"/>
      <c r="F11" s="302"/>
      <c r="G11" s="300"/>
      <c r="H11" s="301"/>
      <c r="I11" s="301"/>
      <c r="J11" s="302"/>
      <c r="K11" s="300"/>
      <c r="L11" s="301"/>
      <c r="M11" s="301"/>
      <c r="N11" s="302"/>
      <c r="O11" s="300"/>
      <c r="P11" s="301"/>
      <c r="Q11" s="301"/>
      <c r="R11" s="302"/>
      <c r="S11" s="300"/>
      <c r="T11" s="301"/>
      <c r="U11" s="301"/>
      <c r="V11" s="302"/>
      <c r="W11" s="300"/>
      <c r="X11" s="301"/>
      <c r="Y11" s="301"/>
      <c r="Z11" s="302"/>
      <c r="AA11" s="300"/>
      <c r="AB11" s="301"/>
      <c r="AC11" s="301"/>
      <c r="AD11" s="301"/>
      <c r="AE11" s="301"/>
      <c r="AF11" s="302"/>
      <c r="AG11" s="300"/>
      <c r="AH11" s="301"/>
      <c r="AI11" s="301"/>
      <c r="AJ11" s="301"/>
      <c r="AK11" s="302"/>
      <c r="AL11" s="300"/>
      <c r="AM11" s="301"/>
      <c r="AN11" s="301"/>
      <c r="AO11" s="301"/>
      <c r="AP11" s="301"/>
      <c r="AQ11" s="302"/>
      <c r="AR11" s="300"/>
      <c r="AS11" s="301"/>
      <c r="AT11" s="301"/>
      <c r="AU11" s="301"/>
      <c r="AV11" s="301"/>
      <c r="AW11" s="302"/>
      <c r="AX11" s="300"/>
      <c r="AY11" s="301"/>
      <c r="AZ11" s="301"/>
      <c r="BA11" s="301"/>
      <c r="BB11" s="302"/>
      <c r="BC11" s="300"/>
      <c r="BD11" s="301"/>
      <c r="BE11" s="301"/>
      <c r="BF11" s="302"/>
      <c r="BG11" s="300"/>
      <c r="BH11" s="301"/>
      <c r="BI11" s="301"/>
      <c r="BJ11" s="302"/>
      <c r="BK11" s="300"/>
      <c r="BL11" s="301"/>
      <c r="BM11" s="301"/>
      <c r="BN11" s="302"/>
      <c r="BO11" s="8"/>
    </row>
    <row r="12" spans="1:67" ht="15" customHeight="1">
      <c r="A12" s="4"/>
      <c r="C12" s="300" t="s">
        <v>188</v>
      </c>
      <c r="D12" s="301"/>
      <c r="E12" s="301"/>
      <c r="F12" s="302"/>
      <c r="G12" s="300"/>
      <c r="H12" s="301"/>
      <c r="I12" s="301"/>
      <c r="J12" s="302"/>
      <c r="K12" s="300"/>
      <c r="L12" s="301"/>
      <c r="M12" s="301"/>
      <c r="N12" s="302"/>
      <c r="O12" s="300"/>
      <c r="P12" s="301"/>
      <c r="Q12" s="301"/>
      <c r="R12" s="302"/>
      <c r="S12" s="300"/>
      <c r="T12" s="301"/>
      <c r="U12" s="301"/>
      <c r="V12" s="302"/>
      <c r="W12" s="300"/>
      <c r="X12" s="301"/>
      <c r="Y12" s="301"/>
      <c r="Z12" s="302"/>
      <c r="AA12" s="300"/>
      <c r="AB12" s="301"/>
      <c r="AC12" s="301"/>
      <c r="AD12" s="301"/>
      <c r="AE12" s="301"/>
      <c r="AF12" s="302"/>
      <c r="AG12" s="300"/>
      <c r="AH12" s="301"/>
      <c r="AI12" s="301"/>
      <c r="AJ12" s="301"/>
      <c r="AK12" s="302"/>
      <c r="AL12" s="300"/>
      <c r="AM12" s="301"/>
      <c r="AN12" s="301"/>
      <c r="AO12" s="301"/>
      <c r="AP12" s="301"/>
      <c r="AQ12" s="302"/>
      <c r="AR12" s="300"/>
      <c r="AS12" s="301"/>
      <c r="AT12" s="301"/>
      <c r="AU12" s="301"/>
      <c r="AV12" s="301"/>
      <c r="AW12" s="302"/>
      <c r="AX12" s="300"/>
      <c r="AY12" s="301"/>
      <c r="AZ12" s="301"/>
      <c r="BA12" s="301"/>
      <c r="BB12" s="302"/>
      <c r="BC12" s="300"/>
      <c r="BD12" s="301"/>
      <c r="BE12" s="301"/>
      <c r="BF12" s="302"/>
      <c r="BG12" s="300"/>
      <c r="BH12" s="301"/>
      <c r="BI12" s="301"/>
      <c r="BJ12" s="302"/>
      <c r="BK12" s="300"/>
      <c r="BL12" s="301"/>
      <c r="BM12" s="301"/>
      <c r="BN12" s="302"/>
      <c r="BO12" s="8"/>
    </row>
    <row r="13" spans="1:67" ht="15" customHeight="1">
      <c r="A13" s="4"/>
      <c r="C13" s="303" t="s">
        <v>187</v>
      </c>
      <c r="D13" s="304"/>
      <c r="E13" s="304"/>
      <c r="F13" s="305"/>
      <c r="G13" s="303"/>
      <c r="H13" s="304"/>
      <c r="I13" s="304"/>
      <c r="J13" s="305"/>
      <c r="K13" s="303"/>
      <c r="L13" s="304"/>
      <c r="M13" s="304"/>
      <c r="N13" s="305"/>
      <c r="O13" s="303" t="s">
        <v>189</v>
      </c>
      <c r="P13" s="304"/>
      <c r="Q13" s="304"/>
      <c r="R13" s="305"/>
      <c r="S13" s="303" t="s">
        <v>190</v>
      </c>
      <c r="T13" s="304"/>
      <c r="U13" s="304"/>
      <c r="V13" s="305"/>
      <c r="W13" s="303" t="s">
        <v>191</v>
      </c>
      <c r="X13" s="304"/>
      <c r="Y13" s="304"/>
      <c r="Z13" s="305"/>
      <c r="AA13" s="303" t="s">
        <v>192</v>
      </c>
      <c r="AB13" s="304"/>
      <c r="AC13" s="304"/>
      <c r="AD13" s="304"/>
      <c r="AE13" s="304"/>
      <c r="AF13" s="305"/>
      <c r="AG13" s="303" t="s">
        <v>193</v>
      </c>
      <c r="AH13" s="304"/>
      <c r="AI13" s="304"/>
      <c r="AJ13" s="304"/>
      <c r="AK13" s="305"/>
      <c r="AL13" s="303" t="s">
        <v>194</v>
      </c>
      <c r="AM13" s="304"/>
      <c r="AN13" s="304"/>
      <c r="AO13" s="304"/>
      <c r="AP13" s="304"/>
      <c r="AQ13" s="305"/>
      <c r="AR13" s="303" t="s">
        <v>195</v>
      </c>
      <c r="AS13" s="304"/>
      <c r="AT13" s="304"/>
      <c r="AU13" s="304"/>
      <c r="AV13" s="304"/>
      <c r="AW13" s="305"/>
      <c r="AX13" s="303"/>
      <c r="AY13" s="304"/>
      <c r="AZ13" s="304"/>
      <c r="BA13" s="304"/>
      <c r="BB13" s="305"/>
      <c r="BC13" s="303"/>
      <c r="BD13" s="304"/>
      <c r="BE13" s="304"/>
      <c r="BF13" s="305"/>
      <c r="BG13" s="303"/>
      <c r="BH13" s="304"/>
      <c r="BI13" s="304"/>
      <c r="BJ13" s="305"/>
      <c r="BK13" s="303"/>
      <c r="BL13" s="304"/>
      <c r="BM13" s="304"/>
      <c r="BN13" s="305"/>
      <c r="BO13" s="8"/>
    </row>
    <row r="14" spans="1:67" ht="15" customHeight="1">
      <c r="A14" s="4"/>
      <c r="C14" s="298" t="s">
        <v>34</v>
      </c>
      <c r="D14" s="290"/>
      <c r="E14" s="290"/>
      <c r="F14" s="291"/>
      <c r="G14" s="260" t="s">
        <v>196</v>
      </c>
      <c r="H14" s="261"/>
      <c r="I14" s="261"/>
      <c r="J14" s="262"/>
      <c r="K14" s="260" t="s">
        <v>197</v>
      </c>
      <c r="L14" s="261"/>
      <c r="M14" s="261"/>
      <c r="N14" s="262"/>
      <c r="O14" s="260"/>
      <c r="P14" s="261"/>
      <c r="Q14" s="261"/>
      <c r="R14" s="262"/>
      <c r="S14" s="260" t="s">
        <v>198</v>
      </c>
      <c r="T14" s="261"/>
      <c r="U14" s="261"/>
      <c r="V14" s="262"/>
      <c r="W14" s="260" t="s">
        <v>198</v>
      </c>
      <c r="X14" s="261"/>
      <c r="Y14" s="261"/>
      <c r="Z14" s="262"/>
      <c r="AA14" s="260" t="s">
        <v>199</v>
      </c>
      <c r="AB14" s="261"/>
      <c r="AC14" s="261"/>
      <c r="AD14" s="261"/>
      <c r="AE14" s="261"/>
      <c r="AF14" s="262"/>
      <c r="AG14" s="260" t="s">
        <v>200</v>
      </c>
      <c r="AH14" s="261"/>
      <c r="AI14" s="261"/>
      <c r="AJ14" s="261"/>
      <c r="AK14" s="262"/>
      <c r="AL14" s="260" t="s">
        <v>201</v>
      </c>
      <c r="AM14" s="261"/>
      <c r="AN14" s="261"/>
      <c r="AO14" s="261"/>
      <c r="AP14" s="261"/>
      <c r="AQ14" s="262"/>
      <c r="AR14" s="260" t="s">
        <v>202</v>
      </c>
      <c r="AS14" s="261"/>
      <c r="AT14" s="261"/>
      <c r="AU14" s="261"/>
      <c r="AV14" s="261"/>
      <c r="AW14" s="262"/>
      <c r="AX14" s="260" t="s">
        <v>203</v>
      </c>
      <c r="AY14" s="261"/>
      <c r="AZ14" s="261"/>
      <c r="BA14" s="261"/>
      <c r="BB14" s="262"/>
      <c r="BC14" s="260" t="s">
        <v>204</v>
      </c>
      <c r="BD14" s="261"/>
      <c r="BE14" s="261"/>
      <c r="BF14" s="262"/>
      <c r="BG14" s="260" t="s">
        <v>205</v>
      </c>
      <c r="BH14" s="261"/>
      <c r="BI14" s="261"/>
      <c r="BJ14" s="262"/>
      <c r="BK14" s="260" t="s">
        <v>206</v>
      </c>
      <c r="BL14" s="261"/>
      <c r="BM14" s="261"/>
      <c r="BN14" s="262"/>
      <c r="BO14" s="8"/>
    </row>
    <row r="15" spans="1:67" ht="15" customHeight="1">
      <c r="A15" s="4"/>
      <c r="C15" s="292"/>
      <c r="D15" s="293"/>
      <c r="E15" s="293"/>
      <c r="F15" s="294"/>
      <c r="G15" s="263"/>
      <c r="H15" s="264"/>
      <c r="I15" s="264"/>
      <c r="J15" s="265"/>
      <c r="K15" s="263"/>
      <c r="L15" s="264"/>
      <c r="M15" s="264"/>
      <c r="N15" s="265"/>
      <c r="O15" s="263"/>
      <c r="P15" s="264"/>
      <c r="Q15" s="264"/>
      <c r="R15" s="265"/>
      <c r="S15" s="263"/>
      <c r="T15" s="264"/>
      <c r="U15" s="264"/>
      <c r="V15" s="265"/>
      <c r="W15" s="263"/>
      <c r="X15" s="264"/>
      <c r="Y15" s="264"/>
      <c r="Z15" s="265"/>
      <c r="AA15" s="263"/>
      <c r="AB15" s="264"/>
      <c r="AC15" s="264"/>
      <c r="AD15" s="264"/>
      <c r="AE15" s="264"/>
      <c r="AF15" s="265"/>
      <c r="AG15" s="263"/>
      <c r="AH15" s="264"/>
      <c r="AI15" s="264"/>
      <c r="AJ15" s="264"/>
      <c r="AK15" s="265"/>
      <c r="AL15" s="263"/>
      <c r="AM15" s="264"/>
      <c r="AN15" s="264"/>
      <c r="AO15" s="264"/>
      <c r="AP15" s="264"/>
      <c r="AQ15" s="265"/>
      <c r="AR15" s="263"/>
      <c r="AS15" s="264"/>
      <c r="AT15" s="264"/>
      <c r="AU15" s="264"/>
      <c r="AV15" s="264"/>
      <c r="AW15" s="265"/>
      <c r="AX15" s="263"/>
      <c r="AY15" s="264"/>
      <c r="AZ15" s="264"/>
      <c r="BA15" s="264"/>
      <c r="BB15" s="265"/>
      <c r="BC15" s="263"/>
      <c r="BD15" s="264"/>
      <c r="BE15" s="264"/>
      <c r="BF15" s="265"/>
      <c r="BG15" s="263"/>
      <c r="BH15" s="264"/>
      <c r="BI15" s="264"/>
      <c r="BJ15" s="265"/>
      <c r="BK15" s="263"/>
      <c r="BL15" s="264"/>
      <c r="BM15" s="264"/>
      <c r="BN15" s="265"/>
      <c r="BO15" s="8"/>
    </row>
    <row r="16" spans="1:67" ht="15" customHeight="1">
      <c r="A16" s="4"/>
      <c r="C16" s="292"/>
      <c r="D16" s="293"/>
      <c r="E16" s="293"/>
      <c r="F16" s="294"/>
      <c r="G16" s="263"/>
      <c r="H16" s="264"/>
      <c r="I16" s="264"/>
      <c r="J16" s="265"/>
      <c r="K16" s="263"/>
      <c r="L16" s="264"/>
      <c r="M16" s="264"/>
      <c r="N16" s="265"/>
      <c r="O16" s="263"/>
      <c r="P16" s="264"/>
      <c r="Q16" s="264"/>
      <c r="R16" s="265"/>
      <c r="S16" s="263"/>
      <c r="T16" s="264"/>
      <c r="U16" s="264"/>
      <c r="V16" s="265"/>
      <c r="W16" s="263"/>
      <c r="X16" s="264"/>
      <c r="Y16" s="264"/>
      <c r="Z16" s="265"/>
      <c r="AA16" s="263"/>
      <c r="AB16" s="264"/>
      <c r="AC16" s="264"/>
      <c r="AD16" s="264"/>
      <c r="AE16" s="264"/>
      <c r="AF16" s="265"/>
      <c r="AG16" s="263"/>
      <c r="AH16" s="264"/>
      <c r="AI16" s="264"/>
      <c r="AJ16" s="264"/>
      <c r="AK16" s="265"/>
      <c r="AL16" s="263"/>
      <c r="AM16" s="264"/>
      <c r="AN16" s="264"/>
      <c r="AO16" s="264"/>
      <c r="AP16" s="264"/>
      <c r="AQ16" s="265"/>
      <c r="AR16" s="263"/>
      <c r="AS16" s="264"/>
      <c r="AT16" s="264"/>
      <c r="AU16" s="264"/>
      <c r="AV16" s="264"/>
      <c r="AW16" s="265"/>
      <c r="AX16" s="263"/>
      <c r="AY16" s="264"/>
      <c r="AZ16" s="264"/>
      <c r="BA16" s="264"/>
      <c r="BB16" s="265"/>
      <c r="BC16" s="263"/>
      <c r="BD16" s="264"/>
      <c r="BE16" s="264"/>
      <c r="BF16" s="265"/>
      <c r="BG16" s="263"/>
      <c r="BH16" s="264"/>
      <c r="BI16" s="264"/>
      <c r="BJ16" s="265"/>
      <c r="BK16" s="263"/>
      <c r="BL16" s="264"/>
      <c r="BM16" s="264"/>
      <c r="BN16" s="265"/>
      <c r="BO16" s="8"/>
    </row>
    <row r="17" spans="1:67" ht="15" customHeight="1">
      <c r="A17" s="4"/>
      <c r="C17" s="292"/>
      <c r="D17" s="293"/>
      <c r="E17" s="293"/>
      <c r="F17" s="294"/>
      <c r="G17" s="263"/>
      <c r="H17" s="264"/>
      <c r="I17" s="264"/>
      <c r="J17" s="265"/>
      <c r="K17" s="263"/>
      <c r="L17" s="264"/>
      <c r="M17" s="264"/>
      <c r="N17" s="265"/>
      <c r="O17" s="263"/>
      <c r="P17" s="264"/>
      <c r="Q17" s="264"/>
      <c r="R17" s="265"/>
      <c r="S17" s="263"/>
      <c r="T17" s="264"/>
      <c r="U17" s="264"/>
      <c r="V17" s="265"/>
      <c r="W17" s="263"/>
      <c r="X17" s="264"/>
      <c r="Y17" s="264"/>
      <c r="Z17" s="265"/>
      <c r="AA17" s="263"/>
      <c r="AB17" s="264"/>
      <c r="AC17" s="264"/>
      <c r="AD17" s="264"/>
      <c r="AE17" s="264"/>
      <c r="AF17" s="265"/>
      <c r="AG17" s="263"/>
      <c r="AH17" s="264"/>
      <c r="AI17" s="264"/>
      <c r="AJ17" s="264"/>
      <c r="AK17" s="265"/>
      <c r="AL17" s="263"/>
      <c r="AM17" s="264"/>
      <c r="AN17" s="264"/>
      <c r="AO17" s="264"/>
      <c r="AP17" s="264"/>
      <c r="AQ17" s="265"/>
      <c r="AR17" s="263"/>
      <c r="AS17" s="264"/>
      <c r="AT17" s="264"/>
      <c r="AU17" s="264"/>
      <c r="AV17" s="264"/>
      <c r="AW17" s="265"/>
      <c r="AX17" s="263"/>
      <c r="AY17" s="264"/>
      <c r="AZ17" s="264"/>
      <c r="BA17" s="264"/>
      <c r="BB17" s="265"/>
      <c r="BC17" s="263"/>
      <c r="BD17" s="264"/>
      <c r="BE17" s="264"/>
      <c r="BF17" s="265"/>
      <c r="BG17" s="263"/>
      <c r="BH17" s="264"/>
      <c r="BI17" s="264"/>
      <c r="BJ17" s="265"/>
      <c r="BK17" s="263"/>
      <c r="BL17" s="264"/>
      <c r="BM17" s="264"/>
      <c r="BN17" s="265"/>
      <c r="BO17" s="8"/>
    </row>
    <row r="18" spans="1:67" ht="15" customHeight="1">
      <c r="A18" s="4"/>
      <c r="C18" s="295"/>
      <c r="D18" s="296"/>
      <c r="E18" s="296"/>
      <c r="F18" s="297"/>
      <c r="G18" s="266"/>
      <c r="H18" s="267"/>
      <c r="I18" s="267"/>
      <c r="J18" s="268"/>
      <c r="K18" s="266"/>
      <c r="L18" s="267"/>
      <c r="M18" s="267"/>
      <c r="N18" s="268"/>
      <c r="O18" s="266"/>
      <c r="P18" s="267"/>
      <c r="Q18" s="267"/>
      <c r="R18" s="268"/>
      <c r="S18" s="266"/>
      <c r="T18" s="267"/>
      <c r="U18" s="267"/>
      <c r="V18" s="268"/>
      <c r="W18" s="266"/>
      <c r="X18" s="267"/>
      <c r="Y18" s="267"/>
      <c r="Z18" s="268"/>
      <c r="AA18" s="266"/>
      <c r="AB18" s="267"/>
      <c r="AC18" s="267"/>
      <c r="AD18" s="267"/>
      <c r="AE18" s="267"/>
      <c r="AF18" s="268"/>
      <c r="AG18" s="266"/>
      <c r="AH18" s="267"/>
      <c r="AI18" s="267"/>
      <c r="AJ18" s="267"/>
      <c r="AK18" s="268"/>
      <c r="AL18" s="266"/>
      <c r="AM18" s="267"/>
      <c r="AN18" s="267"/>
      <c r="AO18" s="267"/>
      <c r="AP18" s="267"/>
      <c r="AQ18" s="268"/>
      <c r="AR18" s="266"/>
      <c r="AS18" s="267"/>
      <c r="AT18" s="267"/>
      <c r="AU18" s="267"/>
      <c r="AV18" s="267"/>
      <c r="AW18" s="268"/>
      <c r="AX18" s="266"/>
      <c r="AY18" s="267"/>
      <c r="AZ18" s="267"/>
      <c r="BA18" s="267"/>
      <c r="BB18" s="268"/>
      <c r="BC18" s="266"/>
      <c r="BD18" s="267"/>
      <c r="BE18" s="267"/>
      <c r="BF18" s="268"/>
      <c r="BG18" s="266"/>
      <c r="BH18" s="267"/>
      <c r="BI18" s="267"/>
      <c r="BJ18" s="268"/>
      <c r="BK18" s="266"/>
      <c r="BL18" s="267"/>
      <c r="BM18" s="267"/>
      <c r="BN18" s="268"/>
      <c r="BO18" s="8"/>
    </row>
    <row r="19" spans="1:67" ht="15" customHeight="1">
      <c r="A19" s="4"/>
      <c r="C19" s="298" t="s">
        <v>41</v>
      </c>
      <c r="D19" s="290"/>
      <c r="E19" s="290"/>
      <c r="F19" s="291"/>
      <c r="G19" s="269"/>
      <c r="H19" s="270"/>
      <c r="I19" s="270"/>
      <c r="J19" s="271"/>
      <c r="K19" s="260" t="s">
        <v>196</v>
      </c>
      <c r="L19" s="261"/>
      <c r="M19" s="261"/>
      <c r="N19" s="262"/>
      <c r="O19" s="260"/>
      <c r="P19" s="261"/>
      <c r="Q19" s="261"/>
      <c r="R19" s="262"/>
      <c r="S19" s="260" t="s">
        <v>207</v>
      </c>
      <c r="T19" s="261"/>
      <c r="U19" s="261"/>
      <c r="V19" s="262"/>
      <c r="W19" s="260" t="s">
        <v>207</v>
      </c>
      <c r="X19" s="261"/>
      <c r="Y19" s="261"/>
      <c r="Z19" s="262"/>
      <c r="AA19" s="260" t="s">
        <v>208</v>
      </c>
      <c r="AB19" s="261"/>
      <c r="AC19" s="261"/>
      <c r="AD19" s="261"/>
      <c r="AE19" s="261"/>
      <c r="AF19" s="262"/>
      <c r="AG19" s="260" t="s">
        <v>200</v>
      </c>
      <c r="AH19" s="261"/>
      <c r="AI19" s="261"/>
      <c r="AJ19" s="261"/>
      <c r="AK19" s="262"/>
      <c r="AL19" s="260" t="s">
        <v>209</v>
      </c>
      <c r="AM19" s="261"/>
      <c r="AN19" s="261"/>
      <c r="AO19" s="261"/>
      <c r="AP19" s="261"/>
      <c r="AQ19" s="262"/>
      <c r="AR19" s="260" t="s">
        <v>209</v>
      </c>
      <c r="AS19" s="261"/>
      <c r="AT19" s="261"/>
      <c r="AU19" s="261"/>
      <c r="AV19" s="261"/>
      <c r="AW19" s="262"/>
      <c r="AX19" s="260" t="s">
        <v>203</v>
      </c>
      <c r="AY19" s="261"/>
      <c r="AZ19" s="261"/>
      <c r="BA19" s="261"/>
      <c r="BB19" s="262"/>
      <c r="BC19" s="260" t="s">
        <v>210</v>
      </c>
      <c r="BD19" s="261"/>
      <c r="BE19" s="261"/>
      <c r="BF19" s="262"/>
      <c r="BG19" s="260" t="s">
        <v>211</v>
      </c>
      <c r="BH19" s="261"/>
      <c r="BI19" s="261"/>
      <c r="BJ19" s="262"/>
      <c r="BK19" s="260" t="s">
        <v>212</v>
      </c>
      <c r="BL19" s="261"/>
      <c r="BM19" s="261"/>
      <c r="BN19" s="262"/>
      <c r="BO19" s="8"/>
    </row>
    <row r="20" spans="1:67" ht="15" customHeight="1">
      <c r="A20" s="4"/>
      <c r="C20" s="292"/>
      <c r="D20" s="293"/>
      <c r="E20" s="293"/>
      <c r="F20" s="294"/>
      <c r="G20" s="272"/>
      <c r="H20" s="273"/>
      <c r="I20" s="273"/>
      <c r="J20" s="274"/>
      <c r="K20" s="263"/>
      <c r="L20" s="264"/>
      <c r="M20" s="264"/>
      <c r="N20" s="265"/>
      <c r="O20" s="263"/>
      <c r="P20" s="264"/>
      <c r="Q20" s="264"/>
      <c r="R20" s="265"/>
      <c r="S20" s="263"/>
      <c r="T20" s="264"/>
      <c r="U20" s="264"/>
      <c r="V20" s="265"/>
      <c r="W20" s="263"/>
      <c r="X20" s="264"/>
      <c r="Y20" s="264"/>
      <c r="Z20" s="265"/>
      <c r="AA20" s="263"/>
      <c r="AB20" s="264"/>
      <c r="AC20" s="264"/>
      <c r="AD20" s="264"/>
      <c r="AE20" s="264"/>
      <c r="AF20" s="265"/>
      <c r="AG20" s="263"/>
      <c r="AH20" s="264"/>
      <c r="AI20" s="264"/>
      <c r="AJ20" s="264"/>
      <c r="AK20" s="265"/>
      <c r="AL20" s="263"/>
      <c r="AM20" s="264"/>
      <c r="AN20" s="264"/>
      <c r="AO20" s="264"/>
      <c r="AP20" s="264"/>
      <c r="AQ20" s="265"/>
      <c r="AR20" s="263"/>
      <c r="AS20" s="264"/>
      <c r="AT20" s="264"/>
      <c r="AU20" s="264"/>
      <c r="AV20" s="264"/>
      <c r="AW20" s="265"/>
      <c r="AX20" s="263"/>
      <c r="AY20" s="264"/>
      <c r="AZ20" s="264"/>
      <c r="BA20" s="264"/>
      <c r="BB20" s="265"/>
      <c r="BC20" s="263"/>
      <c r="BD20" s="264"/>
      <c r="BE20" s="264"/>
      <c r="BF20" s="265"/>
      <c r="BG20" s="263"/>
      <c r="BH20" s="264"/>
      <c r="BI20" s="264"/>
      <c r="BJ20" s="265"/>
      <c r="BK20" s="263"/>
      <c r="BL20" s="264"/>
      <c r="BM20" s="264"/>
      <c r="BN20" s="265"/>
      <c r="BO20" s="8"/>
    </row>
    <row r="21" spans="1:67" ht="15" customHeight="1">
      <c r="A21" s="4"/>
      <c r="C21" s="292"/>
      <c r="D21" s="293"/>
      <c r="E21" s="293"/>
      <c r="F21" s="294"/>
      <c r="G21" s="272"/>
      <c r="H21" s="273"/>
      <c r="I21" s="273"/>
      <c r="J21" s="274"/>
      <c r="K21" s="263"/>
      <c r="L21" s="264"/>
      <c r="M21" s="264"/>
      <c r="N21" s="265"/>
      <c r="O21" s="263"/>
      <c r="P21" s="264"/>
      <c r="Q21" s="264"/>
      <c r="R21" s="265"/>
      <c r="S21" s="263"/>
      <c r="T21" s="264"/>
      <c r="U21" s="264"/>
      <c r="V21" s="265"/>
      <c r="W21" s="263"/>
      <c r="X21" s="264"/>
      <c r="Y21" s="264"/>
      <c r="Z21" s="265"/>
      <c r="AA21" s="263"/>
      <c r="AB21" s="264"/>
      <c r="AC21" s="264"/>
      <c r="AD21" s="264"/>
      <c r="AE21" s="264"/>
      <c r="AF21" s="265"/>
      <c r="AG21" s="263"/>
      <c r="AH21" s="264"/>
      <c r="AI21" s="264"/>
      <c r="AJ21" s="264"/>
      <c r="AK21" s="265"/>
      <c r="AL21" s="263"/>
      <c r="AM21" s="264"/>
      <c r="AN21" s="264"/>
      <c r="AO21" s="264"/>
      <c r="AP21" s="264"/>
      <c r="AQ21" s="265"/>
      <c r="AR21" s="263"/>
      <c r="AS21" s="264"/>
      <c r="AT21" s="264"/>
      <c r="AU21" s="264"/>
      <c r="AV21" s="264"/>
      <c r="AW21" s="265"/>
      <c r="AX21" s="263"/>
      <c r="AY21" s="264"/>
      <c r="AZ21" s="264"/>
      <c r="BA21" s="264"/>
      <c r="BB21" s="265"/>
      <c r="BC21" s="263"/>
      <c r="BD21" s="264"/>
      <c r="BE21" s="264"/>
      <c r="BF21" s="265"/>
      <c r="BG21" s="263"/>
      <c r="BH21" s="264"/>
      <c r="BI21" s="264"/>
      <c r="BJ21" s="265"/>
      <c r="BK21" s="263"/>
      <c r="BL21" s="264"/>
      <c r="BM21" s="264"/>
      <c r="BN21" s="265"/>
      <c r="BO21" s="8"/>
    </row>
    <row r="22" spans="1:67" ht="15" customHeight="1">
      <c r="A22" s="4"/>
      <c r="C22" s="292"/>
      <c r="D22" s="293"/>
      <c r="E22" s="293"/>
      <c r="F22" s="294"/>
      <c r="G22" s="272"/>
      <c r="H22" s="273"/>
      <c r="I22" s="273"/>
      <c r="J22" s="274"/>
      <c r="K22" s="263"/>
      <c r="L22" s="264"/>
      <c r="M22" s="264"/>
      <c r="N22" s="265"/>
      <c r="O22" s="263"/>
      <c r="P22" s="264"/>
      <c r="Q22" s="264"/>
      <c r="R22" s="265"/>
      <c r="S22" s="263"/>
      <c r="T22" s="264"/>
      <c r="U22" s="264"/>
      <c r="V22" s="265"/>
      <c r="W22" s="263"/>
      <c r="X22" s="264"/>
      <c r="Y22" s="264"/>
      <c r="Z22" s="265"/>
      <c r="AA22" s="263"/>
      <c r="AB22" s="264"/>
      <c r="AC22" s="264"/>
      <c r="AD22" s="264"/>
      <c r="AE22" s="264"/>
      <c r="AF22" s="265"/>
      <c r="AG22" s="263"/>
      <c r="AH22" s="264"/>
      <c r="AI22" s="264"/>
      <c r="AJ22" s="264"/>
      <c r="AK22" s="265"/>
      <c r="AL22" s="263"/>
      <c r="AM22" s="264"/>
      <c r="AN22" s="264"/>
      <c r="AO22" s="264"/>
      <c r="AP22" s="264"/>
      <c r="AQ22" s="265"/>
      <c r="AR22" s="263"/>
      <c r="AS22" s="264"/>
      <c r="AT22" s="264"/>
      <c r="AU22" s="264"/>
      <c r="AV22" s="264"/>
      <c r="AW22" s="265"/>
      <c r="AX22" s="263"/>
      <c r="AY22" s="264"/>
      <c r="AZ22" s="264"/>
      <c r="BA22" s="264"/>
      <c r="BB22" s="265"/>
      <c r="BC22" s="263"/>
      <c r="BD22" s="264"/>
      <c r="BE22" s="264"/>
      <c r="BF22" s="265"/>
      <c r="BG22" s="263"/>
      <c r="BH22" s="264"/>
      <c r="BI22" s="264"/>
      <c r="BJ22" s="265"/>
      <c r="BK22" s="263"/>
      <c r="BL22" s="264"/>
      <c r="BM22" s="264"/>
      <c r="BN22" s="265"/>
      <c r="BO22" s="8"/>
    </row>
    <row r="23" spans="1:67" ht="15" customHeight="1">
      <c r="A23" s="4"/>
      <c r="C23" s="295"/>
      <c r="D23" s="296"/>
      <c r="E23" s="296"/>
      <c r="F23" s="297"/>
      <c r="G23" s="275"/>
      <c r="H23" s="276"/>
      <c r="I23" s="276"/>
      <c r="J23" s="277"/>
      <c r="K23" s="266"/>
      <c r="L23" s="267"/>
      <c r="M23" s="267"/>
      <c r="N23" s="268"/>
      <c r="O23" s="266"/>
      <c r="P23" s="267"/>
      <c r="Q23" s="267"/>
      <c r="R23" s="268"/>
      <c r="S23" s="266"/>
      <c r="T23" s="267"/>
      <c r="U23" s="267"/>
      <c r="V23" s="268"/>
      <c r="W23" s="266"/>
      <c r="X23" s="267"/>
      <c r="Y23" s="267"/>
      <c r="Z23" s="268"/>
      <c r="AA23" s="266"/>
      <c r="AB23" s="267"/>
      <c r="AC23" s="267"/>
      <c r="AD23" s="267"/>
      <c r="AE23" s="267"/>
      <c r="AF23" s="268"/>
      <c r="AG23" s="266"/>
      <c r="AH23" s="267"/>
      <c r="AI23" s="267"/>
      <c r="AJ23" s="267"/>
      <c r="AK23" s="268"/>
      <c r="AL23" s="266"/>
      <c r="AM23" s="267"/>
      <c r="AN23" s="267"/>
      <c r="AO23" s="267"/>
      <c r="AP23" s="267"/>
      <c r="AQ23" s="268"/>
      <c r="AR23" s="266"/>
      <c r="AS23" s="267"/>
      <c r="AT23" s="267"/>
      <c r="AU23" s="267"/>
      <c r="AV23" s="267"/>
      <c r="AW23" s="268"/>
      <c r="AX23" s="266"/>
      <c r="AY23" s="267"/>
      <c r="AZ23" s="267"/>
      <c r="BA23" s="267"/>
      <c r="BB23" s="268"/>
      <c r="BC23" s="266"/>
      <c r="BD23" s="267"/>
      <c r="BE23" s="267"/>
      <c r="BF23" s="268"/>
      <c r="BG23" s="266"/>
      <c r="BH23" s="267"/>
      <c r="BI23" s="267"/>
      <c r="BJ23" s="268"/>
      <c r="BK23" s="266"/>
      <c r="BL23" s="267"/>
      <c r="BM23" s="267"/>
      <c r="BN23" s="268"/>
      <c r="BO23" s="8"/>
    </row>
    <row r="24" spans="1:67" ht="15" customHeight="1">
      <c r="A24" s="4"/>
      <c r="C24" s="278" t="s">
        <v>176</v>
      </c>
      <c r="D24" s="290"/>
      <c r="E24" s="290"/>
      <c r="F24" s="291"/>
      <c r="G24" s="158"/>
      <c r="H24" s="164"/>
      <c r="I24" s="164"/>
      <c r="J24" s="159"/>
      <c r="K24" s="158"/>
      <c r="L24" s="164"/>
      <c r="M24" s="164"/>
      <c r="N24" s="159"/>
      <c r="O24" s="260" t="s">
        <v>213</v>
      </c>
      <c r="P24" s="261"/>
      <c r="Q24" s="261"/>
      <c r="R24" s="262"/>
      <c r="S24" s="260"/>
      <c r="T24" s="261"/>
      <c r="U24" s="261"/>
      <c r="V24" s="262"/>
      <c r="W24" s="161"/>
      <c r="X24" s="163"/>
      <c r="Y24" s="163"/>
      <c r="Z24" s="162"/>
      <c r="AA24" s="161"/>
      <c r="AB24" s="163"/>
      <c r="AC24" s="163"/>
      <c r="AD24" s="163"/>
      <c r="AE24" s="163"/>
      <c r="AF24" s="162"/>
      <c r="AG24" s="161"/>
      <c r="AH24" s="163"/>
      <c r="AI24" s="163"/>
      <c r="AJ24" s="163"/>
      <c r="AK24" s="162"/>
      <c r="AL24" s="161"/>
      <c r="AM24" s="163"/>
      <c r="AN24" s="163"/>
      <c r="AO24" s="163"/>
      <c r="AP24" s="163"/>
      <c r="AQ24" s="162"/>
      <c r="AR24" s="161"/>
      <c r="AS24" s="163"/>
      <c r="AT24" s="163"/>
      <c r="AU24" s="163"/>
      <c r="AV24" s="163"/>
      <c r="AW24" s="162"/>
      <c r="AX24" s="161"/>
      <c r="AY24" s="163"/>
      <c r="AZ24" s="163"/>
      <c r="BA24" s="163"/>
      <c r="BB24" s="162"/>
      <c r="BC24" s="161"/>
      <c r="BD24" s="163"/>
      <c r="BE24" s="163"/>
      <c r="BF24" s="162"/>
      <c r="BG24" s="161"/>
      <c r="BH24" s="163"/>
      <c r="BI24" s="163"/>
      <c r="BJ24" s="162"/>
      <c r="BK24" s="161"/>
      <c r="BL24" s="163"/>
      <c r="BM24" s="163"/>
      <c r="BN24" s="162"/>
      <c r="BO24" s="8"/>
    </row>
    <row r="25" spans="1:67" ht="15" customHeight="1">
      <c r="A25" s="4"/>
      <c r="C25" s="292"/>
      <c r="D25" s="293"/>
      <c r="E25" s="293"/>
      <c r="F25" s="294"/>
      <c r="G25" s="158"/>
      <c r="H25" s="164"/>
      <c r="I25" s="164"/>
      <c r="J25" s="159"/>
      <c r="K25" s="158"/>
      <c r="L25" s="164"/>
      <c r="M25" s="164"/>
      <c r="N25" s="159"/>
      <c r="O25" s="263"/>
      <c r="P25" s="264"/>
      <c r="Q25" s="264"/>
      <c r="R25" s="265"/>
      <c r="S25" s="263"/>
      <c r="T25" s="264"/>
      <c r="U25" s="264"/>
      <c r="V25" s="265"/>
      <c r="W25" s="161"/>
      <c r="X25" s="163"/>
      <c r="Y25" s="163"/>
      <c r="Z25" s="162"/>
      <c r="AA25" s="161"/>
      <c r="AB25" s="163"/>
      <c r="AC25" s="163"/>
      <c r="AD25" s="163"/>
      <c r="AE25" s="163"/>
      <c r="AF25" s="162"/>
      <c r="AG25" s="161"/>
      <c r="AH25" s="163"/>
      <c r="AI25" s="163"/>
      <c r="AJ25" s="163"/>
      <c r="AK25" s="162"/>
      <c r="AL25" s="161"/>
      <c r="AM25" s="163"/>
      <c r="AN25" s="163"/>
      <c r="AO25" s="163"/>
      <c r="AP25" s="163"/>
      <c r="AQ25" s="162"/>
      <c r="AR25" s="161"/>
      <c r="AS25" s="163"/>
      <c r="AT25" s="163"/>
      <c r="AU25" s="163"/>
      <c r="AV25" s="163"/>
      <c r="AW25" s="162"/>
      <c r="AX25" s="161"/>
      <c r="AY25" s="163"/>
      <c r="AZ25" s="163"/>
      <c r="BA25" s="163"/>
      <c r="BB25" s="162"/>
      <c r="BC25" s="161"/>
      <c r="BD25" s="163"/>
      <c r="BE25" s="163"/>
      <c r="BF25" s="162"/>
      <c r="BG25" s="161"/>
      <c r="BH25" s="163"/>
      <c r="BI25" s="163"/>
      <c r="BJ25" s="162"/>
      <c r="BK25" s="161"/>
      <c r="BL25" s="163"/>
      <c r="BM25" s="163"/>
      <c r="BN25" s="162"/>
      <c r="BO25" s="8"/>
    </row>
    <row r="26" spans="1:67" ht="15" customHeight="1">
      <c r="A26" s="4"/>
      <c r="C26" s="292"/>
      <c r="D26" s="293"/>
      <c r="E26" s="293"/>
      <c r="F26" s="294"/>
      <c r="G26" s="158"/>
      <c r="H26" s="164"/>
      <c r="I26" s="164"/>
      <c r="J26" s="159"/>
      <c r="K26" s="158"/>
      <c r="L26" s="164"/>
      <c r="M26" s="164"/>
      <c r="N26" s="159"/>
      <c r="O26" s="263"/>
      <c r="P26" s="264"/>
      <c r="Q26" s="264"/>
      <c r="R26" s="265"/>
      <c r="S26" s="263"/>
      <c r="T26" s="264"/>
      <c r="U26" s="264"/>
      <c r="V26" s="265"/>
      <c r="W26" s="161"/>
      <c r="X26" s="163"/>
      <c r="Y26" s="163"/>
      <c r="Z26" s="162"/>
      <c r="AA26" s="161"/>
      <c r="AB26" s="163"/>
      <c r="AC26" s="163"/>
      <c r="AD26" s="163"/>
      <c r="AE26" s="163"/>
      <c r="AF26" s="162"/>
      <c r="AG26" s="161"/>
      <c r="AH26" s="163"/>
      <c r="AI26" s="163"/>
      <c r="AJ26" s="163"/>
      <c r="AK26" s="162"/>
      <c r="AL26" s="161"/>
      <c r="AM26" s="163"/>
      <c r="AN26" s="163"/>
      <c r="AO26" s="163"/>
      <c r="AP26" s="163"/>
      <c r="AQ26" s="162"/>
      <c r="AR26" s="161"/>
      <c r="AS26" s="163"/>
      <c r="AT26" s="163"/>
      <c r="AU26" s="163"/>
      <c r="AV26" s="163"/>
      <c r="AW26" s="162"/>
      <c r="AX26" s="161"/>
      <c r="AY26" s="163"/>
      <c r="AZ26" s="163"/>
      <c r="BA26" s="163"/>
      <c r="BB26" s="162"/>
      <c r="BC26" s="161"/>
      <c r="BD26" s="163"/>
      <c r="BE26" s="163"/>
      <c r="BF26" s="162"/>
      <c r="BG26" s="161"/>
      <c r="BH26" s="163"/>
      <c r="BI26" s="163"/>
      <c r="BJ26" s="162"/>
      <c r="BK26" s="161"/>
      <c r="BL26" s="163"/>
      <c r="BM26" s="163"/>
      <c r="BN26" s="162"/>
      <c r="BO26" s="8"/>
    </row>
    <row r="27" spans="1:67" ht="15" customHeight="1">
      <c r="A27" s="4"/>
      <c r="C27" s="292"/>
      <c r="D27" s="293"/>
      <c r="E27" s="293"/>
      <c r="F27" s="294"/>
      <c r="G27" s="158"/>
      <c r="H27" s="164"/>
      <c r="I27" s="164"/>
      <c r="J27" s="159"/>
      <c r="K27" s="158"/>
      <c r="L27" s="164"/>
      <c r="M27" s="164"/>
      <c r="N27" s="159"/>
      <c r="O27" s="263"/>
      <c r="P27" s="264"/>
      <c r="Q27" s="264"/>
      <c r="R27" s="265"/>
      <c r="S27" s="263"/>
      <c r="T27" s="264"/>
      <c r="U27" s="264"/>
      <c r="V27" s="265"/>
      <c r="W27" s="161"/>
      <c r="X27" s="163"/>
      <c r="Y27" s="163"/>
      <c r="Z27" s="162"/>
      <c r="AA27" s="161"/>
      <c r="AB27" s="163"/>
      <c r="AC27" s="163"/>
      <c r="AD27" s="163"/>
      <c r="AE27" s="163"/>
      <c r="AF27" s="162"/>
      <c r="AG27" s="161"/>
      <c r="AH27" s="163"/>
      <c r="AI27" s="163"/>
      <c r="AJ27" s="163"/>
      <c r="AK27" s="162"/>
      <c r="AL27" s="161"/>
      <c r="AM27" s="163"/>
      <c r="AN27" s="163"/>
      <c r="AO27" s="163"/>
      <c r="AP27" s="163"/>
      <c r="AQ27" s="162"/>
      <c r="AR27" s="161"/>
      <c r="AS27" s="163"/>
      <c r="AT27" s="163"/>
      <c r="AU27" s="163"/>
      <c r="AV27" s="163"/>
      <c r="AW27" s="162"/>
      <c r="AX27" s="161"/>
      <c r="AY27" s="163"/>
      <c r="AZ27" s="163"/>
      <c r="BA27" s="163"/>
      <c r="BB27" s="162"/>
      <c r="BC27" s="161"/>
      <c r="BD27" s="163"/>
      <c r="BE27" s="163"/>
      <c r="BF27" s="162"/>
      <c r="BG27" s="161"/>
      <c r="BH27" s="163"/>
      <c r="BI27" s="163"/>
      <c r="BJ27" s="162"/>
      <c r="BK27" s="161"/>
      <c r="BL27" s="163"/>
      <c r="BM27" s="163"/>
      <c r="BN27" s="162"/>
      <c r="BO27" s="8"/>
    </row>
    <row r="28" spans="1:67" ht="15" customHeight="1">
      <c r="A28" s="4"/>
      <c r="C28" s="295"/>
      <c r="D28" s="296"/>
      <c r="E28" s="296"/>
      <c r="F28" s="297"/>
      <c r="G28" s="158"/>
      <c r="H28" s="164"/>
      <c r="I28" s="164"/>
      <c r="J28" s="159"/>
      <c r="K28" s="158"/>
      <c r="L28" s="164"/>
      <c r="M28" s="164"/>
      <c r="N28" s="159"/>
      <c r="O28" s="266"/>
      <c r="P28" s="267"/>
      <c r="Q28" s="267"/>
      <c r="R28" s="268"/>
      <c r="S28" s="266"/>
      <c r="T28" s="267"/>
      <c r="U28" s="267"/>
      <c r="V28" s="268"/>
      <c r="W28" s="161"/>
      <c r="X28" s="163"/>
      <c r="Y28" s="163"/>
      <c r="Z28" s="162"/>
      <c r="AA28" s="161"/>
      <c r="AB28" s="163"/>
      <c r="AC28" s="163"/>
      <c r="AD28" s="163"/>
      <c r="AE28" s="163"/>
      <c r="AF28" s="162"/>
      <c r="AG28" s="161"/>
      <c r="AH28" s="163"/>
      <c r="AI28" s="163"/>
      <c r="AJ28" s="163"/>
      <c r="AK28" s="162"/>
      <c r="AL28" s="161"/>
      <c r="AM28" s="163"/>
      <c r="AN28" s="163"/>
      <c r="AO28" s="163"/>
      <c r="AP28" s="163"/>
      <c r="AQ28" s="162"/>
      <c r="AR28" s="161"/>
      <c r="AS28" s="163"/>
      <c r="AT28" s="163"/>
      <c r="AU28" s="163"/>
      <c r="AV28" s="163"/>
      <c r="AW28" s="162"/>
      <c r="AX28" s="161"/>
      <c r="AY28" s="163"/>
      <c r="AZ28" s="163"/>
      <c r="BA28" s="163"/>
      <c r="BB28" s="162"/>
      <c r="BC28" s="161"/>
      <c r="BD28" s="163"/>
      <c r="BE28" s="163"/>
      <c r="BF28" s="162"/>
      <c r="BG28" s="161"/>
      <c r="BH28" s="163"/>
      <c r="BI28" s="163"/>
      <c r="BJ28" s="162"/>
      <c r="BK28" s="161"/>
      <c r="BL28" s="163"/>
      <c r="BM28" s="163"/>
      <c r="BN28" s="162"/>
      <c r="BO28" s="8"/>
    </row>
    <row r="29" spans="1:67" ht="15" customHeight="1">
      <c r="A29" s="4"/>
      <c r="C29" s="278" t="s">
        <v>177</v>
      </c>
      <c r="D29" s="290"/>
      <c r="E29" s="290"/>
      <c r="F29" s="291"/>
      <c r="G29" s="269"/>
      <c r="H29" s="270"/>
      <c r="I29" s="270"/>
      <c r="J29" s="271"/>
      <c r="K29" s="269"/>
      <c r="L29" s="270"/>
      <c r="M29" s="270"/>
      <c r="N29" s="271"/>
      <c r="O29" s="157"/>
      <c r="P29" s="157"/>
      <c r="Q29" s="157"/>
      <c r="R29" s="157"/>
      <c r="S29" s="260" t="s">
        <v>198</v>
      </c>
      <c r="T29" s="261"/>
      <c r="U29" s="261"/>
      <c r="V29" s="262"/>
      <c r="W29" s="260" t="s">
        <v>198</v>
      </c>
      <c r="X29" s="261"/>
      <c r="Y29" s="261"/>
      <c r="Z29" s="262"/>
      <c r="AA29" s="260" t="s">
        <v>214</v>
      </c>
      <c r="AB29" s="261"/>
      <c r="AC29" s="261"/>
      <c r="AD29" s="261"/>
      <c r="AE29" s="261"/>
      <c r="AF29" s="262"/>
      <c r="AG29" s="260" t="s">
        <v>200</v>
      </c>
      <c r="AH29" s="261"/>
      <c r="AI29" s="261"/>
      <c r="AJ29" s="261"/>
      <c r="AK29" s="262"/>
      <c r="AL29" s="260" t="s">
        <v>215</v>
      </c>
      <c r="AM29" s="261"/>
      <c r="AN29" s="261"/>
      <c r="AO29" s="261"/>
      <c r="AP29" s="261"/>
      <c r="AQ29" s="262"/>
      <c r="AR29" s="260" t="s">
        <v>216</v>
      </c>
      <c r="AS29" s="261"/>
      <c r="AT29" s="261"/>
      <c r="AU29" s="261"/>
      <c r="AV29" s="261"/>
      <c r="AW29" s="262"/>
      <c r="AX29" s="260" t="s">
        <v>203</v>
      </c>
      <c r="AY29" s="261"/>
      <c r="AZ29" s="261"/>
      <c r="BA29" s="261"/>
      <c r="BB29" s="262"/>
      <c r="BC29" s="260" t="s">
        <v>217</v>
      </c>
      <c r="BD29" s="261"/>
      <c r="BE29" s="261"/>
      <c r="BF29" s="262"/>
      <c r="BG29" s="260" t="s">
        <v>218</v>
      </c>
      <c r="BH29" s="261"/>
      <c r="BI29" s="261"/>
      <c r="BJ29" s="262"/>
      <c r="BK29" s="260" t="s">
        <v>219</v>
      </c>
      <c r="BL29" s="261"/>
      <c r="BM29" s="261"/>
      <c r="BN29" s="262"/>
      <c r="BO29" s="8"/>
    </row>
    <row r="30" spans="1:67" ht="15" customHeight="1">
      <c r="A30" s="4"/>
      <c r="C30" s="292"/>
      <c r="D30" s="293"/>
      <c r="E30" s="293"/>
      <c r="F30" s="294"/>
      <c r="G30" s="272"/>
      <c r="H30" s="273"/>
      <c r="I30" s="273"/>
      <c r="J30" s="274"/>
      <c r="K30" s="272"/>
      <c r="L30" s="273"/>
      <c r="M30" s="273"/>
      <c r="N30" s="274"/>
      <c r="O30" s="164"/>
      <c r="P30" s="164"/>
      <c r="Q30" s="164"/>
      <c r="R30" s="164"/>
      <c r="S30" s="263"/>
      <c r="T30" s="264"/>
      <c r="U30" s="264"/>
      <c r="V30" s="265"/>
      <c r="W30" s="263"/>
      <c r="X30" s="264"/>
      <c r="Y30" s="264"/>
      <c r="Z30" s="265"/>
      <c r="AA30" s="263"/>
      <c r="AB30" s="264"/>
      <c r="AC30" s="264"/>
      <c r="AD30" s="264"/>
      <c r="AE30" s="264"/>
      <c r="AF30" s="265"/>
      <c r="AG30" s="263"/>
      <c r="AH30" s="264"/>
      <c r="AI30" s="264"/>
      <c r="AJ30" s="264"/>
      <c r="AK30" s="265"/>
      <c r="AL30" s="263"/>
      <c r="AM30" s="264"/>
      <c r="AN30" s="264"/>
      <c r="AO30" s="264"/>
      <c r="AP30" s="264"/>
      <c r="AQ30" s="265"/>
      <c r="AR30" s="263"/>
      <c r="AS30" s="264"/>
      <c r="AT30" s="264"/>
      <c r="AU30" s="264"/>
      <c r="AV30" s="264"/>
      <c r="AW30" s="265"/>
      <c r="AX30" s="263"/>
      <c r="AY30" s="264"/>
      <c r="AZ30" s="264"/>
      <c r="BA30" s="264"/>
      <c r="BB30" s="265"/>
      <c r="BC30" s="263"/>
      <c r="BD30" s="264"/>
      <c r="BE30" s="264"/>
      <c r="BF30" s="265"/>
      <c r="BG30" s="263"/>
      <c r="BH30" s="264"/>
      <c r="BI30" s="264"/>
      <c r="BJ30" s="265"/>
      <c r="BK30" s="263"/>
      <c r="BL30" s="264"/>
      <c r="BM30" s="264"/>
      <c r="BN30" s="265"/>
      <c r="BO30" s="8"/>
    </row>
    <row r="31" spans="1:67" ht="15" customHeight="1">
      <c r="A31" s="4"/>
      <c r="C31" s="292"/>
      <c r="D31" s="293"/>
      <c r="E31" s="293"/>
      <c r="F31" s="294"/>
      <c r="G31" s="272"/>
      <c r="H31" s="273"/>
      <c r="I31" s="273"/>
      <c r="J31" s="274"/>
      <c r="K31" s="272"/>
      <c r="L31" s="273"/>
      <c r="M31" s="273"/>
      <c r="N31" s="274"/>
      <c r="O31" s="164"/>
      <c r="P31" s="164"/>
      <c r="Q31" s="164"/>
      <c r="R31" s="164"/>
      <c r="S31" s="263"/>
      <c r="T31" s="264"/>
      <c r="U31" s="264"/>
      <c r="V31" s="265"/>
      <c r="W31" s="263"/>
      <c r="X31" s="264"/>
      <c r="Y31" s="264"/>
      <c r="Z31" s="265"/>
      <c r="AA31" s="263"/>
      <c r="AB31" s="264"/>
      <c r="AC31" s="264"/>
      <c r="AD31" s="264"/>
      <c r="AE31" s="264"/>
      <c r="AF31" s="265"/>
      <c r="AG31" s="263"/>
      <c r="AH31" s="264"/>
      <c r="AI31" s="264"/>
      <c r="AJ31" s="264"/>
      <c r="AK31" s="265"/>
      <c r="AL31" s="263"/>
      <c r="AM31" s="264"/>
      <c r="AN31" s="264"/>
      <c r="AO31" s="264"/>
      <c r="AP31" s="264"/>
      <c r="AQ31" s="265"/>
      <c r="AR31" s="263"/>
      <c r="AS31" s="264"/>
      <c r="AT31" s="264"/>
      <c r="AU31" s="264"/>
      <c r="AV31" s="264"/>
      <c r="AW31" s="265"/>
      <c r="AX31" s="263"/>
      <c r="AY31" s="264"/>
      <c r="AZ31" s="264"/>
      <c r="BA31" s="264"/>
      <c r="BB31" s="265"/>
      <c r="BC31" s="263"/>
      <c r="BD31" s="264"/>
      <c r="BE31" s="264"/>
      <c r="BF31" s="265"/>
      <c r="BG31" s="263"/>
      <c r="BH31" s="264"/>
      <c r="BI31" s="264"/>
      <c r="BJ31" s="265"/>
      <c r="BK31" s="263"/>
      <c r="BL31" s="264"/>
      <c r="BM31" s="264"/>
      <c r="BN31" s="265"/>
      <c r="BO31" s="8"/>
    </row>
    <row r="32" spans="1:67" ht="15" customHeight="1">
      <c r="A32" s="4"/>
      <c r="C32" s="292"/>
      <c r="D32" s="293"/>
      <c r="E32" s="293"/>
      <c r="F32" s="294"/>
      <c r="G32" s="272"/>
      <c r="H32" s="273"/>
      <c r="I32" s="273"/>
      <c r="J32" s="274"/>
      <c r="K32" s="272"/>
      <c r="L32" s="273"/>
      <c r="M32" s="273"/>
      <c r="N32" s="274"/>
      <c r="O32" s="164"/>
      <c r="P32" s="164"/>
      <c r="Q32" s="164"/>
      <c r="R32" s="164"/>
      <c r="S32" s="263"/>
      <c r="T32" s="264"/>
      <c r="U32" s="264"/>
      <c r="V32" s="265"/>
      <c r="W32" s="263"/>
      <c r="X32" s="264"/>
      <c r="Y32" s="264"/>
      <c r="Z32" s="265"/>
      <c r="AA32" s="263"/>
      <c r="AB32" s="264"/>
      <c r="AC32" s="264"/>
      <c r="AD32" s="264"/>
      <c r="AE32" s="264"/>
      <c r="AF32" s="265"/>
      <c r="AG32" s="263"/>
      <c r="AH32" s="264"/>
      <c r="AI32" s="264"/>
      <c r="AJ32" s="264"/>
      <c r="AK32" s="265"/>
      <c r="AL32" s="263"/>
      <c r="AM32" s="264"/>
      <c r="AN32" s="264"/>
      <c r="AO32" s="264"/>
      <c r="AP32" s="264"/>
      <c r="AQ32" s="265"/>
      <c r="AR32" s="263"/>
      <c r="AS32" s="264"/>
      <c r="AT32" s="264"/>
      <c r="AU32" s="264"/>
      <c r="AV32" s="264"/>
      <c r="AW32" s="265"/>
      <c r="AX32" s="263"/>
      <c r="AY32" s="264"/>
      <c r="AZ32" s="264"/>
      <c r="BA32" s="264"/>
      <c r="BB32" s="265"/>
      <c r="BC32" s="263"/>
      <c r="BD32" s="264"/>
      <c r="BE32" s="264"/>
      <c r="BF32" s="265"/>
      <c r="BG32" s="263"/>
      <c r="BH32" s="264"/>
      <c r="BI32" s="264"/>
      <c r="BJ32" s="265"/>
      <c r="BK32" s="263"/>
      <c r="BL32" s="264"/>
      <c r="BM32" s="264"/>
      <c r="BN32" s="265"/>
      <c r="BO32" s="8"/>
    </row>
    <row r="33" spans="1:67" ht="15" customHeight="1">
      <c r="A33" s="4"/>
      <c r="C33" s="295"/>
      <c r="D33" s="296"/>
      <c r="E33" s="296"/>
      <c r="F33" s="297"/>
      <c r="G33" s="275"/>
      <c r="H33" s="276"/>
      <c r="I33" s="276"/>
      <c r="J33" s="277"/>
      <c r="K33" s="275"/>
      <c r="L33" s="276"/>
      <c r="M33" s="276"/>
      <c r="N33" s="277"/>
      <c r="O33" s="160"/>
      <c r="P33" s="160"/>
      <c r="Q33" s="160"/>
      <c r="R33" s="160"/>
      <c r="S33" s="266"/>
      <c r="T33" s="267"/>
      <c r="U33" s="267"/>
      <c r="V33" s="268"/>
      <c r="W33" s="266"/>
      <c r="X33" s="267"/>
      <c r="Y33" s="267"/>
      <c r="Z33" s="268"/>
      <c r="AA33" s="266"/>
      <c r="AB33" s="267"/>
      <c r="AC33" s="267"/>
      <c r="AD33" s="267"/>
      <c r="AE33" s="267"/>
      <c r="AF33" s="268"/>
      <c r="AG33" s="266"/>
      <c r="AH33" s="267"/>
      <c r="AI33" s="267"/>
      <c r="AJ33" s="267"/>
      <c r="AK33" s="268"/>
      <c r="AL33" s="266"/>
      <c r="AM33" s="267"/>
      <c r="AN33" s="267"/>
      <c r="AO33" s="267"/>
      <c r="AP33" s="267"/>
      <c r="AQ33" s="268"/>
      <c r="AR33" s="266"/>
      <c r="AS33" s="267"/>
      <c r="AT33" s="267"/>
      <c r="AU33" s="267"/>
      <c r="AV33" s="267"/>
      <c r="AW33" s="268"/>
      <c r="AX33" s="266"/>
      <c r="AY33" s="267"/>
      <c r="AZ33" s="267"/>
      <c r="BA33" s="267"/>
      <c r="BB33" s="268"/>
      <c r="BC33" s="266"/>
      <c r="BD33" s="267"/>
      <c r="BE33" s="267"/>
      <c r="BF33" s="268"/>
      <c r="BG33" s="266"/>
      <c r="BH33" s="267"/>
      <c r="BI33" s="267"/>
      <c r="BJ33" s="268"/>
      <c r="BK33" s="266"/>
      <c r="BL33" s="267"/>
      <c r="BM33" s="267"/>
      <c r="BN33" s="268"/>
      <c r="BO33" s="8"/>
    </row>
    <row r="34" spans="1:67" ht="15" customHeight="1">
      <c r="A34" s="4"/>
      <c r="C34" s="278" t="s">
        <v>178</v>
      </c>
      <c r="D34" s="290"/>
      <c r="E34" s="290"/>
      <c r="F34" s="291"/>
      <c r="G34" s="269"/>
      <c r="H34" s="270"/>
      <c r="I34" s="270"/>
      <c r="J34" s="271"/>
      <c r="K34" s="269"/>
      <c r="L34" s="270"/>
      <c r="M34" s="270"/>
      <c r="N34" s="271"/>
      <c r="O34" s="157"/>
      <c r="P34" s="157"/>
      <c r="Q34" s="157"/>
      <c r="R34" s="157"/>
      <c r="S34" s="269"/>
      <c r="T34" s="270"/>
      <c r="U34" s="270"/>
      <c r="V34" s="271"/>
      <c r="W34" s="260" t="s">
        <v>198</v>
      </c>
      <c r="X34" s="261"/>
      <c r="Y34" s="261"/>
      <c r="Z34" s="262"/>
      <c r="AA34" s="260" t="s">
        <v>214</v>
      </c>
      <c r="AB34" s="261"/>
      <c r="AC34" s="261"/>
      <c r="AD34" s="261"/>
      <c r="AE34" s="261"/>
      <c r="AF34" s="262"/>
      <c r="AG34" s="260" t="s">
        <v>200</v>
      </c>
      <c r="AH34" s="261"/>
      <c r="AI34" s="261"/>
      <c r="AJ34" s="261"/>
      <c r="AK34" s="262"/>
      <c r="AL34" s="260" t="s">
        <v>215</v>
      </c>
      <c r="AM34" s="261"/>
      <c r="AN34" s="261"/>
      <c r="AO34" s="261"/>
      <c r="AP34" s="261"/>
      <c r="AQ34" s="262"/>
      <c r="AR34" s="260" t="s">
        <v>216</v>
      </c>
      <c r="AS34" s="261"/>
      <c r="AT34" s="261"/>
      <c r="AU34" s="261"/>
      <c r="AV34" s="261"/>
      <c r="AW34" s="262"/>
      <c r="AX34" s="260" t="s">
        <v>203</v>
      </c>
      <c r="AY34" s="261"/>
      <c r="AZ34" s="261"/>
      <c r="BA34" s="261"/>
      <c r="BB34" s="262"/>
      <c r="BC34" s="260" t="s">
        <v>217</v>
      </c>
      <c r="BD34" s="261"/>
      <c r="BE34" s="261"/>
      <c r="BF34" s="262"/>
      <c r="BG34" s="260" t="s">
        <v>218</v>
      </c>
      <c r="BH34" s="261"/>
      <c r="BI34" s="261"/>
      <c r="BJ34" s="262"/>
      <c r="BK34" s="260" t="s">
        <v>219</v>
      </c>
      <c r="BL34" s="261"/>
      <c r="BM34" s="261"/>
      <c r="BN34" s="262"/>
      <c r="BO34" s="8"/>
    </row>
    <row r="35" spans="1:67" ht="15" customHeight="1">
      <c r="A35" s="4"/>
      <c r="C35" s="292"/>
      <c r="D35" s="293"/>
      <c r="E35" s="293"/>
      <c r="F35" s="294"/>
      <c r="G35" s="272"/>
      <c r="H35" s="273"/>
      <c r="I35" s="273"/>
      <c r="J35" s="274"/>
      <c r="K35" s="272"/>
      <c r="L35" s="273"/>
      <c r="M35" s="273"/>
      <c r="N35" s="274"/>
      <c r="O35" s="164"/>
      <c r="P35" s="164"/>
      <c r="Q35" s="164"/>
      <c r="R35" s="164"/>
      <c r="S35" s="272"/>
      <c r="T35" s="273"/>
      <c r="U35" s="273"/>
      <c r="V35" s="274"/>
      <c r="W35" s="263"/>
      <c r="X35" s="264"/>
      <c r="Y35" s="264"/>
      <c r="Z35" s="265"/>
      <c r="AA35" s="263"/>
      <c r="AB35" s="264"/>
      <c r="AC35" s="264"/>
      <c r="AD35" s="264"/>
      <c r="AE35" s="264"/>
      <c r="AF35" s="265"/>
      <c r="AG35" s="263"/>
      <c r="AH35" s="264"/>
      <c r="AI35" s="264"/>
      <c r="AJ35" s="264"/>
      <c r="AK35" s="265"/>
      <c r="AL35" s="263"/>
      <c r="AM35" s="264"/>
      <c r="AN35" s="264"/>
      <c r="AO35" s="264"/>
      <c r="AP35" s="264"/>
      <c r="AQ35" s="265"/>
      <c r="AR35" s="263"/>
      <c r="AS35" s="264"/>
      <c r="AT35" s="264"/>
      <c r="AU35" s="264"/>
      <c r="AV35" s="264"/>
      <c r="AW35" s="265"/>
      <c r="AX35" s="263"/>
      <c r="AY35" s="264"/>
      <c r="AZ35" s="264"/>
      <c r="BA35" s="264"/>
      <c r="BB35" s="265"/>
      <c r="BC35" s="263"/>
      <c r="BD35" s="264"/>
      <c r="BE35" s="264"/>
      <c r="BF35" s="265"/>
      <c r="BG35" s="263"/>
      <c r="BH35" s="264"/>
      <c r="BI35" s="264"/>
      <c r="BJ35" s="265"/>
      <c r="BK35" s="263"/>
      <c r="BL35" s="264"/>
      <c r="BM35" s="264"/>
      <c r="BN35" s="265"/>
      <c r="BO35" s="8"/>
    </row>
    <row r="36" spans="1:67" ht="15" customHeight="1">
      <c r="A36" s="4"/>
      <c r="C36" s="292"/>
      <c r="D36" s="293"/>
      <c r="E36" s="293"/>
      <c r="F36" s="294"/>
      <c r="G36" s="272"/>
      <c r="H36" s="273"/>
      <c r="I36" s="273"/>
      <c r="J36" s="274"/>
      <c r="K36" s="272"/>
      <c r="L36" s="273"/>
      <c r="M36" s="273"/>
      <c r="N36" s="274"/>
      <c r="O36" s="164"/>
      <c r="P36" s="164"/>
      <c r="Q36" s="164"/>
      <c r="R36" s="164"/>
      <c r="S36" s="272"/>
      <c r="T36" s="273"/>
      <c r="U36" s="273"/>
      <c r="V36" s="274"/>
      <c r="W36" s="263"/>
      <c r="X36" s="264"/>
      <c r="Y36" s="264"/>
      <c r="Z36" s="265"/>
      <c r="AA36" s="263"/>
      <c r="AB36" s="264"/>
      <c r="AC36" s="264"/>
      <c r="AD36" s="264"/>
      <c r="AE36" s="264"/>
      <c r="AF36" s="265"/>
      <c r="AG36" s="263"/>
      <c r="AH36" s="264"/>
      <c r="AI36" s="264"/>
      <c r="AJ36" s="264"/>
      <c r="AK36" s="265"/>
      <c r="AL36" s="263"/>
      <c r="AM36" s="264"/>
      <c r="AN36" s="264"/>
      <c r="AO36" s="264"/>
      <c r="AP36" s="264"/>
      <c r="AQ36" s="265"/>
      <c r="AR36" s="263"/>
      <c r="AS36" s="264"/>
      <c r="AT36" s="264"/>
      <c r="AU36" s="264"/>
      <c r="AV36" s="264"/>
      <c r="AW36" s="265"/>
      <c r="AX36" s="263"/>
      <c r="AY36" s="264"/>
      <c r="AZ36" s="264"/>
      <c r="BA36" s="264"/>
      <c r="BB36" s="265"/>
      <c r="BC36" s="263"/>
      <c r="BD36" s="264"/>
      <c r="BE36" s="264"/>
      <c r="BF36" s="265"/>
      <c r="BG36" s="263"/>
      <c r="BH36" s="264"/>
      <c r="BI36" s="264"/>
      <c r="BJ36" s="265"/>
      <c r="BK36" s="263"/>
      <c r="BL36" s="264"/>
      <c r="BM36" s="264"/>
      <c r="BN36" s="265"/>
      <c r="BO36" s="8"/>
    </row>
    <row r="37" spans="1:67" ht="15" customHeight="1">
      <c r="A37" s="4"/>
      <c r="C37" s="292"/>
      <c r="D37" s="293"/>
      <c r="E37" s="293"/>
      <c r="F37" s="294"/>
      <c r="G37" s="272"/>
      <c r="H37" s="273"/>
      <c r="I37" s="273"/>
      <c r="J37" s="274"/>
      <c r="K37" s="272"/>
      <c r="L37" s="273"/>
      <c r="M37" s="273"/>
      <c r="N37" s="274"/>
      <c r="O37" s="164"/>
      <c r="P37" s="164"/>
      <c r="Q37" s="164"/>
      <c r="R37" s="164"/>
      <c r="S37" s="272"/>
      <c r="T37" s="273"/>
      <c r="U37" s="273"/>
      <c r="V37" s="274"/>
      <c r="W37" s="263"/>
      <c r="X37" s="264"/>
      <c r="Y37" s="264"/>
      <c r="Z37" s="265"/>
      <c r="AA37" s="263"/>
      <c r="AB37" s="264"/>
      <c r="AC37" s="264"/>
      <c r="AD37" s="264"/>
      <c r="AE37" s="264"/>
      <c r="AF37" s="265"/>
      <c r="AG37" s="263"/>
      <c r="AH37" s="264"/>
      <c r="AI37" s="264"/>
      <c r="AJ37" s="264"/>
      <c r="AK37" s="265"/>
      <c r="AL37" s="263"/>
      <c r="AM37" s="264"/>
      <c r="AN37" s="264"/>
      <c r="AO37" s="264"/>
      <c r="AP37" s="264"/>
      <c r="AQ37" s="265"/>
      <c r="AR37" s="263"/>
      <c r="AS37" s="264"/>
      <c r="AT37" s="264"/>
      <c r="AU37" s="264"/>
      <c r="AV37" s="264"/>
      <c r="AW37" s="265"/>
      <c r="AX37" s="263"/>
      <c r="AY37" s="264"/>
      <c r="AZ37" s="264"/>
      <c r="BA37" s="264"/>
      <c r="BB37" s="265"/>
      <c r="BC37" s="263"/>
      <c r="BD37" s="264"/>
      <c r="BE37" s="264"/>
      <c r="BF37" s="265"/>
      <c r="BG37" s="263"/>
      <c r="BH37" s="264"/>
      <c r="BI37" s="264"/>
      <c r="BJ37" s="265"/>
      <c r="BK37" s="263"/>
      <c r="BL37" s="264"/>
      <c r="BM37" s="264"/>
      <c r="BN37" s="265"/>
      <c r="BO37" s="8"/>
    </row>
    <row r="38" spans="1:67" ht="15" customHeight="1">
      <c r="A38" s="4"/>
      <c r="C38" s="295"/>
      <c r="D38" s="296"/>
      <c r="E38" s="296"/>
      <c r="F38" s="297"/>
      <c r="G38" s="275"/>
      <c r="H38" s="276"/>
      <c r="I38" s="276"/>
      <c r="J38" s="277"/>
      <c r="K38" s="275"/>
      <c r="L38" s="276"/>
      <c r="M38" s="276"/>
      <c r="N38" s="277"/>
      <c r="O38" s="160"/>
      <c r="P38" s="160"/>
      <c r="Q38" s="160"/>
      <c r="R38" s="160"/>
      <c r="S38" s="275"/>
      <c r="T38" s="276"/>
      <c r="U38" s="276"/>
      <c r="V38" s="277"/>
      <c r="W38" s="266"/>
      <c r="X38" s="267"/>
      <c r="Y38" s="267"/>
      <c r="Z38" s="268"/>
      <c r="AA38" s="266"/>
      <c r="AB38" s="267"/>
      <c r="AC38" s="267"/>
      <c r="AD38" s="267"/>
      <c r="AE38" s="267"/>
      <c r="AF38" s="268"/>
      <c r="AG38" s="266"/>
      <c r="AH38" s="267"/>
      <c r="AI38" s="267"/>
      <c r="AJ38" s="267"/>
      <c r="AK38" s="268"/>
      <c r="AL38" s="266"/>
      <c r="AM38" s="267"/>
      <c r="AN38" s="267"/>
      <c r="AO38" s="267"/>
      <c r="AP38" s="267"/>
      <c r="AQ38" s="268"/>
      <c r="AR38" s="266"/>
      <c r="AS38" s="267"/>
      <c r="AT38" s="267"/>
      <c r="AU38" s="267"/>
      <c r="AV38" s="267"/>
      <c r="AW38" s="268"/>
      <c r="AX38" s="266"/>
      <c r="AY38" s="267"/>
      <c r="AZ38" s="267"/>
      <c r="BA38" s="267"/>
      <c r="BB38" s="268"/>
      <c r="BC38" s="266"/>
      <c r="BD38" s="267"/>
      <c r="BE38" s="267"/>
      <c r="BF38" s="268"/>
      <c r="BG38" s="266"/>
      <c r="BH38" s="267"/>
      <c r="BI38" s="267"/>
      <c r="BJ38" s="268"/>
      <c r="BK38" s="266"/>
      <c r="BL38" s="267"/>
      <c r="BM38" s="267"/>
      <c r="BN38" s="268"/>
      <c r="BO38" s="8"/>
    </row>
    <row r="39" spans="1:67" ht="15" customHeight="1">
      <c r="A39" s="4"/>
      <c r="C39" s="278" t="s">
        <v>182</v>
      </c>
      <c r="D39" s="290"/>
      <c r="E39" s="290"/>
      <c r="F39" s="291"/>
      <c r="G39" s="269"/>
      <c r="H39" s="270"/>
      <c r="I39" s="270"/>
      <c r="J39" s="271"/>
      <c r="K39" s="269"/>
      <c r="L39" s="270"/>
      <c r="M39" s="270"/>
      <c r="N39" s="271"/>
      <c r="O39" s="157"/>
      <c r="P39" s="157"/>
      <c r="Q39" s="157"/>
      <c r="R39" s="157"/>
      <c r="S39" s="269"/>
      <c r="T39" s="270"/>
      <c r="U39" s="270"/>
      <c r="V39" s="271"/>
      <c r="W39" s="269"/>
      <c r="X39" s="270"/>
      <c r="Y39" s="270"/>
      <c r="Z39" s="271"/>
      <c r="AA39" s="260" t="s">
        <v>220</v>
      </c>
      <c r="AB39" s="261"/>
      <c r="AC39" s="261"/>
      <c r="AD39" s="261"/>
      <c r="AE39" s="261"/>
      <c r="AF39" s="262"/>
      <c r="AG39" s="260" t="s">
        <v>200</v>
      </c>
      <c r="AH39" s="261"/>
      <c r="AI39" s="261"/>
      <c r="AJ39" s="261"/>
      <c r="AK39" s="262"/>
      <c r="AL39" s="260" t="s">
        <v>221</v>
      </c>
      <c r="AM39" s="261"/>
      <c r="AN39" s="261"/>
      <c r="AO39" s="261"/>
      <c r="AP39" s="261"/>
      <c r="AQ39" s="262"/>
      <c r="AR39" s="260" t="s">
        <v>221</v>
      </c>
      <c r="AS39" s="261"/>
      <c r="AT39" s="261"/>
      <c r="AU39" s="261"/>
      <c r="AV39" s="261"/>
      <c r="AW39" s="262"/>
      <c r="AX39" s="260" t="s">
        <v>196</v>
      </c>
      <c r="AY39" s="261"/>
      <c r="AZ39" s="261"/>
      <c r="BA39" s="261"/>
      <c r="BB39" s="262"/>
      <c r="BC39" s="260" t="s">
        <v>196</v>
      </c>
      <c r="BD39" s="261"/>
      <c r="BE39" s="261"/>
      <c r="BF39" s="262"/>
      <c r="BG39" s="260" t="s">
        <v>222</v>
      </c>
      <c r="BH39" s="261"/>
      <c r="BI39" s="261"/>
      <c r="BJ39" s="262"/>
      <c r="BK39" s="260" t="s">
        <v>223</v>
      </c>
      <c r="BL39" s="261"/>
      <c r="BM39" s="261"/>
      <c r="BN39" s="262"/>
      <c r="BO39" s="8"/>
    </row>
    <row r="40" spans="1:67" ht="15" customHeight="1">
      <c r="A40" s="4"/>
      <c r="C40" s="292"/>
      <c r="D40" s="293"/>
      <c r="E40" s="293"/>
      <c r="F40" s="294"/>
      <c r="G40" s="272"/>
      <c r="H40" s="273"/>
      <c r="I40" s="273"/>
      <c r="J40" s="274"/>
      <c r="K40" s="272"/>
      <c r="L40" s="273"/>
      <c r="M40" s="273"/>
      <c r="N40" s="274"/>
      <c r="O40" s="164"/>
      <c r="P40" s="164"/>
      <c r="Q40" s="164"/>
      <c r="R40" s="164"/>
      <c r="S40" s="272"/>
      <c r="T40" s="273"/>
      <c r="U40" s="273"/>
      <c r="V40" s="274"/>
      <c r="W40" s="272"/>
      <c r="X40" s="273"/>
      <c r="Y40" s="273"/>
      <c r="Z40" s="274"/>
      <c r="AA40" s="263"/>
      <c r="AB40" s="264"/>
      <c r="AC40" s="264"/>
      <c r="AD40" s="264"/>
      <c r="AE40" s="264"/>
      <c r="AF40" s="265"/>
      <c r="AG40" s="263"/>
      <c r="AH40" s="264"/>
      <c r="AI40" s="264"/>
      <c r="AJ40" s="264"/>
      <c r="AK40" s="265"/>
      <c r="AL40" s="263"/>
      <c r="AM40" s="264"/>
      <c r="AN40" s="264"/>
      <c r="AO40" s="264"/>
      <c r="AP40" s="264"/>
      <c r="AQ40" s="265"/>
      <c r="AR40" s="263"/>
      <c r="AS40" s="264"/>
      <c r="AT40" s="264"/>
      <c r="AU40" s="264"/>
      <c r="AV40" s="264"/>
      <c r="AW40" s="265"/>
      <c r="AX40" s="263"/>
      <c r="AY40" s="264"/>
      <c r="AZ40" s="264"/>
      <c r="BA40" s="264"/>
      <c r="BB40" s="265"/>
      <c r="BC40" s="263"/>
      <c r="BD40" s="264"/>
      <c r="BE40" s="264"/>
      <c r="BF40" s="265"/>
      <c r="BG40" s="263"/>
      <c r="BH40" s="264"/>
      <c r="BI40" s="264"/>
      <c r="BJ40" s="265"/>
      <c r="BK40" s="263"/>
      <c r="BL40" s="264"/>
      <c r="BM40" s="264"/>
      <c r="BN40" s="265"/>
      <c r="BO40" s="8"/>
    </row>
    <row r="41" spans="1:67" ht="15" customHeight="1">
      <c r="A41" s="4"/>
      <c r="C41" s="292"/>
      <c r="D41" s="293"/>
      <c r="E41" s="293"/>
      <c r="F41" s="294"/>
      <c r="G41" s="272"/>
      <c r="H41" s="273"/>
      <c r="I41" s="273"/>
      <c r="J41" s="274"/>
      <c r="K41" s="272"/>
      <c r="L41" s="273"/>
      <c r="M41" s="273"/>
      <c r="N41" s="274"/>
      <c r="O41" s="164"/>
      <c r="P41" s="164"/>
      <c r="Q41" s="164"/>
      <c r="R41" s="164"/>
      <c r="S41" s="272"/>
      <c r="T41" s="273"/>
      <c r="U41" s="273"/>
      <c r="V41" s="274"/>
      <c r="W41" s="272"/>
      <c r="X41" s="273"/>
      <c r="Y41" s="273"/>
      <c r="Z41" s="274"/>
      <c r="AA41" s="263"/>
      <c r="AB41" s="264"/>
      <c r="AC41" s="264"/>
      <c r="AD41" s="264"/>
      <c r="AE41" s="264"/>
      <c r="AF41" s="265"/>
      <c r="AG41" s="263"/>
      <c r="AH41" s="264"/>
      <c r="AI41" s="264"/>
      <c r="AJ41" s="264"/>
      <c r="AK41" s="265"/>
      <c r="AL41" s="263"/>
      <c r="AM41" s="264"/>
      <c r="AN41" s="264"/>
      <c r="AO41" s="264"/>
      <c r="AP41" s="264"/>
      <c r="AQ41" s="265"/>
      <c r="AR41" s="263"/>
      <c r="AS41" s="264"/>
      <c r="AT41" s="264"/>
      <c r="AU41" s="264"/>
      <c r="AV41" s="264"/>
      <c r="AW41" s="265"/>
      <c r="AX41" s="263"/>
      <c r="AY41" s="264"/>
      <c r="AZ41" s="264"/>
      <c r="BA41" s="264"/>
      <c r="BB41" s="265"/>
      <c r="BC41" s="263"/>
      <c r="BD41" s="264"/>
      <c r="BE41" s="264"/>
      <c r="BF41" s="265"/>
      <c r="BG41" s="263"/>
      <c r="BH41" s="264"/>
      <c r="BI41" s="264"/>
      <c r="BJ41" s="265"/>
      <c r="BK41" s="263"/>
      <c r="BL41" s="264"/>
      <c r="BM41" s="264"/>
      <c r="BN41" s="265"/>
      <c r="BO41" s="8"/>
    </row>
    <row r="42" spans="1:67" ht="15" customHeight="1">
      <c r="A42" s="4"/>
      <c r="C42" s="292"/>
      <c r="D42" s="293"/>
      <c r="E42" s="293"/>
      <c r="F42" s="294"/>
      <c r="G42" s="272"/>
      <c r="H42" s="273"/>
      <c r="I42" s="273"/>
      <c r="J42" s="274"/>
      <c r="K42" s="272"/>
      <c r="L42" s="273"/>
      <c r="M42" s="273"/>
      <c r="N42" s="274"/>
      <c r="O42" s="164"/>
      <c r="P42" s="164"/>
      <c r="Q42" s="164"/>
      <c r="R42" s="164"/>
      <c r="S42" s="272"/>
      <c r="T42" s="273"/>
      <c r="U42" s="273"/>
      <c r="V42" s="274"/>
      <c r="W42" s="272"/>
      <c r="X42" s="273"/>
      <c r="Y42" s="273"/>
      <c r="Z42" s="274"/>
      <c r="AA42" s="263"/>
      <c r="AB42" s="264"/>
      <c r="AC42" s="264"/>
      <c r="AD42" s="264"/>
      <c r="AE42" s="264"/>
      <c r="AF42" s="265"/>
      <c r="AG42" s="263"/>
      <c r="AH42" s="264"/>
      <c r="AI42" s="264"/>
      <c r="AJ42" s="264"/>
      <c r="AK42" s="265"/>
      <c r="AL42" s="263"/>
      <c r="AM42" s="264"/>
      <c r="AN42" s="264"/>
      <c r="AO42" s="264"/>
      <c r="AP42" s="264"/>
      <c r="AQ42" s="265"/>
      <c r="AR42" s="263"/>
      <c r="AS42" s="264"/>
      <c r="AT42" s="264"/>
      <c r="AU42" s="264"/>
      <c r="AV42" s="264"/>
      <c r="AW42" s="265"/>
      <c r="AX42" s="263"/>
      <c r="AY42" s="264"/>
      <c r="AZ42" s="264"/>
      <c r="BA42" s="264"/>
      <c r="BB42" s="265"/>
      <c r="BC42" s="263"/>
      <c r="BD42" s="264"/>
      <c r="BE42" s="264"/>
      <c r="BF42" s="265"/>
      <c r="BG42" s="263"/>
      <c r="BH42" s="264"/>
      <c r="BI42" s="264"/>
      <c r="BJ42" s="265"/>
      <c r="BK42" s="263"/>
      <c r="BL42" s="264"/>
      <c r="BM42" s="264"/>
      <c r="BN42" s="265"/>
      <c r="BO42" s="8"/>
    </row>
    <row r="43" spans="1:67" ht="15" customHeight="1">
      <c r="A43" s="4"/>
      <c r="C43" s="295"/>
      <c r="D43" s="296"/>
      <c r="E43" s="296"/>
      <c r="F43" s="297"/>
      <c r="G43" s="275"/>
      <c r="H43" s="276"/>
      <c r="I43" s="276"/>
      <c r="J43" s="277"/>
      <c r="K43" s="275"/>
      <c r="L43" s="276"/>
      <c r="M43" s="276"/>
      <c r="N43" s="277"/>
      <c r="O43" s="160"/>
      <c r="P43" s="160"/>
      <c r="Q43" s="160"/>
      <c r="R43" s="160"/>
      <c r="S43" s="275"/>
      <c r="T43" s="276"/>
      <c r="U43" s="276"/>
      <c r="V43" s="277"/>
      <c r="W43" s="275"/>
      <c r="X43" s="276"/>
      <c r="Y43" s="276"/>
      <c r="Z43" s="277"/>
      <c r="AA43" s="266"/>
      <c r="AB43" s="267"/>
      <c r="AC43" s="267"/>
      <c r="AD43" s="267"/>
      <c r="AE43" s="267"/>
      <c r="AF43" s="268"/>
      <c r="AG43" s="266"/>
      <c r="AH43" s="267"/>
      <c r="AI43" s="267"/>
      <c r="AJ43" s="267"/>
      <c r="AK43" s="268"/>
      <c r="AL43" s="266"/>
      <c r="AM43" s="267"/>
      <c r="AN43" s="267"/>
      <c r="AO43" s="267"/>
      <c r="AP43" s="267"/>
      <c r="AQ43" s="268"/>
      <c r="AR43" s="266"/>
      <c r="AS43" s="267"/>
      <c r="AT43" s="267"/>
      <c r="AU43" s="267"/>
      <c r="AV43" s="267"/>
      <c r="AW43" s="268"/>
      <c r="AX43" s="266"/>
      <c r="AY43" s="267"/>
      <c r="AZ43" s="267"/>
      <c r="BA43" s="267"/>
      <c r="BB43" s="268"/>
      <c r="BC43" s="266"/>
      <c r="BD43" s="267"/>
      <c r="BE43" s="267"/>
      <c r="BF43" s="268"/>
      <c r="BG43" s="266"/>
      <c r="BH43" s="267"/>
      <c r="BI43" s="267"/>
      <c r="BJ43" s="268"/>
      <c r="BK43" s="266"/>
      <c r="BL43" s="267"/>
      <c r="BM43" s="267"/>
      <c r="BN43" s="268"/>
      <c r="BO43" s="8"/>
    </row>
    <row r="44" spans="1:67" ht="15" customHeight="1">
      <c r="A44" s="4"/>
      <c r="C44" s="278" t="s">
        <v>183</v>
      </c>
      <c r="D44" s="290"/>
      <c r="E44" s="290"/>
      <c r="F44" s="291"/>
      <c r="G44" s="269"/>
      <c r="H44" s="270"/>
      <c r="I44" s="270"/>
      <c r="J44" s="271"/>
      <c r="K44" s="269"/>
      <c r="L44" s="270"/>
      <c r="M44" s="270"/>
      <c r="N44" s="271"/>
      <c r="O44" s="157"/>
      <c r="P44" s="157"/>
      <c r="Q44" s="157"/>
      <c r="R44" s="157"/>
      <c r="S44" s="269"/>
      <c r="T44" s="270"/>
      <c r="U44" s="270"/>
      <c r="V44" s="271"/>
      <c r="W44" s="269"/>
      <c r="X44" s="270"/>
      <c r="Y44" s="270"/>
      <c r="Z44" s="271"/>
      <c r="AA44" s="260" t="s">
        <v>224</v>
      </c>
      <c r="AB44" s="261"/>
      <c r="AC44" s="261"/>
      <c r="AD44" s="261"/>
      <c r="AE44" s="261"/>
      <c r="AF44" s="262"/>
      <c r="AG44" s="260" t="s">
        <v>200</v>
      </c>
      <c r="AH44" s="261"/>
      <c r="AI44" s="261"/>
      <c r="AJ44" s="261"/>
      <c r="AK44" s="262"/>
      <c r="AL44" s="260" t="s">
        <v>225</v>
      </c>
      <c r="AM44" s="261"/>
      <c r="AN44" s="261"/>
      <c r="AO44" s="261"/>
      <c r="AP44" s="261"/>
      <c r="AQ44" s="262"/>
      <c r="AR44" s="260" t="s">
        <v>226</v>
      </c>
      <c r="AS44" s="261"/>
      <c r="AT44" s="261"/>
      <c r="AU44" s="261"/>
      <c r="AV44" s="261"/>
      <c r="AW44" s="262"/>
      <c r="AX44" s="269"/>
      <c r="AY44" s="270"/>
      <c r="AZ44" s="270"/>
      <c r="BA44" s="270"/>
      <c r="BB44" s="271"/>
      <c r="BC44" s="260" t="s">
        <v>196</v>
      </c>
      <c r="BD44" s="261"/>
      <c r="BE44" s="261"/>
      <c r="BF44" s="262"/>
      <c r="BG44" s="260" t="s">
        <v>227</v>
      </c>
      <c r="BH44" s="261"/>
      <c r="BI44" s="261"/>
      <c r="BJ44" s="262"/>
      <c r="BK44" s="260" t="s">
        <v>228</v>
      </c>
      <c r="BL44" s="261"/>
      <c r="BM44" s="261"/>
      <c r="BN44" s="262"/>
      <c r="BO44" s="8"/>
    </row>
    <row r="45" spans="1:67" ht="15" customHeight="1">
      <c r="A45" s="4"/>
      <c r="C45" s="292"/>
      <c r="D45" s="293"/>
      <c r="E45" s="293"/>
      <c r="F45" s="294"/>
      <c r="G45" s="272"/>
      <c r="H45" s="273"/>
      <c r="I45" s="273"/>
      <c r="J45" s="274"/>
      <c r="K45" s="272"/>
      <c r="L45" s="273"/>
      <c r="M45" s="273"/>
      <c r="N45" s="274"/>
      <c r="O45" s="164"/>
      <c r="P45" s="164"/>
      <c r="Q45" s="164"/>
      <c r="R45" s="164"/>
      <c r="S45" s="272"/>
      <c r="T45" s="273"/>
      <c r="U45" s="273"/>
      <c r="V45" s="274"/>
      <c r="W45" s="272"/>
      <c r="X45" s="273"/>
      <c r="Y45" s="273"/>
      <c r="Z45" s="274"/>
      <c r="AA45" s="263"/>
      <c r="AB45" s="264"/>
      <c r="AC45" s="264"/>
      <c r="AD45" s="264"/>
      <c r="AE45" s="264"/>
      <c r="AF45" s="265"/>
      <c r="AG45" s="263"/>
      <c r="AH45" s="264"/>
      <c r="AI45" s="264"/>
      <c r="AJ45" s="264"/>
      <c r="AK45" s="265"/>
      <c r="AL45" s="263"/>
      <c r="AM45" s="264"/>
      <c r="AN45" s="264"/>
      <c r="AO45" s="264"/>
      <c r="AP45" s="264"/>
      <c r="AQ45" s="265"/>
      <c r="AR45" s="263"/>
      <c r="AS45" s="264"/>
      <c r="AT45" s="264"/>
      <c r="AU45" s="264"/>
      <c r="AV45" s="264"/>
      <c r="AW45" s="265"/>
      <c r="AX45" s="272"/>
      <c r="AY45" s="273"/>
      <c r="AZ45" s="273"/>
      <c r="BA45" s="273"/>
      <c r="BB45" s="274"/>
      <c r="BC45" s="263"/>
      <c r="BD45" s="264"/>
      <c r="BE45" s="264"/>
      <c r="BF45" s="265"/>
      <c r="BG45" s="263"/>
      <c r="BH45" s="264"/>
      <c r="BI45" s="264"/>
      <c r="BJ45" s="265"/>
      <c r="BK45" s="263"/>
      <c r="BL45" s="264"/>
      <c r="BM45" s="264"/>
      <c r="BN45" s="265"/>
      <c r="BO45" s="8"/>
    </row>
    <row r="46" spans="1:67" ht="15" customHeight="1">
      <c r="A46" s="4"/>
      <c r="C46" s="292"/>
      <c r="D46" s="293"/>
      <c r="E46" s="293"/>
      <c r="F46" s="294"/>
      <c r="G46" s="272"/>
      <c r="H46" s="273"/>
      <c r="I46" s="273"/>
      <c r="J46" s="274"/>
      <c r="K46" s="272"/>
      <c r="L46" s="273"/>
      <c r="M46" s="273"/>
      <c r="N46" s="274"/>
      <c r="O46" s="164"/>
      <c r="P46" s="164"/>
      <c r="Q46" s="164"/>
      <c r="R46" s="164"/>
      <c r="S46" s="272"/>
      <c r="T46" s="273"/>
      <c r="U46" s="273"/>
      <c r="V46" s="274"/>
      <c r="W46" s="272"/>
      <c r="X46" s="273"/>
      <c r="Y46" s="273"/>
      <c r="Z46" s="274"/>
      <c r="AA46" s="263"/>
      <c r="AB46" s="264"/>
      <c r="AC46" s="264"/>
      <c r="AD46" s="264"/>
      <c r="AE46" s="264"/>
      <c r="AF46" s="265"/>
      <c r="AG46" s="263"/>
      <c r="AH46" s="264"/>
      <c r="AI46" s="264"/>
      <c r="AJ46" s="264"/>
      <c r="AK46" s="265"/>
      <c r="AL46" s="263"/>
      <c r="AM46" s="264"/>
      <c r="AN46" s="264"/>
      <c r="AO46" s="264"/>
      <c r="AP46" s="264"/>
      <c r="AQ46" s="265"/>
      <c r="AR46" s="263"/>
      <c r="AS46" s="264"/>
      <c r="AT46" s="264"/>
      <c r="AU46" s="264"/>
      <c r="AV46" s="264"/>
      <c r="AW46" s="265"/>
      <c r="AX46" s="272"/>
      <c r="AY46" s="273"/>
      <c r="AZ46" s="273"/>
      <c r="BA46" s="273"/>
      <c r="BB46" s="274"/>
      <c r="BC46" s="263"/>
      <c r="BD46" s="264"/>
      <c r="BE46" s="264"/>
      <c r="BF46" s="265"/>
      <c r="BG46" s="263"/>
      <c r="BH46" s="264"/>
      <c r="BI46" s="264"/>
      <c r="BJ46" s="265"/>
      <c r="BK46" s="263"/>
      <c r="BL46" s="264"/>
      <c r="BM46" s="264"/>
      <c r="BN46" s="265"/>
      <c r="BO46" s="8"/>
    </row>
    <row r="47" spans="1:67" ht="15" customHeight="1">
      <c r="A47" s="4"/>
      <c r="C47" s="292"/>
      <c r="D47" s="293"/>
      <c r="E47" s="293"/>
      <c r="F47" s="294"/>
      <c r="G47" s="272"/>
      <c r="H47" s="273"/>
      <c r="I47" s="273"/>
      <c r="J47" s="274"/>
      <c r="K47" s="272"/>
      <c r="L47" s="273"/>
      <c r="M47" s="273"/>
      <c r="N47" s="274"/>
      <c r="O47" s="164"/>
      <c r="P47" s="164"/>
      <c r="Q47" s="164"/>
      <c r="R47" s="164"/>
      <c r="S47" s="272"/>
      <c r="T47" s="273"/>
      <c r="U47" s="273"/>
      <c r="V47" s="274"/>
      <c r="W47" s="272"/>
      <c r="X47" s="273"/>
      <c r="Y47" s="273"/>
      <c r="Z47" s="274"/>
      <c r="AA47" s="263"/>
      <c r="AB47" s="264"/>
      <c r="AC47" s="264"/>
      <c r="AD47" s="264"/>
      <c r="AE47" s="264"/>
      <c r="AF47" s="265"/>
      <c r="AG47" s="263"/>
      <c r="AH47" s="264"/>
      <c r="AI47" s="264"/>
      <c r="AJ47" s="264"/>
      <c r="AK47" s="265"/>
      <c r="AL47" s="263"/>
      <c r="AM47" s="264"/>
      <c r="AN47" s="264"/>
      <c r="AO47" s="264"/>
      <c r="AP47" s="264"/>
      <c r="AQ47" s="265"/>
      <c r="AR47" s="263"/>
      <c r="AS47" s="264"/>
      <c r="AT47" s="264"/>
      <c r="AU47" s="264"/>
      <c r="AV47" s="264"/>
      <c r="AW47" s="265"/>
      <c r="AX47" s="272"/>
      <c r="AY47" s="273"/>
      <c r="AZ47" s="273"/>
      <c r="BA47" s="273"/>
      <c r="BB47" s="274"/>
      <c r="BC47" s="263"/>
      <c r="BD47" s="264"/>
      <c r="BE47" s="264"/>
      <c r="BF47" s="265"/>
      <c r="BG47" s="263"/>
      <c r="BH47" s="264"/>
      <c r="BI47" s="264"/>
      <c r="BJ47" s="265"/>
      <c r="BK47" s="263"/>
      <c r="BL47" s="264"/>
      <c r="BM47" s="264"/>
      <c r="BN47" s="265"/>
      <c r="BO47" s="8"/>
    </row>
    <row r="48" spans="1:67" ht="15" customHeight="1">
      <c r="A48" s="4"/>
      <c r="C48" s="295"/>
      <c r="D48" s="296"/>
      <c r="E48" s="296"/>
      <c r="F48" s="297"/>
      <c r="G48" s="275"/>
      <c r="H48" s="276"/>
      <c r="I48" s="276"/>
      <c r="J48" s="277"/>
      <c r="K48" s="275"/>
      <c r="L48" s="276"/>
      <c r="M48" s="276"/>
      <c r="N48" s="277"/>
      <c r="O48" s="160"/>
      <c r="P48" s="160"/>
      <c r="Q48" s="160"/>
      <c r="R48" s="160"/>
      <c r="S48" s="275"/>
      <c r="T48" s="276"/>
      <c r="U48" s="276"/>
      <c r="V48" s="277"/>
      <c r="W48" s="275"/>
      <c r="X48" s="276"/>
      <c r="Y48" s="276"/>
      <c r="Z48" s="277"/>
      <c r="AA48" s="266"/>
      <c r="AB48" s="267"/>
      <c r="AC48" s="267"/>
      <c r="AD48" s="267"/>
      <c r="AE48" s="267"/>
      <c r="AF48" s="268"/>
      <c r="AG48" s="266"/>
      <c r="AH48" s="267"/>
      <c r="AI48" s="267"/>
      <c r="AJ48" s="267"/>
      <c r="AK48" s="268"/>
      <c r="AL48" s="266"/>
      <c r="AM48" s="267"/>
      <c r="AN48" s="267"/>
      <c r="AO48" s="267"/>
      <c r="AP48" s="267"/>
      <c r="AQ48" s="268"/>
      <c r="AR48" s="266"/>
      <c r="AS48" s="267"/>
      <c r="AT48" s="267"/>
      <c r="AU48" s="267"/>
      <c r="AV48" s="267"/>
      <c r="AW48" s="268"/>
      <c r="AX48" s="275"/>
      <c r="AY48" s="276"/>
      <c r="AZ48" s="276"/>
      <c r="BA48" s="276"/>
      <c r="BB48" s="277"/>
      <c r="BC48" s="266"/>
      <c r="BD48" s="267"/>
      <c r="BE48" s="267"/>
      <c r="BF48" s="268"/>
      <c r="BG48" s="266"/>
      <c r="BH48" s="267"/>
      <c r="BI48" s="267"/>
      <c r="BJ48" s="268"/>
      <c r="BK48" s="266"/>
      <c r="BL48" s="267"/>
      <c r="BM48" s="267"/>
      <c r="BN48" s="268"/>
      <c r="BO48" s="8"/>
    </row>
    <row r="49" spans="1:67" ht="15" customHeight="1">
      <c r="A49" s="4"/>
      <c r="C49" s="278" t="s">
        <v>229</v>
      </c>
      <c r="D49" s="290"/>
      <c r="E49" s="290"/>
      <c r="F49" s="291"/>
      <c r="G49" s="269"/>
      <c r="H49" s="270"/>
      <c r="I49" s="270"/>
      <c r="J49" s="271"/>
      <c r="K49" s="269"/>
      <c r="L49" s="270"/>
      <c r="M49" s="270"/>
      <c r="N49" s="271"/>
      <c r="O49" s="157"/>
      <c r="P49" s="157"/>
      <c r="Q49" s="157"/>
      <c r="R49" s="157"/>
      <c r="S49" s="269"/>
      <c r="T49" s="270"/>
      <c r="U49" s="270"/>
      <c r="V49" s="271"/>
      <c r="W49" s="269"/>
      <c r="X49" s="270"/>
      <c r="Y49" s="270"/>
      <c r="Z49" s="271"/>
      <c r="AA49" s="260" t="s">
        <v>230</v>
      </c>
      <c r="AB49" s="261"/>
      <c r="AC49" s="261"/>
      <c r="AD49" s="261"/>
      <c r="AE49" s="261"/>
      <c r="AF49" s="262"/>
      <c r="AG49" s="260" t="s">
        <v>231</v>
      </c>
      <c r="AH49" s="261"/>
      <c r="AI49" s="261"/>
      <c r="AJ49" s="261"/>
      <c r="AK49" s="262"/>
      <c r="AL49" s="260" t="s">
        <v>232</v>
      </c>
      <c r="AM49" s="261"/>
      <c r="AN49" s="261"/>
      <c r="AO49" s="261"/>
      <c r="AP49" s="261"/>
      <c r="AQ49" s="262"/>
      <c r="AR49" s="260" t="s">
        <v>233</v>
      </c>
      <c r="AS49" s="261"/>
      <c r="AT49" s="261"/>
      <c r="AU49" s="261"/>
      <c r="AV49" s="261"/>
      <c r="AW49" s="262"/>
      <c r="AX49" s="269"/>
      <c r="AY49" s="270"/>
      <c r="AZ49" s="270"/>
      <c r="BA49" s="270"/>
      <c r="BB49" s="271"/>
      <c r="BC49" s="269"/>
      <c r="BD49" s="270"/>
      <c r="BE49" s="270"/>
      <c r="BF49" s="271"/>
      <c r="BG49" s="260" t="s">
        <v>234</v>
      </c>
      <c r="BH49" s="261"/>
      <c r="BI49" s="261"/>
      <c r="BJ49" s="262"/>
      <c r="BK49" s="260" t="s">
        <v>234</v>
      </c>
      <c r="BL49" s="261"/>
      <c r="BM49" s="261"/>
      <c r="BN49" s="262"/>
      <c r="BO49" s="8"/>
    </row>
    <row r="50" spans="1:67" ht="15" customHeight="1">
      <c r="A50" s="4"/>
      <c r="C50" s="292"/>
      <c r="D50" s="293"/>
      <c r="E50" s="293"/>
      <c r="F50" s="294"/>
      <c r="G50" s="272"/>
      <c r="H50" s="273"/>
      <c r="I50" s="273"/>
      <c r="J50" s="274"/>
      <c r="K50" s="272"/>
      <c r="L50" s="273"/>
      <c r="M50" s="273"/>
      <c r="N50" s="274"/>
      <c r="O50" s="164"/>
      <c r="P50" s="164"/>
      <c r="Q50" s="164"/>
      <c r="R50" s="164"/>
      <c r="S50" s="272"/>
      <c r="T50" s="273"/>
      <c r="U50" s="273"/>
      <c r="V50" s="274"/>
      <c r="W50" s="272"/>
      <c r="X50" s="273"/>
      <c r="Y50" s="273"/>
      <c r="Z50" s="274"/>
      <c r="AA50" s="263"/>
      <c r="AB50" s="264"/>
      <c r="AC50" s="264"/>
      <c r="AD50" s="264"/>
      <c r="AE50" s="264"/>
      <c r="AF50" s="265"/>
      <c r="AG50" s="263"/>
      <c r="AH50" s="264"/>
      <c r="AI50" s="264"/>
      <c r="AJ50" s="264"/>
      <c r="AK50" s="265"/>
      <c r="AL50" s="263"/>
      <c r="AM50" s="264"/>
      <c r="AN50" s="264"/>
      <c r="AO50" s="264"/>
      <c r="AP50" s="264"/>
      <c r="AQ50" s="265"/>
      <c r="AR50" s="263"/>
      <c r="AS50" s="264"/>
      <c r="AT50" s="264"/>
      <c r="AU50" s="264"/>
      <c r="AV50" s="264"/>
      <c r="AW50" s="265"/>
      <c r="AX50" s="272"/>
      <c r="AY50" s="273"/>
      <c r="AZ50" s="273"/>
      <c r="BA50" s="273"/>
      <c r="BB50" s="274"/>
      <c r="BC50" s="272"/>
      <c r="BD50" s="273"/>
      <c r="BE50" s="273"/>
      <c r="BF50" s="274"/>
      <c r="BG50" s="263"/>
      <c r="BH50" s="264"/>
      <c r="BI50" s="264"/>
      <c r="BJ50" s="265"/>
      <c r="BK50" s="263"/>
      <c r="BL50" s="264"/>
      <c r="BM50" s="264"/>
      <c r="BN50" s="265"/>
      <c r="BO50" s="8"/>
    </row>
    <row r="51" spans="1:67" ht="15" customHeight="1">
      <c r="A51" s="4"/>
      <c r="C51" s="292"/>
      <c r="D51" s="293"/>
      <c r="E51" s="293"/>
      <c r="F51" s="294"/>
      <c r="G51" s="272"/>
      <c r="H51" s="273"/>
      <c r="I51" s="273"/>
      <c r="J51" s="274"/>
      <c r="K51" s="272"/>
      <c r="L51" s="273"/>
      <c r="M51" s="273"/>
      <c r="N51" s="274"/>
      <c r="O51" s="164"/>
      <c r="P51" s="164"/>
      <c r="Q51" s="164"/>
      <c r="R51" s="164"/>
      <c r="S51" s="272"/>
      <c r="T51" s="273"/>
      <c r="U51" s="273"/>
      <c r="V51" s="274"/>
      <c r="W51" s="272"/>
      <c r="X51" s="273"/>
      <c r="Y51" s="273"/>
      <c r="Z51" s="274"/>
      <c r="AA51" s="263"/>
      <c r="AB51" s="264"/>
      <c r="AC51" s="264"/>
      <c r="AD51" s="264"/>
      <c r="AE51" s="264"/>
      <c r="AF51" s="265"/>
      <c r="AG51" s="263"/>
      <c r="AH51" s="264"/>
      <c r="AI51" s="264"/>
      <c r="AJ51" s="264"/>
      <c r="AK51" s="265"/>
      <c r="AL51" s="263"/>
      <c r="AM51" s="264"/>
      <c r="AN51" s="264"/>
      <c r="AO51" s="264"/>
      <c r="AP51" s="264"/>
      <c r="AQ51" s="265"/>
      <c r="AR51" s="263"/>
      <c r="AS51" s="264"/>
      <c r="AT51" s="264"/>
      <c r="AU51" s="264"/>
      <c r="AV51" s="264"/>
      <c r="AW51" s="265"/>
      <c r="AX51" s="272"/>
      <c r="AY51" s="273"/>
      <c r="AZ51" s="273"/>
      <c r="BA51" s="273"/>
      <c r="BB51" s="274"/>
      <c r="BC51" s="272"/>
      <c r="BD51" s="273"/>
      <c r="BE51" s="273"/>
      <c r="BF51" s="274"/>
      <c r="BG51" s="263"/>
      <c r="BH51" s="264"/>
      <c r="BI51" s="264"/>
      <c r="BJ51" s="265"/>
      <c r="BK51" s="263"/>
      <c r="BL51" s="264"/>
      <c r="BM51" s="264"/>
      <c r="BN51" s="265"/>
      <c r="BO51" s="8"/>
    </row>
    <row r="52" spans="1:67" ht="15" customHeight="1">
      <c r="A52" s="4"/>
      <c r="C52" s="292"/>
      <c r="D52" s="293"/>
      <c r="E52" s="293"/>
      <c r="F52" s="294"/>
      <c r="G52" s="272"/>
      <c r="H52" s="273"/>
      <c r="I52" s="273"/>
      <c r="J52" s="274"/>
      <c r="K52" s="272"/>
      <c r="L52" s="273"/>
      <c r="M52" s="273"/>
      <c r="N52" s="274"/>
      <c r="O52" s="164"/>
      <c r="P52" s="164"/>
      <c r="Q52" s="164"/>
      <c r="R52" s="164"/>
      <c r="S52" s="272"/>
      <c r="T52" s="273"/>
      <c r="U52" s="273"/>
      <c r="V52" s="274"/>
      <c r="W52" s="272"/>
      <c r="X52" s="273"/>
      <c r="Y52" s="273"/>
      <c r="Z52" s="274"/>
      <c r="AA52" s="263"/>
      <c r="AB52" s="264"/>
      <c r="AC52" s="264"/>
      <c r="AD52" s="264"/>
      <c r="AE52" s="264"/>
      <c r="AF52" s="265"/>
      <c r="AG52" s="263"/>
      <c r="AH52" s="264"/>
      <c r="AI52" s="264"/>
      <c r="AJ52" s="264"/>
      <c r="AK52" s="265"/>
      <c r="AL52" s="263"/>
      <c r="AM52" s="264"/>
      <c r="AN52" s="264"/>
      <c r="AO52" s="264"/>
      <c r="AP52" s="264"/>
      <c r="AQ52" s="265"/>
      <c r="AR52" s="263"/>
      <c r="AS52" s="264"/>
      <c r="AT52" s="264"/>
      <c r="AU52" s="264"/>
      <c r="AV52" s="264"/>
      <c r="AW52" s="265"/>
      <c r="AX52" s="272"/>
      <c r="AY52" s="273"/>
      <c r="AZ52" s="273"/>
      <c r="BA52" s="273"/>
      <c r="BB52" s="274"/>
      <c r="BC52" s="272"/>
      <c r="BD52" s="273"/>
      <c r="BE52" s="273"/>
      <c r="BF52" s="274"/>
      <c r="BG52" s="263"/>
      <c r="BH52" s="264"/>
      <c r="BI52" s="264"/>
      <c r="BJ52" s="265"/>
      <c r="BK52" s="263"/>
      <c r="BL52" s="264"/>
      <c r="BM52" s="264"/>
      <c r="BN52" s="265"/>
      <c r="BO52" s="8"/>
    </row>
    <row r="53" spans="1:67" ht="15" customHeight="1">
      <c r="A53" s="4"/>
      <c r="C53" s="295"/>
      <c r="D53" s="296"/>
      <c r="E53" s="296"/>
      <c r="F53" s="297"/>
      <c r="G53" s="275"/>
      <c r="H53" s="276"/>
      <c r="I53" s="276"/>
      <c r="J53" s="277"/>
      <c r="K53" s="275"/>
      <c r="L53" s="276"/>
      <c r="M53" s="276"/>
      <c r="N53" s="277"/>
      <c r="O53" s="160"/>
      <c r="P53" s="160"/>
      <c r="Q53" s="160"/>
      <c r="R53" s="160"/>
      <c r="S53" s="275"/>
      <c r="T53" s="276"/>
      <c r="U53" s="276"/>
      <c r="V53" s="277"/>
      <c r="W53" s="275"/>
      <c r="X53" s="276"/>
      <c r="Y53" s="276"/>
      <c r="Z53" s="277"/>
      <c r="AA53" s="266"/>
      <c r="AB53" s="267"/>
      <c r="AC53" s="267"/>
      <c r="AD53" s="267"/>
      <c r="AE53" s="267"/>
      <c r="AF53" s="268"/>
      <c r="AG53" s="266"/>
      <c r="AH53" s="267"/>
      <c r="AI53" s="267"/>
      <c r="AJ53" s="267"/>
      <c r="AK53" s="268"/>
      <c r="AL53" s="266"/>
      <c r="AM53" s="267"/>
      <c r="AN53" s="267"/>
      <c r="AO53" s="267"/>
      <c r="AP53" s="267"/>
      <c r="AQ53" s="268"/>
      <c r="AR53" s="266"/>
      <c r="AS53" s="267"/>
      <c r="AT53" s="267"/>
      <c r="AU53" s="267"/>
      <c r="AV53" s="267"/>
      <c r="AW53" s="268"/>
      <c r="AX53" s="275"/>
      <c r="AY53" s="276"/>
      <c r="AZ53" s="276"/>
      <c r="BA53" s="276"/>
      <c r="BB53" s="277"/>
      <c r="BC53" s="275"/>
      <c r="BD53" s="276"/>
      <c r="BE53" s="276"/>
      <c r="BF53" s="277"/>
      <c r="BG53" s="266"/>
      <c r="BH53" s="267"/>
      <c r="BI53" s="267"/>
      <c r="BJ53" s="268"/>
      <c r="BK53" s="266"/>
      <c r="BL53" s="267"/>
      <c r="BM53" s="267"/>
      <c r="BN53" s="268"/>
      <c r="BO53" s="8"/>
    </row>
    <row r="54" spans="1:67" ht="15" customHeight="1">
      <c r="A54" s="4"/>
      <c r="C54" s="278" t="s">
        <v>235</v>
      </c>
      <c r="D54" s="279"/>
      <c r="E54" s="279"/>
      <c r="F54" s="280"/>
      <c r="G54" s="269"/>
      <c r="H54" s="270"/>
      <c r="I54" s="270"/>
      <c r="J54" s="271"/>
      <c r="K54" s="269"/>
      <c r="L54" s="270"/>
      <c r="M54" s="270"/>
      <c r="N54" s="271"/>
      <c r="O54" s="157"/>
      <c r="P54" s="157"/>
      <c r="Q54" s="157"/>
      <c r="R54" s="157"/>
      <c r="S54" s="269"/>
      <c r="T54" s="270"/>
      <c r="U54" s="270"/>
      <c r="V54" s="271"/>
      <c r="W54" s="269"/>
      <c r="X54" s="270"/>
      <c r="Y54" s="270"/>
      <c r="Z54" s="271"/>
      <c r="AA54" s="260" t="s">
        <v>236</v>
      </c>
      <c r="AB54" s="261"/>
      <c r="AC54" s="261"/>
      <c r="AD54" s="261"/>
      <c r="AE54" s="261"/>
      <c r="AF54" s="262"/>
      <c r="AG54" s="260" t="s">
        <v>237</v>
      </c>
      <c r="AH54" s="261"/>
      <c r="AI54" s="261"/>
      <c r="AJ54" s="261"/>
      <c r="AK54" s="262"/>
      <c r="AL54" s="260" t="s">
        <v>238</v>
      </c>
      <c r="AM54" s="261"/>
      <c r="AN54" s="261"/>
      <c r="AO54" s="261"/>
      <c r="AP54" s="261"/>
      <c r="AQ54" s="262"/>
      <c r="AR54" s="260" t="s">
        <v>239</v>
      </c>
      <c r="AS54" s="261"/>
      <c r="AT54" s="261"/>
      <c r="AU54" s="261"/>
      <c r="AV54" s="261"/>
      <c r="AW54" s="262"/>
      <c r="AX54" s="269"/>
      <c r="AY54" s="270"/>
      <c r="AZ54" s="270"/>
      <c r="BA54" s="270"/>
      <c r="BB54" s="271"/>
      <c r="BC54" s="269"/>
      <c r="BD54" s="270"/>
      <c r="BE54" s="270"/>
      <c r="BF54" s="271"/>
      <c r="BG54" s="269"/>
      <c r="BH54" s="270"/>
      <c r="BI54" s="270"/>
      <c r="BJ54" s="271"/>
      <c r="BK54" s="260" t="s">
        <v>234</v>
      </c>
      <c r="BL54" s="261"/>
      <c r="BM54" s="261"/>
      <c r="BN54" s="262"/>
      <c r="BO54" s="8"/>
    </row>
    <row r="55" spans="1:67" ht="15" customHeight="1">
      <c r="A55" s="4"/>
      <c r="C55" s="281"/>
      <c r="D55" s="282"/>
      <c r="E55" s="282"/>
      <c r="F55" s="283"/>
      <c r="G55" s="272"/>
      <c r="H55" s="273"/>
      <c r="I55" s="273"/>
      <c r="J55" s="274"/>
      <c r="K55" s="272"/>
      <c r="L55" s="273"/>
      <c r="M55" s="273"/>
      <c r="N55" s="274"/>
      <c r="O55" s="164"/>
      <c r="P55" s="164"/>
      <c r="Q55" s="164"/>
      <c r="R55" s="164"/>
      <c r="S55" s="272"/>
      <c r="T55" s="273"/>
      <c r="U55" s="273"/>
      <c r="V55" s="274"/>
      <c r="W55" s="272"/>
      <c r="X55" s="273"/>
      <c r="Y55" s="273"/>
      <c r="Z55" s="274"/>
      <c r="AA55" s="263"/>
      <c r="AB55" s="264"/>
      <c r="AC55" s="264"/>
      <c r="AD55" s="264"/>
      <c r="AE55" s="264"/>
      <c r="AF55" s="265"/>
      <c r="AG55" s="263"/>
      <c r="AH55" s="264"/>
      <c r="AI55" s="264"/>
      <c r="AJ55" s="264"/>
      <c r="AK55" s="265"/>
      <c r="AL55" s="263"/>
      <c r="AM55" s="264"/>
      <c r="AN55" s="264"/>
      <c r="AO55" s="264"/>
      <c r="AP55" s="264"/>
      <c r="AQ55" s="265"/>
      <c r="AR55" s="263"/>
      <c r="AS55" s="264"/>
      <c r="AT55" s="264"/>
      <c r="AU55" s="264"/>
      <c r="AV55" s="264"/>
      <c r="AW55" s="265"/>
      <c r="AX55" s="272"/>
      <c r="AY55" s="273"/>
      <c r="AZ55" s="273"/>
      <c r="BA55" s="273"/>
      <c r="BB55" s="274"/>
      <c r="BC55" s="272"/>
      <c r="BD55" s="273"/>
      <c r="BE55" s="273"/>
      <c r="BF55" s="274"/>
      <c r="BG55" s="272"/>
      <c r="BH55" s="273"/>
      <c r="BI55" s="273"/>
      <c r="BJ55" s="274"/>
      <c r="BK55" s="263"/>
      <c r="BL55" s="264"/>
      <c r="BM55" s="264"/>
      <c r="BN55" s="265"/>
      <c r="BO55" s="8"/>
    </row>
    <row r="56" spans="1:67" ht="15" customHeight="1">
      <c r="A56" s="4"/>
      <c r="C56" s="281"/>
      <c r="D56" s="282"/>
      <c r="E56" s="282"/>
      <c r="F56" s="283"/>
      <c r="G56" s="272"/>
      <c r="H56" s="273"/>
      <c r="I56" s="273"/>
      <c r="J56" s="274"/>
      <c r="K56" s="272"/>
      <c r="L56" s="273"/>
      <c r="M56" s="273"/>
      <c r="N56" s="274"/>
      <c r="O56" s="164"/>
      <c r="P56" s="164"/>
      <c r="Q56" s="164"/>
      <c r="R56" s="164"/>
      <c r="S56" s="272"/>
      <c r="T56" s="273"/>
      <c r="U56" s="273"/>
      <c r="V56" s="274"/>
      <c r="W56" s="272"/>
      <c r="X56" s="273"/>
      <c r="Y56" s="273"/>
      <c r="Z56" s="274"/>
      <c r="AA56" s="263"/>
      <c r="AB56" s="264"/>
      <c r="AC56" s="264"/>
      <c r="AD56" s="264"/>
      <c r="AE56" s="264"/>
      <c r="AF56" s="265"/>
      <c r="AG56" s="263"/>
      <c r="AH56" s="264"/>
      <c r="AI56" s="264"/>
      <c r="AJ56" s="264"/>
      <c r="AK56" s="265"/>
      <c r="AL56" s="263"/>
      <c r="AM56" s="264"/>
      <c r="AN56" s="264"/>
      <c r="AO56" s="264"/>
      <c r="AP56" s="264"/>
      <c r="AQ56" s="265"/>
      <c r="AR56" s="263"/>
      <c r="AS56" s="264"/>
      <c r="AT56" s="264"/>
      <c r="AU56" s="264"/>
      <c r="AV56" s="264"/>
      <c r="AW56" s="265"/>
      <c r="AX56" s="272"/>
      <c r="AY56" s="273"/>
      <c r="AZ56" s="273"/>
      <c r="BA56" s="273"/>
      <c r="BB56" s="274"/>
      <c r="BC56" s="272"/>
      <c r="BD56" s="273"/>
      <c r="BE56" s="273"/>
      <c r="BF56" s="274"/>
      <c r="BG56" s="272"/>
      <c r="BH56" s="273"/>
      <c r="BI56" s="273"/>
      <c r="BJ56" s="274"/>
      <c r="BK56" s="263"/>
      <c r="BL56" s="264"/>
      <c r="BM56" s="264"/>
      <c r="BN56" s="265"/>
      <c r="BO56" s="8"/>
    </row>
    <row r="57" spans="1:67" ht="15" customHeight="1">
      <c r="A57" s="4"/>
      <c r="C57" s="281"/>
      <c r="D57" s="282"/>
      <c r="E57" s="282"/>
      <c r="F57" s="283"/>
      <c r="G57" s="272"/>
      <c r="H57" s="273"/>
      <c r="I57" s="273"/>
      <c r="J57" s="274"/>
      <c r="K57" s="272"/>
      <c r="L57" s="273"/>
      <c r="M57" s="273"/>
      <c r="N57" s="274"/>
      <c r="O57" s="164"/>
      <c r="P57" s="164"/>
      <c r="Q57" s="164"/>
      <c r="R57" s="164"/>
      <c r="S57" s="272"/>
      <c r="T57" s="273"/>
      <c r="U57" s="273"/>
      <c r="V57" s="274"/>
      <c r="W57" s="272"/>
      <c r="X57" s="273"/>
      <c r="Y57" s="273"/>
      <c r="Z57" s="274"/>
      <c r="AA57" s="263"/>
      <c r="AB57" s="264"/>
      <c r="AC57" s="264"/>
      <c r="AD57" s="264"/>
      <c r="AE57" s="264"/>
      <c r="AF57" s="265"/>
      <c r="AG57" s="263"/>
      <c r="AH57" s="264"/>
      <c r="AI57" s="264"/>
      <c r="AJ57" s="264"/>
      <c r="AK57" s="265"/>
      <c r="AL57" s="263"/>
      <c r="AM57" s="264"/>
      <c r="AN57" s="264"/>
      <c r="AO57" s="264"/>
      <c r="AP57" s="264"/>
      <c r="AQ57" s="265"/>
      <c r="AR57" s="263"/>
      <c r="AS57" s="264"/>
      <c r="AT57" s="264"/>
      <c r="AU57" s="264"/>
      <c r="AV57" s="264"/>
      <c r="AW57" s="265"/>
      <c r="AX57" s="272"/>
      <c r="AY57" s="273"/>
      <c r="AZ57" s="273"/>
      <c r="BA57" s="273"/>
      <c r="BB57" s="274"/>
      <c r="BC57" s="272"/>
      <c r="BD57" s="273"/>
      <c r="BE57" s="273"/>
      <c r="BF57" s="274"/>
      <c r="BG57" s="272"/>
      <c r="BH57" s="273"/>
      <c r="BI57" s="273"/>
      <c r="BJ57" s="274"/>
      <c r="BK57" s="263"/>
      <c r="BL57" s="264"/>
      <c r="BM57" s="264"/>
      <c r="BN57" s="265"/>
      <c r="BO57" s="8"/>
    </row>
    <row r="58" spans="1:67" ht="15" customHeight="1">
      <c r="A58" s="4"/>
      <c r="C58" s="284"/>
      <c r="D58" s="285"/>
      <c r="E58" s="285"/>
      <c r="F58" s="286"/>
      <c r="G58" s="275"/>
      <c r="H58" s="276"/>
      <c r="I58" s="276"/>
      <c r="J58" s="277"/>
      <c r="K58" s="275"/>
      <c r="L58" s="276"/>
      <c r="M58" s="276"/>
      <c r="N58" s="277"/>
      <c r="O58" s="160"/>
      <c r="P58" s="160"/>
      <c r="Q58" s="160"/>
      <c r="R58" s="160"/>
      <c r="S58" s="275"/>
      <c r="T58" s="276"/>
      <c r="U58" s="276"/>
      <c r="V58" s="277"/>
      <c r="W58" s="275"/>
      <c r="X58" s="276"/>
      <c r="Y58" s="276"/>
      <c r="Z58" s="277"/>
      <c r="AA58" s="266"/>
      <c r="AB58" s="267"/>
      <c r="AC58" s="267"/>
      <c r="AD58" s="267"/>
      <c r="AE58" s="267"/>
      <c r="AF58" s="268"/>
      <c r="AG58" s="266"/>
      <c r="AH58" s="267"/>
      <c r="AI58" s="267"/>
      <c r="AJ58" s="267"/>
      <c r="AK58" s="268"/>
      <c r="AL58" s="266"/>
      <c r="AM58" s="267"/>
      <c r="AN58" s="267"/>
      <c r="AO58" s="267"/>
      <c r="AP58" s="267"/>
      <c r="AQ58" s="268"/>
      <c r="AR58" s="266"/>
      <c r="AS58" s="267"/>
      <c r="AT58" s="267"/>
      <c r="AU58" s="267"/>
      <c r="AV58" s="267"/>
      <c r="AW58" s="268"/>
      <c r="AX58" s="275"/>
      <c r="AY58" s="276"/>
      <c r="AZ58" s="276"/>
      <c r="BA58" s="276"/>
      <c r="BB58" s="277"/>
      <c r="BC58" s="275"/>
      <c r="BD58" s="276"/>
      <c r="BE58" s="276"/>
      <c r="BF58" s="277"/>
      <c r="BG58" s="275"/>
      <c r="BH58" s="276"/>
      <c r="BI58" s="276"/>
      <c r="BJ58" s="277"/>
      <c r="BK58" s="266"/>
      <c r="BL58" s="267"/>
      <c r="BM58" s="267"/>
      <c r="BN58" s="268"/>
      <c r="BO58" s="8"/>
    </row>
    <row r="59" spans="1:67" ht="15" customHeight="1">
      <c r="A59" s="4"/>
      <c r="C59" s="298" t="s">
        <v>59</v>
      </c>
      <c r="D59" s="290"/>
      <c r="E59" s="290"/>
      <c r="F59" s="291"/>
      <c r="G59" s="269"/>
      <c r="H59" s="270"/>
      <c r="I59" s="270"/>
      <c r="J59" s="271"/>
      <c r="K59" s="269"/>
      <c r="L59" s="270"/>
      <c r="M59" s="270"/>
      <c r="N59" s="271"/>
      <c r="O59" s="157"/>
      <c r="P59" s="157"/>
      <c r="Q59" s="157"/>
      <c r="R59" s="157"/>
      <c r="S59" s="269"/>
      <c r="T59" s="270"/>
      <c r="U59" s="270"/>
      <c r="V59" s="271"/>
      <c r="W59" s="269"/>
      <c r="X59" s="270"/>
      <c r="Y59" s="270"/>
      <c r="Z59" s="271"/>
      <c r="AA59" s="260" t="s">
        <v>196</v>
      </c>
      <c r="AB59" s="261"/>
      <c r="AC59" s="261"/>
      <c r="AD59" s="261"/>
      <c r="AE59" s="261"/>
      <c r="AF59" s="262"/>
      <c r="AG59" s="260" t="s">
        <v>240</v>
      </c>
      <c r="AH59" s="261"/>
      <c r="AI59" s="261"/>
      <c r="AJ59" s="261"/>
      <c r="AK59" s="262"/>
      <c r="AL59" s="260" t="s">
        <v>241</v>
      </c>
      <c r="AM59" s="261"/>
      <c r="AN59" s="261"/>
      <c r="AO59" s="261"/>
      <c r="AP59" s="261"/>
      <c r="AQ59" s="262"/>
      <c r="AR59" s="260" t="s">
        <v>242</v>
      </c>
      <c r="AS59" s="261"/>
      <c r="AT59" s="261"/>
      <c r="AU59" s="261"/>
      <c r="AV59" s="261"/>
      <c r="AW59" s="262"/>
      <c r="AX59" s="269"/>
      <c r="AY59" s="270"/>
      <c r="AZ59" s="270"/>
      <c r="BA59" s="270"/>
      <c r="BB59" s="271"/>
      <c r="BC59" s="269"/>
      <c r="BD59" s="270"/>
      <c r="BE59" s="270"/>
      <c r="BF59" s="271"/>
      <c r="BG59" s="269"/>
      <c r="BH59" s="270"/>
      <c r="BI59" s="270"/>
      <c r="BJ59" s="271"/>
      <c r="BK59" s="269"/>
      <c r="BL59" s="270"/>
      <c r="BM59" s="270"/>
      <c r="BN59" s="271"/>
      <c r="BO59" s="8"/>
    </row>
    <row r="60" spans="1:67" ht="15" customHeight="1">
      <c r="A60" s="4"/>
      <c r="C60" s="292"/>
      <c r="D60" s="293"/>
      <c r="E60" s="293"/>
      <c r="F60" s="294"/>
      <c r="G60" s="272"/>
      <c r="H60" s="273"/>
      <c r="I60" s="273"/>
      <c r="J60" s="274"/>
      <c r="K60" s="272"/>
      <c r="L60" s="273"/>
      <c r="M60" s="273"/>
      <c r="N60" s="274"/>
      <c r="O60" s="164"/>
      <c r="P60" s="164"/>
      <c r="Q60" s="164"/>
      <c r="R60" s="164"/>
      <c r="S60" s="272"/>
      <c r="T60" s="273"/>
      <c r="U60" s="273"/>
      <c r="V60" s="274"/>
      <c r="W60" s="272"/>
      <c r="X60" s="273"/>
      <c r="Y60" s="273"/>
      <c r="Z60" s="274"/>
      <c r="AA60" s="263"/>
      <c r="AB60" s="264"/>
      <c r="AC60" s="264"/>
      <c r="AD60" s="264"/>
      <c r="AE60" s="264"/>
      <c r="AF60" s="265"/>
      <c r="AG60" s="263"/>
      <c r="AH60" s="264"/>
      <c r="AI60" s="264"/>
      <c r="AJ60" s="264"/>
      <c r="AK60" s="265"/>
      <c r="AL60" s="263"/>
      <c r="AM60" s="264"/>
      <c r="AN60" s="264"/>
      <c r="AO60" s="264"/>
      <c r="AP60" s="264"/>
      <c r="AQ60" s="265"/>
      <c r="AR60" s="263"/>
      <c r="AS60" s="264"/>
      <c r="AT60" s="264"/>
      <c r="AU60" s="264"/>
      <c r="AV60" s="264"/>
      <c r="AW60" s="265"/>
      <c r="AX60" s="272"/>
      <c r="AY60" s="273"/>
      <c r="AZ60" s="273"/>
      <c r="BA60" s="273"/>
      <c r="BB60" s="274"/>
      <c r="BC60" s="272"/>
      <c r="BD60" s="273"/>
      <c r="BE60" s="273"/>
      <c r="BF60" s="274"/>
      <c r="BG60" s="272"/>
      <c r="BH60" s="273"/>
      <c r="BI60" s="273"/>
      <c r="BJ60" s="274"/>
      <c r="BK60" s="272"/>
      <c r="BL60" s="273"/>
      <c r="BM60" s="273"/>
      <c r="BN60" s="274"/>
      <c r="BO60" s="8"/>
    </row>
    <row r="61" spans="1:67" ht="15" customHeight="1">
      <c r="A61" s="4"/>
      <c r="C61" s="292"/>
      <c r="D61" s="293"/>
      <c r="E61" s="293"/>
      <c r="F61" s="294"/>
      <c r="G61" s="272"/>
      <c r="H61" s="273"/>
      <c r="I61" s="273"/>
      <c r="J61" s="274"/>
      <c r="K61" s="272"/>
      <c r="L61" s="273"/>
      <c r="M61" s="273"/>
      <c r="N61" s="274"/>
      <c r="O61" s="164"/>
      <c r="P61" s="164"/>
      <c r="Q61" s="164"/>
      <c r="R61" s="164"/>
      <c r="S61" s="272"/>
      <c r="T61" s="273"/>
      <c r="U61" s="273"/>
      <c r="V61" s="274"/>
      <c r="W61" s="272"/>
      <c r="X61" s="273"/>
      <c r="Y61" s="273"/>
      <c r="Z61" s="274"/>
      <c r="AA61" s="263"/>
      <c r="AB61" s="264"/>
      <c r="AC61" s="264"/>
      <c r="AD61" s="264"/>
      <c r="AE61" s="264"/>
      <c r="AF61" s="265"/>
      <c r="AG61" s="263"/>
      <c r="AH61" s="264"/>
      <c r="AI61" s="264"/>
      <c r="AJ61" s="264"/>
      <c r="AK61" s="265"/>
      <c r="AL61" s="263"/>
      <c r="AM61" s="264"/>
      <c r="AN61" s="264"/>
      <c r="AO61" s="264"/>
      <c r="AP61" s="264"/>
      <c r="AQ61" s="265"/>
      <c r="AR61" s="263"/>
      <c r="AS61" s="264"/>
      <c r="AT61" s="264"/>
      <c r="AU61" s="264"/>
      <c r="AV61" s="264"/>
      <c r="AW61" s="265"/>
      <c r="AX61" s="272"/>
      <c r="AY61" s="273"/>
      <c r="AZ61" s="273"/>
      <c r="BA61" s="273"/>
      <c r="BB61" s="274"/>
      <c r="BC61" s="272"/>
      <c r="BD61" s="273"/>
      <c r="BE61" s="273"/>
      <c r="BF61" s="274"/>
      <c r="BG61" s="272"/>
      <c r="BH61" s="273"/>
      <c r="BI61" s="273"/>
      <c r="BJ61" s="274"/>
      <c r="BK61" s="272"/>
      <c r="BL61" s="273"/>
      <c r="BM61" s="273"/>
      <c r="BN61" s="274"/>
      <c r="BO61" s="8"/>
    </row>
    <row r="62" spans="1:67" ht="15" customHeight="1">
      <c r="A62" s="4"/>
      <c r="C62" s="292"/>
      <c r="D62" s="293"/>
      <c r="E62" s="293"/>
      <c r="F62" s="294"/>
      <c r="G62" s="272"/>
      <c r="H62" s="273"/>
      <c r="I62" s="273"/>
      <c r="J62" s="274"/>
      <c r="K62" s="272"/>
      <c r="L62" s="273"/>
      <c r="M62" s="273"/>
      <c r="N62" s="274"/>
      <c r="O62" s="164"/>
      <c r="P62" s="164"/>
      <c r="Q62" s="164"/>
      <c r="R62" s="164"/>
      <c r="S62" s="272"/>
      <c r="T62" s="273"/>
      <c r="U62" s="273"/>
      <c r="V62" s="274"/>
      <c r="W62" s="272"/>
      <c r="X62" s="273"/>
      <c r="Y62" s="273"/>
      <c r="Z62" s="274"/>
      <c r="AA62" s="263"/>
      <c r="AB62" s="264"/>
      <c r="AC62" s="264"/>
      <c r="AD62" s="264"/>
      <c r="AE62" s="264"/>
      <c r="AF62" s="265"/>
      <c r="AG62" s="263"/>
      <c r="AH62" s="264"/>
      <c r="AI62" s="264"/>
      <c r="AJ62" s="264"/>
      <c r="AK62" s="265"/>
      <c r="AL62" s="263"/>
      <c r="AM62" s="264"/>
      <c r="AN62" s="264"/>
      <c r="AO62" s="264"/>
      <c r="AP62" s="264"/>
      <c r="AQ62" s="265"/>
      <c r="AR62" s="263"/>
      <c r="AS62" s="264"/>
      <c r="AT62" s="264"/>
      <c r="AU62" s="264"/>
      <c r="AV62" s="264"/>
      <c r="AW62" s="265"/>
      <c r="AX62" s="272"/>
      <c r="AY62" s="273"/>
      <c r="AZ62" s="273"/>
      <c r="BA62" s="273"/>
      <c r="BB62" s="274"/>
      <c r="BC62" s="272"/>
      <c r="BD62" s="273"/>
      <c r="BE62" s="273"/>
      <c r="BF62" s="274"/>
      <c r="BG62" s="272"/>
      <c r="BH62" s="273"/>
      <c r="BI62" s="273"/>
      <c r="BJ62" s="274"/>
      <c r="BK62" s="272"/>
      <c r="BL62" s="273"/>
      <c r="BM62" s="273"/>
      <c r="BN62" s="274"/>
      <c r="BO62" s="8"/>
    </row>
    <row r="63" spans="1:67" ht="15" customHeight="1">
      <c r="A63" s="4"/>
      <c r="C63" s="295"/>
      <c r="D63" s="296"/>
      <c r="E63" s="296"/>
      <c r="F63" s="297"/>
      <c r="G63" s="275"/>
      <c r="H63" s="276"/>
      <c r="I63" s="276"/>
      <c r="J63" s="277"/>
      <c r="K63" s="275"/>
      <c r="L63" s="276"/>
      <c r="M63" s="276"/>
      <c r="N63" s="277"/>
      <c r="O63" s="160"/>
      <c r="P63" s="160"/>
      <c r="Q63" s="160"/>
      <c r="R63" s="160"/>
      <c r="S63" s="275"/>
      <c r="T63" s="276"/>
      <c r="U63" s="276"/>
      <c r="V63" s="277"/>
      <c r="W63" s="275"/>
      <c r="X63" s="276"/>
      <c r="Y63" s="276"/>
      <c r="Z63" s="277"/>
      <c r="AA63" s="266"/>
      <c r="AB63" s="267"/>
      <c r="AC63" s="267"/>
      <c r="AD63" s="267"/>
      <c r="AE63" s="267"/>
      <c r="AF63" s="268"/>
      <c r="AG63" s="266"/>
      <c r="AH63" s="267"/>
      <c r="AI63" s="267"/>
      <c r="AJ63" s="267"/>
      <c r="AK63" s="268"/>
      <c r="AL63" s="266"/>
      <c r="AM63" s="267"/>
      <c r="AN63" s="267"/>
      <c r="AO63" s="267"/>
      <c r="AP63" s="267"/>
      <c r="AQ63" s="268"/>
      <c r="AR63" s="266"/>
      <c r="AS63" s="267"/>
      <c r="AT63" s="267"/>
      <c r="AU63" s="267"/>
      <c r="AV63" s="267"/>
      <c r="AW63" s="268"/>
      <c r="AX63" s="275"/>
      <c r="AY63" s="276"/>
      <c r="AZ63" s="276"/>
      <c r="BA63" s="276"/>
      <c r="BB63" s="277"/>
      <c r="BC63" s="275"/>
      <c r="BD63" s="276"/>
      <c r="BE63" s="276"/>
      <c r="BF63" s="277"/>
      <c r="BG63" s="275"/>
      <c r="BH63" s="276"/>
      <c r="BI63" s="276"/>
      <c r="BJ63" s="277"/>
      <c r="BK63" s="275"/>
      <c r="BL63" s="276"/>
      <c r="BM63" s="276"/>
      <c r="BN63" s="277"/>
      <c r="BO63" s="8"/>
    </row>
    <row r="64" spans="1:67" ht="15" customHeight="1">
      <c r="A64" s="4"/>
      <c r="C64" s="278" t="s">
        <v>179</v>
      </c>
      <c r="D64" s="279"/>
      <c r="E64" s="279"/>
      <c r="F64" s="280"/>
      <c r="G64" s="269"/>
      <c r="H64" s="270"/>
      <c r="I64" s="270"/>
      <c r="J64" s="271"/>
      <c r="K64" s="269"/>
      <c r="L64" s="270"/>
      <c r="M64" s="270"/>
      <c r="N64" s="271"/>
      <c r="O64" s="157"/>
      <c r="P64" s="157"/>
      <c r="Q64" s="157"/>
      <c r="R64" s="157"/>
      <c r="S64" s="269"/>
      <c r="T64" s="270"/>
      <c r="U64" s="270"/>
      <c r="V64" s="271"/>
      <c r="W64" s="269"/>
      <c r="X64" s="270"/>
      <c r="Y64" s="270"/>
      <c r="Z64" s="271"/>
      <c r="AA64" s="269"/>
      <c r="AB64" s="270"/>
      <c r="AC64" s="270"/>
      <c r="AD64" s="270"/>
      <c r="AE64" s="270"/>
      <c r="AF64" s="271"/>
      <c r="AG64" s="260" t="s">
        <v>243</v>
      </c>
      <c r="AH64" s="261"/>
      <c r="AI64" s="261"/>
      <c r="AJ64" s="261"/>
      <c r="AK64" s="262"/>
      <c r="AL64" s="260" t="s">
        <v>243</v>
      </c>
      <c r="AM64" s="261"/>
      <c r="AN64" s="261"/>
      <c r="AO64" s="261"/>
      <c r="AP64" s="261"/>
      <c r="AQ64" s="262"/>
      <c r="AR64" s="260" t="s">
        <v>243</v>
      </c>
      <c r="AS64" s="261"/>
      <c r="AT64" s="261"/>
      <c r="AU64" s="261"/>
      <c r="AV64" s="261"/>
      <c r="AW64" s="262"/>
      <c r="AX64" s="269"/>
      <c r="AY64" s="270"/>
      <c r="AZ64" s="270"/>
      <c r="BA64" s="270"/>
      <c r="BB64" s="271"/>
      <c r="BC64" s="269"/>
      <c r="BD64" s="270"/>
      <c r="BE64" s="270"/>
      <c r="BF64" s="271"/>
      <c r="BG64" s="269"/>
      <c r="BH64" s="270"/>
      <c r="BI64" s="270"/>
      <c r="BJ64" s="271"/>
      <c r="BK64" s="269"/>
      <c r="BL64" s="270"/>
      <c r="BM64" s="270"/>
      <c r="BN64" s="271"/>
      <c r="BO64" s="8"/>
    </row>
    <row r="65" spans="1:67" ht="15" customHeight="1">
      <c r="A65" s="4"/>
      <c r="C65" s="281"/>
      <c r="D65" s="282"/>
      <c r="E65" s="282"/>
      <c r="F65" s="283"/>
      <c r="G65" s="272"/>
      <c r="H65" s="273"/>
      <c r="I65" s="273"/>
      <c r="J65" s="274"/>
      <c r="K65" s="272"/>
      <c r="L65" s="273"/>
      <c r="M65" s="273"/>
      <c r="N65" s="274"/>
      <c r="O65" s="164"/>
      <c r="P65" s="164"/>
      <c r="Q65" s="164"/>
      <c r="R65" s="164"/>
      <c r="S65" s="272"/>
      <c r="T65" s="273"/>
      <c r="U65" s="273"/>
      <c r="V65" s="274"/>
      <c r="W65" s="272"/>
      <c r="X65" s="273"/>
      <c r="Y65" s="273"/>
      <c r="Z65" s="274"/>
      <c r="AA65" s="272"/>
      <c r="AB65" s="273"/>
      <c r="AC65" s="273"/>
      <c r="AD65" s="273"/>
      <c r="AE65" s="273"/>
      <c r="AF65" s="274"/>
      <c r="AG65" s="263"/>
      <c r="AH65" s="264"/>
      <c r="AI65" s="264"/>
      <c r="AJ65" s="264"/>
      <c r="AK65" s="265"/>
      <c r="AL65" s="263"/>
      <c r="AM65" s="264"/>
      <c r="AN65" s="264"/>
      <c r="AO65" s="264"/>
      <c r="AP65" s="264"/>
      <c r="AQ65" s="265"/>
      <c r="AR65" s="263"/>
      <c r="AS65" s="264"/>
      <c r="AT65" s="264"/>
      <c r="AU65" s="264"/>
      <c r="AV65" s="264"/>
      <c r="AW65" s="265"/>
      <c r="AX65" s="272"/>
      <c r="AY65" s="273"/>
      <c r="AZ65" s="273"/>
      <c r="BA65" s="273"/>
      <c r="BB65" s="274"/>
      <c r="BC65" s="272"/>
      <c r="BD65" s="273"/>
      <c r="BE65" s="273"/>
      <c r="BF65" s="274"/>
      <c r="BG65" s="272"/>
      <c r="BH65" s="273"/>
      <c r="BI65" s="273"/>
      <c r="BJ65" s="274"/>
      <c r="BK65" s="272"/>
      <c r="BL65" s="273"/>
      <c r="BM65" s="273"/>
      <c r="BN65" s="274"/>
      <c r="BO65" s="8"/>
    </row>
    <row r="66" spans="1:67" ht="15" customHeight="1">
      <c r="A66" s="4"/>
      <c r="C66" s="281"/>
      <c r="D66" s="282"/>
      <c r="E66" s="282"/>
      <c r="F66" s="283"/>
      <c r="G66" s="272"/>
      <c r="H66" s="273"/>
      <c r="I66" s="273"/>
      <c r="J66" s="274"/>
      <c r="K66" s="272"/>
      <c r="L66" s="273"/>
      <c r="M66" s="273"/>
      <c r="N66" s="274"/>
      <c r="O66" s="164"/>
      <c r="P66" s="164"/>
      <c r="Q66" s="164"/>
      <c r="R66" s="164"/>
      <c r="S66" s="272"/>
      <c r="T66" s="273"/>
      <c r="U66" s="273"/>
      <c r="V66" s="274"/>
      <c r="W66" s="272"/>
      <c r="X66" s="273"/>
      <c r="Y66" s="273"/>
      <c r="Z66" s="274"/>
      <c r="AA66" s="272"/>
      <c r="AB66" s="273"/>
      <c r="AC66" s="273"/>
      <c r="AD66" s="273"/>
      <c r="AE66" s="273"/>
      <c r="AF66" s="274"/>
      <c r="AG66" s="263"/>
      <c r="AH66" s="264"/>
      <c r="AI66" s="264"/>
      <c r="AJ66" s="264"/>
      <c r="AK66" s="265"/>
      <c r="AL66" s="263"/>
      <c r="AM66" s="264"/>
      <c r="AN66" s="264"/>
      <c r="AO66" s="264"/>
      <c r="AP66" s="264"/>
      <c r="AQ66" s="265"/>
      <c r="AR66" s="263"/>
      <c r="AS66" s="264"/>
      <c r="AT66" s="264"/>
      <c r="AU66" s="264"/>
      <c r="AV66" s="264"/>
      <c r="AW66" s="265"/>
      <c r="AX66" s="272"/>
      <c r="AY66" s="273"/>
      <c r="AZ66" s="273"/>
      <c r="BA66" s="273"/>
      <c r="BB66" s="274"/>
      <c r="BC66" s="272"/>
      <c r="BD66" s="273"/>
      <c r="BE66" s="273"/>
      <c r="BF66" s="274"/>
      <c r="BG66" s="272"/>
      <c r="BH66" s="273"/>
      <c r="BI66" s="273"/>
      <c r="BJ66" s="274"/>
      <c r="BK66" s="272"/>
      <c r="BL66" s="273"/>
      <c r="BM66" s="273"/>
      <c r="BN66" s="274"/>
      <c r="BO66" s="8"/>
    </row>
    <row r="67" spans="1:67" ht="15" customHeight="1">
      <c r="A67" s="4"/>
      <c r="C67" s="281"/>
      <c r="D67" s="282"/>
      <c r="E67" s="282"/>
      <c r="F67" s="283"/>
      <c r="G67" s="272"/>
      <c r="H67" s="273"/>
      <c r="I67" s="273"/>
      <c r="J67" s="274"/>
      <c r="K67" s="272"/>
      <c r="L67" s="273"/>
      <c r="M67" s="273"/>
      <c r="N67" s="274"/>
      <c r="O67" s="164"/>
      <c r="P67" s="164"/>
      <c r="Q67" s="164"/>
      <c r="R67" s="164"/>
      <c r="S67" s="272"/>
      <c r="T67" s="273"/>
      <c r="U67" s="273"/>
      <c r="V67" s="274"/>
      <c r="W67" s="272"/>
      <c r="X67" s="273"/>
      <c r="Y67" s="273"/>
      <c r="Z67" s="274"/>
      <c r="AA67" s="272"/>
      <c r="AB67" s="273"/>
      <c r="AC67" s="273"/>
      <c r="AD67" s="273"/>
      <c r="AE67" s="273"/>
      <c r="AF67" s="274"/>
      <c r="AG67" s="263"/>
      <c r="AH67" s="264"/>
      <c r="AI67" s="264"/>
      <c r="AJ67" s="264"/>
      <c r="AK67" s="265"/>
      <c r="AL67" s="263"/>
      <c r="AM67" s="264"/>
      <c r="AN67" s="264"/>
      <c r="AO67" s="264"/>
      <c r="AP67" s="264"/>
      <c r="AQ67" s="265"/>
      <c r="AR67" s="263"/>
      <c r="AS67" s="264"/>
      <c r="AT67" s="264"/>
      <c r="AU67" s="264"/>
      <c r="AV67" s="264"/>
      <c r="AW67" s="265"/>
      <c r="AX67" s="272"/>
      <c r="AY67" s="273"/>
      <c r="AZ67" s="273"/>
      <c r="BA67" s="273"/>
      <c r="BB67" s="274"/>
      <c r="BC67" s="272"/>
      <c r="BD67" s="273"/>
      <c r="BE67" s="273"/>
      <c r="BF67" s="274"/>
      <c r="BG67" s="272"/>
      <c r="BH67" s="273"/>
      <c r="BI67" s="273"/>
      <c r="BJ67" s="274"/>
      <c r="BK67" s="272"/>
      <c r="BL67" s="273"/>
      <c r="BM67" s="273"/>
      <c r="BN67" s="274"/>
      <c r="BO67" s="8"/>
    </row>
    <row r="68" spans="1:67" ht="15" customHeight="1">
      <c r="A68" s="4"/>
      <c r="C68" s="284"/>
      <c r="D68" s="285"/>
      <c r="E68" s="285"/>
      <c r="F68" s="286"/>
      <c r="G68" s="275"/>
      <c r="H68" s="276"/>
      <c r="I68" s="276"/>
      <c r="J68" s="277"/>
      <c r="K68" s="275"/>
      <c r="L68" s="276"/>
      <c r="M68" s="276"/>
      <c r="N68" s="277"/>
      <c r="O68" s="160"/>
      <c r="P68" s="160"/>
      <c r="Q68" s="160"/>
      <c r="R68" s="160"/>
      <c r="S68" s="275"/>
      <c r="T68" s="276"/>
      <c r="U68" s="276"/>
      <c r="V68" s="277"/>
      <c r="W68" s="275"/>
      <c r="X68" s="276"/>
      <c r="Y68" s="276"/>
      <c r="Z68" s="277"/>
      <c r="AA68" s="275"/>
      <c r="AB68" s="276"/>
      <c r="AC68" s="276"/>
      <c r="AD68" s="276"/>
      <c r="AE68" s="276"/>
      <c r="AF68" s="277"/>
      <c r="AG68" s="266"/>
      <c r="AH68" s="267"/>
      <c r="AI68" s="267"/>
      <c r="AJ68" s="267"/>
      <c r="AK68" s="268"/>
      <c r="AL68" s="266"/>
      <c r="AM68" s="267"/>
      <c r="AN68" s="267"/>
      <c r="AO68" s="267"/>
      <c r="AP68" s="267"/>
      <c r="AQ68" s="268"/>
      <c r="AR68" s="266"/>
      <c r="AS68" s="267"/>
      <c r="AT68" s="267"/>
      <c r="AU68" s="267"/>
      <c r="AV68" s="267"/>
      <c r="AW68" s="268"/>
      <c r="AX68" s="275"/>
      <c r="AY68" s="276"/>
      <c r="AZ68" s="276"/>
      <c r="BA68" s="276"/>
      <c r="BB68" s="277"/>
      <c r="BC68" s="275"/>
      <c r="BD68" s="276"/>
      <c r="BE68" s="276"/>
      <c r="BF68" s="277"/>
      <c r="BG68" s="275"/>
      <c r="BH68" s="276"/>
      <c r="BI68" s="276"/>
      <c r="BJ68" s="277"/>
      <c r="BK68" s="275"/>
      <c r="BL68" s="276"/>
      <c r="BM68" s="276"/>
      <c r="BN68" s="277"/>
      <c r="BO68" s="8"/>
    </row>
    <row r="69" spans="1:67" ht="15" customHeight="1">
      <c r="A69" s="4"/>
      <c r="C69" s="278" t="s">
        <v>180</v>
      </c>
      <c r="D69" s="279"/>
      <c r="E69" s="279"/>
      <c r="F69" s="280"/>
      <c r="G69" s="269"/>
      <c r="H69" s="270"/>
      <c r="I69" s="270"/>
      <c r="J69" s="271"/>
      <c r="K69" s="269"/>
      <c r="L69" s="270"/>
      <c r="M69" s="270"/>
      <c r="N69" s="271"/>
      <c r="O69" s="157"/>
      <c r="P69" s="157"/>
      <c r="Q69" s="157"/>
      <c r="R69" s="157"/>
      <c r="S69" s="269"/>
      <c r="T69" s="270"/>
      <c r="U69" s="270"/>
      <c r="V69" s="271"/>
      <c r="W69" s="269"/>
      <c r="X69" s="270"/>
      <c r="Y69" s="270"/>
      <c r="Z69" s="271"/>
      <c r="AA69" s="269"/>
      <c r="AB69" s="270"/>
      <c r="AC69" s="270"/>
      <c r="AD69" s="270"/>
      <c r="AE69" s="270"/>
      <c r="AF69" s="271"/>
      <c r="AG69" s="269"/>
      <c r="AH69" s="270"/>
      <c r="AI69" s="270"/>
      <c r="AJ69" s="270"/>
      <c r="AK69" s="271"/>
      <c r="AL69" s="260" t="s">
        <v>243</v>
      </c>
      <c r="AM69" s="261"/>
      <c r="AN69" s="261"/>
      <c r="AO69" s="261"/>
      <c r="AP69" s="261"/>
      <c r="AQ69" s="262"/>
      <c r="AR69" s="260" t="s">
        <v>243</v>
      </c>
      <c r="AS69" s="261"/>
      <c r="AT69" s="261"/>
      <c r="AU69" s="261"/>
      <c r="AV69" s="261"/>
      <c r="AW69" s="262"/>
      <c r="AX69" s="269"/>
      <c r="AY69" s="270"/>
      <c r="AZ69" s="270"/>
      <c r="BA69" s="270"/>
      <c r="BB69" s="271"/>
      <c r="BC69" s="269"/>
      <c r="BD69" s="270"/>
      <c r="BE69" s="270"/>
      <c r="BF69" s="271"/>
      <c r="BG69" s="269"/>
      <c r="BH69" s="270"/>
      <c r="BI69" s="270"/>
      <c r="BJ69" s="271"/>
      <c r="BK69" s="269"/>
      <c r="BL69" s="270"/>
      <c r="BM69" s="270"/>
      <c r="BN69" s="271"/>
      <c r="BO69" s="8"/>
    </row>
    <row r="70" spans="1:67" ht="15" customHeight="1">
      <c r="A70" s="4"/>
      <c r="C70" s="281"/>
      <c r="D70" s="282"/>
      <c r="E70" s="282"/>
      <c r="F70" s="283"/>
      <c r="G70" s="272"/>
      <c r="H70" s="273"/>
      <c r="I70" s="273"/>
      <c r="J70" s="274"/>
      <c r="K70" s="272"/>
      <c r="L70" s="273"/>
      <c r="M70" s="273"/>
      <c r="N70" s="274"/>
      <c r="O70" s="164"/>
      <c r="P70" s="164"/>
      <c r="Q70" s="164"/>
      <c r="R70" s="164"/>
      <c r="S70" s="272"/>
      <c r="T70" s="273"/>
      <c r="U70" s="273"/>
      <c r="V70" s="274"/>
      <c r="W70" s="272"/>
      <c r="X70" s="273"/>
      <c r="Y70" s="273"/>
      <c r="Z70" s="274"/>
      <c r="AA70" s="272"/>
      <c r="AB70" s="273"/>
      <c r="AC70" s="273"/>
      <c r="AD70" s="273"/>
      <c r="AE70" s="273"/>
      <c r="AF70" s="274"/>
      <c r="AG70" s="272"/>
      <c r="AH70" s="273"/>
      <c r="AI70" s="273"/>
      <c r="AJ70" s="273"/>
      <c r="AK70" s="274"/>
      <c r="AL70" s="263"/>
      <c r="AM70" s="264"/>
      <c r="AN70" s="264"/>
      <c r="AO70" s="264"/>
      <c r="AP70" s="264"/>
      <c r="AQ70" s="265"/>
      <c r="AR70" s="263"/>
      <c r="AS70" s="264"/>
      <c r="AT70" s="264"/>
      <c r="AU70" s="264"/>
      <c r="AV70" s="264"/>
      <c r="AW70" s="265"/>
      <c r="AX70" s="272"/>
      <c r="AY70" s="273"/>
      <c r="AZ70" s="273"/>
      <c r="BA70" s="273"/>
      <c r="BB70" s="274"/>
      <c r="BC70" s="272"/>
      <c r="BD70" s="273"/>
      <c r="BE70" s="273"/>
      <c r="BF70" s="274"/>
      <c r="BG70" s="272"/>
      <c r="BH70" s="273"/>
      <c r="BI70" s="273"/>
      <c r="BJ70" s="274"/>
      <c r="BK70" s="272"/>
      <c r="BL70" s="273"/>
      <c r="BM70" s="273"/>
      <c r="BN70" s="274"/>
      <c r="BO70" s="8"/>
    </row>
    <row r="71" spans="1:67" ht="15" customHeight="1">
      <c r="A71" s="4"/>
      <c r="C71" s="281"/>
      <c r="D71" s="282"/>
      <c r="E71" s="282"/>
      <c r="F71" s="283"/>
      <c r="G71" s="272"/>
      <c r="H71" s="273"/>
      <c r="I71" s="273"/>
      <c r="J71" s="274"/>
      <c r="K71" s="272"/>
      <c r="L71" s="273"/>
      <c r="M71" s="273"/>
      <c r="N71" s="274"/>
      <c r="O71" s="164"/>
      <c r="P71" s="164"/>
      <c r="Q71" s="164"/>
      <c r="R71" s="164"/>
      <c r="S71" s="272"/>
      <c r="T71" s="273"/>
      <c r="U71" s="273"/>
      <c r="V71" s="274"/>
      <c r="W71" s="272"/>
      <c r="X71" s="273"/>
      <c r="Y71" s="273"/>
      <c r="Z71" s="274"/>
      <c r="AA71" s="272"/>
      <c r="AB71" s="273"/>
      <c r="AC71" s="273"/>
      <c r="AD71" s="273"/>
      <c r="AE71" s="273"/>
      <c r="AF71" s="274"/>
      <c r="AG71" s="272"/>
      <c r="AH71" s="273"/>
      <c r="AI71" s="273"/>
      <c r="AJ71" s="273"/>
      <c r="AK71" s="274"/>
      <c r="AL71" s="263"/>
      <c r="AM71" s="264"/>
      <c r="AN71" s="264"/>
      <c r="AO71" s="264"/>
      <c r="AP71" s="264"/>
      <c r="AQ71" s="265"/>
      <c r="AR71" s="263"/>
      <c r="AS71" s="264"/>
      <c r="AT71" s="264"/>
      <c r="AU71" s="264"/>
      <c r="AV71" s="264"/>
      <c r="AW71" s="265"/>
      <c r="AX71" s="272"/>
      <c r="AY71" s="273"/>
      <c r="AZ71" s="273"/>
      <c r="BA71" s="273"/>
      <c r="BB71" s="274"/>
      <c r="BC71" s="272"/>
      <c r="BD71" s="273"/>
      <c r="BE71" s="273"/>
      <c r="BF71" s="274"/>
      <c r="BG71" s="272"/>
      <c r="BH71" s="273"/>
      <c r="BI71" s="273"/>
      <c r="BJ71" s="274"/>
      <c r="BK71" s="272"/>
      <c r="BL71" s="273"/>
      <c r="BM71" s="273"/>
      <c r="BN71" s="274"/>
      <c r="BO71" s="8"/>
    </row>
    <row r="72" spans="1:67" ht="15" customHeight="1">
      <c r="A72" s="4"/>
      <c r="C72" s="281"/>
      <c r="D72" s="282"/>
      <c r="E72" s="282"/>
      <c r="F72" s="283"/>
      <c r="G72" s="272"/>
      <c r="H72" s="273"/>
      <c r="I72" s="273"/>
      <c r="J72" s="274"/>
      <c r="K72" s="272"/>
      <c r="L72" s="273"/>
      <c r="M72" s="273"/>
      <c r="N72" s="274"/>
      <c r="O72" s="164"/>
      <c r="P72" s="164"/>
      <c r="Q72" s="164"/>
      <c r="R72" s="164"/>
      <c r="S72" s="272"/>
      <c r="T72" s="273"/>
      <c r="U72" s="273"/>
      <c r="V72" s="274"/>
      <c r="W72" s="272"/>
      <c r="X72" s="273"/>
      <c r="Y72" s="273"/>
      <c r="Z72" s="274"/>
      <c r="AA72" s="272"/>
      <c r="AB72" s="273"/>
      <c r="AC72" s="273"/>
      <c r="AD72" s="273"/>
      <c r="AE72" s="273"/>
      <c r="AF72" s="274"/>
      <c r="AG72" s="272"/>
      <c r="AH72" s="273"/>
      <c r="AI72" s="273"/>
      <c r="AJ72" s="273"/>
      <c r="AK72" s="274"/>
      <c r="AL72" s="263"/>
      <c r="AM72" s="264"/>
      <c r="AN72" s="264"/>
      <c r="AO72" s="264"/>
      <c r="AP72" s="264"/>
      <c r="AQ72" s="265"/>
      <c r="AR72" s="263"/>
      <c r="AS72" s="264"/>
      <c r="AT72" s="264"/>
      <c r="AU72" s="264"/>
      <c r="AV72" s="264"/>
      <c r="AW72" s="265"/>
      <c r="AX72" s="272"/>
      <c r="AY72" s="273"/>
      <c r="AZ72" s="273"/>
      <c r="BA72" s="273"/>
      <c r="BB72" s="274"/>
      <c r="BC72" s="272"/>
      <c r="BD72" s="273"/>
      <c r="BE72" s="273"/>
      <c r="BF72" s="274"/>
      <c r="BG72" s="272"/>
      <c r="BH72" s="273"/>
      <c r="BI72" s="273"/>
      <c r="BJ72" s="274"/>
      <c r="BK72" s="272"/>
      <c r="BL72" s="273"/>
      <c r="BM72" s="273"/>
      <c r="BN72" s="274"/>
      <c r="BO72" s="8"/>
    </row>
    <row r="73" spans="1:67" ht="15" customHeight="1">
      <c r="A73" s="4"/>
      <c r="C73" s="284"/>
      <c r="D73" s="285"/>
      <c r="E73" s="285"/>
      <c r="F73" s="286"/>
      <c r="G73" s="275"/>
      <c r="H73" s="276"/>
      <c r="I73" s="276"/>
      <c r="J73" s="277"/>
      <c r="K73" s="275"/>
      <c r="L73" s="276"/>
      <c r="M73" s="276"/>
      <c r="N73" s="277"/>
      <c r="O73" s="160"/>
      <c r="P73" s="160"/>
      <c r="Q73" s="160"/>
      <c r="R73" s="160"/>
      <c r="S73" s="275"/>
      <c r="T73" s="276"/>
      <c r="U73" s="276"/>
      <c r="V73" s="277"/>
      <c r="W73" s="275"/>
      <c r="X73" s="276"/>
      <c r="Y73" s="276"/>
      <c r="Z73" s="277"/>
      <c r="AA73" s="275"/>
      <c r="AB73" s="276"/>
      <c r="AC73" s="276"/>
      <c r="AD73" s="276"/>
      <c r="AE73" s="276"/>
      <c r="AF73" s="277"/>
      <c r="AG73" s="275"/>
      <c r="AH73" s="276"/>
      <c r="AI73" s="276"/>
      <c r="AJ73" s="276"/>
      <c r="AK73" s="277"/>
      <c r="AL73" s="266"/>
      <c r="AM73" s="267"/>
      <c r="AN73" s="267"/>
      <c r="AO73" s="267"/>
      <c r="AP73" s="267"/>
      <c r="AQ73" s="268"/>
      <c r="AR73" s="266"/>
      <c r="AS73" s="267"/>
      <c r="AT73" s="267"/>
      <c r="AU73" s="267"/>
      <c r="AV73" s="267"/>
      <c r="AW73" s="268"/>
      <c r="AX73" s="275"/>
      <c r="AY73" s="276"/>
      <c r="AZ73" s="276"/>
      <c r="BA73" s="276"/>
      <c r="BB73" s="277"/>
      <c r="BC73" s="275"/>
      <c r="BD73" s="276"/>
      <c r="BE73" s="276"/>
      <c r="BF73" s="277"/>
      <c r="BG73" s="275"/>
      <c r="BH73" s="276"/>
      <c r="BI73" s="276"/>
      <c r="BJ73" s="277"/>
      <c r="BK73" s="275"/>
      <c r="BL73" s="276"/>
      <c r="BM73" s="276"/>
      <c r="BN73" s="277"/>
      <c r="BO73" s="8"/>
    </row>
    <row r="74" spans="1:67" ht="15" customHeight="1">
      <c r="A74" s="4"/>
      <c r="C74" s="278" t="s">
        <v>181</v>
      </c>
      <c r="D74" s="279"/>
      <c r="E74" s="279"/>
      <c r="F74" s="280"/>
      <c r="G74" s="269"/>
      <c r="H74" s="270"/>
      <c r="I74" s="270"/>
      <c r="J74" s="271"/>
      <c r="K74" s="269"/>
      <c r="L74" s="270"/>
      <c r="M74" s="270"/>
      <c r="N74" s="271"/>
      <c r="O74" s="157"/>
      <c r="P74" s="157"/>
      <c r="Q74" s="157"/>
      <c r="R74" s="157"/>
      <c r="S74" s="269"/>
      <c r="T74" s="270"/>
      <c r="U74" s="270"/>
      <c r="V74" s="271"/>
      <c r="W74" s="269"/>
      <c r="X74" s="270"/>
      <c r="Y74" s="270"/>
      <c r="Z74" s="271"/>
      <c r="AA74" s="269"/>
      <c r="AB74" s="270"/>
      <c r="AC74" s="270"/>
      <c r="AD74" s="270"/>
      <c r="AE74" s="270"/>
      <c r="AF74" s="271"/>
      <c r="AG74" s="269"/>
      <c r="AH74" s="270"/>
      <c r="AI74" s="270"/>
      <c r="AJ74" s="270"/>
      <c r="AK74" s="271"/>
      <c r="AL74" s="269"/>
      <c r="AM74" s="270"/>
      <c r="AN74" s="270"/>
      <c r="AO74" s="270"/>
      <c r="AP74" s="270"/>
      <c r="AQ74" s="271"/>
      <c r="AR74" s="260" t="s">
        <v>243</v>
      </c>
      <c r="AS74" s="261"/>
      <c r="AT74" s="261"/>
      <c r="AU74" s="261"/>
      <c r="AV74" s="261"/>
      <c r="AW74" s="262"/>
      <c r="AX74" s="269"/>
      <c r="AY74" s="270"/>
      <c r="AZ74" s="270"/>
      <c r="BA74" s="270"/>
      <c r="BB74" s="271"/>
      <c r="BC74" s="269"/>
      <c r="BD74" s="270"/>
      <c r="BE74" s="270"/>
      <c r="BF74" s="271"/>
      <c r="BG74" s="269"/>
      <c r="BH74" s="270"/>
      <c r="BI74" s="270"/>
      <c r="BJ74" s="271"/>
      <c r="BK74" s="269"/>
      <c r="BL74" s="270"/>
      <c r="BM74" s="270"/>
      <c r="BN74" s="271"/>
      <c r="BO74" s="8"/>
    </row>
    <row r="75" spans="1:67" ht="15" customHeight="1">
      <c r="A75" s="4"/>
      <c r="C75" s="281"/>
      <c r="D75" s="282"/>
      <c r="E75" s="282"/>
      <c r="F75" s="283"/>
      <c r="G75" s="272"/>
      <c r="H75" s="273"/>
      <c r="I75" s="273"/>
      <c r="J75" s="274"/>
      <c r="K75" s="272"/>
      <c r="L75" s="273"/>
      <c r="M75" s="273"/>
      <c r="N75" s="274"/>
      <c r="O75" s="164"/>
      <c r="P75" s="164"/>
      <c r="Q75" s="164"/>
      <c r="R75" s="164"/>
      <c r="S75" s="272"/>
      <c r="T75" s="273"/>
      <c r="U75" s="273"/>
      <c r="V75" s="274"/>
      <c r="W75" s="272"/>
      <c r="X75" s="273"/>
      <c r="Y75" s="273"/>
      <c r="Z75" s="274"/>
      <c r="AA75" s="263"/>
      <c r="AB75" s="264"/>
      <c r="AC75" s="264"/>
      <c r="AD75" s="264"/>
      <c r="AE75" s="264"/>
      <c r="AF75" s="265"/>
      <c r="AG75" s="272"/>
      <c r="AH75" s="273"/>
      <c r="AI75" s="273"/>
      <c r="AJ75" s="273"/>
      <c r="AK75" s="274"/>
      <c r="AL75" s="272"/>
      <c r="AM75" s="273"/>
      <c r="AN75" s="273"/>
      <c r="AO75" s="273"/>
      <c r="AP75" s="273"/>
      <c r="AQ75" s="274"/>
      <c r="AR75" s="263"/>
      <c r="AS75" s="264"/>
      <c r="AT75" s="264"/>
      <c r="AU75" s="264"/>
      <c r="AV75" s="264"/>
      <c r="AW75" s="265"/>
      <c r="AX75" s="272"/>
      <c r="AY75" s="273"/>
      <c r="AZ75" s="273"/>
      <c r="BA75" s="273"/>
      <c r="BB75" s="274"/>
      <c r="BC75" s="272"/>
      <c r="BD75" s="273"/>
      <c r="BE75" s="273"/>
      <c r="BF75" s="274"/>
      <c r="BG75" s="272"/>
      <c r="BH75" s="273"/>
      <c r="BI75" s="273"/>
      <c r="BJ75" s="274"/>
      <c r="BK75" s="272"/>
      <c r="BL75" s="273"/>
      <c r="BM75" s="273"/>
      <c r="BN75" s="274"/>
      <c r="BO75" s="8"/>
    </row>
    <row r="76" spans="1:67" ht="15" customHeight="1">
      <c r="A76" s="4"/>
      <c r="C76" s="281"/>
      <c r="D76" s="282"/>
      <c r="E76" s="282"/>
      <c r="F76" s="283"/>
      <c r="G76" s="272"/>
      <c r="H76" s="273"/>
      <c r="I76" s="273"/>
      <c r="J76" s="274"/>
      <c r="K76" s="272"/>
      <c r="L76" s="273"/>
      <c r="M76" s="273"/>
      <c r="N76" s="274"/>
      <c r="O76" s="164"/>
      <c r="P76" s="164"/>
      <c r="Q76" s="164"/>
      <c r="R76" s="164"/>
      <c r="S76" s="272"/>
      <c r="T76" s="273"/>
      <c r="U76" s="273"/>
      <c r="V76" s="274"/>
      <c r="W76" s="272"/>
      <c r="X76" s="273"/>
      <c r="Y76" s="273"/>
      <c r="Z76" s="274"/>
      <c r="AA76" s="263"/>
      <c r="AB76" s="264"/>
      <c r="AC76" s="264"/>
      <c r="AD76" s="264"/>
      <c r="AE76" s="264"/>
      <c r="AF76" s="265"/>
      <c r="AG76" s="272"/>
      <c r="AH76" s="273"/>
      <c r="AI76" s="273"/>
      <c r="AJ76" s="273"/>
      <c r="AK76" s="274"/>
      <c r="AL76" s="272"/>
      <c r="AM76" s="273"/>
      <c r="AN76" s="273"/>
      <c r="AO76" s="273"/>
      <c r="AP76" s="273"/>
      <c r="AQ76" s="274"/>
      <c r="AR76" s="263"/>
      <c r="AS76" s="264"/>
      <c r="AT76" s="264"/>
      <c r="AU76" s="264"/>
      <c r="AV76" s="264"/>
      <c r="AW76" s="265"/>
      <c r="AX76" s="272"/>
      <c r="AY76" s="273"/>
      <c r="AZ76" s="273"/>
      <c r="BA76" s="273"/>
      <c r="BB76" s="274"/>
      <c r="BC76" s="272"/>
      <c r="BD76" s="273"/>
      <c r="BE76" s="273"/>
      <c r="BF76" s="274"/>
      <c r="BG76" s="272"/>
      <c r="BH76" s="273"/>
      <c r="BI76" s="273"/>
      <c r="BJ76" s="274"/>
      <c r="BK76" s="272"/>
      <c r="BL76" s="273"/>
      <c r="BM76" s="273"/>
      <c r="BN76" s="274"/>
      <c r="BO76" s="8"/>
    </row>
    <row r="77" spans="1:67" ht="15" customHeight="1">
      <c r="A77" s="4"/>
      <c r="C77" s="281"/>
      <c r="D77" s="282"/>
      <c r="E77" s="282"/>
      <c r="F77" s="283"/>
      <c r="G77" s="272"/>
      <c r="H77" s="273"/>
      <c r="I77" s="273"/>
      <c r="J77" s="274"/>
      <c r="K77" s="272"/>
      <c r="L77" s="273"/>
      <c r="M77" s="273"/>
      <c r="N77" s="274"/>
      <c r="O77" s="164"/>
      <c r="P77" s="164"/>
      <c r="Q77" s="164"/>
      <c r="R77" s="164"/>
      <c r="S77" s="272"/>
      <c r="T77" s="273"/>
      <c r="U77" s="273"/>
      <c r="V77" s="274"/>
      <c r="W77" s="272"/>
      <c r="X77" s="273"/>
      <c r="Y77" s="273"/>
      <c r="Z77" s="274"/>
      <c r="AA77" s="263"/>
      <c r="AB77" s="264"/>
      <c r="AC77" s="264"/>
      <c r="AD77" s="264"/>
      <c r="AE77" s="264"/>
      <c r="AF77" s="265"/>
      <c r="AG77" s="272"/>
      <c r="AH77" s="273"/>
      <c r="AI77" s="273"/>
      <c r="AJ77" s="273"/>
      <c r="AK77" s="274"/>
      <c r="AL77" s="272"/>
      <c r="AM77" s="273"/>
      <c r="AN77" s="273"/>
      <c r="AO77" s="273"/>
      <c r="AP77" s="273"/>
      <c r="AQ77" s="274"/>
      <c r="AR77" s="263"/>
      <c r="AS77" s="264"/>
      <c r="AT77" s="264"/>
      <c r="AU77" s="264"/>
      <c r="AV77" s="264"/>
      <c r="AW77" s="265"/>
      <c r="AX77" s="272"/>
      <c r="AY77" s="273"/>
      <c r="AZ77" s="273"/>
      <c r="BA77" s="273"/>
      <c r="BB77" s="274"/>
      <c r="BC77" s="272"/>
      <c r="BD77" s="273"/>
      <c r="BE77" s="273"/>
      <c r="BF77" s="274"/>
      <c r="BG77" s="272"/>
      <c r="BH77" s="273"/>
      <c r="BI77" s="273"/>
      <c r="BJ77" s="274"/>
      <c r="BK77" s="272"/>
      <c r="BL77" s="273"/>
      <c r="BM77" s="273"/>
      <c r="BN77" s="274"/>
      <c r="BO77" s="8"/>
    </row>
    <row r="78" spans="1:67" ht="15" customHeight="1">
      <c r="A78" s="4"/>
      <c r="C78" s="284"/>
      <c r="D78" s="285"/>
      <c r="E78" s="285"/>
      <c r="F78" s="286"/>
      <c r="G78" s="275"/>
      <c r="H78" s="276"/>
      <c r="I78" s="276"/>
      <c r="J78" s="277"/>
      <c r="K78" s="275"/>
      <c r="L78" s="276"/>
      <c r="M78" s="276"/>
      <c r="N78" s="277"/>
      <c r="O78" s="160"/>
      <c r="P78" s="160"/>
      <c r="Q78" s="160"/>
      <c r="R78" s="160"/>
      <c r="S78" s="275"/>
      <c r="T78" s="276"/>
      <c r="U78" s="276"/>
      <c r="V78" s="277"/>
      <c r="W78" s="275"/>
      <c r="X78" s="276"/>
      <c r="Y78" s="276"/>
      <c r="Z78" s="277"/>
      <c r="AA78" s="266"/>
      <c r="AB78" s="267"/>
      <c r="AC78" s="267"/>
      <c r="AD78" s="267"/>
      <c r="AE78" s="267"/>
      <c r="AF78" s="268"/>
      <c r="AG78" s="275"/>
      <c r="AH78" s="276"/>
      <c r="AI78" s="276"/>
      <c r="AJ78" s="276"/>
      <c r="AK78" s="277"/>
      <c r="AL78" s="275"/>
      <c r="AM78" s="276"/>
      <c r="AN78" s="276"/>
      <c r="AO78" s="276"/>
      <c r="AP78" s="276"/>
      <c r="AQ78" s="277"/>
      <c r="AR78" s="266"/>
      <c r="AS78" s="267"/>
      <c r="AT78" s="267"/>
      <c r="AU78" s="267"/>
      <c r="AV78" s="267"/>
      <c r="AW78" s="268"/>
      <c r="AX78" s="275"/>
      <c r="AY78" s="276"/>
      <c r="AZ78" s="276"/>
      <c r="BA78" s="276"/>
      <c r="BB78" s="277"/>
      <c r="BC78" s="275"/>
      <c r="BD78" s="276"/>
      <c r="BE78" s="276"/>
      <c r="BF78" s="277"/>
      <c r="BG78" s="275"/>
      <c r="BH78" s="276"/>
      <c r="BI78" s="276"/>
      <c r="BJ78" s="277"/>
      <c r="BK78" s="275"/>
      <c r="BL78" s="276"/>
      <c r="BM78" s="276"/>
      <c r="BN78" s="277"/>
      <c r="BO78" s="8"/>
    </row>
    <row r="79" spans="1:67" ht="15" customHeight="1">
      <c r="A79" s="4"/>
      <c r="BO79" s="8"/>
    </row>
    <row r="80" spans="1:67" ht="15" customHeight="1">
      <c r="A80" s="4"/>
      <c r="C80" t="s">
        <v>244</v>
      </c>
      <c r="BK80" s="8"/>
    </row>
    <row r="81" spans="1:63" ht="15" customHeight="1">
      <c r="A81" s="4"/>
      <c r="C81" t="s">
        <v>245</v>
      </c>
      <c r="BK81" s="8"/>
    </row>
    <row r="82" spans="1:63" ht="15" customHeight="1">
      <c r="A82" s="4"/>
      <c r="C82" t="s">
        <v>246</v>
      </c>
      <c r="BK82" s="8"/>
    </row>
    <row r="83" spans="1:63" ht="15" customHeight="1">
      <c r="A83" s="4"/>
      <c r="C83" t="s">
        <v>247</v>
      </c>
      <c r="BK83" s="8"/>
    </row>
    <row r="84" spans="1:63" ht="15" customHeight="1">
      <c r="A84" s="4"/>
      <c r="C84" t="s">
        <v>248</v>
      </c>
      <c r="BK84" s="8"/>
    </row>
    <row r="85" spans="1:63" ht="15" customHeight="1">
      <c r="A85" s="4"/>
      <c r="C85" t="s">
        <v>249</v>
      </c>
      <c r="BK85" s="8"/>
    </row>
    <row r="86" spans="1:63" ht="15" customHeight="1">
      <c r="A86" s="4"/>
      <c r="BK86" s="8"/>
    </row>
    <row r="87" spans="1:63" ht="15" customHeight="1">
      <c r="A87" s="4"/>
      <c r="BK87" s="8"/>
    </row>
    <row r="88" spans="1:63" ht="15" customHeight="1">
      <c r="A88" s="4"/>
      <c r="BK88" s="8"/>
    </row>
    <row r="89" spans="1:63" ht="15" customHeight="1">
      <c r="A89" s="4"/>
      <c r="BK89" s="8"/>
    </row>
    <row r="90" spans="1:63" ht="15" customHeight="1">
      <c r="A90" s="4"/>
      <c r="BK90" s="8"/>
    </row>
    <row r="91" spans="1:63" ht="15" customHeight="1">
      <c r="A91" s="4"/>
      <c r="BK91" s="8"/>
    </row>
    <row r="92" spans="1:63" ht="15" customHeight="1">
      <c r="A92" s="4"/>
      <c r="BK92" s="8"/>
    </row>
    <row r="93" spans="1:63" ht="15" customHeight="1">
      <c r="A93" s="4"/>
      <c r="BK93" s="8"/>
    </row>
    <row r="94" spans="1:63" ht="15" customHeight="1">
      <c r="A94" s="4"/>
      <c r="BK94" s="8"/>
    </row>
    <row r="95" spans="1:63" ht="15" customHeight="1">
      <c r="A95" s="4"/>
      <c r="BK95" s="8"/>
    </row>
    <row r="96" spans="1:63" ht="15" customHeight="1">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9"/>
    </row>
  </sheetData>
  <mergeCells count="251">
    <mergeCell ref="G12:J12"/>
    <mergeCell ref="G13:J13"/>
    <mergeCell ref="BC10:BF10"/>
    <mergeCell ref="BC11:BF11"/>
    <mergeCell ref="BC12:BF12"/>
    <mergeCell ref="BC13:BF13"/>
    <mergeCell ref="AX10:BB10"/>
    <mergeCell ref="AX11:BB11"/>
    <mergeCell ref="AX12:BB12"/>
    <mergeCell ref="AX13:BB13"/>
    <mergeCell ref="W10:Z10"/>
    <mergeCell ref="W11:Z11"/>
    <mergeCell ref="W12:Z12"/>
    <mergeCell ref="W13:Z13"/>
    <mergeCell ref="AA10:AF10"/>
    <mergeCell ref="AA11:AF11"/>
    <mergeCell ref="AA12:AF12"/>
    <mergeCell ref="AA13:AF13"/>
    <mergeCell ref="AL10:AQ10"/>
    <mergeCell ref="AL11:AQ11"/>
    <mergeCell ref="AL12:AQ12"/>
    <mergeCell ref="AL13:AQ13"/>
    <mergeCell ref="AG10:AK10"/>
    <mergeCell ref="AG11:AK11"/>
    <mergeCell ref="BK10:BN10"/>
    <mergeCell ref="BK11:BN11"/>
    <mergeCell ref="BK12:BN12"/>
    <mergeCell ref="BK13:BN13"/>
    <mergeCell ref="BG10:BJ10"/>
    <mergeCell ref="BG11:BJ11"/>
    <mergeCell ref="BG12:BJ12"/>
    <mergeCell ref="BG13:BJ13"/>
    <mergeCell ref="AR11:AW11"/>
    <mergeCell ref="AR12:AW12"/>
    <mergeCell ref="AR13:AW13"/>
    <mergeCell ref="AG12:AK12"/>
    <mergeCell ref="AG13:AK13"/>
    <mergeCell ref="O7:R9"/>
    <mergeCell ref="C24:F28"/>
    <mergeCell ref="O24:R28"/>
    <mergeCell ref="S24:V28"/>
    <mergeCell ref="O14:R18"/>
    <mergeCell ref="O19:R23"/>
    <mergeCell ref="C10:F10"/>
    <mergeCell ref="C11:F11"/>
    <mergeCell ref="C12:F12"/>
    <mergeCell ref="C13:F13"/>
    <mergeCell ref="S10:V10"/>
    <mergeCell ref="S11:V11"/>
    <mergeCell ref="S12:V12"/>
    <mergeCell ref="S13:V13"/>
    <mergeCell ref="O10:R10"/>
    <mergeCell ref="O11:R11"/>
    <mergeCell ref="O12:R12"/>
    <mergeCell ref="O13:R13"/>
    <mergeCell ref="K10:N10"/>
    <mergeCell ref="K11:N11"/>
    <mergeCell ref="K12:N12"/>
    <mergeCell ref="K13:N13"/>
    <mergeCell ref="G10:J10"/>
    <mergeCell ref="G11:J11"/>
    <mergeCell ref="AX7:BB9"/>
    <mergeCell ref="K2:V3"/>
    <mergeCell ref="A2:J3"/>
    <mergeCell ref="BC7:BF9"/>
    <mergeCell ref="C44:F48"/>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C7:F9"/>
    <mergeCell ref="G7:J9"/>
    <mergeCell ref="W7:Z9"/>
    <mergeCell ref="S7:V9"/>
    <mergeCell ref="K7:N9"/>
    <mergeCell ref="C39:F43"/>
    <mergeCell ref="G39:J43"/>
    <mergeCell ref="K39:N43"/>
    <mergeCell ref="S39:V43"/>
    <mergeCell ref="W39:Z43"/>
    <mergeCell ref="C14:F18"/>
    <mergeCell ref="C19:F23"/>
    <mergeCell ref="G19:J23"/>
    <mergeCell ref="K19:N23"/>
    <mergeCell ref="S19:V23"/>
    <mergeCell ref="W19:Z23"/>
    <mergeCell ref="W14:Z18"/>
    <mergeCell ref="C34:F38"/>
    <mergeCell ref="G34:J38"/>
    <mergeCell ref="K34:N38"/>
    <mergeCell ref="S34:V38"/>
    <mergeCell ref="W34:Z38"/>
    <mergeCell ref="C29:F33"/>
    <mergeCell ref="C49:F53"/>
    <mergeCell ref="G49:J53"/>
    <mergeCell ref="K49:N53"/>
    <mergeCell ref="S49:V53"/>
    <mergeCell ref="W49:Z53"/>
    <mergeCell ref="BC69:BF73"/>
    <mergeCell ref="BC74:BF78"/>
    <mergeCell ref="G54:J58"/>
    <mergeCell ref="K54:N58"/>
    <mergeCell ref="S54:V58"/>
    <mergeCell ref="W54:Z58"/>
    <mergeCell ref="C54:F58"/>
    <mergeCell ref="C74:F78"/>
    <mergeCell ref="C69:F73"/>
    <mergeCell ref="C64:F68"/>
    <mergeCell ref="C59:F63"/>
    <mergeCell ref="G69:J73"/>
    <mergeCell ref="BC59:BF63"/>
    <mergeCell ref="BC64:BF68"/>
    <mergeCell ref="BC54:BF58"/>
    <mergeCell ref="G74:J78"/>
    <mergeCell ref="K74:N78"/>
    <mergeCell ref="S74:V78"/>
    <mergeCell ref="W74:Z78"/>
    <mergeCell ref="BC19:BF23"/>
    <mergeCell ref="BC14:BF18"/>
    <mergeCell ref="BC34:BF38"/>
    <mergeCell ref="BC39:BF43"/>
    <mergeCell ref="BC44:BF48"/>
    <mergeCell ref="AX74:BB78"/>
    <mergeCell ref="AX69:BB73"/>
    <mergeCell ref="AX64:BB68"/>
    <mergeCell ref="AX59:BB63"/>
    <mergeCell ref="AX54:BB58"/>
    <mergeCell ref="AX49:BB53"/>
    <mergeCell ref="BC49:BF53"/>
    <mergeCell ref="BC29:BF33"/>
    <mergeCell ref="AX44:BB48"/>
    <mergeCell ref="AX39:BB43"/>
    <mergeCell ref="AX34:BB38"/>
    <mergeCell ref="AX29:BB33"/>
    <mergeCell ref="AX19:BB23"/>
    <mergeCell ref="AX14:BB18"/>
    <mergeCell ref="AA74:AF78"/>
    <mergeCell ref="AA69:AF73"/>
    <mergeCell ref="AA64:AF68"/>
    <mergeCell ref="BK14:BN18"/>
    <mergeCell ref="BK19:BN23"/>
    <mergeCell ref="BK29:BN33"/>
    <mergeCell ref="BK34:BN38"/>
    <mergeCell ref="BK39:BN43"/>
    <mergeCell ref="BK44:BN48"/>
    <mergeCell ref="BK49:BN53"/>
    <mergeCell ref="BK54:BN58"/>
    <mergeCell ref="BG14:BJ18"/>
    <mergeCell ref="BG19:BJ23"/>
    <mergeCell ref="BG29:BJ33"/>
    <mergeCell ref="BG34:BJ38"/>
    <mergeCell ref="BG39:BJ43"/>
    <mergeCell ref="BG44:BJ48"/>
    <mergeCell ref="BG49:BJ53"/>
    <mergeCell ref="BG54:BJ58"/>
    <mergeCell ref="AA34:AF38"/>
    <mergeCell ref="AR54:AW58"/>
    <mergeCell ref="AR59:AW63"/>
    <mergeCell ref="AR64:AW68"/>
    <mergeCell ref="AL54:AQ58"/>
    <mergeCell ref="AL59:AQ63"/>
    <mergeCell ref="BK69:BN73"/>
    <mergeCell ref="BK74:BN78"/>
    <mergeCell ref="BG69:BJ73"/>
    <mergeCell ref="BG74:BJ78"/>
    <mergeCell ref="BG59:BJ63"/>
    <mergeCell ref="BG64:BJ68"/>
    <mergeCell ref="AA19:AF23"/>
    <mergeCell ref="AA14:AF18"/>
    <mergeCell ref="AA7:AF9"/>
    <mergeCell ref="BG7:BJ9"/>
    <mergeCell ref="BK7:BN9"/>
    <mergeCell ref="AA29:AF33"/>
    <mergeCell ref="BK59:BN63"/>
    <mergeCell ref="BK64:BN68"/>
    <mergeCell ref="AL64:AQ68"/>
    <mergeCell ref="AG19:AK23"/>
    <mergeCell ref="AG14:AK18"/>
    <mergeCell ref="AG7:AK9"/>
    <mergeCell ref="AG59:AK63"/>
    <mergeCell ref="AG54:AK58"/>
    <mergeCell ref="AG49:AK53"/>
    <mergeCell ref="AG44:AK48"/>
    <mergeCell ref="AG39:AK43"/>
    <mergeCell ref="AG34:AK38"/>
    <mergeCell ref="AR10:AW10"/>
    <mergeCell ref="AA59:AF63"/>
    <mergeCell ref="AA54:AF58"/>
    <mergeCell ref="AA49:AF53"/>
    <mergeCell ref="AA44:AF48"/>
    <mergeCell ref="AA39:AF43"/>
    <mergeCell ref="AL69:AQ73"/>
    <mergeCell ref="AL74:AQ78"/>
    <mergeCell ref="AG74:AK78"/>
    <mergeCell ref="AG69:AK73"/>
    <mergeCell ref="AG64:AK68"/>
    <mergeCell ref="AR69:AW73"/>
    <mergeCell ref="AR74:AW78"/>
    <mergeCell ref="AL7:AQ9"/>
    <mergeCell ref="AL14:AQ18"/>
    <mergeCell ref="AL19:AQ23"/>
    <mergeCell ref="AL29:AQ33"/>
    <mergeCell ref="AL34:AQ38"/>
    <mergeCell ref="AL39:AQ43"/>
    <mergeCell ref="AL44:AQ48"/>
    <mergeCell ref="AL49:AQ53"/>
    <mergeCell ref="AR7:AW9"/>
    <mergeCell ref="AR14:AW18"/>
    <mergeCell ref="AR19:AW23"/>
    <mergeCell ref="AR29:AW33"/>
    <mergeCell ref="AR34:AW38"/>
    <mergeCell ref="AR39:AW43"/>
    <mergeCell ref="AR44:AW48"/>
    <mergeCell ref="AR49:AW53"/>
    <mergeCell ref="AG29:AK33"/>
    <mergeCell ref="S14:V18"/>
    <mergeCell ref="K14:N18"/>
    <mergeCell ref="G14:J18"/>
    <mergeCell ref="G44:J48"/>
    <mergeCell ref="K44:N48"/>
    <mergeCell ref="S44:V48"/>
    <mergeCell ref="W44:Z48"/>
    <mergeCell ref="K69:N73"/>
    <mergeCell ref="S69:V73"/>
    <mergeCell ref="W69:Z73"/>
    <mergeCell ref="S29:V33"/>
    <mergeCell ref="W29:Z33"/>
    <mergeCell ref="G59:J63"/>
    <mergeCell ref="K59:N63"/>
    <mergeCell ref="S59:V63"/>
    <mergeCell ref="W59:Z63"/>
    <mergeCell ref="G64:J68"/>
    <mergeCell ref="K64:N68"/>
    <mergeCell ref="S64:V68"/>
    <mergeCell ref="W64:Z68"/>
    <mergeCell ref="G29:J33"/>
    <mergeCell ref="K29:N33"/>
  </mergeCells>
  <phoneticPr fontId="1"/>
  <printOptions horizontalCentered="1" verticalCentered="1"/>
  <pageMargins left="0.59055118110236204" right="0.59055118110236204" top="0.39370078740157499" bottom="0.39370078740157499" header="0.31496062992126" footer="0.31496062992126"/>
  <pageSetup paperSize="9" scale="35"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5"/>
  <sheetViews>
    <sheetView view="pageBreakPreview" zoomScaleNormal="75" zoomScaleSheetLayoutView="100" workbookViewId="0">
      <selection activeCell="B18" sqref="B18"/>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マークダウン</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71" t="s">
        <v>250</v>
      </c>
      <c r="BK8" s="8"/>
    </row>
    <row r="9" spans="1:63" ht="15" customHeight="1">
      <c r="A9" s="4"/>
      <c r="B9" s="55"/>
      <c r="BK9" s="8"/>
    </row>
    <row r="10" spans="1:63" ht="15" customHeight="1">
      <c r="A10" s="4"/>
      <c r="B10" s="55" t="s">
        <v>251</v>
      </c>
      <c r="BK10" s="8"/>
    </row>
    <row r="11" spans="1:63" ht="15" customHeight="1">
      <c r="A11" s="4"/>
      <c r="B11" t="s">
        <v>104</v>
      </c>
      <c r="C11" s="72" t="s">
        <v>252</v>
      </c>
      <c r="BK11" s="8"/>
    </row>
    <row r="12" spans="1:63" ht="15" customHeight="1">
      <c r="A12" s="4"/>
      <c r="BK12" s="8"/>
    </row>
    <row r="13" spans="1:63" ht="15" customHeight="1">
      <c r="A13" s="4"/>
      <c r="B13" s="55" t="s">
        <v>253</v>
      </c>
      <c r="BK13" s="8"/>
    </row>
    <row r="14" spans="1:63" ht="15" customHeight="1">
      <c r="A14" s="4"/>
      <c r="B14" t="s">
        <v>104</v>
      </c>
      <c r="C14" t="s">
        <v>254</v>
      </c>
      <c r="BK14" s="8"/>
    </row>
    <row r="15" spans="1:63" ht="15" customHeight="1">
      <c r="A15" s="4"/>
      <c r="BK15" s="8"/>
    </row>
    <row r="16" spans="1:63" ht="15" customHeight="1">
      <c r="A16" s="4"/>
      <c r="B16" s="55" t="s">
        <v>255</v>
      </c>
      <c r="BK16" s="8"/>
    </row>
    <row r="17" spans="1:63" ht="15" customHeight="1">
      <c r="A17" s="4"/>
      <c r="B17" s="59" t="s">
        <v>104</v>
      </c>
      <c r="C17" t="s">
        <v>256</v>
      </c>
      <c r="BK17" s="8"/>
    </row>
    <row r="18" spans="1:63" ht="15" customHeight="1">
      <c r="A18" s="4"/>
      <c r="B18" s="59" t="s">
        <v>104</v>
      </c>
      <c r="C18" t="s">
        <v>257</v>
      </c>
      <c r="BK18" s="8"/>
    </row>
    <row r="19" spans="1:63" ht="15" customHeight="1">
      <c r="A19" s="4"/>
      <c r="B19" s="59"/>
      <c r="BK19" s="8"/>
    </row>
    <row r="20" spans="1:63" ht="15" customHeight="1">
      <c r="A20" s="4"/>
      <c r="B20" s="55" t="s">
        <v>258</v>
      </c>
      <c r="BK20" s="8"/>
    </row>
    <row r="21" spans="1:63" ht="15" customHeight="1">
      <c r="A21" s="4"/>
      <c r="B21" s="59" t="s">
        <v>104</v>
      </c>
      <c r="C21" t="s">
        <v>259</v>
      </c>
      <c r="BK21" s="8"/>
    </row>
    <row r="22" spans="1:63" ht="15" customHeight="1">
      <c r="A22" s="4"/>
      <c r="B22" s="55"/>
      <c r="BK22" s="8"/>
    </row>
    <row r="23" spans="1:63" ht="15" customHeight="1">
      <c r="A23" s="4"/>
      <c r="B23" s="55" t="s">
        <v>260</v>
      </c>
      <c r="BK23" s="8"/>
    </row>
    <row r="24" spans="1:63" ht="15" customHeight="1">
      <c r="A24" s="4"/>
      <c r="B24" s="55" t="s">
        <v>85</v>
      </c>
      <c r="C24" t="s">
        <v>261</v>
      </c>
      <c r="BK24" s="8"/>
    </row>
    <row r="25" spans="1:63" ht="15" customHeight="1">
      <c r="A25" s="4"/>
      <c r="B25" s="55" t="s">
        <v>112</v>
      </c>
      <c r="C25" t="s">
        <v>262</v>
      </c>
      <c r="BK25" s="8"/>
    </row>
    <row r="26" spans="1:63" ht="15" customHeight="1">
      <c r="A26" s="4"/>
      <c r="C26" t="s">
        <v>263</v>
      </c>
      <c r="BK26" s="8"/>
    </row>
    <row r="27" spans="1:63" ht="15" customHeight="1">
      <c r="A27" s="4"/>
      <c r="C27" t="s">
        <v>264</v>
      </c>
      <c r="BK27" s="8"/>
    </row>
    <row r="28" spans="1:63" ht="15" customHeight="1">
      <c r="A28" s="4"/>
      <c r="C28" t="s">
        <v>265</v>
      </c>
      <c r="BK28" s="8"/>
    </row>
    <row r="29" spans="1:63" ht="15" customHeight="1">
      <c r="A29" s="4"/>
      <c r="BK29" s="8"/>
    </row>
    <row r="30" spans="1:63" ht="15" customHeight="1">
      <c r="A30" s="4"/>
      <c r="BK30" s="8"/>
    </row>
    <row r="31" spans="1:63" ht="15" customHeight="1">
      <c r="A31" s="4"/>
      <c r="BK31" s="8"/>
    </row>
    <row r="32" spans="1:63" ht="15" customHeight="1">
      <c r="A32" s="4"/>
      <c r="B32" s="55" t="s">
        <v>266</v>
      </c>
      <c r="BK32" s="8"/>
    </row>
    <row r="33" spans="1:63" ht="15" customHeight="1">
      <c r="A33" s="4"/>
      <c r="B33" t="s">
        <v>104</v>
      </c>
      <c r="C33" t="s">
        <v>267</v>
      </c>
      <c r="BK33" s="8"/>
    </row>
    <row r="34" spans="1:63" ht="15" customHeight="1">
      <c r="A34" s="4"/>
      <c r="BK34" s="8"/>
    </row>
    <row r="35" spans="1:63" ht="15" customHeight="1">
      <c r="A35" s="4"/>
      <c r="BK35" s="8"/>
    </row>
    <row r="36" spans="1:63" ht="15" customHeight="1">
      <c r="A36" s="4"/>
      <c r="BK36" s="8"/>
    </row>
    <row r="37" spans="1:63" ht="15" customHeight="1">
      <c r="A37" s="4"/>
      <c r="BK37" s="8"/>
    </row>
    <row r="38" spans="1:63" ht="15" customHeight="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K177"/>
  <sheetViews>
    <sheetView view="pageBreakPreview" topLeftCell="A90" zoomScale="80" zoomScaleNormal="75" zoomScaleSheetLayoutView="80" workbookViewId="0">
      <selection activeCell="A33" sqref="A33:XFD35"/>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特売</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71" t="s">
        <v>46</v>
      </c>
      <c r="BK7" s="8"/>
    </row>
    <row r="8" spans="1:63" ht="15" customHeight="1">
      <c r="A8" s="4"/>
      <c r="BK8" s="8"/>
    </row>
    <row r="9" spans="1:63" ht="15" customHeight="1">
      <c r="A9" s="4"/>
      <c r="B9" s="55" t="s">
        <v>251</v>
      </c>
      <c r="BK9" s="8"/>
    </row>
    <row r="10" spans="1:63" ht="15" customHeight="1">
      <c r="A10" s="4"/>
      <c r="B10" t="s">
        <v>104</v>
      </c>
      <c r="C10" t="s">
        <v>268</v>
      </c>
      <c r="BK10" s="8"/>
    </row>
    <row r="11" spans="1:63" ht="15" customHeight="1">
      <c r="A11" s="4"/>
      <c r="BK11" s="8"/>
    </row>
    <row r="12" spans="1:63" ht="15" customHeight="1">
      <c r="A12" s="4"/>
      <c r="B12" s="55" t="s">
        <v>253</v>
      </c>
      <c r="BK12" s="8"/>
    </row>
    <row r="13" spans="1:63" ht="15" customHeight="1">
      <c r="A13" s="4"/>
      <c r="B13" s="59" t="s">
        <v>104</v>
      </c>
      <c r="C13" t="s">
        <v>269</v>
      </c>
      <c r="BK13" s="8"/>
    </row>
    <row r="14" spans="1:63" ht="15" customHeight="1">
      <c r="A14" s="4"/>
      <c r="BK14" s="8"/>
    </row>
    <row r="15" spans="1:63" ht="15" customHeight="1">
      <c r="A15" s="4"/>
      <c r="B15" s="55" t="s">
        <v>255</v>
      </c>
      <c r="BK15" s="8"/>
    </row>
    <row r="16" spans="1:63" ht="15" customHeight="1">
      <c r="A16" s="4"/>
      <c r="B16" s="59" t="s">
        <v>104</v>
      </c>
      <c r="C16" t="s">
        <v>270</v>
      </c>
      <c r="BK16" s="8"/>
    </row>
    <row r="17" spans="1:63" ht="15" customHeight="1">
      <c r="A17" s="4"/>
      <c r="B17" s="59" t="s">
        <v>104</v>
      </c>
      <c r="C17" t="s">
        <v>271</v>
      </c>
      <c r="AA17" s="85" t="s">
        <v>272</v>
      </c>
      <c r="BK17" s="8"/>
    </row>
    <row r="18" spans="1:63" ht="15" customHeight="1">
      <c r="A18" s="4"/>
      <c r="B18" s="59" t="s">
        <v>104</v>
      </c>
      <c r="C18" t="s">
        <v>273</v>
      </c>
      <c r="BK18" s="8"/>
    </row>
    <row r="19" spans="1:63" ht="15" customHeight="1">
      <c r="A19" s="4"/>
      <c r="B19" s="59"/>
      <c r="BK19" s="8"/>
    </row>
    <row r="20" spans="1:63" ht="15" customHeight="1">
      <c r="A20" s="4"/>
      <c r="B20" s="55" t="s">
        <v>258</v>
      </c>
      <c r="BK20" s="8"/>
    </row>
    <row r="21" spans="1:63" ht="15" customHeight="1">
      <c r="A21" s="4"/>
      <c r="B21" s="59" t="s">
        <v>104</v>
      </c>
      <c r="C21" t="s">
        <v>274</v>
      </c>
      <c r="BK21" s="8"/>
    </row>
    <row r="22" spans="1:63" ht="15" customHeight="1">
      <c r="A22" s="4"/>
      <c r="B22" s="59" t="s">
        <v>104</v>
      </c>
      <c r="C22" t="s">
        <v>275</v>
      </c>
      <c r="BK22" s="8"/>
    </row>
    <row r="23" spans="1:63" ht="15" customHeight="1">
      <c r="A23" s="4"/>
      <c r="B23" s="59" t="s">
        <v>104</v>
      </c>
      <c r="C23" t="s">
        <v>276</v>
      </c>
      <c r="BK23" s="8"/>
    </row>
    <row r="24" spans="1:63" ht="15" customHeight="1">
      <c r="A24" s="4"/>
      <c r="BK24" s="8"/>
    </row>
    <row r="25" spans="1:63" ht="15" customHeight="1">
      <c r="A25" s="4"/>
      <c r="B25" s="55" t="s">
        <v>260</v>
      </c>
      <c r="BK25" s="8"/>
    </row>
    <row r="26" spans="1:63" ht="15" customHeight="1">
      <c r="A26" s="4"/>
      <c r="B26" s="55" t="s">
        <v>85</v>
      </c>
      <c r="C26" t="s">
        <v>277</v>
      </c>
      <c r="BK26" s="8"/>
    </row>
    <row r="27" spans="1:63" ht="15" customHeight="1">
      <c r="A27" s="4"/>
      <c r="C27" t="s">
        <v>108</v>
      </c>
      <c r="D27" t="s">
        <v>278</v>
      </c>
      <c r="BK27" s="8"/>
    </row>
    <row r="28" spans="1:63" ht="15" customHeight="1">
      <c r="A28" s="4"/>
      <c r="BK28" s="8"/>
    </row>
    <row r="29" spans="1:63" ht="15" customHeight="1">
      <c r="A29" s="4"/>
      <c r="B29" s="55" t="s">
        <v>112</v>
      </c>
      <c r="C29" t="s">
        <v>279</v>
      </c>
      <c r="BK29" s="8"/>
    </row>
    <row r="30" spans="1:63" ht="15" customHeight="1">
      <c r="A30" s="4"/>
      <c r="C30" t="s">
        <v>280</v>
      </c>
      <c r="BK30" s="8"/>
    </row>
    <row r="31" spans="1:63" ht="15" customHeight="1">
      <c r="A31" s="4"/>
      <c r="C31" t="s">
        <v>281</v>
      </c>
      <c r="BK31" s="8"/>
    </row>
    <row r="32" spans="1:63" ht="15" customHeight="1">
      <c r="A32" s="4"/>
      <c r="C32" s="73" t="s">
        <v>282</v>
      </c>
      <c r="D32" t="s">
        <v>283</v>
      </c>
      <c r="BK32" s="8"/>
    </row>
    <row r="33" spans="1:63" ht="15" customHeight="1">
      <c r="A33" s="4"/>
      <c r="C33" s="73" t="s">
        <v>284</v>
      </c>
      <c r="D33" t="s">
        <v>285</v>
      </c>
      <c r="BK33" s="8"/>
    </row>
    <row r="34" spans="1:63" ht="15" customHeight="1">
      <c r="A34" s="4"/>
      <c r="C34" s="73" t="s">
        <v>286</v>
      </c>
      <c r="D34" t="s">
        <v>287</v>
      </c>
      <c r="BK34" s="8"/>
    </row>
    <row r="35" spans="1:63" ht="15" customHeight="1">
      <c r="A35" s="4"/>
      <c r="C35" s="73" t="s">
        <v>288</v>
      </c>
      <c r="D35" t="s">
        <v>289</v>
      </c>
      <c r="BK35" s="8"/>
    </row>
    <row r="36" spans="1:63" ht="15" customHeight="1">
      <c r="A36" s="4"/>
      <c r="BK36" s="8"/>
    </row>
    <row r="37" spans="1:63" ht="15" customHeight="1">
      <c r="A37" s="4"/>
      <c r="C37" t="s">
        <v>290</v>
      </c>
      <c r="BK37" s="8"/>
    </row>
    <row r="38" spans="1:63" ht="15" customHeight="1">
      <c r="A38" s="4"/>
      <c r="C38" t="s">
        <v>104</v>
      </c>
      <c r="D38" t="s">
        <v>291</v>
      </c>
      <c r="BK38" s="8"/>
    </row>
    <row r="39" spans="1:63" ht="15" customHeight="1">
      <c r="A39" s="4"/>
      <c r="D39" t="s">
        <v>292</v>
      </c>
      <c r="E39" t="s">
        <v>293</v>
      </c>
      <c r="BK39" s="8"/>
    </row>
    <row r="40" spans="1:63" ht="15" customHeight="1">
      <c r="A40" s="4"/>
      <c r="E40" t="s">
        <v>104</v>
      </c>
      <c r="F40" t="s">
        <v>294</v>
      </c>
      <c r="BK40" s="8"/>
    </row>
    <row r="41" spans="1:63" ht="15" customHeight="1">
      <c r="A41" s="4"/>
      <c r="E41" t="s">
        <v>104</v>
      </c>
      <c r="F41" t="s">
        <v>295</v>
      </c>
      <c r="BK41" s="8"/>
    </row>
    <row r="42" spans="1:63" ht="15" customHeight="1">
      <c r="A42" s="4"/>
      <c r="F42" s="75" t="s">
        <v>296</v>
      </c>
      <c r="BK42" s="8"/>
    </row>
    <row r="43" spans="1:63" ht="15" customHeight="1">
      <c r="A43" s="4"/>
      <c r="BK43" s="8"/>
    </row>
    <row r="44" spans="1:63" ht="15" customHeight="1">
      <c r="A44" s="4"/>
      <c r="E44" s="55" t="s">
        <v>297</v>
      </c>
      <c r="BK44" s="8"/>
    </row>
    <row r="45" spans="1:63" ht="15" customHeight="1">
      <c r="A45" s="4"/>
      <c r="F45" t="s">
        <v>298</v>
      </c>
      <c r="BK45" s="8"/>
    </row>
    <row r="46" spans="1:63" ht="15" customHeight="1">
      <c r="A46" s="4"/>
      <c r="BK46" s="8"/>
    </row>
    <row r="47" spans="1:63" ht="15" customHeight="1">
      <c r="A47" s="4"/>
      <c r="F47" t="s">
        <v>299</v>
      </c>
      <c r="BK47" s="8"/>
    </row>
    <row r="48" spans="1:63" ht="15" customHeight="1">
      <c r="A48" s="4"/>
      <c r="F48" s="69" t="s">
        <v>300</v>
      </c>
      <c r="G48" s="23"/>
      <c r="H48" s="23"/>
      <c r="I48" s="23"/>
      <c r="J48" s="23"/>
      <c r="K48" s="24"/>
      <c r="L48" s="69" t="s">
        <v>301</v>
      </c>
      <c r="M48" s="23"/>
      <c r="N48" s="23"/>
      <c r="O48" s="23"/>
      <c r="P48" s="23"/>
      <c r="Q48" s="24"/>
      <c r="R48" s="69" t="s">
        <v>302</v>
      </c>
      <c r="S48" s="23"/>
      <c r="T48" s="24"/>
      <c r="BK48" s="8"/>
    </row>
    <row r="49" spans="1:63" ht="15" customHeight="1">
      <c r="A49" s="4"/>
      <c r="F49" s="74" t="s">
        <v>303</v>
      </c>
      <c r="G49" s="11"/>
      <c r="H49" s="11"/>
      <c r="I49" s="11"/>
      <c r="J49" s="11"/>
      <c r="K49" s="12"/>
      <c r="L49" s="74" t="s">
        <v>303</v>
      </c>
      <c r="M49" s="11"/>
      <c r="N49" s="11"/>
      <c r="O49" s="11"/>
      <c r="P49" s="11"/>
      <c r="Q49" s="12"/>
      <c r="R49" s="74" t="s">
        <v>304</v>
      </c>
      <c r="S49" s="11"/>
      <c r="T49" s="12"/>
      <c r="BK49" s="8"/>
    </row>
    <row r="50" spans="1:63" ht="15" customHeight="1">
      <c r="A50" s="4"/>
      <c r="BK50" s="8"/>
    </row>
    <row r="51" spans="1:63" ht="15" customHeight="1">
      <c r="A51" s="4"/>
      <c r="F51" t="s">
        <v>305</v>
      </c>
      <c r="BK51" s="8"/>
    </row>
    <row r="52" spans="1:63" ht="15" customHeight="1">
      <c r="A52" s="4"/>
      <c r="F52" s="69" t="s">
        <v>300</v>
      </c>
      <c r="G52" s="23"/>
      <c r="H52" s="23"/>
      <c r="I52" s="23"/>
      <c r="J52" s="23"/>
      <c r="K52" s="24"/>
      <c r="L52" s="69" t="s">
        <v>306</v>
      </c>
      <c r="M52" s="23"/>
      <c r="N52" s="23"/>
      <c r="O52" s="23"/>
      <c r="P52" s="23"/>
      <c r="Q52" s="24"/>
      <c r="R52" s="76" t="s">
        <v>307</v>
      </c>
      <c r="S52" s="77"/>
      <c r="T52" s="77"/>
      <c r="U52" s="78"/>
      <c r="V52" s="76" t="s">
        <v>308</v>
      </c>
      <c r="W52" s="77"/>
      <c r="X52" s="77"/>
      <c r="Y52" s="78"/>
      <c r="AA52" s="55" t="s">
        <v>309</v>
      </c>
      <c r="BK52" s="8"/>
    </row>
    <row r="53" spans="1:63" ht="15" customHeight="1">
      <c r="A53" s="4"/>
      <c r="F53" s="74" t="s">
        <v>303</v>
      </c>
      <c r="G53" s="11"/>
      <c r="H53" s="11"/>
      <c r="I53" s="11"/>
      <c r="J53" s="11"/>
      <c r="K53" s="12"/>
      <c r="L53" s="74" t="s">
        <v>310</v>
      </c>
      <c r="M53" s="11"/>
      <c r="N53" s="11"/>
      <c r="O53" s="11"/>
      <c r="P53" s="11"/>
      <c r="Q53" s="12"/>
      <c r="R53" s="79" t="s">
        <v>311</v>
      </c>
      <c r="S53" s="80"/>
      <c r="T53" s="80"/>
      <c r="U53" s="81"/>
      <c r="V53" s="79" t="s">
        <v>311</v>
      </c>
      <c r="W53" s="80"/>
      <c r="X53" s="80"/>
      <c r="Y53" s="81"/>
      <c r="AA53" s="59" t="s">
        <v>312</v>
      </c>
      <c r="BK53" s="8"/>
    </row>
    <row r="54" spans="1:63" ht="15" customHeight="1">
      <c r="A54" s="4"/>
      <c r="F54" s="74" t="s">
        <v>303</v>
      </c>
      <c r="G54" s="11"/>
      <c r="H54" s="11"/>
      <c r="I54" s="11"/>
      <c r="J54" s="11"/>
      <c r="K54" s="12"/>
      <c r="L54" s="74" t="s">
        <v>313</v>
      </c>
      <c r="M54" s="11"/>
      <c r="N54" s="11"/>
      <c r="O54" s="11"/>
      <c r="P54" s="11"/>
      <c r="Q54" s="12"/>
      <c r="R54" s="79" t="s">
        <v>314</v>
      </c>
      <c r="S54" s="80"/>
      <c r="T54" s="80"/>
      <c r="U54" s="81"/>
      <c r="V54" s="79" t="s">
        <v>315</v>
      </c>
      <c r="W54" s="80"/>
      <c r="X54" s="80"/>
      <c r="Y54" s="81"/>
      <c r="AA54" s="82" t="s">
        <v>315</v>
      </c>
      <c r="AJ54" t="s">
        <v>316</v>
      </c>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row r="57" spans="1:63" ht="15" customHeight="1">
      <c r="D57" t="s">
        <v>317</v>
      </c>
      <c r="E57" t="s">
        <v>318</v>
      </c>
    </row>
    <row r="58" spans="1:63" ht="15" customHeight="1">
      <c r="E58" t="s">
        <v>104</v>
      </c>
      <c r="F58" t="s">
        <v>294</v>
      </c>
    </row>
    <row r="59" spans="1:63" ht="15" customHeight="1">
      <c r="E59" t="s">
        <v>104</v>
      </c>
      <c r="F59" t="s">
        <v>319</v>
      </c>
    </row>
    <row r="60" spans="1:63" ht="15" customHeight="1">
      <c r="F60" t="s">
        <v>320</v>
      </c>
      <c r="G60" t="s">
        <v>321</v>
      </c>
    </row>
    <row r="61" spans="1:63" ht="15" customHeight="1">
      <c r="G61" s="75" t="s">
        <v>296</v>
      </c>
    </row>
    <row r="63" spans="1:63" ht="15" customHeight="1">
      <c r="F63" t="s">
        <v>322</v>
      </c>
      <c r="G63" t="s">
        <v>323</v>
      </c>
    </row>
    <row r="64" spans="1:63" ht="15" customHeight="1">
      <c r="G64" s="59" t="s">
        <v>324</v>
      </c>
    </row>
    <row r="66" spans="5:35" ht="15" customHeight="1">
      <c r="E66" s="55" t="s">
        <v>325</v>
      </c>
    </row>
    <row r="67" spans="5:35" ht="15" customHeight="1">
      <c r="F67" t="s">
        <v>326</v>
      </c>
    </row>
    <row r="68" spans="5:35" ht="15" customHeight="1">
      <c r="G68" t="s">
        <v>327</v>
      </c>
    </row>
    <row r="70" spans="5:35" ht="15" customHeight="1">
      <c r="G70" t="s">
        <v>299</v>
      </c>
    </row>
    <row r="71" spans="5:35" ht="15" customHeight="1">
      <c r="G71" s="69" t="s">
        <v>300</v>
      </c>
      <c r="H71" s="23"/>
      <c r="I71" s="23"/>
      <c r="J71" s="23"/>
      <c r="K71" s="23"/>
      <c r="L71" s="24"/>
      <c r="M71" s="69" t="s">
        <v>301</v>
      </c>
      <c r="N71" s="23"/>
      <c r="O71" s="23"/>
      <c r="P71" s="23"/>
      <c r="Q71" s="23"/>
      <c r="R71" s="24"/>
      <c r="S71" s="69" t="s">
        <v>302</v>
      </c>
      <c r="T71" s="23"/>
      <c r="U71" s="24"/>
    </row>
    <row r="72" spans="5:35" ht="15" customHeight="1">
      <c r="G72" s="74" t="s">
        <v>328</v>
      </c>
      <c r="H72" s="11"/>
      <c r="I72" s="11"/>
      <c r="J72" s="11"/>
      <c r="K72" s="11"/>
      <c r="L72" s="12"/>
      <c r="M72" s="74" t="s">
        <v>328</v>
      </c>
      <c r="N72" s="11"/>
      <c r="O72" s="11"/>
      <c r="P72" s="11"/>
      <c r="Q72" s="11"/>
      <c r="R72" s="12"/>
      <c r="S72" s="74" t="s">
        <v>304</v>
      </c>
      <c r="T72" s="11"/>
      <c r="U72" s="12"/>
    </row>
    <row r="74" spans="5:35" ht="15" customHeight="1">
      <c r="G74" t="s">
        <v>305</v>
      </c>
    </row>
    <row r="75" spans="5:35" ht="15" customHeight="1">
      <c r="G75" s="69" t="s">
        <v>300</v>
      </c>
      <c r="H75" s="23"/>
      <c r="I75" s="23"/>
      <c r="J75" s="23"/>
      <c r="K75" s="23"/>
      <c r="L75" s="24"/>
      <c r="M75" s="69" t="s">
        <v>306</v>
      </c>
      <c r="N75" s="23"/>
      <c r="O75" s="23"/>
      <c r="P75" s="23"/>
      <c r="Q75" s="23"/>
      <c r="R75" s="24"/>
      <c r="S75" s="76" t="s">
        <v>307</v>
      </c>
      <c r="T75" s="77"/>
      <c r="U75" s="77"/>
      <c r="V75" s="78"/>
      <c r="W75" s="76" t="s">
        <v>308</v>
      </c>
      <c r="X75" s="77"/>
      <c r="Y75" s="77"/>
      <c r="Z75" s="78"/>
      <c r="AB75" s="55" t="s">
        <v>309</v>
      </c>
    </row>
    <row r="76" spans="5:35" ht="15" customHeight="1">
      <c r="G76" s="74" t="s">
        <v>328</v>
      </c>
      <c r="H76" s="11"/>
      <c r="I76" s="11"/>
      <c r="J76" s="11"/>
      <c r="K76" s="11"/>
      <c r="L76" s="12"/>
      <c r="M76" s="74" t="s">
        <v>310</v>
      </c>
      <c r="N76" s="11"/>
      <c r="O76" s="11"/>
      <c r="P76" s="11"/>
      <c r="Q76" s="11"/>
      <c r="R76" s="12"/>
      <c r="S76" s="79" t="s">
        <v>311</v>
      </c>
      <c r="T76" s="80"/>
      <c r="U76" s="80"/>
      <c r="V76" s="81"/>
      <c r="W76" s="79" t="s">
        <v>311</v>
      </c>
      <c r="X76" s="80"/>
      <c r="Y76" s="80"/>
      <c r="Z76" s="81"/>
      <c r="AB76" s="59" t="s">
        <v>329</v>
      </c>
    </row>
    <row r="77" spans="5:35" ht="15" customHeight="1">
      <c r="G77" s="74" t="s">
        <v>328</v>
      </c>
      <c r="H77" s="11"/>
      <c r="I77" s="11"/>
      <c r="J77" s="11"/>
      <c r="K77" s="11"/>
      <c r="L77" s="12"/>
      <c r="M77" s="74" t="s">
        <v>313</v>
      </c>
      <c r="N77" s="11"/>
      <c r="O77" s="11"/>
      <c r="P77" s="11"/>
      <c r="Q77" s="11"/>
      <c r="R77" s="12"/>
      <c r="S77" s="79" t="s">
        <v>314</v>
      </c>
      <c r="T77" s="80"/>
      <c r="U77" s="80"/>
      <c r="V77" s="81"/>
      <c r="W77" s="79" t="s">
        <v>315</v>
      </c>
      <c r="X77" s="80"/>
      <c r="Y77" s="80"/>
      <c r="Z77" s="81"/>
      <c r="AB77" s="82" t="s">
        <v>315</v>
      </c>
      <c r="AI77" t="s">
        <v>316</v>
      </c>
    </row>
    <row r="79" spans="5:35" ht="15" customHeight="1">
      <c r="F79" t="s">
        <v>330</v>
      </c>
    </row>
    <row r="80" spans="5:35" ht="15" customHeight="1">
      <c r="G80" t="s">
        <v>331</v>
      </c>
    </row>
    <row r="82" spans="2:33" ht="15" customHeight="1">
      <c r="G82" t="s">
        <v>299</v>
      </c>
    </row>
    <row r="83" spans="2:33" ht="15" customHeight="1">
      <c r="G83" s="69" t="s">
        <v>300</v>
      </c>
      <c r="H83" s="23"/>
      <c r="I83" s="23"/>
      <c r="J83" s="23"/>
      <c r="K83" s="23"/>
      <c r="L83" s="24"/>
      <c r="M83" s="69" t="s">
        <v>301</v>
      </c>
      <c r="N83" s="23"/>
      <c r="O83" s="23"/>
      <c r="P83" s="23"/>
      <c r="Q83" s="23"/>
      <c r="R83" s="24"/>
      <c r="S83" s="69" t="s">
        <v>302</v>
      </c>
      <c r="T83" s="23"/>
      <c r="U83" s="24"/>
    </row>
    <row r="84" spans="2:33" ht="15" customHeight="1">
      <c r="G84" s="74" t="s">
        <v>332</v>
      </c>
      <c r="H84" s="11"/>
      <c r="I84" s="11"/>
      <c r="J84" s="11"/>
      <c r="K84" s="11"/>
      <c r="L84" s="12"/>
      <c r="M84" s="74" t="s">
        <v>332</v>
      </c>
      <c r="N84" s="11"/>
      <c r="O84" s="11"/>
      <c r="P84" s="11"/>
      <c r="Q84" s="11"/>
      <c r="R84" s="12"/>
      <c r="S84" s="74" t="s">
        <v>314</v>
      </c>
      <c r="T84" s="11"/>
      <c r="U84" s="12"/>
    </row>
    <row r="86" spans="2:33" ht="15" customHeight="1">
      <c r="G86" t="s">
        <v>305</v>
      </c>
    </row>
    <row r="87" spans="2:33" ht="15" customHeight="1">
      <c r="G87" s="69" t="s">
        <v>300</v>
      </c>
      <c r="H87" s="23"/>
      <c r="I87" s="23"/>
      <c r="J87" s="23"/>
      <c r="K87" s="23"/>
      <c r="L87" s="24"/>
      <c r="M87" s="69" t="s">
        <v>306</v>
      </c>
      <c r="N87" s="23"/>
      <c r="O87" s="23"/>
      <c r="P87" s="23"/>
      <c r="Q87" s="23"/>
      <c r="R87" s="24"/>
      <c r="S87" s="76" t="s">
        <v>307</v>
      </c>
      <c r="T87" s="77"/>
      <c r="U87" s="77"/>
      <c r="V87" s="78"/>
      <c r="W87" s="76" t="s">
        <v>308</v>
      </c>
      <c r="X87" s="77"/>
      <c r="Y87" s="77"/>
      <c r="Z87" s="78"/>
      <c r="AB87" s="55" t="s">
        <v>309</v>
      </c>
    </row>
    <row r="88" spans="2:33" ht="15" customHeight="1">
      <c r="G88" s="74" t="s">
        <v>332</v>
      </c>
      <c r="H88" s="11"/>
      <c r="I88" s="11"/>
      <c r="J88" s="11"/>
      <c r="K88" s="11"/>
      <c r="L88" s="12"/>
      <c r="M88" s="74" t="s">
        <v>310</v>
      </c>
      <c r="N88" s="11"/>
      <c r="O88" s="11"/>
      <c r="P88" s="11"/>
      <c r="Q88" s="11"/>
      <c r="R88" s="12"/>
      <c r="S88" s="79" t="s">
        <v>311</v>
      </c>
      <c r="T88" s="80"/>
      <c r="U88" s="80"/>
      <c r="V88" s="81"/>
      <c r="W88" s="79" t="s">
        <v>311</v>
      </c>
      <c r="X88" s="80"/>
      <c r="Y88" s="80"/>
      <c r="Z88" s="81"/>
      <c r="AB88" s="59" t="s">
        <v>333</v>
      </c>
      <c r="AG88" t="s">
        <v>316</v>
      </c>
    </row>
    <row r="89" spans="2:33" ht="15" customHeight="1">
      <c r="G89" s="74" t="s">
        <v>332</v>
      </c>
      <c r="H89" s="11"/>
      <c r="I89" s="11"/>
      <c r="J89" s="11"/>
      <c r="K89" s="11"/>
      <c r="L89" s="12"/>
      <c r="M89" s="74" t="s">
        <v>313</v>
      </c>
      <c r="N89" s="11"/>
      <c r="O89" s="11"/>
      <c r="P89" s="11"/>
      <c r="Q89" s="11"/>
      <c r="R89" s="12"/>
      <c r="S89" s="79" t="s">
        <v>314</v>
      </c>
      <c r="T89" s="80"/>
      <c r="U89" s="80"/>
      <c r="V89" s="81"/>
      <c r="W89" s="79" t="s">
        <v>315</v>
      </c>
      <c r="X89" s="80"/>
      <c r="Y89" s="80"/>
      <c r="Z89" s="81"/>
      <c r="AB89" s="82" t="s">
        <v>315</v>
      </c>
    </row>
    <row r="91" spans="2:33" ht="15" customHeight="1">
      <c r="B91" s="55" t="s">
        <v>123</v>
      </c>
      <c r="C91" t="s">
        <v>334</v>
      </c>
    </row>
    <row r="92" spans="2:33" ht="15" customHeight="1">
      <c r="C92" s="73" t="s">
        <v>282</v>
      </c>
      <c r="D92" t="s">
        <v>293</v>
      </c>
    </row>
    <row r="93" spans="2:33" ht="15" customHeight="1">
      <c r="C93" s="73"/>
      <c r="D93" t="s">
        <v>292</v>
      </c>
      <c r="E93" t="s">
        <v>335</v>
      </c>
    </row>
    <row r="94" spans="2:33" ht="15" customHeight="1">
      <c r="D94" t="s">
        <v>104</v>
      </c>
      <c r="E94" t="s">
        <v>336</v>
      </c>
    </row>
    <row r="95" spans="2:33" ht="15" customHeight="1">
      <c r="D95" t="s">
        <v>104</v>
      </c>
      <c r="E95" t="s">
        <v>337</v>
      </c>
    </row>
    <row r="96" spans="2:33" ht="15" customHeight="1">
      <c r="D96" t="s">
        <v>317</v>
      </c>
      <c r="E96" t="s">
        <v>338</v>
      </c>
    </row>
    <row r="97" spans="4:26" ht="15" customHeight="1">
      <c r="D97" t="s">
        <v>104</v>
      </c>
      <c r="E97" s="59" t="s">
        <v>339</v>
      </c>
    </row>
    <row r="98" spans="4:26" ht="15" customHeight="1">
      <c r="E98" s="59" t="s">
        <v>108</v>
      </c>
      <c r="F98" t="s">
        <v>340</v>
      </c>
    </row>
    <row r="100" spans="4:26" ht="15" customHeight="1">
      <c r="D100" s="55" t="s">
        <v>341</v>
      </c>
    </row>
    <row r="101" spans="4:26" ht="15" customHeight="1">
      <c r="E101" t="s">
        <v>298</v>
      </c>
    </row>
    <row r="103" spans="4:26" ht="15" customHeight="1">
      <c r="E103" t="s">
        <v>299</v>
      </c>
    </row>
    <row r="104" spans="4:26" ht="15" customHeight="1">
      <c r="E104" s="69" t="s">
        <v>300</v>
      </c>
      <c r="F104" s="23"/>
      <c r="G104" s="23"/>
      <c r="H104" s="23"/>
      <c r="I104" s="23"/>
      <c r="J104" s="24"/>
      <c r="K104" s="69" t="s">
        <v>301</v>
      </c>
      <c r="L104" s="23"/>
      <c r="M104" s="23"/>
      <c r="N104" s="23"/>
      <c r="O104" s="23"/>
      <c r="P104" s="24"/>
      <c r="Q104" s="69" t="s">
        <v>302</v>
      </c>
      <c r="R104" s="23"/>
      <c r="S104" s="24"/>
    </row>
    <row r="105" spans="4:26" ht="15" customHeight="1">
      <c r="E105" s="74" t="s">
        <v>303</v>
      </c>
      <c r="F105" s="11"/>
      <c r="G105" s="11"/>
      <c r="H105" s="11"/>
      <c r="I105" s="11"/>
      <c r="J105" s="12"/>
      <c r="K105" s="74" t="s">
        <v>303</v>
      </c>
      <c r="L105" s="11"/>
      <c r="M105" s="11"/>
      <c r="N105" s="11"/>
      <c r="O105" s="11"/>
      <c r="P105" s="12"/>
      <c r="Q105" s="74" t="s">
        <v>304</v>
      </c>
      <c r="R105" s="11"/>
      <c r="S105" s="12"/>
    </row>
    <row r="107" spans="4:26" ht="15" customHeight="1">
      <c r="E107" t="s">
        <v>342</v>
      </c>
    </row>
    <row r="108" spans="4:26" ht="15" customHeight="1">
      <c r="E108" t="s">
        <v>305</v>
      </c>
    </row>
    <row r="109" spans="4:26" ht="15" customHeight="1">
      <c r="E109" s="69" t="s">
        <v>300</v>
      </c>
      <c r="F109" s="23"/>
      <c r="G109" s="23"/>
      <c r="H109" s="23"/>
      <c r="I109" s="23"/>
      <c r="J109" s="24"/>
      <c r="K109" s="69" t="s">
        <v>306</v>
      </c>
      <c r="L109" s="23"/>
      <c r="M109" s="23"/>
      <c r="N109" s="23"/>
      <c r="O109" s="76" t="s">
        <v>307</v>
      </c>
      <c r="P109" s="77"/>
      <c r="Q109" s="77"/>
      <c r="R109" s="78"/>
      <c r="S109" s="76" t="s">
        <v>308</v>
      </c>
      <c r="T109" s="77"/>
      <c r="U109" s="77"/>
      <c r="V109" s="78"/>
      <c r="Z109" t="s">
        <v>343</v>
      </c>
    </row>
    <row r="110" spans="4:26" ht="15" customHeight="1">
      <c r="E110" s="74" t="s">
        <v>303</v>
      </c>
      <c r="F110" s="11"/>
      <c r="G110" s="11"/>
      <c r="H110" s="11"/>
      <c r="I110" s="11"/>
      <c r="J110" s="12"/>
      <c r="K110" s="74" t="s">
        <v>313</v>
      </c>
      <c r="L110" s="11"/>
      <c r="M110" s="11"/>
      <c r="N110" s="11"/>
      <c r="O110" s="79" t="s">
        <v>314</v>
      </c>
      <c r="P110" s="80"/>
      <c r="Q110" s="80"/>
      <c r="R110" s="81"/>
      <c r="S110" s="79" t="s">
        <v>315</v>
      </c>
      <c r="T110" s="80"/>
      <c r="U110" s="80"/>
      <c r="V110" s="81"/>
      <c r="Z110" t="s">
        <v>344</v>
      </c>
    </row>
    <row r="113" spans="3:20" ht="15" customHeight="1">
      <c r="C113" s="73" t="s">
        <v>284</v>
      </c>
      <c r="D113" t="s">
        <v>318</v>
      </c>
    </row>
    <row r="114" spans="3:20" ht="15" customHeight="1">
      <c r="D114" t="s">
        <v>292</v>
      </c>
      <c r="E114" t="s">
        <v>335</v>
      </c>
    </row>
    <row r="115" spans="3:20" ht="15" customHeight="1">
      <c r="D115" t="s">
        <v>104</v>
      </c>
      <c r="E115" t="s">
        <v>345</v>
      </c>
    </row>
    <row r="116" spans="3:20" ht="15" customHeight="1">
      <c r="E116" t="s">
        <v>108</v>
      </c>
      <c r="F116" t="s">
        <v>346</v>
      </c>
    </row>
    <row r="117" spans="3:20" ht="15" customHeight="1">
      <c r="D117" t="s">
        <v>317</v>
      </c>
      <c r="E117" t="s">
        <v>338</v>
      </c>
    </row>
    <row r="118" spans="3:20" ht="15" customHeight="1">
      <c r="D118" t="s">
        <v>104</v>
      </c>
      <c r="E118" s="59" t="s">
        <v>347</v>
      </c>
    </row>
    <row r="119" spans="3:20" ht="15" customHeight="1">
      <c r="E119" s="59" t="s">
        <v>108</v>
      </c>
      <c r="F119" t="s">
        <v>340</v>
      </c>
    </row>
    <row r="121" spans="3:20" ht="15" customHeight="1">
      <c r="D121" s="55" t="s">
        <v>348</v>
      </c>
    </row>
    <row r="122" spans="3:20" ht="15" customHeight="1">
      <c r="E122" t="s">
        <v>326</v>
      </c>
    </row>
    <row r="123" spans="3:20" ht="15" customHeight="1">
      <c r="F123" t="s">
        <v>327</v>
      </c>
    </row>
    <row r="125" spans="3:20" ht="15" customHeight="1">
      <c r="F125" t="s">
        <v>299</v>
      </c>
    </row>
    <row r="126" spans="3:20" ht="15" customHeight="1">
      <c r="F126" s="69" t="s">
        <v>300</v>
      </c>
      <c r="G126" s="23"/>
      <c r="H126" s="23"/>
      <c r="I126" s="23"/>
      <c r="J126" s="23"/>
      <c r="K126" s="24"/>
      <c r="L126" s="69" t="s">
        <v>301</v>
      </c>
      <c r="M126" s="23"/>
      <c r="N126" s="23"/>
      <c r="O126" s="23"/>
      <c r="P126" s="23"/>
      <c r="Q126" s="24"/>
      <c r="R126" s="69" t="s">
        <v>302</v>
      </c>
      <c r="S126" s="23"/>
      <c r="T126" s="24"/>
    </row>
    <row r="127" spans="3:20" ht="15" customHeight="1">
      <c r="F127" s="74" t="s">
        <v>328</v>
      </c>
      <c r="G127" s="11"/>
      <c r="H127" s="11"/>
      <c r="I127" s="11"/>
      <c r="J127" s="11"/>
      <c r="K127" s="12"/>
      <c r="L127" s="74" t="s">
        <v>328</v>
      </c>
      <c r="M127" s="11"/>
      <c r="N127" s="11"/>
      <c r="O127" s="11"/>
      <c r="P127" s="11"/>
      <c r="Q127" s="12"/>
      <c r="R127" s="74" t="s">
        <v>304</v>
      </c>
      <c r="S127" s="11"/>
      <c r="T127" s="12"/>
    </row>
    <row r="129" spans="4:27" ht="15" customHeight="1">
      <c r="F129" t="s">
        <v>349</v>
      </c>
    </row>
    <row r="130" spans="4:27" ht="15" customHeight="1">
      <c r="F130" t="s">
        <v>305</v>
      </c>
    </row>
    <row r="131" spans="4:27" ht="15" customHeight="1">
      <c r="F131" s="69" t="s">
        <v>300</v>
      </c>
      <c r="G131" s="23"/>
      <c r="H131" s="23"/>
      <c r="I131" s="23"/>
      <c r="J131" s="23"/>
      <c r="K131" s="24"/>
      <c r="L131" s="69" t="s">
        <v>306</v>
      </c>
      <c r="M131" s="23"/>
      <c r="N131" s="23"/>
      <c r="O131" s="23"/>
      <c r="P131" s="76" t="s">
        <v>307</v>
      </c>
      <c r="Q131" s="77"/>
      <c r="R131" s="77"/>
      <c r="S131" s="78"/>
      <c r="T131" s="76" t="s">
        <v>308</v>
      </c>
      <c r="U131" s="77"/>
      <c r="V131" s="77"/>
      <c r="W131" s="78"/>
      <c r="AA131" t="s">
        <v>350</v>
      </c>
    </row>
    <row r="132" spans="4:27" ht="15" customHeight="1">
      <c r="F132" s="74" t="s">
        <v>328</v>
      </c>
      <c r="G132" s="11"/>
      <c r="H132" s="11"/>
      <c r="I132" s="11"/>
      <c r="J132" s="11"/>
      <c r="K132" s="12"/>
      <c r="L132" s="74" t="s">
        <v>313</v>
      </c>
      <c r="M132" s="11"/>
      <c r="N132" s="11"/>
      <c r="O132" s="11"/>
      <c r="P132" s="79" t="s">
        <v>314</v>
      </c>
      <c r="Q132" s="80"/>
      <c r="R132" s="80"/>
      <c r="S132" s="81"/>
      <c r="T132" s="79" t="s">
        <v>315</v>
      </c>
      <c r="U132" s="80"/>
      <c r="V132" s="80"/>
      <c r="W132" s="81"/>
      <c r="AA132" t="s">
        <v>351</v>
      </c>
    </row>
    <row r="134" spans="4:27" ht="15" customHeight="1">
      <c r="D134" s="55"/>
    </row>
    <row r="135" spans="4:27" ht="15" customHeight="1">
      <c r="E135" t="s">
        <v>330</v>
      </c>
    </row>
    <row r="136" spans="4:27" ht="15" customHeight="1">
      <c r="D136" s="55"/>
      <c r="F136" t="s">
        <v>331</v>
      </c>
    </row>
    <row r="138" spans="4:27" ht="15" customHeight="1">
      <c r="F138" t="s">
        <v>299</v>
      </c>
    </row>
    <row r="139" spans="4:27" ht="15" customHeight="1">
      <c r="F139" s="69" t="s">
        <v>300</v>
      </c>
      <c r="G139" s="23"/>
      <c r="H139" s="23"/>
      <c r="I139" s="23"/>
      <c r="J139" s="23"/>
      <c r="K139" s="24"/>
      <c r="L139" s="69" t="s">
        <v>301</v>
      </c>
      <c r="M139" s="23"/>
      <c r="N139" s="23"/>
      <c r="O139" s="23"/>
      <c r="P139" s="23"/>
      <c r="Q139" s="24"/>
      <c r="R139" s="69" t="s">
        <v>302</v>
      </c>
      <c r="S139" s="23"/>
      <c r="T139" s="24"/>
    </row>
    <row r="140" spans="4:27" ht="15" customHeight="1">
      <c r="F140" s="74" t="s">
        <v>332</v>
      </c>
      <c r="G140" s="11"/>
      <c r="H140" s="11"/>
      <c r="I140" s="11"/>
      <c r="J140" s="11"/>
      <c r="K140" s="12"/>
      <c r="L140" s="74" t="s">
        <v>332</v>
      </c>
      <c r="M140" s="11"/>
      <c r="N140" s="11"/>
      <c r="O140" s="11"/>
      <c r="P140" s="11"/>
      <c r="Q140" s="12"/>
      <c r="R140" s="74" t="s">
        <v>314</v>
      </c>
      <c r="S140" s="11"/>
      <c r="T140" s="12"/>
    </row>
    <row r="142" spans="4:27" ht="15" customHeight="1">
      <c r="D142" s="55"/>
      <c r="F142" t="s">
        <v>349</v>
      </c>
    </row>
    <row r="143" spans="4:27" ht="15" customHeight="1">
      <c r="D143" s="55"/>
      <c r="F143" t="s">
        <v>305</v>
      </c>
    </row>
    <row r="144" spans="4:27" ht="15" customHeight="1">
      <c r="F144" s="69" t="s">
        <v>300</v>
      </c>
      <c r="G144" s="23"/>
      <c r="H144" s="23"/>
      <c r="I144" s="23"/>
      <c r="J144" s="23"/>
      <c r="K144" s="24"/>
      <c r="L144" s="69" t="s">
        <v>306</v>
      </c>
      <c r="M144" s="23"/>
      <c r="N144" s="23"/>
      <c r="O144" s="23"/>
      <c r="P144" s="76" t="s">
        <v>307</v>
      </c>
      <c r="Q144" s="77"/>
      <c r="R144" s="77"/>
      <c r="S144" s="78"/>
      <c r="T144" s="76" t="s">
        <v>308</v>
      </c>
      <c r="U144" s="77"/>
      <c r="V144" s="77"/>
      <c r="W144" s="78"/>
      <c r="AA144" t="s">
        <v>352</v>
      </c>
    </row>
    <row r="145" spans="2:33" ht="15" customHeight="1">
      <c r="F145" s="74" t="s">
        <v>332</v>
      </c>
      <c r="G145" s="11"/>
      <c r="H145" s="11"/>
      <c r="I145" s="11"/>
      <c r="J145" s="11"/>
      <c r="K145" s="12"/>
      <c r="L145" s="74" t="s">
        <v>310</v>
      </c>
      <c r="M145" s="11"/>
      <c r="N145" s="11"/>
      <c r="O145" s="11"/>
      <c r="P145" s="79" t="s">
        <v>311</v>
      </c>
      <c r="Q145" s="80"/>
      <c r="R145" s="80"/>
      <c r="S145" s="81"/>
      <c r="T145" s="79" t="s">
        <v>311</v>
      </c>
      <c r="U145" s="80"/>
      <c r="V145" s="80"/>
      <c r="W145" s="81"/>
      <c r="AA145" t="s">
        <v>353</v>
      </c>
    </row>
    <row r="146" spans="2:33" ht="15" customHeight="1">
      <c r="AA146" t="s">
        <v>354</v>
      </c>
    </row>
    <row r="148" spans="2:33" ht="15" customHeight="1">
      <c r="C148" t="s">
        <v>355</v>
      </c>
    </row>
    <row r="149" spans="2:33" ht="15" customHeight="1">
      <c r="C149" s="86" t="s">
        <v>356</v>
      </c>
      <c r="D149" s="90"/>
      <c r="E149" s="90"/>
      <c r="F149" s="91"/>
      <c r="G149" s="86" t="s">
        <v>357</v>
      </c>
      <c r="H149" s="90"/>
      <c r="I149" s="90"/>
      <c r="J149" s="91"/>
      <c r="K149" s="86" t="s">
        <v>358</v>
      </c>
      <c r="L149" s="90"/>
      <c r="M149" s="90"/>
      <c r="N149" s="90"/>
      <c r="O149" s="90"/>
      <c r="P149" s="90"/>
      <c r="Q149" s="91"/>
      <c r="R149" s="86" t="s">
        <v>359</v>
      </c>
      <c r="S149" s="90"/>
      <c r="T149" s="90"/>
      <c r="U149" s="91"/>
      <c r="V149" s="87" t="s">
        <v>360</v>
      </c>
      <c r="W149" s="112"/>
      <c r="X149" s="112"/>
      <c r="Y149" s="112"/>
      <c r="Z149" s="112"/>
      <c r="AA149" s="112"/>
      <c r="AB149" s="112"/>
      <c r="AC149" s="112"/>
      <c r="AD149" s="112"/>
      <c r="AE149" s="112"/>
      <c r="AF149" s="112"/>
      <c r="AG149" s="113"/>
    </row>
    <row r="150" spans="2:33" ht="15" customHeight="1">
      <c r="C150" s="92"/>
      <c r="D150" s="93"/>
      <c r="E150" s="93"/>
      <c r="F150" s="94"/>
      <c r="G150" s="92"/>
      <c r="H150" s="93"/>
      <c r="I150" s="93"/>
      <c r="J150" s="94"/>
      <c r="K150" s="92"/>
      <c r="L150" s="93"/>
      <c r="M150" s="93"/>
      <c r="N150" s="93"/>
      <c r="O150" s="93"/>
      <c r="P150" s="93"/>
      <c r="Q150" s="94"/>
      <c r="R150" s="92"/>
      <c r="S150" s="93"/>
      <c r="T150" s="93"/>
      <c r="U150" s="94"/>
      <c r="V150" s="87" t="s">
        <v>361</v>
      </c>
      <c r="W150" s="88"/>
      <c r="X150" s="88"/>
      <c r="Y150" s="88"/>
      <c r="Z150" s="88"/>
      <c r="AA150" s="88"/>
      <c r="AB150" s="89"/>
      <c r="AC150" s="87" t="s">
        <v>362</v>
      </c>
      <c r="AD150" s="112"/>
      <c r="AE150" s="112"/>
      <c r="AF150" s="112"/>
      <c r="AG150" s="113"/>
    </row>
    <row r="151" spans="2:33" ht="15" customHeight="1">
      <c r="C151" s="95" t="s">
        <v>363</v>
      </c>
      <c r="D151" s="29"/>
      <c r="E151" s="29"/>
      <c r="F151" s="39"/>
      <c r="G151" s="95" t="s">
        <v>364</v>
      </c>
      <c r="H151" s="29"/>
      <c r="I151" s="29"/>
      <c r="J151" s="39"/>
      <c r="K151" s="96" t="s">
        <v>365</v>
      </c>
      <c r="L151" s="97"/>
      <c r="M151" s="97"/>
      <c r="N151" s="97"/>
      <c r="O151" s="97"/>
      <c r="P151" s="97"/>
      <c r="Q151" s="98"/>
      <c r="R151" s="99" t="s">
        <v>366</v>
      </c>
      <c r="S151" s="100"/>
      <c r="T151" s="100"/>
      <c r="U151" s="101"/>
      <c r="V151" s="96" t="s">
        <v>367</v>
      </c>
      <c r="W151" s="97"/>
      <c r="X151" s="97"/>
      <c r="Y151" s="97"/>
      <c r="Z151" s="97"/>
      <c r="AA151" s="97"/>
      <c r="AB151" s="98"/>
      <c r="AC151" s="96" t="s">
        <v>368</v>
      </c>
      <c r="AD151" s="26"/>
      <c r="AE151" s="26"/>
      <c r="AF151" s="26"/>
      <c r="AG151" s="27"/>
    </row>
    <row r="152" spans="2:33" ht="15" customHeight="1">
      <c r="C152" s="32"/>
      <c r="D152" s="60"/>
      <c r="E152" s="60"/>
      <c r="F152" s="40"/>
      <c r="G152" s="32"/>
      <c r="H152" s="60"/>
      <c r="I152" s="60"/>
      <c r="J152" s="40"/>
      <c r="K152" s="96" t="s">
        <v>369</v>
      </c>
      <c r="L152" s="97"/>
      <c r="M152" s="97"/>
      <c r="N152" s="97"/>
      <c r="O152" s="97"/>
      <c r="P152" s="97"/>
      <c r="Q152" s="98"/>
      <c r="R152" s="108"/>
      <c r="S152" s="109"/>
      <c r="T152" s="109"/>
      <c r="U152" s="110"/>
      <c r="V152" s="96" t="s">
        <v>370</v>
      </c>
      <c r="W152" s="97"/>
      <c r="X152" s="97"/>
      <c r="Y152" s="97"/>
      <c r="Z152" s="97"/>
      <c r="AA152" s="97"/>
      <c r="AB152" s="98"/>
      <c r="AC152" s="96" t="s">
        <v>368</v>
      </c>
      <c r="AD152" s="26"/>
      <c r="AE152" s="26"/>
      <c r="AF152" s="26"/>
      <c r="AG152" s="27"/>
    </row>
    <row r="153" spans="2:33" ht="15" customHeight="1">
      <c r="C153" s="32"/>
      <c r="D153" s="60"/>
      <c r="E153" s="60"/>
      <c r="F153" s="40"/>
      <c r="G153" s="38"/>
      <c r="H153" s="30"/>
      <c r="I153" s="30"/>
      <c r="J153" s="31"/>
      <c r="K153" s="25" t="s">
        <v>371</v>
      </c>
      <c r="L153" s="26"/>
      <c r="M153" s="26"/>
      <c r="N153" s="26"/>
      <c r="O153" s="26"/>
      <c r="P153" s="26"/>
      <c r="Q153" s="27"/>
      <c r="R153" s="102"/>
      <c r="S153" s="103"/>
      <c r="T153" s="103"/>
      <c r="U153" s="104"/>
      <c r="V153" s="96" t="s">
        <v>367</v>
      </c>
      <c r="W153" s="97"/>
      <c r="X153" s="97"/>
      <c r="Y153" s="97"/>
      <c r="Z153" s="97"/>
      <c r="AA153" s="97"/>
      <c r="AB153" s="98"/>
      <c r="AC153" s="114" t="s">
        <v>372</v>
      </c>
      <c r="AD153" s="26"/>
      <c r="AE153" s="26"/>
      <c r="AF153" s="26"/>
      <c r="AG153" s="27"/>
    </row>
    <row r="154" spans="2:33" ht="15" customHeight="1">
      <c r="C154" s="32"/>
      <c r="D154" s="60"/>
      <c r="E154" s="60"/>
      <c r="F154" s="40"/>
      <c r="G154" s="95" t="s">
        <v>373</v>
      </c>
      <c r="H154" s="29"/>
      <c r="I154" s="29"/>
      <c r="J154" s="39"/>
      <c r="K154" s="99" t="s">
        <v>366</v>
      </c>
      <c r="L154" s="100"/>
      <c r="M154" s="100"/>
      <c r="N154" s="100"/>
      <c r="O154" s="100"/>
      <c r="P154" s="100"/>
      <c r="Q154" s="101"/>
      <c r="R154" s="111" t="s">
        <v>374</v>
      </c>
      <c r="S154" s="26"/>
      <c r="T154" s="26"/>
      <c r="U154" s="27"/>
      <c r="V154" s="96" t="s">
        <v>367</v>
      </c>
      <c r="W154" s="97"/>
      <c r="X154" s="97"/>
      <c r="Y154" s="97"/>
      <c r="Z154" s="97"/>
      <c r="AA154" s="97"/>
      <c r="AB154" s="98"/>
      <c r="AC154" s="96" t="s">
        <v>368</v>
      </c>
      <c r="AD154" s="26"/>
      <c r="AE154" s="26"/>
      <c r="AF154" s="26"/>
      <c r="AG154" s="27"/>
    </row>
    <row r="155" spans="2:33" ht="15" customHeight="1">
      <c r="C155" s="38"/>
      <c r="D155" s="30"/>
      <c r="E155" s="30"/>
      <c r="F155" s="31"/>
      <c r="G155" s="38"/>
      <c r="H155" s="30"/>
      <c r="I155" s="30"/>
      <c r="J155" s="31"/>
      <c r="K155" s="102"/>
      <c r="L155" s="103"/>
      <c r="M155" s="103"/>
      <c r="N155" s="103"/>
      <c r="O155" s="103"/>
      <c r="P155" s="103"/>
      <c r="Q155" s="104"/>
      <c r="R155" s="96" t="s">
        <v>375</v>
      </c>
      <c r="S155" s="26"/>
      <c r="T155" s="26"/>
      <c r="U155" s="27"/>
      <c r="V155" s="96" t="s">
        <v>370</v>
      </c>
      <c r="W155" s="97"/>
      <c r="X155" s="97"/>
      <c r="Y155" s="97"/>
      <c r="Z155" s="97"/>
      <c r="AA155" s="97"/>
      <c r="AB155" s="98"/>
      <c r="AC155" s="96" t="s">
        <v>368</v>
      </c>
      <c r="AD155" s="26"/>
      <c r="AE155" s="26"/>
      <c r="AF155" s="26"/>
      <c r="AG155" s="27"/>
    </row>
    <row r="156" spans="2:33" ht="15" customHeight="1">
      <c r="C156" s="95" t="s">
        <v>376</v>
      </c>
      <c r="D156" s="29"/>
      <c r="E156" s="29"/>
      <c r="F156" s="39"/>
      <c r="G156" s="96" t="s">
        <v>364</v>
      </c>
      <c r="H156" s="26"/>
      <c r="I156" s="26"/>
      <c r="J156" s="27"/>
      <c r="K156" s="105" t="s">
        <v>366</v>
      </c>
      <c r="L156" s="106"/>
      <c r="M156" s="106"/>
      <c r="N156" s="106"/>
      <c r="O156" s="106"/>
      <c r="P156" s="106"/>
      <c r="Q156" s="107"/>
      <c r="R156" s="105" t="s">
        <v>366</v>
      </c>
      <c r="S156" s="106"/>
      <c r="T156" s="106"/>
      <c r="U156" s="107"/>
      <c r="V156" s="96" t="s">
        <v>377</v>
      </c>
      <c r="W156" s="97"/>
      <c r="X156" s="97"/>
      <c r="Y156" s="97"/>
      <c r="Z156" s="97"/>
      <c r="AA156" s="97"/>
      <c r="AB156" s="98"/>
      <c r="AC156" s="96" t="s">
        <v>368</v>
      </c>
      <c r="AD156" s="26"/>
      <c r="AE156" s="26"/>
      <c r="AF156" s="26"/>
      <c r="AG156" s="27"/>
    </row>
    <row r="157" spans="2:33" ht="15" customHeight="1">
      <c r="C157" s="32"/>
      <c r="D157" s="60"/>
      <c r="E157" s="60"/>
      <c r="F157" s="40"/>
      <c r="G157" s="95" t="s">
        <v>373</v>
      </c>
      <c r="H157" s="29"/>
      <c r="I157" s="29"/>
      <c r="J157" s="39"/>
      <c r="K157" s="99" t="s">
        <v>366</v>
      </c>
      <c r="L157" s="100"/>
      <c r="M157" s="100"/>
      <c r="N157" s="100"/>
      <c r="O157" s="100"/>
      <c r="P157" s="100"/>
      <c r="Q157" s="101"/>
      <c r="R157" s="111" t="s">
        <v>374</v>
      </c>
      <c r="S157" s="26"/>
      <c r="T157" s="26"/>
      <c r="U157" s="27"/>
      <c r="V157" s="96" t="s">
        <v>377</v>
      </c>
      <c r="W157" s="97"/>
      <c r="X157" s="97"/>
      <c r="Y157" s="97"/>
      <c r="Z157" s="97"/>
      <c r="AA157" s="97"/>
      <c r="AB157" s="98"/>
      <c r="AC157" s="96" t="s">
        <v>368</v>
      </c>
      <c r="AD157" s="26"/>
      <c r="AE157" s="26"/>
      <c r="AF157" s="26"/>
      <c r="AG157" s="27"/>
    </row>
    <row r="158" spans="2:33" ht="15" customHeight="1">
      <c r="C158" s="38"/>
      <c r="D158" s="30"/>
      <c r="E158" s="30"/>
      <c r="F158" s="31"/>
      <c r="G158" s="38"/>
      <c r="H158" s="30"/>
      <c r="I158" s="30"/>
      <c r="J158" s="31"/>
      <c r="K158" s="102"/>
      <c r="L158" s="103"/>
      <c r="M158" s="103"/>
      <c r="N158" s="103"/>
      <c r="O158" s="103"/>
      <c r="P158" s="103"/>
      <c r="Q158" s="104"/>
      <c r="R158" s="96" t="s">
        <v>375</v>
      </c>
      <c r="S158" s="26"/>
      <c r="T158" s="26"/>
      <c r="U158" s="27"/>
      <c r="V158" s="96" t="s">
        <v>370</v>
      </c>
      <c r="W158" s="97"/>
      <c r="X158" s="97"/>
      <c r="Y158" s="97"/>
      <c r="Z158" s="97"/>
      <c r="AA158" s="97"/>
      <c r="AB158" s="98"/>
      <c r="AC158" s="96" t="s">
        <v>368</v>
      </c>
      <c r="AD158" s="26"/>
      <c r="AE158" s="26"/>
      <c r="AF158" s="26"/>
      <c r="AG158" s="27"/>
    </row>
    <row r="160" spans="2:33" ht="15" customHeight="1">
      <c r="B160" s="55" t="s">
        <v>266</v>
      </c>
    </row>
    <row r="161" spans="2:22" ht="15" customHeight="1">
      <c r="B161" t="s">
        <v>104</v>
      </c>
      <c r="C161" t="s">
        <v>360</v>
      </c>
    </row>
    <row r="162" spans="2:22" ht="15" customHeight="1">
      <c r="C162" t="s">
        <v>108</v>
      </c>
      <c r="D162" t="s">
        <v>378</v>
      </c>
    </row>
    <row r="163" spans="2:22" ht="15" customHeight="1">
      <c r="D163" t="s">
        <v>379</v>
      </c>
    </row>
    <row r="164" spans="2:22" ht="15" customHeight="1">
      <c r="D164" t="s">
        <v>380</v>
      </c>
    </row>
    <row r="165" spans="2:22" ht="15" customHeight="1">
      <c r="D165" t="s">
        <v>381</v>
      </c>
    </row>
    <row r="166" spans="2:22" ht="15" customHeight="1">
      <c r="D166" t="s">
        <v>382</v>
      </c>
    </row>
    <row r="168" spans="2:22" ht="15" customHeight="1">
      <c r="D168" t="s">
        <v>383</v>
      </c>
    </row>
    <row r="169" spans="2:22" ht="15" customHeight="1">
      <c r="D169" s="69" t="s">
        <v>384</v>
      </c>
      <c r="E169" s="23"/>
      <c r="F169" s="23"/>
      <c r="G169" s="23"/>
      <c r="H169" s="23"/>
      <c r="I169" s="23"/>
      <c r="J169" s="23"/>
      <c r="K169" s="23"/>
      <c r="L169" s="23"/>
      <c r="M169" s="23"/>
      <c r="N169" s="23"/>
      <c r="O169" s="23"/>
      <c r="P169" s="69" t="s">
        <v>385</v>
      </c>
      <c r="Q169" s="23"/>
      <c r="R169" s="23"/>
      <c r="S169" s="23"/>
      <c r="T169" s="23"/>
      <c r="U169" s="23"/>
      <c r="V169" s="24"/>
    </row>
    <row r="170" spans="2:22" ht="15" customHeight="1">
      <c r="D170" s="83" t="s">
        <v>386</v>
      </c>
      <c r="E170" s="11"/>
      <c r="F170" s="11"/>
      <c r="G170" s="11"/>
      <c r="H170" s="11"/>
      <c r="I170" s="11"/>
      <c r="J170" s="11"/>
      <c r="K170" s="11"/>
      <c r="L170" s="11"/>
      <c r="M170" s="11"/>
      <c r="N170" s="11"/>
      <c r="O170" s="11"/>
      <c r="P170" s="83" t="s">
        <v>387</v>
      </c>
      <c r="Q170" s="11"/>
      <c r="R170" s="11"/>
      <c r="S170" s="11"/>
      <c r="T170" s="11"/>
      <c r="U170" s="11"/>
      <c r="V170" s="12"/>
    </row>
    <row r="171" spans="2:22" ht="15" customHeight="1">
      <c r="D171" s="83" t="s">
        <v>388</v>
      </c>
      <c r="E171" s="11"/>
      <c r="F171" s="11"/>
      <c r="G171" s="11"/>
      <c r="H171" s="11"/>
      <c r="I171" s="11"/>
      <c r="J171" s="11"/>
      <c r="K171" s="11"/>
      <c r="L171" s="11"/>
      <c r="M171" s="11"/>
      <c r="N171" s="11"/>
      <c r="O171" s="11"/>
      <c r="P171" s="83" t="s">
        <v>389</v>
      </c>
      <c r="Q171" s="11"/>
      <c r="R171" s="11"/>
      <c r="S171" s="11"/>
      <c r="T171" s="11"/>
      <c r="U171" s="11"/>
      <c r="V171" s="12"/>
    </row>
    <row r="172" spans="2:22" ht="15" customHeight="1">
      <c r="D172" s="83" t="s">
        <v>390</v>
      </c>
      <c r="E172" s="11"/>
      <c r="F172" s="11"/>
      <c r="G172" s="11"/>
      <c r="H172" s="11"/>
      <c r="I172" s="11"/>
      <c r="J172" s="11"/>
      <c r="K172" s="11"/>
      <c r="L172" s="11"/>
      <c r="M172" s="11"/>
      <c r="N172" s="11"/>
      <c r="O172" s="11"/>
      <c r="P172" s="83" t="s">
        <v>391</v>
      </c>
      <c r="Q172" s="11"/>
      <c r="R172" s="11"/>
      <c r="S172" s="11"/>
      <c r="T172" s="11"/>
      <c r="U172" s="11"/>
      <c r="V172" s="12"/>
    </row>
    <row r="173" spans="2:22" ht="15" customHeight="1">
      <c r="D173" s="83" t="s">
        <v>392</v>
      </c>
      <c r="E173" s="11"/>
      <c r="F173" s="11"/>
      <c r="G173" s="11"/>
      <c r="H173" s="11"/>
      <c r="I173" s="11"/>
      <c r="J173" s="11"/>
      <c r="K173" s="11"/>
      <c r="L173" s="11"/>
      <c r="M173" s="11"/>
      <c r="N173" s="11"/>
      <c r="O173" s="11"/>
      <c r="P173" s="83" t="s">
        <v>393</v>
      </c>
      <c r="Q173" s="11"/>
      <c r="R173" s="11"/>
      <c r="S173" s="11"/>
      <c r="T173" s="11"/>
      <c r="U173" s="11"/>
      <c r="V173" s="12"/>
    </row>
    <row r="174" spans="2:22" ht="15" customHeight="1">
      <c r="D174" s="83" t="s">
        <v>394</v>
      </c>
      <c r="E174" s="11"/>
      <c r="F174" s="11"/>
      <c r="G174" s="11"/>
      <c r="H174" s="11"/>
      <c r="I174" s="11"/>
      <c r="J174" s="11"/>
      <c r="K174" s="11"/>
      <c r="L174" s="11"/>
      <c r="M174" s="11"/>
      <c r="N174" s="11"/>
      <c r="O174" s="11"/>
      <c r="P174" s="83" t="s">
        <v>395</v>
      </c>
      <c r="Q174" s="11"/>
      <c r="R174" s="11"/>
      <c r="S174" s="11"/>
      <c r="T174" s="11"/>
      <c r="U174" s="11"/>
      <c r="V174" s="12"/>
    </row>
    <row r="175" spans="2:22" ht="15" customHeight="1">
      <c r="D175" s="83" t="s">
        <v>396</v>
      </c>
      <c r="E175" s="11"/>
      <c r="F175" s="11"/>
      <c r="G175" s="11"/>
      <c r="H175" s="11"/>
      <c r="I175" s="11"/>
      <c r="J175" s="11"/>
      <c r="K175" s="11"/>
      <c r="L175" s="11"/>
      <c r="M175" s="11"/>
      <c r="N175" s="11"/>
      <c r="O175" s="11"/>
      <c r="P175" s="83" t="s">
        <v>397</v>
      </c>
      <c r="Q175" s="11"/>
      <c r="R175" s="11"/>
      <c r="S175" s="11"/>
      <c r="T175" s="11"/>
      <c r="U175" s="11"/>
      <c r="V175" s="12"/>
    </row>
    <row r="176" spans="2:22" ht="15" customHeight="1">
      <c r="D176" s="83" t="s">
        <v>398</v>
      </c>
      <c r="E176" s="11"/>
      <c r="F176" s="11"/>
      <c r="G176" s="11"/>
      <c r="H176" s="11"/>
      <c r="I176" s="11"/>
      <c r="J176" s="11"/>
      <c r="K176" s="11"/>
      <c r="L176" s="11"/>
      <c r="M176" s="11"/>
      <c r="N176" s="11"/>
      <c r="O176" s="11"/>
      <c r="P176" s="83" t="s">
        <v>399</v>
      </c>
      <c r="Q176" s="11"/>
      <c r="R176" s="11"/>
      <c r="S176" s="11"/>
      <c r="T176" s="11"/>
      <c r="U176" s="11"/>
      <c r="V176" s="12"/>
    </row>
    <row r="177" spans="4:22" ht="15" customHeight="1">
      <c r="D177" s="83" t="s">
        <v>400</v>
      </c>
      <c r="E177" s="11"/>
      <c r="F177" s="11"/>
      <c r="G177" s="11"/>
      <c r="H177" s="11"/>
      <c r="I177" s="11"/>
      <c r="J177" s="11"/>
      <c r="K177" s="11"/>
      <c r="L177" s="11"/>
      <c r="M177" s="11"/>
      <c r="N177" s="11"/>
      <c r="O177" s="11"/>
      <c r="P177" s="83" t="s">
        <v>401</v>
      </c>
      <c r="Q177" s="11"/>
      <c r="R177" s="11"/>
      <c r="S177" s="11"/>
      <c r="T177" s="11"/>
      <c r="U177" s="11"/>
      <c r="V177" s="12"/>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19"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62"/>
  <sheetViews>
    <sheetView view="pageBreakPreview" topLeftCell="A9" zoomScale="80" zoomScaleNormal="75" zoomScaleSheetLayoutView="80" workbookViewId="0">
      <selection activeCell="BC2" sqref="BC2:BG3"/>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値引バーコード</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71" t="s">
        <v>53</v>
      </c>
      <c r="BK8" s="8"/>
    </row>
    <row r="9" spans="1:63" ht="15" customHeight="1">
      <c r="A9" s="4"/>
      <c r="BK9" s="8"/>
    </row>
    <row r="10" spans="1:63" ht="15" customHeight="1">
      <c r="A10" s="4"/>
      <c r="B10" s="117" t="s">
        <v>251</v>
      </c>
      <c r="BK10" s="8"/>
    </row>
    <row r="11" spans="1:63" ht="15" customHeight="1">
      <c r="A11" s="4"/>
      <c r="B11" t="s">
        <v>104</v>
      </c>
      <c r="C11" t="s">
        <v>402</v>
      </c>
      <c r="BK11" s="8"/>
    </row>
    <row r="12" spans="1:63" ht="15" customHeight="1">
      <c r="A12" s="4"/>
      <c r="BK12" s="8"/>
    </row>
    <row r="13" spans="1:63" ht="15" customHeight="1">
      <c r="A13" s="4"/>
      <c r="B13" s="55" t="s">
        <v>253</v>
      </c>
      <c r="BK13" s="8"/>
    </row>
    <row r="14" spans="1:63" ht="15" customHeight="1">
      <c r="A14" s="4"/>
      <c r="B14" s="59" t="s">
        <v>104</v>
      </c>
      <c r="C14" t="s">
        <v>403</v>
      </c>
      <c r="BK14" s="8"/>
    </row>
    <row r="15" spans="1:63" ht="15" customHeight="1">
      <c r="A15" s="4"/>
      <c r="BK15" s="8"/>
    </row>
    <row r="16" spans="1:63" ht="15" customHeight="1">
      <c r="A16" s="4"/>
      <c r="B16" s="55" t="s">
        <v>255</v>
      </c>
      <c r="BK16" s="8"/>
    </row>
    <row r="17" spans="1:63" ht="15" customHeight="1">
      <c r="A17" s="4"/>
      <c r="B17" s="59" t="s">
        <v>104</v>
      </c>
      <c r="C17" t="s">
        <v>404</v>
      </c>
      <c r="BK17" s="8"/>
    </row>
    <row r="18" spans="1:63" ht="15" customHeight="1">
      <c r="A18" s="4"/>
      <c r="B18" t="s">
        <v>104</v>
      </c>
      <c r="C18" t="s">
        <v>405</v>
      </c>
      <c r="BK18" s="8"/>
    </row>
    <row r="19" spans="1:63" ht="15" customHeight="1">
      <c r="A19" s="4"/>
      <c r="C19" s="67" t="s">
        <v>406</v>
      </c>
      <c r="BK19" s="8"/>
    </row>
    <row r="20" spans="1:63" ht="15" customHeight="1">
      <c r="A20" s="4"/>
      <c r="C20" t="s">
        <v>320</v>
      </c>
      <c r="D20" t="s">
        <v>47</v>
      </c>
      <c r="BK20" s="8"/>
    </row>
    <row r="21" spans="1:63" ht="15" customHeight="1">
      <c r="A21" s="4"/>
      <c r="C21" s="69" t="s">
        <v>407</v>
      </c>
      <c r="D21" s="24"/>
      <c r="E21" s="69" t="s">
        <v>408</v>
      </c>
      <c r="F21" s="23"/>
      <c r="G21" s="23"/>
      <c r="H21" s="23"/>
      <c r="I21" s="23"/>
      <c r="J21" s="23"/>
      <c r="K21" s="23"/>
      <c r="L21" s="23"/>
      <c r="M21" s="23"/>
      <c r="N21" s="23"/>
      <c r="O21" s="24"/>
      <c r="BK21" s="8"/>
    </row>
    <row r="22" spans="1:63" ht="15" customHeight="1">
      <c r="A22" s="4"/>
      <c r="C22" s="74" t="s">
        <v>409</v>
      </c>
      <c r="D22" s="12"/>
      <c r="E22" s="83" t="s">
        <v>300</v>
      </c>
      <c r="F22" s="11"/>
      <c r="G22" s="11"/>
      <c r="H22" s="11"/>
      <c r="I22" s="11"/>
      <c r="J22" s="11"/>
      <c r="K22" s="11"/>
      <c r="L22" s="11"/>
      <c r="M22" s="11"/>
      <c r="N22" s="11"/>
      <c r="O22" s="12"/>
      <c r="BK22" s="8"/>
    </row>
    <row r="23" spans="1:63" ht="15" customHeight="1">
      <c r="A23" s="4"/>
      <c r="C23" s="74" t="s">
        <v>410</v>
      </c>
      <c r="D23" s="12"/>
      <c r="E23" s="83" t="s">
        <v>411</v>
      </c>
      <c r="F23" s="11"/>
      <c r="G23" s="11"/>
      <c r="H23" s="11"/>
      <c r="I23" s="11"/>
      <c r="J23" s="11"/>
      <c r="K23" s="11"/>
      <c r="L23" s="11"/>
      <c r="M23" s="11"/>
      <c r="N23" s="11"/>
      <c r="O23" s="12"/>
      <c r="BK23" s="8"/>
    </row>
    <row r="24" spans="1:63" ht="15" customHeight="1">
      <c r="A24" s="4"/>
      <c r="C24" s="74" t="s">
        <v>412</v>
      </c>
      <c r="D24" s="12"/>
      <c r="E24" s="83" t="s">
        <v>413</v>
      </c>
      <c r="F24" s="11"/>
      <c r="G24" s="11"/>
      <c r="H24" s="11"/>
      <c r="I24" s="11"/>
      <c r="J24" s="11"/>
      <c r="K24" s="11"/>
      <c r="L24" s="11"/>
      <c r="M24" s="11"/>
      <c r="N24" s="11"/>
      <c r="O24" s="12"/>
      <c r="BK24" s="8"/>
    </row>
    <row r="25" spans="1:63" ht="15" customHeight="1">
      <c r="A25" s="4"/>
      <c r="C25" s="74" t="s">
        <v>311</v>
      </c>
      <c r="D25" s="12"/>
      <c r="E25" s="83" t="s">
        <v>414</v>
      </c>
      <c r="F25" s="11"/>
      <c r="G25" s="11"/>
      <c r="H25" s="11"/>
      <c r="I25" s="11"/>
      <c r="J25" s="11"/>
      <c r="K25" s="11"/>
      <c r="L25" s="11"/>
      <c r="M25" s="11"/>
      <c r="N25" s="11"/>
      <c r="O25" s="12"/>
      <c r="BK25" s="8"/>
    </row>
    <row r="26" spans="1:63" ht="15" customHeight="1">
      <c r="A26" s="4"/>
      <c r="BK26" s="8"/>
    </row>
    <row r="27" spans="1:63" ht="15" customHeight="1">
      <c r="A27" s="4"/>
      <c r="C27" s="67" t="s">
        <v>322</v>
      </c>
      <c r="D27" s="67" t="s">
        <v>51</v>
      </c>
      <c r="BK27" s="8"/>
    </row>
    <row r="28" spans="1:63" ht="15" customHeight="1">
      <c r="A28" s="4"/>
      <c r="C28" s="69" t="s">
        <v>407</v>
      </c>
      <c r="D28" s="24"/>
      <c r="E28" s="69" t="s">
        <v>408</v>
      </c>
      <c r="F28" s="23"/>
      <c r="G28" s="23"/>
      <c r="H28" s="23"/>
      <c r="I28" s="23"/>
      <c r="J28" s="23"/>
      <c r="K28" s="23"/>
      <c r="L28" s="23"/>
      <c r="M28" s="23"/>
      <c r="N28" s="23"/>
      <c r="O28" s="24"/>
      <c r="BK28" s="8"/>
    </row>
    <row r="29" spans="1:63" ht="15" customHeight="1">
      <c r="A29" s="4"/>
      <c r="C29" s="115" t="s">
        <v>409</v>
      </c>
      <c r="D29" s="12"/>
      <c r="E29" s="116" t="s">
        <v>300</v>
      </c>
      <c r="F29" s="11"/>
      <c r="G29" s="11"/>
      <c r="H29" s="11"/>
      <c r="I29" s="11"/>
      <c r="J29" s="11"/>
      <c r="K29" s="11"/>
      <c r="L29" s="11"/>
      <c r="M29" s="11"/>
      <c r="N29" s="11"/>
      <c r="O29" s="12"/>
      <c r="BK29" s="8"/>
    </row>
    <row r="30" spans="1:63" ht="15" customHeight="1">
      <c r="A30" s="4"/>
      <c r="C30" s="115" t="s">
        <v>410</v>
      </c>
      <c r="D30" s="12"/>
      <c r="E30" s="116" t="s">
        <v>415</v>
      </c>
      <c r="F30" s="11"/>
      <c r="G30" s="11"/>
      <c r="H30" s="11"/>
      <c r="I30" s="11"/>
      <c r="J30" s="11"/>
      <c r="K30" s="11"/>
      <c r="L30" s="11"/>
      <c r="M30" s="11"/>
      <c r="N30" s="11"/>
      <c r="O30" s="12"/>
      <c r="BK30" s="8"/>
    </row>
    <row r="31" spans="1:63" ht="15" customHeight="1">
      <c r="A31" s="4"/>
      <c r="C31" s="115" t="s">
        <v>412</v>
      </c>
      <c r="D31" s="12"/>
      <c r="E31" s="116" t="s">
        <v>416</v>
      </c>
      <c r="F31" s="11"/>
      <c r="G31" s="11"/>
      <c r="H31" s="11"/>
      <c r="I31" s="11"/>
      <c r="J31" s="11"/>
      <c r="K31" s="11"/>
      <c r="L31" s="11"/>
      <c r="M31" s="11"/>
      <c r="N31" s="11"/>
      <c r="O31" s="12"/>
      <c r="BK31" s="8"/>
    </row>
    <row r="32" spans="1:63" ht="15" customHeight="1">
      <c r="A32" s="4"/>
      <c r="C32" s="115" t="s">
        <v>311</v>
      </c>
      <c r="D32" s="12"/>
      <c r="E32" s="116" t="s">
        <v>414</v>
      </c>
      <c r="F32" s="11"/>
      <c r="G32" s="11"/>
      <c r="H32" s="11"/>
      <c r="I32" s="11"/>
      <c r="J32" s="11"/>
      <c r="K32" s="11"/>
      <c r="L32" s="11"/>
      <c r="M32" s="11"/>
      <c r="N32" s="11"/>
      <c r="O32" s="12"/>
      <c r="BK32" s="8"/>
    </row>
    <row r="33" spans="1:63" ht="15" customHeight="1">
      <c r="A33" s="4"/>
      <c r="BK33" s="8"/>
    </row>
    <row r="34" spans="1:63" ht="15" customHeight="1">
      <c r="A34" s="4"/>
      <c r="B34" t="s">
        <v>104</v>
      </c>
      <c r="C34" t="s">
        <v>417</v>
      </c>
      <c r="BK34" s="8"/>
    </row>
    <row r="35" spans="1:63" ht="15" customHeight="1">
      <c r="A35" s="4"/>
      <c r="B35" t="s">
        <v>104</v>
      </c>
      <c r="C35" t="s">
        <v>418</v>
      </c>
      <c r="BK35" s="8"/>
    </row>
    <row r="36" spans="1:63" ht="15" customHeight="1">
      <c r="A36" s="4"/>
      <c r="BK36" s="8"/>
    </row>
    <row r="37" spans="1:63" ht="15" customHeight="1">
      <c r="A37" s="4"/>
      <c r="B37" s="55" t="s">
        <v>258</v>
      </c>
      <c r="BK37" s="8"/>
    </row>
    <row r="38" spans="1:63" ht="15" customHeight="1">
      <c r="A38" s="4"/>
      <c r="B38" s="67" t="s">
        <v>104</v>
      </c>
      <c r="C38" s="67" t="s">
        <v>419</v>
      </c>
      <c r="BK38" s="8"/>
    </row>
    <row r="39" spans="1:63" ht="15" customHeight="1">
      <c r="A39" s="4"/>
      <c r="C39" s="67" t="s">
        <v>420</v>
      </c>
      <c r="D39" s="67" t="s">
        <v>421</v>
      </c>
      <c r="BK39" s="8"/>
    </row>
    <row r="40" spans="1:63" ht="15" customHeight="1">
      <c r="A40" s="4"/>
      <c r="D40" s="67" t="s">
        <v>422</v>
      </c>
      <c r="F40" s="67" t="s">
        <v>423</v>
      </c>
      <c r="G40" s="67" t="s">
        <v>424</v>
      </c>
      <c r="BK40" s="8"/>
    </row>
    <row r="41" spans="1:63" ht="15" customHeight="1">
      <c r="A41" s="4"/>
      <c r="D41" s="67" t="s">
        <v>425</v>
      </c>
      <c r="F41" s="67" t="s">
        <v>423</v>
      </c>
      <c r="G41" s="67" t="s">
        <v>426</v>
      </c>
      <c r="BK41" s="8"/>
    </row>
    <row r="42" spans="1:63" ht="15" customHeight="1">
      <c r="A42" s="4"/>
      <c r="D42" s="67" t="s">
        <v>427</v>
      </c>
      <c r="BK42" s="8"/>
    </row>
    <row r="43" spans="1:63" ht="15" customHeight="1">
      <c r="A43" s="4"/>
      <c r="B43" t="s">
        <v>104</v>
      </c>
      <c r="C43" t="s">
        <v>428</v>
      </c>
      <c r="BK43" s="8"/>
    </row>
    <row r="44" spans="1:63" ht="15" customHeight="1">
      <c r="A44" s="4"/>
      <c r="BK44" s="8"/>
    </row>
    <row r="45" spans="1:63" ht="15" customHeight="1">
      <c r="A45" s="4"/>
      <c r="B45" s="55" t="s">
        <v>260</v>
      </c>
      <c r="BK45" s="8"/>
    </row>
    <row r="46" spans="1:63" ht="15" customHeight="1">
      <c r="A46" s="4"/>
      <c r="B46" s="55" t="s">
        <v>85</v>
      </c>
      <c r="C46" t="s">
        <v>429</v>
      </c>
      <c r="BK46" s="8"/>
    </row>
    <row r="47" spans="1:63" ht="15" customHeight="1">
      <c r="A47" s="4"/>
      <c r="C47" t="s">
        <v>430</v>
      </c>
      <c r="BK47" s="8"/>
    </row>
    <row r="48" spans="1:63" ht="15" customHeight="1">
      <c r="A48" s="4"/>
      <c r="C48" t="s">
        <v>108</v>
      </c>
      <c r="D48" s="59" t="s">
        <v>431</v>
      </c>
      <c r="BK48" s="8"/>
    </row>
    <row r="49" spans="1:63" ht="15" customHeight="1">
      <c r="A49" s="4"/>
      <c r="D49" t="s">
        <v>432</v>
      </c>
      <c r="BK49" s="8"/>
    </row>
    <row r="50" spans="1:63" ht="15" customHeight="1">
      <c r="A50" s="4"/>
      <c r="BK50" s="8"/>
    </row>
    <row r="51" spans="1:63" ht="15" customHeight="1">
      <c r="A51" s="4"/>
      <c r="B51" s="67" t="s">
        <v>433</v>
      </c>
      <c r="BK51" s="8"/>
    </row>
    <row r="52" spans="1:63" ht="15" customHeight="1">
      <c r="A52" s="4"/>
      <c r="B52" s="67" t="s">
        <v>434</v>
      </c>
      <c r="BK52" s="8"/>
    </row>
    <row r="53" spans="1:63" ht="15" customHeight="1">
      <c r="A53" s="4"/>
      <c r="BK53" s="8"/>
    </row>
    <row r="54" spans="1:63" ht="15" customHeight="1">
      <c r="A54" s="4"/>
      <c r="BK54" s="8"/>
    </row>
    <row r="55" spans="1:63" ht="15" customHeight="1">
      <c r="A55" s="4"/>
      <c r="B55" s="55" t="s">
        <v>266</v>
      </c>
      <c r="BK55" s="8"/>
    </row>
    <row r="56" spans="1:63" ht="15" customHeight="1">
      <c r="B56" t="s">
        <v>104</v>
      </c>
      <c r="C56" t="s">
        <v>267</v>
      </c>
    </row>
    <row r="57" spans="1:63" ht="15" customHeight="1">
      <c r="B57" t="s">
        <v>104</v>
      </c>
      <c r="C57" t="s">
        <v>435</v>
      </c>
    </row>
    <row r="58" spans="1:63" ht="15" customHeight="1">
      <c r="C58" t="s">
        <v>108</v>
      </c>
      <c r="D58" t="s">
        <v>436</v>
      </c>
    </row>
    <row r="59" spans="1:63" ht="15" customHeight="1">
      <c r="D59" t="s">
        <v>437</v>
      </c>
    </row>
    <row r="60" spans="1:63" ht="15" customHeight="1">
      <c r="B60" t="s">
        <v>104</v>
      </c>
      <c r="C60" t="s">
        <v>438</v>
      </c>
    </row>
    <row r="61" spans="1:63" ht="15" customHeight="1">
      <c r="C61" t="s">
        <v>108</v>
      </c>
      <c r="D61" t="s">
        <v>439</v>
      </c>
    </row>
    <row r="62" spans="1:63" ht="15" customHeight="1">
      <c r="D62" t="s">
        <v>437</v>
      </c>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K55"/>
  <sheetViews>
    <sheetView view="pageBreakPreview" zoomScaleNormal="75" zoomScaleSheetLayoutView="100" workbookViewId="0">
      <selection activeCell="F7" sqref="F7"/>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分類</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118" t="s">
        <v>55</v>
      </c>
      <c r="E7" s="84" t="s">
        <v>440</v>
      </c>
      <c r="BK7" s="8"/>
    </row>
    <row r="8" spans="1:63" ht="15" customHeight="1">
      <c r="A8" s="4"/>
      <c r="BK8" s="8"/>
    </row>
    <row r="9" spans="1:63" ht="15" customHeight="1">
      <c r="A9" s="4"/>
      <c r="B9" s="66" t="s">
        <v>251</v>
      </c>
      <c r="BK9" s="8"/>
    </row>
    <row r="10" spans="1:63" ht="15" customHeight="1">
      <c r="A10" s="4"/>
      <c r="B10" s="67" t="s">
        <v>104</v>
      </c>
      <c r="C10" s="67" t="s">
        <v>441</v>
      </c>
      <c r="BK10" s="8"/>
    </row>
    <row r="11" spans="1:63" ht="15" customHeight="1">
      <c r="A11" s="4"/>
      <c r="BK11" s="8"/>
    </row>
    <row r="12" spans="1:63" ht="15" customHeight="1">
      <c r="A12" s="4"/>
      <c r="B12" s="66" t="s">
        <v>253</v>
      </c>
      <c r="C12" s="67"/>
      <c r="BK12" s="8"/>
    </row>
    <row r="13" spans="1:63" ht="15" customHeight="1">
      <c r="A13" s="4"/>
      <c r="B13" s="67" t="s">
        <v>104</v>
      </c>
      <c r="C13" s="67" t="s">
        <v>442</v>
      </c>
      <c r="BK13" s="8"/>
    </row>
    <row r="14" spans="1:63" ht="15" customHeight="1">
      <c r="A14" s="4"/>
      <c r="BK14" s="8"/>
    </row>
    <row r="15" spans="1:63" ht="15" customHeight="1">
      <c r="A15" s="4"/>
      <c r="B15" s="66" t="s">
        <v>255</v>
      </c>
      <c r="BK15" s="8"/>
    </row>
    <row r="16" spans="1:63" ht="15" customHeight="1">
      <c r="A16" s="4"/>
      <c r="B16" s="67" t="s">
        <v>104</v>
      </c>
      <c r="C16" s="67" t="s">
        <v>443</v>
      </c>
      <c r="BK16" s="8"/>
    </row>
    <row r="17" spans="1:63" ht="15" customHeight="1">
      <c r="A17" s="4"/>
      <c r="B17" s="67" t="s">
        <v>104</v>
      </c>
      <c r="C17" s="67" t="s">
        <v>444</v>
      </c>
      <c r="BK17" s="8"/>
    </row>
    <row r="18" spans="1:63" ht="15" customHeight="1">
      <c r="A18" s="4"/>
      <c r="BK18" s="8"/>
    </row>
    <row r="19" spans="1:63" ht="15" customHeight="1">
      <c r="A19" s="4"/>
      <c r="B19" s="66" t="s">
        <v>258</v>
      </c>
      <c r="BK19" s="8"/>
    </row>
    <row r="20" spans="1:63" ht="15" customHeight="1">
      <c r="A20" s="4"/>
      <c r="B20" s="67" t="s">
        <v>104</v>
      </c>
      <c r="C20" s="67" t="s">
        <v>445</v>
      </c>
      <c r="BK20" s="8"/>
    </row>
    <row r="21" spans="1:63" ht="15" customHeight="1">
      <c r="A21" s="4"/>
      <c r="B21" s="67"/>
      <c r="C21" s="67" t="s">
        <v>446</v>
      </c>
      <c r="BK21" s="8"/>
    </row>
    <row r="22" spans="1:63" ht="15" customHeight="1">
      <c r="A22" s="4"/>
      <c r="B22" s="67" t="s">
        <v>104</v>
      </c>
      <c r="C22" s="67" t="s">
        <v>447</v>
      </c>
      <c r="BK22" s="8"/>
    </row>
    <row r="23" spans="1:63" ht="15" customHeight="1">
      <c r="A23" s="4"/>
      <c r="B23" s="67" t="s">
        <v>104</v>
      </c>
      <c r="C23" s="67" t="s">
        <v>448</v>
      </c>
      <c r="BK23" s="8"/>
    </row>
    <row r="24" spans="1:63" ht="15" customHeight="1">
      <c r="A24" s="4"/>
      <c r="B24" s="67"/>
      <c r="C24" s="67" t="s">
        <v>449</v>
      </c>
      <c r="BK24" s="8"/>
    </row>
    <row r="25" spans="1:63" ht="15" customHeight="1">
      <c r="A25" s="4"/>
      <c r="BK25" s="8"/>
    </row>
    <row r="26" spans="1:63" ht="15" customHeight="1">
      <c r="A26" s="4"/>
      <c r="B26" s="66" t="s">
        <v>260</v>
      </c>
      <c r="BK26" s="8"/>
    </row>
    <row r="27" spans="1:63" ht="15" customHeight="1">
      <c r="A27" s="4"/>
      <c r="B27" s="66" t="s">
        <v>85</v>
      </c>
      <c r="C27" s="67" t="s">
        <v>450</v>
      </c>
      <c r="BK27" s="8"/>
    </row>
    <row r="28" spans="1:63" ht="15" customHeight="1">
      <c r="A28" s="4"/>
      <c r="C28" s="67" t="s">
        <v>108</v>
      </c>
      <c r="D28" s="67" t="s">
        <v>278</v>
      </c>
      <c r="BK28" s="8"/>
    </row>
    <row r="29" spans="1:63" ht="15" customHeight="1">
      <c r="A29" s="4"/>
      <c r="BK29" s="8"/>
    </row>
    <row r="30" spans="1:63" ht="15" customHeight="1">
      <c r="A30" s="4"/>
      <c r="B30" s="66" t="s">
        <v>112</v>
      </c>
      <c r="C30" s="67" t="s">
        <v>451</v>
      </c>
      <c r="BK30" s="8"/>
    </row>
    <row r="31" spans="1:63" ht="15" customHeight="1">
      <c r="A31" s="4"/>
      <c r="C31" s="67" t="s">
        <v>452</v>
      </c>
      <c r="BK31" s="8"/>
    </row>
    <row r="32" spans="1:63" ht="15" customHeight="1">
      <c r="A32" s="4"/>
      <c r="C32" s="119" t="s">
        <v>282</v>
      </c>
      <c r="D32" s="67" t="s">
        <v>453</v>
      </c>
      <c r="BK32" s="8"/>
    </row>
    <row r="33" spans="1:63" ht="15" customHeight="1">
      <c r="A33" s="4"/>
      <c r="C33" s="119" t="s">
        <v>284</v>
      </c>
      <c r="D33" s="67" t="s">
        <v>454</v>
      </c>
      <c r="BK33" s="8"/>
    </row>
    <row r="34" spans="1:63" ht="15" customHeight="1">
      <c r="A34" s="4"/>
      <c r="C34" s="119" t="s">
        <v>286</v>
      </c>
      <c r="D34" s="67" t="s">
        <v>455</v>
      </c>
      <c r="BK34" s="8"/>
    </row>
    <row r="35" spans="1:63" ht="15" customHeight="1">
      <c r="A35" s="4"/>
      <c r="BK35" s="8"/>
    </row>
    <row r="36" spans="1:63" ht="15" customHeight="1">
      <c r="A36" s="4"/>
      <c r="B36" s="67" t="s">
        <v>433</v>
      </c>
      <c r="BK36" s="8"/>
    </row>
    <row r="37" spans="1:63" ht="15" customHeight="1">
      <c r="A37" s="4"/>
      <c r="B37" s="67" t="s">
        <v>456</v>
      </c>
      <c r="BK37" s="8"/>
    </row>
    <row r="38" spans="1:63" ht="15" customHeight="1">
      <c r="A38" s="4"/>
      <c r="B38" s="67" t="s">
        <v>108</v>
      </c>
      <c r="C38" s="67" t="s">
        <v>457</v>
      </c>
      <c r="BK38" s="8"/>
    </row>
    <row r="39" spans="1:63" ht="15" customHeight="1">
      <c r="A39" s="4"/>
      <c r="BK39" s="8"/>
    </row>
    <row r="40" spans="1:63" ht="15" customHeight="1">
      <c r="A40" s="4"/>
      <c r="B40" s="66" t="s">
        <v>266</v>
      </c>
      <c r="BK40" s="8"/>
    </row>
    <row r="41" spans="1:63" ht="15" customHeight="1">
      <c r="A41" s="4"/>
      <c r="B41" s="67" t="s">
        <v>104</v>
      </c>
      <c r="C41" s="67" t="s">
        <v>267</v>
      </c>
      <c r="BK41" s="8"/>
    </row>
    <row r="42" spans="1:63" ht="15" customHeight="1">
      <c r="A42" s="4"/>
      <c r="B42" s="67" t="s">
        <v>104</v>
      </c>
      <c r="C42" s="67" t="s">
        <v>435</v>
      </c>
      <c r="BK42" s="8"/>
    </row>
    <row r="43" spans="1:63" ht="15" customHeight="1">
      <c r="A43" s="4"/>
      <c r="B43" s="67" t="s">
        <v>104</v>
      </c>
      <c r="C43" s="67" t="s">
        <v>458</v>
      </c>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K296"/>
  <sheetViews>
    <sheetView view="pageBreakPreview" topLeftCell="A156" zoomScale="80" zoomScaleNormal="75" zoomScaleSheetLayoutView="80" workbookViewId="0">
      <selection activeCell="Z161" sqref="Z161"/>
    </sheetView>
  </sheetViews>
  <sheetFormatPr defaultColWidth="2.77734375" defaultRowHeight="15" customHeight="1"/>
  <cols>
    <col min="13" max="13" width="4.5546875" bestFit="1" customWidth="1"/>
    <col min="18" max="18" width="4.5546875" bestFit="1" customWidth="1"/>
    <col min="21" max="21" width="4.5546875" bestFit="1" customWidth="1"/>
  </cols>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ミックスマッチ</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71" t="s">
        <v>59</v>
      </c>
      <c r="BK8" s="8"/>
    </row>
    <row r="9" spans="1:63" ht="15" customHeight="1">
      <c r="A9" s="4"/>
      <c r="BK9" s="8"/>
    </row>
    <row r="10" spans="1:63" ht="15" customHeight="1">
      <c r="A10" s="4"/>
      <c r="B10" s="117" t="s">
        <v>251</v>
      </c>
      <c r="BK10" s="8"/>
    </row>
    <row r="11" spans="1:63" ht="15" customHeight="1">
      <c r="A11" s="4"/>
      <c r="B11" t="s">
        <v>459</v>
      </c>
      <c r="C11" t="s">
        <v>460</v>
      </c>
      <c r="BK11" s="8"/>
    </row>
    <row r="12" spans="1:63" ht="15" customHeight="1">
      <c r="A12" s="4"/>
      <c r="B12" t="s">
        <v>104</v>
      </c>
      <c r="C12" s="84" t="s">
        <v>461</v>
      </c>
      <c r="BK12" s="8"/>
    </row>
    <row r="13" spans="1:63" ht="15" customHeight="1">
      <c r="A13" s="4"/>
      <c r="B13" s="55" t="s">
        <v>253</v>
      </c>
      <c r="BK13" s="8"/>
    </row>
    <row r="14" spans="1:63" ht="15" customHeight="1">
      <c r="A14" s="4"/>
      <c r="B14" t="s">
        <v>104</v>
      </c>
      <c r="C14" t="s">
        <v>462</v>
      </c>
      <c r="BK14" s="8"/>
    </row>
    <row r="15" spans="1:63" ht="15" customHeight="1">
      <c r="A15" s="4"/>
      <c r="B15" t="s">
        <v>104</v>
      </c>
      <c r="C15" t="s">
        <v>463</v>
      </c>
      <c r="BK15" s="8"/>
    </row>
    <row r="16" spans="1:63" ht="15" customHeight="1">
      <c r="A16" s="4"/>
      <c r="BK16" s="8"/>
    </row>
    <row r="17" spans="1:63" ht="15" customHeight="1">
      <c r="A17" s="4"/>
      <c r="B17" s="55" t="s">
        <v>255</v>
      </c>
      <c r="BK17" s="8"/>
    </row>
    <row r="18" spans="1:63" ht="15" customHeight="1">
      <c r="A18" s="4"/>
      <c r="B18" s="59" t="s">
        <v>104</v>
      </c>
      <c r="C18" t="s">
        <v>464</v>
      </c>
      <c r="BK18" s="8"/>
    </row>
    <row r="19" spans="1:63" ht="15" customHeight="1">
      <c r="A19" s="4"/>
      <c r="B19" t="s">
        <v>459</v>
      </c>
      <c r="C19" t="s">
        <v>465</v>
      </c>
      <c r="BK19" s="8"/>
    </row>
    <row r="20" spans="1:63" ht="15" customHeight="1">
      <c r="A20" s="4"/>
      <c r="B20" s="59" t="s">
        <v>104</v>
      </c>
      <c r="C20" t="s">
        <v>466</v>
      </c>
      <c r="BK20" s="8"/>
    </row>
    <row r="21" spans="1:63" ht="15" customHeight="1">
      <c r="A21" s="4"/>
      <c r="B21" s="59"/>
      <c r="BK21" s="8"/>
    </row>
    <row r="22" spans="1:63" ht="15" customHeight="1">
      <c r="A22" s="4"/>
      <c r="B22" s="55" t="s">
        <v>258</v>
      </c>
      <c r="BK22" s="8"/>
    </row>
    <row r="23" spans="1:63" ht="15" customHeight="1">
      <c r="A23" s="4"/>
      <c r="B23" s="59" t="s">
        <v>104</v>
      </c>
      <c r="C23" t="s">
        <v>467</v>
      </c>
      <c r="BK23" s="8"/>
    </row>
    <row r="24" spans="1:63" ht="15" customHeight="1">
      <c r="A24" s="4"/>
      <c r="B24" s="59"/>
      <c r="C24" t="s">
        <v>108</v>
      </c>
      <c r="D24" t="s">
        <v>468</v>
      </c>
      <c r="BK24" s="8"/>
    </row>
    <row r="25" spans="1:63" ht="15" customHeight="1">
      <c r="A25" s="4"/>
      <c r="B25" s="59"/>
      <c r="D25" t="s">
        <v>469</v>
      </c>
      <c r="BK25" s="8"/>
    </row>
    <row r="26" spans="1:63" ht="15" customHeight="1">
      <c r="A26" s="4"/>
      <c r="B26" s="59"/>
      <c r="D26" t="s">
        <v>470</v>
      </c>
      <c r="BK26" s="8"/>
    </row>
    <row r="27" spans="1:63" ht="15" customHeight="1">
      <c r="A27" s="4"/>
      <c r="B27" s="67" t="s">
        <v>104</v>
      </c>
      <c r="C27" s="67" t="s">
        <v>471</v>
      </c>
      <c r="BK27" s="8"/>
    </row>
    <row r="28" spans="1:63" ht="15" customHeight="1">
      <c r="A28" s="4"/>
      <c r="BK28" s="8"/>
    </row>
    <row r="29" spans="1:63" ht="15" customHeight="1">
      <c r="A29" s="4"/>
      <c r="B29" s="55" t="s">
        <v>260</v>
      </c>
      <c r="BK29" s="8"/>
    </row>
    <row r="30" spans="1:63" ht="15" customHeight="1">
      <c r="A30" s="4"/>
      <c r="B30" s="55" t="s">
        <v>85</v>
      </c>
      <c r="C30" t="s">
        <v>472</v>
      </c>
      <c r="BK30" s="8"/>
    </row>
    <row r="31" spans="1:63" ht="15" customHeight="1">
      <c r="A31" s="4"/>
      <c r="C31" t="s">
        <v>108</v>
      </c>
      <c r="D31" t="s">
        <v>278</v>
      </c>
      <c r="BK31" s="8"/>
    </row>
    <row r="32" spans="1:63" ht="15" customHeight="1">
      <c r="A32" s="4"/>
      <c r="BK32" s="8"/>
    </row>
    <row r="33" spans="1:63" ht="15" customHeight="1">
      <c r="A33" s="4"/>
      <c r="B33" s="55" t="s">
        <v>112</v>
      </c>
      <c r="C33" t="s">
        <v>473</v>
      </c>
      <c r="BK33" s="8"/>
    </row>
    <row r="34" spans="1:63" ht="15" customHeight="1">
      <c r="A34" s="4"/>
      <c r="C34" t="s">
        <v>280</v>
      </c>
      <c r="BK34" s="8"/>
    </row>
    <row r="35" spans="1:63" ht="15" customHeight="1">
      <c r="A35" s="4"/>
      <c r="C35" t="s">
        <v>474</v>
      </c>
      <c r="BK35" s="8"/>
    </row>
    <row r="36" spans="1:63" ht="15" customHeight="1">
      <c r="A36" s="4"/>
      <c r="C36" s="73" t="s">
        <v>282</v>
      </c>
      <c r="D36" t="s">
        <v>475</v>
      </c>
      <c r="BK36" s="8"/>
    </row>
    <row r="37" spans="1:63" ht="15" customHeight="1">
      <c r="A37" s="4"/>
      <c r="C37" s="73"/>
      <c r="D37" t="s">
        <v>108</v>
      </c>
      <c r="E37" t="s">
        <v>476</v>
      </c>
      <c r="BK37" s="8"/>
    </row>
    <row r="38" spans="1:63" ht="15" customHeight="1">
      <c r="A38" s="4"/>
      <c r="C38" s="73" t="s">
        <v>284</v>
      </c>
      <c r="D38" t="s">
        <v>477</v>
      </c>
      <c r="BK38" s="8"/>
    </row>
    <row r="39" spans="1:63" ht="15" customHeight="1">
      <c r="A39" s="4"/>
      <c r="C39" s="73" t="s">
        <v>286</v>
      </c>
      <c r="D39" t="s">
        <v>478</v>
      </c>
      <c r="BK39" s="8"/>
    </row>
    <row r="40" spans="1:63" ht="15" customHeight="1">
      <c r="A40" s="4"/>
      <c r="C40" s="73" t="s">
        <v>288</v>
      </c>
      <c r="D40" t="s">
        <v>479</v>
      </c>
      <c r="BK40" s="8"/>
    </row>
    <row r="41" spans="1:63" ht="15" customHeight="1">
      <c r="A41" s="4"/>
      <c r="BK41" s="8"/>
    </row>
    <row r="42" spans="1:63" ht="15" customHeight="1">
      <c r="A42" s="4"/>
      <c r="C42" s="55" t="s">
        <v>480</v>
      </c>
      <c r="BK42" s="8"/>
    </row>
    <row r="43" spans="1:63" ht="15" customHeight="1">
      <c r="A43" s="4"/>
      <c r="D43" t="s">
        <v>299</v>
      </c>
      <c r="BK43" s="8"/>
    </row>
    <row r="44" spans="1:63" ht="15" customHeight="1">
      <c r="A44" s="4"/>
      <c r="D44" s="69" t="s">
        <v>408</v>
      </c>
      <c r="E44" s="23"/>
      <c r="F44" s="24"/>
      <c r="G44" s="69" t="s">
        <v>300</v>
      </c>
      <c r="H44" s="23"/>
      <c r="I44" s="23"/>
      <c r="J44" s="23"/>
      <c r="K44" s="23"/>
      <c r="L44" s="24"/>
      <c r="M44" s="69" t="s">
        <v>301</v>
      </c>
      <c r="N44" s="23"/>
      <c r="O44" s="23"/>
      <c r="P44" s="23"/>
      <c r="Q44" s="23"/>
      <c r="R44" s="24"/>
      <c r="S44" s="69" t="s">
        <v>302</v>
      </c>
      <c r="T44" s="23"/>
      <c r="U44" s="24"/>
      <c r="BK44" s="8"/>
    </row>
    <row r="45" spans="1:63" ht="15" customHeight="1">
      <c r="A45" s="4"/>
      <c r="D45" s="25" t="s">
        <v>481</v>
      </c>
      <c r="E45" s="26"/>
      <c r="F45" s="27"/>
      <c r="G45" s="134" t="s">
        <v>482</v>
      </c>
      <c r="H45" s="26"/>
      <c r="I45" s="26"/>
      <c r="J45" s="27"/>
      <c r="K45" s="26"/>
      <c r="L45" s="26"/>
      <c r="M45" s="134" t="s">
        <v>482</v>
      </c>
      <c r="N45" s="26"/>
      <c r="O45" s="26"/>
      <c r="P45" s="27"/>
      <c r="Q45" s="26"/>
      <c r="R45" s="26"/>
      <c r="S45" s="134" t="s">
        <v>483</v>
      </c>
      <c r="T45" s="26"/>
      <c r="U45" s="27"/>
      <c r="BK45" s="8"/>
    </row>
    <row r="46" spans="1:63" ht="15" customHeight="1">
      <c r="A46" s="4"/>
      <c r="D46" s="25" t="s">
        <v>484</v>
      </c>
      <c r="E46" s="26"/>
      <c r="F46" s="27"/>
      <c r="G46" s="134" t="s">
        <v>485</v>
      </c>
      <c r="H46" s="26"/>
      <c r="I46" s="26"/>
      <c r="J46" s="27"/>
      <c r="K46" s="26"/>
      <c r="L46" s="26"/>
      <c r="M46" s="134" t="s">
        <v>485</v>
      </c>
      <c r="N46" s="26"/>
      <c r="O46" s="26"/>
      <c r="P46" s="27"/>
      <c r="Q46" s="26"/>
      <c r="R46" s="26"/>
      <c r="S46" s="134" t="s">
        <v>486</v>
      </c>
      <c r="T46" s="26"/>
      <c r="U46" s="27"/>
      <c r="BK46" s="8"/>
    </row>
    <row r="47" spans="1:63" ht="15" customHeight="1">
      <c r="A47" s="4"/>
      <c r="D47" s="25" t="s">
        <v>487</v>
      </c>
      <c r="E47" s="26"/>
      <c r="F47" s="27"/>
      <c r="G47" s="134" t="s">
        <v>488</v>
      </c>
      <c r="H47" s="26"/>
      <c r="I47" s="26"/>
      <c r="J47" s="27"/>
      <c r="K47" s="26"/>
      <c r="L47" s="26"/>
      <c r="M47" s="134" t="s">
        <v>485</v>
      </c>
      <c r="N47" s="26"/>
      <c r="O47" s="26"/>
      <c r="P47" s="27"/>
      <c r="Q47" s="26"/>
      <c r="R47" s="26"/>
      <c r="S47" s="134" t="s">
        <v>489</v>
      </c>
      <c r="T47" s="26"/>
      <c r="U47" s="27"/>
      <c r="BK47" s="8"/>
    </row>
    <row r="48" spans="1:63" ht="15" customHeight="1">
      <c r="A48" s="4"/>
      <c r="BK48" s="8"/>
    </row>
    <row r="49" spans="1:63" ht="15" customHeight="1">
      <c r="A49" s="4"/>
      <c r="D49" t="s">
        <v>462</v>
      </c>
      <c r="AA49" t="s">
        <v>490</v>
      </c>
      <c r="BK49" s="8"/>
    </row>
    <row r="50" spans="1:63" ht="15" customHeight="1">
      <c r="A50" s="4"/>
      <c r="D50" s="69" t="s">
        <v>491</v>
      </c>
      <c r="E50" s="23"/>
      <c r="F50" s="23"/>
      <c r="G50" s="23"/>
      <c r="H50" s="23"/>
      <c r="I50" s="69" t="s">
        <v>492</v>
      </c>
      <c r="J50" s="23"/>
      <c r="K50" s="23"/>
      <c r="L50" s="69" t="s">
        <v>493</v>
      </c>
      <c r="M50" s="23"/>
      <c r="N50" s="23"/>
      <c r="O50" s="24"/>
      <c r="P50" s="69" t="s">
        <v>494</v>
      </c>
      <c r="Q50" s="23"/>
      <c r="R50" s="24"/>
      <c r="S50" s="69" t="s">
        <v>495</v>
      </c>
      <c r="T50" s="23"/>
      <c r="U50" s="23"/>
      <c r="V50" s="24"/>
      <c r="AA50" s="69" t="s">
        <v>491</v>
      </c>
      <c r="AB50" s="23"/>
      <c r="AC50" s="23"/>
      <c r="AD50" s="23"/>
      <c r="AE50" s="23"/>
      <c r="AF50" s="69" t="s">
        <v>300</v>
      </c>
      <c r="AG50" s="23"/>
      <c r="AH50" s="23"/>
      <c r="AI50" s="23"/>
      <c r="AJ50" s="23"/>
      <c r="AK50" s="24"/>
      <c r="BK50" s="8"/>
    </row>
    <row r="51" spans="1:63" ht="15" customHeight="1">
      <c r="A51" s="4"/>
      <c r="D51" s="134" t="s">
        <v>94</v>
      </c>
      <c r="E51" s="26"/>
      <c r="F51" s="26"/>
      <c r="G51" s="26"/>
      <c r="H51" s="26"/>
      <c r="I51" s="134" t="s">
        <v>96</v>
      </c>
      <c r="J51" s="135"/>
      <c r="K51" s="135"/>
      <c r="L51" s="134" t="s">
        <v>496</v>
      </c>
      <c r="M51" s="26"/>
      <c r="N51" s="26"/>
      <c r="O51" s="27"/>
      <c r="P51" s="25"/>
      <c r="Q51" s="26"/>
      <c r="R51" s="27"/>
      <c r="S51" s="134"/>
      <c r="T51" s="26"/>
      <c r="U51" s="26"/>
      <c r="V51" s="27"/>
      <c r="AA51" s="74" t="s">
        <v>94</v>
      </c>
      <c r="AB51" s="11"/>
      <c r="AC51" s="11"/>
      <c r="AD51" s="11"/>
      <c r="AE51" s="11"/>
      <c r="AF51" s="134" t="s">
        <v>482</v>
      </c>
      <c r="AG51" s="26"/>
      <c r="AH51" s="26"/>
      <c r="AI51" s="27"/>
      <c r="AJ51" s="26"/>
      <c r="AK51" s="27"/>
      <c r="AM51" t="s">
        <v>497</v>
      </c>
      <c r="BK51" s="8"/>
    </row>
    <row r="52" spans="1:63" ht="15" customHeight="1">
      <c r="A52" s="4"/>
      <c r="D52" s="134" t="s">
        <v>96</v>
      </c>
      <c r="E52" s="26"/>
      <c r="F52" s="26"/>
      <c r="G52" s="26"/>
      <c r="H52" s="26"/>
      <c r="I52" s="134" t="s">
        <v>97</v>
      </c>
      <c r="J52" s="135"/>
      <c r="K52" s="135"/>
      <c r="L52" s="134" t="s">
        <v>498</v>
      </c>
      <c r="M52" s="26"/>
      <c r="N52" s="26"/>
      <c r="O52" s="27"/>
      <c r="P52" s="134" t="s">
        <v>499</v>
      </c>
      <c r="Q52" s="26"/>
      <c r="R52" s="27"/>
      <c r="S52" s="134" t="s">
        <v>500</v>
      </c>
      <c r="T52" s="26"/>
      <c r="U52" s="26"/>
      <c r="V52" s="27"/>
      <c r="AA52" s="74" t="s">
        <v>96</v>
      </c>
      <c r="AB52" s="11"/>
      <c r="AC52" s="11"/>
      <c r="AD52" s="11"/>
      <c r="AE52" s="11"/>
      <c r="AF52" s="134" t="s">
        <v>482</v>
      </c>
      <c r="AG52" s="26"/>
      <c r="AH52" s="26"/>
      <c r="AI52" s="27"/>
      <c r="AJ52" s="26"/>
      <c r="AK52" s="27"/>
      <c r="AM52" t="s">
        <v>497</v>
      </c>
      <c r="BK52" s="8"/>
    </row>
    <row r="53" spans="1:63" ht="15" customHeight="1">
      <c r="A53" s="4"/>
      <c r="AA53" s="74" t="s">
        <v>96</v>
      </c>
      <c r="AB53" s="11"/>
      <c r="AC53" s="11"/>
      <c r="AD53" s="11"/>
      <c r="AE53" s="11"/>
      <c r="AF53" s="134" t="s">
        <v>485</v>
      </c>
      <c r="AG53" s="26"/>
      <c r="AH53" s="26"/>
      <c r="AI53" s="27"/>
      <c r="AJ53" s="26"/>
      <c r="AK53" s="27"/>
      <c r="AM53" t="s">
        <v>501</v>
      </c>
      <c r="BK53" s="8"/>
    </row>
    <row r="54" spans="1:63" ht="15" customHeight="1">
      <c r="A54" s="4"/>
      <c r="AA54" s="74" t="s">
        <v>96</v>
      </c>
      <c r="AB54" s="11"/>
      <c r="AC54" s="11"/>
      <c r="AD54" s="11"/>
      <c r="AE54" s="11"/>
      <c r="AF54" s="134" t="s">
        <v>488</v>
      </c>
      <c r="AG54" s="26"/>
      <c r="AH54" s="26"/>
      <c r="AI54" s="27"/>
      <c r="AJ54" s="26"/>
      <c r="AK54" s="27"/>
      <c r="AM54" t="s">
        <v>502</v>
      </c>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row r="56" spans="1:63" ht="15" customHeight="1">
      <c r="D56" t="s">
        <v>292</v>
      </c>
      <c r="E56" t="s">
        <v>481</v>
      </c>
    </row>
    <row r="57" spans="1:63" ht="15" customHeight="1">
      <c r="E57" t="s">
        <v>104</v>
      </c>
      <c r="F57" t="s">
        <v>503</v>
      </c>
      <c r="W57" t="s">
        <v>504</v>
      </c>
    </row>
    <row r="58" spans="1:63" ht="15" customHeight="1">
      <c r="E58" t="s">
        <v>104</v>
      </c>
      <c r="F58" t="s">
        <v>505</v>
      </c>
    </row>
    <row r="60" spans="1:63" ht="15" customHeight="1">
      <c r="D60" t="s">
        <v>317</v>
      </c>
      <c r="E60" t="s">
        <v>484</v>
      </c>
    </row>
    <row r="61" spans="1:63" ht="15" customHeight="1">
      <c r="E61" t="s">
        <v>104</v>
      </c>
      <c r="F61" t="s">
        <v>505</v>
      </c>
      <c r="W61" t="s">
        <v>504</v>
      </c>
    </row>
    <row r="63" spans="1:63" ht="15" customHeight="1">
      <c r="D63" t="s">
        <v>506</v>
      </c>
      <c r="E63" t="s">
        <v>487</v>
      </c>
    </row>
    <row r="64" spans="1:63" ht="15" customHeight="1">
      <c r="E64" t="s">
        <v>104</v>
      </c>
      <c r="F64" t="s">
        <v>505</v>
      </c>
      <c r="W64" t="s">
        <v>504</v>
      </c>
    </row>
    <row r="67" spans="2:23" ht="15" customHeight="1">
      <c r="B67" s="55" t="s">
        <v>123</v>
      </c>
      <c r="C67" t="s">
        <v>507</v>
      </c>
    </row>
    <row r="68" spans="2:23" ht="15" customHeight="1">
      <c r="C68" t="s">
        <v>508</v>
      </c>
    </row>
    <row r="69" spans="2:23" ht="15" customHeight="1">
      <c r="C69" t="s">
        <v>108</v>
      </c>
      <c r="D69" t="s">
        <v>509</v>
      </c>
    </row>
    <row r="70" spans="2:23" ht="15" customHeight="1">
      <c r="D70" t="s">
        <v>510</v>
      </c>
    </row>
    <row r="72" spans="2:23" ht="15" customHeight="1">
      <c r="C72" s="55" t="s">
        <v>511</v>
      </c>
    </row>
    <row r="73" spans="2:23" ht="15" customHeight="1">
      <c r="C73" s="59"/>
      <c r="D73" t="s">
        <v>512</v>
      </c>
    </row>
    <row r="74" spans="2:23" ht="15" customHeight="1">
      <c r="C74" s="59"/>
      <c r="D74" s="59" t="s">
        <v>108</v>
      </c>
      <c r="E74" t="s">
        <v>513</v>
      </c>
    </row>
    <row r="76" spans="2:23" ht="15" customHeight="1">
      <c r="D76" t="s">
        <v>514</v>
      </c>
    </row>
    <row r="77" spans="2:23" ht="15" customHeight="1">
      <c r="D77" s="69" t="s">
        <v>515</v>
      </c>
      <c r="E77" s="23"/>
      <c r="F77" s="23"/>
      <c r="G77" s="23"/>
      <c r="H77" s="23"/>
      <c r="I77" s="23"/>
      <c r="J77" s="23"/>
      <c r="K77" s="23"/>
      <c r="L77" s="23"/>
      <c r="M77" s="23"/>
      <c r="N77" s="24"/>
      <c r="O77" s="120" t="s">
        <v>516</v>
      </c>
      <c r="P77" s="121"/>
      <c r="Q77" s="121"/>
      <c r="R77" s="121"/>
      <c r="S77" s="121"/>
      <c r="T77" s="121"/>
      <c r="U77" s="121"/>
      <c r="V77" s="121"/>
      <c r="W77" s="122"/>
    </row>
    <row r="78" spans="2:23" ht="15" customHeight="1">
      <c r="D78" s="69" t="s">
        <v>408</v>
      </c>
      <c r="E78" s="23"/>
      <c r="F78" s="24"/>
      <c r="G78" s="69" t="s">
        <v>300</v>
      </c>
      <c r="H78" s="23"/>
      <c r="I78" s="23"/>
      <c r="J78" s="23"/>
      <c r="K78" s="23"/>
      <c r="L78" s="23"/>
      <c r="M78" s="69" t="s">
        <v>517</v>
      </c>
      <c r="N78" s="24"/>
      <c r="O78" s="136"/>
      <c r="P78" s="137"/>
      <c r="Q78" s="137"/>
      <c r="R78" s="137"/>
      <c r="S78" s="137"/>
      <c r="T78" s="137"/>
      <c r="U78" s="137"/>
      <c r="V78" s="137"/>
      <c r="W78" s="138"/>
    </row>
    <row r="79" spans="2:23" ht="15" customHeight="1">
      <c r="D79" s="83" t="s">
        <v>481</v>
      </c>
      <c r="E79" s="11"/>
      <c r="F79" s="12"/>
      <c r="G79" s="83" t="s">
        <v>518</v>
      </c>
      <c r="H79" s="11"/>
      <c r="I79" s="11"/>
      <c r="J79" s="11"/>
      <c r="K79" s="11"/>
      <c r="L79" s="11"/>
      <c r="M79" s="74" t="s">
        <v>94</v>
      </c>
      <c r="N79" s="12"/>
      <c r="O79" s="215" t="s">
        <v>519</v>
      </c>
      <c r="P79" s="211"/>
      <c r="Q79" s="211"/>
      <c r="R79" s="211"/>
      <c r="S79" s="211"/>
      <c r="T79" s="211"/>
      <c r="U79" s="211"/>
      <c r="V79" s="211"/>
      <c r="W79" s="212"/>
    </row>
    <row r="80" spans="2:23" ht="15" customHeight="1">
      <c r="D80" s="83" t="s">
        <v>481</v>
      </c>
      <c r="E80" s="11"/>
      <c r="F80" s="12"/>
      <c r="G80" s="83" t="s">
        <v>518</v>
      </c>
      <c r="H80" s="11"/>
      <c r="I80" s="11"/>
      <c r="J80" s="11"/>
      <c r="K80" s="11"/>
      <c r="L80" s="11"/>
      <c r="M80" s="74" t="s">
        <v>94</v>
      </c>
      <c r="N80" s="12"/>
      <c r="O80" s="216"/>
      <c r="P80" s="213"/>
      <c r="Q80" s="213"/>
      <c r="R80" s="213"/>
      <c r="S80" s="213"/>
      <c r="T80" s="213"/>
      <c r="U80" s="213"/>
      <c r="V80" s="213"/>
      <c r="W80" s="214"/>
    </row>
    <row r="81" spans="4:23" ht="15" customHeight="1">
      <c r="D81" s="83" t="s">
        <v>481</v>
      </c>
      <c r="E81" s="11"/>
      <c r="F81" s="12"/>
      <c r="G81" s="83" t="s">
        <v>518</v>
      </c>
      <c r="H81" s="11"/>
      <c r="I81" s="11"/>
      <c r="J81" s="11"/>
      <c r="K81" s="11"/>
      <c r="L81" s="11"/>
      <c r="M81" s="74" t="s">
        <v>94</v>
      </c>
      <c r="N81" s="12"/>
      <c r="O81" s="83" t="s">
        <v>520</v>
      </c>
      <c r="P81" s="11"/>
      <c r="Q81" s="11"/>
      <c r="R81" s="11"/>
      <c r="S81" s="11"/>
      <c r="T81" s="11"/>
      <c r="U81" s="11"/>
      <c r="V81" s="11"/>
      <c r="W81" s="12"/>
    </row>
    <row r="82" spans="4:23" ht="15" customHeight="1">
      <c r="D82" s="83" t="s">
        <v>484</v>
      </c>
      <c r="E82" s="11"/>
      <c r="F82" s="12"/>
      <c r="G82" s="74" t="s">
        <v>485</v>
      </c>
      <c r="H82" s="11"/>
      <c r="I82" s="11"/>
      <c r="J82" s="11"/>
      <c r="K82" s="11"/>
      <c r="L82" s="11"/>
      <c r="M82" s="74" t="s">
        <v>94</v>
      </c>
      <c r="N82" s="12"/>
      <c r="O82" s="83" t="s">
        <v>520</v>
      </c>
      <c r="P82" s="11"/>
      <c r="Q82" s="11"/>
      <c r="R82" s="11"/>
      <c r="S82" s="11"/>
      <c r="T82" s="11"/>
      <c r="U82" s="11"/>
      <c r="V82" s="11"/>
      <c r="W82" s="12"/>
    </row>
    <row r="83" spans="4:23" ht="15" customHeight="1">
      <c r="D83" s="83" t="s">
        <v>487</v>
      </c>
      <c r="E83" s="11"/>
      <c r="F83" s="12"/>
      <c r="G83" s="74" t="s">
        <v>488</v>
      </c>
      <c r="H83" s="11"/>
      <c r="I83" s="11"/>
      <c r="J83" s="11"/>
      <c r="K83" s="11"/>
      <c r="L83" s="11"/>
      <c r="M83" s="74" t="s">
        <v>94</v>
      </c>
      <c r="N83" s="12"/>
      <c r="O83" s="83" t="s">
        <v>520</v>
      </c>
      <c r="P83" s="11"/>
      <c r="Q83" s="11"/>
      <c r="R83" s="11"/>
      <c r="S83" s="11"/>
      <c r="T83" s="11"/>
      <c r="U83" s="11"/>
      <c r="V83" s="11"/>
      <c r="W83" s="12"/>
    </row>
    <row r="86" spans="4:23" ht="15" customHeight="1">
      <c r="D86" t="s">
        <v>521</v>
      </c>
    </row>
    <row r="87" spans="4:23" ht="15" customHeight="1">
      <c r="D87" s="69" t="s">
        <v>515</v>
      </c>
      <c r="E87" s="23"/>
      <c r="F87" s="23"/>
      <c r="G87" s="23"/>
      <c r="H87" s="23"/>
      <c r="I87" s="23"/>
      <c r="J87" s="23"/>
      <c r="K87" s="23"/>
      <c r="L87" s="23"/>
      <c r="M87" s="23"/>
      <c r="N87" s="24"/>
      <c r="O87" s="120" t="s">
        <v>516</v>
      </c>
      <c r="P87" s="121"/>
      <c r="Q87" s="121"/>
      <c r="R87" s="121"/>
      <c r="S87" s="121"/>
      <c r="T87" s="121"/>
      <c r="U87" s="121"/>
      <c r="V87" s="121"/>
      <c r="W87" s="122"/>
    </row>
    <row r="88" spans="4:23" ht="15" customHeight="1">
      <c r="D88" s="69" t="s">
        <v>408</v>
      </c>
      <c r="E88" s="23"/>
      <c r="F88" s="24"/>
      <c r="G88" s="69" t="s">
        <v>300</v>
      </c>
      <c r="H88" s="23"/>
      <c r="I88" s="23"/>
      <c r="J88" s="23"/>
      <c r="K88" s="23"/>
      <c r="L88" s="23"/>
      <c r="M88" s="69" t="s">
        <v>517</v>
      </c>
      <c r="N88" s="24"/>
      <c r="O88" s="136"/>
      <c r="P88" s="137"/>
      <c r="Q88" s="137"/>
      <c r="R88" s="137"/>
      <c r="S88" s="137"/>
      <c r="T88" s="137"/>
      <c r="U88" s="137"/>
      <c r="V88" s="137"/>
      <c r="W88" s="138"/>
    </row>
    <row r="89" spans="4:23" ht="15" customHeight="1">
      <c r="D89" s="83" t="s">
        <v>481</v>
      </c>
      <c r="E89" s="11"/>
      <c r="F89" s="12"/>
      <c r="G89" s="83" t="s">
        <v>518</v>
      </c>
      <c r="H89" s="11"/>
      <c r="I89" s="11"/>
      <c r="J89" s="11"/>
      <c r="K89" s="11"/>
      <c r="L89" s="11"/>
      <c r="M89" s="74" t="s">
        <v>94</v>
      </c>
      <c r="N89" s="12"/>
      <c r="O89" s="83" t="s">
        <v>520</v>
      </c>
      <c r="P89" s="11"/>
      <c r="Q89" s="11"/>
      <c r="R89" s="11"/>
      <c r="S89" s="11"/>
      <c r="T89" s="11"/>
      <c r="U89" s="11"/>
      <c r="V89" s="11"/>
      <c r="W89" s="12"/>
    </row>
    <row r="90" spans="4:23" ht="15" customHeight="1">
      <c r="D90" s="83" t="s">
        <v>484</v>
      </c>
      <c r="E90" s="11"/>
      <c r="F90" s="12"/>
      <c r="G90" s="74" t="s">
        <v>485</v>
      </c>
      <c r="H90" s="11"/>
      <c r="I90" s="11"/>
      <c r="J90" s="11"/>
      <c r="K90" s="11"/>
      <c r="L90" s="11"/>
      <c r="M90" s="74" t="s">
        <v>94</v>
      </c>
      <c r="N90" s="12"/>
      <c r="O90" s="83" t="s">
        <v>520</v>
      </c>
      <c r="P90" s="11"/>
      <c r="Q90" s="11"/>
      <c r="R90" s="11"/>
      <c r="S90" s="11"/>
      <c r="T90" s="11"/>
      <c r="U90" s="11"/>
      <c r="V90" s="11"/>
      <c r="W90" s="12"/>
    </row>
    <row r="91" spans="4:23" ht="15" customHeight="1">
      <c r="D91" s="83" t="s">
        <v>484</v>
      </c>
      <c r="E91" s="11"/>
      <c r="F91" s="12"/>
      <c r="G91" s="74" t="s">
        <v>485</v>
      </c>
      <c r="H91" s="11"/>
      <c r="I91" s="11"/>
      <c r="J91" s="11"/>
      <c r="K91" s="11"/>
      <c r="L91" s="11"/>
      <c r="M91" s="74" t="s">
        <v>94</v>
      </c>
      <c r="N91" s="12"/>
      <c r="O91" s="215" t="s">
        <v>522</v>
      </c>
      <c r="P91" s="211"/>
      <c r="Q91" s="211"/>
      <c r="R91" s="211"/>
      <c r="S91" s="211"/>
      <c r="T91" s="211"/>
      <c r="U91" s="211"/>
      <c r="V91" s="211"/>
      <c r="W91" s="212"/>
    </row>
    <row r="92" spans="4:23" ht="15" customHeight="1">
      <c r="D92" s="83" t="s">
        <v>487</v>
      </c>
      <c r="E92" s="11"/>
      <c r="F92" s="12"/>
      <c r="G92" s="74" t="s">
        <v>488</v>
      </c>
      <c r="H92" s="11"/>
      <c r="I92" s="11"/>
      <c r="J92" s="11"/>
      <c r="K92" s="11"/>
      <c r="L92" s="11"/>
      <c r="M92" s="74" t="s">
        <v>94</v>
      </c>
      <c r="N92" s="12"/>
      <c r="O92" s="312"/>
      <c r="P92" s="313"/>
      <c r="Q92" s="313"/>
      <c r="R92" s="313"/>
      <c r="S92" s="313"/>
      <c r="T92" s="313"/>
      <c r="U92" s="313"/>
      <c r="V92" s="313"/>
      <c r="W92" s="314"/>
    </row>
    <row r="93" spans="4:23" ht="15" customHeight="1">
      <c r="D93" s="83" t="s">
        <v>487</v>
      </c>
      <c r="E93" s="11"/>
      <c r="F93" s="12"/>
      <c r="G93" s="74" t="s">
        <v>488</v>
      </c>
      <c r="H93" s="11"/>
      <c r="I93" s="11"/>
      <c r="J93" s="11"/>
      <c r="K93" s="11"/>
      <c r="L93" s="11"/>
      <c r="M93" s="74" t="s">
        <v>94</v>
      </c>
      <c r="N93" s="12"/>
      <c r="O93" s="216"/>
      <c r="P93" s="213"/>
      <c r="Q93" s="213"/>
      <c r="R93" s="213"/>
      <c r="S93" s="213"/>
      <c r="T93" s="213"/>
      <c r="U93" s="213"/>
      <c r="V93" s="213"/>
      <c r="W93" s="214"/>
    </row>
    <row r="96" spans="4:23" ht="15" customHeight="1">
      <c r="D96" t="s">
        <v>523</v>
      </c>
    </row>
    <row r="97" spans="2:23" ht="15" customHeight="1">
      <c r="D97" s="69" t="s">
        <v>515</v>
      </c>
      <c r="E97" s="23"/>
      <c r="F97" s="23"/>
      <c r="G97" s="23"/>
      <c r="H97" s="23"/>
      <c r="I97" s="23"/>
      <c r="J97" s="23"/>
      <c r="K97" s="23"/>
      <c r="L97" s="23"/>
      <c r="M97" s="23"/>
      <c r="N97" s="24"/>
      <c r="O97" s="120" t="s">
        <v>516</v>
      </c>
      <c r="P97" s="121"/>
      <c r="Q97" s="121"/>
      <c r="R97" s="121"/>
      <c r="S97" s="121"/>
      <c r="T97" s="121"/>
      <c r="U97" s="121"/>
      <c r="V97" s="121"/>
      <c r="W97" s="122"/>
    </row>
    <row r="98" spans="2:23" ht="15" customHeight="1">
      <c r="D98" s="69" t="s">
        <v>408</v>
      </c>
      <c r="E98" s="23"/>
      <c r="F98" s="24"/>
      <c r="G98" s="69" t="s">
        <v>300</v>
      </c>
      <c r="H98" s="23"/>
      <c r="I98" s="23"/>
      <c r="J98" s="23"/>
      <c r="K98" s="23"/>
      <c r="L98" s="23"/>
      <c r="M98" s="69" t="s">
        <v>517</v>
      </c>
      <c r="N98" s="24"/>
      <c r="O98" s="136"/>
      <c r="P98" s="137"/>
      <c r="Q98" s="137"/>
      <c r="R98" s="137"/>
      <c r="S98" s="137"/>
      <c r="T98" s="137"/>
      <c r="U98" s="137"/>
      <c r="V98" s="137"/>
      <c r="W98" s="138"/>
    </row>
    <row r="99" spans="2:23" ht="15" customHeight="1">
      <c r="D99" s="83" t="s">
        <v>487</v>
      </c>
      <c r="E99" s="11"/>
      <c r="F99" s="12"/>
      <c r="G99" s="74" t="s">
        <v>488</v>
      </c>
      <c r="H99" s="11"/>
      <c r="I99" s="11"/>
      <c r="J99" s="11"/>
      <c r="K99" s="11"/>
      <c r="L99" s="11"/>
      <c r="M99" s="74" t="s">
        <v>94</v>
      </c>
      <c r="N99" s="12"/>
      <c r="O99" s="215" t="s">
        <v>522</v>
      </c>
      <c r="P99" s="211"/>
      <c r="Q99" s="211"/>
      <c r="R99" s="211"/>
      <c r="S99" s="211"/>
      <c r="T99" s="211"/>
      <c r="U99" s="211"/>
      <c r="V99" s="211"/>
      <c r="W99" s="212"/>
    </row>
    <row r="100" spans="2:23" ht="15" customHeight="1">
      <c r="D100" s="83" t="s">
        <v>487</v>
      </c>
      <c r="E100" s="11"/>
      <c r="F100" s="12"/>
      <c r="G100" s="74" t="s">
        <v>488</v>
      </c>
      <c r="H100" s="11"/>
      <c r="I100" s="11"/>
      <c r="J100" s="11"/>
      <c r="K100" s="11"/>
      <c r="L100" s="11"/>
      <c r="M100" s="74" t="s">
        <v>94</v>
      </c>
      <c r="N100" s="12"/>
      <c r="O100" s="312"/>
      <c r="P100" s="313"/>
      <c r="Q100" s="313"/>
      <c r="R100" s="313"/>
      <c r="S100" s="313"/>
      <c r="T100" s="313"/>
      <c r="U100" s="313"/>
      <c r="V100" s="313"/>
      <c r="W100" s="314"/>
    </row>
    <row r="101" spans="2:23" ht="15" customHeight="1">
      <c r="D101" s="83" t="s">
        <v>487</v>
      </c>
      <c r="E101" s="11"/>
      <c r="F101" s="12"/>
      <c r="G101" s="74" t="s">
        <v>488</v>
      </c>
      <c r="H101" s="11"/>
      <c r="I101" s="11"/>
      <c r="J101" s="11"/>
      <c r="K101" s="11"/>
      <c r="L101" s="11"/>
      <c r="M101" s="74" t="s">
        <v>94</v>
      </c>
      <c r="N101" s="12"/>
      <c r="O101" s="216"/>
      <c r="P101" s="213"/>
      <c r="Q101" s="213"/>
      <c r="R101" s="213"/>
      <c r="S101" s="213"/>
      <c r="T101" s="213"/>
      <c r="U101" s="213"/>
      <c r="V101" s="213"/>
      <c r="W101" s="214"/>
    </row>
    <row r="102" spans="2:23" ht="15" customHeight="1">
      <c r="D102" s="83" t="s">
        <v>487</v>
      </c>
      <c r="E102" s="11"/>
      <c r="F102" s="12"/>
      <c r="G102" s="74" t="s">
        <v>488</v>
      </c>
      <c r="H102" s="11"/>
      <c r="I102" s="11"/>
      <c r="J102" s="11"/>
      <c r="K102" s="11"/>
      <c r="L102" s="11"/>
      <c r="M102" s="74" t="s">
        <v>94</v>
      </c>
      <c r="N102" s="12"/>
      <c r="O102" s="215" t="s">
        <v>522</v>
      </c>
      <c r="P102" s="211"/>
      <c r="Q102" s="211"/>
      <c r="R102" s="211"/>
      <c r="S102" s="211"/>
      <c r="T102" s="211"/>
      <c r="U102" s="211"/>
      <c r="V102" s="211"/>
      <c r="W102" s="212"/>
    </row>
    <row r="103" spans="2:23" ht="15" customHeight="1">
      <c r="D103" s="83" t="s">
        <v>487</v>
      </c>
      <c r="E103" s="11"/>
      <c r="F103" s="12"/>
      <c r="G103" s="74" t="s">
        <v>488</v>
      </c>
      <c r="H103" s="11"/>
      <c r="I103" s="11"/>
      <c r="J103" s="11"/>
      <c r="K103" s="11"/>
      <c r="L103" s="11"/>
      <c r="M103" s="74" t="s">
        <v>94</v>
      </c>
      <c r="N103" s="12"/>
      <c r="O103" s="312"/>
      <c r="P103" s="313"/>
      <c r="Q103" s="313"/>
      <c r="R103" s="313"/>
      <c r="S103" s="313"/>
      <c r="T103" s="313"/>
      <c r="U103" s="313"/>
      <c r="V103" s="313"/>
      <c r="W103" s="314"/>
    </row>
    <row r="104" spans="2:23" ht="15" customHeight="1">
      <c r="D104" s="83" t="s">
        <v>487</v>
      </c>
      <c r="E104" s="11"/>
      <c r="F104" s="12"/>
      <c r="G104" s="74" t="s">
        <v>488</v>
      </c>
      <c r="H104" s="11"/>
      <c r="I104" s="11"/>
      <c r="J104" s="11"/>
      <c r="K104" s="11"/>
      <c r="L104" s="11"/>
      <c r="M104" s="74" t="s">
        <v>94</v>
      </c>
      <c r="N104" s="12"/>
      <c r="O104" s="216"/>
      <c r="P104" s="213"/>
      <c r="Q104" s="213"/>
      <c r="R104" s="213"/>
      <c r="S104" s="213"/>
      <c r="T104" s="213"/>
      <c r="U104" s="213"/>
      <c r="V104" s="213"/>
      <c r="W104" s="214"/>
    </row>
    <row r="107" spans="2:23" ht="15" customHeight="1">
      <c r="B107" s="55" t="s">
        <v>266</v>
      </c>
    </row>
    <row r="108" spans="2:23" ht="15" customHeight="1">
      <c r="B108" t="s">
        <v>104</v>
      </c>
      <c r="C108" t="s">
        <v>267</v>
      </c>
    </row>
    <row r="109" spans="2:23" ht="15" customHeight="1">
      <c r="B109" t="s">
        <v>104</v>
      </c>
      <c r="C109" t="s">
        <v>435</v>
      </c>
    </row>
    <row r="110" spans="2:23" ht="15" customHeight="1">
      <c r="C110" t="s">
        <v>108</v>
      </c>
      <c r="D110" t="s">
        <v>524</v>
      </c>
    </row>
    <row r="113" spans="3:27" ht="15" customHeight="1">
      <c r="C113" t="s">
        <v>525</v>
      </c>
    </row>
    <row r="114" spans="3:27" ht="15" customHeight="1">
      <c r="C114" t="s">
        <v>526</v>
      </c>
    </row>
    <row r="115" spans="3:27" ht="15" customHeight="1">
      <c r="C115" t="s">
        <v>527</v>
      </c>
    </row>
    <row r="116" spans="3:27" ht="15" customHeight="1">
      <c r="C116" t="s">
        <v>528</v>
      </c>
    </row>
    <row r="117" spans="3:27" ht="15" customHeight="1">
      <c r="D117" t="s">
        <v>320</v>
      </c>
      <c r="E117" t="s">
        <v>529</v>
      </c>
    </row>
    <row r="118" spans="3:27" ht="15" customHeight="1">
      <c r="E118" t="s">
        <v>530</v>
      </c>
    </row>
    <row r="119" spans="3:27" ht="15" customHeight="1">
      <c r="D119" t="s">
        <v>322</v>
      </c>
      <c r="E119" t="s">
        <v>531</v>
      </c>
    </row>
    <row r="121" spans="3:27" ht="15" customHeight="1">
      <c r="C121" s="55" t="s">
        <v>532</v>
      </c>
    </row>
    <row r="122" spans="3:27" ht="15" customHeight="1">
      <c r="C122" s="55"/>
      <c r="D122" t="s">
        <v>533</v>
      </c>
    </row>
    <row r="123" spans="3:27" ht="15" customHeight="1">
      <c r="D123" t="s">
        <v>299</v>
      </c>
    </row>
    <row r="124" spans="3:27" ht="15" customHeight="1">
      <c r="D124" s="69" t="s">
        <v>408</v>
      </c>
      <c r="E124" s="23"/>
      <c r="F124" s="24"/>
      <c r="G124" s="69" t="s">
        <v>300</v>
      </c>
      <c r="H124" s="23"/>
      <c r="I124" s="23"/>
      <c r="J124" s="23"/>
      <c r="K124" s="23"/>
      <c r="L124" s="24"/>
      <c r="M124" s="69" t="s">
        <v>301</v>
      </c>
      <c r="N124" s="23"/>
      <c r="O124" s="23"/>
      <c r="P124" s="23"/>
      <c r="Q124" s="23"/>
      <c r="R124" s="24"/>
      <c r="S124" s="69" t="s">
        <v>302</v>
      </c>
      <c r="T124" s="23"/>
      <c r="U124" s="24"/>
    </row>
    <row r="125" spans="3:27" ht="15" customHeight="1">
      <c r="D125" s="25" t="s">
        <v>534</v>
      </c>
      <c r="E125" s="26"/>
      <c r="F125" s="27"/>
      <c r="G125" s="134" t="s">
        <v>535</v>
      </c>
      <c r="H125" s="26"/>
      <c r="I125" s="26"/>
      <c r="J125" s="27"/>
      <c r="K125" s="26"/>
      <c r="L125" s="26"/>
      <c r="M125" s="134" t="s">
        <v>535</v>
      </c>
      <c r="N125" s="26"/>
      <c r="O125" s="26"/>
      <c r="P125" s="27"/>
      <c r="Q125" s="26"/>
      <c r="R125" s="26"/>
      <c r="S125" s="134" t="s">
        <v>536</v>
      </c>
      <c r="T125" s="26"/>
      <c r="U125" s="27"/>
    </row>
    <row r="126" spans="3:27" ht="15" customHeight="1">
      <c r="D126" s="25" t="s">
        <v>537</v>
      </c>
      <c r="E126" s="26"/>
      <c r="F126" s="27"/>
      <c r="G126" s="134" t="s">
        <v>538</v>
      </c>
      <c r="H126" s="26"/>
      <c r="I126" s="26"/>
      <c r="J126" s="27"/>
      <c r="K126" s="26"/>
      <c r="L126" s="26"/>
      <c r="M126" s="134" t="s">
        <v>538</v>
      </c>
      <c r="N126" s="26"/>
      <c r="O126" s="26"/>
      <c r="P126" s="27"/>
      <c r="Q126" s="26"/>
      <c r="R126" s="26"/>
      <c r="S126" s="134" t="s">
        <v>539</v>
      </c>
      <c r="T126" s="26"/>
      <c r="U126" s="27"/>
    </row>
    <row r="128" spans="3:27" ht="15" customHeight="1">
      <c r="D128" t="s">
        <v>462</v>
      </c>
      <c r="AA128" t="s">
        <v>490</v>
      </c>
    </row>
    <row r="129" spans="4:37" ht="15" customHeight="1">
      <c r="D129" s="69" t="s">
        <v>491</v>
      </c>
      <c r="E129" s="23"/>
      <c r="F129" s="23"/>
      <c r="G129" s="23"/>
      <c r="H129" s="23"/>
      <c r="I129" s="69" t="s">
        <v>492</v>
      </c>
      <c r="J129" s="23"/>
      <c r="K129" s="23"/>
      <c r="L129" s="69" t="s">
        <v>493</v>
      </c>
      <c r="M129" s="23"/>
      <c r="N129" s="23"/>
      <c r="O129" s="24"/>
      <c r="P129" s="69" t="s">
        <v>494</v>
      </c>
      <c r="Q129" s="23"/>
      <c r="R129" s="24"/>
      <c r="S129" s="69" t="s">
        <v>495</v>
      </c>
      <c r="T129" s="23"/>
      <c r="U129" s="23"/>
      <c r="V129" s="24"/>
      <c r="AA129" s="69" t="s">
        <v>491</v>
      </c>
      <c r="AB129" s="23"/>
      <c r="AC129" s="23"/>
      <c r="AD129" s="23"/>
      <c r="AE129" s="23"/>
      <c r="AF129" s="69" t="s">
        <v>300</v>
      </c>
      <c r="AG129" s="23"/>
      <c r="AH129" s="23"/>
      <c r="AI129" s="23"/>
      <c r="AJ129" s="23"/>
      <c r="AK129" s="24"/>
    </row>
    <row r="130" spans="4:37" ht="15" customHeight="1">
      <c r="D130" s="134" t="s">
        <v>97</v>
      </c>
      <c r="E130" s="26"/>
      <c r="F130" s="26"/>
      <c r="G130" s="26"/>
      <c r="H130" s="26"/>
      <c r="I130" s="134" t="s">
        <v>97</v>
      </c>
      <c r="J130" s="135"/>
      <c r="K130" s="135"/>
      <c r="L130" s="134" t="s">
        <v>540</v>
      </c>
      <c r="M130" s="26"/>
      <c r="N130" s="26"/>
      <c r="O130" s="27"/>
      <c r="P130" s="25" t="s">
        <v>499</v>
      </c>
      <c r="Q130" s="26"/>
      <c r="R130" s="27"/>
      <c r="S130" s="134" t="s">
        <v>541</v>
      </c>
      <c r="T130" s="26"/>
      <c r="U130" s="26"/>
      <c r="V130" s="27"/>
      <c r="AA130" s="74" t="s">
        <v>97</v>
      </c>
      <c r="AB130" s="11"/>
      <c r="AC130" s="11"/>
      <c r="AD130" s="11"/>
      <c r="AE130" s="11"/>
      <c r="AF130" s="134" t="s">
        <v>535</v>
      </c>
      <c r="AG130" s="26"/>
      <c r="AH130" s="26"/>
      <c r="AI130" s="27"/>
      <c r="AJ130" s="26"/>
      <c r="AK130" s="27" t="s">
        <v>542</v>
      </c>
    </row>
    <row r="131" spans="4:37" ht="15" customHeight="1">
      <c r="D131" s="139"/>
      <c r="E131" s="5"/>
      <c r="F131" s="5"/>
      <c r="G131" s="5"/>
      <c r="H131" s="5"/>
      <c r="I131" s="5"/>
      <c r="J131" s="139"/>
      <c r="K131" s="139"/>
      <c r="L131" s="139"/>
      <c r="M131" s="5"/>
      <c r="N131" s="5"/>
      <c r="O131" s="139"/>
      <c r="P131" s="5"/>
      <c r="Q131" s="5"/>
      <c r="R131" s="5"/>
      <c r="S131" s="139"/>
      <c r="T131" s="5"/>
      <c r="U131" s="5"/>
      <c r="V131" s="139"/>
      <c r="AA131" s="74" t="s">
        <v>97</v>
      </c>
      <c r="AB131" s="11"/>
      <c r="AC131" s="11"/>
      <c r="AD131" s="11"/>
      <c r="AE131" s="11"/>
      <c r="AF131" s="134" t="s">
        <v>538</v>
      </c>
      <c r="AG131" s="26"/>
      <c r="AH131" s="26"/>
      <c r="AI131" s="27"/>
      <c r="AJ131" s="26"/>
      <c r="AK131" s="27" t="s">
        <v>543</v>
      </c>
    </row>
    <row r="133" spans="4:37" ht="15" customHeight="1">
      <c r="D133" s="69" t="s">
        <v>515</v>
      </c>
      <c r="E133" s="23"/>
      <c r="F133" s="23"/>
      <c r="G133" s="23"/>
      <c r="H133" s="23"/>
      <c r="I133" s="23"/>
      <c r="J133" s="23"/>
      <c r="K133" s="23"/>
      <c r="L133" s="23"/>
      <c r="M133" s="23"/>
      <c r="N133" s="23"/>
      <c r="O133" s="23"/>
      <c r="P133" s="23"/>
      <c r="Q133" s="23"/>
      <c r="R133" s="23"/>
      <c r="S133" s="23"/>
      <c r="T133" s="24"/>
      <c r="U133" s="120" t="s">
        <v>544</v>
      </c>
      <c r="V133" s="121"/>
      <c r="W133" s="121"/>
      <c r="X133" s="121"/>
      <c r="Y133" s="121"/>
      <c r="Z133" s="121"/>
      <c r="AA133" s="121"/>
      <c r="AB133" s="122"/>
    </row>
    <row r="134" spans="4:37" ht="15" customHeight="1">
      <c r="D134" s="69" t="s">
        <v>408</v>
      </c>
      <c r="E134" s="23"/>
      <c r="F134" s="24"/>
      <c r="G134" s="69" t="s">
        <v>300</v>
      </c>
      <c r="H134" s="23"/>
      <c r="I134" s="23"/>
      <c r="J134" s="23"/>
      <c r="K134" s="23"/>
      <c r="L134" s="23"/>
      <c r="M134" s="69" t="s">
        <v>302</v>
      </c>
      <c r="N134" s="23"/>
      <c r="O134" s="24"/>
      <c r="P134" s="69" t="s">
        <v>517</v>
      </c>
      <c r="Q134" s="24"/>
      <c r="R134" s="69" t="s">
        <v>545</v>
      </c>
      <c r="S134" s="23"/>
      <c r="T134" s="24"/>
      <c r="U134" s="123" t="s">
        <v>546</v>
      </c>
      <c r="V134" s="112"/>
      <c r="W134" s="112"/>
      <c r="X134" s="113"/>
      <c r="Y134" s="123" t="s">
        <v>547</v>
      </c>
      <c r="Z134" s="112"/>
      <c r="AA134" s="112"/>
      <c r="AB134" s="113"/>
    </row>
    <row r="135" spans="4:37" ht="15" customHeight="1">
      <c r="D135" s="83" t="s">
        <v>534</v>
      </c>
      <c r="E135" s="11"/>
      <c r="F135" s="12"/>
      <c r="G135" s="74" t="s">
        <v>535</v>
      </c>
      <c r="H135" s="11"/>
      <c r="I135" s="11"/>
      <c r="J135" s="12"/>
      <c r="K135" s="11"/>
      <c r="L135" s="11"/>
      <c r="M135" s="74" t="s">
        <v>536</v>
      </c>
      <c r="N135" s="11"/>
      <c r="O135" s="12"/>
      <c r="P135" s="74" t="s">
        <v>94</v>
      </c>
      <c r="Q135" s="12"/>
      <c r="R135" s="74" t="s">
        <v>536</v>
      </c>
      <c r="S135" s="11"/>
      <c r="T135" s="12"/>
      <c r="U135" s="74" t="s">
        <v>548</v>
      </c>
      <c r="V135" s="11"/>
      <c r="W135" s="11"/>
      <c r="X135" s="12"/>
      <c r="Y135" s="74" t="s">
        <v>314</v>
      </c>
      <c r="Z135" s="11"/>
      <c r="AA135" s="11"/>
      <c r="AB135" s="12"/>
    </row>
    <row r="136" spans="4:37" ht="15" customHeight="1">
      <c r="D136" s="83" t="s">
        <v>537</v>
      </c>
      <c r="E136" s="11"/>
      <c r="F136" s="12"/>
      <c r="G136" s="74" t="s">
        <v>538</v>
      </c>
      <c r="H136" s="11"/>
      <c r="I136" s="11"/>
      <c r="J136" s="12"/>
      <c r="K136" s="11"/>
      <c r="L136" s="11"/>
      <c r="M136" s="74" t="s">
        <v>539</v>
      </c>
      <c r="N136" s="11"/>
      <c r="O136" s="12"/>
      <c r="P136" s="74" t="s">
        <v>96</v>
      </c>
      <c r="Q136" s="12"/>
      <c r="R136" s="74" t="s">
        <v>549</v>
      </c>
      <c r="S136" s="11"/>
      <c r="T136" s="12"/>
      <c r="U136" s="74" t="s">
        <v>550</v>
      </c>
      <c r="V136" s="11"/>
      <c r="W136" s="11"/>
      <c r="X136" s="12"/>
      <c r="Y136" s="74" t="s">
        <v>94</v>
      </c>
      <c r="Z136" s="11"/>
      <c r="AA136" s="11"/>
      <c r="AB136" s="12"/>
      <c r="AC136" t="s">
        <v>551</v>
      </c>
      <c r="AD136" t="s">
        <v>552</v>
      </c>
    </row>
    <row r="137" spans="4:37" ht="15" customHeight="1">
      <c r="D137" s="5"/>
      <c r="E137" s="5"/>
      <c r="F137" s="5"/>
      <c r="G137" s="5"/>
      <c r="H137" s="5"/>
      <c r="I137" s="5"/>
      <c r="J137" s="5"/>
      <c r="K137" s="5"/>
      <c r="L137" s="5"/>
      <c r="M137" s="5"/>
      <c r="N137" s="5"/>
      <c r="AD137" t="s">
        <v>553</v>
      </c>
    </row>
    <row r="144" spans="4:37" ht="15" customHeight="1">
      <c r="D144" t="s">
        <v>521</v>
      </c>
      <c r="V144" s="73"/>
    </row>
    <row r="145" spans="4:39" ht="15" customHeight="1">
      <c r="D145" t="s">
        <v>299</v>
      </c>
    </row>
    <row r="146" spans="4:39" ht="15" customHeight="1">
      <c r="D146" s="69" t="s">
        <v>408</v>
      </c>
      <c r="E146" s="23"/>
      <c r="F146" s="24"/>
      <c r="G146" s="69" t="s">
        <v>300</v>
      </c>
      <c r="H146" s="23"/>
      <c r="I146" s="23"/>
      <c r="J146" s="23"/>
      <c r="K146" s="23"/>
      <c r="L146" s="24"/>
      <c r="M146" s="69" t="s">
        <v>301</v>
      </c>
      <c r="N146" s="23"/>
      <c r="O146" s="23"/>
      <c r="P146" s="23"/>
      <c r="Q146" s="23"/>
      <c r="R146" s="24"/>
      <c r="S146" s="69" t="s">
        <v>302</v>
      </c>
      <c r="T146" s="23"/>
      <c r="U146" s="24"/>
    </row>
    <row r="147" spans="4:39" ht="15" customHeight="1">
      <c r="D147" s="25" t="s">
        <v>534</v>
      </c>
      <c r="E147" s="26"/>
      <c r="F147" s="27"/>
      <c r="G147" s="134" t="s">
        <v>535</v>
      </c>
      <c r="H147" s="26"/>
      <c r="I147" s="26"/>
      <c r="J147" s="27"/>
      <c r="K147" s="26"/>
      <c r="L147" s="26"/>
      <c r="M147" s="134" t="s">
        <v>535</v>
      </c>
      <c r="N147" s="26"/>
      <c r="O147" s="26"/>
      <c r="P147" s="27"/>
      <c r="Q147" s="26"/>
      <c r="R147" s="26"/>
      <c r="S147" s="134" t="s">
        <v>536</v>
      </c>
      <c r="T147" s="26"/>
      <c r="U147" s="27"/>
    </row>
    <row r="148" spans="4:39" ht="15" customHeight="1">
      <c r="D148" s="25" t="s">
        <v>537</v>
      </c>
      <c r="E148" s="26"/>
      <c r="F148" s="27"/>
      <c r="G148" s="134" t="s">
        <v>538</v>
      </c>
      <c r="H148" s="26"/>
      <c r="I148" s="26"/>
      <c r="J148" s="27"/>
      <c r="K148" s="26"/>
      <c r="L148" s="26"/>
      <c r="M148" s="134" t="s">
        <v>538</v>
      </c>
      <c r="N148" s="26"/>
      <c r="O148" s="26"/>
      <c r="P148" s="27"/>
      <c r="Q148" s="26"/>
      <c r="R148" s="26"/>
      <c r="S148" s="134" t="s">
        <v>539</v>
      </c>
      <c r="T148" s="26"/>
      <c r="U148" s="27"/>
    </row>
    <row r="150" spans="4:39" ht="15" customHeight="1">
      <c r="D150" t="s">
        <v>462</v>
      </c>
      <c r="AA150" t="s">
        <v>490</v>
      </c>
    </row>
    <row r="151" spans="4:39" ht="15" customHeight="1">
      <c r="D151" s="69" t="s">
        <v>491</v>
      </c>
      <c r="E151" s="23"/>
      <c r="F151" s="23"/>
      <c r="G151" s="23"/>
      <c r="H151" s="23"/>
      <c r="I151" s="69" t="s">
        <v>492</v>
      </c>
      <c r="J151" s="23"/>
      <c r="K151" s="23"/>
      <c r="L151" s="69" t="s">
        <v>493</v>
      </c>
      <c r="M151" s="23"/>
      <c r="N151" s="23"/>
      <c r="O151" s="24"/>
      <c r="P151" s="69" t="s">
        <v>494</v>
      </c>
      <c r="Q151" s="23"/>
      <c r="R151" s="24"/>
      <c r="S151" s="69" t="s">
        <v>495</v>
      </c>
      <c r="T151" s="23"/>
      <c r="U151" s="23"/>
      <c r="V151" s="24"/>
      <c r="AA151" s="69" t="s">
        <v>491</v>
      </c>
      <c r="AB151" s="23"/>
      <c r="AC151" s="23"/>
      <c r="AD151" s="23"/>
      <c r="AE151" s="23"/>
      <c r="AF151" s="69" t="s">
        <v>300</v>
      </c>
      <c r="AG151" s="23"/>
      <c r="AH151" s="23"/>
      <c r="AI151" s="23"/>
      <c r="AJ151" s="23"/>
      <c r="AK151" s="24"/>
    </row>
    <row r="152" spans="4:39" ht="15" customHeight="1">
      <c r="D152" s="134" t="s">
        <v>97</v>
      </c>
      <c r="E152" s="26"/>
      <c r="F152" s="26"/>
      <c r="G152" s="26"/>
      <c r="H152" s="26"/>
      <c r="I152" s="134" t="s">
        <v>97</v>
      </c>
      <c r="J152" s="135"/>
      <c r="K152" s="135"/>
      <c r="L152" s="134" t="s">
        <v>540</v>
      </c>
      <c r="M152" s="26"/>
      <c r="N152" s="26"/>
      <c r="O152" s="27"/>
      <c r="P152" s="25" t="s">
        <v>499</v>
      </c>
      <c r="Q152" s="26"/>
      <c r="R152" s="27"/>
      <c r="S152" s="134" t="s">
        <v>541</v>
      </c>
      <c r="T152" s="26"/>
      <c r="U152" s="26"/>
      <c r="V152" s="27"/>
      <c r="AA152" s="74" t="s">
        <v>97</v>
      </c>
      <c r="AB152" s="11"/>
      <c r="AC152" s="11"/>
      <c r="AD152" s="11"/>
      <c r="AE152" s="11"/>
      <c r="AF152" s="134" t="s">
        <v>535</v>
      </c>
      <c r="AG152" s="26"/>
      <c r="AH152" s="26"/>
      <c r="AI152" s="27"/>
      <c r="AJ152" s="26"/>
      <c r="AK152" s="27"/>
      <c r="AM152" t="s">
        <v>542</v>
      </c>
    </row>
    <row r="153" spans="4:39" ht="15" customHeight="1">
      <c r="D153" s="139"/>
      <c r="E153" s="5"/>
      <c r="F153" s="5"/>
      <c r="G153" s="5"/>
      <c r="H153" s="5"/>
      <c r="I153" s="5"/>
      <c r="J153" s="139"/>
      <c r="K153" s="139"/>
      <c r="L153" s="139"/>
      <c r="M153" s="5"/>
      <c r="N153" s="5"/>
      <c r="O153" s="139"/>
      <c r="P153" s="5"/>
      <c r="Q153" s="5"/>
      <c r="R153" s="5"/>
      <c r="S153" s="139"/>
      <c r="T153" s="5"/>
      <c r="U153" s="5"/>
      <c r="V153" s="139"/>
      <c r="W153" s="5"/>
      <c r="X153" s="5"/>
      <c r="AA153" s="74" t="s">
        <v>97</v>
      </c>
      <c r="AB153" s="11"/>
      <c r="AC153" s="11"/>
      <c r="AD153" s="11"/>
      <c r="AE153" s="11"/>
      <c r="AF153" s="134" t="s">
        <v>538</v>
      </c>
      <c r="AG153" s="26"/>
      <c r="AH153" s="26"/>
      <c r="AI153" s="27"/>
      <c r="AJ153" s="26"/>
      <c r="AK153" s="27"/>
      <c r="AM153" t="s">
        <v>543</v>
      </c>
    </row>
    <row r="155" spans="4:39" ht="15" customHeight="1">
      <c r="D155" s="69" t="s">
        <v>515</v>
      </c>
      <c r="E155" s="23"/>
      <c r="F155" s="23"/>
      <c r="G155" s="23"/>
      <c r="H155" s="23"/>
      <c r="I155" s="23"/>
      <c r="J155" s="23"/>
      <c r="K155" s="23"/>
      <c r="L155" s="23"/>
      <c r="M155" s="23"/>
      <c r="N155" s="23"/>
      <c r="O155" s="23"/>
      <c r="P155" s="23"/>
      <c r="Q155" s="23"/>
      <c r="R155" s="23"/>
      <c r="S155" s="23"/>
      <c r="T155" s="24"/>
      <c r="U155" s="120" t="s">
        <v>544</v>
      </c>
      <c r="V155" s="121"/>
      <c r="W155" s="121"/>
      <c r="X155" s="121"/>
      <c r="Y155" s="121"/>
      <c r="Z155" s="121"/>
      <c r="AA155" s="121"/>
      <c r="AB155" s="122"/>
    </row>
    <row r="156" spans="4:39" ht="15" customHeight="1">
      <c r="D156" s="69" t="s">
        <v>408</v>
      </c>
      <c r="E156" s="23"/>
      <c r="F156" s="24"/>
      <c r="G156" s="69" t="s">
        <v>300</v>
      </c>
      <c r="H156" s="23"/>
      <c r="I156" s="23"/>
      <c r="J156" s="23"/>
      <c r="K156" s="23"/>
      <c r="L156" s="23"/>
      <c r="M156" s="69" t="s">
        <v>302</v>
      </c>
      <c r="N156" s="23"/>
      <c r="O156" s="24"/>
      <c r="P156" s="69" t="s">
        <v>517</v>
      </c>
      <c r="Q156" s="24"/>
      <c r="R156" s="69" t="s">
        <v>545</v>
      </c>
      <c r="S156" s="23"/>
      <c r="T156" s="24"/>
      <c r="U156" s="123" t="s">
        <v>546</v>
      </c>
      <c r="V156" s="112"/>
      <c r="W156" s="112"/>
      <c r="X156" s="113"/>
      <c r="Y156" s="123" t="s">
        <v>547</v>
      </c>
      <c r="Z156" s="112"/>
      <c r="AA156" s="112"/>
      <c r="AB156" s="113"/>
    </row>
    <row r="157" spans="4:39" ht="15" customHeight="1">
      <c r="D157" s="83" t="s">
        <v>534</v>
      </c>
      <c r="E157" s="11"/>
      <c r="F157" s="12"/>
      <c r="G157" s="74" t="s">
        <v>535</v>
      </c>
      <c r="H157" s="11"/>
      <c r="I157" s="11"/>
      <c r="J157" s="12"/>
      <c r="K157" s="11"/>
      <c r="L157" s="11"/>
      <c r="M157" s="74" t="s">
        <v>536</v>
      </c>
      <c r="N157" s="11"/>
      <c r="O157" s="12"/>
      <c r="P157" s="74" t="s">
        <v>96</v>
      </c>
      <c r="Q157" s="12"/>
      <c r="R157" s="74" t="s">
        <v>554</v>
      </c>
      <c r="S157" s="11"/>
      <c r="T157" s="12"/>
      <c r="U157" s="74" t="s">
        <v>555</v>
      </c>
      <c r="V157" s="11"/>
      <c r="W157" s="11"/>
      <c r="X157" s="12"/>
      <c r="Y157" s="74" t="s">
        <v>314</v>
      </c>
      <c r="Z157" s="11"/>
      <c r="AA157" s="11"/>
      <c r="AB157" s="12"/>
    </row>
    <row r="158" spans="4:39" ht="15" customHeight="1">
      <c r="D158" s="83" t="s">
        <v>537</v>
      </c>
      <c r="E158" s="11"/>
      <c r="F158" s="12"/>
      <c r="G158" s="74" t="s">
        <v>538</v>
      </c>
      <c r="H158" s="11"/>
      <c r="I158" s="11"/>
      <c r="J158" s="12"/>
      <c r="K158" s="11"/>
      <c r="L158" s="11"/>
      <c r="M158" s="74" t="s">
        <v>539</v>
      </c>
      <c r="N158" s="11"/>
      <c r="O158" s="12"/>
      <c r="P158" s="74" t="s">
        <v>94</v>
      </c>
      <c r="Q158" s="12"/>
      <c r="R158" s="74" t="s">
        <v>539</v>
      </c>
      <c r="S158" s="11"/>
      <c r="T158" s="12"/>
      <c r="U158" s="74" t="s">
        <v>556</v>
      </c>
      <c r="V158" s="11"/>
      <c r="W158" s="11"/>
      <c r="X158" s="12"/>
      <c r="Y158" s="74" t="s">
        <v>94</v>
      </c>
      <c r="Z158" s="11"/>
      <c r="AA158" s="11"/>
      <c r="AB158" s="12"/>
      <c r="AC158" t="s">
        <v>551</v>
      </c>
      <c r="AD158" t="s">
        <v>552</v>
      </c>
    </row>
    <row r="159" spans="4:39" ht="15" customHeight="1">
      <c r="D159" s="83" t="s">
        <v>537</v>
      </c>
      <c r="E159" s="11"/>
      <c r="F159" s="12"/>
      <c r="G159" s="74" t="s">
        <v>538</v>
      </c>
      <c r="H159" s="11"/>
      <c r="I159" s="11"/>
      <c r="J159" s="12"/>
      <c r="K159" s="11"/>
      <c r="L159" s="11"/>
      <c r="M159" s="74" t="s">
        <v>539</v>
      </c>
      <c r="N159" s="11"/>
      <c r="O159" s="12"/>
      <c r="P159" s="74" t="s">
        <v>96</v>
      </c>
      <c r="Q159" s="12"/>
      <c r="R159" s="74" t="s">
        <v>549</v>
      </c>
      <c r="S159" s="11"/>
      <c r="T159" s="12"/>
      <c r="U159" s="74" t="s">
        <v>557</v>
      </c>
      <c r="V159" s="11"/>
      <c r="W159" s="11"/>
      <c r="X159" s="12"/>
      <c r="Y159" s="74" t="s">
        <v>96</v>
      </c>
      <c r="Z159" s="11"/>
      <c r="AA159" s="11"/>
      <c r="AB159" s="12"/>
      <c r="AC159" t="s">
        <v>551</v>
      </c>
      <c r="AD159" t="s">
        <v>553</v>
      </c>
    </row>
    <row r="160" spans="4:39" ht="15" customHeight="1">
      <c r="M160">
        <f>160+180+180</f>
        <v>520</v>
      </c>
      <c r="R160">
        <f>320+180+360</f>
        <v>860</v>
      </c>
    </row>
    <row r="161" spans="2:21" ht="15" customHeight="1">
      <c r="R161">
        <v>160</v>
      </c>
      <c r="U161">
        <f>58+33+66</f>
        <v>157</v>
      </c>
    </row>
    <row r="168" spans="2:21" ht="15" customHeight="1">
      <c r="B168" s="55" t="s">
        <v>558</v>
      </c>
    </row>
    <row r="169" spans="2:21" ht="15" customHeight="1">
      <c r="B169" t="s">
        <v>559</v>
      </c>
      <c r="C169" s="55" t="s">
        <v>560</v>
      </c>
    </row>
    <row r="170" spans="2:21" ht="15" customHeight="1">
      <c r="C170" t="s">
        <v>561</v>
      </c>
    </row>
    <row r="172" spans="2:21" ht="15" customHeight="1">
      <c r="C172" t="s">
        <v>562</v>
      </c>
    </row>
    <row r="173" spans="2:21" ht="15" customHeight="1">
      <c r="C173" t="s">
        <v>104</v>
      </c>
      <c r="D173" t="s">
        <v>563</v>
      </c>
    </row>
    <row r="174" spans="2:21" ht="15" customHeight="1">
      <c r="C174" t="s">
        <v>104</v>
      </c>
      <c r="D174" t="s">
        <v>564</v>
      </c>
    </row>
    <row r="175" spans="2:21" ht="15" customHeight="1">
      <c r="C175" t="s">
        <v>104</v>
      </c>
      <c r="D175" t="s">
        <v>565</v>
      </c>
    </row>
    <row r="176" spans="2:21" ht="15" customHeight="1">
      <c r="C176" t="s">
        <v>104</v>
      </c>
      <c r="D176" t="s">
        <v>566</v>
      </c>
    </row>
    <row r="178" spans="3:37" ht="15" customHeight="1">
      <c r="C178" t="s">
        <v>567</v>
      </c>
    </row>
    <row r="179" spans="3:37" ht="15" customHeight="1">
      <c r="C179" t="s">
        <v>568</v>
      </c>
    </row>
    <row r="180" spans="3:37" ht="15" customHeight="1">
      <c r="C180" t="s">
        <v>569</v>
      </c>
    </row>
    <row r="181" spans="3:37" ht="15" customHeight="1">
      <c r="C181" t="s">
        <v>570</v>
      </c>
    </row>
    <row r="182" spans="3:37" ht="15" customHeight="1">
      <c r="C182" t="s">
        <v>571</v>
      </c>
    </row>
    <row r="184" spans="3:37" ht="15" customHeight="1">
      <c r="C184" s="55" t="s">
        <v>572</v>
      </c>
    </row>
    <row r="185" spans="3:37" ht="15" customHeight="1">
      <c r="D185" t="s">
        <v>573</v>
      </c>
    </row>
    <row r="186" spans="3:37" ht="15" customHeight="1">
      <c r="D186" t="s">
        <v>299</v>
      </c>
    </row>
    <row r="187" spans="3:37" ht="15" customHeight="1">
      <c r="D187" s="69" t="s">
        <v>408</v>
      </c>
      <c r="E187" s="23"/>
      <c r="F187" s="24"/>
      <c r="G187" s="69" t="s">
        <v>300</v>
      </c>
      <c r="H187" s="23"/>
      <c r="I187" s="23"/>
      <c r="J187" s="23"/>
      <c r="K187" s="23"/>
      <c r="L187" s="24"/>
      <c r="M187" s="69" t="s">
        <v>301</v>
      </c>
      <c r="N187" s="23"/>
      <c r="O187" s="23"/>
      <c r="P187" s="23"/>
      <c r="Q187" s="23"/>
      <c r="R187" s="24"/>
      <c r="S187" s="69" t="s">
        <v>302</v>
      </c>
      <c r="T187" s="23"/>
      <c r="U187" s="24"/>
    </row>
    <row r="188" spans="3:37" ht="15" customHeight="1">
      <c r="D188" s="25" t="s">
        <v>534</v>
      </c>
      <c r="E188" s="26"/>
      <c r="F188" s="27"/>
      <c r="G188" s="134" t="s">
        <v>535</v>
      </c>
      <c r="H188" s="26"/>
      <c r="I188" s="26"/>
      <c r="J188" s="27"/>
      <c r="K188" s="26"/>
      <c r="L188" s="26"/>
      <c r="M188" s="134" t="s">
        <v>535</v>
      </c>
      <c r="N188" s="26"/>
      <c r="O188" s="26"/>
      <c r="P188" s="27"/>
      <c r="Q188" s="26"/>
      <c r="R188" s="26"/>
      <c r="S188" s="134" t="s">
        <v>536</v>
      </c>
      <c r="T188" s="26"/>
      <c r="U188" s="27"/>
    </row>
    <row r="189" spans="3:37" ht="15" customHeight="1">
      <c r="D189" s="25" t="s">
        <v>537</v>
      </c>
      <c r="E189" s="26"/>
      <c r="F189" s="27"/>
      <c r="G189" s="134" t="s">
        <v>538</v>
      </c>
      <c r="H189" s="26"/>
      <c r="I189" s="26"/>
      <c r="J189" s="27"/>
      <c r="K189" s="26"/>
      <c r="L189" s="26"/>
      <c r="M189" s="134" t="s">
        <v>538</v>
      </c>
      <c r="N189" s="26"/>
      <c r="O189" s="26"/>
      <c r="P189" s="27"/>
      <c r="Q189" s="26"/>
      <c r="R189" s="26"/>
      <c r="S189" s="134" t="s">
        <v>539</v>
      </c>
      <c r="T189" s="26"/>
      <c r="U189" s="27"/>
    </row>
    <row r="191" spans="3:37" ht="15" customHeight="1">
      <c r="D191" t="s">
        <v>462</v>
      </c>
      <c r="AA191" t="s">
        <v>490</v>
      </c>
    </row>
    <row r="192" spans="3:37" ht="15" customHeight="1">
      <c r="D192" s="69" t="s">
        <v>491</v>
      </c>
      <c r="E192" s="23"/>
      <c r="F192" s="23"/>
      <c r="G192" s="23"/>
      <c r="H192" s="23"/>
      <c r="I192" s="69" t="s">
        <v>492</v>
      </c>
      <c r="J192" s="23"/>
      <c r="K192" s="23"/>
      <c r="L192" s="69" t="s">
        <v>493</v>
      </c>
      <c r="M192" s="23"/>
      <c r="N192" s="23"/>
      <c r="O192" s="24"/>
      <c r="P192" s="69" t="s">
        <v>494</v>
      </c>
      <c r="Q192" s="23"/>
      <c r="R192" s="24"/>
      <c r="S192" s="69" t="s">
        <v>495</v>
      </c>
      <c r="T192" s="23"/>
      <c r="U192" s="23"/>
      <c r="V192" s="24"/>
      <c r="AA192" s="69" t="s">
        <v>491</v>
      </c>
      <c r="AB192" s="23"/>
      <c r="AC192" s="23"/>
      <c r="AD192" s="23"/>
      <c r="AE192" s="23"/>
      <c r="AF192" s="69" t="s">
        <v>300</v>
      </c>
      <c r="AG192" s="23"/>
      <c r="AH192" s="23"/>
      <c r="AI192" s="23"/>
      <c r="AJ192" s="23"/>
      <c r="AK192" s="24"/>
    </row>
    <row r="193" spans="4:37" ht="15" customHeight="1">
      <c r="D193" s="134" t="s">
        <v>97</v>
      </c>
      <c r="E193" s="26"/>
      <c r="F193" s="26"/>
      <c r="G193" s="26"/>
      <c r="H193" s="26"/>
      <c r="I193" s="134" t="s">
        <v>97</v>
      </c>
      <c r="J193" s="135"/>
      <c r="K193" s="135"/>
      <c r="L193" s="134" t="s">
        <v>540</v>
      </c>
      <c r="M193" s="26"/>
      <c r="N193" s="26"/>
      <c r="O193" s="27"/>
      <c r="P193" s="25" t="s">
        <v>499</v>
      </c>
      <c r="Q193" s="26"/>
      <c r="R193" s="27"/>
      <c r="S193" s="134" t="s">
        <v>541</v>
      </c>
      <c r="T193" s="26"/>
      <c r="U193" s="26"/>
      <c r="V193" s="27"/>
      <c r="AA193" s="74" t="s">
        <v>97</v>
      </c>
      <c r="AB193" s="11"/>
      <c r="AC193" s="11"/>
      <c r="AD193" s="11"/>
      <c r="AE193" s="11"/>
      <c r="AF193" s="134" t="s">
        <v>535</v>
      </c>
      <c r="AG193" s="26"/>
      <c r="AH193" s="26"/>
      <c r="AI193" s="27"/>
      <c r="AJ193" s="26"/>
      <c r="AK193" s="27" t="s">
        <v>542</v>
      </c>
    </row>
    <row r="194" spans="4:37" ht="15" customHeight="1">
      <c r="D194" s="139"/>
      <c r="E194" s="5"/>
      <c r="F194" s="5"/>
      <c r="G194" s="5"/>
      <c r="H194" s="5"/>
      <c r="I194" s="5"/>
      <c r="J194" s="139"/>
      <c r="K194" s="139"/>
      <c r="L194" s="139"/>
      <c r="M194" s="5"/>
      <c r="N194" s="5"/>
      <c r="O194" s="139"/>
      <c r="P194" s="5"/>
      <c r="Q194" s="5"/>
      <c r="R194" s="5"/>
      <c r="S194" s="139"/>
      <c r="T194" s="5"/>
      <c r="U194" s="5"/>
      <c r="V194" s="139"/>
      <c r="AA194" s="74" t="s">
        <v>97</v>
      </c>
      <c r="AB194" s="11"/>
      <c r="AC194" s="11"/>
      <c r="AD194" s="11"/>
      <c r="AE194" s="11"/>
      <c r="AF194" s="134" t="s">
        <v>538</v>
      </c>
      <c r="AG194" s="26"/>
      <c r="AH194" s="26"/>
      <c r="AI194" s="27"/>
      <c r="AJ194" s="26"/>
      <c r="AK194" s="27" t="s">
        <v>543</v>
      </c>
    </row>
    <row r="197" spans="4:37" ht="15" customHeight="1">
      <c r="D197" s="69" t="s">
        <v>515</v>
      </c>
      <c r="E197" s="23"/>
      <c r="F197" s="23"/>
      <c r="G197" s="23"/>
      <c r="H197" s="23"/>
      <c r="I197" s="23"/>
      <c r="J197" s="23"/>
      <c r="K197" s="23"/>
      <c r="L197" s="23"/>
      <c r="M197" s="23"/>
      <c r="N197" s="23"/>
      <c r="O197" s="23"/>
      <c r="P197" s="23"/>
      <c r="Q197" s="23"/>
      <c r="R197" s="23"/>
      <c r="S197" s="23"/>
      <c r="T197" s="23"/>
      <c r="U197" s="23"/>
      <c r="V197" s="23"/>
      <c r="W197" s="23"/>
      <c r="X197" s="24"/>
      <c r="Y197" s="120" t="s">
        <v>516</v>
      </c>
      <c r="Z197" s="121"/>
      <c r="AA197" s="121"/>
      <c r="AB197" s="121"/>
      <c r="AC197" s="121"/>
      <c r="AD197" s="121"/>
      <c r="AE197" s="121"/>
      <c r="AF197" s="121"/>
      <c r="AG197" s="122"/>
    </row>
    <row r="198" spans="4:37" ht="15" customHeight="1">
      <c r="D198" s="69" t="s">
        <v>408</v>
      </c>
      <c r="E198" s="23"/>
      <c r="F198" s="24"/>
      <c r="G198" s="69" t="s">
        <v>300</v>
      </c>
      <c r="H198" s="23"/>
      <c r="I198" s="23"/>
      <c r="J198" s="23"/>
      <c r="K198" s="23"/>
      <c r="L198" s="23"/>
      <c r="M198" s="69" t="s">
        <v>302</v>
      </c>
      <c r="N198" s="23"/>
      <c r="O198" s="24"/>
      <c r="P198" s="69" t="s">
        <v>574</v>
      </c>
      <c r="Q198" s="23"/>
      <c r="R198" s="23"/>
      <c r="S198" s="24"/>
      <c r="T198" s="69" t="s">
        <v>517</v>
      </c>
      <c r="U198" s="24"/>
      <c r="V198" s="69" t="s">
        <v>545</v>
      </c>
      <c r="W198" s="23"/>
      <c r="X198" s="24"/>
      <c r="Y198" s="136"/>
      <c r="Z198" s="137"/>
      <c r="AA198" s="137"/>
      <c r="AB198" s="137"/>
      <c r="AC198" s="137"/>
      <c r="AD198" s="137"/>
      <c r="AE198" s="137"/>
      <c r="AF198" s="137"/>
      <c r="AG198" s="138"/>
    </row>
    <row r="199" spans="4:37" ht="15" customHeight="1">
      <c r="D199" s="83" t="s">
        <v>534</v>
      </c>
      <c r="E199" s="11"/>
      <c r="F199" s="12"/>
      <c r="G199" s="74" t="s">
        <v>535</v>
      </c>
      <c r="H199" s="11"/>
      <c r="I199" s="11"/>
      <c r="J199" s="12"/>
      <c r="K199" s="11"/>
      <c r="L199" s="11"/>
      <c r="M199" s="74" t="s">
        <v>536</v>
      </c>
      <c r="N199" s="11"/>
      <c r="O199" s="12"/>
      <c r="P199" s="83" t="s">
        <v>575</v>
      </c>
      <c r="Q199" s="11"/>
      <c r="R199" s="11"/>
      <c r="S199" s="12"/>
      <c r="T199" s="74" t="s">
        <v>94</v>
      </c>
      <c r="U199" s="12"/>
      <c r="V199" s="74" t="s">
        <v>536</v>
      </c>
      <c r="W199" s="11"/>
      <c r="X199" s="12"/>
      <c r="Y199" s="306" t="s">
        <v>576</v>
      </c>
      <c r="Z199" s="211"/>
      <c r="AA199" s="211"/>
      <c r="AB199" s="211"/>
      <c r="AC199" s="211"/>
      <c r="AD199" s="211"/>
      <c r="AE199" s="211"/>
      <c r="AF199" s="211"/>
      <c r="AG199" s="212"/>
    </row>
    <row r="200" spans="4:37" ht="15" customHeight="1">
      <c r="D200" s="83" t="s">
        <v>537</v>
      </c>
      <c r="E200" s="11"/>
      <c r="F200" s="12"/>
      <c r="G200" s="74" t="s">
        <v>538</v>
      </c>
      <c r="H200" s="11"/>
      <c r="I200" s="11"/>
      <c r="J200" s="12"/>
      <c r="K200" s="11"/>
      <c r="L200" s="11"/>
      <c r="M200" s="124" t="s">
        <v>539</v>
      </c>
      <c r="N200" s="11"/>
      <c r="O200" s="12"/>
      <c r="P200" s="125" t="s">
        <v>496</v>
      </c>
      <c r="Q200" s="11"/>
      <c r="R200" s="11"/>
      <c r="S200" s="12"/>
      <c r="T200" s="74" t="s">
        <v>96</v>
      </c>
      <c r="U200" s="12"/>
      <c r="V200" s="125" t="s">
        <v>577</v>
      </c>
      <c r="W200" s="11"/>
      <c r="X200" s="12"/>
      <c r="Y200" s="216"/>
      <c r="Z200" s="213"/>
      <c r="AA200" s="213"/>
      <c r="AB200" s="213"/>
      <c r="AC200" s="213"/>
      <c r="AD200" s="213"/>
      <c r="AE200" s="213"/>
      <c r="AF200" s="213"/>
      <c r="AG200" s="214"/>
    </row>
    <row r="201" spans="4:37" ht="15" customHeight="1">
      <c r="Y201" t="s">
        <v>578</v>
      </c>
    </row>
    <row r="202" spans="4:37" ht="15" customHeight="1">
      <c r="Y202" t="s">
        <v>579</v>
      </c>
    </row>
    <row r="203" spans="4:37" ht="15" customHeight="1">
      <c r="Y203" t="s">
        <v>580</v>
      </c>
    </row>
    <row r="204" spans="4:37" ht="15" customHeight="1">
      <c r="Y204" t="s">
        <v>581</v>
      </c>
    </row>
    <row r="205" spans="4:37" ht="15" customHeight="1">
      <c r="Y205" t="s">
        <v>582</v>
      </c>
    </row>
    <row r="208" spans="4:37" ht="15" customHeight="1">
      <c r="D208" t="s">
        <v>583</v>
      </c>
    </row>
    <row r="209" spans="4:37" ht="15" customHeight="1">
      <c r="D209" t="s">
        <v>299</v>
      </c>
    </row>
    <row r="210" spans="4:37" ht="15" customHeight="1">
      <c r="D210" s="69" t="s">
        <v>408</v>
      </c>
      <c r="E210" s="23"/>
      <c r="F210" s="24"/>
      <c r="G210" s="69" t="s">
        <v>300</v>
      </c>
      <c r="H210" s="23"/>
      <c r="I210" s="23"/>
      <c r="J210" s="23"/>
      <c r="K210" s="23"/>
      <c r="L210" s="24"/>
      <c r="M210" s="69" t="s">
        <v>301</v>
      </c>
      <c r="N210" s="23"/>
      <c r="O210" s="23"/>
      <c r="P210" s="23"/>
      <c r="Q210" s="23"/>
      <c r="R210" s="24"/>
      <c r="S210" s="69" t="s">
        <v>302</v>
      </c>
      <c r="T210" s="23"/>
      <c r="U210" s="24"/>
    </row>
    <row r="211" spans="4:37" ht="15" customHeight="1">
      <c r="D211" s="25" t="s">
        <v>534</v>
      </c>
      <c r="E211" s="26"/>
      <c r="F211" s="27"/>
      <c r="G211" s="134" t="s">
        <v>535</v>
      </c>
      <c r="H211" s="26"/>
      <c r="I211" s="26"/>
      <c r="J211" s="27"/>
      <c r="K211" s="26"/>
      <c r="L211" s="26"/>
      <c r="M211" s="134" t="s">
        <v>535</v>
      </c>
      <c r="N211" s="26"/>
      <c r="O211" s="26"/>
      <c r="P211" s="27"/>
      <c r="Q211" s="26"/>
      <c r="R211" s="26"/>
      <c r="S211" s="134" t="s">
        <v>536</v>
      </c>
      <c r="T211" s="26"/>
      <c r="U211" s="27"/>
    </row>
    <row r="212" spans="4:37" ht="15" customHeight="1">
      <c r="D212" s="25" t="s">
        <v>537</v>
      </c>
      <c r="E212" s="26"/>
      <c r="F212" s="27"/>
      <c r="G212" s="134" t="s">
        <v>538</v>
      </c>
      <c r="H212" s="26"/>
      <c r="I212" s="26"/>
      <c r="J212" s="27"/>
      <c r="K212" s="26"/>
      <c r="L212" s="26"/>
      <c r="M212" s="134" t="s">
        <v>538</v>
      </c>
      <c r="N212" s="26"/>
      <c r="O212" s="26"/>
      <c r="P212" s="27"/>
      <c r="Q212" s="26"/>
      <c r="R212" s="26"/>
      <c r="S212" s="134" t="s">
        <v>539</v>
      </c>
      <c r="T212" s="26"/>
      <c r="U212" s="27"/>
    </row>
    <row r="214" spans="4:37" ht="15" customHeight="1">
      <c r="D214" t="s">
        <v>462</v>
      </c>
      <c r="AA214" t="s">
        <v>490</v>
      </c>
    </row>
    <row r="215" spans="4:37" ht="15" customHeight="1">
      <c r="D215" s="69" t="s">
        <v>491</v>
      </c>
      <c r="E215" s="23"/>
      <c r="F215" s="23"/>
      <c r="G215" s="23"/>
      <c r="H215" s="23"/>
      <c r="I215" s="69" t="s">
        <v>492</v>
      </c>
      <c r="J215" s="23"/>
      <c r="K215" s="23"/>
      <c r="L215" s="69" t="s">
        <v>493</v>
      </c>
      <c r="M215" s="23"/>
      <c r="N215" s="23"/>
      <c r="O215" s="24"/>
      <c r="P215" s="69" t="s">
        <v>494</v>
      </c>
      <c r="Q215" s="23"/>
      <c r="R215" s="24"/>
      <c r="S215" s="69" t="s">
        <v>495</v>
      </c>
      <c r="T215" s="23"/>
      <c r="U215" s="23"/>
      <c r="V215" s="24"/>
      <c r="AA215" s="69" t="s">
        <v>491</v>
      </c>
      <c r="AB215" s="23"/>
      <c r="AC215" s="23"/>
      <c r="AD215" s="23"/>
      <c r="AE215" s="23"/>
      <c r="AF215" s="69" t="s">
        <v>300</v>
      </c>
      <c r="AG215" s="23"/>
      <c r="AH215" s="23"/>
      <c r="AI215" s="23"/>
      <c r="AJ215" s="23"/>
      <c r="AK215" s="24"/>
    </row>
    <row r="216" spans="4:37" ht="15" customHeight="1">
      <c r="D216" s="134" t="s">
        <v>97</v>
      </c>
      <c r="E216" s="26"/>
      <c r="F216" s="26"/>
      <c r="G216" s="26"/>
      <c r="H216" s="26"/>
      <c r="I216" s="134" t="s">
        <v>97</v>
      </c>
      <c r="J216" s="135"/>
      <c r="K216" s="135"/>
      <c r="L216" s="134" t="s">
        <v>540</v>
      </c>
      <c r="M216" s="26"/>
      <c r="N216" s="26"/>
      <c r="O216" s="27"/>
      <c r="P216" s="25" t="s">
        <v>499</v>
      </c>
      <c r="Q216" s="26"/>
      <c r="R216" s="27"/>
      <c r="S216" s="134" t="s">
        <v>541</v>
      </c>
      <c r="T216" s="26"/>
      <c r="U216" s="26"/>
      <c r="V216" s="27"/>
      <c r="AA216" s="74" t="s">
        <v>97</v>
      </c>
      <c r="AB216" s="11"/>
      <c r="AC216" s="11"/>
      <c r="AD216" s="11"/>
      <c r="AE216" s="11"/>
      <c r="AF216" s="134" t="s">
        <v>535</v>
      </c>
      <c r="AG216" s="26"/>
      <c r="AH216" s="26"/>
      <c r="AI216" s="27"/>
      <c r="AJ216" s="26"/>
      <c r="AK216" s="27" t="s">
        <v>542</v>
      </c>
    </row>
    <row r="217" spans="4:37" ht="15" customHeight="1">
      <c r="D217" s="139"/>
      <c r="E217" s="5"/>
      <c r="F217" s="5"/>
      <c r="G217" s="5"/>
      <c r="H217" s="5"/>
      <c r="I217" s="5"/>
      <c r="J217" s="139"/>
      <c r="K217" s="139"/>
      <c r="L217" s="139"/>
      <c r="M217" s="5"/>
      <c r="N217" s="5"/>
      <c r="O217" s="139"/>
      <c r="P217" s="5"/>
      <c r="Q217" s="5"/>
      <c r="R217" s="5"/>
      <c r="S217" s="139"/>
      <c r="T217" s="5"/>
      <c r="U217" s="5"/>
      <c r="V217" s="73"/>
      <c r="AA217" s="74" t="s">
        <v>97</v>
      </c>
      <c r="AB217" s="11"/>
      <c r="AC217" s="11"/>
      <c r="AD217" s="11"/>
      <c r="AE217" s="11"/>
      <c r="AF217" s="134" t="s">
        <v>538</v>
      </c>
      <c r="AG217" s="26"/>
      <c r="AH217" s="26"/>
      <c r="AI217" s="27"/>
      <c r="AJ217" s="26"/>
      <c r="AK217" s="27" t="s">
        <v>543</v>
      </c>
    </row>
    <row r="220" spans="4:37" ht="15" customHeight="1">
      <c r="D220" s="69" t="s">
        <v>515</v>
      </c>
      <c r="E220" s="23"/>
      <c r="F220" s="23"/>
      <c r="G220" s="23"/>
      <c r="H220" s="23"/>
      <c r="I220" s="23"/>
      <c r="J220" s="23"/>
      <c r="K220" s="23"/>
      <c r="L220" s="23"/>
      <c r="M220" s="23"/>
      <c r="N220" s="23"/>
      <c r="O220" s="23"/>
      <c r="P220" s="23"/>
      <c r="Q220" s="23"/>
      <c r="R220" s="23"/>
      <c r="S220" s="23"/>
      <c r="T220" s="23"/>
      <c r="U220" s="23"/>
      <c r="V220" s="23"/>
      <c r="W220" s="23"/>
      <c r="X220" s="24"/>
      <c r="Y220" s="120" t="s">
        <v>516</v>
      </c>
      <c r="Z220" s="121"/>
      <c r="AA220" s="121"/>
      <c r="AB220" s="121"/>
      <c r="AC220" s="121"/>
      <c r="AD220" s="121"/>
      <c r="AE220" s="121"/>
      <c r="AF220" s="121"/>
      <c r="AG220" s="122"/>
    </row>
    <row r="221" spans="4:37" ht="15" customHeight="1">
      <c r="D221" s="69" t="s">
        <v>408</v>
      </c>
      <c r="E221" s="23"/>
      <c r="F221" s="24"/>
      <c r="G221" s="69" t="s">
        <v>300</v>
      </c>
      <c r="H221" s="23"/>
      <c r="I221" s="23"/>
      <c r="J221" s="23"/>
      <c r="K221" s="23"/>
      <c r="L221" s="23"/>
      <c r="M221" s="69" t="s">
        <v>302</v>
      </c>
      <c r="N221" s="23"/>
      <c r="O221" s="24"/>
      <c r="P221" s="69" t="s">
        <v>574</v>
      </c>
      <c r="Q221" s="23"/>
      <c r="R221" s="23"/>
      <c r="S221" s="24"/>
      <c r="T221" s="69" t="s">
        <v>517</v>
      </c>
      <c r="U221" s="24"/>
      <c r="V221" s="69" t="s">
        <v>545</v>
      </c>
      <c r="W221" s="23"/>
      <c r="X221" s="24"/>
      <c r="Y221" s="136"/>
      <c r="Z221" s="137"/>
      <c r="AA221" s="137"/>
      <c r="AB221" s="137"/>
      <c r="AC221" s="137"/>
      <c r="AD221" s="137"/>
      <c r="AE221" s="137"/>
      <c r="AF221" s="137"/>
      <c r="AG221" s="138"/>
    </row>
    <row r="222" spans="4:37" ht="15" customHeight="1">
      <c r="D222" s="83" t="s">
        <v>534</v>
      </c>
      <c r="E222" s="11"/>
      <c r="F222" s="12"/>
      <c r="G222" s="74" t="s">
        <v>535</v>
      </c>
      <c r="H222" s="11"/>
      <c r="I222" s="11"/>
      <c r="J222" s="12"/>
      <c r="K222" s="11"/>
      <c r="L222" s="11"/>
      <c r="M222" s="74" t="s">
        <v>536</v>
      </c>
      <c r="N222" s="11"/>
      <c r="O222" s="12"/>
      <c r="P222" s="83" t="s">
        <v>575</v>
      </c>
      <c r="Q222" s="11"/>
      <c r="R222" s="11"/>
      <c r="S222" s="12"/>
      <c r="T222" s="74" t="s">
        <v>94</v>
      </c>
      <c r="U222" s="12"/>
      <c r="V222" s="74" t="s">
        <v>536</v>
      </c>
      <c r="W222" s="11"/>
      <c r="X222" s="12"/>
      <c r="Y222" s="306" t="s">
        <v>576</v>
      </c>
      <c r="Z222" s="211"/>
      <c r="AA222" s="211"/>
      <c r="AB222" s="211"/>
      <c r="AC222" s="211"/>
      <c r="AD222" s="211"/>
      <c r="AE222" s="211"/>
      <c r="AF222" s="211"/>
      <c r="AG222" s="212"/>
    </row>
    <row r="223" spans="4:37" ht="15" customHeight="1">
      <c r="D223" s="83" t="s">
        <v>537</v>
      </c>
      <c r="E223" s="11"/>
      <c r="F223" s="12"/>
      <c r="G223" s="74" t="s">
        <v>538</v>
      </c>
      <c r="H223" s="11"/>
      <c r="I223" s="11"/>
      <c r="J223" s="12"/>
      <c r="K223" s="11"/>
      <c r="L223" s="11"/>
      <c r="M223" s="124" t="s">
        <v>539</v>
      </c>
      <c r="N223" s="11"/>
      <c r="O223" s="12"/>
      <c r="P223" s="125" t="s">
        <v>584</v>
      </c>
      <c r="Q223" s="11"/>
      <c r="R223" s="11"/>
      <c r="S223" s="12"/>
      <c r="T223" s="74" t="s">
        <v>96</v>
      </c>
      <c r="U223" s="12"/>
      <c r="V223" s="125" t="s">
        <v>585</v>
      </c>
      <c r="W223" s="11"/>
      <c r="X223" s="12"/>
      <c r="Y223" s="216"/>
      <c r="Z223" s="213"/>
      <c r="AA223" s="213"/>
      <c r="AB223" s="213"/>
      <c r="AC223" s="213"/>
      <c r="AD223" s="213"/>
      <c r="AE223" s="213"/>
      <c r="AF223" s="213"/>
      <c r="AG223" s="214"/>
    </row>
    <row r="224" spans="4:37" ht="15" customHeight="1">
      <c r="Y224" t="s">
        <v>578</v>
      </c>
    </row>
    <row r="225" spans="4:37" ht="15" customHeight="1">
      <c r="Y225" t="s">
        <v>586</v>
      </c>
    </row>
    <row r="226" spans="4:37" ht="15" customHeight="1">
      <c r="Y226" t="s">
        <v>580</v>
      </c>
    </row>
    <row r="227" spans="4:37" ht="15" customHeight="1">
      <c r="Y227" t="s">
        <v>581</v>
      </c>
    </row>
    <row r="228" spans="4:37" ht="15" customHeight="1">
      <c r="Y228" t="s">
        <v>587</v>
      </c>
    </row>
    <row r="230" spans="4:37" ht="15" customHeight="1">
      <c r="D230" t="s">
        <v>588</v>
      </c>
    </row>
    <row r="232" spans="4:37" ht="15" customHeight="1">
      <c r="D232" t="s">
        <v>299</v>
      </c>
    </row>
    <row r="233" spans="4:37" ht="15" customHeight="1">
      <c r="D233" s="69" t="s">
        <v>408</v>
      </c>
      <c r="E233" s="23"/>
      <c r="F233" s="24"/>
      <c r="G233" s="69" t="s">
        <v>300</v>
      </c>
      <c r="H233" s="23"/>
      <c r="I233" s="23"/>
      <c r="J233" s="23"/>
      <c r="K233" s="23"/>
      <c r="L233" s="24"/>
      <c r="M233" s="69" t="s">
        <v>301</v>
      </c>
      <c r="N233" s="23"/>
      <c r="O233" s="23"/>
      <c r="P233" s="23"/>
      <c r="Q233" s="23"/>
      <c r="R233" s="24"/>
      <c r="S233" s="69" t="s">
        <v>302</v>
      </c>
      <c r="T233" s="23"/>
      <c r="U233" s="24"/>
    </row>
    <row r="234" spans="4:37" ht="15" customHeight="1">
      <c r="D234" s="25" t="s">
        <v>534</v>
      </c>
      <c r="E234" s="26"/>
      <c r="F234" s="27"/>
      <c r="G234" s="134" t="s">
        <v>535</v>
      </c>
      <c r="H234" s="26"/>
      <c r="I234" s="26"/>
      <c r="J234" s="27"/>
      <c r="K234" s="26"/>
      <c r="L234" s="26"/>
      <c r="M234" s="134" t="s">
        <v>535</v>
      </c>
      <c r="N234" s="26"/>
      <c r="O234" s="26"/>
      <c r="P234" s="27"/>
      <c r="Q234" s="26"/>
      <c r="R234" s="26"/>
      <c r="S234" s="134" t="s">
        <v>536</v>
      </c>
      <c r="T234" s="26"/>
      <c r="U234" s="27"/>
    </row>
    <row r="235" spans="4:37" ht="15" customHeight="1">
      <c r="D235" s="25" t="s">
        <v>537</v>
      </c>
      <c r="E235" s="26"/>
      <c r="F235" s="27"/>
      <c r="G235" s="134" t="s">
        <v>538</v>
      </c>
      <c r="H235" s="26"/>
      <c r="I235" s="26"/>
      <c r="J235" s="27"/>
      <c r="K235" s="26"/>
      <c r="L235" s="26"/>
      <c r="M235" s="134" t="s">
        <v>538</v>
      </c>
      <c r="N235" s="26"/>
      <c r="O235" s="26"/>
      <c r="P235" s="27"/>
      <c r="Q235" s="26"/>
      <c r="R235" s="26"/>
      <c r="S235" s="134" t="s">
        <v>539</v>
      </c>
      <c r="T235" s="26"/>
      <c r="U235" s="27"/>
    </row>
    <row r="237" spans="4:37" ht="15" customHeight="1">
      <c r="D237" t="s">
        <v>462</v>
      </c>
      <c r="AA237" t="s">
        <v>490</v>
      </c>
    </row>
    <row r="238" spans="4:37" ht="15" customHeight="1">
      <c r="D238" s="69" t="s">
        <v>491</v>
      </c>
      <c r="E238" s="23"/>
      <c r="F238" s="23"/>
      <c r="G238" s="23"/>
      <c r="H238" s="23"/>
      <c r="I238" s="69" t="s">
        <v>492</v>
      </c>
      <c r="J238" s="23"/>
      <c r="K238" s="23"/>
      <c r="L238" s="69" t="s">
        <v>493</v>
      </c>
      <c r="M238" s="23"/>
      <c r="N238" s="23"/>
      <c r="O238" s="24"/>
      <c r="P238" s="69" t="s">
        <v>494</v>
      </c>
      <c r="Q238" s="23"/>
      <c r="R238" s="24"/>
      <c r="S238" s="69" t="s">
        <v>495</v>
      </c>
      <c r="T238" s="23"/>
      <c r="U238" s="23"/>
      <c r="V238" s="24"/>
      <c r="AA238" s="69" t="s">
        <v>491</v>
      </c>
      <c r="AB238" s="23"/>
      <c r="AC238" s="23"/>
      <c r="AD238" s="23"/>
      <c r="AE238" s="23"/>
      <c r="AF238" s="69" t="s">
        <v>300</v>
      </c>
      <c r="AG238" s="23"/>
      <c r="AH238" s="23"/>
      <c r="AI238" s="23"/>
      <c r="AJ238" s="23"/>
      <c r="AK238" s="24"/>
    </row>
    <row r="239" spans="4:37" ht="15" customHeight="1">
      <c r="D239" s="134" t="s">
        <v>97</v>
      </c>
      <c r="E239" s="26"/>
      <c r="F239" s="26"/>
      <c r="G239" s="26"/>
      <c r="H239" s="26"/>
      <c r="I239" s="134" t="s">
        <v>97</v>
      </c>
      <c r="J239" s="135"/>
      <c r="K239" s="135"/>
      <c r="L239" s="134" t="s">
        <v>540</v>
      </c>
      <c r="M239" s="26"/>
      <c r="N239" s="26"/>
      <c r="O239" s="27"/>
      <c r="P239" s="25" t="s">
        <v>499</v>
      </c>
      <c r="Q239" s="26"/>
      <c r="R239" s="27"/>
      <c r="S239" s="134" t="s">
        <v>541</v>
      </c>
      <c r="T239" s="26"/>
      <c r="U239" s="26"/>
      <c r="V239" s="27"/>
      <c r="AA239" s="74" t="s">
        <v>97</v>
      </c>
      <c r="AB239" s="11"/>
      <c r="AC239" s="11"/>
      <c r="AD239" s="11"/>
      <c r="AE239" s="11"/>
      <c r="AF239" s="134" t="s">
        <v>535</v>
      </c>
      <c r="AG239" s="26"/>
      <c r="AH239" s="26"/>
      <c r="AI239" s="27"/>
      <c r="AJ239" s="26"/>
      <c r="AK239" s="27" t="s">
        <v>542</v>
      </c>
    </row>
    <row r="240" spans="4:37" ht="15" customHeight="1">
      <c r="D240" s="139"/>
      <c r="E240" s="5"/>
      <c r="F240" s="5"/>
      <c r="G240" s="5"/>
      <c r="H240" s="5"/>
      <c r="I240" s="5"/>
      <c r="J240" s="139"/>
      <c r="K240" s="139"/>
      <c r="L240" s="139"/>
      <c r="M240" s="5"/>
      <c r="N240" s="5"/>
      <c r="O240" s="139"/>
      <c r="P240" s="5"/>
      <c r="Q240" s="5"/>
      <c r="R240" s="5"/>
      <c r="S240" s="139"/>
      <c r="T240" s="5"/>
      <c r="U240" s="5"/>
      <c r="V240" s="139"/>
      <c r="AA240" s="74" t="s">
        <v>97</v>
      </c>
      <c r="AB240" s="11"/>
      <c r="AC240" s="11"/>
      <c r="AD240" s="11"/>
      <c r="AE240" s="11"/>
      <c r="AF240" s="134" t="s">
        <v>538</v>
      </c>
      <c r="AG240" s="26"/>
      <c r="AH240" s="26"/>
      <c r="AI240" s="27"/>
      <c r="AJ240" s="26"/>
      <c r="AK240" s="27" t="s">
        <v>543</v>
      </c>
    </row>
    <row r="243" spans="4:33" ht="15" customHeight="1">
      <c r="D243" s="69" t="s">
        <v>515</v>
      </c>
      <c r="E243" s="23"/>
      <c r="F243" s="23"/>
      <c r="G243" s="23"/>
      <c r="H243" s="23"/>
      <c r="I243" s="23"/>
      <c r="J243" s="23"/>
      <c r="K243" s="23"/>
      <c r="L243" s="23"/>
      <c r="M243" s="23"/>
      <c r="N243" s="23"/>
      <c r="O243" s="23"/>
      <c r="P243" s="23"/>
      <c r="Q243" s="23"/>
      <c r="R243" s="23"/>
      <c r="S243" s="23"/>
      <c r="T243" s="23"/>
      <c r="U243" s="23"/>
      <c r="V243" s="23"/>
      <c r="W243" s="23"/>
      <c r="X243" s="24"/>
      <c r="Y243" s="120" t="s">
        <v>516</v>
      </c>
      <c r="Z243" s="121"/>
      <c r="AA243" s="121"/>
      <c r="AB243" s="121"/>
      <c r="AC243" s="121"/>
      <c r="AD243" s="121"/>
      <c r="AE243" s="121"/>
      <c r="AF243" s="121"/>
      <c r="AG243" s="122"/>
    </row>
    <row r="244" spans="4:33" ht="15" customHeight="1">
      <c r="D244" s="69" t="s">
        <v>408</v>
      </c>
      <c r="E244" s="23"/>
      <c r="F244" s="24"/>
      <c r="G244" s="69" t="s">
        <v>300</v>
      </c>
      <c r="H244" s="23"/>
      <c r="I244" s="23"/>
      <c r="J244" s="23"/>
      <c r="K244" s="23"/>
      <c r="L244" s="23"/>
      <c r="M244" s="69" t="s">
        <v>302</v>
      </c>
      <c r="N244" s="23"/>
      <c r="O244" s="24"/>
      <c r="P244" s="69" t="s">
        <v>589</v>
      </c>
      <c r="Q244" s="23"/>
      <c r="R244" s="23"/>
      <c r="S244" s="24"/>
      <c r="T244" s="69" t="s">
        <v>517</v>
      </c>
      <c r="U244" s="24"/>
      <c r="V244" s="69" t="s">
        <v>545</v>
      </c>
      <c r="W244" s="23"/>
      <c r="X244" s="24"/>
      <c r="Y244" s="136"/>
      <c r="Z244" s="137"/>
      <c r="AA244" s="137"/>
      <c r="AB244" s="137"/>
      <c r="AC244" s="137"/>
      <c r="AD244" s="137"/>
      <c r="AE244" s="137"/>
      <c r="AF244" s="137"/>
      <c r="AG244" s="138"/>
    </row>
    <row r="245" spans="4:33" ht="15" customHeight="1">
      <c r="D245" s="83" t="s">
        <v>534</v>
      </c>
      <c r="E245" s="11"/>
      <c r="F245" s="12"/>
      <c r="G245" s="74" t="s">
        <v>535</v>
      </c>
      <c r="H245" s="11"/>
      <c r="I245" s="11"/>
      <c r="J245" s="12"/>
      <c r="K245" s="11"/>
      <c r="L245" s="11"/>
      <c r="M245" s="74" t="s">
        <v>536</v>
      </c>
      <c r="N245" s="11"/>
      <c r="O245" s="12"/>
      <c r="P245" s="83" t="s">
        <v>575</v>
      </c>
      <c r="Q245" s="11"/>
      <c r="R245" s="11"/>
      <c r="S245" s="12"/>
      <c r="T245" s="74" t="s">
        <v>94</v>
      </c>
      <c r="U245" s="12"/>
      <c r="V245" s="74" t="s">
        <v>536</v>
      </c>
      <c r="W245" s="11"/>
      <c r="X245" s="12"/>
      <c r="Y245" s="306" t="s">
        <v>590</v>
      </c>
      <c r="Z245" s="211"/>
      <c r="AA245" s="211"/>
      <c r="AB245" s="211"/>
      <c r="AC245" s="211"/>
      <c r="AD245" s="211"/>
      <c r="AE245" s="211"/>
      <c r="AF245" s="211"/>
      <c r="AG245" s="212"/>
    </row>
    <row r="246" spans="4:33" ht="15" customHeight="1">
      <c r="D246" s="83" t="s">
        <v>537</v>
      </c>
      <c r="E246" s="11"/>
      <c r="F246" s="12"/>
      <c r="G246" s="74" t="s">
        <v>538</v>
      </c>
      <c r="H246" s="11"/>
      <c r="I246" s="11"/>
      <c r="J246" s="12"/>
      <c r="K246" s="11"/>
      <c r="L246" s="11"/>
      <c r="M246" s="124" t="s">
        <v>539</v>
      </c>
      <c r="N246" s="11"/>
      <c r="O246" s="12"/>
      <c r="P246" s="125" t="s">
        <v>591</v>
      </c>
      <c r="Q246" s="11"/>
      <c r="R246" s="11"/>
      <c r="S246" s="12"/>
      <c r="T246" s="74" t="s">
        <v>96</v>
      </c>
      <c r="U246" s="12"/>
      <c r="V246" s="125" t="s">
        <v>577</v>
      </c>
      <c r="W246" s="11"/>
      <c r="X246" s="12"/>
      <c r="Y246" s="216"/>
      <c r="Z246" s="213"/>
      <c r="AA246" s="213"/>
      <c r="AB246" s="213"/>
      <c r="AC246" s="213"/>
      <c r="AD246" s="213"/>
      <c r="AE246" s="213"/>
      <c r="AF246" s="213"/>
      <c r="AG246" s="214"/>
    </row>
    <row r="247" spans="4:33" ht="15" customHeight="1">
      <c r="Y247" t="s">
        <v>578</v>
      </c>
    </row>
    <row r="248" spans="4:33" ht="15" customHeight="1">
      <c r="Y248" t="s">
        <v>592</v>
      </c>
    </row>
    <row r="249" spans="4:33" ht="15" customHeight="1">
      <c r="Y249" t="s">
        <v>580</v>
      </c>
    </row>
    <row r="250" spans="4:33" ht="15" customHeight="1">
      <c r="Y250" t="s">
        <v>581</v>
      </c>
    </row>
    <row r="251" spans="4:33" ht="15" customHeight="1">
      <c r="Y251" t="s">
        <v>582</v>
      </c>
    </row>
    <row r="253" spans="4:33" ht="15" customHeight="1">
      <c r="D253" t="s">
        <v>593</v>
      </c>
    </row>
    <row r="254" spans="4:33" ht="15" customHeight="1">
      <c r="D254" t="s">
        <v>299</v>
      </c>
    </row>
    <row r="255" spans="4:33" ht="15" customHeight="1">
      <c r="D255" s="69" t="s">
        <v>408</v>
      </c>
      <c r="E255" s="23"/>
      <c r="F255" s="24"/>
      <c r="G255" s="69" t="s">
        <v>300</v>
      </c>
      <c r="H255" s="23"/>
      <c r="I255" s="23"/>
      <c r="J255" s="23"/>
      <c r="K255" s="23"/>
      <c r="L255" s="24"/>
      <c r="M255" s="69" t="s">
        <v>301</v>
      </c>
      <c r="N255" s="23"/>
      <c r="O255" s="23"/>
      <c r="P255" s="23"/>
      <c r="Q255" s="23"/>
      <c r="R255" s="24"/>
      <c r="S255" s="69" t="s">
        <v>302</v>
      </c>
      <c r="T255" s="23"/>
      <c r="U255" s="24"/>
    </row>
    <row r="256" spans="4:33" ht="15" customHeight="1">
      <c r="D256" s="25" t="s">
        <v>534</v>
      </c>
      <c r="E256" s="26"/>
      <c r="F256" s="27"/>
      <c r="G256" s="134" t="s">
        <v>535</v>
      </c>
      <c r="H256" s="26"/>
      <c r="I256" s="26"/>
      <c r="J256" s="27"/>
      <c r="K256" s="26"/>
      <c r="L256" s="26"/>
      <c r="M256" s="134" t="s">
        <v>535</v>
      </c>
      <c r="N256" s="26"/>
      <c r="O256" s="26"/>
      <c r="P256" s="27"/>
      <c r="Q256" s="26"/>
      <c r="R256" s="26"/>
      <c r="S256" s="134" t="s">
        <v>536</v>
      </c>
      <c r="T256" s="26"/>
      <c r="U256" s="27"/>
    </row>
    <row r="257" spans="4:37" ht="15" customHeight="1">
      <c r="D257" s="25" t="s">
        <v>537</v>
      </c>
      <c r="E257" s="26"/>
      <c r="F257" s="27"/>
      <c r="G257" s="134" t="s">
        <v>538</v>
      </c>
      <c r="H257" s="26"/>
      <c r="I257" s="26"/>
      <c r="J257" s="27"/>
      <c r="K257" s="26"/>
      <c r="L257" s="26"/>
      <c r="M257" s="134" t="s">
        <v>538</v>
      </c>
      <c r="N257" s="26"/>
      <c r="O257" s="26"/>
      <c r="P257" s="27"/>
      <c r="Q257" s="26"/>
      <c r="R257" s="26"/>
      <c r="S257" s="134" t="s">
        <v>539</v>
      </c>
      <c r="T257" s="26"/>
      <c r="U257" s="27"/>
    </row>
    <row r="259" spans="4:37" ht="15" customHeight="1">
      <c r="D259" t="s">
        <v>462</v>
      </c>
      <c r="AA259" t="s">
        <v>490</v>
      </c>
    </row>
    <row r="260" spans="4:37" ht="15" customHeight="1">
      <c r="D260" s="69" t="s">
        <v>491</v>
      </c>
      <c r="E260" s="23"/>
      <c r="F260" s="23"/>
      <c r="G260" s="23"/>
      <c r="H260" s="23"/>
      <c r="I260" s="69" t="s">
        <v>492</v>
      </c>
      <c r="J260" s="23"/>
      <c r="K260" s="23"/>
      <c r="L260" s="69" t="s">
        <v>493</v>
      </c>
      <c r="M260" s="23"/>
      <c r="N260" s="23"/>
      <c r="O260" s="24"/>
      <c r="P260" s="69" t="s">
        <v>494</v>
      </c>
      <c r="Q260" s="23"/>
      <c r="R260" s="24"/>
      <c r="S260" s="69" t="s">
        <v>495</v>
      </c>
      <c r="T260" s="23"/>
      <c r="U260" s="23"/>
      <c r="V260" s="24"/>
      <c r="AA260" s="69" t="s">
        <v>491</v>
      </c>
      <c r="AB260" s="23"/>
      <c r="AC260" s="23"/>
      <c r="AD260" s="23"/>
      <c r="AE260" s="23"/>
      <c r="AF260" s="69" t="s">
        <v>300</v>
      </c>
      <c r="AG260" s="23"/>
      <c r="AH260" s="23"/>
      <c r="AI260" s="23"/>
      <c r="AJ260" s="23"/>
      <c r="AK260" s="24"/>
    </row>
    <row r="261" spans="4:37" ht="15" customHeight="1">
      <c r="D261" s="134" t="s">
        <v>97</v>
      </c>
      <c r="E261" s="26"/>
      <c r="F261" s="26"/>
      <c r="G261" s="26"/>
      <c r="H261" s="26"/>
      <c r="I261" s="134" t="s">
        <v>97</v>
      </c>
      <c r="J261" s="135"/>
      <c r="K261" s="135"/>
      <c r="L261" s="134" t="s">
        <v>540</v>
      </c>
      <c r="M261" s="26"/>
      <c r="N261" s="26"/>
      <c r="O261" s="27"/>
      <c r="P261" s="25" t="s">
        <v>499</v>
      </c>
      <c r="Q261" s="26"/>
      <c r="R261" s="27"/>
      <c r="S261" s="134" t="s">
        <v>541</v>
      </c>
      <c r="T261" s="26"/>
      <c r="U261" s="26"/>
      <c r="V261" s="27"/>
      <c r="AA261" s="74" t="s">
        <v>97</v>
      </c>
      <c r="AB261" s="11"/>
      <c r="AC261" s="11"/>
      <c r="AD261" s="11"/>
      <c r="AE261" s="11"/>
      <c r="AF261" s="134" t="s">
        <v>535</v>
      </c>
      <c r="AG261" s="26"/>
      <c r="AH261" s="26"/>
      <c r="AI261" s="27"/>
      <c r="AJ261" s="26"/>
      <c r="AK261" s="27" t="s">
        <v>542</v>
      </c>
    </row>
    <row r="262" spans="4:37" ht="15" customHeight="1">
      <c r="D262" s="139"/>
      <c r="E262" s="5"/>
      <c r="F262" s="5"/>
      <c r="G262" s="5"/>
      <c r="H262" s="5"/>
      <c r="I262" s="5"/>
      <c r="J262" s="139"/>
      <c r="K262" s="139"/>
      <c r="L262" s="139"/>
      <c r="M262" s="5"/>
      <c r="N262" s="5"/>
      <c r="O262" s="139"/>
      <c r="P262" s="5"/>
      <c r="Q262" s="5"/>
      <c r="R262" s="5"/>
      <c r="S262" s="139"/>
      <c r="T262" s="5"/>
      <c r="U262" s="5"/>
      <c r="V262" s="139"/>
      <c r="AA262" s="74" t="s">
        <v>97</v>
      </c>
      <c r="AB262" s="11"/>
      <c r="AC262" s="11"/>
      <c r="AD262" s="11"/>
      <c r="AE262" s="11"/>
      <c r="AF262" s="134" t="s">
        <v>538</v>
      </c>
      <c r="AG262" s="26"/>
      <c r="AH262" s="26"/>
      <c r="AI262" s="27"/>
      <c r="AJ262" s="26"/>
      <c r="AK262" s="27" t="s">
        <v>543</v>
      </c>
    </row>
    <row r="265" spans="4:37" ht="15" customHeight="1">
      <c r="D265" s="69" t="s">
        <v>515</v>
      </c>
      <c r="E265" s="23"/>
      <c r="F265" s="23"/>
      <c r="G265" s="23"/>
      <c r="H265" s="23"/>
      <c r="I265" s="23"/>
      <c r="J265" s="23"/>
      <c r="K265" s="23"/>
      <c r="L265" s="23"/>
      <c r="M265" s="23"/>
      <c r="N265" s="23"/>
      <c r="O265" s="23"/>
      <c r="P265" s="23"/>
      <c r="Q265" s="23"/>
      <c r="R265" s="23"/>
      <c r="S265" s="23"/>
      <c r="T265" s="23"/>
      <c r="U265" s="23"/>
      <c r="V265" s="23"/>
      <c r="W265" s="23"/>
      <c r="X265" s="23"/>
      <c r="Y265" s="23"/>
      <c r="Z265" s="24"/>
      <c r="AA265" s="120" t="s">
        <v>516</v>
      </c>
      <c r="AB265" s="121"/>
      <c r="AC265" s="121"/>
      <c r="AD265" s="121"/>
      <c r="AE265" s="121"/>
      <c r="AF265" s="121"/>
      <c r="AG265" s="121"/>
      <c r="AH265" s="121"/>
      <c r="AI265" s="122"/>
    </row>
    <row r="266" spans="4:37" ht="15" customHeight="1">
      <c r="D266" s="69" t="s">
        <v>408</v>
      </c>
      <c r="E266" s="23"/>
      <c r="F266" s="24"/>
      <c r="G266" s="69" t="s">
        <v>300</v>
      </c>
      <c r="H266" s="23"/>
      <c r="I266" s="23"/>
      <c r="J266" s="23"/>
      <c r="K266" s="23"/>
      <c r="L266" s="23"/>
      <c r="M266" s="69" t="s">
        <v>302</v>
      </c>
      <c r="N266" s="23"/>
      <c r="O266" s="24"/>
      <c r="P266" s="69" t="s">
        <v>594</v>
      </c>
      <c r="Q266" s="23"/>
      <c r="R266" s="23"/>
      <c r="S266" s="23"/>
      <c r="T266" s="23"/>
      <c r="U266" s="24"/>
      <c r="V266" s="69" t="s">
        <v>517</v>
      </c>
      <c r="W266" s="24"/>
      <c r="X266" s="69" t="s">
        <v>545</v>
      </c>
      <c r="Y266" s="23"/>
      <c r="Z266" s="24"/>
      <c r="AA266" s="136"/>
      <c r="AB266" s="137"/>
      <c r="AC266" s="137"/>
      <c r="AD266" s="137"/>
      <c r="AE266" s="137"/>
      <c r="AF266" s="137"/>
      <c r="AG266" s="137"/>
      <c r="AH266" s="137"/>
      <c r="AI266" s="138"/>
    </row>
    <row r="267" spans="4:37" ht="15" customHeight="1">
      <c r="D267" s="83" t="s">
        <v>534</v>
      </c>
      <c r="E267" s="11"/>
      <c r="F267" s="12"/>
      <c r="G267" s="74" t="s">
        <v>535</v>
      </c>
      <c r="H267" s="11"/>
      <c r="I267" s="11"/>
      <c r="J267" s="12"/>
      <c r="K267" s="11"/>
      <c r="L267" s="11"/>
      <c r="M267" s="74" t="s">
        <v>536</v>
      </c>
      <c r="N267" s="11"/>
      <c r="O267" s="12"/>
      <c r="P267" s="83" t="s">
        <v>575</v>
      </c>
      <c r="Q267" s="11"/>
      <c r="R267" s="11"/>
      <c r="S267" s="11"/>
      <c r="T267" s="11"/>
      <c r="U267" s="12"/>
      <c r="V267" s="74" t="s">
        <v>94</v>
      </c>
      <c r="W267" s="12"/>
      <c r="X267" s="74" t="s">
        <v>536</v>
      </c>
      <c r="Y267" s="11"/>
      <c r="Z267" s="12"/>
      <c r="AA267" s="306" t="s">
        <v>576</v>
      </c>
      <c r="AB267" s="307"/>
      <c r="AC267" s="307"/>
      <c r="AD267" s="307"/>
      <c r="AE267" s="307"/>
      <c r="AF267" s="307"/>
      <c r="AG267" s="307"/>
      <c r="AH267" s="307"/>
      <c r="AI267" s="308"/>
    </row>
    <row r="268" spans="4:37" ht="15" customHeight="1">
      <c r="D268" s="83" t="s">
        <v>537</v>
      </c>
      <c r="E268" s="11"/>
      <c r="F268" s="12"/>
      <c r="G268" s="74" t="s">
        <v>538</v>
      </c>
      <c r="H268" s="11"/>
      <c r="I268" s="11"/>
      <c r="J268" s="12"/>
      <c r="K268" s="11"/>
      <c r="L268" s="11"/>
      <c r="M268" s="124" t="s">
        <v>539</v>
      </c>
      <c r="N268" s="11"/>
      <c r="O268" s="12"/>
      <c r="P268" s="125" t="s">
        <v>496</v>
      </c>
      <c r="Q268" s="11"/>
      <c r="R268" s="11"/>
      <c r="S268" s="11"/>
      <c r="T268" s="11"/>
      <c r="U268" s="12"/>
      <c r="V268" s="74" t="s">
        <v>96</v>
      </c>
      <c r="W268" s="12"/>
      <c r="X268" s="125" t="s">
        <v>577</v>
      </c>
      <c r="Y268" s="11"/>
      <c r="Z268" s="12"/>
      <c r="AA268" s="309"/>
      <c r="AB268" s="310"/>
      <c r="AC268" s="310"/>
      <c r="AD268" s="310"/>
      <c r="AE268" s="310"/>
      <c r="AF268" s="310"/>
      <c r="AG268" s="310"/>
      <c r="AH268" s="310"/>
      <c r="AI268" s="311"/>
    </row>
    <row r="269" spans="4:37" ht="15" customHeight="1">
      <c r="AA269" t="s">
        <v>578</v>
      </c>
    </row>
    <row r="270" spans="4:37" ht="15" customHeight="1">
      <c r="AA270" t="s">
        <v>595</v>
      </c>
    </row>
    <row r="271" spans="4:37" ht="15" customHeight="1">
      <c r="AA271" t="s">
        <v>580</v>
      </c>
    </row>
    <row r="272" spans="4:37" ht="15" customHeight="1">
      <c r="AA272" t="s">
        <v>581</v>
      </c>
    </row>
    <row r="273" spans="4:37" ht="15" customHeight="1">
      <c r="AA273" t="s">
        <v>582</v>
      </c>
    </row>
    <row r="276" spans="4:37" ht="15" customHeight="1">
      <c r="D276" t="s">
        <v>596</v>
      </c>
    </row>
    <row r="277" spans="4:37" ht="15" customHeight="1">
      <c r="D277" t="s">
        <v>299</v>
      </c>
    </row>
    <row r="278" spans="4:37" ht="15" customHeight="1">
      <c r="D278" s="69" t="s">
        <v>408</v>
      </c>
      <c r="E278" s="23"/>
      <c r="F278" s="24"/>
      <c r="G278" s="69" t="s">
        <v>300</v>
      </c>
      <c r="H278" s="23"/>
      <c r="I278" s="23"/>
      <c r="J278" s="23"/>
      <c r="K278" s="23"/>
      <c r="L278" s="24"/>
      <c r="M278" s="69" t="s">
        <v>301</v>
      </c>
      <c r="N278" s="23"/>
      <c r="O278" s="23"/>
      <c r="P278" s="23"/>
      <c r="Q278" s="23"/>
      <c r="R278" s="24"/>
      <c r="S278" s="69" t="s">
        <v>302</v>
      </c>
      <c r="T278" s="23"/>
      <c r="U278" s="24"/>
    </row>
    <row r="279" spans="4:37" ht="15" customHeight="1">
      <c r="D279" s="25" t="s">
        <v>534</v>
      </c>
      <c r="E279" s="26"/>
      <c r="F279" s="27"/>
      <c r="G279" s="134" t="s">
        <v>535</v>
      </c>
      <c r="H279" s="26"/>
      <c r="I279" s="26"/>
      <c r="J279" s="27"/>
      <c r="K279" s="26"/>
      <c r="L279" s="26"/>
      <c r="M279" s="134" t="s">
        <v>535</v>
      </c>
      <c r="N279" s="26"/>
      <c r="O279" s="26"/>
      <c r="P279" s="27"/>
      <c r="Q279" s="26"/>
      <c r="R279" s="26"/>
      <c r="S279" s="134" t="s">
        <v>536</v>
      </c>
      <c r="T279" s="26"/>
      <c r="U279" s="27"/>
    </row>
    <row r="280" spans="4:37" ht="15" customHeight="1">
      <c r="D280" s="25" t="s">
        <v>537</v>
      </c>
      <c r="E280" s="26"/>
      <c r="F280" s="27"/>
      <c r="G280" s="134" t="s">
        <v>538</v>
      </c>
      <c r="H280" s="26"/>
      <c r="I280" s="26"/>
      <c r="J280" s="27"/>
      <c r="K280" s="26"/>
      <c r="L280" s="26"/>
      <c r="M280" s="134" t="s">
        <v>538</v>
      </c>
      <c r="N280" s="26"/>
      <c r="O280" s="26"/>
      <c r="P280" s="27"/>
      <c r="Q280" s="26"/>
      <c r="R280" s="26"/>
      <c r="S280" s="134" t="s">
        <v>539</v>
      </c>
      <c r="T280" s="26"/>
      <c r="U280" s="27"/>
    </row>
    <row r="282" spans="4:37" ht="15" customHeight="1">
      <c r="D282" t="s">
        <v>462</v>
      </c>
      <c r="AA282" t="s">
        <v>490</v>
      </c>
    </row>
    <row r="283" spans="4:37" ht="15" customHeight="1">
      <c r="D283" s="69" t="s">
        <v>491</v>
      </c>
      <c r="E283" s="23"/>
      <c r="F283" s="23"/>
      <c r="G283" s="23"/>
      <c r="H283" s="23"/>
      <c r="I283" s="69" t="s">
        <v>492</v>
      </c>
      <c r="J283" s="23"/>
      <c r="K283" s="23"/>
      <c r="L283" s="69" t="s">
        <v>493</v>
      </c>
      <c r="M283" s="23"/>
      <c r="N283" s="23"/>
      <c r="O283" s="24"/>
      <c r="P283" s="69" t="s">
        <v>494</v>
      </c>
      <c r="Q283" s="23"/>
      <c r="R283" s="24"/>
      <c r="S283" s="69" t="s">
        <v>495</v>
      </c>
      <c r="T283" s="23"/>
      <c r="U283" s="23"/>
      <c r="V283" s="24"/>
      <c r="AA283" s="69" t="s">
        <v>491</v>
      </c>
      <c r="AB283" s="23"/>
      <c r="AC283" s="23"/>
      <c r="AD283" s="23"/>
      <c r="AE283" s="23"/>
      <c r="AF283" s="69" t="s">
        <v>300</v>
      </c>
      <c r="AG283" s="23"/>
      <c r="AH283" s="23"/>
      <c r="AI283" s="23"/>
      <c r="AJ283" s="23"/>
      <c r="AK283" s="24"/>
    </row>
    <row r="284" spans="4:37" ht="15" customHeight="1">
      <c r="D284" s="134" t="s">
        <v>97</v>
      </c>
      <c r="E284" s="26"/>
      <c r="F284" s="26"/>
      <c r="G284" s="26"/>
      <c r="H284" s="26"/>
      <c r="I284" s="134" t="s">
        <v>97</v>
      </c>
      <c r="J284" s="135"/>
      <c r="K284" s="135"/>
      <c r="L284" s="134" t="s">
        <v>540</v>
      </c>
      <c r="M284" s="26"/>
      <c r="N284" s="26"/>
      <c r="O284" s="27"/>
      <c r="P284" s="25" t="s">
        <v>499</v>
      </c>
      <c r="Q284" s="26"/>
      <c r="R284" s="27"/>
      <c r="S284" s="134" t="s">
        <v>541</v>
      </c>
      <c r="T284" s="26"/>
      <c r="U284" s="26"/>
      <c r="V284" s="27"/>
      <c r="AA284" s="74" t="s">
        <v>97</v>
      </c>
      <c r="AB284" s="11"/>
      <c r="AC284" s="11"/>
      <c r="AD284" s="11"/>
      <c r="AE284" s="11"/>
      <c r="AF284" s="134" t="s">
        <v>535</v>
      </c>
      <c r="AG284" s="26"/>
      <c r="AH284" s="26"/>
      <c r="AI284" s="27"/>
      <c r="AJ284" s="26"/>
      <c r="AK284" s="27" t="s">
        <v>542</v>
      </c>
    </row>
    <row r="285" spans="4:37" ht="15" customHeight="1">
      <c r="D285" s="139"/>
      <c r="E285" s="5"/>
      <c r="F285" s="5"/>
      <c r="G285" s="5"/>
      <c r="H285" s="5"/>
      <c r="I285" s="5"/>
      <c r="J285" s="139"/>
      <c r="K285" s="139"/>
      <c r="L285" s="139"/>
      <c r="M285" s="5"/>
      <c r="N285" s="5"/>
      <c r="O285" s="139"/>
      <c r="P285" s="5"/>
      <c r="Q285" s="5"/>
      <c r="R285" s="5"/>
      <c r="S285" s="139"/>
      <c r="T285" s="5"/>
      <c r="U285" s="5"/>
      <c r="V285" s="139"/>
      <c r="AA285" s="74" t="s">
        <v>97</v>
      </c>
      <c r="AB285" s="11"/>
      <c r="AC285" s="11"/>
      <c r="AD285" s="11"/>
      <c r="AE285" s="11"/>
      <c r="AF285" s="134" t="s">
        <v>538</v>
      </c>
      <c r="AG285" s="26"/>
      <c r="AH285" s="26"/>
      <c r="AI285" s="27"/>
      <c r="AJ285" s="26"/>
      <c r="AK285" s="27" t="s">
        <v>543</v>
      </c>
    </row>
    <row r="288" spans="4:37" ht="15" customHeight="1">
      <c r="D288" s="69" t="s">
        <v>515</v>
      </c>
      <c r="E288" s="23"/>
      <c r="F288" s="23"/>
      <c r="G288" s="23"/>
      <c r="H288" s="23"/>
      <c r="I288" s="23"/>
      <c r="J288" s="23"/>
      <c r="K288" s="23"/>
      <c r="L288" s="23"/>
      <c r="M288" s="23"/>
      <c r="N288" s="23"/>
      <c r="O288" s="23"/>
      <c r="P288" s="23"/>
      <c r="Q288" s="23"/>
      <c r="R288" s="23"/>
      <c r="S288" s="23"/>
      <c r="T288" s="23"/>
      <c r="U288" s="23"/>
      <c r="V288" s="23"/>
      <c r="W288" s="23"/>
      <c r="X288" s="23"/>
      <c r="Y288" s="23"/>
      <c r="Z288" s="24"/>
      <c r="AA288" s="120" t="s">
        <v>516</v>
      </c>
      <c r="AB288" s="121"/>
      <c r="AC288" s="121"/>
      <c r="AD288" s="121"/>
      <c r="AE288" s="121"/>
      <c r="AF288" s="121"/>
      <c r="AG288" s="121"/>
      <c r="AH288" s="121"/>
      <c r="AI288" s="122"/>
    </row>
    <row r="289" spans="4:35" ht="15" customHeight="1">
      <c r="D289" s="69" t="s">
        <v>408</v>
      </c>
      <c r="E289" s="23"/>
      <c r="F289" s="24"/>
      <c r="G289" s="69" t="s">
        <v>300</v>
      </c>
      <c r="H289" s="23"/>
      <c r="I289" s="23"/>
      <c r="J289" s="23"/>
      <c r="K289" s="23"/>
      <c r="L289" s="23"/>
      <c r="M289" s="69" t="s">
        <v>302</v>
      </c>
      <c r="N289" s="23"/>
      <c r="O289" s="24"/>
      <c r="P289" s="69" t="s">
        <v>594</v>
      </c>
      <c r="Q289" s="23"/>
      <c r="R289" s="23"/>
      <c r="S289" s="23"/>
      <c r="T289" s="23"/>
      <c r="U289" s="24"/>
      <c r="V289" s="69" t="s">
        <v>517</v>
      </c>
      <c r="W289" s="24"/>
      <c r="X289" s="69" t="s">
        <v>545</v>
      </c>
      <c r="Y289" s="23"/>
      <c r="Z289" s="24"/>
      <c r="AA289" s="136"/>
      <c r="AB289" s="137"/>
      <c r="AC289" s="137"/>
      <c r="AD289" s="137"/>
      <c r="AE289" s="137"/>
      <c r="AF289" s="137"/>
      <c r="AG289" s="137"/>
      <c r="AH289" s="137"/>
      <c r="AI289" s="138"/>
    </row>
    <row r="290" spans="4:35" ht="15" customHeight="1">
      <c r="D290" s="83" t="s">
        <v>534</v>
      </c>
      <c r="E290" s="11"/>
      <c r="F290" s="12"/>
      <c r="G290" s="74" t="s">
        <v>535</v>
      </c>
      <c r="H290" s="11"/>
      <c r="I290" s="11"/>
      <c r="J290" s="12"/>
      <c r="K290" s="11"/>
      <c r="L290" s="11"/>
      <c r="M290" s="74" t="s">
        <v>536</v>
      </c>
      <c r="N290" s="11"/>
      <c r="O290" s="12"/>
      <c r="P290" s="83" t="s">
        <v>575</v>
      </c>
      <c r="Q290" s="11"/>
      <c r="R290" s="11"/>
      <c r="S290" s="11"/>
      <c r="T290" s="11"/>
      <c r="U290" s="12"/>
      <c r="V290" s="74" t="s">
        <v>94</v>
      </c>
      <c r="W290" s="12"/>
      <c r="X290" s="74" t="s">
        <v>536</v>
      </c>
      <c r="Y290" s="11"/>
      <c r="Z290" s="12"/>
      <c r="AA290" s="306" t="s">
        <v>576</v>
      </c>
      <c r="AB290" s="211"/>
      <c r="AC290" s="211"/>
      <c r="AD290" s="211"/>
      <c r="AE290" s="211"/>
      <c r="AF290" s="211"/>
      <c r="AG290" s="211"/>
      <c r="AH290" s="211"/>
      <c r="AI290" s="212"/>
    </row>
    <row r="291" spans="4:35" ht="15" customHeight="1">
      <c r="D291" s="83" t="s">
        <v>537</v>
      </c>
      <c r="E291" s="11"/>
      <c r="F291" s="12"/>
      <c r="G291" s="74" t="s">
        <v>538</v>
      </c>
      <c r="H291" s="11"/>
      <c r="I291" s="11"/>
      <c r="J291" s="12"/>
      <c r="K291" s="11"/>
      <c r="L291" s="11"/>
      <c r="M291" s="124" t="s">
        <v>539</v>
      </c>
      <c r="N291" s="11"/>
      <c r="O291" s="12"/>
      <c r="P291" s="125" t="s">
        <v>584</v>
      </c>
      <c r="Q291" s="11"/>
      <c r="R291" s="11"/>
      <c r="S291" s="11"/>
      <c r="T291" s="11"/>
      <c r="U291" s="12"/>
      <c r="V291" s="74" t="s">
        <v>96</v>
      </c>
      <c r="W291" s="12"/>
      <c r="X291" s="125" t="s">
        <v>585</v>
      </c>
      <c r="Y291" s="11"/>
      <c r="Z291" s="12"/>
      <c r="AA291" s="216"/>
      <c r="AB291" s="213"/>
      <c r="AC291" s="213"/>
      <c r="AD291" s="213"/>
      <c r="AE291" s="213"/>
      <c r="AF291" s="213"/>
      <c r="AG291" s="213"/>
      <c r="AH291" s="213"/>
      <c r="AI291" s="214"/>
    </row>
    <row r="292" spans="4:35" ht="15" customHeight="1">
      <c r="AA292" t="s">
        <v>578</v>
      </c>
    </row>
    <row r="293" spans="4:35" ht="15" customHeight="1">
      <c r="AA293" t="s">
        <v>597</v>
      </c>
    </row>
    <row r="294" spans="4:35" ht="15" customHeight="1">
      <c r="AA294" t="s">
        <v>580</v>
      </c>
    </row>
    <row r="295" spans="4:35" ht="15" customHeight="1">
      <c r="AA295" t="s">
        <v>581</v>
      </c>
    </row>
    <row r="296" spans="4:35" ht="15" customHeight="1">
      <c r="AA296" t="s">
        <v>587</v>
      </c>
    </row>
  </sheetData>
  <mergeCells count="29">
    <mergeCell ref="Y222:AG223"/>
    <mergeCell ref="Y245:AG246"/>
    <mergeCell ref="AA267:AI268"/>
    <mergeCell ref="AA290:AI291"/>
    <mergeCell ref="O79:W80"/>
    <mergeCell ref="O91:W93"/>
    <mergeCell ref="O99:W101"/>
    <mergeCell ref="O102:W104"/>
    <mergeCell ref="Y199:AG20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11" orientation="landscape" r:id="rId1"/>
  <headerFooter>
    <oddHeader>&amp;R&amp;F</oddHeader>
    <oddFooter>&amp;C&amp;P / &amp;N ページ</oddFooter>
  </headerFooter>
  <rowBreaks count="1" manualBreakCount="1">
    <brk id="4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K55"/>
  <sheetViews>
    <sheetView view="pageBreakPreview" zoomScale="80" zoomScaleNormal="75" zoomScaleSheetLayoutView="80" workbookViewId="0">
      <selection sqref="A1:J1"/>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マニュアル単品</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71" t="s">
        <v>64</v>
      </c>
      <c r="BK7" s="8"/>
    </row>
    <row r="8" spans="1:63" ht="15" customHeight="1">
      <c r="A8" s="4"/>
      <c r="BK8" s="8"/>
    </row>
    <row r="9" spans="1:63" ht="15" customHeight="1">
      <c r="A9" s="4"/>
      <c r="B9" s="117" t="s">
        <v>251</v>
      </c>
      <c r="BK9" s="8"/>
    </row>
    <row r="10" spans="1:63" ht="15" customHeight="1">
      <c r="A10" s="4"/>
      <c r="B10" t="s">
        <v>104</v>
      </c>
      <c r="C10" t="s">
        <v>598</v>
      </c>
      <c r="BK10" s="8"/>
    </row>
    <row r="11" spans="1:63" ht="15" customHeight="1">
      <c r="A11" s="4"/>
      <c r="BK11" s="8"/>
    </row>
    <row r="12" spans="1:63" ht="15" customHeight="1">
      <c r="A12" s="4"/>
      <c r="B12" s="55" t="s">
        <v>253</v>
      </c>
      <c r="BK12" s="8"/>
    </row>
    <row r="13" spans="1:63" ht="15" customHeight="1">
      <c r="A13" s="4"/>
      <c r="B13" t="s">
        <v>104</v>
      </c>
      <c r="C13" t="s">
        <v>403</v>
      </c>
      <c r="BK13" s="8"/>
    </row>
    <row r="14" spans="1:63" ht="15" customHeight="1">
      <c r="A14" s="4"/>
      <c r="BK14" s="8"/>
    </row>
    <row r="15" spans="1:63" ht="15" customHeight="1">
      <c r="A15" s="4"/>
      <c r="B15" s="55" t="s">
        <v>255</v>
      </c>
      <c r="BK15" s="8"/>
    </row>
    <row r="16" spans="1:63" ht="15" customHeight="1">
      <c r="A16" s="4"/>
      <c r="B16" t="s">
        <v>104</v>
      </c>
      <c r="C16" t="s">
        <v>403</v>
      </c>
      <c r="BK16" s="8"/>
    </row>
    <row r="17" spans="1:63" ht="15" customHeight="1">
      <c r="A17" s="4"/>
      <c r="BK17" s="8"/>
    </row>
    <row r="18" spans="1:63" ht="15" customHeight="1">
      <c r="A18" s="4"/>
      <c r="B18" s="55" t="s">
        <v>258</v>
      </c>
      <c r="BK18" s="8"/>
    </row>
    <row r="19" spans="1:63" ht="15" customHeight="1">
      <c r="A19" s="4"/>
      <c r="B19" t="s">
        <v>104</v>
      </c>
      <c r="C19" t="s">
        <v>140</v>
      </c>
      <c r="BK19" s="8"/>
    </row>
    <row r="20" spans="1:63" ht="15" customHeight="1">
      <c r="A20" s="4"/>
      <c r="C20" t="s">
        <v>599</v>
      </c>
      <c r="BK20" s="8"/>
    </row>
    <row r="21" spans="1:63" ht="15" customHeight="1">
      <c r="A21" s="4"/>
      <c r="B21" t="s">
        <v>104</v>
      </c>
      <c r="C21" t="s">
        <v>143</v>
      </c>
      <c r="BK21" s="8"/>
    </row>
    <row r="22" spans="1:63" ht="15" customHeight="1">
      <c r="A22" s="4"/>
      <c r="C22" t="s">
        <v>600</v>
      </c>
      <c r="BK22" s="8"/>
    </row>
    <row r="23" spans="1:63" ht="15" customHeight="1">
      <c r="A23" s="4"/>
      <c r="BK23" s="8"/>
    </row>
    <row r="24" spans="1:63" ht="15" customHeight="1">
      <c r="A24" s="4"/>
      <c r="B24" s="55" t="s">
        <v>260</v>
      </c>
      <c r="BK24" s="8"/>
    </row>
    <row r="25" spans="1:63" ht="15" customHeight="1">
      <c r="A25" s="4"/>
      <c r="B25" t="s">
        <v>601</v>
      </c>
      <c r="BK25" s="8"/>
    </row>
    <row r="26" spans="1:63" ht="15" customHeight="1">
      <c r="A26" s="4"/>
      <c r="BK26" s="8"/>
    </row>
    <row r="27" spans="1:63" ht="15" customHeight="1">
      <c r="A27" s="4"/>
      <c r="B27" t="s">
        <v>433</v>
      </c>
      <c r="BK27" s="8"/>
    </row>
    <row r="28" spans="1:63" ht="15" customHeight="1">
      <c r="A28" s="4"/>
      <c r="B28" t="s">
        <v>602</v>
      </c>
      <c r="BK28" s="8"/>
    </row>
    <row r="29" spans="1:63" ht="15" customHeight="1">
      <c r="A29" s="4"/>
      <c r="BK29" s="8"/>
    </row>
    <row r="30" spans="1:63" ht="15" customHeight="1">
      <c r="A30" s="4"/>
      <c r="BK30" s="8"/>
    </row>
    <row r="31" spans="1:63" ht="15" customHeight="1">
      <c r="A31" s="4"/>
      <c r="B31" s="55" t="s">
        <v>266</v>
      </c>
      <c r="BK31" s="8"/>
    </row>
    <row r="32" spans="1:63" ht="15" customHeight="1">
      <c r="A32" s="4"/>
      <c r="B32" t="s">
        <v>104</v>
      </c>
      <c r="C32" t="s">
        <v>267</v>
      </c>
      <c r="BK32" s="8"/>
    </row>
    <row r="33" spans="1:63" ht="15" customHeight="1">
      <c r="A33" s="4"/>
      <c r="B33" t="s">
        <v>104</v>
      </c>
      <c r="C33" t="s">
        <v>435</v>
      </c>
      <c r="BK33" s="8"/>
    </row>
    <row r="34" spans="1:63" ht="15" customHeight="1">
      <c r="A34" s="4"/>
      <c r="B34" t="s">
        <v>104</v>
      </c>
      <c r="C34" t="s">
        <v>603</v>
      </c>
      <c r="BK34" s="8"/>
    </row>
    <row r="35" spans="1:63" ht="15" customHeight="1">
      <c r="A35" s="4"/>
      <c r="C35" t="s">
        <v>108</v>
      </c>
      <c r="D35" t="s">
        <v>604</v>
      </c>
      <c r="BK35" s="8"/>
    </row>
    <row r="36" spans="1:63" ht="15" customHeight="1">
      <c r="A36" s="4"/>
      <c r="D36" t="s">
        <v>605</v>
      </c>
      <c r="BK36" s="8"/>
    </row>
    <row r="37" spans="1:63" ht="15" customHeight="1">
      <c r="A37" s="4"/>
      <c r="C37" t="s">
        <v>108</v>
      </c>
      <c r="D37" t="s">
        <v>606</v>
      </c>
      <c r="BK37" s="8"/>
    </row>
    <row r="38" spans="1:63" ht="15" customHeight="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K55"/>
  <sheetViews>
    <sheetView view="pageBreakPreview" zoomScale="80" zoomScaleNormal="75" zoomScaleSheetLayoutView="80" workbookViewId="0">
      <selection activeCell="AH16" sqref="AH16"/>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マニュアル小計</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71" t="s">
        <v>80</v>
      </c>
      <c r="BK7" s="8"/>
    </row>
    <row r="8" spans="1:63" ht="15" customHeight="1">
      <c r="A8" s="4"/>
      <c r="BK8" s="8"/>
    </row>
    <row r="9" spans="1:63" ht="15" customHeight="1">
      <c r="A9" s="4"/>
      <c r="B9" s="117" t="s">
        <v>251</v>
      </c>
      <c r="BK9" s="8"/>
    </row>
    <row r="10" spans="1:63" ht="15" customHeight="1">
      <c r="A10" s="4"/>
      <c r="B10" t="s">
        <v>104</v>
      </c>
      <c r="C10" t="s">
        <v>607</v>
      </c>
      <c r="BK10" s="8"/>
    </row>
    <row r="11" spans="1:63" ht="15" customHeight="1">
      <c r="A11" s="4"/>
      <c r="BK11" s="8"/>
    </row>
    <row r="12" spans="1:63" ht="15" customHeight="1">
      <c r="A12" s="4"/>
      <c r="B12" s="55" t="s">
        <v>253</v>
      </c>
      <c r="BK12" s="8"/>
    </row>
    <row r="13" spans="1:63" ht="15" customHeight="1">
      <c r="A13" s="4"/>
      <c r="B13" t="s">
        <v>104</v>
      </c>
      <c r="C13" t="s">
        <v>403</v>
      </c>
      <c r="BK13" s="8"/>
    </row>
    <row r="14" spans="1:63" ht="15" customHeight="1">
      <c r="A14" s="4"/>
      <c r="BK14" s="8"/>
    </row>
    <row r="15" spans="1:63" ht="15" customHeight="1">
      <c r="A15" s="4"/>
      <c r="B15" s="55" t="s">
        <v>255</v>
      </c>
      <c r="BK15" s="8"/>
    </row>
    <row r="16" spans="1:63" ht="15" customHeight="1">
      <c r="A16" s="4"/>
      <c r="B16" t="s">
        <v>104</v>
      </c>
      <c r="C16" t="s">
        <v>608</v>
      </c>
      <c r="BK16" s="8"/>
    </row>
    <row r="17" spans="1:63" ht="15" customHeight="1">
      <c r="A17" s="4"/>
      <c r="B17" t="s">
        <v>104</v>
      </c>
      <c r="C17" t="s">
        <v>609</v>
      </c>
      <c r="BK17" s="8"/>
    </row>
    <row r="18" spans="1:63" ht="15" customHeight="1">
      <c r="A18" s="4"/>
      <c r="BK18" s="8"/>
    </row>
    <row r="19" spans="1:63" ht="15" customHeight="1">
      <c r="A19" s="4"/>
      <c r="B19" s="55" t="s">
        <v>258</v>
      </c>
      <c r="BK19" s="8"/>
    </row>
    <row r="20" spans="1:63" ht="15" customHeight="1">
      <c r="A20" s="4"/>
      <c r="B20" t="s">
        <v>104</v>
      </c>
      <c r="C20" t="s">
        <v>403</v>
      </c>
      <c r="BK20" s="8"/>
    </row>
    <row r="21" spans="1:63" ht="15" customHeight="1">
      <c r="A21" s="4"/>
      <c r="BK21" s="8"/>
    </row>
    <row r="22" spans="1:63" ht="15" customHeight="1">
      <c r="A22" s="4"/>
      <c r="B22" s="55" t="s">
        <v>260</v>
      </c>
      <c r="BK22" s="8"/>
    </row>
    <row r="23" spans="1:63" ht="15" customHeight="1">
      <c r="A23" s="4"/>
      <c r="B23" t="s">
        <v>610</v>
      </c>
      <c r="BK23" s="8"/>
    </row>
    <row r="24" spans="1:63" ht="15" customHeight="1">
      <c r="A24" s="4"/>
      <c r="BK24" s="8"/>
    </row>
    <row r="25" spans="1:63" ht="15" customHeight="1">
      <c r="A25" s="4"/>
      <c r="B25" s="55" t="s">
        <v>266</v>
      </c>
      <c r="BK25" s="8"/>
    </row>
    <row r="26" spans="1:63" ht="15" customHeight="1">
      <c r="A26" s="4"/>
      <c r="B26" t="s">
        <v>104</v>
      </c>
      <c r="C26" t="s">
        <v>267</v>
      </c>
      <c r="BK26" s="8"/>
    </row>
    <row r="27" spans="1:63" ht="15" customHeight="1">
      <c r="A27" s="4"/>
      <c r="C27" t="s">
        <v>108</v>
      </c>
      <c r="D27" t="s">
        <v>611</v>
      </c>
      <c r="BK27" s="8"/>
    </row>
    <row r="28" spans="1:63" ht="15" customHeight="1">
      <c r="A28" s="4"/>
      <c r="B28" t="s">
        <v>104</v>
      </c>
      <c r="C28" t="s">
        <v>612</v>
      </c>
      <c r="BK28" s="8"/>
    </row>
    <row r="29" spans="1:63" ht="15" customHeight="1">
      <c r="A29" s="4"/>
      <c r="BK29" s="8"/>
    </row>
    <row r="30" spans="1:63" ht="15" customHeight="1">
      <c r="A30" s="4"/>
      <c r="B30" t="s">
        <v>525</v>
      </c>
      <c r="BK30" s="8"/>
    </row>
    <row r="31" spans="1:63" ht="15" customHeight="1">
      <c r="A31" s="4"/>
      <c r="B31" t="s">
        <v>613</v>
      </c>
      <c r="BK31" s="8"/>
    </row>
    <row r="32" spans="1:63" ht="15" customHeight="1">
      <c r="A32" s="4"/>
      <c r="B32" t="s">
        <v>528</v>
      </c>
      <c r="BK32" s="8"/>
    </row>
    <row r="33" spans="1:63" ht="15" customHeight="1">
      <c r="A33" s="4"/>
      <c r="C33" t="s">
        <v>320</v>
      </c>
      <c r="D33" t="s">
        <v>614</v>
      </c>
      <c r="BK33" s="8"/>
    </row>
    <row r="34" spans="1:63" ht="15" customHeight="1">
      <c r="A34" s="4"/>
      <c r="D34" t="s">
        <v>530</v>
      </c>
      <c r="BK34" s="8"/>
    </row>
    <row r="35" spans="1:63" ht="15" customHeight="1">
      <c r="A35" s="4"/>
      <c r="C35" t="s">
        <v>322</v>
      </c>
      <c r="D35" t="s">
        <v>615</v>
      </c>
      <c r="BK35" s="8"/>
    </row>
    <row r="36" spans="1:63" ht="15" customHeight="1">
      <c r="A36" s="4"/>
      <c r="BK36" s="8"/>
    </row>
    <row r="37" spans="1:63" ht="15" customHeight="1">
      <c r="A37" s="4"/>
      <c r="C37" s="55" t="s">
        <v>616</v>
      </c>
      <c r="BK37" s="8"/>
    </row>
    <row r="38" spans="1:63" ht="15" customHeight="1">
      <c r="A38" s="4"/>
      <c r="D38" t="s">
        <v>617</v>
      </c>
      <c r="BK38" s="8"/>
    </row>
    <row r="39" spans="1:63" ht="15" customHeight="1">
      <c r="A39" s="4"/>
      <c r="D39" s="69" t="s">
        <v>515</v>
      </c>
      <c r="E39" s="23"/>
      <c r="F39" s="23"/>
      <c r="G39" s="23"/>
      <c r="H39" s="23"/>
      <c r="I39" s="23"/>
      <c r="J39" s="23"/>
      <c r="K39" s="23"/>
      <c r="L39" s="23"/>
      <c r="M39" s="23"/>
      <c r="N39" s="23"/>
      <c r="O39" s="23"/>
      <c r="P39" s="23"/>
      <c r="Q39" s="23"/>
      <c r="R39" s="24"/>
      <c r="S39" s="120" t="s">
        <v>544</v>
      </c>
      <c r="T39" s="121"/>
      <c r="U39" s="121"/>
      <c r="V39" s="121"/>
      <c r="W39" s="121"/>
      <c r="X39" s="121"/>
      <c r="Y39" s="121"/>
      <c r="Z39" s="122"/>
      <c r="BK39" s="8"/>
    </row>
    <row r="40" spans="1:63" ht="15" customHeight="1">
      <c r="A40" s="4"/>
      <c r="D40" s="69" t="s">
        <v>408</v>
      </c>
      <c r="E40" s="23"/>
      <c r="F40" s="24"/>
      <c r="G40" s="69" t="s">
        <v>618</v>
      </c>
      <c r="H40" s="23"/>
      <c r="I40" s="24"/>
      <c r="J40" s="69" t="s">
        <v>574</v>
      </c>
      <c r="K40" s="23"/>
      <c r="L40" s="23"/>
      <c r="M40" s="24"/>
      <c r="N40" s="69" t="s">
        <v>517</v>
      </c>
      <c r="O40" s="24"/>
      <c r="P40" s="69" t="s">
        <v>545</v>
      </c>
      <c r="Q40" s="23"/>
      <c r="R40" s="24"/>
      <c r="S40" s="123" t="s">
        <v>546</v>
      </c>
      <c r="T40" s="112"/>
      <c r="U40" s="112"/>
      <c r="V40" s="113"/>
      <c r="W40" s="123" t="s">
        <v>547</v>
      </c>
      <c r="X40" s="112"/>
      <c r="Y40" s="112"/>
      <c r="Z40" s="113"/>
      <c r="BK40" s="8"/>
    </row>
    <row r="41" spans="1:63" ht="15" customHeight="1">
      <c r="A41" s="4"/>
      <c r="D41" s="83" t="s">
        <v>481</v>
      </c>
      <c r="E41" s="11"/>
      <c r="F41" s="12"/>
      <c r="G41" s="74" t="s">
        <v>536</v>
      </c>
      <c r="H41" s="11"/>
      <c r="I41" s="12"/>
      <c r="J41" s="83" t="s">
        <v>575</v>
      </c>
      <c r="K41" s="11"/>
      <c r="L41" s="11"/>
      <c r="M41" s="12"/>
      <c r="N41" s="74" t="s">
        <v>94</v>
      </c>
      <c r="O41" s="12"/>
      <c r="P41" s="74" t="s">
        <v>536</v>
      </c>
      <c r="Q41" s="11"/>
      <c r="R41" s="12"/>
      <c r="S41" s="74" t="s">
        <v>619</v>
      </c>
      <c r="T41" s="11"/>
      <c r="U41" s="11"/>
      <c r="V41" s="12"/>
      <c r="W41" s="74" t="s">
        <v>314</v>
      </c>
      <c r="X41" s="11"/>
      <c r="Y41" s="11"/>
      <c r="Z41" s="12"/>
      <c r="BK41" s="8"/>
    </row>
    <row r="42" spans="1:63" ht="15" customHeight="1">
      <c r="A42" s="4"/>
      <c r="D42" s="83" t="s">
        <v>484</v>
      </c>
      <c r="E42" s="11"/>
      <c r="F42" s="12"/>
      <c r="G42" s="124" t="s">
        <v>539</v>
      </c>
      <c r="H42" s="11"/>
      <c r="I42" s="12"/>
      <c r="J42" s="125" t="s">
        <v>496</v>
      </c>
      <c r="K42" s="11"/>
      <c r="L42" s="11"/>
      <c r="M42" s="12"/>
      <c r="N42" s="74" t="s">
        <v>96</v>
      </c>
      <c r="O42" s="12"/>
      <c r="P42" s="125" t="s">
        <v>577</v>
      </c>
      <c r="Q42" s="11"/>
      <c r="R42" s="12"/>
      <c r="S42" s="74" t="s">
        <v>620</v>
      </c>
      <c r="T42" s="11"/>
      <c r="U42" s="11"/>
      <c r="V42" s="12"/>
      <c r="W42" s="74" t="s">
        <v>314</v>
      </c>
      <c r="X42" s="11"/>
      <c r="Y42" s="11"/>
      <c r="Z42" s="12"/>
      <c r="BK42" s="8"/>
    </row>
    <row r="43" spans="1:63" ht="15" customHeight="1">
      <c r="A43" s="4"/>
      <c r="BK43" s="8"/>
    </row>
    <row r="44" spans="1:63" ht="15" customHeight="1">
      <c r="A44" s="4"/>
      <c r="D44" t="s">
        <v>621</v>
      </c>
      <c r="BK44" s="8"/>
    </row>
    <row r="45" spans="1:63" ht="15" customHeight="1">
      <c r="A45" s="4"/>
      <c r="D45" s="69" t="s">
        <v>515</v>
      </c>
      <c r="E45" s="23"/>
      <c r="F45" s="23"/>
      <c r="G45" s="23"/>
      <c r="H45" s="23"/>
      <c r="I45" s="23"/>
      <c r="J45" s="23"/>
      <c r="K45" s="23"/>
      <c r="L45" s="23"/>
      <c r="M45" s="23"/>
      <c r="N45" s="23"/>
      <c r="O45" s="23"/>
      <c r="P45" s="23"/>
      <c r="Q45" s="23"/>
      <c r="R45" s="24"/>
      <c r="S45" s="120" t="s">
        <v>544</v>
      </c>
      <c r="T45" s="121"/>
      <c r="U45" s="121"/>
      <c r="V45" s="121"/>
      <c r="W45" s="121"/>
      <c r="X45" s="121"/>
      <c r="Y45" s="121"/>
      <c r="Z45" s="122"/>
      <c r="BK45" s="8"/>
    </row>
    <row r="46" spans="1:63" ht="15" customHeight="1">
      <c r="A46" s="4"/>
      <c r="D46" s="69" t="s">
        <v>408</v>
      </c>
      <c r="E46" s="23"/>
      <c r="F46" s="24"/>
      <c r="G46" s="69" t="s">
        <v>618</v>
      </c>
      <c r="H46" s="23"/>
      <c r="I46" s="24"/>
      <c r="J46" s="69" t="s">
        <v>622</v>
      </c>
      <c r="K46" s="23"/>
      <c r="L46" s="23"/>
      <c r="M46" s="24"/>
      <c r="N46" s="69" t="s">
        <v>517</v>
      </c>
      <c r="O46" s="24"/>
      <c r="P46" s="69" t="s">
        <v>545</v>
      </c>
      <c r="Q46" s="23"/>
      <c r="R46" s="24"/>
      <c r="S46" s="123" t="s">
        <v>546</v>
      </c>
      <c r="T46" s="112"/>
      <c r="U46" s="112"/>
      <c r="V46" s="113"/>
      <c r="W46" s="123" t="s">
        <v>547</v>
      </c>
      <c r="X46" s="112"/>
      <c r="Y46" s="112"/>
      <c r="Z46" s="113"/>
      <c r="BK46" s="8"/>
    </row>
    <row r="47" spans="1:63" ht="15" customHeight="1">
      <c r="A47" s="4"/>
      <c r="D47" s="83" t="s">
        <v>481</v>
      </c>
      <c r="E47" s="11"/>
      <c r="F47" s="12"/>
      <c r="G47" s="74" t="s">
        <v>536</v>
      </c>
      <c r="H47" s="11"/>
      <c r="I47" s="12"/>
      <c r="J47" s="83" t="s">
        <v>575</v>
      </c>
      <c r="K47" s="11"/>
      <c r="L47" s="11"/>
      <c r="M47" s="12"/>
      <c r="N47" s="74" t="s">
        <v>94</v>
      </c>
      <c r="O47" s="12"/>
      <c r="P47" s="74" t="s">
        <v>536</v>
      </c>
      <c r="Q47" s="11"/>
      <c r="R47" s="12"/>
      <c r="S47" s="74" t="s">
        <v>623</v>
      </c>
      <c r="T47" s="11"/>
      <c r="U47" s="11"/>
      <c r="V47" s="12"/>
      <c r="W47" s="74" t="s">
        <v>314</v>
      </c>
      <c r="X47" s="11"/>
      <c r="Y47" s="11"/>
      <c r="Z47" s="12"/>
      <c r="BK47" s="8"/>
    </row>
    <row r="48" spans="1:63" ht="15" customHeight="1">
      <c r="A48" s="4"/>
      <c r="D48" s="83" t="s">
        <v>484</v>
      </c>
      <c r="E48" s="11"/>
      <c r="F48" s="12"/>
      <c r="G48" s="124" t="s">
        <v>539</v>
      </c>
      <c r="H48" s="11"/>
      <c r="I48" s="12"/>
      <c r="J48" s="125" t="s">
        <v>591</v>
      </c>
      <c r="K48" s="11"/>
      <c r="L48" s="11"/>
      <c r="M48" s="12"/>
      <c r="N48" s="74" t="s">
        <v>96</v>
      </c>
      <c r="O48" s="12"/>
      <c r="P48" s="125" t="s">
        <v>577</v>
      </c>
      <c r="Q48" s="11"/>
      <c r="R48" s="12"/>
      <c r="S48" s="74" t="s">
        <v>624</v>
      </c>
      <c r="T48" s="11"/>
      <c r="U48" s="11"/>
      <c r="V48" s="12"/>
      <c r="W48" s="74" t="s">
        <v>314</v>
      </c>
      <c r="X48" s="11"/>
      <c r="Y48" s="11"/>
      <c r="Z48" s="12"/>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K82"/>
  <sheetViews>
    <sheetView view="pageBreakPreview" topLeftCell="A2" zoomScale="80" zoomScaleNormal="75" zoomScaleSheetLayoutView="80" workbookViewId="0">
      <selection activeCell="AM67" sqref="AM67"/>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朝割</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118" t="s">
        <v>68</v>
      </c>
      <c r="BK8" s="8"/>
    </row>
    <row r="9" spans="1:63" ht="15" customHeight="1">
      <c r="A9" s="4"/>
      <c r="BK9" s="8"/>
    </row>
    <row r="10" spans="1:63" ht="15" customHeight="1">
      <c r="A10" s="4"/>
      <c r="B10" s="66" t="s">
        <v>251</v>
      </c>
      <c r="BK10" s="8"/>
    </row>
    <row r="11" spans="1:63" ht="15" customHeight="1">
      <c r="A11" s="4"/>
      <c r="B11" s="67" t="s">
        <v>104</v>
      </c>
      <c r="C11" s="67" t="s">
        <v>607</v>
      </c>
      <c r="BK11" s="8"/>
    </row>
    <row r="12" spans="1:63" ht="15" customHeight="1">
      <c r="A12" s="4"/>
      <c r="BK12" s="8"/>
    </row>
    <row r="13" spans="1:63" ht="15" customHeight="1">
      <c r="A13" s="4"/>
      <c r="B13" s="66" t="s">
        <v>253</v>
      </c>
      <c r="C13" s="67"/>
      <c r="BK13" s="8"/>
    </row>
    <row r="14" spans="1:63" ht="15" customHeight="1">
      <c r="A14" s="4"/>
      <c r="B14" s="67" t="s">
        <v>104</v>
      </c>
      <c r="C14" s="67" t="s">
        <v>625</v>
      </c>
      <c r="BK14" s="8"/>
    </row>
    <row r="15" spans="1:63" ht="15" customHeight="1">
      <c r="A15" s="4"/>
      <c r="B15" s="67" t="s">
        <v>104</v>
      </c>
      <c r="C15" s="67" t="s">
        <v>626</v>
      </c>
      <c r="BK15" s="8"/>
    </row>
    <row r="16" spans="1:63" ht="15" customHeight="1">
      <c r="A16" s="4"/>
      <c r="BK16" s="8"/>
    </row>
    <row r="17" spans="1:63" ht="15" customHeight="1">
      <c r="A17" s="4"/>
      <c r="B17" s="66" t="s">
        <v>255</v>
      </c>
      <c r="BK17" s="8"/>
    </row>
    <row r="18" spans="1:63" ht="15" customHeight="1">
      <c r="A18" s="4"/>
      <c r="B18" s="67" t="s">
        <v>104</v>
      </c>
      <c r="C18" s="67" t="s">
        <v>627</v>
      </c>
      <c r="BK18" s="8"/>
    </row>
    <row r="19" spans="1:63" ht="15" customHeight="1">
      <c r="A19" s="4"/>
      <c r="B19" s="67" t="s">
        <v>104</v>
      </c>
      <c r="C19" s="67" t="s">
        <v>628</v>
      </c>
      <c r="BK19" s="8"/>
    </row>
    <row r="20" spans="1:63" ht="15" customHeight="1">
      <c r="A20" s="4"/>
      <c r="C20" s="67" t="s">
        <v>629</v>
      </c>
      <c r="D20" s="67" t="s">
        <v>630</v>
      </c>
      <c r="BK20" s="8"/>
    </row>
    <row r="21" spans="1:63" ht="15" customHeight="1">
      <c r="A21" s="4"/>
      <c r="D21" s="67" t="s">
        <v>631</v>
      </c>
      <c r="BK21" s="8"/>
    </row>
    <row r="22" spans="1:63" ht="15" customHeight="1">
      <c r="A22" s="4"/>
      <c r="BK22" s="8"/>
    </row>
    <row r="23" spans="1:63" ht="15" customHeight="1">
      <c r="A23" s="4"/>
      <c r="B23" s="66" t="s">
        <v>258</v>
      </c>
      <c r="BK23" s="8"/>
    </row>
    <row r="24" spans="1:63" ht="15" customHeight="1">
      <c r="A24" s="4"/>
      <c r="B24" s="67" t="s">
        <v>104</v>
      </c>
      <c r="C24" s="67" t="s">
        <v>632</v>
      </c>
      <c r="BK24" s="8"/>
    </row>
    <row r="25" spans="1:63" ht="15" customHeight="1">
      <c r="A25" s="4"/>
      <c r="B25" s="67"/>
      <c r="C25" s="67" t="s">
        <v>633</v>
      </c>
      <c r="BK25" s="8"/>
    </row>
    <row r="26" spans="1:63" ht="15" customHeight="1">
      <c r="A26" s="4"/>
      <c r="B26" s="67" t="s">
        <v>104</v>
      </c>
      <c r="C26" s="67" t="s">
        <v>634</v>
      </c>
      <c r="BK26" s="8"/>
    </row>
    <row r="27" spans="1:63" ht="15" customHeight="1">
      <c r="A27" s="4"/>
      <c r="B27" s="67"/>
      <c r="C27" s="67" t="s">
        <v>635</v>
      </c>
      <c r="BK27" s="8"/>
    </row>
    <row r="28" spans="1:63" ht="15" customHeight="1">
      <c r="A28" s="4"/>
      <c r="B28" s="67" t="s">
        <v>104</v>
      </c>
      <c r="C28" s="67" t="s">
        <v>636</v>
      </c>
      <c r="BK28" s="8"/>
    </row>
    <row r="29" spans="1:63" ht="15" customHeight="1">
      <c r="A29" s="4"/>
      <c r="B29" s="67"/>
      <c r="C29" s="67" t="s">
        <v>637</v>
      </c>
      <c r="BK29" s="8"/>
    </row>
    <row r="30" spans="1:63" ht="15" customHeight="1">
      <c r="A30" s="4"/>
      <c r="B30" s="67"/>
      <c r="C30" s="67"/>
      <c r="O30" s="315" t="s">
        <v>638</v>
      </c>
      <c r="P30" s="315"/>
      <c r="Q30" s="315"/>
      <c r="R30" s="315"/>
      <c r="S30" s="315" t="s">
        <v>639</v>
      </c>
      <c r="T30" s="315"/>
      <c r="U30" s="315"/>
      <c r="V30" s="315"/>
      <c r="W30" s="334" t="s">
        <v>640</v>
      </c>
      <c r="X30" s="335"/>
      <c r="Y30" s="335"/>
      <c r="Z30" s="335"/>
      <c r="AA30" s="335"/>
      <c r="AB30" s="335"/>
      <c r="AC30" s="335"/>
      <c r="AD30" s="335"/>
      <c r="AE30" s="335"/>
      <c r="AF30" s="335"/>
      <c r="AG30" s="335"/>
      <c r="AH30" s="335"/>
      <c r="AI30" s="336"/>
      <c r="BK30" s="8"/>
    </row>
    <row r="31" spans="1:63" ht="15" customHeight="1">
      <c r="A31" s="4"/>
      <c r="B31" s="67"/>
      <c r="C31" s="316" t="s">
        <v>641</v>
      </c>
      <c r="D31" s="307"/>
      <c r="E31" s="307"/>
      <c r="F31" s="307"/>
      <c r="G31" s="307"/>
      <c r="H31" s="308"/>
      <c r="I31" s="322" t="s">
        <v>642</v>
      </c>
      <c r="J31" s="323"/>
      <c r="K31" s="323"/>
      <c r="L31" s="323"/>
      <c r="M31" s="323"/>
      <c r="N31" s="324"/>
      <c r="O31" s="325" t="s">
        <v>643</v>
      </c>
      <c r="P31" s="326"/>
      <c r="Q31" s="326"/>
      <c r="R31" s="327"/>
      <c r="S31" s="325" t="s">
        <v>643</v>
      </c>
      <c r="T31" s="326"/>
      <c r="U31" s="326"/>
      <c r="V31" s="327"/>
      <c r="W31" s="331" t="s">
        <v>644</v>
      </c>
      <c r="X31" s="332"/>
      <c r="Y31" s="332"/>
      <c r="Z31" s="332"/>
      <c r="AA31" s="332"/>
      <c r="AB31" s="332"/>
      <c r="AC31" s="332"/>
      <c r="AD31" s="332"/>
      <c r="AE31" s="332"/>
      <c r="AF31" s="332"/>
      <c r="AG31" s="332"/>
      <c r="AH31" s="332"/>
      <c r="AI31" s="333"/>
      <c r="BK31" s="8"/>
    </row>
    <row r="32" spans="1:63" ht="15" customHeight="1">
      <c r="A32" s="4"/>
      <c r="B32" s="67"/>
      <c r="C32" s="317"/>
      <c r="D32" s="318"/>
      <c r="E32" s="318"/>
      <c r="F32" s="318"/>
      <c r="G32" s="318"/>
      <c r="H32" s="319"/>
      <c r="I32" s="216"/>
      <c r="J32" s="213"/>
      <c r="K32" s="213"/>
      <c r="L32" s="213"/>
      <c r="M32" s="213"/>
      <c r="N32" s="214"/>
      <c r="O32" s="216"/>
      <c r="P32" s="213"/>
      <c r="Q32" s="213"/>
      <c r="R32" s="214"/>
      <c r="S32" s="216"/>
      <c r="T32" s="213"/>
      <c r="U32" s="213"/>
      <c r="V32" s="214"/>
      <c r="W32" s="309"/>
      <c r="X32" s="310"/>
      <c r="Y32" s="310"/>
      <c r="Z32" s="310"/>
      <c r="AA32" s="310"/>
      <c r="AB32" s="310"/>
      <c r="AC32" s="310"/>
      <c r="AD32" s="310"/>
      <c r="AE32" s="310"/>
      <c r="AF32" s="310"/>
      <c r="AG32" s="310"/>
      <c r="AH32" s="310"/>
      <c r="AI32" s="311"/>
      <c r="BK32" s="8"/>
    </row>
    <row r="33" spans="1:63" ht="15" customHeight="1">
      <c r="A33" s="4"/>
      <c r="B33" s="67"/>
      <c r="C33" s="320"/>
      <c r="D33" s="318"/>
      <c r="E33" s="318"/>
      <c r="F33" s="318"/>
      <c r="G33" s="318"/>
      <c r="H33" s="319"/>
      <c r="I33" s="315" t="s">
        <v>645</v>
      </c>
      <c r="J33" s="315"/>
      <c r="K33" s="315"/>
      <c r="L33" s="315"/>
      <c r="M33" s="315"/>
      <c r="N33" s="315"/>
      <c r="O33" s="321" t="s">
        <v>643</v>
      </c>
      <c r="P33" s="321"/>
      <c r="Q33" s="321"/>
      <c r="R33" s="321"/>
      <c r="S33" s="321" t="s">
        <v>643</v>
      </c>
      <c r="T33" s="321"/>
      <c r="U33" s="321"/>
      <c r="V33" s="321"/>
      <c r="W33" s="328"/>
      <c r="X33" s="329"/>
      <c r="Y33" s="329"/>
      <c r="Z33" s="329"/>
      <c r="AA33" s="329"/>
      <c r="AB33" s="329"/>
      <c r="AC33" s="329"/>
      <c r="AD33" s="329"/>
      <c r="AE33" s="329"/>
      <c r="AF33" s="329"/>
      <c r="AG33" s="329"/>
      <c r="AH33" s="329"/>
      <c r="AI33" s="330"/>
      <c r="BK33" s="8"/>
    </row>
    <row r="34" spans="1:63" ht="15" customHeight="1">
      <c r="A34" s="4"/>
      <c r="B34" s="67"/>
      <c r="C34" s="309"/>
      <c r="D34" s="310"/>
      <c r="E34" s="310"/>
      <c r="F34" s="310"/>
      <c r="G34" s="310"/>
      <c r="H34" s="311"/>
      <c r="I34" s="315" t="s">
        <v>646</v>
      </c>
      <c r="J34" s="315"/>
      <c r="K34" s="315"/>
      <c r="L34" s="315"/>
      <c r="M34" s="315"/>
      <c r="N34" s="315"/>
      <c r="O34" s="321" t="s">
        <v>647</v>
      </c>
      <c r="P34" s="321"/>
      <c r="Q34" s="321"/>
      <c r="R34" s="321"/>
      <c r="S34" s="321" t="s">
        <v>647</v>
      </c>
      <c r="T34" s="321"/>
      <c r="U34" s="321"/>
      <c r="V34" s="321"/>
      <c r="W34" s="328"/>
      <c r="X34" s="329"/>
      <c r="Y34" s="329"/>
      <c r="Z34" s="329"/>
      <c r="AA34" s="329"/>
      <c r="AB34" s="329"/>
      <c r="AC34" s="329"/>
      <c r="AD34" s="329"/>
      <c r="AE34" s="329"/>
      <c r="AF34" s="329"/>
      <c r="AG34" s="329"/>
      <c r="AH34" s="329"/>
      <c r="AI34" s="330"/>
      <c r="BK34" s="8"/>
    </row>
    <row r="35" spans="1:63" ht="15" customHeight="1">
      <c r="A35" s="4"/>
      <c r="B35" s="67"/>
      <c r="C35" s="316" t="s">
        <v>648</v>
      </c>
      <c r="D35" s="307"/>
      <c r="E35" s="307"/>
      <c r="F35" s="307"/>
      <c r="G35" s="307"/>
      <c r="H35" s="308"/>
      <c r="I35" s="322" t="s">
        <v>642</v>
      </c>
      <c r="J35" s="323"/>
      <c r="K35" s="323"/>
      <c r="L35" s="323"/>
      <c r="M35" s="323"/>
      <c r="N35" s="324"/>
      <c r="O35" s="325" t="s">
        <v>643</v>
      </c>
      <c r="P35" s="326"/>
      <c r="Q35" s="326"/>
      <c r="R35" s="327"/>
      <c r="S35" s="325" t="s">
        <v>643</v>
      </c>
      <c r="T35" s="326"/>
      <c r="U35" s="326"/>
      <c r="V35" s="327"/>
      <c r="W35" s="331" t="s">
        <v>644</v>
      </c>
      <c r="X35" s="332"/>
      <c r="Y35" s="332"/>
      <c r="Z35" s="332"/>
      <c r="AA35" s="332"/>
      <c r="AB35" s="332"/>
      <c r="AC35" s="332"/>
      <c r="AD35" s="332"/>
      <c r="AE35" s="332"/>
      <c r="AF35" s="332"/>
      <c r="AG35" s="332"/>
      <c r="AH35" s="332"/>
      <c r="AI35" s="333"/>
      <c r="BK35" s="8"/>
    </row>
    <row r="36" spans="1:63" ht="15" customHeight="1">
      <c r="A36" s="4"/>
      <c r="B36" s="67"/>
      <c r="C36" s="317"/>
      <c r="D36" s="318"/>
      <c r="E36" s="318"/>
      <c r="F36" s="318"/>
      <c r="G36" s="318"/>
      <c r="H36" s="319"/>
      <c r="I36" s="216"/>
      <c r="J36" s="213"/>
      <c r="K36" s="213"/>
      <c r="L36" s="213"/>
      <c r="M36" s="213"/>
      <c r="N36" s="214"/>
      <c r="O36" s="216"/>
      <c r="P36" s="213"/>
      <c r="Q36" s="213"/>
      <c r="R36" s="214"/>
      <c r="S36" s="216"/>
      <c r="T36" s="213"/>
      <c r="U36" s="213"/>
      <c r="V36" s="214"/>
      <c r="W36" s="309"/>
      <c r="X36" s="310"/>
      <c r="Y36" s="310"/>
      <c r="Z36" s="310"/>
      <c r="AA36" s="310"/>
      <c r="AB36" s="310"/>
      <c r="AC36" s="310"/>
      <c r="AD36" s="310"/>
      <c r="AE36" s="310"/>
      <c r="AF36" s="310"/>
      <c r="AG36" s="310"/>
      <c r="AH36" s="310"/>
      <c r="AI36" s="311"/>
      <c r="BK36" s="8"/>
    </row>
    <row r="37" spans="1:63" ht="15" customHeight="1">
      <c r="A37" s="4"/>
      <c r="B37" s="67"/>
      <c r="C37" s="320"/>
      <c r="D37" s="318"/>
      <c r="E37" s="318"/>
      <c r="F37" s="318"/>
      <c r="G37" s="318"/>
      <c r="H37" s="319"/>
      <c r="I37" s="315" t="s">
        <v>645</v>
      </c>
      <c r="J37" s="315"/>
      <c r="K37" s="315"/>
      <c r="L37" s="315"/>
      <c r="M37" s="315"/>
      <c r="N37" s="315"/>
      <c r="O37" s="321" t="s">
        <v>643</v>
      </c>
      <c r="P37" s="321"/>
      <c r="Q37" s="321"/>
      <c r="R37" s="321"/>
      <c r="S37" s="321" t="s">
        <v>647</v>
      </c>
      <c r="T37" s="321"/>
      <c r="U37" s="321"/>
      <c r="V37" s="321"/>
      <c r="W37" s="328"/>
      <c r="X37" s="329"/>
      <c r="Y37" s="329"/>
      <c r="Z37" s="329"/>
      <c r="AA37" s="329"/>
      <c r="AB37" s="329"/>
      <c r="AC37" s="329"/>
      <c r="AD37" s="329"/>
      <c r="AE37" s="329"/>
      <c r="AF37" s="329"/>
      <c r="AG37" s="329"/>
      <c r="AH37" s="329"/>
      <c r="AI37" s="330"/>
      <c r="BK37" s="8"/>
    </row>
    <row r="38" spans="1:63" ht="15" customHeight="1">
      <c r="A38" s="4"/>
      <c r="B38" s="67"/>
      <c r="C38" s="309"/>
      <c r="D38" s="310"/>
      <c r="E38" s="310"/>
      <c r="F38" s="310"/>
      <c r="G38" s="310"/>
      <c r="H38" s="311"/>
      <c r="I38" s="315" t="s">
        <v>646</v>
      </c>
      <c r="J38" s="315"/>
      <c r="K38" s="315"/>
      <c r="L38" s="315"/>
      <c r="M38" s="315"/>
      <c r="N38" s="315"/>
      <c r="O38" s="321" t="s">
        <v>643</v>
      </c>
      <c r="P38" s="321"/>
      <c r="Q38" s="321"/>
      <c r="R38" s="321"/>
      <c r="S38" s="321" t="s">
        <v>647</v>
      </c>
      <c r="T38" s="321"/>
      <c r="U38" s="321"/>
      <c r="V38" s="321"/>
      <c r="W38" s="328"/>
      <c r="X38" s="329"/>
      <c r="Y38" s="329"/>
      <c r="Z38" s="329"/>
      <c r="AA38" s="329"/>
      <c r="AB38" s="329"/>
      <c r="AC38" s="329"/>
      <c r="AD38" s="329"/>
      <c r="AE38" s="329"/>
      <c r="AF38" s="329"/>
      <c r="AG38" s="329"/>
      <c r="AH38" s="329"/>
      <c r="AI38" s="330"/>
      <c r="BK38" s="8"/>
    </row>
    <row r="39" spans="1:63" ht="15" customHeight="1">
      <c r="A39" s="4"/>
      <c r="B39" s="67"/>
      <c r="C39" s="67"/>
      <c r="BK39" s="8"/>
    </row>
    <row r="40" spans="1:63" ht="15" customHeight="1">
      <c r="A40" s="4"/>
      <c r="B40" s="67" t="s">
        <v>104</v>
      </c>
      <c r="C40" s="67" t="s">
        <v>649</v>
      </c>
      <c r="BK40" s="8"/>
    </row>
    <row r="41" spans="1:63" ht="15" customHeight="1">
      <c r="A41" s="4"/>
      <c r="B41" s="67"/>
      <c r="C41" s="67" t="s">
        <v>650</v>
      </c>
      <c r="BK41" s="8"/>
    </row>
    <row r="42" spans="1:63" ht="15" customHeight="1">
      <c r="A42" s="4"/>
      <c r="B42" s="67"/>
      <c r="C42" s="67" t="s">
        <v>629</v>
      </c>
      <c r="D42" s="67" t="s">
        <v>651</v>
      </c>
      <c r="BK42" s="8"/>
    </row>
    <row r="43" spans="1:63" ht="15" customHeight="1">
      <c r="A43" s="4"/>
      <c r="B43" s="67"/>
      <c r="C43" s="67"/>
      <c r="D43" s="67" t="s">
        <v>652</v>
      </c>
      <c r="BK43" s="8"/>
    </row>
    <row r="44" spans="1:63" ht="15" customHeight="1">
      <c r="A44" s="4"/>
      <c r="B44" s="67"/>
      <c r="C44" s="67"/>
      <c r="D44" s="67" t="s">
        <v>108</v>
      </c>
      <c r="E44" s="67" t="s">
        <v>653</v>
      </c>
      <c r="BK44" s="8"/>
    </row>
    <row r="45" spans="1:63" ht="15" customHeight="1">
      <c r="A45" s="4"/>
      <c r="B45" s="67"/>
      <c r="C45" s="67"/>
      <c r="D45" s="67"/>
      <c r="E45" s="67" t="s">
        <v>654</v>
      </c>
      <c r="BK45" s="8"/>
    </row>
    <row r="46" spans="1:63" ht="15" customHeight="1">
      <c r="A46" s="4"/>
      <c r="B46" s="67"/>
      <c r="C46" s="67"/>
      <c r="D46" s="67" t="s">
        <v>108</v>
      </c>
      <c r="E46" s="67" t="s">
        <v>655</v>
      </c>
      <c r="BK46" s="8"/>
    </row>
    <row r="47" spans="1:63" ht="15" customHeight="1">
      <c r="A47" s="4"/>
      <c r="B47" s="67" t="s">
        <v>656</v>
      </c>
      <c r="C47" s="67" t="s">
        <v>657</v>
      </c>
      <c r="D47" s="67"/>
      <c r="E47" s="67"/>
      <c r="BK47" s="8"/>
    </row>
    <row r="48" spans="1:63" ht="15" customHeight="1">
      <c r="A48" s="4"/>
      <c r="B48" s="67" t="s">
        <v>656</v>
      </c>
      <c r="C48" s="67" t="s">
        <v>658</v>
      </c>
      <c r="D48" s="67"/>
      <c r="E48" s="67"/>
      <c r="BK48" s="8"/>
    </row>
    <row r="49" spans="1:63" ht="15" customHeight="1">
      <c r="A49" s="4"/>
      <c r="B49" s="67"/>
      <c r="C49" s="67"/>
      <c r="D49" s="67"/>
      <c r="E49" s="67"/>
      <c r="BK49" s="8"/>
    </row>
    <row r="50" spans="1:63" ht="15" customHeight="1">
      <c r="A50" s="4"/>
      <c r="B50" s="67"/>
      <c r="C50" s="67"/>
      <c r="D50" s="67"/>
      <c r="E50" s="67"/>
      <c r="BK50" s="8"/>
    </row>
    <row r="51" spans="1:63" ht="15" customHeight="1">
      <c r="A51" s="4"/>
      <c r="B51" s="67"/>
      <c r="C51" s="67"/>
      <c r="D51" s="67"/>
      <c r="BK51" s="8"/>
    </row>
    <row r="52" spans="1:63" s="3" customFormat="1" ht="15" customHeight="1">
      <c r="A52" s="132"/>
      <c r="B52" s="126"/>
      <c r="C52" s="127" t="s">
        <v>659</v>
      </c>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8"/>
      <c r="AQ52" s="128"/>
      <c r="AR52" s="128"/>
      <c r="AS52" s="128"/>
      <c r="AT52" s="128"/>
      <c r="AU52" s="128"/>
      <c r="AV52" s="128"/>
      <c r="AW52" s="128"/>
      <c r="AX52" s="128"/>
      <c r="AY52" s="128"/>
      <c r="AZ52" s="128"/>
      <c r="BA52" s="128"/>
      <c r="BB52" s="128"/>
      <c r="BC52" s="128"/>
      <c r="BD52" s="128"/>
      <c r="BE52" s="128"/>
      <c r="BF52" s="128"/>
      <c r="BG52" s="128"/>
      <c r="BH52" s="128"/>
      <c r="BI52" s="128"/>
      <c r="BJ52" s="128"/>
      <c r="BK52" s="133"/>
    </row>
    <row r="53" spans="1:63" s="3" customFormat="1" ht="15" customHeight="1">
      <c r="A53" s="132"/>
      <c r="B53" s="126"/>
      <c r="C53" s="126"/>
      <c r="D53" s="129" t="s">
        <v>660</v>
      </c>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8"/>
      <c r="AQ53" s="128"/>
      <c r="AR53" s="128"/>
      <c r="AS53" s="128"/>
      <c r="AT53" s="128"/>
      <c r="AU53" s="128"/>
      <c r="AV53" s="128"/>
      <c r="AW53" s="128"/>
      <c r="AX53" s="128"/>
      <c r="AY53" s="128"/>
      <c r="AZ53" s="128"/>
      <c r="BA53" s="128"/>
      <c r="BB53" s="128"/>
      <c r="BC53" s="128"/>
      <c r="BD53" s="128"/>
      <c r="BE53" s="128"/>
      <c r="BF53" s="128"/>
      <c r="BG53" s="128"/>
      <c r="BH53" s="128"/>
      <c r="BI53" s="128"/>
      <c r="BJ53" s="128"/>
      <c r="BK53" s="133"/>
    </row>
    <row r="54" spans="1:63" s="3" customFormat="1" ht="15" customHeight="1">
      <c r="A54" s="132"/>
      <c r="B54" s="126"/>
      <c r="C54" s="126"/>
      <c r="D54" s="129" t="s">
        <v>661</v>
      </c>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8"/>
      <c r="AQ54" s="128"/>
      <c r="AR54" s="128"/>
      <c r="AS54" s="128"/>
      <c r="AT54" s="128"/>
      <c r="AU54" s="128"/>
      <c r="AV54" s="128"/>
      <c r="AW54" s="128"/>
      <c r="AX54" s="128"/>
      <c r="AY54" s="128"/>
      <c r="AZ54" s="128"/>
      <c r="BA54" s="128"/>
      <c r="BB54" s="128"/>
      <c r="BC54" s="128"/>
      <c r="BD54" s="128"/>
      <c r="BE54" s="128"/>
      <c r="BF54" s="128"/>
      <c r="BG54" s="128"/>
      <c r="BH54" s="128"/>
      <c r="BI54" s="128"/>
      <c r="BJ54" s="128"/>
      <c r="BK54" s="133"/>
    </row>
    <row r="55" spans="1:63" s="3" customFormat="1" ht="15" customHeight="1">
      <c r="A55" s="132"/>
      <c r="B55" s="126"/>
      <c r="C55" s="126"/>
      <c r="D55" s="126"/>
      <c r="E55" s="130" t="s">
        <v>662</v>
      </c>
      <c r="F55" s="131" t="s">
        <v>663</v>
      </c>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33"/>
    </row>
    <row r="56" spans="1:63" s="3" customFormat="1" ht="1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row>
    <row r="57" spans="1:63" s="3" customFormat="1" ht="15" customHeight="1">
      <c r="A57" s="126"/>
      <c r="B57" s="126"/>
      <c r="C57" s="126"/>
      <c r="D57" s="127" t="s">
        <v>664</v>
      </c>
      <c r="E57" s="126"/>
      <c r="F57" s="126"/>
      <c r="G57" s="126"/>
      <c r="H57" s="126"/>
      <c r="I57" s="126"/>
      <c r="J57" s="126"/>
      <c r="K57" s="126"/>
      <c r="L57" s="126"/>
      <c r="M57" s="126"/>
      <c r="N57" s="126"/>
      <c r="O57" s="126"/>
      <c r="P57" s="126"/>
      <c r="Q57" s="126"/>
      <c r="R57" s="126"/>
      <c r="S57" s="126"/>
      <c r="T57" s="126"/>
      <c r="U57" s="127" t="s">
        <v>665</v>
      </c>
      <c r="V57" s="126"/>
      <c r="W57" s="126"/>
      <c r="X57" s="126"/>
      <c r="Y57" s="126"/>
      <c r="Z57" s="126"/>
      <c r="AA57" s="126"/>
      <c r="AB57" s="126"/>
      <c r="AC57" s="126"/>
      <c r="AD57" s="126"/>
      <c r="AE57" s="126"/>
      <c r="AF57" s="126"/>
      <c r="AG57" s="126"/>
      <c r="AH57" s="126"/>
      <c r="AI57" s="126"/>
      <c r="AJ57" s="126"/>
      <c r="AK57" s="126"/>
      <c r="AL57" s="126"/>
      <c r="AM57" s="126"/>
      <c r="AN57" s="126"/>
      <c r="AO57" s="126"/>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row>
    <row r="58" spans="1:63" s="3" customFormat="1" ht="15" customHeight="1">
      <c r="A58" s="126"/>
      <c r="B58" s="126"/>
      <c r="C58" s="126"/>
      <c r="D58" s="126"/>
      <c r="E58" s="126"/>
      <c r="F58" s="126"/>
      <c r="G58" s="126"/>
      <c r="H58" s="126"/>
      <c r="I58" s="126"/>
      <c r="J58" s="126"/>
      <c r="K58" s="126"/>
      <c r="L58" s="126"/>
      <c r="M58" s="126"/>
      <c r="N58" s="126"/>
      <c r="O58" s="126"/>
      <c r="P58" s="126"/>
      <c r="Q58" s="126"/>
      <c r="R58" s="126"/>
      <c r="S58" s="126"/>
      <c r="T58" s="126"/>
      <c r="U58" s="129" t="s">
        <v>656</v>
      </c>
      <c r="V58" s="129" t="s">
        <v>666</v>
      </c>
      <c r="W58" s="126"/>
      <c r="X58" s="126"/>
      <c r="Y58" s="126"/>
      <c r="Z58" s="126"/>
      <c r="AA58" s="126"/>
      <c r="AB58" s="126"/>
      <c r="AC58" s="126"/>
      <c r="AD58" s="126"/>
      <c r="AE58" s="126"/>
      <c r="AF58" s="126"/>
      <c r="AG58" s="126"/>
      <c r="AH58" s="126"/>
      <c r="AI58" s="128"/>
      <c r="AJ58" s="128"/>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row>
    <row r="59" spans="1:63" s="3" customFormat="1" ht="1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8"/>
      <c r="AJ59" s="128"/>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row>
    <row r="60" spans="1:63" s="3" customFormat="1" ht="1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8"/>
      <c r="AJ60" s="128"/>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row>
    <row r="61" spans="1:63" s="3" customFormat="1" ht="15" customHeight="1">
      <c r="A61" s="126"/>
      <c r="B61" s="126"/>
      <c r="C61" s="126"/>
      <c r="D61" s="127" t="s">
        <v>667</v>
      </c>
      <c r="E61" s="126"/>
      <c r="F61" s="126"/>
      <c r="G61" s="126"/>
      <c r="H61" s="126"/>
      <c r="I61" s="126"/>
      <c r="J61" s="127" t="s">
        <v>668</v>
      </c>
      <c r="K61" s="126"/>
      <c r="L61" s="126"/>
      <c r="M61" s="127" t="s">
        <v>669</v>
      </c>
      <c r="N61" s="126"/>
      <c r="O61" s="126"/>
      <c r="P61" s="126"/>
      <c r="Q61" s="126"/>
      <c r="R61" s="126"/>
      <c r="S61" s="126"/>
      <c r="T61" s="126"/>
      <c r="U61" s="127" t="s">
        <v>670</v>
      </c>
      <c r="V61" s="127"/>
      <c r="W61" s="126"/>
      <c r="X61" s="126"/>
      <c r="Y61" s="126"/>
      <c r="Z61" s="126"/>
      <c r="AA61" s="126"/>
      <c r="AB61" s="127" t="s">
        <v>671</v>
      </c>
      <c r="AC61" s="127" t="s">
        <v>672</v>
      </c>
      <c r="AD61" s="126"/>
      <c r="AE61" s="126"/>
      <c r="AF61" s="126"/>
      <c r="AG61" s="126"/>
      <c r="AH61" s="126"/>
      <c r="AI61" s="128"/>
      <c r="AJ61" s="128"/>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row>
    <row r="62" spans="1:63" s="3" customFormat="1" ht="15" customHeight="1">
      <c r="A62" s="126"/>
      <c r="B62" s="126"/>
      <c r="C62" s="126"/>
      <c r="D62" s="126"/>
      <c r="E62" s="126"/>
      <c r="F62" s="126"/>
      <c r="G62" s="126"/>
      <c r="H62" s="126"/>
      <c r="I62" s="126"/>
      <c r="J62" s="140"/>
      <c r="K62" s="140"/>
      <c r="L62" s="126"/>
      <c r="M62" s="126"/>
      <c r="N62" s="126"/>
      <c r="O62" s="126"/>
      <c r="P62" s="126"/>
      <c r="Q62" s="126"/>
      <c r="R62" s="126"/>
      <c r="S62" s="126"/>
      <c r="T62" s="126"/>
      <c r="U62" s="129" t="s">
        <v>656</v>
      </c>
      <c r="V62" s="129" t="s">
        <v>673</v>
      </c>
      <c r="W62" s="126"/>
      <c r="X62" s="126"/>
      <c r="Y62" s="126"/>
      <c r="Z62" s="126"/>
      <c r="AA62" s="126"/>
      <c r="AB62" s="140"/>
      <c r="AC62" s="127" t="s">
        <v>674</v>
      </c>
      <c r="AD62" s="126"/>
      <c r="AE62" s="126"/>
      <c r="AF62" s="126"/>
      <c r="AG62" s="126"/>
      <c r="AH62" s="126"/>
      <c r="AI62" s="128"/>
      <c r="AJ62" s="128"/>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row>
    <row r="63" spans="1:63" s="3" customFormat="1" ht="15" customHeight="1">
      <c r="A63" s="126"/>
      <c r="B63" s="126"/>
      <c r="C63" s="126"/>
      <c r="D63" s="126"/>
      <c r="E63" s="126"/>
      <c r="F63" s="126"/>
      <c r="G63" s="126"/>
      <c r="H63" s="126"/>
      <c r="I63" s="126"/>
      <c r="J63" s="140"/>
      <c r="K63" s="140"/>
      <c r="L63" s="126"/>
      <c r="M63" s="126"/>
      <c r="N63" s="126"/>
      <c r="O63" s="126"/>
      <c r="P63" s="126"/>
      <c r="Q63" s="126"/>
      <c r="R63" s="126"/>
      <c r="S63" s="126"/>
      <c r="T63" s="126"/>
      <c r="U63" s="141"/>
      <c r="V63" s="141"/>
      <c r="W63" s="126"/>
      <c r="X63" s="126"/>
      <c r="Y63" s="126"/>
      <c r="Z63" s="126"/>
      <c r="AA63" s="126"/>
      <c r="AB63" s="142"/>
      <c r="AC63" s="142"/>
      <c r="AD63" s="126"/>
      <c r="AE63" s="126"/>
      <c r="AF63" s="126"/>
      <c r="AG63" s="126"/>
      <c r="AH63" s="126"/>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row>
    <row r="64" spans="1:63" s="3" customFormat="1" ht="1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8"/>
      <c r="AJ64" s="128"/>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row>
    <row r="65" spans="1:63" s="3" customFormat="1" ht="1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row>
    <row r="66" spans="1:63" s="3" customFormat="1" ht="1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row>
    <row r="67" spans="1:63" s="3" customFormat="1" ht="1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row>
    <row r="68" spans="1:63" s="3" customFormat="1" ht="1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row>
    <row r="69" spans="1:63" s="3" customFormat="1" ht="1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row>
    <row r="70" spans="1:63" s="3" customFormat="1" ht="1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8"/>
      <c r="AJ70" s="128"/>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row>
    <row r="71" spans="1:63" s="3" customFormat="1" ht="15" customHeight="1">
      <c r="A71" s="126"/>
      <c r="B71" s="126"/>
      <c r="C71" s="126"/>
      <c r="D71" s="126"/>
      <c r="E71" s="130" t="s">
        <v>662</v>
      </c>
      <c r="F71" s="131" t="s">
        <v>663</v>
      </c>
      <c r="G71" s="127"/>
      <c r="H71" s="127"/>
      <c r="I71" s="127"/>
      <c r="J71" s="127"/>
      <c r="K71" s="127"/>
      <c r="L71" s="127"/>
      <c r="M71" s="127"/>
      <c r="N71" s="127"/>
      <c r="O71" s="127"/>
      <c r="P71" s="127"/>
      <c r="Q71" s="127"/>
      <c r="R71" s="127"/>
      <c r="S71" s="127"/>
      <c r="T71" s="127"/>
      <c r="U71" s="127"/>
      <c r="V71" s="127"/>
      <c r="W71" s="127"/>
      <c r="X71" s="127"/>
      <c r="Y71" s="127"/>
      <c r="Z71" s="127"/>
      <c r="AA71" s="127"/>
      <c r="AB71" s="127"/>
      <c r="AC71" s="126"/>
      <c r="AD71" s="126"/>
      <c r="AE71" s="126"/>
      <c r="AF71" s="126"/>
      <c r="AG71" s="126"/>
      <c r="AH71" s="126"/>
      <c r="AI71" s="128"/>
      <c r="AJ71" s="128"/>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row>
    <row r="72" spans="1:63" s="3" customFormat="1" ht="15" customHeight="1">
      <c r="A72" s="126"/>
      <c r="B72" s="126"/>
      <c r="C72" s="126"/>
      <c r="D72" s="126"/>
      <c r="E72" s="127"/>
      <c r="F72" s="143" t="s">
        <v>675</v>
      </c>
      <c r="G72" s="127"/>
      <c r="H72" s="127"/>
      <c r="I72" s="127"/>
      <c r="J72" s="144" t="s">
        <v>676</v>
      </c>
      <c r="K72" s="127"/>
      <c r="L72" s="127"/>
      <c r="M72" s="145" t="s">
        <v>677</v>
      </c>
      <c r="N72" s="127"/>
      <c r="O72" s="127"/>
      <c r="P72" s="127"/>
      <c r="Q72" s="127"/>
      <c r="R72" s="127"/>
      <c r="S72" s="127"/>
      <c r="T72" s="127"/>
      <c r="U72" s="145" t="s">
        <v>678</v>
      </c>
      <c r="V72" s="127"/>
      <c r="W72" s="127"/>
      <c r="X72" s="127"/>
      <c r="Y72" s="127"/>
      <c r="Z72" s="127"/>
      <c r="AA72" s="127"/>
      <c r="AB72" s="145" t="s">
        <v>679</v>
      </c>
      <c r="AC72" s="126"/>
      <c r="AD72" s="126"/>
      <c r="AE72" s="126"/>
      <c r="AF72" s="126"/>
      <c r="AG72" s="126"/>
      <c r="AH72" s="126"/>
      <c r="AI72" s="128"/>
      <c r="AJ72" s="128"/>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row>
    <row r="73" spans="1:63" s="3" customFormat="1" ht="1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8"/>
      <c r="AQ73" s="128"/>
      <c r="AR73" s="128"/>
      <c r="AS73" s="128"/>
      <c r="AT73" s="128"/>
      <c r="AU73" s="128"/>
      <c r="AV73" s="128"/>
      <c r="AW73" s="128"/>
      <c r="AX73" s="128"/>
      <c r="AY73" s="128"/>
      <c r="AZ73" s="128"/>
      <c r="BA73" s="128"/>
      <c r="BB73" s="128"/>
      <c r="BC73" s="128"/>
      <c r="BD73" s="128"/>
      <c r="BE73" s="128"/>
      <c r="BF73" s="128"/>
      <c r="BG73" s="128"/>
      <c r="BH73" s="128"/>
      <c r="BI73" s="128"/>
      <c r="BJ73" s="128"/>
      <c r="BK73" s="128"/>
    </row>
    <row r="75" spans="1:63" ht="15" customHeight="1">
      <c r="B75" s="66" t="s">
        <v>260</v>
      </c>
    </row>
    <row r="76" spans="1:63" ht="15" customHeight="1">
      <c r="B76" s="67" t="s">
        <v>680</v>
      </c>
      <c r="C76" s="67"/>
    </row>
    <row r="78" spans="1:63" ht="15" customHeight="1">
      <c r="B78" s="66" t="s">
        <v>266</v>
      </c>
    </row>
    <row r="79" spans="1:63" ht="15" customHeight="1">
      <c r="B79" s="67" t="s">
        <v>104</v>
      </c>
      <c r="C79" s="67" t="s">
        <v>267</v>
      </c>
    </row>
    <row r="80" spans="1:63" ht="15" customHeight="1">
      <c r="C80" s="67" t="s">
        <v>108</v>
      </c>
      <c r="D80" s="67" t="s">
        <v>611</v>
      </c>
    </row>
    <row r="81" spans="2:4" ht="15" customHeight="1">
      <c r="C81" s="67" t="s">
        <v>681</v>
      </c>
      <c r="D81" s="67" t="s">
        <v>682</v>
      </c>
    </row>
    <row r="82" spans="2:4" ht="15" customHeight="1">
      <c r="B82" s="67" t="s">
        <v>104</v>
      </c>
      <c r="C82" s="67" t="s">
        <v>612</v>
      </c>
    </row>
  </sheetData>
  <mergeCells count="49">
    <mergeCell ref="W37:AI37"/>
    <mergeCell ref="W38:AI38"/>
    <mergeCell ref="W31:AI32"/>
    <mergeCell ref="W35:AI36"/>
    <mergeCell ref="W30:AI30"/>
    <mergeCell ref="W33:AI33"/>
    <mergeCell ref="W34:AI34"/>
    <mergeCell ref="O31:R32"/>
    <mergeCell ref="O35:R36"/>
    <mergeCell ref="S31:V32"/>
    <mergeCell ref="S35:V36"/>
    <mergeCell ref="I33:N33"/>
    <mergeCell ref="I34:N34"/>
    <mergeCell ref="I37:N37"/>
    <mergeCell ref="C31:H34"/>
    <mergeCell ref="C35:H38"/>
    <mergeCell ref="I38:N38"/>
    <mergeCell ref="S30:V30"/>
    <mergeCell ref="S33:V33"/>
    <mergeCell ref="O38:R38"/>
    <mergeCell ref="S34:V34"/>
    <mergeCell ref="S37:V37"/>
    <mergeCell ref="S38:V38"/>
    <mergeCell ref="O30:R30"/>
    <mergeCell ref="O33:R33"/>
    <mergeCell ref="O34:R34"/>
    <mergeCell ref="O37:R37"/>
    <mergeCell ref="I31:N32"/>
    <mergeCell ref="I35:N36"/>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1"/>
  <printOptions horizontalCentered="1" verticalCentered="1"/>
  <pageMargins left="0.59055118110236204" right="0.59055118110236204" top="0.39370078740157499" bottom="0.39370078740157499" header="0.31496062992126" footer="0.31496062992126"/>
  <pageSetup paperSize="9" scale="40" orientation="landscape" r:id="rId1"/>
  <headerFooter>
    <oddHeader>&amp;R&amp;F</oddHeader>
    <oddFooter>&amp;C&amp;P / &amp;N ページ</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K55"/>
  <sheetViews>
    <sheetView view="pageBreakPreview" zoomScale="80" zoomScaleNormal="75" zoomScaleSheetLayoutView="80" workbookViewId="0">
      <selection activeCell="AP25" sqref="AP25"/>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メガ割</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118" t="s">
        <v>72</v>
      </c>
      <c r="BK8" s="8"/>
    </row>
    <row r="9" spans="1:63" ht="15" customHeight="1">
      <c r="A9" s="4"/>
      <c r="BK9" s="8"/>
    </row>
    <row r="10" spans="1:63" ht="15" customHeight="1">
      <c r="A10" s="4"/>
      <c r="B10" s="66" t="s">
        <v>251</v>
      </c>
      <c r="BK10" s="8"/>
    </row>
    <row r="11" spans="1:63" ht="15" customHeight="1">
      <c r="A11" s="4"/>
      <c r="B11" s="67" t="s">
        <v>104</v>
      </c>
      <c r="C11" s="67" t="s">
        <v>607</v>
      </c>
      <c r="BK11" s="8"/>
    </row>
    <row r="12" spans="1:63" ht="15" customHeight="1">
      <c r="A12" s="4"/>
      <c r="BK12" s="8"/>
    </row>
    <row r="13" spans="1:63" ht="15" customHeight="1">
      <c r="A13" s="4"/>
      <c r="B13" s="66" t="s">
        <v>253</v>
      </c>
      <c r="C13" s="67"/>
      <c r="BK13" s="8"/>
    </row>
    <row r="14" spans="1:63" ht="15" customHeight="1">
      <c r="A14" s="4"/>
      <c r="B14" s="67" t="s">
        <v>104</v>
      </c>
      <c r="C14" s="67" t="s">
        <v>625</v>
      </c>
      <c r="BK14" s="8"/>
    </row>
    <row r="15" spans="1:63" ht="15" customHeight="1">
      <c r="A15" s="4"/>
      <c r="B15" s="67" t="s">
        <v>104</v>
      </c>
      <c r="C15" s="67" t="s">
        <v>626</v>
      </c>
      <c r="BK15" s="8"/>
    </row>
    <row r="16" spans="1:63" ht="15" customHeight="1">
      <c r="A16" s="4"/>
      <c r="BK16" s="8"/>
    </row>
    <row r="17" spans="1:63" ht="15" customHeight="1">
      <c r="A17" s="4"/>
      <c r="B17" s="66" t="s">
        <v>255</v>
      </c>
      <c r="BK17" s="8"/>
    </row>
    <row r="18" spans="1:63" ht="15" customHeight="1">
      <c r="A18" s="4"/>
      <c r="B18" s="67" t="s">
        <v>104</v>
      </c>
      <c r="C18" s="67" t="s">
        <v>683</v>
      </c>
      <c r="BK18" s="8"/>
    </row>
    <row r="19" spans="1:63" ht="15" customHeight="1">
      <c r="A19" s="4"/>
      <c r="B19" s="67" t="s">
        <v>104</v>
      </c>
      <c r="C19" s="67" t="s">
        <v>684</v>
      </c>
      <c r="BK19" s="8"/>
    </row>
    <row r="20" spans="1:63" ht="15" customHeight="1">
      <c r="A20" s="4"/>
      <c r="C20" s="67" t="s">
        <v>629</v>
      </c>
      <c r="D20" s="67" t="s">
        <v>685</v>
      </c>
      <c r="BK20" s="8"/>
    </row>
    <row r="21" spans="1:63" ht="15" customHeight="1">
      <c r="A21" s="4"/>
      <c r="D21" s="67" t="s">
        <v>631</v>
      </c>
      <c r="BK21" s="8"/>
    </row>
    <row r="22" spans="1:63" ht="15" customHeight="1">
      <c r="A22" s="4"/>
      <c r="BK22" s="8"/>
    </row>
    <row r="23" spans="1:63" ht="15" customHeight="1">
      <c r="A23" s="4"/>
      <c r="B23" s="66" t="s">
        <v>258</v>
      </c>
      <c r="BK23" s="8"/>
    </row>
    <row r="24" spans="1:63" ht="15" customHeight="1">
      <c r="A24" s="4"/>
      <c r="B24" s="67" t="s">
        <v>104</v>
      </c>
      <c r="C24" s="67" t="s">
        <v>632</v>
      </c>
      <c r="BK24" s="8"/>
    </row>
    <row r="25" spans="1:63" ht="15" customHeight="1">
      <c r="A25" s="4"/>
      <c r="B25" s="67"/>
      <c r="C25" s="67" t="s">
        <v>686</v>
      </c>
      <c r="BK25" s="8"/>
    </row>
    <row r="26" spans="1:63" ht="15" customHeight="1">
      <c r="A26" s="4"/>
      <c r="B26" s="67" t="s">
        <v>104</v>
      </c>
      <c r="C26" s="67" t="s">
        <v>687</v>
      </c>
      <c r="BK26" s="8"/>
    </row>
    <row r="27" spans="1:63" ht="15" customHeight="1">
      <c r="A27" s="4"/>
      <c r="B27" s="67"/>
      <c r="C27" s="67" t="s">
        <v>688</v>
      </c>
      <c r="BK27" s="8"/>
    </row>
    <row r="28" spans="1:63" ht="15" customHeight="1">
      <c r="A28" s="4"/>
      <c r="B28" s="67" t="s">
        <v>104</v>
      </c>
      <c r="C28" s="67" t="s">
        <v>689</v>
      </c>
      <c r="BK28" s="8"/>
    </row>
    <row r="29" spans="1:63" ht="15" customHeight="1">
      <c r="A29" s="4"/>
      <c r="B29" s="67"/>
      <c r="C29" s="67" t="s">
        <v>690</v>
      </c>
      <c r="BK29" s="8"/>
    </row>
    <row r="30" spans="1:63" ht="15" customHeight="1">
      <c r="A30" s="4"/>
      <c r="B30" s="67"/>
      <c r="C30" s="67"/>
      <c r="O30" s="315" t="s">
        <v>691</v>
      </c>
      <c r="P30" s="315"/>
      <c r="Q30" s="315"/>
      <c r="R30" s="315"/>
      <c r="S30" s="315" t="s">
        <v>639</v>
      </c>
      <c r="T30" s="315"/>
      <c r="U30" s="315"/>
      <c r="V30" s="315"/>
      <c r="W30" s="334" t="s">
        <v>640</v>
      </c>
      <c r="X30" s="335"/>
      <c r="Y30" s="335"/>
      <c r="Z30" s="335"/>
      <c r="AA30" s="335"/>
      <c r="AB30" s="335"/>
      <c r="AC30" s="335"/>
      <c r="AD30" s="335"/>
      <c r="AE30" s="335"/>
      <c r="AF30" s="335"/>
      <c r="AG30" s="335"/>
      <c r="AH30" s="335"/>
      <c r="AI30" s="336"/>
      <c r="BK30" s="8"/>
    </row>
    <row r="31" spans="1:63" ht="15" customHeight="1">
      <c r="A31" s="4"/>
      <c r="B31" s="67"/>
      <c r="C31" s="316" t="s">
        <v>692</v>
      </c>
      <c r="D31" s="307"/>
      <c r="E31" s="307"/>
      <c r="F31" s="307"/>
      <c r="G31" s="307"/>
      <c r="H31" s="308"/>
      <c r="I31" s="322" t="s">
        <v>642</v>
      </c>
      <c r="J31" s="323"/>
      <c r="K31" s="323"/>
      <c r="L31" s="323"/>
      <c r="M31" s="323"/>
      <c r="N31" s="324"/>
      <c r="O31" s="325" t="s">
        <v>643</v>
      </c>
      <c r="P31" s="326"/>
      <c r="Q31" s="326"/>
      <c r="R31" s="327"/>
      <c r="S31" s="325" t="s">
        <v>643</v>
      </c>
      <c r="T31" s="326"/>
      <c r="U31" s="326"/>
      <c r="V31" s="327"/>
      <c r="W31" s="331" t="s">
        <v>693</v>
      </c>
      <c r="X31" s="332"/>
      <c r="Y31" s="332"/>
      <c r="Z31" s="332"/>
      <c r="AA31" s="332"/>
      <c r="AB31" s="332"/>
      <c r="AC31" s="332"/>
      <c r="AD31" s="332"/>
      <c r="AE31" s="332"/>
      <c r="AF31" s="332"/>
      <c r="AG31" s="332"/>
      <c r="AH31" s="332"/>
      <c r="AI31" s="333"/>
      <c r="BK31" s="8"/>
    </row>
    <row r="32" spans="1:63" ht="15" customHeight="1">
      <c r="A32" s="4"/>
      <c r="B32" s="67"/>
      <c r="C32" s="317"/>
      <c r="D32" s="318"/>
      <c r="E32" s="318"/>
      <c r="F32" s="318"/>
      <c r="G32" s="318"/>
      <c r="H32" s="319"/>
      <c r="I32" s="216"/>
      <c r="J32" s="213"/>
      <c r="K32" s="213"/>
      <c r="L32" s="213"/>
      <c r="M32" s="213"/>
      <c r="N32" s="214"/>
      <c r="O32" s="216"/>
      <c r="P32" s="213"/>
      <c r="Q32" s="213"/>
      <c r="R32" s="214"/>
      <c r="S32" s="216"/>
      <c r="T32" s="213"/>
      <c r="U32" s="213"/>
      <c r="V32" s="214"/>
      <c r="W32" s="309"/>
      <c r="X32" s="310"/>
      <c r="Y32" s="310"/>
      <c r="Z32" s="310"/>
      <c r="AA32" s="310"/>
      <c r="AB32" s="310"/>
      <c r="AC32" s="310"/>
      <c r="AD32" s="310"/>
      <c r="AE32" s="310"/>
      <c r="AF32" s="310"/>
      <c r="AG32" s="310"/>
      <c r="AH32" s="310"/>
      <c r="AI32" s="311"/>
      <c r="BK32" s="8"/>
    </row>
    <row r="33" spans="1:63" ht="15" customHeight="1">
      <c r="A33" s="4"/>
      <c r="B33" s="67"/>
      <c r="C33" s="320"/>
      <c r="D33" s="318"/>
      <c r="E33" s="318"/>
      <c r="F33" s="318"/>
      <c r="G33" s="318"/>
      <c r="H33" s="319"/>
      <c r="I33" s="315" t="s">
        <v>694</v>
      </c>
      <c r="J33" s="315"/>
      <c r="K33" s="315"/>
      <c r="L33" s="315"/>
      <c r="M33" s="315"/>
      <c r="N33" s="315"/>
      <c r="O33" s="321" t="s">
        <v>643</v>
      </c>
      <c r="P33" s="321"/>
      <c r="Q33" s="321"/>
      <c r="R33" s="321"/>
      <c r="S33" s="321" t="s">
        <v>643</v>
      </c>
      <c r="T33" s="321"/>
      <c r="U33" s="321"/>
      <c r="V33" s="321"/>
      <c r="W33" s="328"/>
      <c r="X33" s="329"/>
      <c r="Y33" s="329"/>
      <c r="Z33" s="329"/>
      <c r="AA33" s="329"/>
      <c r="AB33" s="329"/>
      <c r="AC33" s="329"/>
      <c r="AD33" s="329"/>
      <c r="AE33" s="329"/>
      <c r="AF33" s="329"/>
      <c r="AG33" s="329"/>
      <c r="AH33" s="329"/>
      <c r="AI33" s="330"/>
      <c r="BK33" s="8"/>
    </row>
    <row r="34" spans="1:63" ht="15" customHeight="1">
      <c r="A34" s="4"/>
      <c r="B34" s="67"/>
      <c r="C34" s="309"/>
      <c r="D34" s="310"/>
      <c r="E34" s="310"/>
      <c r="F34" s="310"/>
      <c r="G34" s="310"/>
      <c r="H34" s="311"/>
      <c r="I34" s="315" t="s">
        <v>646</v>
      </c>
      <c r="J34" s="315"/>
      <c r="K34" s="315"/>
      <c r="L34" s="315"/>
      <c r="M34" s="315"/>
      <c r="N34" s="315"/>
      <c r="O34" s="321" t="s">
        <v>647</v>
      </c>
      <c r="P34" s="321"/>
      <c r="Q34" s="321"/>
      <c r="R34" s="321"/>
      <c r="S34" s="321" t="s">
        <v>647</v>
      </c>
      <c r="T34" s="321"/>
      <c r="U34" s="321"/>
      <c r="V34" s="321"/>
      <c r="W34" s="328"/>
      <c r="X34" s="329"/>
      <c r="Y34" s="329"/>
      <c r="Z34" s="329"/>
      <c r="AA34" s="329"/>
      <c r="AB34" s="329"/>
      <c r="AC34" s="329"/>
      <c r="AD34" s="329"/>
      <c r="AE34" s="329"/>
      <c r="AF34" s="329"/>
      <c r="AG34" s="329"/>
      <c r="AH34" s="329"/>
      <c r="AI34" s="330"/>
      <c r="BK34" s="8"/>
    </row>
    <row r="35" spans="1:63" ht="15" customHeight="1">
      <c r="A35" s="4"/>
      <c r="B35" s="67"/>
      <c r="C35" s="316" t="s">
        <v>695</v>
      </c>
      <c r="D35" s="307"/>
      <c r="E35" s="307"/>
      <c r="F35" s="307"/>
      <c r="G35" s="307"/>
      <c r="H35" s="308"/>
      <c r="I35" s="322" t="s">
        <v>642</v>
      </c>
      <c r="J35" s="323"/>
      <c r="K35" s="323"/>
      <c r="L35" s="323"/>
      <c r="M35" s="323"/>
      <c r="N35" s="324"/>
      <c r="O35" s="325" t="s">
        <v>643</v>
      </c>
      <c r="P35" s="326"/>
      <c r="Q35" s="326"/>
      <c r="R35" s="327"/>
      <c r="S35" s="325" t="s">
        <v>643</v>
      </c>
      <c r="T35" s="326"/>
      <c r="U35" s="326"/>
      <c r="V35" s="327"/>
      <c r="W35" s="331" t="s">
        <v>693</v>
      </c>
      <c r="X35" s="332"/>
      <c r="Y35" s="332"/>
      <c r="Z35" s="332"/>
      <c r="AA35" s="332"/>
      <c r="AB35" s="332"/>
      <c r="AC35" s="332"/>
      <c r="AD35" s="332"/>
      <c r="AE35" s="332"/>
      <c r="AF35" s="332"/>
      <c r="AG35" s="332"/>
      <c r="AH35" s="332"/>
      <c r="AI35" s="333"/>
      <c r="BK35" s="8"/>
    </row>
    <row r="36" spans="1:63" ht="15" customHeight="1">
      <c r="A36" s="4"/>
      <c r="B36" s="67"/>
      <c r="C36" s="317"/>
      <c r="D36" s="318"/>
      <c r="E36" s="318"/>
      <c r="F36" s="318"/>
      <c r="G36" s="318"/>
      <c r="H36" s="319"/>
      <c r="I36" s="216"/>
      <c r="J36" s="213"/>
      <c r="K36" s="213"/>
      <c r="L36" s="213"/>
      <c r="M36" s="213"/>
      <c r="N36" s="214"/>
      <c r="O36" s="216"/>
      <c r="P36" s="213"/>
      <c r="Q36" s="213"/>
      <c r="R36" s="214"/>
      <c r="S36" s="216"/>
      <c r="T36" s="213"/>
      <c r="U36" s="213"/>
      <c r="V36" s="214"/>
      <c r="W36" s="309"/>
      <c r="X36" s="310"/>
      <c r="Y36" s="310"/>
      <c r="Z36" s="310"/>
      <c r="AA36" s="310"/>
      <c r="AB36" s="310"/>
      <c r="AC36" s="310"/>
      <c r="AD36" s="310"/>
      <c r="AE36" s="310"/>
      <c r="AF36" s="310"/>
      <c r="AG36" s="310"/>
      <c r="AH36" s="310"/>
      <c r="AI36" s="311"/>
      <c r="BK36" s="8"/>
    </row>
    <row r="37" spans="1:63" ht="15" customHeight="1">
      <c r="A37" s="4"/>
      <c r="B37" s="67"/>
      <c r="C37" s="320"/>
      <c r="D37" s="318"/>
      <c r="E37" s="318"/>
      <c r="F37" s="318"/>
      <c r="G37" s="318"/>
      <c r="H37" s="319"/>
      <c r="I37" s="315" t="s">
        <v>694</v>
      </c>
      <c r="J37" s="315"/>
      <c r="K37" s="315"/>
      <c r="L37" s="315"/>
      <c r="M37" s="315"/>
      <c r="N37" s="315"/>
      <c r="O37" s="321" t="s">
        <v>643</v>
      </c>
      <c r="P37" s="321"/>
      <c r="Q37" s="321"/>
      <c r="R37" s="321"/>
      <c r="S37" s="321" t="s">
        <v>647</v>
      </c>
      <c r="T37" s="321"/>
      <c r="U37" s="321"/>
      <c r="V37" s="321"/>
      <c r="W37" s="328"/>
      <c r="X37" s="329"/>
      <c r="Y37" s="329"/>
      <c r="Z37" s="329"/>
      <c r="AA37" s="329"/>
      <c r="AB37" s="329"/>
      <c r="AC37" s="329"/>
      <c r="AD37" s="329"/>
      <c r="AE37" s="329"/>
      <c r="AF37" s="329"/>
      <c r="AG37" s="329"/>
      <c r="AH37" s="329"/>
      <c r="AI37" s="330"/>
      <c r="BK37" s="8"/>
    </row>
    <row r="38" spans="1:63" ht="15" customHeight="1">
      <c r="A38" s="4"/>
      <c r="B38" s="67"/>
      <c r="C38" s="309"/>
      <c r="D38" s="310"/>
      <c r="E38" s="310"/>
      <c r="F38" s="310"/>
      <c r="G38" s="310"/>
      <c r="H38" s="311"/>
      <c r="I38" s="315" t="s">
        <v>646</v>
      </c>
      <c r="J38" s="315"/>
      <c r="K38" s="315"/>
      <c r="L38" s="315"/>
      <c r="M38" s="315"/>
      <c r="N38" s="315"/>
      <c r="O38" s="321" t="s">
        <v>643</v>
      </c>
      <c r="P38" s="321"/>
      <c r="Q38" s="321"/>
      <c r="R38" s="321"/>
      <c r="S38" s="321" t="s">
        <v>647</v>
      </c>
      <c r="T38" s="321"/>
      <c r="U38" s="321"/>
      <c r="V38" s="321"/>
      <c r="W38" s="328"/>
      <c r="X38" s="329"/>
      <c r="Y38" s="329"/>
      <c r="Z38" s="329"/>
      <c r="AA38" s="329"/>
      <c r="AB38" s="329"/>
      <c r="AC38" s="329"/>
      <c r="AD38" s="329"/>
      <c r="AE38" s="329"/>
      <c r="AF38" s="329"/>
      <c r="AG38" s="329"/>
      <c r="AH38" s="329"/>
      <c r="AI38" s="330"/>
      <c r="BK38" s="8"/>
    </row>
    <row r="39" spans="1:63" ht="15" customHeight="1">
      <c r="A39" s="4"/>
      <c r="B39" s="67"/>
      <c r="C39" s="67"/>
      <c r="BK39" s="8"/>
    </row>
    <row r="40" spans="1:63" ht="15" customHeight="1">
      <c r="A40" s="4"/>
      <c r="B40" s="67" t="s">
        <v>104</v>
      </c>
      <c r="C40" s="67" t="s">
        <v>696</v>
      </c>
      <c r="BK40" s="8"/>
    </row>
    <row r="41" spans="1:63" ht="15" customHeight="1">
      <c r="A41" s="4"/>
      <c r="B41" s="67" t="s">
        <v>656</v>
      </c>
      <c r="C41" s="67" t="s">
        <v>697</v>
      </c>
      <c r="BK41" s="8"/>
    </row>
    <row r="42" spans="1:63" ht="15" customHeight="1">
      <c r="A42" s="4"/>
      <c r="B42" s="67" t="s">
        <v>656</v>
      </c>
      <c r="C42" s="67" t="s">
        <v>698</v>
      </c>
      <c r="D42" s="67"/>
      <c r="BK42" s="8"/>
    </row>
    <row r="43" spans="1:63" ht="15" customHeight="1">
      <c r="A43" s="4"/>
      <c r="B43" s="67" t="s">
        <v>104</v>
      </c>
      <c r="C43" s="67" t="s">
        <v>699</v>
      </c>
      <c r="D43" s="67"/>
      <c r="BK43" s="8"/>
    </row>
    <row r="44" spans="1:63" ht="15" customHeight="1">
      <c r="A44" s="4"/>
      <c r="BK44" s="8"/>
    </row>
    <row r="45" spans="1:63" ht="15" customHeight="1">
      <c r="A45" s="4"/>
      <c r="B45" s="66" t="s">
        <v>260</v>
      </c>
      <c r="BK45" s="8"/>
    </row>
    <row r="46" spans="1:63" ht="15" customHeight="1">
      <c r="A46" s="4"/>
      <c r="B46" s="67" t="s">
        <v>700</v>
      </c>
      <c r="C46" s="67"/>
      <c r="BK46" s="8"/>
    </row>
    <row r="47" spans="1:63" ht="15" customHeight="1">
      <c r="A47" s="4"/>
      <c r="BK47" s="8"/>
    </row>
    <row r="48" spans="1:63" ht="15" customHeight="1">
      <c r="A48" s="4"/>
      <c r="B48" s="66" t="s">
        <v>266</v>
      </c>
      <c r="BK48" s="8"/>
    </row>
    <row r="49" spans="1:63" ht="15" customHeight="1">
      <c r="A49" s="4"/>
      <c r="B49" s="67" t="s">
        <v>104</v>
      </c>
      <c r="C49" s="67" t="s">
        <v>267</v>
      </c>
      <c r="BK49" s="8"/>
    </row>
    <row r="50" spans="1:63" ht="15" customHeight="1">
      <c r="A50" s="4"/>
      <c r="C50" s="67" t="s">
        <v>108</v>
      </c>
      <c r="D50" s="67" t="s">
        <v>611</v>
      </c>
      <c r="BK50" s="8"/>
    </row>
    <row r="51" spans="1:63" ht="15" customHeight="1">
      <c r="A51" s="4"/>
      <c r="C51" s="67" t="s">
        <v>681</v>
      </c>
      <c r="D51" s="67" t="s">
        <v>682</v>
      </c>
      <c r="BK51" s="8"/>
    </row>
    <row r="52" spans="1:63" ht="15" customHeight="1">
      <c r="A52" s="4"/>
      <c r="B52" s="67" t="s">
        <v>104</v>
      </c>
      <c r="C52" s="67" t="s">
        <v>612</v>
      </c>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49">
    <mergeCell ref="O38:R38"/>
    <mergeCell ref="S38:V38"/>
    <mergeCell ref="W38:AI38"/>
    <mergeCell ref="C35:H38"/>
    <mergeCell ref="I35:N36"/>
    <mergeCell ref="O35:R36"/>
    <mergeCell ref="S35:V36"/>
    <mergeCell ref="W35:AI36"/>
    <mergeCell ref="I37:N37"/>
    <mergeCell ref="O37:R37"/>
    <mergeCell ref="S37:V37"/>
    <mergeCell ref="W37:AI37"/>
    <mergeCell ref="I38:N38"/>
    <mergeCell ref="O30:R30"/>
    <mergeCell ref="S30:V30"/>
    <mergeCell ref="W30:AI30"/>
    <mergeCell ref="C31:H34"/>
    <mergeCell ref="I31:N32"/>
    <mergeCell ref="O31:R32"/>
    <mergeCell ref="S31:V32"/>
    <mergeCell ref="W31:AI32"/>
    <mergeCell ref="I33:N33"/>
    <mergeCell ref="O33:R33"/>
    <mergeCell ref="S33:V33"/>
    <mergeCell ref="W33:AI33"/>
    <mergeCell ref="I34:N34"/>
    <mergeCell ref="O34:R34"/>
    <mergeCell ref="S34:V34"/>
    <mergeCell ref="W34:AI34"/>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59CE-53B4-4261-AF2B-1E3F067F0880}">
  <sheetPr>
    <pageSetUpPr fitToPage="1"/>
  </sheetPr>
  <dimension ref="A1:BK55"/>
  <sheetViews>
    <sheetView view="pageBreakPreview" zoomScale="80" zoomScaleNormal="75" zoomScaleSheetLayoutView="80" workbookViewId="0">
      <selection activeCell="AM29" sqref="AM29"/>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テンプレート</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K8" s="8"/>
    </row>
    <row r="9" spans="1:63" ht="15" customHeight="1">
      <c r="A9" s="4"/>
      <c r="BK9" s="8"/>
    </row>
    <row r="10" spans="1:63" ht="15" customHeight="1">
      <c r="A10" s="4"/>
      <c r="BK10" s="8"/>
    </row>
    <row r="11" spans="1:63" ht="15" customHeight="1">
      <c r="A11" s="4"/>
      <c r="BK11" s="8"/>
    </row>
    <row r="12" spans="1:63" ht="15" customHeight="1">
      <c r="A12" s="4"/>
      <c r="BK12" s="8"/>
    </row>
    <row r="13" spans="1:63" ht="15" customHeight="1">
      <c r="A13" s="4"/>
      <c r="BK13" s="8"/>
    </row>
    <row r="14" spans="1:63" ht="15" customHeight="1">
      <c r="A14" s="4"/>
      <c r="BK14" s="8"/>
    </row>
    <row r="15" spans="1:63" ht="15" customHeight="1">
      <c r="A15" s="4"/>
      <c r="BK15" s="8"/>
    </row>
    <row r="16" spans="1:63" ht="15" customHeight="1">
      <c r="A16" s="4"/>
      <c r="BK16" s="8"/>
    </row>
    <row r="17" spans="1:63" ht="15" customHeight="1">
      <c r="A17" s="4"/>
      <c r="BK17" s="8"/>
    </row>
    <row r="18" spans="1:63" ht="15" customHeight="1">
      <c r="A18" s="4"/>
      <c r="BK18" s="8"/>
    </row>
    <row r="19" spans="1:63" ht="15" customHeight="1">
      <c r="A19" s="4"/>
      <c r="BK19" s="8"/>
    </row>
    <row r="20" spans="1:63" ht="15" customHeight="1">
      <c r="A20" s="4"/>
      <c r="BK20" s="8"/>
    </row>
    <row r="21" spans="1:63" ht="15" customHeight="1">
      <c r="A21" s="4"/>
      <c r="BK21" s="8"/>
    </row>
    <row r="22" spans="1:63" ht="15" customHeight="1">
      <c r="A22" s="4"/>
      <c r="BK22" s="8"/>
    </row>
    <row r="23" spans="1:63" ht="15" customHeight="1">
      <c r="A23" s="4"/>
      <c r="BK23" s="8"/>
    </row>
    <row r="24" spans="1:63" ht="15" customHeight="1">
      <c r="A24" s="4"/>
      <c r="BK24" s="8"/>
    </row>
    <row r="25" spans="1:63" ht="15" customHeight="1">
      <c r="A25" s="4"/>
      <c r="BK25" s="8"/>
    </row>
    <row r="26" spans="1:63" ht="15" customHeight="1">
      <c r="A26" s="4"/>
      <c r="BK26" s="8"/>
    </row>
    <row r="27" spans="1:63" ht="15" customHeight="1">
      <c r="A27" s="4"/>
      <c r="BK27" s="8"/>
    </row>
    <row r="28" spans="1:63" ht="15" customHeight="1">
      <c r="A28" s="4"/>
      <c r="BK28" s="8"/>
    </row>
    <row r="29" spans="1:63" ht="15" customHeight="1">
      <c r="A29" s="4"/>
      <c r="BK29" s="8"/>
    </row>
    <row r="30" spans="1:63" ht="15" customHeight="1">
      <c r="A30" s="4"/>
      <c r="BK30" s="8"/>
    </row>
    <row r="31" spans="1:63" ht="15" customHeight="1">
      <c r="A31" s="4"/>
      <c r="BK31" s="8"/>
    </row>
    <row r="32" spans="1:63" ht="15" customHeight="1">
      <c r="A32" s="4"/>
      <c r="BK32" s="8"/>
    </row>
    <row r="33" spans="1:63" ht="15" customHeight="1">
      <c r="A33" s="4"/>
      <c r="BK33" s="8"/>
    </row>
    <row r="34" spans="1:63" ht="15" customHeight="1">
      <c r="A34" s="4"/>
      <c r="BK34" s="8"/>
    </row>
    <row r="35" spans="1:63" ht="15" customHeight="1">
      <c r="A35" s="4"/>
      <c r="BK35" s="8"/>
    </row>
    <row r="36" spans="1:63" ht="15" customHeight="1">
      <c r="A36" s="4"/>
      <c r="BK36" s="8"/>
    </row>
    <row r="37" spans="1:63" ht="15" customHeight="1">
      <c r="A37" s="4"/>
      <c r="BK37" s="8"/>
    </row>
    <row r="38" spans="1:63" ht="15" customHeight="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4"/>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2:B4"/>
  <sheetViews>
    <sheetView workbookViewId="0"/>
  </sheetViews>
  <sheetFormatPr defaultColWidth="3.88671875" defaultRowHeight="15.75"/>
  <sheetData>
    <row r="2" spans="2:2">
      <c r="B2" s="1" t="s">
        <v>701</v>
      </c>
    </row>
    <row r="4" spans="2:2">
      <c r="B4" s="2" t="s">
        <v>251</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099EE4-2A00-463B-AC2A-A7D9EA354D46}">
  <ds:schemaRefs>
    <ds:schemaRef ds:uri="http://schemas.microsoft.com/sharepoint/v3/contenttype/forms"/>
  </ds:schemaRefs>
</ds:datastoreItem>
</file>

<file path=customXml/itemProps2.xml><?xml version="1.0" encoding="utf-8"?>
<ds:datastoreItem xmlns:ds="http://schemas.openxmlformats.org/officeDocument/2006/customXml" ds:itemID="{C5293869-1B16-467C-A822-74FBBC7684D6}">
  <ds:schemaRefs>
    <ds:schemaRef ds:uri="http://schemas.microsoft.com/office/2006/metadata/properties"/>
    <ds:schemaRef ds:uri="http://schemas.microsoft.com/office/infopath/2007/PartnerControls"/>
    <ds:schemaRef ds:uri="daf89b5b-bbad-4309-9981-305d79e5980c"/>
    <ds:schemaRef ds:uri="12511b1c-3e11-4df6-bc2c-fe16eb27e0dd"/>
  </ds:schemaRefs>
</ds:datastoreItem>
</file>

<file path=customXml/itemProps3.xml><?xml version="1.0" encoding="utf-8"?>
<ds:datastoreItem xmlns:ds="http://schemas.openxmlformats.org/officeDocument/2006/customXml" ds:itemID="{2314C10D-6E76-4C6B-81F9-5409C2086C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17</vt:i4>
      </vt:variant>
    </vt:vector>
  </HeadingPairs>
  <TitlesOfParts>
    <vt:vector size="32" baseType="lpstr">
      <vt:lpstr>表紙</vt:lpstr>
      <vt:lpstr>改廃履歴</vt:lpstr>
      <vt:lpstr>概要</vt:lpstr>
      <vt:lpstr>価格決定表</vt:lpstr>
      <vt:lpstr>マークダウン</vt:lpstr>
      <vt:lpstr>特売</vt:lpstr>
      <vt:lpstr>値引バーコード</vt:lpstr>
      <vt:lpstr>分類</vt:lpstr>
      <vt:lpstr>ミックスマッチ</vt:lpstr>
      <vt:lpstr>マニュアル単品</vt:lpstr>
      <vt:lpstr>マニュアル小計</vt:lpstr>
      <vt:lpstr>朝割</vt:lpstr>
      <vt:lpstr>メガ割</vt:lpstr>
      <vt:lpstr>テンプレート</vt:lpstr>
      <vt:lpstr>雛型</vt:lpstr>
      <vt:lpstr>改廃履歴!Print_Area</vt:lpstr>
      <vt:lpstr>概要!Print_Area</vt:lpstr>
      <vt:lpstr>表紙!Print_Area</vt:lpstr>
      <vt:lpstr>テンプレート!Print_Titles</vt:lpstr>
      <vt:lpstr>マークダウン!Print_Titles</vt:lpstr>
      <vt:lpstr>マニュアル小計!Print_Titles</vt:lpstr>
      <vt:lpstr>マニュアル単品!Print_Titles</vt:lpstr>
      <vt:lpstr>ミックスマッチ!Print_Titles</vt:lpstr>
      <vt:lpstr>メガ割!Print_Titles</vt:lpstr>
      <vt:lpstr>価格決定表!Print_Titles</vt:lpstr>
      <vt:lpstr>改廃履歴!Print_Titles</vt:lpstr>
      <vt:lpstr>概要!Print_Titles</vt:lpstr>
      <vt:lpstr>値引バーコード!Print_Titles</vt:lpstr>
      <vt:lpstr>朝割!Print_Titles</vt:lpstr>
      <vt:lpstr>特売!Print_Titles</vt:lpstr>
      <vt:lpstr>表紙!Print_Titles</vt:lpstr>
      <vt:lpstr>分類!Print_Titles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水落 秀臣 (581)</dc:creator>
  <cp:keywords/>
  <dc:description/>
  <cp:lastModifiedBy>Thanh Nguyên</cp:lastModifiedBy>
  <cp:revision/>
  <dcterms:created xsi:type="dcterms:W3CDTF">2019-04-16T07:44:04Z</dcterms:created>
  <dcterms:modified xsi:type="dcterms:W3CDTF">2024-12-30T13:45:25Z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