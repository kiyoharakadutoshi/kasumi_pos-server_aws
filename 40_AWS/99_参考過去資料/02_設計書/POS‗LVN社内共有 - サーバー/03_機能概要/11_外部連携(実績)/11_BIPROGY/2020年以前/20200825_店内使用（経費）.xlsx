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3a7\AC\Temp\"/>
    </mc:Choice>
  </mc:AlternateContent>
  <xr:revisionPtr revIDLastSave="10" documentId="8_{8AF6E3BD-BA0C-4323-A80D-4EF77ABAEEC0}" xr6:coauthVersionLast="47" xr6:coauthVersionMax="47" xr10:uidLastSave="{A9F473B8-AC3B-43A8-90C9-2F16F8D4BBAA}"/>
  <bookViews>
    <workbookView xWindow="-60" yWindow="-60" windowWidth="15480" windowHeight="11640" activeTab="1" xr2:uid="{00000000-000D-0000-FFFF-FFFF00000000}"/>
  </bookViews>
  <sheets>
    <sheet name="1" sheetId="3" r:id="rId1"/>
    <sheet name="【補足】" sheetId="7" r:id="rId2"/>
    <sheet name="データ例" sheetId="8" r:id="rId3"/>
  </sheets>
  <definedNames>
    <definedName name="_xlnm.Print_Titles" localSheetId="0">'1'!$1:$9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8" l="1"/>
  <c r="J18" i="8"/>
  <c r="L17" i="8"/>
  <c r="J17" i="8"/>
  <c r="L16" i="8"/>
  <c r="J16" i="8"/>
  <c r="L15" i="8"/>
  <c r="J15" i="8"/>
  <c r="L14" i="8"/>
  <c r="J14" i="8"/>
  <c r="L13" i="8"/>
  <c r="J13" i="8"/>
  <c r="L12" i="8"/>
  <c r="J12" i="8"/>
  <c r="L11" i="8"/>
  <c r="J11" i="8"/>
  <c r="L10" i="8"/>
  <c r="J10" i="8"/>
  <c r="L9" i="8"/>
  <c r="J9" i="8"/>
  <c r="L8" i="8"/>
  <c r="J8" i="8"/>
  <c r="L7" i="8"/>
  <c r="J7" i="8"/>
  <c r="L6" i="8"/>
  <c r="J6" i="8"/>
</calcChain>
</file>

<file path=xl/sharedStrings.xml><?xml version="1.0" encoding="utf-8"?>
<sst xmlns="http://schemas.openxmlformats.org/spreadsheetml/2006/main" count="134" uniqueCount="78">
  <si>
    <t>レコード仕様書</t>
  </si>
  <si>
    <t>店内使用（経費）ＣＳＶ ﾌｧｲﾙ</t>
    <rPh sb="0" eb="2">
      <t>テンナイ</t>
    </rPh>
    <rPh sb="2" eb="4">
      <t>シヨウ</t>
    </rPh>
    <rPh sb="5" eb="7">
      <t>ケイヒ</t>
    </rPh>
    <phoneticPr fontId="2"/>
  </si>
  <si>
    <t>店内使用（経費）          ﾚｺｰﾄﾞ</t>
    <phoneticPr fontId="2"/>
  </si>
  <si>
    <t>作成日</t>
  </si>
  <si>
    <t>作成者</t>
  </si>
  <si>
    <t>変更履歴</t>
  </si>
  <si>
    <t>GHPLUTASTE.CSV</t>
    <phoneticPr fontId="2"/>
  </si>
  <si>
    <t>　</t>
    <phoneticPr fontId="2"/>
  </si>
  <si>
    <t>佐々木</t>
    <rPh sb="0" eb="3">
      <t>ササキ</t>
    </rPh>
    <phoneticPr fontId="2"/>
  </si>
  <si>
    <t>ファイル</t>
  </si>
  <si>
    <t>ファイル種別</t>
  </si>
  <si>
    <t>第１レコードキー</t>
  </si>
  <si>
    <t>諸元</t>
  </si>
  <si>
    <t>ファイル編成</t>
  </si>
  <si>
    <t>CSV</t>
  </si>
  <si>
    <t>第２レコードキー</t>
  </si>
  <si>
    <t>レコード長</t>
  </si>
  <si>
    <t>可変長</t>
  </si>
  <si>
    <t>第３レコードキー</t>
  </si>
  <si>
    <t>レベル</t>
  </si>
  <si>
    <t>項目名（日本語）</t>
    <phoneticPr fontId="2"/>
  </si>
  <si>
    <t>データ型</t>
  </si>
  <si>
    <t>符号</t>
    <rPh sb="0" eb="2">
      <t>フゴウ</t>
    </rPh>
    <phoneticPr fontId="2"/>
  </si>
  <si>
    <t>桁数</t>
  </si>
  <si>
    <t>区分</t>
  </si>
  <si>
    <t>内容説明（初期値／データ内容／編集条件等）</t>
  </si>
  <si>
    <t>備   考</t>
  </si>
  <si>
    <t>店番号</t>
  </si>
  <si>
    <t>店番号</t>
    <rPh sb="0" eb="2">
      <t>テンバン</t>
    </rPh>
    <rPh sb="2" eb="3">
      <t>ゴウ</t>
    </rPh>
    <phoneticPr fontId="2"/>
  </si>
  <si>
    <t>1</t>
  </si>
  <si>
    <t>日</t>
  </si>
  <si>
    <t>売上日ＹＹＹＹＭＭＤＤ形式</t>
  </si>
  <si>
    <t>経費コード</t>
    <rPh sb="0" eb="2">
      <t>ケイヒ</t>
    </rPh>
    <phoneticPr fontId="2"/>
  </si>
  <si>
    <t>シート【補足】参照</t>
    <rPh sb="4" eb="6">
      <t>ホソク</t>
    </rPh>
    <rPh sb="7" eb="9">
      <t>サンショウ</t>
    </rPh>
    <phoneticPr fontId="2"/>
  </si>
  <si>
    <t>1</t>
    <phoneticPr fontId="2"/>
  </si>
  <si>
    <t>商品コード</t>
    <rPh sb="0" eb="2">
      <t>ショウヒン</t>
    </rPh>
    <phoneticPr fontId="2"/>
  </si>
  <si>
    <t>スキャンコード</t>
    <phoneticPr fontId="2"/>
  </si>
  <si>
    <t>数量</t>
    <rPh sb="0" eb="2">
      <t>スウリョウ</t>
    </rPh>
    <phoneticPr fontId="2"/>
  </si>
  <si>
    <t>金額</t>
    <rPh sb="0" eb="2">
      <t>キンガク</t>
    </rPh>
    <phoneticPr fontId="2"/>
  </si>
  <si>
    <t>定番売価</t>
    <rPh sb="0" eb="2">
      <t>テイバン</t>
    </rPh>
    <rPh sb="2" eb="4">
      <t>バイカ</t>
    </rPh>
    <phoneticPr fontId="2"/>
  </si>
  <si>
    <t>経費_インポート定義</t>
    <phoneticPr fontId="2"/>
  </si>
  <si>
    <t>W_経費取込</t>
  </si>
  <si>
    <t>【補足】</t>
  </si>
  <si>
    <t>店内使用画面項目</t>
    <rPh sb="0" eb="2">
      <t>テンナイ</t>
    </rPh>
    <rPh sb="2" eb="4">
      <t>シヨウ</t>
    </rPh>
    <rPh sb="4" eb="6">
      <t>ガメン</t>
    </rPh>
    <rPh sb="6" eb="8">
      <t>コウモク</t>
    </rPh>
    <phoneticPr fontId="5"/>
  </si>
  <si>
    <t>経費コード</t>
  </si>
  <si>
    <t>店内使用品</t>
    <rPh sb="0" eb="2">
      <t>テンナイ</t>
    </rPh>
    <rPh sb="2" eb="4">
      <t>シヨウ</t>
    </rPh>
    <rPh sb="4" eb="5">
      <t>ヒン</t>
    </rPh>
    <phoneticPr fontId="5"/>
  </si>
  <si>
    <t>（１）消耗品購入</t>
    <rPh sb="3" eb="5">
      <t>ショウモウ</t>
    </rPh>
    <rPh sb="5" eb="6">
      <t>ヒン</t>
    </rPh>
    <rPh sb="6" eb="8">
      <t>コウニュウ</t>
    </rPh>
    <phoneticPr fontId="5"/>
  </si>
  <si>
    <t>0101</t>
  </si>
  <si>
    <t>（２）試食他（販促費）</t>
    <rPh sb="3" eb="5">
      <t>シショク</t>
    </rPh>
    <rPh sb="5" eb="6">
      <t>タ</t>
    </rPh>
    <rPh sb="7" eb="10">
      <t>ハンソクヒ</t>
    </rPh>
    <phoneticPr fontId="5"/>
  </si>
  <si>
    <t>0102</t>
  </si>
  <si>
    <t>（３）薬、制服、クリーニング</t>
    <rPh sb="3" eb="4">
      <t>クスリ</t>
    </rPh>
    <rPh sb="5" eb="7">
      <t>セイフク</t>
    </rPh>
    <phoneticPr fontId="5"/>
  </si>
  <si>
    <t>0103</t>
  </si>
  <si>
    <t>（４）その他委経費</t>
    <rPh sb="5" eb="6">
      <t>タ</t>
    </rPh>
    <rPh sb="6" eb="7">
      <t>イ</t>
    </rPh>
    <rPh sb="7" eb="9">
      <t>ケイヒ</t>
    </rPh>
    <phoneticPr fontId="5"/>
  </si>
  <si>
    <t>0104</t>
  </si>
  <si>
    <t>クッキング</t>
    <phoneticPr fontId="5"/>
  </si>
  <si>
    <t>（１）広告料（販促費）</t>
    <rPh sb="3" eb="5">
      <t>コウコク</t>
    </rPh>
    <rPh sb="5" eb="6">
      <t>リョウ</t>
    </rPh>
    <rPh sb="7" eb="10">
      <t>ハンソクヒ</t>
    </rPh>
    <phoneticPr fontId="5"/>
  </si>
  <si>
    <t>0202</t>
  </si>
  <si>
    <t>景品</t>
    <rPh sb="0" eb="2">
      <t>ケイヒン</t>
    </rPh>
    <phoneticPr fontId="5"/>
  </si>
  <si>
    <t>0303</t>
  </si>
  <si>
    <t>スーパーマーケットツアー</t>
    <phoneticPr fontId="5"/>
  </si>
  <si>
    <t>（１）食育ツアー</t>
    <rPh sb="3" eb="5">
      <t>ショクイク</t>
    </rPh>
    <phoneticPr fontId="5"/>
  </si>
  <si>
    <t>0405</t>
  </si>
  <si>
    <t>（２）料理教室</t>
    <rPh sb="3" eb="5">
      <t>リョウリ</t>
    </rPh>
    <rPh sb="5" eb="7">
      <t>キョウシツ</t>
    </rPh>
    <phoneticPr fontId="5"/>
  </si>
  <si>
    <t>0406</t>
  </si>
  <si>
    <t>（３）ブランド戦略</t>
  </si>
  <si>
    <t>0407</t>
  </si>
  <si>
    <t>2023/07/10 追加</t>
  </si>
  <si>
    <t>データ取込み例</t>
    <rPh sb="3" eb="5">
      <t>トリコ</t>
    </rPh>
    <rPh sb="6" eb="7">
      <t>レイ</t>
    </rPh>
    <phoneticPr fontId="2"/>
  </si>
  <si>
    <t>店舗会計金額は仕入金額を集計</t>
    <rPh sb="0" eb="2">
      <t>テンポ</t>
    </rPh>
    <rPh sb="2" eb="4">
      <t>カイケイ</t>
    </rPh>
    <rPh sb="4" eb="6">
      <t>キンガク</t>
    </rPh>
    <rPh sb="7" eb="9">
      <t>シイ</t>
    </rPh>
    <rPh sb="9" eb="11">
      <t>キンガク</t>
    </rPh>
    <rPh sb="12" eb="14">
      <t>シュウケイ</t>
    </rPh>
    <phoneticPr fontId="2"/>
  </si>
  <si>
    <t>店番</t>
    <rPh sb="0" eb="2">
      <t>テンバン</t>
    </rPh>
    <phoneticPr fontId="6"/>
  </si>
  <si>
    <t>発生日</t>
    <rPh sb="0" eb="2">
      <t>ハッセイ</t>
    </rPh>
    <rPh sb="2" eb="3">
      <t>ビ</t>
    </rPh>
    <phoneticPr fontId="6"/>
  </si>
  <si>
    <t>経費コード</t>
    <rPh sb="0" eb="2">
      <t>ケイヒ</t>
    </rPh>
    <phoneticPr fontId="6"/>
  </si>
  <si>
    <t>商品</t>
    <rPh sb="0" eb="2">
      <t>ショウヒン</t>
    </rPh>
    <phoneticPr fontId="6"/>
  </si>
  <si>
    <t>ＰＬＵ</t>
    <phoneticPr fontId="6"/>
  </si>
  <si>
    <t>個数</t>
    <rPh sb="0" eb="2">
      <t>コスウ</t>
    </rPh>
    <phoneticPr fontId="6"/>
  </si>
  <si>
    <t>単価</t>
    <rPh sb="0" eb="2">
      <t>タンカ</t>
    </rPh>
    <phoneticPr fontId="6"/>
  </si>
  <si>
    <t>原価</t>
    <rPh sb="0" eb="2">
      <t>ゲンカ</t>
    </rPh>
    <phoneticPr fontId="6"/>
  </si>
  <si>
    <t>店内使用品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</si>
</sst>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0" fillId="2" borderId="22" xfId="0" applyFill="1" applyBorder="1" applyAlignment="1">
      <alignment vertical="center" shrinkToFit="1"/>
    </xf>
    <xf numFmtId="0" fontId="0" fillId="2" borderId="23" xfId="0" applyFill="1" applyBorder="1" applyAlignment="1">
      <alignment vertical="center" shrinkToFit="1"/>
    </xf>
    <xf numFmtId="0" fontId="0" fillId="0" borderId="24" xfId="0" applyBorder="1" applyAlignment="1">
      <alignment vertical="center" shrinkToFit="1"/>
    </xf>
    <xf numFmtId="49" fontId="0" fillId="0" borderId="25" xfId="0" applyNumberFormat="1" applyBorder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4" xfId="0" applyFont="1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49" fontId="0" fillId="0" borderId="30" xfId="0" applyNumberForma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vertical="center" shrinkToFit="1"/>
    </xf>
    <xf numFmtId="0" fontId="0" fillId="0" borderId="27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3" xfId="0" applyBorder="1" applyAlignment="1">
      <alignment vertical="center" shrinkToFit="1"/>
    </xf>
    <xf numFmtId="0" fontId="4" fillId="0" borderId="35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7" fillId="0" borderId="0" xfId="0" applyFont="1"/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1" xfId="0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2" borderId="28" xfId="0" applyFill="1" applyBorder="1" applyAlignment="1">
      <alignment horizontal="center" vertical="center"/>
    </xf>
    <xf numFmtId="0" fontId="0" fillId="0" borderId="27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0" fontId="0" fillId="0" borderId="2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2" borderId="7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33" xfId="0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2" borderId="42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2" borderId="42" xfId="0" applyFill="1" applyBorder="1" applyAlignment="1">
      <alignment horizontal="center" vertical="center" shrinkToFit="1"/>
    </xf>
    <xf numFmtId="14" fontId="0" fillId="2" borderId="42" xfId="0" applyNumberFormat="1" applyFill="1" applyBorder="1" applyAlignment="1">
      <alignment horizontal="center" vertical="center" shrinkToFit="1"/>
    </xf>
    <xf numFmtId="0" fontId="0" fillId="2" borderId="43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0" borderId="34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0" fillId="2" borderId="45" xfId="0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0" fontId="0" fillId="2" borderId="48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2" borderId="51" xfId="0" applyFill="1" applyBorder="1" applyAlignment="1">
      <alignment vertical="center"/>
    </xf>
    <xf numFmtId="0" fontId="0" fillId="2" borderId="52" xfId="0" applyFill="1" applyBorder="1" applyAlignment="1">
      <alignment horizontal="center" vertical="center" shrinkToFit="1"/>
    </xf>
    <xf numFmtId="0" fontId="0" fillId="0" borderId="53" xfId="0" applyBorder="1" applyAlignment="1">
      <alignment horizontal="center" vertical="center" shrinkToFit="1"/>
    </xf>
    <xf numFmtId="0" fontId="0" fillId="2" borderId="54" xfId="0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1" xfId="0" applyFill="1" applyBorder="1" applyAlignment="1">
      <alignment vertical="center"/>
    </xf>
    <xf numFmtId="0" fontId="0" fillId="2" borderId="62" xfId="0" applyFill="1" applyBorder="1" applyAlignment="1">
      <alignment vertical="center"/>
    </xf>
    <xf numFmtId="0" fontId="0" fillId="2" borderId="52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53" xfId="0" applyFill="1" applyBorder="1" applyAlignment="1">
      <alignment horizontal="right" vertical="center"/>
    </xf>
    <xf numFmtId="0" fontId="0" fillId="2" borderId="63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0" fontId="0" fillId="2" borderId="64" xfId="0" applyFill="1" applyBorder="1" applyAlignment="1">
      <alignment horizontal="right" vertic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0" fillId="2" borderId="52" xfId="0" applyFill="1" applyBorder="1" applyAlignment="1">
      <alignment horizontal="right" vertical="center" shrinkToFit="1"/>
    </xf>
    <xf numFmtId="0" fontId="0" fillId="0" borderId="4" xfId="0" applyBorder="1" applyAlignment="1">
      <alignment horizontal="right" vertical="center" shrinkToFit="1"/>
    </xf>
    <xf numFmtId="0" fontId="0" fillId="0" borderId="53" xfId="0" applyBorder="1" applyAlignment="1">
      <alignment horizontal="right" vertical="center" shrinkToFit="1"/>
    </xf>
    <xf numFmtId="0" fontId="0" fillId="0" borderId="63" xfId="0" applyBorder="1" applyAlignment="1">
      <alignment horizontal="right" vertical="center" shrinkToFit="1"/>
    </xf>
    <xf numFmtId="0" fontId="0" fillId="0" borderId="13" xfId="0" applyBorder="1" applyAlignment="1">
      <alignment horizontal="right" vertical="center" shrinkToFit="1"/>
    </xf>
    <xf numFmtId="0" fontId="0" fillId="0" borderId="64" xfId="0" applyBorder="1" applyAlignment="1">
      <alignment horizontal="right" vertical="center" shrinkToFit="1"/>
    </xf>
    <xf numFmtId="0" fontId="0" fillId="0" borderId="5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49" fontId="4" fillId="0" borderId="67" xfId="0" applyNumberFormat="1" applyFont="1" applyBorder="1" applyAlignment="1">
      <alignment vertical="center"/>
    </xf>
    <xf numFmtId="49" fontId="4" fillId="0" borderId="35" xfId="0" applyNumberFormat="1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69" xfId="0" applyBorder="1" applyAlignment="1">
      <alignment vertical="center"/>
    </xf>
    <xf numFmtId="49" fontId="0" fillId="0" borderId="69" xfId="0" applyNumberFormat="1" applyBorder="1" applyAlignment="1">
      <alignment vertical="center"/>
    </xf>
    <xf numFmtId="0" fontId="0" fillId="0" borderId="69" xfId="0" applyBorder="1"/>
    <xf numFmtId="49" fontId="0" fillId="0" borderId="42" xfId="0" applyNumberForma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57150</xdr:rowOff>
    </xdr:from>
    <xdr:to>
      <xdr:col>11</xdr:col>
      <xdr:colOff>228600</xdr:colOff>
      <xdr:row>53</xdr:row>
      <xdr:rowOff>19050</xdr:rowOff>
    </xdr:to>
    <xdr:pic>
      <xdr:nvPicPr>
        <xdr:cNvPr id="1025" name="図 3">
          <a:extLst>
            <a:ext uri="{FF2B5EF4-FFF2-40B4-BE49-F238E27FC236}">
              <a16:creationId xmlns:a16="http://schemas.microsoft.com/office/drawing/2014/main" id="{24E133B5-886E-FF52-66C5-A37B4352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"/>
          <a:ext cx="8086725" cy="561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A5" workbookViewId="0">
      <selection activeCell="B12" sqref="B12"/>
    </sheetView>
  </sheetViews>
  <sheetFormatPr defaultRowHeight="13.5"/>
  <cols>
    <col min="1" max="1" width="4.75" style="1" customWidth="1"/>
    <col min="2" max="2" width="11.75" style="1" customWidth="1"/>
    <col min="3" max="3" width="12.375" style="1" customWidth="1"/>
    <col min="4" max="4" width="4.375" style="1" customWidth="1"/>
    <col min="5" max="5" width="7.75" style="1" customWidth="1"/>
    <col min="6" max="6" width="5.625" style="1" customWidth="1"/>
    <col min="7" max="7" width="6.125" style="1" customWidth="1"/>
    <col min="8" max="8" width="5.5" style="1" customWidth="1"/>
    <col min="9" max="9" width="6.5" style="1" customWidth="1"/>
    <col min="10" max="10" width="14.625" style="1" customWidth="1"/>
    <col min="11" max="11" width="11.625" style="1" customWidth="1"/>
    <col min="12" max="12" width="9" style="1"/>
    <col min="13" max="15" width="11.625" style="1" bestFit="1" customWidth="1"/>
    <col min="16" max="16" width="10.375" style="1" customWidth="1"/>
    <col min="17" max="17" width="3.875" style="1" hidden="1" customWidth="1"/>
    <col min="18" max="18" width="3" style="1" hidden="1" customWidth="1"/>
    <col min="19" max="16384" width="9" style="1"/>
  </cols>
  <sheetData>
    <row r="1" spans="1:18" ht="9" customHeight="1" thickTop="1">
      <c r="A1" s="95" t="s">
        <v>0</v>
      </c>
      <c r="B1" s="96"/>
      <c r="C1" s="97"/>
      <c r="D1" s="125" t="s">
        <v>1</v>
      </c>
      <c r="E1" s="126"/>
      <c r="F1" s="126"/>
      <c r="G1" s="127"/>
      <c r="H1" s="115" t="s">
        <v>2</v>
      </c>
      <c r="I1" s="116"/>
      <c r="J1" s="117"/>
      <c r="K1" s="83" t="s">
        <v>3</v>
      </c>
      <c r="L1" s="83" t="s">
        <v>4</v>
      </c>
      <c r="M1" s="83" t="s">
        <v>5</v>
      </c>
      <c r="N1" s="83"/>
      <c r="O1" s="83"/>
      <c r="P1" s="111"/>
      <c r="Q1" s="75"/>
      <c r="R1" s="76"/>
    </row>
    <row r="2" spans="1:18" ht="9" customHeight="1">
      <c r="A2" s="98"/>
      <c r="B2" s="77"/>
      <c r="C2" s="99"/>
      <c r="D2" s="128"/>
      <c r="E2" s="129"/>
      <c r="F2" s="129"/>
      <c r="G2" s="130"/>
      <c r="H2" s="118"/>
      <c r="I2" s="119"/>
      <c r="J2" s="120"/>
      <c r="K2" s="81"/>
      <c r="L2" s="81"/>
      <c r="M2" s="81"/>
      <c r="N2" s="81"/>
      <c r="O2" s="81"/>
      <c r="P2" s="112"/>
      <c r="Q2" s="77"/>
      <c r="R2" s="78"/>
    </row>
    <row r="3" spans="1:18" ht="18" customHeight="1">
      <c r="A3" s="98"/>
      <c r="B3" s="77"/>
      <c r="C3" s="99"/>
      <c r="D3" s="105" t="s">
        <v>6</v>
      </c>
      <c r="E3" s="106"/>
      <c r="F3" s="106"/>
      <c r="G3" s="107"/>
      <c r="H3" s="105" t="s">
        <v>7</v>
      </c>
      <c r="I3" s="106"/>
      <c r="J3" s="121"/>
      <c r="K3" s="88">
        <v>44068</v>
      </c>
      <c r="L3" s="81" t="s">
        <v>8</v>
      </c>
      <c r="M3" s="86"/>
      <c r="N3" s="86"/>
      <c r="O3" s="84"/>
      <c r="P3" s="113"/>
      <c r="Q3" s="77"/>
      <c r="R3" s="78"/>
    </row>
    <row r="4" spans="1:18" ht="18" customHeight="1" thickBot="1">
      <c r="A4" s="100"/>
      <c r="B4" s="101"/>
      <c r="C4" s="102"/>
      <c r="D4" s="108"/>
      <c r="E4" s="109"/>
      <c r="F4" s="109"/>
      <c r="G4" s="110"/>
      <c r="H4" s="122"/>
      <c r="I4" s="123"/>
      <c r="J4" s="124"/>
      <c r="K4" s="89"/>
      <c r="L4" s="82"/>
      <c r="M4" s="87"/>
      <c r="N4" s="87"/>
      <c r="O4" s="85"/>
      <c r="P4" s="114"/>
      <c r="Q4" s="79"/>
      <c r="R4" s="80"/>
    </row>
    <row r="5" spans="1:18" ht="15.95" customHeight="1" thickTop="1">
      <c r="A5" s="28" t="s">
        <v>9</v>
      </c>
      <c r="B5" s="22" t="s">
        <v>10</v>
      </c>
      <c r="C5" s="22"/>
      <c r="D5" s="62"/>
      <c r="E5" s="59"/>
      <c r="F5" s="103" t="s">
        <v>11</v>
      </c>
      <c r="G5" s="104"/>
      <c r="H5" s="62"/>
      <c r="I5" s="134"/>
      <c r="J5" s="134"/>
      <c r="K5" s="134"/>
      <c r="L5" s="134"/>
      <c r="M5" s="134"/>
      <c r="N5" s="134"/>
      <c r="O5" s="134"/>
      <c r="P5" s="135"/>
      <c r="Q5" s="6"/>
      <c r="R5" s="14"/>
    </row>
    <row r="6" spans="1:18" ht="15.95" hidden="1" customHeight="1">
      <c r="A6" s="28"/>
      <c r="B6" s="2"/>
      <c r="C6" s="2"/>
      <c r="D6" s="9"/>
      <c r="E6" s="10"/>
      <c r="F6" s="15"/>
      <c r="G6" s="15"/>
      <c r="H6" s="21"/>
      <c r="I6" s="21"/>
      <c r="J6" s="21"/>
      <c r="K6" s="21"/>
      <c r="L6" s="21"/>
      <c r="M6" s="21"/>
      <c r="N6" s="21"/>
      <c r="O6" s="21"/>
      <c r="P6" s="21"/>
      <c r="Q6" s="15"/>
      <c r="R6" s="16"/>
    </row>
    <row r="7" spans="1:18" ht="15.95" customHeight="1">
      <c r="A7" s="28" t="s">
        <v>12</v>
      </c>
      <c r="B7" s="3" t="s">
        <v>13</v>
      </c>
      <c r="C7" s="7" t="s">
        <v>14</v>
      </c>
      <c r="D7" s="67"/>
      <c r="E7" s="68"/>
      <c r="F7" s="90" t="s">
        <v>15</v>
      </c>
      <c r="G7" s="91"/>
      <c r="H7" s="136"/>
      <c r="I7" s="137"/>
      <c r="J7" s="137"/>
      <c r="K7" s="137"/>
      <c r="L7" s="137"/>
      <c r="M7" s="137"/>
      <c r="N7" s="137"/>
      <c r="O7" s="137"/>
      <c r="P7" s="138"/>
      <c r="Q7" s="17"/>
      <c r="R7" s="18"/>
    </row>
    <row r="8" spans="1:18" ht="15.95" customHeight="1" thickBot="1">
      <c r="A8" s="29"/>
      <c r="B8" s="8" t="s">
        <v>16</v>
      </c>
      <c r="C8" s="25" t="s">
        <v>17</v>
      </c>
      <c r="D8" s="11"/>
      <c r="E8" s="12"/>
      <c r="F8" s="69" t="s">
        <v>18</v>
      </c>
      <c r="G8" s="70"/>
      <c r="H8" s="139"/>
      <c r="I8" s="140"/>
      <c r="J8" s="140"/>
      <c r="K8" s="140"/>
      <c r="L8" s="140"/>
      <c r="M8" s="140"/>
      <c r="N8" s="140"/>
      <c r="O8" s="140"/>
      <c r="P8" s="141"/>
      <c r="Q8" s="19"/>
      <c r="R8" s="20"/>
    </row>
    <row r="9" spans="1:18" ht="18.75" customHeight="1">
      <c r="A9" s="30" t="s">
        <v>19</v>
      </c>
      <c r="B9" s="58" t="s">
        <v>20</v>
      </c>
      <c r="C9" s="59"/>
      <c r="D9" s="52"/>
      <c r="E9" s="37" t="s">
        <v>21</v>
      </c>
      <c r="F9" s="13" t="s">
        <v>22</v>
      </c>
      <c r="G9" s="23" t="s">
        <v>23</v>
      </c>
      <c r="H9" s="13" t="s">
        <v>24</v>
      </c>
      <c r="I9" s="131" t="s">
        <v>25</v>
      </c>
      <c r="J9" s="132"/>
      <c r="K9" s="132"/>
      <c r="L9" s="132"/>
      <c r="M9" s="132"/>
      <c r="N9" s="133"/>
      <c r="O9" s="93" t="s">
        <v>26</v>
      </c>
      <c r="P9" s="94"/>
      <c r="Q9" s="4"/>
      <c r="R9" s="5"/>
    </row>
    <row r="10" spans="1:18" ht="15.95" customHeight="1">
      <c r="A10" s="39">
        <v>1</v>
      </c>
      <c r="B10" s="60" t="s">
        <v>27</v>
      </c>
      <c r="C10" s="61"/>
      <c r="D10" s="51"/>
      <c r="E10" s="40"/>
      <c r="F10" s="41"/>
      <c r="G10" s="42"/>
      <c r="H10" s="42"/>
      <c r="I10" s="142" t="s">
        <v>28</v>
      </c>
      <c r="J10" s="144"/>
      <c r="K10" s="144"/>
      <c r="L10" s="144"/>
      <c r="M10" s="144"/>
      <c r="N10" s="145"/>
      <c r="O10" s="142"/>
      <c r="P10" s="143"/>
    </row>
    <row r="11" spans="1:18" ht="15.95" customHeight="1">
      <c r="A11" s="31" t="s">
        <v>29</v>
      </c>
      <c r="B11" s="63" t="s">
        <v>30</v>
      </c>
      <c r="C11" s="64"/>
      <c r="D11" s="46"/>
      <c r="E11" s="47"/>
      <c r="F11" s="42"/>
      <c r="G11" s="42"/>
      <c r="H11" s="42"/>
      <c r="I11" s="65" t="s">
        <v>31</v>
      </c>
      <c r="J11" s="71"/>
      <c r="K11" s="71"/>
      <c r="L11" s="71"/>
      <c r="M11" s="71"/>
      <c r="N11" s="66"/>
      <c r="O11" s="65"/>
      <c r="P11" s="92"/>
    </row>
    <row r="12" spans="1:18" ht="15.95" customHeight="1">
      <c r="A12" s="31" t="s">
        <v>29</v>
      </c>
      <c r="B12" s="45" t="s">
        <v>32</v>
      </c>
      <c r="C12" s="43"/>
      <c r="D12" s="46"/>
      <c r="E12" s="47"/>
      <c r="F12" s="42"/>
      <c r="G12" s="42"/>
      <c r="H12" s="42"/>
      <c r="I12" s="65" t="s">
        <v>33</v>
      </c>
      <c r="J12" s="71"/>
      <c r="K12" s="71"/>
      <c r="L12" s="71"/>
      <c r="M12" s="71"/>
      <c r="N12" s="66"/>
      <c r="O12" s="65"/>
      <c r="P12" s="92"/>
    </row>
    <row r="13" spans="1:18" ht="15.95" customHeight="1">
      <c r="A13" s="31" t="s">
        <v>34</v>
      </c>
      <c r="B13" s="44" t="s">
        <v>35</v>
      </c>
      <c r="C13" s="46"/>
      <c r="D13" s="46"/>
      <c r="E13" s="47"/>
      <c r="F13" s="42"/>
      <c r="G13" s="42"/>
      <c r="H13" s="42"/>
      <c r="I13" s="44" t="s">
        <v>35</v>
      </c>
      <c r="J13" s="45"/>
      <c r="K13" s="45"/>
      <c r="L13" s="45"/>
      <c r="M13" s="45"/>
      <c r="N13" s="46"/>
      <c r="O13" s="44"/>
      <c r="P13" s="48"/>
    </row>
    <row r="14" spans="1:18" ht="15.95" customHeight="1">
      <c r="A14" s="31" t="s">
        <v>29</v>
      </c>
      <c r="B14" s="44" t="s">
        <v>36</v>
      </c>
      <c r="C14" s="46"/>
      <c r="D14" s="46"/>
      <c r="E14" s="47"/>
      <c r="F14" s="42"/>
      <c r="G14" s="42"/>
      <c r="H14" s="42"/>
      <c r="I14" s="146" t="s">
        <v>36</v>
      </c>
      <c r="J14" s="148"/>
      <c r="K14" s="148"/>
      <c r="L14" s="148"/>
      <c r="M14" s="148"/>
      <c r="N14" s="149"/>
      <c r="O14" s="65"/>
      <c r="P14" s="92"/>
    </row>
    <row r="15" spans="1:18" ht="26.25" customHeight="1">
      <c r="A15" s="31" t="s">
        <v>34</v>
      </c>
      <c r="B15" s="65" t="s">
        <v>37</v>
      </c>
      <c r="C15" s="66"/>
      <c r="D15" s="46"/>
      <c r="E15" s="47"/>
      <c r="F15" s="42"/>
      <c r="G15" s="42"/>
      <c r="H15" s="42"/>
      <c r="I15" s="72" t="s">
        <v>37</v>
      </c>
      <c r="J15" s="73"/>
      <c r="K15" s="73"/>
      <c r="L15" s="73"/>
      <c r="M15" s="73"/>
      <c r="N15" s="74"/>
      <c r="O15" s="65"/>
      <c r="P15" s="92"/>
    </row>
    <row r="16" spans="1:18" ht="26.25" customHeight="1">
      <c r="A16" s="31" t="s">
        <v>34</v>
      </c>
      <c r="B16" s="49" t="s">
        <v>38</v>
      </c>
      <c r="C16" s="43"/>
      <c r="D16" s="46"/>
      <c r="E16" s="47"/>
      <c r="F16" s="42"/>
      <c r="G16" s="42"/>
      <c r="H16" s="42"/>
      <c r="I16" s="72" t="s">
        <v>39</v>
      </c>
      <c r="J16" s="73"/>
      <c r="K16" s="73"/>
      <c r="L16" s="73"/>
      <c r="M16" s="73"/>
      <c r="N16" s="74"/>
      <c r="O16" s="65"/>
      <c r="P16" s="92"/>
    </row>
    <row r="17" spans="1:16" ht="15.95" customHeight="1">
      <c r="A17" s="31"/>
      <c r="B17" s="146"/>
      <c r="C17" s="66"/>
      <c r="D17" s="27"/>
      <c r="E17" s="34"/>
      <c r="F17" s="24"/>
      <c r="G17" s="24"/>
      <c r="H17" s="24"/>
      <c r="I17" s="146"/>
      <c r="J17" s="148"/>
      <c r="K17" s="148"/>
      <c r="L17" s="148"/>
      <c r="M17" s="148"/>
      <c r="N17" s="149"/>
      <c r="O17" s="146"/>
      <c r="P17" s="147"/>
    </row>
    <row r="18" spans="1:16" ht="15.95" customHeight="1">
      <c r="A18" s="31"/>
      <c r="B18" s="146"/>
      <c r="C18" s="66"/>
      <c r="D18" s="27"/>
      <c r="E18" s="34"/>
      <c r="F18" s="24"/>
      <c r="G18" s="24"/>
      <c r="H18" s="24"/>
      <c r="I18" s="146"/>
      <c r="J18" s="148"/>
      <c r="K18" s="148"/>
      <c r="L18" s="148"/>
      <c r="M18" s="148"/>
      <c r="N18" s="149"/>
      <c r="O18" s="146"/>
      <c r="P18" s="147"/>
    </row>
    <row r="19" spans="1:16" ht="15.95" customHeight="1">
      <c r="A19" s="32"/>
      <c r="B19" s="146"/>
      <c r="C19" s="66"/>
      <c r="D19" s="27"/>
      <c r="E19" s="34"/>
      <c r="F19" s="24"/>
      <c r="G19" s="24"/>
      <c r="H19" s="24"/>
      <c r="I19" s="146"/>
      <c r="J19" s="148"/>
      <c r="K19" s="148"/>
      <c r="L19" s="148"/>
      <c r="M19" s="148"/>
      <c r="N19" s="149"/>
      <c r="O19" s="146"/>
      <c r="P19" s="147"/>
    </row>
    <row r="20" spans="1:16" ht="15.95" customHeight="1" thickBot="1">
      <c r="A20" s="33"/>
      <c r="B20" s="152"/>
      <c r="C20" s="153"/>
      <c r="D20" s="50"/>
      <c r="E20" s="38"/>
      <c r="F20" s="26"/>
      <c r="G20" s="26"/>
      <c r="H20" s="26"/>
      <c r="I20" s="150"/>
      <c r="J20" s="154"/>
      <c r="K20" s="154"/>
      <c r="L20" s="154"/>
      <c r="M20" s="154"/>
      <c r="N20" s="155"/>
      <c r="O20" s="150"/>
      <c r="P20" s="151"/>
    </row>
    <row r="21" spans="1:16">
      <c r="B21" s="35"/>
      <c r="C21" s="36"/>
    </row>
    <row r="23" spans="1:16">
      <c r="E23" s="1" t="s">
        <v>40</v>
      </c>
    </row>
    <row r="25" spans="1:16">
      <c r="E25" s="1" t="s">
        <v>41</v>
      </c>
    </row>
  </sheetData>
  <mergeCells count="54">
    <mergeCell ref="B18:C18"/>
    <mergeCell ref="B19:C19"/>
    <mergeCell ref="B17:C17"/>
    <mergeCell ref="B20:C20"/>
    <mergeCell ref="I19:N19"/>
    <mergeCell ref="I20:N20"/>
    <mergeCell ref="O20:P20"/>
    <mergeCell ref="O15:P15"/>
    <mergeCell ref="O16:P16"/>
    <mergeCell ref="I17:N17"/>
    <mergeCell ref="O17:P17"/>
    <mergeCell ref="I16:N16"/>
    <mergeCell ref="O12:P12"/>
    <mergeCell ref="O19:P19"/>
    <mergeCell ref="I18:N18"/>
    <mergeCell ref="O18:P18"/>
    <mergeCell ref="I14:N14"/>
    <mergeCell ref="H7:P7"/>
    <mergeCell ref="H8:P8"/>
    <mergeCell ref="O10:P10"/>
    <mergeCell ref="I10:N10"/>
    <mergeCell ref="I11:N11"/>
    <mergeCell ref="O11:P11"/>
    <mergeCell ref="A1:C4"/>
    <mergeCell ref="F5:G5"/>
    <mergeCell ref="D3:G4"/>
    <mergeCell ref="P1:P2"/>
    <mergeCell ref="P3:P4"/>
    <mergeCell ref="H1:J2"/>
    <mergeCell ref="H3:J4"/>
    <mergeCell ref="D1:G2"/>
    <mergeCell ref="H5:P5"/>
    <mergeCell ref="F8:G8"/>
    <mergeCell ref="I12:N12"/>
    <mergeCell ref="I15:N15"/>
    <mergeCell ref="Q1:R4"/>
    <mergeCell ref="L3:L4"/>
    <mergeCell ref="K1:K2"/>
    <mergeCell ref="L1:L2"/>
    <mergeCell ref="M1:O2"/>
    <mergeCell ref="O3:O4"/>
    <mergeCell ref="N3:N4"/>
    <mergeCell ref="M3:M4"/>
    <mergeCell ref="K3:K4"/>
    <mergeCell ref="F7:G7"/>
    <mergeCell ref="O14:P14"/>
    <mergeCell ref="O9:P9"/>
    <mergeCell ref="I9:N9"/>
    <mergeCell ref="B9:C9"/>
    <mergeCell ref="B10:C10"/>
    <mergeCell ref="D5:E5"/>
    <mergeCell ref="B11:C11"/>
    <mergeCell ref="B15:C15"/>
    <mergeCell ref="D7:E7"/>
  </mergeCells>
  <phoneticPr fontId="2"/>
  <printOptions horizontalCentered="1"/>
  <pageMargins left="0.27559055118110237" right="0.19685039370078741" top="0.70866141732283472" bottom="0.39370078740157483" header="0.51181102362204722" footer="0.19685039370078741"/>
  <pageSetup paperSize="9" scale="87" orientation="landscape" horizontalDpi="300" verticalDpi="300" r:id="rId1"/>
  <headerFooter alignWithMargins="0">
    <oddHeader>&amp;R&amp;"ＭＳ Ｐゴシック,斜体"&amp;Pﾍﾟｰｼﾞ/&amp;Nﾍﾟｰｼﾞ</oddHeader>
    <oddFooter xml:space="preserve">&amp;L&amp;"Abadi MT Condensed,標準"&amp;10All Right Reserved,Copyright &amp;"ＭＳ Ｐゴシック,標準"㈱富士通ゼネラルシステムエンジニアリング  1999-2002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B10" sqref="B10:D12"/>
    </sheetView>
  </sheetViews>
  <sheetFormatPr defaultRowHeight="13.5"/>
  <cols>
    <col min="2" max="2" width="22.75" bestFit="1" customWidth="1"/>
    <col min="3" max="3" width="23.875" bestFit="1" customWidth="1"/>
  </cols>
  <sheetData>
    <row r="1" spans="1:5">
      <c r="A1" t="s">
        <v>42</v>
      </c>
    </row>
    <row r="2" spans="1:5">
      <c r="B2" t="s">
        <v>32</v>
      </c>
    </row>
    <row r="3" spans="1:5">
      <c r="B3" s="156" t="s">
        <v>43</v>
      </c>
      <c r="C3" s="156"/>
      <c r="D3" s="53" t="s">
        <v>44</v>
      </c>
    </row>
    <row r="4" spans="1:5">
      <c r="B4" s="157" t="s">
        <v>45</v>
      </c>
      <c r="C4" s="54" t="s">
        <v>46</v>
      </c>
      <c r="D4" s="55" t="s">
        <v>47</v>
      </c>
    </row>
    <row r="5" spans="1:5">
      <c r="B5" s="157"/>
      <c r="C5" s="54" t="s">
        <v>48</v>
      </c>
      <c r="D5" s="55" t="s">
        <v>49</v>
      </c>
    </row>
    <row r="6" spans="1:5">
      <c r="B6" s="157"/>
      <c r="C6" s="54" t="s">
        <v>50</v>
      </c>
      <c r="D6" s="55" t="s">
        <v>51</v>
      </c>
    </row>
    <row r="7" spans="1:5">
      <c r="B7" s="157"/>
      <c r="C7" s="54" t="s">
        <v>52</v>
      </c>
      <c r="D7" s="55" t="s">
        <v>53</v>
      </c>
    </row>
    <row r="8" spans="1:5">
      <c r="B8" s="54" t="s">
        <v>54</v>
      </c>
      <c r="C8" s="54" t="s">
        <v>55</v>
      </c>
      <c r="D8" s="55" t="s">
        <v>56</v>
      </c>
    </row>
    <row r="9" spans="1:5">
      <c r="B9" s="159" t="s">
        <v>57</v>
      </c>
      <c r="C9" s="159" t="s">
        <v>55</v>
      </c>
      <c r="D9" s="163" t="s">
        <v>58</v>
      </c>
    </row>
    <row r="10" spans="1:5">
      <c r="B10" s="158" t="s">
        <v>59</v>
      </c>
      <c r="C10" s="160" t="s">
        <v>60</v>
      </c>
      <c r="D10" s="161" t="s">
        <v>61</v>
      </c>
    </row>
    <row r="11" spans="1:5">
      <c r="B11" s="158"/>
      <c r="C11" s="160" t="s">
        <v>62</v>
      </c>
      <c r="D11" s="161" t="s">
        <v>63</v>
      </c>
    </row>
    <row r="12" spans="1:5">
      <c r="B12" s="158"/>
      <c r="C12" s="162" t="s">
        <v>64</v>
      </c>
      <c r="D12" s="161" t="s">
        <v>65</v>
      </c>
      <c r="E12" t="s">
        <v>66</v>
      </c>
    </row>
  </sheetData>
  <mergeCells count="3">
    <mergeCell ref="B3:C3"/>
    <mergeCell ref="B4:B7"/>
    <mergeCell ref="B10:B1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opLeftCell="A4" workbookViewId="0">
      <selection activeCell="O29" sqref="O29"/>
    </sheetView>
  </sheetViews>
  <sheetFormatPr defaultRowHeight="13.5"/>
  <cols>
    <col min="1" max="1" width="5.25" bestFit="1" customWidth="1"/>
    <col min="2" max="2" width="9.5" bestFit="1" customWidth="1"/>
    <col min="3" max="3" width="9.875" bestFit="1" customWidth="1"/>
    <col min="4" max="4" width="11" bestFit="1" customWidth="1"/>
    <col min="5" max="5" width="18.875" bestFit="1" customWidth="1"/>
    <col min="6" max="6" width="9.5" bestFit="1" customWidth="1"/>
    <col min="7" max="7" width="15.625" bestFit="1" customWidth="1"/>
    <col min="8" max="9" width="5.25" bestFit="1" customWidth="1"/>
    <col min="10" max="11" width="6.5" bestFit="1" customWidth="1"/>
    <col min="12" max="12" width="8.5" bestFit="1" customWidth="1"/>
    <col min="13" max="13" width="4.5" bestFit="1" customWidth="1"/>
    <col min="14" max="14" width="22.75" bestFit="1" customWidth="1"/>
    <col min="15" max="15" width="23.875" bestFit="1" customWidth="1"/>
    <col min="16" max="16" width="9.875" bestFit="1" customWidth="1"/>
  </cols>
  <sheetData>
    <row r="1" spans="1:16">
      <c r="A1" s="57" t="s">
        <v>67</v>
      </c>
    </row>
    <row r="3" spans="1:16">
      <c r="B3" t="s">
        <v>68</v>
      </c>
    </row>
    <row r="5" spans="1:16">
      <c r="A5" s="54" t="s">
        <v>69</v>
      </c>
      <c r="B5" s="54" t="s">
        <v>70</v>
      </c>
      <c r="C5" s="54" t="s">
        <v>71</v>
      </c>
      <c r="D5" s="54"/>
      <c r="E5" s="54"/>
      <c r="F5" s="54" t="s">
        <v>72</v>
      </c>
      <c r="G5" s="56" t="s">
        <v>73</v>
      </c>
      <c r="H5" s="54" t="s">
        <v>74</v>
      </c>
      <c r="I5" s="54" t="s">
        <v>75</v>
      </c>
      <c r="J5" s="54"/>
      <c r="K5" s="54" t="s">
        <v>76</v>
      </c>
      <c r="L5" s="54"/>
      <c r="M5" s="1"/>
      <c r="N5" s="156" t="s">
        <v>43</v>
      </c>
      <c r="O5" s="156"/>
      <c r="P5" s="53" t="s">
        <v>44</v>
      </c>
    </row>
    <row r="6" spans="1:16">
      <c r="A6" s="54">
        <v>323</v>
      </c>
      <c r="B6" s="54">
        <v>20230501</v>
      </c>
      <c r="C6" s="54">
        <v>101</v>
      </c>
      <c r="D6" s="54" t="s">
        <v>77</v>
      </c>
      <c r="E6" s="54" t="s">
        <v>46</v>
      </c>
      <c r="F6" s="54">
        <v>6076546</v>
      </c>
      <c r="G6" s="56">
        <v>4904118621453</v>
      </c>
      <c r="H6" s="54">
        <v>1</v>
      </c>
      <c r="I6" s="54">
        <v>138</v>
      </c>
      <c r="J6" s="54">
        <f t="shared" ref="J6:J18" si="0">H6*I6</f>
        <v>138</v>
      </c>
      <c r="K6" s="54">
        <v>91</v>
      </c>
      <c r="L6" s="54">
        <f>H6*K6</f>
        <v>91</v>
      </c>
      <c r="M6" s="1"/>
      <c r="N6" s="157" t="s">
        <v>45</v>
      </c>
      <c r="O6" s="54" t="s">
        <v>46</v>
      </c>
      <c r="P6" s="55" t="s">
        <v>47</v>
      </c>
    </row>
    <row r="7" spans="1:16">
      <c r="A7" s="54">
        <v>323</v>
      </c>
      <c r="B7" s="54">
        <v>20230501</v>
      </c>
      <c r="C7" s="54">
        <v>202</v>
      </c>
      <c r="D7" s="54" t="s">
        <v>54</v>
      </c>
      <c r="E7" s="54" t="s">
        <v>55</v>
      </c>
      <c r="F7" s="54">
        <v>1180564</v>
      </c>
      <c r="G7" s="56">
        <v>203219000000</v>
      </c>
      <c r="H7" s="54">
        <v>2</v>
      </c>
      <c r="I7" s="54">
        <v>398</v>
      </c>
      <c r="J7" s="54">
        <f t="shared" si="0"/>
        <v>796</v>
      </c>
      <c r="K7" s="54">
        <v>0</v>
      </c>
      <c r="L7" s="54">
        <f>H7*K7</f>
        <v>0</v>
      </c>
      <c r="M7" s="1"/>
      <c r="N7" s="157"/>
      <c r="O7" s="54" t="s">
        <v>48</v>
      </c>
      <c r="P7" s="55" t="s">
        <v>49</v>
      </c>
    </row>
    <row r="8" spans="1:16">
      <c r="A8" s="54">
        <v>323</v>
      </c>
      <c r="B8" s="54">
        <v>20230501</v>
      </c>
      <c r="C8" s="54">
        <v>202</v>
      </c>
      <c r="D8" s="54" t="s">
        <v>54</v>
      </c>
      <c r="E8" s="54" t="s">
        <v>55</v>
      </c>
      <c r="F8" s="54">
        <v>6071455</v>
      </c>
      <c r="G8" s="56">
        <v>4901670052411</v>
      </c>
      <c r="H8" s="54">
        <v>1</v>
      </c>
      <c r="I8" s="54">
        <v>328</v>
      </c>
      <c r="J8" s="54">
        <f t="shared" si="0"/>
        <v>328</v>
      </c>
      <c r="K8" s="54">
        <v>179</v>
      </c>
      <c r="L8" s="54">
        <f>H8*K8</f>
        <v>179</v>
      </c>
      <c r="M8" s="1"/>
      <c r="N8" s="157"/>
      <c r="O8" s="54" t="s">
        <v>50</v>
      </c>
      <c r="P8" s="55" t="s">
        <v>51</v>
      </c>
    </row>
    <row r="9" spans="1:16">
      <c r="A9" s="54">
        <v>323</v>
      </c>
      <c r="B9" s="54">
        <v>20230501</v>
      </c>
      <c r="C9" s="54">
        <v>202</v>
      </c>
      <c r="D9" s="54" t="s">
        <v>54</v>
      </c>
      <c r="E9" s="54" t="s">
        <v>55</v>
      </c>
      <c r="F9" s="54">
        <v>10970220</v>
      </c>
      <c r="G9" s="56">
        <v>248624</v>
      </c>
      <c r="H9" s="54">
        <v>1</v>
      </c>
      <c r="I9" s="54">
        <v>212</v>
      </c>
      <c r="J9" s="54">
        <f t="shared" si="0"/>
        <v>212</v>
      </c>
      <c r="K9" s="54">
        <v>129</v>
      </c>
      <c r="L9" s="54">
        <f t="shared" ref="L9:L18" si="1">H9*K9</f>
        <v>129</v>
      </c>
      <c r="M9" s="1"/>
      <c r="N9" s="157"/>
      <c r="O9" s="54" t="s">
        <v>52</v>
      </c>
      <c r="P9" s="55" t="s">
        <v>53</v>
      </c>
    </row>
    <row r="10" spans="1:16">
      <c r="A10" s="54">
        <v>323</v>
      </c>
      <c r="B10" s="54">
        <v>20230501</v>
      </c>
      <c r="C10" s="54">
        <v>303</v>
      </c>
      <c r="D10" s="54" t="s">
        <v>57</v>
      </c>
      <c r="E10" s="54" t="s">
        <v>55</v>
      </c>
      <c r="F10" s="54">
        <v>7334820</v>
      </c>
      <c r="G10" s="56">
        <v>239004</v>
      </c>
      <c r="H10" s="54">
        <v>1</v>
      </c>
      <c r="I10" s="54">
        <v>300</v>
      </c>
      <c r="J10" s="54">
        <f t="shared" si="0"/>
        <v>300</v>
      </c>
      <c r="K10" s="54">
        <v>300</v>
      </c>
      <c r="L10" s="54">
        <f t="shared" si="1"/>
        <v>300</v>
      </c>
      <c r="M10" s="1"/>
      <c r="N10" s="54" t="s">
        <v>54</v>
      </c>
      <c r="O10" s="54" t="s">
        <v>55</v>
      </c>
      <c r="P10" s="55" t="s">
        <v>56</v>
      </c>
    </row>
    <row r="11" spans="1:16">
      <c r="A11" s="54">
        <v>323</v>
      </c>
      <c r="B11" s="54">
        <v>20230501</v>
      </c>
      <c r="C11" s="54">
        <v>303</v>
      </c>
      <c r="D11" s="54" t="s">
        <v>57</v>
      </c>
      <c r="E11" s="54" t="s">
        <v>55</v>
      </c>
      <c r="F11" s="54">
        <v>7334839</v>
      </c>
      <c r="G11" s="56">
        <v>239011</v>
      </c>
      <c r="H11" s="54">
        <v>6</v>
      </c>
      <c r="I11" s="54">
        <v>500</v>
      </c>
      <c r="J11" s="54">
        <f t="shared" si="0"/>
        <v>3000</v>
      </c>
      <c r="K11" s="54">
        <v>500</v>
      </c>
      <c r="L11" s="54">
        <f t="shared" si="1"/>
        <v>3000</v>
      </c>
      <c r="M11" s="1"/>
      <c r="N11" s="54" t="s">
        <v>57</v>
      </c>
      <c r="O11" s="54" t="s">
        <v>55</v>
      </c>
      <c r="P11" s="55" t="s">
        <v>58</v>
      </c>
    </row>
    <row r="12" spans="1:16">
      <c r="A12" s="54">
        <v>323</v>
      </c>
      <c r="B12" s="54">
        <v>20230501</v>
      </c>
      <c r="C12" s="54">
        <v>303</v>
      </c>
      <c r="D12" s="54" t="s">
        <v>57</v>
      </c>
      <c r="E12" s="54" t="s">
        <v>55</v>
      </c>
      <c r="F12" s="54">
        <v>10338257</v>
      </c>
      <c r="G12" s="56">
        <v>263344</v>
      </c>
      <c r="H12" s="54">
        <v>56</v>
      </c>
      <c r="I12" s="54">
        <v>150</v>
      </c>
      <c r="J12" s="54">
        <f t="shared" si="0"/>
        <v>8400</v>
      </c>
      <c r="K12" s="54">
        <v>80</v>
      </c>
      <c r="L12" s="54">
        <f t="shared" si="1"/>
        <v>4480</v>
      </c>
      <c r="M12" s="1"/>
      <c r="N12" s="157" t="s">
        <v>59</v>
      </c>
      <c r="O12" s="54" t="s">
        <v>60</v>
      </c>
      <c r="P12" s="55" t="s">
        <v>61</v>
      </c>
    </row>
    <row r="13" spans="1:16">
      <c r="A13" s="54">
        <v>323</v>
      </c>
      <c r="B13" s="54">
        <v>20230501</v>
      </c>
      <c r="C13" s="54">
        <v>303</v>
      </c>
      <c r="D13" s="54" t="s">
        <v>57</v>
      </c>
      <c r="E13" s="54" t="s">
        <v>55</v>
      </c>
      <c r="F13" s="54">
        <v>34200433</v>
      </c>
      <c r="G13" s="56">
        <v>246552</v>
      </c>
      <c r="H13" s="54">
        <v>10</v>
      </c>
      <c r="I13" s="54">
        <v>150</v>
      </c>
      <c r="J13" s="54">
        <f t="shared" si="0"/>
        <v>1500</v>
      </c>
      <c r="K13" s="54">
        <v>80</v>
      </c>
      <c r="L13" s="54">
        <f t="shared" si="1"/>
        <v>800</v>
      </c>
      <c r="M13" s="1"/>
      <c r="N13" s="157"/>
      <c r="O13" s="54" t="s">
        <v>62</v>
      </c>
      <c r="P13" s="55" t="s">
        <v>63</v>
      </c>
    </row>
    <row r="14" spans="1:16">
      <c r="A14" s="54">
        <v>323</v>
      </c>
      <c r="B14" s="54">
        <v>20230501</v>
      </c>
      <c r="C14" s="54">
        <v>303</v>
      </c>
      <c r="D14" s="54" t="s">
        <v>57</v>
      </c>
      <c r="E14" s="54" t="s">
        <v>55</v>
      </c>
      <c r="F14" s="54">
        <v>34200727</v>
      </c>
      <c r="G14" s="56">
        <v>245463</v>
      </c>
      <c r="H14" s="54">
        <v>267</v>
      </c>
      <c r="I14" s="54">
        <v>150</v>
      </c>
      <c r="J14" s="54">
        <f t="shared" si="0"/>
        <v>40050</v>
      </c>
      <c r="K14" s="54">
        <v>81.3</v>
      </c>
      <c r="L14" s="54">
        <f t="shared" si="1"/>
        <v>21707.1</v>
      </c>
      <c r="M14" s="1"/>
      <c r="N14" s="1"/>
      <c r="O14" s="1"/>
      <c r="P14" s="1"/>
    </row>
    <row r="15" spans="1:16">
      <c r="A15" s="54">
        <v>323</v>
      </c>
      <c r="B15" s="54">
        <v>20230501</v>
      </c>
      <c r="C15" s="54">
        <v>303</v>
      </c>
      <c r="D15" s="54" t="s">
        <v>57</v>
      </c>
      <c r="E15" s="54" t="s">
        <v>55</v>
      </c>
      <c r="F15" s="54">
        <v>35066508</v>
      </c>
      <c r="G15" s="56">
        <v>288804</v>
      </c>
      <c r="H15" s="54">
        <v>4</v>
      </c>
      <c r="I15" s="54">
        <v>80</v>
      </c>
      <c r="J15" s="54">
        <f t="shared" si="0"/>
        <v>320</v>
      </c>
      <c r="K15" s="54">
        <v>14.86</v>
      </c>
      <c r="L15" s="54">
        <f t="shared" si="1"/>
        <v>59.44</v>
      </c>
      <c r="M15" s="1">
        <v>59</v>
      </c>
      <c r="N15" s="1"/>
      <c r="O15" s="1"/>
      <c r="P15" s="1"/>
    </row>
    <row r="16" spans="1:16">
      <c r="A16" s="54">
        <v>323</v>
      </c>
      <c r="B16" s="54">
        <v>20230501</v>
      </c>
      <c r="C16" s="54">
        <v>303</v>
      </c>
      <c r="D16" s="54" t="s">
        <v>57</v>
      </c>
      <c r="E16" s="54" t="s">
        <v>55</v>
      </c>
      <c r="F16" s="54">
        <v>35066508</v>
      </c>
      <c r="G16" s="56">
        <v>288804</v>
      </c>
      <c r="H16" s="54">
        <v>2</v>
      </c>
      <c r="I16" s="54">
        <v>80</v>
      </c>
      <c r="J16" s="54">
        <f t="shared" si="0"/>
        <v>160</v>
      </c>
      <c r="K16" s="54">
        <v>14.86</v>
      </c>
      <c r="L16" s="54">
        <f t="shared" si="1"/>
        <v>29.72</v>
      </c>
      <c r="M16" s="1">
        <v>29</v>
      </c>
      <c r="N16" s="1"/>
      <c r="O16" s="1"/>
      <c r="P16" s="1"/>
    </row>
    <row r="17" spans="1:16">
      <c r="A17" s="54">
        <v>323</v>
      </c>
      <c r="B17" s="54">
        <v>20230501</v>
      </c>
      <c r="C17" s="54">
        <v>303</v>
      </c>
      <c r="D17" s="54" t="s">
        <v>57</v>
      </c>
      <c r="E17" s="54" t="s">
        <v>55</v>
      </c>
      <c r="F17" s="54">
        <v>35900303</v>
      </c>
      <c r="G17" s="56">
        <v>246767</v>
      </c>
      <c r="H17" s="54">
        <v>2</v>
      </c>
      <c r="I17" s="54">
        <v>100</v>
      </c>
      <c r="J17" s="54">
        <f t="shared" si="0"/>
        <v>200</v>
      </c>
      <c r="K17" s="54">
        <v>98</v>
      </c>
      <c r="L17" s="54">
        <f t="shared" si="1"/>
        <v>196</v>
      </c>
      <c r="M17" s="1">
        <v>196</v>
      </c>
      <c r="N17" s="1"/>
      <c r="O17" s="1"/>
      <c r="P17" s="1"/>
    </row>
    <row r="18" spans="1:16">
      <c r="A18" s="54">
        <v>323</v>
      </c>
      <c r="B18" s="54">
        <v>20230501</v>
      </c>
      <c r="C18" s="54">
        <v>303</v>
      </c>
      <c r="D18" s="54" t="s">
        <v>57</v>
      </c>
      <c r="E18" s="54" t="s">
        <v>55</v>
      </c>
      <c r="F18" s="54">
        <v>35910651</v>
      </c>
      <c r="G18" s="56">
        <v>269100</v>
      </c>
      <c r="H18" s="54">
        <v>6</v>
      </c>
      <c r="I18" s="54">
        <v>100</v>
      </c>
      <c r="J18" s="54">
        <f t="shared" si="0"/>
        <v>600</v>
      </c>
      <c r="K18" s="54">
        <v>21.6</v>
      </c>
      <c r="L18" s="54">
        <f t="shared" si="1"/>
        <v>129.60000000000002</v>
      </c>
      <c r="M18" s="1">
        <v>129</v>
      </c>
      <c r="N18" s="1"/>
      <c r="O18" s="1"/>
      <c r="P18" s="1"/>
    </row>
  </sheetData>
  <mergeCells count="3">
    <mergeCell ref="N5:O5"/>
    <mergeCell ref="N6:N9"/>
    <mergeCell ref="N12:N13"/>
  </mergeCells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BBBA80-E481-4173-A5D1-7BC1D3C734F3}"/>
</file>

<file path=customXml/itemProps2.xml><?xml version="1.0" encoding="utf-8"?>
<ds:datastoreItem xmlns:ds="http://schemas.openxmlformats.org/officeDocument/2006/customXml" ds:itemID="{B9A764DE-F632-44C0-A6F1-73114DD4CED7}"/>
</file>

<file path=customXml/itemProps3.xml><?xml version="1.0" encoding="utf-8"?>
<ds:datastoreItem xmlns:ds="http://schemas.openxmlformats.org/officeDocument/2006/customXml" ds:itemID="{43FC09E3-0393-42E5-B139-0004BC011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富士通ｾﾞﾈﾗﾙｼｽﾃﾑｴﾝｼﾞﾆｱﾘﾝｸﾞ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宇津木 利章</dc:creator>
  <cp:keywords/>
  <dc:description/>
  <cp:lastModifiedBy>佐々木  大助</cp:lastModifiedBy>
  <cp:revision/>
  <dcterms:created xsi:type="dcterms:W3CDTF">1998-10-21T10:30:05Z</dcterms:created>
  <dcterms:modified xsi:type="dcterms:W3CDTF">2024-01-25T06:08:57Z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