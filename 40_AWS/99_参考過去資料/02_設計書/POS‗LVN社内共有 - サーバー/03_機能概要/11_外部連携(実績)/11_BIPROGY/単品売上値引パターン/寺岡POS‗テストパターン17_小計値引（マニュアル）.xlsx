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369" documentId="13_ncr:4000b_{20F443C2-E3A8-4C73-8BD1-0C80D1B3F584}" xr6:coauthVersionLast="47" xr6:coauthVersionMax="47" xr10:uidLastSave="{922949AA-ACDC-46D3-A1D7-CD13B415C990}"/>
  <bookViews>
    <workbookView xWindow="-120" yWindow="-120" windowWidth="20730" windowHeight="11160" firstSheet="1" activeTab="1" xr2:uid="{00000000-000D-0000-FFFF-FFFF00000000}"/>
  </bookViews>
  <sheets>
    <sheet name="小計値引（マニュアル）" sheetId="20" r:id="rId1"/>
    <sheet name="小計値引（マニュアル）　図" sheetId="21" r:id="rId2"/>
    <sheet name="値引確認" sheetId="15" r:id="rId3"/>
    <sheet name="値引確認２" sheetId="19" r:id="rId4"/>
    <sheet name="データ" sheetId="10" r:id="rId5"/>
    <sheet name="テストデータ" sheetId="22" r:id="rId6"/>
  </sheets>
  <definedNames>
    <definedName name="_xlnm._FilterDatabase" localSheetId="4" hidden="1">データ!$A$1:$T$1</definedName>
    <definedName name="_xlnm._FilterDatabase" localSheetId="2" hidden="1">値引確認!$A$1:$W$19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1" l="1"/>
  <c r="I54" i="21"/>
  <c r="I30" i="21"/>
  <c r="H54" i="21"/>
  <c r="H30" i="21"/>
  <c r="H6" i="21" l="1"/>
  <c r="A17" i="10" l="1"/>
  <c r="A16" i="10"/>
  <c r="A15" i="10"/>
  <c r="A14" i="10"/>
  <c r="A13" i="10"/>
  <c r="A12" i="10"/>
  <c r="A5" i="10"/>
  <c r="A11" i="10"/>
  <c r="A10" i="10"/>
  <c r="A9" i="10"/>
  <c r="A8" i="10"/>
  <c r="A7" i="10"/>
  <c r="A6" i="10"/>
  <c r="A4" i="10"/>
  <c r="A3" i="10"/>
</calcChain>
</file>

<file path=xl/sharedStrings.xml><?xml version="1.0" encoding="utf-8"?>
<sst xmlns="http://schemas.openxmlformats.org/spreadsheetml/2006/main" count="820" uniqueCount="228">
  <si>
    <t>小計値引（マニュアル）値引実績計算（GHPLUDISC出力仕様）</t>
    <rPh sb="0" eb="2">
      <t>ショウケイ</t>
    </rPh>
    <rPh sb="2" eb="4">
      <t>ネビキ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</si>
  <si>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</si>
  <si>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</si>
  <si>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</si>
  <si>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</si>
  <si>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</si>
  <si>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</si>
  <si>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</si>
  <si>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</si>
  <si>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小計値引（マニュアル）</t>
    <phoneticPr fontId="1"/>
  </si>
  <si>
    <t>合算で作成</t>
    <rPh sb="0" eb="2">
      <t>ガッサン</t>
    </rPh>
    <rPh sb="3" eb="5">
      <t>サクセイ</t>
    </rPh>
    <phoneticPr fontId="10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</si>
  <si>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</si>
  <si>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小計値引（マニュアル）</t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</si>
  <si>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</si>
  <si>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</si>
  <si>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小計値引（マニュアル）</t>
    <phoneticPr fontId="10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</si>
  <si>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</si>
  <si>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</si>
  <si>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小計値引（マニュアル）値引実績計算_図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</si>
  <si>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値引パターン</t>
    <rPh sb="0" eb="2">
      <t>ネビキ</t>
    </rPh>
    <phoneticPr fontId="10"/>
  </si>
  <si>
    <t>朝割り（自動）</t>
    <phoneticPr fontId="10"/>
  </si>
  <si>
    <t>定番売価1個300円の商品を</t>
  </si>
  <si>
    <t>朝割り（自動）／小計値引（マニュアル）</t>
    <rPh sb="8" eb="10">
      <t>ショウケイ</t>
    </rPh>
    <phoneticPr fontId="10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</si>
  <si>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</si>
  <si>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30円</t>
    <rPh sb="0" eb="2">
      <t>ネビキ</t>
    </rPh>
    <rPh sb="2" eb="3">
      <t>ガク</t>
    </rPh>
    <rPh sb="6" eb="7">
      <t>エン</t>
    </rPh>
    <phoneticPr fontId="10"/>
  </si>
  <si>
    <t>朝割り（自動）後額
270円</t>
    <rPh sb="0" eb="1">
      <t>アサ</t>
    </rPh>
    <rPh sb="1" eb="2">
      <t>ワ</t>
    </rPh>
    <rPh sb="4" eb="6">
      <t>ジドウ</t>
    </rPh>
    <rPh sb="7" eb="8">
      <t>ノチ</t>
    </rPh>
    <rPh sb="8" eb="9">
      <t>ガク</t>
    </rPh>
    <rPh sb="13" eb="14">
      <t>エン</t>
    </rPh>
    <phoneticPr fontId="1"/>
  </si>
  <si>
    <t>値引額 　50円</t>
    <rPh sb="7" eb="8">
      <t>エン</t>
    </rPh>
    <phoneticPr fontId="10"/>
  </si>
  <si>
    <t>販売額
220円</t>
    <rPh sb="0" eb="2">
      <t>ハンバイ</t>
    </rPh>
    <rPh sb="2" eb="3">
      <t>ガク</t>
    </rPh>
    <rPh sb="7" eb="8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</si>
  <si>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</si>
  <si>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0"/>
  </si>
  <si>
    <t>＜値引実績作成＞</t>
    <rPh sb="1" eb="3">
      <t>ネビキ</t>
    </rPh>
    <rPh sb="3" eb="5">
      <t>ジッセキ</t>
    </rPh>
    <rPh sb="5" eb="7">
      <t>サクセイ</t>
    </rPh>
    <phoneticPr fontId="10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</si>
  <si>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</si>
  <si>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0"/>
  </si>
  <si>
    <t>値引名称</t>
    <rPh sb="0" eb="2">
      <t>ネビ</t>
    </rPh>
    <rPh sb="2" eb="4">
      <t>メイショウ</t>
    </rPh>
    <phoneticPr fontId="10"/>
  </si>
  <si>
    <t>30
小計額×小計割引（マニュアル）</t>
    <phoneticPr fontId="10"/>
  </si>
  <si>
    <t>50
小計割引（マニュアル）</t>
    <phoneticPr fontId="10"/>
  </si>
  <si>
    <t>※ 実績は合算で作成</t>
    <rPh sb="2" eb="4">
      <t>ジッセキ</t>
    </rPh>
    <rPh sb="5" eb="7">
      <t>ガッサン</t>
    </rPh>
    <rPh sb="8" eb="10">
      <t>サクセイ</t>
    </rPh>
    <phoneticPr fontId="10"/>
  </si>
  <si>
    <t>メガ割（自動）</t>
    <phoneticPr fontId="10"/>
  </si>
  <si>
    <t>メガ割（自動）／小計値引（マニュアル）</t>
    <rPh sb="8" eb="10">
      <t>ショウケイ</t>
    </rPh>
    <phoneticPr fontId="10"/>
  </si>
  <si>
    <t>メガ割（自動）後額
270円</t>
    <rPh sb="7" eb="8">
      <t>ノチ</t>
    </rPh>
    <rPh sb="8" eb="9">
      <t>ガク</t>
    </rPh>
    <rPh sb="13" eb="14">
      <t>エン</t>
    </rPh>
    <phoneticPr fontId="1"/>
  </si>
  <si>
    <t>クレジット割（自動）</t>
    <phoneticPr fontId="10"/>
  </si>
  <si>
    <t>小計値引（マニュアル）／クレジット割（自動）</t>
  </si>
  <si>
    <t>クレジット割（自動）後額
270円</t>
    <rPh sb="5" eb="6">
      <t>ワリ</t>
    </rPh>
    <rPh sb="7" eb="9">
      <t>ジドウ</t>
    </rPh>
    <rPh sb="10" eb="11">
      <t>ノチ</t>
    </rPh>
    <rPh sb="11" eb="12">
      <t>ガク</t>
    </rPh>
    <rPh sb="16" eb="17">
      <t>エン</t>
    </rPh>
    <phoneticPr fontId="1"/>
  </si>
  <si>
    <t>項番</t>
  </si>
  <si>
    <t>取引内容</t>
  </si>
  <si>
    <t>設定1</t>
  </si>
  <si>
    <t>処理1</t>
  </si>
  <si>
    <t>POS値引等</t>
  </si>
  <si>
    <t>金額</t>
  </si>
  <si>
    <t>商品名</t>
  </si>
  <si>
    <t>JAN</t>
  </si>
  <si>
    <t>当日売価</t>
  </si>
  <si>
    <t>カテゴリー値引</t>
  </si>
  <si>
    <t>カテゴリー割引</t>
  </si>
  <si>
    <t>小計割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</si>
  <si>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</si>
  <si>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</si>
  <si>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</si>
  <si>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</si>
  <si>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</si>
  <si>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</si>
  <si>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</si>
  <si>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カテゴリ割引</t>
    <rPh sb="4" eb="6">
      <t>ワリビキ</t>
    </rPh>
    <phoneticPr fontId="7"/>
  </si>
  <si>
    <t>値下</t>
  </si>
  <si>
    <t>売上</t>
  </si>
  <si>
    <t/>
  </si>
  <si>
    <t>①通常単価＞カテゴリー値引&gt;カテゴリー割引</t>
    <phoneticPr fontId="7"/>
  </si>
  <si>
    <t>ロールいか（真空）２本　　　　　　　　　</t>
  </si>
  <si>
    <t>4935758054097</t>
  </si>
  <si>
    <t>500</t>
  </si>
  <si>
    <t>50</t>
  </si>
  <si>
    <t>15</t>
  </si>
  <si>
    <t>91324</t>
  </si>
  <si>
    <t>0</t>
  </si>
  <si>
    <t>75</t>
  </si>
  <si>
    <t>1</t>
  </si>
  <si>
    <t>部門ﾚﾍﾞﾙ商品階層自動値引</t>
  </si>
  <si>
    <t>－</t>
  </si>
  <si>
    <t>425</t>
  </si>
  <si>
    <t>小計値引</t>
    <rPh sb="0" eb="2">
      <t>ショウケイ</t>
    </rPh>
    <rPh sb="2" eb="4">
      <t>ネビキ</t>
    </rPh>
    <phoneticPr fontId="7"/>
  </si>
  <si>
    <t>小計割引</t>
    <rPh sb="2" eb="4">
      <t>ワリビキ</t>
    </rPh>
    <phoneticPr fontId="7"/>
  </si>
  <si>
    <t>10</t>
  </si>
  <si>
    <t>①通常単価＞カテゴリー割引　小計値引</t>
    <phoneticPr fontId="7"/>
  </si>
  <si>
    <t>（ＦＣ）ロールいか１本　　　　　　　　　</t>
  </si>
  <si>
    <t>4935758056985</t>
  </si>
  <si>
    <t>91400</t>
  </si>
  <si>
    <t>14</t>
  </si>
  <si>
    <t>マニュアル小計値引</t>
    <phoneticPr fontId="7"/>
  </si>
  <si>
    <t>％</t>
  </si>
  <si>
    <t>440</t>
  </si>
  <si>
    <t>60</t>
  </si>
  <si>
    <t>カテゴリ値引</t>
    <phoneticPr fontId="7"/>
  </si>
  <si>
    <t>①通常単価＞カテゴリー割引　小計値引</t>
  </si>
  <si>
    <t>小計値引</t>
  </si>
  <si>
    <t>①通常単価＞カテゴリー値引　小計値引</t>
    <phoneticPr fontId="7"/>
  </si>
  <si>
    <t>開きいか　２枚　　　　　　　　　　　　　</t>
  </si>
  <si>
    <t>4966268870808</t>
  </si>
  <si>
    <t>マニュアル小計値引</t>
  </si>
  <si>
    <t>375</t>
  </si>
  <si>
    <t>125</t>
  </si>
  <si>
    <t>①通常単価＞カテゴリー値引　小計値引</t>
  </si>
  <si>
    <t>朝割</t>
    <rPh sb="0" eb="1">
      <t>アサ</t>
    </rPh>
    <rPh sb="1" eb="2">
      <t>ワリ</t>
    </rPh>
    <phoneticPr fontId="7"/>
  </si>
  <si>
    <t>朝割</t>
  </si>
  <si>
    <t>①通常単価＞カテゴリー値引　朝値引</t>
    <phoneticPr fontId="7"/>
  </si>
  <si>
    <t>きす開き５枚　　　　　　　　　　　　　　</t>
  </si>
  <si>
    <t>4934416100312</t>
  </si>
  <si>
    <t>20</t>
  </si>
  <si>
    <t>90</t>
  </si>
  <si>
    <t>360</t>
  </si>
  <si>
    <t>140</t>
  </si>
  <si>
    <t>①通常単価＞カテゴリー値引　朝値引</t>
  </si>
  <si>
    <t>①通常単価＞カテゴリー割引　朝値引</t>
    <phoneticPr fontId="7"/>
  </si>
  <si>
    <t>海鮮天ぷらセット　　　　　　　　　　　　</t>
  </si>
  <si>
    <t>4934416100251</t>
  </si>
  <si>
    <t>85</t>
  </si>
  <si>
    <t>340</t>
  </si>
  <si>
    <t>160</t>
  </si>
  <si>
    <t>①通常単価＞カテゴリー割引　朝値引</t>
  </si>
  <si>
    <t>メガ割</t>
  </si>
  <si>
    <t>①通常単価＞カテゴリー値引　メガ割</t>
  </si>
  <si>
    <t>ボイルホタテ真空６玉　　　　　　　　　　</t>
  </si>
  <si>
    <t>4935552327564</t>
  </si>
  <si>
    <t>メガ割</t>
    <rPh sb="2" eb="3">
      <t>ワリ</t>
    </rPh>
    <phoneticPr fontId="7"/>
  </si>
  <si>
    <t>①通常単価＞カテゴリー割引　メガ割</t>
  </si>
  <si>
    <t>ボイルあさりむき身（真空）　　　　　　　</t>
  </si>
  <si>
    <t>4935552327540</t>
  </si>
  <si>
    <t>①通常単価＞朝割　小計割引</t>
    <rPh sb="11" eb="13">
      <t>ワリビキ</t>
    </rPh>
    <phoneticPr fontId="7"/>
  </si>
  <si>
    <t>ＢＴエビ特大１０尾　　　　　　　　　　　</t>
  </si>
  <si>
    <t>4969832215173</t>
  </si>
  <si>
    <t>110</t>
  </si>
  <si>
    <t>390</t>
  </si>
  <si>
    <t>①通常単価＞朝割　小計値引</t>
  </si>
  <si>
    <t>ＢＴえび大１０尾（ＦＯ用）　　　　　　　</t>
  </si>
  <si>
    <t>4930553003547</t>
  </si>
  <si>
    <t>150</t>
  </si>
  <si>
    <t>350</t>
  </si>
  <si>
    <t>①通常単価＞メガ割　小計割引</t>
    <rPh sb="12" eb="14">
      <t>ワリビキ</t>
    </rPh>
    <phoneticPr fontId="7"/>
  </si>
  <si>
    <t>ＢＴえび大１０尾　　　　　　　　　　　　</t>
  </si>
  <si>
    <t>4953413375240</t>
  </si>
  <si>
    <t>①通常単価＞メガ割　小計値引</t>
  </si>
  <si>
    <t>天然えび中１８尾　　　　　　　　　　　　</t>
  </si>
  <si>
    <t>4980766121187</t>
  </si>
  <si>
    <t>①通常単価＞カテゴリー割引&gt;カテゴリー値引</t>
  </si>
  <si>
    <t>カマンベールチーズサンド</t>
  </si>
  <si>
    <t>4974819059633</t>
  </si>
  <si>
    <t>100</t>
  </si>
  <si>
    <t>店番号</t>
  </si>
  <si>
    <t>日付</t>
  </si>
  <si>
    <t>商品グループコード</t>
  </si>
  <si>
    <t>商品コード</t>
  </si>
  <si>
    <t>スキャンコード</t>
  </si>
  <si>
    <t>企画コード</t>
  </si>
  <si>
    <t>値引コード</t>
    <phoneticPr fontId="10"/>
  </si>
  <si>
    <t>値引回数</t>
  </si>
  <si>
    <t>91760000</t>
  </si>
  <si>
    <t>20200929</t>
  </si>
  <si>
    <t>0000001901768</t>
  </si>
  <si>
    <t>45</t>
  </si>
  <si>
    <t>0000001032433</t>
  </si>
  <si>
    <t>0000001053406</t>
  </si>
  <si>
    <t>95</t>
  </si>
  <si>
    <t>0000001053350</t>
  </si>
  <si>
    <t>0000001053791</t>
  </si>
  <si>
    <t>0000001053120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</si>
  <si>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</si>
  <si>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</si>
  <si>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</si>
  <si>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</si>
  <si>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</si>
  <si>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</si>
  <si>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</si>
  <si>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</si>
  <si>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</si>
  <si>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カテゴリー値引</t>
    <rPh sb="5" eb="7">
      <t>ネビキ</t>
    </rPh>
    <phoneticPr fontId="1"/>
  </si>
  <si>
    <t>カテゴリー割引</t>
    <rPh sb="5" eb="7">
      <t>ワリビキ</t>
    </rPh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</si>
  <si>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</si>
  <si>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値下</t>
    <rPh sb="0" eb="2">
      <t>ネサ</t>
    </rPh>
    <phoneticPr fontId="2"/>
  </si>
  <si>
    <t>①通常単価＞カテゴリー値引&gt;カテゴリー割引</t>
    <rPh sb="19" eb="21">
      <t>ワリビキ</t>
    </rPh>
    <phoneticPr fontId="6"/>
  </si>
  <si>
    <t>小計割引</t>
    <rPh sb="2" eb="4">
      <t>ワリビキ</t>
    </rPh>
    <phoneticPr fontId="1"/>
  </si>
  <si>
    <t>①通常単価＞カテゴリー割引　小計値引</t>
    <rPh sb="11" eb="12">
      <t>ワリ</t>
    </rPh>
    <phoneticPr fontId="6"/>
  </si>
  <si>
    <t>小計値引</t>
    <phoneticPr fontId="1"/>
  </si>
  <si>
    <t>①通常単価＞カテゴリー値引　小計値引</t>
    <phoneticPr fontId="6"/>
  </si>
  <si>
    <t>①通常単価＞カテゴリー値引　朝値引</t>
    <rPh sb="14" eb="15">
      <t>アサ</t>
    </rPh>
    <phoneticPr fontId="6"/>
  </si>
  <si>
    <t>①通常単価＞カテゴリー割引　朝値引</t>
    <rPh sb="11" eb="12">
      <t>ワリ</t>
    </rPh>
    <rPh sb="14" eb="15">
      <t>アサ</t>
    </rPh>
    <phoneticPr fontId="6"/>
  </si>
  <si>
    <t>①通常単価＞カテゴリー値引　メガ割</t>
    <rPh sb="16" eb="17">
      <t>ワリ</t>
    </rPh>
    <phoneticPr fontId="6"/>
  </si>
  <si>
    <t>①通常単価＞カテゴリー割引　メガ割</t>
    <rPh sb="11" eb="12">
      <t>ワリ</t>
    </rPh>
    <rPh sb="16" eb="17">
      <t>ワリ</t>
    </rPh>
    <phoneticPr fontId="6"/>
  </si>
  <si>
    <t>クレジット割</t>
  </si>
  <si>
    <t>①通常単価＞カテゴリー値引　クレジット割</t>
    <rPh sb="19" eb="20">
      <t>ワリ</t>
    </rPh>
    <phoneticPr fontId="6"/>
  </si>
  <si>
    <t>ＴＶ　ＡＳＣスモークムール貝　　　　　　</t>
  </si>
  <si>
    <t>4549741672498</t>
  </si>
  <si>
    <t>①通常単価＞カテゴリー割引　クレジット割</t>
    <rPh sb="11" eb="12">
      <t>ワリ</t>
    </rPh>
    <rPh sb="19" eb="20">
      <t>ワリ</t>
    </rPh>
    <phoneticPr fontId="6"/>
  </si>
  <si>
    <t>生あさりむき身２３０ｇ　　　　　　　　　</t>
  </si>
  <si>
    <t>4940785134742</t>
  </si>
  <si>
    <t>朝割</t>
    <rPh sb="0" eb="1">
      <t>アサ</t>
    </rPh>
    <rPh sb="1" eb="2">
      <t>ワリ</t>
    </rPh>
    <phoneticPr fontId="1"/>
  </si>
  <si>
    <t>①通常単価＞朝割　小計値引</t>
    <rPh sb="6" eb="7">
      <t>アサ</t>
    </rPh>
    <rPh sb="7" eb="8">
      <t>ワリ</t>
    </rPh>
    <phoneticPr fontId="6"/>
  </si>
  <si>
    <t>メガ割</t>
    <rPh sb="2" eb="3">
      <t>ワリ</t>
    </rPh>
    <phoneticPr fontId="1"/>
  </si>
  <si>
    <t>①通常単価＞メガ割　小計値引</t>
    <rPh sb="8" eb="9">
      <t>ワリ</t>
    </rPh>
    <phoneticPr fontId="6"/>
  </si>
  <si>
    <t>クレジット割</t>
    <rPh sb="5" eb="6">
      <t>ワリ</t>
    </rPh>
    <phoneticPr fontId="1"/>
  </si>
  <si>
    <t>①通常単価＞クレジット割　小計値引</t>
    <rPh sb="11" eb="12">
      <t>ワリ</t>
    </rPh>
    <phoneticPr fontId="6"/>
  </si>
  <si>
    <t>天然えび大１５尾　　　　　　　　　　　　</t>
  </si>
  <si>
    <t>4969832225530</t>
  </si>
  <si>
    <t>天然オーストタイガー有頭３尾　ＦＯ用　　</t>
  </si>
  <si>
    <t>4934416100671</t>
  </si>
  <si>
    <t>①通常単価＞カテゴリー割引&gt;カテゴリー値引</t>
    <rPh sb="11" eb="13">
      <t>ワリビキ</t>
    </rPh>
    <phoneticPr fontId="6"/>
  </si>
  <si>
    <t>カマンベールチーズサンド</t>
    <phoneticPr fontId="6"/>
  </si>
  <si>
    <t>4974819059633</t>
    <phoneticPr fontId="6"/>
  </si>
  <si>
    <t>未</t>
    <rPh sb="0" eb="1">
      <t>ミ</t>
    </rPh>
    <phoneticPr fontId="6"/>
  </si>
  <si>
    <t>単価</t>
  </si>
  <si>
    <t>値引内容</t>
  </si>
  <si>
    <t>カテゴリ値引</t>
    <rPh sb="4" eb="6">
      <t>ネビキ</t>
    </rPh>
    <phoneticPr fontId="10"/>
  </si>
  <si>
    <t>若さぎ浮し炊６０ｇ</t>
  </si>
  <si>
    <t>4580189091892</t>
  </si>
  <si>
    <t>カテゴリ割引</t>
    <rPh sb="4" eb="6">
      <t>ワリビキ</t>
    </rPh>
    <phoneticPr fontId="1"/>
  </si>
  <si>
    <t>海藻ビーズ</t>
  </si>
  <si>
    <t>4573251759028</t>
  </si>
  <si>
    <t>浜名湖うなぎの刺身</t>
  </si>
  <si>
    <t>4573386160010</t>
  </si>
  <si>
    <t>小計割引（マニュアル）</t>
    <phoneticPr fontId="10"/>
  </si>
  <si>
    <t>サラダフィッシュハーブ（すけそうだら）</t>
  </si>
  <si>
    <t>4573399340324</t>
  </si>
  <si>
    <t>サラダフィッシュガーリックペッパー</t>
  </si>
  <si>
    <t>4573399340331</t>
  </si>
  <si>
    <t>ボイルずわいがにシュリンク２Ｋ</t>
  </si>
  <si>
    <t>4573399340645</t>
  </si>
  <si>
    <t>メガ割（自動）</t>
  </si>
  <si>
    <t>さば開き１枚　真空</t>
  </si>
  <si>
    <t>4580109011177</t>
  </si>
  <si>
    <t>クレジット割（自動）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</si>
</sst>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5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83">
    <xf numFmtId="0" fontId="0" fillId="0" borderId="0" xfId="0">
      <alignment vertical="center"/>
    </xf>
    <xf numFmtId="0" fontId="9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right" vertical="center"/>
    </xf>
    <xf numFmtId="0" fontId="5" fillId="0" borderId="1" xfId="5" applyFont="1" applyBorder="1" applyAlignment="1">
      <alignment wrapText="1"/>
    </xf>
    <xf numFmtId="0" fontId="9" fillId="0" borderId="0" xfId="0" applyFont="1" applyAlignment="1">
      <alignment horizontal="right" vertical="center"/>
    </xf>
    <xf numFmtId="0" fontId="4" fillId="0" borderId="1" xfId="3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4" fillId="0" borderId="1" xfId="4" applyBorder="1" applyAlignment="1">
      <alignment wrapText="1"/>
    </xf>
    <xf numFmtId="49" fontId="4" fillId="0" borderId="1" xfId="3" applyNumberFormat="1" applyBorder="1" applyAlignment="1">
      <alignment wrapText="1"/>
    </xf>
    <xf numFmtId="49" fontId="4" fillId="0" borderId="1" xfId="4" applyNumberFormat="1" applyBorder="1" applyAlignment="1">
      <alignment wrapText="1"/>
    </xf>
    <xf numFmtId="49" fontId="4" fillId="0" borderId="1" xfId="4" quotePrefix="1" applyNumberFormat="1" applyBorder="1" applyAlignment="1">
      <alignment wrapText="1"/>
    </xf>
    <xf numFmtId="0" fontId="4" fillId="2" borderId="1" xfId="2" applyFill="1" applyBorder="1" applyAlignment="1">
      <alignment horizontal="center"/>
    </xf>
    <xf numFmtId="0" fontId="4" fillId="0" borderId="1" xfId="2" applyBorder="1" applyAlignment="1">
      <alignment horizontal="right" wrapText="1"/>
    </xf>
    <xf numFmtId="0" fontId="4" fillId="0" borderId="1" xfId="2" applyBorder="1" applyAlignment="1">
      <alignment wrapText="1"/>
    </xf>
    <xf numFmtId="0" fontId="9" fillId="4" borderId="1" xfId="0" applyFont="1" applyFill="1" applyBorder="1">
      <alignment vertical="center"/>
    </xf>
    <xf numFmtId="0" fontId="9" fillId="4" borderId="0" xfId="0" applyFont="1" applyFill="1">
      <alignment vertical="center"/>
    </xf>
    <xf numFmtId="0" fontId="0" fillId="4" borderId="0" xfId="0" applyFill="1">
      <alignment vertical="center"/>
    </xf>
    <xf numFmtId="0" fontId="4" fillId="4" borderId="1" xfId="2" applyFill="1" applyBorder="1" applyAlignment="1">
      <alignment horizontal="right" wrapText="1"/>
    </xf>
    <xf numFmtId="0" fontId="4" fillId="4" borderId="1" xfId="2" applyFill="1" applyBorder="1" applyAlignment="1">
      <alignment wrapText="1"/>
    </xf>
    <xf numFmtId="0" fontId="0" fillId="5" borderId="0" xfId="0" applyFill="1">
      <alignment vertical="center"/>
    </xf>
    <xf numFmtId="0" fontId="4" fillId="0" borderId="1" xfId="2" applyBorder="1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5" fillId="0" borderId="6" xfId="6" applyFont="1" applyBorder="1" applyAlignment="1">
      <alignment wrapText="1"/>
    </xf>
    <xf numFmtId="0" fontId="9" fillId="0" borderId="8" xfId="0" applyFont="1" applyBorder="1">
      <alignment vertical="center"/>
    </xf>
    <xf numFmtId="0" fontId="5" fillId="0" borderId="8" xfId="6" applyFont="1" applyBorder="1" applyAlignment="1">
      <alignment wrapText="1"/>
    </xf>
    <xf numFmtId="0" fontId="9" fillId="0" borderId="10" xfId="0" applyFont="1" applyBorder="1">
      <alignment vertical="center"/>
    </xf>
    <xf numFmtId="0" fontId="5" fillId="0" borderId="10" xfId="6" applyFont="1" applyBorder="1" applyAlignment="1">
      <alignment wrapText="1"/>
    </xf>
    <xf numFmtId="0" fontId="9" fillId="0" borderId="3" xfId="0" applyFont="1" applyBorder="1">
      <alignment vertical="center"/>
    </xf>
    <xf numFmtId="0" fontId="13" fillId="0" borderId="0" xfId="0" applyFo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7" xfId="0" applyFont="1" applyBorder="1">
      <alignment vertical="center"/>
    </xf>
    <xf numFmtId="0" fontId="14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4" fillId="2" borderId="21" xfId="4" applyFill="1" applyBorder="1" applyAlignment="1">
      <alignment horizontal="center"/>
    </xf>
    <xf numFmtId="0" fontId="4" fillId="0" borderId="22" xfId="4" applyBorder="1" applyAlignment="1">
      <alignment wrapText="1"/>
    </xf>
    <xf numFmtId="0" fontId="4" fillId="0" borderId="22" xfId="4" applyBorder="1" applyAlignment="1">
      <alignment horizontal="right" wrapText="1"/>
    </xf>
    <xf numFmtId="0" fontId="4" fillId="2" borderId="23" xfId="4" applyFill="1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9" fillId="0" borderId="1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</cellXfs>
  <cellStyles count="7">
    <cellStyle name="40% - アクセント 3" xfId="1" builtinId="39"/>
    <cellStyle name="標準" xfId="0" builtinId="0"/>
    <cellStyle name="標準_Sheet1" xfId="2" xr:uid="{00000000-0005-0000-0000-000002000000}"/>
    <cellStyle name="標準_Sheet2" xfId="3" xr:uid="{00000000-0005-0000-0000-000003000000}"/>
    <cellStyle name="標準_Sheet3" xfId="4" xr:uid="{00000000-0005-0000-0000-000004000000}"/>
    <cellStyle name="標準_Sheet4" xfId="6" xr:uid="{8FB1C788-EC2D-444C-8A7F-944E78F7ADF2}"/>
    <cellStyle name="標準_売上値引実績確認 (2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9"/>
  <sheetViews>
    <sheetView zoomScale="85" zoomScaleNormal="85" workbookViewId="0">
      <selection activeCell="C4" sqref="C4"/>
    </sheetView>
  </sheetViews>
  <sheetFormatPr defaultRowHeight="27.75" customHeight="1"/>
  <cols>
    <col min="1" max="1" width="13.875" style="1" bestFit="1" customWidth="1"/>
    <col min="2" max="2" width="25" style="4" bestFit="1" customWidth="1"/>
    <col min="3" max="3" width="33.875" style="4" bestFit="1" customWidth="1"/>
    <col min="4" max="4" width="11.625" style="4" bestFit="1" customWidth="1"/>
    <col min="5" max="5" width="9.5" style="4" bestFit="1" customWidth="1"/>
    <col min="6" max="6" width="29.375" style="4" bestFit="1" customWidth="1"/>
    <col min="7" max="7" width="31.625" style="4" customWidth="1"/>
    <col min="8" max="16384" width="9" style="4"/>
  </cols>
  <sheetData>
    <row r="1" spans="1:7" ht="27.75" customHeight="1">
      <c r="A1" s="58" t="s">
        <v>0</v>
      </c>
      <c r="B1" s="59"/>
      <c r="C1" s="59"/>
      <c r="D1" s="59"/>
      <c r="E1" s="59"/>
      <c r="F1" s="59"/>
      <c r="G1" s="75"/>
    </row>
    <row r="2" spans="1:7" ht="27.75" customHeight="1" thickBot="1"/>
    <row r="3" spans="1:7" s="1" customFormat="1" ht="25.5" customHeight="1" thickBot="1">
      <c r="A3" s="26" t="s">
        <v>1</v>
      </c>
      <c r="B3" s="27" t="s">
        <v>2</v>
      </c>
      <c r="C3" s="27" t="s">
        <v>3</v>
      </c>
      <c r="D3" s="28" t="s">
        <v>4</v>
      </c>
      <c r="E3" s="28" t="s">
        <v>5</v>
      </c>
      <c r="F3" s="27" t="s">
        <v>6</v>
      </c>
      <c r="G3" s="29" t="s">
        <v>7</v>
      </c>
    </row>
    <row r="4" spans="1:7" ht="25.5" customHeight="1">
      <c r="A4" s="60">
        <v>1</v>
      </c>
      <c r="B4" s="76" t="s">
        <v>8</v>
      </c>
      <c r="C4" s="30" t="s">
        <v>9</v>
      </c>
      <c r="D4" s="31">
        <v>91400</v>
      </c>
      <c r="E4" s="31">
        <v>14</v>
      </c>
      <c r="F4" s="30" t="s">
        <v>9</v>
      </c>
      <c r="G4" s="77" t="s">
        <v>10</v>
      </c>
    </row>
    <row r="5" spans="1:7" ht="25.5" customHeight="1" thickBot="1">
      <c r="A5" s="62"/>
      <c r="B5" s="78"/>
      <c r="C5" s="32" t="s">
        <v>11</v>
      </c>
      <c r="D5" s="33">
        <v>91400</v>
      </c>
      <c r="E5" s="33">
        <v>14</v>
      </c>
      <c r="F5" s="32" t="s">
        <v>12</v>
      </c>
      <c r="G5" s="79"/>
    </row>
    <row r="6" spans="1:7" ht="25.5" customHeight="1">
      <c r="A6" s="60">
        <v>2</v>
      </c>
      <c r="B6" s="76" t="s">
        <v>13</v>
      </c>
      <c r="C6" s="30" t="s">
        <v>9</v>
      </c>
      <c r="D6" s="31">
        <v>91400</v>
      </c>
      <c r="E6" s="31">
        <v>14</v>
      </c>
      <c r="F6" s="30" t="s">
        <v>9</v>
      </c>
      <c r="G6" s="77" t="s">
        <v>10</v>
      </c>
    </row>
    <row r="7" spans="1:7" ht="25.5" customHeight="1" thickBot="1">
      <c r="A7" s="62"/>
      <c r="B7" s="78"/>
      <c r="C7" s="32" t="s">
        <v>14</v>
      </c>
      <c r="D7" s="33">
        <v>91400</v>
      </c>
      <c r="E7" s="33">
        <v>14</v>
      </c>
      <c r="F7" s="32" t="s">
        <v>15</v>
      </c>
      <c r="G7" s="79"/>
    </row>
    <row r="8" spans="1:7" ht="25.5" customHeight="1">
      <c r="A8" s="60">
        <v>3</v>
      </c>
      <c r="B8" s="76" t="s">
        <v>16</v>
      </c>
      <c r="C8" s="30" t="s">
        <v>9</v>
      </c>
      <c r="D8" s="31">
        <v>91400</v>
      </c>
      <c r="E8" s="31">
        <v>14</v>
      </c>
      <c r="F8" s="30" t="s">
        <v>9</v>
      </c>
      <c r="G8" s="77" t="s">
        <v>10</v>
      </c>
    </row>
    <row r="9" spans="1:7" ht="25.5" customHeight="1" thickBot="1">
      <c r="A9" s="61"/>
      <c r="B9" s="80"/>
      <c r="C9" s="34" t="s">
        <v>17</v>
      </c>
      <c r="D9" s="35">
        <v>91400</v>
      </c>
      <c r="E9" s="35">
        <v>14</v>
      </c>
      <c r="F9" s="34" t="s">
        <v>12</v>
      </c>
      <c r="G9" s="79"/>
    </row>
  </sheetData>
  <mergeCells count="10">
    <mergeCell ref="A1:G1"/>
    <mergeCell ref="A8:A9"/>
    <mergeCell ref="B8:B9"/>
    <mergeCell ref="A4:A5"/>
    <mergeCell ref="B4:B5"/>
    <mergeCell ref="A6:A7"/>
    <mergeCell ref="B6:B7"/>
    <mergeCell ref="G4:G5"/>
    <mergeCell ref="G6:G7"/>
    <mergeCell ref="G8:G9"/>
  </mergeCells>
  <phoneticPr fontId="10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74"/>
  <sheetViews>
    <sheetView tabSelected="1" workbookViewId="0">
      <selection activeCell="I24" sqref="I24"/>
    </sheetView>
  </sheetViews>
  <sheetFormatPr defaultRowHeight="18.75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31.625" bestFit="1" customWidth="1"/>
  </cols>
  <sheetData>
    <row r="1" spans="1:10">
      <c r="A1" s="37" t="s">
        <v>18</v>
      </c>
    </row>
    <row r="2" spans="1:10" ht="19.5" thickBot="1"/>
    <row r="3" spans="1:10" s="4" customFormat="1" ht="13.5">
      <c r="D3" s="38" t="s">
        <v>19</v>
      </c>
      <c r="E3" s="39"/>
      <c r="F3" s="39"/>
      <c r="G3" s="39"/>
      <c r="H3" s="39"/>
      <c r="I3" s="39"/>
      <c r="J3" s="40"/>
    </row>
    <row r="4" spans="1:10" s="4" customFormat="1" ht="13.5">
      <c r="D4" s="41">
        <v>1</v>
      </c>
      <c r="E4" s="42" t="s">
        <v>20</v>
      </c>
      <c r="F4" s="42"/>
      <c r="G4" s="42"/>
      <c r="H4" s="1"/>
      <c r="I4" s="1"/>
      <c r="J4" s="43"/>
    </row>
    <row r="5" spans="1:10" s="4" customFormat="1" ht="13.5">
      <c r="D5" s="44"/>
      <c r="E5" s="42"/>
      <c r="F5" s="42"/>
      <c r="G5" s="42"/>
      <c r="H5" s="1"/>
      <c r="I5" s="1"/>
      <c r="J5" s="43"/>
    </row>
    <row r="6" spans="1:10" s="1" customFormat="1" ht="13.5">
      <c r="D6" s="45"/>
      <c r="E6" s="1" t="s">
        <v>21</v>
      </c>
      <c r="H6" s="1" t="str">
        <f>H8&amp;"％の朝割り（自動）"</f>
        <v>10％の朝割り（自動）</v>
      </c>
      <c r="I6" s="1" t="str">
        <f>I8&amp;"円の小計値引（マニュアル）"</f>
        <v>50円の小計値引（マニュアル）</v>
      </c>
      <c r="J6" s="46"/>
    </row>
    <row r="7" spans="1:10" s="4" customFormat="1" ht="13.5">
      <c r="D7" s="45"/>
      <c r="E7" s="7"/>
      <c r="G7" s="42"/>
      <c r="H7" s="1"/>
      <c r="I7" s="1"/>
      <c r="J7" s="43"/>
    </row>
    <row r="8" spans="1:10" s="4" customFormat="1" ht="13.5">
      <c r="D8" s="45"/>
      <c r="E8" s="7" t="s">
        <v>22</v>
      </c>
      <c r="G8" s="1"/>
      <c r="H8" s="1">
        <v>10</v>
      </c>
      <c r="I8" s="1">
        <v>50</v>
      </c>
      <c r="J8" s="43"/>
    </row>
    <row r="9" spans="1:10" s="4" customFormat="1" ht="13.5">
      <c r="D9" s="45"/>
      <c r="E9" s="1"/>
      <c r="G9" s="1"/>
      <c r="H9" s="1"/>
      <c r="I9" s="1"/>
      <c r="J9" s="43"/>
    </row>
    <row r="10" spans="1:10" s="4" customFormat="1" ht="13.5">
      <c r="D10" s="45"/>
      <c r="E10" s="1"/>
      <c r="G10" s="1"/>
      <c r="H10" s="1"/>
      <c r="I10" s="1"/>
      <c r="J10" s="43"/>
    </row>
    <row r="11" spans="1:10" s="4" customFormat="1" ht="13.5">
      <c r="D11" s="45"/>
      <c r="E11" s="1"/>
      <c r="G11" s="63" t="s">
        <v>23</v>
      </c>
      <c r="H11" s="47" t="s">
        <v>24</v>
      </c>
      <c r="J11" s="43"/>
    </row>
    <row r="12" spans="1:10" s="4" customFormat="1" ht="13.5" customHeight="1">
      <c r="D12" s="45"/>
      <c r="E12" s="1"/>
      <c r="G12" s="64"/>
      <c r="H12" s="68" t="s">
        <v>25</v>
      </c>
      <c r="I12" s="47" t="s">
        <v>26</v>
      </c>
      <c r="J12" s="43"/>
    </row>
    <row r="13" spans="1:10" s="4" customFormat="1" ht="13.5" customHeight="1">
      <c r="D13" s="45"/>
      <c r="E13" s="1"/>
      <c r="G13" s="64"/>
      <c r="H13" s="81"/>
      <c r="I13" s="69" t="s">
        <v>27</v>
      </c>
      <c r="J13" s="43"/>
    </row>
    <row r="14" spans="1:10" s="4" customFormat="1" ht="13.5" customHeight="1">
      <c r="D14" s="45"/>
      <c r="E14" s="1"/>
      <c r="G14" s="64"/>
      <c r="H14" s="81"/>
      <c r="I14" s="81"/>
      <c r="J14" s="43"/>
    </row>
    <row r="15" spans="1:10" s="4" customFormat="1" ht="13.5" customHeight="1">
      <c r="D15" s="45"/>
      <c r="E15" s="1"/>
      <c r="G15" s="64"/>
      <c r="H15" s="81"/>
      <c r="I15" s="81"/>
      <c r="J15" s="43"/>
    </row>
    <row r="16" spans="1:10" s="4" customFormat="1" ht="13.5" customHeight="1">
      <c r="D16" s="45"/>
      <c r="E16" s="1"/>
      <c r="G16" s="65"/>
      <c r="H16" s="82"/>
      <c r="I16" s="82"/>
      <c r="J16" s="43"/>
    </row>
    <row r="17" spans="4:10" s="4" customFormat="1" ht="13.5" customHeight="1">
      <c r="D17" s="45"/>
      <c r="E17" s="48" t="s">
        <v>28</v>
      </c>
      <c r="G17" s="48"/>
      <c r="H17" s="9">
        <v>30</v>
      </c>
      <c r="I17" s="9">
        <v>50</v>
      </c>
      <c r="J17" s="43"/>
    </row>
    <row r="18" spans="4:10" s="4" customFormat="1">
      <c r="D18" s="45"/>
      <c r="E18" s="48" t="s">
        <v>29</v>
      </c>
      <c r="F18" s="48"/>
      <c r="G18" s="48"/>
      <c r="H18" s="66">
        <v>220</v>
      </c>
      <c r="I18" s="67"/>
      <c r="J18" s="43"/>
    </row>
    <row r="19" spans="4:10" s="4" customFormat="1" ht="13.5">
      <c r="D19" s="45"/>
      <c r="E19" s="48"/>
      <c r="F19" s="48"/>
      <c r="G19" s="48"/>
      <c r="H19" s="1"/>
      <c r="I19" s="1"/>
      <c r="J19" s="43"/>
    </row>
    <row r="20" spans="4:10" s="4" customFormat="1" ht="13.5">
      <c r="D20" s="45"/>
      <c r="E20" s="48" t="s">
        <v>30</v>
      </c>
      <c r="F20" s="48"/>
      <c r="G20" s="48"/>
      <c r="H20" s="1"/>
      <c r="I20" s="1"/>
      <c r="J20" s="43"/>
    </row>
    <row r="21" spans="4:10" s="4" customFormat="1" ht="13.5">
      <c r="D21" s="45"/>
      <c r="E21" s="49" t="s">
        <v>31</v>
      </c>
      <c r="F21" s="49"/>
      <c r="G21" s="48"/>
      <c r="H21" s="1">
        <v>91440</v>
      </c>
      <c r="I21" s="1">
        <v>91440</v>
      </c>
      <c r="J21" s="43"/>
    </row>
    <row r="22" spans="4:10" s="4" customFormat="1" ht="13.5">
      <c r="D22" s="45"/>
      <c r="E22" s="49" t="s">
        <v>32</v>
      </c>
      <c r="F22" s="49"/>
      <c r="G22" s="48"/>
      <c r="H22" s="1">
        <v>14</v>
      </c>
      <c r="I22" s="1">
        <v>14</v>
      </c>
      <c r="J22" s="43"/>
    </row>
    <row r="23" spans="4:10" s="4" customFormat="1" ht="13.5">
      <c r="D23" s="45"/>
      <c r="E23" s="49" t="s">
        <v>33</v>
      </c>
      <c r="F23" s="49"/>
      <c r="G23" s="48"/>
      <c r="H23" s="48" t="s">
        <v>15</v>
      </c>
      <c r="I23" s="48" t="s">
        <v>15</v>
      </c>
      <c r="J23" s="43"/>
    </row>
    <row r="24" spans="4:10" s="4" customFormat="1" ht="27">
      <c r="D24" s="45"/>
      <c r="E24" s="48" t="s">
        <v>28</v>
      </c>
      <c r="F24" s="48"/>
      <c r="G24" s="48"/>
      <c r="H24" s="48" t="s">
        <v>34</v>
      </c>
      <c r="I24" s="48" t="s">
        <v>35</v>
      </c>
      <c r="J24" s="43"/>
    </row>
    <row r="25" spans="4:10" s="4" customFormat="1" ht="13.5">
      <c r="D25" s="45"/>
      <c r="E25" s="57" t="s">
        <v>36</v>
      </c>
      <c r="F25" s="48"/>
      <c r="G25" s="48"/>
      <c r="H25" s="48"/>
      <c r="I25" s="48"/>
      <c r="J25" s="43"/>
    </row>
    <row r="26" spans="4:10" s="4" customFormat="1" ht="14.25" thickBot="1">
      <c r="D26" s="50"/>
      <c r="E26" s="51"/>
      <c r="F26" s="51"/>
      <c r="G26" s="51"/>
      <c r="H26" s="51"/>
      <c r="I26" s="51"/>
      <c r="J26" s="52"/>
    </row>
    <row r="27" spans="4:10" s="4" customFormat="1" ht="13.5">
      <c r="D27" s="38" t="s">
        <v>19</v>
      </c>
      <c r="E27" s="39"/>
      <c r="F27" s="39"/>
      <c r="G27" s="39"/>
      <c r="H27" s="39"/>
      <c r="I27" s="39"/>
      <c r="J27" s="40"/>
    </row>
    <row r="28" spans="4:10" s="4" customFormat="1" ht="13.5">
      <c r="D28" s="41">
        <v>2</v>
      </c>
      <c r="E28" s="42" t="s">
        <v>37</v>
      </c>
      <c r="F28" s="42"/>
      <c r="G28" s="42"/>
      <c r="H28" s="1"/>
      <c r="I28" s="1"/>
      <c r="J28" s="43"/>
    </row>
    <row r="29" spans="4:10" s="4" customFormat="1" ht="13.5">
      <c r="D29" s="44"/>
      <c r="E29" s="42"/>
      <c r="F29" s="42"/>
      <c r="G29" s="42"/>
      <c r="H29" s="1"/>
      <c r="I29" s="1"/>
      <c r="J29" s="43"/>
    </row>
    <row r="30" spans="4:10" s="1" customFormat="1" ht="13.5">
      <c r="D30" s="45"/>
      <c r="E30" s="1" t="s">
        <v>21</v>
      </c>
      <c r="H30" s="1" t="str">
        <f>H32&amp;"％のメガ割（自動）"</f>
        <v>10％のメガ割（自動）</v>
      </c>
      <c r="I30" s="1" t="str">
        <f>I32&amp;"円の小計値引（マニュアル）"</f>
        <v>50円の小計値引（マニュアル）</v>
      </c>
      <c r="J30" s="46"/>
    </row>
    <row r="31" spans="4:10" s="4" customFormat="1" ht="13.5">
      <c r="D31" s="45"/>
      <c r="E31" s="7"/>
      <c r="F31" s="7"/>
      <c r="G31" s="42"/>
      <c r="H31" s="1"/>
      <c r="I31" s="1"/>
      <c r="J31" s="43"/>
    </row>
    <row r="32" spans="4:10" s="4" customFormat="1" ht="13.5">
      <c r="D32" s="45"/>
      <c r="E32" s="7" t="s">
        <v>38</v>
      </c>
      <c r="F32" s="7"/>
      <c r="G32" s="1"/>
      <c r="H32" s="1">
        <v>10</v>
      </c>
      <c r="I32" s="1">
        <v>50</v>
      </c>
      <c r="J32" s="43"/>
    </row>
    <row r="33" spans="4:10" s="4" customFormat="1" ht="13.5">
      <c r="D33" s="45"/>
      <c r="E33" s="1"/>
      <c r="F33" s="1"/>
      <c r="G33" s="1"/>
      <c r="H33" s="1"/>
      <c r="I33" s="1"/>
      <c r="J33" s="43"/>
    </row>
    <row r="34" spans="4:10" s="4" customFormat="1" ht="13.5">
      <c r="D34" s="45"/>
      <c r="E34" s="1"/>
      <c r="F34" s="1"/>
      <c r="G34" s="1"/>
      <c r="H34" s="1"/>
      <c r="I34" s="1"/>
      <c r="J34" s="43"/>
    </row>
    <row r="35" spans="4:10" s="4" customFormat="1" ht="13.5">
      <c r="D35" s="45"/>
      <c r="E35" s="1"/>
      <c r="F35" s="1"/>
      <c r="G35" s="63" t="s">
        <v>23</v>
      </c>
      <c r="H35" s="47" t="s">
        <v>24</v>
      </c>
      <c r="J35" s="43"/>
    </row>
    <row r="36" spans="4:10" s="4" customFormat="1" ht="13.5" customHeight="1">
      <c r="D36" s="45"/>
      <c r="E36" s="1"/>
      <c r="F36" s="1"/>
      <c r="G36" s="64"/>
      <c r="H36" s="68" t="s">
        <v>39</v>
      </c>
      <c r="I36" s="47" t="s">
        <v>26</v>
      </c>
      <c r="J36" s="43"/>
    </row>
    <row r="37" spans="4:10" s="4" customFormat="1" ht="13.5" customHeight="1">
      <c r="D37" s="45"/>
      <c r="E37" s="1"/>
      <c r="F37" s="1"/>
      <c r="G37" s="64"/>
      <c r="H37" s="81"/>
      <c r="I37" s="69" t="s">
        <v>27</v>
      </c>
      <c r="J37" s="43"/>
    </row>
    <row r="38" spans="4:10" s="4" customFormat="1" ht="13.5" customHeight="1">
      <c r="D38" s="45"/>
      <c r="E38" s="1"/>
      <c r="F38" s="1"/>
      <c r="G38" s="64"/>
      <c r="H38" s="81"/>
      <c r="I38" s="81"/>
      <c r="J38" s="43"/>
    </row>
    <row r="39" spans="4:10" s="4" customFormat="1" ht="13.5" customHeight="1">
      <c r="D39" s="45"/>
      <c r="E39" s="1"/>
      <c r="F39" s="1"/>
      <c r="G39" s="64"/>
      <c r="H39" s="81"/>
      <c r="I39" s="81"/>
      <c r="J39" s="43"/>
    </row>
    <row r="40" spans="4:10" s="4" customFormat="1" ht="13.5" customHeight="1">
      <c r="D40" s="45"/>
      <c r="E40" s="1"/>
      <c r="F40" s="1"/>
      <c r="G40" s="65"/>
      <c r="H40" s="82"/>
      <c r="I40" s="82"/>
      <c r="J40" s="43"/>
    </row>
    <row r="41" spans="4:10" s="4" customFormat="1" ht="13.5" customHeight="1">
      <c r="D41" s="45"/>
      <c r="E41" s="48" t="s">
        <v>28</v>
      </c>
      <c r="F41" s="48"/>
      <c r="G41" s="48"/>
      <c r="H41" s="9">
        <v>30</v>
      </c>
      <c r="I41" s="9">
        <v>50</v>
      </c>
      <c r="J41" s="43"/>
    </row>
    <row r="42" spans="4:10" s="4" customFormat="1">
      <c r="D42" s="45"/>
      <c r="E42" s="48" t="s">
        <v>29</v>
      </c>
      <c r="F42" s="48"/>
      <c r="G42" s="48"/>
      <c r="H42" s="66">
        <v>220</v>
      </c>
      <c r="I42" s="67"/>
      <c r="J42" s="43"/>
    </row>
    <row r="43" spans="4:10" s="4" customFormat="1" ht="13.5">
      <c r="D43" s="45"/>
      <c r="E43" s="48"/>
      <c r="F43" s="48"/>
      <c r="G43" s="48"/>
      <c r="H43" s="1"/>
      <c r="I43" s="1"/>
      <c r="J43" s="43"/>
    </row>
    <row r="44" spans="4:10" s="4" customFormat="1" ht="13.5">
      <c r="D44" s="45"/>
      <c r="E44" s="48" t="s">
        <v>30</v>
      </c>
      <c r="F44" s="48"/>
      <c r="G44" s="48"/>
      <c r="H44" s="1"/>
      <c r="I44" s="1"/>
      <c r="J44" s="43"/>
    </row>
    <row r="45" spans="4:10" s="4" customFormat="1" ht="13.5">
      <c r="D45" s="45"/>
      <c r="E45" s="49" t="s">
        <v>31</v>
      </c>
      <c r="F45" s="49"/>
      <c r="G45" s="48"/>
      <c r="H45" s="1">
        <v>91440</v>
      </c>
      <c r="I45" s="1">
        <v>91440</v>
      </c>
      <c r="J45" s="43"/>
    </row>
    <row r="46" spans="4:10" s="4" customFormat="1" ht="13.5">
      <c r="D46" s="45"/>
      <c r="E46" s="49" t="s">
        <v>32</v>
      </c>
      <c r="F46" s="49"/>
      <c r="G46" s="48"/>
      <c r="H46" s="1">
        <v>14</v>
      </c>
      <c r="I46" s="1">
        <v>14</v>
      </c>
      <c r="J46" s="43"/>
    </row>
    <row r="47" spans="4:10" s="4" customFormat="1" ht="13.5">
      <c r="D47" s="45"/>
      <c r="E47" s="49" t="s">
        <v>33</v>
      </c>
      <c r="F47" s="49"/>
      <c r="G47" s="48"/>
      <c r="H47" s="48" t="s">
        <v>15</v>
      </c>
      <c r="I47" s="48" t="s">
        <v>15</v>
      </c>
      <c r="J47" s="43"/>
    </row>
    <row r="48" spans="4:10" s="4" customFormat="1" ht="27">
      <c r="D48" s="45"/>
      <c r="E48" s="48" t="s">
        <v>28</v>
      </c>
      <c r="F48" s="48"/>
      <c r="G48" s="48"/>
      <c r="H48" s="48" t="s">
        <v>34</v>
      </c>
      <c r="I48" s="48" t="s">
        <v>35</v>
      </c>
      <c r="J48" s="43"/>
    </row>
    <row r="49" spans="4:10" s="4" customFormat="1" ht="13.5">
      <c r="D49" s="45"/>
      <c r="E49" s="57" t="s">
        <v>36</v>
      </c>
      <c r="F49" s="48"/>
      <c r="G49" s="48"/>
      <c r="H49" s="48"/>
      <c r="I49" s="48"/>
      <c r="J49" s="43"/>
    </row>
    <row r="50" spans="4:10" s="4" customFormat="1" ht="14.25" thickBot="1">
      <c r="D50" s="50"/>
      <c r="E50" s="51"/>
      <c r="F50" s="51"/>
      <c r="G50" s="51"/>
      <c r="H50" s="51"/>
      <c r="I50" s="51"/>
      <c r="J50" s="52"/>
    </row>
    <row r="51" spans="4:10" s="4" customFormat="1" ht="13.5">
      <c r="D51" s="38" t="s">
        <v>19</v>
      </c>
      <c r="E51" s="39"/>
      <c r="F51" s="39"/>
      <c r="G51" s="39"/>
      <c r="H51" s="39"/>
      <c r="I51" s="39"/>
      <c r="J51" s="40"/>
    </row>
    <row r="52" spans="4:10" s="4" customFormat="1" ht="13.5">
      <c r="D52" s="41">
        <v>3</v>
      </c>
      <c r="E52" s="42" t="s">
        <v>40</v>
      </c>
      <c r="F52" s="42"/>
      <c r="G52" s="42"/>
      <c r="H52" s="1"/>
      <c r="I52" s="1"/>
      <c r="J52" s="43"/>
    </row>
    <row r="53" spans="4:10" s="4" customFormat="1" ht="13.5">
      <c r="D53" s="44"/>
      <c r="E53" s="42"/>
      <c r="F53" s="42"/>
      <c r="G53" s="42"/>
      <c r="H53" s="1"/>
      <c r="I53" s="1"/>
      <c r="J53" s="43"/>
    </row>
    <row r="54" spans="4:10" s="1" customFormat="1" ht="13.5">
      <c r="D54" s="45"/>
      <c r="E54" s="1" t="s">
        <v>21</v>
      </c>
      <c r="H54" s="1" t="str">
        <f>H56&amp;"％のクレジット割（自動）"</f>
        <v>10％のクレジット割（自動）</v>
      </c>
      <c r="I54" s="1" t="str">
        <f>I56&amp;"円の小計値引（マニュアル）"</f>
        <v>50円の小計値引（マニュアル）</v>
      </c>
      <c r="J54" s="46"/>
    </row>
    <row r="55" spans="4:10" s="4" customFormat="1" ht="13.5">
      <c r="D55" s="45"/>
      <c r="E55" s="7"/>
      <c r="F55" s="7"/>
      <c r="G55" s="42"/>
      <c r="H55" s="1"/>
      <c r="I55" s="1"/>
      <c r="J55" s="43"/>
    </row>
    <row r="56" spans="4:10" s="4" customFormat="1" ht="13.5">
      <c r="D56" s="45"/>
      <c r="E56" s="7" t="s">
        <v>41</v>
      </c>
      <c r="F56" s="7"/>
      <c r="G56" s="1"/>
      <c r="H56" s="1">
        <v>10</v>
      </c>
      <c r="I56" s="1">
        <v>50</v>
      </c>
      <c r="J56" s="43"/>
    </row>
    <row r="57" spans="4:10" s="4" customFormat="1" ht="13.5">
      <c r="D57" s="45"/>
      <c r="E57" s="1"/>
      <c r="F57" s="1"/>
      <c r="G57" s="1"/>
      <c r="H57" s="1"/>
      <c r="I57" s="1"/>
      <c r="J57" s="43"/>
    </row>
    <row r="58" spans="4:10" s="4" customFormat="1" ht="13.5">
      <c r="D58" s="45"/>
      <c r="E58" s="1"/>
      <c r="F58" s="1"/>
      <c r="G58" s="1"/>
      <c r="H58" s="1"/>
      <c r="I58" s="1"/>
      <c r="J58" s="43"/>
    </row>
    <row r="59" spans="4:10" s="4" customFormat="1" ht="13.5">
      <c r="D59" s="45"/>
      <c r="E59" s="1"/>
      <c r="F59" s="1"/>
      <c r="G59" s="63" t="s">
        <v>23</v>
      </c>
      <c r="H59" s="47" t="s">
        <v>24</v>
      </c>
      <c r="J59" s="43"/>
    </row>
    <row r="60" spans="4:10" s="4" customFormat="1" ht="13.5" customHeight="1">
      <c r="D60" s="45"/>
      <c r="E60" s="1"/>
      <c r="F60" s="1"/>
      <c r="G60" s="64"/>
      <c r="H60" s="68" t="s">
        <v>42</v>
      </c>
      <c r="I60" s="47" t="s">
        <v>26</v>
      </c>
      <c r="J60" s="43"/>
    </row>
    <row r="61" spans="4:10" s="4" customFormat="1" ht="13.5" customHeight="1">
      <c r="D61" s="45"/>
      <c r="E61" s="1"/>
      <c r="F61" s="1"/>
      <c r="G61" s="64"/>
      <c r="H61" s="81"/>
      <c r="I61" s="69" t="s">
        <v>27</v>
      </c>
      <c r="J61" s="43"/>
    </row>
    <row r="62" spans="4:10" s="4" customFormat="1" ht="13.5" customHeight="1">
      <c r="D62" s="45"/>
      <c r="E62" s="1"/>
      <c r="F62" s="1"/>
      <c r="G62" s="64"/>
      <c r="H62" s="81"/>
      <c r="I62" s="81"/>
      <c r="J62" s="43"/>
    </row>
    <row r="63" spans="4:10" s="4" customFormat="1" ht="13.5" customHeight="1">
      <c r="D63" s="45"/>
      <c r="E63" s="1"/>
      <c r="F63" s="1"/>
      <c r="G63" s="64"/>
      <c r="H63" s="81"/>
      <c r="I63" s="81"/>
      <c r="J63" s="43"/>
    </row>
    <row r="64" spans="4:10" s="4" customFormat="1" ht="13.5" customHeight="1">
      <c r="D64" s="45"/>
      <c r="E64" s="1"/>
      <c r="F64" s="1"/>
      <c r="G64" s="65"/>
      <c r="H64" s="82"/>
      <c r="I64" s="82"/>
      <c r="J64" s="43"/>
    </row>
    <row r="65" spans="4:10" s="4" customFormat="1" ht="13.5" customHeight="1">
      <c r="D65" s="45"/>
      <c r="E65" s="48" t="s">
        <v>28</v>
      </c>
      <c r="F65" s="48"/>
      <c r="G65" s="48"/>
      <c r="H65" s="9">
        <v>30</v>
      </c>
      <c r="I65" s="9">
        <v>50</v>
      </c>
      <c r="J65" s="43"/>
    </row>
    <row r="66" spans="4:10" s="4" customFormat="1">
      <c r="D66" s="45"/>
      <c r="E66" s="48" t="s">
        <v>29</v>
      </c>
      <c r="F66" s="48"/>
      <c r="G66" s="48"/>
      <c r="H66" s="66">
        <v>220</v>
      </c>
      <c r="I66" s="67"/>
      <c r="J66" s="43"/>
    </row>
    <row r="67" spans="4:10" s="4" customFormat="1" ht="13.5">
      <c r="D67" s="45"/>
      <c r="E67" s="48"/>
      <c r="F67" s="48"/>
      <c r="G67" s="48"/>
      <c r="H67" s="1"/>
      <c r="I67" s="1"/>
      <c r="J67" s="43"/>
    </row>
    <row r="68" spans="4:10" s="4" customFormat="1" ht="13.5">
      <c r="D68" s="45"/>
      <c r="E68" s="48" t="s">
        <v>30</v>
      </c>
      <c r="F68" s="48"/>
      <c r="G68" s="48"/>
      <c r="H68" s="1"/>
      <c r="I68" s="1"/>
      <c r="J68" s="43"/>
    </row>
    <row r="69" spans="4:10" s="4" customFormat="1" ht="13.5">
      <c r="D69" s="45"/>
      <c r="E69" s="49" t="s">
        <v>31</v>
      </c>
      <c r="F69" s="49"/>
      <c r="G69" s="48"/>
      <c r="H69" s="1">
        <v>91440</v>
      </c>
      <c r="I69" s="1">
        <v>91440</v>
      </c>
      <c r="J69" s="43"/>
    </row>
    <row r="70" spans="4:10" s="4" customFormat="1" ht="13.5">
      <c r="D70" s="45"/>
      <c r="E70" s="49" t="s">
        <v>32</v>
      </c>
      <c r="F70" s="49"/>
      <c r="G70" s="48"/>
      <c r="H70" s="1">
        <v>14</v>
      </c>
      <c r="I70" s="1">
        <v>14</v>
      </c>
      <c r="J70" s="43"/>
    </row>
    <row r="71" spans="4:10" s="4" customFormat="1" ht="13.5">
      <c r="D71" s="45"/>
      <c r="E71" s="49" t="s">
        <v>33</v>
      </c>
      <c r="F71" s="49"/>
      <c r="G71" s="48"/>
      <c r="H71" s="48" t="s">
        <v>15</v>
      </c>
      <c r="I71" s="48" t="s">
        <v>15</v>
      </c>
      <c r="J71" s="43"/>
    </row>
    <row r="72" spans="4:10" s="4" customFormat="1" ht="27">
      <c r="D72" s="45"/>
      <c r="E72" s="48" t="s">
        <v>28</v>
      </c>
      <c r="F72" s="48"/>
      <c r="G72" s="48"/>
      <c r="H72" s="48" t="s">
        <v>34</v>
      </c>
      <c r="I72" s="48" t="s">
        <v>35</v>
      </c>
      <c r="J72" s="43"/>
    </row>
    <row r="73" spans="4:10" s="4" customFormat="1" ht="13.5">
      <c r="D73" s="45"/>
      <c r="E73" s="57" t="s">
        <v>36</v>
      </c>
      <c r="F73" s="48"/>
      <c r="G73" s="48"/>
      <c r="H73" s="48"/>
      <c r="I73" s="48"/>
      <c r="J73" s="43"/>
    </row>
    <row r="74" spans="4:10" s="4" customFormat="1" ht="14.25" thickBot="1">
      <c r="D74" s="50"/>
      <c r="E74" s="51"/>
      <c r="F74" s="51"/>
      <c r="G74" s="51"/>
      <c r="H74" s="51"/>
      <c r="I74" s="51"/>
      <c r="J74" s="52"/>
    </row>
  </sheetData>
  <mergeCells count="12">
    <mergeCell ref="H66:I66"/>
    <mergeCell ref="H42:I42"/>
    <mergeCell ref="G59:G64"/>
    <mergeCell ref="H60:H64"/>
    <mergeCell ref="I61:I64"/>
    <mergeCell ref="G11:G16"/>
    <mergeCell ref="H18:I18"/>
    <mergeCell ref="G35:G40"/>
    <mergeCell ref="H36:H40"/>
    <mergeCell ref="I37:I40"/>
    <mergeCell ref="H12:H16"/>
    <mergeCell ref="I13:I16"/>
  </mergeCells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zoomScale="85" zoomScaleNormal="85" workbookViewId="0">
      <selection activeCell="I13" sqref="I13"/>
    </sheetView>
  </sheetViews>
  <sheetFormatPr defaultColWidth="32.125" defaultRowHeight="18" customHeight="1" outlineLevelCol="1"/>
  <cols>
    <col min="1" max="1" width="13" bestFit="1" customWidth="1"/>
    <col min="2" max="2" width="5.25" bestFit="1" customWidth="1"/>
    <col min="3" max="3" width="9" bestFit="1" customWidth="1"/>
    <col min="4" max="4" width="6.25" bestFit="1" customWidth="1"/>
    <col min="5" max="5" width="13.5" bestFit="1" customWidth="1"/>
    <col min="6" max="6" width="10.875" bestFit="1" customWidth="1"/>
    <col min="7" max="7" width="38" hidden="1" customWidth="1" outlineLevel="1"/>
    <col min="8" max="8" width="23.5" bestFit="1" customWidth="1" collapsed="1"/>
    <col min="9" max="9" width="15" bestFit="1" customWidth="1"/>
    <col min="10" max="10" width="9" bestFit="1" customWidth="1"/>
    <col min="11" max="12" width="13.5" bestFit="1" customWidth="1"/>
    <col min="13" max="13" width="7.125" bestFit="1" customWidth="1"/>
    <col min="14" max="14" width="9.875" bestFit="1" customWidth="1"/>
    <col min="15" max="15" width="9" bestFit="1" customWidth="1"/>
    <col min="16" max="16" width="7.125" bestFit="1" customWidth="1"/>
    <col min="17" max="17" width="9" bestFit="1" customWidth="1"/>
    <col min="18" max="18" width="65.625" customWidth="1"/>
    <col min="19" max="19" width="10.875" bestFit="1" customWidth="1"/>
    <col min="20" max="20" width="9" bestFit="1" customWidth="1"/>
    <col min="21" max="21" width="11" bestFit="1" customWidth="1"/>
    <col min="22" max="23" width="13" bestFit="1" customWidth="1"/>
  </cols>
  <sheetData>
    <row r="1" spans="1:23" ht="18" customHeight="1">
      <c r="B1" s="14" t="s">
        <v>43</v>
      </c>
      <c r="C1" s="14" t="s">
        <v>44</v>
      </c>
      <c r="D1" s="14" t="s">
        <v>45</v>
      </c>
      <c r="E1" s="14" t="s">
        <v>46</v>
      </c>
      <c r="F1" s="14" t="s">
        <v>47</v>
      </c>
      <c r="G1" s="14" t="s">
        <v>48</v>
      </c>
      <c r="H1" s="14" t="s">
        <v>49</v>
      </c>
      <c r="I1" s="14" t="s">
        <v>50</v>
      </c>
      <c r="J1" s="14" t="s">
        <v>51</v>
      </c>
      <c r="K1" s="14" t="s">
        <v>52</v>
      </c>
      <c r="L1" s="14" t="s">
        <v>53</v>
      </c>
      <c r="M1" s="14" t="s">
        <v>54</v>
      </c>
      <c r="N1" s="14" t="s">
        <v>4</v>
      </c>
      <c r="O1" s="14" t="s">
        <v>5</v>
      </c>
      <c r="P1" s="14" t="s">
        <v>55</v>
      </c>
      <c r="Q1" s="14" t="s">
        <v>56</v>
      </c>
      <c r="R1" s="14" t="s">
        <v>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</row>
    <row r="2" spans="1:23" ht="18" customHeight="1">
      <c r="A2" s="22" t="s">
        <v>62</v>
      </c>
      <c r="B2" s="15">
        <v>1</v>
      </c>
      <c r="C2" s="16" t="s">
        <v>63</v>
      </c>
      <c r="D2" s="16" t="s">
        <v>64</v>
      </c>
      <c r="E2" s="16" t="s">
        <v>53</v>
      </c>
      <c r="F2" s="16" t="s">
        <v>65</v>
      </c>
      <c r="G2" s="16" t="s">
        <v>66</v>
      </c>
      <c r="H2" s="16" t="s">
        <v>67</v>
      </c>
      <c r="I2" s="16" t="s">
        <v>68</v>
      </c>
      <c r="J2" s="16" t="s">
        <v>69</v>
      </c>
      <c r="K2" s="16" t="s">
        <v>70</v>
      </c>
      <c r="L2" s="16" t="s">
        <v>71</v>
      </c>
      <c r="M2" s="16" t="s">
        <v>65</v>
      </c>
      <c r="N2" s="16" t="s">
        <v>72</v>
      </c>
      <c r="O2" s="16" t="s">
        <v>73</v>
      </c>
      <c r="P2" s="16" t="s">
        <v>74</v>
      </c>
      <c r="Q2" s="16" t="s">
        <v>75</v>
      </c>
      <c r="R2" s="16" t="s">
        <v>76</v>
      </c>
      <c r="S2" s="16" t="s">
        <v>77</v>
      </c>
      <c r="T2" s="16" t="s">
        <v>78</v>
      </c>
      <c r="U2" s="16" t="s">
        <v>75</v>
      </c>
      <c r="V2" s="16" t="s">
        <v>74</v>
      </c>
      <c r="W2" s="16" t="s">
        <v>75</v>
      </c>
    </row>
    <row r="3" spans="1:23" s="19" customFormat="1" ht="18" customHeight="1">
      <c r="A3" s="19" t="s">
        <v>79</v>
      </c>
      <c r="B3" s="20">
        <v>2</v>
      </c>
      <c r="C3" s="21" t="s">
        <v>63</v>
      </c>
      <c r="D3" s="21" t="s">
        <v>64</v>
      </c>
      <c r="E3" s="21" t="s">
        <v>80</v>
      </c>
      <c r="F3" s="21" t="s">
        <v>81</v>
      </c>
      <c r="G3" s="21" t="s">
        <v>82</v>
      </c>
      <c r="H3" s="21" t="s">
        <v>83</v>
      </c>
      <c r="I3" s="21" t="s">
        <v>84</v>
      </c>
      <c r="J3" s="21" t="s">
        <v>69</v>
      </c>
      <c r="K3" s="21" t="s">
        <v>70</v>
      </c>
      <c r="L3" s="21" t="s">
        <v>65</v>
      </c>
      <c r="M3" s="21" t="s">
        <v>65</v>
      </c>
      <c r="N3" s="21" t="s">
        <v>85</v>
      </c>
      <c r="O3" s="21" t="s">
        <v>86</v>
      </c>
      <c r="P3" s="21" t="s">
        <v>81</v>
      </c>
      <c r="Q3" s="21" t="s">
        <v>73</v>
      </c>
      <c r="R3" s="21" t="s">
        <v>87</v>
      </c>
      <c r="S3" s="21" t="s">
        <v>88</v>
      </c>
      <c r="T3" s="21" t="s">
        <v>89</v>
      </c>
      <c r="U3" s="21" t="s">
        <v>75</v>
      </c>
      <c r="V3" s="21" t="s">
        <v>90</v>
      </c>
      <c r="W3" s="21" t="s">
        <v>75</v>
      </c>
    </row>
    <row r="4" spans="1:23" s="19" customFormat="1" ht="18" customHeight="1">
      <c r="A4" s="19" t="s">
        <v>91</v>
      </c>
      <c r="B4" s="20">
        <v>2</v>
      </c>
      <c r="C4" s="21" t="s">
        <v>63</v>
      </c>
      <c r="D4" s="21" t="s">
        <v>64</v>
      </c>
      <c r="E4" s="21" t="s">
        <v>80</v>
      </c>
      <c r="F4" s="21" t="s">
        <v>81</v>
      </c>
      <c r="G4" s="21" t="s">
        <v>92</v>
      </c>
      <c r="H4" s="21" t="s">
        <v>83</v>
      </c>
      <c r="I4" s="21" t="s">
        <v>84</v>
      </c>
      <c r="J4" s="21" t="s">
        <v>69</v>
      </c>
      <c r="K4" s="21" t="s">
        <v>70</v>
      </c>
      <c r="L4" s="21" t="s">
        <v>65</v>
      </c>
      <c r="M4" s="21" t="s">
        <v>65</v>
      </c>
      <c r="N4" s="21" t="s">
        <v>72</v>
      </c>
      <c r="O4" s="21" t="s">
        <v>73</v>
      </c>
      <c r="P4" s="21" t="s">
        <v>70</v>
      </c>
      <c r="Q4" s="21" t="s">
        <v>75</v>
      </c>
      <c r="R4" s="21" t="s">
        <v>76</v>
      </c>
      <c r="S4" s="21" t="s">
        <v>77</v>
      </c>
      <c r="T4" s="21" t="s">
        <v>89</v>
      </c>
      <c r="U4" s="21" t="s">
        <v>75</v>
      </c>
      <c r="V4" s="21" t="s">
        <v>90</v>
      </c>
      <c r="W4" s="21" t="s">
        <v>75</v>
      </c>
    </row>
    <row r="5" spans="1:23" s="19" customFormat="1" ht="18" customHeight="1">
      <c r="A5" s="19" t="s">
        <v>79</v>
      </c>
      <c r="B5" s="20">
        <v>3</v>
      </c>
      <c r="C5" s="21" t="s">
        <v>63</v>
      </c>
      <c r="D5" s="21" t="s">
        <v>64</v>
      </c>
      <c r="E5" s="21" t="s">
        <v>93</v>
      </c>
      <c r="F5" s="21" t="s">
        <v>70</v>
      </c>
      <c r="G5" s="21" t="s">
        <v>94</v>
      </c>
      <c r="H5" s="21" t="s">
        <v>95</v>
      </c>
      <c r="I5" s="21" t="s">
        <v>96</v>
      </c>
      <c r="J5" s="21" t="s">
        <v>69</v>
      </c>
      <c r="K5" s="21" t="s">
        <v>65</v>
      </c>
      <c r="L5" s="21" t="s">
        <v>71</v>
      </c>
      <c r="M5" s="21" t="s">
        <v>65</v>
      </c>
      <c r="N5" s="21" t="s">
        <v>85</v>
      </c>
      <c r="O5" s="21" t="s">
        <v>86</v>
      </c>
      <c r="P5" s="21" t="s">
        <v>70</v>
      </c>
      <c r="Q5" s="21" t="s">
        <v>73</v>
      </c>
      <c r="R5" s="21" t="s">
        <v>97</v>
      </c>
      <c r="S5" s="21" t="s">
        <v>88</v>
      </c>
      <c r="T5" s="21" t="s">
        <v>98</v>
      </c>
      <c r="U5" s="21" t="s">
        <v>75</v>
      </c>
      <c r="V5" s="21" t="s">
        <v>99</v>
      </c>
      <c r="W5" s="21" t="s">
        <v>75</v>
      </c>
    </row>
    <row r="6" spans="1:23" s="19" customFormat="1" ht="18" customHeight="1">
      <c r="B6" s="20">
        <v>3</v>
      </c>
      <c r="C6" s="21" t="s">
        <v>63</v>
      </c>
      <c r="D6" s="21" t="s">
        <v>64</v>
      </c>
      <c r="E6" s="21" t="s">
        <v>93</v>
      </c>
      <c r="F6" s="21" t="s">
        <v>70</v>
      </c>
      <c r="G6" s="21" t="s">
        <v>100</v>
      </c>
      <c r="H6" s="21" t="s">
        <v>95</v>
      </c>
      <c r="I6" s="21" t="s">
        <v>96</v>
      </c>
      <c r="J6" s="21" t="s">
        <v>69</v>
      </c>
      <c r="K6" s="21" t="s">
        <v>65</v>
      </c>
      <c r="L6" s="21" t="s">
        <v>71</v>
      </c>
      <c r="M6" s="21" t="s">
        <v>65</v>
      </c>
      <c r="N6" s="21" t="s">
        <v>72</v>
      </c>
      <c r="O6" s="21" t="s">
        <v>73</v>
      </c>
      <c r="P6" s="21" t="s">
        <v>74</v>
      </c>
      <c r="Q6" s="21" t="s">
        <v>75</v>
      </c>
      <c r="R6" s="21" t="s">
        <v>76</v>
      </c>
      <c r="S6" s="21" t="s">
        <v>77</v>
      </c>
      <c r="T6" s="21" t="s">
        <v>98</v>
      </c>
      <c r="U6" s="21" t="s">
        <v>75</v>
      </c>
      <c r="V6" s="21" t="s">
        <v>99</v>
      </c>
      <c r="W6" s="21" t="s">
        <v>75</v>
      </c>
    </row>
    <row r="7" spans="1:23" ht="18" customHeight="1">
      <c r="A7" s="22" t="s">
        <v>101</v>
      </c>
      <c r="B7" s="15">
        <v>4</v>
      </c>
      <c r="C7" s="16" t="s">
        <v>63</v>
      </c>
      <c r="D7" s="16" t="s">
        <v>64</v>
      </c>
      <c r="E7" s="16" t="s">
        <v>102</v>
      </c>
      <c r="F7" s="16" t="s">
        <v>65</v>
      </c>
      <c r="G7" s="16" t="s">
        <v>103</v>
      </c>
      <c r="H7" s="16" t="s">
        <v>104</v>
      </c>
      <c r="I7" s="16" t="s">
        <v>105</v>
      </c>
      <c r="J7" s="16" t="s">
        <v>69</v>
      </c>
      <c r="K7" s="16" t="s">
        <v>70</v>
      </c>
      <c r="L7" s="16" t="s">
        <v>65</v>
      </c>
      <c r="M7" s="16" t="s">
        <v>106</v>
      </c>
      <c r="N7" s="16" t="s">
        <v>85</v>
      </c>
      <c r="O7" s="16" t="s">
        <v>86</v>
      </c>
      <c r="P7" s="16" t="s">
        <v>107</v>
      </c>
      <c r="Q7" s="16" t="s">
        <v>73</v>
      </c>
      <c r="R7" s="16" t="s">
        <v>97</v>
      </c>
      <c r="S7" s="16" t="s">
        <v>88</v>
      </c>
      <c r="T7" s="16" t="s">
        <v>108</v>
      </c>
      <c r="U7" s="16" t="s">
        <v>75</v>
      </c>
      <c r="V7" s="16" t="s">
        <v>109</v>
      </c>
      <c r="W7" s="16" t="s">
        <v>75</v>
      </c>
    </row>
    <row r="8" spans="1:23" ht="18" customHeight="1">
      <c r="A8" s="22" t="s">
        <v>91</v>
      </c>
      <c r="B8" s="15">
        <v>4</v>
      </c>
      <c r="C8" s="16" t="s">
        <v>63</v>
      </c>
      <c r="D8" s="16" t="s">
        <v>64</v>
      </c>
      <c r="E8" s="16" t="s">
        <v>102</v>
      </c>
      <c r="F8" s="16" t="s">
        <v>65</v>
      </c>
      <c r="G8" s="16" t="s">
        <v>110</v>
      </c>
      <c r="H8" s="16" t="s">
        <v>104</v>
      </c>
      <c r="I8" s="16" t="s">
        <v>105</v>
      </c>
      <c r="J8" s="16" t="s">
        <v>69</v>
      </c>
      <c r="K8" s="16" t="s">
        <v>70</v>
      </c>
      <c r="L8" s="16" t="s">
        <v>65</v>
      </c>
      <c r="M8" s="16" t="s">
        <v>106</v>
      </c>
      <c r="N8" s="16" t="s">
        <v>72</v>
      </c>
      <c r="O8" s="16" t="s">
        <v>73</v>
      </c>
      <c r="P8" s="16" t="s">
        <v>70</v>
      </c>
      <c r="Q8" s="16" t="s">
        <v>75</v>
      </c>
      <c r="R8" s="16" t="s">
        <v>76</v>
      </c>
      <c r="S8" s="16" t="s">
        <v>77</v>
      </c>
      <c r="T8" s="16" t="s">
        <v>108</v>
      </c>
      <c r="U8" s="16" t="s">
        <v>75</v>
      </c>
      <c r="V8" s="16" t="s">
        <v>109</v>
      </c>
      <c r="W8" s="16" t="s">
        <v>75</v>
      </c>
    </row>
    <row r="9" spans="1:23" ht="18" customHeight="1">
      <c r="A9" s="22" t="s">
        <v>101</v>
      </c>
      <c r="B9" s="15">
        <v>5</v>
      </c>
      <c r="C9" s="16" t="s">
        <v>63</v>
      </c>
      <c r="D9" s="16" t="s">
        <v>64</v>
      </c>
      <c r="E9" s="16" t="s">
        <v>102</v>
      </c>
      <c r="F9" s="16" t="s">
        <v>65</v>
      </c>
      <c r="G9" s="16" t="s">
        <v>111</v>
      </c>
      <c r="H9" s="16" t="s">
        <v>112</v>
      </c>
      <c r="I9" s="16" t="s">
        <v>113</v>
      </c>
      <c r="J9" s="16" t="s">
        <v>69</v>
      </c>
      <c r="K9" s="16" t="s">
        <v>65</v>
      </c>
      <c r="L9" s="16" t="s">
        <v>71</v>
      </c>
      <c r="M9" s="16" t="s">
        <v>106</v>
      </c>
      <c r="N9" s="16" t="s">
        <v>85</v>
      </c>
      <c r="O9" s="16" t="s">
        <v>86</v>
      </c>
      <c r="P9" s="16" t="s">
        <v>114</v>
      </c>
      <c r="Q9" s="16" t="s">
        <v>73</v>
      </c>
      <c r="R9" s="16" t="s">
        <v>97</v>
      </c>
      <c r="S9" s="16" t="s">
        <v>88</v>
      </c>
      <c r="T9" s="16" t="s">
        <v>115</v>
      </c>
      <c r="U9" s="16" t="s">
        <v>75</v>
      </c>
      <c r="V9" s="16" t="s">
        <v>116</v>
      </c>
      <c r="W9" s="16" t="s">
        <v>75</v>
      </c>
    </row>
    <row r="10" spans="1:23" ht="18" customHeight="1">
      <c r="A10" s="22" t="s">
        <v>62</v>
      </c>
      <c r="B10" s="15">
        <v>5</v>
      </c>
      <c r="C10" s="16" t="s">
        <v>63</v>
      </c>
      <c r="D10" s="16" t="s">
        <v>64</v>
      </c>
      <c r="E10" s="16" t="s">
        <v>102</v>
      </c>
      <c r="F10" s="16" t="s">
        <v>65</v>
      </c>
      <c r="G10" s="16" t="s">
        <v>117</v>
      </c>
      <c r="H10" s="16" t="s">
        <v>112</v>
      </c>
      <c r="I10" s="16" t="s">
        <v>113</v>
      </c>
      <c r="J10" s="16" t="s">
        <v>69</v>
      </c>
      <c r="K10" s="16" t="s">
        <v>65</v>
      </c>
      <c r="L10" s="16" t="s">
        <v>71</v>
      </c>
      <c r="M10" s="16" t="s">
        <v>106</v>
      </c>
      <c r="N10" s="16" t="s">
        <v>72</v>
      </c>
      <c r="O10" s="16" t="s">
        <v>73</v>
      </c>
      <c r="P10" s="16" t="s">
        <v>74</v>
      </c>
      <c r="Q10" s="16" t="s">
        <v>75</v>
      </c>
      <c r="R10" s="16" t="s">
        <v>76</v>
      </c>
      <c r="S10" s="16" t="s">
        <v>77</v>
      </c>
      <c r="T10" s="16" t="s">
        <v>115</v>
      </c>
      <c r="U10" s="16" t="s">
        <v>75</v>
      </c>
      <c r="V10" s="16" t="s">
        <v>116</v>
      </c>
      <c r="W10" s="16" t="s">
        <v>75</v>
      </c>
    </row>
    <row r="11" spans="1:23" ht="18" customHeight="1">
      <c r="A11" s="22" t="s">
        <v>91</v>
      </c>
      <c r="B11" s="15">
        <v>6</v>
      </c>
      <c r="C11" s="16" t="s">
        <v>63</v>
      </c>
      <c r="D11" s="16" t="s">
        <v>64</v>
      </c>
      <c r="E11" s="16" t="s">
        <v>118</v>
      </c>
      <c r="F11" s="16" t="s">
        <v>65</v>
      </c>
      <c r="G11" s="16" t="s">
        <v>119</v>
      </c>
      <c r="H11" s="16" t="s">
        <v>120</v>
      </c>
      <c r="I11" s="16" t="s">
        <v>121</v>
      </c>
      <c r="J11" s="16" t="s">
        <v>69</v>
      </c>
      <c r="K11" s="16" t="s">
        <v>70</v>
      </c>
      <c r="L11" s="16" t="s">
        <v>65</v>
      </c>
      <c r="M11" s="16" t="s">
        <v>106</v>
      </c>
      <c r="N11" s="16" t="s">
        <v>72</v>
      </c>
      <c r="O11" s="16" t="s">
        <v>73</v>
      </c>
      <c r="P11" s="16" t="s">
        <v>70</v>
      </c>
      <c r="Q11" s="16" t="s">
        <v>75</v>
      </c>
      <c r="R11" s="16" t="s">
        <v>76</v>
      </c>
      <c r="S11" s="16" t="s">
        <v>77</v>
      </c>
      <c r="T11" s="16" t="s">
        <v>108</v>
      </c>
      <c r="U11" s="16" t="s">
        <v>75</v>
      </c>
      <c r="V11" s="16" t="s">
        <v>109</v>
      </c>
      <c r="W11" s="16" t="s">
        <v>75</v>
      </c>
    </row>
    <row r="12" spans="1:23" ht="18" customHeight="1">
      <c r="A12" s="22" t="s">
        <v>122</v>
      </c>
      <c r="B12" s="15">
        <v>6</v>
      </c>
      <c r="C12" s="16" t="s">
        <v>63</v>
      </c>
      <c r="D12" s="16" t="s">
        <v>64</v>
      </c>
      <c r="E12" s="16" t="s">
        <v>118</v>
      </c>
      <c r="F12" s="16" t="s">
        <v>65</v>
      </c>
      <c r="G12" s="16" t="s">
        <v>119</v>
      </c>
      <c r="H12" s="16" t="s">
        <v>120</v>
      </c>
      <c r="I12" s="16" t="s">
        <v>121</v>
      </c>
      <c r="J12" s="16" t="s">
        <v>69</v>
      </c>
      <c r="K12" s="16" t="s">
        <v>70</v>
      </c>
      <c r="L12" s="16" t="s">
        <v>65</v>
      </c>
      <c r="M12" s="16" t="s">
        <v>106</v>
      </c>
      <c r="N12" s="16" t="s">
        <v>85</v>
      </c>
      <c r="O12" s="16" t="s">
        <v>86</v>
      </c>
      <c r="P12" s="16" t="s">
        <v>107</v>
      </c>
      <c r="Q12" s="16" t="s">
        <v>73</v>
      </c>
      <c r="R12" s="16" t="s">
        <v>97</v>
      </c>
      <c r="S12" s="16" t="s">
        <v>88</v>
      </c>
      <c r="T12" s="16" t="s">
        <v>108</v>
      </c>
      <c r="U12" s="16" t="s">
        <v>75</v>
      </c>
      <c r="V12" s="16" t="s">
        <v>109</v>
      </c>
      <c r="W12" s="16" t="s">
        <v>75</v>
      </c>
    </row>
    <row r="13" spans="1:23" ht="18" customHeight="1">
      <c r="A13" s="22" t="s">
        <v>122</v>
      </c>
      <c r="B13" s="15">
        <v>7</v>
      </c>
      <c r="C13" s="16" t="s">
        <v>63</v>
      </c>
      <c r="D13" s="16" t="s">
        <v>64</v>
      </c>
      <c r="E13" s="16" t="s">
        <v>118</v>
      </c>
      <c r="F13" s="16" t="s">
        <v>65</v>
      </c>
      <c r="G13" s="16" t="s">
        <v>123</v>
      </c>
      <c r="H13" s="16" t="s">
        <v>124</v>
      </c>
      <c r="I13" s="16" t="s">
        <v>125</v>
      </c>
      <c r="J13" s="16" t="s">
        <v>69</v>
      </c>
      <c r="K13" s="16" t="s">
        <v>65</v>
      </c>
      <c r="L13" s="16" t="s">
        <v>71</v>
      </c>
      <c r="M13" s="16" t="s">
        <v>106</v>
      </c>
      <c r="N13" s="16" t="s">
        <v>85</v>
      </c>
      <c r="O13" s="16" t="s">
        <v>86</v>
      </c>
      <c r="P13" s="16" t="s">
        <v>114</v>
      </c>
      <c r="Q13" s="16" t="s">
        <v>73</v>
      </c>
      <c r="R13" s="16" t="s">
        <v>97</v>
      </c>
      <c r="S13" s="16" t="s">
        <v>88</v>
      </c>
      <c r="T13" s="16" t="s">
        <v>115</v>
      </c>
      <c r="U13" s="16" t="s">
        <v>75</v>
      </c>
      <c r="V13" s="16" t="s">
        <v>116</v>
      </c>
      <c r="W13" s="16" t="s">
        <v>75</v>
      </c>
    </row>
    <row r="14" spans="1:23" ht="18" customHeight="1">
      <c r="A14" s="22" t="s">
        <v>62</v>
      </c>
      <c r="B14" s="15">
        <v>7</v>
      </c>
      <c r="C14" s="16" t="s">
        <v>63</v>
      </c>
      <c r="D14" s="16" t="s">
        <v>64</v>
      </c>
      <c r="E14" s="16" t="s">
        <v>118</v>
      </c>
      <c r="F14" s="16" t="s">
        <v>65</v>
      </c>
      <c r="G14" s="16" t="s">
        <v>123</v>
      </c>
      <c r="H14" s="16" t="s">
        <v>124</v>
      </c>
      <c r="I14" s="16" t="s">
        <v>125</v>
      </c>
      <c r="J14" s="16" t="s">
        <v>69</v>
      </c>
      <c r="K14" s="16" t="s">
        <v>65</v>
      </c>
      <c r="L14" s="16" t="s">
        <v>71</v>
      </c>
      <c r="M14" s="16" t="s">
        <v>106</v>
      </c>
      <c r="N14" s="16" t="s">
        <v>72</v>
      </c>
      <c r="O14" s="16" t="s">
        <v>73</v>
      </c>
      <c r="P14" s="16" t="s">
        <v>74</v>
      </c>
      <c r="Q14" s="16" t="s">
        <v>75</v>
      </c>
      <c r="R14" s="16" t="s">
        <v>76</v>
      </c>
      <c r="S14" s="16" t="s">
        <v>77</v>
      </c>
      <c r="T14" s="16" t="s">
        <v>115</v>
      </c>
      <c r="U14" s="16" t="s">
        <v>75</v>
      </c>
      <c r="V14" s="16" t="s">
        <v>116</v>
      </c>
      <c r="W14" s="16" t="s">
        <v>75</v>
      </c>
    </row>
    <row r="15" spans="1:23" s="19" customFormat="1" ht="18" customHeight="1">
      <c r="A15" s="22" t="s">
        <v>101</v>
      </c>
      <c r="B15" s="20">
        <v>10</v>
      </c>
      <c r="C15" s="21" t="s">
        <v>63</v>
      </c>
      <c r="D15" s="21" t="s">
        <v>64</v>
      </c>
      <c r="E15" s="21" t="s">
        <v>102</v>
      </c>
      <c r="F15" s="21" t="s">
        <v>81</v>
      </c>
      <c r="G15" s="21" t="s">
        <v>126</v>
      </c>
      <c r="H15" s="21" t="s">
        <v>127</v>
      </c>
      <c r="I15" s="21" t="s">
        <v>128</v>
      </c>
      <c r="J15" s="21" t="s">
        <v>69</v>
      </c>
      <c r="K15" s="21" t="s">
        <v>65</v>
      </c>
      <c r="L15" s="21" t="s">
        <v>65</v>
      </c>
      <c r="M15" s="21" t="s">
        <v>106</v>
      </c>
      <c r="N15" s="21" t="s">
        <v>85</v>
      </c>
      <c r="O15" s="21" t="s">
        <v>86</v>
      </c>
      <c r="P15" s="21" t="s">
        <v>129</v>
      </c>
      <c r="Q15" s="21" t="s">
        <v>73</v>
      </c>
      <c r="R15" s="21" t="s">
        <v>97</v>
      </c>
      <c r="S15" s="21" t="s">
        <v>88</v>
      </c>
      <c r="T15" s="21" t="s">
        <v>130</v>
      </c>
      <c r="U15" s="21" t="s">
        <v>75</v>
      </c>
      <c r="V15" s="21" t="s">
        <v>129</v>
      </c>
      <c r="W15" s="21" t="s">
        <v>75</v>
      </c>
    </row>
    <row r="16" spans="1:23" s="19" customFormat="1" ht="18" customHeight="1">
      <c r="B16" s="20">
        <v>11</v>
      </c>
      <c r="C16" s="21" t="s">
        <v>63</v>
      </c>
      <c r="D16" s="21" t="s">
        <v>64</v>
      </c>
      <c r="E16" s="21" t="s">
        <v>102</v>
      </c>
      <c r="F16" s="21" t="s">
        <v>70</v>
      </c>
      <c r="G16" s="21" t="s">
        <v>131</v>
      </c>
      <c r="H16" s="21" t="s">
        <v>132</v>
      </c>
      <c r="I16" s="21" t="s">
        <v>133</v>
      </c>
      <c r="J16" s="21" t="s">
        <v>69</v>
      </c>
      <c r="K16" s="21" t="s">
        <v>65</v>
      </c>
      <c r="L16" s="21" t="s">
        <v>65</v>
      </c>
      <c r="M16" s="21" t="s">
        <v>106</v>
      </c>
      <c r="N16" s="21" t="s">
        <v>85</v>
      </c>
      <c r="O16" s="21" t="s">
        <v>86</v>
      </c>
      <c r="P16" s="21" t="s">
        <v>134</v>
      </c>
      <c r="Q16" s="21" t="s">
        <v>73</v>
      </c>
      <c r="R16" s="21" t="s">
        <v>97</v>
      </c>
      <c r="S16" s="21" t="s">
        <v>88</v>
      </c>
      <c r="T16" s="21" t="s">
        <v>135</v>
      </c>
      <c r="U16" s="21" t="s">
        <v>75</v>
      </c>
      <c r="V16" s="21" t="s">
        <v>134</v>
      </c>
      <c r="W16" s="21" t="s">
        <v>75</v>
      </c>
    </row>
    <row r="17" spans="2:23" s="19" customFormat="1" ht="18" customHeight="1">
      <c r="B17" s="20">
        <v>12</v>
      </c>
      <c r="C17" s="21" t="s">
        <v>63</v>
      </c>
      <c r="D17" s="21" t="s">
        <v>64</v>
      </c>
      <c r="E17" s="21" t="s">
        <v>118</v>
      </c>
      <c r="F17" s="21" t="s">
        <v>81</v>
      </c>
      <c r="G17" s="21" t="s">
        <v>136</v>
      </c>
      <c r="H17" s="21" t="s">
        <v>137</v>
      </c>
      <c r="I17" s="21" t="s">
        <v>138</v>
      </c>
      <c r="J17" s="21" t="s">
        <v>69</v>
      </c>
      <c r="K17" s="21" t="s">
        <v>65</v>
      </c>
      <c r="L17" s="21" t="s">
        <v>65</v>
      </c>
      <c r="M17" s="21" t="s">
        <v>106</v>
      </c>
      <c r="N17" s="21" t="s">
        <v>85</v>
      </c>
      <c r="O17" s="21" t="s">
        <v>86</v>
      </c>
      <c r="P17" s="21" t="s">
        <v>129</v>
      </c>
      <c r="Q17" s="21" t="s">
        <v>73</v>
      </c>
      <c r="R17" s="21" t="s">
        <v>97</v>
      </c>
      <c r="S17" s="21" t="s">
        <v>88</v>
      </c>
      <c r="T17" s="21" t="s">
        <v>130</v>
      </c>
      <c r="U17" s="21" t="s">
        <v>75</v>
      </c>
      <c r="V17" s="21" t="s">
        <v>129</v>
      </c>
      <c r="W17" s="21" t="s">
        <v>75</v>
      </c>
    </row>
    <row r="18" spans="2:23" s="19" customFormat="1" ht="18" customHeight="1">
      <c r="B18" s="20">
        <v>13</v>
      </c>
      <c r="C18" s="21" t="s">
        <v>63</v>
      </c>
      <c r="D18" s="21" t="s">
        <v>64</v>
      </c>
      <c r="E18" s="21" t="s">
        <v>118</v>
      </c>
      <c r="F18" s="21" t="s">
        <v>70</v>
      </c>
      <c r="G18" s="21" t="s">
        <v>139</v>
      </c>
      <c r="H18" s="21" t="s">
        <v>140</v>
      </c>
      <c r="I18" s="21" t="s">
        <v>141</v>
      </c>
      <c r="J18" s="21" t="s">
        <v>69</v>
      </c>
      <c r="K18" s="21" t="s">
        <v>65</v>
      </c>
      <c r="L18" s="21" t="s">
        <v>65</v>
      </c>
      <c r="M18" s="21" t="s">
        <v>106</v>
      </c>
      <c r="N18" s="21" t="s">
        <v>85</v>
      </c>
      <c r="O18" s="21" t="s">
        <v>86</v>
      </c>
      <c r="P18" s="21" t="s">
        <v>134</v>
      </c>
      <c r="Q18" s="21" t="s">
        <v>73</v>
      </c>
      <c r="R18" s="21" t="s">
        <v>97</v>
      </c>
      <c r="S18" s="21" t="s">
        <v>88</v>
      </c>
      <c r="T18" s="21" t="s">
        <v>135</v>
      </c>
      <c r="U18" s="21" t="s">
        <v>75</v>
      </c>
      <c r="V18" s="21" t="s">
        <v>134</v>
      </c>
      <c r="W18" s="21" t="s">
        <v>75</v>
      </c>
    </row>
    <row r="19" spans="2:23" ht="18" customHeight="1">
      <c r="B19" s="15">
        <v>16</v>
      </c>
      <c r="C19" s="16" t="s">
        <v>63</v>
      </c>
      <c r="D19" s="16" t="s">
        <v>64</v>
      </c>
      <c r="E19" s="16" t="s">
        <v>53</v>
      </c>
      <c r="F19" s="16" t="s">
        <v>65</v>
      </c>
      <c r="G19" s="16" t="s">
        <v>142</v>
      </c>
      <c r="H19" s="16" t="s">
        <v>143</v>
      </c>
      <c r="I19" s="16" t="s">
        <v>144</v>
      </c>
      <c r="J19" s="16" t="s">
        <v>69</v>
      </c>
      <c r="K19" s="16" t="s">
        <v>145</v>
      </c>
      <c r="L19" s="16" t="s">
        <v>71</v>
      </c>
      <c r="M19" s="16" t="s">
        <v>65</v>
      </c>
      <c r="N19" s="16" t="s">
        <v>72</v>
      </c>
      <c r="O19" s="16" t="s">
        <v>73</v>
      </c>
      <c r="P19" s="16" t="s">
        <v>74</v>
      </c>
      <c r="Q19" s="16" t="s">
        <v>75</v>
      </c>
      <c r="R19" s="16" t="s">
        <v>76</v>
      </c>
      <c r="S19" s="16" t="s">
        <v>77</v>
      </c>
      <c r="T19" s="16" t="s">
        <v>78</v>
      </c>
      <c r="U19" s="16" t="s">
        <v>75</v>
      </c>
      <c r="V19" s="16" t="s">
        <v>74</v>
      </c>
      <c r="W19" s="16" t="s">
        <v>75</v>
      </c>
    </row>
  </sheetData>
  <autoFilter ref="A1:W19" xr:uid="{790C74D3-2864-4BC7-919D-B188C86DE0E9}"/>
  <phoneticPr fontId="7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C482-DA6A-4052-92B1-9277BB6612DD}">
  <dimension ref="A1:V9"/>
  <sheetViews>
    <sheetView workbookViewId="0">
      <selection activeCell="G14" sqref="G14"/>
    </sheetView>
  </sheetViews>
  <sheetFormatPr defaultColWidth="71.125" defaultRowHeight="18.75" outlineLevelCol="1"/>
  <cols>
    <col min="1" max="1" width="3.5" style="24" bestFit="1" customWidth="1"/>
    <col min="2" max="3" width="5.25" style="24" bestFit="1" customWidth="1"/>
    <col min="4" max="4" width="9" style="24" bestFit="1" customWidth="1"/>
    <col min="5" max="5" width="3.5" style="24" bestFit="1" customWidth="1"/>
    <col min="6" max="6" width="35.625" style="24" bestFit="1" customWidth="1"/>
    <col min="7" max="7" width="21.5" style="24" bestFit="1" customWidth="1"/>
    <col min="8" max="8" width="15" style="24" bestFit="1" customWidth="1"/>
    <col min="9" max="10" width="9.5" style="24" hidden="1" customWidth="1" outlineLevel="1"/>
    <col min="11" max="11" width="19.25" style="24" hidden="1" customWidth="1" outlineLevel="1"/>
    <col min="12" max="12" width="15" style="24" hidden="1" customWidth="1" outlineLevel="1"/>
    <col min="13" max="13" width="15.125" style="24" hidden="1" customWidth="1" outlineLevel="1"/>
    <col min="14" max="14" width="11" style="24" hidden="1" customWidth="1" outlineLevel="1"/>
    <col min="15" max="15" width="11" style="24" bestFit="1" customWidth="1" collapsed="1"/>
    <col min="16" max="16" width="9" style="24" bestFit="1" customWidth="1"/>
    <col min="17" max="17" width="7.125" style="24" bestFit="1" customWidth="1"/>
    <col min="18" max="19" width="9" style="24" bestFit="1" customWidth="1"/>
    <col min="20" max="20" width="25.75" style="24" bestFit="1" customWidth="1"/>
    <col min="21" max="21" width="10.25" style="24" bestFit="1" customWidth="1"/>
    <col min="22" max="22" width="42.125" style="24" bestFit="1" customWidth="1"/>
    <col min="23" max="16384" width="71.125" style="24"/>
  </cols>
  <sheetData>
    <row r="1" spans="1:22">
      <c r="A1" s="23" t="s">
        <v>43</v>
      </c>
      <c r="B1" s="23" t="s">
        <v>44</v>
      </c>
      <c r="C1" s="23" t="s">
        <v>45</v>
      </c>
      <c r="D1" s="23" t="s">
        <v>46</v>
      </c>
      <c r="E1" s="23" t="s">
        <v>47</v>
      </c>
      <c r="F1" s="23" t="s">
        <v>48</v>
      </c>
      <c r="G1" s="23" t="s">
        <v>49</v>
      </c>
      <c r="H1" s="23" t="s">
        <v>50</v>
      </c>
      <c r="I1" s="25" t="s">
        <v>146</v>
      </c>
      <c r="J1" s="25" t="s">
        <v>147</v>
      </c>
      <c r="K1" s="25" t="s">
        <v>148</v>
      </c>
      <c r="L1" s="25" t="s">
        <v>149</v>
      </c>
      <c r="M1" s="25" t="s">
        <v>150</v>
      </c>
      <c r="N1" s="25" t="s">
        <v>151</v>
      </c>
      <c r="O1" s="25" t="s">
        <v>152</v>
      </c>
      <c r="P1" s="25" t="s">
        <v>5</v>
      </c>
      <c r="Q1" s="25" t="s">
        <v>55</v>
      </c>
      <c r="R1" s="25" t="s">
        <v>56</v>
      </c>
      <c r="S1" s="25" t="s">
        <v>153</v>
      </c>
      <c r="T1" s="25" t="s">
        <v>6</v>
      </c>
      <c r="U1" s="25" t="s">
        <v>57</v>
      </c>
      <c r="V1" s="25" t="s">
        <v>49</v>
      </c>
    </row>
    <row r="2" spans="1:22">
      <c r="A2" s="15">
        <v>2</v>
      </c>
      <c r="B2" s="16" t="s">
        <v>63</v>
      </c>
      <c r="C2" s="16" t="s">
        <v>64</v>
      </c>
      <c r="D2" s="16" t="s">
        <v>80</v>
      </c>
      <c r="E2" s="16" t="s">
        <v>81</v>
      </c>
      <c r="F2" s="16" t="s">
        <v>92</v>
      </c>
      <c r="G2" s="16" t="s">
        <v>83</v>
      </c>
      <c r="H2" s="16" t="s">
        <v>84</v>
      </c>
      <c r="I2" s="25" t="s">
        <v>154</v>
      </c>
      <c r="J2" s="25" t="s">
        <v>155</v>
      </c>
      <c r="K2" s="25" t="s">
        <v>75</v>
      </c>
      <c r="L2" s="25" t="s">
        <v>156</v>
      </c>
      <c r="M2" s="25" t="s">
        <v>84</v>
      </c>
      <c r="N2" s="25"/>
      <c r="O2" s="25" t="s">
        <v>72</v>
      </c>
      <c r="P2" s="25" t="s">
        <v>73</v>
      </c>
      <c r="Q2" s="25" t="s">
        <v>70</v>
      </c>
      <c r="R2" s="25" t="s">
        <v>75</v>
      </c>
      <c r="S2" s="25" t="s">
        <v>73</v>
      </c>
      <c r="T2" s="25" t="s">
        <v>76</v>
      </c>
      <c r="U2" s="25" t="s">
        <v>77</v>
      </c>
      <c r="V2" s="25" t="s">
        <v>83</v>
      </c>
    </row>
    <row r="3" spans="1:22">
      <c r="A3" s="15">
        <v>2</v>
      </c>
      <c r="B3" s="16" t="s">
        <v>63</v>
      </c>
      <c r="C3" s="16" t="s">
        <v>64</v>
      </c>
      <c r="D3" s="16" t="s">
        <v>80</v>
      </c>
      <c r="E3" s="16" t="s">
        <v>81</v>
      </c>
      <c r="F3" s="16" t="s">
        <v>92</v>
      </c>
      <c r="G3" s="16" t="s">
        <v>83</v>
      </c>
      <c r="H3" s="16" t="s">
        <v>84</v>
      </c>
      <c r="I3" s="25" t="s">
        <v>154</v>
      </c>
      <c r="J3" s="25" t="s">
        <v>155</v>
      </c>
      <c r="K3" s="25" t="s">
        <v>75</v>
      </c>
      <c r="L3" s="25" t="s">
        <v>156</v>
      </c>
      <c r="M3" s="25" t="s">
        <v>84</v>
      </c>
      <c r="N3" s="25"/>
      <c r="O3" s="25" t="s">
        <v>85</v>
      </c>
      <c r="P3" s="25" t="s">
        <v>86</v>
      </c>
      <c r="Q3" s="25" t="s">
        <v>157</v>
      </c>
      <c r="R3" s="25" t="s">
        <v>73</v>
      </c>
      <c r="S3" s="25" t="s">
        <v>73</v>
      </c>
      <c r="T3" s="25" t="s">
        <v>97</v>
      </c>
      <c r="U3" s="25" t="s">
        <v>88</v>
      </c>
      <c r="V3" s="25" t="s">
        <v>83</v>
      </c>
    </row>
    <row r="4" spans="1:22">
      <c r="A4" s="15">
        <v>3</v>
      </c>
      <c r="B4" s="16" t="s">
        <v>63</v>
      </c>
      <c r="C4" s="16" t="s">
        <v>64</v>
      </c>
      <c r="D4" s="16" t="s">
        <v>93</v>
      </c>
      <c r="E4" s="16" t="s">
        <v>70</v>
      </c>
      <c r="F4" s="16" t="s">
        <v>94</v>
      </c>
      <c r="G4" s="16" t="s">
        <v>95</v>
      </c>
      <c r="H4" s="16" t="s">
        <v>96</v>
      </c>
      <c r="I4" s="25" t="s">
        <v>154</v>
      </c>
      <c r="J4" s="25" t="s">
        <v>155</v>
      </c>
      <c r="K4" s="25" t="s">
        <v>75</v>
      </c>
      <c r="L4" s="25" t="s">
        <v>158</v>
      </c>
      <c r="M4" s="25" t="s">
        <v>96</v>
      </c>
      <c r="N4" s="25"/>
      <c r="O4" s="25" t="s">
        <v>72</v>
      </c>
      <c r="P4" s="25" t="s">
        <v>73</v>
      </c>
      <c r="Q4" s="25" t="s">
        <v>74</v>
      </c>
      <c r="R4" s="25" t="s">
        <v>75</v>
      </c>
      <c r="S4" s="25" t="s">
        <v>73</v>
      </c>
      <c r="T4" s="25" t="s">
        <v>76</v>
      </c>
      <c r="U4" s="25" t="s">
        <v>77</v>
      </c>
      <c r="V4" s="25" t="s">
        <v>95</v>
      </c>
    </row>
    <row r="5" spans="1:22">
      <c r="A5" s="15">
        <v>3</v>
      </c>
      <c r="B5" s="16" t="s">
        <v>63</v>
      </c>
      <c r="C5" s="16" t="s">
        <v>64</v>
      </c>
      <c r="D5" s="16" t="s">
        <v>93</v>
      </c>
      <c r="E5" s="16" t="s">
        <v>70</v>
      </c>
      <c r="F5" s="16" t="s">
        <v>94</v>
      </c>
      <c r="G5" s="16" t="s">
        <v>95</v>
      </c>
      <c r="H5" s="16" t="s">
        <v>96</v>
      </c>
      <c r="I5" s="25" t="s">
        <v>154</v>
      </c>
      <c r="J5" s="25" t="s">
        <v>155</v>
      </c>
      <c r="K5" s="25" t="s">
        <v>75</v>
      </c>
      <c r="L5" s="25" t="s">
        <v>158</v>
      </c>
      <c r="M5" s="25" t="s">
        <v>96</v>
      </c>
      <c r="N5" s="25"/>
      <c r="O5" s="25" t="s">
        <v>85</v>
      </c>
      <c r="P5" s="25" t="s">
        <v>86</v>
      </c>
      <c r="Q5" s="25" t="s">
        <v>70</v>
      </c>
      <c r="R5" s="25" t="s">
        <v>73</v>
      </c>
      <c r="S5" s="25" t="s">
        <v>73</v>
      </c>
      <c r="T5" s="25" t="s">
        <v>97</v>
      </c>
      <c r="U5" s="25" t="s">
        <v>88</v>
      </c>
      <c r="V5" s="25" t="s">
        <v>95</v>
      </c>
    </row>
    <row r="6" spans="1:22">
      <c r="A6" s="15">
        <v>10</v>
      </c>
      <c r="B6" s="16" t="s">
        <v>63</v>
      </c>
      <c r="C6" s="16" t="s">
        <v>64</v>
      </c>
      <c r="D6" s="16" t="s">
        <v>102</v>
      </c>
      <c r="E6" s="16" t="s">
        <v>81</v>
      </c>
      <c r="F6" s="16" t="s">
        <v>126</v>
      </c>
      <c r="G6" s="16" t="s">
        <v>127</v>
      </c>
      <c r="H6" s="16" t="s">
        <v>128</v>
      </c>
      <c r="I6" s="25" t="s">
        <v>154</v>
      </c>
      <c r="J6" s="25" t="s">
        <v>155</v>
      </c>
      <c r="K6" s="25" t="s">
        <v>75</v>
      </c>
      <c r="L6" s="25" t="s">
        <v>159</v>
      </c>
      <c r="M6" s="25" t="s">
        <v>128</v>
      </c>
      <c r="N6" s="25"/>
      <c r="O6" s="25" t="s">
        <v>85</v>
      </c>
      <c r="P6" s="25" t="s">
        <v>86</v>
      </c>
      <c r="Q6" s="25" t="s">
        <v>160</v>
      </c>
      <c r="R6" s="25" t="s">
        <v>73</v>
      </c>
      <c r="S6" s="25" t="s">
        <v>73</v>
      </c>
      <c r="T6" s="25" t="s">
        <v>97</v>
      </c>
      <c r="U6" s="25" t="s">
        <v>88</v>
      </c>
      <c r="V6" s="25" t="s">
        <v>127</v>
      </c>
    </row>
    <row r="7" spans="1:22">
      <c r="A7" s="15">
        <v>11</v>
      </c>
      <c r="B7" s="16" t="s">
        <v>63</v>
      </c>
      <c r="C7" s="16" t="s">
        <v>64</v>
      </c>
      <c r="D7" s="16" t="s">
        <v>102</v>
      </c>
      <c r="E7" s="16" t="s">
        <v>70</v>
      </c>
      <c r="F7" s="16" t="s">
        <v>131</v>
      </c>
      <c r="G7" s="16" t="s">
        <v>132</v>
      </c>
      <c r="H7" s="16" t="s">
        <v>133</v>
      </c>
      <c r="I7" s="25" t="s">
        <v>154</v>
      </c>
      <c r="J7" s="25" t="s">
        <v>155</v>
      </c>
      <c r="K7" s="25" t="s">
        <v>75</v>
      </c>
      <c r="L7" s="25" t="s">
        <v>161</v>
      </c>
      <c r="M7" s="25" t="s">
        <v>133</v>
      </c>
      <c r="N7" s="25"/>
      <c r="O7" s="25" t="s">
        <v>85</v>
      </c>
      <c r="P7" s="25" t="s">
        <v>86</v>
      </c>
      <c r="Q7" s="25" t="s">
        <v>145</v>
      </c>
      <c r="R7" s="25" t="s">
        <v>73</v>
      </c>
      <c r="S7" s="25" t="s">
        <v>73</v>
      </c>
      <c r="T7" s="25" t="s">
        <v>97</v>
      </c>
      <c r="U7" s="25" t="s">
        <v>88</v>
      </c>
      <c r="V7" s="25" t="s">
        <v>132</v>
      </c>
    </row>
    <row r="8" spans="1:22">
      <c r="A8" s="15">
        <v>12</v>
      </c>
      <c r="B8" s="16" t="s">
        <v>63</v>
      </c>
      <c r="C8" s="16" t="s">
        <v>64</v>
      </c>
      <c r="D8" s="16" t="s">
        <v>118</v>
      </c>
      <c r="E8" s="16" t="s">
        <v>81</v>
      </c>
      <c r="F8" s="16" t="s">
        <v>136</v>
      </c>
      <c r="G8" s="16" t="s">
        <v>137</v>
      </c>
      <c r="H8" s="16" t="s">
        <v>138</v>
      </c>
      <c r="I8" s="25" t="s">
        <v>154</v>
      </c>
      <c r="J8" s="25" t="s">
        <v>155</v>
      </c>
      <c r="K8" s="25" t="s">
        <v>75</v>
      </c>
      <c r="L8" s="25" t="s">
        <v>162</v>
      </c>
      <c r="M8" s="25" t="s">
        <v>138</v>
      </c>
      <c r="N8" s="25"/>
      <c r="O8" s="25" t="s">
        <v>85</v>
      </c>
      <c r="P8" s="25" t="s">
        <v>86</v>
      </c>
      <c r="Q8" s="25" t="s">
        <v>90</v>
      </c>
      <c r="R8" s="25" t="s">
        <v>73</v>
      </c>
      <c r="S8" s="25" t="s">
        <v>73</v>
      </c>
      <c r="T8" s="25" t="s">
        <v>97</v>
      </c>
      <c r="U8" s="25" t="s">
        <v>88</v>
      </c>
      <c r="V8" s="25" t="s">
        <v>137</v>
      </c>
    </row>
    <row r="9" spans="1:22">
      <c r="A9" s="15">
        <v>13</v>
      </c>
      <c r="B9" s="16" t="s">
        <v>63</v>
      </c>
      <c r="C9" s="16" t="s">
        <v>64</v>
      </c>
      <c r="D9" s="16" t="s">
        <v>118</v>
      </c>
      <c r="E9" s="16" t="s">
        <v>70</v>
      </c>
      <c r="F9" s="16" t="s">
        <v>139</v>
      </c>
      <c r="G9" s="16" t="s">
        <v>140</v>
      </c>
      <c r="H9" s="16" t="s">
        <v>141</v>
      </c>
      <c r="I9" s="25" t="s">
        <v>154</v>
      </c>
      <c r="J9" s="25" t="s">
        <v>155</v>
      </c>
      <c r="K9" s="25" t="s">
        <v>75</v>
      </c>
      <c r="L9" s="25" t="s">
        <v>163</v>
      </c>
      <c r="M9" s="25" t="s">
        <v>141</v>
      </c>
      <c r="N9" s="25"/>
      <c r="O9" s="25" t="s">
        <v>85</v>
      </c>
      <c r="P9" s="25" t="s">
        <v>86</v>
      </c>
      <c r="Q9" s="25" t="s">
        <v>145</v>
      </c>
      <c r="R9" s="25" t="s">
        <v>73</v>
      </c>
      <c r="S9" s="25" t="s">
        <v>73</v>
      </c>
      <c r="T9" s="25" t="s">
        <v>97</v>
      </c>
      <c r="U9" s="25" t="s">
        <v>88</v>
      </c>
      <c r="V9" s="25" t="s">
        <v>140</v>
      </c>
    </row>
  </sheetData>
  <sortState xmlns:xlrd2="http://schemas.microsoft.com/office/spreadsheetml/2017/richdata2" ref="A2:V9">
    <sortCondition ref="A2:A9"/>
  </sortState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zoomScale="70" zoomScaleNormal="70" workbookViewId="0">
      <pane xSplit="5" ySplit="2" topLeftCell="F3" activePane="bottomRight" state="frozen"/>
      <selection pane="bottomRight" activeCell="M1" sqref="A1:XFD1"/>
      <selection pane="bottomLeft" activeCell="A3" sqref="A3"/>
      <selection pane="topRight" activeCell="G1" sqref="G1"/>
    </sheetView>
  </sheetViews>
  <sheetFormatPr defaultColWidth="80.25" defaultRowHeight="13.5" outlineLevelCol="1"/>
  <cols>
    <col min="1" max="1" width="5.625" style="4" customWidth="1"/>
    <col min="2" max="2" width="9.5" style="4" bestFit="1" customWidth="1"/>
    <col min="3" max="3" width="6.5" style="4" bestFit="1" customWidth="1"/>
    <col min="4" max="4" width="16.125" style="4" bestFit="1" customWidth="1"/>
    <col min="5" max="5" width="10.5" style="1" bestFit="1" customWidth="1"/>
    <col min="6" max="6" width="47.125" style="4" bestFit="1" customWidth="1" outlineLevel="1"/>
    <col min="7" max="7" width="33" style="4" bestFit="1" customWidth="1" outlineLevel="1"/>
    <col min="8" max="8" width="19.5" style="4" customWidth="1" outlineLevel="1"/>
    <col min="9" max="9" width="9.5" style="7" bestFit="1" customWidth="1"/>
    <col min="10" max="11" width="16.125" style="4" bestFit="1" customWidth="1"/>
    <col min="12" max="12" width="13.875" style="4" bestFit="1" customWidth="1"/>
    <col min="13" max="13" width="54.125" style="4" customWidth="1"/>
    <col min="14" max="14" width="80.25" style="4" customWidth="1"/>
    <col min="15" max="15" width="3.875" style="4" bestFit="1" customWidth="1"/>
    <col min="16" max="16" width="3" style="1" bestFit="1" customWidth="1"/>
    <col min="17" max="17" width="16.125" style="4" bestFit="1" customWidth="1"/>
    <col min="18" max="18" width="3" style="1" bestFit="1" customWidth="1"/>
    <col min="19" max="19" width="28.25" style="4" bestFit="1" customWidth="1"/>
    <col min="20" max="20" width="4.75" style="1" bestFit="1" customWidth="1"/>
    <col min="21" max="16384" width="80.25" style="4"/>
  </cols>
  <sheetData>
    <row r="1" spans="1:20">
      <c r="A1" s="66" t="s">
        <v>164</v>
      </c>
      <c r="B1" s="70" t="s">
        <v>165</v>
      </c>
      <c r="C1" s="70" t="s">
        <v>166</v>
      </c>
      <c r="D1" s="70" t="s">
        <v>167</v>
      </c>
      <c r="E1" s="70" t="s">
        <v>168</v>
      </c>
      <c r="F1" s="70" t="s">
        <v>169</v>
      </c>
      <c r="G1" s="71" t="s">
        <v>170</v>
      </c>
      <c r="H1" s="72" t="s">
        <v>171</v>
      </c>
      <c r="I1" s="73" t="s">
        <v>172</v>
      </c>
      <c r="J1" s="66" t="s">
        <v>173</v>
      </c>
      <c r="K1" s="66" t="s">
        <v>174</v>
      </c>
      <c r="L1" s="70" t="s">
        <v>175</v>
      </c>
      <c r="P1" s="4"/>
      <c r="R1" s="4"/>
      <c r="T1" s="4"/>
    </row>
    <row r="2" spans="1:20" s="1" customFormat="1">
      <c r="A2" s="66"/>
      <c r="B2" s="70"/>
      <c r="C2" s="70"/>
      <c r="D2" s="70"/>
      <c r="E2" s="70"/>
      <c r="F2" s="70"/>
      <c r="G2" s="70"/>
      <c r="H2" s="70"/>
      <c r="I2" s="74"/>
      <c r="J2" s="66"/>
      <c r="K2" s="66"/>
      <c r="L2" s="66"/>
    </row>
    <row r="3" spans="1:20">
      <c r="A3" s="9">
        <f t="shared" ref="A3:A17" si="0">ROW() -2</f>
        <v>1</v>
      </c>
      <c r="B3" s="9" t="s">
        <v>64</v>
      </c>
      <c r="C3" s="2" t="s">
        <v>176</v>
      </c>
      <c r="D3" s="3" t="s">
        <v>174</v>
      </c>
      <c r="E3" s="9"/>
      <c r="F3" s="6" t="s">
        <v>177</v>
      </c>
      <c r="G3" s="8" t="s">
        <v>67</v>
      </c>
      <c r="H3" s="11" t="s">
        <v>68</v>
      </c>
      <c r="I3" s="5">
        <v>500</v>
      </c>
      <c r="J3" s="3">
        <v>50</v>
      </c>
      <c r="K3" s="3">
        <v>15</v>
      </c>
      <c r="L3" s="3"/>
    </row>
    <row r="4" spans="1:20">
      <c r="A4" s="9">
        <f t="shared" si="0"/>
        <v>2</v>
      </c>
      <c r="B4" s="9" t="s">
        <v>64</v>
      </c>
      <c r="C4" s="2" t="s">
        <v>176</v>
      </c>
      <c r="D4" s="3" t="s">
        <v>178</v>
      </c>
      <c r="E4" s="9">
        <v>10</v>
      </c>
      <c r="F4" s="6" t="s">
        <v>179</v>
      </c>
      <c r="G4" s="8" t="s">
        <v>83</v>
      </c>
      <c r="H4" s="11" t="s">
        <v>84</v>
      </c>
      <c r="I4" s="5">
        <v>500</v>
      </c>
      <c r="J4" s="3">
        <v>50</v>
      </c>
      <c r="K4" s="3"/>
      <c r="L4" s="3"/>
    </row>
    <row r="5" spans="1:20">
      <c r="A5" s="9">
        <f t="shared" si="0"/>
        <v>3</v>
      </c>
      <c r="B5" s="9" t="s">
        <v>64</v>
      </c>
      <c r="C5" s="2" t="s">
        <v>176</v>
      </c>
      <c r="D5" s="3" t="s">
        <v>180</v>
      </c>
      <c r="E5" s="9">
        <v>50</v>
      </c>
      <c r="F5" s="6" t="s">
        <v>181</v>
      </c>
      <c r="G5" s="8" t="s">
        <v>95</v>
      </c>
      <c r="H5" s="11" t="s">
        <v>96</v>
      </c>
      <c r="I5" s="5">
        <v>500</v>
      </c>
      <c r="J5" s="3"/>
      <c r="K5" s="3">
        <v>15</v>
      </c>
      <c r="L5" s="3"/>
    </row>
    <row r="6" spans="1:20">
      <c r="A6" s="9">
        <f t="shared" si="0"/>
        <v>4</v>
      </c>
      <c r="B6" s="9" t="s">
        <v>64</v>
      </c>
      <c r="C6" s="2" t="s">
        <v>176</v>
      </c>
      <c r="D6" s="3" t="s">
        <v>102</v>
      </c>
      <c r="E6" s="9"/>
      <c r="F6" s="6" t="s">
        <v>182</v>
      </c>
      <c r="G6" s="8" t="s">
        <v>104</v>
      </c>
      <c r="H6" s="11" t="s">
        <v>105</v>
      </c>
      <c r="I6" s="5">
        <v>500</v>
      </c>
      <c r="J6" s="3">
        <v>50</v>
      </c>
      <c r="K6" s="3"/>
      <c r="L6" s="3">
        <v>20</v>
      </c>
    </row>
    <row r="7" spans="1:20">
      <c r="A7" s="9">
        <f t="shared" si="0"/>
        <v>5</v>
      </c>
      <c r="B7" s="9" t="s">
        <v>64</v>
      </c>
      <c r="C7" s="2" t="s">
        <v>176</v>
      </c>
      <c r="D7" s="3" t="s">
        <v>102</v>
      </c>
      <c r="E7" s="9"/>
      <c r="F7" s="6" t="s">
        <v>183</v>
      </c>
      <c r="G7" s="8" t="s">
        <v>112</v>
      </c>
      <c r="H7" s="11" t="s">
        <v>113</v>
      </c>
      <c r="I7" s="5">
        <v>500</v>
      </c>
      <c r="J7" s="3"/>
      <c r="K7" s="3">
        <v>15</v>
      </c>
      <c r="L7" s="3">
        <v>20</v>
      </c>
    </row>
    <row r="8" spans="1:20">
      <c r="A8" s="9">
        <f t="shared" si="0"/>
        <v>6</v>
      </c>
      <c r="B8" s="9" t="s">
        <v>64</v>
      </c>
      <c r="C8" s="2" t="s">
        <v>176</v>
      </c>
      <c r="D8" s="3" t="s">
        <v>118</v>
      </c>
      <c r="E8" s="9"/>
      <c r="F8" s="6" t="s">
        <v>184</v>
      </c>
      <c r="G8" s="8" t="s">
        <v>120</v>
      </c>
      <c r="H8" s="11" t="s">
        <v>121</v>
      </c>
      <c r="I8" s="5">
        <v>500</v>
      </c>
      <c r="J8" s="3">
        <v>50</v>
      </c>
      <c r="K8" s="3"/>
      <c r="L8" s="3">
        <v>20</v>
      </c>
    </row>
    <row r="9" spans="1:20">
      <c r="A9" s="9">
        <f t="shared" si="0"/>
        <v>7</v>
      </c>
      <c r="B9" s="9" t="s">
        <v>64</v>
      </c>
      <c r="C9" s="2" t="s">
        <v>176</v>
      </c>
      <c r="D9" s="3" t="s">
        <v>118</v>
      </c>
      <c r="E9" s="9"/>
      <c r="F9" s="6" t="s">
        <v>185</v>
      </c>
      <c r="G9" s="8" t="s">
        <v>124</v>
      </c>
      <c r="H9" s="11" t="s">
        <v>125</v>
      </c>
      <c r="I9" s="5">
        <v>500</v>
      </c>
      <c r="J9" s="3"/>
      <c r="K9" s="3">
        <v>15</v>
      </c>
      <c r="L9" s="3">
        <v>20</v>
      </c>
    </row>
    <row r="10" spans="1:20">
      <c r="A10" s="9">
        <f t="shared" si="0"/>
        <v>8</v>
      </c>
      <c r="B10" s="9" t="s">
        <v>64</v>
      </c>
      <c r="C10" s="2" t="s">
        <v>176</v>
      </c>
      <c r="D10" s="17" t="s">
        <v>186</v>
      </c>
      <c r="E10" s="9"/>
      <c r="F10" s="6" t="s">
        <v>187</v>
      </c>
      <c r="G10" s="8" t="s">
        <v>188</v>
      </c>
      <c r="H10" s="11" t="s">
        <v>189</v>
      </c>
      <c r="I10" s="5">
        <v>500</v>
      </c>
      <c r="J10" s="3">
        <v>50</v>
      </c>
      <c r="K10" s="3"/>
      <c r="L10" s="3">
        <v>5</v>
      </c>
    </row>
    <row r="11" spans="1:20">
      <c r="A11" s="9">
        <f t="shared" si="0"/>
        <v>9</v>
      </c>
      <c r="B11" s="9" t="s">
        <v>64</v>
      </c>
      <c r="C11" s="2" t="s">
        <v>176</v>
      </c>
      <c r="D11" s="17" t="s">
        <v>186</v>
      </c>
      <c r="E11" s="9"/>
      <c r="F11" s="6" t="s">
        <v>190</v>
      </c>
      <c r="G11" s="8" t="s">
        <v>191</v>
      </c>
      <c r="H11" s="11" t="s">
        <v>192</v>
      </c>
      <c r="I11" s="5">
        <v>500</v>
      </c>
      <c r="J11" s="3"/>
      <c r="K11" s="3">
        <v>15</v>
      </c>
      <c r="L11" s="3">
        <v>5</v>
      </c>
    </row>
    <row r="12" spans="1:20">
      <c r="A12" s="9">
        <f t="shared" si="0"/>
        <v>10</v>
      </c>
      <c r="B12" s="9" t="s">
        <v>64</v>
      </c>
      <c r="C12" s="2" t="s">
        <v>176</v>
      </c>
      <c r="D12" s="3" t="s">
        <v>193</v>
      </c>
      <c r="E12" s="9">
        <v>10</v>
      </c>
      <c r="F12" s="6" t="s">
        <v>194</v>
      </c>
      <c r="G12" s="10" t="s">
        <v>127</v>
      </c>
      <c r="H12" s="12" t="s">
        <v>128</v>
      </c>
      <c r="I12" s="5">
        <v>500</v>
      </c>
      <c r="J12" s="3"/>
      <c r="K12" s="3"/>
      <c r="L12" s="3">
        <v>20</v>
      </c>
    </row>
    <row r="13" spans="1:20">
      <c r="A13" s="9">
        <f t="shared" si="0"/>
        <v>11</v>
      </c>
      <c r="B13" s="9" t="s">
        <v>64</v>
      </c>
      <c r="C13" s="2" t="s">
        <v>176</v>
      </c>
      <c r="D13" s="3" t="s">
        <v>193</v>
      </c>
      <c r="E13" s="9">
        <v>50</v>
      </c>
      <c r="F13" s="6" t="s">
        <v>194</v>
      </c>
      <c r="G13" s="10" t="s">
        <v>132</v>
      </c>
      <c r="H13" s="12" t="s">
        <v>133</v>
      </c>
      <c r="I13" s="5">
        <v>500</v>
      </c>
      <c r="J13" s="3"/>
      <c r="K13" s="3"/>
      <c r="L13" s="3">
        <v>20</v>
      </c>
    </row>
    <row r="14" spans="1:20">
      <c r="A14" s="9">
        <f t="shared" si="0"/>
        <v>12</v>
      </c>
      <c r="B14" s="9" t="s">
        <v>64</v>
      </c>
      <c r="C14" s="2" t="s">
        <v>176</v>
      </c>
      <c r="D14" s="3" t="s">
        <v>195</v>
      </c>
      <c r="E14" s="9">
        <v>10</v>
      </c>
      <c r="F14" s="6" t="s">
        <v>196</v>
      </c>
      <c r="G14" s="10" t="s">
        <v>137</v>
      </c>
      <c r="H14" s="12" t="s">
        <v>138</v>
      </c>
      <c r="I14" s="5">
        <v>500</v>
      </c>
      <c r="J14" s="3"/>
      <c r="K14" s="3"/>
      <c r="L14" s="3">
        <v>20</v>
      </c>
    </row>
    <row r="15" spans="1:20">
      <c r="A15" s="9">
        <f t="shared" si="0"/>
        <v>13</v>
      </c>
      <c r="B15" s="9" t="s">
        <v>64</v>
      </c>
      <c r="C15" s="2" t="s">
        <v>176</v>
      </c>
      <c r="D15" s="3" t="s">
        <v>195</v>
      </c>
      <c r="E15" s="9">
        <v>50</v>
      </c>
      <c r="F15" s="6" t="s">
        <v>196</v>
      </c>
      <c r="G15" s="10" t="s">
        <v>140</v>
      </c>
      <c r="H15" s="12" t="s">
        <v>141</v>
      </c>
      <c r="I15" s="5">
        <v>500</v>
      </c>
      <c r="J15" s="3"/>
      <c r="K15" s="3"/>
      <c r="L15" s="3">
        <v>20</v>
      </c>
    </row>
    <row r="16" spans="1:20">
      <c r="A16" s="9">
        <f t="shared" si="0"/>
        <v>14</v>
      </c>
      <c r="B16" s="9" t="s">
        <v>64</v>
      </c>
      <c r="C16" s="2" t="s">
        <v>176</v>
      </c>
      <c r="D16" s="17" t="s">
        <v>197</v>
      </c>
      <c r="E16" s="9">
        <v>10</v>
      </c>
      <c r="F16" s="6" t="s">
        <v>198</v>
      </c>
      <c r="G16" s="10" t="s">
        <v>199</v>
      </c>
      <c r="H16" s="12" t="s">
        <v>200</v>
      </c>
      <c r="I16" s="5">
        <v>500</v>
      </c>
      <c r="J16" s="3"/>
      <c r="K16" s="3"/>
      <c r="L16" s="3">
        <v>5</v>
      </c>
    </row>
    <row r="17" spans="1:12">
      <c r="A17" s="9">
        <f t="shared" si="0"/>
        <v>15</v>
      </c>
      <c r="B17" s="9" t="s">
        <v>64</v>
      </c>
      <c r="C17" s="2" t="s">
        <v>176</v>
      </c>
      <c r="D17" s="17" t="s">
        <v>197</v>
      </c>
      <c r="E17" s="9">
        <v>50</v>
      </c>
      <c r="F17" s="6" t="s">
        <v>198</v>
      </c>
      <c r="G17" s="10" t="s">
        <v>201</v>
      </c>
      <c r="H17" s="12" t="s">
        <v>202</v>
      </c>
      <c r="I17" s="5">
        <v>500</v>
      </c>
      <c r="J17" s="3"/>
      <c r="K17" s="3"/>
      <c r="L17" s="3">
        <v>5</v>
      </c>
    </row>
    <row r="18" spans="1:12">
      <c r="A18" s="9">
        <v>16</v>
      </c>
      <c r="B18" s="9" t="s">
        <v>64</v>
      </c>
      <c r="C18" s="2" t="s">
        <v>176</v>
      </c>
      <c r="D18" s="3" t="s">
        <v>174</v>
      </c>
      <c r="E18" s="9"/>
      <c r="F18" s="6" t="s">
        <v>203</v>
      </c>
      <c r="G18" s="10" t="s">
        <v>204</v>
      </c>
      <c r="H18" s="13" t="s">
        <v>205</v>
      </c>
      <c r="I18" s="5">
        <v>500</v>
      </c>
      <c r="J18" s="3">
        <v>100</v>
      </c>
      <c r="K18" s="3">
        <v>15</v>
      </c>
      <c r="L18" s="3"/>
    </row>
    <row r="20" spans="1:12">
      <c r="D20" s="18" t="s">
        <v>206</v>
      </c>
    </row>
  </sheetData>
  <autoFilter ref="A1:T1" xr:uid="{A1DC9E50-BEED-443E-82F6-982147568E0C}"/>
  <mergeCells count="12">
    <mergeCell ref="J1:J2"/>
    <mergeCell ref="L1:L2"/>
    <mergeCell ref="K1:K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honeticPr fontId="6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1246-87AB-4503-A1EC-36A120F6416E}">
  <dimension ref="A2:G9"/>
  <sheetViews>
    <sheetView workbookViewId="0">
      <selection activeCell="E3" sqref="E3:E9"/>
    </sheetView>
  </sheetViews>
  <sheetFormatPr defaultRowHeight="18.75"/>
  <cols>
    <col min="1" max="1" width="11.375" bestFit="1" customWidth="1"/>
    <col min="2" max="2" width="33" bestFit="1" customWidth="1"/>
    <col min="3" max="3" width="15" bestFit="1" customWidth="1"/>
    <col min="4" max="4" width="5.5" bestFit="1" customWidth="1"/>
    <col min="5" max="5" width="21.5" bestFit="1" customWidth="1"/>
    <col min="6" max="6" width="11.5" bestFit="1" customWidth="1"/>
  </cols>
  <sheetData>
    <row r="2" spans="1:7" ht="19.5" thickBot="1">
      <c r="B2" s="53" t="s">
        <v>49</v>
      </c>
      <c r="C2" s="53" t="s">
        <v>50</v>
      </c>
      <c r="D2" s="53" t="s">
        <v>207</v>
      </c>
      <c r="E2" s="53" t="s">
        <v>208</v>
      </c>
      <c r="F2" s="56" t="s">
        <v>209</v>
      </c>
    </row>
    <row r="3" spans="1:7">
      <c r="A3">
        <v>1</v>
      </c>
      <c r="B3" s="54" t="s">
        <v>210</v>
      </c>
      <c r="C3" s="54" t="s">
        <v>211</v>
      </c>
      <c r="D3" s="55">
        <v>298</v>
      </c>
      <c r="E3" s="36" t="s">
        <v>212</v>
      </c>
      <c r="F3">
        <v>50</v>
      </c>
      <c r="G3">
        <v>10</v>
      </c>
    </row>
    <row r="4" spans="1:7">
      <c r="A4">
        <v>2</v>
      </c>
      <c r="B4" s="54" t="s">
        <v>213</v>
      </c>
      <c r="C4" s="54" t="s">
        <v>214</v>
      </c>
      <c r="D4" s="55">
        <v>198</v>
      </c>
      <c r="E4" s="55" t="s">
        <v>15</v>
      </c>
      <c r="G4">
        <v>30</v>
      </c>
    </row>
    <row r="5" spans="1:7">
      <c r="A5">
        <v>3</v>
      </c>
      <c r="B5" s="54" t="s">
        <v>215</v>
      </c>
      <c r="C5" s="54" t="s">
        <v>216</v>
      </c>
      <c r="D5" s="55">
        <v>3700</v>
      </c>
      <c r="E5" s="55" t="s">
        <v>217</v>
      </c>
      <c r="G5">
        <v>10</v>
      </c>
    </row>
    <row r="6" spans="1:7">
      <c r="A6">
        <v>4</v>
      </c>
      <c r="B6" s="54" t="s">
        <v>218</v>
      </c>
      <c r="C6" s="54" t="s">
        <v>219</v>
      </c>
      <c r="D6" s="55">
        <v>298</v>
      </c>
      <c r="E6" s="55" t="s">
        <v>20</v>
      </c>
      <c r="G6">
        <v>10</v>
      </c>
    </row>
    <row r="7" spans="1:7">
      <c r="A7">
        <v>5</v>
      </c>
      <c r="B7" s="54" t="s">
        <v>220</v>
      </c>
      <c r="C7" s="54" t="s">
        <v>221</v>
      </c>
      <c r="D7" s="55">
        <v>298</v>
      </c>
      <c r="E7" s="55" t="s">
        <v>37</v>
      </c>
      <c r="G7">
        <v>10</v>
      </c>
    </row>
    <row r="8" spans="1:7">
      <c r="A8">
        <v>6</v>
      </c>
      <c r="B8" s="54" t="s">
        <v>222</v>
      </c>
      <c r="C8" s="54" t="s">
        <v>223</v>
      </c>
      <c r="D8" s="55">
        <v>9800</v>
      </c>
      <c r="E8" s="55" t="s">
        <v>224</v>
      </c>
      <c r="G8">
        <v>10</v>
      </c>
    </row>
    <row r="9" spans="1:7">
      <c r="A9">
        <v>7</v>
      </c>
      <c r="B9" s="54" t="s">
        <v>225</v>
      </c>
      <c r="C9" s="54" t="s">
        <v>226</v>
      </c>
      <c r="D9" s="55">
        <v>398</v>
      </c>
      <c r="E9" s="55" t="s">
        <v>227</v>
      </c>
      <c r="G9">
        <v>10</v>
      </c>
    </row>
  </sheetData>
  <phoneticPr fontId="1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AF87E4B3-20DC-4826-8FC5-E63A00318EDB}"/>
</file>

<file path=customXml/itemProps2.xml><?xml version="1.0" encoding="utf-8"?>
<ds:datastoreItem xmlns:ds="http://schemas.openxmlformats.org/officeDocument/2006/customXml" ds:itemID="{4D7103DB-6D71-4721-AF82-9CC1E9FDC9F8}"/>
</file>

<file path=customXml/itemProps3.xml><?xml version="1.0" encoding="utf-8"?>
<ds:datastoreItem xmlns:ds="http://schemas.openxmlformats.org/officeDocument/2006/customXml" ds:itemID="{ED5AD5B6-946D-4277-8BD2-2128C4B19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2020-05-01T02:17:13Z</dcterms:created>
  <dcterms:modified xsi:type="dcterms:W3CDTF">2025-04-08T09:12:20Z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