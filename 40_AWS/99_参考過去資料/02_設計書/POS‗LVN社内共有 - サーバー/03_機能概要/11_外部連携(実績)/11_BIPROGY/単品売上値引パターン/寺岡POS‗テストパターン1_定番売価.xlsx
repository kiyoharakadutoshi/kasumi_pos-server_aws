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カスミより/実績関連資料/単品売上値引/"/>
    </mc:Choice>
  </mc:AlternateContent>
  <xr:revisionPtr revIDLastSave="344" documentId="6_{B1F10338-6F97-455E-AB25-FD0A7CA3B227}" xr6:coauthVersionLast="47" xr6:coauthVersionMax="47" xr10:uidLastSave="{4A9561CC-4ACB-4F15-903B-9334557A8C77}"/>
  <bookViews>
    <workbookView xWindow="28680" yWindow="-210" windowWidth="29040" windowHeight="15720" firstSheet="1" activeTab="4" xr2:uid="{00000000-000D-0000-FFFF-FFFF00000000}"/>
  </bookViews>
  <sheets>
    <sheet name="仕様　定番売価と個別値引処理の値引実績計算" sheetId="8" r:id="rId1"/>
    <sheet name="仕様　定番売価と個別値引処理の値引実績計算　図" sheetId="9" r:id="rId2"/>
    <sheet name="検証データ" sheetId="10" r:id="rId3"/>
    <sheet name="値引確認" sheetId="4" r:id="rId4"/>
    <sheet name="データ" sheetId="1" r:id="rId5"/>
  </sheets>
  <definedNames>
    <definedName name="_xlnm._FilterDatabase" localSheetId="4" hidden="1">データ!$A$2:$M$2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0" l="1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H314" i="9" l="1"/>
  <c r="H291" i="9"/>
  <c r="N7" i="9" l="1"/>
  <c r="K7" i="9"/>
  <c r="H7" i="9"/>
  <c r="N77" i="9"/>
  <c r="H433" i="9" l="1"/>
  <c r="H409" i="9"/>
  <c r="H385" i="9"/>
  <c r="H361" i="9"/>
  <c r="H338" i="9"/>
  <c r="N265" i="9" l="1"/>
  <c r="K265" i="9"/>
  <c r="H265" i="9"/>
  <c r="H242" i="9"/>
  <c r="H218" i="9"/>
  <c r="H54" i="9"/>
  <c r="H31" i="9"/>
  <c r="N148" i="9"/>
  <c r="K148" i="9"/>
  <c r="H148" i="9"/>
  <c r="H172" i="9"/>
  <c r="N101" i="9"/>
  <c r="K101" i="9"/>
  <c r="H101" i="9"/>
  <c r="H125" i="9"/>
  <c r="N195" i="9"/>
  <c r="K195" i="9"/>
  <c r="H195" i="9"/>
  <c r="K77" i="9"/>
  <c r="H77" i="9"/>
  <c r="A35" i="1" l="1"/>
  <c r="A34" i="1"/>
  <c r="A33" i="1"/>
  <c r="A30" i="1"/>
  <c r="A29" i="1"/>
  <c r="A32" i="1"/>
  <c r="A31" i="1"/>
  <c r="A23" i="1"/>
  <c r="A22" i="1"/>
  <c r="A21" i="1"/>
  <c r="A10" i="1"/>
  <c r="A9" i="1"/>
  <c r="A8" i="1"/>
  <c r="A7" i="1"/>
  <c r="A6" i="1"/>
  <c r="A28" i="1"/>
  <c r="A27" i="1"/>
  <c r="A26" i="1"/>
  <c r="A25" i="1"/>
  <c r="A24" i="1"/>
  <c r="A20" i="1"/>
  <c r="A19" i="1"/>
  <c r="A18" i="1"/>
  <c r="A17" i="1"/>
  <c r="A16" i="1"/>
  <c r="A15" i="1"/>
  <c r="A14" i="1"/>
  <c r="A13" i="1"/>
  <c r="A12" i="1"/>
  <c r="A11" i="1"/>
  <c r="A5" i="1"/>
  <c r="A4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高嶋 祐輝</author>
  </authors>
  <commentList>
    <comment ref="B13" authorId="0" shapeId="0" xr:uid="{ABBE3E6C-883B-49D9-9D9E-9694E22028BB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B14" authorId="0" shapeId="0" xr:uid="{0B2D5004-94B8-4126-9B1A-E127F7547182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B17" authorId="0" shapeId="0" xr:uid="{8FEA4F2C-52DB-4E8B-894F-C3080E916D8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B18" authorId="0" shapeId="0" xr:uid="{31A674F3-93E7-480B-9BC7-FF443217315F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高嶋 祐輝</author>
  </authors>
  <commentList>
    <comment ref="D13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D14" authorId="0" shapeId="0" xr:uid="{00000000-0006-0000-0300-00000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D18" authorId="0" shapeId="0" xr:uid="{00000000-0006-0000-0300-00000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D19" authorId="0" shapeId="0" xr:uid="{00000000-0006-0000-0300-00000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</commentList>
</comments>
</file>

<file path=xl/sharedStrings.xml><?xml version="1.0" encoding="utf-8"?>
<sst xmlns="http://schemas.openxmlformats.org/spreadsheetml/2006/main" count="1854" uniqueCount="444">
  <si>
    <t>値引実績計算</t>
    <rPh sb="0" eb="2">
      <t>ネビキ</t>
    </rPh>
    <rPh sb="2" eb="4">
      <t>ジッセキ</t>
    </rPh>
    <rPh sb="4" eb="6">
      <t>ケイサン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</si>
  <si>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</si>
  <si>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</si>
  <si>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</si>
  <si>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</si>
  <si>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</si>
  <si>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</si>
  <si>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</si>
  <si>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定番売価＞緊急売価変更</t>
    <rPh sb="5" eb="7">
      <t>キンキュウ</t>
    </rPh>
    <rPh sb="7" eb="9">
      <t>バイカ</t>
    </rPh>
    <rPh sb="9" eb="11">
      <t>ヘンコウ</t>
    </rPh>
    <phoneticPr fontId="1"/>
  </si>
  <si>
    <t>定番売価ー緊急売価変更</t>
    <phoneticPr fontId="1"/>
  </si>
  <si>
    <t>緊急売価変更</t>
    <phoneticPr fontId="11"/>
  </si>
  <si>
    <t>定番売価＝緊急売価変更</t>
    <rPh sb="5" eb="7">
      <t>キンキュウ</t>
    </rPh>
    <rPh sb="7" eb="9">
      <t>バイカ</t>
    </rPh>
    <rPh sb="9" eb="11">
      <t>ヘンコウ</t>
    </rPh>
    <phoneticPr fontId="1"/>
  </si>
  <si>
    <t>定番売価ー緊急売価変更</t>
    <phoneticPr fontId="11"/>
  </si>
  <si>
    <t>緊急売価変更</t>
  </si>
  <si>
    <t>0円の値引実績作成</t>
    <rPh sb="1" eb="2">
      <t>エン</t>
    </rPh>
    <rPh sb="3" eb="5">
      <t>ネビキ</t>
    </rPh>
    <rPh sb="5" eb="7">
      <t>ジッセキ</t>
    </rPh>
    <rPh sb="7" eb="9">
      <t>サクセイ</t>
    </rPh>
    <phoneticPr fontId="11"/>
  </si>
  <si>
    <t>定番売価＜緊急売価変更</t>
    <rPh sb="5" eb="7">
      <t>キンキュウ</t>
    </rPh>
    <rPh sb="7" eb="9">
      <t>バイカ</t>
    </rPh>
    <rPh sb="9" eb="11">
      <t>ヘンコウ</t>
    </rPh>
    <phoneticPr fontId="1"/>
  </si>
  <si>
    <t>マイナスの値引実績作成</t>
    <rPh sb="5" eb="7">
      <t>ネビキ</t>
    </rPh>
    <rPh sb="7" eb="9">
      <t>ジッセキ</t>
    </rPh>
    <rPh sb="9" eb="11">
      <t>サクセイ</t>
    </rPh>
    <phoneticPr fontId="11"/>
  </si>
  <si>
    <t>マニュアル単品値引</t>
    <rPh sb="5" eb="7">
      <t>タンピン</t>
    </rPh>
    <rPh sb="7" eb="9">
      <t>ネビ</t>
    </rPh>
    <phoneticPr fontId="1"/>
  </si>
  <si>
    <t>マニュアル単品値引</t>
    <phoneticPr fontId="1"/>
  </si>
  <si>
    <t>マニュアル単品割引</t>
    <rPh sb="7" eb="9">
      <t>ワリビキ</t>
    </rPh>
    <phoneticPr fontId="1"/>
  </si>
  <si>
    <t>定番売価×マニュアル単品割引</t>
    <phoneticPr fontId="1"/>
  </si>
  <si>
    <t>マニュアル単品割引</t>
    <phoneticPr fontId="1"/>
  </si>
  <si>
    <t>定番売価＞レジでの売価変更</t>
    <rPh sb="9" eb="11">
      <t>バイカ</t>
    </rPh>
    <rPh sb="11" eb="13">
      <t>ヘンコウ</t>
    </rPh>
    <phoneticPr fontId="1"/>
  </si>
  <si>
    <t>定番売価ーレジでの売価変更</t>
  </si>
  <si>
    <t>レジでの売価変更</t>
    <phoneticPr fontId="11"/>
  </si>
  <si>
    <t>定番売価＝レジでの売価変更</t>
    <phoneticPr fontId="1"/>
  </si>
  <si>
    <t>値引実績作成しない</t>
    <rPh sb="0" eb="2">
      <t>ネビキ</t>
    </rPh>
    <rPh sb="2" eb="4">
      <t>ジッセキ</t>
    </rPh>
    <rPh sb="4" eb="6">
      <t>サクセイ</t>
    </rPh>
    <phoneticPr fontId="1"/>
  </si>
  <si>
    <t>定番売価＜レジでの売価変更</t>
    <phoneticPr fontId="1"/>
  </si>
  <si>
    <t>定番売価＞特売（タイムサービス売価）</t>
    <rPh sb="5" eb="7">
      <t>トクバイ</t>
    </rPh>
    <rPh sb="15" eb="17">
      <t>バイカ</t>
    </rPh>
    <phoneticPr fontId="1"/>
  </si>
  <si>
    <t>定番売価ー特売（タイムサービス売価）</t>
    <phoneticPr fontId="11"/>
  </si>
  <si>
    <t>特売（タイムサービス売価）</t>
    <phoneticPr fontId="11"/>
  </si>
  <si>
    <t>定番売価＝特売（タイムサービス売価）</t>
    <rPh sb="5" eb="7">
      <t>トクバイ</t>
    </rPh>
    <rPh sb="15" eb="17">
      <t>バイカ</t>
    </rPh>
    <phoneticPr fontId="1"/>
  </si>
  <si>
    <t>定番売価＜特売（タイムサービス売価）</t>
    <rPh sb="5" eb="7">
      <t>トクバイ</t>
    </rPh>
    <rPh sb="15" eb="17">
      <t>バイカ</t>
    </rPh>
    <phoneticPr fontId="1"/>
  </si>
  <si>
    <t>定番売価＞特売（タイムサービス割引）</t>
    <rPh sb="5" eb="7">
      <t>トクバイ</t>
    </rPh>
    <rPh sb="15" eb="17">
      <t>ワリビキ</t>
    </rPh>
    <phoneticPr fontId="1"/>
  </si>
  <si>
    <t>定番売価ー特売（タイムサービス割引）</t>
    <phoneticPr fontId="11"/>
  </si>
  <si>
    <t>定番売価＞特売（期間売価）</t>
    <rPh sb="5" eb="7">
      <t>トクバイ</t>
    </rPh>
    <rPh sb="8" eb="10">
      <t>キカン</t>
    </rPh>
    <rPh sb="10" eb="12">
      <t>バイカ</t>
    </rPh>
    <phoneticPr fontId="1"/>
  </si>
  <si>
    <t>定番売価ー特売（期間売価）</t>
    <phoneticPr fontId="11"/>
  </si>
  <si>
    <t>特売（期間売価）</t>
    <rPh sb="0" eb="2">
      <t>トクバイ</t>
    </rPh>
    <rPh sb="3" eb="5">
      <t>キカン</t>
    </rPh>
    <rPh sb="5" eb="7">
      <t>バイカ</t>
    </rPh>
    <phoneticPr fontId="11"/>
  </si>
  <si>
    <t>定番売価＝特売（期間売価）</t>
    <rPh sb="5" eb="7">
      <t>トクバイ</t>
    </rPh>
    <rPh sb="8" eb="10">
      <t>キカン</t>
    </rPh>
    <rPh sb="10" eb="12">
      <t>バイカ</t>
    </rPh>
    <phoneticPr fontId="1"/>
  </si>
  <si>
    <t>定番売価＜特売（期間売価）</t>
    <rPh sb="5" eb="7">
      <t>トクバイ</t>
    </rPh>
    <rPh sb="8" eb="10">
      <t>キカン</t>
    </rPh>
    <rPh sb="10" eb="12">
      <t>バイカ</t>
    </rPh>
    <phoneticPr fontId="1"/>
  </si>
  <si>
    <t>定番売価＞特売（期間割引）</t>
    <rPh sb="5" eb="7">
      <t>トクバイ</t>
    </rPh>
    <rPh sb="8" eb="10">
      <t>キカン</t>
    </rPh>
    <phoneticPr fontId="1"/>
  </si>
  <si>
    <t>定番売価ー特売（期間割引）</t>
    <phoneticPr fontId="11"/>
  </si>
  <si>
    <t>定番売価＞ミックスマッチ</t>
    <phoneticPr fontId="1"/>
  </si>
  <si>
    <t>定番売価ーミックスマッチ</t>
  </si>
  <si>
    <t>ミックス</t>
    <phoneticPr fontId="11"/>
  </si>
  <si>
    <t>定番売価＝ミックスマッチ</t>
    <phoneticPr fontId="1"/>
  </si>
  <si>
    <t>定番売価＜ミックスマッチ</t>
    <phoneticPr fontId="1"/>
  </si>
  <si>
    <t>値引シール【1:値引】</t>
    <rPh sb="0" eb="2">
      <t>ネビキ</t>
    </rPh>
    <rPh sb="8" eb="10">
      <t>ネビキ</t>
    </rPh>
    <phoneticPr fontId="1"/>
  </si>
  <si>
    <t>値引シール【1:値引】</t>
    <phoneticPr fontId="1"/>
  </si>
  <si>
    <t>マニュアル単品値引</t>
    <rPh sb="5" eb="7">
      <t>タンピン</t>
    </rPh>
    <rPh sb="7" eb="9">
      <t>ネビキ</t>
    </rPh>
    <phoneticPr fontId="11"/>
  </si>
  <si>
    <t>値引シール【2:割引】</t>
    <rPh sb="0" eb="2">
      <t>ネビキ</t>
    </rPh>
    <rPh sb="8" eb="10">
      <t>ワリビキ</t>
    </rPh>
    <phoneticPr fontId="1"/>
  </si>
  <si>
    <t>マニュアル単品割引</t>
    <phoneticPr fontId="11"/>
  </si>
  <si>
    <t>定番売価＞値引シール【3:金額】</t>
    <rPh sb="5" eb="7">
      <t>ネビキ</t>
    </rPh>
    <rPh sb="13" eb="15">
      <t>キンガク</t>
    </rPh>
    <phoneticPr fontId="1"/>
  </si>
  <si>
    <t>定番売価ー値引シール【3:金額】</t>
    <phoneticPr fontId="11"/>
  </si>
  <si>
    <t>定番売価＝値引シール【3:金額】</t>
    <rPh sb="5" eb="7">
      <t>ネビキ</t>
    </rPh>
    <rPh sb="13" eb="15">
      <t>キンガク</t>
    </rPh>
    <phoneticPr fontId="1"/>
  </si>
  <si>
    <t>定番売価＜値引シール【3:金額】</t>
    <rPh sb="5" eb="7">
      <t>ネビキ</t>
    </rPh>
    <rPh sb="13" eb="15">
      <t>キンガク</t>
    </rPh>
    <phoneticPr fontId="1"/>
  </si>
  <si>
    <t>カテゴリ値引</t>
    <phoneticPr fontId="1"/>
  </si>
  <si>
    <t>カテゴリ値引</t>
    <phoneticPr fontId="11"/>
  </si>
  <si>
    <t>カテゴリ割引</t>
    <phoneticPr fontId="1"/>
  </si>
  <si>
    <t>定番売価×カテゴリ割引</t>
    <phoneticPr fontId="1"/>
  </si>
  <si>
    <t>カテゴリ値引</t>
  </si>
  <si>
    <t>小計値引（マニュアル）</t>
    <rPh sb="0" eb="2">
      <t>ショウケイ</t>
    </rPh>
    <rPh sb="2" eb="4">
      <t>ネビキ</t>
    </rPh>
    <phoneticPr fontId="1"/>
  </si>
  <si>
    <t>小計値引（マニュアル）</t>
    <phoneticPr fontId="1"/>
  </si>
  <si>
    <t>小計割引（マニュアル）</t>
    <rPh sb="2" eb="4">
      <t>ワリビキ</t>
    </rPh>
    <phoneticPr fontId="1"/>
  </si>
  <si>
    <t>小計額×小計割引（マニュアル）</t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</si>
  <si>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</si>
  <si>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小計額×朝割り（自動）</t>
    <phoneticPr fontId="1"/>
  </si>
  <si>
    <t>メガ割（自動）</t>
    <phoneticPr fontId="1"/>
  </si>
  <si>
    <t>小計額×メガ割（自動）</t>
    <phoneticPr fontId="1"/>
  </si>
  <si>
    <t>クレジット割（自動）</t>
    <phoneticPr fontId="1"/>
  </si>
  <si>
    <t>小計額×クレジット割（自動）</t>
    <phoneticPr fontId="1"/>
  </si>
  <si>
    <t>定番売価と個別値引処理の値引実績計算_図</t>
    <rPh sb="19" eb="20">
      <t>ズ</t>
    </rPh>
    <phoneticPr fontId="1"/>
  </si>
  <si>
    <t>値引パターン</t>
    <rPh sb="0" eb="2">
      <t>ネビキ</t>
    </rPh>
    <phoneticPr fontId="11"/>
  </si>
  <si>
    <t>1～3</t>
    <phoneticPr fontId="1"/>
  </si>
  <si>
    <t>緊急売価変更（値下／同額／値増）</t>
    <rPh sb="7" eb="9">
      <t>ネサゲ</t>
    </rPh>
    <rPh sb="10" eb="12">
      <t>ドウガク</t>
    </rPh>
    <rPh sb="13" eb="15">
      <t>ネマ</t>
    </rPh>
    <phoneticPr fontId="11"/>
  </si>
  <si>
    <t>定番売価1個300円の商品を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phoneticPr fontId="11"/>
  </si>
  <si>
    <t>緊急売価変更金額</t>
    <rPh sb="0" eb="2">
      <t>キンキュウ</t>
    </rPh>
    <rPh sb="2" eb="4">
      <t>バイカ</t>
    </rPh>
    <rPh sb="4" eb="6">
      <t>ヘンコウ</t>
    </rPh>
    <rPh sb="6" eb="8">
      <t>キンガク</t>
    </rPh>
    <phoneticPr fontId="11"/>
  </si>
  <si>
    <r>
      <t>値引額　-</t>
    </r>
    <r>
      <rPr>
        <sz val="11"/>
        <color rgb="FFFF0000"/>
        <rFont val="ＭＳ ゴシック"/>
        <family val="3"/>
        <charset val="128"/>
      </rPr>
      <t>50円</t>
    </r>
    <rPh sb="0" eb="2">
      <t>ネビキ</t>
    </rPh>
    <rPh sb="2" eb="3">
      <t>ガク</t>
    </rPh>
    <rPh sb="3" eb="4">
      <t>ゾウガク</t>
    </rPh>
    <rPh sb="7" eb="8">
      <t>エン</t>
    </rPh>
    <phoneticPr fontId="11"/>
  </si>
  <si>
    <t>緊急売価変更
350円</t>
    <rPh sb="10" eb="11">
      <t>エン</t>
    </rPh>
    <phoneticPr fontId="1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</si>
  <si>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</si>
  <si>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1"/>
  </si>
  <si>
    <t>緊急売価変更
300円</t>
    <rPh sb="10" eb="11">
      <t>エン</t>
    </rPh>
    <phoneticPr fontId="1"/>
  </si>
  <si>
    <t>緊急売価変更
250円</t>
    <rPh sb="0" eb="2">
      <t>キンキュウ</t>
    </rPh>
    <rPh sb="2" eb="4">
      <t>バイカ</t>
    </rPh>
    <rPh sb="4" eb="6">
      <t>ヘンコウ</t>
    </rPh>
    <rPh sb="10" eb="11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</si>
  <si>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</si>
  <si>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1"/>
  </si>
  <si>
    <t>＜値引実績作成＞</t>
    <rPh sb="1" eb="3">
      <t>ネビキ</t>
    </rPh>
    <rPh sb="3" eb="5">
      <t>ジッセキ</t>
    </rPh>
    <rPh sb="5" eb="7">
      <t>サクセイ</t>
    </rPh>
    <phoneticPr fontId="11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</si>
  <si>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</si>
  <si>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1"/>
  </si>
  <si>
    <t>値引名称</t>
    <rPh sb="0" eb="2">
      <t>ネビ</t>
    </rPh>
    <rPh sb="2" eb="4">
      <t>メイショウ</t>
    </rPh>
    <phoneticPr fontId="11"/>
  </si>
  <si>
    <t>緊急売価変更</t>
    <phoneticPr fontId="1"/>
  </si>
  <si>
    <t>50
定番売価ー緊急売価変更額</t>
  </si>
  <si>
    <t>0
定番売価ー緊急売価変更額</t>
  </si>
  <si>
    <t>-50
定番売価ー緊急売価変更額</t>
  </si>
  <si>
    <t>※ 値引種別「緊急売価変更」は。計算した値引額が０円、マイナスでも値引実績を作成する。</t>
  </si>
  <si>
    <t>4</t>
    <phoneticPr fontId="1"/>
  </si>
  <si>
    <t>マニュアル単品値引</t>
    <rPh sb="5" eb="7">
      <t>タンピン</t>
    </rPh>
    <rPh sb="7" eb="9">
      <t>ネビキ</t>
    </rPh>
    <phoneticPr fontId="1"/>
  </si>
  <si>
    <t>値引額　30円</t>
    <rPh sb="0" eb="2">
      <t>ネビキ</t>
    </rPh>
    <rPh sb="2" eb="3">
      <t>ガク</t>
    </rPh>
    <rPh sb="6" eb="7">
      <t>エン</t>
    </rPh>
    <phoneticPr fontId="11"/>
  </si>
  <si>
    <t>販売額
270円</t>
    <rPh sb="0" eb="2">
      <t>ハンバイ</t>
    </rPh>
    <rPh sb="2" eb="3">
      <t>ガク</t>
    </rPh>
    <rPh sb="7" eb="8">
      <t>エン</t>
    </rPh>
    <phoneticPr fontId="1"/>
  </si>
  <si>
    <t>30
マニュアル単品値引</t>
    <phoneticPr fontId="11"/>
  </si>
  <si>
    <t>5</t>
    <phoneticPr fontId="1"/>
  </si>
  <si>
    <t>マニュアル単品割引</t>
    <rPh sb="5" eb="7">
      <t>タンピン</t>
    </rPh>
    <rPh sb="7" eb="9">
      <t>ワリビキ</t>
    </rPh>
    <phoneticPr fontId="1"/>
  </si>
  <si>
    <t>30
定番売価×マニュアル単品割引</t>
    <rPh sb="3" eb="5">
      <t>テイバン</t>
    </rPh>
    <rPh sb="5" eb="7">
      <t>バイカ</t>
    </rPh>
    <phoneticPr fontId="11"/>
  </si>
  <si>
    <t>6～8</t>
    <phoneticPr fontId="1"/>
  </si>
  <si>
    <t>レジでの売価変更</t>
    <phoneticPr fontId="1"/>
  </si>
  <si>
    <t>レジでの売価変更
350円</t>
    <rPh sb="4" eb="6">
      <t>バイカ</t>
    </rPh>
    <rPh sb="6" eb="8">
      <t>ヘンコウ</t>
    </rPh>
    <rPh sb="12" eb="13">
      <t>エン</t>
    </rPh>
    <phoneticPr fontId="1"/>
  </si>
  <si>
    <t>レジでの売価変更
300円</t>
    <rPh sb="4" eb="6">
      <t>バイカ</t>
    </rPh>
    <rPh sb="6" eb="8">
      <t>ヘンコウ</t>
    </rPh>
    <rPh sb="12" eb="13">
      <t>エン</t>
    </rPh>
    <phoneticPr fontId="1"/>
  </si>
  <si>
    <t>レジでの売価変更
250円</t>
    <rPh sb="4" eb="6">
      <t>バイカ</t>
    </rPh>
    <rPh sb="6" eb="8">
      <t>ヘンコウ</t>
    </rPh>
    <rPh sb="12" eb="13">
      <t>エン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</si>
  <si>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11"/>
  </si>
  <si>
    <t>50
定番売価ーレジでの売価変更</t>
    <phoneticPr fontId="11"/>
  </si>
  <si>
    <t>※ 値引種別「レジでの売価変更」は。０円、マイナス値引実績を作成しない。</t>
    <phoneticPr fontId="11"/>
  </si>
  <si>
    <t>9～11</t>
    <phoneticPr fontId="1"/>
  </si>
  <si>
    <t>特売（タイムサービス売価）</t>
    <rPh sb="0" eb="2">
      <t>トクバイ</t>
    </rPh>
    <rPh sb="10" eb="12">
      <t>バイカ</t>
    </rPh>
    <phoneticPr fontId="11"/>
  </si>
  <si>
    <t>特売（タイムサービス売価）金額</t>
    <rPh sb="0" eb="2">
      <t>トクバイ</t>
    </rPh>
    <rPh sb="10" eb="12">
      <t>バイカ</t>
    </rPh>
    <rPh sb="13" eb="15">
      <t>キンガク</t>
    </rPh>
    <phoneticPr fontId="1"/>
  </si>
  <si>
    <t>特売（タイムサービス売価）
300円</t>
    <rPh sb="0" eb="2">
      <t>トクバイ</t>
    </rPh>
    <rPh sb="10" eb="12">
      <t>バイカ</t>
    </rPh>
    <rPh sb="17" eb="18">
      <t>エン</t>
    </rPh>
    <phoneticPr fontId="1"/>
  </si>
  <si>
    <t>特売対象外</t>
    <rPh sb="0" eb="2">
      <t>トクバイ</t>
    </rPh>
    <rPh sb="2" eb="4">
      <t>タイショウ</t>
    </rPh>
    <rPh sb="4" eb="5">
      <t>ガイ</t>
    </rPh>
    <phoneticPr fontId="1"/>
  </si>
  <si>
    <t>特売（タイムサービス売価）
250円</t>
    <rPh sb="0" eb="2">
      <t>トクバイ</t>
    </rPh>
    <rPh sb="10" eb="12">
      <t>バイカ</t>
    </rPh>
    <rPh sb="17" eb="18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</si>
  <si>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特売対象外</t>
    </r>
    <rPh sb="0" eb="2">
      <t>ネビキ</t>
    </rPh>
    <rPh sb="2" eb="4">
      <t>ジッセキ</t>
    </rPh>
    <rPh sb="4" eb="6">
      <t>サクセイ</t>
    </rPh>
    <rPh sb="9" eb="11">
      <t>トクバイ</t>
    </rPh>
    <rPh sb="11" eb="13">
      <t>タイショウ</t>
    </rPh>
    <rPh sb="13" eb="14">
      <t>ガイ</t>
    </rPh>
    <phoneticPr fontId="11"/>
  </si>
  <si>
    <t>特売（タイムサービス売価）</t>
    <rPh sb="0" eb="2">
      <t>トクバイ</t>
    </rPh>
    <rPh sb="10" eb="12">
      <t>バイカ</t>
    </rPh>
    <phoneticPr fontId="1"/>
  </si>
  <si>
    <t>50
定番売価ー特売（タイムサービス売価）</t>
    <phoneticPr fontId="11"/>
  </si>
  <si>
    <t>0
定番売価ー特売（タイムサービス売価）</t>
    <phoneticPr fontId="11"/>
  </si>
  <si>
    <t>※「定番売価ー特売（タイムサービス売価）」マイナス時は値引実績作成しない。</t>
    <rPh sb="2" eb="4">
      <t>テイバン</t>
    </rPh>
    <rPh sb="4" eb="6">
      <t>バイカ</t>
    </rPh>
    <rPh sb="7" eb="9">
      <t>トクバイ</t>
    </rPh>
    <rPh sb="17" eb="19">
      <t>バイカ</t>
    </rPh>
    <rPh sb="27" eb="29">
      <t>ネビキ</t>
    </rPh>
    <rPh sb="29" eb="31">
      <t>ジッセキ</t>
    </rPh>
    <rPh sb="31" eb="33">
      <t>サクセイ</t>
    </rPh>
    <phoneticPr fontId="11"/>
  </si>
  <si>
    <t>12</t>
    <phoneticPr fontId="1"/>
  </si>
  <si>
    <t>特売（タイムサービス割引）</t>
    <rPh sb="0" eb="2">
      <t>トクバイ</t>
    </rPh>
    <rPh sb="10" eb="12">
      <t>ワリビキ</t>
    </rPh>
    <phoneticPr fontId="11"/>
  </si>
  <si>
    <t>特売（タイムサービス割引）</t>
    <rPh sb="0" eb="2">
      <t>トクバイ</t>
    </rPh>
    <rPh sb="10" eb="12">
      <t>ワリビキ</t>
    </rPh>
    <phoneticPr fontId="1"/>
  </si>
  <si>
    <t>特売（タイムサービス割引）
270円</t>
    <rPh sb="0" eb="2">
      <t>トクバイ</t>
    </rPh>
    <rPh sb="10" eb="12">
      <t>ワリビキ</t>
    </rPh>
    <rPh sb="17" eb="18">
      <t>エン</t>
    </rPh>
    <phoneticPr fontId="1"/>
  </si>
  <si>
    <t>30
定番売価×特売（タイムサービス割引）</t>
    <rPh sb="3" eb="5">
      <t>テイバン</t>
    </rPh>
    <rPh sb="5" eb="7">
      <t>バイカ</t>
    </rPh>
    <phoneticPr fontId="11"/>
  </si>
  <si>
    <t>13～15</t>
    <phoneticPr fontId="1"/>
  </si>
  <si>
    <t>特売（期間売価）金額</t>
    <rPh sb="0" eb="2">
      <t>トクバイ</t>
    </rPh>
    <rPh sb="3" eb="5">
      <t>キカン</t>
    </rPh>
    <rPh sb="5" eb="7">
      <t>バイカ</t>
    </rPh>
    <rPh sb="8" eb="10">
      <t>キンガク</t>
    </rPh>
    <phoneticPr fontId="1"/>
  </si>
  <si>
    <t>特売（期間売価）
300円</t>
    <phoneticPr fontId="11"/>
  </si>
  <si>
    <t>特売対象外</t>
    <phoneticPr fontId="11"/>
  </si>
  <si>
    <t>特売（期間売価）
250円</t>
    <rPh sb="0" eb="2">
      <t>トクバイ</t>
    </rPh>
    <rPh sb="3" eb="5">
      <t>キカン</t>
    </rPh>
    <rPh sb="5" eb="7">
      <t>バイカ</t>
    </rPh>
    <rPh sb="12" eb="13">
      <t>エン</t>
    </rPh>
    <phoneticPr fontId="1"/>
  </si>
  <si>
    <t>特売（期間売価）</t>
    <phoneticPr fontId="1"/>
  </si>
  <si>
    <t>50
定番売価ー特売（期間売価）</t>
    <phoneticPr fontId="11"/>
  </si>
  <si>
    <t>0
定番売価ー特売（期間売価）</t>
  </si>
  <si>
    <t>※「定番売価ー特売（期間売価）」マイナス時は値引実績作成しない。</t>
    <rPh sb="2" eb="4">
      <t>テイバン</t>
    </rPh>
    <rPh sb="4" eb="6">
      <t>バイカ</t>
    </rPh>
    <rPh sb="22" eb="24">
      <t>ネビキ</t>
    </rPh>
    <rPh sb="24" eb="26">
      <t>ジッセキ</t>
    </rPh>
    <rPh sb="26" eb="28">
      <t>サクセイ</t>
    </rPh>
    <phoneticPr fontId="11"/>
  </si>
  <si>
    <t>16</t>
    <phoneticPr fontId="1"/>
  </si>
  <si>
    <t>特売（期間割引）</t>
    <rPh sb="0" eb="2">
      <t>トクバイ</t>
    </rPh>
    <rPh sb="3" eb="5">
      <t>キカン</t>
    </rPh>
    <rPh sb="5" eb="7">
      <t>ワリビキ</t>
    </rPh>
    <phoneticPr fontId="11"/>
  </si>
  <si>
    <t>特売（期間割引））</t>
    <rPh sb="0" eb="2">
      <t>トクバイ</t>
    </rPh>
    <rPh sb="3" eb="5">
      <t>キカン</t>
    </rPh>
    <rPh sb="5" eb="7">
      <t>ワリビキ</t>
    </rPh>
    <phoneticPr fontId="1"/>
  </si>
  <si>
    <t>特売（期間割引）
270円</t>
    <rPh sb="0" eb="2">
      <t>トクバイ</t>
    </rPh>
    <rPh sb="3" eb="5">
      <t>キカン</t>
    </rPh>
    <rPh sb="5" eb="7">
      <t>ワリビキ</t>
    </rPh>
    <rPh sb="12" eb="13">
      <t>エン</t>
    </rPh>
    <phoneticPr fontId="1"/>
  </si>
  <si>
    <t>30
定番売価×（特売（期間割引）</t>
  </si>
  <si>
    <t>17～19</t>
    <phoneticPr fontId="1"/>
  </si>
  <si>
    <t>ミックスマッチ</t>
    <phoneticPr fontId="11"/>
  </si>
  <si>
    <t>2個当たりのミックスマッチ</t>
    <rPh sb="1" eb="2">
      <t>コ</t>
    </rPh>
    <rPh sb="2" eb="3">
      <t>ア</t>
    </rPh>
    <phoneticPr fontId="1"/>
  </si>
  <si>
    <t>値引額　100円</t>
    <rPh sb="0" eb="2">
      <t>ネビキ</t>
    </rPh>
    <rPh sb="2" eb="3">
      <t>ガク</t>
    </rPh>
    <rPh sb="7" eb="8">
      <t>エン</t>
    </rPh>
    <phoneticPr fontId="11"/>
  </si>
  <si>
    <t>ミックスマッチ対象外</t>
    <phoneticPr fontId="1"/>
  </si>
  <si>
    <t>ミックスマッチ
500円</t>
    <rPh sb="11" eb="12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</si>
  <si>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ミックスマッチ対象外</t>
    </r>
    <rPh sb="0" eb="2">
      <t>ネビキ</t>
    </rPh>
    <rPh sb="2" eb="4">
      <t>ジッセキ</t>
    </rPh>
    <rPh sb="4" eb="6">
      <t>サクセイ</t>
    </rPh>
    <rPh sb="16" eb="18">
      <t>タイショウ</t>
    </rPh>
    <rPh sb="18" eb="19">
      <t>ガイ</t>
    </rPh>
    <phoneticPr fontId="11"/>
  </si>
  <si>
    <t>ミックスマッチ</t>
    <phoneticPr fontId="1"/>
  </si>
  <si>
    <t>100
定番売価ーミックスマッチ</t>
  </si>
  <si>
    <t>※「定番売価ーミックスマッチ」0円、マイナス時は値引実績作成しない。</t>
    <rPh sb="16" eb="17">
      <t>エン</t>
    </rPh>
    <rPh sb="24" eb="26">
      <t>ネビキ</t>
    </rPh>
    <rPh sb="26" eb="28">
      <t>ジッセキ</t>
    </rPh>
    <rPh sb="28" eb="30">
      <t>サクセイ</t>
    </rPh>
    <phoneticPr fontId="11"/>
  </si>
  <si>
    <t>20</t>
    <phoneticPr fontId="1"/>
  </si>
  <si>
    <t>値引シール【1:値引】</t>
    <rPh sb="0" eb="2">
      <t>ネビキ</t>
    </rPh>
    <rPh sb="8" eb="10">
      <t>ネビキ</t>
    </rPh>
    <phoneticPr fontId="11"/>
  </si>
  <si>
    <t>21</t>
    <phoneticPr fontId="1"/>
  </si>
  <si>
    <t>値引シール【2:割引】</t>
    <phoneticPr fontId="11"/>
  </si>
  <si>
    <t>30
定番売価×値引シール【2:割引】</t>
    <rPh sb="3" eb="5">
      <t>テイバン</t>
    </rPh>
    <rPh sb="5" eb="7">
      <t>バイカ</t>
    </rPh>
    <phoneticPr fontId="11"/>
  </si>
  <si>
    <t>22～24</t>
    <phoneticPr fontId="1"/>
  </si>
  <si>
    <t>値引シール【3:金額】</t>
    <phoneticPr fontId="11"/>
  </si>
  <si>
    <t>値下</t>
    <rPh sb="0" eb="2">
      <t>ネサゲ</t>
    </rPh>
    <phoneticPr fontId="11"/>
  </si>
  <si>
    <t>同額</t>
    <rPh sb="0" eb="1">
      <t>ドウ</t>
    </rPh>
    <rPh sb="1" eb="2">
      <t>ガク</t>
    </rPh>
    <phoneticPr fontId="11"/>
  </si>
  <si>
    <t>値増</t>
    <rPh sb="0" eb="2">
      <t>ネゾウ</t>
    </rPh>
    <phoneticPr fontId="11"/>
  </si>
  <si>
    <t>値引シール【3:金額】</t>
    <rPh sb="0" eb="2">
      <t>ネビキ</t>
    </rPh>
    <rPh sb="8" eb="10">
      <t>キンガク</t>
    </rPh>
    <phoneticPr fontId="1"/>
  </si>
  <si>
    <t>値引シール【3:金額】
350円</t>
    <phoneticPr fontId="1"/>
  </si>
  <si>
    <t>値引シール【3:金額】
300円</t>
    <phoneticPr fontId="1"/>
  </si>
  <si>
    <t>値引シール【3:金額】
250円</t>
    <rPh sb="0" eb="2">
      <t>ネビキ</t>
    </rPh>
    <rPh sb="8" eb="10">
      <t>キンガク</t>
    </rPh>
    <rPh sb="15" eb="16">
      <t>エン</t>
    </rPh>
    <phoneticPr fontId="1"/>
  </si>
  <si>
    <t>50
定番売価ー値引シール【3:金額】</t>
  </si>
  <si>
    <t>※「定番売価ー値引シール【3:金額】」０円、マイナス時は実績出力しない。</t>
    <rPh sb="7" eb="9">
      <t>ネビキ</t>
    </rPh>
    <rPh sb="15" eb="17">
      <t>キンガク</t>
    </rPh>
    <rPh sb="28" eb="30">
      <t>ジッセキ</t>
    </rPh>
    <phoneticPr fontId="11"/>
  </si>
  <si>
    <t>※ 値引種別が「マニュアル単品値引 で良いか？</t>
    <rPh sb="2" eb="4">
      <t>ネビキ</t>
    </rPh>
    <rPh sb="4" eb="6">
      <t>シュベツ</t>
    </rPh>
    <rPh sb="19" eb="20">
      <t>ヨ</t>
    </rPh>
    <phoneticPr fontId="11"/>
  </si>
  <si>
    <t>25</t>
    <phoneticPr fontId="1"/>
  </si>
  <si>
    <t>30
カテゴリ値引</t>
  </si>
  <si>
    <t>26</t>
    <phoneticPr fontId="1"/>
  </si>
  <si>
    <t>カテゴリ割引</t>
  </si>
  <si>
    <t>30
定番売価×カテゴリ割引</t>
  </si>
  <si>
    <t>※ 値引コード、値引種別がカテゴリ値引とカテゴリ割引で同じで良いか？</t>
    <rPh sb="2" eb="4">
      <t>ネビキ</t>
    </rPh>
    <rPh sb="8" eb="10">
      <t>ネビキ</t>
    </rPh>
    <rPh sb="10" eb="12">
      <t>シュベツ</t>
    </rPh>
    <rPh sb="27" eb="28">
      <t>オナ</t>
    </rPh>
    <rPh sb="30" eb="31">
      <t>ヨ</t>
    </rPh>
    <phoneticPr fontId="11"/>
  </si>
  <si>
    <t>あ</t>
    <phoneticPr fontId="11"/>
  </si>
  <si>
    <t>27</t>
    <phoneticPr fontId="1"/>
  </si>
  <si>
    <t>小計値引（マニュアル）</t>
    <phoneticPr fontId="11"/>
  </si>
  <si>
    <t>小計値引（マニュアル）額</t>
    <rPh sb="0" eb="2">
      <t>ショウケイ</t>
    </rPh>
    <rPh sb="2" eb="4">
      <t>ネビキ</t>
    </rPh>
    <rPh sb="11" eb="12">
      <t>ガク</t>
    </rPh>
    <phoneticPr fontId="1"/>
  </si>
  <si>
    <t>30
小計値引（マニュアル）額</t>
    <rPh sb="3" eb="5">
      <t>ショウケイ</t>
    </rPh>
    <rPh sb="5" eb="7">
      <t>ネビキ</t>
    </rPh>
    <rPh sb="14" eb="15">
      <t>ガク</t>
    </rPh>
    <phoneticPr fontId="11"/>
  </si>
  <si>
    <t>28</t>
    <phoneticPr fontId="1"/>
  </si>
  <si>
    <t>小計割引（マニュアル）</t>
    <phoneticPr fontId="11"/>
  </si>
  <si>
    <t>300円の小計金額に</t>
    <rPh sb="3" eb="4">
      <t>エン</t>
    </rPh>
    <rPh sb="5" eb="7">
      <t>ショウケイ</t>
    </rPh>
    <rPh sb="7" eb="9">
      <t>キンガク</t>
    </rPh>
    <phoneticPr fontId="11"/>
  </si>
  <si>
    <t>小計割引（マニュアル）</t>
    <rPh sb="0" eb="2">
      <t>ショウケイ</t>
    </rPh>
    <rPh sb="2" eb="4">
      <t>ワリビキ</t>
    </rPh>
    <phoneticPr fontId="1"/>
  </si>
  <si>
    <t>30
小計額×小計割引（マニュアル）</t>
    <rPh sb="3" eb="5">
      <t>ショウケイ</t>
    </rPh>
    <rPh sb="5" eb="6">
      <t>ガク</t>
    </rPh>
    <rPh sb="9" eb="11">
      <t>ワリビキ</t>
    </rPh>
    <phoneticPr fontId="11"/>
  </si>
  <si>
    <t>※ 値引コード、値引種別が小計値引（マニュアル）と同じで良いか？</t>
    <rPh sb="2" eb="4">
      <t>ネビキ</t>
    </rPh>
    <rPh sb="8" eb="10">
      <t>ネビキ</t>
    </rPh>
    <rPh sb="10" eb="12">
      <t>シュベツ</t>
    </rPh>
    <rPh sb="25" eb="26">
      <t>オナ</t>
    </rPh>
    <rPh sb="28" eb="29">
      <t>ヨ</t>
    </rPh>
    <phoneticPr fontId="11"/>
  </si>
  <si>
    <t>29</t>
    <phoneticPr fontId="1"/>
  </si>
  <si>
    <t>朝割り（自動）</t>
    <phoneticPr fontId="11"/>
  </si>
  <si>
    <t>30
小計額×朝割り（自動）</t>
    <rPh sb="3" eb="5">
      <t>ショウケイ</t>
    </rPh>
    <rPh sb="5" eb="6">
      <t>ガク</t>
    </rPh>
    <phoneticPr fontId="11"/>
  </si>
  <si>
    <t>30</t>
    <phoneticPr fontId="1"/>
  </si>
  <si>
    <t>メガ割り（自動）</t>
    <phoneticPr fontId="11"/>
  </si>
  <si>
    <t>メガ割り（自動）</t>
    <rPh sb="5" eb="7">
      <t>ジドウ</t>
    </rPh>
    <phoneticPr fontId="1"/>
  </si>
  <si>
    <t>30
小計額×メガ割り（自動）</t>
    <rPh sb="3" eb="5">
      <t>ショウケイ</t>
    </rPh>
    <rPh sb="5" eb="6">
      <t>ガク</t>
    </rPh>
    <phoneticPr fontId="11"/>
  </si>
  <si>
    <t>31</t>
    <phoneticPr fontId="1"/>
  </si>
  <si>
    <t>クレジット割り（自動）</t>
    <phoneticPr fontId="11"/>
  </si>
  <si>
    <t>クレジット割り（自動）</t>
    <rPh sb="8" eb="10">
      <t>ジドウ</t>
    </rPh>
    <phoneticPr fontId="1"/>
  </si>
  <si>
    <t>値引額　15円</t>
    <rPh sb="0" eb="2">
      <t>ネビキ</t>
    </rPh>
    <rPh sb="2" eb="3">
      <t>ガク</t>
    </rPh>
    <rPh sb="6" eb="7">
      <t>エン</t>
    </rPh>
    <phoneticPr fontId="11"/>
  </si>
  <si>
    <t>販売額
285円</t>
    <rPh sb="0" eb="2">
      <t>ハンバイ</t>
    </rPh>
    <rPh sb="2" eb="3">
      <t>ガク</t>
    </rPh>
    <rPh sb="7" eb="8">
      <t>エン</t>
    </rPh>
    <phoneticPr fontId="1"/>
  </si>
  <si>
    <t>15
小計額×クレジット割り（自動）</t>
    <rPh sb="3" eb="5">
      <t>ショウケイ</t>
    </rPh>
    <rPh sb="5" eb="6">
      <t>ガク</t>
    </rPh>
    <phoneticPr fontId="11"/>
  </si>
  <si>
    <t>項番</t>
    <rPh sb="0" eb="2">
      <t>コウバン</t>
    </rPh>
    <phoneticPr fontId="2"/>
  </si>
  <si>
    <t>パターン</t>
    <phoneticPr fontId="1"/>
  </si>
  <si>
    <t>条件
定番売価：300円</t>
    <rPh sb="0" eb="2">
      <t>ジョウケン</t>
    </rPh>
    <rPh sb="11" eb="12">
      <t>エン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</si>
  <si>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</si>
  <si>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</si>
  <si>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POS値引等</t>
    <phoneticPr fontId="1"/>
  </si>
  <si>
    <t>緊急売価変更額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</si>
  <si>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特売</t>
    <rPh sb="0" eb="2">
      <t>トクバイ</t>
    </rPh>
    <phoneticPr fontId="1"/>
  </si>
  <si>
    <t>ミックスマッチ
１個当たり</t>
    <rPh sb="9" eb="10">
      <t>コ</t>
    </rPh>
    <rPh sb="10" eb="11">
      <t>ア</t>
    </rPh>
    <phoneticPr fontId="1"/>
  </si>
  <si>
    <t>シール</t>
    <phoneticPr fontId="1"/>
  </si>
  <si>
    <t>カテゴリー</t>
    <phoneticPr fontId="1"/>
  </si>
  <si>
    <t>小計割</t>
  </si>
  <si>
    <t>企画</t>
    <rPh sb="0" eb="2">
      <t>キカク</t>
    </rPh>
    <phoneticPr fontId="1"/>
  </si>
  <si>
    <t>定番売価＞緊急売価変更</t>
  </si>
  <si>
    <t>天然ホワイト海老１６／２０　１４尾ＦＯ用</t>
  </si>
  <si>
    <t>4969832221129</t>
  </si>
  <si>
    <t>定番売価＝緊急売価変更</t>
  </si>
  <si>
    <t>天然えび特大１０尾　　　　　　　　　　　</t>
  </si>
  <si>
    <t>4953413314256</t>
  </si>
  <si>
    <t>定番売価＜緊急売価変更</t>
  </si>
  <si>
    <t>天然車えび特々大８尾　　　　　　　　　　</t>
  </si>
  <si>
    <t>4940785301007</t>
  </si>
  <si>
    <t>マニュアル単品値引</t>
    <rPh sb="5" eb="7">
      <t>タンピン</t>
    </rPh>
    <phoneticPr fontId="1"/>
  </si>
  <si>
    <t>定番売価＞マニュアル値引</t>
  </si>
  <si>
    <t>むきえび（特大）３５０Ｇ　　　　　　　　</t>
  </si>
  <si>
    <t>4972195426094</t>
  </si>
  <si>
    <t>マニュアル単品割引</t>
    <rPh sb="5" eb="7">
      <t>タンピン</t>
    </rPh>
    <phoneticPr fontId="1"/>
  </si>
  <si>
    <t>定番売価＞マニュアル割引</t>
  </si>
  <si>
    <t>（ＦＣ）銀だら切身１切　　　　　　　　　</t>
  </si>
  <si>
    <t>4935552328219</t>
  </si>
  <si>
    <t>定番売価＞レジでの売価変更</t>
    <phoneticPr fontId="11"/>
  </si>
  <si>
    <t>むきえび（小粒）１６０ｇ　　　　　　　　</t>
  </si>
  <si>
    <t>4940785199147</t>
  </si>
  <si>
    <t>レジでの売価変更</t>
  </si>
  <si>
    <t>定番売価＝レジでの売価変更</t>
    <phoneticPr fontId="11"/>
  </si>
  <si>
    <t>天然むきえび６０／１２０　２００ｇ袋　Ｆ</t>
  </si>
  <si>
    <t>4940785198560</t>
  </si>
  <si>
    <t>定番売価＜レジでの売価変更</t>
    <phoneticPr fontId="11"/>
  </si>
  <si>
    <t>（ＦＣ）むきえび６０ｇ　　　　　　　　　</t>
  </si>
  <si>
    <t>4980766002455</t>
  </si>
  <si>
    <t>特売（タイムセール売価）</t>
    <phoneticPr fontId="11"/>
  </si>
  <si>
    <t>定番売価＞特売（タイムセール売価）</t>
    <phoneticPr fontId="11"/>
  </si>
  <si>
    <t>天然えび特々大８尾　　　　　　　　　　　</t>
  </si>
  <si>
    <t>4969832222959</t>
  </si>
  <si>
    <t>定番売価＝特売（タイムセール売価）</t>
    <phoneticPr fontId="11"/>
  </si>
  <si>
    <t>天然えび特大１０尾　ＦＯ用　　　　　　　</t>
  </si>
  <si>
    <t>4930553003288</t>
  </si>
  <si>
    <t>特売（タイムセール売価）</t>
  </si>
  <si>
    <t>定番売価＜特売（タイムセール売価）</t>
    <phoneticPr fontId="11"/>
  </si>
  <si>
    <t>天然えび大１０尾　　　　　　　　　　　　</t>
  </si>
  <si>
    <t>4969832214961</t>
  </si>
  <si>
    <t>特売（タイムセール割引）</t>
    <phoneticPr fontId="11"/>
  </si>
  <si>
    <t>定番売価＞特売（タイムセール割引）</t>
    <phoneticPr fontId="11"/>
  </si>
  <si>
    <t>天然えび（大）１０尾　１６／２０　ＦＯ用</t>
  </si>
  <si>
    <t>4953413316328</t>
  </si>
  <si>
    <t>特売（期間売価）</t>
    <phoneticPr fontId="11"/>
  </si>
  <si>
    <t>定番売価＞特売（期間売価）</t>
    <phoneticPr fontId="11"/>
  </si>
  <si>
    <t>天然えび（中）１６尾　２１／２５　ＦＯ用</t>
  </si>
  <si>
    <t>4969832214275</t>
  </si>
  <si>
    <t>特売（期間売価）</t>
  </si>
  <si>
    <t>定番売価＝特売（期間売価）</t>
    <phoneticPr fontId="11"/>
  </si>
  <si>
    <t>天然えび中１２尾　　　　　　　　　　　　</t>
  </si>
  <si>
    <t>4969832222966</t>
  </si>
  <si>
    <t>定番売価＜特売（期間売価）</t>
    <phoneticPr fontId="11"/>
  </si>
  <si>
    <t>尾付き伸ばしえび８尾　　　　　　　　　　</t>
  </si>
  <si>
    <t>4934416100824</t>
  </si>
  <si>
    <t>特売（期間割引）</t>
    <rPh sb="5" eb="7">
      <t>ワリビキ</t>
    </rPh>
    <phoneticPr fontId="11"/>
  </si>
  <si>
    <t>定番売価＞特売（期間割引）</t>
    <phoneticPr fontId="11"/>
  </si>
  <si>
    <t>天然えび（小）１６尾　３１／３５　ＦＯ用</t>
  </si>
  <si>
    <t>4969832211014</t>
  </si>
  <si>
    <t>ミックスマッチ</t>
  </si>
  <si>
    <t>定番売価＞ミックスマッチ</t>
  </si>
  <si>
    <t>大粒むきえび（背わた取り）３５０ｇ　　　</t>
  </si>
  <si>
    <t>4980766002769</t>
  </si>
  <si>
    <t>定番売価＝ミックスマッチ</t>
  </si>
  <si>
    <t>むきえび５００ｇトレーパック　　　　　　</t>
  </si>
  <si>
    <t>4935552328530</t>
  </si>
  <si>
    <t>定番売価＜ミックスマッチ</t>
  </si>
  <si>
    <t>特大ＢＴむきえび３５０ｇトレーパック　　</t>
  </si>
  <si>
    <t>4940785200263</t>
  </si>
  <si>
    <t>値引シール【1:値引】</t>
  </si>
  <si>
    <t>天然えび小１４尾（ＦＯ用）　　　　　　　</t>
  </si>
  <si>
    <t>4969832218662</t>
  </si>
  <si>
    <t>値引シール【2:割引】</t>
  </si>
  <si>
    <t>天然有頭シータイガー海老超特大２尾　　　</t>
  </si>
  <si>
    <t>4969832218648</t>
  </si>
  <si>
    <t>値引シール【3:金額】</t>
  </si>
  <si>
    <t>定番売価＞値引シール【3:金額】</t>
  </si>
  <si>
    <t>天然有頭タイガー海老特大５尾　　　　　　</t>
  </si>
  <si>
    <t>4969832214206</t>
  </si>
  <si>
    <t>定番売価＝値引シール【3:金額】</t>
  </si>
  <si>
    <t>天然有頭シータイガー海老特々大２尾　　　</t>
  </si>
  <si>
    <t>4969832217597</t>
  </si>
  <si>
    <t>定番売価＜値引シール【3:金額】</t>
  </si>
  <si>
    <t>天然有頭タイガー海老大５尾　　　　　　　</t>
  </si>
  <si>
    <t>4969832220986</t>
  </si>
  <si>
    <t>シーフードミックス２６０ｇ　　　　　　　</t>
  </si>
  <si>
    <t>4909030914201</t>
  </si>
  <si>
    <t>大粒シーフードミックス２４０ｇ　　　　　</t>
  </si>
  <si>
    <t>4940785197402</t>
  </si>
  <si>
    <t>小計値引</t>
    <phoneticPr fontId="1"/>
  </si>
  <si>
    <t>むきえび（中粒）１７０ｇ　　　　　　　　</t>
  </si>
  <si>
    <t>4940785199246</t>
  </si>
  <si>
    <t>小計割引</t>
    <phoneticPr fontId="1"/>
  </si>
  <si>
    <t>大粒むきえび（背わた取り）２００Ｇ　　　</t>
  </si>
  <si>
    <t>4969832222256</t>
  </si>
  <si>
    <t>朝割り</t>
    <phoneticPr fontId="1"/>
  </si>
  <si>
    <t>７種のシーフードミックス２５０ｇ　　　　</t>
  </si>
  <si>
    <t>4909030929960</t>
  </si>
  <si>
    <t>メガ割</t>
    <phoneticPr fontId="1"/>
  </si>
  <si>
    <t>えびチリソース　　　　　　　　　　　　　</t>
  </si>
  <si>
    <t>4904621090272</t>
  </si>
  <si>
    <t>クレジット割</t>
    <phoneticPr fontId="1"/>
  </si>
  <si>
    <t>ガーリックシュリンプソース　　　　　　　</t>
  </si>
  <si>
    <t>4902807341972</t>
  </si>
  <si>
    <t>項番</t>
  </si>
  <si>
    <t>取引内容</t>
  </si>
  <si>
    <t>設定1</t>
  </si>
  <si>
    <t>処理1</t>
  </si>
  <si>
    <t>POS値引等</t>
  </si>
  <si>
    <t>金額</t>
  </si>
  <si>
    <t>商品名</t>
  </si>
  <si>
    <t>JAN</t>
  </si>
  <si>
    <t>当日売価</t>
  </si>
  <si>
    <t>緊急売価変更額</t>
  </si>
  <si>
    <t>特売</t>
  </si>
  <si>
    <t>ミックマッチ</t>
  </si>
  <si>
    <t>シール</t>
  </si>
  <si>
    <t>カテゴリー処理</t>
  </si>
  <si>
    <t>企画</t>
  </si>
  <si>
    <t>純売上額</t>
  </si>
  <si>
    <t>純売上数量</t>
  </si>
  <si>
    <t>値引合計金額</t>
  </si>
  <si>
    <t>値引合計数量</t>
  </si>
  <si>
    <t>企画コード</t>
  </si>
  <si>
    <t>値引額</t>
  </si>
  <si>
    <t>値引数量</t>
  </si>
  <si>
    <t>ﾏﾆｭｱﾙ値引</t>
  </si>
  <si>
    <t>値下</t>
  </si>
  <si>
    <t>売上</t>
  </si>
  <si>
    <t/>
  </si>
  <si>
    <t>①通常単価＞緊急売価変更後金額</t>
    <phoneticPr fontId="8"/>
  </si>
  <si>
    <t>500</t>
  </si>
  <si>
    <t>450</t>
  </si>
  <si>
    <t>1</t>
  </si>
  <si>
    <t>0</t>
  </si>
  <si>
    <t>91111</t>
  </si>
  <si>
    <t>50</t>
  </si>
  <si>
    <t>マークダウン</t>
  </si>
  <si>
    <t>－</t>
  </si>
  <si>
    <t>同額</t>
  </si>
  <si>
    <t>①通常単価＝緊急売価変更後金額</t>
  </si>
  <si>
    <t>値増</t>
  </si>
  <si>
    <t>①通常単価＜緊急売価変更後金額</t>
  </si>
  <si>
    <t>550</t>
  </si>
  <si>
    <t>-50</t>
  </si>
  <si>
    <t>マニュアル値引</t>
  </si>
  <si>
    <t>①通常単価＞マニュアル値引</t>
  </si>
  <si>
    <t>マニュアル額値引</t>
    <phoneticPr fontId="8"/>
  </si>
  <si>
    <t>額</t>
  </si>
  <si>
    <t>マニュアル割引</t>
  </si>
  <si>
    <t>10</t>
  </si>
  <si>
    <t>①通常単価＞マニュアル割引</t>
  </si>
  <si>
    <t>91220</t>
  </si>
  <si>
    <t>2</t>
  </si>
  <si>
    <t>マニュアル額値引</t>
  </si>
  <si>
    <t>％</t>
  </si>
  <si>
    <t>マニュアル売価変更</t>
  </si>
  <si>
    <t>①通常単価＞売価変更</t>
  </si>
  <si>
    <t>6</t>
  </si>
  <si>
    <t>売価変更</t>
    <phoneticPr fontId="8"/>
  </si>
  <si>
    <t>①通常単価＝売価変更</t>
  </si>
  <si>
    <t>①通常単価＜売価変更</t>
  </si>
  <si>
    <t>特売タイムセール売価変更</t>
  </si>
  <si>
    <t>①通常単価＞特売売価変更金額</t>
    <phoneticPr fontId="8"/>
  </si>
  <si>
    <t>908001</t>
  </si>
  <si>
    <t>ﾀｲﾑｻｰﾋﾞｽ</t>
    <phoneticPr fontId="8"/>
  </si>
  <si>
    <t>①通常単価＝特売売価変更金額</t>
  </si>
  <si>
    <t>91121</t>
  </si>
  <si>
    <t>ﾀｲﾑｻｰﾋﾞｽ</t>
  </si>
  <si>
    <t>①通常単価＜特売売価変更金額</t>
  </si>
  <si>
    <t>特売タイムセール割引</t>
  </si>
  <si>
    <t>①通常単価＞特売割引後金額</t>
  </si>
  <si>
    <t>特売タイムセール値引</t>
  </si>
  <si>
    <t>天然車えび大１０尾（－１８℃）　　　　　</t>
  </si>
  <si>
    <t>4997965021378</t>
  </si>
  <si>
    <t>特売期間売価変更</t>
  </si>
  <si>
    <t>①通常単価＞特売売価変更金額</t>
  </si>
  <si>
    <t>908002</t>
  </si>
  <si>
    <t>91141</t>
  </si>
  <si>
    <t>特売期間割引</t>
  </si>
  <si>
    <t>特売期間値引</t>
  </si>
  <si>
    <t>天然えび小１２尾　　　　　　　　　　　　</t>
  </si>
  <si>
    <t>4969832221273</t>
  </si>
  <si>
    <t>①通常単価＞ミックスマッチ</t>
  </si>
  <si>
    <t>908101</t>
  </si>
  <si>
    <t>900</t>
  </si>
  <si>
    <t>100</t>
  </si>
  <si>
    <t>ミックス</t>
  </si>
  <si>
    <t>①通常単価＝ミックスマッチ</t>
  </si>
  <si>
    <t>908102</t>
  </si>
  <si>
    <t>1000</t>
  </si>
  <si>
    <t>①通常単価＜ミックスマッチ</t>
  </si>
  <si>
    <t>908103</t>
  </si>
  <si>
    <t>①通常単価＞値引シール【1:値引】値引後金額</t>
    <phoneticPr fontId="8"/>
  </si>
  <si>
    <t>①通常単価＞値引シール【2:割引】割引後金額</t>
  </si>
  <si>
    <t>①通常単価＞値引シール【3:金額】</t>
  </si>
  <si>
    <t>①通常単価＝値引シール【3:金額】</t>
  </si>
  <si>
    <t>①通常単価＜値引シール【3:金額】</t>
  </si>
  <si>
    <t>カテゴリ値引</t>
    <phoneticPr fontId="8"/>
  </si>
  <si>
    <t>91324</t>
  </si>
  <si>
    <t>部門ﾚﾍﾞﾙ商品階層自動値引</t>
  </si>
  <si>
    <t>割引</t>
  </si>
  <si>
    <t>カテゴリ割引</t>
    <phoneticPr fontId="8"/>
  </si>
  <si>
    <t>小計値引</t>
  </si>
  <si>
    <t>①通常単価＞小計値引後金額</t>
  </si>
  <si>
    <t>91400</t>
  </si>
  <si>
    <t>14</t>
  </si>
  <si>
    <t>マニュアル小計値引</t>
  </si>
  <si>
    <t>小計割引</t>
  </si>
  <si>
    <t>①通常単価＞小計割引後金額</t>
  </si>
  <si>
    <t>朝割り</t>
    <phoneticPr fontId="8"/>
  </si>
  <si>
    <t>メガ割</t>
  </si>
  <si>
    <t>クレジット割</t>
  </si>
  <si>
    <t>5</t>
  </si>
  <si>
    <t>取引内容</t>
    <rPh sb="0" eb="2">
      <t>トリヒキ</t>
    </rPh>
    <rPh sb="2" eb="4">
      <t>ナイヨウ</t>
    </rPh>
    <phoneticPr fontId="2"/>
  </si>
  <si>
    <t>設定1</t>
    <rPh sb="0" eb="2">
      <t>セッテイ</t>
    </rPh>
    <phoneticPr fontId="2"/>
  </si>
  <si>
    <t>処理1</t>
    <phoneticPr fontId="1"/>
  </si>
  <si>
    <t>金額</t>
    <rPh sb="0" eb="2">
      <t>キンガク</t>
    </rPh>
    <phoneticPr fontId="2"/>
  </si>
  <si>
    <t>当日売価</t>
    <rPh sb="0" eb="2">
      <t>トウジツ</t>
    </rPh>
    <rPh sb="2" eb="4">
      <t>バイカ</t>
    </rPh>
    <phoneticPr fontId="2"/>
  </si>
  <si>
    <t>単品速報</t>
    <rPh sb="0" eb="2">
      <t>タンピン</t>
    </rPh>
    <rPh sb="2" eb="4">
      <t>ソクホウ</t>
    </rPh>
    <phoneticPr fontId="1"/>
  </si>
  <si>
    <t>部門別売上速報</t>
    <rPh sb="0" eb="2">
      <t>ブモン</t>
    </rPh>
    <rPh sb="2" eb="3">
      <t>ベツ</t>
    </rPh>
    <rPh sb="3" eb="5">
      <t>ウリアゲ</t>
    </rPh>
    <rPh sb="5" eb="7">
      <t>ソクホウ</t>
    </rPh>
    <phoneticPr fontId="1"/>
  </si>
  <si>
    <t>組合</t>
    <rPh sb="0" eb="2">
      <t>クミアワ</t>
    </rPh>
    <phoneticPr fontId="1"/>
  </si>
  <si>
    <t>値引</t>
    <rPh sb="0" eb="2">
      <t>ネビキ</t>
    </rPh>
    <phoneticPr fontId="1"/>
  </si>
  <si>
    <t>特売金額</t>
    <rPh sb="0" eb="2">
      <t>トクバイ</t>
    </rPh>
    <rPh sb="2" eb="4">
      <t>キンガク</t>
    </rPh>
    <phoneticPr fontId="1"/>
  </si>
  <si>
    <t>特売点数</t>
    <rPh sb="0" eb="2">
      <t>トクバイ</t>
    </rPh>
    <rPh sb="2" eb="4">
      <t>テンスウ</t>
    </rPh>
    <phoneticPr fontId="1"/>
  </si>
  <si>
    <t>①通常単価＞緊急売価変更後金額</t>
  </si>
  <si>
    <t>×</t>
    <phoneticPr fontId="1"/>
  </si>
  <si>
    <t>マニュアル値引</t>
    <phoneticPr fontId="1"/>
  </si>
  <si>
    <t>〇</t>
    <phoneticPr fontId="1"/>
  </si>
  <si>
    <t>マニュアル割引</t>
    <phoneticPr fontId="1"/>
  </si>
  <si>
    <t>マニュアル売価変更</t>
    <phoneticPr fontId="1"/>
  </si>
  <si>
    <t>特売タイムセール割引</t>
    <phoneticPr fontId="1"/>
  </si>
  <si>
    <t>特売タイムセール値引</t>
    <phoneticPr fontId="1"/>
  </si>
  <si>
    <t>①通常単価＞ミックスマッチ</t>
    <phoneticPr fontId="1"/>
  </si>
  <si>
    <t>①通常単価＞値引シール【1:値引】値引後金額</t>
  </si>
  <si>
    <t>①通常単価＞小計割引後金額</t>
    <rPh sb="6" eb="8">
      <t>ショウケイ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</si>
</sst>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5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</cellStyleXfs>
  <cellXfs count="86"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>
      <alignment vertical="center"/>
    </xf>
    <xf numFmtId="0" fontId="7" fillId="0" borderId="2" xfId="3" applyFont="1" applyBorder="1" applyAlignment="1">
      <alignment wrapText="1"/>
    </xf>
    <xf numFmtId="0" fontId="7" fillId="0" borderId="2" xfId="1" applyFont="1" applyBorder="1" applyAlignment="1">
      <alignment horizontal="right" wrapText="1"/>
    </xf>
    <xf numFmtId="0" fontId="6" fillId="0" borderId="1" xfId="2" applyBorder="1" applyAlignment="1">
      <alignment horizontal="right" wrapText="1"/>
    </xf>
    <xf numFmtId="0" fontId="6" fillId="0" borderId="1" xfId="2" applyBorder="1" applyAlignment="1">
      <alignment wrapText="1"/>
    </xf>
    <xf numFmtId="0" fontId="6" fillId="0" borderId="3" xfId="2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7" fillId="0" borderId="2" xfId="1" applyFont="1" applyBorder="1" applyAlignment="1">
      <alignment wrapText="1"/>
    </xf>
    <xf numFmtId="0" fontId="9" fillId="0" borderId="5" xfId="0" applyFont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7" fillId="0" borderId="8" xfId="4" applyFont="1" applyBorder="1" applyAlignment="1">
      <alignment wrapText="1"/>
    </xf>
    <xf numFmtId="0" fontId="9" fillId="0" borderId="9" xfId="0" applyFont="1" applyBorder="1">
      <alignment vertical="center"/>
    </xf>
    <xf numFmtId="0" fontId="9" fillId="0" borderId="5" xfId="0" applyFont="1" applyBorder="1">
      <alignment vertical="center"/>
    </xf>
    <xf numFmtId="0" fontId="7" fillId="0" borderId="5" xfId="4" applyFont="1" applyBorder="1" applyAlignment="1">
      <alignment wrapText="1"/>
    </xf>
    <xf numFmtId="0" fontId="9" fillId="0" borderId="6" xfId="0" applyFont="1" applyBorder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4" xfId="0" applyFont="1" applyBorder="1">
      <alignment vertical="center"/>
    </xf>
    <xf numFmtId="0" fontId="9" fillId="0" borderId="15" xfId="0" applyFont="1" applyBorder="1">
      <alignment vertical="center"/>
    </xf>
    <xf numFmtId="0" fontId="7" fillId="0" borderId="15" xfId="4" applyFont="1" applyBorder="1" applyAlignment="1">
      <alignment wrapText="1"/>
    </xf>
    <xf numFmtId="0" fontId="9" fillId="0" borderId="11" xfId="0" applyFont="1" applyBorder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0" borderId="8" xfId="0" applyFont="1" applyBorder="1">
      <alignment vertical="center"/>
    </xf>
    <xf numFmtId="0" fontId="3" fillId="0" borderId="8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8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>
      <alignment vertical="center"/>
    </xf>
    <xf numFmtId="0" fontId="9" fillId="0" borderId="20" xfId="0" applyFont="1" applyBorder="1">
      <alignment vertical="center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>
      <alignment vertical="center"/>
    </xf>
    <xf numFmtId="0" fontId="1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9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2" xfId="0" applyFont="1" applyBorder="1" applyAlignment="1">
      <alignment vertical="center"/>
    </xf>
  </cellXfs>
  <cellStyles count="5">
    <cellStyle name="Normal" xfId="0" builtinId="0"/>
    <cellStyle name="標準_Sheet1" xfId="1" xr:uid="{00000000-0005-0000-0000-000001000000}"/>
    <cellStyle name="標準_Sheet3" xfId="2" xr:uid="{00000000-0005-0000-0000-000002000000}"/>
    <cellStyle name="標準_Sheet4" xfId="4" xr:uid="{00000000-0005-0000-0000-000003000000}"/>
    <cellStyle name="標準_データ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G34"/>
  <sheetViews>
    <sheetView zoomScale="85" zoomScaleNormal="85" workbookViewId="0">
      <selection activeCell="B28" sqref="B28"/>
    </sheetView>
  </sheetViews>
  <sheetFormatPr defaultRowHeight="13.5"/>
  <cols>
    <col min="1" max="1" width="13.875" style="2" bestFit="1" customWidth="1"/>
    <col min="2" max="3" width="40.5" style="1" bestFit="1" customWidth="1"/>
    <col min="4" max="4" width="11.625" style="1" bestFit="1" customWidth="1"/>
    <col min="5" max="5" width="9.5" style="1" bestFit="1" customWidth="1"/>
    <col min="6" max="6" width="29.375" style="1" bestFit="1" customWidth="1"/>
    <col min="7" max="7" width="25" style="1" bestFit="1" customWidth="1"/>
    <col min="8" max="16384" width="9" style="1"/>
  </cols>
  <sheetData>
    <row r="1" spans="1:7" ht="23.25" customHeight="1">
      <c r="A1" s="56" t="s">
        <v>0</v>
      </c>
      <c r="B1" s="57"/>
      <c r="C1" s="57"/>
      <c r="D1" s="57"/>
      <c r="E1" s="57"/>
      <c r="F1" s="57"/>
      <c r="G1" s="84"/>
    </row>
    <row r="2" spans="1:7" ht="23.25" customHeight="1" thickBot="1">
      <c r="A2" s="32"/>
      <c r="B2" s="22"/>
      <c r="C2" s="22"/>
      <c r="D2" s="22"/>
      <c r="E2" s="22"/>
      <c r="F2" s="22"/>
      <c r="G2"/>
    </row>
    <row r="3" spans="1:7" s="2" customFormat="1" ht="26.25" customHeight="1" thickBot="1">
      <c r="A3" s="20" t="s">
        <v>1</v>
      </c>
      <c r="B3" s="11" t="s">
        <v>2</v>
      </c>
      <c r="C3" s="11" t="s">
        <v>3</v>
      </c>
      <c r="D3" s="12" t="s">
        <v>4</v>
      </c>
      <c r="E3" s="12" t="s">
        <v>5</v>
      </c>
      <c r="F3" s="11" t="s">
        <v>6</v>
      </c>
      <c r="G3" s="13" t="s">
        <v>7</v>
      </c>
    </row>
    <row r="4" spans="1:7" ht="26.25" customHeight="1" thickBot="1">
      <c r="A4" s="21">
        <v>1</v>
      </c>
      <c r="B4" s="14" t="s">
        <v>8</v>
      </c>
      <c r="C4" s="14" t="s">
        <v>9</v>
      </c>
      <c r="D4" s="15">
        <v>91111</v>
      </c>
      <c r="E4" s="15">
        <v>0</v>
      </c>
      <c r="F4" s="14" t="s">
        <v>10</v>
      </c>
      <c r="G4" s="16"/>
    </row>
    <row r="5" spans="1:7" ht="26.25" customHeight="1" thickBot="1">
      <c r="A5" s="21">
        <v>2</v>
      </c>
      <c r="B5" s="14" t="s">
        <v>11</v>
      </c>
      <c r="C5" s="14" t="s">
        <v>12</v>
      </c>
      <c r="D5" s="15">
        <v>91111</v>
      </c>
      <c r="E5" s="15">
        <v>0</v>
      </c>
      <c r="F5" s="14" t="s">
        <v>13</v>
      </c>
      <c r="G5" s="16" t="s">
        <v>14</v>
      </c>
    </row>
    <row r="6" spans="1:7" ht="26.25" customHeight="1" thickBot="1">
      <c r="A6" s="21">
        <v>3</v>
      </c>
      <c r="B6" s="14" t="s">
        <v>15</v>
      </c>
      <c r="C6" s="14" t="s">
        <v>12</v>
      </c>
      <c r="D6" s="15">
        <v>91111</v>
      </c>
      <c r="E6" s="15">
        <v>0</v>
      </c>
      <c r="F6" s="14" t="s">
        <v>13</v>
      </c>
      <c r="G6" s="16" t="s">
        <v>16</v>
      </c>
    </row>
    <row r="7" spans="1:7" ht="26.25" customHeight="1" thickBot="1">
      <c r="A7" s="21">
        <v>4</v>
      </c>
      <c r="B7" s="30" t="s">
        <v>17</v>
      </c>
      <c r="C7" s="14" t="s">
        <v>18</v>
      </c>
      <c r="D7" s="15">
        <v>91220</v>
      </c>
      <c r="E7" s="15">
        <v>1</v>
      </c>
      <c r="F7" s="14" t="s">
        <v>18</v>
      </c>
      <c r="G7" s="16"/>
    </row>
    <row r="8" spans="1:7" ht="26.25" customHeight="1" thickBot="1">
      <c r="A8" s="21">
        <v>5</v>
      </c>
      <c r="B8" s="30" t="s">
        <v>19</v>
      </c>
      <c r="C8" s="14" t="s">
        <v>20</v>
      </c>
      <c r="D8" s="15">
        <v>91220</v>
      </c>
      <c r="E8" s="15">
        <v>2</v>
      </c>
      <c r="F8" s="14" t="s">
        <v>21</v>
      </c>
      <c r="G8" s="23"/>
    </row>
    <row r="9" spans="1:7" ht="26.25" customHeight="1" thickBot="1">
      <c r="A9" s="21">
        <v>6</v>
      </c>
      <c r="B9" s="30" t="s">
        <v>22</v>
      </c>
      <c r="C9" s="14" t="s">
        <v>23</v>
      </c>
      <c r="D9" s="15">
        <v>91220</v>
      </c>
      <c r="E9" s="15">
        <v>6</v>
      </c>
      <c r="F9" s="14" t="s">
        <v>24</v>
      </c>
      <c r="G9" s="16"/>
    </row>
    <row r="10" spans="1:7" ht="26.25" customHeight="1" thickBot="1">
      <c r="A10" s="21">
        <v>7</v>
      </c>
      <c r="B10" s="30" t="s">
        <v>25</v>
      </c>
      <c r="C10" s="14"/>
      <c r="D10" s="15"/>
      <c r="E10" s="15"/>
      <c r="F10" s="14"/>
      <c r="G10" s="23" t="s">
        <v>26</v>
      </c>
    </row>
    <row r="11" spans="1:7" ht="26.25" customHeight="1" thickBot="1">
      <c r="A11" s="21">
        <v>8</v>
      </c>
      <c r="B11" s="30" t="s">
        <v>27</v>
      </c>
      <c r="C11" s="14"/>
      <c r="D11" s="15"/>
      <c r="E11" s="15"/>
      <c r="F11" s="14"/>
      <c r="G11" s="23" t="s">
        <v>26</v>
      </c>
    </row>
    <row r="12" spans="1:7" ht="26.25" customHeight="1" thickBot="1">
      <c r="A12" s="21">
        <v>9</v>
      </c>
      <c r="B12" s="31" t="s">
        <v>28</v>
      </c>
      <c r="C12" s="14" t="s">
        <v>29</v>
      </c>
      <c r="D12" s="15">
        <v>91121</v>
      </c>
      <c r="E12" s="15">
        <v>0</v>
      </c>
      <c r="F12" s="14" t="s">
        <v>30</v>
      </c>
      <c r="G12" s="16"/>
    </row>
    <row r="13" spans="1:7" ht="26.25" customHeight="1" thickBot="1">
      <c r="A13" s="21">
        <v>10</v>
      </c>
      <c r="B13" s="30" t="s">
        <v>31</v>
      </c>
      <c r="C13" s="14" t="s">
        <v>29</v>
      </c>
      <c r="D13" s="15">
        <v>91121</v>
      </c>
      <c r="E13" s="15">
        <v>0</v>
      </c>
      <c r="F13" s="14" t="s">
        <v>30</v>
      </c>
      <c r="G13" s="16"/>
    </row>
    <row r="14" spans="1:7" ht="26.25" customHeight="1" thickBot="1">
      <c r="A14" s="21">
        <v>11</v>
      </c>
      <c r="B14" s="14" t="s">
        <v>32</v>
      </c>
      <c r="C14" s="14"/>
      <c r="D14" s="15"/>
      <c r="E14" s="15"/>
      <c r="F14" s="14"/>
      <c r="G14" s="23" t="s">
        <v>26</v>
      </c>
    </row>
    <row r="15" spans="1:7" ht="26.25" customHeight="1" thickBot="1">
      <c r="A15" s="21">
        <v>12</v>
      </c>
      <c r="B15" s="14" t="s">
        <v>33</v>
      </c>
      <c r="C15" s="14" t="s">
        <v>34</v>
      </c>
      <c r="D15" s="15">
        <v>91121</v>
      </c>
      <c r="E15" s="15">
        <v>0</v>
      </c>
      <c r="F15" s="14" t="s">
        <v>30</v>
      </c>
      <c r="G15" s="16"/>
    </row>
    <row r="16" spans="1:7" ht="26.25" customHeight="1" thickBot="1">
      <c r="A16" s="21">
        <v>13</v>
      </c>
      <c r="B16" s="33" t="s">
        <v>35</v>
      </c>
      <c r="C16" s="14" t="s">
        <v>36</v>
      </c>
      <c r="D16" s="15">
        <v>91141</v>
      </c>
      <c r="E16" s="15">
        <v>0</v>
      </c>
      <c r="F16" s="14" t="s">
        <v>37</v>
      </c>
      <c r="G16" s="16"/>
    </row>
    <row r="17" spans="1:7" ht="26.25" customHeight="1" thickBot="1">
      <c r="A17" s="21">
        <v>14</v>
      </c>
      <c r="B17" s="14" t="s">
        <v>38</v>
      </c>
      <c r="C17" s="14" t="s">
        <v>36</v>
      </c>
      <c r="D17" s="15">
        <v>91141</v>
      </c>
      <c r="E17" s="15">
        <v>0</v>
      </c>
      <c r="F17" s="14" t="s">
        <v>37</v>
      </c>
      <c r="G17" s="16"/>
    </row>
    <row r="18" spans="1:7" ht="26.25" customHeight="1" thickBot="1">
      <c r="A18" s="21">
        <v>15</v>
      </c>
      <c r="B18" s="14" t="s">
        <v>39</v>
      </c>
      <c r="C18" s="14"/>
      <c r="D18" s="15"/>
      <c r="E18" s="15"/>
      <c r="F18" s="14"/>
      <c r="G18" s="23" t="s">
        <v>26</v>
      </c>
    </row>
    <row r="19" spans="1:7" ht="26.25" customHeight="1" thickBot="1">
      <c r="A19" s="21">
        <v>16</v>
      </c>
      <c r="B19" s="14" t="s">
        <v>40</v>
      </c>
      <c r="C19" s="14" t="s">
        <v>41</v>
      </c>
      <c r="D19" s="15">
        <v>91141</v>
      </c>
      <c r="E19" s="15">
        <v>0</v>
      </c>
      <c r="F19" s="14" t="s">
        <v>37</v>
      </c>
      <c r="G19" s="16"/>
    </row>
    <row r="20" spans="1:7" ht="26.25" customHeight="1" thickBot="1">
      <c r="A20" s="21">
        <v>17</v>
      </c>
      <c r="B20" s="14" t="s">
        <v>42</v>
      </c>
      <c r="C20" s="14" t="s">
        <v>43</v>
      </c>
      <c r="D20" s="15">
        <v>91316</v>
      </c>
      <c r="E20" s="15">
        <v>0</v>
      </c>
      <c r="F20" s="14" t="s">
        <v>44</v>
      </c>
      <c r="G20" s="16"/>
    </row>
    <row r="21" spans="1:7" ht="26.25" customHeight="1" thickBot="1">
      <c r="A21" s="21">
        <v>18</v>
      </c>
      <c r="B21" s="17" t="s">
        <v>45</v>
      </c>
      <c r="C21" s="14"/>
      <c r="D21" s="15"/>
      <c r="E21" s="15"/>
      <c r="F21" s="14"/>
      <c r="G21" s="23" t="s">
        <v>26</v>
      </c>
    </row>
    <row r="22" spans="1:7" ht="26.25" customHeight="1" thickBot="1">
      <c r="A22" s="21">
        <v>19</v>
      </c>
      <c r="B22" s="17" t="s">
        <v>46</v>
      </c>
      <c r="C22" s="14"/>
      <c r="D22" s="15"/>
      <c r="E22" s="15"/>
      <c r="F22" s="14"/>
      <c r="G22" s="23" t="s">
        <v>26</v>
      </c>
    </row>
    <row r="23" spans="1:7" ht="26.25" customHeight="1" thickBot="1">
      <c r="A23" s="21">
        <v>20</v>
      </c>
      <c r="B23" s="14" t="s">
        <v>47</v>
      </c>
      <c r="C23" s="14" t="s">
        <v>48</v>
      </c>
      <c r="D23" s="15">
        <v>91220</v>
      </c>
      <c r="E23" s="15">
        <v>1</v>
      </c>
      <c r="F23" s="14" t="s">
        <v>49</v>
      </c>
      <c r="G23" s="16"/>
    </row>
    <row r="24" spans="1:7" ht="26.25" customHeight="1" thickBot="1">
      <c r="A24" s="21">
        <v>21</v>
      </c>
      <c r="B24" s="14" t="s">
        <v>50</v>
      </c>
      <c r="C24" s="14" t="s">
        <v>50</v>
      </c>
      <c r="D24" s="15">
        <v>91220</v>
      </c>
      <c r="E24" s="15">
        <v>2</v>
      </c>
      <c r="F24" s="14" t="s">
        <v>51</v>
      </c>
      <c r="G24" s="16"/>
    </row>
    <row r="25" spans="1:7" ht="26.25" customHeight="1" thickBot="1">
      <c r="A25" s="21">
        <v>22</v>
      </c>
      <c r="B25" s="14" t="s">
        <v>52</v>
      </c>
      <c r="C25" s="14" t="s">
        <v>53</v>
      </c>
      <c r="D25" s="15">
        <v>91220</v>
      </c>
      <c r="E25" s="15">
        <v>1</v>
      </c>
      <c r="F25" s="14" t="s">
        <v>49</v>
      </c>
      <c r="G25" s="16"/>
    </row>
    <row r="26" spans="1:7" ht="26.25" customHeight="1" thickBot="1">
      <c r="A26" s="21">
        <v>23</v>
      </c>
      <c r="B26" s="17" t="s">
        <v>54</v>
      </c>
      <c r="C26" s="17"/>
      <c r="D26" s="18"/>
      <c r="E26" s="18"/>
      <c r="F26" s="17"/>
      <c r="G26" s="23" t="s">
        <v>26</v>
      </c>
    </row>
    <row r="27" spans="1:7" ht="26.25" customHeight="1" thickBot="1">
      <c r="A27" s="21">
        <v>24</v>
      </c>
      <c r="B27" s="17" t="s">
        <v>55</v>
      </c>
      <c r="C27" s="17"/>
      <c r="D27" s="18"/>
      <c r="E27" s="18"/>
      <c r="F27" s="17"/>
      <c r="G27" s="23" t="s">
        <v>26</v>
      </c>
    </row>
    <row r="28" spans="1:7" ht="26.25" customHeight="1" thickBot="1">
      <c r="A28" s="21">
        <v>25</v>
      </c>
      <c r="B28" s="14" t="s">
        <v>56</v>
      </c>
      <c r="C28" s="14" t="s">
        <v>56</v>
      </c>
      <c r="D28" s="15">
        <v>91324</v>
      </c>
      <c r="E28" s="15">
        <v>0</v>
      </c>
      <c r="F28" s="14" t="s">
        <v>57</v>
      </c>
      <c r="G28" s="16"/>
    </row>
    <row r="29" spans="1:7" ht="26.25" customHeight="1" thickBot="1">
      <c r="A29" s="21">
        <v>26</v>
      </c>
      <c r="B29" s="17" t="s">
        <v>58</v>
      </c>
      <c r="C29" s="17" t="s">
        <v>59</v>
      </c>
      <c r="D29" s="18">
        <v>91324</v>
      </c>
      <c r="E29" s="18">
        <v>0</v>
      </c>
      <c r="F29" s="14" t="s">
        <v>60</v>
      </c>
      <c r="G29" s="19"/>
    </row>
    <row r="30" spans="1:7" ht="26.25" customHeight="1" thickBot="1">
      <c r="A30" s="21">
        <v>27</v>
      </c>
      <c r="B30" s="24" t="s">
        <v>61</v>
      </c>
      <c r="C30" s="25" t="s">
        <v>61</v>
      </c>
      <c r="D30" s="26">
        <v>91400</v>
      </c>
      <c r="E30" s="26">
        <v>14</v>
      </c>
      <c r="F30" s="25" t="s">
        <v>62</v>
      </c>
      <c r="G30" s="27"/>
    </row>
    <row r="31" spans="1:7" ht="26.25" customHeight="1" thickBot="1">
      <c r="A31" s="21">
        <v>28</v>
      </c>
      <c r="B31" s="25" t="s">
        <v>63</v>
      </c>
      <c r="C31" s="25" t="s">
        <v>64</v>
      </c>
      <c r="D31" s="26">
        <v>91400</v>
      </c>
      <c r="E31" s="26">
        <v>14</v>
      </c>
      <c r="F31" s="25" t="s">
        <v>62</v>
      </c>
      <c r="G31" s="27"/>
    </row>
    <row r="32" spans="1:7" ht="26.25" customHeight="1" thickBot="1">
      <c r="A32" s="21">
        <v>29</v>
      </c>
      <c r="B32" s="14" t="s">
        <v>65</v>
      </c>
      <c r="C32" s="14" t="s">
        <v>66</v>
      </c>
      <c r="D32" s="26">
        <v>91400</v>
      </c>
      <c r="E32" s="26">
        <v>14</v>
      </c>
      <c r="F32" s="25" t="s">
        <v>62</v>
      </c>
      <c r="G32" s="16"/>
    </row>
    <row r="33" spans="1:7" ht="26.25" customHeight="1" thickBot="1">
      <c r="A33" s="21">
        <v>30</v>
      </c>
      <c r="B33" s="14" t="s">
        <v>67</v>
      </c>
      <c r="C33" s="14" t="s">
        <v>68</v>
      </c>
      <c r="D33" s="26">
        <v>91400</v>
      </c>
      <c r="E33" s="26">
        <v>14</v>
      </c>
      <c r="F33" s="25" t="s">
        <v>62</v>
      </c>
      <c r="G33" s="16"/>
    </row>
    <row r="34" spans="1:7" ht="26.25" customHeight="1" thickBot="1">
      <c r="A34" s="28">
        <v>31</v>
      </c>
      <c r="B34" s="25" t="s">
        <v>69</v>
      </c>
      <c r="C34" s="25" t="s">
        <v>70</v>
      </c>
      <c r="D34" s="26">
        <v>91400</v>
      </c>
      <c r="E34" s="26">
        <v>14</v>
      </c>
      <c r="F34" s="25" t="s">
        <v>62</v>
      </c>
      <c r="G34" s="27"/>
    </row>
  </sheetData>
  <mergeCells count="1">
    <mergeCell ref="A1:G1"/>
  </mergeCells>
  <phoneticPr fontId="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O453"/>
  <sheetViews>
    <sheetView view="pageBreakPreview" topLeftCell="A21" zoomScale="70" zoomScaleNormal="100" zoomScaleSheetLayoutView="70" workbookViewId="0">
      <selection activeCell="X97" sqref="X97"/>
    </sheetView>
  </sheetViews>
  <sheetFormatPr defaultRowHeight="13.5"/>
  <cols>
    <col min="1" max="3" width="3.75" style="1" customWidth="1"/>
    <col min="4" max="4" width="13" style="2" bestFit="1" customWidth="1"/>
    <col min="5" max="5" width="30.875" style="2" customWidth="1"/>
    <col min="6" max="6" width="4.25" style="2" customWidth="1"/>
    <col min="7" max="7" width="9.5" style="2" bestFit="1" customWidth="1"/>
    <col min="8" max="8" width="41.625" style="2" bestFit="1" customWidth="1"/>
    <col min="9" max="9" width="3.5" style="2" customWidth="1"/>
    <col min="10" max="10" width="9.5" style="2" bestFit="1" customWidth="1"/>
    <col min="11" max="11" width="41.625" style="2" bestFit="1" customWidth="1"/>
    <col min="12" max="12" width="3.5" style="2" customWidth="1"/>
    <col min="13" max="13" width="15" style="2" bestFit="1" customWidth="1"/>
    <col min="14" max="14" width="41.625" style="2" bestFit="1" customWidth="1"/>
    <col min="15" max="15" width="5.875" style="1" customWidth="1"/>
    <col min="16" max="16384" width="9" style="1"/>
  </cols>
  <sheetData>
    <row r="1" spans="1:15">
      <c r="A1" s="36" t="s">
        <v>71</v>
      </c>
    </row>
    <row r="2" spans="1:15">
      <c r="A2" s="36"/>
    </row>
    <row r="3" spans="1:15" ht="14.25" thickBot="1"/>
    <row r="4" spans="1:15">
      <c r="D4" s="49" t="s">
        <v>72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</row>
    <row r="5" spans="1:15">
      <c r="D5" s="50" t="s">
        <v>73</v>
      </c>
      <c r="E5" s="29" t="s">
        <v>74</v>
      </c>
      <c r="F5" s="29"/>
      <c r="G5" s="29"/>
      <c r="J5" s="29"/>
      <c r="O5" s="39"/>
    </row>
    <row r="6" spans="1:15">
      <c r="D6" s="50"/>
      <c r="E6" s="1"/>
      <c r="F6" s="1"/>
      <c r="G6" s="1"/>
      <c r="J6" s="1"/>
      <c r="O6" s="39"/>
    </row>
    <row r="7" spans="1:15">
      <c r="D7" s="50"/>
      <c r="E7" s="35" t="s">
        <v>75</v>
      </c>
      <c r="F7" s="35"/>
      <c r="H7" s="2" t="str">
        <f>H9&amp;"円に緊急売価変更設定"</f>
        <v>250円に緊急売価変更設定</v>
      </c>
      <c r="K7" s="2" t="str">
        <f>K9&amp;"円に緊急売価変更設定"</f>
        <v>300円に緊急売価変更設定</v>
      </c>
      <c r="N7" s="2" t="str">
        <f>N9&amp;"円に緊急売価変更設定"</f>
        <v>350円に緊急売価変更設定</v>
      </c>
      <c r="O7" s="39"/>
    </row>
    <row r="8" spans="1:15">
      <c r="D8" s="50"/>
      <c r="E8" s="35"/>
      <c r="F8" s="35"/>
      <c r="G8" s="1"/>
      <c r="J8" s="1"/>
      <c r="O8" s="39"/>
    </row>
    <row r="9" spans="1:15" ht="18.75" customHeight="1">
      <c r="D9" s="51"/>
      <c r="E9" s="35" t="s">
        <v>76</v>
      </c>
      <c r="F9" s="35"/>
      <c r="H9" s="2">
        <v>250</v>
      </c>
      <c r="K9" s="2">
        <v>300</v>
      </c>
      <c r="N9" s="2">
        <v>350</v>
      </c>
      <c r="O9" s="39"/>
    </row>
    <row r="10" spans="1:15" ht="18.75" customHeight="1">
      <c r="D10" s="51"/>
      <c r="O10" s="39"/>
    </row>
    <row r="11" spans="1:15" ht="18.75" customHeight="1">
      <c r="D11" s="51"/>
      <c r="M11" s="48" t="s">
        <v>77</v>
      </c>
      <c r="N11" s="58" t="s">
        <v>78</v>
      </c>
      <c r="O11" s="39"/>
    </row>
    <row r="12" spans="1:15" ht="13.5" customHeight="1">
      <c r="D12" s="51"/>
      <c r="G12" s="61" t="s">
        <v>79</v>
      </c>
      <c r="H12" s="48" t="s">
        <v>80</v>
      </c>
      <c r="J12" s="61" t="s">
        <v>79</v>
      </c>
      <c r="K12" s="66" t="s">
        <v>81</v>
      </c>
      <c r="M12" s="61" t="s">
        <v>79</v>
      </c>
      <c r="N12" s="59"/>
      <c r="O12" s="39"/>
    </row>
    <row r="13" spans="1:15">
      <c r="D13" s="51"/>
      <c r="G13" s="62"/>
      <c r="H13" s="58" t="s">
        <v>82</v>
      </c>
      <c r="J13" s="62"/>
      <c r="K13" s="67"/>
      <c r="L13" s="40"/>
      <c r="M13" s="62"/>
      <c r="N13" s="59"/>
      <c r="O13" s="39"/>
    </row>
    <row r="14" spans="1:15" ht="18.75" customHeight="1">
      <c r="D14" s="51"/>
      <c r="G14" s="62"/>
      <c r="H14" s="59"/>
      <c r="J14" s="62"/>
      <c r="K14" s="67"/>
      <c r="M14" s="62"/>
      <c r="N14" s="59"/>
      <c r="O14" s="39"/>
    </row>
    <row r="15" spans="1:15">
      <c r="D15" s="51"/>
      <c r="G15" s="62"/>
      <c r="H15" s="59"/>
      <c r="J15" s="62"/>
      <c r="K15" s="67"/>
      <c r="M15" s="62"/>
      <c r="N15" s="59"/>
      <c r="O15" s="39"/>
    </row>
    <row r="16" spans="1:15">
      <c r="D16" s="51"/>
      <c r="G16" s="62"/>
      <c r="H16" s="59"/>
      <c r="J16" s="62"/>
      <c r="K16" s="67"/>
      <c r="M16" s="62"/>
      <c r="N16" s="60"/>
      <c r="O16" s="39"/>
    </row>
    <row r="17" spans="4:15">
      <c r="D17" s="51"/>
      <c r="G17" s="63"/>
      <c r="H17" s="59"/>
      <c r="J17" s="63"/>
      <c r="K17" s="69"/>
      <c r="M17" s="63"/>
      <c r="N17" s="60"/>
      <c r="O17" s="39"/>
    </row>
    <row r="18" spans="4:15">
      <c r="D18" s="51"/>
      <c r="E18" s="40" t="s">
        <v>83</v>
      </c>
      <c r="F18" s="40"/>
      <c r="G18" s="40"/>
      <c r="H18" s="9">
        <v>50</v>
      </c>
      <c r="J18" s="40"/>
      <c r="K18" s="55">
        <v>0</v>
      </c>
      <c r="L18" s="41"/>
      <c r="N18" s="55">
        <v>-50</v>
      </c>
      <c r="O18" s="39"/>
    </row>
    <row r="19" spans="4:15">
      <c r="D19" s="51"/>
      <c r="E19" s="40" t="s">
        <v>84</v>
      </c>
      <c r="F19" s="40"/>
      <c r="G19" s="40"/>
      <c r="H19" s="9">
        <v>250</v>
      </c>
      <c r="J19" s="40"/>
      <c r="K19" s="9">
        <v>300</v>
      </c>
      <c r="N19" s="9">
        <v>350</v>
      </c>
      <c r="O19" s="39"/>
    </row>
    <row r="20" spans="4:15">
      <c r="D20" s="51"/>
      <c r="E20" s="40"/>
      <c r="F20" s="40"/>
      <c r="G20" s="40"/>
      <c r="J20" s="40"/>
      <c r="O20" s="39"/>
    </row>
    <row r="21" spans="4:15">
      <c r="D21" s="51"/>
      <c r="E21" s="40" t="s">
        <v>85</v>
      </c>
      <c r="F21" s="40"/>
      <c r="G21" s="40"/>
      <c r="J21" s="40"/>
      <c r="O21" s="39"/>
    </row>
    <row r="22" spans="4:15">
      <c r="D22" s="51"/>
      <c r="E22" s="42" t="s">
        <v>86</v>
      </c>
      <c r="F22" s="42"/>
      <c r="G22" s="42"/>
      <c r="H22" s="2">
        <v>91111</v>
      </c>
      <c r="J22" s="42"/>
      <c r="K22" s="2">
        <v>91111</v>
      </c>
      <c r="N22" s="2">
        <v>91111</v>
      </c>
      <c r="O22" s="39"/>
    </row>
    <row r="23" spans="4:15">
      <c r="D23" s="51"/>
      <c r="E23" s="42" t="s">
        <v>87</v>
      </c>
      <c r="F23" s="42"/>
      <c r="G23" s="42"/>
      <c r="H23" s="2">
        <v>0</v>
      </c>
      <c r="J23" s="42"/>
      <c r="K23" s="2">
        <v>0</v>
      </c>
      <c r="N23" s="2">
        <v>0</v>
      </c>
      <c r="O23" s="39"/>
    </row>
    <row r="24" spans="4:15">
      <c r="D24" s="51"/>
      <c r="E24" s="42" t="s">
        <v>88</v>
      </c>
      <c r="F24" s="42"/>
      <c r="G24" s="42"/>
      <c r="H24" s="40" t="s">
        <v>89</v>
      </c>
      <c r="J24" s="42"/>
      <c r="K24" s="40" t="s">
        <v>89</v>
      </c>
      <c r="N24" s="40" t="s">
        <v>89</v>
      </c>
      <c r="O24" s="39"/>
    </row>
    <row r="25" spans="4:15" ht="27">
      <c r="D25" s="51"/>
      <c r="E25" s="40" t="s">
        <v>83</v>
      </c>
      <c r="F25" s="40"/>
      <c r="G25" s="40"/>
      <c r="H25" s="40" t="s">
        <v>90</v>
      </c>
      <c r="J25" s="40"/>
      <c r="K25" s="53" t="s">
        <v>91</v>
      </c>
      <c r="N25" s="54" t="s">
        <v>92</v>
      </c>
      <c r="O25" s="39"/>
    </row>
    <row r="26" spans="4:15">
      <c r="D26" s="51"/>
      <c r="E26" s="43" t="s">
        <v>93</v>
      </c>
      <c r="F26" s="43"/>
      <c r="G26" s="43"/>
      <c r="J26" s="43"/>
      <c r="O26" s="39"/>
    </row>
    <row r="27" spans="4:15" ht="14.25" thickBot="1">
      <c r="D27" s="52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5"/>
    </row>
    <row r="28" spans="4:15">
      <c r="D28" s="4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8"/>
    </row>
    <row r="29" spans="4:15">
      <c r="D29" s="50" t="s">
        <v>94</v>
      </c>
      <c r="E29" s="29" t="s">
        <v>49</v>
      </c>
      <c r="F29" s="29"/>
      <c r="G29" s="29"/>
      <c r="J29" s="29"/>
      <c r="O29" s="39"/>
    </row>
    <row r="30" spans="4:15">
      <c r="D30" s="50"/>
      <c r="E30" s="1"/>
      <c r="F30" s="1"/>
      <c r="G30" s="1"/>
      <c r="J30" s="1"/>
      <c r="O30" s="39"/>
    </row>
    <row r="31" spans="4:15">
      <c r="D31" s="50"/>
      <c r="E31" s="2" t="s">
        <v>75</v>
      </c>
      <c r="H31" s="2" t="str">
        <f>H33&amp;"円のマニュアル単品値引"</f>
        <v>30円のマニュアル単品値引</v>
      </c>
      <c r="O31" s="39"/>
    </row>
    <row r="32" spans="4:15">
      <c r="D32" s="50"/>
      <c r="E32" s="1"/>
      <c r="F32" s="1"/>
      <c r="G32" s="1"/>
      <c r="J32" s="1"/>
      <c r="O32" s="39"/>
    </row>
    <row r="33" spans="4:15" ht="18.75" customHeight="1">
      <c r="D33" s="51"/>
      <c r="E33" s="2" t="s">
        <v>95</v>
      </c>
      <c r="H33" s="2">
        <v>30</v>
      </c>
      <c r="O33" s="39"/>
    </row>
    <row r="34" spans="4:15" ht="18.75" customHeight="1">
      <c r="D34" s="51"/>
      <c r="O34" s="39"/>
    </row>
    <row r="35" spans="4:15" ht="18.75" customHeight="1">
      <c r="D35" s="51"/>
      <c r="O35" s="39"/>
    </row>
    <row r="36" spans="4:15" ht="13.5" customHeight="1">
      <c r="D36" s="51"/>
      <c r="G36" s="61" t="s">
        <v>79</v>
      </c>
      <c r="H36" s="48" t="s">
        <v>96</v>
      </c>
      <c r="O36" s="39"/>
    </row>
    <row r="37" spans="4:15" ht="13.5" customHeight="1">
      <c r="D37" s="51"/>
      <c r="G37" s="62"/>
      <c r="H37" s="58" t="s">
        <v>97</v>
      </c>
      <c r="O37" s="39"/>
    </row>
    <row r="38" spans="4:15" ht="18.75" customHeight="1">
      <c r="D38" s="51"/>
      <c r="G38" s="62"/>
      <c r="H38" s="59"/>
      <c r="O38" s="39"/>
    </row>
    <row r="39" spans="4:15">
      <c r="D39" s="51"/>
      <c r="G39" s="62"/>
      <c r="H39" s="59"/>
      <c r="O39" s="39"/>
    </row>
    <row r="40" spans="4:15">
      <c r="D40" s="51"/>
      <c r="G40" s="62"/>
      <c r="H40" s="59"/>
      <c r="O40" s="39"/>
    </row>
    <row r="41" spans="4:15">
      <c r="D41" s="51"/>
      <c r="G41" s="63"/>
      <c r="H41" s="59"/>
      <c r="O41" s="39"/>
    </row>
    <row r="42" spans="4:15">
      <c r="D42" s="51"/>
      <c r="E42" s="40" t="s">
        <v>83</v>
      </c>
      <c r="F42" s="40"/>
      <c r="G42" s="40"/>
      <c r="H42" s="9">
        <v>30</v>
      </c>
      <c r="O42" s="39"/>
    </row>
    <row r="43" spans="4:15">
      <c r="D43" s="51"/>
      <c r="E43" s="40" t="s">
        <v>84</v>
      </c>
      <c r="F43" s="40"/>
      <c r="G43" s="40"/>
      <c r="H43" s="9">
        <v>270</v>
      </c>
      <c r="O43" s="39"/>
    </row>
    <row r="44" spans="4:15">
      <c r="D44" s="51"/>
      <c r="E44" s="40"/>
      <c r="F44" s="40"/>
      <c r="G44" s="40"/>
      <c r="O44" s="39"/>
    </row>
    <row r="45" spans="4:15">
      <c r="D45" s="51"/>
      <c r="E45" s="40" t="s">
        <v>85</v>
      </c>
      <c r="F45" s="40"/>
      <c r="G45" s="40"/>
      <c r="J45" s="40"/>
      <c r="O45" s="39"/>
    </row>
    <row r="46" spans="4:15">
      <c r="D46" s="51"/>
      <c r="E46" s="42" t="s">
        <v>86</v>
      </c>
      <c r="F46" s="42"/>
      <c r="G46" s="42"/>
      <c r="H46" s="2">
        <v>91220</v>
      </c>
      <c r="J46" s="42"/>
      <c r="O46" s="39"/>
    </row>
    <row r="47" spans="4:15">
      <c r="D47" s="51"/>
      <c r="E47" s="42" t="s">
        <v>87</v>
      </c>
      <c r="F47" s="42"/>
      <c r="G47" s="42"/>
      <c r="H47" s="2">
        <v>1</v>
      </c>
      <c r="J47" s="42"/>
      <c r="O47" s="39"/>
    </row>
    <row r="48" spans="4:15">
      <c r="D48" s="51"/>
      <c r="E48" s="42" t="s">
        <v>88</v>
      </c>
      <c r="F48" s="42"/>
      <c r="G48" s="42"/>
      <c r="H48" s="40" t="s">
        <v>95</v>
      </c>
      <c r="J48" s="42"/>
      <c r="O48" s="39"/>
    </row>
    <row r="49" spans="4:15" ht="27">
      <c r="D49" s="51"/>
      <c r="E49" s="40" t="s">
        <v>83</v>
      </c>
      <c r="F49" s="40"/>
      <c r="G49" s="40"/>
      <c r="H49" s="40" t="s">
        <v>98</v>
      </c>
      <c r="J49" s="40"/>
      <c r="O49" s="39"/>
    </row>
    <row r="50" spans="4:15" ht="14.25" thickBot="1">
      <c r="D50" s="52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5"/>
    </row>
    <row r="51" spans="4:15">
      <c r="D51" s="49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8"/>
    </row>
    <row r="52" spans="4:15">
      <c r="D52" s="50" t="s">
        <v>99</v>
      </c>
      <c r="E52" s="29" t="s">
        <v>51</v>
      </c>
      <c r="F52" s="29"/>
      <c r="G52" s="29"/>
      <c r="J52" s="29"/>
      <c r="O52" s="39"/>
    </row>
    <row r="53" spans="4:15">
      <c r="D53" s="50"/>
      <c r="E53" s="1"/>
      <c r="F53" s="1"/>
      <c r="G53" s="1"/>
      <c r="J53" s="1"/>
      <c r="O53" s="39"/>
    </row>
    <row r="54" spans="4:15">
      <c r="D54" s="50"/>
      <c r="E54" s="2" t="s">
        <v>75</v>
      </c>
      <c r="H54" s="2" t="str">
        <f>H56&amp;"％のマニュアル単品割引"</f>
        <v>10％のマニュアル単品割引</v>
      </c>
      <c r="O54" s="39"/>
    </row>
    <row r="55" spans="4:15">
      <c r="D55" s="50"/>
      <c r="E55" s="1"/>
      <c r="F55" s="1"/>
      <c r="G55" s="1"/>
      <c r="J55" s="1"/>
      <c r="O55" s="39"/>
    </row>
    <row r="56" spans="4:15" ht="18.75" customHeight="1">
      <c r="D56" s="51"/>
      <c r="E56" s="2" t="s">
        <v>100</v>
      </c>
      <c r="H56" s="2">
        <v>10</v>
      </c>
      <c r="O56" s="39"/>
    </row>
    <row r="57" spans="4:15" ht="18.75" customHeight="1">
      <c r="D57" s="51"/>
      <c r="O57" s="39"/>
    </row>
    <row r="58" spans="4:15" ht="18.75" customHeight="1">
      <c r="D58" s="51"/>
      <c r="O58" s="39"/>
    </row>
    <row r="59" spans="4:15" ht="13.5" customHeight="1">
      <c r="D59" s="51"/>
      <c r="G59" s="61" t="s">
        <v>79</v>
      </c>
      <c r="H59" s="48" t="s">
        <v>96</v>
      </c>
      <c r="O59" s="39"/>
    </row>
    <row r="60" spans="4:15" ht="13.5" customHeight="1">
      <c r="D60" s="51"/>
      <c r="G60" s="62"/>
      <c r="H60" s="58" t="s">
        <v>97</v>
      </c>
      <c r="O60" s="39"/>
    </row>
    <row r="61" spans="4:15" ht="18.75" customHeight="1">
      <c r="D61" s="51"/>
      <c r="G61" s="62"/>
      <c r="H61" s="59"/>
      <c r="O61" s="39"/>
    </row>
    <row r="62" spans="4:15">
      <c r="D62" s="51"/>
      <c r="G62" s="62"/>
      <c r="H62" s="59"/>
      <c r="O62" s="39"/>
    </row>
    <row r="63" spans="4:15">
      <c r="D63" s="51"/>
      <c r="G63" s="62"/>
      <c r="H63" s="59"/>
      <c r="O63" s="39"/>
    </row>
    <row r="64" spans="4:15">
      <c r="D64" s="51"/>
      <c r="G64" s="63"/>
      <c r="H64" s="59"/>
      <c r="O64" s="39"/>
    </row>
    <row r="65" spans="4:15">
      <c r="D65" s="51"/>
      <c r="E65" s="40" t="s">
        <v>83</v>
      </c>
      <c r="F65" s="40"/>
      <c r="G65" s="40"/>
      <c r="H65" s="9">
        <v>30</v>
      </c>
      <c r="O65" s="39"/>
    </row>
    <row r="66" spans="4:15">
      <c r="D66" s="51"/>
      <c r="E66" s="40" t="s">
        <v>84</v>
      </c>
      <c r="F66" s="40"/>
      <c r="G66" s="40"/>
      <c r="H66" s="9">
        <v>270</v>
      </c>
      <c r="O66" s="39"/>
    </row>
    <row r="67" spans="4:15">
      <c r="D67" s="51"/>
      <c r="E67" s="40"/>
      <c r="F67" s="40"/>
      <c r="G67" s="40"/>
      <c r="O67" s="39"/>
    </row>
    <row r="68" spans="4:15">
      <c r="D68" s="51"/>
      <c r="E68" s="40" t="s">
        <v>85</v>
      </c>
      <c r="F68" s="40"/>
      <c r="G68" s="40"/>
      <c r="J68" s="40"/>
      <c r="O68" s="39"/>
    </row>
    <row r="69" spans="4:15">
      <c r="D69" s="51"/>
      <c r="E69" s="42" t="s">
        <v>86</v>
      </c>
      <c r="F69" s="42"/>
      <c r="G69" s="42"/>
      <c r="H69" s="2">
        <v>91220</v>
      </c>
      <c r="J69" s="42"/>
      <c r="O69" s="39"/>
    </row>
    <row r="70" spans="4:15">
      <c r="D70" s="51"/>
      <c r="E70" s="42" t="s">
        <v>87</v>
      </c>
      <c r="F70" s="42"/>
      <c r="G70" s="42"/>
      <c r="H70" s="2">
        <v>2</v>
      </c>
      <c r="J70" s="42"/>
      <c r="O70" s="39"/>
    </row>
    <row r="71" spans="4:15">
      <c r="D71" s="51"/>
      <c r="E71" s="42" t="s">
        <v>88</v>
      </c>
      <c r="F71" s="42"/>
      <c r="G71" s="42"/>
      <c r="H71" s="40" t="s">
        <v>21</v>
      </c>
      <c r="J71" s="42"/>
      <c r="O71" s="39"/>
    </row>
    <row r="72" spans="4:15" ht="27">
      <c r="D72" s="51"/>
      <c r="E72" s="40" t="s">
        <v>83</v>
      </c>
      <c r="F72" s="40"/>
      <c r="G72" s="40"/>
      <c r="H72" s="40" t="s">
        <v>101</v>
      </c>
      <c r="J72" s="40"/>
      <c r="O72" s="39"/>
    </row>
    <row r="73" spans="4:15" ht="14.25" thickBot="1">
      <c r="D73" s="52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5"/>
    </row>
    <row r="74" spans="4:15">
      <c r="D74" s="49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8"/>
    </row>
    <row r="75" spans="4:15">
      <c r="D75" s="50" t="s">
        <v>102</v>
      </c>
      <c r="E75" s="34" t="s">
        <v>24</v>
      </c>
      <c r="F75" s="34"/>
      <c r="G75" s="34"/>
      <c r="J75" s="34"/>
      <c r="O75" s="39"/>
    </row>
    <row r="76" spans="4:15">
      <c r="D76" s="50"/>
      <c r="E76" s="29"/>
      <c r="F76" s="29"/>
      <c r="G76" s="29"/>
      <c r="J76" s="29"/>
      <c r="O76" s="39"/>
    </row>
    <row r="77" spans="4:15">
      <c r="D77" s="50"/>
      <c r="E77" s="2" t="s">
        <v>75</v>
      </c>
      <c r="H77" s="2" t="str">
        <f>H79&amp;"円にレジでの売価変更"</f>
        <v>250円にレジでの売価変更</v>
      </c>
      <c r="K77" s="2" t="str">
        <f>K79&amp;"円にレジでの売価変更"</f>
        <v>300円にレジでの売価変更</v>
      </c>
      <c r="N77" s="2" t="str">
        <f>N79&amp;"円にレジでの売価変更"</f>
        <v>350円にレジでの売価変更</v>
      </c>
      <c r="O77" s="39"/>
    </row>
    <row r="78" spans="4:15">
      <c r="D78" s="50"/>
      <c r="E78" s="35"/>
      <c r="F78" s="35"/>
      <c r="G78" s="35"/>
      <c r="J78" s="35"/>
      <c r="M78" s="1"/>
      <c r="O78" s="39"/>
    </row>
    <row r="79" spans="4:15" ht="18.75" customHeight="1">
      <c r="D79" s="51"/>
      <c r="E79" s="2" t="s">
        <v>103</v>
      </c>
      <c r="H79" s="2">
        <v>250</v>
      </c>
      <c r="K79" s="2">
        <v>300</v>
      </c>
      <c r="M79" s="1"/>
      <c r="N79" s="2">
        <v>350</v>
      </c>
      <c r="O79" s="39"/>
    </row>
    <row r="80" spans="4:15" ht="18.75" customHeight="1">
      <c r="D80" s="51"/>
      <c r="O80" s="39"/>
    </row>
    <row r="81" spans="4:15" ht="18.75" customHeight="1">
      <c r="D81" s="51"/>
      <c r="M81" s="1"/>
      <c r="N81" s="58" t="s">
        <v>104</v>
      </c>
      <c r="O81" s="39"/>
    </row>
    <row r="82" spans="4:15" ht="13.5" customHeight="1">
      <c r="D82" s="51"/>
      <c r="G82" s="61" t="s">
        <v>79</v>
      </c>
      <c r="H82" s="48" t="s">
        <v>80</v>
      </c>
      <c r="J82" s="61" t="s">
        <v>79</v>
      </c>
      <c r="K82" s="66" t="s">
        <v>105</v>
      </c>
      <c r="M82" s="61" t="s">
        <v>79</v>
      </c>
      <c r="N82" s="59"/>
      <c r="O82" s="39"/>
    </row>
    <row r="83" spans="4:15">
      <c r="D83" s="51"/>
      <c r="G83" s="62"/>
      <c r="H83" s="58" t="s">
        <v>106</v>
      </c>
      <c r="J83" s="62"/>
      <c r="K83" s="67"/>
      <c r="L83" s="40"/>
      <c r="M83" s="75"/>
      <c r="N83" s="59"/>
      <c r="O83" s="39"/>
    </row>
    <row r="84" spans="4:15" ht="18.75" customHeight="1">
      <c r="D84" s="51"/>
      <c r="G84" s="62"/>
      <c r="H84" s="59"/>
      <c r="J84" s="62"/>
      <c r="K84" s="67"/>
      <c r="M84" s="75"/>
      <c r="N84" s="59"/>
      <c r="O84" s="39"/>
    </row>
    <row r="85" spans="4:15">
      <c r="D85" s="51"/>
      <c r="G85" s="62"/>
      <c r="H85" s="59"/>
      <c r="J85" s="62"/>
      <c r="K85" s="67"/>
      <c r="M85" s="75"/>
      <c r="N85" s="59"/>
      <c r="O85" s="39"/>
    </row>
    <row r="86" spans="4:15">
      <c r="D86" s="51"/>
      <c r="G86" s="62"/>
      <c r="H86" s="59"/>
      <c r="J86" s="62"/>
      <c r="K86" s="67"/>
      <c r="M86" s="75"/>
      <c r="N86" s="60"/>
      <c r="O86" s="39"/>
    </row>
    <row r="87" spans="4:15">
      <c r="D87" s="51"/>
      <c r="G87" s="63"/>
      <c r="H87" s="59"/>
      <c r="J87" s="63"/>
      <c r="K87" s="68"/>
      <c r="M87" s="76"/>
      <c r="N87" s="60"/>
      <c r="O87" s="39"/>
    </row>
    <row r="88" spans="4:15">
      <c r="D88" s="51"/>
      <c r="E88" s="40" t="s">
        <v>83</v>
      </c>
      <c r="F88" s="40"/>
      <c r="G88" s="40"/>
      <c r="H88" s="2">
        <v>50</v>
      </c>
      <c r="J88" s="40"/>
      <c r="K88" s="41"/>
      <c r="L88" s="41"/>
      <c r="N88" s="41"/>
      <c r="O88" s="39"/>
    </row>
    <row r="89" spans="4:15">
      <c r="D89" s="51"/>
      <c r="E89" s="40" t="s">
        <v>84</v>
      </c>
      <c r="F89" s="40"/>
      <c r="G89" s="40"/>
      <c r="H89" s="2">
        <v>250</v>
      </c>
      <c r="J89" s="40"/>
      <c r="K89" s="2">
        <v>300</v>
      </c>
      <c r="N89" s="2">
        <v>350</v>
      </c>
      <c r="O89" s="39"/>
    </row>
    <row r="90" spans="4:15">
      <c r="D90" s="51"/>
      <c r="E90" s="40"/>
      <c r="F90" s="40"/>
      <c r="G90" s="40"/>
      <c r="J90" s="40"/>
      <c r="O90" s="39"/>
    </row>
    <row r="91" spans="4:15">
      <c r="D91" s="51"/>
      <c r="E91" s="40" t="s">
        <v>85</v>
      </c>
      <c r="F91" s="40"/>
      <c r="G91" s="40"/>
      <c r="J91" s="40"/>
      <c r="O91" s="39"/>
    </row>
    <row r="92" spans="4:15" ht="13.5" customHeight="1">
      <c r="D92" s="51"/>
      <c r="E92" s="42" t="s">
        <v>86</v>
      </c>
      <c r="F92" s="42"/>
      <c r="G92" s="42"/>
      <c r="H92" s="2">
        <v>91220</v>
      </c>
      <c r="J92" s="42"/>
      <c r="K92" s="65" t="s">
        <v>107</v>
      </c>
      <c r="N92" s="65" t="s">
        <v>107</v>
      </c>
      <c r="O92" s="39"/>
    </row>
    <row r="93" spans="4:15">
      <c r="D93" s="51"/>
      <c r="E93" s="42" t="s">
        <v>87</v>
      </c>
      <c r="F93" s="42"/>
      <c r="G93" s="42"/>
      <c r="H93" s="2">
        <v>6</v>
      </c>
      <c r="J93" s="42"/>
      <c r="K93" s="65"/>
      <c r="N93" s="65"/>
      <c r="O93" s="39"/>
    </row>
    <row r="94" spans="4:15">
      <c r="D94" s="51"/>
      <c r="E94" s="42" t="s">
        <v>88</v>
      </c>
      <c r="F94" s="42"/>
      <c r="G94" s="42"/>
      <c r="H94" s="40" t="s">
        <v>103</v>
      </c>
      <c r="J94" s="42"/>
      <c r="K94" s="65"/>
      <c r="N94" s="65"/>
      <c r="O94" s="39"/>
    </row>
    <row r="95" spans="4:15" ht="27">
      <c r="D95" s="51"/>
      <c r="E95" s="40" t="s">
        <v>83</v>
      </c>
      <c r="F95" s="40"/>
      <c r="G95" s="40"/>
      <c r="H95" s="40" t="s">
        <v>108</v>
      </c>
      <c r="J95" s="40"/>
      <c r="K95" s="65"/>
      <c r="N95" s="65"/>
      <c r="O95" s="39"/>
    </row>
    <row r="96" spans="4:15">
      <c r="D96" s="51"/>
      <c r="E96" s="43" t="s">
        <v>109</v>
      </c>
      <c r="F96" s="43"/>
      <c r="G96" s="46"/>
      <c r="J96" s="46"/>
      <c r="O96" s="39"/>
    </row>
    <row r="97" spans="4:15" ht="14.25" thickBot="1">
      <c r="D97" s="52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5"/>
    </row>
    <row r="98" spans="4:15">
      <c r="D98" s="49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8"/>
    </row>
    <row r="99" spans="4:15">
      <c r="D99" s="50" t="s">
        <v>110</v>
      </c>
      <c r="E99" s="29" t="s">
        <v>111</v>
      </c>
      <c r="F99" s="29"/>
      <c r="G99" s="29"/>
      <c r="J99" s="29"/>
      <c r="O99" s="39"/>
    </row>
    <row r="100" spans="4:15">
      <c r="D100" s="50"/>
      <c r="E100" s="1"/>
      <c r="F100" s="1"/>
      <c r="G100" s="1"/>
      <c r="J100" s="1"/>
      <c r="O100" s="39"/>
    </row>
    <row r="101" spans="4:15">
      <c r="D101" s="50"/>
      <c r="E101" s="2" t="s">
        <v>75</v>
      </c>
      <c r="H101" s="2" t="str">
        <f>H103&amp;"円に特売（タイムサービス売価）設定"</f>
        <v>250円に特売（タイムサービス売価）設定</v>
      </c>
      <c r="K101" s="2" t="str">
        <f>K103&amp;"円に特売（タイムサービス売価）設定"</f>
        <v>300円に特売（タイムサービス売価）設定</v>
      </c>
      <c r="N101" s="2" t="str">
        <f>N103&amp;"円に特売（タイムサービス売価）設定"</f>
        <v>350円に特売（タイムサービス売価）設定</v>
      </c>
      <c r="O101" s="39"/>
    </row>
    <row r="102" spans="4:15">
      <c r="D102" s="50"/>
      <c r="E102" s="1"/>
      <c r="F102" s="1"/>
      <c r="G102" s="1"/>
      <c r="J102" s="1"/>
      <c r="O102" s="39"/>
    </row>
    <row r="103" spans="4:15" ht="18.75" customHeight="1">
      <c r="D103" s="51"/>
      <c r="E103" s="2" t="s">
        <v>112</v>
      </c>
      <c r="H103" s="2">
        <v>250</v>
      </c>
      <c r="K103" s="2">
        <v>300</v>
      </c>
      <c r="N103" s="2">
        <v>350</v>
      </c>
      <c r="O103" s="39"/>
    </row>
    <row r="104" spans="4:15" ht="18.75" customHeight="1">
      <c r="D104" s="51"/>
      <c r="O104" s="39"/>
    </row>
    <row r="105" spans="4:15" ht="18.75" customHeight="1">
      <c r="D105" s="51"/>
      <c r="O105" s="39"/>
    </row>
    <row r="106" spans="4:15" ht="13.5" customHeight="1">
      <c r="D106" s="51"/>
      <c r="G106" s="61" t="s">
        <v>79</v>
      </c>
      <c r="H106" s="48" t="s">
        <v>80</v>
      </c>
      <c r="J106" s="61" t="s">
        <v>79</v>
      </c>
      <c r="K106" s="66" t="s">
        <v>113</v>
      </c>
      <c r="M106" s="61" t="s">
        <v>79</v>
      </c>
      <c r="N106" s="70" t="s">
        <v>114</v>
      </c>
      <c r="O106" s="39"/>
    </row>
    <row r="107" spans="4:15">
      <c r="D107" s="51"/>
      <c r="G107" s="62"/>
      <c r="H107" s="58" t="s">
        <v>115</v>
      </c>
      <c r="J107" s="62"/>
      <c r="K107" s="67"/>
      <c r="L107" s="40"/>
      <c r="M107" s="75"/>
      <c r="N107" s="71"/>
      <c r="O107" s="39"/>
    </row>
    <row r="108" spans="4:15" ht="18.75" customHeight="1">
      <c r="D108" s="51"/>
      <c r="G108" s="62"/>
      <c r="H108" s="59"/>
      <c r="J108" s="62"/>
      <c r="K108" s="67"/>
      <c r="M108" s="75"/>
      <c r="N108" s="71"/>
      <c r="O108" s="39"/>
    </row>
    <row r="109" spans="4:15">
      <c r="D109" s="51"/>
      <c r="G109" s="62"/>
      <c r="H109" s="59"/>
      <c r="J109" s="62"/>
      <c r="K109" s="67"/>
      <c r="M109" s="75"/>
      <c r="N109" s="71"/>
      <c r="O109" s="39"/>
    </row>
    <row r="110" spans="4:15">
      <c r="D110" s="51"/>
      <c r="G110" s="62"/>
      <c r="H110" s="59"/>
      <c r="J110" s="62"/>
      <c r="K110" s="67"/>
      <c r="M110" s="75"/>
      <c r="N110" s="71"/>
      <c r="O110" s="39"/>
    </row>
    <row r="111" spans="4:15">
      <c r="D111" s="51"/>
      <c r="G111" s="63"/>
      <c r="H111" s="59"/>
      <c r="J111" s="63"/>
      <c r="K111" s="68"/>
      <c r="M111" s="76"/>
      <c r="N111" s="72"/>
      <c r="O111" s="39"/>
    </row>
    <row r="112" spans="4:15">
      <c r="D112" s="51"/>
      <c r="E112" s="40" t="s">
        <v>83</v>
      </c>
      <c r="F112" s="40"/>
      <c r="G112" s="40"/>
      <c r="H112" s="2">
        <v>50</v>
      </c>
      <c r="J112" s="40"/>
      <c r="K112" s="41">
        <v>0</v>
      </c>
      <c r="N112" s="41"/>
      <c r="O112" s="39"/>
    </row>
    <row r="113" spans="4:15">
      <c r="D113" s="51"/>
      <c r="E113" s="40" t="s">
        <v>84</v>
      </c>
      <c r="F113" s="40"/>
      <c r="G113" s="40"/>
      <c r="H113" s="2">
        <v>250</v>
      </c>
      <c r="J113" s="40"/>
      <c r="K113" s="2">
        <v>300</v>
      </c>
      <c r="N113" s="2">
        <v>300</v>
      </c>
      <c r="O113" s="39"/>
    </row>
    <row r="114" spans="4:15">
      <c r="D114" s="51"/>
      <c r="E114" s="40"/>
      <c r="F114" s="40"/>
      <c r="G114" s="40"/>
      <c r="J114" s="40"/>
      <c r="K114" s="47"/>
      <c r="N114" s="41"/>
      <c r="O114" s="39"/>
    </row>
    <row r="115" spans="4:15">
      <c r="D115" s="51"/>
      <c r="E115" s="40" t="s">
        <v>85</v>
      </c>
      <c r="F115" s="40"/>
      <c r="G115" s="40"/>
      <c r="J115" s="40"/>
      <c r="O115" s="39"/>
    </row>
    <row r="116" spans="4:15">
      <c r="D116" s="51"/>
      <c r="E116" s="42" t="s">
        <v>86</v>
      </c>
      <c r="F116" s="42"/>
      <c r="G116" s="42"/>
      <c r="H116" s="2">
        <v>91121</v>
      </c>
      <c r="J116" s="42"/>
      <c r="K116" s="2">
        <v>91121</v>
      </c>
      <c r="N116" s="64" t="s">
        <v>116</v>
      </c>
      <c r="O116" s="39"/>
    </row>
    <row r="117" spans="4:15">
      <c r="D117" s="51"/>
      <c r="E117" s="42" t="s">
        <v>87</v>
      </c>
      <c r="F117" s="42"/>
      <c r="G117" s="42"/>
      <c r="H117" s="2">
        <v>0</v>
      </c>
      <c r="J117" s="42"/>
      <c r="K117" s="2">
        <v>0</v>
      </c>
      <c r="N117" s="65"/>
      <c r="O117" s="39"/>
    </row>
    <row r="118" spans="4:15">
      <c r="D118" s="51"/>
      <c r="E118" s="42" t="s">
        <v>88</v>
      </c>
      <c r="F118" s="42"/>
      <c r="G118" s="42"/>
      <c r="H118" s="40" t="s">
        <v>117</v>
      </c>
      <c r="J118" s="42"/>
      <c r="K118" s="40" t="s">
        <v>117</v>
      </c>
      <c r="N118" s="65"/>
      <c r="O118" s="39"/>
    </row>
    <row r="119" spans="4:15" ht="27">
      <c r="D119" s="51"/>
      <c r="E119" s="40" t="s">
        <v>83</v>
      </c>
      <c r="F119" s="40"/>
      <c r="G119" s="40"/>
      <c r="H119" s="40" t="s">
        <v>118</v>
      </c>
      <c r="J119" s="40"/>
      <c r="K119" s="53" t="s">
        <v>119</v>
      </c>
      <c r="N119" s="65"/>
      <c r="O119" s="39"/>
    </row>
    <row r="120" spans="4:15">
      <c r="D120" s="51"/>
      <c r="E120" s="46" t="s">
        <v>120</v>
      </c>
      <c r="F120" s="46"/>
      <c r="G120" s="46"/>
      <c r="J120" s="46"/>
      <c r="O120" s="39"/>
    </row>
    <row r="121" spans="4:15" ht="14.25" thickBot="1">
      <c r="D121" s="52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5"/>
    </row>
    <row r="122" spans="4:15">
      <c r="D122" s="49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8"/>
    </row>
    <row r="123" spans="4:15">
      <c r="D123" s="50" t="s">
        <v>121</v>
      </c>
      <c r="E123" s="29" t="s">
        <v>122</v>
      </c>
      <c r="F123" s="29"/>
      <c r="G123" s="29"/>
      <c r="J123" s="29"/>
      <c r="O123" s="39"/>
    </row>
    <row r="124" spans="4:15">
      <c r="D124" s="50"/>
      <c r="E124" s="1"/>
      <c r="F124" s="1"/>
      <c r="G124" s="1"/>
      <c r="J124" s="1"/>
      <c r="O124" s="39"/>
    </row>
    <row r="125" spans="4:15">
      <c r="D125" s="50"/>
      <c r="E125" s="2" t="s">
        <v>75</v>
      </c>
      <c r="H125" s="2" t="str">
        <f>H127&amp;"%の特売（タイムサービス割引）"</f>
        <v>10%の特売（タイムサービス割引）</v>
      </c>
      <c r="O125" s="39"/>
    </row>
    <row r="126" spans="4:15">
      <c r="D126" s="50"/>
      <c r="E126" s="1"/>
      <c r="F126" s="1"/>
      <c r="G126" s="1"/>
      <c r="J126" s="1"/>
      <c r="O126" s="39"/>
    </row>
    <row r="127" spans="4:15" ht="18.75" customHeight="1">
      <c r="D127" s="51"/>
      <c r="E127" s="2" t="s">
        <v>123</v>
      </c>
      <c r="H127" s="2">
        <v>10</v>
      </c>
      <c r="O127" s="39"/>
    </row>
    <row r="128" spans="4:15" ht="18.75" customHeight="1">
      <c r="D128" s="51"/>
      <c r="O128" s="39"/>
    </row>
    <row r="129" spans="4:15" ht="18.75" customHeight="1">
      <c r="D129" s="51"/>
      <c r="O129" s="39"/>
    </row>
    <row r="130" spans="4:15" ht="13.5" customHeight="1">
      <c r="D130" s="51"/>
      <c r="G130" s="61" t="s">
        <v>79</v>
      </c>
      <c r="H130" s="48" t="s">
        <v>96</v>
      </c>
      <c r="O130" s="39"/>
    </row>
    <row r="131" spans="4:15">
      <c r="D131" s="51"/>
      <c r="G131" s="62"/>
      <c r="H131" s="58" t="s">
        <v>124</v>
      </c>
      <c r="O131" s="39"/>
    </row>
    <row r="132" spans="4:15" ht="18.75" customHeight="1">
      <c r="D132" s="51"/>
      <c r="G132" s="62"/>
      <c r="H132" s="59"/>
      <c r="O132" s="39"/>
    </row>
    <row r="133" spans="4:15">
      <c r="D133" s="51"/>
      <c r="G133" s="62"/>
      <c r="H133" s="59"/>
      <c r="O133" s="39"/>
    </row>
    <row r="134" spans="4:15">
      <c r="D134" s="51"/>
      <c r="G134" s="62"/>
      <c r="H134" s="59"/>
      <c r="O134" s="39"/>
    </row>
    <row r="135" spans="4:15">
      <c r="D135" s="51"/>
      <c r="G135" s="63"/>
      <c r="H135" s="59"/>
      <c r="O135" s="39"/>
    </row>
    <row r="136" spans="4:15">
      <c r="D136" s="51"/>
      <c r="E136" s="40" t="s">
        <v>83</v>
      </c>
      <c r="F136" s="40"/>
      <c r="G136" s="40"/>
      <c r="H136" s="2">
        <v>30</v>
      </c>
      <c r="J136" s="40"/>
      <c r="O136" s="39"/>
    </row>
    <row r="137" spans="4:15">
      <c r="D137" s="51"/>
      <c r="E137" s="40" t="s">
        <v>84</v>
      </c>
      <c r="F137" s="40"/>
      <c r="G137" s="40"/>
      <c r="H137" s="2">
        <v>270</v>
      </c>
      <c r="O137" s="39"/>
    </row>
    <row r="138" spans="4:15">
      <c r="D138" s="51"/>
      <c r="E138" s="40"/>
      <c r="F138" s="40"/>
      <c r="G138" s="40"/>
      <c r="J138" s="40"/>
      <c r="O138" s="39"/>
    </row>
    <row r="139" spans="4:15">
      <c r="D139" s="51"/>
      <c r="E139" s="40" t="s">
        <v>85</v>
      </c>
      <c r="F139" s="40"/>
      <c r="G139" s="40"/>
      <c r="J139" s="40"/>
      <c r="O139" s="39"/>
    </row>
    <row r="140" spans="4:15">
      <c r="D140" s="51"/>
      <c r="E140" s="42" t="s">
        <v>86</v>
      </c>
      <c r="F140" s="42"/>
      <c r="G140" s="42"/>
      <c r="H140" s="2">
        <v>91121</v>
      </c>
      <c r="J140" s="42"/>
      <c r="O140" s="39"/>
    </row>
    <row r="141" spans="4:15">
      <c r="D141" s="51"/>
      <c r="E141" s="42" t="s">
        <v>87</v>
      </c>
      <c r="F141" s="42"/>
      <c r="G141" s="42"/>
      <c r="H141" s="2">
        <v>0</v>
      </c>
      <c r="J141" s="42"/>
      <c r="O141" s="39"/>
    </row>
    <row r="142" spans="4:15">
      <c r="D142" s="51"/>
      <c r="E142" s="42" t="s">
        <v>88</v>
      </c>
      <c r="F142" s="42"/>
      <c r="G142" s="42"/>
      <c r="H142" s="40" t="s">
        <v>117</v>
      </c>
      <c r="J142" s="42"/>
      <c r="O142" s="39"/>
    </row>
    <row r="143" spans="4:15" ht="27">
      <c r="D143" s="51"/>
      <c r="E143" s="40" t="s">
        <v>83</v>
      </c>
      <c r="F143" s="40"/>
      <c r="G143" s="40"/>
      <c r="H143" s="40" t="s">
        <v>125</v>
      </c>
      <c r="J143" s="40"/>
      <c r="O143" s="39"/>
    </row>
    <row r="144" spans="4:15" ht="14.25" thickBot="1">
      <c r="D144" s="52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5"/>
    </row>
    <row r="145" spans="4:15">
      <c r="D145" s="49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8"/>
    </row>
    <row r="146" spans="4:15">
      <c r="D146" s="50" t="s">
        <v>126</v>
      </c>
      <c r="E146" s="29" t="s">
        <v>37</v>
      </c>
      <c r="F146" s="29"/>
      <c r="G146" s="29"/>
      <c r="J146" s="29"/>
      <c r="O146" s="39"/>
    </row>
    <row r="147" spans="4:15">
      <c r="D147" s="50"/>
      <c r="E147" s="1"/>
      <c r="F147" s="1"/>
      <c r="G147" s="1"/>
      <c r="J147" s="1"/>
      <c r="O147" s="39"/>
    </row>
    <row r="148" spans="4:15">
      <c r="D148" s="50"/>
      <c r="E148" s="2" t="s">
        <v>75</v>
      </c>
      <c r="H148" s="2" t="str">
        <f>H150&amp;"円に特売（期間売価）設定"</f>
        <v>250円に特売（期間売価）設定</v>
      </c>
      <c r="K148" s="2" t="str">
        <f>K150&amp;"円に特売（期間売価）設定"</f>
        <v>300円に特売（期間売価）設定</v>
      </c>
      <c r="N148" s="2" t="str">
        <f>N150&amp;"円に特売（期間売価）設定"</f>
        <v>350円に特売（期間売価）設定</v>
      </c>
      <c r="O148" s="39"/>
    </row>
    <row r="149" spans="4:15">
      <c r="D149" s="50"/>
      <c r="E149" s="1"/>
      <c r="F149" s="1"/>
      <c r="G149" s="1"/>
      <c r="J149" s="1"/>
      <c r="O149" s="39"/>
    </row>
    <row r="150" spans="4:15" ht="18.75" customHeight="1">
      <c r="D150" s="51"/>
      <c r="E150" s="2" t="s">
        <v>127</v>
      </c>
      <c r="H150" s="2">
        <v>250</v>
      </c>
      <c r="K150" s="2">
        <v>300</v>
      </c>
      <c r="N150" s="2">
        <v>350</v>
      </c>
      <c r="O150" s="39"/>
    </row>
    <row r="151" spans="4:15" ht="18.75" customHeight="1">
      <c r="D151" s="51"/>
      <c r="O151" s="39"/>
    </row>
    <row r="152" spans="4:15" ht="18.75" customHeight="1">
      <c r="D152" s="51"/>
      <c r="O152" s="39"/>
    </row>
    <row r="153" spans="4:15">
      <c r="D153" s="51"/>
      <c r="G153" s="61" t="s">
        <v>79</v>
      </c>
      <c r="H153" s="48" t="s">
        <v>80</v>
      </c>
      <c r="J153" s="61" t="s">
        <v>79</v>
      </c>
      <c r="K153" s="66" t="s">
        <v>128</v>
      </c>
      <c r="M153" s="61" t="s">
        <v>79</v>
      </c>
      <c r="N153" s="70" t="s">
        <v>129</v>
      </c>
      <c r="O153" s="39"/>
    </row>
    <row r="154" spans="4:15">
      <c r="D154" s="51"/>
      <c r="G154" s="62"/>
      <c r="H154" s="58" t="s">
        <v>130</v>
      </c>
      <c r="J154" s="62"/>
      <c r="K154" s="73"/>
      <c r="L154" s="40"/>
      <c r="M154" s="62"/>
      <c r="N154" s="77"/>
      <c r="O154" s="39"/>
    </row>
    <row r="155" spans="4:15" ht="18.75" customHeight="1">
      <c r="D155" s="51"/>
      <c r="G155" s="62"/>
      <c r="H155" s="59"/>
      <c r="J155" s="62"/>
      <c r="K155" s="73"/>
      <c r="M155" s="62"/>
      <c r="N155" s="77"/>
      <c r="O155" s="39"/>
    </row>
    <row r="156" spans="4:15">
      <c r="D156" s="51"/>
      <c r="G156" s="62"/>
      <c r="H156" s="59"/>
      <c r="J156" s="62"/>
      <c r="K156" s="73"/>
      <c r="M156" s="62"/>
      <c r="N156" s="77"/>
      <c r="O156" s="39"/>
    </row>
    <row r="157" spans="4:15">
      <c r="D157" s="51"/>
      <c r="G157" s="62"/>
      <c r="H157" s="59"/>
      <c r="J157" s="62"/>
      <c r="K157" s="73"/>
      <c r="M157" s="62"/>
      <c r="N157" s="77"/>
      <c r="O157" s="39"/>
    </row>
    <row r="158" spans="4:15">
      <c r="D158" s="51"/>
      <c r="G158" s="63"/>
      <c r="H158" s="59"/>
      <c r="J158" s="63"/>
      <c r="K158" s="74"/>
      <c r="M158" s="63"/>
      <c r="N158" s="78"/>
      <c r="O158" s="39"/>
    </row>
    <row r="159" spans="4:15">
      <c r="D159" s="51"/>
      <c r="E159" s="40" t="s">
        <v>83</v>
      </c>
      <c r="F159" s="40"/>
      <c r="G159" s="40"/>
      <c r="H159" s="2">
        <v>50</v>
      </c>
      <c r="J159" s="40"/>
      <c r="K159" s="41">
        <v>0</v>
      </c>
      <c r="N159" s="41"/>
      <c r="O159" s="39"/>
    </row>
    <row r="160" spans="4:15">
      <c r="D160" s="51"/>
      <c r="E160" s="40" t="s">
        <v>84</v>
      </c>
      <c r="F160" s="40"/>
      <c r="G160" s="40"/>
      <c r="H160" s="2">
        <v>250</v>
      </c>
      <c r="J160" s="40"/>
      <c r="K160" s="2">
        <v>300</v>
      </c>
      <c r="N160" s="2">
        <v>300</v>
      </c>
      <c r="O160" s="39"/>
    </row>
    <row r="161" spans="4:15">
      <c r="D161" s="51"/>
      <c r="E161" s="40"/>
      <c r="F161" s="40"/>
      <c r="G161" s="40"/>
      <c r="J161" s="40"/>
      <c r="K161" s="47"/>
      <c r="M161" s="41"/>
      <c r="N161" s="41"/>
      <c r="O161" s="39"/>
    </row>
    <row r="162" spans="4:15">
      <c r="D162" s="51"/>
      <c r="E162" s="40" t="s">
        <v>85</v>
      </c>
      <c r="F162" s="40"/>
      <c r="G162" s="40"/>
      <c r="J162" s="40"/>
      <c r="M162" s="41"/>
      <c r="O162" s="39"/>
    </row>
    <row r="163" spans="4:15">
      <c r="D163" s="51"/>
      <c r="E163" s="42" t="s">
        <v>86</v>
      </c>
      <c r="F163" s="42"/>
      <c r="G163" s="42"/>
      <c r="H163" s="2">
        <v>91141</v>
      </c>
      <c r="J163" s="42"/>
      <c r="K163" s="2">
        <v>91141</v>
      </c>
      <c r="M163" s="41"/>
      <c r="N163" s="64" t="s">
        <v>116</v>
      </c>
      <c r="O163" s="39"/>
    </row>
    <row r="164" spans="4:15">
      <c r="D164" s="51"/>
      <c r="E164" s="42" t="s">
        <v>87</v>
      </c>
      <c r="F164" s="42"/>
      <c r="G164" s="42"/>
      <c r="H164" s="2">
        <v>0</v>
      </c>
      <c r="J164" s="42"/>
      <c r="K164" s="2">
        <v>0</v>
      </c>
      <c r="M164" s="41"/>
      <c r="N164" s="65"/>
      <c r="O164" s="39"/>
    </row>
    <row r="165" spans="4:15">
      <c r="D165" s="51"/>
      <c r="E165" s="42" t="s">
        <v>88</v>
      </c>
      <c r="F165" s="42"/>
      <c r="G165" s="42"/>
      <c r="H165" s="40" t="s">
        <v>131</v>
      </c>
      <c r="J165" s="42"/>
      <c r="K165" s="40" t="s">
        <v>131</v>
      </c>
      <c r="M165" s="41"/>
      <c r="N165" s="65"/>
      <c r="O165" s="39"/>
    </row>
    <row r="166" spans="4:15" ht="27">
      <c r="D166" s="51"/>
      <c r="E166" s="40" t="s">
        <v>83</v>
      </c>
      <c r="F166" s="40"/>
      <c r="G166" s="40"/>
      <c r="H166" s="40" t="s">
        <v>132</v>
      </c>
      <c r="J166" s="40"/>
      <c r="K166" s="53" t="s">
        <v>133</v>
      </c>
      <c r="M166" s="41"/>
      <c r="N166" s="65"/>
      <c r="O166" s="39"/>
    </row>
    <row r="167" spans="4:15">
      <c r="D167" s="51"/>
      <c r="E167" s="46" t="s">
        <v>134</v>
      </c>
      <c r="F167" s="46"/>
      <c r="G167" s="46"/>
      <c r="J167" s="46"/>
      <c r="O167" s="39"/>
    </row>
    <row r="168" spans="4:15" ht="14.25" thickBot="1">
      <c r="D168" s="52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5"/>
    </row>
    <row r="169" spans="4:15">
      <c r="D169" s="49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8"/>
    </row>
    <row r="170" spans="4:15">
      <c r="D170" s="50" t="s">
        <v>135</v>
      </c>
      <c r="E170" s="29" t="s">
        <v>136</v>
      </c>
      <c r="F170" s="29"/>
      <c r="G170" s="29"/>
      <c r="J170" s="29"/>
      <c r="O170" s="39"/>
    </row>
    <row r="171" spans="4:15">
      <c r="D171" s="50"/>
      <c r="E171" s="1"/>
      <c r="F171" s="1"/>
      <c r="G171" s="1"/>
      <c r="J171" s="1"/>
      <c r="O171" s="39"/>
    </row>
    <row r="172" spans="4:15">
      <c r="D172" s="50"/>
      <c r="E172" s="2" t="s">
        <v>75</v>
      </c>
      <c r="H172" s="2" t="str">
        <f>H174&amp;"%の特売（期間割引）設定"</f>
        <v>10%の特売（期間割引）設定</v>
      </c>
      <c r="O172" s="39"/>
    </row>
    <row r="173" spans="4:15">
      <c r="D173" s="50"/>
      <c r="E173" s="1"/>
      <c r="F173" s="1"/>
      <c r="G173" s="1"/>
      <c r="J173" s="1"/>
      <c r="O173" s="39"/>
    </row>
    <row r="174" spans="4:15" ht="18.75" customHeight="1">
      <c r="D174" s="51"/>
      <c r="E174" s="2" t="s">
        <v>137</v>
      </c>
      <c r="H174" s="2">
        <v>10</v>
      </c>
      <c r="O174" s="39"/>
    </row>
    <row r="175" spans="4:15" ht="18.75" customHeight="1">
      <c r="D175" s="51"/>
      <c r="O175" s="39"/>
    </row>
    <row r="176" spans="4:15" ht="18.75" customHeight="1">
      <c r="D176" s="51"/>
      <c r="O176" s="39"/>
    </row>
    <row r="177" spans="4:15" ht="13.5" customHeight="1">
      <c r="D177" s="51"/>
      <c r="G177" s="61" t="s">
        <v>79</v>
      </c>
      <c r="H177" s="48" t="s">
        <v>96</v>
      </c>
      <c r="O177" s="39"/>
    </row>
    <row r="178" spans="4:15">
      <c r="D178" s="51"/>
      <c r="G178" s="62"/>
      <c r="H178" s="58" t="s">
        <v>138</v>
      </c>
      <c r="O178" s="39"/>
    </row>
    <row r="179" spans="4:15" ht="18.75" customHeight="1">
      <c r="D179" s="51"/>
      <c r="G179" s="62"/>
      <c r="H179" s="59"/>
      <c r="O179" s="39"/>
    </row>
    <row r="180" spans="4:15">
      <c r="D180" s="51"/>
      <c r="G180" s="62"/>
      <c r="H180" s="59"/>
      <c r="O180" s="39"/>
    </row>
    <row r="181" spans="4:15">
      <c r="D181" s="51"/>
      <c r="G181" s="62"/>
      <c r="H181" s="59"/>
      <c r="O181" s="39"/>
    </row>
    <row r="182" spans="4:15">
      <c r="D182" s="51"/>
      <c r="G182" s="63"/>
      <c r="H182" s="59"/>
      <c r="O182" s="39"/>
    </row>
    <row r="183" spans="4:15">
      <c r="D183" s="51"/>
      <c r="E183" s="40" t="s">
        <v>83</v>
      </c>
      <c r="F183" s="40"/>
      <c r="G183" s="40"/>
      <c r="H183" s="2">
        <v>30</v>
      </c>
      <c r="O183" s="39"/>
    </row>
    <row r="184" spans="4:15">
      <c r="D184" s="51"/>
      <c r="E184" s="40" t="s">
        <v>84</v>
      </c>
      <c r="F184" s="40"/>
      <c r="G184" s="40"/>
      <c r="H184" s="2">
        <v>270</v>
      </c>
      <c r="J184" s="40"/>
      <c r="O184" s="39"/>
    </row>
    <row r="185" spans="4:15">
      <c r="D185" s="51"/>
      <c r="E185" s="40"/>
      <c r="F185" s="40"/>
      <c r="G185" s="40"/>
      <c r="J185" s="40"/>
      <c r="O185" s="39"/>
    </row>
    <row r="186" spans="4:15">
      <c r="D186" s="51"/>
      <c r="E186" s="40" t="s">
        <v>85</v>
      </c>
      <c r="F186" s="40"/>
      <c r="G186" s="40"/>
      <c r="J186" s="40"/>
      <c r="O186" s="39"/>
    </row>
    <row r="187" spans="4:15">
      <c r="D187" s="51"/>
      <c r="E187" s="42" t="s">
        <v>86</v>
      </c>
      <c r="F187" s="42"/>
      <c r="G187" s="42"/>
      <c r="H187" s="2">
        <v>91121</v>
      </c>
      <c r="J187" s="42"/>
      <c r="O187" s="39"/>
    </row>
    <row r="188" spans="4:15">
      <c r="D188" s="51"/>
      <c r="E188" s="42" t="s">
        <v>87</v>
      </c>
      <c r="F188" s="42"/>
      <c r="G188" s="42"/>
      <c r="H188" s="2">
        <v>0</v>
      </c>
      <c r="J188" s="42"/>
      <c r="O188" s="39"/>
    </row>
    <row r="189" spans="4:15">
      <c r="D189" s="51"/>
      <c r="E189" s="42" t="s">
        <v>88</v>
      </c>
      <c r="F189" s="42"/>
      <c r="G189" s="42"/>
      <c r="H189" s="40" t="s">
        <v>131</v>
      </c>
      <c r="J189" s="42"/>
      <c r="O189" s="39"/>
    </row>
    <row r="190" spans="4:15" ht="27">
      <c r="D190" s="51"/>
      <c r="E190" s="40" t="s">
        <v>83</v>
      </c>
      <c r="F190" s="40"/>
      <c r="G190" s="40"/>
      <c r="H190" s="40" t="s">
        <v>139</v>
      </c>
      <c r="J190" s="40"/>
      <c r="O190" s="39"/>
    </row>
    <row r="191" spans="4:15" ht="14.25" thickBot="1">
      <c r="D191" s="52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5"/>
    </row>
    <row r="192" spans="4:15">
      <c r="D192" s="49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8"/>
    </row>
    <row r="193" spans="4:15">
      <c r="D193" s="50" t="s">
        <v>140</v>
      </c>
      <c r="E193" s="29" t="s">
        <v>141</v>
      </c>
      <c r="F193" s="29"/>
      <c r="G193" s="29"/>
      <c r="J193" s="29"/>
      <c r="O193" s="39"/>
    </row>
    <row r="194" spans="4:15">
      <c r="D194" s="50"/>
      <c r="E194" s="1"/>
      <c r="F194" s="1"/>
      <c r="G194" s="1"/>
      <c r="J194" s="1"/>
      <c r="O194" s="39"/>
    </row>
    <row r="195" spans="4:15">
      <c r="D195" s="50"/>
      <c r="E195" s="2" t="s">
        <v>75</v>
      </c>
      <c r="G195" s="1"/>
      <c r="H195" s="2" t="str">
        <f>"2個"&amp;H197&amp;"円にミックスマッチ設定"</f>
        <v>2個500円にミックスマッチ設定</v>
      </c>
      <c r="J195" s="1"/>
      <c r="K195" s="2" t="str">
        <f>"2個"&amp;K197&amp;"円にミックスマッチ設定"</f>
        <v>2個600円にミックスマッチ設定</v>
      </c>
      <c r="N195" s="2" t="str">
        <f>"2個"&amp;N197&amp;"円にミックスマッチ設定"</f>
        <v>2個700円にミックスマッチ設定</v>
      </c>
      <c r="O195" s="39"/>
    </row>
    <row r="196" spans="4:15">
      <c r="D196" s="50"/>
      <c r="E196" s="29"/>
      <c r="F196" s="29"/>
      <c r="G196" s="29"/>
      <c r="J196" s="29"/>
      <c r="O196" s="39"/>
    </row>
    <row r="197" spans="4:15" ht="18.75" customHeight="1">
      <c r="D197" s="51"/>
      <c r="E197" s="2" t="s">
        <v>142</v>
      </c>
      <c r="H197" s="2">
        <v>500</v>
      </c>
      <c r="K197" s="2">
        <v>600</v>
      </c>
      <c r="N197" s="2">
        <v>700</v>
      </c>
      <c r="O197" s="39"/>
    </row>
    <row r="198" spans="4:15" ht="18.75" customHeight="1">
      <c r="D198" s="51"/>
      <c r="O198" s="39"/>
    </row>
    <row r="199" spans="4:15" ht="13.5" customHeight="1">
      <c r="D199" s="51"/>
      <c r="G199" s="61" t="s">
        <v>79</v>
      </c>
      <c r="H199" s="48" t="s">
        <v>143</v>
      </c>
      <c r="J199" s="61" t="s">
        <v>79</v>
      </c>
      <c r="K199" s="70" t="s">
        <v>144</v>
      </c>
      <c r="M199" s="61" t="s">
        <v>79</v>
      </c>
      <c r="N199" s="70" t="s">
        <v>144</v>
      </c>
      <c r="O199" s="39"/>
    </row>
    <row r="200" spans="4:15">
      <c r="D200" s="51"/>
      <c r="G200" s="62"/>
      <c r="H200" s="58" t="s">
        <v>145</v>
      </c>
      <c r="J200" s="62"/>
      <c r="K200" s="71"/>
      <c r="L200" s="40"/>
      <c r="M200" s="62"/>
      <c r="N200" s="71"/>
      <c r="O200" s="39"/>
    </row>
    <row r="201" spans="4:15" ht="18.75" customHeight="1">
      <c r="D201" s="51"/>
      <c r="G201" s="62"/>
      <c r="H201" s="59"/>
      <c r="J201" s="62"/>
      <c r="K201" s="71"/>
      <c r="M201" s="62"/>
      <c r="N201" s="71"/>
      <c r="O201" s="39"/>
    </row>
    <row r="202" spans="4:15">
      <c r="D202" s="51"/>
      <c r="G202" s="62"/>
      <c r="H202" s="59"/>
      <c r="J202" s="62"/>
      <c r="K202" s="71"/>
      <c r="M202" s="62"/>
      <c r="N202" s="71"/>
      <c r="O202" s="39"/>
    </row>
    <row r="203" spans="4:15">
      <c r="D203" s="51"/>
      <c r="G203" s="62"/>
      <c r="H203" s="59"/>
      <c r="J203" s="62"/>
      <c r="K203" s="71"/>
      <c r="M203" s="62"/>
      <c r="N203" s="71"/>
      <c r="O203" s="39"/>
    </row>
    <row r="204" spans="4:15">
      <c r="D204" s="51"/>
      <c r="G204" s="63"/>
      <c r="H204" s="59"/>
      <c r="J204" s="63"/>
      <c r="K204" s="72"/>
      <c r="M204" s="63"/>
      <c r="N204" s="72"/>
      <c r="O204" s="39"/>
    </row>
    <row r="205" spans="4:15">
      <c r="D205" s="51"/>
      <c r="E205" s="40" t="s">
        <v>83</v>
      </c>
      <c r="F205" s="40"/>
      <c r="G205" s="40"/>
      <c r="H205" s="2">
        <v>100</v>
      </c>
      <c r="J205" s="40"/>
      <c r="K205" s="41">
        <v>0</v>
      </c>
      <c r="N205" s="41">
        <v>0</v>
      </c>
      <c r="O205" s="39"/>
    </row>
    <row r="206" spans="4:15">
      <c r="D206" s="51"/>
      <c r="E206" s="40" t="s">
        <v>84</v>
      </c>
      <c r="F206" s="40"/>
      <c r="G206" s="40"/>
      <c r="H206" s="2">
        <v>500</v>
      </c>
      <c r="J206" s="40"/>
      <c r="K206" s="2">
        <v>600</v>
      </c>
      <c r="N206" s="2">
        <v>600</v>
      </c>
      <c r="O206" s="39"/>
    </row>
    <row r="207" spans="4:15">
      <c r="D207" s="51"/>
      <c r="E207" s="40"/>
      <c r="F207" s="40"/>
      <c r="G207" s="40"/>
      <c r="J207" s="40"/>
      <c r="K207" s="41"/>
      <c r="N207" s="41"/>
      <c r="O207" s="39"/>
    </row>
    <row r="208" spans="4:15">
      <c r="D208" s="51"/>
      <c r="E208" s="40" t="s">
        <v>85</v>
      </c>
      <c r="F208" s="40"/>
      <c r="G208" s="40"/>
      <c r="J208" s="40"/>
      <c r="O208" s="39"/>
    </row>
    <row r="209" spans="4:15">
      <c r="D209" s="51"/>
      <c r="E209" s="42" t="s">
        <v>86</v>
      </c>
      <c r="F209" s="42"/>
      <c r="G209" s="42"/>
      <c r="H209" s="2">
        <v>91316</v>
      </c>
      <c r="J209" s="42"/>
      <c r="K209" s="64" t="s">
        <v>146</v>
      </c>
      <c r="N209" s="64" t="s">
        <v>146</v>
      </c>
      <c r="O209" s="39"/>
    </row>
    <row r="210" spans="4:15">
      <c r="D210" s="51"/>
      <c r="E210" s="42" t="s">
        <v>87</v>
      </c>
      <c r="F210" s="42"/>
      <c r="G210" s="42"/>
      <c r="H210" s="2">
        <v>1</v>
      </c>
      <c r="J210" s="42"/>
      <c r="K210" s="65"/>
      <c r="N210" s="65"/>
      <c r="O210" s="39"/>
    </row>
    <row r="211" spans="4:15">
      <c r="D211" s="51"/>
      <c r="E211" s="42" t="s">
        <v>88</v>
      </c>
      <c r="F211" s="42"/>
      <c r="G211" s="42"/>
      <c r="H211" s="40" t="s">
        <v>147</v>
      </c>
      <c r="J211" s="42"/>
      <c r="K211" s="65"/>
      <c r="N211" s="65"/>
      <c r="O211" s="39"/>
    </row>
    <row r="212" spans="4:15" ht="27">
      <c r="D212" s="51"/>
      <c r="E212" s="40" t="s">
        <v>83</v>
      </c>
      <c r="F212" s="40"/>
      <c r="G212" s="40"/>
      <c r="H212" s="40" t="s">
        <v>148</v>
      </c>
      <c r="J212" s="40"/>
      <c r="K212" s="65"/>
      <c r="N212" s="65"/>
      <c r="O212" s="39"/>
    </row>
    <row r="213" spans="4:15">
      <c r="D213" s="51"/>
      <c r="E213" s="46" t="s">
        <v>149</v>
      </c>
      <c r="F213" s="46"/>
      <c r="G213" s="40"/>
      <c r="H213" s="40"/>
      <c r="J213" s="40"/>
      <c r="O213" s="39"/>
    </row>
    <row r="214" spans="4:15" ht="14.25" thickBot="1">
      <c r="D214" s="52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5"/>
    </row>
    <row r="215" spans="4:15">
      <c r="D215" s="49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8"/>
    </row>
    <row r="216" spans="4:15">
      <c r="D216" s="50" t="s">
        <v>150</v>
      </c>
      <c r="E216" s="29" t="s">
        <v>151</v>
      </c>
      <c r="F216" s="29"/>
      <c r="G216" s="29"/>
      <c r="J216" s="29"/>
      <c r="O216" s="39"/>
    </row>
    <row r="217" spans="4:15">
      <c r="D217" s="50"/>
      <c r="E217" s="1"/>
      <c r="F217" s="1"/>
      <c r="G217" s="1"/>
      <c r="J217" s="1"/>
      <c r="O217" s="39"/>
    </row>
    <row r="218" spans="4:15">
      <c r="D218" s="50"/>
      <c r="E218" s="2" t="s">
        <v>75</v>
      </c>
      <c r="H218" s="2" t="str">
        <f>H220&amp;"円の値引シール【1:値引】"</f>
        <v>30円の値引シール【1:値引】</v>
      </c>
      <c r="O218" s="39"/>
    </row>
    <row r="219" spans="4:15">
      <c r="D219" s="50"/>
      <c r="E219" s="1"/>
      <c r="F219" s="1"/>
      <c r="G219" s="1"/>
      <c r="J219" s="1"/>
      <c r="O219" s="39"/>
    </row>
    <row r="220" spans="4:15" ht="18.75" customHeight="1">
      <c r="D220" s="51"/>
      <c r="E220" s="2" t="s">
        <v>47</v>
      </c>
      <c r="H220" s="2">
        <v>30</v>
      </c>
      <c r="O220" s="39"/>
    </row>
    <row r="221" spans="4:15" ht="18.75" customHeight="1">
      <c r="D221" s="51"/>
      <c r="O221" s="39"/>
    </row>
    <row r="222" spans="4:15" ht="18.75" customHeight="1">
      <c r="D222" s="51"/>
      <c r="O222" s="39"/>
    </row>
    <row r="223" spans="4:15" ht="13.5" customHeight="1">
      <c r="D223" s="51"/>
      <c r="G223" s="61" t="s">
        <v>79</v>
      </c>
      <c r="H223" s="48" t="s">
        <v>96</v>
      </c>
      <c r="O223" s="39"/>
    </row>
    <row r="224" spans="4:15">
      <c r="D224" s="51"/>
      <c r="G224" s="62"/>
      <c r="H224" s="58" t="s">
        <v>97</v>
      </c>
      <c r="O224" s="39"/>
    </row>
    <row r="225" spans="4:15" ht="18.75" customHeight="1">
      <c r="D225" s="51"/>
      <c r="G225" s="62"/>
      <c r="H225" s="59"/>
      <c r="O225" s="39"/>
    </row>
    <row r="226" spans="4:15">
      <c r="D226" s="51"/>
      <c r="G226" s="62"/>
      <c r="H226" s="59"/>
      <c r="O226" s="39"/>
    </row>
    <row r="227" spans="4:15">
      <c r="D227" s="51"/>
      <c r="G227" s="62"/>
      <c r="H227" s="59"/>
      <c r="O227" s="39"/>
    </row>
    <row r="228" spans="4:15">
      <c r="D228" s="51"/>
      <c r="G228" s="63"/>
      <c r="H228" s="59"/>
      <c r="O228" s="39"/>
    </row>
    <row r="229" spans="4:15">
      <c r="D229" s="51"/>
      <c r="E229" s="40" t="s">
        <v>83</v>
      </c>
      <c r="F229" s="40"/>
      <c r="G229" s="40"/>
      <c r="H229" s="2">
        <v>30</v>
      </c>
      <c r="O229" s="39"/>
    </row>
    <row r="230" spans="4:15">
      <c r="D230" s="51"/>
      <c r="E230" s="40" t="s">
        <v>84</v>
      </c>
      <c r="F230" s="40"/>
      <c r="G230" s="40"/>
      <c r="H230" s="2">
        <v>270</v>
      </c>
      <c r="O230" s="39"/>
    </row>
    <row r="231" spans="4:15">
      <c r="D231" s="51"/>
      <c r="E231" s="40"/>
      <c r="F231" s="40"/>
      <c r="G231" s="40"/>
      <c r="J231" s="40"/>
      <c r="O231" s="39"/>
    </row>
    <row r="232" spans="4:15">
      <c r="D232" s="51"/>
      <c r="E232" s="40" t="s">
        <v>85</v>
      </c>
      <c r="F232" s="40"/>
      <c r="G232" s="40"/>
      <c r="J232" s="40"/>
      <c r="O232" s="39"/>
    </row>
    <row r="233" spans="4:15">
      <c r="D233" s="51"/>
      <c r="E233" s="42" t="s">
        <v>86</v>
      </c>
      <c r="F233" s="42"/>
      <c r="G233" s="42"/>
      <c r="H233" s="2">
        <v>91220</v>
      </c>
      <c r="J233" s="42"/>
      <c r="O233" s="39"/>
    </row>
    <row r="234" spans="4:15">
      <c r="D234" s="51"/>
      <c r="E234" s="42" t="s">
        <v>87</v>
      </c>
      <c r="F234" s="42"/>
      <c r="G234" s="42"/>
      <c r="H234" s="2">
        <v>1</v>
      </c>
      <c r="J234" s="42"/>
      <c r="O234" s="39"/>
    </row>
    <row r="235" spans="4:15">
      <c r="D235" s="51"/>
      <c r="E235" s="42" t="s">
        <v>88</v>
      </c>
      <c r="F235" s="42"/>
      <c r="G235" s="42"/>
      <c r="H235" s="40" t="s">
        <v>95</v>
      </c>
      <c r="J235" s="42"/>
      <c r="O235" s="39"/>
    </row>
    <row r="236" spans="4:15" ht="27">
      <c r="D236" s="51"/>
      <c r="E236" s="40" t="s">
        <v>83</v>
      </c>
      <c r="F236" s="40"/>
      <c r="G236" s="40"/>
      <c r="H236" s="40" t="s">
        <v>98</v>
      </c>
      <c r="J236" s="40"/>
      <c r="O236" s="39"/>
    </row>
    <row r="237" spans="4:15">
      <c r="D237" s="51"/>
      <c r="E237" s="40"/>
      <c r="F237" s="40"/>
      <c r="G237" s="40"/>
      <c r="H237" s="40"/>
      <c r="J237" s="40"/>
      <c r="O237" s="39"/>
    </row>
    <row r="238" spans="4:15" ht="14.25" thickBot="1">
      <c r="D238" s="52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5"/>
    </row>
    <row r="239" spans="4:15">
      <c r="D239" s="49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8"/>
    </row>
    <row r="240" spans="4:15">
      <c r="D240" s="50" t="s">
        <v>152</v>
      </c>
      <c r="E240" s="29" t="s">
        <v>153</v>
      </c>
      <c r="F240" s="29"/>
      <c r="G240" s="29"/>
      <c r="J240" s="29"/>
      <c r="O240" s="39"/>
    </row>
    <row r="241" spans="4:15">
      <c r="D241" s="50"/>
      <c r="E241" s="1"/>
      <c r="F241" s="1"/>
      <c r="G241" s="1"/>
      <c r="J241" s="1"/>
      <c r="O241" s="39"/>
    </row>
    <row r="242" spans="4:15">
      <c r="D242" s="50"/>
      <c r="E242" s="2" t="s">
        <v>75</v>
      </c>
      <c r="H242" s="2" t="str">
        <f>H244&amp;"％の値引シール【2:割引】"</f>
        <v>10％の値引シール【2:割引】</v>
      </c>
      <c r="O242" s="39"/>
    </row>
    <row r="243" spans="4:15">
      <c r="D243" s="50"/>
      <c r="E243" s="1"/>
      <c r="F243" s="1"/>
      <c r="G243" s="1"/>
      <c r="J243" s="1"/>
      <c r="O243" s="39"/>
    </row>
    <row r="244" spans="4:15" ht="18.75" customHeight="1">
      <c r="D244" s="51"/>
      <c r="E244" s="2" t="s">
        <v>50</v>
      </c>
      <c r="H244" s="2">
        <v>10</v>
      </c>
      <c r="O244" s="39"/>
    </row>
    <row r="245" spans="4:15" ht="18.75" customHeight="1">
      <c r="D245" s="51"/>
      <c r="O245" s="39"/>
    </row>
    <row r="246" spans="4:15" ht="18.75" customHeight="1">
      <c r="D246" s="51"/>
      <c r="O246" s="39"/>
    </row>
    <row r="247" spans="4:15" ht="13.5" customHeight="1">
      <c r="D247" s="51"/>
      <c r="G247" s="61" t="s">
        <v>79</v>
      </c>
      <c r="H247" s="48" t="s">
        <v>96</v>
      </c>
      <c r="O247" s="39"/>
    </row>
    <row r="248" spans="4:15">
      <c r="D248" s="51"/>
      <c r="G248" s="62"/>
      <c r="H248" s="58" t="s">
        <v>97</v>
      </c>
      <c r="O248" s="39"/>
    </row>
    <row r="249" spans="4:15" ht="18.75" customHeight="1">
      <c r="D249" s="51"/>
      <c r="G249" s="62"/>
      <c r="H249" s="59"/>
      <c r="O249" s="39"/>
    </row>
    <row r="250" spans="4:15">
      <c r="D250" s="51"/>
      <c r="G250" s="62"/>
      <c r="H250" s="59"/>
      <c r="O250" s="39"/>
    </row>
    <row r="251" spans="4:15">
      <c r="D251" s="51"/>
      <c r="G251" s="62"/>
      <c r="H251" s="59"/>
      <c r="O251" s="39"/>
    </row>
    <row r="252" spans="4:15">
      <c r="D252" s="51"/>
      <c r="G252" s="63"/>
      <c r="H252" s="59"/>
      <c r="O252" s="39"/>
    </row>
    <row r="253" spans="4:15">
      <c r="D253" s="51"/>
      <c r="E253" s="40" t="s">
        <v>83</v>
      </c>
      <c r="F253" s="40"/>
      <c r="G253" s="40"/>
      <c r="H253" s="2">
        <v>30</v>
      </c>
      <c r="O253" s="39"/>
    </row>
    <row r="254" spans="4:15">
      <c r="D254" s="51"/>
      <c r="E254" s="40" t="s">
        <v>84</v>
      </c>
      <c r="F254" s="40"/>
      <c r="G254" s="40"/>
      <c r="H254" s="2">
        <v>270</v>
      </c>
      <c r="O254" s="39"/>
    </row>
    <row r="255" spans="4:15">
      <c r="D255" s="51"/>
      <c r="E255" s="40"/>
      <c r="F255" s="40"/>
      <c r="G255" s="40"/>
      <c r="J255" s="40"/>
      <c r="O255" s="39"/>
    </row>
    <row r="256" spans="4:15">
      <c r="D256" s="51"/>
      <c r="E256" s="40" t="s">
        <v>85</v>
      </c>
      <c r="F256" s="40"/>
      <c r="G256" s="40"/>
      <c r="J256" s="40"/>
      <c r="O256" s="39"/>
    </row>
    <row r="257" spans="4:15">
      <c r="D257" s="51"/>
      <c r="E257" s="42" t="s">
        <v>86</v>
      </c>
      <c r="F257" s="42"/>
      <c r="G257" s="42"/>
      <c r="H257" s="2">
        <v>91220</v>
      </c>
      <c r="J257" s="42"/>
      <c r="O257" s="39"/>
    </row>
    <row r="258" spans="4:15">
      <c r="D258" s="51"/>
      <c r="E258" s="42" t="s">
        <v>87</v>
      </c>
      <c r="F258" s="42"/>
      <c r="G258" s="42"/>
      <c r="H258" s="2">
        <v>2</v>
      </c>
      <c r="J258" s="42"/>
      <c r="O258" s="39"/>
    </row>
    <row r="259" spans="4:15">
      <c r="D259" s="51"/>
      <c r="E259" s="42" t="s">
        <v>88</v>
      </c>
      <c r="F259" s="42"/>
      <c r="G259" s="42"/>
      <c r="H259" s="40" t="s">
        <v>21</v>
      </c>
      <c r="J259" s="42"/>
      <c r="O259" s="39"/>
    </row>
    <row r="260" spans="4:15" ht="27">
      <c r="D260" s="51"/>
      <c r="E260" s="40" t="s">
        <v>83</v>
      </c>
      <c r="F260" s="40"/>
      <c r="G260" s="40"/>
      <c r="H260" s="40" t="s">
        <v>154</v>
      </c>
      <c r="J260" s="40"/>
      <c r="O260" s="39"/>
    </row>
    <row r="261" spans="4:15" ht="14.25" thickBot="1">
      <c r="D261" s="52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5"/>
    </row>
    <row r="262" spans="4:15">
      <c r="D262" s="49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8"/>
    </row>
    <row r="263" spans="4:15">
      <c r="D263" s="50" t="s">
        <v>155</v>
      </c>
      <c r="E263" s="29" t="s">
        <v>156</v>
      </c>
      <c r="F263" s="29"/>
      <c r="G263" s="29"/>
      <c r="J263" s="29"/>
      <c r="O263" s="39"/>
    </row>
    <row r="264" spans="4:15">
      <c r="D264" s="50"/>
      <c r="E264" s="29"/>
      <c r="F264" s="29"/>
      <c r="G264" s="29"/>
      <c r="J264" s="29"/>
      <c r="O264" s="39"/>
    </row>
    <row r="265" spans="4:15">
      <c r="D265" s="50"/>
      <c r="E265" s="2" t="s">
        <v>75</v>
      </c>
      <c r="H265" s="2" t="str">
        <f>H268&amp;"円に値引シール【3:金額】"</f>
        <v>250円に値引シール【3:金額】</v>
      </c>
      <c r="K265" s="2" t="str">
        <f>K268&amp;"円に値引シール【3:金額】"</f>
        <v>300円に値引シール【3:金額】</v>
      </c>
      <c r="N265" s="2" t="str">
        <f>N268&amp;"円に値引シール【3:金額】"</f>
        <v>350円に値引シール【3:金額】</v>
      </c>
      <c r="O265" s="39"/>
    </row>
    <row r="266" spans="4:15">
      <c r="D266" s="50"/>
      <c r="E266" s="1"/>
      <c r="F266" s="1"/>
      <c r="G266" s="1"/>
      <c r="H266" s="2" t="s">
        <v>157</v>
      </c>
      <c r="J266" s="1"/>
      <c r="K266" s="2" t="s">
        <v>158</v>
      </c>
      <c r="N266" s="2" t="s">
        <v>159</v>
      </c>
      <c r="O266" s="39"/>
    </row>
    <row r="267" spans="4:15">
      <c r="D267" s="50"/>
      <c r="E267" s="35"/>
      <c r="F267" s="35"/>
      <c r="G267" s="35"/>
      <c r="J267" s="35"/>
      <c r="O267" s="39"/>
    </row>
    <row r="268" spans="4:15" ht="18.75" customHeight="1">
      <c r="D268" s="51"/>
      <c r="E268" s="2" t="s">
        <v>160</v>
      </c>
      <c r="H268" s="2">
        <v>250</v>
      </c>
      <c r="K268" s="2">
        <v>300</v>
      </c>
      <c r="N268" s="2">
        <v>350</v>
      </c>
      <c r="O268" s="39"/>
    </row>
    <row r="269" spans="4:15" ht="18.75" customHeight="1">
      <c r="D269" s="51"/>
      <c r="O269" s="39"/>
    </row>
    <row r="270" spans="4:15" ht="18.75" customHeight="1">
      <c r="D270" s="51"/>
      <c r="N270" s="58" t="s">
        <v>161</v>
      </c>
      <c r="O270" s="39"/>
    </row>
    <row r="271" spans="4:15" ht="13.5" customHeight="1">
      <c r="D271" s="51"/>
      <c r="G271" s="61" t="s">
        <v>79</v>
      </c>
      <c r="H271" s="48" t="s">
        <v>80</v>
      </c>
      <c r="J271" s="61" t="s">
        <v>79</v>
      </c>
      <c r="K271" s="66" t="s">
        <v>162</v>
      </c>
      <c r="M271" s="61" t="s">
        <v>79</v>
      </c>
      <c r="N271" s="65"/>
      <c r="O271" s="39"/>
    </row>
    <row r="272" spans="4:15">
      <c r="D272" s="51"/>
      <c r="G272" s="62"/>
      <c r="H272" s="58" t="s">
        <v>163</v>
      </c>
      <c r="J272" s="62"/>
      <c r="K272" s="79"/>
      <c r="L272" s="40"/>
      <c r="M272" s="62"/>
      <c r="N272" s="65"/>
      <c r="O272" s="39"/>
    </row>
    <row r="273" spans="4:15" ht="18.75" customHeight="1">
      <c r="D273" s="51"/>
      <c r="G273" s="62"/>
      <c r="H273" s="59"/>
      <c r="J273" s="62"/>
      <c r="K273" s="79"/>
      <c r="M273" s="62"/>
      <c r="N273" s="65"/>
      <c r="O273" s="39"/>
    </row>
    <row r="274" spans="4:15">
      <c r="D274" s="51"/>
      <c r="G274" s="62"/>
      <c r="H274" s="59"/>
      <c r="J274" s="62"/>
      <c r="K274" s="79"/>
      <c r="M274" s="62"/>
      <c r="N274" s="65"/>
      <c r="O274" s="39"/>
    </row>
    <row r="275" spans="4:15">
      <c r="D275" s="51"/>
      <c r="G275" s="62"/>
      <c r="H275" s="59"/>
      <c r="J275" s="62"/>
      <c r="K275" s="79"/>
      <c r="M275" s="62"/>
      <c r="N275" s="65"/>
      <c r="O275" s="39"/>
    </row>
    <row r="276" spans="4:15">
      <c r="D276" s="51"/>
      <c r="G276" s="63"/>
      <c r="H276" s="59"/>
      <c r="J276" s="63"/>
      <c r="K276" s="80"/>
      <c r="M276" s="63"/>
      <c r="N276" s="65"/>
      <c r="O276" s="39"/>
    </row>
    <row r="277" spans="4:15">
      <c r="D277" s="51"/>
      <c r="E277" s="40" t="s">
        <v>83</v>
      </c>
      <c r="F277" s="40"/>
      <c r="G277" s="40"/>
      <c r="H277" s="2">
        <v>50</v>
      </c>
      <c r="J277" s="40"/>
      <c r="K277" s="41"/>
      <c r="L277" s="41"/>
      <c r="N277" s="41"/>
      <c r="O277" s="39"/>
    </row>
    <row r="278" spans="4:15">
      <c r="D278" s="51"/>
      <c r="E278" s="40" t="s">
        <v>84</v>
      </c>
      <c r="F278" s="40"/>
      <c r="G278" s="40"/>
      <c r="H278" s="2">
        <v>250</v>
      </c>
      <c r="J278" s="40"/>
      <c r="K278" s="2">
        <v>300</v>
      </c>
      <c r="N278" s="2">
        <v>350</v>
      </c>
      <c r="O278" s="39"/>
    </row>
    <row r="279" spans="4:15">
      <c r="D279" s="51"/>
      <c r="E279" s="40"/>
      <c r="F279" s="40"/>
      <c r="G279" s="40"/>
      <c r="J279" s="40"/>
      <c r="O279" s="39"/>
    </row>
    <row r="280" spans="4:15">
      <c r="D280" s="51"/>
      <c r="E280" s="40" t="s">
        <v>85</v>
      </c>
      <c r="F280" s="40"/>
      <c r="G280" s="40"/>
      <c r="J280" s="40"/>
      <c r="O280" s="39"/>
    </row>
    <row r="281" spans="4:15">
      <c r="D281" s="51"/>
      <c r="E281" s="42" t="s">
        <v>86</v>
      </c>
      <c r="F281" s="42"/>
      <c r="G281" s="42"/>
      <c r="H281" s="2">
        <v>91220</v>
      </c>
      <c r="J281" s="42"/>
      <c r="K281" s="65" t="s">
        <v>107</v>
      </c>
      <c r="N281" s="65" t="s">
        <v>107</v>
      </c>
      <c r="O281" s="39"/>
    </row>
    <row r="282" spans="4:15">
      <c r="D282" s="51"/>
      <c r="E282" s="42" t="s">
        <v>87</v>
      </c>
      <c r="F282" s="42"/>
      <c r="G282" s="42"/>
      <c r="H282" s="2">
        <v>1</v>
      </c>
      <c r="J282" s="42"/>
      <c r="K282" s="65"/>
      <c r="N282" s="65"/>
      <c r="O282" s="39"/>
    </row>
    <row r="283" spans="4:15">
      <c r="D283" s="51"/>
      <c r="E283" s="42" t="s">
        <v>88</v>
      </c>
      <c r="F283" s="42"/>
      <c r="G283" s="42"/>
      <c r="H283" s="40" t="s">
        <v>95</v>
      </c>
      <c r="J283" s="42"/>
      <c r="K283" s="65"/>
      <c r="N283" s="65"/>
      <c r="O283" s="39"/>
    </row>
    <row r="284" spans="4:15" ht="27">
      <c r="D284" s="51"/>
      <c r="E284" s="40" t="s">
        <v>83</v>
      </c>
      <c r="F284" s="40"/>
      <c r="G284" s="40"/>
      <c r="H284" s="40" t="s">
        <v>164</v>
      </c>
      <c r="J284" s="40"/>
      <c r="K284" s="65"/>
      <c r="N284" s="65"/>
      <c r="O284" s="39"/>
    </row>
    <row r="285" spans="4:15">
      <c r="D285" s="51"/>
      <c r="E285" s="46" t="s">
        <v>165</v>
      </c>
      <c r="F285" s="46"/>
      <c r="G285" s="46"/>
      <c r="J285" s="46"/>
      <c r="O285" s="39"/>
    </row>
    <row r="286" spans="4:15">
      <c r="D286" s="51"/>
      <c r="E286" s="43" t="s">
        <v>166</v>
      </c>
      <c r="F286" s="43"/>
      <c r="G286" s="46"/>
      <c r="J286" s="46"/>
      <c r="O286" s="39"/>
    </row>
    <row r="287" spans="4:15" ht="14.25" thickBot="1">
      <c r="D287" s="52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5"/>
    </row>
    <row r="288" spans="4:15">
      <c r="D288" s="49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8"/>
    </row>
    <row r="289" spans="4:15">
      <c r="D289" s="50" t="s">
        <v>167</v>
      </c>
      <c r="E289" s="29" t="s">
        <v>57</v>
      </c>
      <c r="F289" s="29"/>
      <c r="G289" s="29"/>
      <c r="J289" s="29"/>
      <c r="O289" s="39"/>
    </row>
    <row r="290" spans="4:15">
      <c r="D290" s="50"/>
      <c r="E290" s="1"/>
      <c r="F290" s="1"/>
      <c r="G290" s="1"/>
      <c r="J290" s="1"/>
      <c r="O290" s="39"/>
    </row>
    <row r="291" spans="4:15">
      <c r="D291" s="50"/>
      <c r="E291" s="2" t="s">
        <v>75</v>
      </c>
      <c r="H291" s="2" t="str">
        <f>H293&amp;"円のカテゴリ値引"</f>
        <v>30円のカテゴリ値引</v>
      </c>
      <c r="O291" s="39"/>
    </row>
    <row r="292" spans="4:15">
      <c r="D292" s="50"/>
      <c r="E292" s="1"/>
      <c r="F292" s="1"/>
      <c r="G292" s="1"/>
      <c r="J292" s="1"/>
      <c r="O292" s="39"/>
    </row>
    <row r="293" spans="4:15" ht="18.75" customHeight="1">
      <c r="D293" s="51"/>
      <c r="E293" s="2" t="s">
        <v>56</v>
      </c>
      <c r="H293" s="2">
        <v>30</v>
      </c>
      <c r="O293" s="39"/>
    </row>
    <row r="294" spans="4:15" ht="18.75" customHeight="1">
      <c r="D294" s="51"/>
      <c r="O294" s="39"/>
    </row>
    <row r="295" spans="4:15" ht="18.75" customHeight="1">
      <c r="D295" s="51"/>
      <c r="O295" s="39"/>
    </row>
    <row r="296" spans="4:15" ht="13.5" customHeight="1">
      <c r="D296" s="51"/>
      <c r="G296" s="61" t="s">
        <v>79</v>
      </c>
      <c r="H296" s="48" t="s">
        <v>96</v>
      </c>
      <c r="O296" s="39"/>
    </row>
    <row r="297" spans="4:15">
      <c r="D297" s="51"/>
      <c r="G297" s="62"/>
      <c r="H297" s="58" t="s">
        <v>97</v>
      </c>
      <c r="O297" s="39"/>
    </row>
    <row r="298" spans="4:15" ht="18.75" customHeight="1">
      <c r="D298" s="51"/>
      <c r="G298" s="62"/>
      <c r="H298" s="59"/>
      <c r="O298" s="39"/>
    </row>
    <row r="299" spans="4:15">
      <c r="D299" s="51"/>
      <c r="G299" s="62"/>
      <c r="H299" s="59"/>
      <c r="O299" s="39"/>
    </row>
    <row r="300" spans="4:15">
      <c r="D300" s="51"/>
      <c r="G300" s="62"/>
      <c r="H300" s="59"/>
      <c r="O300" s="39"/>
    </row>
    <row r="301" spans="4:15">
      <c r="D301" s="51"/>
      <c r="G301" s="63"/>
      <c r="H301" s="59"/>
      <c r="O301" s="39"/>
    </row>
    <row r="302" spans="4:15">
      <c r="D302" s="51"/>
      <c r="E302" s="40" t="s">
        <v>83</v>
      </c>
      <c r="F302" s="40"/>
      <c r="G302" s="40"/>
      <c r="H302" s="2">
        <v>30</v>
      </c>
      <c r="O302" s="39"/>
    </row>
    <row r="303" spans="4:15">
      <c r="D303" s="51"/>
      <c r="E303" s="40" t="s">
        <v>84</v>
      </c>
      <c r="F303" s="40"/>
      <c r="G303" s="40"/>
      <c r="H303" s="2">
        <v>270</v>
      </c>
      <c r="O303" s="39"/>
    </row>
    <row r="304" spans="4:15">
      <c r="D304" s="51"/>
      <c r="E304" s="40"/>
      <c r="F304" s="40"/>
      <c r="G304" s="40"/>
      <c r="J304" s="40"/>
      <c r="O304" s="39"/>
    </row>
    <row r="305" spans="4:15">
      <c r="D305" s="51"/>
      <c r="E305" s="40" t="s">
        <v>85</v>
      </c>
      <c r="F305" s="40"/>
      <c r="G305" s="40"/>
      <c r="J305" s="40"/>
      <c r="O305" s="39"/>
    </row>
    <row r="306" spans="4:15">
      <c r="D306" s="51"/>
      <c r="E306" s="42" t="s">
        <v>86</v>
      </c>
      <c r="F306" s="42"/>
      <c r="G306" s="42"/>
      <c r="H306" s="2">
        <v>91324</v>
      </c>
      <c r="J306" s="42"/>
      <c r="O306" s="39"/>
    </row>
    <row r="307" spans="4:15">
      <c r="D307" s="51"/>
      <c r="E307" s="42" t="s">
        <v>87</v>
      </c>
      <c r="F307" s="42"/>
      <c r="G307" s="42"/>
      <c r="H307" s="2">
        <v>0</v>
      </c>
      <c r="J307" s="42"/>
      <c r="O307" s="39"/>
    </row>
    <row r="308" spans="4:15">
      <c r="D308" s="51"/>
      <c r="E308" s="42" t="s">
        <v>88</v>
      </c>
      <c r="F308" s="42"/>
      <c r="G308" s="42"/>
      <c r="H308" s="40" t="s">
        <v>56</v>
      </c>
      <c r="J308" s="42"/>
      <c r="O308" s="39"/>
    </row>
    <row r="309" spans="4:15" ht="27">
      <c r="D309" s="51"/>
      <c r="E309" s="40" t="s">
        <v>83</v>
      </c>
      <c r="F309" s="40"/>
      <c r="G309" s="40"/>
      <c r="H309" s="40" t="s">
        <v>168</v>
      </c>
      <c r="J309" s="40"/>
      <c r="O309" s="39"/>
    </row>
    <row r="310" spans="4:15" ht="14.25" thickBot="1">
      <c r="D310" s="52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5"/>
    </row>
    <row r="311" spans="4:15">
      <c r="D311" s="49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8"/>
    </row>
    <row r="312" spans="4:15">
      <c r="D312" s="50" t="s">
        <v>169</v>
      </c>
      <c r="E312" s="29" t="s">
        <v>170</v>
      </c>
      <c r="F312" s="29"/>
      <c r="G312" s="29"/>
      <c r="J312" s="29"/>
      <c r="O312" s="39"/>
    </row>
    <row r="313" spans="4:15">
      <c r="D313" s="50"/>
      <c r="E313" s="1"/>
      <c r="F313" s="1"/>
      <c r="G313" s="1"/>
      <c r="J313" s="1"/>
      <c r="O313" s="39"/>
    </row>
    <row r="314" spans="4:15">
      <c r="D314" s="50"/>
      <c r="E314" s="2" t="s">
        <v>75</v>
      </c>
      <c r="H314" s="2" t="str">
        <f>H316&amp;"％のカテゴリ割引"</f>
        <v>10％のカテゴリ割引</v>
      </c>
      <c r="O314" s="39"/>
    </row>
    <row r="315" spans="4:15">
      <c r="D315" s="50"/>
      <c r="E315" s="1"/>
      <c r="F315" s="1"/>
      <c r="G315" s="1"/>
      <c r="J315" s="1"/>
      <c r="O315" s="39"/>
    </row>
    <row r="316" spans="4:15" ht="18.75" customHeight="1">
      <c r="D316" s="51"/>
      <c r="E316" s="2" t="s">
        <v>58</v>
      </c>
      <c r="H316" s="2">
        <v>10</v>
      </c>
      <c r="O316" s="39"/>
    </row>
    <row r="317" spans="4:15" ht="18.75" customHeight="1">
      <c r="D317" s="51"/>
      <c r="O317" s="39"/>
    </row>
    <row r="318" spans="4:15" ht="18.75" customHeight="1">
      <c r="D318" s="51"/>
      <c r="O318" s="39"/>
    </row>
    <row r="319" spans="4:15" ht="13.5" customHeight="1">
      <c r="D319" s="51"/>
      <c r="G319" s="61" t="s">
        <v>79</v>
      </c>
      <c r="H319" s="48" t="s">
        <v>96</v>
      </c>
      <c r="O319" s="39"/>
    </row>
    <row r="320" spans="4:15">
      <c r="D320" s="51"/>
      <c r="G320" s="62"/>
      <c r="H320" s="58" t="s">
        <v>97</v>
      </c>
      <c r="O320" s="39"/>
    </row>
    <row r="321" spans="3:15" ht="18.75" customHeight="1">
      <c r="D321" s="51"/>
      <c r="G321" s="62"/>
      <c r="H321" s="59"/>
      <c r="O321" s="39"/>
    </row>
    <row r="322" spans="3:15">
      <c r="D322" s="51"/>
      <c r="G322" s="62"/>
      <c r="H322" s="59"/>
      <c r="O322" s="39"/>
    </row>
    <row r="323" spans="3:15">
      <c r="D323" s="51"/>
      <c r="G323" s="62"/>
      <c r="H323" s="59"/>
      <c r="O323" s="39"/>
    </row>
    <row r="324" spans="3:15">
      <c r="D324" s="51"/>
      <c r="G324" s="63"/>
      <c r="H324" s="59"/>
      <c r="O324" s="39"/>
    </row>
    <row r="325" spans="3:15">
      <c r="D325" s="51"/>
      <c r="E325" s="40" t="s">
        <v>83</v>
      </c>
      <c r="F325" s="40"/>
      <c r="G325" s="40"/>
      <c r="H325" s="2">
        <v>30</v>
      </c>
      <c r="J325" s="40"/>
      <c r="O325" s="39"/>
    </row>
    <row r="326" spans="3:15">
      <c r="D326" s="51"/>
      <c r="E326" s="40" t="s">
        <v>84</v>
      </c>
      <c r="F326" s="40"/>
      <c r="G326" s="40"/>
      <c r="H326" s="2">
        <v>270</v>
      </c>
      <c r="J326" s="40"/>
      <c r="O326" s="39"/>
    </row>
    <row r="327" spans="3:15">
      <c r="D327" s="51"/>
      <c r="E327" s="40"/>
      <c r="F327" s="40"/>
      <c r="G327" s="40"/>
      <c r="J327" s="40"/>
      <c r="O327" s="39"/>
    </row>
    <row r="328" spans="3:15">
      <c r="D328" s="51"/>
      <c r="E328" s="40" t="s">
        <v>85</v>
      </c>
      <c r="F328" s="40"/>
      <c r="G328" s="40"/>
      <c r="J328" s="40"/>
      <c r="O328" s="39"/>
    </row>
    <row r="329" spans="3:15">
      <c r="D329" s="51"/>
      <c r="E329" s="42" t="s">
        <v>86</v>
      </c>
      <c r="F329" s="42"/>
      <c r="G329" s="42"/>
      <c r="H329" s="2">
        <v>91324</v>
      </c>
      <c r="J329" s="42"/>
      <c r="O329" s="39"/>
    </row>
    <row r="330" spans="3:15">
      <c r="D330" s="51"/>
      <c r="E330" s="42" t="s">
        <v>87</v>
      </c>
      <c r="F330" s="42"/>
      <c r="G330" s="42"/>
      <c r="H330" s="2">
        <v>0</v>
      </c>
      <c r="J330" s="42"/>
      <c r="O330" s="39"/>
    </row>
    <row r="331" spans="3:15">
      <c r="D331" s="51"/>
      <c r="E331" s="42" t="s">
        <v>88</v>
      </c>
      <c r="F331" s="42"/>
      <c r="G331" s="42"/>
      <c r="H331" s="40" t="s">
        <v>56</v>
      </c>
      <c r="J331" s="42"/>
      <c r="O331" s="39"/>
    </row>
    <row r="332" spans="3:15" ht="27">
      <c r="D332" s="51"/>
      <c r="E332" s="40" t="s">
        <v>83</v>
      </c>
      <c r="F332" s="40"/>
      <c r="G332" s="40"/>
      <c r="H332" s="40" t="s">
        <v>171</v>
      </c>
      <c r="J332" s="40"/>
      <c r="O332" s="39"/>
    </row>
    <row r="333" spans="3:15">
      <c r="D333" s="51"/>
      <c r="E333" s="43" t="s">
        <v>172</v>
      </c>
      <c r="F333" s="43"/>
      <c r="G333" s="40"/>
      <c r="H333" s="40"/>
      <c r="J333" s="40"/>
      <c r="O333" s="39"/>
    </row>
    <row r="334" spans="3:15" ht="14.25" thickBot="1">
      <c r="C334" s="1" t="s">
        <v>173</v>
      </c>
      <c r="D334" s="52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5"/>
    </row>
    <row r="335" spans="3:15">
      <c r="D335" s="49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8"/>
    </row>
    <row r="336" spans="3:15">
      <c r="D336" s="50" t="s">
        <v>174</v>
      </c>
      <c r="E336" s="29" t="s">
        <v>175</v>
      </c>
      <c r="F336" s="29"/>
      <c r="G336" s="29"/>
      <c r="J336" s="29"/>
      <c r="O336" s="39"/>
    </row>
    <row r="337" spans="4:15">
      <c r="D337" s="50"/>
      <c r="E337" s="1"/>
      <c r="F337" s="1"/>
      <c r="G337" s="1"/>
      <c r="J337" s="1"/>
      <c r="O337" s="39"/>
    </row>
    <row r="338" spans="4:15">
      <c r="D338" s="50"/>
      <c r="E338" s="2" t="s">
        <v>75</v>
      </c>
      <c r="H338" s="2" t="str">
        <f>H340&amp;"円の小計値引（マニュアル）"</f>
        <v>30円の小計値引（マニュアル）</v>
      </c>
      <c r="O338" s="39"/>
    </row>
    <row r="339" spans="4:15">
      <c r="D339" s="50"/>
      <c r="E339" s="1"/>
      <c r="F339" s="1"/>
      <c r="G339" s="1"/>
      <c r="J339" s="1"/>
      <c r="O339" s="39"/>
    </row>
    <row r="340" spans="4:15" ht="18.75" customHeight="1">
      <c r="D340" s="51"/>
      <c r="E340" s="2" t="s">
        <v>176</v>
      </c>
      <c r="H340" s="2">
        <v>30</v>
      </c>
      <c r="O340" s="39"/>
    </row>
    <row r="341" spans="4:15" ht="18.75" customHeight="1">
      <c r="D341" s="51"/>
      <c r="O341" s="39"/>
    </row>
    <row r="342" spans="4:15" ht="18.75" customHeight="1">
      <c r="D342" s="51"/>
      <c r="O342" s="39"/>
    </row>
    <row r="343" spans="4:15" ht="13.5" customHeight="1">
      <c r="D343" s="51"/>
      <c r="G343" s="61" t="s">
        <v>79</v>
      </c>
      <c r="H343" s="48" t="s">
        <v>96</v>
      </c>
      <c r="O343" s="39"/>
    </row>
    <row r="344" spans="4:15">
      <c r="D344" s="51"/>
      <c r="G344" s="62"/>
      <c r="H344" s="58" t="s">
        <v>97</v>
      </c>
      <c r="O344" s="39"/>
    </row>
    <row r="345" spans="4:15" ht="18.75" customHeight="1">
      <c r="D345" s="51"/>
      <c r="G345" s="62"/>
      <c r="H345" s="59"/>
      <c r="O345" s="39"/>
    </row>
    <row r="346" spans="4:15">
      <c r="D346" s="51"/>
      <c r="G346" s="62"/>
      <c r="H346" s="59"/>
      <c r="O346" s="39"/>
    </row>
    <row r="347" spans="4:15">
      <c r="D347" s="51"/>
      <c r="G347" s="62"/>
      <c r="H347" s="59"/>
      <c r="O347" s="39"/>
    </row>
    <row r="348" spans="4:15">
      <c r="D348" s="51"/>
      <c r="G348" s="63"/>
      <c r="H348" s="59"/>
      <c r="O348" s="39"/>
    </row>
    <row r="349" spans="4:15">
      <c r="D349" s="51"/>
      <c r="E349" s="40" t="s">
        <v>83</v>
      </c>
      <c r="F349" s="40"/>
      <c r="G349" s="40"/>
      <c r="H349" s="2">
        <v>30</v>
      </c>
      <c r="O349" s="39"/>
    </row>
    <row r="350" spans="4:15">
      <c r="D350" s="51"/>
      <c r="E350" s="40" t="s">
        <v>84</v>
      </c>
      <c r="F350" s="40"/>
      <c r="G350" s="40"/>
      <c r="H350" s="2">
        <v>270</v>
      </c>
      <c r="O350" s="39"/>
    </row>
    <row r="351" spans="4:15">
      <c r="D351" s="51"/>
      <c r="E351" s="40"/>
      <c r="F351" s="40"/>
      <c r="G351" s="40"/>
      <c r="O351" s="39"/>
    </row>
    <row r="352" spans="4:15">
      <c r="D352" s="51"/>
      <c r="E352" s="40" t="s">
        <v>85</v>
      </c>
      <c r="F352" s="40"/>
      <c r="G352" s="40"/>
      <c r="O352" s="39"/>
    </row>
    <row r="353" spans="4:15">
      <c r="D353" s="51"/>
      <c r="E353" s="42" t="s">
        <v>86</v>
      </c>
      <c r="F353" s="42"/>
      <c r="G353" s="42"/>
      <c r="H353" s="2">
        <v>91400</v>
      </c>
      <c r="J353" s="42"/>
      <c r="O353" s="39"/>
    </row>
    <row r="354" spans="4:15">
      <c r="D354" s="51"/>
      <c r="E354" s="42" t="s">
        <v>87</v>
      </c>
      <c r="F354" s="42"/>
      <c r="G354" s="42"/>
      <c r="H354" s="2">
        <v>14</v>
      </c>
      <c r="J354" s="42"/>
      <c r="O354" s="39"/>
    </row>
    <row r="355" spans="4:15">
      <c r="D355" s="51"/>
      <c r="E355" s="42" t="s">
        <v>88</v>
      </c>
      <c r="F355" s="42"/>
      <c r="G355" s="42"/>
      <c r="H355" s="40" t="s">
        <v>61</v>
      </c>
      <c r="J355" s="42"/>
      <c r="O355" s="39"/>
    </row>
    <row r="356" spans="4:15" ht="27">
      <c r="D356" s="51"/>
      <c r="E356" s="40" t="s">
        <v>83</v>
      </c>
      <c r="F356" s="40"/>
      <c r="G356" s="40"/>
      <c r="H356" s="40" t="s">
        <v>177</v>
      </c>
      <c r="J356" s="40"/>
      <c r="O356" s="39"/>
    </row>
    <row r="357" spans="4:15" ht="14.25" thickBot="1">
      <c r="D357" s="52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5"/>
    </row>
    <row r="358" spans="4:15">
      <c r="D358" s="49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8"/>
    </row>
    <row r="359" spans="4:15">
      <c r="D359" s="50" t="s">
        <v>178</v>
      </c>
      <c r="E359" s="29" t="s">
        <v>179</v>
      </c>
      <c r="F359" s="29"/>
      <c r="G359" s="29"/>
      <c r="J359" s="29"/>
      <c r="O359" s="39"/>
    </row>
    <row r="360" spans="4:15">
      <c r="D360" s="50"/>
      <c r="E360" s="1"/>
      <c r="F360" s="1"/>
      <c r="G360" s="1"/>
      <c r="J360" s="1"/>
      <c r="O360" s="39"/>
    </row>
    <row r="361" spans="4:15">
      <c r="D361" s="50"/>
      <c r="E361" s="2" t="s">
        <v>180</v>
      </c>
      <c r="H361" s="2" t="str">
        <f>H363&amp;"％の小計割引（マニュアル）"</f>
        <v>10％の小計割引（マニュアル）</v>
      </c>
      <c r="O361" s="39"/>
    </row>
    <row r="362" spans="4:15">
      <c r="D362" s="50"/>
      <c r="E362" s="1"/>
      <c r="F362" s="1"/>
      <c r="G362" s="1"/>
      <c r="J362" s="1"/>
      <c r="O362" s="39"/>
    </row>
    <row r="363" spans="4:15" ht="18.75" customHeight="1">
      <c r="D363" s="51"/>
      <c r="E363" s="2" t="s">
        <v>181</v>
      </c>
      <c r="H363" s="2">
        <v>10</v>
      </c>
      <c r="O363" s="39"/>
    </row>
    <row r="364" spans="4:15" ht="18.75" customHeight="1">
      <c r="D364" s="51"/>
      <c r="O364" s="39"/>
    </row>
    <row r="365" spans="4:15" ht="18.75" customHeight="1">
      <c r="D365" s="51"/>
      <c r="O365" s="39"/>
    </row>
    <row r="366" spans="4:15" ht="13.5" customHeight="1">
      <c r="D366" s="51"/>
      <c r="G366" s="61" t="s">
        <v>79</v>
      </c>
      <c r="H366" s="48" t="s">
        <v>96</v>
      </c>
      <c r="O366" s="39"/>
    </row>
    <row r="367" spans="4:15">
      <c r="D367" s="51"/>
      <c r="G367" s="62"/>
      <c r="H367" s="58" t="s">
        <v>97</v>
      </c>
      <c r="O367" s="39"/>
    </row>
    <row r="368" spans="4:15" ht="18.75" customHeight="1">
      <c r="D368" s="51"/>
      <c r="G368" s="62"/>
      <c r="H368" s="59"/>
      <c r="O368" s="39"/>
    </row>
    <row r="369" spans="4:15">
      <c r="D369" s="51"/>
      <c r="G369" s="62"/>
      <c r="H369" s="59"/>
      <c r="O369" s="39"/>
    </row>
    <row r="370" spans="4:15">
      <c r="D370" s="51"/>
      <c r="G370" s="62"/>
      <c r="H370" s="59"/>
      <c r="O370" s="39"/>
    </row>
    <row r="371" spans="4:15">
      <c r="D371" s="51"/>
      <c r="G371" s="63"/>
      <c r="H371" s="59"/>
      <c r="O371" s="39"/>
    </row>
    <row r="372" spans="4:15">
      <c r="D372" s="51"/>
      <c r="E372" s="40" t="s">
        <v>83</v>
      </c>
      <c r="F372" s="40"/>
      <c r="G372" s="40"/>
      <c r="H372" s="2">
        <v>30</v>
      </c>
      <c r="O372" s="39"/>
    </row>
    <row r="373" spans="4:15">
      <c r="D373" s="51"/>
      <c r="E373" s="40" t="s">
        <v>84</v>
      </c>
      <c r="F373" s="40"/>
      <c r="G373" s="40"/>
      <c r="H373" s="2">
        <v>270</v>
      </c>
      <c r="O373" s="39"/>
    </row>
    <row r="374" spans="4:15">
      <c r="D374" s="51"/>
      <c r="E374" s="40"/>
      <c r="F374" s="40"/>
      <c r="G374" s="40"/>
      <c r="J374" s="40"/>
      <c r="O374" s="39"/>
    </row>
    <row r="375" spans="4:15">
      <c r="D375" s="51"/>
      <c r="E375" s="40" t="s">
        <v>85</v>
      </c>
      <c r="F375" s="40"/>
      <c r="G375" s="40"/>
      <c r="J375" s="40"/>
      <c r="O375" s="39"/>
    </row>
    <row r="376" spans="4:15">
      <c r="D376" s="51"/>
      <c r="E376" s="42" t="s">
        <v>86</v>
      </c>
      <c r="F376" s="42"/>
      <c r="G376" s="42"/>
      <c r="H376" s="2">
        <v>91400</v>
      </c>
      <c r="J376" s="42"/>
      <c r="O376" s="39"/>
    </row>
    <row r="377" spans="4:15">
      <c r="D377" s="51"/>
      <c r="E377" s="42" t="s">
        <v>87</v>
      </c>
      <c r="F377" s="42"/>
      <c r="G377" s="42"/>
      <c r="H377" s="2">
        <v>14</v>
      </c>
      <c r="J377" s="42"/>
      <c r="O377" s="39"/>
    </row>
    <row r="378" spans="4:15">
      <c r="D378" s="51"/>
      <c r="E378" s="42" t="s">
        <v>88</v>
      </c>
      <c r="F378" s="42"/>
      <c r="G378" s="42"/>
      <c r="H378" s="40" t="s">
        <v>61</v>
      </c>
      <c r="J378" s="42"/>
      <c r="O378" s="39"/>
    </row>
    <row r="379" spans="4:15" ht="27">
      <c r="D379" s="51"/>
      <c r="E379" s="40" t="s">
        <v>83</v>
      </c>
      <c r="F379" s="40"/>
      <c r="G379" s="40"/>
      <c r="H379" s="40" t="s">
        <v>182</v>
      </c>
      <c r="J379" s="40"/>
      <c r="O379" s="39"/>
    </row>
    <row r="380" spans="4:15">
      <c r="D380" s="51"/>
      <c r="E380" s="43" t="s">
        <v>183</v>
      </c>
      <c r="F380" s="43"/>
      <c r="G380" s="40"/>
      <c r="H380" s="40"/>
      <c r="J380" s="40"/>
      <c r="O380" s="39"/>
    </row>
    <row r="381" spans="4:15" ht="14.25" thickBot="1">
      <c r="D381" s="52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5"/>
    </row>
    <row r="382" spans="4:15">
      <c r="D382" s="49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8"/>
    </row>
    <row r="383" spans="4:15">
      <c r="D383" s="50" t="s">
        <v>184</v>
      </c>
      <c r="E383" s="29" t="s">
        <v>185</v>
      </c>
      <c r="F383" s="29"/>
      <c r="G383" s="29"/>
      <c r="J383" s="29"/>
      <c r="O383" s="39"/>
    </row>
    <row r="384" spans="4:15">
      <c r="D384" s="50"/>
      <c r="E384" s="1"/>
      <c r="F384" s="1"/>
      <c r="G384" s="1"/>
      <c r="J384" s="1"/>
      <c r="O384" s="39"/>
    </row>
    <row r="385" spans="4:15">
      <c r="D385" s="50"/>
      <c r="E385" s="2" t="s">
        <v>180</v>
      </c>
      <c r="H385" s="2" t="str">
        <f>H387&amp;"％の朝割り（自動）"</f>
        <v>10％の朝割り（自動）</v>
      </c>
      <c r="O385" s="39"/>
    </row>
    <row r="386" spans="4:15">
      <c r="D386" s="50"/>
      <c r="E386" s="1"/>
      <c r="F386" s="1"/>
      <c r="G386" s="1"/>
      <c r="J386" s="1"/>
      <c r="O386" s="39"/>
    </row>
    <row r="387" spans="4:15" ht="18.75" customHeight="1">
      <c r="D387" s="51"/>
      <c r="E387" s="2" t="s">
        <v>65</v>
      </c>
      <c r="H387" s="2">
        <v>10</v>
      </c>
      <c r="O387" s="39"/>
    </row>
    <row r="388" spans="4:15" ht="18.75" customHeight="1">
      <c r="D388" s="51"/>
      <c r="O388" s="39"/>
    </row>
    <row r="389" spans="4:15" ht="18.75" customHeight="1">
      <c r="D389" s="51"/>
      <c r="O389" s="39"/>
    </row>
    <row r="390" spans="4:15" ht="13.5" customHeight="1">
      <c r="D390" s="51"/>
      <c r="G390" s="61" t="s">
        <v>79</v>
      </c>
      <c r="H390" s="48" t="s">
        <v>96</v>
      </c>
      <c r="O390" s="39"/>
    </row>
    <row r="391" spans="4:15">
      <c r="D391" s="51"/>
      <c r="G391" s="62"/>
      <c r="H391" s="58" t="s">
        <v>97</v>
      </c>
      <c r="O391" s="39"/>
    </row>
    <row r="392" spans="4:15" ht="18.75" customHeight="1">
      <c r="D392" s="51"/>
      <c r="G392" s="62"/>
      <c r="H392" s="59"/>
      <c r="O392" s="39"/>
    </row>
    <row r="393" spans="4:15">
      <c r="D393" s="51"/>
      <c r="G393" s="62"/>
      <c r="H393" s="59"/>
      <c r="O393" s="39"/>
    </row>
    <row r="394" spans="4:15">
      <c r="D394" s="51"/>
      <c r="G394" s="62"/>
      <c r="H394" s="59"/>
      <c r="O394" s="39"/>
    </row>
    <row r="395" spans="4:15">
      <c r="D395" s="51"/>
      <c r="G395" s="63"/>
      <c r="H395" s="59"/>
      <c r="O395" s="39"/>
    </row>
    <row r="396" spans="4:15">
      <c r="D396" s="51"/>
      <c r="E396" s="40" t="s">
        <v>83</v>
      </c>
      <c r="F396" s="40"/>
      <c r="G396" s="40"/>
      <c r="H396" s="2">
        <v>30</v>
      </c>
      <c r="O396" s="39"/>
    </row>
    <row r="397" spans="4:15">
      <c r="D397" s="51"/>
      <c r="E397" s="40" t="s">
        <v>84</v>
      </c>
      <c r="F397" s="40"/>
      <c r="G397" s="40"/>
      <c r="H397" s="2">
        <v>270</v>
      </c>
      <c r="O397" s="39"/>
    </row>
    <row r="398" spans="4:15">
      <c r="D398" s="51"/>
      <c r="E398" s="40"/>
      <c r="F398" s="40"/>
      <c r="G398" s="40"/>
      <c r="J398" s="40"/>
      <c r="O398" s="39"/>
    </row>
    <row r="399" spans="4:15">
      <c r="D399" s="51"/>
      <c r="E399" s="40" t="s">
        <v>85</v>
      </c>
      <c r="F399" s="40"/>
      <c r="G399" s="40"/>
      <c r="J399" s="40"/>
      <c r="O399" s="39"/>
    </row>
    <row r="400" spans="4:15">
      <c r="D400" s="51"/>
      <c r="E400" s="42" t="s">
        <v>86</v>
      </c>
      <c r="F400" s="42"/>
      <c r="G400" s="42"/>
      <c r="H400" s="2">
        <v>91400</v>
      </c>
      <c r="J400" s="42"/>
      <c r="O400" s="39"/>
    </row>
    <row r="401" spans="4:15">
      <c r="D401" s="51"/>
      <c r="E401" s="42" t="s">
        <v>87</v>
      </c>
      <c r="F401" s="42"/>
      <c r="G401" s="42"/>
      <c r="H401" s="2">
        <v>14</v>
      </c>
      <c r="J401" s="42"/>
      <c r="O401" s="39"/>
    </row>
    <row r="402" spans="4:15">
      <c r="D402" s="51"/>
      <c r="E402" s="42" t="s">
        <v>88</v>
      </c>
      <c r="F402" s="42"/>
      <c r="G402" s="42"/>
      <c r="H402" s="40" t="s">
        <v>61</v>
      </c>
      <c r="J402" s="42"/>
      <c r="O402" s="39"/>
    </row>
    <row r="403" spans="4:15" ht="27">
      <c r="D403" s="51"/>
      <c r="E403" s="40" t="s">
        <v>83</v>
      </c>
      <c r="F403" s="40"/>
      <c r="G403" s="40"/>
      <c r="H403" s="40" t="s">
        <v>186</v>
      </c>
      <c r="J403" s="40"/>
      <c r="O403" s="39"/>
    </row>
    <row r="404" spans="4:15">
      <c r="D404" s="51"/>
      <c r="E404" s="43" t="s">
        <v>183</v>
      </c>
      <c r="F404" s="43"/>
      <c r="G404" s="40"/>
      <c r="H404" s="40"/>
      <c r="J404" s="40"/>
      <c r="O404" s="39"/>
    </row>
    <row r="405" spans="4:15" ht="14.25" thickBot="1">
      <c r="D405" s="52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5"/>
    </row>
    <row r="406" spans="4:15">
      <c r="D406" s="49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8"/>
    </row>
    <row r="407" spans="4:15">
      <c r="D407" s="50" t="s">
        <v>187</v>
      </c>
      <c r="E407" s="29" t="s">
        <v>188</v>
      </c>
      <c r="F407" s="29"/>
      <c r="G407" s="29"/>
      <c r="J407" s="29"/>
      <c r="O407" s="39"/>
    </row>
    <row r="408" spans="4:15">
      <c r="D408" s="50"/>
      <c r="E408" s="1"/>
      <c r="F408" s="1"/>
      <c r="G408" s="1"/>
      <c r="J408" s="1"/>
      <c r="O408" s="39"/>
    </row>
    <row r="409" spans="4:15">
      <c r="D409" s="50"/>
      <c r="E409" s="2" t="s">
        <v>180</v>
      </c>
      <c r="H409" s="2" t="str">
        <f>H411&amp;"％のメガ割り（自動）"</f>
        <v>10％のメガ割り（自動）</v>
      </c>
      <c r="O409" s="39"/>
    </row>
    <row r="410" spans="4:15">
      <c r="D410" s="50"/>
      <c r="E410" s="1"/>
      <c r="F410" s="1"/>
      <c r="G410" s="1"/>
      <c r="J410" s="1"/>
      <c r="O410" s="39"/>
    </row>
    <row r="411" spans="4:15" ht="18.75" customHeight="1">
      <c r="D411" s="51"/>
      <c r="E411" s="2" t="s">
        <v>189</v>
      </c>
      <c r="H411" s="2">
        <v>10</v>
      </c>
      <c r="O411" s="39"/>
    </row>
    <row r="412" spans="4:15" ht="18.75" customHeight="1">
      <c r="D412" s="51"/>
      <c r="O412" s="39"/>
    </row>
    <row r="413" spans="4:15" ht="18.75" customHeight="1">
      <c r="D413" s="51"/>
      <c r="O413" s="39"/>
    </row>
    <row r="414" spans="4:15" ht="13.5" customHeight="1">
      <c r="D414" s="51"/>
      <c r="G414" s="61" t="s">
        <v>79</v>
      </c>
      <c r="H414" s="48" t="s">
        <v>96</v>
      </c>
      <c r="O414" s="39"/>
    </row>
    <row r="415" spans="4:15">
      <c r="D415" s="51"/>
      <c r="G415" s="62"/>
      <c r="H415" s="58" t="s">
        <v>97</v>
      </c>
      <c r="O415" s="39"/>
    </row>
    <row r="416" spans="4:15" ht="18.75" customHeight="1">
      <c r="D416" s="51"/>
      <c r="G416" s="62"/>
      <c r="H416" s="59"/>
      <c r="O416" s="39"/>
    </row>
    <row r="417" spans="4:15">
      <c r="D417" s="51"/>
      <c r="G417" s="62"/>
      <c r="H417" s="59"/>
      <c r="O417" s="39"/>
    </row>
    <row r="418" spans="4:15">
      <c r="D418" s="51"/>
      <c r="G418" s="62"/>
      <c r="H418" s="59"/>
      <c r="O418" s="39"/>
    </row>
    <row r="419" spans="4:15">
      <c r="D419" s="51"/>
      <c r="G419" s="63"/>
      <c r="H419" s="59"/>
      <c r="O419" s="39"/>
    </row>
    <row r="420" spans="4:15">
      <c r="D420" s="51"/>
      <c r="E420" s="40" t="s">
        <v>83</v>
      </c>
      <c r="F420" s="40"/>
      <c r="G420" s="40"/>
      <c r="H420" s="2">
        <v>30</v>
      </c>
      <c r="O420" s="39"/>
    </row>
    <row r="421" spans="4:15">
      <c r="D421" s="51"/>
      <c r="E421" s="40" t="s">
        <v>84</v>
      </c>
      <c r="F421" s="40"/>
      <c r="G421" s="40"/>
      <c r="H421" s="2">
        <v>270</v>
      </c>
      <c r="O421" s="39"/>
    </row>
    <row r="422" spans="4:15">
      <c r="D422" s="51"/>
      <c r="E422" s="40"/>
      <c r="F422" s="40"/>
      <c r="G422" s="40"/>
      <c r="J422" s="40"/>
      <c r="O422" s="39"/>
    </row>
    <row r="423" spans="4:15">
      <c r="D423" s="51"/>
      <c r="E423" s="40" t="s">
        <v>85</v>
      </c>
      <c r="F423" s="40"/>
      <c r="G423" s="40"/>
      <c r="J423" s="40"/>
      <c r="O423" s="39"/>
    </row>
    <row r="424" spans="4:15">
      <c r="D424" s="51"/>
      <c r="E424" s="42" t="s">
        <v>86</v>
      </c>
      <c r="F424" s="42"/>
      <c r="G424" s="42"/>
      <c r="H424" s="2">
        <v>91400</v>
      </c>
      <c r="J424" s="42"/>
      <c r="O424" s="39"/>
    </row>
    <row r="425" spans="4:15">
      <c r="D425" s="51"/>
      <c r="E425" s="42" t="s">
        <v>87</v>
      </c>
      <c r="F425" s="42"/>
      <c r="G425" s="42"/>
      <c r="H425" s="2">
        <v>14</v>
      </c>
      <c r="J425" s="42"/>
      <c r="O425" s="39"/>
    </row>
    <row r="426" spans="4:15">
      <c r="D426" s="51"/>
      <c r="E426" s="42" t="s">
        <v>88</v>
      </c>
      <c r="F426" s="42"/>
      <c r="G426" s="42"/>
      <c r="H426" s="40" t="s">
        <v>61</v>
      </c>
      <c r="J426" s="42"/>
      <c r="O426" s="39"/>
    </row>
    <row r="427" spans="4:15" ht="27">
      <c r="D427" s="51"/>
      <c r="E427" s="40" t="s">
        <v>83</v>
      </c>
      <c r="F427" s="40"/>
      <c r="G427" s="40"/>
      <c r="H427" s="40" t="s">
        <v>190</v>
      </c>
      <c r="J427" s="40"/>
      <c r="O427" s="39"/>
    </row>
    <row r="428" spans="4:15">
      <c r="D428" s="51"/>
      <c r="E428" s="43" t="s">
        <v>183</v>
      </c>
      <c r="F428" s="43"/>
      <c r="G428" s="40"/>
      <c r="H428" s="40"/>
      <c r="J428" s="40"/>
      <c r="O428" s="39"/>
    </row>
    <row r="429" spans="4:15" ht="14.25" thickBot="1">
      <c r="D429" s="52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5"/>
    </row>
    <row r="430" spans="4:15">
      <c r="D430" s="49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8"/>
    </row>
    <row r="431" spans="4:15">
      <c r="D431" s="50" t="s">
        <v>191</v>
      </c>
      <c r="E431" s="29" t="s">
        <v>192</v>
      </c>
      <c r="F431" s="29"/>
      <c r="G431" s="29"/>
      <c r="J431" s="29"/>
      <c r="O431" s="39"/>
    </row>
    <row r="432" spans="4:15">
      <c r="D432" s="50"/>
      <c r="E432" s="1"/>
      <c r="F432" s="1"/>
      <c r="G432" s="1"/>
      <c r="J432" s="1"/>
      <c r="O432" s="39"/>
    </row>
    <row r="433" spans="4:15">
      <c r="D433" s="50"/>
      <c r="E433" s="2" t="s">
        <v>180</v>
      </c>
      <c r="H433" s="2" t="str">
        <f>H435&amp;"％のクレジット割り（自動）"</f>
        <v>5％のクレジット割り（自動）</v>
      </c>
      <c r="O433" s="39"/>
    </row>
    <row r="434" spans="4:15">
      <c r="D434" s="50"/>
      <c r="E434" s="1"/>
      <c r="F434" s="1"/>
      <c r="G434" s="1"/>
      <c r="J434" s="1"/>
      <c r="O434" s="39"/>
    </row>
    <row r="435" spans="4:15" ht="18.75" customHeight="1">
      <c r="D435" s="51"/>
      <c r="E435" s="2" t="s">
        <v>193</v>
      </c>
      <c r="H435" s="2">
        <v>5</v>
      </c>
      <c r="O435" s="39"/>
    </row>
    <row r="436" spans="4:15" ht="18.75" customHeight="1">
      <c r="D436" s="51"/>
      <c r="O436" s="39"/>
    </row>
    <row r="437" spans="4:15" ht="18.75" customHeight="1">
      <c r="D437" s="51"/>
      <c r="O437" s="39"/>
    </row>
    <row r="438" spans="4:15" ht="13.5" customHeight="1">
      <c r="D438" s="51"/>
      <c r="G438" s="61" t="s">
        <v>79</v>
      </c>
      <c r="H438" s="48" t="s">
        <v>194</v>
      </c>
      <c r="O438" s="39"/>
    </row>
    <row r="439" spans="4:15">
      <c r="D439" s="51"/>
      <c r="G439" s="62"/>
      <c r="H439" s="58" t="s">
        <v>195</v>
      </c>
      <c r="O439" s="39"/>
    </row>
    <row r="440" spans="4:15" ht="18.75" customHeight="1">
      <c r="D440" s="51"/>
      <c r="G440" s="62"/>
      <c r="H440" s="59"/>
      <c r="O440" s="39"/>
    </row>
    <row r="441" spans="4:15">
      <c r="D441" s="51"/>
      <c r="G441" s="62"/>
      <c r="H441" s="59"/>
      <c r="O441" s="39"/>
    </row>
    <row r="442" spans="4:15">
      <c r="D442" s="51"/>
      <c r="G442" s="62"/>
      <c r="H442" s="59"/>
      <c r="O442" s="39"/>
    </row>
    <row r="443" spans="4:15">
      <c r="D443" s="51"/>
      <c r="G443" s="63"/>
      <c r="H443" s="59"/>
      <c r="O443" s="39"/>
    </row>
    <row r="444" spans="4:15">
      <c r="D444" s="51"/>
      <c r="E444" s="40" t="s">
        <v>83</v>
      </c>
      <c r="F444" s="40"/>
      <c r="G444" s="40"/>
      <c r="H444" s="2">
        <v>15</v>
      </c>
      <c r="O444" s="39"/>
    </row>
    <row r="445" spans="4:15">
      <c r="D445" s="51"/>
      <c r="E445" s="40" t="s">
        <v>84</v>
      </c>
      <c r="F445" s="40"/>
      <c r="G445" s="40"/>
      <c r="H445" s="2">
        <v>285</v>
      </c>
      <c r="O445" s="39"/>
    </row>
    <row r="446" spans="4:15">
      <c r="D446" s="51"/>
      <c r="E446" s="40"/>
      <c r="F446" s="40"/>
      <c r="G446" s="40"/>
      <c r="J446" s="40"/>
      <c r="O446" s="39"/>
    </row>
    <row r="447" spans="4:15">
      <c r="D447" s="51"/>
      <c r="E447" s="40" t="s">
        <v>85</v>
      </c>
      <c r="F447" s="40"/>
      <c r="G447" s="40"/>
      <c r="J447" s="40"/>
      <c r="O447" s="39"/>
    </row>
    <row r="448" spans="4:15">
      <c r="D448" s="51"/>
      <c r="E448" s="42" t="s">
        <v>86</v>
      </c>
      <c r="F448" s="42"/>
      <c r="G448" s="42"/>
      <c r="H448" s="2">
        <v>91400</v>
      </c>
      <c r="J448" s="42"/>
      <c r="O448" s="39"/>
    </row>
    <row r="449" spans="4:15">
      <c r="D449" s="51"/>
      <c r="E449" s="42" t="s">
        <v>87</v>
      </c>
      <c r="F449" s="42"/>
      <c r="G449" s="42"/>
      <c r="H449" s="2">
        <v>14</v>
      </c>
      <c r="J449" s="42"/>
      <c r="O449" s="39"/>
    </row>
    <row r="450" spans="4:15">
      <c r="D450" s="51"/>
      <c r="E450" s="42" t="s">
        <v>88</v>
      </c>
      <c r="F450" s="42"/>
      <c r="G450" s="42"/>
      <c r="H450" s="40" t="s">
        <v>61</v>
      </c>
      <c r="J450" s="42"/>
      <c r="O450" s="39"/>
    </row>
    <row r="451" spans="4:15" ht="27">
      <c r="D451" s="51"/>
      <c r="E451" s="40" t="s">
        <v>83</v>
      </c>
      <c r="F451" s="40"/>
      <c r="G451" s="40"/>
      <c r="H451" s="40" t="s">
        <v>196</v>
      </c>
      <c r="J451" s="40"/>
      <c r="O451" s="39"/>
    </row>
    <row r="452" spans="4:15">
      <c r="D452" s="51"/>
      <c r="E452" s="43" t="s">
        <v>183</v>
      </c>
      <c r="F452" s="43"/>
      <c r="G452" s="40"/>
      <c r="H452" s="40"/>
      <c r="J452" s="40"/>
      <c r="O452" s="39"/>
    </row>
    <row r="453" spans="4:15" ht="14.25" thickBot="1">
      <c r="D453" s="52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5"/>
    </row>
  </sheetData>
  <mergeCells count="70">
    <mergeCell ref="H439:H443"/>
    <mergeCell ref="H367:H371"/>
    <mergeCell ref="H391:H395"/>
    <mergeCell ref="H415:H419"/>
    <mergeCell ref="G366:G371"/>
    <mergeCell ref="G390:G395"/>
    <mergeCell ref="G414:G419"/>
    <mergeCell ref="G438:G443"/>
    <mergeCell ref="H344:H348"/>
    <mergeCell ref="H320:H324"/>
    <mergeCell ref="H297:H301"/>
    <mergeCell ref="J153:J158"/>
    <mergeCell ref="G319:G324"/>
    <mergeCell ref="G343:G348"/>
    <mergeCell ref="J199:J204"/>
    <mergeCell ref="G223:G228"/>
    <mergeCell ref="G247:G252"/>
    <mergeCell ref="G271:G276"/>
    <mergeCell ref="G296:G301"/>
    <mergeCell ref="H248:H252"/>
    <mergeCell ref="H272:H276"/>
    <mergeCell ref="H200:H204"/>
    <mergeCell ref="H224:H228"/>
    <mergeCell ref="K281:K284"/>
    <mergeCell ref="J82:J87"/>
    <mergeCell ref="M106:M111"/>
    <mergeCell ref="N281:N284"/>
    <mergeCell ref="K209:K212"/>
    <mergeCell ref="N209:N212"/>
    <mergeCell ref="N153:N158"/>
    <mergeCell ref="M153:M158"/>
    <mergeCell ref="N199:N204"/>
    <mergeCell ref="N270:N276"/>
    <mergeCell ref="K271:K276"/>
    <mergeCell ref="K199:K204"/>
    <mergeCell ref="M199:M204"/>
    <mergeCell ref="J271:J276"/>
    <mergeCell ref="M271:M276"/>
    <mergeCell ref="J12:J17"/>
    <mergeCell ref="M12:M17"/>
    <mergeCell ref="G177:G182"/>
    <mergeCell ref="K153:K158"/>
    <mergeCell ref="H154:H158"/>
    <mergeCell ref="G153:G158"/>
    <mergeCell ref="H60:H64"/>
    <mergeCell ref="H37:H41"/>
    <mergeCell ref="H131:H135"/>
    <mergeCell ref="G36:G41"/>
    <mergeCell ref="G59:G64"/>
    <mergeCell ref="G82:G87"/>
    <mergeCell ref="G106:G111"/>
    <mergeCell ref="G130:G135"/>
    <mergeCell ref="H178:H182"/>
    <mergeCell ref="M82:M87"/>
    <mergeCell ref="N11:N17"/>
    <mergeCell ref="J106:J111"/>
    <mergeCell ref="G199:G204"/>
    <mergeCell ref="G12:G17"/>
    <mergeCell ref="N116:N119"/>
    <mergeCell ref="K82:K87"/>
    <mergeCell ref="H83:H87"/>
    <mergeCell ref="K106:K111"/>
    <mergeCell ref="H107:H111"/>
    <mergeCell ref="K12:K17"/>
    <mergeCell ref="H13:H17"/>
    <mergeCell ref="K92:K95"/>
    <mergeCell ref="N92:N95"/>
    <mergeCell ref="N81:N87"/>
    <mergeCell ref="N106:N111"/>
    <mergeCell ref="N163:N166"/>
  </mergeCells>
  <phoneticPr fontId="11"/>
  <pageMargins left="0.31496062992125984" right="0.31496062992125984" top="0.55118110236220474" bottom="0.35433070866141736" header="0.31496062992125984" footer="0.31496062992125984"/>
  <pageSetup paperSize="9" scale="34" fitToHeight="0" orientation="portrait" horizontalDpi="300" verticalDpi="300" r:id="rId1"/>
  <rowBreaks count="1" manualBreakCount="1">
    <brk id="9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79B8-594E-4A3D-859D-F21DF16ACA3C}">
  <dimension ref="A1:M33"/>
  <sheetViews>
    <sheetView topLeftCell="A17" workbookViewId="0">
      <selection activeCell="M1" sqref="M1:M2"/>
    </sheetView>
  </sheetViews>
  <sheetFormatPr defaultColWidth="71.25" defaultRowHeight="13.5" outlineLevelCol="1"/>
  <cols>
    <col min="1" max="1" width="5.5" style="1" bestFit="1" customWidth="1"/>
    <col min="2" max="2" width="36.125" style="1" bestFit="1" customWidth="1"/>
    <col min="3" max="3" width="47.125" style="1" bestFit="1" customWidth="1"/>
    <col min="4" max="4" width="45" style="1" customWidth="1" outlineLevel="1"/>
    <col min="5" max="5" width="15" style="1" bestFit="1" customWidth="1"/>
    <col min="6" max="6" width="10.5" style="1" bestFit="1" customWidth="1"/>
    <col min="7" max="7" width="16.125" style="1" bestFit="1" customWidth="1"/>
    <col min="8" max="8" width="5.5" style="1" bestFit="1" customWidth="1"/>
    <col min="9" max="9" width="16.125" style="1" bestFit="1" customWidth="1"/>
    <col min="10" max="10" width="7.5" style="1" bestFit="1" customWidth="1"/>
    <col min="11" max="11" width="11.625" style="1" bestFit="1" customWidth="1"/>
    <col min="12" max="13" width="7.5" style="1" bestFit="1" customWidth="1"/>
    <col min="14" max="256" width="71.25" style="1"/>
    <col min="257" max="257" width="5.5" style="1" bestFit="1" customWidth="1"/>
    <col min="258" max="258" width="36.125" style="1" bestFit="1" customWidth="1"/>
    <col min="259" max="259" width="47.125" style="1" bestFit="1" customWidth="1"/>
    <col min="260" max="260" width="0" style="1" hidden="1" customWidth="1"/>
    <col min="261" max="261" width="15" style="1" bestFit="1" customWidth="1"/>
    <col min="262" max="262" width="10.5" style="1" bestFit="1" customWidth="1"/>
    <col min="263" max="263" width="16.125" style="1" bestFit="1" customWidth="1"/>
    <col min="264" max="264" width="5.5" style="1" bestFit="1" customWidth="1"/>
    <col min="265" max="265" width="16.125" style="1" bestFit="1" customWidth="1"/>
    <col min="266" max="266" width="7.5" style="1" bestFit="1" customWidth="1"/>
    <col min="267" max="267" width="11.625" style="1" bestFit="1" customWidth="1"/>
    <col min="268" max="269" width="7.5" style="1" bestFit="1" customWidth="1"/>
    <col min="270" max="512" width="71.25" style="1"/>
    <col min="513" max="513" width="5.5" style="1" bestFit="1" customWidth="1"/>
    <col min="514" max="514" width="36.125" style="1" bestFit="1" customWidth="1"/>
    <col min="515" max="515" width="47.125" style="1" bestFit="1" customWidth="1"/>
    <col min="516" max="516" width="0" style="1" hidden="1" customWidth="1"/>
    <col min="517" max="517" width="15" style="1" bestFit="1" customWidth="1"/>
    <col min="518" max="518" width="10.5" style="1" bestFit="1" customWidth="1"/>
    <col min="519" max="519" width="16.125" style="1" bestFit="1" customWidth="1"/>
    <col min="520" max="520" width="5.5" style="1" bestFit="1" customWidth="1"/>
    <col min="521" max="521" width="16.125" style="1" bestFit="1" customWidth="1"/>
    <col min="522" max="522" width="7.5" style="1" bestFit="1" customWidth="1"/>
    <col min="523" max="523" width="11.625" style="1" bestFit="1" customWidth="1"/>
    <col min="524" max="525" width="7.5" style="1" bestFit="1" customWidth="1"/>
    <col min="526" max="768" width="71.25" style="1"/>
    <col min="769" max="769" width="5.5" style="1" bestFit="1" customWidth="1"/>
    <col min="770" max="770" width="36.125" style="1" bestFit="1" customWidth="1"/>
    <col min="771" max="771" width="47.125" style="1" bestFit="1" customWidth="1"/>
    <col min="772" max="772" width="0" style="1" hidden="1" customWidth="1"/>
    <col min="773" max="773" width="15" style="1" bestFit="1" customWidth="1"/>
    <col min="774" max="774" width="10.5" style="1" bestFit="1" customWidth="1"/>
    <col min="775" max="775" width="16.125" style="1" bestFit="1" customWidth="1"/>
    <col min="776" max="776" width="5.5" style="1" bestFit="1" customWidth="1"/>
    <col min="777" max="777" width="16.125" style="1" bestFit="1" customWidth="1"/>
    <col min="778" max="778" width="7.5" style="1" bestFit="1" customWidth="1"/>
    <col min="779" max="779" width="11.625" style="1" bestFit="1" customWidth="1"/>
    <col min="780" max="781" width="7.5" style="1" bestFit="1" customWidth="1"/>
    <col min="782" max="1024" width="71.25" style="1"/>
    <col min="1025" max="1025" width="5.5" style="1" bestFit="1" customWidth="1"/>
    <col min="1026" max="1026" width="36.125" style="1" bestFit="1" customWidth="1"/>
    <col min="1027" max="1027" width="47.125" style="1" bestFit="1" customWidth="1"/>
    <col min="1028" max="1028" width="0" style="1" hidden="1" customWidth="1"/>
    <col min="1029" max="1029" width="15" style="1" bestFit="1" customWidth="1"/>
    <col min="1030" max="1030" width="10.5" style="1" bestFit="1" customWidth="1"/>
    <col min="1031" max="1031" width="16.125" style="1" bestFit="1" customWidth="1"/>
    <col min="1032" max="1032" width="5.5" style="1" bestFit="1" customWidth="1"/>
    <col min="1033" max="1033" width="16.125" style="1" bestFit="1" customWidth="1"/>
    <col min="1034" max="1034" width="7.5" style="1" bestFit="1" customWidth="1"/>
    <col min="1035" max="1035" width="11.625" style="1" bestFit="1" customWidth="1"/>
    <col min="1036" max="1037" width="7.5" style="1" bestFit="1" customWidth="1"/>
    <col min="1038" max="1280" width="71.25" style="1"/>
    <col min="1281" max="1281" width="5.5" style="1" bestFit="1" customWidth="1"/>
    <col min="1282" max="1282" width="36.125" style="1" bestFit="1" customWidth="1"/>
    <col min="1283" max="1283" width="47.125" style="1" bestFit="1" customWidth="1"/>
    <col min="1284" max="1284" width="0" style="1" hidden="1" customWidth="1"/>
    <col min="1285" max="1285" width="15" style="1" bestFit="1" customWidth="1"/>
    <col min="1286" max="1286" width="10.5" style="1" bestFit="1" customWidth="1"/>
    <col min="1287" max="1287" width="16.125" style="1" bestFit="1" customWidth="1"/>
    <col min="1288" max="1288" width="5.5" style="1" bestFit="1" customWidth="1"/>
    <col min="1289" max="1289" width="16.125" style="1" bestFit="1" customWidth="1"/>
    <col min="1290" max="1290" width="7.5" style="1" bestFit="1" customWidth="1"/>
    <col min="1291" max="1291" width="11.625" style="1" bestFit="1" customWidth="1"/>
    <col min="1292" max="1293" width="7.5" style="1" bestFit="1" customWidth="1"/>
    <col min="1294" max="1536" width="71.25" style="1"/>
    <col min="1537" max="1537" width="5.5" style="1" bestFit="1" customWidth="1"/>
    <col min="1538" max="1538" width="36.125" style="1" bestFit="1" customWidth="1"/>
    <col min="1539" max="1539" width="47.125" style="1" bestFit="1" customWidth="1"/>
    <col min="1540" max="1540" width="0" style="1" hidden="1" customWidth="1"/>
    <col min="1541" max="1541" width="15" style="1" bestFit="1" customWidth="1"/>
    <col min="1542" max="1542" width="10.5" style="1" bestFit="1" customWidth="1"/>
    <col min="1543" max="1543" width="16.125" style="1" bestFit="1" customWidth="1"/>
    <col min="1544" max="1544" width="5.5" style="1" bestFit="1" customWidth="1"/>
    <col min="1545" max="1545" width="16.125" style="1" bestFit="1" customWidth="1"/>
    <col min="1546" max="1546" width="7.5" style="1" bestFit="1" customWidth="1"/>
    <col min="1547" max="1547" width="11.625" style="1" bestFit="1" customWidth="1"/>
    <col min="1548" max="1549" width="7.5" style="1" bestFit="1" customWidth="1"/>
    <col min="1550" max="1792" width="71.25" style="1"/>
    <col min="1793" max="1793" width="5.5" style="1" bestFit="1" customWidth="1"/>
    <col min="1794" max="1794" width="36.125" style="1" bestFit="1" customWidth="1"/>
    <col min="1795" max="1795" width="47.125" style="1" bestFit="1" customWidth="1"/>
    <col min="1796" max="1796" width="0" style="1" hidden="1" customWidth="1"/>
    <col min="1797" max="1797" width="15" style="1" bestFit="1" customWidth="1"/>
    <col min="1798" max="1798" width="10.5" style="1" bestFit="1" customWidth="1"/>
    <col min="1799" max="1799" width="16.125" style="1" bestFit="1" customWidth="1"/>
    <col min="1800" max="1800" width="5.5" style="1" bestFit="1" customWidth="1"/>
    <col min="1801" max="1801" width="16.125" style="1" bestFit="1" customWidth="1"/>
    <col min="1802" max="1802" width="7.5" style="1" bestFit="1" customWidth="1"/>
    <col min="1803" max="1803" width="11.625" style="1" bestFit="1" customWidth="1"/>
    <col min="1804" max="1805" width="7.5" style="1" bestFit="1" customWidth="1"/>
    <col min="1806" max="2048" width="71.25" style="1"/>
    <col min="2049" max="2049" width="5.5" style="1" bestFit="1" customWidth="1"/>
    <col min="2050" max="2050" width="36.125" style="1" bestFit="1" customWidth="1"/>
    <col min="2051" max="2051" width="47.125" style="1" bestFit="1" customWidth="1"/>
    <col min="2052" max="2052" width="0" style="1" hidden="1" customWidth="1"/>
    <col min="2053" max="2053" width="15" style="1" bestFit="1" customWidth="1"/>
    <col min="2054" max="2054" width="10.5" style="1" bestFit="1" customWidth="1"/>
    <col min="2055" max="2055" width="16.125" style="1" bestFit="1" customWidth="1"/>
    <col min="2056" max="2056" width="5.5" style="1" bestFit="1" customWidth="1"/>
    <col min="2057" max="2057" width="16.125" style="1" bestFit="1" customWidth="1"/>
    <col min="2058" max="2058" width="7.5" style="1" bestFit="1" customWidth="1"/>
    <col min="2059" max="2059" width="11.625" style="1" bestFit="1" customWidth="1"/>
    <col min="2060" max="2061" width="7.5" style="1" bestFit="1" customWidth="1"/>
    <col min="2062" max="2304" width="71.25" style="1"/>
    <col min="2305" max="2305" width="5.5" style="1" bestFit="1" customWidth="1"/>
    <col min="2306" max="2306" width="36.125" style="1" bestFit="1" customWidth="1"/>
    <col min="2307" max="2307" width="47.125" style="1" bestFit="1" customWidth="1"/>
    <col min="2308" max="2308" width="0" style="1" hidden="1" customWidth="1"/>
    <col min="2309" max="2309" width="15" style="1" bestFit="1" customWidth="1"/>
    <col min="2310" max="2310" width="10.5" style="1" bestFit="1" customWidth="1"/>
    <col min="2311" max="2311" width="16.125" style="1" bestFit="1" customWidth="1"/>
    <col min="2312" max="2312" width="5.5" style="1" bestFit="1" customWidth="1"/>
    <col min="2313" max="2313" width="16.125" style="1" bestFit="1" customWidth="1"/>
    <col min="2314" max="2314" width="7.5" style="1" bestFit="1" customWidth="1"/>
    <col min="2315" max="2315" width="11.625" style="1" bestFit="1" customWidth="1"/>
    <col min="2316" max="2317" width="7.5" style="1" bestFit="1" customWidth="1"/>
    <col min="2318" max="2560" width="71.25" style="1"/>
    <col min="2561" max="2561" width="5.5" style="1" bestFit="1" customWidth="1"/>
    <col min="2562" max="2562" width="36.125" style="1" bestFit="1" customWidth="1"/>
    <col min="2563" max="2563" width="47.125" style="1" bestFit="1" customWidth="1"/>
    <col min="2564" max="2564" width="0" style="1" hidden="1" customWidth="1"/>
    <col min="2565" max="2565" width="15" style="1" bestFit="1" customWidth="1"/>
    <col min="2566" max="2566" width="10.5" style="1" bestFit="1" customWidth="1"/>
    <col min="2567" max="2567" width="16.125" style="1" bestFit="1" customWidth="1"/>
    <col min="2568" max="2568" width="5.5" style="1" bestFit="1" customWidth="1"/>
    <col min="2569" max="2569" width="16.125" style="1" bestFit="1" customWidth="1"/>
    <col min="2570" max="2570" width="7.5" style="1" bestFit="1" customWidth="1"/>
    <col min="2571" max="2571" width="11.625" style="1" bestFit="1" customWidth="1"/>
    <col min="2572" max="2573" width="7.5" style="1" bestFit="1" customWidth="1"/>
    <col min="2574" max="2816" width="71.25" style="1"/>
    <col min="2817" max="2817" width="5.5" style="1" bestFit="1" customWidth="1"/>
    <col min="2818" max="2818" width="36.125" style="1" bestFit="1" customWidth="1"/>
    <col min="2819" max="2819" width="47.125" style="1" bestFit="1" customWidth="1"/>
    <col min="2820" max="2820" width="0" style="1" hidden="1" customWidth="1"/>
    <col min="2821" max="2821" width="15" style="1" bestFit="1" customWidth="1"/>
    <col min="2822" max="2822" width="10.5" style="1" bestFit="1" customWidth="1"/>
    <col min="2823" max="2823" width="16.125" style="1" bestFit="1" customWidth="1"/>
    <col min="2824" max="2824" width="5.5" style="1" bestFit="1" customWidth="1"/>
    <col min="2825" max="2825" width="16.125" style="1" bestFit="1" customWidth="1"/>
    <col min="2826" max="2826" width="7.5" style="1" bestFit="1" customWidth="1"/>
    <col min="2827" max="2827" width="11.625" style="1" bestFit="1" customWidth="1"/>
    <col min="2828" max="2829" width="7.5" style="1" bestFit="1" customWidth="1"/>
    <col min="2830" max="3072" width="71.25" style="1"/>
    <col min="3073" max="3073" width="5.5" style="1" bestFit="1" customWidth="1"/>
    <col min="3074" max="3074" width="36.125" style="1" bestFit="1" customWidth="1"/>
    <col min="3075" max="3075" width="47.125" style="1" bestFit="1" customWidth="1"/>
    <col min="3076" max="3076" width="0" style="1" hidden="1" customWidth="1"/>
    <col min="3077" max="3077" width="15" style="1" bestFit="1" customWidth="1"/>
    <col min="3078" max="3078" width="10.5" style="1" bestFit="1" customWidth="1"/>
    <col min="3079" max="3079" width="16.125" style="1" bestFit="1" customWidth="1"/>
    <col min="3080" max="3080" width="5.5" style="1" bestFit="1" customWidth="1"/>
    <col min="3081" max="3081" width="16.125" style="1" bestFit="1" customWidth="1"/>
    <col min="3082" max="3082" width="7.5" style="1" bestFit="1" customWidth="1"/>
    <col min="3083" max="3083" width="11.625" style="1" bestFit="1" customWidth="1"/>
    <col min="3084" max="3085" width="7.5" style="1" bestFit="1" customWidth="1"/>
    <col min="3086" max="3328" width="71.25" style="1"/>
    <col min="3329" max="3329" width="5.5" style="1" bestFit="1" customWidth="1"/>
    <col min="3330" max="3330" width="36.125" style="1" bestFit="1" customWidth="1"/>
    <col min="3331" max="3331" width="47.125" style="1" bestFit="1" customWidth="1"/>
    <col min="3332" max="3332" width="0" style="1" hidden="1" customWidth="1"/>
    <col min="3333" max="3333" width="15" style="1" bestFit="1" customWidth="1"/>
    <col min="3334" max="3334" width="10.5" style="1" bestFit="1" customWidth="1"/>
    <col min="3335" max="3335" width="16.125" style="1" bestFit="1" customWidth="1"/>
    <col min="3336" max="3336" width="5.5" style="1" bestFit="1" customWidth="1"/>
    <col min="3337" max="3337" width="16.125" style="1" bestFit="1" customWidth="1"/>
    <col min="3338" max="3338" width="7.5" style="1" bestFit="1" customWidth="1"/>
    <col min="3339" max="3339" width="11.625" style="1" bestFit="1" customWidth="1"/>
    <col min="3340" max="3341" width="7.5" style="1" bestFit="1" customWidth="1"/>
    <col min="3342" max="3584" width="71.25" style="1"/>
    <col min="3585" max="3585" width="5.5" style="1" bestFit="1" customWidth="1"/>
    <col min="3586" max="3586" width="36.125" style="1" bestFit="1" customWidth="1"/>
    <col min="3587" max="3587" width="47.125" style="1" bestFit="1" customWidth="1"/>
    <col min="3588" max="3588" width="0" style="1" hidden="1" customWidth="1"/>
    <col min="3589" max="3589" width="15" style="1" bestFit="1" customWidth="1"/>
    <col min="3590" max="3590" width="10.5" style="1" bestFit="1" customWidth="1"/>
    <col min="3591" max="3591" width="16.125" style="1" bestFit="1" customWidth="1"/>
    <col min="3592" max="3592" width="5.5" style="1" bestFit="1" customWidth="1"/>
    <col min="3593" max="3593" width="16.125" style="1" bestFit="1" customWidth="1"/>
    <col min="3594" max="3594" width="7.5" style="1" bestFit="1" customWidth="1"/>
    <col min="3595" max="3595" width="11.625" style="1" bestFit="1" customWidth="1"/>
    <col min="3596" max="3597" width="7.5" style="1" bestFit="1" customWidth="1"/>
    <col min="3598" max="3840" width="71.25" style="1"/>
    <col min="3841" max="3841" width="5.5" style="1" bestFit="1" customWidth="1"/>
    <col min="3842" max="3842" width="36.125" style="1" bestFit="1" customWidth="1"/>
    <col min="3843" max="3843" width="47.125" style="1" bestFit="1" customWidth="1"/>
    <col min="3844" max="3844" width="0" style="1" hidden="1" customWidth="1"/>
    <col min="3845" max="3845" width="15" style="1" bestFit="1" customWidth="1"/>
    <col min="3846" max="3846" width="10.5" style="1" bestFit="1" customWidth="1"/>
    <col min="3847" max="3847" width="16.125" style="1" bestFit="1" customWidth="1"/>
    <col min="3848" max="3848" width="5.5" style="1" bestFit="1" customWidth="1"/>
    <col min="3849" max="3849" width="16.125" style="1" bestFit="1" customWidth="1"/>
    <col min="3850" max="3850" width="7.5" style="1" bestFit="1" customWidth="1"/>
    <col min="3851" max="3851" width="11.625" style="1" bestFit="1" customWidth="1"/>
    <col min="3852" max="3853" width="7.5" style="1" bestFit="1" customWidth="1"/>
    <col min="3854" max="4096" width="71.25" style="1"/>
    <col min="4097" max="4097" width="5.5" style="1" bestFit="1" customWidth="1"/>
    <col min="4098" max="4098" width="36.125" style="1" bestFit="1" customWidth="1"/>
    <col min="4099" max="4099" width="47.125" style="1" bestFit="1" customWidth="1"/>
    <col min="4100" max="4100" width="0" style="1" hidden="1" customWidth="1"/>
    <col min="4101" max="4101" width="15" style="1" bestFit="1" customWidth="1"/>
    <col min="4102" max="4102" width="10.5" style="1" bestFit="1" customWidth="1"/>
    <col min="4103" max="4103" width="16.125" style="1" bestFit="1" customWidth="1"/>
    <col min="4104" max="4104" width="5.5" style="1" bestFit="1" customWidth="1"/>
    <col min="4105" max="4105" width="16.125" style="1" bestFit="1" customWidth="1"/>
    <col min="4106" max="4106" width="7.5" style="1" bestFit="1" customWidth="1"/>
    <col min="4107" max="4107" width="11.625" style="1" bestFit="1" customWidth="1"/>
    <col min="4108" max="4109" width="7.5" style="1" bestFit="1" customWidth="1"/>
    <col min="4110" max="4352" width="71.25" style="1"/>
    <col min="4353" max="4353" width="5.5" style="1" bestFit="1" customWidth="1"/>
    <col min="4354" max="4354" width="36.125" style="1" bestFit="1" customWidth="1"/>
    <col min="4355" max="4355" width="47.125" style="1" bestFit="1" customWidth="1"/>
    <col min="4356" max="4356" width="0" style="1" hidden="1" customWidth="1"/>
    <col min="4357" max="4357" width="15" style="1" bestFit="1" customWidth="1"/>
    <col min="4358" max="4358" width="10.5" style="1" bestFit="1" customWidth="1"/>
    <col min="4359" max="4359" width="16.125" style="1" bestFit="1" customWidth="1"/>
    <col min="4360" max="4360" width="5.5" style="1" bestFit="1" customWidth="1"/>
    <col min="4361" max="4361" width="16.125" style="1" bestFit="1" customWidth="1"/>
    <col min="4362" max="4362" width="7.5" style="1" bestFit="1" customWidth="1"/>
    <col min="4363" max="4363" width="11.625" style="1" bestFit="1" customWidth="1"/>
    <col min="4364" max="4365" width="7.5" style="1" bestFit="1" customWidth="1"/>
    <col min="4366" max="4608" width="71.25" style="1"/>
    <col min="4609" max="4609" width="5.5" style="1" bestFit="1" customWidth="1"/>
    <col min="4610" max="4610" width="36.125" style="1" bestFit="1" customWidth="1"/>
    <col min="4611" max="4611" width="47.125" style="1" bestFit="1" customWidth="1"/>
    <col min="4612" max="4612" width="0" style="1" hidden="1" customWidth="1"/>
    <col min="4613" max="4613" width="15" style="1" bestFit="1" customWidth="1"/>
    <col min="4614" max="4614" width="10.5" style="1" bestFit="1" customWidth="1"/>
    <col min="4615" max="4615" width="16.125" style="1" bestFit="1" customWidth="1"/>
    <col min="4616" max="4616" width="5.5" style="1" bestFit="1" customWidth="1"/>
    <col min="4617" max="4617" width="16.125" style="1" bestFit="1" customWidth="1"/>
    <col min="4618" max="4618" width="7.5" style="1" bestFit="1" customWidth="1"/>
    <col min="4619" max="4619" width="11.625" style="1" bestFit="1" customWidth="1"/>
    <col min="4620" max="4621" width="7.5" style="1" bestFit="1" customWidth="1"/>
    <col min="4622" max="4864" width="71.25" style="1"/>
    <col min="4865" max="4865" width="5.5" style="1" bestFit="1" customWidth="1"/>
    <col min="4866" max="4866" width="36.125" style="1" bestFit="1" customWidth="1"/>
    <col min="4867" max="4867" width="47.125" style="1" bestFit="1" customWidth="1"/>
    <col min="4868" max="4868" width="0" style="1" hidden="1" customWidth="1"/>
    <col min="4869" max="4869" width="15" style="1" bestFit="1" customWidth="1"/>
    <col min="4870" max="4870" width="10.5" style="1" bestFit="1" customWidth="1"/>
    <col min="4871" max="4871" width="16.125" style="1" bestFit="1" customWidth="1"/>
    <col min="4872" max="4872" width="5.5" style="1" bestFit="1" customWidth="1"/>
    <col min="4873" max="4873" width="16.125" style="1" bestFit="1" customWidth="1"/>
    <col min="4874" max="4874" width="7.5" style="1" bestFit="1" customWidth="1"/>
    <col min="4875" max="4875" width="11.625" style="1" bestFit="1" customWidth="1"/>
    <col min="4876" max="4877" width="7.5" style="1" bestFit="1" customWidth="1"/>
    <col min="4878" max="5120" width="71.25" style="1"/>
    <col min="5121" max="5121" width="5.5" style="1" bestFit="1" customWidth="1"/>
    <col min="5122" max="5122" width="36.125" style="1" bestFit="1" customWidth="1"/>
    <col min="5123" max="5123" width="47.125" style="1" bestFit="1" customWidth="1"/>
    <col min="5124" max="5124" width="0" style="1" hidden="1" customWidth="1"/>
    <col min="5125" max="5125" width="15" style="1" bestFit="1" customWidth="1"/>
    <col min="5126" max="5126" width="10.5" style="1" bestFit="1" customWidth="1"/>
    <col min="5127" max="5127" width="16.125" style="1" bestFit="1" customWidth="1"/>
    <col min="5128" max="5128" width="5.5" style="1" bestFit="1" customWidth="1"/>
    <col min="5129" max="5129" width="16.125" style="1" bestFit="1" customWidth="1"/>
    <col min="5130" max="5130" width="7.5" style="1" bestFit="1" customWidth="1"/>
    <col min="5131" max="5131" width="11.625" style="1" bestFit="1" customWidth="1"/>
    <col min="5132" max="5133" width="7.5" style="1" bestFit="1" customWidth="1"/>
    <col min="5134" max="5376" width="71.25" style="1"/>
    <col min="5377" max="5377" width="5.5" style="1" bestFit="1" customWidth="1"/>
    <col min="5378" max="5378" width="36.125" style="1" bestFit="1" customWidth="1"/>
    <col min="5379" max="5379" width="47.125" style="1" bestFit="1" customWidth="1"/>
    <col min="5380" max="5380" width="0" style="1" hidden="1" customWidth="1"/>
    <col min="5381" max="5381" width="15" style="1" bestFit="1" customWidth="1"/>
    <col min="5382" max="5382" width="10.5" style="1" bestFit="1" customWidth="1"/>
    <col min="5383" max="5383" width="16.125" style="1" bestFit="1" customWidth="1"/>
    <col min="5384" max="5384" width="5.5" style="1" bestFit="1" customWidth="1"/>
    <col min="5385" max="5385" width="16.125" style="1" bestFit="1" customWidth="1"/>
    <col min="5386" max="5386" width="7.5" style="1" bestFit="1" customWidth="1"/>
    <col min="5387" max="5387" width="11.625" style="1" bestFit="1" customWidth="1"/>
    <col min="5388" max="5389" width="7.5" style="1" bestFit="1" customWidth="1"/>
    <col min="5390" max="5632" width="71.25" style="1"/>
    <col min="5633" max="5633" width="5.5" style="1" bestFit="1" customWidth="1"/>
    <col min="5634" max="5634" width="36.125" style="1" bestFit="1" customWidth="1"/>
    <col min="5635" max="5635" width="47.125" style="1" bestFit="1" customWidth="1"/>
    <col min="5636" max="5636" width="0" style="1" hidden="1" customWidth="1"/>
    <col min="5637" max="5637" width="15" style="1" bestFit="1" customWidth="1"/>
    <col min="5638" max="5638" width="10.5" style="1" bestFit="1" customWidth="1"/>
    <col min="5639" max="5639" width="16.125" style="1" bestFit="1" customWidth="1"/>
    <col min="5640" max="5640" width="5.5" style="1" bestFit="1" customWidth="1"/>
    <col min="5641" max="5641" width="16.125" style="1" bestFit="1" customWidth="1"/>
    <col min="5642" max="5642" width="7.5" style="1" bestFit="1" customWidth="1"/>
    <col min="5643" max="5643" width="11.625" style="1" bestFit="1" customWidth="1"/>
    <col min="5644" max="5645" width="7.5" style="1" bestFit="1" customWidth="1"/>
    <col min="5646" max="5888" width="71.25" style="1"/>
    <col min="5889" max="5889" width="5.5" style="1" bestFit="1" customWidth="1"/>
    <col min="5890" max="5890" width="36.125" style="1" bestFit="1" customWidth="1"/>
    <col min="5891" max="5891" width="47.125" style="1" bestFit="1" customWidth="1"/>
    <col min="5892" max="5892" width="0" style="1" hidden="1" customWidth="1"/>
    <col min="5893" max="5893" width="15" style="1" bestFit="1" customWidth="1"/>
    <col min="5894" max="5894" width="10.5" style="1" bestFit="1" customWidth="1"/>
    <col min="5895" max="5895" width="16.125" style="1" bestFit="1" customWidth="1"/>
    <col min="5896" max="5896" width="5.5" style="1" bestFit="1" customWidth="1"/>
    <col min="5897" max="5897" width="16.125" style="1" bestFit="1" customWidth="1"/>
    <col min="5898" max="5898" width="7.5" style="1" bestFit="1" customWidth="1"/>
    <col min="5899" max="5899" width="11.625" style="1" bestFit="1" customWidth="1"/>
    <col min="5900" max="5901" width="7.5" style="1" bestFit="1" customWidth="1"/>
    <col min="5902" max="6144" width="71.25" style="1"/>
    <col min="6145" max="6145" width="5.5" style="1" bestFit="1" customWidth="1"/>
    <col min="6146" max="6146" width="36.125" style="1" bestFit="1" customWidth="1"/>
    <col min="6147" max="6147" width="47.125" style="1" bestFit="1" customWidth="1"/>
    <col min="6148" max="6148" width="0" style="1" hidden="1" customWidth="1"/>
    <col min="6149" max="6149" width="15" style="1" bestFit="1" customWidth="1"/>
    <col min="6150" max="6150" width="10.5" style="1" bestFit="1" customWidth="1"/>
    <col min="6151" max="6151" width="16.125" style="1" bestFit="1" customWidth="1"/>
    <col min="6152" max="6152" width="5.5" style="1" bestFit="1" customWidth="1"/>
    <col min="6153" max="6153" width="16.125" style="1" bestFit="1" customWidth="1"/>
    <col min="6154" max="6154" width="7.5" style="1" bestFit="1" customWidth="1"/>
    <col min="6155" max="6155" width="11.625" style="1" bestFit="1" customWidth="1"/>
    <col min="6156" max="6157" width="7.5" style="1" bestFit="1" customWidth="1"/>
    <col min="6158" max="6400" width="71.25" style="1"/>
    <col min="6401" max="6401" width="5.5" style="1" bestFit="1" customWidth="1"/>
    <col min="6402" max="6402" width="36.125" style="1" bestFit="1" customWidth="1"/>
    <col min="6403" max="6403" width="47.125" style="1" bestFit="1" customWidth="1"/>
    <col min="6404" max="6404" width="0" style="1" hidden="1" customWidth="1"/>
    <col min="6405" max="6405" width="15" style="1" bestFit="1" customWidth="1"/>
    <col min="6406" max="6406" width="10.5" style="1" bestFit="1" customWidth="1"/>
    <col min="6407" max="6407" width="16.125" style="1" bestFit="1" customWidth="1"/>
    <col min="6408" max="6408" width="5.5" style="1" bestFit="1" customWidth="1"/>
    <col min="6409" max="6409" width="16.125" style="1" bestFit="1" customWidth="1"/>
    <col min="6410" max="6410" width="7.5" style="1" bestFit="1" customWidth="1"/>
    <col min="6411" max="6411" width="11.625" style="1" bestFit="1" customWidth="1"/>
    <col min="6412" max="6413" width="7.5" style="1" bestFit="1" customWidth="1"/>
    <col min="6414" max="6656" width="71.25" style="1"/>
    <col min="6657" max="6657" width="5.5" style="1" bestFit="1" customWidth="1"/>
    <col min="6658" max="6658" width="36.125" style="1" bestFit="1" customWidth="1"/>
    <col min="6659" max="6659" width="47.125" style="1" bestFit="1" customWidth="1"/>
    <col min="6660" max="6660" width="0" style="1" hidden="1" customWidth="1"/>
    <col min="6661" max="6661" width="15" style="1" bestFit="1" customWidth="1"/>
    <col min="6662" max="6662" width="10.5" style="1" bestFit="1" customWidth="1"/>
    <col min="6663" max="6663" width="16.125" style="1" bestFit="1" customWidth="1"/>
    <col min="6664" max="6664" width="5.5" style="1" bestFit="1" customWidth="1"/>
    <col min="6665" max="6665" width="16.125" style="1" bestFit="1" customWidth="1"/>
    <col min="6666" max="6666" width="7.5" style="1" bestFit="1" customWidth="1"/>
    <col min="6667" max="6667" width="11.625" style="1" bestFit="1" customWidth="1"/>
    <col min="6668" max="6669" width="7.5" style="1" bestFit="1" customWidth="1"/>
    <col min="6670" max="6912" width="71.25" style="1"/>
    <col min="6913" max="6913" width="5.5" style="1" bestFit="1" customWidth="1"/>
    <col min="6914" max="6914" width="36.125" style="1" bestFit="1" customWidth="1"/>
    <col min="6915" max="6915" width="47.125" style="1" bestFit="1" customWidth="1"/>
    <col min="6916" max="6916" width="0" style="1" hidden="1" customWidth="1"/>
    <col min="6917" max="6917" width="15" style="1" bestFit="1" customWidth="1"/>
    <col min="6918" max="6918" width="10.5" style="1" bestFit="1" customWidth="1"/>
    <col min="6919" max="6919" width="16.125" style="1" bestFit="1" customWidth="1"/>
    <col min="6920" max="6920" width="5.5" style="1" bestFit="1" customWidth="1"/>
    <col min="6921" max="6921" width="16.125" style="1" bestFit="1" customWidth="1"/>
    <col min="6922" max="6922" width="7.5" style="1" bestFit="1" customWidth="1"/>
    <col min="6923" max="6923" width="11.625" style="1" bestFit="1" customWidth="1"/>
    <col min="6924" max="6925" width="7.5" style="1" bestFit="1" customWidth="1"/>
    <col min="6926" max="7168" width="71.25" style="1"/>
    <col min="7169" max="7169" width="5.5" style="1" bestFit="1" customWidth="1"/>
    <col min="7170" max="7170" width="36.125" style="1" bestFit="1" customWidth="1"/>
    <col min="7171" max="7171" width="47.125" style="1" bestFit="1" customWidth="1"/>
    <col min="7172" max="7172" width="0" style="1" hidden="1" customWidth="1"/>
    <col min="7173" max="7173" width="15" style="1" bestFit="1" customWidth="1"/>
    <col min="7174" max="7174" width="10.5" style="1" bestFit="1" customWidth="1"/>
    <col min="7175" max="7175" width="16.125" style="1" bestFit="1" customWidth="1"/>
    <col min="7176" max="7176" width="5.5" style="1" bestFit="1" customWidth="1"/>
    <col min="7177" max="7177" width="16.125" style="1" bestFit="1" customWidth="1"/>
    <col min="7178" max="7178" width="7.5" style="1" bestFit="1" customWidth="1"/>
    <col min="7179" max="7179" width="11.625" style="1" bestFit="1" customWidth="1"/>
    <col min="7180" max="7181" width="7.5" style="1" bestFit="1" customWidth="1"/>
    <col min="7182" max="7424" width="71.25" style="1"/>
    <col min="7425" max="7425" width="5.5" style="1" bestFit="1" customWidth="1"/>
    <col min="7426" max="7426" width="36.125" style="1" bestFit="1" customWidth="1"/>
    <col min="7427" max="7427" width="47.125" style="1" bestFit="1" customWidth="1"/>
    <col min="7428" max="7428" width="0" style="1" hidden="1" customWidth="1"/>
    <col min="7429" max="7429" width="15" style="1" bestFit="1" customWidth="1"/>
    <col min="7430" max="7430" width="10.5" style="1" bestFit="1" customWidth="1"/>
    <col min="7431" max="7431" width="16.125" style="1" bestFit="1" customWidth="1"/>
    <col min="7432" max="7432" width="5.5" style="1" bestFit="1" customWidth="1"/>
    <col min="7433" max="7433" width="16.125" style="1" bestFit="1" customWidth="1"/>
    <col min="7434" max="7434" width="7.5" style="1" bestFit="1" customWidth="1"/>
    <col min="7435" max="7435" width="11.625" style="1" bestFit="1" customWidth="1"/>
    <col min="7436" max="7437" width="7.5" style="1" bestFit="1" customWidth="1"/>
    <col min="7438" max="7680" width="71.25" style="1"/>
    <col min="7681" max="7681" width="5.5" style="1" bestFit="1" customWidth="1"/>
    <col min="7682" max="7682" width="36.125" style="1" bestFit="1" customWidth="1"/>
    <col min="7683" max="7683" width="47.125" style="1" bestFit="1" customWidth="1"/>
    <col min="7684" max="7684" width="0" style="1" hidden="1" customWidth="1"/>
    <col min="7685" max="7685" width="15" style="1" bestFit="1" customWidth="1"/>
    <col min="7686" max="7686" width="10.5" style="1" bestFit="1" customWidth="1"/>
    <col min="7687" max="7687" width="16.125" style="1" bestFit="1" customWidth="1"/>
    <col min="7688" max="7688" width="5.5" style="1" bestFit="1" customWidth="1"/>
    <col min="7689" max="7689" width="16.125" style="1" bestFit="1" customWidth="1"/>
    <col min="7690" max="7690" width="7.5" style="1" bestFit="1" customWidth="1"/>
    <col min="7691" max="7691" width="11.625" style="1" bestFit="1" customWidth="1"/>
    <col min="7692" max="7693" width="7.5" style="1" bestFit="1" customWidth="1"/>
    <col min="7694" max="7936" width="71.25" style="1"/>
    <col min="7937" max="7937" width="5.5" style="1" bestFit="1" customWidth="1"/>
    <col min="7938" max="7938" width="36.125" style="1" bestFit="1" customWidth="1"/>
    <col min="7939" max="7939" width="47.125" style="1" bestFit="1" customWidth="1"/>
    <col min="7940" max="7940" width="0" style="1" hidden="1" customWidth="1"/>
    <col min="7941" max="7941" width="15" style="1" bestFit="1" customWidth="1"/>
    <col min="7942" max="7942" width="10.5" style="1" bestFit="1" customWidth="1"/>
    <col min="7943" max="7943" width="16.125" style="1" bestFit="1" customWidth="1"/>
    <col min="7944" max="7944" width="5.5" style="1" bestFit="1" customWidth="1"/>
    <col min="7945" max="7945" width="16.125" style="1" bestFit="1" customWidth="1"/>
    <col min="7946" max="7946" width="7.5" style="1" bestFit="1" customWidth="1"/>
    <col min="7947" max="7947" width="11.625" style="1" bestFit="1" customWidth="1"/>
    <col min="7948" max="7949" width="7.5" style="1" bestFit="1" customWidth="1"/>
    <col min="7950" max="8192" width="71.25" style="1"/>
    <col min="8193" max="8193" width="5.5" style="1" bestFit="1" customWidth="1"/>
    <col min="8194" max="8194" width="36.125" style="1" bestFit="1" customWidth="1"/>
    <col min="8195" max="8195" width="47.125" style="1" bestFit="1" customWidth="1"/>
    <col min="8196" max="8196" width="0" style="1" hidden="1" customWidth="1"/>
    <col min="8197" max="8197" width="15" style="1" bestFit="1" customWidth="1"/>
    <col min="8198" max="8198" width="10.5" style="1" bestFit="1" customWidth="1"/>
    <col min="8199" max="8199" width="16.125" style="1" bestFit="1" customWidth="1"/>
    <col min="8200" max="8200" width="5.5" style="1" bestFit="1" customWidth="1"/>
    <col min="8201" max="8201" width="16.125" style="1" bestFit="1" customWidth="1"/>
    <col min="8202" max="8202" width="7.5" style="1" bestFit="1" customWidth="1"/>
    <col min="8203" max="8203" width="11.625" style="1" bestFit="1" customWidth="1"/>
    <col min="8204" max="8205" width="7.5" style="1" bestFit="1" customWidth="1"/>
    <col min="8206" max="8448" width="71.25" style="1"/>
    <col min="8449" max="8449" width="5.5" style="1" bestFit="1" customWidth="1"/>
    <col min="8450" max="8450" width="36.125" style="1" bestFit="1" customWidth="1"/>
    <col min="8451" max="8451" width="47.125" style="1" bestFit="1" customWidth="1"/>
    <col min="8452" max="8452" width="0" style="1" hidden="1" customWidth="1"/>
    <col min="8453" max="8453" width="15" style="1" bestFit="1" customWidth="1"/>
    <col min="8454" max="8454" width="10.5" style="1" bestFit="1" customWidth="1"/>
    <col min="8455" max="8455" width="16.125" style="1" bestFit="1" customWidth="1"/>
    <col min="8456" max="8456" width="5.5" style="1" bestFit="1" customWidth="1"/>
    <col min="8457" max="8457" width="16.125" style="1" bestFit="1" customWidth="1"/>
    <col min="8458" max="8458" width="7.5" style="1" bestFit="1" customWidth="1"/>
    <col min="8459" max="8459" width="11.625" style="1" bestFit="1" customWidth="1"/>
    <col min="8460" max="8461" width="7.5" style="1" bestFit="1" customWidth="1"/>
    <col min="8462" max="8704" width="71.25" style="1"/>
    <col min="8705" max="8705" width="5.5" style="1" bestFit="1" customWidth="1"/>
    <col min="8706" max="8706" width="36.125" style="1" bestFit="1" customWidth="1"/>
    <col min="8707" max="8707" width="47.125" style="1" bestFit="1" customWidth="1"/>
    <col min="8708" max="8708" width="0" style="1" hidden="1" customWidth="1"/>
    <col min="8709" max="8709" width="15" style="1" bestFit="1" customWidth="1"/>
    <col min="8710" max="8710" width="10.5" style="1" bestFit="1" customWidth="1"/>
    <col min="8711" max="8711" width="16.125" style="1" bestFit="1" customWidth="1"/>
    <col min="8712" max="8712" width="5.5" style="1" bestFit="1" customWidth="1"/>
    <col min="8713" max="8713" width="16.125" style="1" bestFit="1" customWidth="1"/>
    <col min="8714" max="8714" width="7.5" style="1" bestFit="1" customWidth="1"/>
    <col min="8715" max="8715" width="11.625" style="1" bestFit="1" customWidth="1"/>
    <col min="8716" max="8717" width="7.5" style="1" bestFit="1" customWidth="1"/>
    <col min="8718" max="8960" width="71.25" style="1"/>
    <col min="8961" max="8961" width="5.5" style="1" bestFit="1" customWidth="1"/>
    <col min="8962" max="8962" width="36.125" style="1" bestFit="1" customWidth="1"/>
    <col min="8963" max="8963" width="47.125" style="1" bestFit="1" customWidth="1"/>
    <col min="8964" max="8964" width="0" style="1" hidden="1" customWidth="1"/>
    <col min="8965" max="8965" width="15" style="1" bestFit="1" customWidth="1"/>
    <col min="8966" max="8966" width="10.5" style="1" bestFit="1" customWidth="1"/>
    <col min="8967" max="8967" width="16.125" style="1" bestFit="1" customWidth="1"/>
    <col min="8968" max="8968" width="5.5" style="1" bestFit="1" customWidth="1"/>
    <col min="8969" max="8969" width="16.125" style="1" bestFit="1" customWidth="1"/>
    <col min="8970" max="8970" width="7.5" style="1" bestFit="1" customWidth="1"/>
    <col min="8971" max="8971" width="11.625" style="1" bestFit="1" customWidth="1"/>
    <col min="8972" max="8973" width="7.5" style="1" bestFit="1" customWidth="1"/>
    <col min="8974" max="9216" width="71.25" style="1"/>
    <col min="9217" max="9217" width="5.5" style="1" bestFit="1" customWidth="1"/>
    <col min="9218" max="9218" width="36.125" style="1" bestFit="1" customWidth="1"/>
    <col min="9219" max="9219" width="47.125" style="1" bestFit="1" customWidth="1"/>
    <col min="9220" max="9220" width="0" style="1" hidden="1" customWidth="1"/>
    <col min="9221" max="9221" width="15" style="1" bestFit="1" customWidth="1"/>
    <col min="9222" max="9222" width="10.5" style="1" bestFit="1" customWidth="1"/>
    <col min="9223" max="9223" width="16.125" style="1" bestFit="1" customWidth="1"/>
    <col min="9224" max="9224" width="5.5" style="1" bestFit="1" customWidth="1"/>
    <col min="9225" max="9225" width="16.125" style="1" bestFit="1" customWidth="1"/>
    <col min="9226" max="9226" width="7.5" style="1" bestFit="1" customWidth="1"/>
    <col min="9227" max="9227" width="11.625" style="1" bestFit="1" customWidth="1"/>
    <col min="9228" max="9229" width="7.5" style="1" bestFit="1" customWidth="1"/>
    <col min="9230" max="9472" width="71.25" style="1"/>
    <col min="9473" max="9473" width="5.5" style="1" bestFit="1" customWidth="1"/>
    <col min="9474" max="9474" width="36.125" style="1" bestFit="1" customWidth="1"/>
    <col min="9475" max="9475" width="47.125" style="1" bestFit="1" customWidth="1"/>
    <col min="9476" max="9476" width="0" style="1" hidden="1" customWidth="1"/>
    <col min="9477" max="9477" width="15" style="1" bestFit="1" customWidth="1"/>
    <col min="9478" max="9478" width="10.5" style="1" bestFit="1" customWidth="1"/>
    <col min="9479" max="9479" width="16.125" style="1" bestFit="1" customWidth="1"/>
    <col min="9480" max="9480" width="5.5" style="1" bestFit="1" customWidth="1"/>
    <col min="9481" max="9481" width="16.125" style="1" bestFit="1" customWidth="1"/>
    <col min="9482" max="9482" width="7.5" style="1" bestFit="1" customWidth="1"/>
    <col min="9483" max="9483" width="11.625" style="1" bestFit="1" customWidth="1"/>
    <col min="9484" max="9485" width="7.5" style="1" bestFit="1" customWidth="1"/>
    <col min="9486" max="9728" width="71.25" style="1"/>
    <col min="9729" max="9729" width="5.5" style="1" bestFit="1" customWidth="1"/>
    <col min="9730" max="9730" width="36.125" style="1" bestFit="1" customWidth="1"/>
    <col min="9731" max="9731" width="47.125" style="1" bestFit="1" customWidth="1"/>
    <col min="9732" max="9732" width="0" style="1" hidden="1" customWidth="1"/>
    <col min="9733" max="9733" width="15" style="1" bestFit="1" customWidth="1"/>
    <col min="9734" max="9734" width="10.5" style="1" bestFit="1" customWidth="1"/>
    <col min="9735" max="9735" width="16.125" style="1" bestFit="1" customWidth="1"/>
    <col min="9736" max="9736" width="5.5" style="1" bestFit="1" customWidth="1"/>
    <col min="9737" max="9737" width="16.125" style="1" bestFit="1" customWidth="1"/>
    <col min="9738" max="9738" width="7.5" style="1" bestFit="1" customWidth="1"/>
    <col min="9739" max="9739" width="11.625" style="1" bestFit="1" customWidth="1"/>
    <col min="9740" max="9741" width="7.5" style="1" bestFit="1" customWidth="1"/>
    <col min="9742" max="9984" width="71.25" style="1"/>
    <col min="9985" max="9985" width="5.5" style="1" bestFit="1" customWidth="1"/>
    <col min="9986" max="9986" width="36.125" style="1" bestFit="1" customWidth="1"/>
    <col min="9987" max="9987" width="47.125" style="1" bestFit="1" customWidth="1"/>
    <col min="9988" max="9988" width="0" style="1" hidden="1" customWidth="1"/>
    <col min="9989" max="9989" width="15" style="1" bestFit="1" customWidth="1"/>
    <col min="9990" max="9990" width="10.5" style="1" bestFit="1" customWidth="1"/>
    <col min="9991" max="9991" width="16.125" style="1" bestFit="1" customWidth="1"/>
    <col min="9992" max="9992" width="5.5" style="1" bestFit="1" customWidth="1"/>
    <col min="9993" max="9993" width="16.125" style="1" bestFit="1" customWidth="1"/>
    <col min="9994" max="9994" width="7.5" style="1" bestFit="1" customWidth="1"/>
    <col min="9995" max="9995" width="11.625" style="1" bestFit="1" customWidth="1"/>
    <col min="9996" max="9997" width="7.5" style="1" bestFit="1" customWidth="1"/>
    <col min="9998" max="10240" width="71.25" style="1"/>
    <col min="10241" max="10241" width="5.5" style="1" bestFit="1" customWidth="1"/>
    <col min="10242" max="10242" width="36.125" style="1" bestFit="1" customWidth="1"/>
    <col min="10243" max="10243" width="47.125" style="1" bestFit="1" customWidth="1"/>
    <col min="10244" max="10244" width="0" style="1" hidden="1" customWidth="1"/>
    <col min="10245" max="10245" width="15" style="1" bestFit="1" customWidth="1"/>
    <col min="10246" max="10246" width="10.5" style="1" bestFit="1" customWidth="1"/>
    <col min="10247" max="10247" width="16.125" style="1" bestFit="1" customWidth="1"/>
    <col min="10248" max="10248" width="5.5" style="1" bestFit="1" customWidth="1"/>
    <col min="10249" max="10249" width="16.125" style="1" bestFit="1" customWidth="1"/>
    <col min="10250" max="10250" width="7.5" style="1" bestFit="1" customWidth="1"/>
    <col min="10251" max="10251" width="11.625" style="1" bestFit="1" customWidth="1"/>
    <col min="10252" max="10253" width="7.5" style="1" bestFit="1" customWidth="1"/>
    <col min="10254" max="10496" width="71.25" style="1"/>
    <col min="10497" max="10497" width="5.5" style="1" bestFit="1" customWidth="1"/>
    <col min="10498" max="10498" width="36.125" style="1" bestFit="1" customWidth="1"/>
    <col min="10499" max="10499" width="47.125" style="1" bestFit="1" customWidth="1"/>
    <col min="10500" max="10500" width="0" style="1" hidden="1" customWidth="1"/>
    <col min="10501" max="10501" width="15" style="1" bestFit="1" customWidth="1"/>
    <col min="10502" max="10502" width="10.5" style="1" bestFit="1" customWidth="1"/>
    <col min="10503" max="10503" width="16.125" style="1" bestFit="1" customWidth="1"/>
    <col min="10504" max="10504" width="5.5" style="1" bestFit="1" customWidth="1"/>
    <col min="10505" max="10505" width="16.125" style="1" bestFit="1" customWidth="1"/>
    <col min="10506" max="10506" width="7.5" style="1" bestFit="1" customWidth="1"/>
    <col min="10507" max="10507" width="11.625" style="1" bestFit="1" customWidth="1"/>
    <col min="10508" max="10509" width="7.5" style="1" bestFit="1" customWidth="1"/>
    <col min="10510" max="10752" width="71.25" style="1"/>
    <col min="10753" max="10753" width="5.5" style="1" bestFit="1" customWidth="1"/>
    <col min="10754" max="10754" width="36.125" style="1" bestFit="1" customWidth="1"/>
    <col min="10755" max="10755" width="47.125" style="1" bestFit="1" customWidth="1"/>
    <col min="10756" max="10756" width="0" style="1" hidden="1" customWidth="1"/>
    <col min="10757" max="10757" width="15" style="1" bestFit="1" customWidth="1"/>
    <col min="10758" max="10758" width="10.5" style="1" bestFit="1" customWidth="1"/>
    <col min="10759" max="10759" width="16.125" style="1" bestFit="1" customWidth="1"/>
    <col min="10760" max="10760" width="5.5" style="1" bestFit="1" customWidth="1"/>
    <col min="10761" max="10761" width="16.125" style="1" bestFit="1" customWidth="1"/>
    <col min="10762" max="10762" width="7.5" style="1" bestFit="1" customWidth="1"/>
    <col min="10763" max="10763" width="11.625" style="1" bestFit="1" customWidth="1"/>
    <col min="10764" max="10765" width="7.5" style="1" bestFit="1" customWidth="1"/>
    <col min="10766" max="11008" width="71.25" style="1"/>
    <col min="11009" max="11009" width="5.5" style="1" bestFit="1" customWidth="1"/>
    <col min="11010" max="11010" width="36.125" style="1" bestFit="1" customWidth="1"/>
    <col min="11011" max="11011" width="47.125" style="1" bestFit="1" customWidth="1"/>
    <col min="11012" max="11012" width="0" style="1" hidden="1" customWidth="1"/>
    <col min="11013" max="11013" width="15" style="1" bestFit="1" customWidth="1"/>
    <col min="11014" max="11014" width="10.5" style="1" bestFit="1" customWidth="1"/>
    <col min="11015" max="11015" width="16.125" style="1" bestFit="1" customWidth="1"/>
    <col min="11016" max="11016" width="5.5" style="1" bestFit="1" customWidth="1"/>
    <col min="11017" max="11017" width="16.125" style="1" bestFit="1" customWidth="1"/>
    <col min="11018" max="11018" width="7.5" style="1" bestFit="1" customWidth="1"/>
    <col min="11019" max="11019" width="11.625" style="1" bestFit="1" customWidth="1"/>
    <col min="11020" max="11021" width="7.5" style="1" bestFit="1" customWidth="1"/>
    <col min="11022" max="11264" width="71.25" style="1"/>
    <col min="11265" max="11265" width="5.5" style="1" bestFit="1" customWidth="1"/>
    <col min="11266" max="11266" width="36.125" style="1" bestFit="1" customWidth="1"/>
    <col min="11267" max="11267" width="47.125" style="1" bestFit="1" customWidth="1"/>
    <col min="11268" max="11268" width="0" style="1" hidden="1" customWidth="1"/>
    <col min="11269" max="11269" width="15" style="1" bestFit="1" customWidth="1"/>
    <col min="11270" max="11270" width="10.5" style="1" bestFit="1" customWidth="1"/>
    <col min="11271" max="11271" width="16.125" style="1" bestFit="1" customWidth="1"/>
    <col min="11272" max="11272" width="5.5" style="1" bestFit="1" customWidth="1"/>
    <col min="11273" max="11273" width="16.125" style="1" bestFit="1" customWidth="1"/>
    <col min="11274" max="11274" width="7.5" style="1" bestFit="1" customWidth="1"/>
    <col min="11275" max="11275" width="11.625" style="1" bestFit="1" customWidth="1"/>
    <col min="11276" max="11277" width="7.5" style="1" bestFit="1" customWidth="1"/>
    <col min="11278" max="11520" width="71.25" style="1"/>
    <col min="11521" max="11521" width="5.5" style="1" bestFit="1" customWidth="1"/>
    <col min="11522" max="11522" width="36.125" style="1" bestFit="1" customWidth="1"/>
    <col min="11523" max="11523" width="47.125" style="1" bestFit="1" customWidth="1"/>
    <col min="11524" max="11524" width="0" style="1" hidden="1" customWidth="1"/>
    <col min="11525" max="11525" width="15" style="1" bestFit="1" customWidth="1"/>
    <col min="11526" max="11526" width="10.5" style="1" bestFit="1" customWidth="1"/>
    <col min="11527" max="11527" width="16.125" style="1" bestFit="1" customWidth="1"/>
    <col min="11528" max="11528" width="5.5" style="1" bestFit="1" customWidth="1"/>
    <col min="11529" max="11529" width="16.125" style="1" bestFit="1" customWidth="1"/>
    <col min="11530" max="11530" width="7.5" style="1" bestFit="1" customWidth="1"/>
    <col min="11531" max="11531" width="11.625" style="1" bestFit="1" customWidth="1"/>
    <col min="11532" max="11533" width="7.5" style="1" bestFit="1" customWidth="1"/>
    <col min="11534" max="11776" width="71.25" style="1"/>
    <col min="11777" max="11777" width="5.5" style="1" bestFit="1" customWidth="1"/>
    <col min="11778" max="11778" width="36.125" style="1" bestFit="1" customWidth="1"/>
    <col min="11779" max="11779" width="47.125" style="1" bestFit="1" customWidth="1"/>
    <col min="11780" max="11780" width="0" style="1" hidden="1" customWidth="1"/>
    <col min="11781" max="11781" width="15" style="1" bestFit="1" customWidth="1"/>
    <col min="11782" max="11782" width="10.5" style="1" bestFit="1" customWidth="1"/>
    <col min="11783" max="11783" width="16.125" style="1" bestFit="1" customWidth="1"/>
    <col min="11784" max="11784" width="5.5" style="1" bestFit="1" customWidth="1"/>
    <col min="11785" max="11785" width="16.125" style="1" bestFit="1" customWidth="1"/>
    <col min="11786" max="11786" width="7.5" style="1" bestFit="1" customWidth="1"/>
    <col min="11787" max="11787" width="11.625" style="1" bestFit="1" customWidth="1"/>
    <col min="11788" max="11789" width="7.5" style="1" bestFit="1" customWidth="1"/>
    <col min="11790" max="12032" width="71.25" style="1"/>
    <col min="12033" max="12033" width="5.5" style="1" bestFit="1" customWidth="1"/>
    <col min="12034" max="12034" width="36.125" style="1" bestFit="1" customWidth="1"/>
    <col min="12035" max="12035" width="47.125" style="1" bestFit="1" customWidth="1"/>
    <col min="12036" max="12036" width="0" style="1" hidden="1" customWidth="1"/>
    <col min="12037" max="12037" width="15" style="1" bestFit="1" customWidth="1"/>
    <col min="12038" max="12038" width="10.5" style="1" bestFit="1" customWidth="1"/>
    <col min="12039" max="12039" width="16.125" style="1" bestFit="1" customWidth="1"/>
    <col min="12040" max="12040" width="5.5" style="1" bestFit="1" customWidth="1"/>
    <col min="12041" max="12041" width="16.125" style="1" bestFit="1" customWidth="1"/>
    <col min="12042" max="12042" width="7.5" style="1" bestFit="1" customWidth="1"/>
    <col min="12043" max="12043" width="11.625" style="1" bestFit="1" customWidth="1"/>
    <col min="12044" max="12045" width="7.5" style="1" bestFit="1" customWidth="1"/>
    <col min="12046" max="12288" width="71.25" style="1"/>
    <col min="12289" max="12289" width="5.5" style="1" bestFit="1" customWidth="1"/>
    <col min="12290" max="12290" width="36.125" style="1" bestFit="1" customWidth="1"/>
    <col min="12291" max="12291" width="47.125" style="1" bestFit="1" customWidth="1"/>
    <col min="12292" max="12292" width="0" style="1" hidden="1" customWidth="1"/>
    <col min="12293" max="12293" width="15" style="1" bestFit="1" customWidth="1"/>
    <col min="12294" max="12294" width="10.5" style="1" bestFit="1" customWidth="1"/>
    <col min="12295" max="12295" width="16.125" style="1" bestFit="1" customWidth="1"/>
    <col min="12296" max="12296" width="5.5" style="1" bestFit="1" customWidth="1"/>
    <col min="12297" max="12297" width="16.125" style="1" bestFit="1" customWidth="1"/>
    <col min="12298" max="12298" width="7.5" style="1" bestFit="1" customWidth="1"/>
    <col min="12299" max="12299" width="11.625" style="1" bestFit="1" customWidth="1"/>
    <col min="12300" max="12301" width="7.5" style="1" bestFit="1" customWidth="1"/>
    <col min="12302" max="12544" width="71.25" style="1"/>
    <col min="12545" max="12545" width="5.5" style="1" bestFit="1" customWidth="1"/>
    <col min="12546" max="12546" width="36.125" style="1" bestFit="1" customWidth="1"/>
    <col min="12547" max="12547" width="47.125" style="1" bestFit="1" customWidth="1"/>
    <col min="12548" max="12548" width="0" style="1" hidden="1" customWidth="1"/>
    <col min="12549" max="12549" width="15" style="1" bestFit="1" customWidth="1"/>
    <col min="12550" max="12550" width="10.5" style="1" bestFit="1" customWidth="1"/>
    <col min="12551" max="12551" width="16.125" style="1" bestFit="1" customWidth="1"/>
    <col min="12552" max="12552" width="5.5" style="1" bestFit="1" customWidth="1"/>
    <col min="12553" max="12553" width="16.125" style="1" bestFit="1" customWidth="1"/>
    <col min="12554" max="12554" width="7.5" style="1" bestFit="1" customWidth="1"/>
    <col min="12555" max="12555" width="11.625" style="1" bestFit="1" customWidth="1"/>
    <col min="12556" max="12557" width="7.5" style="1" bestFit="1" customWidth="1"/>
    <col min="12558" max="12800" width="71.25" style="1"/>
    <col min="12801" max="12801" width="5.5" style="1" bestFit="1" customWidth="1"/>
    <col min="12802" max="12802" width="36.125" style="1" bestFit="1" customWidth="1"/>
    <col min="12803" max="12803" width="47.125" style="1" bestFit="1" customWidth="1"/>
    <col min="12804" max="12804" width="0" style="1" hidden="1" customWidth="1"/>
    <col min="12805" max="12805" width="15" style="1" bestFit="1" customWidth="1"/>
    <col min="12806" max="12806" width="10.5" style="1" bestFit="1" customWidth="1"/>
    <col min="12807" max="12807" width="16.125" style="1" bestFit="1" customWidth="1"/>
    <col min="12808" max="12808" width="5.5" style="1" bestFit="1" customWidth="1"/>
    <col min="12809" max="12809" width="16.125" style="1" bestFit="1" customWidth="1"/>
    <col min="12810" max="12810" width="7.5" style="1" bestFit="1" customWidth="1"/>
    <col min="12811" max="12811" width="11.625" style="1" bestFit="1" customWidth="1"/>
    <col min="12812" max="12813" width="7.5" style="1" bestFit="1" customWidth="1"/>
    <col min="12814" max="13056" width="71.25" style="1"/>
    <col min="13057" max="13057" width="5.5" style="1" bestFit="1" customWidth="1"/>
    <col min="13058" max="13058" width="36.125" style="1" bestFit="1" customWidth="1"/>
    <col min="13059" max="13059" width="47.125" style="1" bestFit="1" customWidth="1"/>
    <col min="13060" max="13060" width="0" style="1" hidden="1" customWidth="1"/>
    <col min="13061" max="13061" width="15" style="1" bestFit="1" customWidth="1"/>
    <col min="13062" max="13062" width="10.5" style="1" bestFit="1" customWidth="1"/>
    <col min="13063" max="13063" width="16.125" style="1" bestFit="1" customWidth="1"/>
    <col min="13064" max="13064" width="5.5" style="1" bestFit="1" customWidth="1"/>
    <col min="13065" max="13065" width="16.125" style="1" bestFit="1" customWidth="1"/>
    <col min="13066" max="13066" width="7.5" style="1" bestFit="1" customWidth="1"/>
    <col min="13067" max="13067" width="11.625" style="1" bestFit="1" customWidth="1"/>
    <col min="13068" max="13069" width="7.5" style="1" bestFit="1" customWidth="1"/>
    <col min="13070" max="13312" width="71.25" style="1"/>
    <col min="13313" max="13313" width="5.5" style="1" bestFit="1" customWidth="1"/>
    <col min="13314" max="13314" width="36.125" style="1" bestFit="1" customWidth="1"/>
    <col min="13315" max="13315" width="47.125" style="1" bestFit="1" customWidth="1"/>
    <col min="13316" max="13316" width="0" style="1" hidden="1" customWidth="1"/>
    <col min="13317" max="13317" width="15" style="1" bestFit="1" customWidth="1"/>
    <col min="13318" max="13318" width="10.5" style="1" bestFit="1" customWidth="1"/>
    <col min="13319" max="13319" width="16.125" style="1" bestFit="1" customWidth="1"/>
    <col min="13320" max="13320" width="5.5" style="1" bestFit="1" customWidth="1"/>
    <col min="13321" max="13321" width="16.125" style="1" bestFit="1" customWidth="1"/>
    <col min="13322" max="13322" width="7.5" style="1" bestFit="1" customWidth="1"/>
    <col min="13323" max="13323" width="11.625" style="1" bestFit="1" customWidth="1"/>
    <col min="13324" max="13325" width="7.5" style="1" bestFit="1" customWidth="1"/>
    <col min="13326" max="13568" width="71.25" style="1"/>
    <col min="13569" max="13569" width="5.5" style="1" bestFit="1" customWidth="1"/>
    <col min="13570" max="13570" width="36.125" style="1" bestFit="1" customWidth="1"/>
    <col min="13571" max="13571" width="47.125" style="1" bestFit="1" customWidth="1"/>
    <col min="13572" max="13572" width="0" style="1" hidden="1" customWidth="1"/>
    <col min="13573" max="13573" width="15" style="1" bestFit="1" customWidth="1"/>
    <col min="13574" max="13574" width="10.5" style="1" bestFit="1" customWidth="1"/>
    <col min="13575" max="13575" width="16.125" style="1" bestFit="1" customWidth="1"/>
    <col min="13576" max="13576" width="5.5" style="1" bestFit="1" customWidth="1"/>
    <col min="13577" max="13577" width="16.125" style="1" bestFit="1" customWidth="1"/>
    <col min="13578" max="13578" width="7.5" style="1" bestFit="1" customWidth="1"/>
    <col min="13579" max="13579" width="11.625" style="1" bestFit="1" customWidth="1"/>
    <col min="13580" max="13581" width="7.5" style="1" bestFit="1" customWidth="1"/>
    <col min="13582" max="13824" width="71.25" style="1"/>
    <col min="13825" max="13825" width="5.5" style="1" bestFit="1" customWidth="1"/>
    <col min="13826" max="13826" width="36.125" style="1" bestFit="1" customWidth="1"/>
    <col min="13827" max="13827" width="47.125" style="1" bestFit="1" customWidth="1"/>
    <col min="13828" max="13828" width="0" style="1" hidden="1" customWidth="1"/>
    <col min="13829" max="13829" width="15" style="1" bestFit="1" customWidth="1"/>
    <col min="13830" max="13830" width="10.5" style="1" bestFit="1" customWidth="1"/>
    <col min="13831" max="13831" width="16.125" style="1" bestFit="1" customWidth="1"/>
    <col min="13832" max="13832" width="5.5" style="1" bestFit="1" customWidth="1"/>
    <col min="13833" max="13833" width="16.125" style="1" bestFit="1" customWidth="1"/>
    <col min="13834" max="13834" width="7.5" style="1" bestFit="1" customWidth="1"/>
    <col min="13835" max="13835" width="11.625" style="1" bestFit="1" customWidth="1"/>
    <col min="13836" max="13837" width="7.5" style="1" bestFit="1" customWidth="1"/>
    <col min="13838" max="14080" width="71.25" style="1"/>
    <col min="14081" max="14081" width="5.5" style="1" bestFit="1" customWidth="1"/>
    <col min="14082" max="14082" width="36.125" style="1" bestFit="1" customWidth="1"/>
    <col min="14083" max="14083" width="47.125" style="1" bestFit="1" customWidth="1"/>
    <col min="14084" max="14084" width="0" style="1" hidden="1" customWidth="1"/>
    <col min="14085" max="14085" width="15" style="1" bestFit="1" customWidth="1"/>
    <col min="14086" max="14086" width="10.5" style="1" bestFit="1" customWidth="1"/>
    <col min="14087" max="14087" width="16.125" style="1" bestFit="1" customWidth="1"/>
    <col min="14088" max="14088" width="5.5" style="1" bestFit="1" customWidth="1"/>
    <col min="14089" max="14089" width="16.125" style="1" bestFit="1" customWidth="1"/>
    <col min="14090" max="14090" width="7.5" style="1" bestFit="1" customWidth="1"/>
    <col min="14091" max="14091" width="11.625" style="1" bestFit="1" customWidth="1"/>
    <col min="14092" max="14093" width="7.5" style="1" bestFit="1" customWidth="1"/>
    <col min="14094" max="14336" width="71.25" style="1"/>
    <col min="14337" max="14337" width="5.5" style="1" bestFit="1" customWidth="1"/>
    <col min="14338" max="14338" width="36.125" style="1" bestFit="1" customWidth="1"/>
    <col min="14339" max="14339" width="47.125" style="1" bestFit="1" customWidth="1"/>
    <col min="14340" max="14340" width="0" style="1" hidden="1" customWidth="1"/>
    <col min="14341" max="14341" width="15" style="1" bestFit="1" customWidth="1"/>
    <col min="14342" max="14342" width="10.5" style="1" bestFit="1" customWidth="1"/>
    <col min="14343" max="14343" width="16.125" style="1" bestFit="1" customWidth="1"/>
    <col min="14344" max="14344" width="5.5" style="1" bestFit="1" customWidth="1"/>
    <col min="14345" max="14345" width="16.125" style="1" bestFit="1" customWidth="1"/>
    <col min="14346" max="14346" width="7.5" style="1" bestFit="1" customWidth="1"/>
    <col min="14347" max="14347" width="11.625" style="1" bestFit="1" customWidth="1"/>
    <col min="14348" max="14349" width="7.5" style="1" bestFit="1" customWidth="1"/>
    <col min="14350" max="14592" width="71.25" style="1"/>
    <col min="14593" max="14593" width="5.5" style="1" bestFit="1" customWidth="1"/>
    <col min="14594" max="14594" width="36.125" style="1" bestFit="1" customWidth="1"/>
    <col min="14595" max="14595" width="47.125" style="1" bestFit="1" customWidth="1"/>
    <col min="14596" max="14596" width="0" style="1" hidden="1" customWidth="1"/>
    <col min="14597" max="14597" width="15" style="1" bestFit="1" customWidth="1"/>
    <col min="14598" max="14598" width="10.5" style="1" bestFit="1" customWidth="1"/>
    <col min="14599" max="14599" width="16.125" style="1" bestFit="1" customWidth="1"/>
    <col min="14600" max="14600" width="5.5" style="1" bestFit="1" customWidth="1"/>
    <col min="14601" max="14601" width="16.125" style="1" bestFit="1" customWidth="1"/>
    <col min="14602" max="14602" width="7.5" style="1" bestFit="1" customWidth="1"/>
    <col min="14603" max="14603" width="11.625" style="1" bestFit="1" customWidth="1"/>
    <col min="14604" max="14605" width="7.5" style="1" bestFit="1" customWidth="1"/>
    <col min="14606" max="14848" width="71.25" style="1"/>
    <col min="14849" max="14849" width="5.5" style="1" bestFit="1" customWidth="1"/>
    <col min="14850" max="14850" width="36.125" style="1" bestFit="1" customWidth="1"/>
    <col min="14851" max="14851" width="47.125" style="1" bestFit="1" customWidth="1"/>
    <col min="14852" max="14852" width="0" style="1" hidden="1" customWidth="1"/>
    <col min="14853" max="14853" width="15" style="1" bestFit="1" customWidth="1"/>
    <col min="14854" max="14854" width="10.5" style="1" bestFit="1" customWidth="1"/>
    <col min="14855" max="14855" width="16.125" style="1" bestFit="1" customWidth="1"/>
    <col min="14856" max="14856" width="5.5" style="1" bestFit="1" customWidth="1"/>
    <col min="14857" max="14857" width="16.125" style="1" bestFit="1" customWidth="1"/>
    <col min="14858" max="14858" width="7.5" style="1" bestFit="1" customWidth="1"/>
    <col min="14859" max="14859" width="11.625" style="1" bestFit="1" customWidth="1"/>
    <col min="14860" max="14861" width="7.5" style="1" bestFit="1" customWidth="1"/>
    <col min="14862" max="15104" width="71.25" style="1"/>
    <col min="15105" max="15105" width="5.5" style="1" bestFit="1" customWidth="1"/>
    <col min="15106" max="15106" width="36.125" style="1" bestFit="1" customWidth="1"/>
    <col min="15107" max="15107" width="47.125" style="1" bestFit="1" customWidth="1"/>
    <col min="15108" max="15108" width="0" style="1" hidden="1" customWidth="1"/>
    <col min="15109" max="15109" width="15" style="1" bestFit="1" customWidth="1"/>
    <col min="15110" max="15110" width="10.5" style="1" bestFit="1" customWidth="1"/>
    <col min="15111" max="15111" width="16.125" style="1" bestFit="1" customWidth="1"/>
    <col min="15112" max="15112" width="5.5" style="1" bestFit="1" customWidth="1"/>
    <col min="15113" max="15113" width="16.125" style="1" bestFit="1" customWidth="1"/>
    <col min="15114" max="15114" width="7.5" style="1" bestFit="1" customWidth="1"/>
    <col min="15115" max="15115" width="11.625" style="1" bestFit="1" customWidth="1"/>
    <col min="15116" max="15117" width="7.5" style="1" bestFit="1" customWidth="1"/>
    <col min="15118" max="15360" width="71.25" style="1"/>
    <col min="15361" max="15361" width="5.5" style="1" bestFit="1" customWidth="1"/>
    <col min="15362" max="15362" width="36.125" style="1" bestFit="1" customWidth="1"/>
    <col min="15363" max="15363" width="47.125" style="1" bestFit="1" customWidth="1"/>
    <col min="15364" max="15364" width="0" style="1" hidden="1" customWidth="1"/>
    <col min="15365" max="15365" width="15" style="1" bestFit="1" customWidth="1"/>
    <col min="15366" max="15366" width="10.5" style="1" bestFit="1" customWidth="1"/>
    <col min="15367" max="15367" width="16.125" style="1" bestFit="1" customWidth="1"/>
    <col min="15368" max="15368" width="5.5" style="1" bestFit="1" customWidth="1"/>
    <col min="15369" max="15369" width="16.125" style="1" bestFit="1" customWidth="1"/>
    <col min="15370" max="15370" width="7.5" style="1" bestFit="1" customWidth="1"/>
    <col min="15371" max="15371" width="11.625" style="1" bestFit="1" customWidth="1"/>
    <col min="15372" max="15373" width="7.5" style="1" bestFit="1" customWidth="1"/>
    <col min="15374" max="15616" width="71.25" style="1"/>
    <col min="15617" max="15617" width="5.5" style="1" bestFit="1" customWidth="1"/>
    <col min="15618" max="15618" width="36.125" style="1" bestFit="1" customWidth="1"/>
    <col min="15619" max="15619" width="47.125" style="1" bestFit="1" customWidth="1"/>
    <col min="15620" max="15620" width="0" style="1" hidden="1" customWidth="1"/>
    <col min="15621" max="15621" width="15" style="1" bestFit="1" customWidth="1"/>
    <col min="15622" max="15622" width="10.5" style="1" bestFit="1" customWidth="1"/>
    <col min="15623" max="15623" width="16.125" style="1" bestFit="1" customWidth="1"/>
    <col min="15624" max="15624" width="5.5" style="1" bestFit="1" customWidth="1"/>
    <col min="15625" max="15625" width="16.125" style="1" bestFit="1" customWidth="1"/>
    <col min="15626" max="15626" width="7.5" style="1" bestFit="1" customWidth="1"/>
    <col min="15627" max="15627" width="11.625" style="1" bestFit="1" customWidth="1"/>
    <col min="15628" max="15629" width="7.5" style="1" bestFit="1" customWidth="1"/>
    <col min="15630" max="15872" width="71.25" style="1"/>
    <col min="15873" max="15873" width="5.5" style="1" bestFit="1" customWidth="1"/>
    <col min="15874" max="15874" width="36.125" style="1" bestFit="1" customWidth="1"/>
    <col min="15875" max="15875" width="47.125" style="1" bestFit="1" customWidth="1"/>
    <col min="15876" max="15876" width="0" style="1" hidden="1" customWidth="1"/>
    <col min="15877" max="15877" width="15" style="1" bestFit="1" customWidth="1"/>
    <col min="15878" max="15878" width="10.5" style="1" bestFit="1" customWidth="1"/>
    <col min="15879" max="15879" width="16.125" style="1" bestFit="1" customWidth="1"/>
    <col min="15880" max="15880" width="5.5" style="1" bestFit="1" customWidth="1"/>
    <col min="15881" max="15881" width="16.125" style="1" bestFit="1" customWidth="1"/>
    <col min="15882" max="15882" width="7.5" style="1" bestFit="1" customWidth="1"/>
    <col min="15883" max="15883" width="11.625" style="1" bestFit="1" customWidth="1"/>
    <col min="15884" max="15885" width="7.5" style="1" bestFit="1" customWidth="1"/>
    <col min="15886" max="16128" width="71.25" style="1"/>
    <col min="16129" max="16129" width="5.5" style="1" bestFit="1" customWidth="1"/>
    <col min="16130" max="16130" width="36.125" style="1" bestFit="1" customWidth="1"/>
    <col min="16131" max="16131" width="47.125" style="1" bestFit="1" customWidth="1"/>
    <col min="16132" max="16132" width="0" style="1" hidden="1" customWidth="1"/>
    <col min="16133" max="16133" width="15" style="1" bestFit="1" customWidth="1"/>
    <col min="16134" max="16134" width="10.5" style="1" bestFit="1" customWidth="1"/>
    <col min="16135" max="16135" width="16.125" style="1" bestFit="1" customWidth="1"/>
    <col min="16136" max="16136" width="5.5" style="1" bestFit="1" customWidth="1"/>
    <col min="16137" max="16137" width="16.125" style="1" bestFit="1" customWidth="1"/>
    <col min="16138" max="16138" width="7.5" style="1" bestFit="1" customWidth="1"/>
    <col min="16139" max="16139" width="11.625" style="1" bestFit="1" customWidth="1"/>
    <col min="16140" max="16141" width="7.5" style="1" bestFit="1" customWidth="1"/>
    <col min="16142" max="16384" width="71.25" style="1"/>
  </cols>
  <sheetData>
    <row r="1" spans="1:13">
      <c r="A1" s="65" t="s">
        <v>197</v>
      </c>
      <c r="B1" s="64" t="s">
        <v>198</v>
      </c>
      <c r="C1" s="64" t="s">
        <v>199</v>
      </c>
      <c r="D1" s="81" t="s">
        <v>200</v>
      </c>
      <c r="E1" s="82" t="s">
        <v>201</v>
      </c>
      <c r="F1" s="64" t="s">
        <v>202</v>
      </c>
      <c r="G1" s="65" t="s">
        <v>203</v>
      </c>
      <c r="H1" s="65" t="s">
        <v>204</v>
      </c>
      <c r="I1" s="64" t="s">
        <v>205</v>
      </c>
      <c r="J1" s="85" t="s">
        <v>206</v>
      </c>
      <c r="K1" s="85" t="s">
        <v>207</v>
      </c>
      <c r="L1" s="85" t="s">
        <v>208</v>
      </c>
      <c r="M1" s="85" t="s">
        <v>209</v>
      </c>
    </row>
    <row r="2" spans="1:13" s="2" customFormat="1">
      <c r="A2" s="65"/>
      <c r="B2" s="64"/>
      <c r="C2" s="64"/>
      <c r="D2" s="64"/>
      <c r="E2" s="64"/>
      <c r="F2" s="64"/>
      <c r="G2" s="65"/>
      <c r="H2" s="65"/>
      <c r="I2" s="65"/>
      <c r="J2" s="85"/>
      <c r="K2" s="85"/>
      <c r="L2" s="85"/>
      <c r="M2" s="85"/>
    </row>
    <row r="3" spans="1:13">
      <c r="A3" s="9">
        <f>ROW() -2</f>
        <v>1</v>
      </c>
      <c r="B3" s="4" t="s">
        <v>13</v>
      </c>
      <c r="C3" s="4" t="s">
        <v>210</v>
      </c>
      <c r="D3" s="10" t="s">
        <v>211</v>
      </c>
      <c r="E3" s="10" t="s">
        <v>212</v>
      </c>
      <c r="F3" s="4"/>
      <c r="G3" s="4">
        <v>250</v>
      </c>
      <c r="H3" s="4"/>
      <c r="I3" s="4"/>
      <c r="J3" s="3"/>
      <c r="K3" s="3"/>
      <c r="L3" s="3"/>
      <c r="M3" s="3"/>
    </row>
    <row r="4" spans="1:13">
      <c r="A4" s="9">
        <f t="shared" ref="A4:A33" si="0">ROW() -2</f>
        <v>2</v>
      </c>
      <c r="B4" s="4" t="s">
        <v>13</v>
      </c>
      <c r="C4" s="4" t="s">
        <v>213</v>
      </c>
      <c r="D4" s="10" t="s">
        <v>214</v>
      </c>
      <c r="E4" s="10" t="s">
        <v>215</v>
      </c>
      <c r="F4" s="4"/>
      <c r="G4" s="4">
        <v>300</v>
      </c>
      <c r="H4" s="4"/>
      <c r="I4" s="4"/>
      <c r="J4" s="3"/>
      <c r="K4" s="3"/>
      <c r="L4" s="3"/>
      <c r="M4" s="3"/>
    </row>
    <row r="5" spans="1:13">
      <c r="A5" s="9">
        <f t="shared" si="0"/>
        <v>3</v>
      </c>
      <c r="B5" s="4" t="s">
        <v>13</v>
      </c>
      <c r="C5" s="4" t="s">
        <v>216</v>
      </c>
      <c r="D5" s="10" t="s">
        <v>217</v>
      </c>
      <c r="E5" s="10" t="s">
        <v>218</v>
      </c>
      <c r="F5" s="4"/>
      <c r="G5" s="4">
        <v>350</v>
      </c>
      <c r="H5" s="4"/>
      <c r="I5" s="4"/>
      <c r="J5" s="3"/>
      <c r="K5" s="3"/>
      <c r="L5" s="3"/>
      <c r="M5" s="3"/>
    </row>
    <row r="6" spans="1:13">
      <c r="A6" s="9">
        <f t="shared" si="0"/>
        <v>4</v>
      </c>
      <c r="B6" s="4" t="s">
        <v>219</v>
      </c>
      <c r="C6" s="4" t="s">
        <v>220</v>
      </c>
      <c r="D6" s="10" t="s">
        <v>221</v>
      </c>
      <c r="E6" s="10" t="s">
        <v>222</v>
      </c>
      <c r="F6" s="4">
        <v>30</v>
      </c>
      <c r="G6" s="4"/>
      <c r="H6" s="3"/>
      <c r="I6" s="4"/>
      <c r="J6" s="4"/>
      <c r="K6" s="3"/>
      <c r="L6" s="3"/>
      <c r="M6" s="3"/>
    </row>
    <row r="7" spans="1:13">
      <c r="A7" s="9">
        <f t="shared" si="0"/>
        <v>5</v>
      </c>
      <c r="B7" s="4" t="s">
        <v>223</v>
      </c>
      <c r="C7" s="4" t="s">
        <v>224</v>
      </c>
      <c r="D7" s="10" t="s">
        <v>225</v>
      </c>
      <c r="E7" s="10" t="s">
        <v>226</v>
      </c>
      <c r="F7" s="4">
        <v>10</v>
      </c>
      <c r="G7" s="4"/>
      <c r="H7" s="4"/>
      <c r="I7" s="4"/>
      <c r="J7" s="3"/>
      <c r="K7" s="3"/>
      <c r="L7" s="3"/>
      <c r="M7" s="3"/>
    </row>
    <row r="8" spans="1:13">
      <c r="A8" s="9">
        <f t="shared" si="0"/>
        <v>6</v>
      </c>
      <c r="B8" s="4" t="s">
        <v>24</v>
      </c>
      <c r="C8" s="4" t="s">
        <v>227</v>
      </c>
      <c r="D8" s="10" t="s">
        <v>228</v>
      </c>
      <c r="E8" s="10" t="s">
        <v>229</v>
      </c>
      <c r="F8" s="4">
        <v>250</v>
      </c>
      <c r="G8" s="4"/>
      <c r="H8" s="4"/>
      <c r="I8" s="4"/>
      <c r="J8" s="3"/>
      <c r="K8" s="3"/>
      <c r="L8" s="3"/>
      <c r="M8" s="3"/>
    </row>
    <row r="9" spans="1:13">
      <c r="A9" s="9">
        <f t="shared" si="0"/>
        <v>7</v>
      </c>
      <c r="B9" s="4" t="s">
        <v>230</v>
      </c>
      <c r="C9" s="4" t="s">
        <v>231</v>
      </c>
      <c r="D9" s="10" t="s">
        <v>232</v>
      </c>
      <c r="E9" s="10" t="s">
        <v>233</v>
      </c>
      <c r="F9" s="4">
        <v>300</v>
      </c>
      <c r="G9" s="4"/>
      <c r="H9" s="4"/>
      <c r="I9" s="4"/>
      <c r="J9" s="3"/>
      <c r="K9" s="3"/>
      <c r="L9" s="3"/>
      <c r="M9" s="3"/>
    </row>
    <row r="10" spans="1:13">
      <c r="A10" s="9">
        <f t="shared" si="0"/>
        <v>8</v>
      </c>
      <c r="B10" s="4" t="s">
        <v>230</v>
      </c>
      <c r="C10" s="4" t="s">
        <v>234</v>
      </c>
      <c r="D10" s="10" t="s">
        <v>235</v>
      </c>
      <c r="E10" s="10" t="s">
        <v>236</v>
      </c>
      <c r="F10" s="4">
        <v>350</v>
      </c>
      <c r="G10" s="4"/>
      <c r="H10" s="4"/>
      <c r="I10" s="4"/>
      <c r="J10" s="3"/>
      <c r="K10" s="3"/>
      <c r="L10" s="3"/>
      <c r="M10" s="3"/>
    </row>
    <row r="11" spans="1:13">
      <c r="A11" s="9">
        <f t="shared" si="0"/>
        <v>9</v>
      </c>
      <c r="B11" s="4" t="s">
        <v>237</v>
      </c>
      <c r="C11" s="4" t="s">
        <v>238</v>
      </c>
      <c r="D11" s="10" t="s">
        <v>239</v>
      </c>
      <c r="E11" s="10" t="s">
        <v>240</v>
      </c>
      <c r="F11" s="4"/>
      <c r="G11" s="3"/>
      <c r="H11" s="4">
        <v>250</v>
      </c>
      <c r="I11" s="4"/>
      <c r="J11" s="3"/>
      <c r="K11" s="3"/>
      <c r="L11" s="3"/>
      <c r="M11" s="3">
        <v>908001</v>
      </c>
    </row>
    <row r="12" spans="1:13">
      <c r="A12" s="9">
        <f t="shared" si="0"/>
        <v>10</v>
      </c>
      <c r="B12" s="4" t="s">
        <v>237</v>
      </c>
      <c r="C12" s="4" t="s">
        <v>241</v>
      </c>
      <c r="D12" s="10" t="s">
        <v>242</v>
      </c>
      <c r="E12" s="10" t="s">
        <v>243</v>
      </c>
      <c r="F12" s="4"/>
      <c r="G12" s="3"/>
      <c r="H12" s="4">
        <v>300</v>
      </c>
      <c r="I12" s="4"/>
      <c r="J12" s="3"/>
      <c r="K12" s="3"/>
      <c r="L12" s="3"/>
      <c r="M12" s="3">
        <v>908001</v>
      </c>
    </row>
    <row r="13" spans="1:13">
      <c r="A13" s="9">
        <f t="shared" si="0"/>
        <v>11</v>
      </c>
      <c r="B13" s="4" t="s">
        <v>244</v>
      </c>
      <c r="C13" s="4" t="s">
        <v>245</v>
      </c>
      <c r="D13" s="10" t="s">
        <v>246</v>
      </c>
      <c r="E13" s="10" t="s">
        <v>247</v>
      </c>
      <c r="F13" s="4"/>
      <c r="G13" s="3"/>
      <c r="H13" s="4">
        <v>350</v>
      </c>
      <c r="I13" s="4"/>
      <c r="J13" s="3"/>
      <c r="K13" s="3"/>
      <c r="L13" s="3"/>
      <c r="M13" s="3">
        <v>908001</v>
      </c>
    </row>
    <row r="14" spans="1:13">
      <c r="A14" s="9">
        <f t="shared" si="0"/>
        <v>12</v>
      </c>
      <c r="B14" s="4" t="s">
        <v>248</v>
      </c>
      <c r="C14" s="4" t="s">
        <v>249</v>
      </c>
      <c r="D14" s="10" t="s">
        <v>250</v>
      </c>
      <c r="E14" s="10" t="s">
        <v>251</v>
      </c>
      <c r="F14" s="4"/>
      <c r="G14" s="4"/>
      <c r="H14" s="4">
        <v>10</v>
      </c>
      <c r="I14" s="4"/>
      <c r="J14" s="3"/>
      <c r="K14" s="3"/>
      <c r="L14" s="3"/>
      <c r="M14" s="3">
        <v>908001</v>
      </c>
    </row>
    <row r="15" spans="1:13">
      <c r="A15" s="9">
        <f t="shared" si="0"/>
        <v>13</v>
      </c>
      <c r="B15" s="4" t="s">
        <v>252</v>
      </c>
      <c r="C15" s="4" t="s">
        <v>253</v>
      </c>
      <c r="D15" s="10" t="s">
        <v>254</v>
      </c>
      <c r="E15" s="10" t="s">
        <v>255</v>
      </c>
      <c r="F15" s="4"/>
      <c r="G15" s="3"/>
      <c r="H15" s="4">
        <v>250</v>
      </c>
      <c r="I15" s="4"/>
      <c r="J15" s="3"/>
      <c r="K15" s="3"/>
      <c r="L15" s="3"/>
      <c r="M15" s="3">
        <v>908002</v>
      </c>
    </row>
    <row r="16" spans="1:13">
      <c r="A16" s="9">
        <f t="shared" si="0"/>
        <v>14</v>
      </c>
      <c r="B16" s="4" t="s">
        <v>256</v>
      </c>
      <c r="C16" s="4" t="s">
        <v>257</v>
      </c>
      <c r="D16" s="10" t="s">
        <v>258</v>
      </c>
      <c r="E16" s="10" t="s">
        <v>259</v>
      </c>
      <c r="F16" s="4"/>
      <c r="G16" s="3"/>
      <c r="H16" s="4">
        <v>300</v>
      </c>
      <c r="I16" s="4"/>
      <c r="J16" s="3"/>
      <c r="K16" s="3"/>
      <c r="L16" s="3"/>
      <c r="M16" s="3">
        <v>908002</v>
      </c>
    </row>
    <row r="17" spans="1:13">
      <c r="A17" s="9">
        <f t="shared" si="0"/>
        <v>15</v>
      </c>
      <c r="B17" s="29" t="s">
        <v>252</v>
      </c>
      <c r="C17" s="4" t="s">
        <v>260</v>
      </c>
      <c r="D17" s="10" t="s">
        <v>261</v>
      </c>
      <c r="E17" s="10" t="s">
        <v>262</v>
      </c>
      <c r="F17" s="4"/>
      <c r="G17" s="3"/>
      <c r="H17" s="4">
        <v>350</v>
      </c>
      <c r="I17" s="4"/>
      <c r="J17" s="3"/>
      <c r="K17" s="3"/>
      <c r="L17" s="3"/>
      <c r="M17" s="3">
        <v>908002</v>
      </c>
    </row>
    <row r="18" spans="1:13">
      <c r="A18" s="9">
        <f t="shared" si="0"/>
        <v>16</v>
      </c>
      <c r="B18" s="4" t="s">
        <v>263</v>
      </c>
      <c r="C18" s="4" t="s">
        <v>264</v>
      </c>
      <c r="D18" s="10" t="s">
        <v>265</v>
      </c>
      <c r="E18" s="10" t="s">
        <v>266</v>
      </c>
      <c r="F18" s="4"/>
      <c r="G18" s="4"/>
      <c r="H18" s="4">
        <v>10</v>
      </c>
      <c r="I18" s="4"/>
      <c r="J18" s="3"/>
      <c r="K18" s="3"/>
      <c r="L18" s="3"/>
      <c r="M18" s="3">
        <v>908002</v>
      </c>
    </row>
    <row r="19" spans="1:13">
      <c r="A19" s="9">
        <f t="shared" si="0"/>
        <v>17</v>
      </c>
      <c r="B19" s="4" t="s">
        <v>267</v>
      </c>
      <c r="C19" s="4" t="s">
        <v>268</v>
      </c>
      <c r="D19" s="10" t="s">
        <v>269</v>
      </c>
      <c r="E19" s="10" t="s">
        <v>270</v>
      </c>
      <c r="F19" s="4"/>
      <c r="G19" s="4"/>
      <c r="H19" s="4"/>
      <c r="I19" s="4">
        <v>250</v>
      </c>
      <c r="J19" s="3"/>
      <c r="K19" s="3"/>
      <c r="L19" s="3"/>
      <c r="M19" s="3">
        <v>908101</v>
      </c>
    </row>
    <row r="20" spans="1:13">
      <c r="A20" s="9">
        <f t="shared" si="0"/>
        <v>18</v>
      </c>
      <c r="B20" s="4" t="s">
        <v>267</v>
      </c>
      <c r="C20" s="4" t="s">
        <v>271</v>
      </c>
      <c r="D20" s="10" t="s">
        <v>272</v>
      </c>
      <c r="E20" s="10" t="s">
        <v>273</v>
      </c>
      <c r="F20" s="4"/>
      <c r="G20" s="4"/>
      <c r="H20" s="4"/>
      <c r="I20" s="4">
        <v>300</v>
      </c>
      <c r="J20" s="3"/>
      <c r="K20" s="3"/>
      <c r="L20" s="3"/>
      <c r="M20" s="3">
        <v>908102</v>
      </c>
    </row>
    <row r="21" spans="1:13">
      <c r="A21" s="9">
        <f t="shared" si="0"/>
        <v>19</v>
      </c>
      <c r="B21" s="4" t="s">
        <v>267</v>
      </c>
      <c r="C21" s="4" t="s">
        <v>274</v>
      </c>
      <c r="D21" s="10" t="s">
        <v>275</v>
      </c>
      <c r="E21" s="10" t="s">
        <v>276</v>
      </c>
      <c r="F21" s="4"/>
      <c r="G21" s="4"/>
      <c r="H21" s="4"/>
      <c r="I21" s="4">
        <v>350</v>
      </c>
      <c r="J21" s="3"/>
      <c r="K21" s="3"/>
      <c r="L21" s="3"/>
      <c r="M21" s="3">
        <v>908103</v>
      </c>
    </row>
    <row r="22" spans="1:13">
      <c r="A22" s="9">
        <f t="shared" si="0"/>
        <v>20</v>
      </c>
      <c r="B22" s="4" t="s">
        <v>277</v>
      </c>
      <c r="C22" s="4"/>
      <c r="D22" s="10" t="s">
        <v>278</v>
      </c>
      <c r="E22" s="10" t="s">
        <v>279</v>
      </c>
      <c r="F22" s="4"/>
      <c r="G22" s="4"/>
      <c r="H22" s="3"/>
      <c r="I22" s="4"/>
      <c r="J22" s="4">
        <v>30</v>
      </c>
      <c r="K22" s="3"/>
      <c r="L22" s="3"/>
      <c r="M22" s="3"/>
    </row>
    <row r="23" spans="1:13">
      <c r="A23" s="9">
        <f t="shared" si="0"/>
        <v>21</v>
      </c>
      <c r="B23" s="4" t="s">
        <v>280</v>
      </c>
      <c r="C23" s="4"/>
      <c r="D23" s="10" t="s">
        <v>281</v>
      </c>
      <c r="E23" s="10" t="s">
        <v>282</v>
      </c>
      <c r="F23" s="4"/>
      <c r="G23" s="4"/>
      <c r="H23" s="3"/>
      <c r="I23" s="4"/>
      <c r="J23" s="4">
        <v>10</v>
      </c>
      <c r="K23" s="3"/>
      <c r="L23" s="3"/>
      <c r="M23" s="3"/>
    </row>
    <row r="24" spans="1:13">
      <c r="A24" s="9">
        <f t="shared" si="0"/>
        <v>22</v>
      </c>
      <c r="B24" s="4" t="s">
        <v>283</v>
      </c>
      <c r="C24" s="4" t="s">
        <v>284</v>
      </c>
      <c r="D24" s="10" t="s">
        <v>285</v>
      </c>
      <c r="E24" s="10" t="s">
        <v>286</v>
      </c>
      <c r="F24" s="4"/>
      <c r="G24" s="4"/>
      <c r="H24" s="3"/>
      <c r="I24" s="4"/>
      <c r="J24" s="4">
        <v>250</v>
      </c>
      <c r="K24" s="3"/>
      <c r="L24" s="3"/>
      <c r="M24" s="3"/>
    </row>
    <row r="25" spans="1:13">
      <c r="A25" s="9">
        <f t="shared" si="0"/>
        <v>23</v>
      </c>
      <c r="B25" s="4" t="s">
        <v>283</v>
      </c>
      <c r="C25" s="4" t="s">
        <v>287</v>
      </c>
      <c r="D25" s="10" t="s">
        <v>288</v>
      </c>
      <c r="E25" s="10" t="s">
        <v>289</v>
      </c>
      <c r="F25" s="4"/>
      <c r="G25" s="4"/>
      <c r="H25" s="3"/>
      <c r="I25" s="4"/>
      <c r="J25" s="4">
        <v>300</v>
      </c>
      <c r="K25" s="3"/>
      <c r="L25" s="3"/>
      <c r="M25" s="3"/>
    </row>
    <row r="26" spans="1:13">
      <c r="A26" s="9">
        <f t="shared" si="0"/>
        <v>24</v>
      </c>
      <c r="B26" s="4" t="s">
        <v>283</v>
      </c>
      <c r="C26" s="4" t="s">
        <v>290</v>
      </c>
      <c r="D26" s="10" t="s">
        <v>291</v>
      </c>
      <c r="E26" s="10" t="s">
        <v>292</v>
      </c>
      <c r="F26" s="4"/>
      <c r="G26" s="4"/>
      <c r="H26" s="3"/>
      <c r="I26" s="4"/>
      <c r="J26" s="4">
        <v>350</v>
      </c>
      <c r="K26" s="3"/>
      <c r="L26" s="3"/>
      <c r="M26" s="3"/>
    </row>
    <row r="27" spans="1:13">
      <c r="A27" s="9">
        <f t="shared" si="0"/>
        <v>25</v>
      </c>
      <c r="B27" s="4" t="s">
        <v>60</v>
      </c>
      <c r="C27" s="4"/>
      <c r="D27" s="10" t="s">
        <v>293</v>
      </c>
      <c r="E27" s="10" t="s">
        <v>294</v>
      </c>
      <c r="F27" s="4"/>
      <c r="G27" s="4"/>
      <c r="H27" s="4"/>
      <c r="I27" s="4"/>
      <c r="J27" s="3"/>
      <c r="K27" s="3">
        <v>30</v>
      </c>
      <c r="L27" s="3"/>
      <c r="M27" s="3"/>
    </row>
    <row r="28" spans="1:13">
      <c r="A28" s="9">
        <f t="shared" si="0"/>
        <v>26</v>
      </c>
      <c r="B28" s="4" t="s">
        <v>58</v>
      </c>
      <c r="C28" s="4"/>
      <c r="D28" s="10" t="s">
        <v>295</v>
      </c>
      <c r="E28" s="10" t="s">
        <v>296</v>
      </c>
      <c r="F28" s="4"/>
      <c r="G28" s="4"/>
      <c r="H28" s="4"/>
      <c r="I28" s="4"/>
      <c r="J28" s="3"/>
      <c r="K28" s="3">
        <v>10</v>
      </c>
      <c r="L28" s="3"/>
      <c r="M28" s="3"/>
    </row>
    <row r="29" spans="1:13">
      <c r="A29" s="9">
        <f t="shared" si="0"/>
        <v>27</v>
      </c>
      <c r="B29" s="4" t="s">
        <v>297</v>
      </c>
      <c r="C29" s="4"/>
      <c r="D29" s="10" t="s">
        <v>298</v>
      </c>
      <c r="E29" s="10" t="s">
        <v>299</v>
      </c>
      <c r="F29" s="4">
        <v>30</v>
      </c>
      <c r="G29" s="4"/>
      <c r="H29" s="4"/>
      <c r="I29" s="4"/>
      <c r="J29" s="3"/>
      <c r="K29" s="3"/>
      <c r="L29" s="3"/>
      <c r="M29" s="3"/>
    </row>
    <row r="30" spans="1:13">
      <c r="A30" s="9">
        <f t="shared" si="0"/>
        <v>28</v>
      </c>
      <c r="B30" s="4" t="s">
        <v>300</v>
      </c>
      <c r="C30" s="4"/>
      <c r="D30" s="10" t="s">
        <v>301</v>
      </c>
      <c r="E30" s="10" t="s">
        <v>302</v>
      </c>
      <c r="F30" s="4">
        <v>10</v>
      </c>
      <c r="G30" s="4"/>
      <c r="H30" s="4"/>
      <c r="I30" s="4"/>
      <c r="J30" s="3"/>
      <c r="K30" s="3"/>
      <c r="L30" s="3"/>
      <c r="M30" s="3"/>
    </row>
    <row r="31" spans="1:13">
      <c r="A31" s="9">
        <f t="shared" si="0"/>
        <v>29</v>
      </c>
      <c r="B31" s="4" t="s">
        <v>303</v>
      </c>
      <c r="C31" s="4"/>
      <c r="D31" s="10" t="s">
        <v>304</v>
      </c>
      <c r="E31" s="10" t="s">
        <v>305</v>
      </c>
      <c r="F31" s="4"/>
      <c r="G31" s="4"/>
      <c r="H31" s="4"/>
      <c r="I31" s="4"/>
      <c r="J31" s="3"/>
      <c r="K31" s="3"/>
      <c r="L31" s="3">
        <v>10</v>
      </c>
      <c r="M31" s="3"/>
    </row>
    <row r="32" spans="1:13">
      <c r="A32" s="9">
        <f t="shared" si="0"/>
        <v>30</v>
      </c>
      <c r="B32" s="4" t="s">
        <v>306</v>
      </c>
      <c r="C32" s="4"/>
      <c r="D32" s="10" t="s">
        <v>307</v>
      </c>
      <c r="E32" s="10" t="s">
        <v>308</v>
      </c>
      <c r="F32" s="4"/>
      <c r="G32" s="4"/>
      <c r="H32" s="4"/>
      <c r="I32" s="4"/>
      <c r="J32" s="3"/>
      <c r="K32" s="3"/>
      <c r="L32" s="3">
        <v>10</v>
      </c>
      <c r="M32" s="3"/>
    </row>
    <row r="33" spans="1:13">
      <c r="A33" s="9">
        <f t="shared" si="0"/>
        <v>31</v>
      </c>
      <c r="B33" s="4" t="s">
        <v>309</v>
      </c>
      <c r="C33" s="4"/>
      <c r="D33" s="10" t="s">
        <v>310</v>
      </c>
      <c r="E33" s="10" t="s">
        <v>311</v>
      </c>
      <c r="F33" s="4"/>
      <c r="G33" s="4"/>
      <c r="H33" s="4"/>
      <c r="I33" s="4"/>
      <c r="J33" s="3"/>
      <c r="K33" s="3"/>
      <c r="L33" s="3">
        <v>5</v>
      </c>
      <c r="M33" s="3"/>
    </row>
  </sheetData>
  <mergeCells count="13">
    <mergeCell ref="F1:F2"/>
    <mergeCell ref="A1:A2"/>
    <mergeCell ref="B1:B2"/>
    <mergeCell ref="C1:C2"/>
    <mergeCell ref="D1:D2"/>
    <mergeCell ref="E1:E2"/>
    <mergeCell ref="M1:M2"/>
    <mergeCell ref="G1:G2"/>
    <mergeCell ref="H1:H2"/>
    <mergeCell ref="I1:I2"/>
    <mergeCell ref="J1:J2"/>
    <mergeCell ref="K1:K2"/>
    <mergeCell ref="L1:L2"/>
  </mergeCells>
  <phoneticPr fontId="1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4"/>
  <sheetViews>
    <sheetView zoomScale="85" zoomScaleNormal="85" workbookViewId="0">
      <pane xSplit="6" ySplit="1" topLeftCell="H12" activePane="bottomRight" state="frozen"/>
      <selection pane="bottomRight" activeCell="A8" sqref="A8"/>
      <selection pane="bottomLeft" activeCell="A2" sqref="A2"/>
      <selection pane="topRight" activeCell="G1" sqref="G1"/>
    </sheetView>
  </sheetViews>
  <sheetFormatPr defaultColWidth="70.625" defaultRowHeight="18.75" outlineLevelCol="1"/>
  <cols>
    <col min="1" max="1" width="5.25" bestFit="1" customWidth="1"/>
    <col min="2" max="2" width="9" customWidth="1" outlineLevel="1"/>
    <col min="3" max="3" width="6.25" customWidth="1" outlineLevel="1"/>
    <col min="4" max="4" width="24.25" customWidth="1" outlineLevel="1"/>
    <col min="5" max="5" width="10.875" customWidth="1" outlineLevel="1"/>
    <col min="6" max="6" width="41.375" bestFit="1" customWidth="1"/>
    <col min="7" max="7" width="34.625" hidden="1" customWidth="1" outlineLevel="1"/>
    <col min="8" max="8" width="15" bestFit="1" customWidth="1" collapsed="1"/>
    <col min="9" max="9" width="9" bestFit="1" customWidth="1"/>
    <col min="10" max="10" width="15.125" bestFit="1" customWidth="1"/>
    <col min="11" max="11" width="5.25" bestFit="1" customWidth="1"/>
    <col min="12" max="12" width="10.375" bestFit="1" customWidth="1"/>
    <col min="13" max="13" width="6.75" bestFit="1" customWidth="1"/>
    <col min="14" max="14" width="13.5" bestFit="1" customWidth="1"/>
    <col min="15" max="15" width="7.125" bestFit="1" customWidth="1"/>
    <col min="16" max="16" width="7.5" bestFit="1" customWidth="1"/>
    <col min="17" max="17" width="9" bestFit="1" customWidth="1"/>
    <col min="18" max="18" width="11" bestFit="1" customWidth="1"/>
    <col min="19" max="20" width="13" bestFit="1" customWidth="1"/>
    <col min="21" max="22" width="9.875" bestFit="1" customWidth="1"/>
    <col min="23" max="23" width="9" bestFit="1" customWidth="1"/>
    <col min="24" max="24" width="7.125" bestFit="1" customWidth="1"/>
    <col min="25" max="25" width="9" bestFit="1" customWidth="1"/>
    <col min="26" max="26" width="25.625" bestFit="1" customWidth="1"/>
    <col min="27" max="27" width="10.875" bestFit="1" customWidth="1"/>
  </cols>
  <sheetData>
    <row r="1" spans="1:27">
      <c r="A1" s="8" t="s">
        <v>312</v>
      </c>
      <c r="B1" s="8" t="s">
        <v>313</v>
      </c>
      <c r="C1" s="8" t="s">
        <v>314</v>
      </c>
      <c r="D1" s="8" t="s">
        <v>315</v>
      </c>
      <c r="E1" s="8" t="s">
        <v>316</v>
      </c>
      <c r="F1" s="8" t="s">
        <v>317</v>
      </c>
      <c r="G1" s="8" t="s">
        <v>318</v>
      </c>
      <c r="H1" s="8" t="s">
        <v>319</v>
      </c>
      <c r="I1" s="8" t="s">
        <v>320</v>
      </c>
      <c r="J1" s="8" t="s">
        <v>321</v>
      </c>
      <c r="K1" s="8" t="s">
        <v>322</v>
      </c>
      <c r="L1" s="8" t="s">
        <v>323</v>
      </c>
      <c r="M1" s="8" t="s">
        <v>324</v>
      </c>
      <c r="N1" s="8" t="s">
        <v>325</v>
      </c>
      <c r="O1" s="8" t="s">
        <v>208</v>
      </c>
      <c r="P1" s="8" t="s">
        <v>326</v>
      </c>
      <c r="Q1" s="8" t="s">
        <v>327</v>
      </c>
      <c r="R1" s="8" t="s">
        <v>328</v>
      </c>
      <c r="S1" s="8" t="s">
        <v>329</v>
      </c>
      <c r="T1" s="8" t="s">
        <v>330</v>
      </c>
      <c r="U1" s="8" t="s">
        <v>331</v>
      </c>
      <c r="V1" s="8" t="s">
        <v>4</v>
      </c>
      <c r="W1" s="8" t="s">
        <v>5</v>
      </c>
      <c r="X1" s="8" t="s">
        <v>332</v>
      </c>
      <c r="Y1" s="8" t="s">
        <v>333</v>
      </c>
      <c r="Z1" s="8" t="s">
        <v>6</v>
      </c>
      <c r="AA1" s="8" t="s">
        <v>334</v>
      </c>
    </row>
    <row r="2" spans="1:27">
      <c r="A2" s="6">
        <v>1</v>
      </c>
      <c r="B2" s="7" t="s">
        <v>335</v>
      </c>
      <c r="C2" s="7" t="s">
        <v>336</v>
      </c>
      <c r="D2" s="7" t="s">
        <v>13</v>
      </c>
      <c r="E2" s="7" t="s">
        <v>337</v>
      </c>
      <c r="F2" s="7" t="s">
        <v>338</v>
      </c>
      <c r="G2" s="7" t="s">
        <v>211</v>
      </c>
      <c r="H2" s="7" t="s">
        <v>212</v>
      </c>
      <c r="I2" s="7" t="s">
        <v>339</v>
      </c>
      <c r="J2" s="7" t="s">
        <v>340</v>
      </c>
      <c r="K2" s="7" t="s">
        <v>337</v>
      </c>
      <c r="L2" s="7" t="s">
        <v>337</v>
      </c>
      <c r="M2" s="7" t="s">
        <v>337</v>
      </c>
      <c r="N2" s="7" t="s">
        <v>337</v>
      </c>
      <c r="O2" s="7" t="s">
        <v>337</v>
      </c>
      <c r="P2" s="7" t="s">
        <v>337</v>
      </c>
      <c r="Q2" s="7" t="s">
        <v>340</v>
      </c>
      <c r="R2" s="7" t="s">
        <v>341</v>
      </c>
      <c r="S2" s="7" t="s">
        <v>342</v>
      </c>
      <c r="T2" s="7" t="s">
        <v>342</v>
      </c>
      <c r="U2" s="7" t="s">
        <v>337</v>
      </c>
      <c r="V2" s="7" t="s">
        <v>343</v>
      </c>
      <c r="W2" s="7" t="s">
        <v>342</v>
      </c>
      <c r="X2" s="7" t="s">
        <v>344</v>
      </c>
      <c r="Y2" s="7" t="s">
        <v>341</v>
      </c>
      <c r="Z2" s="7" t="s">
        <v>345</v>
      </c>
      <c r="AA2" s="7" t="s">
        <v>346</v>
      </c>
    </row>
    <row r="3" spans="1:27">
      <c r="A3" s="6">
        <v>2</v>
      </c>
      <c r="B3" s="7" t="s">
        <v>347</v>
      </c>
      <c r="C3" s="7" t="s">
        <v>336</v>
      </c>
      <c r="D3" s="7" t="s">
        <v>13</v>
      </c>
      <c r="E3" s="7" t="s">
        <v>337</v>
      </c>
      <c r="F3" s="7" t="s">
        <v>348</v>
      </c>
      <c r="G3" s="7" t="s">
        <v>214</v>
      </c>
      <c r="H3" s="7" t="s">
        <v>215</v>
      </c>
      <c r="I3" s="7" t="s">
        <v>339</v>
      </c>
      <c r="J3" s="7" t="s">
        <v>339</v>
      </c>
      <c r="K3" s="7" t="s">
        <v>337</v>
      </c>
      <c r="L3" s="7" t="s">
        <v>337</v>
      </c>
      <c r="M3" s="7" t="s">
        <v>337</v>
      </c>
      <c r="N3" s="7" t="s">
        <v>337</v>
      </c>
      <c r="O3" s="7" t="s">
        <v>337</v>
      </c>
      <c r="P3" s="7" t="s">
        <v>337</v>
      </c>
      <c r="Q3" s="7" t="s">
        <v>339</v>
      </c>
      <c r="R3" s="7" t="s">
        <v>341</v>
      </c>
      <c r="S3" s="7" t="s">
        <v>342</v>
      </c>
      <c r="T3" s="7" t="s">
        <v>342</v>
      </c>
      <c r="U3" s="7" t="s">
        <v>337</v>
      </c>
      <c r="V3" s="7" t="s">
        <v>343</v>
      </c>
      <c r="W3" s="7" t="s">
        <v>342</v>
      </c>
      <c r="X3" s="7" t="s">
        <v>342</v>
      </c>
      <c r="Y3" s="7" t="s">
        <v>341</v>
      </c>
      <c r="Z3" s="7" t="s">
        <v>345</v>
      </c>
      <c r="AA3" s="7" t="s">
        <v>346</v>
      </c>
    </row>
    <row r="4" spans="1:27">
      <c r="A4" s="6">
        <v>3</v>
      </c>
      <c r="B4" s="7" t="s">
        <v>349</v>
      </c>
      <c r="C4" s="7" t="s">
        <v>336</v>
      </c>
      <c r="D4" s="7" t="s">
        <v>13</v>
      </c>
      <c r="E4" s="7" t="s">
        <v>337</v>
      </c>
      <c r="F4" s="7" t="s">
        <v>350</v>
      </c>
      <c r="G4" s="7" t="s">
        <v>217</v>
      </c>
      <c r="H4" s="7" t="s">
        <v>218</v>
      </c>
      <c r="I4" s="7" t="s">
        <v>339</v>
      </c>
      <c r="J4" s="7" t="s">
        <v>351</v>
      </c>
      <c r="K4" s="7" t="s">
        <v>337</v>
      </c>
      <c r="L4" s="7" t="s">
        <v>337</v>
      </c>
      <c r="M4" s="7" t="s">
        <v>337</v>
      </c>
      <c r="N4" s="7" t="s">
        <v>337</v>
      </c>
      <c r="O4" s="7" t="s">
        <v>337</v>
      </c>
      <c r="P4" s="7" t="s">
        <v>337</v>
      </c>
      <c r="Q4" s="7" t="s">
        <v>351</v>
      </c>
      <c r="R4" s="7" t="s">
        <v>341</v>
      </c>
      <c r="S4" s="7" t="s">
        <v>342</v>
      </c>
      <c r="T4" s="7" t="s">
        <v>342</v>
      </c>
      <c r="U4" s="7" t="s">
        <v>337</v>
      </c>
      <c r="V4" s="7" t="s">
        <v>343</v>
      </c>
      <c r="W4" s="7" t="s">
        <v>342</v>
      </c>
      <c r="X4" s="7" t="s">
        <v>352</v>
      </c>
      <c r="Y4" s="7" t="s">
        <v>341</v>
      </c>
      <c r="Z4" s="7" t="s">
        <v>345</v>
      </c>
      <c r="AA4" s="7" t="s">
        <v>346</v>
      </c>
    </row>
    <row r="5" spans="1:27">
      <c r="A5" s="6">
        <v>4</v>
      </c>
      <c r="B5" s="7" t="s">
        <v>335</v>
      </c>
      <c r="C5" s="7" t="s">
        <v>336</v>
      </c>
      <c r="D5" s="7" t="s">
        <v>353</v>
      </c>
      <c r="E5" s="7" t="s">
        <v>344</v>
      </c>
      <c r="F5" s="7" t="s">
        <v>354</v>
      </c>
      <c r="G5" s="7" t="s">
        <v>221</v>
      </c>
      <c r="H5" s="7" t="s">
        <v>222</v>
      </c>
      <c r="I5" s="7" t="s">
        <v>339</v>
      </c>
      <c r="J5" s="7" t="s">
        <v>337</v>
      </c>
      <c r="K5" s="7" t="s">
        <v>337</v>
      </c>
      <c r="L5" s="7" t="s">
        <v>337</v>
      </c>
      <c r="M5" s="7" t="s">
        <v>337</v>
      </c>
      <c r="N5" s="7" t="s">
        <v>337</v>
      </c>
      <c r="O5" s="7" t="s">
        <v>337</v>
      </c>
      <c r="P5" s="7" t="s">
        <v>337</v>
      </c>
      <c r="Q5" s="7" t="s">
        <v>340</v>
      </c>
      <c r="R5" s="7" t="s">
        <v>341</v>
      </c>
      <c r="S5" s="7" t="s">
        <v>344</v>
      </c>
      <c r="T5" s="7" t="s">
        <v>341</v>
      </c>
      <c r="U5" s="7" t="s">
        <v>337</v>
      </c>
      <c r="V5" s="7">
        <v>91220</v>
      </c>
      <c r="W5" s="7" t="s">
        <v>341</v>
      </c>
      <c r="X5" s="7" t="s">
        <v>344</v>
      </c>
      <c r="Y5" s="7" t="s">
        <v>341</v>
      </c>
      <c r="Z5" s="7" t="s">
        <v>355</v>
      </c>
      <c r="AA5" s="7" t="s">
        <v>356</v>
      </c>
    </row>
    <row r="6" spans="1:27">
      <c r="A6" s="6">
        <v>5</v>
      </c>
      <c r="B6" s="7" t="s">
        <v>335</v>
      </c>
      <c r="C6" s="7" t="s">
        <v>336</v>
      </c>
      <c r="D6" s="7" t="s">
        <v>357</v>
      </c>
      <c r="E6" s="7" t="s">
        <v>358</v>
      </c>
      <c r="F6" s="7" t="s">
        <v>359</v>
      </c>
      <c r="G6" s="7" t="s">
        <v>225</v>
      </c>
      <c r="H6" s="7" t="s">
        <v>226</v>
      </c>
      <c r="I6" s="7" t="s">
        <v>339</v>
      </c>
      <c r="J6" s="7" t="s">
        <v>337</v>
      </c>
      <c r="K6" s="7" t="s">
        <v>337</v>
      </c>
      <c r="L6" s="7" t="s">
        <v>337</v>
      </c>
      <c r="M6" s="7" t="s">
        <v>337</v>
      </c>
      <c r="N6" s="7" t="s">
        <v>337</v>
      </c>
      <c r="O6" s="7" t="s">
        <v>337</v>
      </c>
      <c r="P6" s="7" t="s">
        <v>337</v>
      </c>
      <c r="Q6" s="7" t="s">
        <v>340</v>
      </c>
      <c r="R6" s="7" t="s">
        <v>341</v>
      </c>
      <c r="S6" s="7" t="s">
        <v>344</v>
      </c>
      <c r="T6" s="7" t="s">
        <v>341</v>
      </c>
      <c r="U6" s="7" t="s">
        <v>337</v>
      </c>
      <c r="V6" s="7" t="s">
        <v>360</v>
      </c>
      <c r="W6" s="7" t="s">
        <v>361</v>
      </c>
      <c r="X6" s="7" t="s">
        <v>344</v>
      </c>
      <c r="Y6" s="7" t="s">
        <v>341</v>
      </c>
      <c r="Z6" s="7" t="s">
        <v>362</v>
      </c>
      <c r="AA6" s="7" t="s">
        <v>363</v>
      </c>
    </row>
    <row r="7" spans="1:27">
      <c r="A7" s="6">
        <v>6</v>
      </c>
      <c r="B7" s="7" t="s">
        <v>335</v>
      </c>
      <c r="C7" s="7" t="s">
        <v>336</v>
      </c>
      <c r="D7" s="7" t="s">
        <v>364</v>
      </c>
      <c r="E7" s="7" t="s">
        <v>340</v>
      </c>
      <c r="F7" s="7" t="s">
        <v>365</v>
      </c>
      <c r="G7" s="7" t="s">
        <v>228</v>
      </c>
      <c r="H7" s="7" t="s">
        <v>229</v>
      </c>
      <c r="I7" s="7" t="s">
        <v>339</v>
      </c>
      <c r="J7" s="7" t="s">
        <v>337</v>
      </c>
      <c r="K7" s="7" t="s">
        <v>337</v>
      </c>
      <c r="L7" s="7" t="s">
        <v>337</v>
      </c>
      <c r="M7" s="7" t="s">
        <v>337</v>
      </c>
      <c r="N7" s="7" t="s">
        <v>337</v>
      </c>
      <c r="O7" s="7" t="s">
        <v>337</v>
      </c>
      <c r="P7" s="7" t="s">
        <v>337</v>
      </c>
      <c r="Q7" s="7" t="s">
        <v>340</v>
      </c>
      <c r="R7" s="7" t="s">
        <v>341</v>
      </c>
      <c r="S7" s="7" t="s">
        <v>344</v>
      </c>
      <c r="T7" s="7" t="s">
        <v>341</v>
      </c>
      <c r="U7" s="7" t="s">
        <v>337</v>
      </c>
      <c r="V7" s="7" t="s">
        <v>360</v>
      </c>
      <c r="W7" s="7" t="s">
        <v>366</v>
      </c>
      <c r="X7" s="7" t="s">
        <v>344</v>
      </c>
      <c r="Y7" s="7" t="s">
        <v>341</v>
      </c>
      <c r="Z7" s="7" t="s">
        <v>362</v>
      </c>
      <c r="AA7" s="7" t="s">
        <v>367</v>
      </c>
    </row>
    <row r="8" spans="1:27">
      <c r="A8" s="6">
        <v>7</v>
      </c>
      <c r="B8" s="7" t="s">
        <v>347</v>
      </c>
      <c r="C8" s="7" t="s">
        <v>336</v>
      </c>
      <c r="D8" s="7" t="s">
        <v>364</v>
      </c>
      <c r="E8" s="7" t="s">
        <v>339</v>
      </c>
      <c r="F8" s="7" t="s">
        <v>368</v>
      </c>
      <c r="G8" s="7" t="s">
        <v>232</v>
      </c>
      <c r="H8" s="7" t="s">
        <v>233</v>
      </c>
      <c r="I8" s="7" t="s">
        <v>339</v>
      </c>
      <c r="J8" s="7" t="s">
        <v>337</v>
      </c>
      <c r="K8" s="7" t="s">
        <v>337</v>
      </c>
      <c r="L8" s="7" t="s">
        <v>337</v>
      </c>
      <c r="M8" s="7" t="s">
        <v>337</v>
      </c>
      <c r="N8" s="7" t="s">
        <v>337</v>
      </c>
      <c r="O8" s="7" t="s">
        <v>337</v>
      </c>
      <c r="P8" s="7" t="s">
        <v>337</v>
      </c>
      <c r="Q8" s="7" t="s">
        <v>339</v>
      </c>
      <c r="R8" s="7" t="s">
        <v>341</v>
      </c>
      <c r="S8" s="7" t="s">
        <v>342</v>
      </c>
      <c r="T8" s="7" t="s">
        <v>342</v>
      </c>
      <c r="U8" s="7" t="s">
        <v>337</v>
      </c>
      <c r="V8" s="7" t="s">
        <v>337</v>
      </c>
      <c r="W8" s="7" t="s">
        <v>337</v>
      </c>
      <c r="X8" s="7" t="s">
        <v>337</v>
      </c>
      <c r="Y8" s="7" t="s">
        <v>337</v>
      </c>
      <c r="Z8" s="7" t="s">
        <v>337</v>
      </c>
      <c r="AA8" s="7" t="s">
        <v>337</v>
      </c>
    </row>
    <row r="9" spans="1:27">
      <c r="A9" s="6">
        <v>8</v>
      </c>
      <c r="B9" s="7" t="s">
        <v>349</v>
      </c>
      <c r="C9" s="7" t="s">
        <v>336</v>
      </c>
      <c r="D9" s="7" t="s">
        <v>364</v>
      </c>
      <c r="E9" s="7" t="s">
        <v>351</v>
      </c>
      <c r="F9" s="7" t="s">
        <v>369</v>
      </c>
      <c r="G9" s="7" t="s">
        <v>235</v>
      </c>
      <c r="H9" s="7" t="s">
        <v>236</v>
      </c>
      <c r="I9" s="7" t="s">
        <v>339</v>
      </c>
      <c r="J9" s="7" t="s">
        <v>337</v>
      </c>
      <c r="K9" s="7" t="s">
        <v>337</v>
      </c>
      <c r="L9" s="7" t="s">
        <v>337</v>
      </c>
      <c r="M9" s="7" t="s">
        <v>337</v>
      </c>
      <c r="N9" s="7" t="s">
        <v>337</v>
      </c>
      <c r="O9" s="7" t="s">
        <v>337</v>
      </c>
      <c r="P9" s="7" t="s">
        <v>337</v>
      </c>
      <c r="Q9" s="7" t="s">
        <v>351</v>
      </c>
      <c r="R9" s="7" t="s">
        <v>341</v>
      </c>
      <c r="S9" s="7" t="s">
        <v>342</v>
      </c>
      <c r="T9" s="7" t="s">
        <v>342</v>
      </c>
      <c r="U9" s="7" t="s">
        <v>337</v>
      </c>
      <c r="V9" s="7" t="s">
        <v>337</v>
      </c>
      <c r="W9" s="7" t="s">
        <v>337</v>
      </c>
      <c r="X9" s="7" t="s">
        <v>337</v>
      </c>
      <c r="Y9" s="7" t="s">
        <v>337</v>
      </c>
      <c r="Z9" s="7" t="s">
        <v>337</v>
      </c>
      <c r="AA9" s="7" t="s">
        <v>337</v>
      </c>
    </row>
    <row r="10" spans="1:27">
      <c r="A10" s="6">
        <v>9</v>
      </c>
      <c r="B10" s="7" t="s">
        <v>335</v>
      </c>
      <c r="C10" s="7" t="s">
        <v>336</v>
      </c>
      <c r="D10" s="7" t="s">
        <v>370</v>
      </c>
      <c r="E10" s="7" t="s">
        <v>337</v>
      </c>
      <c r="F10" s="7" t="s">
        <v>371</v>
      </c>
      <c r="G10" s="7" t="s">
        <v>239</v>
      </c>
      <c r="H10" s="7" t="s">
        <v>240</v>
      </c>
      <c r="I10" s="7" t="s">
        <v>339</v>
      </c>
      <c r="J10" s="7" t="s">
        <v>337</v>
      </c>
      <c r="K10" s="7" t="s">
        <v>340</v>
      </c>
      <c r="L10" s="7" t="s">
        <v>337</v>
      </c>
      <c r="M10" s="7" t="s">
        <v>337</v>
      </c>
      <c r="N10" s="7" t="s">
        <v>337</v>
      </c>
      <c r="O10" s="7" t="s">
        <v>337</v>
      </c>
      <c r="P10" s="7" t="s">
        <v>372</v>
      </c>
      <c r="Q10" s="7" t="s">
        <v>340</v>
      </c>
      <c r="R10" s="7" t="s">
        <v>341</v>
      </c>
      <c r="S10" s="7" t="s">
        <v>342</v>
      </c>
      <c r="T10" s="7" t="s">
        <v>342</v>
      </c>
      <c r="U10" s="7" t="s">
        <v>372</v>
      </c>
      <c r="V10" s="7">
        <v>91121</v>
      </c>
      <c r="W10" s="7" t="s">
        <v>342</v>
      </c>
      <c r="X10" s="7" t="s">
        <v>344</v>
      </c>
      <c r="Y10" s="7" t="s">
        <v>341</v>
      </c>
      <c r="Z10" s="7" t="s">
        <v>373</v>
      </c>
      <c r="AA10" s="7" t="s">
        <v>346</v>
      </c>
    </row>
    <row r="11" spans="1:27">
      <c r="A11" s="6">
        <v>10</v>
      </c>
      <c r="B11" s="7" t="s">
        <v>347</v>
      </c>
      <c r="C11" s="7" t="s">
        <v>336</v>
      </c>
      <c r="D11" s="7" t="s">
        <v>370</v>
      </c>
      <c r="E11" s="7" t="s">
        <v>337</v>
      </c>
      <c r="F11" s="7" t="s">
        <v>374</v>
      </c>
      <c r="G11" s="7" t="s">
        <v>242</v>
      </c>
      <c r="H11" s="7" t="s">
        <v>243</v>
      </c>
      <c r="I11" s="7" t="s">
        <v>339</v>
      </c>
      <c r="J11" s="7" t="s">
        <v>337</v>
      </c>
      <c r="K11" s="7" t="s">
        <v>339</v>
      </c>
      <c r="L11" s="7" t="s">
        <v>337</v>
      </c>
      <c r="M11" s="7" t="s">
        <v>337</v>
      </c>
      <c r="N11" s="7" t="s">
        <v>337</v>
      </c>
      <c r="O11" s="7" t="s">
        <v>337</v>
      </c>
      <c r="P11" s="7" t="s">
        <v>372</v>
      </c>
      <c r="Q11" s="7" t="s">
        <v>339</v>
      </c>
      <c r="R11" s="7" t="s">
        <v>341</v>
      </c>
      <c r="S11" s="7" t="s">
        <v>342</v>
      </c>
      <c r="T11" s="7" t="s">
        <v>342</v>
      </c>
      <c r="U11" s="7" t="s">
        <v>372</v>
      </c>
      <c r="V11" s="7" t="s">
        <v>375</v>
      </c>
      <c r="W11" s="7" t="s">
        <v>342</v>
      </c>
      <c r="X11" s="7" t="s">
        <v>342</v>
      </c>
      <c r="Y11" s="7" t="s">
        <v>341</v>
      </c>
      <c r="Z11" s="7" t="s">
        <v>376</v>
      </c>
      <c r="AA11" s="7" t="s">
        <v>346</v>
      </c>
    </row>
    <row r="12" spans="1:27">
      <c r="A12" s="6">
        <v>11</v>
      </c>
      <c r="B12" s="7" t="s">
        <v>349</v>
      </c>
      <c r="C12" s="7" t="s">
        <v>336</v>
      </c>
      <c r="D12" s="7" t="s">
        <v>370</v>
      </c>
      <c r="E12" s="7" t="s">
        <v>337</v>
      </c>
      <c r="F12" s="7" t="s">
        <v>377</v>
      </c>
      <c r="G12" s="7" t="s">
        <v>246</v>
      </c>
      <c r="H12" s="7" t="s">
        <v>247</v>
      </c>
      <c r="I12" s="7" t="s">
        <v>339</v>
      </c>
      <c r="J12" s="7" t="s">
        <v>337</v>
      </c>
      <c r="K12" s="7" t="s">
        <v>351</v>
      </c>
      <c r="L12" s="7" t="s">
        <v>337</v>
      </c>
      <c r="M12" s="7" t="s">
        <v>337</v>
      </c>
      <c r="N12" s="7" t="s">
        <v>337</v>
      </c>
      <c r="O12" s="7" t="s">
        <v>337</v>
      </c>
      <c r="P12" s="7" t="s">
        <v>372</v>
      </c>
      <c r="Q12" s="7" t="s">
        <v>339</v>
      </c>
      <c r="R12" s="7" t="s">
        <v>341</v>
      </c>
      <c r="S12" s="7" t="s">
        <v>342</v>
      </c>
      <c r="T12" s="7" t="s">
        <v>342</v>
      </c>
      <c r="U12" s="7" t="s">
        <v>337</v>
      </c>
      <c r="V12" s="7" t="s">
        <v>337</v>
      </c>
      <c r="W12" s="7" t="s">
        <v>337</v>
      </c>
      <c r="X12" s="7" t="s">
        <v>337</v>
      </c>
      <c r="Y12" s="7" t="s">
        <v>337</v>
      </c>
      <c r="Z12" s="7" t="s">
        <v>337</v>
      </c>
      <c r="AA12" s="7" t="s">
        <v>337</v>
      </c>
    </row>
    <row r="13" spans="1:27">
      <c r="A13" s="6">
        <v>12</v>
      </c>
      <c r="B13" s="7" t="s">
        <v>335</v>
      </c>
      <c r="C13" s="7" t="s">
        <v>336</v>
      </c>
      <c r="D13" s="7" t="s">
        <v>378</v>
      </c>
      <c r="E13" s="7" t="s">
        <v>337</v>
      </c>
      <c r="F13" s="7" t="s">
        <v>379</v>
      </c>
      <c r="G13" s="7" t="s">
        <v>250</v>
      </c>
      <c r="H13" s="7" t="s">
        <v>251</v>
      </c>
      <c r="I13" s="7" t="s">
        <v>339</v>
      </c>
      <c r="J13" s="7" t="s">
        <v>337</v>
      </c>
      <c r="K13" s="7" t="s">
        <v>358</v>
      </c>
      <c r="L13" s="7" t="s">
        <v>337</v>
      </c>
      <c r="M13" s="7" t="s">
        <v>337</v>
      </c>
      <c r="N13" s="7" t="s">
        <v>337</v>
      </c>
      <c r="O13" s="7" t="s">
        <v>337</v>
      </c>
      <c r="P13" s="7" t="s">
        <v>372</v>
      </c>
      <c r="Q13" s="7" t="s">
        <v>340</v>
      </c>
      <c r="R13" s="7" t="s">
        <v>341</v>
      </c>
      <c r="S13" s="7" t="s">
        <v>342</v>
      </c>
      <c r="T13" s="7" t="s">
        <v>342</v>
      </c>
      <c r="U13" s="7" t="s">
        <v>372</v>
      </c>
      <c r="V13" s="7" t="s">
        <v>375</v>
      </c>
      <c r="W13" s="7" t="s">
        <v>342</v>
      </c>
      <c r="X13" s="7" t="s">
        <v>344</v>
      </c>
      <c r="Y13" s="7" t="s">
        <v>341</v>
      </c>
      <c r="Z13" s="7" t="s">
        <v>376</v>
      </c>
      <c r="AA13" s="7" t="s">
        <v>346</v>
      </c>
    </row>
    <row r="14" spans="1:27">
      <c r="A14" s="6">
        <v>13</v>
      </c>
      <c r="B14" s="7" t="s">
        <v>335</v>
      </c>
      <c r="C14" s="7" t="s">
        <v>336</v>
      </c>
      <c r="D14" s="7" t="s">
        <v>380</v>
      </c>
      <c r="E14" s="7" t="s">
        <v>337</v>
      </c>
      <c r="F14" s="7" t="s">
        <v>379</v>
      </c>
      <c r="G14" s="7" t="s">
        <v>381</v>
      </c>
      <c r="H14" s="7" t="s">
        <v>382</v>
      </c>
      <c r="I14" s="7" t="s">
        <v>339</v>
      </c>
      <c r="J14" s="7" t="s">
        <v>337</v>
      </c>
      <c r="K14" s="7" t="s">
        <v>344</v>
      </c>
      <c r="L14" s="7" t="s">
        <v>337</v>
      </c>
      <c r="M14" s="7" t="s">
        <v>337</v>
      </c>
      <c r="N14" s="7" t="s">
        <v>337</v>
      </c>
      <c r="O14" s="7" t="s">
        <v>337</v>
      </c>
      <c r="P14" s="7" t="s">
        <v>372</v>
      </c>
      <c r="Q14" s="7" t="s">
        <v>340</v>
      </c>
      <c r="R14" s="7" t="s">
        <v>341</v>
      </c>
      <c r="S14" s="7" t="s">
        <v>342</v>
      </c>
      <c r="T14" s="7" t="s">
        <v>342</v>
      </c>
      <c r="U14" s="7" t="s">
        <v>372</v>
      </c>
      <c r="V14" s="7" t="s">
        <v>375</v>
      </c>
      <c r="W14" s="7" t="s">
        <v>342</v>
      </c>
      <c r="X14" s="7" t="s">
        <v>344</v>
      </c>
      <c r="Y14" s="7" t="s">
        <v>341</v>
      </c>
      <c r="Z14" s="7" t="s">
        <v>376</v>
      </c>
      <c r="AA14" s="7" t="s">
        <v>346</v>
      </c>
    </row>
    <row r="15" spans="1:27">
      <c r="A15" s="6">
        <v>14</v>
      </c>
      <c r="B15" s="7" t="s">
        <v>335</v>
      </c>
      <c r="C15" s="7" t="s">
        <v>336</v>
      </c>
      <c r="D15" s="7" t="s">
        <v>383</v>
      </c>
      <c r="E15" s="7" t="s">
        <v>337</v>
      </c>
      <c r="F15" s="7" t="s">
        <v>384</v>
      </c>
      <c r="G15" s="7" t="s">
        <v>254</v>
      </c>
      <c r="H15" s="7" t="s">
        <v>255</v>
      </c>
      <c r="I15" s="7" t="s">
        <v>339</v>
      </c>
      <c r="J15" s="7" t="s">
        <v>337</v>
      </c>
      <c r="K15" s="7" t="s">
        <v>340</v>
      </c>
      <c r="L15" s="7" t="s">
        <v>337</v>
      </c>
      <c r="M15" s="7" t="s">
        <v>337</v>
      </c>
      <c r="N15" s="7" t="s">
        <v>337</v>
      </c>
      <c r="O15" s="7" t="s">
        <v>337</v>
      </c>
      <c r="P15" s="7" t="s">
        <v>385</v>
      </c>
      <c r="Q15" s="7" t="s">
        <v>340</v>
      </c>
      <c r="R15" s="7" t="s">
        <v>341</v>
      </c>
      <c r="S15" s="7" t="s">
        <v>342</v>
      </c>
      <c r="T15" s="7" t="s">
        <v>342</v>
      </c>
      <c r="U15" s="7" t="s">
        <v>385</v>
      </c>
      <c r="V15" s="7" t="s">
        <v>386</v>
      </c>
      <c r="W15" s="7" t="s">
        <v>342</v>
      </c>
      <c r="X15" s="7" t="s">
        <v>344</v>
      </c>
      <c r="Y15" s="7" t="s">
        <v>341</v>
      </c>
      <c r="Z15" s="7" t="s">
        <v>322</v>
      </c>
      <c r="AA15" s="7" t="s">
        <v>346</v>
      </c>
    </row>
    <row r="16" spans="1:27">
      <c r="A16" s="6">
        <v>15</v>
      </c>
      <c r="B16" s="7" t="s">
        <v>347</v>
      </c>
      <c r="C16" s="7" t="s">
        <v>336</v>
      </c>
      <c r="D16" s="7" t="s">
        <v>383</v>
      </c>
      <c r="E16" s="7" t="s">
        <v>337</v>
      </c>
      <c r="F16" s="7" t="s">
        <v>374</v>
      </c>
      <c r="G16" s="7" t="s">
        <v>258</v>
      </c>
      <c r="H16" s="7" t="s">
        <v>259</v>
      </c>
      <c r="I16" s="7" t="s">
        <v>339</v>
      </c>
      <c r="J16" s="7" t="s">
        <v>337</v>
      </c>
      <c r="K16" s="7" t="s">
        <v>339</v>
      </c>
      <c r="L16" s="7" t="s">
        <v>337</v>
      </c>
      <c r="M16" s="7" t="s">
        <v>337</v>
      </c>
      <c r="N16" s="7" t="s">
        <v>337</v>
      </c>
      <c r="O16" s="7" t="s">
        <v>337</v>
      </c>
      <c r="P16" s="7" t="s">
        <v>385</v>
      </c>
      <c r="Q16" s="7" t="s">
        <v>339</v>
      </c>
      <c r="R16" s="7" t="s">
        <v>341</v>
      </c>
      <c r="S16" s="7" t="s">
        <v>342</v>
      </c>
      <c r="T16" s="7" t="s">
        <v>342</v>
      </c>
      <c r="U16" s="7" t="s">
        <v>385</v>
      </c>
      <c r="V16" s="7" t="s">
        <v>386</v>
      </c>
      <c r="W16" s="7" t="s">
        <v>342</v>
      </c>
      <c r="X16" s="7" t="s">
        <v>342</v>
      </c>
      <c r="Y16" s="7" t="s">
        <v>341</v>
      </c>
      <c r="Z16" s="7" t="s">
        <v>322</v>
      </c>
      <c r="AA16" s="7" t="s">
        <v>346</v>
      </c>
    </row>
    <row r="17" spans="1:27">
      <c r="A17" s="6">
        <v>16</v>
      </c>
      <c r="B17" s="7" t="s">
        <v>349</v>
      </c>
      <c r="C17" s="7" t="s">
        <v>336</v>
      </c>
      <c r="D17" s="7" t="s">
        <v>383</v>
      </c>
      <c r="E17" s="7" t="s">
        <v>337</v>
      </c>
      <c r="F17" s="7" t="s">
        <v>377</v>
      </c>
      <c r="G17" s="7" t="s">
        <v>261</v>
      </c>
      <c r="H17" s="7" t="s">
        <v>262</v>
      </c>
      <c r="I17" s="7" t="s">
        <v>339</v>
      </c>
      <c r="J17" s="7" t="s">
        <v>337</v>
      </c>
      <c r="K17" s="7" t="s">
        <v>351</v>
      </c>
      <c r="L17" s="7" t="s">
        <v>337</v>
      </c>
      <c r="M17" s="7" t="s">
        <v>337</v>
      </c>
      <c r="N17" s="7" t="s">
        <v>337</v>
      </c>
      <c r="O17" s="7" t="s">
        <v>337</v>
      </c>
      <c r="P17" s="7" t="s">
        <v>385</v>
      </c>
      <c r="Q17" s="7" t="s">
        <v>339</v>
      </c>
      <c r="R17" s="7" t="s">
        <v>341</v>
      </c>
      <c r="S17" s="7" t="s">
        <v>342</v>
      </c>
      <c r="T17" s="7" t="s">
        <v>342</v>
      </c>
      <c r="U17" s="7" t="s">
        <v>337</v>
      </c>
      <c r="V17" s="7" t="s">
        <v>337</v>
      </c>
      <c r="W17" s="7" t="s">
        <v>337</v>
      </c>
      <c r="X17" s="7" t="s">
        <v>337</v>
      </c>
      <c r="Y17" s="7" t="s">
        <v>337</v>
      </c>
      <c r="Z17" s="7" t="s">
        <v>337</v>
      </c>
      <c r="AA17" s="7" t="s">
        <v>337</v>
      </c>
    </row>
    <row r="18" spans="1:27">
      <c r="A18" s="6">
        <v>17</v>
      </c>
      <c r="B18" s="7" t="s">
        <v>335</v>
      </c>
      <c r="C18" s="7" t="s">
        <v>336</v>
      </c>
      <c r="D18" s="7" t="s">
        <v>387</v>
      </c>
      <c r="E18" s="7" t="s">
        <v>337</v>
      </c>
      <c r="F18" s="7" t="s">
        <v>384</v>
      </c>
      <c r="G18" s="7" t="s">
        <v>265</v>
      </c>
      <c r="H18" s="7" t="s">
        <v>266</v>
      </c>
      <c r="I18" s="7" t="s">
        <v>339</v>
      </c>
      <c r="J18" s="7" t="s">
        <v>337</v>
      </c>
      <c r="K18" s="7" t="s">
        <v>358</v>
      </c>
      <c r="L18" s="7" t="s">
        <v>337</v>
      </c>
      <c r="M18" s="7" t="s">
        <v>337</v>
      </c>
      <c r="N18" s="7" t="s">
        <v>337</v>
      </c>
      <c r="O18" s="7" t="s">
        <v>337</v>
      </c>
      <c r="P18" s="7" t="s">
        <v>385</v>
      </c>
      <c r="Q18" s="7" t="s">
        <v>340</v>
      </c>
      <c r="R18" s="7" t="s">
        <v>341</v>
      </c>
      <c r="S18" s="7" t="s">
        <v>342</v>
      </c>
      <c r="T18" s="7" t="s">
        <v>342</v>
      </c>
      <c r="U18" s="7" t="s">
        <v>385</v>
      </c>
      <c r="V18" s="7" t="s">
        <v>386</v>
      </c>
      <c r="W18" s="7" t="s">
        <v>342</v>
      </c>
      <c r="X18" s="7" t="s">
        <v>344</v>
      </c>
      <c r="Y18" s="7" t="s">
        <v>341</v>
      </c>
      <c r="Z18" s="7" t="s">
        <v>322</v>
      </c>
      <c r="AA18" s="7" t="s">
        <v>346</v>
      </c>
    </row>
    <row r="19" spans="1:27">
      <c r="A19" s="6">
        <v>18</v>
      </c>
      <c r="B19" s="7" t="s">
        <v>335</v>
      </c>
      <c r="C19" s="7" t="s">
        <v>336</v>
      </c>
      <c r="D19" s="7" t="s">
        <v>388</v>
      </c>
      <c r="E19" s="7" t="s">
        <v>337</v>
      </c>
      <c r="F19" s="7" t="s">
        <v>384</v>
      </c>
      <c r="G19" s="7" t="s">
        <v>389</v>
      </c>
      <c r="H19" s="7" t="s">
        <v>390</v>
      </c>
      <c r="I19" s="7" t="s">
        <v>339</v>
      </c>
      <c r="J19" s="7" t="s">
        <v>337</v>
      </c>
      <c r="K19" s="7" t="s">
        <v>344</v>
      </c>
      <c r="L19" s="7" t="s">
        <v>337</v>
      </c>
      <c r="M19" s="7" t="s">
        <v>337</v>
      </c>
      <c r="N19" s="7" t="s">
        <v>337</v>
      </c>
      <c r="O19" s="7" t="s">
        <v>337</v>
      </c>
      <c r="P19" s="7" t="s">
        <v>385</v>
      </c>
      <c r="Q19" s="7" t="s">
        <v>340</v>
      </c>
      <c r="R19" s="7" t="s">
        <v>341</v>
      </c>
      <c r="S19" s="7" t="s">
        <v>342</v>
      </c>
      <c r="T19" s="7" t="s">
        <v>342</v>
      </c>
      <c r="U19" s="7" t="s">
        <v>385</v>
      </c>
      <c r="V19" s="7" t="s">
        <v>386</v>
      </c>
      <c r="W19" s="7" t="s">
        <v>342</v>
      </c>
      <c r="X19" s="7" t="s">
        <v>344</v>
      </c>
      <c r="Y19" s="7" t="s">
        <v>341</v>
      </c>
      <c r="Z19" s="7" t="s">
        <v>322</v>
      </c>
      <c r="AA19" s="7" t="s">
        <v>346</v>
      </c>
    </row>
    <row r="20" spans="1:27">
      <c r="A20" s="6">
        <v>19</v>
      </c>
      <c r="B20" s="7" t="s">
        <v>335</v>
      </c>
      <c r="C20" s="7" t="s">
        <v>336</v>
      </c>
      <c r="D20" s="7" t="s">
        <v>267</v>
      </c>
      <c r="E20" s="7" t="s">
        <v>337</v>
      </c>
      <c r="F20" s="7" t="s">
        <v>391</v>
      </c>
      <c r="G20" s="7" t="s">
        <v>269</v>
      </c>
      <c r="H20" s="7" t="s">
        <v>270</v>
      </c>
      <c r="I20" s="7" t="s">
        <v>339</v>
      </c>
      <c r="J20" s="7" t="s">
        <v>337</v>
      </c>
      <c r="K20" s="7" t="s">
        <v>337</v>
      </c>
      <c r="L20" s="7" t="s">
        <v>340</v>
      </c>
      <c r="M20" s="7" t="s">
        <v>337</v>
      </c>
      <c r="N20" s="7" t="s">
        <v>337</v>
      </c>
      <c r="O20" s="7" t="s">
        <v>337</v>
      </c>
      <c r="P20" s="7" t="s">
        <v>392</v>
      </c>
      <c r="Q20" s="7" t="s">
        <v>393</v>
      </c>
      <c r="R20" s="7" t="s">
        <v>361</v>
      </c>
      <c r="S20" s="7" t="s">
        <v>342</v>
      </c>
      <c r="T20" s="7" t="s">
        <v>342</v>
      </c>
      <c r="U20" s="7" t="s">
        <v>392</v>
      </c>
      <c r="V20" s="7">
        <v>91316</v>
      </c>
      <c r="W20" s="7" t="s">
        <v>342</v>
      </c>
      <c r="X20" s="7" t="s">
        <v>394</v>
      </c>
      <c r="Y20" s="7" t="s">
        <v>361</v>
      </c>
      <c r="Z20" s="7" t="s">
        <v>395</v>
      </c>
      <c r="AA20" s="7" t="s">
        <v>346</v>
      </c>
    </row>
    <row r="21" spans="1:27">
      <c r="A21" s="6">
        <v>20</v>
      </c>
      <c r="B21" s="7" t="s">
        <v>347</v>
      </c>
      <c r="C21" s="7" t="s">
        <v>336</v>
      </c>
      <c r="D21" s="7" t="s">
        <v>267</v>
      </c>
      <c r="E21" s="7" t="s">
        <v>337</v>
      </c>
      <c r="F21" s="7" t="s">
        <v>396</v>
      </c>
      <c r="G21" s="7" t="s">
        <v>272</v>
      </c>
      <c r="H21" s="7" t="s">
        <v>273</v>
      </c>
      <c r="I21" s="7" t="s">
        <v>339</v>
      </c>
      <c r="J21" s="7" t="s">
        <v>337</v>
      </c>
      <c r="K21" s="7" t="s">
        <v>337</v>
      </c>
      <c r="L21" s="7" t="s">
        <v>339</v>
      </c>
      <c r="M21" s="7" t="s">
        <v>337</v>
      </c>
      <c r="N21" s="7" t="s">
        <v>337</v>
      </c>
      <c r="O21" s="7" t="s">
        <v>337</v>
      </c>
      <c r="P21" s="7" t="s">
        <v>397</v>
      </c>
      <c r="Q21" s="7" t="s">
        <v>398</v>
      </c>
      <c r="R21" s="7" t="s">
        <v>361</v>
      </c>
      <c r="S21" s="7" t="s">
        <v>342</v>
      </c>
      <c r="T21" s="7" t="s">
        <v>342</v>
      </c>
      <c r="U21" s="7" t="s">
        <v>337</v>
      </c>
      <c r="V21" s="7" t="s">
        <v>337</v>
      </c>
      <c r="W21" s="7" t="s">
        <v>337</v>
      </c>
      <c r="X21" s="7" t="s">
        <v>337</v>
      </c>
      <c r="Y21" s="7" t="s">
        <v>337</v>
      </c>
      <c r="Z21" s="7" t="s">
        <v>337</v>
      </c>
      <c r="AA21" s="7" t="s">
        <v>337</v>
      </c>
    </row>
    <row r="22" spans="1:27">
      <c r="A22" s="6">
        <v>21</v>
      </c>
      <c r="B22" s="7" t="s">
        <v>349</v>
      </c>
      <c r="C22" s="7" t="s">
        <v>336</v>
      </c>
      <c r="D22" s="7" t="s">
        <v>267</v>
      </c>
      <c r="E22" s="7" t="s">
        <v>337</v>
      </c>
      <c r="F22" s="7" t="s">
        <v>399</v>
      </c>
      <c r="G22" s="7" t="s">
        <v>275</v>
      </c>
      <c r="H22" s="7" t="s">
        <v>276</v>
      </c>
      <c r="I22" s="7" t="s">
        <v>339</v>
      </c>
      <c r="J22" s="7" t="s">
        <v>337</v>
      </c>
      <c r="K22" s="7" t="s">
        <v>337</v>
      </c>
      <c r="L22" s="7" t="s">
        <v>351</v>
      </c>
      <c r="M22" s="7" t="s">
        <v>337</v>
      </c>
      <c r="N22" s="7" t="s">
        <v>337</v>
      </c>
      <c r="O22" s="7" t="s">
        <v>337</v>
      </c>
      <c r="P22" s="7" t="s">
        <v>400</v>
      </c>
      <c r="Q22" s="7" t="s">
        <v>398</v>
      </c>
      <c r="R22" s="7" t="s">
        <v>361</v>
      </c>
      <c r="S22" s="7" t="s">
        <v>342</v>
      </c>
      <c r="T22" s="7" t="s">
        <v>342</v>
      </c>
      <c r="U22" s="7" t="s">
        <v>337</v>
      </c>
      <c r="V22" s="7" t="s">
        <v>337</v>
      </c>
      <c r="W22" s="7" t="s">
        <v>337</v>
      </c>
      <c r="X22" s="7" t="s">
        <v>337</v>
      </c>
      <c r="Y22" s="7" t="s">
        <v>337</v>
      </c>
      <c r="Z22" s="7" t="s">
        <v>337</v>
      </c>
      <c r="AA22" s="7" t="s">
        <v>337</v>
      </c>
    </row>
    <row r="23" spans="1:27">
      <c r="A23" s="6">
        <v>22</v>
      </c>
      <c r="B23" s="7" t="s">
        <v>335</v>
      </c>
      <c r="C23" s="7" t="s">
        <v>336</v>
      </c>
      <c r="D23" s="7" t="s">
        <v>277</v>
      </c>
      <c r="E23" s="7" t="s">
        <v>337</v>
      </c>
      <c r="F23" s="7" t="s">
        <v>401</v>
      </c>
      <c r="G23" s="7" t="s">
        <v>278</v>
      </c>
      <c r="H23" s="7" t="s">
        <v>279</v>
      </c>
      <c r="I23" s="7" t="s">
        <v>339</v>
      </c>
      <c r="J23" s="7" t="s">
        <v>337</v>
      </c>
      <c r="K23" s="7" t="s">
        <v>337</v>
      </c>
      <c r="L23" s="7" t="s">
        <v>337</v>
      </c>
      <c r="M23" s="7" t="s">
        <v>344</v>
      </c>
      <c r="N23" s="7" t="s">
        <v>337</v>
      </c>
      <c r="O23" s="7" t="s">
        <v>337</v>
      </c>
      <c r="P23" s="7" t="s">
        <v>337</v>
      </c>
      <c r="Q23" s="7" t="s">
        <v>340</v>
      </c>
      <c r="R23" s="7" t="s">
        <v>341</v>
      </c>
      <c r="S23" s="7" t="s">
        <v>344</v>
      </c>
      <c r="T23" s="7" t="s">
        <v>341</v>
      </c>
      <c r="U23" s="7" t="s">
        <v>337</v>
      </c>
      <c r="V23" s="7" t="s">
        <v>360</v>
      </c>
      <c r="W23" s="7" t="s">
        <v>341</v>
      </c>
      <c r="X23" s="7" t="s">
        <v>344</v>
      </c>
      <c r="Y23" s="7" t="s">
        <v>341</v>
      </c>
      <c r="Z23" s="7" t="s">
        <v>362</v>
      </c>
      <c r="AA23" s="7" t="s">
        <v>356</v>
      </c>
    </row>
    <row r="24" spans="1:27">
      <c r="A24" s="6">
        <v>23</v>
      </c>
      <c r="B24" s="7" t="s">
        <v>335</v>
      </c>
      <c r="C24" s="7" t="s">
        <v>336</v>
      </c>
      <c r="D24" s="7" t="s">
        <v>280</v>
      </c>
      <c r="E24" s="7" t="s">
        <v>337</v>
      </c>
      <c r="F24" s="7" t="s">
        <v>402</v>
      </c>
      <c r="G24" s="7" t="s">
        <v>281</v>
      </c>
      <c r="H24" s="7" t="s">
        <v>282</v>
      </c>
      <c r="I24" s="7" t="s">
        <v>339</v>
      </c>
      <c r="J24" s="7" t="s">
        <v>337</v>
      </c>
      <c r="K24" s="7" t="s">
        <v>337</v>
      </c>
      <c r="L24" s="7" t="s">
        <v>337</v>
      </c>
      <c r="M24" s="7" t="s">
        <v>358</v>
      </c>
      <c r="N24" s="7" t="s">
        <v>337</v>
      </c>
      <c r="O24" s="7" t="s">
        <v>337</v>
      </c>
      <c r="P24" s="7" t="s">
        <v>337</v>
      </c>
      <c r="Q24" s="7" t="s">
        <v>340</v>
      </c>
      <c r="R24" s="7" t="s">
        <v>341</v>
      </c>
      <c r="S24" s="7" t="s">
        <v>344</v>
      </c>
      <c r="T24" s="7" t="s">
        <v>341</v>
      </c>
      <c r="U24" s="7" t="s">
        <v>337</v>
      </c>
      <c r="V24" s="7" t="s">
        <v>360</v>
      </c>
      <c r="W24" s="7" t="s">
        <v>361</v>
      </c>
      <c r="X24" s="7" t="s">
        <v>344</v>
      </c>
      <c r="Y24" s="7" t="s">
        <v>341</v>
      </c>
      <c r="Z24" s="7" t="s">
        <v>362</v>
      </c>
      <c r="AA24" s="7" t="s">
        <v>363</v>
      </c>
    </row>
    <row r="25" spans="1:27">
      <c r="A25" s="6">
        <v>24</v>
      </c>
      <c r="B25" s="7" t="s">
        <v>335</v>
      </c>
      <c r="C25" s="7" t="s">
        <v>336</v>
      </c>
      <c r="D25" s="7" t="s">
        <v>283</v>
      </c>
      <c r="E25" s="7" t="s">
        <v>337</v>
      </c>
      <c r="F25" s="7" t="s">
        <v>403</v>
      </c>
      <c r="G25" s="7" t="s">
        <v>285</v>
      </c>
      <c r="H25" s="7" t="s">
        <v>286</v>
      </c>
      <c r="I25" s="7" t="s">
        <v>339</v>
      </c>
      <c r="J25" s="7" t="s">
        <v>337</v>
      </c>
      <c r="K25" s="7" t="s">
        <v>337</v>
      </c>
      <c r="L25" s="7" t="s">
        <v>337</v>
      </c>
      <c r="M25" s="7" t="s">
        <v>340</v>
      </c>
      <c r="N25" s="7" t="s">
        <v>337</v>
      </c>
      <c r="O25" s="7" t="s">
        <v>337</v>
      </c>
      <c r="P25" s="7" t="s">
        <v>337</v>
      </c>
      <c r="Q25" s="7" t="s">
        <v>340</v>
      </c>
      <c r="R25" s="7" t="s">
        <v>341</v>
      </c>
      <c r="S25" s="7" t="s">
        <v>344</v>
      </c>
      <c r="T25" s="7" t="s">
        <v>341</v>
      </c>
      <c r="U25" s="7" t="s">
        <v>337</v>
      </c>
      <c r="V25" s="7" t="s">
        <v>360</v>
      </c>
      <c r="W25" s="7" t="s">
        <v>341</v>
      </c>
      <c r="X25" s="7" t="s">
        <v>344</v>
      </c>
      <c r="Y25" s="7" t="s">
        <v>341</v>
      </c>
      <c r="Z25" s="7" t="s">
        <v>362</v>
      </c>
      <c r="AA25" s="7" t="s">
        <v>356</v>
      </c>
    </row>
    <row r="26" spans="1:27">
      <c r="A26" s="6">
        <v>25</v>
      </c>
      <c r="B26" s="7" t="s">
        <v>347</v>
      </c>
      <c r="C26" s="7" t="s">
        <v>336</v>
      </c>
      <c r="D26" s="7" t="s">
        <v>283</v>
      </c>
      <c r="E26" s="7" t="s">
        <v>337</v>
      </c>
      <c r="F26" s="7" t="s">
        <v>404</v>
      </c>
      <c r="G26" s="7" t="s">
        <v>288</v>
      </c>
      <c r="H26" s="7" t="s">
        <v>289</v>
      </c>
      <c r="I26" s="7" t="s">
        <v>339</v>
      </c>
      <c r="J26" s="7" t="s">
        <v>337</v>
      </c>
      <c r="K26" s="7" t="s">
        <v>337</v>
      </c>
      <c r="L26" s="7" t="s">
        <v>337</v>
      </c>
      <c r="M26" s="7" t="s">
        <v>339</v>
      </c>
      <c r="N26" s="7" t="s">
        <v>337</v>
      </c>
      <c r="O26" s="7" t="s">
        <v>337</v>
      </c>
      <c r="P26" s="7" t="s">
        <v>337</v>
      </c>
      <c r="Q26" s="7" t="s">
        <v>339</v>
      </c>
      <c r="R26" s="7" t="s">
        <v>341</v>
      </c>
      <c r="S26" s="7" t="s">
        <v>342</v>
      </c>
      <c r="T26" s="7" t="s">
        <v>342</v>
      </c>
      <c r="U26" s="7" t="s">
        <v>337</v>
      </c>
      <c r="V26" s="7" t="s">
        <v>337</v>
      </c>
      <c r="W26" s="7" t="s">
        <v>337</v>
      </c>
      <c r="X26" s="7" t="s">
        <v>337</v>
      </c>
      <c r="Y26" s="7" t="s">
        <v>337</v>
      </c>
      <c r="Z26" s="7" t="s">
        <v>337</v>
      </c>
      <c r="AA26" s="7" t="s">
        <v>337</v>
      </c>
    </row>
    <row r="27" spans="1:27">
      <c r="A27" s="6">
        <v>26</v>
      </c>
      <c r="B27" s="7" t="s">
        <v>349</v>
      </c>
      <c r="C27" s="7" t="s">
        <v>336</v>
      </c>
      <c r="D27" s="7" t="s">
        <v>283</v>
      </c>
      <c r="E27" s="7" t="s">
        <v>337</v>
      </c>
      <c r="F27" s="7" t="s">
        <v>405</v>
      </c>
      <c r="G27" s="7" t="s">
        <v>291</v>
      </c>
      <c r="H27" s="7" t="s">
        <v>292</v>
      </c>
      <c r="I27" s="7" t="s">
        <v>339</v>
      </c>
      <c r="J27" s="7" t="s">
        <v>337</v>
      </c>
      <c r="K27" s="7" t="s">
        <v>337</v>
      </c>
      <c r="L27" s="7" t="s">
        <v>337</v>
      </c>
      <c r="M27" s="7" t="s">
        <v>351</v>
      </c>
      <c r="N27" s="7" t="s">
        <v>337</v>
      </c>
      <c r="O27" s="7" t="s">
        <v>337</v>
      </c>
      <c r="P27" s="7" t="s">
        <v>337</v>
      </c>
      <c r="Q27" s="7" t="s">
        <v>351</v>
      </c>
      <c r="R27" s="7" t="s">
        <v>341</v>
      </c>
      <c r="S27" s="7" t="s">
        <v>342</v>
      </c>
      <c r="T27" s="7" t="s">
        <v>342</v>
      </c>
      <c r="U27" s="7" t="s">
        <v>337</v>
      </c>
      <c r="V27" s="7" t="s">
        <v>337</v>
      </c>
      <c r="W27" s="7" t="s">
        <v>337</v>
      </c>
      <c r="X27" s="7" t="s">
        <v>337</v>
      </c>
      <c r="Y27" s="7" t="s">
        <v>337</v>
      </c>
      <c r="Z27" s="7" t="s">
        <v>337</v>
      </c>
      <c r="AA27" s="7" t="s">
        <v>337</v>
      </c>
    </row>
    <row r="28" spans="1:27">
      <c r="A28" s="6">
        <v>27</v>
      </c>
      <c r="B28" s="7" t="s">
        <v>335</v>
      </c>
      <c r="C28" s="7" t="s">
        <v>336</v>
      </c>
      <c r="D28" s="7" t="s">
        <v>60</v>
      </c>
      <c r="E28" s="7" t="s">
        <v>337</v>
      </c>
      <c r="F28" s="7" t="s">
        <v>406</v>
      </c>
      <c r="G28" s="7" t="s">
        <v>293</v>
      </c>
      <c r="H28" s="7" t="s">
        <v>294</v>
      </c>
      <c r="I28" s="7" t="s">
        <v>339</v>
      </c>
      <c r="J28" s="7" t="s">
        <v>337</v>
      </c>
      <c r="K28" s="7" t="s">
        <v>337</v>
      </c>
      <c r="L28" s="7" t="s">
        <v>337</v>
      </c>
      <c r="M28" s="7" t="s">
        <v>337</v>
      </c>
      <c r="N28" s="7" t="s">
        <v>344</v>
      </c>
      <c r="O28" s="7" t="s">
        <v>337</v>
      </c>
      <c r="P28" s="7" t="s">
        <v>337</v>
      </c>
      <c r="Q28" s="7" t="s">
        <v>340</v>
      </c>
      <c r="R28" s="7" t="s">
        <v>341</v>
      </c>
      <c r="S28" s="7" t="s">
        <v>344</v>
      </c>
      <c r="T28" s="7" t="s">
        <v>341</v>
      </c>
      <c r="U28" s="7" t="s">
        <v>337</v>
      </c>
      <c r="V28" s="7" t="s">
        <v>407</v>
      </c>
      <c r="W28" s="7" t="s">
        <v>342</v>
      </c>
      <c r="X28" s="7" t="s">
        <v>344</v>
      </c>
      <c r="Y28" s="7" t="s">
        <v>341</v>
      </c>
      <c r="Z28" s="7" t="s">
        <v>408</v>
      </c>
      <c r="AA28" s="7" t="s">
        <v>346</v>
      </c>
    </row>
    <row r="29" spans="1:27">
      <c r="A29" s="6">
        <v>28</v>
      </c>
      <c r="B29" s="7" t="s">
        <v>409</v>
      </c>
      <c r="C29" s="7" t="s">
        <v>336</v>
      </c>
      <c r="D29" s="7" t="s">
        <v>170</v>
      </c>
      <c r="E29" s="7" t="s">
        <v>337</v>
      </c>
      <c r="F29" s="7" t="s">
        <v>410</v>
      </c>
      <c r="G29" s="7" t="s">
        <v>295</v>
      </c>
      <c r="H29" s="7" t="s">
        <v>296</v>
      </c>
      <c r="I29" s="7" t="s">
        <v>339</v>
      </c>
      <c r="J29" s="7" t="s">
        <v>337</v>
      </c>
      <c r="K29" s="7" t="s">
        <v>337</v>
      </c>
      <c r="L29" s="7" t="s">
        <v>337</v>
      </c>
      <c r="M29" s="7" t="s">
        <v>337</v>
      </c>
      <c r="N29" s="7" t="s">
        <v>358</v>
      </c>
      <c r="O29" s="7" t="s">
        <v>337</v>
      </c>
      <c r="P29" s="7" t="s">
        <v>337</v>
      </c>
      <c r="Q29" s="7" t="s">
        <v>340</v>
      </c>
      <c r="R29" s="7" t="s">
        <v>341</v>
      </c>
      <c r="S29" s="7" t="s">
        <v>344</v>
      </c>
      <c r="T29" s="7" t="s">
        <v>341</v>
      </c>
      <c r="U29" s="7" t="s">
        <v>337</v>
      </c>
      <c r="V29" s="7" t="s">
        <v>407</v>
      </c>
      <c r="W29" s="7" t="s">
        <v>342</v>
      </c>
      <c r="X29" s="7" t="s">
        <v>344</v>
      </c>
      <c r="Y29" s="7" t="s">
        <v>341</v>
      </c>
      <c r="Z29" s="7" t="s">
        <v>408</v>
      </c>
      <c r="AA29" s="7" t="s">
        <v>346</v>
      </c>
    </row>
    <row r="30" spans="1:27">
      <c r="A30" s="6">
        <v>29</v>
      </c>
      <c r="B30" s="7" t="s">
        <v>335</v>
      </c>
      <c r="C30" s="7" t="s">
        <v>336</v>
      </c>
      <c r="D30" s="7" t="s">
        <v>411</v>
      </c>
      <c r="E30" s="7" t="s">
        <v>344</v>
      </c>
      <c r="F30" s="7" t="s">
        <v>412</v>
      </c>
      <c r="G30" s="7" t="s">
        <v>298</v>
      </c>
      <c r="H30" s="7" t="s">
        <v>299</v>
      </c>
      <c r="I30" s="7" t="s">
        <v>339</v>
      </c>
      <c r="J30" s="7" t="s">
        <v>337</v>
      </c>
      <c r="K30" s="7" t="s">
        <v>337</v>
      </c>
      <c r="L30" s="7" t="s">
        <v>337</v>
      </c>
      <c r="M30" s="7" t="s">
        <v>337</v>
      </c>
      <c r="N30" s="7" t="s">
        <v>337</v>
      </c>
      <c r="O30" s="7" t="s">
        <v>337</v>
      </c>
      <c r="P30" s="7" t="s">
        <v>337</v>
      </c>
      <c r="Q30" s="7" t="s">
        <v>340</v>
      </c>
      <c r="R30" s="7" t="s">
        <v>341</v>
      </c>
      <c r="S30" s="7" t="s">
        <v>344</v>
      </c>
      <c r="T30" s="7" t="s">
        <v>341</v>
      </c>
      <c r="U30" s="7" t="s">
        <v>337</v>
      </c>
      <c r="V30" s="7" t="s">
        <v>413</v>
      </c>
      <c r="W30" s="7" t="s">
        <v>414</v>
      </c>
      <c r="X30" s="7" t="s">
        <v>344</v>
      </c>
      <c r="Y30" s="7" t="s">
        <v>342</v>
      </c>
      <c r="Z30" s="7" t="s">
        <v>415</v>
      </c>
      <c r="AA30" s="7" t="s">
        <v>363</v>
      </c>
    </row>
    <row r="31" spans="1:27">
      <c r="A31" s="6">
        <v>30</v>
      </c>
      <c r="B31" s="7" t="s">
        <v>335</v>
      </c>
      <c r="C31" s="7" t="s">
        <v>336</v>
      </c>
      <c r="D31" s="7" t="s">
        <v>416</v>
      </c>
      <c r="E31" s="7" t="s">
        <v>358</v>
      </c>
      <c r="F31" s="7" t="s">
        <v>417</v>
      </c>
      <c r="G31" s="7" t="s">
        <v>301</v>
      </c>
      <c r="H31" s="7" t="s">
        <v>302</v>
      </c>
      <c r="I31" s="7" t="s">
        <v>339</v>
      </c>
      <c r="J31" s="7" t="s">
        <v>337</v>
      </c>
      <c r="K31" s="7" t="s">
        <v>337</v>
      </c>
      <c r="L31" s="7" t="s">
        <v>337</v>
      </c>
      <c r="M31" s="7" t="s">
        <v>337</v>
      </c>
      <c r="N31" s="7" t="s">
        <v>337</v>
      </c>
      <c r="O31" s="7" t="s">
        <v>337</v>
      </c>
      <c r="P31" s="7" t="s">
        <v>337</v>
      </c>
      <c r="Q31" s="7" t="s">
        <v>340</v>
      </c>
      <c r="R31" s="7" t="s">
        <v>341</v>
      </c>
      <c r="S31" s="7" t="s">
        <v>344</v>
      </c>
      <c r="T31" s="7" t="s">
        <v>341</v>
      </c>
      <c r="U31" s="7" t="s">
        <v>337</v>
      </c>
      <c r="V31" s="7" t="s">
        <v>413</v>
      </c>
      <c r="W31" s="7" t="s">
        <v>414</v>
      </c>
      <c r="X31" s="7" t="s">
        <v>344</v>
      </c>
      <c r="Y31" s="7" t="s">
        <v>342</v>
      </c>
      <c r="Z31" s="7" t="s">
        <v>415</v>
      </c>
      <c r="AA31" s="7" t="s">
        <v>363</v>
      </c>
    </row>
    <row r="32" spans="1:27">
      <c r="A32" s="6">
        <v>31</v>
      </c>
      <c r="B32" s="7" t="s">
        <v>335</v>
      </c>
      <c r="C32" s="7" t="s">
        <v>336</v>
      </c>
      <c r="D32" s="7" t="s">
        <v>418</v>
      </c>
      <c r="E32" s="7" t="s">
        <v>337</v>
      </c>
      <c r="F32" s="7" t="s">
        <v>365</v>
      </c>
      <c r="G32" s="7" t="s">
        <v>304</v>
      </c>
      <c r="H32" s="7" t="s">
        <v>305</v>
      </c>
      <c r="I32" s="7" t="s">
        <v>339</v>
      </c>
      <c r="J32" s="7" t="s">
        <v>337</v>
      </c>
      <c r="K32" s="7" t="s">
        <v>337</v>
      </c>
      <c r="L32" s="7" t="s">
        <v>337</v>
      </c>
      <c r="M32" s="7" t="s">
        <v>337</v>
      </c>
      <c r="N32" s="7" t="s">
        <v>337</v>
      </c>
      <c r="O32" s="7" t="s">
        <v>358</v>
      </c>
      <c r="P32" s="7" t="s">
        <v>337</v>
      </c>
      <c r="Q32" s="7" t="s">
        <v>340</v>
      </c>
      <c r="R32" s="7" t="s">
        <v>341</v>
      </c>
      <c r="S32" s="7" t="s">
        <v>344</v>
      </c>
      <c r="T32" s="7" t="s">
        <v>341</v>
      </c>
      <c r="U32" s="7" t="s">
        <v>337</v>
      </c>
      <c r="V32" s="7" t="s">
        <v>413</v>
      </c>
      <c r="W32" s="7" t="s">
        <v>414</v>
      </c>
      <c r="X32" s="7" t="s">
        <v>344</v>
      </c>
      <c r="Y32" s="7" t="s">
        <v>342</v>
      </c>
      <c r="Z32" s="7" t="s">
        <v>415</v>
      </c>
      <c r="AA32" s="7" t="s">
        <v>363</v>
      </c>
    </row>
    <row r="33" spans="1:27">
      <c r="A33" s="6">
        <v>32</v>
      </c>
      <c r="B33" s="7" t="s">
        <v>335</v>
      </c>
      <c r="C33" s="7" t="s">
        <v>336</v>
      </c>
      <c r="D33" s="7" t="s">
        <v>419</v>
      </c>
      <c r="E33" s="7" t="s">
        <v>337</v>
      </c>
      <c r="F33" s="7" t="s">
        <v>365</v>
      </c>
      <c r="G33" s="7" t="s">
        <v>307</v>
      </c>
      <c r="H33" s="7" t="s">
        <v>308</v>
      </c>
      <c r="I33" s="7" t="s">
        <v>339</v>
      </c>
      <c r="J33" s="7" t="s">
        <v>337</v>
      </c>
      <c r="K33" s="7" t="s">
        <v>337</v>
      </c>
      <c r="L33" s="7" t="s">
        <v>337</v>
      </c>
      <c r="M33" s="7" t="s">
        <v>337</v>
      </c>
      <c r="N33" s="7" t="s">
        <v>337</v>
      </c>
      <c r="O33" s="7" t="s">
        <v>358</v>
      </c>
      <c r="P33" s="7" t="s">
        <v>337</v>
      </c>
      <c r="Q33" s="7" t="s">
        <v>340</v>
      </c>
      <c r="R33" s="7" t="s">
        <v>341</v>
      </c>
      <c r="S33" s="7" t="s">
        <v>344</v>
      </c>
      <c r="T33" s="7" t="s">
        <v>341</v>
      </c>
      <c r="U33" s="7" t="s">
        <v>337</v>
      </c>
      <c r="V33" s="7" t="s">
        <v>413</v>
      </c>
      <c r="W33" s="7" t="s">
        <v>414</v>
      </c>
      <c r="X33" s="7" t="s">
        <v>344</v>
      </c>
      <c r="Y33" s="7" t="s">
        <v>342</v>
      </c>
      <c r="Z33" s="7" t="s">
        <v>415</v>
      </c>
      <c r="AA33" s="7" t="s">
        <v>363</v>
      </c>
    </row>
    <row r="34" spans="1:27">
      <c r="A34" s="6">
        <v>33</v>
      </c>
      <c r="B34" s="7" t="s">
        <v>335</v>
      </c>
      <c r="C34" s="7" t="s">
        <v>336</v>
      </c>
      <c r="D34" s="7" t="s">
        <v>420</v>
      </c>
      <c r="E34" s="7" t="s">
        <v>337</v>
      </c>
      <c r="F34" s="7" t="s">
        <v>365</v>
      </c>
      <c r="G34" s="7" t="s">
        <v>310</v>
      </c>
      <c r="H34" s="7" t="s">
        <v>311</v>
      </c>
      <c r="I34" s="7" t="s">
        <v>339</v>
      </c>
      <c r="J34" s="7" t="s">
        <v>337</v>
      </c>
      <c r="K34" s="7" t="s">
        <v>337</v>
      </c>
      <c r="L34" s="7" t="s">
        <v>337</v>
      </c>
      <c r="M34" s="7" t="s">
        <v>337</v>
      </c>
      <c r="N34" s="7" t="s">
        <v>337</v>
      </c>
      <c r="O34" s="7" t="s">
        <v>421</v>
      </c>
      <c r="P34" s="7" t="s">
        <v>337</v>
      </c>
      <c r="Q34" s="7" t="s">
        <v>337</v>
      </c>
      <c r="R34" s="7" t="s">
        <v>337</v>
      </c>
      <c r="S34" s="7" t="s">
        <v>337</v>
      </c>
      <c r="T34" s="7" t="s">
        <v>337</v>
      </c>
      <c r="U34" s="7" t="s">
        <v>337</v>
      </c>
      <c r="V34" s="7" t="s">
        <v>337</v>
      </c>
      <c r="W34" s="7" t="s">
        <v>337</v>
      </c>
      <c r="X34" s="7" t="s">
        <v>337</v>
      </c>
      <c r="Y34" s="7" t="s">
        <v>337</v>
      </c>
      <c r="Z34" s="7" t="s">
        <v>337</v>
      </c>
      <c r="AA34" s="7" t="s">
        <v>337</v>
      </c>
    </row>
  </sheetData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5"/>
  <sheetViews>
    <sheetView tabSelected="1" zoomScaleNormal="100" workbookViewId="0">
      <pane xSplit="4" ySplit="2" topLeftCell="T27" activePane="bottomRight" state="frozen"/>
      <selection pane="bottomRight" activeCell="V50" sqref="V50"/>
      <selection pane="bottomLeft" activeCell="A3" sqref="A3"/>
      <selection pane="topRight" activeCell="E1" sqref="E1"/>
    </sheetView>
  </sheetViews>
  <sheetFormatPr defaultColWidth="71.25" defaultRowHeight="13.5" outlineLevelCol="1"/>
  <cols>
    <col min="1" max="1" width="5.5" style="1" bestFit="1" customWidth="1"/>
    <col min="2" max="2" width="9.5" style="2" customWidth="1" outlineLevel="1"/>
    <col min="3" max="3" width="6.5" style="1" customWidth="1" outlineLevel="1"/>
    <col min="4" max="4" width="27.25" style="1" bestFit="1" customWidth="1"/>
    <col min="5" max="5" width="10.5" style="1" bestFit="1" customWidth="1"/>
    <col min="6" max="6" width="47.125" style="1" bestFit="1" customWidth="1"/>
    <col min="7" max="7" width="45" style="1" hidden="1" customWidth="1" outlineLevel="1"/>
    <col min="8" max="8" width="15" style="1" bestFit="1" customWidth="1" collapsed="1"/>
    <col min="9" max="9" width="9.5" style="1" bestFit="1" customWidth="1"/>
    <col min="10" max="10" width="16.125" style="1" bestFit="1" customWidth="1"/>
    <col min="11" max="11" width="5.5" style="1" bestFit="1" customWidth="1"/>
    <col min="12" max="12" width="16.125" style="1" bestFit="1" customWidth="1"/>
    <col min="13" max="13" width="7.5" style="1" bestFit="1" customWidth="1"/>
    <col min="14" max="14" width="11.625" style="1" bestFit="1" customWidth="1"/>
    <col min="15" max="16" width="7.5" style="1" bestFit="1" customWidth="1"/>
    <col min="17" max="19" width="5.5" style="2" bestFit="1" customWidth="1"/>
    <col min="20" max="21" width="9.5" style="2" bestFit="1" customWidth="1"/>
    <col min="22" max="16384" width="71.25" style="1"/>
  </cols>
  <sheetData>
    <row r="1" spans="1:21" ht="18.75">
      <c r="A1" s="65" t="s">
        <v>197</v>
      </c>
      <c r="B1" s="64" t="s">
        <v>422</v>
      </c>
      <c r="C1" s="64" t="s">
        <v>423</v>
      </c>
      <c r="D1" s="64" t="s">
        <v>424</v>
      </c>
      <c r="E1" s="64" t="s">
        <v>202</v>
      </c>
      <c r="F1" s="64" t="s">
        <v>425</v>
      </c>
      <c r="G1" s="81" t="s">
        <v>200</v>
      </c>
      <c r="H1" s="82" t="s">
        <v>201</v>
      </c>
      <c r="I1" s="83" t="s">
        <v>426</v>
      </c>
      <c r="J1" s="65" t="s">
        <v>203</v>
      </c>
      <c r="K1" s="65" t="s">
        <v>204</v>
      </c>
      <c r="L1" s="65" t="s">
        <v>147</v>
      </c>
      <c r="M1" s="85" t="s">
        <v>206</v>
      </c>
      <c r="N1" s="85" t="s">
        <v>207</v>
      </c>
      <c r="O1" s="85" t="s">
        <v>208</v>
      </c>
      <c r="P1" s="85" t="s">
        <v>209</v>
      </c>
      <c r="Q1" s="65" t="s">
        <v>427</v>
      </c>
      <c r="R1" s="60"/>
      <c r="S1" s="60"/>
      <c r="T1" s="65" t="s">
        <v>428</v>
      </c>
      <c r="U1" s="60"/>
    </row>
    <row r="2" spans="1:21" s="2" customFormat="1">
      <c r="A2" s="65"/>
      <c r="B2" s="64"/>
      <c r="C2" s="64"/>
      <c r="D2" s="64"/>
      <c r="E2" s="64"/>
      <c r="F2" s="64"/>
      <c r="G2" s="64"/>
      <c r="H2" s="64"/>
      <c r="I2" s="64"/>
      <c r="J2" s="65"/>
      <c r="K2" s="65"/>
      <c r="L2" s="65"/>
      <c r="M2" s="85"/>
      <c r="N2" s="85"/>
      <c r="O2" s="85"/>
      <c r="P2" s="85"/>
      <c r="Q2" s="9" t="s">
        <v>204</v>
      </c>
      <c r="R2" s="9" t="s">
        <v>429</v>
      </c>
      <c r="S2" s="9" t="s">
        <v>430</v>
      </c>
      <c r="T2" s="9" t="s">
        <v>431</v>
      </c>
      <c r="U2" s="9" t="s">
        <v>432</v>
      </c>
    </row>
    <row r="3" spans="1:21">
      <c r="A3" s="9">
        <f>ROW() -2</f>
        <v>1</v>
      </c>
      <c r="B3" s="4" t="s">
        <v>336</v>
      </c>
      <c r="C3" s="4" t="s">
        <v>335</v>
      </c>
      <c r="D3" s="4" t="s">
        <v>13</v>
      </c>
      <c r="E3" s="4"/>
      <c r="F3" s="4" t="s">
        <v>433</v>
      </c>
      <c r="G3" s="10" t="s">
        <v>211</v>
      </c>
      <c r="H3" s="10" t="s">
        <v>212</v>
      </c>
      <c r="I3" s="5">
        <v>500</v>
      </c>
      <c r="J3" s="4">
        <v>450</v>
      </c>
      <c r="K3" s="4"/>
      <c r="L3" s="4"/>
      <c r="M3" s="3"/>
      <c r="N3" s="3"/>
      <c r="O3" s="3"/>
      <c r="P3" s="3"/>
      <c r="Q3" s="9" t="s">
        <v>434</v>
      </c>
      <c r="R3" s="9" t="s">
        <v>434</v>
      </c>
      <c r="S3" s="9" t="s">
        <v>434</v>
      </c>
      <c r="T3" s="9" t="s">
        <v>434</v>
      </c>
      <c r="U3" s="9" t="s">
        <v>434</v>
      </c>
    </row>
    <row r="4" spans="1:21">
      <c r="A4" s="9">
        <f t="shared" ref="A4:A35" si="0">ROW() -2</f>
        <v>2</v>
      </c>
      <c r="B4" s="4" t="s">
        <v>336</v>
      </c>
      <c r="C4" s="4" t="s">
        <v>347</v>
      </c>
      <c r="D4" s="4" t="s">
        <v>13</v>
      </c>
      <c r="E4" s="4"/>
      <c r="F4" s="4" t="s">
        <v>348</v>
      </c>
      <c r="G4" s="10" t="s">
        <v>214</v>
      </c>
      <c r="H4" s="10" t="s">
        <v>215</v>
      </c>
      <c r="I4" s="5">
        <v>500</v>
      </c>
      <c r="J4" s="4">
        <v>500</v>
      </c>
      <c r="K4" s="4"/>
      <c r="L4" s="4"/>
      <c r="M4" s="3"/>
      <c r="N4" s="3"/>
      <c r="O4" s="3"/>
      <c r="P4" s="3"/>
      <c r="Q4" s="9" t="s">
        <v>434</v>
      </c>
      <c r="R4" s="9" t="s">
        <v>434</v>
      </c>
      <c r="S4" s="9" t="s">
        <v>434</v>
      </c>
      <c r="T4" s="9" t="s">
        <v>434</v>
      </c>
      <c r="U4" s="9" t="s">
        <v>434</v>
      </c>
    </row>
    <row r="5" spans="1:21">
      <c r="A5" s="9">
        <f t="shared" si="0"/>
        <v>3</v>
      </c>
      <c r="B5" s="4" t="s">
        <v>336</v>
      </c>
      <c r="C5" s="4" t="s">
        <v>349</v>
      </c>
      <c r="D5" s="4" t="s">
        <v>13</v>
      </c>
      <c r="E5" s="4"/>
      <c r="F5" s="4" t="s">
        <v>350</v>
      </c>
      <c r="G5" s="10" t="s">
        <v>217</v>
      </c>
      <c r="H5" s="10" t="s">
        <v>218</v>
      </c>
      <c r="I5" s="5">
        <v>500</v>
      </c>
      <c r="J5" s="4">
        <v>550</v>
      </c>
      <c r="K5" s="4"/>
      <c r="L5" s="4"/>
      <c r="M5" s="3"/>
      <c r="N5" s="3"/>
      <c r="O5" s="3"/>
      <c r="P5" s="3"/>
      <c r="Q5" s="9" t="s">
        <v>434</v>
      </c>
      <c r="R5" s="9" t="s">
        <v>434</v>
      </c>
      <c r="S5" s="9" t="s">
        <v>434</v>
      </c>
      <c r="T5" s="9" t="s">
        <v>434</v>
      </c>
      <c r="U5" s="9" t="s">
        <v>434</v>
      </c>
    </row>
    <row r="6" spans="1:21">
      <c r="A6" s="9">
        <f t="shared" si="0"/>
        <v>4</v>
      </c>
      <c r="B6" s="4" t="s">
        <v>336</v>
      </c>
      <c r="C6" s="4" t="s">
        <v>335</v>
      </c>
      <c r="D6" s="4" t="s">
        <v>435</v>
      </c>
      <c r="E6" s="4">
        <v>50</v>
      </c>
      <c r="F6" s="4" t="s">
        <v>354</v>
      </c>
      <c r="G6" s="10" t="s">
        <v>221</v>
      </c>
      <c r="H6" s="10" t="s">
        <v>222</v>
      </c>
      <c r="I6" s="5">
        <v>500</v>
      </c>
      <c r="J6" s="4"/>
      <c r="K6" s="3"/>
      <c r="L6" s="4"/>
      <c r="M6" s="4"/>
      <c r="N6" s="3"/>
      <c r="O6" s="3"/>
      <c r="P6" s="3"/>
      <c r="Q6" s="9" t="s">
        <v>434</v>
      </c>
      <c r="R6" s="9" t="s">
        <v>434</v>
      </c>
      <c r="S6" s="9" t="s">
        <v>436</v>
      </c>
      <c r="T6" s="9" t="s">
        <v>434</v>
      </c>
      <c r="U6" s="9" t="s">
        <v>434</v>
      </c>
    </row>
    <row r="7" spans="1:21">
      <c r="A7" s="9">
        <f t="shared" si="0"/>
        <v>5</v>
      </c>
      <c r="B7" s="4" t="s">
        <v>336</v>
      </c>
      <c r="C7" s="4" t="s">
        <v>335</v>
      </c>
      <c r="D7" s="4" t="s">
        <v>437</v>
      </c>
      <c r="E7" s="4">
        <v>10</v>
      </c>
      <c r="F7" s="4" t="s">
        <v>359</v>
      </c>
      <c r="G7" s="10" t="s">
        <v>225</v>
      </c>
      <c r="H7" s="10" t="s">
        <v>226</v>
      </c>
      <c r="I7" s="5">
        <v>500</v>
      </c>
      <c r="J7" s="4"/>
      <c r="K7" s="4"/>
      <c r="L7" s="4"/>
      <c r="M7" s="3"/>
      <c r="N7" s="3"/>
      <c r="O7" s="3"/>
      <c r="P7" s="3"/>
      <c r="Q7" s="9" t="s">
        <v>434</v>
      </c>
      <c r="R7" s="9" t="s">
        <v>434</v>
      </c>
      <c r="S7" s="9" t="s">
        <v>436</v>
      </c>
      <c r="T7" s="9" t="s">
        <v>434</v>
      </c>
      <c r="U7" s="9" t="s">
        <v>434</v>
      </c>
    </row>
    <row r="8" spans="1:21">
      <c r="A8" s="9">
        <f t="shared" si="0"/>
        <v>6</v>
      </c>
      <c r="B8" s="4" t="s">
        <v>336</v>
      </c>
      <c r="C8" s="4" t="s">
        <v>335</v>
      </c>
      <c r="D8" s="4" t="s">
        <v>438</v>
      </c>
      <c r="E8" s="4">
        <v>450</v>
      </c>
      <c r="F8" s="4" t="s">
        <v>365</v>
      </c>
      <c r="G8" s="10" t="s">
        <v>228</v>
      </c>
      <c r="H8" s="10" t="s">
        <v>229</v>
      </c>
      <c r="I8" s="5">
        <v>500</v>
      </c>
      <c r="J8" s="4"/>
      <c r="K8" s="4"/>
      <c r="L8" s="4"/>
      <c r="M8" s="3"/>
      <c r="N8" s="3"/>
      <c r="O8" s="3"/>
      <c r="P8" s="3"/>
      <c r="Q8" s="9" t="s">
        <v>434</v>
      </c>
      <c r="R8" s="9" t="s">
        <v>434</v>
      </c>
      <c r="S8" s="9" t="s">
        <v>436</v>
      </c>
      <c r="T8" s="9" t="s">
        <v>434</v>
      </c>
      <c r="U8" s="9" t="s">
        <v>434</v>
      </c>
    </row>
    <row r="9" spans="1:21">
      <c r="A9" s="9">
        <f t="shared" si="0"/>
        <v>7</v>
      </c>
      <c r="B9" s="4" t="s">
        <v>336</v>
      </c>
      <c r="C9" s="4" t="s">
        <v>347</v>
      </c>
      <c r="D9" s="4" t="s">
        <v>438</v>
      </c>
      <c r="E9" s="4">
        <v>500</v>
      </c>
      <c r="F9" s="4" t="s">
        <v>368</v>
      </c>
      <c r="G9" s="10" t="s">
        <v>232</v>
      </c>
      <c r="H9" s="10" t="s">
        <v>233</v>
      </c>
      <c r="I9" s="5">
        <v>500</v>
      </c>
      <c r="J9" s="4"/>
      <c r="K9" s="4"/>
      <c r="L9" s="4"/>
      <c r="M9" s="3"/>
      <c r="N9" s="3"/>
      <c r="O9" s="3"/>
      <c r="P9" s="3"/>
      <c r="Q9" s="9" t="s">
        <v>434</v>
      </c>
      <c r="R9" s="9" t="s">
        <v>434</v>
      </c>
      <c r="S9" s="9" t="s">
        <v>434</v>
      </c>
      <c r="T9" s="9" t="s">
        <v>434</v>
      </c>
      <c r="U9" s="9" t="s">
        <v>434</v>
      </c>
    </row>
    <row r="10" spans="1:21">
      <c r="A10" s="9">
        <f t="shared" si="0"/>
        <v>8</v>
      </c>
      <c r="B10" s="4" t="s">
        <v>336</v>
      </c>
      <c r="C10" s="4" t="s">
        <v>349</v>
      </c>
      <c r="D10" s="4" t="s">
        <v>438</v>
      </c>
      <c r="E10" s="4">
        <v>550</v>
      </c>
      <c r="F10" s="4" t="s">
        <v>369</v>
      </c>
      <c r="G10" s="10" t="s">
        <v>235</v>
      </c>
      <c r="H10" s="10" t="s">
        <v>236</v>
      </c>
      <c r="I10" s="5">
        <v>500</v>
      </c>
      <c r="J10" s="4"/>
      <c r="K10" s="4"/>
      <c r="L10" s="4"/>
      <c r="M10" s="3"/>
      <c r="N10" s="3"/>
      <c r="O10" s="3"/>
      <c r="P10" s="3"/>
      <c r="Q10" s="9" t="s">
        <v>434</v>
      </c>
      <c r="R10" s="9" t="s">
        <v>434</v>
      </c>
      <c r="S10" s="9" t="s">
        <v>434</v>
      </c>
      <c r="T10" s="9" t="s">
        <v>434</v>
      </c>
      <c r="U10" s="9" t="s">
        <v>434</v>
      </c>
    </row>
    <row r="11" spans="1:21">
      <c r="A11" s="9">
        <f t="shared" si="0"/>
        <v>9</v>
      </c>
      <c r="B11" s="4" t="s">
        <v>336</v>
      </c>
      <c r="C11" s="4" t="s">
        <v>335</v>
      </c>
      <c r="D11" s="4" t="s">
        <v>370</v>
      </c>
      <c r="E11" s="4"/>
      <c r="F11" s="4" t="s">
        <v>384</v>
      </c>
      <c r="G11" s="10" t="s">
        <v>239</v>
      </c>
      <c r="H11" s="10" t="s">
        <v>240</v>
      </c>
      <c r="I11" s="5">
        <v>500</v>
      </c>
      <c r="J11" s="3"/>
      <c r="K11" s="4">
        <v>450</v>
      </c>
      <c r="L11" s="4"/>
      <c r="M11" s="3"/>
      <c r="N11" s="3"/>
      <c r="O11" s="3"/>
      <c r="P11" s="3">
        <v>908001</v>
      </c>
      <c r="Q11" s="9" t="s">
        <v>436</v>
      </c>
      <c r="R11" s="9" t="s">
        <v>434</v>
      </c>
      <c r="S11" s="9" t="s">
        <v>434</v>
      </c>
      <c r="T11" s="9" t="s">
        <v>436</v>
      </c>
      <c r="U11" s="9" t="s">
        <v>436</v>
      </c>
    </row>
    <row r="12" spans="1:21">
      <c r="A12" s="9">
        <f t="shared" si="0"/>
        <v>10</v>
      </c>
      <c r="B12" s="4" t="s">
        <v>336</v>
      </c>
      <c r="C12" s="4" t="s">
        <v>347</v>
      </c>
      <c r="D12" s="4" t="s">
        <v>370</v>
      </c>
      <c r="E12" s="4"/>
      <c r="F12" s="4" t="s">
        <v>374</v>
      </c>
      <c r="G12" s="10" t="s">
        <v>242</v>
      </c>
      <c r="H12" s="10" t="s">
        <v>243</v>
      </c>
      <c r="I12" s="5">
        <v>500</v>
      </c>
      <c r="J12" s="3"/>
      <c r="K12" s="4">
        <v>500</v>
      </c>
      <c r="L12" s="4"/>
      <c r="M12" s="3"/>
      <c r="N12" s="3"/>
      <c r="O12" s="3"/>
      <c r="P12" s="3">
        <v>908001</v>
      </c>
      <c r="Q12" s="9" t="s">
        <v>436</v>
      </c>
      <c r="R12" s="9" t="s">
        <v>434</v>
      </c>
      <c r="S12" s="9" t="s">
        <v>434</v>
      </c>
      <c r="T12" s="9" t="s">
        <v>436</v>
      </c>
      <c r="U12" s="9" t="s">
        <v>436</v>
      </c>
    </row>
    <row r="13" spans="1:21">
      <c r="A13" s="9">
        <f t="shared" si="0"/>
        <v>11</v>
      </c>
      <c r="B13" s="4" t="s">
        <v>336</v>
      </c>
      <c r="C13" s="4" t="s">
        <v>349</v>
      </c>
      <c r="D13" s="4" t="s">
        <v>370</v>
      </c>
      <c r="E13" s="4"/>
      <c r="F13" s="4" t="s">
        <v>377</v>
      </c>
      <c r="G13" s="10" t="s">
        <v>246</v>
      </c>
      <c r="H13" s="10" t="s">
        <v>247</v>
      </c>
      <c r="I13" s="5">
        <v>500</v>
      </c>
      <c r="J13" s="3"/>
      <c r="K13" s="4">
        <v>550</v>
      </c>
      <c r="L13" s="4"/>
      <c r="M13" s="3"/>
      <c r="N13" s="3"/>
      <c r="O13" s="3"/>
      <c r="P13" s="3">
        <v>908001</v>
      </c>
      <c r="Q13" s="9" t="s">
        <v>434</v>
      </c>
      <c r="R13" s="9" t="s">
        <v>434</v>
      </c>
      <c r="S13" s="9" t="s">
        <v>434</v>
      </c>
      <c r="T13" s="9" t="s">
        <v>434</v>
      </c>
      <c r="U13" s="9" t="s">
        <v>434</v>
      </c>
    </row>
    <row r="14" spans="1:21">
      <c r="A14" s="9">
        <f t="shared" si="0"/>
        <v>12</v>
      </c>
      <c r="B14" s="4" t="s">
        <v>336</v>
      </c>
      <c r="C14" s="4" t="s">
        <v>335</v>
      </c>
      <c r="D14" s="4" t="s">
        <v>439</v>
      </c>
      <c r="E14" s="4"/>
      <c r="F14" s="4" t="s">
        <v>379</v>
      </c>
      <c r="G14" s="10" t="s">
        <v>250</v>
      </c>
      <c r="H14" s="10" t="s">
        <v>251</v>
      </c>
      <c r="I14" s="5">
        <v>500</v>
      </c>
      <c r="J14" s="4"/>
      <c r="K14" s="4">
        <v>10</v>
      </c>
      <c r="L14" s="4"/>
      <c r="M14" s="3"/>
      <c r="N14" s="3"/>
      <c r="O14" s="3"/>
      <c r="P14" s="3">
        <v>908001</v>
      </c>
      <c r="Q14" s="9" t="s">
        <v>436</v>
      </c>
      <c r="R14" s="9" t="s">
        <v>434</v>
      </c>
      <c r="S14" s="9" t="s">
        <v>434</v>
      </c>
      <c r="T14" s="9" t="s">
        <v>436</v>
      </c>
      <c r="U14" s="9" t="s">
        <v>436</v>
      </c>
    </row>
    <row r="15" spans="1:21">
      <c r="A15" s="9">
        <f t="shared" si="0"/>
        <v>13</v>
      </c>
      <c r="B15" s="4" t="s">
        <v>336</v>
      </c>
      <c r="C15" s="4" t="s">
        <v>335</v>
      </c>
      <c r="D15" s="4" t="s">
        <v>440</v>
      </c>
      <c r="E15" s="4"/>
      <c r="F15" s="4" t="s">
        <v>379</v>
      </c>
      <c r="G15" s="10" t="s">
        <v>381</v>
      </c>
      <c r="H15" s="10" t="s">
        <v>382</v>
      </c>
      <c r="I15" s="5">
        <v>500</v>
      </c>
      <c r="J15" s="4"/>
      <c r="K15" s="4">
        <v>50</v>
      </c>
      <c r="L15" s="4"/>
      <c r="M15" s="3"/>
      <c r="N15" s="3"/>
      <c r="O15" s="3"/>
      <c r="P15" s="3">
        <v>908001</v>
      </c>
      <c r="Q15" s="9" t="s">
        <v>436</v>
      </c>
      <c r="R15" s="9" t="s">
        <v>434</v>
      </c>
      <c r="S15" s="9" t="s">
        <v>434</v>
      </c>
      <c r="T15" s="9" t="s">
        <v>436</v>
      </c>
      <c r="U15" s="9" t="s">
        <v>436</v>
      </c>
    </row>
    <row r="16" spans="1:21">
      <c r="A16" s="9">
        <f t="shared" si="0"/>
        <v>14</v>
      </c>
      <c r="B16" s="4" t="s">
        <v>336</v>
      </c>
      <c r="C16" s="4" t="s">
        <v>335</v>
      </c>
      <c r="D16" s="4" t="s">
        <v>383</v>
      </c>
      <c r="E16" s="4"/>
      <c r="F16" s="4" t="s">
        <v>384</v>
      </c>
      <c r="G16" s="10" t="s">
        <v>254</v>
      </c>
      <c r="H16" s="10" t="s">
        <v>255</v>
      </c>
      <c r="I16" s="5">
        <v>500</v>
      </c>
      <c r="J16" s="3"/>
      <c r="K16" s="4">
        <v>450</v>
      </c>
      <c r="L16" s="4"/>
      <c r="M16" s="3"/>
      <c r="N16" s="3"/>
      <c r="O16" s="3"/>
      <c r="P16" s="3">
        <v>908002</v>
      </c>
      <c r="Q16" s="9" t="s">
        <v>436</v>
      </c>
      <c r="R16" s="9" t="s">
        <v>434</v>
      </c>
      <c r="S16" s="9" t="s">
        <v>434</v>
      </c>
      <c r="T16" s="9" t="s">
        <v>436</v>
      </c>
      <c r="U16" s="9" t="s">
        <v>436</v>
      </c>
    </row>
    <row r="17" spans="1:21">
      <c r="A17" s="9">
        <f t="shared" si="0"/>
        <v>15</v>
      </c>
      <c r="B17" s="4" t="s">
        <v>336</v>
      </c>
      <c r="C17" s="4" t="s">
        <v>347</v>
      </c>
      <c r="D17" s="4" t="s">
        <v>383</v>
      </c>
      <c r="E17" s="4"/>
      <c r="F17" s="4" t="s">
        <v>374</v>
      </c>
      <c r="G17" s="10" t="s">
        <v>258</v>
      </c>
      <c r="H17" s="10" t="s">
        <v>259</v>
      </c>
      <c r="I17" s="5">
        <v>500</v>
      </c>
      <c r="J17" s="3"/>
      <c r="K17" s="4">
        <v>500</v>
      </c>
      <c r="L17" s="4"/>
      <c r="M17" s="3"/>
      <c r="N17" s="3"/>
      <c r="O17" s="3"/>
      <c r="P17" s="3">
        <v>908002</v>
      </c>
      <c r="Q17" s="9" t="s">
        <v>436</v>
      </c>
      <c r="R17" s="9" t="s">
        <v>434</v>
      </c>
      <c r="S17" s="9" t="s">
        <v>434</v>
      </c>
      <c r="T17" s="9" t="s">
        <v>436</v>
      </c>
      <c r="U17" s="9" t="s">
        <v>436</v>
      </c>
    </row>
    <row r="18" spans="1:21">
      <c r="A18" s="9">
        <f t="shared" si="0"/>
        <v>16</v>
      </c>
      <c r="B18" s="4" t="s">
        <v>336</v>
      </c>
      <c r="C18" s="4" t="s">
        <v>349</v>
      </c>
      <c r="D18" s="4" t="s">
        <v>383</v>
      </c>
      <c r="E18" s="4"/>
      <c r="F18" s="4" t="s">
        <v>377</v>
      </c>
      <c r="G18" s="10" t="s">
        <v>261</v>
      </c>
      <c r="H18" s="10" t="s">
        <v>262</v>
      </c>
      <c r="I18" s="5">
        <v>500</v>
      </c>
      <c r="J18" s="3"/>
      <c r="K18" s="4">
        <v>550</v>
      </c>
      <c r="L18" s="4"/>
      <c r="M18" s="3"/>
      <c r="N18" s="3"/>
      <c r="O18" s="3"/>
      <c r="P18" s="3">
        <v>908002</v>
      </c>
      <c r="Q18" s="9" t="s">
        <v>434</v>
      </c>
      <c r="R18" s="9" t="s">
        <v>434</v>
      </c>
      <c r="S18" s="9" t="s">
        <v>434</v>
      </c>
      <c r="T18" s="9" t="s">
        <v>434</v>
      </c>
      <c r="U18" s="9" t="s">
        <v>434</v>
      </c>
    </row>
    <row r="19" spans="1:21">
      <c r="A19" s="9">
        <f t="shared" si="0"/>
        <v>17</v>
      </c>
      <c r="B19" s="4" t="s">
        <v>336</v>
      </c>
      <c r="C19" s="4" t="s">
        <v>335</v>
      </c>
      <c r="D19" s="4" t="s">
        <v>387</v>
      </c>
      <c r="E19" s="4"/>
      <c r="F19" s="4" t="s">
        <v>384</v>
      </c>
      <c r="G19" s="10" t="s">
        <v>265</v>
      </c>
      <c r="H19" s="10" t="s">
        <v>266</v>
      </c>
      <c r="I19" s="5">
        <v>500</v>
      </c>
      <c r="J19" s="4"/>
      <c r="K19" s="4">
        <v>10</v>
      </c>
      <c r="L19" s="4"/>
      <c r="M19" s="3"/>
      <c r="N19" s="3"/>
      <c r="O19" s="3"/>
      <c r="P19" s="3">
        <v>908002</v>
      </c>
      <c r="Q19" s="9" t="s">
        <v>436</v>
      </c>
      <c r="R19" s="9" t="s">
        <v>434</v>
      </c>
      <c r="S19" s="9" t="s">
        <v>434</v>
      </c>
      <c r="T19" s="9" t="s">
        <v>436</v>
      </c>
      <c r="U19" s="9" t="s">
        <v>436</v>
      </c>
    </row>
    <row r="20" spans="1:21">
      <c r="A20" s="9">
        <f t="shared" si="0"/>
        <v>18</v>
      </c>
      <c r="B20" s="4" t="s">
        <v>336</v>
      </c>
      <c r="C20" s="4" t="s">
        <v>335</v>
      </c>
      <c r="D20" s="4" t="s">
        <v>388</v>
      </c>
      <c r="E20" s="4"/>
      <c r="F20" s="4" t="s">
        <v>384</v>
      </c>
      <c r="G20" s="10" t="s">
        <v>389</v>
      </c>
      <c r="H20" s="10" t="s">
        <v>390</v>
      </c>
      <c r="I20" s="5">
        <v>500</v>
      </c>
      <c r="J20" s="4"/>
      <c r="K20" s="4">
        <v>50</v>
      </c>
      <c r="L20" s="4"/>
      <c r="M20" s="3"/>
      <c r="N20" s="3"/>
      <c r="O20" s="3"/>
      <c r="P20" s="3">
        <v>908002</v>
      </c>
      <c r="Q20" s="9" t="s">
        <v>436</v>
      </c>
      <c r="R20" s="9" t="s">
        <v>434</v>
      </c>
      <c r="S20" s="9" t="s">
        <v>434</v>
      </c>
      <c r="T20" s="9" t="s">
        <v>436</v>
      </c>
      <c r="U20" s="9" t="s">
        <v>436</v>
      </c>
    </row>
    <row r="21" spans="1:21">
      <c r="A21" s="9">
        <f t="shared" si="0"/>
        <v>19</v>
      </c>
      <c r="B21" s="4" t="s">
        <v>336</v>
      </c>
      <c r="C21" s="4" t="s">
        <v>335</v>
      </c>
      <c r="D21" s="4" t="s">
        <v>267</v>
      </c>
      <c r="E21" s="4"/>
      <c r="F21" s="4" t="s">
        <v>441</v>
      </c>
      <c r="G21" s="10" t="s">
        <v>269</v>
      </c>
      <c r="H21" s="10" t="s">
        <v>270</v>
      </c>
      <c r="I21" s="5">
        <v>500</v>
      </c>
      <c r="J21" s="4"/>
      <c r="K21" s="4"/>
      <c r="L21" s="4">
        <v>450</v>
      </c>
      <c r="M21" s="3"/>
      <c r="N21" s="3"/>
      <c r="O21" s="3"/>
      <c r="P21" s="3">
        <v>908101</v>
      </c>
      <c r="Q21" s="9" t="s">
        <v>434</v>
      </c>
      <c r="R21" s="9" t="s">
        <v>436</v>
      </c>
      <c r="S21" s="9" t="s">
        <v>434</v>
      </c>
      <c r="T21" s="9" t="s">
        <v>434</v>
      </c>
      <c r="U21" s="9" t="s">
        <v>434</v>
      </c>
    </row>
    <row r="22" spans="1:21">
      <c r="A22" s="9">
        <f t="shared" si="0"/>
        <v>20</v>
      </c>
      <c r="B22" s="4" t="s">
        <v>336</v>
      </c>
      <c r="C22" s="4" t="s">
        <v>347</v>
      </c>
      <c r="D22" s="4" t="s">
        <v>267</v>
      </c>
      <c r="E22" s="4"/>
      <c r="F22" s="4" t="s">
        <v>396</v>
      </c>
      <c r="G22" s="10" t="s">
        <v>272</v>
      </c>
      <c r="H22" s="10" t="s">
        <v>273</v>
      </c>
      <c r="I22" s="5">
        <v>500</v>
      </c>
      <c r="J22" s="4"/>
      <c r="K22" s="4"/>
      <c r="L22" s="4">
        <v>500</v>
      </c>
      <c r="M22" s="3"/>
      <c r="N22" s="3"/>
      <c r="O22" s="3"/>
      <c r="P22" s="3">
        <v>908102</v>
      </c>
      <c r="Q22" s="9" t="s">
        <v>434</v>
      </c>
      <c r="R22" s="9" t="s">
        <v>434</v>
      </c>
      <c r="S22" s="9" t="s">
        <v>434</v>
      </c>
      <c r="T22" s="9" t="s">
        <v>434</v>
      </c>
      <c r="U22" s="9" t="s">
        <v>434</v>
      </c>
    </row>
    <row r="23" spans="1:21">
      <c r="A23" s="9">
        <f t="shared" si="0"/>
        <v>21</v>
      </c>
      <c r="B23" s="4" t="s">
        <v>336</v>
      </c>
      <c r="C23" s="4" t="s">
        <v>349</v>
      </c>
      <c r="D23" s="4" t="s">
        <v>267</v>
      </c>
      <c r="E23" s="4"/>
      <c r="F23" s="4" t="s">
        <v>399</v>
      </c>
      <c r="G23" s="10" t="s">
        <v>275</v>
      </c>
      <c r="H23" s="10" t="s">
        <v>276</v>
      </c>
      <c r="I23" s="5">
        <v>500</v>
      </c>
      <c r="J23" s="4"/>
      <c r="K23" s="4"/>
      <c r="L23" s="4">
        <v>550</v>
      </c>
      <c r="M23" s="3"/>
      <c r="N23" s="3"/>
      <c r="O23" s="3"/>
      <c r="P23" s="3">
        <v>908103</v>
      </c>
      <c r="Q23" s="9" t="s">
        <v>434</v>
      </c>
      <c r="R23" s="9" t="s">
        <v>434</v>
      </c>
      <c r="S23" s="9" t="s">
        <v>434</v>
      </c>
      <c r="T23" s="9" t="s">
        <v>434</v>
      </c>
      <c r="U23" s="9" t="s">
        <v>434</v>
      </c>
    </row>
    <row r="24" spans="1:21">
      <c r="A24" s="9">
        <f t="shared" si="0"/>
        <v>22</v>
      </c>
      <c r="B24" s="4" t="s">
        <v>336</v>
      </c>
      <c r="C24" s="4" t="s">
        <v>335</v>
      </c>
      <c r="D24" s="4" t="s">
        <v>277</v>
      </c>
      <c r="E24" s="4"/>
      <c r="F24" s="4" t="s">
        <v>442</v>
      </c>
      <c r="G24" s="10" t="s">
        <v>278</v>
      </c>
      <c r="H24" s="10" t="s">
        <v>279</v>
      </c>
      <c r="I24" s="5">
        <v>500</v>
      </c>
      <c r="J24" s="4"/>
      <c r="K24" s="3"/>
      <c r="L24" s="4"/>
      <c r="M24" s="4">
        <v>50</v>
      </c>
      <c r="N24" s="3"/>
      <c r="O24" s="3"/>
      <c r="P24" s="3"/>
      <c r="Q24" s="9" t="s">
        <v>434</v>
      </c>
      <c r="R24" s="9" t="s">
        <v>434</v>
      </c>
      <c r="S24" s="9" t="s">
        <v>436</v>
      </c>
      <c r="T24" s="9" t="s">
        <v>434</v>
      </c>
      <c r="U24" s="9" t="s">
        <v>434</v>
      </c>
    </row>
    <row r="25" spans="1:21">
      <c r="A25" s="9">
        <f t="shared" si="0"/>
        <v>23</v>
      </c>
      <c r="B25" s="4" t="s">
        <v>336</v>
      </c>
      <c r="C25" s="4" t="s">
        <v>335</v>
      </c>
      <c r="D25" s="4" t="s">
        <v>280</v>
      </c>
      <c r="E25" s="4"/>
      <c r="F25" s="4" t="s">
        <v>402</v>
      </c>
      <c r="G25" s="10" t="s">
        <v>281</v>
      </c>
      <c r="H25" s="10" t="s">
        <v>282</v>
      </c>
      <c r="I25" s="5">
        <v>500</v>
      </c>
      <c r="J25" s="4"/>
      <c r="K25" s="3"/>
      <c r="L25" s="4"/>
      <c r="M25" s="4">
        <v>10</v>
      </c>
      <c r="N25" s="3"/>
      <c r="O25" s="3"/>
      <c r="P25" s="3"/>
      <c r="Q25" s="9" t="s">
        <v>434</v>
      </c>
      <c r="R25" s="9" t="s">
        <v>434</v>
      </c>
      <c r="S25" s="9" t="s">
        <v>436</v>
      </c>
      <c r="T25" s="9" t="s">
        <v>434</v>
      </c>
      <c r="U25" s="9" t="s">
        <v>434</v>
      </c>
    </row>
    <row r="26" spans="1:21">
      <c r="A26" s="9">
        <f t="shared" si="0"/>
        <v>24</v>
      </c>
      <c r="B26" s="4" t="s">
        <v>336</v>
      </c>
      <c r="C26" s="4" t="s">
        <v>335</v>
      </c>
      <c r="D26" s="4" t="s">
        <v>283</v>
      </c>
      <c r="E26" s="4"/>
      <c r="F26" s="4" t="s">
        <v>403</v>
      </c>
      <c r="G26" s="10" t="s">
        <v>285</v>
      </c>
      <c r="H26" s="10" t="s">
        <v>286</v>
      </c>
      <c r="I26" s="5">
        <v>500</v>
      </c>
      <c r="J26" s="4"/>
      <c r="K26" s="3"/>
      <c r="L26" s="4"/>
      <c r="M26" s="4">
        <v>450</v>
      </c>
      <c r="N26" s="3"/>
      <c r="O26" s="3"/>
      <c r="P26" s="3"/>
      <c r="Q26" s="9" t="s">
        <v>434</v>
      </c>
      <c r="R26" s="9" t="s">
        <v>434</v>
      </c>
      <c r="S26" s="9" t="s">
        <v>436</v>
      </c>
      <c r="T26" s="9" t="s">
        <v>434</v>
      </c>
      <c r="U26" s="9" t="s">
        <v>434</v>
      </c>
    </row>
    <row r="27" spans="1:21">
      <c r="A27" s="9">
        <f t="shared" si="0"/>
        <v>25</v>
      </c>
      <c r="B27" s="4" t="s">
        <v>336</v>
      </c>
      <c r="C27" s="4" t="s">
        <v>347</v>
      </c>
      <c r="D27" s="4" t="s">
        <v>283</v>
      </c>
      <c r="E27" s="4"/>
      <c r="F27" s="4" t="s">
        <v>404</v>
      </c>
      <c r="G27" s="10" t="s">
        <v>288</v>
      </c>
      <c r="H27" s="10" t="s">
        <v>289</v>
      </c>
      <c r="I27" s="5">
        <v>500</v>
      </c>
      <c r="J27" s="4"/>
      <c r="K27" s="3"/>
      <c r="L27" s="4"/>
      <c r="M27" s="4">
        <v>500</v>
      </c>
      <c r="N27" s="3"/>
      <c r="O27" s="3"/>
      <c r="P27" s="3"/>
      <c r="Q27" s="9" t="s">
        <v>434</v>
      </c>
      <c r="R27" s="9" t="s">
        <v>434</v>
      </c>
      <c r="S27" s="9" t="s">
        <v>434</v>
      </c>
      <c r="T27" s="9" t="s">
        <v>434</v>
      </c>
      <c r="U27" s="9" t="s">
        <v>434</v>
      </c>
    </row>
    <row r="28" spans="1:21">
      <c r="A28" s="9">
        <f t="shared" si="0"/>
        <v>26</v>
      </c>
      <c r="B28" s="4" t="s">
        <v>336</v>
      </c>
      <c r="C28" s="4" t="s">
        <v>349</v>
      </c>
      <c r="D28" s="4" t="s">
        <v>283</v>
      </c>
      <c r="E28" s="4"/>
      <c r="F28" s="4" t="s">
        <v>405</v>
      </c>
      <c r="G28" s="10" t="s">
        <v>291</v>
      </c>
      <c r="H28" s="10" t="s">
        <v>292</v>
      </c>
      <c r="I28" s="5">
        <v>500</v>
      </c>
      <c r="J28" s="4"/>
      <c r="K28" s="3"/>
      <c r="L28" s="4"/>
      <c r="M28" s="4">
        <v>550</v>
      </c>
      <c r="N28" s="3"/>
      <c r="O28" s="3"/>
      <c r="P28" s="3"/>
      <c r="Q28" s="9" t="s">
        <v>434</v>
      </c>
      <c r="R28" s="9" t="s">
        <v>434</v>
      </c>
      <c r="S28" s="9" t="s">
        <v>434</v>
      </c>
      <c r="T28" s="9" t="s">
        <v>434</v>
      </c>
      <c r="U28" s="9" t="s">
        <v>434</v>
      </c>
    </row>
    <row r="29" spans="1:21">
      <c r="A29" s="9">
        <f t="shared" si="0"/>
        <v>27</v>
      </c>
      <c r="B29" s="4" t="s">
        <v>336</v>
      </c>
      <c r="C29" s="4" t="s">
        <v>335</v>
      </c>
      <c r="D29" s="4" t="s">
        <v>60</v>
      </c>
      <c r="E29" s="4"/>
      <c r="F29" s="4" t="s">
        <v>60</v>
      </c>
      <c r="G29" s="10" t="s">
        <v>293</v>
      </c>
      <c r="H29" s="10" t="s">
        <v>294</v>
      </c>
      <c r="I29" s="5">
        <v>500</v>
      </c>
      <c r="J29" s="4"/>
      <c r="K29" s="4"/>
      <c r="L29" s="4"/>
      <c r="M29" s="3"/>
      <c r="N29" s="3">
        <v>50</v>
      </c>
      <c r="O29" s="3"/>
      <c r="P29" s="3"/>
      <c r="Q29" s="9" t="s">
        <v>434</v>
      </c>
      <c r="R29" s="9" t="s">
        <v>434</v>
      </c>
      <c r="S29" s="9" t="s">
        <v>436</v>
      </c>
      <c r="T29" s="9" t="s">
        <v>434</v>
      </c>
      <c r="U29" s="9" t="s">
        <v>434</v>
      </c>
    </row>
    <row r="30" spans="1:21">
      <c r="A30" s="9">
        <f t="shared" si="0"/>
        <v>28</v>
      </c>
      <c r="B30" s="4" t="s">
        <v>336</v>
      </c>
      <c r="C30" s="4" t="s">
        <v>409</v>
      </c>
      <c r="D30" s="4" t="s">
        <v>58</v>
      </c>
      <c r="E30" s="4"/>
      <c r="F30" s="4" t="s">
        <v>58</v>
      </c>
      <c r="G30" s="10" t="s">
        <v>295</v>
      </c>
      <c r="H30" s="10" t="s">
        <v>296</v>
      </c>
      <c r="I30" s="5">
        <v>500</v>
      </c>
      <c r="J30" s="4"/>
      <c r="K30" s="4"/>
      <c r="L30" s="4"/>
      <c r="M30" s="3"/>
      <c r="N30" s="3">
        <v>10</v>
      </c>
      <c r="O30" s="3"/>
      <c r="P30" s="3"/>
      <c r="Q30" s="9" t="s">
        <v>434</v>
      </c>
      <c r="R30" s="9" t="s">
        <v>434</v>
      </c>
      <c r="S30" s="9" t="s">
        <v>436</v>
      </c>
      <c r="T30" s="9" t="s">
        <v>434</v>
      </c>
      <c r="U30" s="9" t="s">
        <v>434</v>
      </c>
    </row>
    <row r="31" spans="1:21">
      <c r="A31" s="9">
        <f t="shared" si="0"/>
        <v>29</v>
      </c>
      <c r="B31" s="4" t="s">
        <v>336</v>
      </c>
      <c r="C31" s="4" t="s">
        <v>335</v>
      </c>
      <c r="D31" s="4" t="s">
        <v>297</v>
      </c>
      <c r="E31" s="4">
        <v>50</v>
      </c>
      <c r="F31" s="4" t="s">
        <v>412</v>
      </c>
      <c r="G31" s="10" t="s">
        <v>298</v>
      </c>
      <c r="H31" s="10" t="s">
        <v>299</v>
      </c>
      <c r="I31" s="5">
        <v>500</v>
      </c>
      <c r="J31" s="4"/>
      <c r="K31" s="4"/>
      <c r="L31" s="4"/>
      <c r="M31" s="3"/>
      <c r="N31" s="3"/>
      <c r="O31" s="3"/>
      <c r="P31" s="3"/>
      <c r="Q31" s="9" t="s">
        <v>434</v>
      </c>
      <c r="R31" s="9" t="s">
        <v>434</v>
      </c>
      <c r="S31" s="9" t="s">
        <v>436</v>
      </c>
      <c r="T31" s="9" t="s">
        <v>434</v>
      </c>
      <c r="U31" s="9" t="s">
        <v>434</v>
      </c>
    </row>
    <row r="32" spans="1:21">
      <c r="A32" s="9">
        <f t="shared" si="0"/>
        <v>30</v>
      </c>
      <c r="B32" s="4" t="s">
        <v>336</v>
      </c>
      <c r="C32" s="4" t="s">
        <v>335</v>
      </c>
      <c r="D32" s="4" t="s">
        <v>300</v>
      </c>
      <c r="E32" s="4">
        <v>10</v>
      </c>
      <c r="F32" s="4" t="s">
        <v>417</v>
      </c>
      <c r="G32" s="10" t="s">
        <v>301</v>
      </c>
      <c r="H32" s="10" t="s">
        <v>302</v>
      </c>
      <c r="I32" s="5">
        <v>500</v>
      </c>
      <c r="J32" s="4"/>
      <c r="K32" s="4"/>
      <c r="L32" s="4"/>
      <c r="M32" s="3"/>
      <c r="N32" s="3"/>
      <c r="O32" s="3"/>
      <c r="P32" s="3"/>
      <c r="Q32" s="9" t="s">
        <v>434</v>
      </c>
      <c r="R32" s="9" t="s">
        <v>434</v>
      </c>
      <c r="S32" s="9" t="s">
        <v>436</v>
      </c>
      <c r="T32" s="9" t="s">
        <v>434</v>
      </c>
      <c r="U32" s="9" t="s">
        <v>434</v>
      </c>
    </row>
    <row r="33" spans="1:21">
      <c r="A33" s="9">
        <f t="shared" si="0"/>
        <v>31</v>
      </c>
      <c r="B33" s="4" t="s">
        <v>336</v>
      </c>
      <c r="C33" s="4" t="s">
        <v>335</v>
      </c>
      <c r="D33" s="4" t="s">
        <v>303</v>
      </c>
      <c r="E33" s="4"/>
      <c r="F33" s="4" t="s">
        <v>443</v>
      </c>
      <c r="G33" s="10" t="s">
        <v>304</v>
      </c>
      <c r="H33" s="10" t="s">
        <v>305</v>
      </c>
      <c r="I33" s="5">
        <v>500</v>
      </c>
      <c r="J33" s="4"/>
      <c r="K33" s="4"/>
      <c r="L33" s="4"/>
      <c r="M33" s="3"/>
      <c r="N33" s="3"/>
      <c r="O33" s="3">
        <v>10</v>
      </c>
      <c r="P33" s="3"/>
      <c r="Q33" s="9" t="s">
        <v>434</v>
      </c>
      <c r="R33" s="9" t="s">
        <v>434</v>
      </c>
      <c r="S33" s="9" t="s">
        <v>436</v>
      </c>
      <c r="T33" s="9" t="s">
        <v>434</v>
      </c>
      <c r="U33" s="9" t="s">
        <v>434</v>
      </c>
    </row>
    <row r="34" spans="1:21">
      <c r="A34" s="9">
        <f t="shared" si="0"/>
        <v>32</v>
      </c>
      <c r="B34" s="4" t="s">
        <v>336</v>
      </c>
      <c r="C34" s="4" t="s">
        <v>335</v>
      </c>
      <c r="D34" s="4" t="s">
        <v>306</v>
      </c>
      <c r="E34" s="4"/>
      <c r="F34" s="4" t="s">
        <v>443</v>
      </c>
      <c r="G34" s="10" t="s">
        <v>307</v>
      </c>
      <c r="H34" s="10" t="s">
        <v>308</v>
      </c>
      <c r="I34" s="5">
        <v>500</v>
      </c>
      <c r="J34" s="4"/>
      <c r="K34" s="4"/>
      <c r="L34" s="4"/>
      <c r="M34" s="3"/>
      <c r="N34" s="3"/>
      <c r="O34" s="3">
        <v>10</v>
      </c>
      <c r="P34" s="3"/>
      <c r="Q34" s="9" t="s">
        <v>434</v>
      </c>
      <c r="R34" s="9" t="s">
        <v>434</v>
      </c>
      <c r="S34" s="9" t="s">
        <v>436</v>
      </c>
      <c r="T34" s="9" t="s">
        <v>434</v>
      </c>
      <c r="U34" s="9" t="s">
        <v>434</v>
      </c>
    </row>
    <row r="35" spans="1:21">
      <c r="A35" s="9">
        <f t="shared" si="0"/>
        <v>33</v>
      </c>
      <c r="B35" s="4" t="s">
        <v>336</v>
      </c>
      <c r="C35" s="4" t="s">
        <v>335</v>
      </c>
      <c r="D35" s="4" t="s">
        <v>309</v>
      </c>
      <c r="E35" s="4"/>
      <c r="F35" s="4" t="s">
        <v>443</v>
      </c>
      <c r="G35" s="10" t="s">
        <v>310</v>
      </c>
      <c r="H35" s="10" t="s">
        <v>311</v>
      </c>
      <c r="I35" s="5">
        <v>500</v>
      </c>
      <c r="J35" s="4"/>
      <c r="K35" s="4"/>
      <c r="L35" s="4"/>
      <c r="M35" s="3"/>
      <c r="N35" s="3"/>
      <c r="O35" s="3">
        <v>5</v>
      </c>
      <c r="P35" s="3"/>
      <c r="Q35" s="9" t="s">
        <v>434</v>
      </c>
      <c r="R35" s="9" t="s">
        <v>434</v>
      </c>
      <c r="S35" s="9" t="s">
        <v>436</v>
      </c>
      <c r="T35" s="9" t="s">
        <v>434</v>
      </c>
      <c r="U35" s="9" t="s">
        <v>434</v>
      </c>
    </row>
  </sheetData>
  <autoFilter ref="A2:M2" xr:uid="{00000000-0009-0000-0000-000003000000}"/>
  <mergeCells count="18">
    <mergeCell ref="I1:I2"/>
    <mergeCell ref="C1:C2"/>
    <mergeCell ref="D1:D2"/>
    <mergeCell ref="E1:E2"/>
    <mergeCell ref="N1:N2"/>
    <mergeCell ref="J1:J2"/>
    <mergeCell ref="K1:K2"/>
    <mergeCell ref="A1:A2"/>
    <mergeCell ref="B1:B2"/>
    <mergeCell ref="F1:F2"/>
    <mergeCell ref="G1:G2"/>
    <mergeCell ref="H1:H2"/>
    <mergeCell ref="L1:L2"/>
    <mergeCell ref="M1:M2"/>
    <mergeCell ref="Q1:S1"/>
    <mergeCell ref="T1:U1"/>
    <mergeCell ref="O1:O2"/>
    <mergeCell ref="P1:P2"/>
  </mergeCells>
  <phoneticPr fontId="1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06F4B9-BA6D-4D96-9737-96AF446F3138}"/>
</file>

<file path=customXml/itemProps2.xml><?xml version="1.0" encoding="utf-8"?>
<ds:datastoreItem xmlns:ds="http://schemas.openxmlformats.org/officeDocument/2006/customXml" ds:itemID="{9FBFDEB8-B10D-44E4-AFD1-D974D158DB9F}"/>
</file>

<file path=customXml/itemProps3.xml><?xml version="1.0" encoding="utf-8"?>
<ds:datastoreItem xmlns:ds="http://schemas.openxmlformats.org/officeDocument/2006/customXml" ds:itemID="{D3D6435F-8328-4079-BDB6-CE168DBBC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Nguyen Thi Du</cp:lastModifiedBy>
  <cp:revision/>
  <dcterms:created xsi:type="dcterms:W3CDTF">2020-05-01T02:17:13Z</dcterms:created>
  <dcterms:modified xsi:type="dcterms:W3CDTF">2025-04-08T07:59:41Z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