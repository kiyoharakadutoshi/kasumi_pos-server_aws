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KTC\OneDrive - 株式会社カスミ\代表ストコン\31.寺岡POS実績テスト\●値引売上関連テスト\値引仕様\"/>
    </mc:Choice>
  </mc:AlternateContent>
  <xr:revisionPtr revIDLastSave="57" documentId="6_{85406AC2-14D3-4628-9CD8-3809163021D7}" xr6:coauthVersionLast="44" xr6:coauthVersionMax="45" xr10:uidLastSave="{83B9D1EB-96AD-48C5-88AA-F49125455BBF}"/>
  <bookViews>
    <workbookView xWindow="-120" yWindow="-120" windowWidth="20730" windowHeight="11160" activeTab="1" xr2:uid="{00000000-000D-0000-FFFF-FFFF00000000}"/>
  </bookViews>
  <sheets>
    <sheet name="緊急売価変更 値引時" sheetId="2" r:id="rId1"/>
    <sheet name="緊急売価変更 値引時図" sheetId="7" r:id="rId2"/>
    <sheet name="緊急売価変更 値引時テスト" sheetId="6" r:id="rId3"/>
    <sheet name="追加テスト" sheetId="11" r:id="rId4"/>
    <sheet name="テスト抜粋分レジ精算" sheetId="8" r:id="rId5"/>
    <sheet name="テスト抜粋分値引" sheetId="9" r:id="rId6"/>
    <sheet name="Sheet2" sheetId="1" state="hidden" r:id="rId7"/>
  </sheets>
  <definedNames>
    <definedName name="_xlnm._FilterDatabase" localSheetId="0" hidden="1">'緊急売価変更 値引時'!$A$3:$G$45</definedName>
    <definedName name="_xlnm._FilterDatabase" localSheetId="2" hidden="1">'緊急売価変更 値引時テスト'!$A$1:$AG$1</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393" i="7" l="1"/>
  <c r="L393" i="7"/>
  <c r="P393" i="7"/>
  <c r="P367" i="7"/>
  <c r="L367" i="7"/>
  <c r="H367" i="7"/>
  <c r="P342" i="7"/>
  <c r="L342" i="7"/>
  <c r="H342" i="7"/>
  <c r="S132" i="6" l="1"/>
  <c r="S131" i="6"/>
  <c r="S130" i="6"/>
  <c r="S129" i="6"/>
  <c r="S128" i="6"/>
  <c r="S127" i="6"/>
  <c r="S126" i="6"/>
  <c r="S125" i="6"/>
  <c r="S124" i="6"/>
  <c r="S123" i="6"/>
  <c r="S122" i="6"/>
  <c r="S121" i="6"/>
  <c r="S120" i="6"/>
  <c r="S119" i="6"/>
  <c r="S118" i="6"/>
  <c r="S117" i="6"/>
  <c r="S116" i="6"/>
  <c r="S115" i="6"/>
  <c r="Q94" i="6" l="1"/>
  <c r="Q93" i="6"/>
  <c r="Q92" i="6"/>
  <c r="Q91" i="6"/>
  <c r="Q90" i="6"/>
  <c r="Q89" i="6"/>
  <c r="Q88" i="6"/>
  <c r="Q87" i="6"/>
  <c r="Q86" i="6"/>
  <c r="Q85" i="6"/>
  <c r="Q84" i="6"/>
  <c r="Q83" i="6"/>
  <c r="Q82" i="6"/>
  <c r="Q81" i="6"/>
  <c r="Q80" i="6"/>
  <c r="Q79" i="6"/>
  <c r="Q78" i="6"/>
  <c r="Q77" i="6"/>
  <c r="O70" i="6" l="1"/>
  <c r="O69" i="6"/>
  <c r="O68" i="6"/>
  <c r="O67" i="6"/>
  <c r="O66" i="6"/>
  <c r="O65" i="6"/>
  <c r="O64" i="6"/>
  <c r="O63" i="6"/>
  <c r="O62" i="6"/>
  <c r="O61" i="6"/>
  <c r="O60" i="6"/>
  <c r="O59" i="6"/>
  <c r="O58" i="6"/>
  <c r="O51" i="6" l="1"/>
  <c r="O50" i="6"/>
  <c r="O49" i="6"/>
  <c r="O48" i="6"/>
  <c r="O47" i="6"/>
  <c r="O46" i="6"/>
  <c r="O45" i="6"/>
  <c r="O44" i="6"/>
  <c r="O43" i="6"/>
  <c r="O42" i="6"/>
  <c r="O41" i="6"/>
  <c r="O40" i="6"/>
  <c r="O39" i="6"/>
  <c r="Q446" i="7" l="1"/>
  <c r="P446" i="7"/>
  <c r="M446" i="7"/>
  <c r="L446" i="7"/>
  <c r="I446" i="7"/>
  <c r="Q694" i="7"/>
  <c r="P694" i="7"/>
  <c r="M694" i="7"/>
  <c r="L694" i="7"/>
  <c r="Q669" i="7"/>
  <c r="P669" i="7"/>
  <c r="M669" i="7"/>
  <c r="L669" i="7"/>
  <c r="Q644" i="7"/>
  <c r="P644" i="7"/>
  <c r="M644" i="7"/>
  <c r="L644" i="7"/>
  <c r="Q619" i="7"/>
  <c r="P619" i="7"/>
  <c r="M619" i="7"/>
  <c r="L619" i="7"/>
  <c r="Q594" i="7" l="1"/>
  <c r="P594" i="7"/>
  <c r="M594" i="7"/>
  <c r="L594" i="7"/>
  <c r="Q570" i="7"/>
  <c r="P570" i="7"/>
  <c r="M570" i="7"/>
  <c r="L570" i="7"/>
  <c r="Q546" i="7"/>
  <c r="P546" i="7"/>
  <c r="M546" i="7"/>
  <c r="L546" i="7"/>
  <c r="H546" i="7"/>
  <c r="I546" i="7"/>
  <c r="Q496" i="7"/>
  <c r="P496" i="7"/>
  <c r="M496" i="7"/>
  <c r="L496" i="7"/>
  <c r="I496" i="7"/>
  <c r="H496" i="7"/>
  <c r="Q471" i="7"/>
  <c r="P471" i="7"/>
  <c r="M471" i="7"/>
  <c r="L471" i="7"/>
  <c r="Q421" i="7"/>
  <c r="P421" i="7"/>
  <c r="M421" i="7"/>
  <c r="L421" i="7"/>
  <c r="Q393" i="7"/>
  <c r="M393" i="7"/>
  <c r="I393" i="7"/>
  <c r="M367" i="7"/>
  <c r="Q367" i="7" l="1"/>
  <c r="I367" i="7"/>
  <c r="Q342" i="7" l="1"/>
  <c r="M342" i="7"/>
  <c r="P315" i="7" l="1"/>
  <c r="L315" i="7"/>
  <c r="H315" i="7"/>
  <c r="P288" i="7"/>
  <c r="L288" i="7"/>
  <c r="H288" i="7"/>
  <c r="P262" i="7"/>
  <c r="L262" i="7"/>
  <c r="H262" i="7"/>
  <c r="P236" i="7"/>
  <c r="L236" i="7"/>
  <c r="H236" i="7"/>
  <c r="Q315" i="7"/>
  <c r="M315" i="7"/>
  <c r="I315" i="7"/>
  <c r="Q288" i="7"/>
  <c r="M288" i="7"/>
  <c r="I288" i="7"/>
  <c r="Q262" i="7"/>
  <c r="M262" i="7"/>
  <c r="I262" i="7"/>
  <c r="Q236" i="7"/>
  <c r="M236" i="7"/>
  <c r="I236" i="7"/>
  <c r="H208" i="7"/>
  <c r="L208" i="7"/>
  <c r="P208" i="7"/>
  <c r="Q208" i="7"/>
  <c r="M208" i="7"/>
  <c r="I208" i="7"/>
  <c r="Q155" i="7"/>
  <c r="P155" i="7"/>
  <c r="M155" i="7"/>
  <c r="L155" i="7"/>
  <c r="M129" i="7"/>
  <c r="L129" i="7"/>
  <c r="I129" i="7"/>
  <c r="H129" i="7"/>
  <c r="I342" i="7" l="1"/>
  <c r="I694" i="7" l="1"/>
  <c r="H694" i="7"/>
  <c r="I669" i="7"/>
  <c r="H669" i="7"/>
  <c r="I644" i="7"/>
  <c r="H644" i="7"/>
  <c r="I594" i="7"/>
  <c r="I619" i="7"/>
  <c r="H619" i="7"/>
  <c r="H594" i="7"/>
  <c r="I570" i="7"/>
  <c r="Q31" i="7"/>
  <c r="M31" i="7"/>
  <c r="I31" i="7"/>
  <c r="H570" i="7"/>
  <c r="P521" i="7"/>
  <c r="L521" i="7"/>
  <c r="H521" i="7"/>
  <c r="P520" i="7"/>
  <c r="L520" i="7"/>
  <c r="H520" i="7"/>
  <c r="I471" i="7"/>
  <c r="H471" i="7"/>
  <c r="I421" i="7"/>
  <c r="H446" i="7"/>
  <c r="H421" i="7"/>
  <c r="P181" i="7"/>
  <c r="L181" i="7"/>
  <c r="H181" i="7"/>
  <c r="Q181" i="7"/>
  <c r="M181" i="7"/>
  <c r="I181" i="7"/>
  <c r="H155" i="7"/>
  <c r="I155" i="7"/>
  <c r="Q103" i="7"/>
  <c r="P103" i="7"/>
  <c r="M103" i="7"/>
  <c r="L103" i="7"/>
  <c r="Q79" i="7"/>
  <c r="P79" i="7"/>
  <c r="M79" i="7"/>
  <c r="L79" i="7"/>
  <c r="Q55" i="7"/>
  <c r="P55" i="7"/>
  <c r="M55" i="7"/>
  <c r="L55" i="7"/>
  <c r="P31" i="7"/>
  <c r="L31" i="7"/>
  <c r="Q7" i="7"/>
  <c r="P7" i="7"/>
  <c r="M7" i="7"/>
  <c r="L7" i="7"/>
  <c r="P129" i="7"/>
  <c r="M76" i="6" l="1"/>
  <c r="M75" i="6"/>
  <c r="M74" i="6"/>
  <c r="M73" i="6"/>
  <c r="M72" i="6"/>
  <c r="M71" i="6"/>
  <c r="M70" i="6"/>
  <c r="M69" i="6"/>
  <c r="M68" i="6"/>
  <c r="M67" i="6"/>
  <c r="M66" i="6"/>
  <c r="M65" i="6"/>
  <c r="M64" i="6"/>
  <c r="M63" i="6"/>
  <c r="M62" i="6"/>
  <c r="M61" i="6"/>
  <c r="M60" i="6"/>
  <c r="M59" i="6"/>
  <c r="M58" i="6"/>
  <c r="M57" i="6"/>
  <c r="M56" i="6"/>
  <c r="M55" i="6"/>
  <c r="M54" i="6"/>
  <c r="M53" i="6"/>
  <c r="M52" i="6"/>
  <c r="M51" i="6"/>
  <c r="M50" i="6"/>
  <c r="M49" i="6"/>
  <c r="M48" i="6"/>
  <c r="M47" i="6"/>
  <c r="M46" i="6"/>
  <c r="M45" i="6"/>
  <c r="M44" i="6"/>
  <c r="M43" i="6"/>
  <c r="M42" i="6"/>
  <c r="M41" i="6"/>
  <c r="M40" i="6"/>
  <c r="M39" i="6"/>
  <c r="Q129" i="7"/>
  <c r="H31" i="7"/>
  <c r="I7" i="7"/>
  <c r="H7" i="7" l="1"/>
  <c r="I103" i="7" l="1"/>
  <c r="H103" i="7"/>
  <c r="I79" i="7" l="1"/>
  <c r="H79" i="7"/>
  <c r="I55" i="7"/>
  <c r="H55" i="7"/>
  <c r="M38" i="6" l="1"/>
  <c r="M37" i="6"/>
  <c r="M36" i="6"/>
  <c r="M35" i="6"/>
  <c r="M34" i="6"/>
  <c r="M33" i="6"/>
  <c r="M32" i="6"/>
  <c r="M31" i="6"/>
  <c r="M30" i="6"/>
  <c r="M29" i="6"/>
  <c r="M28" i="6"/>
  <c r="M27" i="6"/>
  <c r="M26" i="6"/>
  <c r="M25" i="6"/>
  <c r="M24" i="6"/>
  <c r="M23" i="6"/>
  <c r="M22" i="6"/>
  <c r="E401" i="1" l="1"/>
  <c r="E392" i="1"/>
  <c r="E383" i="1"/>
  <c r="E374" i="1"/>
  <c r="E365" i="1"/>
  <c r="E356" i="1"/>
  <c r="E347" i="1"/>
  <c r="E338" i="1"/>
  <c r="E329" i="1"/>
  <c r="E320" i="1"/>
  <c r="E311" i="1"/>
  <c r="E302" i="1"/>
  <c r="E293" i="1"/>
  <c r="E284" i="1"/>
  <c r="E275" i="1"/>
  <c r="E266" i="1"/>
  <c r="E257" i="1"/>
  <c r="E248" i="1"/>
  <c r="E239" i="1"/>
  <c r="E230" i="1"/>
  <c r="E221" i="1"/>
  <c r="E212" i="1"/>
  <c r="E203" i="1"/>
  <c r="E194" i="1"/>
  <c r="E185" i="1"/>
  <c r="E176" i="1"/>
  <c r="E167" i="1"/>
  <c r="E158" i="1"/>
  <c r="E149" i="1"/>
  <c r="E140" i="1"/>
  <c r="E131" i="1"/>
  <c r="E122" i="1"/>
  <c r="E113" i="1"/>
  <c r="E104" i="1"/>
  <c r="E95" i="1"/>
  <c r="E86" i="1"/>
  <c r="E35" i="1"/>
  <c r="E27" i="1"/>
  <c r="E19" i="1"/>
  <c r="E10" i="1"/>
  <c r="E43" i="1"/>
  <c r="E51" i="1"/>
  <c r="E60" i="1"/>
  <c r="E69" i="1"/>
  <c r="E7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tc={36A80C57-C37B-4DAC-9A12-836EFE1EC2B7}</author>
  </authors>
  <commentList>
    <comment ref="B16" authorId="0" shapeId="0" xr:uid="{36A80C57-C37B-4DAC-9A12-836EFE1EC2B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通常単価とマニュアル割引のパターン分けできてない</t>
      </text>
    </comment>
  </commentList>
</comments>
</file>

<file path=xl/sharedStrings.xml><?xml version="1.0" encoding="utf-8"?>
<sst xmlns="http://schemas.openxmlformats.org/spreadsheetml/2006/main" count="4009" uniqueCount="670">
  <si>
    <t>値引パターン</t>
    <rPh sb="0" eb="2">
      <t>ネビキ</t>
    </rPh>
    <phoneticPr fontId="1"/>
  </si>
  <si>
    <t>値引内容</t>
    <rPh sb="0" eb="2">
      <t>ネビキ</t>
    </rPh>
    <rPh sb="2" eb="4">
      <t>ナイヨウ</t>
    </rPh>
    <phoneticPr fontId="1"/>
  </si>
  <si>
    <t>計算内容</t>
    <rPh sb="0" eb="2">
      <t>ケイサン</t>
    </rPh>
    <rPh sb="2" eb="4">
      <t>ナイヨウ</t>
    </rPh>
    <phoneticPr fontId="1"/>
  </si>
  <si>
    <t>値引コード</t>
  </si>
  <si>
    <t>値引種別</t>
  </si>
  <si>
    <t>値引名称</t>
  </si>
  <si>
    <t>備考</t>
    <rPh sb="0" eb="2">
      <t>ビコウ</t>
    </rPh>
    <phoneticPr fontId="1"/>
  </si>
  <si>
    <t>マニュアル単品値引</t>
    <phoneticPr fontId="1"/>
  </si>
  <si>
    <t>定番売価ー緊急売価変更</t>
  </si>
  <si>
    <t>緊急売価変更</t>
    <phoneticPr fontId="1"/>
  </si>
  <si>
    <t>マニュアル単品値引額</t>
  </si>
  <si>
    <t>マニュアル単品割引</t>
    <rPh sb="5" eb="7">
      <t>タンピン</t>
    </rPh>
    <rPh sb="7" eb="9">
      <t>ワリビキ</t>
    </rPh>
    <phoneticPr fontId="1"/>
  </si>
  <si>
    <t>緊急売価変更</t>
  </si>
  <si>
    <t>緊急売価変更×マニュアル単品割引</t>
    <rPh sb="12" eb="14">
      <t>タンピン</t>
    </rPh>
    <rPh sb="14" eb="16">
      <t>ワリビキ</t>
    </rPh>
    <phoneticPr fontId="1"/>
  </si>
  <si>
    <t>マニュアル単品割引</t>
    <phoneticPr fontId="1"/>
  </si>
  <si>
    <t>緊急売価変更＞レジでの売価変更</t>
    <phoneticPr fontId="1"/>
  </si>
  <si>
    <t>緊急売価変更ーレジでの売価変更</t>
  </si>
  <si>
    <t>レジでの売価変更</t>
    <phoneticPr fontId="1"/>
  </si>
  <si>
    <t>緊急売価変更＝レジでの売価変更</t>
    <phoneticPr fontId="1"/>
  </si>
  <si>
    <t>緊急売価変更＜レジでの売価変更</t>
    <phoneticPr fontId="1"/>
  </si>
  <si>
    <t>定番売価ーレジでの売価変更</t>
  </si>
  <si>
    <t>緊急売価変更＞特売（タイムサービス売価）</t>
    <rPh sb="0" eb="2">
      <t>キンキュウ</t>
    </rPh>
    <rPh sb="2" eb="4">
      <t>バイカ</t>
    </rPh>
    <rPh sb="4" eb="6">
      <t>ヘンコウ</t>
    </rPh>
    <rPh sb="7" eb="9">
      <t>トクバイ</t>
    </rPh>
    <rPh sb="17" eb="19">
      <t>バイカ</t>
    </rPh>
    <phoneticPr fontId="1"/>
  </si>
  <si>
    <t>定番売価ー緊急売価変更</t>
    <phoneticPr fontId="1"/>
  </si>
  <si>
    <t>緊急売価変更＝特売（タイムサービス売価）</t>
    <rPh sb="7" eb="9">
      <t>トクバイ</t>
    </rPh>
    <rPh sb="17" eb="19">
      <t>バイカ</t>
    </rPh>
    <phoneticPr fontId="1"/>
  </si>
  <si>
    <t>緊急売価変更＜特売（タイムサービス売価）</t>
    <rPh sb="7" eb="9">
      <t>トクバイ</t>
    </rPh>
    <rPh sb="17" eb="19">
      <t>バイカ</t>
    </rPh>
    <phoneticPr fontId="1"/>
  </si>
  <si>
    <t>緊急売価変更＞特売（タイムサービス割引）</t>
    <rPh sb="7" eb="9">
      <t>トクバイ</t>
    </rPh>
    <rPh sb="17" eb="19">
      <t>ワリビキ</t>
    </rPh>
    <phoneticPr fontId="1"/>
  </si>
  <si>
    <t>緊急売価変更＞特売（期間売価）</t>
    <rPh sb="7" eb="9">
      <t>トクバイ</t>
    </rPh>
    <rPh sb="10" eb="12">
      <t>キカン</t>
    </rPh>
    <rPh sb="12" eb="14">
      <t>バイカ</t>
    </rPh>
    <phoneticPr fontId="1"/>
  </si>
  <si>
    <t>緊急売価変更＝特売（期間売価）</t>
    <rPh sb="7" eb="9">
      <t>トクバイ</t>
    </rPh>
    <rPh sb="10" eb="12">
      <t>キカン</t>
    </rPh>
    <rPh sb="12" eb="14">
      <t>バイカ</t>
    </rPh>
    <phoneticPr fontId="1"/>
  </si>
  <si>
    <t>緊急売価変更＜特売（期間売価）</t>
    <rPh sb="7" eb="9">
      <t>トクバイ</t>
    </rPh>
    <rPh sb="10" eb="12">
      <t>キカン</t>
    </rPh>
    <rPh sb="12" eb="14">
      <t>バイカ</t>
    </rPh>
    <phoneticPr fontId="1"/>
  </si>
  <si>
    <t>緊急売価変更＞特売（期間割引）</t>
    <rPh sb="7" eb="9">
      <t>トクバイ</t>
    </rPh>
    <rPh sb="10" eb="12">
      <t>キカン</t>
    </rPh>
    <phoneticPr fontId="1"/>
  </si>
  <si>
    <t>緊急売価変更＞ミックスマッチ</t>
    <phoneticPr fontId="1"/>
  </si>
  <si>
    <t>緊急売価変更ーミックスマッチ</t>
    <phoneticPr fontId="1"/>
  </si>
  <si>
    <t>ミックス</t>
  </si>
  <si>
    <t>値引シール【1:値引】</t>
    <phoneticPr fontId="1"/>
  </si>
  <si>
    <t>値引シール【1:値引】額</t>
    <rPh sb="0" eb="2">
      <t>ネビキ</t>
    </rPh>
    <rPh sb="8" eb="10">
      <t>ネビキ</t>
    </rPh>
    <rPh sb="11" eb="12">
      <t>ガク</t>
    </rPh>
    <phoneticPr fontId="1"/>
  </si>
  <si>
    <t>値引シール【2:割引】</t>
    <phoneticPr fontId="1"/>
  </si>
  <si>
    <t>緊急売価変更×値引シール【2:割引】</t>
    <rPh sb="7" eb="9">
      <t>ネビキ</t>
    </rPh>
    <rPh sb="15" eb="17">
      <t>ワリビキ</t>
    </rPh>
    <phoneticPr fontId="1"/>
  </si>
  <si>
    <t>緊急売価変更ー値引シール【3:金額】</t>
    <phoneticPr fontId="1"/>
  </si>
  <si>
    <t>緊急売価変更＝値引シール【3:金額】</t>
    <rPh sb="7" eb="9">
      <t>ネビキ</t>
    </rPh>
    <rPh sb="15" eb="17">
      <t>キンガク</t>
    </rPh>
    <phoneticPr fontId="1"/>
  </si>
  <si>
    <t>緊急売価変更＜値引シール【3:金額】</t>
    <rPh sb="7" eb="9">
      <t>ネビキ</t>
    </rPh>
    <rPh sb="15" eb="17">
      <t>キンガク</t>
    </rPh>
    <phoneticPr fontId="1"/>
  </si>
  <si>
    <t>定番売価ー値引シール【3:金額】</t>
  </si>
  <si>
    <t>カテゴリ値引</t>
    <rPh sb="4" eb="6">
      <t>ネビキ</t>
    </rPh>
    <phoneticPr fontId="1"/>
  </si>
  <si>
    <t>カテゴリ値引額</t>
    <rPh sb="4" eb="6">
      <t>ネビキ</t>
    </rPh>
    <phoneticPr fontId="1"/>
  </si>
  <si>
    <t>カテゴリー値引</t>
    <phoneticPr fontId="1"/>
  </si>
  <si>
    <t>カテゴリ割引</t>
    <rPh sb="4" eb="6">
      <t>ワリビキ</t>
    </rPh>
    <phoneticPr fontId="1"/>
  </si>
  <si>
    <t>小計値引（マニュアル）</t>
    <rPh sb="0" eb="2">
      <t>ショウケイ</t>
    </rPh>
    <rPh sb="2" eb="4">
      <t>ネビキ</t>
    </rPh>
    <phoneticPr fontId="1"/>
  </si>
  <si>
    <t>小計値引（マニュアル）</t>
    <phoneticPr fontId="1"/>
  </si>
  <si>
    <t>小計割引（マニュアル）</t>
    <rPh sb="0" eb="2">
      <t>ショウケイ</t>
    </rPh>
    <rPh sb="2" eb="4">
      <t>ワリビキ</t>
    </rPh>
    <phoneticPr fontId="1"/>
  </si>
  <si>
    <t>小計額×小計割引（マニュアル）</t>
    <rPh sb="0" eb="2">
      <t>ショウケイ</t>
    </rPh>
    <rPh sb="2" eb="3">
      <t>ガク</t>
    </rPh>
    <rPh sb="4" eb="6">
      <t>ショウケイ</t>
    </rPh>
    <rPh sb="6" eb="8">
      <t>ワリビキ</t>
    </rPh>
    <phoneticPr fontId="1"/>
  </si>
  <si>
    <t>朝割り（自動）</t>
    <rPh sb="0" eb="1">
      <t>アサ</t>
    </rPh>
    <rPh sb="1" eb="2">
      <t>ワ</t>
    </rPh>
    <rPh sb="4" eb="6">
      <t>ジドウ</t>
    </rPh>
    <phoneticPr fontId="1"/>
  </si>
  <si>
    <t>小計額×朝割り（自動）</t>
    <rPh sb="0" eb="2">
      <t>ショウケイ</t>
    </rPh>
    <rPh sb="2" eb="3">
      <t>ガク</t>
    </rPh>
    <rPh sb="4" eb="5">
      <t>アサ</t>
    </rPh>
    <rPh sb="5" eb="6">
      <t>ワ</t>
    </rPh>
    <rPh sb="8" eb="10">
      <t>ジドウ</t>
    </rPh>
    <phoneticPr fontId="1"/>
  </si>
  <si>
    <t>メガ割（自動）</t>
    <phoneticPr fontId="1"/>
  </si>
  <si>
    <t>小計額×メガ割（自動）</t>
    <rPh sb="0" eb="2">
      <t>ショウケイ</t>
    </rPh>
    <rPh sb="2" eb="3">
      <t>ガク</t>
    </rPh>
    <rPh sb="6" eb="7">
      <t>ワリ</t>
    </rPh>
    <rPh sb="8" eb="10">
      <t>ジドウ</t>
    </rPh>
    <phoneticPr fontId="1"/>
  </si>
  <si>
    <t>クレジット割（自動）</t>
    <phoneticPr fontId="1"/>
  </si>
  <si>
    <t>小計額×クレジット割（自動）</t>
    <rPh sb="0" eb="2">
      <t>ショウケイ</t>
    </rPh>
    <rPh sb="2" eb="3">
      <t>ガク</t>
    </rPh>
    <rPh sb="9" eb="10">
      <t>ワリ</t>
    </rPh>
    <rPh sb="11" eb="13">
      <t>ジドウ</t>
    </rPh>
    <phoneticPr fontId="1"/>
  </si>
  <si>
    <t>緊急売価変更値引実績計算_図</t>
    <rPh sb="0" eb="2">
      <t>キンキュウ</t>
    </rPh>
    <rPh sb="2" eb="4">
      <t>バイカ</t>
    </rPh>
    <rPh sb="4" eb="6">
      <t>ヘンコウ</t>
    </rPh>
    <rPh sb="6" eb="8">
      <t>ネビキ</t>
    </rPh>
    <rPh sb="8" eb="10">
      <t>ジッセキ</t>
    </rPh>
    <rPh sb="10" eb="12">
      <t>ケイサン</t>
    </rPh>
    <rPh sb="13" eb="14">
      <t>ズ</t>
    </rPh>
    <phoneticPr fontId="1"/>
  </si>
  <si>
    <t>値引パターン</t>
    <rPh sb="0" eb="2">
      <t>ネビキ</t>
    </rPh>
    <phoneticPr fontId="7"/>
  </si>
  <si>
    <t>マニュアル単品値引</t>
    <phoneticPr fontId="7"/>
  </si>
  <si>
    <t>定番売価1個300円の商品を</t>
  </si>
  <si>
    <t>緊急売価変更金額／マニュアル単品値引</t>
    <rPh sb="0" eb="2">
      <t>キンキュウ</t>
    </rPh>
    <rPh sb="2" eb="4">
      <t>バイカ</t>
    </rPh>
    <rPh sb="4" eb="6">
      <t>ヘンコウ</t>
    </rPh>
    <rPh sb="6" eb="8">
      <t>キンガク</t>
    </rPh>
    <phoneticPr fontId="7"/>
  </si>
  <si>
    <r>
      <t>値引額　-</t>
    </r>
    <r>
      <rPr>
        <sz val="11"/>
        <color rgb="FFFF0000"/>
        <rFont val="ＭＳ ゴシック"/>
        <family val="3"/>
        <charset val="128"/>
      </rPr>
      <t>50円</t>
    </r>
    <rPh sb="0" eb="2">
      <t>ネビキ</t>
    </rPh>
    <rPh sb="2" eb="3">
      <t>ガク</t>
    </rPh>
    <rPh sb="3" eb="4">
      <t>ゾウガク</t>
    </rPh>
    <rPh sb="7" eb="8">
      <t>エン</t>
    </rPh>
    <phoneticPr fontId="7"/>
  </si>
  <si>
    <t>緊急売価変更
350円</t>
    <rPh sb="10" eb="11">
      <t>エン</t>
    </rPh>
    <phoneticPr fontId="1"/>
  </si>
  <si>
    <t>値引額 50円</t>
    <rPh sb="6" eb="7">
      <t>エン</t>
    </rPh>
    <phoneticPr fontId="7"/>
  </si>
  <si>
    <t>定番売価
300円</t>
    <rPh sb="0" eb="2">
      <t>テイバン</t>
    </rPh>
    <rPh sb="2" eb="4">
      <t>バイカ</t>
    </rPh>
    <rPh sb="8" eb="9">
      <t>エン</t>
    </rPh>
    <phoneticPr fontId="1"/>
  </si>
  <si>
    <t>値引額 100円</t>
    <rPh sb="0" eb="2">
      <t>ネビキ</t>
    </rPh>
    <rPh sb="2" eb="3">
      <t>ガク</t>
    </rPh>
    <rPh sb="7" eb="8">
      <t>エン</t>
    </rPh>
    <phoneticPr fontId="7"/>
  </si>
  <si>
    <t>緊急売価変更
300円</t>
    <rPh sb="10" eb="11">
      <t>エン</t>
    </rPh>
    <phoneticPr fontId="1"/>
  </si>
  <si>
    <t>値引額　50円</t>
    <rPh sb="6" eb="7">
      <t>エン</t>
    </rPh>
    <phoneticPr fontId="7"/>
  </si>
  <si>
    <t>販売額
300円</t>
    <rPh sb="0" eb="2">
      <t>ハンバイ</t>
    </rPh>
    <rPh sb="2" eb="3">
      <t>ガク</t>
    </rPh>
    <rPh sb="7" eb="8">
      <t>エン</t>
    </rPh>
    <phoneticPr fontId="1"/>
  </si>
  <si>
    <t>販売額
250円</t>
    <rPh sb="0" eb="2">
      <t>ハンバイ</t>
    </rPh>
    <rPh sb="2" eb="3">
      <t>ガク</t>
    </rPh>
    <rPh sb="7" eb="8">
      <t>エン</t>
    </rPh>
    <phoneticPr fontId="1"/>
  </si>
  <si>
    <t>緊急売価変更
200円</t>
    <rPh sb="10" eb="11">
      <t>エン</t>
    </rPh>
    <phoneticPr fontId="1"/>
  </si>
  <si>
    <t>販売額
150円</t>
    <rPh sb="0" eb="2">
      <t>ハンバイ</t>
    </rPh>
    <rPh sb="2" eb="3">
      <t>ガク</t>
    </rPh>
    <rPh sb="7" eb="8">
      <t>エン</t>
    </rPh>
    <phoneticPr fontId="1"/>
  </si>
  <si>
    <t>値引額</t>
    <rPh sb="0" eb="2">
      <t>ネビキ</t>
    </rPh>
    <rPh sb="2" eb="3">
      <t>ガク</t>
    </rPh>
    <phoneticPr fontId="1"/>
  </si>
  <si>
    <t>販売額</t>
    <rPh sb="0" eb="2">
      <t>ハンバイ</t>
    </rPh>
    <rPh sb="2" eb="3">
      <t>ガク</t>
    </rPh>
    <phoneticPr fontId="7"/>
  </si>
  <si>
    <t>＜値引実績作成＞</t>
    <rPh sb="1" eb="3">
      <t>ネビキ</t>
    </rPh>
    <rPh sb="3" eb="5">
      <t>ジッセキ</t>
    </rPh>
    <rPh sb="5" eb="7">
      <t>サクセイ</t>
    </rPh>
    <phoneticPr fontId="7"/>
  </si>
  <si>
    <t>値引コード</t>
    <rPh sb="0" eb="2">
      <t>ネビキ</t>
    </rPh>
    <phoneticPr fontId="1"/>
  </si>
  <si>
    <t>値引種別</t>
    <rPh sb="0" eb="2">
      <t>ネビ</t>
    </rPh>
    <rPh sb="2" eb="4">
      <t>シュベツ</t>
    </rPh>
    <phoneticPr fontId="7"/>
  </si>
  <si>
    <t>値引名称</t>
    <rPh sb="0" eb="2">
      <t>ネビ</t>
    </rPh>
    <rPh sb="2" eb="4">
      <t>メイショウ</t>
    </rPh>
    <phoneticPr fontId="7"/>
  </si>
  <si>
    <t>100
定番売価額ー緊急売価変更</t>
  </si>
  <si>
    <t>50
マニュアル単品値引</t>
    <phoneticPr fontId="7"/>
  </si>
  <si>
    <t>0
定番売価額ー緊急売価変更</t>
  </si>
  <si>
    <t>-50
定番売価額ー緊急売価変更</t>
  </si>
  <si>
    <t>※ 値引種別「緊急売価変更」は。計算した値引額が０円、マイナスでも値引実績を作成する。</t>
  </si>
  <si>
    <t>マニュアル単品割引</t>
    <rPh sb="5" eb="7">
      <t>タンピン</t>
    </rPh>
    <phoneticPr fontId="7"/>
  </si>
  <si>
    <t>緊急売価変更金額／マニュアル単品割引</t>
    <rPh sb="0" eb="2">
      <t>キンキュウ</t>
    </rPh>
    <rPh sb="2" eb="4">
      <t>バイカ</t>
    </rPh>
    <rPh sb="4" eb="6">
      <t>ヘンコウ</t>
    </rPh>
    <rPh sb="6" eb="8">
      <t>キンガク</t>
    </rPh>
    <phoneticPr fontId="7"/>
  </si>
  <si>
    <t>値引額 35円</t>
    <rPh sb="6" eb="7">
      <t>エン</t>
    </rPh>
    <phoneticPr fontId="7"/>
  </si>
  <si>
    <t>値引額　100円</t>
    <rPh sb="0" eb="2">
      <t>ネビキ</t>
    </rPh>
    <rPh sb="2" eb="3">
      <t>ガク</t>
    </rPh>
    <rPh sb="7" eb="8">
      <t>エン</t>
    </rPh>
    <phoneticPr fontId="7"/>
  </si>
  <si>
    <t>値引額　30円</t>
    <rPh sb="6" eb="7">
      <t>エン</t>
    </rPh>
    <phoneticPr fontId="7"/>
  </si>
  <si>
    <t>販売額
315円</t>
    <rPh sb="0" eb="2">
      <t>ハンバイ</t>
    </rPh>
    <rPh sb="2" eb="3">
      <t>ガク</t>
    </rPh>
    <rPh sb="7" eb="8">
      <t>エン</t>
    </rPh>
    <phoneticPr fontId="1"/>
  </si>
  <si>
    <t>販売額
270円</t>
    <rPh sb="0" eb="2">
      <t>ハンバイ</t>
    </rPh>
    <rPh sb="2" eb="3">
      <t>ガク</t>
    </rPh>
    <rPh sb="7" eb="8">
      <t>エン</t>
    </rPh>
    <phoneticPr fontId="1"/>
  </si>
  <si>
    <t>値引額　20円</t>
    <rPh sb="6" eb="7">
      <t>エン</t>
    </rPh>
    <phoneticPr fontId="7"/>
  </si>
  <si>
    <t>販売額
180円</t>
    <rPh sb="0" eb="2">
      <t>ハンバイ</t>
    </rPh>
    <rPh sb="2" eb="3">
      <t>ガク</t>
    </rPh>
    <rPh sb="7" eb="8">
      <t>エン</t>
    </rPh>
    <phoneticPr fontId="1"/>
  </si>
  <si>
    <t>20
緊急売価変更×マニュアル単品割引</t>
  </si>
  <si>
    <t>30
緊急売価変更×マニュアル単品割引</t>
    <phoneticPr fontId="7"/>
  </si>
  <si>
    <t>35
緊急売価変更×マニュアル単品割引</t>
    <phoneticPr fontId="7"/>
  </si>
  <si>
    <t>緊急売価変更＞レジでの売価変更</t>
  </si>
  <si>
    <t>緊急売価変更金額／レジでの売価変更</t>
    <rPh sb="0" eb="2">
      <t>キンキュウ</t>
    </rPh>
    <rPh sb="2" eb="4">
      <t>バイカ</t>
    </rPh>
    <rPh sb="4" eb="6">
      <t>ヘンコウ</t>
    </rPh>
    <rPh sb="6" eb="8">
      <t>キンガク</t>
    </rPh>
    <phoneticPr fontId="7"/>
  </si>
  <si>
    <t>緊急売価
変更額
350円</t>
    <rPh sb="0" eb="2">
      <t>キンキュウ</t>
    </rPh>
    <rPh sb="2" eb="4">
      <t>バイカ</t>
    </rPh>
    <rPh sb="5" eb="7">
      <t>ヘンコウ</t>
    </rPh>
    <rPh sb="7" eb="8">
      <t>ガク</t>
    </rPh>
    <rPh sb="12" eb="13">
      <t>エン</t>
    </rPh>
    <phoneticPr fontId="1"/>
  </si>
  <si>
    <t>値引額 200円</t>
    <rPh sb="0" eb="2">
      <t>ネビキ</t>
    </rPh>
    <rPh sb="2" eb="3">
      <t>ガク</t>
    </rPh>
    <rPh sb="7" eb="8">
      <t>エン</t>
    </rPh>
    <phoneticPr fontId="7"/>
  </si>
  <si>
    <t>緊急売価
変更額
300円</t>
    <rPh sb="0" eb="2">
      <t>キンキュウ</t>
    </rPh>
    <rPh sb="2" eb="4">
      <t>バイカ</t>
    </rPh>
    <rPh sb="5" eb="7">
      <t>ヘンコウ</t>
    </rPh>
    <rPh sb="7" eb="8">
      <t>ガク</t>
    </rPh>
    <rPh sb="12" eb="13">
      <t>エン</t>
    </rPh>
    <phoneticPr fontId="1"/>
  </si>
  <si>
    <t>レジでの売価変更
300円</t>
    <rPh sb="4" eb="6">
      <t>バイカ</t>
    </rPh>
    <rPh sb="6" eb="8">
      <t>ヘンコウ</t>
    </rPh>
    <rPh sb="12" eb="13">
      <t>エン</t>
    </rPh>
    <phoneticPr fontId="1"/>
  </si>
  <si>
    <t>レジでの売価変更
250円</t>
    <rPh sb="4" eb="6">
      <t>バイカ</t>
    </rPh>
    <rPh sb="6" eb="8">
      <t>ヘンコウ</t>
    </rPh>
    <rPh sb="12" eb="13">
      <t>エン</t>
    </rPh>
    <phoneticPr fontId="1"/>
  </si>
  <si>
    <t>レジでの売価変更
150円</t>
    <rPh sb="4" eb="6">
      <t>バイカ</t>
    </rPh>
    <rPh sb="6" eb="8">
      <t>ヘンコウ</t>
    </rPh>
    <rPh sb="12" eb="13">
      <t>エン</t>
    </rPh>
    <phoneticPr fontId="1"/>
  </si>
  <si>
    <t>50
緊急売価変更ーレジでの売価変更</t>
  </si>
  <si>
    <t>緊急売価変更＝レジでの売価変更</t>
    <phoneticPr fontId="7"/>
  </si>
  <si>
    <t>緊急売価変更
350円</t>
    <rPh sb="0" eb="2">
      <t>キンキュウ</t>
    </rPh>
    <rPh sb="2" eb="4">
      <t>バイカ</t>
    </rPh>
    <rPh sb="4" eb="6">
      <t>ヘンコウ</t>
    </rPh>
    <rPh sb="10" eb="11">
      <t>エン</t>
    </rPh>
    <phoneticPr fontId="1"/>
  </si>
  <si>
    <t>レジでの売価変更
350円</t>
    <rPh sb="4" eb="6">
      <t>バイカ</t>
    </rPh>
    <rPh sb="6" eb="8">
      <t>ヘンコウ</t>
    </rPh>
    <rPh sb="12" eb="13">
      <t>エン</t>
    </rPh>
    <phoneticPr fontId="1"/>
  </si>
  <si>
    <t>値引額 50円</t>
    <rPh sb="0" eb="2">
      <t>ネビキ</t>
    </rPh>
    <rPh sb="2" eb="3">
      <t>ガク</t>
    </rPh>
    <rPh sb="6" eb="7">
      <t>エン</t>
    </rPh>
    <phoneticPr fontId="7"/>
  </si>
  <si>
    <t>緊急売価変更
300円</t>
    <rPh sb="0" eb="2">
      <t>キンキュウ</t>
    </rPh>
    <rPh sb="2" eb="4">
      <t>バイカ</t>
    </rPh>
    <rPh sb="4" eb="6">
      <t>ヘンコウ</t>
    </rPh>
    <rPh sb="10" eb="11">
      <t>エン</t>
    </rPh>
    <phoneticPr fontId="1"/>
  </si>
  <si>
    <t>緊急売価変更
250円</t>
    <rPh sb="0" eb="2">
      <t>キンキュウ</t>
    </rPh>
    <rPh sb="2" eb="4">
      <t>バイカ</t>
    </rPh>
    <rPh sb="4" eb="6">
      <t>ヘンコウ</t>
    </rPh>
    <rPh sb="10" eb="11">
      <t>エン</t>
    </rPh>
    <phoneticPr fontId="1"/>
  </si>
  <si>
    <t>レジでの売価変更
250円</t>
    <rPh sb="12" eb="13">
      <t>エン</t>
    </rPh>
    <phoneticPr fontId="1"/>
  </si>
  <si>
    <t>値引実績作成なし</t>
    <rPh sb="0" eb="2">
      <t>ネビキ</t>
    </rPh>
    <rPh sb="2" eb="4">
      <t>ジッセキ</t>
    </rPh>
    <rPh sb="4" eb="6">
      <t>サクセイ</t>
    </rPh>
    <phoneticPr fontId="7"/>
  </si>
  <si>
    <t>50
定番売価額ー緊急売価変更</t>
    <phoneticPr fontId="7"/>
  </si>
  <si>
    <t>緊急売価変更＜レジでの売価変更</t>
  </si>
  <si>
    <t>値引額　50円</t>
    <rPh sb="0" eb="2">
      <t>ネビキ</t>
    </rPh>
    <rPh sb="2" eb="3">
      <t>ガク</t>
    </rPh>
    <rPh sb="6" eb="7">
      <t>エン</t>
    </rPh>
    <phoneticPr fontId="7"/>
  </si>
  <si>
    <t>緊急売価変更
200円</t>
    <rPh sb="0" eb="2">
      <t>キンキュウ</t>
    </rPh>
    <rPh sb="2" eb="4">
      <t>バイカ</t>
    </rPh>
    <rPh sb="4" eb="6">
      <t>ヘンコウ</t>
    </rPh>
    <rPh sb="10" eb="11">
      <t>エン</t>
    </rPh>
    <phoneticPr fontId="1"/>
  </si>
  <si>
    <t>50
定番売価ーレジでの売価変更</t>
    <phoneticPr fontId="7"/>
  </si>
  <si>
    <t>0
定番売価ーレジでの売価変更</t>
    <phoneticPr fontId="7"/>
  </si>
  <si>
    <t>-50
定番売価ーレジでの売価変更</t>
    <phoneticPr fontId="7"/>
  </si>
  <si>
    <t>※ 「定番売価ーレジでの売価変更」０円、マイナスでも実績出力する。</t>
    <rPh sb="26" eb="28">
      <t>ジッセキ</t>
    </rPh>
    <rPh sb="28" eb="30">
      <t>シュツリョク</t>
    </rPh>
    <phoneticPr fontId="7"/>
  </si>
  <si>
    <t>※ 値引コード91111(緊急売価変更)で値引実績が作成されているが。値引コードは91220（レジでの売価変更）ではないか。</t>
    <rPh sb="2" eb="3">
      <t>ネ</t>
    </rPh>
    <rPh sb="3" eb="4">
      <t>ヒ</t>
    </rPh>
    <rPh sb="21" eb="23">
      <t>ネビキ</t>
    </rPh>
    <rPh sb="23" eb="25">
      <t>ジッセキ</t>
    </rPh>
    <rPh sb="26" eb="28">
      <t>サクセイ</t>
    </rPh>
    <rPh sb="35" eb="37">
      <t>ネビキ</t>
    </rPh>
    <phoneticPr fontId="7"/>
  </si>
  <si>
    <t>緊急売価変更＞特売（タイムサービス売価）</t>
    <phoneticPr fontId="7"/>
  </si>
  <si>
    <t>※特売（タイムサービス売価）と 緊急売価変更では緊急売価変更額が優先される為。特売（タイムサービス売価）の値引実績は作成されない。</t>
    <rPh sb="1" eb="3">
      <t>トクバイ</t>
    </rPh>
    <rPh sb="11" eb="13">
      <t>バイカ</t>
    </rPh>
    <rPh sb="16" eb="18">
      <t>キンキュウ</t>
    </rPh>
    <rPh sb="18" eb="20">
      <t>バイカ</t>
    </rPh>
    <rPh sb="20" eb="22">
      <t>ヘンコウ</t>
    </rPh>
    <rPh sb="24" eb="26">
      <t>キンキュウ</t>
    </rPh>
    <rPh sb="26" eb="28">
      <t>バイカ</t>
    </rPh>
    <rPh sb="28" eb="30">
      <t>ヘンコウ</t>
    </rPh>
    <rPh sb="30" eb="31">
      <t>ガク</t>
    </rPh>
    <rPh sb="32" eb="34">
      <t>ユウセン</t>
    </rPh>
    <rPh sb="37" eb="38">
      <t>タメ</t>
    </rPh>
    <rPh sb="53" eb="55">
      <t>ネビキ</t>
    </rPh>
    <rPh sb="55" eb="57">
      <t>ジッセキ</t>
    </rPh>
    <rPh sb="58" eb="60">
      <t>サクセイ</t>
    </rPh>
    <phoneticPr fontId="7"/>
  </si>
  <si>
    <r>
      <t xml:space="preserve">値引実績作成なし
</t>
    </r>
    <r>
      <rPr>
        <sz val="11"/>
        <color rgb="FFFF0000"/>
        <rFont val="ＭＳ ゴシック"/>
        <family val="3"/>
        <charset val="128"/>
      </rPr>
      <t>特売対象外</t>
    </r>
    <rPh sb="0" eb="2">
      <t>ネビキ</t>
    </rPh>
    <rPh sb="2" eb="4">
      <t>ジッセキ</t>
    </rPh>
    <rPh sb="4" eb="6">
      <t>サクセイ</t>
    </rPh>
    <rPh sb="9" eb="11">
      <t>トクバイ</t>
    </rPh>
    <rPh sb="11" eb="13">
      <t>タイショウ</t>
    </rPh>
    <rPh sb="13" eb="14">
      <t>ガイ</t>
    </rPh>
    <phoneticPr fontId="7"/>
  </si>
  <si>
    <t>50
定番売価額ー緊急売価変更</t>
  </si>
  <si>
    <t>※ 緊急売価変更が優先される為。特売（タイムサービス売価）は値引対象外。</t>
    <rPh sb="9" eb="11">
      <t>ユウセン</t>
    </rPh>
    <rPh sb="14" eb="15">
      <t>タメ</t>
    </rPh>
    <rPh sb="30" eb="32">
      <t>ネビキ</t>
    </rPh>
    <rPh sb="32" eb="34">
      <t>タイショウ</t>
    </rPh>
    <rPh sb="34" eb="35">
      <t>ガイ</t>
    </rPh>
    <phoneticPr fontId="7"/>
  </si>
  <si>
    <t>緊急売価変更＝特売（タイムサービス売価）</t>
    <phoneticPr fontId="7"/>
  </si>
  <si>
    <t>緊急売価変更＜特売（タイムサービス売価）</t>
    <phoneticPr fontId="7"/>
  </si>
  <si>
    <t>緊急売価変更＞特売（タイムサービス割引）</t>
    <phoneticPr fontId="7"/>
  </si>
  <si>
    <t>※特売（タイムサービス割引）と 緊急売価変更では緊急売価変更額が優先される為。特売（タイムサービス割引）の値引実績は作成されない。</t>
    <rPh sb="1" eb="3">
      <t>トクバイ</t>
    </rPh>
    <rPh sb="11" eb="13">
      <t>ワリビキ</t>
    </rPh>
    <rPh sb="16" eb="18">
      <t>キンキュウ</t>
    </rPh>
    <rPh sb="18" eb="20">
      <t>バイカ</t>
    </rPh>
    <rPh sb="20" eb="22">
      <t>ヘンコウ</t>
    </rPh>
    <rPh sb="24" eb="26">
      <t>キンキュウ</t>
    </rPh>
    <rPh sb="26" eb="28">
      <t>バイカ</t>
    </rPh>
    <rPh sb="28" eb="30">
      <t>ヘンコウ</t>
    </rPh>
    <rPh sb="30" eb="31">
      <t>ガク</t>
    </rPh>
    <rPh sb="32" eb="34">
      <t>ユウセン</t>
    </rPh>
    <rPh sb="37" eb="38">
      <t>タメ</t>
    </rPh>
    <rPh sb="49" eb="51">
      <t>ワリビキ</t>
    </rPh>
    <rPh sb="53" eb="55">
      <t>ネビキ</t>
    </rPh>
    <rPh sb="55" eb="57">
      <t>ジッセキ</t>
    </rPh>
    <rPh sb="58" eb="60">
      <t>サクセイ</t>
    </rPh>
    <phoneticPr fontId="7"/>
  </si>
  <si>
    <t>※ 緊急売価変更が優先される為。特売（タイムサービス割引）は値引対象外。</t>
    <rPh sb="9" eb="11">
      <t>ユウセン</t>
    </rPh>
    <rPh sb="14" eb="15">
      <t>タメ</t>
    </rPh>
    <rPh sb="30" eb="32">
      <t>ネビキ</t>
    </rPh>
    <rPh sb="32" eb="34">
      <t>タイショウ</t>
    </rPh>
    <rPh sb="34" eb="35">
      <t>ガイ</t>
    </rPh>
    <phoneticPr fontId="7"/>
  </si>
  <si>
    <t>緊急売価変更＞特売（期間売価）</t>
  </si>
  <si>
    <t>※特売（期間売価）と 緊急売価変更では緊急売価変更額が優先される為。特売（期間売価）の値引実績は作成されない。</t>
    <rPh sb="1" eb="3">
      <t>トクバイ</t>
    </rPh>
    <rPh sb="6" eb="8">
      <t>バイカ</t>
    </rPh>
    <rPh sb="11" eb="13">
      <t>キンキュウ</t>
    </rPh>
    <rPh sb="13" eb="15">
      <t>バイカ</t>
    </rPh>
    <rPh sb="15" eb="17">
      <t>ヘンコウ</t>
    </rPh>
    <rPh sb="19" eb="21">
      <t>キンキュウ</t>
    </rPh>
    <rPh sb="21" eb="23">
      <t>バイカ</t>
    </rPh>
    <rPh sb="23" eb="25">
      <t>ヘンコウ</t>
    </rPh>
    <rPh sb="25" eb="26">
      <t>ガク</t>
    </rPh>
    <rPh sb="27" eb="29">
      <t>ユウセン</t>
    </rPh>
    <rPh sb="32" eb="33">
      <t>タメ</t>
    </rPh>
    <rPh sb="43" eb="45">
      <t>ネビキ</t>
    </rPh>
    <rPh sb="45" eb="47">
      <t>ジッセキ</t>
    </rPh>
    <rPh sb="48" eb="50">
      <t>サクセイ</t>
    </rPh>
    <phoneticPr fontId="7"/>
  </si>
  <si>
    <t>※ 緊急売価変更が優先される為。特売（期間売価）は値引対象外。</t>
    <rPh sb="9" eb="11">
      <t>ユウセン</t>
    </rPh>
    <rPh sb="14" eb="15">
      <t>タメ</t>
    </rPh>
    <rPh sb="25" eb="27">
      <t>ネビキ</t>
    </rPh>
    <rPh sb="27" eb="29">
      <t>タイショウ</t>
    </rPh>
    <rPh sb="29" eb="30">
      <t>ガイ</t>
    </rPh>
    <phoneticPr fontId="7"/>
  </si>
  <si>
    <t>緊急売価変更＝特売（期間売価）</t>
  </si>
  <si>
    <t>緊急売価変更＜特売（期間売価）</t>
  </si>
  <si>
    <t>緊急売価変更＞特売（期間割引）</t>
  </si>
  <si>
    <t>※特売（期間割引）と 緊急売価変更では緊急売価変更額が優先される為。特売（期間割引）の値引実績は作成されない。</t>
    <rPh sb="1" eb="3">
      <t>トクバイ</t>
    </rPh>
    <rPh sb="6" eb="8">
      <t>ワリビキ</t>
    </rPh>
    <rPh sb="11" eb="13">
      <t>キンキュウ</t>
    </rPh>
    <rPh sb="13" eb="15">
      <t>バイカ</t>
    </rPh>
    <rPh sb="15" eb="17">
      <t>ヘンコウ</t>
    </rPh>
    <rPh sb="19" eb="21">
      <t>キンキュウ</t>
    </rPh>
    <rPh sb="21" eb="23">
      <t>バイカ</t>
    </rPh>
    <rPh sb="23" eb="25">
      <t>ヘンコウ</t>
    </rPh>
    <rPh sb="25" eb="26">
      <t>ガク</t>
    </rPh>
    <rPh sb="27" eb="29">
      <t>ユウセン</t>
    </rPh>
    <rPh sb="32" eb="33">
      <t>タメ</t>
    </rPh>
    <rPh sb="39" eb="41">
      <t>ワリビキ</t>
    </rPh>
    <rPh sb="43" eb="45">
      <t>ネビキ</t>
    </rPh>
    <rPh sb="45" eb="47">
      <t>ジッセキ</t>
    </rPh>
    <rPh sb="48" eb="50">
      <t>サクセイ</t>
    </rPh>
    <phoneticPr fontId="7"/>
  </si>
  <si>
    <t>※ 緊急売価変更が優先される為。特売（期間割引）は値引対象外。</t>
    <rPh sb="9" eb="11">
      <t>ユウセン</t>
    </rPh>
    <rPh sb="14" eb="15">
      <t>タメ</t>
    </rPh>
    <rPh sb="25" eb="27">
      <t>ネビキ</t>
    </rPh>
    <rPh sb="27" eb="29">
      <t>タイショウ</t>
    </rPh>
    <rPh sb="29" eb="30">
      <t>ガイ</t>
    </rPh>
    <phoneticPr fontId="7"/>
  </si>
  <si>
    <t>緊急売価変更＞ミックスマッチ金額</t>
  </si>
  <si>
    <t>定番売価1個300円の商品を2個販売</t>
    <rPh sb="0" eb="2">
      <t>テイバン</t>
    </rPh>
    <rPh sb="2" eb="4">
      <t>バイカ</t>
    </rPh>
    <rPh sb="5" eb="6">
      <t>コ</t>
    </rPh>
    <rPh sb="9" eb="10">
      <t>エン</t>
    </rPh>
    <rPh sb="11" eb="13">
      <t>ショウヒン</t>
    </rPh>
    <rPh sb="15" eb="16">
      <t>コ</t>
    </rPh>
    <rPh sb="16" eb="18">
      <t>ハンバイ</t>
    </rPh>
    <phoneticPr fontId="7"/>
  </si>
  <si>
    <r>
      <t xml:space="preserve">値引額 </t>
    </r>
    <r>
      <rPr>
        <sz val="11"/>
        <color rgb="FFFF0000"/>
        <rFont val="ＭＳ ゴシック"/>
        <family val="3"/>
        <charset val="128"/>
      </rPr>
      <t>－100円</t>
    </r>
    <rPh sb="0" eb="2">
      <t>ネビキ</t>
    </rPh>
    <rPh sb="2" eb="3">
      <t>ガク</t>
    </rPh>
    <rPh sb="8" eb="9">
      <t>エン</t>
    </rPh>
    <phoneticPr fontId="7"/>
  </si>
  <si>
    <t>緊急売価変更
700円（2個販売額）</t>
    <rPh sb="0" eb="2">
      <t>キンキュウ</t>
    </rPh>
    <rPh sb="2" eb="4">
      <t>バイカ</t>
    </rPh>
    <rPh sb="4" eb="6">
      <t>ヘンコウ</t>
    </rPh>
    <rPh sb="10" eb="11">
      <t>エン</t>
    </rPh>
    <rPh sb="13" eb="14">
      <t>コ</t>
    </rPh>
    <rPh sb="14" eb="16">
      <t>ハンバイ</t>
    </rPh>
    <rPh sb="16" eb="17">
      <t>ガク</t>
    </rPh>
    <phoneticPr fontId="1"/>
  </si>
  <si>
    <t>定番売価
600円
（2個）</t>
    <rPh sb="0" eb="2">
      <t>テイバン</t>
    </rPh>
    <rPh sb="2" eb="4">
      <t>バイカ</t>
    </rPh>
    <rPh sb="8" eb="9">
      <t>エン</t>
    </rPh>
    <phoneticPr fontId="1"/>
  </si>
  <si>
    <t>ミックスマッチ金額
600円（2個販売額）</t>
    <rPh sb="7" eb="9">
      <t>キンガク</t>
    </rPh>
    <rPh sb="13" eb="14">
      <t>エン</t>
    </rPh>
    <rPh sb="16" eb="17">
      <t>コ</t>
    </rPh>
    <rPh sb="17" eb="19">
      <t>ハンバイ</t>
    </rPh>
    <rPh sb="19" eb="20">
      <t>ガク</t>
    </rPh>
    <phoneticPr fontId="1"/>
  </si>
  <si>
    <t>緊急売価変更
500円（2個販売額）</t>
    <rPh sb="0" eb="2">
      <t>キンキュウ</t>
    </rPh>
    <rPh sb="2" eb="4">
      <t>バイカ</t>
    </rPh>
    <rPh sb="4" eb="6">
      <t>ヘンコウ</t>
    </rPh>
    <phoneticPr fontId="1"/>
  </si>
  <si>
    <t>ミックスマッチ金額
500円（2個販売額）</t>
    <rPh sb="7" eb="9">
      <t>キンガク</t>
    </rPh>
    <phoneticPr fontId="1"/>
  </si>
  <si>
    <t>ミックスマッチ金額
400円（2個販売額）</t>
    <rPh sb="7" eb="9">
      <t>キンガク</t>
    </rPh>
    <phoneticPr fontId="1"/>
  </si>
  <si>
    <t>2個当たり販売額</t>
    <rPh sb="1" eb="2">
      <t>コ</t>
    </rPh>
    <rPh sb="2" eb="3">
      <t>ア</t>
    </rPh>
    <phoneticPr fontId="7"/>
  </si>
  <si>
    <t>ミックスマッチ</t>
    <phoneticPr fontId="1"/>
  </si>
  <si>
    <t>100
緊急売価変更ーミックスマッチ</t>
    <phoneticPr fontId="7"/>
  </si>
  <si>
    <t>0
定番売価ー緊急売価変更</t>
    <phoneticPr fontId="7"/>
  </si>
  <si>
    <t>-100
定番売価ー緊急売価変更</t>
    <phoneticPr fontId="7"/>
  </si>
  <si>
    <t>緊急売価変更＝ミックスマッチ金額</t>
    <phoneticPr fontId="7"/>
  </si>
  <si>
    <t>緊急売価変更額
700円（2個販売額）</t>
    <rPh sb="0" eb="2">
      <t>キンキュウ</t>
    </rPh>
    <rPh sb="2" eb="4">
      <t>バイカ</t>
    </rPh>
    <rPh sb="4" eb="6">
      <t>ヘンコウ</t>
    </rPh>
    <rPh sb="6" eb="7">
      <t>ガク</t>
    </rPh>
    <phoneticPr fontId="1"/>
  </si>
  <si>
    <t>緊急売価変更額
600円（2個販売額）</t>
    <rPh sb="0" eb="2">
      <t>キンキュウ</t>
    </rPh>
    <rPh sb="2" eb="4">
      <t>バイカ</t>
    </rPh>
    <rPh sb="4" eb="6">
      <t>ヘンコウ</t>
    </rPh>
    <rPh sb="6" eb="7">
      <t>ガク</t>
    </rPh>
    <rPh sb="11" eb="12">
      <t>エン</t>
    </rPh>
    <rPh sb="14" eb="15">
      <t>コ</t>
    </rPh>
    <rPh sb="15" eb="17">
      <t>ハンバイ</t>
    </rPh>
    <rPh sb="17" eb="18">
      <t>ガク</t>
    </rPh>
    <phoneticPr fontId="1"/>
  </si>
  <si>
    <t>緊急売価変更額
500円（2個販売額）</t>
    <rPh sb="0" eb="2">
      <t>キンキュウ</t>
    </rPh>
    <rPh sb="2" eb="4">
      <t>バイカ</t>
    </rPh>
    <rPh sb="4" eb="6">
      <t>ヘンコウ</t>
    </rPh>
    <rPh sb="6" eb="7">
      <t>ガク</t>
    </rPh>
    <phoneticPr fontId="1"/>
  </si>
  <si>
    <t>販売額2個当たり</t>
    <rPh sb="0" eb="2">
      <t>ハンバイ</t>
    </rPh>
    <rPh sb="2" eb="3">
      <t>ガク</t>
    </rPh>
    <rPh sb="4" eb="5">
      <t>コ</t>
    </rPh>
    <rPh sb="5" eb="6">
      <t>ア</t>
    </rPh>
    <phoneticPr fontId="7"/>
  </si>
  <si>
    <t>100
定番売価ー緊急売価変更</t>
    <phoneticPr fontId="7"/>
  </si>
  <si>
    <t>緊急売価変更＜ミックスマッチ金額</t>
    <phoneticPr fontId="7"/>
  </si>
  <si>
    <r>
      <t>値引額　</t>
    </r>
    <r>
      <rPr>
        <sz val="11"/>
        <color rgb="FFFF0000"/>
        <rFont val="ＭＳ ゴシック"/>
        <family val="3"/>
        <charset val="128"/>
      </rPr>
      <t>-100円</t>
    </r>
    <rPh sb="0" eb="2">
      <t>ネビキ</t>
    </rPh>
    <rPh sb="2" eb="3">
      <t>ガク</t>
    </rPh>
    <rPh sb="3" eb="4">
      <t>ゾウガク</t>
    </rPh>
    <rPh sb="8" eb="9">
      <t>エン</t>
    </rPh>
    <phoneticPr fontId="7"/>
  </si>
  <si>
    <t>緊急売価変更額</t>
    <rPh sb="0" eb="2">
      <t>キンキュウ</t>
    </rPh>
    <rPh sb="2" eb="4">
      <t>バイカ</t>
    </rPh>
    <rPh sb="4" eb="6">
      <t>ヘンコウ</t>
    </rPh>
    <rPh sb="6" eb="7">
      <t>ガク</t>
    </rPh>
    <phoneticPr fontId="1"/>
  </si>
  <si>
    <t>緊急売価変更額
600円（2個販売額）</t>
    <rPh sb="0" eb="2">
      <t>キンキュウ</t>
    </rPh>
    <rPh sb="2" eb="4">
      <t>バイカ</t>
    </rPh>
    <rPh sb="4" eb="6">
      <t>ヘンコウ</t>
    </rPh>
    <rPh sb="6" eb="7">
      <t>ガク</t>
    </rPh>
    <phoneticPr fontId="1"/>
  </si>
  <si>
    <t>値引シール【1:値引】</t>
    <phoneticPr fontId="7"/>
  </si>
  <si>
    <t>緊急売価変更金額／値引シール【1:値引】</t>
    <rPh sb="0" eb="2">
      <t>キンキュウ</t>
    </rPh>
    <rPh sb="2" eb="4">
      <t>バイカ</t>
    </rPh>
    <rPh sb="4" eb="6">
      <t>ヘンコウ</t>
    </rPh>
    <rPh sb="6" eb="8">
      <t>キンガク</t>
    </rPh>
    <phoneticPr fontId="7"/>
  </si>
  <si>
    <r>
      <t>値引額　</t>
    </r>
    <r>
      <rPr>
        <sz val="11"/>
        <color rgb="FFFF0000"/>
        <rFont val="ＭＳ ゴシック"/>
        <family val="3"/>
        <charset val="128"/>
      </rPr>
      <t>-50円</t>
    </r>
    <rPh sb="0" eb="2">
      <t>ネビキ</t>
    </rPh>
    <rPh sb="2" eb="3">
      <t>ガク</t>
    </rPh>
    <rPh sb="3" eb="4">
      <t>ゾウガク</t>
    </rPh>
    <rPh sb="7" eb="8">
      <t>エン</t>
    </rPh>
    <phoneticPr fontId="7"/>
  </si>
  <si>
    <t>値引額 　50円</t>
    <rPh sb="7" eb="8">
      <t>エン</t>
    </rPh>
    <phoneticPr fontId="7"/>
  </si>
  <si>
    <t>販売額
300円</t>
    <rPh sb="7" eb="8">
      <t>エン</t>
    </rPh>
    <phoneticPr fontId="1"/>
  </si>
  <si>
    <t>販売額
250円</t>
    <rPh sb="7" eb="8">
      <t>エン</t>
    </rPh>
    <phoneticPr fontId="1"/>
  </si>
  <si>
    <t>50
値引シール【1:値引】</t>
    <phoneticPr fontId="7"/>
  </si>
  <si>
    <t>※ 値引シール【1:値引】の値引実績は種別「マニュアル単品値引」で作成される。値引シール【1:値引】の値引種別は必要ないか。</t>
    <rPh sb="14" eb="16">
      <t>ネビキ</t>
    </rPh>
    <rPh sb="16" eb="18">
      <t>ジッセキ</t>
    </rPh>
    <rPh sb="19" eb="21">
      <t>シュベツ</t>
    </rPh>
    <rPh sb="33" eb="35">
      <t>サクセイ</t>
    </rPh>
    <rPh sb="51" eb="53">
      <t>ネビキ</t>
    </rPh>
    <rPh sb="53" eb="55">
      <t>シュベツ</t>
    </rPh>
    <rPh sb="56" eb="58">
      <t>ヒツヨウ</t>
    </rPh>
    <phoneticPr fontId="7"/>
  </si>
  <si>
    <t>値引シール【2:割引】</t>
    <phoneticPr fontId="7"/>
  </si>
  <si>
    <t>値引額 　35円</t>
    <rPh sb="7" eb="8">
      <t>エン</t>
    </rPh>
    <phoneticPr fontId="7"/>
  </si>
  <si>
    <t>値引額 　30円</t>
    <rPh sb="7" eb="8">
      <t>エン</t>
    </rPh>
    <phoneticPr fontId="7"/>
  </si>
  <si>
    <t>値引額 　20円</t>
    <rPh sb="7" eb="8">
      <t>エン</t>
    </rPh>
    <phoneticPr fontId="7"/>
  </si>
  <si>
    <t>KOKO</t>
    <phoneticPr fontId="7"/>
  </si>
  <si>
    <t>20
緊急売価変更×値引シール【2:割引】</t>
    <phoneticPr fontId="7"/>
  </si>
  <si>
    <t>30
緊急売価変更×値引シール【2:割引】</t>
    <phoneticPr fontId="7"/>
  </si>
  <si>
    <t>35
緊急売価変更×値引シール【2:割引】</t>
    <phoneticPr fontId="7"/>
  </si>
  <si>
    <t>※ 値引シール【2:割引】の値引実績は種別「マニュアル単品割引」で作成される。値引シール【2:割引】の値引種別は必要ないか。</t>
    <rPh sb="14" eb="16">
      <t>ネビキ</t>
    </rPh>
    <rPh sb="16" eb="18">
      <t>ジッセキ</t>
    </rPh>
    <rPh sb="19" eb="21">
      <t>シュベツ</t>
    </rPh>
    <rPh sb="29" eb="31">
      <t>ワリビキ</t>
    </rPh>
    <rPh sb="33" eb="35">
      <t>サクセイ</t>
    </rPh>
    <rPh sb="51" eb="53">
      <t>ネビキ</t>
    </rPh>
    <rPh sb="53" eb="55">
      <t>シュベツ</t>
    </rPh>
    <rPh sb="56" eb="58">
      <t>ヒツヨウ</t>
    </rPh>
    <phoneticPr fontId="7"/>
  </si>
  <si>
    <t>緊急売価変更＞値引シール【3:金額】</t>
    <phoneticPr fontId="7"/>
  </si>
  <si>
    <t>緊急売価変更金額／値引シール【3:金額】</t>
    <rPh sb="0" eb="2">
      <t>キンキュウ</t>
    </rPh>
    <rPh sb="2" eb="4">
      <t>バイカ</t>
    </rPh>
    <rPh sb="4" eb="6">
      <t>ヘンコウ</t>
    </rPh>
    <rPh sb="6" eb="8">
      <t>キンガク</t>
    </rPh>
    <phoneticPr fontId="7"/>
  </si>
  <si>
    <t>値引シール【3:金額】
300円</t>
    <rPh sb="15" eb="16">
      <t>エン</t>
    </rPh>
    <phoneticPr fontId="1"/>
  </si>
  <si>
    <t>値引シール【3:金額】
250円</t>
    <rPh sb="15" eb="16">
      <t>エン</t>
    </rPh>
    <phoneticPr fontId="1"/>
  </si>
  <si>
    <t>値引シール【3:金額】
150円</t>
    <rPh sb="15" eb="16">
      <t>エン</t>
    </rPh>
    <phoneticPr fontId="1"/>
  </si>
  <si>
    <t>50
緊急売価変更ー値引シール【3:金額】</t>
    <phoneticPr fontId="7"/>
  </si>
  <si>
    <t>※ 値引シール【3:金額】の値引実績は種別「マニュアル単品値引」で作成される。値引シール【3:金額】の値引種別は必要ないか。</t>
    <rPh sb="14" eb="16">
      <t>ネビキ</t>
    </rPh>
    <rPh sb="16" eb="18">
      <t>ジッセキ</t>
    </rPh>
    <rPh sb="19" eb="21">
      <t>シュベツ</t>
    </rPh>
    <rPh sb="29" eb="31">
      <t>ネビキ</t>
    </rPh>
    <rPh sb="33" eb="35">
      <t>サクセイ</t>
    </rPh>
    <rPh sb="51" eb="53">
      <t>ネビキ</t>
    </rPh>
    <rPh sb="53" eb="55">
      <t>シュベツ</t>
    </rPh>
    <rPh sb="56" eb="58">
      <t>ヒツヨウ</t>
    </rPh>
    <phoneticPr fontId="7"/>
  </si>
  <si>
    <t>緊急売価変更＝値引シール【3:金額】</t>
  </si>
  <si>
    <t>値引シール【3:金額】
350円</t>
    <rPh sb="15" eb="16">
      <t>エン</t>
    </rPh>
    <phoneticPr fontId="1"/>
  </si>
  <si>
    <t>緊急売価変更額
300円</t>
    <rPh sb="0" eb="2">
      <t>キンキュウ</t>
    </rPh>
    <rPh sb="2" eb="4">
      <t>バイカ</t>
    </rPh>
    <rPh sb="4" eb="6">
      <t>ヘンコウ</t>
    </rPh>
    <rPh sb="6" eb="7">
      <t>ガク</t>
    </rPh>
    <rPh sb="11" eb="12">
      <t>エン</t>
    </rPh>
    <phoneticPr fontId="1"/>
  </si>
  <si>
    <t>値引シール【3:金額】
200円</t>
    <rPh sb="15" eb="16">
      <t>エン</t>
    </rPh>
    <phoneticPr fontId="1"/>
  </si>
  <si>
    <t>緊急売価変更＜値引シール【3:金額】</t>
  </si>
  <si>
    <t>値引シール【3:金額】</t>
    <phoneticPr fontId="1"/>
  </si>
  <si>
    <t>緊急売価
変更額</t>
    <rPh sb="0" eb="2">
      <t>キンキュウ</t>
    </rPh>
    <rPh sb="2" eb="4">
      <t>バイカ</t>
    </rPh>
    <rPh sb="5" eb="7">
      <t>ヘンコウ</t>
    </rPh>
    <rPh sb="7" eb="8">
      <t>ガク</t>
    </rPh>
    <phoneticPr fontId="1"/>
  </si>
  <si>
    <t>緊急売価変更額
250円</t>
    <rPh sb="0" eb="2">
      <t>キンキュウ</t>
    </rPh>
    <rPh sb="2" eb="4">
      <t>バイカ</t>
    </rPh>
    <rPh sb="4" eb="6">
      <t>ヘンコウ</t>
    </rPh>
    <rPh sb="6" eb="7">
      <t>ガク</t>
    </rPh>
    <rPh sb="11" eb="12">
      <t>エン</t>
    </rPh>
    <phoneticPr fontId="1"/>
  </si>
  <si>
    <t>緊急売価変更額
200円</t>
    <rPh sb="0" eb="2">
      <t>キンキュウ</t>
    </rPh>
    <rPh sb="2" eb="4">
      <t>バイカ</t>
    </rPh>
    <rPh sb="4" eb="6">
      <t>ヘンコウ</t>
    </rPh>
    <rPh sb="6" eb="7">
      <t>ガク</t>
    </rPh>
    <rPh sb="11" eb="12">
      <t>エン</t>
    </rPh>
    <phoneticPr fontId="1"/>
  </si>
  <si>
    <t>50
定番売価額ー値引シール【3:金額】</t>
    <phoneticPr fontId="7"/>
  </si>
  <si>
    <t>0
定番売価額ー値引シール【3:金額】</t>
    <phoneticPr fontId="7"/>
  </si>
  <si>
    <t>※ 値引シール【3:金額】の値引実績は。種別「緊急売価変更」で作成される。値引シール【3:金額】の値引種別は必要ないか。</t>
    <rPh sb="14" eb="16">
      <t>ネビキ</t>
    </rPh>
    <rPh sb="16" eb="18">
      <t>ジッセキ</t>
    </rPh>
    <rPh sb="20" eb="22">
      <t>シュベツ</t>
    </rPh>
    <rPh sb="23" eb="25">
      <t>キンキュウ</t>
    </rPh>
    <rPh sb="25" eb="27">
      <t>バイカ</t>
    </rPh>
    <rPh sb="27" eb="29">
      <t>ヘンコウ</t>
    </rPh>
    <rPh sb="31" eb="33">
      <t>サクセイ</t>
    </rPh>
    <rPh sb="49" eb="51">
      <t>ネビキ</t>
    </rPh>
    <rPh sb="51" eb="53">
      <t>シュベツ</t>
    </rPh>
    <rPh sb="54" eb="56">
      <t>ヒツヨウ</t>
    </rPh>
    <phoneticPr fontId="7"/>
  </si>
  <si>
    <t>カテゴリ値引</t>
  </si>
  <si>
    <t>緊急売価変更金額／カテゴリ値引</t>
    <rPh sb="0" eb="2">
      <t>キンキュウ</t>
    </rPh>
    <rPh sb="2" eb="4">
      <t>バイカ</t>
    </rPh>
    <rPh sb="4" eb="6">
      <t>ヘンコウ</t>
    </rPh>
    <rPh sb="6" eb="8">
      <t>キンガク</t>
    </rPh>
    <phoneticPr fontId="7"/>
  </si>
  <si>
    <t>緊急売価変更
300円</t>
    <phoneticPr fontId="1"/>
  </si>
  <si>
    <t>50
カテゴリ値引</t>
  </si>
  <si>
    <t>カテゴリ割引</t>
    <phoneticPr fontId="7"/>
  </si>
  <si>
    <t>緊急売価変更金額／カテゴリ割引</t>
    <rPh sb="0" eb="2">
      <t>キンキュウ</t>
    </rPh>
    <rPh sb="2" eb="4">
      <t>バイカ</t>
    </rPh>
    <rPh sb="4" eb="6">
      <t>ヘンコウ</t>
    </rPh>
    <rPh sb="6" eb="8">
      <t>キンガク</t>
    </rPh>
    <phoneticPr fontId="7"/>
  </si>
  <si>
    <t>値引額　35円</t>
    <rPh sb="0" eb="2">
      <t>ネビキ</t>
    </rPh>
    <rPh sb="2" eb="3">
      <t>ガク</t>
    </rPh>
    <rPh sb="6" eb="7">
      <t>エン</t>
    </rPh>
    <phoneticPr fontId="7"/>
  </si>
  <si>
    <t>値引額　30円</t>
    <rPh sb="0" eb="2">
      <t>ネビキ</t>
    </rPh>
    <rPh sb="2" eb="3">
      <t>ガク</t>
    </rPh>
    <rPh sb="6" eb="7">
      <t>エン</t>
    </rPh>
    <phoneticPr fontId="7"/>
  </si>
  <si>
    <t>値引額　20円</t>
    <rPh sb="0" eb="2">
      <t>ネビキ</t>
    </rPh>
    <rPh sb="2" eb="3">
      <t>ガク</t>
    </rPh>
    <rPh sb="6" eb="7">
      <t>エン</t>
    </rPh>
    <phoneticPr fontId="7"/>
  </si>
  <si>
    <t>カテゴリ割引</t>
  </si>
  <si>
    <t>50
緊急売価変更×カテゴリー割引</t>
    <phoneticPr fontId="7"/>
  </si>
  <si>
    <t>30
緊急売価変更×カテゴリー割引</t>
    <phoneticPr fontId="7"/>
  </si>
  <si>
    <t>35
緊急売価変更×カテゴリー割引</t>
    <phoneticPr fontId="7"/>
  </si>
  <si>
    <t>小計値引（マニュアル）</t>
    <phoneticPr fontId="7"/>
  </si>
  <si>
    <t>緊急売価変更金額／小計値引（マニュアル）</t>
    <rPh sb="0" eb="2">
      <t>キンキュウ</t>
    </rPh>
    <rPh sb="2" eb="4">
      <t>バイカ</t>
    </rPh>
    <rPh sb="4" eb="6">
      <t>ヘンコウ</t>
    </rPh>
    <rPh sb="6" eb="8">
      <t>キンガク</t>
    </rPh>
    <phoneticPr fontId="7"/>
  </si>
  <si>
    <t>50
小計値引（マニュアル）</t>
    <phoneticPr fontId="7"/>
  </si>
  <si>
    <t>-50
定番売価額ー緊急売価変更</t>
    <phoneticPr fontId="7"/>
  </si>
  <si>
    <t>小計割引（マニュアル）</t>
    <phoneticPr fontId="7"/>
  </si>
  <si>
    <t>緊急売価変更金額／小計割引（マニュアル）</t>
    <rPh sb="0" eb="2">
      <t>キンキュウ</t>
    </rPh>
    <rPh sb="2" eb="4">
      <t>バイカ</t>
    </rPh>
    <rPh sb="4" eb="6">
      <t>ヘンコウ</t>
    </rPh>
    <rPh sb="6" eb="8">
      <t>キンガク</t>
    </rPh>
    <phoneticPr fontId="7"/>
  </si>
  <si>
    <t>20
小計額×小計割引（マニュアル）</t>
    <phoneticPr fontId="7"/>
  </si>
  <si>
    <t>30
小計額×小計割引（マニュアル）</t>
    <phoneticPr fontId="7"/>
  </si>
  <si>
    <t>35
小計額×小計割引（マニュアル）</t>
    <phoneticPr fontId="7"/>
  </si>
  <si>
    <t>※ 小計割引（マニュアル）の値引実績は。種別「小計値引（マニュアル）」で作成される。小計割引（マニュアル）の値引種別は必要ないか。</t>
    <rPh sb="14" eb="16">
      <t>ネビキ</t>
    </rPh>
    <rPh sb="16" eb="18">
      <t>ジッセキ</t>
    </rPh>
    <rPh sb="20" eb="22">
      <t>シュベツ</t>
    </rPh>
    <rPh sb="23" eb="25">
      <t>ショウケイ</t>
    </rPh>
    <rPh sb="25" eb="27">
      <t>ネビキ</t>
    </rPh>
    <rPh sb="36" eb="38">
      <t>サクセイ</t>
    </rPh>
    <rPh sb="54" eb="56">
      <t>ネビキ</t>
    </rPh>
    <rPh sb="56" eb="58">
      <t>シュベツ</t>
    </rPh>
    <rPh sb="59" eb="61">
      <t>ヒツヨウ</t>
    </rPh>
    <phoneticPr fontId="7"/>
  </si>
  <si>
    <t>朝割り（自動）</t>
    <phoneticPr fontId="7"/>
  </si>
  <si>
    <t>緊急売価変更金額／朝割り（自動）</t>
    <rPh sb="0" eb="2">
      <t>キンキュウ</t>
    </rPh>
    <rPh sb="2" eb="4">
      <t>バイカ</t>
    </rPh>
    <rPh sb="4" eb="6">
      <t>ヘンコウ</t>
    </rPh>
    <rPh sb="6" eb="8">
      <t>キンガク</t>
    </rPh>
    <phoneticPr fontId="7"/>
  </si>
  <si>
    <t>定番売価</t>
    <rPh sb="0" eb="2">
      <t>テイバン</t>
    </rPh>
    <rPh sb="2" eb="4">
      <t>バイカ</t>
    </rPh>
    <phoneticPr fontId="1"/>
  </si>
  <si>
    <t>20
小計額×朝割り（自動）</t>
    <phoneticPr fontId="7"/>
  </si>
  <si>
    <t>30
小計額×朝割り（自動）</t>
    <phoneticPr fontId="7"/>
  </si>
  <si>
    <t>35
小計額×朝割り（自動）</t>
    <phoneticPr fontId="7"/>
  </si>
  <si>
    <t>※ 朝割り（自動）の値引実績は。種別「小計値引（マニュアル）」で作成される。朝割り（自動）の値引種別は必要ないか。</t>
    <rPh sb="10" eb="12">
      <t>ネビキ</t>
    </rPh>
    <rPh sb="12" eb="14">
      <t>ジッセキ</t>
    </rPh>
    <rPh sb="16" eb="18">
      <t>シュベツ</t>
    </rPh>
    <rPh sb="19" eb="21">
      <t>ショウケイ</t>
    </rPh>
    <rPh sb="21" eb="23">
      <t>ネビキ</t>
    </rPh>
    <rPh sb="32" eb="34">
      <t>サクセイ</t>
    </rPh>
    <rPh sb="46" eb="48">
      <t>ネビキ</t>
    </rPh>
    <rPh sb="48" eb="50">
      <t>シュベツ</t>
    </rPh>
    <rPh sb="51" eb="53">
      <t>ヒツヨウ</t>
    </rPh>
    <phoneticPr fontId="7"/>
  </si>
  <si>
    <t>メガ割（自動）</t>
  </si>
  <si>
    <t>緊急売価変更金額／メガ割（自動）</t>
    <rPh sb="0" eb="2">
      <t>キンキュウ</t>
    </rPh>
    <rPh sb="2" eb="4">
      <t>バイカ</t>
    </rPh>
    <rPh sb="4" eb="6">
      <t>ヘンコウ</t>
    </rPh>
    <rPh sb="6" eb="8">
      <t>キンガク</t>
    </rPh>
    <phoneticPr fontId="7"/>
  </si>
  <si>
    <t>20
小計額×メガ割（自動）</t>
  </si>
  <si>
    <t>30
小計額×メガ割（自動）</t>
  </si>
  <si>
    <t>35
小計額×メガ割（自動）</t>
  </si>
  <si>
    <t>※ メガ割（自動）の値引実績は。種別「小計値引（マニュアル）」で作成される。メガ割（自動）の値引種別は必要ないか。</t>
    <rPh sb="10" eb="12">
      <t>ネビキ</t>
    </rPh>
    <rPh sb="12" eb="14">
      <t>ジッセキ</t>
    </rPh>
    <rPh sb="16" eb="18">
      <t>シュベツ</t>
    </rPh>
    <rPh sb="19" eb="21">
      <t>ショウケイ</t>
    </rPh>
    <rPh sb="21" eb="23">
      <t>ネビキ</t>
    </rPh>
    <rPh sb="32" eb="34">
      <t>サクセイ</t>
    </rPh>
    <rPh sb="46" eb="48">
      <t>ネビキ</t>
    </rPh>
    <rPh sb="48" eb="50">
      <t>シュベツ</t>
    </rPh>
    <rPh sb="51" eb="53">
      <t>ヒツヨウ</t>
    </rPh>
    <phoneticPr fontId="7"/>
  </si>
  <si>
    <t>クレジット割（自動）</t>
  </si>
  <si>
    <t>緊急売価変更金額／クレジット割（自動）</t>
    <rPh sb="0" eb="2">
      <t>キンキュウ</t>
    </rPh>
    <rPh sb="2" eb="4">
      <t>バイカ</t>
    </rPh>
    <rPh sb="4" eb="6">
      <t>ヘンコウ</t>
    </rPh>
    <rPh sb="6" eb="8">
      <t>キンガク</t>
    </rPh>
    <phoneticPr fontId="7"/>
  </si>
  <si>
    <t>値引額　18円</t>
    <rPh sb="0" eb="2">
      <t>ネビキ</t>
    </rPh>
    <rPh sb="2" eb="3">
      <t>ガク</t>
    </rPh>
    <rPh sb="6" eb="7">
      <t>エン</t>
    </rPh>
    <phoneticPr fontId="7"/>
  </si>
  <si>
    <t>値引額　15円</t>
    <rPh sb="0" eb="2">
      <t>ネビキ</t>
    </rPh>
    <rPh sb="2" eb="3">
      <t>ガク</t>
    </rPh>
    <rPh sb="6" eb="7">
      <t>エン</t>
    </rPh>
    <phoneticPr fontId="7"/>
  </si>
  <si>
    <t>販売額
332円</t>
    <rPh sb="0" eb="2">
      <t>ハンバイ</t>
    </rPh>
    <rPh sb="2" eb="3">
      <t>ガク</t>
    </rPh>
    <rPh sb="7" eb="8">
      <t>エン</t>
    </rPh>
    <phoneticPr fontId="1"/>
  </si>
  <si>
    <t>販売額
285円</t>
    <rPh sb="0" eb="2">
      <t>ハンバイ</t>
    </rPh>
    <rPh sb="2" eb="3">
      <t>ガク</t>
    </rPh>
    <rPh sb="7" eb="8">
      <t>エン</t>
    </rPh>
    <phoneticPr fontId="1"/>
  </si>
  <si>
    <t>値引額　10円</t>
    <rPh sb="0" eb="2">
      <t>ネビキ</t>
    </rPh>
    <rPh sb="2" eb="3">
      <t>ガク</t>
    </rPh>
    <rPh sb="6" eb="7">
      <t>エン</t>
    </rPh>
    <phoneticPr fontId="7"/>
  </si>
  <si>
    <t>販売額
190円</t>
    <rPh sb="0" eb="2">
      <t>ハンバイ</t>
    </rPh>
    <rPh sb="2" eb="3">
      <t>ガク</t>
    </rPh>
    <rPh sb="7" eb="8">
      <t>エン</t>
    </rPh>
    <phoneticPr fontId="1"/>
  </si>
  <si>
    <t>20
小計額×クレジット割（自動）</t>
  </si>
  <si>
    <t>30
小計額×クレジット割（自動）</t>
  </si>
  <si>
    <t>18
小計額×クレジット割（自動）</t>
    <phoneticPr fontId="7"/>
  </si>
  <si>
    <t>※ クレジット割（自動）の値引実績は。種別「小計値引（マニュアル）」で作成される。クレジット割（自動）の値引種別は必要ないか。</t>
    <rPh sb="13" eb="15">
      <t>ネビキ</t>
    </rPh>
    <rPh sb="15" eb="17">
      <t>ジッセキ</t>
    </rPh>
    <rPh sb="19" eb="21">
      <t>シュベツ</t>
    </rPh>
    <rPh sb="22" eb="24">
      <t>ショウケイ</t>
    </rPh>
    <rPh sb="24" eb="26">
      <t>ネビキ</t>
    </rPh>
    <rPh sb="35" eb="37">
      <t>サクセイ</t>
    </rPh>
    <rPh sb="52" eb="54">
      <t>ネビキ</t>
    </rPh>
    <rPh sb="54" eb="56">
      <t>シュベツ</t>
    </rPh>
    <rPh sb="57" eb="59">
      <t>ヒツヨウ</t>
    </rPh>
    <phoneticPr fontId="7"/>
  </si>
  <si>
    <t>値引額</t>
  </si>
  <si>
    <t>項番</t>
  </si>
  <si>
    <t>取引内容</t>
  </si>
  <si>
    <t>設定1</t>
  </si>
  <si>
    <t>処理1</t>
  </si>
  <si>
    <t>POS値引等</t>
  </si>
  <si>
    <t>金額</t>
  </si>
  <si>
    <t>商品名</t>
  </si>
  <si>
    <t>JAN</t>
  </si>
  <si>
    <t>当日売価</t>
  </si>
  <si>
    <t>緊急売価変更額</t>
    <phoneticPr fontId="7"/>
  </si>
  <si>
    <t>特売</t>
  </si>
  <si>
    <t>ミックマッチ</t>
  </si>
  <si>
    <t>シール</t>
  </si>
  <si>
    <t>カテゴリー処理</t>
  </si>
  <si>
    <t>小計割</t>
  </si>
  <si>
    <t>企画</t>
  </si>
  <si>
    <t>値引数量</t>
  </si>
  <si>
    <t>ﾏﾆｭｱﾙ値引</t>
  </si>
  <si>
    <t>純売上額</t>
  </si>
  <si>
    <t>純売上数量</t>
  </si>
  <si>
    <t>値引合計金額</t>
  </si>
  <si>
    <t>値引合計数量</t>
  </si>
  <si>
    <t>値下</t>
  </si>
  <si>
    <t>売上</t>
  </si>
  <si>
    <t>マニュアル値引</t>
  </si>
  <si>
    <t>①通常単価＞緊急売価変更金額＞マニュアル値引</t>
  </si>
  <si>
    <t>減塩たらこ８５ｇ　　　　　　　　　　　　</t>
  </si>
  <si>
    <t>マークダウン</t>
  </si>
  <si>
    <t>－</t>
  </si>
  <si>
    <t>1</t>
  </si>
  <si>
    <t>マニュアル額値引</t>
  </si>
  <si>
    <t>額</t>
    <phoneticPr fontId="7"/>
  </si>
  <si>
    <t>同額</t>
  </si>
  <si>
    <t>①通常単価＝緊急売価変更金額＞マニュアル値引</t>
  </si>
  <si>
    <t>減塩たらこ４０ｇ　　　　　　　　　　　　</t>
  </si>
  <si>
    <t>額</t>
  </si>
  <si>
    <t>値増</t>
  </si>
  <si>
    <t>①緊急売価変更金額＞通常単価＞マニュアル値引</t>
  </si>
  <si>
    <t>ＭＳＣ無着色たらこ１００Ｇ　　　　　　　</t>
  </si>
  <si>
    <t>①緊急売価変更金額＞通常単価＝マニュアル値引</t>
  </si>
  <si>
    <t>たらこ１２０Ｇ　　　　　　　　　　　　　</t>
  </si>
  <si>
    <t>①緊急売価変更金額＞マニュアル値引＞通常単価</t>
  </si>
  <si>
    <t>減塩たらこ　　　　　　　　　　　　　　　</t>
  </si>
  <si>
    <t>マニュアル割引　</t>
  </si>
  <si>
    <t>①通常単価＞緊急売価変更金額＞マニュアル割引</t>
  </si>
  <si>
    <t>無着色たらこ１５０ｇ　　　　　　　　　　</t>
  </si>
  <si>
    <t>％</t>
    <phoneticPr fontId="7"/>
  </si>
  <si>
    <t>①通常単価＝緊急売価変更金額＞マニュアル割引</t>
  </si>
  <si>
    <t>（ＦＣ）たらこ３０ｇ　　　　　　　　　　</t>
  </si>
  <si>
    <t>％</t>
  </si>
  <si>
    <t>①緊急売価変更金額＞通常単価＞マニュアル割引</t>
  </si>
  <si>
    <t>かねふく無着色たらこ１１０ｇ　　　　　　</t>
  </si>
  <si>
    <t>①緊急売価変更金額＞通常単価＝マニュアル割引</t>
  </si>
  <si>
    <t>たらこ（切子）１３０ｇ　　　　　　　　　</t>
  </si>
  <si>
    <t>①緊急売価変更金額＞マニュアル割引＞通常単価</t>
  </si>
  <si>
    <t>焼タラコ７０ｇ　　　　　　　　　　　　　</t>
  </si>
  <si>
    <t>マニュアル売価変更</t>
  </si>
  <si>
    <t>①通常単価＞緊急売価変更金額＞マニュアル売価変更</t>
  </si>
  <si>
    <t>たらこ８５ｇ　　　　　　　　　　　　　　</t>
  </si>
  <si>
    <t>売価変更</t>
    <phoneticPr fontId="7"/>
  </si>
  <si>
    <t>①通常単価＞緊急売価変更金額＝マニュアル売価変更</t>
  </si>
  <si>
    <t>無着色たらこ５０ｇ　　　　　　　　　　　</t>
  </si>
  <si>
    <t>0</t>
  </si>
  <si>
    <t>①通常単価＞マニュアル売価変更＞緊急売価変更金額</t>
  </si>
  <si>
    <t>焼きあごだし入　たらこ　　　　　　　　　</t>
  </si>
  <si>
    <t>①通常単価＝緊急売価変更金額＞マニュアル売価変更</t>
  </si>
  <si>
    <t>焼明太子　６０ｇ　　　　　　　　　　　　</t>
  </si>
  <si>
    <t>売価変更</t>
  </si>
  <si>
    <t>①通常単価＝マニュアル売価変更＝緊急売価変更金額</t>
  </si>
  <si>
    <t>無着色辛子明太子９０Ｇ　　　　　　　　　</t>
  </si>
  <si>
    <t>かねふく辛子明太子４００Ｇ化粧箱　　　　</t>
  </si>
  <si>
    <t>①緊急売価変更金額＞通常単価＞マニュアル売価変更</t>
  </si>
  <si>
    <t>めんたいマヨネーズ　　　　　　　　　　　</t>
  </si>
  <si>
    <t>①緊急売価変更金額＞通常単価＝マニュアル売価変更</t>
  </si>
  <si>
    <t>焼きあごだし入　辛子明太子　　　　　　　</t>
  </si>
  <si>
    <t>①緊急売価変更金額＞マニュアル売価変更＞通常単価</t>
  </si>
  <si>
    <t>金印辛子明太子　　　　　　　　　　　　　</t>
  </si>
  <si>
    <t>めんたいソース（ごま）　　　　　　　　　</t>
  </si>
  <si>
    <t>①マニュアル売価変更＞緊急売価変更金額＞通常単価</t>
  </si>
  <si>
    <t>かねふく明太子化粧箱１４０ｇ　　　　　　</t>
  </si>
  <si>
    <t>特売タイムサービス売価変更</t>
  </si>
  <si>
    <t>①通常単価＞緊急売価変更金額＞特売売価変更金額</t>
  </si>
  <si>
    <t>ＭＳＣ無着色明太子１００Ｇ　　　　　　　</t>
  </si>
  <si>
    <t>①通常単価＞緊急売価変更金額＝特売売価変更金額</t>
  </si>
  <si>
    <t>福さ屋辛子明太子１１０ｇ　　　　　　　　</t>
  </si>
  <si>
    <t>①通常単価＞特売売価変更金額＞緊急売価変更金額</t>
  </si>
  <si>
    <t>めんたいソース（オニオン）　　　　　　　</t>
  </si>
  <si>
    <t>①通常単価＝特売売価変更金額＞緊急売価変更金額</t>
  </si>
  <si>
    <t>あごおとし無着色明太子１５０ｇ　　　　　</t>
  </si>
  <si>
    <t>①特売売価変更金額＞通常単価＞緊急売価変更金額</t>
  </si>
  <si>
    <t>明太子（ゆず風味）　　　　　　　　　　　</t>
  </si>
  <si>
    <t>①通常単価＝緊急売価変更金額＞特売売価変更金額</t>
  </si>
  <si>
    <t>かねふくパスタソース明太子　　　　　　　</t>
  </si>
  <si>
    <t>①通常単価＝緊急売価変更金額＝特売売価変更金額</t>
  </si>
  <si>
    <t>焼きあごだし辛子明太子１５０ｇ　　　　　</t>
  </si>
  <si>
    <t>①特売売価変更金額＞通常単価＝緊急売価変更金額</t>
  </si>
  <si>
    <t>辛子明太子（切子）１３０ｇ　　　　　　　</t>
  </si>
  <si>
    <t>①緊急売価変更金額＞通常単価＞特売売価変更金額</t>
  </si>
  <si>
    <t>辛子明太子２００ｇ　　　　　　　　　　　</t>
  </si>
  <si>
    <t>①緊急売価変更金額＞通常単価＝特売売価変更金額</t>
  </si>
  <si>
    <t>（ＦＣ）明太子３０ｇ　　　　　　　　　　</t>
  </si>
  <si>
    <t>①緊急売価変更金額＞特売売価変更金額＞通常単価</t>
  </si>
  <si>
    <t>かねふく無着色明太子１１０ｇ　　　　　　</t>
  </si>
  <si>
    <t>①緊急売価変更金額＝特売売価変更金額＞通常単価</t>
  </si>
  <si>
    <t>減塩無着色辛子明太子４０ｇ　　　　　　　</t>
  </si>
  <si>
    <t>①特売売価変更金額＞緊急売価変更金額＞通常単価</t>
  </si>
  <si>
    <t>数の子わさび１６５Ｇ　　　　　　　　　　</t>
  </si>
  <si>
    <t>特売タイムサービス割引 10％</t>
  </si>
  <si>
    <t>たこわさび（小）　　　　　　　　　　　　</t>
  </si>
  <si>
    <t>①緊急売価変更金額＝通常単価＞特売売価変更金額</t>
  </si>
  <si>
    <t>たらソーメン　ＦＯ用　　　　　　　　　　</t>
  </si>
  <si>
    <t>貝しぐれ（中）５５ｇ　　　　　　　　　　</t>
  </si>
  <si>
    <t>特売タイムサービス値引 50円</t>
  </si>
  <si>
    <t>ままかり酢漬１０５ｇ　　　　　　　　　　</t>
  </si>
  <si>
    <t>国産昆布巻（アベック）　　　　　　　　　</t>
  </si>
  <si>
    <t>ピリ辛ごぼうめかぶ　　　　　　　　　　　</t>
  </si>
  <si>
    <t>特売期間売価変更</t>
  </si>
  <si>
    <t>ほたて塩辛　　　　　　　　　　　　　　　</t>
  </si>
  <si>
    <t>海鮮サーモンサラダ１００ｇ　　　　　　　</t>
  </si>
  <si>
    <t>ホッキ貝サラダ（小）　　　　　　　　　　</t>
  </si>
  <si>
    <t>いか酢　６０ｇ　　　　　　　　　　　　　</t>
  </si>
  <si>
    <t>松前漬け７０ｇ　　　　　　　　　　　　　</t>
  </si>
  <si>
    <t>海鮮チーズサラダ　　　　　　　　　　　　</t>
  </si>
  <si>
    <t>数の子わさび（中）１００ｇ　　　　　　　</t>
  </si>
  <si>
    <t>さけ一口昆布　１７０ｇ　　　　　　　　　</t>
  </si>
  <si>
    <t>海の恵み食堂　いか松前漬　　　　　　　　</t>
  </si>
  <si>
    <t>にしん酢漬（中）７５ｇ　　　　　　　　　</t>
  </si>
  <si>
    <t>いか姿フライ折れ　ＦＯ用　　　　　　　　</t>
  </si>
  <si>
    <t>にしん一口昆布　１７５ｇ　　　　　　　　</t>
  </si>
  <si>
    <t>海の恵み食堂　いか明太　　　　　　　　　</t>
  </si>
  <si>
    <t>特売期間割引 10％</t>
  </si>
  <si>
    <t>中華いか山菜　５５ｇ　　　　　　　　　　</t>
  </si>
  <si>
    <t>貝しぐれ７５ｇ　　　　　　　　　　　　　</t>
  </si>
  <si>
    <t>しばわかめ８０ｇ　　　　　　　　　　　　</t>
  </si>
  <si>
    <t>特売期間値引 50円</t>
  </si>
  <si>
    <t>にしん昆布巻（太巻）　　　　　　　　　　</t>
  </si>
  <si>
    <t>真たら子昆布　　　　　　　　　　　　　　</t>
  </si>
  <si>
    <t>松前漬け（中）７０ｇ　　　　　　　　　　</t>
  </si>
  <si>
    <t>ミックスマッチ</t>
  </si>
  <si>
    <t>①通常単価＞緊急売価変更金額＞ミックスマッチ後金額</t>
  </si>
  <si>
    <t>ふかひれ風味メンマくらげ　６０ｇ　　　　</t>
  </si>
  <si>
    <t>①通常単価＞緊急売価変更金額＝ミックスマッチ後金額</t>
  </si>
  <si>
    <t>数の子わさび２３０ｇ　　　　　　　　　　</t>
  </si>
  <si>
    <t>①通常単価＞ミックスマッチ後金額＞緊急売価変更金額</t>
  </si>
  <si>
    <t>味付つぶ７０ｇ　ＦＯ用　　　　　　　　　</t>
  </si>
  <si>
    <t>①通常単価＝ミックスマッチ後金額＞緊急売価変更金額</t>
  </si>
  <si>
    <t>いかキムチ５０ＧＸ３　　　　　　　　　　</t>
  </si>
  <si>
    <t>①ミックスマッチ後金額＞通常単価＞緊急売価変更金額</t>
  </si>
  <si>
    <t>子持ちめかぶつん辛わさび　　　　　　　　</t>
  </si>
  <si>
    <t>①通常単価＝緊急売価変更金額＞ミックスマッチ後金額</t>
  </si>
  <si>
    <t>するめソーメン　ＦＯ用　　　　　　　　　</t>
  </si>
  <si>
    <t>①通常単価＝緊急売価変更金額＝ミックスマッチ後金額</t>
  </si>
  <si>
    <t>いか黄金　１２５ｇ　　　　　　　　　　　</t>
  </si>
  <si>
    <t>①ミックスマッチ後金額＞通常単価＝緊急売価変更金額</t>
  </si>
  <si>
    <t>ほたて塩辛　１３０ｇ　　　　　　　　　　</t>
  </si>
  <si>
    <t>①緊急売価変更金額＞通常単価＞ミックスマッチ後金額</t>
  </si>
  <si>
    <t>いか塩辛５０ｇ　ＦＯ用　　　　　　　　　</t>
  </si>
  <si>
    <t>①緊急売価変更金額＞通常単価＝ミックスマッチ後金額</t>
  </si>
  <si>
    <t>いか塩辛　　　　　　　　　　　　　　　　</t>
  </si>
  <si>
    <t>①緊急売価変更金額＞ミックスマッチ後金額＞通常単価</t>
  </si>
  <si>
    <t>たこわさび　　　　　　　　　　　　　　　</t>
  </si>
  <si>
    <t>①緊急売価変更金額＝ミックスマッチ後金額＞通常単価</t>
  </si>
  <si>
    <t>社長の塩辛　　　　　　　　　　　　　　　</t>
  </si>
  <si>
    <t>①ミックスマッチ後金額＞緊急売価変更金額＞通常単価</t>
  </si>
  <si>
    <t>いか明太　　　　　　　　　　　　　　　　</t>
  </si>
  <si>
    <t>値引シール【1:値引】</t>
  </si>
  <si>
    <t>①通常単価＞緊急売価変更金額＞値引シール【1:値引】</t>
  </si>
  <si>
    <t>サラダフィッシュ（プレーン）　　　　　　</t>
  </si>
  <si>
    <t>マニュアル額値引</t>
    <phoneticPr fontId="7"/>
  </si>
  <si>
    <t>①通常単価＝緊急売価変更金額＞値引シール【1:値引】</t>
  </si>
  <si>
    <t>鰹チャンジャ　　　　　　　　　　　　　　</t>
  </si>
  <si>
    <t>①緊急売価変更金額＞通常単価＞値引シール【1:値引】</t>
  </si>
  <si>
    <t>ほたるいかの醤油漬１６０ｇ　　　　　　　</t>
  </si>
  <si>
    <t>①緊急売価変更金額＞通常単価＝値引シール【1:値引】</t>
  </si>
  <si>
    <t>サラダフィッシュ（バジル）　　　　　　　</t>
  </si>
  <si>
    <t>①緊急売価変更金額＞値引シール【1:値引】＞通常単価</t>
  </si>
  <si>
    <t>熟濃旨いか塩辛　　　　　　　　　　　　　</t>
  </si>
  <si>
    <t>値引シール【2:割引】</t>
  </si>
  <si>
    <t>①通常単価＞緊急売価変更金額＞値引シール【2:割引】</t>
  </si>
  <si>
    <t>減塩　だしが活きたいか塩辛７０ｇ　　　　</t>
  </si>
  <si>
    <t>①通常単価＝緊急売価変更金額＞値引シール【2:割引】</t>
  </si>
  <si>
    <t>オノマン一本造塩辛１７０ｇ　　　　　　　</t>
  </si>
  <si>
    <t>①緊急売価変更金額＞通常単価＞値引シール【2:割引】</t>
  </si>
  <si>
    <t>いわしのマリネ　　　　　　　　　　　　　</t>
  </si>
  <si>
    <t>①緊急売価変更金額＞通常単価＝値引シール【2:割引】</t>
  </si>
  <si>
    <t>辛い旨いか明太　　　　　　　　　　　　　</t>
  </si>
  <si>
    <t>①緊急売価変更金額＞値引シール【2:割引】＞通常単価</t>
  </si>
  <si>
    <t>いか塩辛　大漁唄６０ｇ　　　　　　　　　</t>
  </si>
  <si>
    <t>値引シール【3:金額】</t>
  </si>
  <si>
    <t>①通常単価＞緊急売価変更金額＞値引シール【3:金額】</t>
  </si>
  <si>
    <t>浜育ち塩辛１００Ｇ　　　　　　　　　　　</t>
  </si>
  <si>
    <t>①通常単価＞緊急売価変更金額＝値引シール【3:金額】</t>
  </si>
  <si>
    <t>①通常単価＞値引シール【3:金額】＞緊急売価変更金額</t>
  </si>
  <si>
    <t>オノマン麹塩辛　　　　　　　　　　　　　</t>
  </si>
  <si>
    <t>値引シール【3:金額】</t>
    <phoneticPr fontId="7"/>
  </si>
  <si>
    <t>①通常単価＝緊急売価変更金額＞値引シール【3:金額】</t>
  </si>
  <si>
    <t>オノマンいか塩辛白造り５０ｇ×２（ＦＯ用</t>
  </si>
  <si>
    <t>①通常単価＝値引シール【3:金額】＝緊急売価変更金額</t>
  </si>
  <si>
    <t>いか明太子ぶっかけ　　　　　　　　　　　</t>
  </si>
  <si>
    <t>たこキムチ　　　　　　　　　　　　　　　</t>
  </si>
  <si>
    <t>①緊急売価変更金額＞通常単価＞値引シール【3:金額】</t>
  </si>
  <si>
    <t>バリ勝男クン（一味醤油味）　　　　　　　</t>
  </si>
  <si>
    <t>①緊急売価変更金額＞通常単価＝値引シール【3:金額】</t>
  </si>
  <si>
    <t>たこ塩レモン１２０ｇ　　　　　　　　　　</t>
  </si>
  <si>
    <t>①緊急売価変更金額＞値引シール【3:金額】＞通常単価</t>
  </si>
  <si>
    <t>濃い旨いか塩辛　　　　　　　　　　　　　</t>
  </si>
  <si>
    <t>オリーブオイルサーディン　　　　　　　　</t>
  </si>
  <si>
    <t>ゴロほぐし焼さば　　　　　　　　　　　　</t>
  </si>
  <si>
    <t>カテゴリー値引</t>
  </si>
  <si>
    <t>①通常単価＞緊急売価変更金額＞カテゴリー値引</t>
  </si>
  <si>
    <t>紅鮭茶漬け　　　　　　　　　　　　　　　</t>
  </si>
  <si>
    <t>部門ﾚﾍﾞﾙ商品階層自動値引</t>
  </si>
  <si>
    <t>①通常単価＝緊急売価変更金額＞カテゴリー値引</t>
  </si>
  <si>
    <t>アケボノ鮭フレーク３０ｇ　　　　　　　　</t>
  </si>
  <si>
    <t>①緊急売価変更金額＞通常単価＞カテゴリー値引</t>
  </si>
  <si>
    <t>ゴロほぐし紅鮭　　　　　　　　　　　　　</t>
  </si>
  <si>
    <t>①緊急売価変更金額＞通常単価＝カテゴリー値引</t>
  </si>
  <si>
    <t>ＴＶ焼鮭フレーク７５ｇ　　　　　　　　　</t>
  </si>
  <si>
    <t>①緊急売価変更金額＞カテゴリー値引＞通常単価</t>
  </si>
  <si>
    <t>さけフレークオリーブオイル仕上げ　　　　</t>
  </si>
  <si>
    <t>部門ﾚﾍﾞﾙ商品階層自動値引</t>
    <phoneticPr fontId="7"/>
  </si>
  <si>
    <t>カテゴリー割引</t>
  </si>
  <si>
    <t>①通常単価＞緊急売価変更金額＞カテゴリー割引</t>
  </si>
  <si>
    <t>ＴＶ　減塩焼鮭ほぐし　　　　　　　　　　</t>
  </si>
  <si>
    <t>①通常単価＝緊急売価変更金額＞カテゴリー割引</t>
  </si>
  <si>
    <t>ＴＶセレクト紅鮭ほぐし身　　　　　　　　</t>
  </si>
  <si>
    <t>①緊急売価変更金額＞通常単価＞カテゴリー割引</t>
  </si>
  <si>
    <t>鮭フレーク　塩分３０％カット　　　　　　</t>
  </si>
  <si>
    <t>①緊急売価変更金額＞通常単価＝カテゴリー割引</t>
  </si>
  <si>
    <t>紅鮭ほぐし　１３０ｇ　　　　　　　　　　</t>
  </si>
  <si>
    <t>紅鮭ほぐし１３０Ｇ　　　　　　　　　　　</t>
  </si>
  <si>
    <t>小計値引</t>
  </si>
  <si>
    <t>①通常単価＞緊急売価変更金額＞小計値引</t>
  </si>
  <si>
    <t>ＢＰ鮭フレーク　　　　　　　　　　　　　</t>
  </si>
  <si>
    <t>マニュアル小計値引</t>
  </si>
  <si>
    <t>①通常単価＝緊急売価変更金額＞小計値引</t>
  </si>
  <si>
    <t>荒ほぐし鮭　明太風味　　　　　　　　　　</t>
  </si>
  <si>
    <t>マニュアル小計値引</t>
    <phoneticPr fontId="7"/>
  </si>
  <si>
    <t>①緊急売価変更金額＞通常単価＞小計値引</t>
  </si>
  <si>
    <t>ＴＶベストプライス　鮭フレーク　　　　　</t>
  </si>
  <si>
    <t>ごま昆布８５ｇ　　　　　　　　　　　　　</t>
  </si>
  <si>
    <t>小計割引</t>
  </si>
  <si>
    <t>①通常単価＞緊急売価変更金額＞小計割引</t>
  </si>
  <si>
    <t>焼きししゃもみりん７０Ｇ　ＦＯ用　　　　</t>
  </si>
  <si>
    <t>①通常単価＝緊急売価変更金額＞小計割引</t>
  </si>
  <si>
    <t>山椒小魚９０Ｇ　　　　　　　　　　　　　</t>
  </si>
  <si>
    <t>①緊急売価変更金額＞通常単価＞小計割引</t>
  </si>
  <si>
    <t>庄屋わかめに生姜でコリッコリ　　　　　　</t>
  </si>
  <si>
    <t>ちりめんお茶漬け７０Ｇ　ＦＯ用　　　　　</t>
  </si>
  <si>
    <t>朝割り</t>
  </si>
  <si>
    <t>①通常単価＞緊急売価変更金額　朝割</t>
  </si>
  <si>
    <t>ほたて風味蒲鉾４０ｇＦＯ用　　　　　　　</t>
  </si>
  <si>
    <t>朝割り</t>
    <phoneticPr fontId="7"/>
  </si>
  <si>
    <t>①通常単価＝緊急売価変更金額　朝割</t>
  </si>
  <si>
    <t>明太高菜１００Ｇ　　　　　　　　　　　　</t>
  </si>
  <si>
    <t>①緊急売価変更金額＞通常単価　朝割</t>
  </si>
  <si>
    <t>おむすび専門店のチーズおかか　　　　　　</t>
  </si>
  <si>
    <t>メガ割</t>
    <phoneticPr fontId="7"/>
  </si>
  <si>
    <t>①通常単価＞緊急売価変更金額　メガ割</t>
  </si>
  <si>
    <t>金ごまおかか　　　　　　　　　　　　　　</t>
  </si>
  <si>
    <t>メガ割</t>
  </si>
  <si>
    <t>①通常単価＝緊急売価変更金額　メガ割</t>
  </si>
  <si>
    <t>えびくるみ８５Ｇ　　　　　　　　　　　　</t>
  </si>
  <si>
    <t>①緊急売価変更金額＞通常単価　メガ割</t>
  </si>
  <si>
    <t>さんまうの花２尾　　　　　　　　　　　　</t>
  </si>
  <si>
    <t>クレジット割</t>
    <phoneticPr fontId="7"/>
  </si>
  <si>
    <t>①通常単価＞緊急売価変更金額　クレジット割</t>
  </si>
  <si>
    <t>びんつま　にしんの燻製とバジル　　　　　</t>
  </si>
  <si>
    <t>クレジット割</t>
  </si>
  <si>
    <t>①通常単価＝緊急売価変更金額　クレジット割</t>
  </si>
  <si>
    <t>小肌粟漬（４枚真空）　　　　　　　　　　</t>
  </si>
  <si>
    <t>①緊急売価変更金額＞通常単価　クレジット割</t>
  </si>
  <si>
    <t>北海道産ソーセージ５本束　　　　　　　　</t>
  </si>
  <si>
    <t>店番号</t>
  </si>
  <si>
    <t>日付</t>
  </si>
  <si>
    <t>商品グループコード</t>
  </si>
  <si>
    <t>商品コード</t>
  </si>
  <si>
    <t>スキャンコード</t>
  </si>
  <si>
    <t>企画コード</t>
  </si>
  <si>
    <t>値引回数</t>
  </si>
  <si>
    <t>91760000</t>
  </si>
  <si>
    <t>20200924</t>
  </si>
  <si>
    <t>0000001062936</t>
  </si>
  <si>
    <t>4974817031020</t>
  </si>
  <si>
    <t>91111</t>
  </si>
  <si>
    <t>50</t>
  </si>
  <si>
    <t>0000001412090</t>
  </si>
  <si>
    <t>4976912202909</t>
  </si>
  <si>
    <t>100</t>
  </si>
  <si>
    <t>0000001412473</t>
  </si>
  <si>
    <t>4976912202923</t>
  </si>
  <si>
    <t>2</t>
  </si>
  <si>
    <t>テストパターン_34_特売期間_ミックスマッチ_緊急売価変更_売価変更</t>
  </si>
  <si>
    <t>P1：マニュアル売価変更金額＜緊急売価変更＜ミックスマッチ＜特売売価変更金額＜定番売価変更</t>
    <phoneticPr fontId="1"/>
  </si>
  <si>
    <t>処理内容</t>
    <rPh sb="0" eb="2">
      <t>ショリ</t>
    </rPh>
    <rPh sb="2" eb="4">
      <t>ナイヨウ</t>
    </rPh>
    <phoneticPr fontId="1"/>
  </si>
  <si>
    <t>金額</t>
    <rPh sb="0" eb="2">
      <t>キンガク</t>
    </rPh>
    <phoneticPr fontId="1"/>
  </si>
  <si>
    <t>定番売価額</t>
    <rPh sb="0" eb="2">
      <t>テイバン</t>
    </rPh>
    <rPh sb="2" eb="4">
      <t>バイカ</t>
    </rPh>
    <rPh sb="4" eb="5">
      <t>ガク</t>
    </rPh>
    <phoneticPr fontId="1"/>
  </si>
  <si>
    <t>―</t>
    <phoneticPr fontId="1"/>
  </si>
  <si>
    <t>特売</t>
    <rPh sb="0" eb="2">
      <t>トクバイ</t>
    </rPh>
    <phoneticPr fontId="1"/>
  </si>
  <si>
    <t>ミックスマッチ金額（２個時１個分）</t>
    <rPh sb="7" eb="9">
      <t>キンガク</t>
    </rPh>
    <rPh sb="11" eb="12">
      <t>コ</t>
    </rPh>
    <rPh sb="12" eb="13">
      <t>ジ</t>
    </rPh>
    <rPh sb="14" eb="15">
      <t>コ</t>
    </rPh>
    <rPh sb="15" eb="16">
      <t>ブン</t>
    </rPh>
    <phoneticPr fontId="1"/>
  </si>
  <si>
    <t>（定番売価額ー緊急売価変更）×数量</t>
    <rPh sb="1" eb="3">
      <t>テイバン</t>
    </rPh>
    <rPh sb="3" eb="5">
      <t>バイカ</t>
    </rPh>
    <rPh sb="5" eb="6">
      <t>ガク</t>
    </rPh>
    <rPh sb="15" eb="17">
      <t>スウリョウ</t>
    </rPh>
    <phoneticPr fontId="1"/>
  </si>
  <si>
    <t>緊急売価変更額＞マニュアル売価変更金額</t>
    <rPh sb="0" eb="2">
      <t>キンキュウ</t>
    </rPh>
    <rPh sb="2" eb="4">
      <t>バイカ</t>
    </rPh>
    <rPh sb="4" eb="6">
      <t>ヘンコウ</t>
    </rPh>
    <rPh sb="6" eb="7">
      <t>ガク</t>
    </rPh>
    <rPh sb="13" eb="15">
      <t>バイカ</t>
    </rPh>
    <rPh sb="15" eb="17">
      <t>ヘンコウ</t>
    </rPh>
    <rPh sb="17" eb="19">
      <t>キンガク</t>
    </rPh>
    <phoneticPr fontId="1"/>
  </si>
  <si>
    <t>マニュアル売価変更金額</t>
    <rPh sb="5" eb="9">
      <t>バイカヘンコウ</t>
    </rPh>
    <phoneticPr fontId="3"/>
  </si>
  <si>
    <t>（緊急売価変更ーマニュアル売価変更金額）×数量</t>
    <rPh sb="1" eb="3">
      <t>キンキュウ</t>
    </rPh>
    <rPh sb="3" eb="5">
      <t>バイカ</t>
    </rPh>
    <rPh sb="5" eb="7">
      <t>ヘンコウ</t>
    </rPh>
    <rPh sb="21" eb="23">
      <t>スウリョウ</t>
    </rPh>
    <phoneticPr fontId="1"/>
  </si>
  <si>
    <t>マニュアル額値引</t>
    <phoneticPr fontId="1"/>
  </si>
  <si>
    <t>値引合計</t>
    <rPh sb="0" eb="2">
      <t>ネビキ</t>
    </rPh>
    <rPh sb="2" eb="4">
      <t>ゴウケイ</t>
    </rPh>
    <phoneticPr fontId="1"/>
  </si>
  <si>
    <t>P2：マニュアル売価変更金額＝緊急売価変更＜ミックスマッチ＜特売売価変更金額＜定番売価変更</t>
    <phoneticPr fontId="1"/>
  </si>
  <si>
    <t>緊急売価変更額＝マニュアル売価変更金額</t>
    <rPh sb="0" eb="2">
      <t>キンキュウ</t>
    </rPh>
    <rPh sb="2" eb="4">
      <t>バイカ</t>
    </rPh>
    <rPh sb="4" eb="6">
      <t>ヘンコウ</t>
    </rPh>
    <rPh sb="6" eb="7">
      <t>ガク</t>
    </rPh>
    <rPh sb="13" eb="15">
      <t>バイカ</t>
    </rPh>
    <rPh sb="15" eb="17">
      <t>ヘンコウ</t>
    </rPh>
    <rPh sb="17" eb="19">
      <t>キンガク</t>
    </rPh>
    <phoneticPr fontId="1"/>
  </si>
  <si>
    <t>P3：緊急売価変更＜マニュアル売価変更金額＜ミックスマッチ＜特売売価変更金額＜定番売価変更</t>
    <phoneticPr fontId="1"/>
  </si>
  <si>
    <t>（定番売価額ーマニュアル売価変更金額）×数量</t>
    <rPh sb="1" eb="3">
      <t>テイバン</t>
    </rPh>
    <rPh sb="3" eb="5">
      <t>バイカ</t>
    </rPh>
    <rPh sb="5" eb="6">
      <t>ガク</t>
    </rPh>
    <rPh sb="20" eb="22">
      <t>スウリョウ</t>
    </rPh>
    <phoneticPr fontId="1"/>
  </si>
  <si>
    <t>緊急売価変更額＜マニュアル売価変更金額</t>
    <rPh sb="0" eb="2">
      <t>キンキュウ</t>
    </rPh>
    <rPh sb="2" eb="4">
      <t>バイカ</t>
    </rPh>
    <rPh sb="4" eb="6">
      <t>ヘンコウ</t>
    </rPh>
    <rPh sb="6" eb="7">
      <t>ガク</t>
    </rPh>
    <rPh sb="13" eb="15">
      <t>バイカ</t>
    </rPh>
    <rPh sb="15" eb="17">
      <t>ヘンコウ</t>
    </rPh>
    <rPh sb="17" eb="19">
      <t>キンガク</t>
    </rPh>
    <phoneticPr fontId="1"/>
  </si>
  <si>
    <t>P4：緊急売価変更＜マニュアル売価変更金額＝ミックスマッチ＜特売売価変更金額＜定番売価変更</t>
    <phoneticPr fontId="1"/>
  </si>
  <si>
    <t>P5；緊急売価変更＜ミックスマッチ＜マニュアル売価変更金額＜特売売価変更金額＜定番売価変更</t>
    <phoneticPr fontId="1"/>
  </si>
  <si>
    <t>（マニュアル売価変更金額ーミックスマッチ金額）×数量</t>
    <rPh sb="20" eb="22">
      <t>キンガク</t>
    </rPh>
    <rPh sb="24" eb="26">
      <t>スウリョウ</t>
    </rPh>
    <phoneticPr fontId="1"/>
  </si>
  <si>
    <t>P6；緊急売価変更＜ミックスマッチ＝マニュアル売価変更金額＜特売売価変更金額＜定番売価変更</t>
    <phoneticPr fontId="1"/>
  </si>
  <si>
    <t>P7；緊急売価変更＜ミックスマッチ＜特売売価変更金額＜マニュアル売価変更金額＜定番売価変更</t>
    <phoneticPr fontId="1"/>
  </si>
  <si>
    <t>P8；緊急売価変更＜ミックスマッチ＜特売売価変更金額＝マニュアル売価変更金額＜定番売価変更</t>
    <phoneticPr fontId="1"/>
  </si>
  <si>
    <t>P9；緊急売価変更＜ミックスマッチ＜特売売価変更金額＜定番売価変更＜マニュアル売価変更金額</t>
    <phoneticPr fontId="1"/>
  </si>
  <si>
    <t>P10；緊急売価変更＜ミックスマッチ＜特売売価変更金額＜定番売価変更＝マニュアル売価変更金額</t>
    <phoneticPr fontId="1"/>
  </si>
  <si>
    <t>P11：</t>
    <phoneticPr fontId="1"/>
  </si>
  <si>
    <t>緊急売価変更額＞＝マニュアル売価変更金額</t>
    <rPh sb="0" eb="2">
      <t>キンキュウ</t>
    </rPh>
    <rPh sb="2" eb="4">
      <t>バイカ</t>
    </rPh>
    <rPh sb="4" eb="6">
      <t>ヘンコウ</t>
    </rPh>
    <rPh sb="6" eb="7">
      <t>ガク</t>
    </rPh>
    <rPh sb="14" eb="16">
      <t>バイカ</t>
    </rPh>
    <rPh sb="16" eb="18">
      <t>ヘンコウ</t>
    </rPh>
    <rPh sb="18" eb="20">
      <t>キンガク</t>
    </rPh>
    <phoneticPr fontId="1"/>
  </si>
  <si>
    <t>P12：</t>
    <phoneticPr fontId="1"/>
  </si>
  <si>
    <t>不要</t>
    <rPh sb="0" eb="2">
      <t>フヨウ</t>
    </rPh>
    <phoneticPr fontId="1"/>
  </si>
  <si>
    <t>P13：</t>
    <phoneticPr fontId="1"/>
  </si>
  <si>
    <t>P14：</t>
    <phoneticPr fontId="1"/>
  </si>
  <si>
    <t>P15：</t>
    <phoneticPr fontId="1"/>
  </si>
  <si>
    <t>P16：</t>
    <phoneticPr fontId="1"/>
  </si>
  <si>
    <t>P17：</t>
    <phoneticPr fontId="1"/>
  </si>
  <si>
    <t>P18：</t>
    <phoneticPr fontId="1"/>
  </si>
  <si>
    <t>（緊急売価変更ーミックスマッチ金額）×数量</t>
    <rPh sb="15" eb="17">
      <t>キンガク</t>
    </rPh>
    <rPh sb="19" eb="21">
      <t>スウリョウ</t>
    </rPh>
    <phoneticPr fontId="1"/>
  </si>
  <si>
    <t>P19：</t>
    <phoneticPr fontId="1"/>
  </si>
  <si>
    <t>P20：</t>
    <phoneticPr fontId="1"/>
  </si>
  <si>
    <t>P21：</t>
    <phoneticPr fontId="1"/>
  </si>
  <si>
    <t>テスト結果無し</t>
    <rPh sb="3" eb="5">
      <t>ケッカ</t>
    </rPh>
    <rPh sb="5" eb="6">
      <t>ナ</t>
    </rPh>
    <phoneticPr fontId="1"/>
  </si>
  <si>
    <t>P22：</t>
    <phoneticPr fontId="1"/>
  </si>
  <si>
    <t>P23：</t>
    <phoneticPr fontId="1"/>
  </si>
  <si>
    <t>P24：</t>
    <phoneticPr fontId="1"/>
  </si>
  <si>
    <t>P25：</t>
    <phoneticPr fontId="1"/>
  </si>
  <si>
    <t>P26：</t>
    <phoneticPr fontId="1"/>
  </si>
  <si>
    <t>P27：</t>
    <phoneticPr fontId="1"/>
  </si>
  <si>
    <t>P28：</t>
    <phoneticPr fontId="1"/>
  </si>
  <si>
    <t>P29：</t>
    <phoneticPr fontId="1"/>
  </si>
  <si>
    <t>P30：</t>
    <phoneticPr fontId="1"/>
  </si>
  <si>
    <t>P31：</t>
    <phoneticPr fontId="1"/>
  </si>
  <si>
    <t>P32：</t>
    <phoneticPr fontId="1"/>
  </si>
  <si>
    <t>P33：</t>
    <phoneticPr fontId="1"/>
  </si>
  <si>
    <t>P34：</t>
    <phoneticPr fontId="1"/>
  </si>
  <si>
    <t>P35：</t>
    <phoneticPr fontId="1"/>
  </si>
  <si>
    <t>P36：</t>
    <phoneticPr fontId="1"/>
  </si>
  <si>
    <t>P37：</t>
    <phoneticPr fontId="1"/>
  </si>
  <si>
    <t>P38：</t>
    <phoneticPr fontId="1"/>
  </si>
  <si>
    <t>P39：</t>
    <phoneticPr fontId="1"/>
  </si>
  <si>
    <t>P40：</t>
    <phoneticPr fontId="1"/>
  </si>
  <si>
    <t>P41：</t>
    <phoneticPr fontId="1"/>
  </si>
  <si>
    <t>P42：</t>
    <phoneticPr fontId="1"/>
  </si>
  <si>
    <t>P43：</t>
    <phoneticPr fontId="1"/>
  </si>
  <si>
    <t>P44：</t>
    <phoneticPr fontId="1"/>
  </si>
  <si>
    <t>P45：</t>
    <phoneticPr fontId="1"/>
  </si>
  <si>
    <t>150</t>
  </si>
  <si>
    <t>200</t>
  </si>
  <si>
    <t>300</t>
  </si>
  <si>
    <t>不要</t>
    <rPh sb="0" eb="2">
      <t>フヨウ</t>
    </rPh>
    <phoneticPr fontId="7"/>
  </si>
  <si>
    <t>追加テスト</t>
    <rPh sb="0" eb="2">
      <t>ツイカ</t>
    </rPh>
    <phoneticPr fontId="7"/>
  </si>
  <si>
    <t>緊急売価変更＝特売（タイムサービス売価）</t>
  </si>
  <si>
    <t>値引パターン7</t>
    <phoneticPr fontId="7"/>
  </si>
  <si>
    <t>値引パターン4　</t>
    <phoneticPr fontId="7"/>
  </si>
  <si>
    <t>緊急売価変更額＝マニュアル売価変更金額</t>
    <phoneticPr fontId="7"/>
  </si>
  <si>
    <t>値引パターン10</t>
  </si>
  <si>
    <t>緊急売価変更＞特売（期間売価）</t>
    <phoneticPr fontId="7"/>
  </si>
  <si>
    <t>値引パターン11</t>
    <phoneticPr fontId="7"/>
  </si>
  <si>
    <t>緊急売価変更＝特売（期間売価）</t>
    <phoneticPr fontId="7"/>
  </si>
  <si>
    <t>POS値引</t>
    <phoneticPr fontId="7"/>
  </si>
  <si>
    <t>緊急売価変更＝ミックスマッチ</t>
    <phoneticPr fontId="1"/>
  </si>
  <si>
    <t>緊急売価変更＜ミックスマッチ</t>
    <phoneticPr fontId="1"/>
  </si>
  <si>
    <t>不要</t>
    <rPh sb="0" eb="2">
      <t>フヨウ</t>
    </rPh>
    <phoneticPr fontId="7"/>
  </si>
  <si>
    <t>緊急売価変更＞値引シール【3:金額】</t>
    <phoneticPr fontId="1"/>
  </si>
  <si>
    <t>緊急売価変更＝値引シール【3:金額】</t>
    <phoneticPr fontId="7"/>
  </si>
  <si>
    <t>値引パターン20</t>
    <phoneticPr fontId="7"/>
  </si>
  <si>
    <t>値引パターン21</t>
    <phoneticPr fontId="7"/>
  </si>
  <si>
    <t>緊急売価変更＜値引シール【3:金額】</t>
    <phoneticPr fontId="7"/>
  </si>
  <si>
    <t>テストパターン22　カテゴリ値引</t>
    <phoneticPr fontId="7"/>
  </si>
  <si>
    <t>テストパターン23　カテゴリ割引</t>
    <phoneticPr fontId="7"/>
  </si>
  <si>
    <t>テストパターン24　小計値引（マニュアル）</t>
    <phoneticPr fontId="7"/>
  </si>
  <si>
    <t>テストパターン25　小計割引（マニュアル）</t>
    <phoneticPr fontId="7"/>
  </si>
  <si>
    <t>テストパターン26　朝割り（自動）</t>
    <phoneticPr fontId="7"/>
  </si>
  <si>
    <t>テストパターン27　メガ割（自動）</t>
    <phoneticPr fontId="7"/>
  </si>
  <si>
    <t>テストパターン28　クレジット割（自動）</t>
    <phoneticPr fontId="7"/>
  </si>
  <si>
    <t>特売（タイムサービス売価）／緊急売価変更金額</t>
    <rPh sb="14" eb="16">
      <t>キンキュウ</t>
    </rPh>
    <rPh sb="16" eb="18">
      <t>バイカ</t>
    </rPh>
    <rPh sb="18" eb="20">
      <t>ヘンコウ</t>
    </rPh>
    <rPh sb="20" eb="22">
      <t>キンガク</t>
    </rPh>
    <phoneticPr fontId="7"/>
  </si>
  <si>
    <t>特売（タイムサービス割引）／緊急売価変更金額</t>
    <rPh sb="10" eb="12">
      <t>ワリビキ</t>
    </rPh>
    <rPh sb="14" eb="16">
      <t>キンキュウ</t>
    </rPh>
    <rPh sb="16" eb="18">
      <t>バイカ</t>
    </rPh>
    <rPh sb="18" eb="20">
      <t>ヘンコウ</t>
    </rPh>
    <rPh sb="20" eb="22">
      <t>キンガク</t>
    </rPh>
    <phoneticPr fontId="7"/>
  </si>
  <si>
    <t>特売（期間売価）／緊急売価変更金額</t>
    <rPh sb="9" eb="11">
      <t>キンキュウ</t>
    </rPh>
    <rPh sb="11" eb="13">
      <t>バイカ</t>
    </rPh>
    <rPh sb="13" eb="15">
      <t>ヘンコウ</t>
    </rPh>
    <rPh sb="15" eb="17">
      <t>キンガク</t>
    </rPh>
    <phoneticPr fontId="7"/>
  </si>
  <si>
    <t>特売（期間割引）／緊急売価変更金額</t>
    <rPh sb="5" eb="7">
      <t>ワリビキ</t>
    </rPh>
    <rPh sb="9" eb="11">
      <t>キンキュウ</t>
    </rPh>
    <rPh sb="11" eb="13">
      <t>バイカ</t>
    </rPh>
    <rPh sb="13" eb="15">
      <t>ヘンコウ</t>
    </rPh>
    <rPh sb="15" eb="17">
      <t>キンガク</t>
    </rPh>
    <phoneticPr fontId="7"/>
  </si>
  <si>
    <t>テストパターン1　マニュアル単品値引</t>
  </si>
  <si>
    <t>テストパターン10　緊急売価変更＞特売（期間売価）</t>
    <phoneticPr fontId="7"/>
  </si>
  <si>
    <t>テストパターン11　緊急売価変更＝特売（期間売価）</t>
    <phoneticPr fontId="7"/>
  </si>
  <si>
    <t>テストパターン12　緊急売価変更＜特売（期間売価）</t>
    <phoneticPr fontId="7"/>
  </si>
  <si>
    <t>テストパターン13　緊急売価変更＞特売（期間割引）</t>
    <phoneticPr fontId="7"/>
  </si>
  <si>
    <t>テストパターン15　緊急売価変更＝ミックスマッチ</t>
    <phoneticPr fontId="7"/>
  </si>
  <si>
    <t>テストパターン16　緊急売価変更＜ミックスマッチ</t>
    <phoneticPr fontId="7"/>
  </si>
  <si>
    <t>テストパターン14　緊急売価変更＞ミックスマッチ</t>
    <phoneticPr fontId="7"/>
  </si>
  <si>
    <t>テストパターン17　値引シール【1:値引】</t>
    <phoneticPr fontId="7"/>
  </si>
  <si>
    <t>テストパターン18　値引シール【2:割引】</t>
    <phoneticPr fontId="7"/>
  </si>
  <si>
    <t>テストパターン19　緊急売価変更＞値引シール【3:金額】</t>
    <phoneticPr fontId="7"/>
  </si>
  <si>
    <t>テストパターン20　緊急売価変更＝値引シール【3:金額】</t>
  </si>
  <si>
    <t>テストパターン21　緊急売価変更＜値引シール【3:金額】</t>
  </si>
  <si>
    <t>テストパターン3　緊急売価変更額＞マニュアル売価変更金額</t>
  </si>
  <si>
    <t>テストパターン4　緊急売価変更額＝マニュアル売価変更金額</t>
  </si>
  <si>
    <t>テストパターン5　緊急売価変更額＞マニュアル売価変更金額</t>
  </si>
  <si>
    <t>テストパターン6　緊急売価変更＞特売（タイムサービス売価）</t>
  </si>
  <si>
    <t>テストパターン7　緊急売価変更＝特売（タイムサービス売価）</t>
  </si>
  <si>
    <t>テストパターン8　緊急売価変更＜特売（タイムサービス売価）</t>
  </si>
  <si>
    <t>テストパターン9　緊急売価変更＞特売（タイムサービス割引）</t>
    <phoneticPr fontId="7"/>
  </si>
  <si>
    <t>テストパターン2　マニュアル単品割引</t>
    <phoneticPr fontId="7"/>
  </si>
  <si>
    <t>緊急売価変更×カテゴリ割引</t>
    <rPh sb="11" eb="13">
      <t>ワリビキ</t>
    </rPh>
    <phoneticPr fontId="1"/>
  </si>
  <si>
    <t>特売対象外</t>
    <phoneticPr fontId="7"/>
  </si>
  <si>
    <t>特売対象外</t>
  </si>
  <si>
    <t>特売対象外</t>
    <phoneticPr fontId="7"/>
  </si>
  <si>
    <t>特売対象外</t>
    <phoneticPr fontId="1"/>
  </si>
  <si>
    <t>特売対象外</t>
    <rPh sb="0" eb="2">
      <t>トクバイ</t>
    </rPh>
    <rPh sb="2" eb="4">
      <t>タイショウ</t>
    </rPh>
    <rPh sb="4" eb="5">
      <t>ガイ</t>
    </rPh>
    <phoneticPr fontId="1"/>
  </si>
  <si>
    <t>ミックスマッチ1個当たり／緊急売価変更金額1個当たり</t>
    <rPh sb="9" eb="10">
      <t>ア</t>
    </rPh>
    <rPh sb="13" eb="15">
      <t>キンキュウ</t>
    </rPh>
    <rPh sb="15" eb="17">
      <t>バイカ</t>
    </rPh>
    <rPh sb="17" eb="19">
      <t>ヘンコウ</t>
    </rPh>
    <rPh sb="19" eb="21">
      <t>キンガク</t>
    </rPh>
    <rPh sb="23" eb="24">
      <t>ア</t>
    </rPh>
    <phoneticPr fontId="7"/>
  </si>
  <si>
    <t>ミックスマッチ2個当たり／緊急売価変更金額2個当たり</t>
    <rPh sb="9" eb="10">
      <t>ア</t>
    </rPh>
    <rPh sb="13" eb="15">
      <t>キンキュウ</t>
    </rPh>
    <rPh sb="15" eb="17">
      <t>バイカ</t>
    </rPh>
    <rPh sb="17" eb="19">
      <t>ヘンコウ</t>
    </rPh>
    <rPh sb="19" eb="21">
      <t>キンガク</t>
    </rPh>
    <rPh sb="23" eb="24">
      <t>ア</t>
    </rPh>
    <phoneticPr fontId="7"/>
  </si>
  <si>
    <t>緊急売価変更　値引実績計算（GHPLUDISC出力仕様）</t>
    <rPh sb="0" eb="2">
      <t>キンキュウ</t>
    </rPh>
    <rPh sb="2" eb="4">
      <t>バイカ</t>
    </rPh>
    <rPh sb="4" eb="6">
      <t>ヘンコウ</t>
    </rPh>
    <rPh sb="7" eb="9">
      <t>ネビキ</t>
    </rPh>
    <rPh sb="9" eb="11">
      <t>ジッセキ</t>
    </rPh>
    <rPh sb="11" eb="13">
      <t>ケイサン</t>
    </rPh>
    <phoneticPr fontId="1"/>
  </si>
  <si>
    <t>緊急売価変更額＝ミックスマッチ
ミックスマッチ対象外</t>
    <phoneticPr fontId="1"/>
  </si>
  <si>
    <t>緊急売価変更額＜ミックスマッチ
ミックスマッチ対象外</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</si>
</sst>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4" x14ac:knownFonts="1">
    <font>
      <sz val="11"/>
      <color theme="1"/>
      <name val="游ゴシック"/>
      <family val="3"/>
      <charset val="128"/>
      <scheme val="minor"/>
    </font>
    <font>
      <sz val="6"/>
      <name val="游ゴシック"/>
      <family val="3"/>
      <charset val="128"/>
    </font>
    <font>
      <sz val="11"/>
      <color indexed="8"/>
      <name val="ＭＳ Ｐゴシック"/>
      <family val="3"/>
      <charset val="128"/>
    </font>
    <font>
      <sz val="6"/>
      <name val="游ゴシック"/>
      <family val="3"/>
      <charset val="128"/>
    </font>
    <font>
      <sz val="11"/>
      <color indexed="8"/>
      <name val="ＭＳ ゴシック"/>
      <family val="3"/>
      <charset val="128"/>
    </font>
    <font>
      <sz val="11"/>
      <color theme="1"/>
      <name val="ＭＳ ゴシック"/>
      <family val="3"/>
      <charset val="128"/>
    </font>
    <font>
      <b/>
      <sz val="11"/>
      <color theme="1"/>
      <name val="ＭＳ ゴシック"/>
      <family val="3"/>
      <charset val="128"/>
    </font>
    <font>
      <sz val="6"/>
      <name val="游ゴシック"/>
      <family val="3"/>
      <charset val="128"/>
      <scheme val="minor"/>
    </font>
    <font>
      <b/>
      <sz val="14"/>
      <color theme="1"/>
      <name val="ＭＳ ゴシック"/>
      <family val="3"/>
      <charset val="128"/>
    </font>
    <font>
      <sz val="14"/>
      <color theme="1"/>
      <name val="游ゴシック"/>
      <family val="3"/>
      <charset val="128"/>
      <scheme val="minor"/>
    </font>
    <font>
      <sz val="11"/>
      <color rgb="FFFF0000"/>
      <name val="ＭＳ ゴシック"/>
      <family val="3"/>
      <charset val="128"/>
    </font>
    <font>
      <sz val="11"/>
      <name val="ＭＳ ゴシック"/>
      <family val="3"/>
      <charset val="128"/>
    </font>
    <font>
      <b/>
      <sz val="11"/>
      <color rgb="FFFF0000"/>
      <name val="ＭＳ ゴシック"/>
      <family val="3"/>
      <charset val="128"/>
    </font>
    <font>
      <sz val="11"/>
      <color rgb="FFFF0000"/>
      <name val="游ゴシック"/>
      <family val="3"/>
      <charset val="128"/>
      <scheme val="minor"/>
    </font>
  </fonts>
  <fills count="12">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92D050"/>
        <bgColor indexed="64"/>
      </patternFill>
    </fill>
    <fill>
      <patternFill patternType="solid">
        <fgColor rgb="FFFFC000"/>
        <bgColor indexed="64"/>
      </patternFill>
    </fill>
    <fill>
      <patternFill patternType="solid">
        <fgColor theme="9" tint="0.39997558519241921"/>
        <bgColor indexed="64"/>
      </patternFill>
    </fill>
    <fill>
      <patternFill patternType="solid">
        <fgColor theme="0" tint="-0.34998626667073579"/>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3">
    <xf numFmtId="0" fontId="0" fillId="0" borderId="0">
      <alignment vertical="center"/>
    </xf>
    <xf numFmtId="0" fontId="2" fillId="0" borderId="0"/>
    <xf numFmtId="0" fontId="2" fillId="0" borderId="0"/>
  </cellStyleXfs>
  <cellXfs count="170">
    <xf numFmtId="0" fontId="0" fillId="0" borderId="0" xfId="0">
      <alignment vertical="center"/>
    </xf>
    <xf numFmtId="0" fontId="5" fillId="0" borderId="0" xfId="0" applyFont="1">
      <alignment vertical="center"/>
    </xf>
    <xf numFmtId="0" fontId="5" fillId="0" borderId="1" xfId="0" applyFont="1" applyBorder="1" applyAlignment="1">
      <alignment horizontal="left" vertical="center"/>
    </xf>
    <xf numFmtId="0" fontId="5" fillId="0" borderId="1" xfId="0" applyFont="1" applyBorder="1">
      <alignment vertical="center"/>
    </xf>
    <xf numFmtId="0" fontId="4" fillId="0" borderId="1" xfId="2" applyFont="1" applyBorder="1" applyAlignment="1">
      <alignment horizontal="left"/>
    </xf>
    <xf numFmtId="0" fontId="4" fillId="0" borderId="1" xfId="2" applyFont="1" applyBorder="1" applyAlignment="1">
      <alignment horizontal="left" wrapText="1"/>
    </xf>
    <xf numFmtId="0" fontId="6" fillId="0" borderId="0" xfId="0" applyFont="1">
      <alignment vertical="center"/>
    </xf>
    <xf numFmtId="0" fontId="5" fillId="2" borderId="0" xfId="0" applyFont="1" applyFill="1">
      <alignment vertical="center"/>
    </xf>
    <xf numFmtId="0" fontId="6" fillId="2" borderId="0" xfId="0" applyFont="1" applyFill="1">
      <alignment vertical="center"/>
    </xf>
    <xf numFmtId="0" fontId="5" fillId="2" borderId="1" xfId="0" applyFont="1" applyFill="1" applyBorder="1" applyAlignment="1">
      <alignment horizontal="center" vertical="center"/>
    </xf>
    <xf numFmtId="0" fontId="5" fillId="2" borderId="1" xfId="0" applyFont="1" applyFill="1" applyBorder="1" applyAlignment="1">
      <alignment horizontal="left" vertical="center"/>
    </xf>
    <xf numFmtId="0" fontId="5" fillId="2" borderId="1" xfId="0" applyFont="1" applyFill="1" applyBorder="1">
      <alignment vertical="center"/>
    </xf>
    <xf numFmtId="0" fontId="4" fillId="2" borderId="1" xfId="2" applyFont="1" applyFill="1" applyBorder="1" applyAlignment="1">
      <alignment horizontal="left"/>
    </xf>
    <xf numFmtId="0" fontId="4" fillId="2" borderId="1" xfId="2" applyFont="1" applyFill="1" applyBorder="1" applyAlignment="1">
      <alignment horizontal="left" wrapText="1"/>
    </xf>
    <xf numFmtId="0" fontId="5" fillId="3" borderId="0" xfId="0" applyFont="1" applyFill="1">
      <alignment vertical="center"/>
    </xf>
    <xf numFmtId="0" fontId="6" fillId="3" borderId="0" xfId="0" applyFont="1" applyFill="1">
      <alignment vertical="center"/>
    </xf>
    <xf numFmtId="0" fontId="5" fillId="3" borderId="1" xfId="0" applyFont="1" applyFill="1" applyBorder="1" applyAlignment="1">
      <alignment horizontal="center" vertical="center"/>
    </xf>
    <xf numFmtId="0" fontId="5" fillId="3" borderId="1" xfId="0" applyFont="1" applyFill="1" applyBorder="1" applyAlignment="1">
      <alignment horizontal="left" vertical="center"/>
    </xf>
    <xf numFmtId="0" fontId="5" fillId="3" borderId="1" xfId="0" applyFont="1" applyFill="1" applyBorder="1">
      <alignment vertical="center"/>
    </xf>
    <xf numFmtId="0" fontId="4" fillId="3" borderId="1" xfId="2" applyFont="1" applyFill="1" applyBorder="1" applyAlignment="1">
      <alignment horizontal="left"/>
    </xf>
    <xf numFmtId="0" fontId="4" fillId="3" borderId="1" xfId="2" applyFont="1" applyFill="1" applyBorder="1" applyAlignment="1">
      <alignment horizontal="left" wrapText="1"/>
    </xf>
    <xf numFmtId="0" fontId="2" fillId="0" borderId="1" xfId="2" applyBorder="1" applyAlignment="1">
      <alignment wrapText="1"/>
    </xf>
    <xf numFmtId="0" fontId="2" fillId="0" borderId="1" xfId="1" applyBorder="1" applyAlignment="1">
      <alignment horizontal="center"/>
    </xf>
    <xf numFmtId="0" fontId="2" fillId="0" borderId="1" xfId="1" applyBorder="1" applyAlignment="1">
      <alignment horizontal="right" wrapText="1"/>
    </xf>
    <xf numFmtId="0" fontId="2" fillId="0" borderId="1" xfId="1" applyBorder="1" applyAlignment="1">
      <alignment wrapText="1"/>
    </xf>
    <xf numFmtId="0" fontId="2" fillId="3" borderId="1" xfId="1" applyFill="1" applyBorder="1" applyAlignment="1">
      <alignment horizontal="right" wrapText="1"/>
    </xf>
    <xf numFmtId="0" fontId="2" fillId="3" borderId="1" xfId="1" applyFill="1" applyBorder="1" applyAlignment="1">
      <alignment wrapText="1"/>
    </xf>
    <xf numFmtId="176" fontId="2" fillId="3" borderId="1" xfId="1" applyNumberFormat="1" applyFill="1" applyBorder="1" applyAlignment="1">
      <alignment wrapText="1"/>
    </xf>
    <xf numFmtId="0" fontId="0" fillId="3" borderId="0" xfId="0" applyFill="1">
      <alignment vertical="center"/>
    </xf>
    <xf numFmtId="176" fontId="0" fillId="0" borderId="1" xfId="0" applyNumberFormat="1" applyBorder="1">
      <alignment vertical="center"/>
    </xf>
    <xf numFmtId="176" fontId="0" fillId="0" borderId="0" xfId="0" applyNumberFormat="1">
      <alignment vertical="center"/>
    </xf>
    <xf numFmtId="0" fontId="2" fillId="4" borderId="1" xfId="1" applyFill="1" applyBorder="1" applyAlignment="1">
      <alignment horizontal="right" wrapText="1"/>
    </xf>
    <xf numFmtId="0" fontId="2" fillId="4" borderId="1" xfId="1" applyFill="1" applyBorder="1" applyAlignment="1">
      <alignment wrapText="1"/>
    </xf>
    <xf numFmtId="176" fontId="2" fillId="4" borderId="1" xfId="1" applyNumberFormat="1" applyFill="1" applyBorder="1" applyAlignment="1">
      <alignment wrapText="1"/>
    </xf>
    <xf numFmtId="0" fontId="0" fillId="4" borderId="0" xfId="0" applyFill="1">
      <alignment vertical="center"/>
    </xf>
    <xf numFmtId="0" fontId="2" fillId="7" borderId="1" xfId="1" applyFill="1" applyBorder="1" applyAlignment="1">
      <alignment wrapText="1"/>
    </xf>
    <xf numFmtId="0" fontId="2" fillId="5" borderId="1" xfId="1" applyFill="1" applyBorder="1" applyAlignment="1">
      <alignment wrapText="1"/>
    </xf>
    <xf numFmtId="0" fontId="5" fillId="0" borderId="0" xfId="0" applyFont="1" applyFill="1">
      <alignment vertical="center"/>
    </xf>
    <xf numFmtId="0" fontId="5" fillId="0" borderId="0" xfId="0" applyFont="1" applyFill="1" applyAlignment="1">
      <alignment horizontal="center" vertical="center"/>
    </xf>
    <xf numFmtId="0" fontId="5" fillId="0" borderId="17" xfId="0" applyFont="1" applyFill="1" applyBorder="1">
      <alignment vertical="center"/>
    </xf>
    <xf numFmtId="0" fontId="5" fillId="0" borderId="18" xfId="0" applyFont="1" applyFill="1" applyBorder="1" applyAlignment="1">
      <alignment horizontal="center" vertical="center"/>
    </xf>
    <xf numFmtId="0" fontId="5" fillId="0" borderId="19" xfId="0" applyFont="1" applyFill="1" applyBorder="1" applyAlignment="1">
      <alignment horizontal="center" vertical="center"/>
    </xf>
    <xf numFmtId="0" fontId="5" fillId="0" borderId="20" xfId="0" applyFont="1" applyFill="1" applyBorder="1" applyAlignment="1">
      <alignment horizontal="center" vertical="center"/>
    </xf>
    <xf numFmtId="0" fontId="5" fillId="0" borderId="13" xfId="0" applyFont="1" applyFill="1" applyBorder="1">
      <alignment vertical="center"/>
    </xf>
    <xf numFmtId="0" fontId="4" fillId="0" borderId="13" xfId="1" applyFont="1" applyFill="1" applyBorder="1" applyAlignment="1">
      <alignment wrapText="1"/>
    </xf>
    <xf numFmtId="0" fontId="5" fillId="0" borderId="14" xfId="0" applyFont="1" applyFill="1" applyBorder="1">
      <alignment vertical="center"/>
    </xf>
    <xf numFmtId="0" fontId="5" fillId="0" borderId="11" xfId="0" applyFont="1" applyFill="1" applyBorder="1">
      <alignment vertical="center"/>
    </xf>
    <xf numFmtId="0" fontId="4" fillId="0" borderId="11" xfId="1" applyFont="1" applyFill="1" applyBorder="1" applyAlignment="1">
      <alignment wrapText="1"/>
    </xf>
    <xf numFmtId="0" fontId="5" fillId="0" borderId="22" xfId="0" applyFont="1" applyFill="1" applyBorder="1">
      <alignment vertical="center"/>
    </xf>
    <xf numFmtId="0" fontId="5" fillId="0" borderId="19" xfId="0" applyFont="1" applyFill="1" applyBorder="1">
      <alignment vertical="center"/>
    </xf>
    <xf numFmtId="0" fontId="4" fillId="0" borderId="19" xfId="1" applyFont="1" applyFill="1" applyBorder="1" applyAlignment="1">
      <alignment wrapText="1"/>
    </xf>
    <xf numFmtId="0" fontId="5" fillId="0" borderId="20" xfId="0" applyFont="1" applyFill="1" applyBorder="1">
      <alignment vertical="center"/>
    </xf>
    <xf numFmtId="0" fontId="0" fillId="0" borderId="0" xfId="0" applyAlignment="1"/>
    <xf numFmtId="0" fontId="5" fillId="0" borderId="16" xfId="0" applyFont="1" applyBorder="1">
      <alignment vertical="center"/>
    </xf>
    <xf numFmtId="0" fontId="4" fillId="0" borderId="16" xfId="1" applyFont="1" applyBorder="1" applyAlignment="1">
      <alignment wrapText="1"/>
    </xf>
    <xf numFmtId="0" fontId="5" fillId="0" borderId="11" xfId="0" applyFont="1" applyBorder="1">
      <alignment vertical="center"/>
    </xf>
    <xf numFmtId="0" fontId="4" fillId="0" borderId="11" xfId="1" applyFont="1" applyBorder="1" applyAlignment="1">
      <alignment wrapText="1"/>
    </xf>
    <xf numFmtId="0" fontId="4" fillId="0" borderId="19" xfId="1" applyFont="1" applyFill="1" applyBorder="1" applyAlignment="1">
      <alignment horizontal="center" vertical="center"/>
    </xf>
    <xf numFmtId="0" fontId="10" fillId="0" borderId="20" xfId="0" applyFont="1" applyFill="1" applyBorder="1" applyAlignment="1">
      <alignment vertical="center" wrapText="1"/>
    </xf>
    <xf numFmtId="0" fontId="0" fillId="0" borderId="0" xfId="0" applyFill="1">
      <alignment vertical="center"/>
    </xf>
    <xf numFmtId="0" fontId="0" fillId="8" borderId="0" xfId="0" applyFill="1">
      <alignment vertical="center"/>
    </xf>
    <xf numFmtId="0" fontId="0" fillId="9" borderId="0" xfId="0" applyFill="1">
      <alignment vertical="center"/>
    </xf>
    <xf numFmtId="0" fontId="2" fillId="0" borderId="1" xfId="1" applyFill="1" applyBorder="1" applyAlignment="1">
      <alignment horizontal="center"/>
    </xf>
    <xf numFmtId="0" fontId="2" fillId="0" borderId="1" xfId="1" applyFill="1" applyBorder="1" applyAlignment="1">
      <alignment wrapText="1"/>
    </xf>
    <xf numFmtId="0" fontId="5" fillId="0" borderId="19" xfId="0" applyFont="1" applyBorder="1" applyAlignment="1">
      <alignment horizontal="center" vertical="center"/>
    </xf>
    <xf numFmtId="0" fontId="5" fillId="0" borderId="0" xfId="0" applyFont="1" applyFill="1" applyAlignment="1">
      <alignment horizontal="left"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11" fillId="0" borderId="0" xfId="0" applyFont="1" applyAlignment="1">
      <alignment horizontal="center" vertical="center" wrapText="1"/>
    </xf>
    <xf numFmtId="0" fontId="5" fillId="0" borderId="3" xfId="0" applyFont="1" applyBorder="1" applyAlignment="1">
      <alignment horizontal="center" vertical="center"/>
    </xf>
    <xf numFmtId="0" fontId="5" fillId="0" borderId="3" xfId="0" applyFont="1" applyBorder="1">
      <alignment vertical="center"/>
    </xf>
    <xf numFmtId="0" fontId="5" fillId="0" borderId="4" xfId="0" applyFont="1" applyBorder="1">
      <alignment vertical="center"/>
    </xf>
    <xf numFmtId="0" fontId="5" fillId="0" borderId="6" xfId="0" applyFont="1" applyBorder="1">
      <alignment vertical="center"/>
    </xf>
    <xf numFmtId="0" fontId="5" fillId="0" borderId="6" xfId="0" applyFont="1" applyFill="1" applyBorder="1">
      <alignment vertical="center"/>
    </xf>
    <xf numFmtId="0" fontId="5" fillId="0" borderId="8" xfId="0" applyFont="1" applyBorder="1" applyAlignment="1">
      <alignment horizontal="center" vertical="center"/>
    </xf>
    <xf numFmtId="0" fontId="5" fillId="0" borderId="8" xfId="0" applyFont="1" applyBorder="1">
      <alignment vertical="center"/>
    </xf>
    <xf numFmtId="0" fontId="5" fillId="0" borderId="9" xfId="0" applyFont="1" applyBorder="1">
      <alignment vertical="center"/>
    </xf>
    <xf numFmtId="0" fontId="5" fillId="0" borderId="8" xfId="0" applyFont="1" applyBorder="1" applyAlignment="1">
      <alignment horizontal="left" vertical="center"/>
    </xf>
    <xf numFmtId="0" fontId="10" fillId="0" borderId="0" xfId="0" applyFont="1" applyAlignment="1">
      <alignment horizontal="center" vertical="center"/>
    </xf>
    <xf numFmtId="0" fontId="5" fillId="0" borderId="0" xfId="0" quotePrefix="1" applyFont="1" applyAlignment="1">
      <alignment horizontal="center" vertical="center" wrapText="1"/>
    </xf>
    <xf numFmtId="0" fontId="10" fillId="0" borderId="0" xfId="0" applyFont="1" applyAlignment="1">
      <alignment horizontal="left" vertical="center"/>
    </xf>
    <xf numFmtId="0" fontId="5" fillId="0" borderId="2" xfId="0" applyFont="1" applyBorder="1" applyAlignment="1">
      <alignment horizontal="center" vertical="center"/>
    </xf>
    <xf numFmtId="0" fontId="11" fillId="0" borderId="5"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5" xfId="0" applyFont="1" applyFill="1" applyBorder="1" applyAlignment="1">
      <alignment horizontal="center" vertical="center"/>
    </xf>
    <xf numFmtId="0" fontId="5" fillId="0" borderId="5" xfId="0" applyFont="1" applyBorder="1" applyAlignment="1">
      <alignment horizontal="center" vertical="center"/>
    </xf>
    <xf numFmtId="0" fontId="5" fillId="0" borderId="7" xfId="0" applyFont="1" applyBorder="1" applyAlignment="1">
      <alignment horizontal="center" vertical="center"/>
    </xf>
    <xf numFmtId="0" fontId="10" fillId="0" borderId="0" xfId="0" applyFont="1" applyFill="1" applyAlignment="1">
      <alignment horizontal="left" vertical="center"/>
    </xf>
    <xf numFmtId="0" fontId="5" fillId="0" borderId="0" xfId="0" applyFont="1" applyAlignment="1">
      <alignment vertical="center"/>
    </xf>
    <xf numFmtId="0" fontId="5" fillId="0" borderId="0" xfId="0" applyFont="1" applyAlignment="1">
      <alignment horizontal="right" vertical="center"/>
    </xf>
    <xf numFmtId="0" fontId="5" fillId="0" borderId="0" xfId="0" applyFont="1" applyFill="1" applyAlignment="1">
      <alignment horizontal="right" vertical="center"/>
    </xf>
    <xf numFmtId="0" fontId="12" fillId="0" borderId="0" xfId="0" applyFont="1" applyFill="1">
      <alignment vertical="center"/>
    </xf>
    <xf numFmtId="0" fontId="10" fillId="0" borderId="1" xfId="0" applyFont="1" applyBorder="1" applyAlignment="1">
      <alignment horizontal="center" vertical="center"/>
    </xf>
    <xf numFmtId="0" fontId="10" fillId="0" borderId="0" xfId="0" applyFont="1" applyAlignment="1">
      <alignment horizontal="center" vertical="center" wrapText="1"/>
    </xf>
    <xf numFmtId="0" fontId="10" fillId="0" borderId="0" xfId="0" quotePrefix="1" applyFont="1" applyAlignment="1">
      <alignment horizontal="center" vertical="center" wrapText="1"/>
    </xf>
    <xf numFmtId="0" fontId="11" fillId="0" borderId="13" xfId="0" applyFont="1" applyFill="1" applyBorder="1">
      <alignment vertical="center"/>
    </xf>
    <xf numFmtId="0" fontId="5" fillId="0" borderId="13" xfId="0" applyFont="1" applyFill="1" applyBorder="1" applyAlignment="1">
      <alignment vertical="center" wrapText="1"/>
    </xf>
    <xf numFmtId="0" fontId="5" fillId="0" borderId="0" xfId="0" applyFont="1" applyFill="1" applyAlignment="1">
      <alignment vertical="center"/>
    </xf>
    <xf numFmtId="0" fontId="5" fillId="0" borderId="6" xfId="0" applyFont="1" applyFill="1" applyBorder="1" applyAlignment="1">
      <alignment vertical="center"/>
    </xf>
    <xf numFmtId="0" fontId="5" fillId="0" borderId="6" xfId="0" applyFont="1" applyBorder="1" applyAlignment="1">
      <alignment vertical="center"/>
    </xf>
    <xf numFmtId="0" fontId="0" fillId="0" borderId="0" xfId="0" applyAlignment="1">
      <alignment vertical="center"/>
    </xf>
    <xf numFmtId="0" fontId="5" fillId="0" borderId="1" xfId="0" applyFont="1" applyBorder="1" applyAlignment="1">
      <alignment horizontal="center" vertical="center"/>
    </xf>
    <xf numFmtId="0" fontId="5" fillId="9" borderId="1" xfId="0" applyFont="1" applyFill="1" applyBorder="1" applyAlignment="1">
      <alignment horizontal="center" vertical="center"/>
    </xf>
    <xf numFmtId="0" fontId="5" fillId="0" borderId="0" xfId="0" applyFont="1" applyAlignment="1">
      <alignment horizontal="left" vertical="center"/>
    </xf>
    <xf numFmtId="0" fontId="5" fillId="0" borderId="0" xfId="0" applyFont="1" applyAlignment="1">
      <alignment horizontal="left" vertical="center"/>
    </xf>
    <xf numFmtId="0" fontId="0" fillId="0" borderId="0" xfId="0" applyFill="1" applyBorder="1">
      <alignment vertical="center"/>
    </xf>
    <xf numFmtId="0" fontId="5" fillId="0" borderId="6" xfId="0" applyFont="1" applyFill="1" applyBorder="1" applyAlignment="1">
      <alignment horizontal="center" vertical="center"/>
    </xf>
    <xf numFmtId="0" fontId="5" fillId="0" borderId="12" xfId="0" applyFont="1" applyFill="1" applyBorder="1" applyAlignment="1">
      <alignment horizontal="center" vertical="center"/>
    </xf>
    <xf numFmtId="0" fontId="5" fillId="0" borderId="21" xfId="0" applyFont="1" applyFill="1" applyBorder="1" applyAlignment="1">
      <alignment horizontal="center" vertical="center"/>
    </xf>
    <xf numFmtId="0" fontId="5" fillId="0" borderId="13" xfId="0" applyFont="1" applyFill="1" applyBorder="1" applyAlignment="1">
      <alignment vertical="center"/>
    </xf>
    <xf numFmtId="0" fontId="5" fillId="0" borderId="11" xfId="0" applyFont="1" applyFill="1" applyBorder="1" applyAlignment="1">
      <alignment vertical="center"/>
    </xf>
    <xf numFmtId="0" fontId="5" fillId="0" borderId="15" xfId="0" applyFont="1" applyFill="1" applyBorder="1" applyAlignment="1">
      <alignment horizontal="center" vertical="center"/>
    </xf>
    <xf numFmtId="0" fontId="5" fillId="0" borderId="16" xfId="0" applyFont="1" applyFill="1" applyBorder="1" applyAlignment="1">
      <alignment vertical="center"/>
    </xf>
    <xf numFmtId="0" fontId="8" fillId="0" borderId="0" xfId="0" applyFont="1" applyFill="1" applyAlignment="1">
      <alignment horizontal="center" vertical="center"/>
    </xf>
    <xf numFmtId="0" fontId="9" fillId="0" borderId="0" xfId="0" applyFont="1" applyAlignment="1">
      <alignment horizontal="center" vertical="center"/>
    </xf>
    <xf numFmtId="0" fontId="0" fillId="0" borderId="0" xfId="0" applyAlignment="1">
      <alignment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10" fillId="11" borderId="11" xfId="0" applyFont="1" applyFill="1" applyBorder="1" applyAlignment="1">
      <alignment horizontal="center" vertical="center" wrapText="1"/>
    </xf>
    <xf numFmtId="0" fontId="13" fillId="11" borderId="23" xfId="0" applyFont="1" applyFill="1" applyBorder="1" applyAlignment="1">
      <alignment horizontal="center" vertical="center"/>
    </xf>
    <xf numFmtId="0" fontId="13" fillId="11" borderId="24" xfId="0" applyFont="1" applyFill="1" applyBorder="1" applyAlignment="1">
      <alignment horizontal="center" vertical="center"/>
    </xf>
    <xf numFmtId="0" fontId="5" fillId="6" borderId="11" xfId="0" applyFont="1" applyFill="1" applyBorder="1" applyAlignment="1">
      <alignment horizontal="center" vertical="center" wrapText="1"/>
    </xf>
    <xf numFmtId="0" fontId="0" fillId="0" borderId="23" xfId="0" applyBorder="1" applyAlignment="1">
      <alignment vertical="center"/>
    </xf>
    <xf numFmtId="0" fontId="5" fillId="10" borderId="11" xfId="0" applyFont="1" applyFill="1" applyBorder="1" applyAlignment="1">
      <alignment horizontal="center" vertical="center" wrapText="1"/>
    </xf>
    <xf numFmtId="0" fontId="5" fillId="10" borderId="23" xfId="0" applyFont="1" applyFill="1" applyBorder="1" applyAlignment="1">
      <alignment horizontal="center" vertical="center" wrapText="1"/>
    </xf>
    <xf numFmtId="0" fontId="5" fillId="10" borderId="24" xfId="0" applyFont="1" applyFill="1" applyBorder="1" applyAlignment="1">
      <alignment horizontal="center" vertical="center" wrapText="1"/>
    </xf>
    <xf numFmtId="0" fontId="5" fillId="5" borderId="11" xfId="0" applyFont="1" applyFill="1" applyBorder="1" applyAlignment="1">
      <alignment horizontal="center" vertical="center" wrapText="1"/>
    </xf>
    <xf numFmtId="0" fontId="0" fillId="0" borderId="23" xfId="0" applyBorder="1" applyAlignment="1">
      <alignment horizontal="center" vertical="center"/>
    </xf>
    <xf numFmtId="0" fontId="0" fillId="0" borderId="24" xfId="0" applyBorder="1" applyAlignment="1">
      <alignment horizontal="center" vertical="center"/>
    </xf>
    <xf numFmtId="0" fontId="5" fillId="6" borderId="1" xfId="0" applyFont="1" applyFill="1" applyBorder="1" applyAlignment="1">
      <alignment horizontal="center" vertical="center" wrapText="1"/>
    </xf>
    <xf numFmtId="0" fontId="5" fillId="0" borderId="1" xfId="0" applyFont="1" applyBorder="1" applyAlignment="1">
      <alignment vertical="center"/>
    </xf>
    <xf numFmtId="0" fontId="0" fillId="0" borderId="1" xfId="0" applyBorder="1" applyAlignment="1">
      <alignment vertical="center"/>
    </xf>
    <xf numFmtId="0" fontId="5" fillId="5" borderId="1" xfId="0" applyFont="1" applyFill="1" applyBorder="1" applyAlignment="1">
      <alignment horizontal="center" vertical="center" wrapText="1"/>
    </xf>
    <xf numFmtId="0" fontId="10" fillId="11" borderId="1" xfId="0" applyFont="1" applyFill="1" applyBorder="1" applyAlignment="1">
      <alignment horizontal="center" vertical="center" wrapText="1"/>
    </xf>
    <xf numFmtId="0" fontId="13" fillId="11" borderId="1" xfId="0" applyFont="1" applyFill="1" applyBorder="1" applyAlignment="1">
      <alignment vertical="center"/>
    </xf>
    <xf numFmtId="0" fontId="5" fillId="6" borderId="25" xfId="0" applyFont="1" applyFill="1" applyBorder="1" applyAlignment="1">
      <alignment horizontal="center" vertical="center" wrapText="1"/>
    </xf>
    <xf numFmtId="0" fontId="13" fillId="11" borderId="1" xfId="0" applyFont="1" applyFill="1" applyBorder="1" applyAlignment="1">
      <alignment horizontal="center" vertical="center"/>
    </xf>
    <xf numFmtId="0" fontId="13" fillId="11" borderId="23" xfId="0" applyFont="1" applyFill="1" applyBorder="1" applyAlignment="1">
      <alignment vertical="center"/>
    </xf>
    <xf numFmtId="0" fontId="13" fillId="11" borderId="24" xfId="0" applyFont="1" applyFill="1" applyBorder="1" applyAlignment="1">
      <alignment vertical="center"/>
    </xf>
    <xf numFmtId="0" fontId="0" fillId="0" borderId="1" xfId="0" applyBorder="1" applyAlignment="1">
      <alignment horizontal="center" vertical="center"/>
    </xf>
    <xf numFmtId="0" fontId="5" fillId="0" borderId="10" xfId="0" applyFont="1" applyBorder="1" applyAlignment="1">
      <alignment horizontal="center" vertical="center"/>
    </xf>
    <xf numFmtId="0" fontId="5" fillId="0" borderId="26" xfId="0" applyFont="1" applyBorder="1" applyAlignment="1">
      <alignment horizontal="center" vertical="center"/>
    </xf>
    <xf numFmtId="0" fontId="5" fillId="10" borderId="23" xfId="0" applyFont="1" applyFill="1" applyBorder="1" applyAlignment="1">
      <alignment horizontal="center" vertical="center"/>
    </xf>
    <xf numFmtId="0" fontId="5" fillId="10" borderId="24" xfId="0" applyFont="1" applyFill="1" applyBorder="1" applyAlignment="1">
      <alignment horizontal="center" vertical="center"/>
    </xf>
    <xf numFmtId="0" fontId="5" fillId="9" borderId="1" xfId="0" applyFont="1" applyFill="1" applyBorder="1" applyAlignment="1">
      <alignment horizontal="center" vertical="center"/>
    </xf>
    <xf numFmtId="0" fontId="5" fillId="6" borderId="10" xfId="0" applyFont="1" applyFill="1" applyBorder="1" applyAlignment="1">
      <alignment horizontal="center" vertical="center" wrapText="1"/>
    </xf>
    <xf numFmtId="0" fontId="5" fillId="6" borderId="10" xfId="0" applyFont="1" applyFill="1" applyBorder="1" applyAlignment="1">
      <alignment horizontal="center" vertical="center"/>
    </xf>
    <xf numFmtId="0" fontId="5" fillId="5" borderId="1" xfId="0" applyFont="1" applyFill="1" applyBorder="1" applyAlignment="1">
      <alignment horizontal="center" vertical="center"/>
    </xf>
    <xf numFmtId="0" fontId="5" fillId="0" borderId="0" xfId="0" applyFont="1" applyAlignment="1">
      <alignment horizontal="center" vertical="center"/>
    </xf>
    <xf numFmtId="0" fontId="0" fillId="0" borderId="0" xfId="0" applyAlignment="1">
      <alignment horizontal="center" vertical="center"/>
    </xf>
    <xf numFmtId="0" fontId="5" fillId="0" borderId="0" xfId="0" applyFont="1" applyAlignment="1">
      <alignment horizontal="left" vertical="center"/>
    </xf>
    <xf numFmtId="0" fontId="0" fillId="0" borderId="0" xfId="0" applyAlignment="1">
      <alignment horizontal="left" vertical="center"/>
    </xf>
    <xf numFmtId="0" fontId="5" fillId="0" borderId="23" xfId="0" applyFont="1" applyBorder="1" applyAlignment="1">
      <alignment vertical="center"/>
    </xf>
    <xf numFmtId="0" fontId="5" fillId="0" borderId="24" xfId="0" applyFont="1" applyBorder="1" applyAlignment="1">
      <alignment vertical="center"/>
    </xf>
    <xf numFmtId="0" fontId="5" fillId="6" borderId="1" xfId="0" applyFont="1" applyFill="1" applyBorder="1" applyAlignment="1">
      <alignment horizontal="center" vertical="center"/>
    </xf>
    <xf numFmtId="0" fontId="0" fillId="0" borderId="24" xfId="0" applyBorder="1" applyAlignment="1">
      <alignment vertical="center"/>
    </xf>
    <xf numFmtId="0" fontId="5" fillId="6" borderId="27" xfId="0" applyFont="1" applyFill="1" applyBorder="1" applyAlignment="1">
      <alignment horizontal="center" vertical="center" wrapText="1"/>
    </xf>
    <xf numFmtId="0" fontId="0" fillId="0" borderId="28" xfId="0" applyBorder="1" applyAlignment="1">
      <alignment vertical="center"/>
    </xf>
    <xf numFmtId="0" fontId="0" fillId="0" borderId="29" xfId="0" applyBorder="1" applyAlignment="1">
      <alignment vertical="center"/>
    </xf>
    <xf numFmtId="0" fontId="13" fillId="11" borderId="11" xfId="0" applyFont="1" applyFill="1" applyBorder="1" applyAlignment="1">
      <alignment vertical="center"/>
    </xf>
    <xf numFmtId="0" fontId="5" fillId="9" borderId="11"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1" xfId="0" applyFont="1" applyFill="1" applyBorder="1" applyAlignment="1">
      <alignment vertical="center"/>
    </xf>
    <xf numFmtId="0" fontId="5" fillId="4" borderId="1" xfId="0" applyFont="1" applyFill="1" applyBorder="1" applyAlignment="1">
      <alignment horizontal="center" vertical="center"/>
    </xf>
    <xf numFmtId="0" fontId="5" fillId="0" borderId="11" xfId="0" applyFont="1" applyBorder="1" applyAlignment="1">
      <alignment vertical="center"/>
    </xf>
    <xf numFmtId="0" fontId="10" fillId="5" borderId="1" xfId="0" applyFont="1" applyFill="1" applyBorder="1" applyAlignment="1">
      <alignment horizontal="center" vertical="center" wrapText="1"/>
    </xf>
    <xf numFmtId="0" fontId="13" fillId="0" borderId="1" xfId="0" applyFont="1" applyBorder="1" applyAlignment="1">
      <alignment horizontal="center" vertical="center"/>
    </xf>
    <xf numFmtId="0" fontId="10" fillId="5" borderId="11" xfId="0" applyFont="1" applyFill="1" applyBorder="1" applyAlignment="1">
      <alignment horizontal="center" vertical="center" wrapText="1"/>
    </xf>
    <xf numFmtId="0" fontId="13" fillId="0" borderId="23" xfId="0" applyFont="1" applyBorder="1" applyAlignment="1">
      <alignment vertical="center"/>
    </xf>
    <xf numFmtId="0" fontId="13" fillId="0" borderId="24" xfId="0" applyFont="1" applyBorder="1" applyAlignment="1">
      <alignment vertical="center"/>
    </xf>
  </cellXfs>
  <cellStyles count="3">
    <cellStyle name="標準" xfId="0" builtinId="0"/>
    <cellStyle name="標準_Sheet4" xfId="1" xr:uid="{00000000-0005-0000-0000-000001000000}"/>
    <cellStyle name="標準_値引確認"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11</xdr:col>
      <xdr:colOff>601116</xdr:colOff>
      <xdr:row>27</xdr:row>
      <xdr:rowOff>229463</xdr:rowOff>
    </xdr:to>
    <xdr:pic>
      <xdr:nvPicPr>
        <xdr:cNvPr id="3" name="図 2">
          <a:extLst>
            <a:ext uri="{FF2B5EF4-FFF2-40B4-BE49-F238E27FC236}">
              <a16:creationId xmlns:a16="http://schemas.microsoft.com/office/drawing/2014/main" id="{40D944F9-931B-4DF8-9AFE-B6FE1656CCB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476250"/>
          <a:ext cx="7459116" cy="618258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尾坂  亮介" id="{314FE169-DD08-4B88-8DFC-0015023973FA}" userId="S::daisuke.sasaki@kasumi.co.jp::c870486a-dad7-4694-ac78-9bbc4445935f" providerId="AD"/>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6" dT="2020-08-10T07:57:20.20" personId="{314FE169-DD08-4B88-8DFC-0015023973FA}" id="{36A80C57-C37B-4DAC-9A12-836EFE1EC2B7}">
    <text>通常単価とマニュアル割引のパターン分けできてない</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45"/>
  <sheetViews>
    <sheetView zoomScale="85" zoomScaleNormal="85" workbookViewId="0">
      <selection activeCell="A2" sqref="A2"/>
    </sheetView>
  </sheetViews>
  <sheetFormatPr defaultRowHeight="23.25" customHeight="1" x14ac:dyDescent="0.4"/>
  <cols>
    <col min="1" max="1" width="13.875" style="38" bestFit="1" customWidth="1"/>
    <col min="2" max="2" width="45.625" style="37" bestFit="1" customWidth="1"/>
    <col min="3" max="3" width="51.625" style="37" bestFit="1" customWidth="1"/>
    <col min="4" max="4" width="11.625" style="37" bestFit="1" customWidth="1"/>
    <col min="5" max="5" width="9.5" style="37" bestFit="1" customWidth="1"/>
    <col min="6" max="6" width="27.25" style="37" bestFit="1" customWidth="1"/>
    <col min="7" max="7" width="46" style="37" bestFit="1" customWidth="1"/>
    <col min="8" max="16384" width="9" style="37"/>
  </cols>
  <sheetData>
    <row r="1" spans="1:7" ht="23.25" customHeight="1" x14ac:dyDescent="0.4">
      <c r="A1" s="113" t="s">
        <v>667</v>
      </c>
      <c r="B1" s="114"/>
      <c r="C1" s="114"/>
      <c r="D1" s="114"/>
      <c r="E1" s="114"/>
      <c r="F1" s="114"/>
      <c r="G1" s="115"/>
    </row>
    <row r="2" spans="1:7" ht="23.25" customHeight="1" thickBot="1" x14ac:dyDescent="0.45"/>
    <row r="3" spans="1:7" s="38" customFormat="1" ht="26.25" customHeight="1" thickBot="1" x14ac:dyDescent="0.45">
      <c r="A3" s="40" t="s">
        <v>0</v>
      </c>
      <c r="B3" s="64" t="s">
        <v>1</v>
      </c>
      <c r="C3" s="41" t="s">
        <v>2</v>
      </c>
      <c r="D3" s="57" t="s">
        <v>3</v>
      </c>
      <c r="E3" s="57" t="s">
        <v>4</v>
      </c>
      <c r="F3" s="41" t="s">
        <v>5</v>
      </c>
      <c r="G3" s="42" t="s">
        <v>6</v>
      </c>
    </row>
    <row r="4" spans="1:7" ht="26.25" customHeight="1" x14ac:dyDescent="0.15">
      <c r="A4" s="107">
        <v>1</v>
      </c>
      <c r="B4" s="109" t="s">
        <v>7</v>
      </c>
      <c r="C4" s="43" t="s">
        <v>8</v>
      </c>
      <c r="D4" s="44">
        <v>91111</v>
      </c>
      <c r="E4" s="44">
        <v>0</v>
      </c>
      <c r="F4" s="43" t="s">
        <v>9</v>
      </c>
      <c r="G4" s="45"/>
    </row>
    <row r="5" spans="1:7" ht="26.25" customHeight="1" thickBot="1" x14ac:dyDescent="0.2">
      <c r="A5" s="108"/>
      <c r="B5" s="110"/>
      <c r="C5" s="46" t="s">
        <v>10</v>
      </c>
      <c r="D5" s="47">
        <v>91220</v>
      </c>
      <c r="E5" s="47">
        <v>1</v>
      </c>
      <c r="F5" s="46" t="s">
        <v>7</v>
      </c>
      <c r="G5" s="48"/>
    </row>
    <row r="6" spans="1:7" ht="26.25" customHeight="1" x14ac:dyDescent="0.15">
      <c r="A6" s="107">
        <v>2</v>
      </c>
      <c r="B6" s="109" t="s">
        <v>11</v>
      </c>
      <c r="C6" s="43" t="s">
        <v>8</v>
      </c>
      <c r="D6" s="44">
        <v>91111</v>
      </c>
      <c r="E6" s="44">
        <v>0</v>
      </c>
      <c r="F6" s="43" t="s">
        <v>12</v>
      </c>
      <c r="G6" s="45"/>
    </row>
    <row r="7" spans="1:7" ht="26.25" customHeight="1" thickBot="1" x14ac:dyDescent="0.2">
      <c r="A7" s="108"/>
      <c r="B7" s="110"/>
      <c r="C7" s="46" t="s">
        <v>13</v>
      </c>
      <c r="D7" s="47">
        <v>91220</v>
      </c>
      <c r="E7" s="47">
        <v>2</v>
      </c>
      <c r="F7" s="46" t="s">
        <v>14</v>
      </c>
      <c r="G7" s="48"/>
    </row>
    <row r="8" spans="1:7" ht="26.25" customHeight="1" x14ac:dyDescent="0.15">
      <c r="A8" s="107">
        <v>3</v>
      </c>
      <c r="B8" s="109" t="s">
        <v>15</v>
      </c>
      <c r="C8" s="43" t="s">
        <v>8</v>
      </c>
      <c r="D8" s="44">
        <v>91111</v>
      </c>
      <c r="E8" s="44">
        <v>0</v>
      </c>
      <c r="F8" s="43" t="s">
        <v>12</v>
      </c>
      <c r="G8" s="45"/>
    </row>
    <row r="9" spans="1:7" ht="26.25" customHeight="1" thickBot="1" x14ac:dyDescent="0.2">
      <c r="A9" s="108"/>
      <c r="B9" s="110"/>
      <c r="C9" s="46" t="s">
        <v>16</v>
      </c>
      <c r="D9" s="47">
        <v>91220</v>
      </c>
      <c r="E9" s="47">
        <v>6</v>
      </c>
      <c r="F9" s="46" t="s">
        <v>17</v>
      </c>
      <c r="G9" s="48"/>
    </row>
    <row r="10" spans="1:7" ht="26.25" customHeight="1" thickBot="1" x14ac:dyDescent="0.2">
      <c r="A10" s="40">
        <v>4</v>
      </c>
      <c r="B10" s="49" t="s">
        <v>18</v>
      </c>
      <c r="C10" s="49" t="s">
        <v>8</v>
      </c>
      <c r="D10" s="50">
        <v>91111</v>
      </c>
      <c r="E10" s="50">
        <v>0</v>
      </c>
      <c r="F10" s="49" t="s">
        <v>12</v>
      </c>
      <c r="G10" s="51"/>
    </row>
    <row r="11" spans="1:7" ht="26.25" customHeight="1" thickBot="1" x14ac:dyDescent="0.2">
      <c r="A11" s="40">
        <v>5</v>
      </c>
      <c r="B11" s="49" t="s">
        <v>19</v>
      </c>
      <c r="C11" s="49" t="s">
        <v>20</v>
      </c>
      <c r="D11" s="50">
        <v>91111</v>
      </c>
      <c r="E11" s="50">
        <v>0</v>
      </c>
      <c r="F11" s="49" t="s">
        <v>12</v>
      </c>
      <c r="G11" s="58"/>
    </row>
    <row r="12" spans="1:7" ht="26.25" customHeight="1" thickBot="1" x14ac:dyDescent="0.2">
      <c r="A12" s="40">
        <v>6</v>
      </c>
      <c r="B12" s="49" t="s">
        <v>21</v>
      </c>
      <c r="C12" s="49" t="s">
        <v>22</v>
      </c>
      <c r="D12" s="50">
        <v>91111</v>
      </c>
      <c r="E12" s="50">
        <v>0</v>
      </c>
      <c r="F12" s="49" t="s">
        <v>12</v>
      </c>
      <c r="G12" s="51"/>
    </row>
    <row r="13" spans="1:7" ht="26.25" customHeight="1" thickBot="1" x14ac:dyDescent="0.2">
      <c r="A13" s="40">
        <v>7</v>
      </c>
      <c r="B13" s="95" t="s">
        <v>23</v>
      </c>
      <c r="C13" s="49" t="s">
        <v>22</v>
      </c>
      <c r="D13" s="50">
        <v>91111</v>
      </c>
      <c r="E13" s="50">
        <v>0</v>
      </c>
      <c r="F13" s="49" t="s">
        <v>12</v>
      </c>
      <c r="G13" s="51"/>
    </row>
    <row r="14" spans="1:7" ht="26.25" customHeight="1" thickBot="1" x14ac:dyDescent="0.2">
      <c r="A14" s="40">
        <v>8</v>
      </c>
      <c r="B14" s="43" t="s">
        <v>24</v>
      </c>
      <c r="C14" s="49" t="s">
        <v>22</v>
      </c>
      <c r="D14" s="50">
        <v>91111</v>
      </c>
      <c r="E14" s="50">
        <v>0</v>
      </c>
      <c r="F14" s="49" t="s">
        <v>12</v>
      </c>
      <c r="G14" s="51"/>
    </row>
    <row r="15" spans="1:7" ht="26.25" customHeight="1" thickBot="1" x14ac:dyDescent="0.2">
      <c r="A15" s="40">
        <v>9</v>
      </c>
      <c r="B15" s="43" t="s">
        <v>25</v>
      </c>
      <c r="C15" s="49" t="s">
        <v>22</v>
      </c>
      <c r="D15" s="50">
        <v>91111</v>
      </c>
      <c r="E15" s="50">
        <v>0</v>
      </c>
      <c r="F15" s="49" t="s">
        <v>12</v>
      </c>
      <c r="G15" s="51"/>
    </row>
    <row r="16" spans="1:7" ht="26.25" customHeight="1" thickBot="1" x14ac:dyDescent="0.2">
      <c r="A16" s="40">
        <v>10</v>
      </c>
      <c r="B16" s="96" t="s">
        <v>26</v>
      </c>
      <c r="C16" s="49" t="s">
        <v>22</v>
      </c>
      <c r="D16" s="50">
        <v>91111</v>
      </c>
      <c r="E16" s="50">
        <v>0</v>
      </c>
      <c r="F16" s="49" t="s">
        <v>12</v>
      </c>
      <c r="G16" s="51"/>
    </row>
    <row r="17" spans="1:7" ht="26.25" customHeight="1" thickBot="1" x14ac:dyDescent="0.2">
      <c r="A17" s="40">
        <v>11</v>
      </c>
      <c r="B17" s="43" t="s">
        <v>27</v>
      </c>
      <c r="C17" s="49" t="s">
        <v>22</v>
      </c>
      <c r="D17" s="50">
        <v>91111</v>
      </c>
      <c r="E17" s="50">
        <v>0</v>
      </c>
      <c r="F17" s="49" t="s">
        <v>12</v>
      </c>
      <c r="G17" s="51"/>
    </row>
    <row r="18" spans="1:7" ht="26.25" customHeight="1" thickBot="1" x14ac:dyDescent="0.2">
      <c r="A18" s="40">
        <v>12</v>
      </c>
      <c r="B18" s="43" t="s">
        <v>28</v>
      </c>
      <c r="C18" s="49" t="s">
        <v>22</v>
      </c>
      <c r="D18" s="50">
        <v>91111</v>
      </c>
      <c r="E18" s="50">
        <v>0</v>
      </c>
      <c r="F18" s="49" t="s">
        <v>12</v>
      </c>
      <c r="G18" s="51"/>
    </row>
    <row r="19" spans="1:7" ht="26.25" customHeight="1" thickBot="1" x14ac:dyDescent="0.2">
      <c r="A19" s="40">
        <v>13</v>
      </c>
      <c r="B19" s="43" t="s">
        <v>29</v>
      </c>
      <c r="C19" s="49" t="s">
        <v>22</v>
      </c>
      <c r="D19" s="50">
        <v>91111</v>
      </c>
      <c r="E19" s="50">
        <v>0</v>
      </c>
      <c r="F19" s="49" t="s">
        <v>12</v>
      </c>
      <c r="G19" s="51"/>
    </row>
    <row r="20" spans="1:7" ht="26.25" customHeight="1" x14ac:dyDescent="0.15">
      <c r="A20" s="107">
        <v>14</v>
      </c>
      <c r="B20" s="109" t="s">
        <v>30</v>
      </c>
      <c r="C20" s="43" t="s">
        <v>8</v>
      </c>
      <c r="D20" s="44">
        <v>91111</v>
      </c>
      <c r="E20" s="44">
        <v>0</v>
      </c>
      <c r="F20" s="43" t="s">
        <v>12</v>
      </c>
      <c r="G20" s="45"/>
    </row>
    <row r="21" spans="1:7" ht="26.25" customHeight="1" thickBot="1" x14ac:dyDescent="0.2">
      <c r="A21" s="108"/>
      <c r="B21" s="110"/>
      <c r="C21" s="46" t="s">
        <v>31</v>
      </c>
      <c r="D21" s="47">
        <v>91316</v>
      </c>
      <c r="E21" s="47">
        <v>0</v>
      </c>
      <c r="F21" s="46" t="s">
        <v>32</v>
      </c>
      <c r="G21" s="48"/>
    </row>
    <row r="22" spans="1:7" ht="26.25" customHeight="1" thickBot="1" x14ac:dyDescent="0.2">
      <c r="A22" s="40">
        <v>15</v>
      </c>
      <c r="B22" s="49" t="s">
        <v>619</v>
      </c>
      <c r="C22" s="49" t="s">
        <v>22</v>
      </c>
      <c r="D22" s="50">
        <v>91111</v>
      </c>
      <c r="E22" s="50">
        <v>0</v>
      </c>
      <c r="F22" s="49" t="s">
        <v>12</v>
      </c>
      <c r="G22" s="51"/>
    </row>
    <row r="23" spans="1:7" ht="26.25" customHeight="1" thickBot="1" x14ac:dyDescent="0.2">
      <c r="A23" s="40">
        <v>16</v>
      </c>
      <c r="B23" s="49" t="s">
        <v>620</v>
      </c>
      <c r="C23" s="49" t="s">
        <v>22</v>
      </c>
      <c r="D23" s="50">
        <v>91111</v>
      </c>
      <c r="E23" s="50">
        <v>0</v>
      </c>
      <c r="F23" s="49" t="s">
        <v>12</v>
      </c>
      <c r="G23" s="51"/>
    </row>
    <row r="24" spans="1:7" ht="26.25" customHeight="1" x14ac:dyDescent="0.15">
      <c r="A24" s="107">
        <v>17</v>
      </c>
      <c r="B24" s="109" t="s">
        <v>33</v>
      </c>
      <c r="C24" s="43" t="s">
        <v>8</v>
      </c>
      <c r="D24" s="44">
        <v>91111</v>
      </c>
      <c r="E24" s="44">
        <v>0</v>
      </c>
      <c r="F24" s="43" t="s">
        <v>12</v>
      </c>
      <c r="G24" s="45"/>
    </row>
    <row r="25" spans="1:7" ht="26.25" customHeight="1" thickBot="1" x14ac:dyDescent="0.2">
      <c r="A25" s="108"/>
      <c r="B25" s="110"/>
      <c r="C25" s="46" t="s">
        <v>34</v>
      </c>
      <c r="D25" s="47">
        <v>91220</v>
      </c>
      <c r="E25" s="47">
        <v>1</v>
      </c>
      <c r="F25" s="46" t="s">
        <v>7</v>
      </c>
      <c r="G25" s="48"/>
    </row>
    <row r="26" spans="1:7" ht="26.25" customHeight="1" x14ac:dyDescent="0.15">
      <c r="A26" s="107">
        <v>18</v>
      </c>
      <c r="B26" s="109" t="s">
        <v>35</v>
      </c>
      <c r="C26" s="43" t="s">
        <v>8</v>
      </c>
      <c r="D26" s="44">
        <v>91111</v>
      </c>
      <c r="E26" s="44">
        <v>0</v>
      </c>
      <c r="F26" s="43" t="s">
        <v>12</v>
      </c>
      <c r="G26" s="45"/>
    </row>
    <row r="27" spans="1:7" ht="26.25" customHeight="1" thickBot="1" x14ac:dyDescent="0.2">
      <c r="A27" s="108"/>
      <c r="B27" s="110"/>
      <c r="C27" s="46" t="s">
        <v>36</v>
      </c>
      <c r="D27" s="47">
        <v>91220</v>
      </c>
      <c r="E27" s="47">
        <v>2</v>
      </c>
      <c r="F27" s="46" t="s">
        <v>14</v>
      </c>
      <c r="G27" s="48"/>
    </row>
    <row r="28" spans="1:7" ht="26.25" customHeight="1" x14ac:dyDescent="0.15">
      <c r="A28" s="107">
        <v>19</v>
      </c>
      <c r="B28" s="109" t="s">
        <v>622</v>
      </c>
      <c r="C28" s="43" t="s">
        <v>8</v>
      </c>
      <c r="D28" s="44">
        <v>91111</v>
      </c>
      <c r="E28" s="44">
        <v>0</v>
      </c>
      <c r="F28" s="43" t="s">
        <v>12</v>
      </c>
      <c r="G28" s="45"/>
    </row>
    <row r="29" spans="1:7" ht="26.25" customHeight="1" thickBot="1" x14ac:dyDescent="0.2">
      <c r="A29" s="108"/>
      <c r="B29" s="110"/>
      <c r="C29" s="46" t="s">
        <v>37</v>
      </c>
      <c r="D29" s="47">
        <v>91220</v>
      </c>
      <c r="E29" s="47">
        <v>1</v>
      </c>
      <c r="F29" s="46" t="s">
        <v>7</v>
      </c>
      <c r="G29" s="48"/>
    </row>
    <row r="30" spans="1:7" ht="26.25" customHeight="1" thickBot="1" x14ac:dyDescent="0.2">
      <c r="A30" s="40">
        <v>20</v>
      </c>
      <c r="B30" s="49" t="s">
        <v>38</v>
      </c>
      <c r="C30" s="49" t="s">
        <v>8</v>
      </c>
      <c r="D30" s="50">
        <v>91220</v>
      </c>
      <c r="E30" s="50">
        <v>1</v>
      </c>
      <c r="F30" s="49" t="s">
        <v>12</v>
      </c>
      <c r="G30" s="51"/>
    </row>
    <row r="31" spans="1:7" ht="26.25" customHeight="1" thickBot="1" x14ac:dyDescent="0.2">
      <c r="A31" s="40">
        <v>21</v>
      </c>
      <c r="B31" s="49" t="s">
        <v>39</v>
      </c>
      <c r="C31" s="49" t="s">
        <v>40</v>
      </c>
      <c r="D31" s="50">
        <v>91220</v>
      </c>
      <c r="E31" s="50">
        <v>1</v>
      </c>
      <c r="F31" s="49" t="s">
        <v>12</v>
      </c>
      <c r="G31" s="58"/>
    </row>
    <row r="32" spans="1:7" ht="26.25" customHeight="1" x14ac:dyDescent="0.15">
      <c r="A32" s="107">
        <v>22</v>
      </c>
      <c r="B32" s="109" t="s">
        <v>41</v>
      </c>
      <c r="C32" s="43" t="s">
        <v>22</v>
      </c>
      <c r="D32" s="44">
        <v>91111</v>
      </c>
      <c r="E32" s="44">
        <v>0</v>
      </c>
      <c r="F32" s="43" t="s">
        <v>12</v>
      </c>
      <c r="G32" s="45"/>
    </row>
    <row r="33" spans="1:7" ht="26.25" customHeight="1" thickBot="1" x14ac:dyDescent="0.2">
      <c r="A33" s="108"/>
      <c r="B33" s="110"/>
      <c r="C33" s="46" t="s">
        <v>42</v>
      </c>
      <c r="D33" s="47">
        <v>91324</v>
      </c>
      <c r="E33" s="47">
        <v>0</v>
      </c>
      <c r="F33" s="46" t="s">
        <v>43</v>
      </c>
      <c r="G33" s="48"/>
    </row>
    <row r="34" spans="1:7" ht="26.25" customHeight="1" x14ac:dyDescent="0.15">
      <c r="A34" s="107">
        <v>23</v>
      </c>
      <c r="B34" s="109" t="s">
        <v>44</v>
      </c>
      <c r="C34" s="43" t="s">
        <v>8</v>
      </c>
      <c r="D34" s="44">
        <v>91111</v>
      </c>
      <c r="E34" s="44">
        <v>0</v>
      </c>
      <c r="F34" s="43" t="s">
        <v>12</v>
      </c>
      <c r="G34" s="45"/>
    </row>
    <row r="35" spans="1:7" ht="26.25" customHeight="1" thickBot="1" x14ac:dyDescent="0.2">
      <c r="A35" s="108"/>
      <c r="B35" s="110"/>
      <c r="C35" s="46" t="s">
        <v>659</v>
      </c>
      <c r="D35" s="47">
        <v>91324</v>
      </c>
      <c r="E35" s="47">
        <v>0</v>
      </c>
      <c r="F35" s="46" t="s">
        <v>43</v>
      </c>
      <c r="G35" s="48"/>
    </row>
    <row r="36" spans="1:7" ht="26.25" customHeight="1" x14ac:dyDescent="0.15">
      <c r="A36" s="107">
        <v>24</v>
      </c>
      <c r="B36" s="109" t="s">
        <v>45</v>
      </c>
      <c r="C36" s="43" t="s">
        <v>8</v>
      </c>
      <c r="D36" s="44">
        <v>91111</v>
      </c>
      <c r="E36" s="44">
        <v>0</v>
      </c>
      <c r="F36" s="43" t="s">
        <v>12</v>
      </c>
      <c r="G36" s="45"/>
    </row>
    <row r="37" spans="1:7" ht="26.25" customHeight="1" thickBot="1" x14ac:dyDescent="0.2">
      <c r="A37" s="108"/>
      <c r="B37" s="110"/>
      <c r="C37" s="55" t="s">
        <v>45</v>
      </c>
      <c r="D37" s="56">
        <v>91400</v>
      </c>
      <c r="E37" s="56">
        <v>14</v>
      </c>
      <c r="F37" s="55" t="s">
        <v>46</v>
      </c>
      <c r="G37" s="48"/>
    </row>
    <row r="38" spans="1:7" ht="26.25" customHeight="1" x14ac:dyDescent="0.15">
      <c r="A38" s="107">
        <v>25</v>
      </c>
      <c r="B38" s="109" t="s">
        <v>47</v>
      </c>
      <c r="C38" s="43" t="s">
        <v>8</v>
      </c>
      <c r="D38" s="44">
        <v>91111</v>
      </c>
      <c r="E38" s="44">
        <v>0</v>
      </c>
      <c r="F38" s="43" t="s">
        <v>12</v>
      </c>
      <c r="G38" s="45"/>
    </row>
    <row r="39" spans="1:7" ht="26.25" customHeight="1" thickBot="1" x14ac:dyDescent="0.2">
      <c r="A39" s="108"/>
      <c r="B39" s="110"/>
      <c r="C39" s="55" t="s">
        <v>48</v>
      </c>
      <c r="D39" s="56">
        <v>91400</v>
      </c>
      <c r="E39" s="56">
        <v>14</v>
      </c>
      <c r="F39" s="55" t="s">
        <v>46</v>
      </c>
      <c r="G39" s="48"/>
    </row>
    <row r="40" spans="1:7" ht="26.25" customHeight="1" x14ac:dyDescent="0.15">
      <c r="A40" s="107">
        <v>26</v>
      </c>
      <c r="B40" s="109" t="s">
        <v>49</v>
      </c>
      <c r="C40" s="43" t="s">
        <v>8</v>
      </c>
      <c r="D40" s="44">
        <v>91111</v>
      </c>
      <c r="E40" s="44">
        <v>0</v>
      </c>
      <c r="F40" s="43" t="s">
        <v>12</v>
      </c>
      <c r="G40" s="45"/>
    </row>
    <row r="41" spans="1:7" ht="26.25" customHeight="1" thickBot="1" x14ac:dyDescent="0.2">
      <c r="A41" s="108"/>
      <c r="B41" s="110"/>
      <c r="C41" s="55" t="s">
        <v>50</v>
      </c>
      <c r="D41" s="56">
        <v>91400</v>
      </c>
      <c r="E41" s="56">
        <v>14</v>
      </c>
      <c r="F41" s="55" t="s">
        <v>46</v>
      </c>
      <c r="G41" s="48"/>
    </row>
    <row r="42" spans="1:7" ht="26.25" customHeight="1" x14ac:dyDescent="0.15">
      <c r="A42" s="107">
        <v>27</v>
      </c>
      <c r="B42" s="109" t="s">
        <v>51</v>
      </c>
      <c r="C42" s="43" t="s">
        <v>8</v>
      </c>
      <c r="D42" s="44">
        <v>91111</v>
      </c>
      <c r="E42" s="44">
        <v>0</v>
      </c>
      <c r="F42" s="43" t="s">
        <v>12</v>
      </c>
      <c r="G42" s="45"/>
    </row>
    <row r="43" spans="1:7" ht="26.25" customHeight="1" thickBot="1" x14ac:dyDescent="0.2">
      <c r="A43" s="108"/>
      <c r="B43" s="110"/>
      <c r="C43" s="55" t="s">
        <v>52</v>
      </c>
      <c r="D43" s="56">
        <v>91400</v>
      </c>
      <c r="E43" s="56">
        <v>14</v>
      </c>
      <c r="F43" s="55" t="s">
        <v>46</v>
      </c>
      <c r="G43" s="48"/>
    </row>
    <row r="44" spans="1:7" ht="26.25" customHeight="1" x14ac:dyDescent="0.15">
      <c r="A44" s="107">
        <v>28</v>
      </c>
      <c r="B44" s="109" t="s">
        <v>53</v>
      </c>
      <c r="C44" s="43" t="s">
        <v>8</v>
      </c>
      <c r="D44" s="44">
        <v>91111</v>
      </c>
      <c r="E44" s="44">
        <v>0</v>
      </c>
      <c r="F44" s="43" t="s">
        <v>12</v>
      </c>
      <c r="G44" s="45"/>
    </row>
    <row r="45" spans="1:7" ht="26.25" customHeight="1" thickBot="1" x14ac:dyDescent="0.2">
      <c r="A45" s="111"/>
      <c r="B45" s="112"/>
      <c r="C45" s="53" t="s">
        <v>54</v>
      </c>
      <c r="D45" s="54">
        <v>91400</v>
      </c>
      <c r="E45" s="54">
        <v>14</v>
      </c>
      <c r="F45" s="53" t="s">
        <v>46</v>
      </c>
      <c r="G45" s="39"/>
    </row>
  </sheetData>
  <autoFilter ref="A3:G45" xr:uid="{6269605C-8F38-4B80-8F4E-D281604CDECA}"/>
  <mergeCells count="29">
    <mergeCell ref="A1:G1"/>
    <mergeCell ref="A4:A5"/>
    <mergeCell ref="B4:B5"/>
    <mergeCell ref="A6:A7"/>
    <mergeCell ref="B6:B7"/>
    <mergeCell ref="A8:A9"/>
    <mergeCell ref="B8:B9"/>
    <mergeCell ref="B34:B35"/>
    <mergeCell ref="A20:A21"/>
    <mergeCell ref="B20:B21"/>
    <mergeCell ref="A24:A25"/>
    <mergeCell ref="B24:B25"/>
    <mergeCell ref="A26:A27"/>
    <mergeCell ref="B26:B27"/>
    <mergeCell ref="A28:A29"/>
    <mergeCell ref="B28:B29"/>
    <mergeCell ref="A32:A33"/>
    <mergeCell ref="B32:B33"/>
    <mergeCell ref="A34:A35"/>
    <mergeCell ref="A42:A43"/>
    <mergeCell ref="B42:B43"/>
    <mergeCell ref="A44:A45"/>
    <mergeCell ref="B44:B45"/>
    <mergeCell ref="A36:A37"/>
    <mergeCell ref="B36:B37"/>
    <mergeCell ref="A38:A39"/>
    <mergeCell ref="B38:B39"/>
    <mergeCell ref="A40:A41"/>
    <mergeCell ref="B40:B41"/>
  </mergeCells>
  <phoneticPr fontId="1"/>
  <printOptions horizontalCentered="1" verticalCentered="1"/>
  <pageMargins left="0.70866141732283472" right="0.70866141732283472" top="0.35433070866141736" bottom="0.15748031496062992" header="0.31496062992125984" footer="0.31496062992125984"/>
  <pageSetup paperSize="9" scale="57"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BC595-DB1C-4837-8994-967A55D357AE}">
  <dimension ref="A1:S715"/>
  <sheetViews>
    <sheetView tabSelected="1" topLeftCell="J368" zoomScale="70" zoomScaleNormal="70" workbookViewId="0">
      <selection activeCell="P373" sqref="P373:P379"/>
    </sheetView>
  </sheetViews>
  <sheetFormatPr defaultRowHeight="13.5" x14ac:dyDescent="0.4"/>
  <cols>
    <col min="1" max="3" width="3.625" style="1" customWidth="1"/>
    <col min="4" max="4" width="13.875" style="67" bestFit="1" customWidth="1"/>
    <col min="5" max="5" width="43" style="67" customWidth="1"/>
    <col min="6" max="6" width="5" style="67" customWidth="1"/>
    <col min="7" max="7" width="9.5" style="67" bestFit="1" customWidth="1"/>
    <col min="8" max="8" width="41.625" style="67" bestFit="1" customWidth="1"/>
    <col min="9" max="9" width="36.125" style="67" bestFit="1" customWidth="1"/>
    <col min="10" max="10" width="4.5" style="1" customWidth="1"/>
    <col min="11" max="11" width="9.5" style="1" bestFit="1" customWidth="1"/>
    <col min="12" max="12" width="41.625" style="1" bestFit="1" customWidth="1"/>
    <col min="13" max="13" width="36.125" style="1" bestFit="1" customWidth="1"/>
    <col min="14" max="14" width="4.5" style="1" customWidth="1"/>
    <col min="15" max="15" width="16.125" style="1" bestFit="1" customWidth="1"/>
    <col min="16" max="16" width="41.625" style="1" bestFit="1" customWidth="1"/>
    <col min="17" max="17" width="36.125" style="1" bestFit="1" customWidth="1"/>
    <col min="18" max="18" width="3" style="1" customWidth="1"/>
    <col min="19" max="16384" width="9" style="1"/>
  </cols>
  <sheetData>
    <row r="1" spans="1:18" x14ac:dyDescent="0.4">
      <c r="A1" s="6" t="s">
        <v>55</v>
      </c>
    </row>
    <row r="2" spans="1:18" x14ac:dyDescent="0.4">
      <c r="A2" s="6"/>
    </row>
    <row r="3" spans="1:18" ht="14.25" thickBot="1" x14ac:dyDescent="0.45"/>
    <row r="4" spans="1:18" x14ac:dyDescent="0.4">
      <c r="D4" s="81" t="s">
        <v>56</v>
      </c>
      <c r="E4" s="69"/>
      <c r="F4" s="69"/>
      <c r="G4" s="69"/>
      <c r="H4" s="69"/>
      <c r="I4" s="69"/>
      <c r="J4" s="70"/>
      <c r="K4" s="70"/>
      <c r="L4" s="70"/>
      <c r="M4" s="70"/>
      <c r="N4" s="70"/>
      <c r="O4" s="70"/>
      <c r="P4" s="70"/>
      <c r="Q4" s="70"/>
      <c r="R4" s="71"/>
    </row>
    <row r="5" spans="1:18" x14ac:dyDescent="0.4">
      <c r="D5" s="82">
        <v>1</v>
      </c>
      <c r="E5" s="103" t="s">
        <v>57</v>
      </c>
      <c r="F5" s="103"/>
      <c r="G5" s="103"/>
      <c r="R5" s="72"/>
    </row>
    <row r="6" spans="1:18" x14ac:dyDescent="0.4">
      <c r="D6" s="83"/>
      <c r="E6" s="103"/>
      <c r="F6" s="103"/>
      <c r="G6" s="103"/>
      <c r="R6" s="72"/>
    </row>
    <row r="7" spans="1:18" s="38" customFormat="1" x14ac:dyDescent="0.4">
      <c r="D7" s="84"/>
      <c r="E7" s="38" t="s">
        <v>58</v>
      </c>
      <c r="H7" s="67" t="str">
        <f>H9&amp;"円に緊急売価変更設定"</f>
        <v>200円に緊急売価変更設定</v>
      </c>
      <c r="I7" s="67" t="str">
        <f>I9&amp;"円のマニュアル単品値引"</f>
        <v>50円のマニュアル単品値引</v>
      </c>
      <c r="L7" s="67" t="str">
        <f>L9&amp;"円に緊急売価変更設定"</f>
        <v>300円に緊急売価変更設定</v>
      </c>
      <c r="M7" s="67" t="str">
        <f>M9&amp;"円のマニュアル単品値引"</f>
        <v>50円のマニュアル単品値引</v>
      </c>
      <c r="P7" s="67" t="str">
        <f>P9&amp;"円に緊急売価変更設定"</f>
        <v>350円に緊急売価変更設定</v>
      </c>
      <c r="Q7" s="67" t="str">
        <f>Q9&amp;"円のマニュアル単品値引"</f>
        <v>50円のマニュアル単品値引</v>
      </c>
      <c r="R7" s="106"/>
    </row>
    <row r="8" spans="1:18" s="37" customFormat="1" x14ac:dyDescent="0.4">
      <c r="D8" s="84"/>
      <c r="E8" s="90"/>
      <c r="F8" s="90"/>
      <c r="G8" s="65"/>
      <c r="H8" s="38"/>
      <c r="I8" s="38"/>
      <c r="R8" s="73"/>
    </row>
    <row r="9" spans="1:18" x14ac:dyDescent="0.4">
      <c r="D9" s="85"/>
      <c r="E9" s="89" t="s">
        <v>59</v>
      </c>
      <c r="F9" s="89"/>
      <c r="H9" s="67">
        <v>200</v>
      </c>
      <c r="I9" s="67">
        <v>50</v>
      </c>
      <c r="L9" s="67">
        <v>300</v>
      </c>
      <c r="M9" s="67">
        <v>50</v>
      </c>
      <c r="P9" s="67">
        <v>350</v>
      </c>
      <c r="Q9" s="67">
        <v>50</v>
      </c>
      <c r="R9" s="72"/>
    </row>
    <row r="10" spans="1:18" x14ac:dyDescent="0.4">
      <c r="D10" s="85"/>
      <c r="L10" s="67"/>
      <c r="M10" s="67"/>
      <c r="P10" s="67"/>
      <c r="Q10" s="67"/>
      <c r="R10" s="72"/>
    </row>
    <row r="11" spans="1:18" x14ac:dyDescent="0.4">
      <c r="D11" s="85"/>
      <c r="L11" s="67"/>
      <c r="M11" s="67"/>
      <c r="O11" s="102" t="s">
        <v>60</v>
      </c>
      <c r="P11" s="129" t="s">
        <v>61</v>
      </c>
      <c r="Q11" s="102" t="s">
        <v>62</v>
      </c>
      <c r="R11" s="72"/>
    </row>
    <row r="12" spans="1:18" x14ac:dyDescent="0.4">
      <c r="D12" s="85"/>
      <c r="G12" s="123" t="s">
        <v>63</v>
      </c>
      <c r="H12" s="144" t="s">
        <v>64</v>
      </c>
      <c r="K12" s="123" t="s">
        <v>63</v>
      </c>
      <c r="L12" s="129" t="s">
        <v>65</v>
      </c>
      <c r="M12" s="102" t="s">
        <v>66</v>
      </c>
      <c r="O12" s="123" t="s">
        <v>63</v>
      </c>
      <c r="P12" s="130"/>
      <c r="Q12" s="161" t="s">
        <v>67</v>
      </c>
      <c r="R12" s="72"/>
    </row>
    <row r="13" spans="1:18" x14ac:dyDescent="0.4">
      <c r="D13" s="85"/>
      <c r="G13" s="124"/>
      <c r="H13" s="139"/>
      <c r="K13" s="124"/>
      <c r="L13" s="130"/>
      <c r="M13" s="161" t="s">
        <v>68</v>
      </c>
      <c r="O13" s="124"/>
      <c r="P13" s="130"/>
      <c r="Q13" s="162"/>
      <c r="R13" s="72"/>
    </row>
    <row r="14" spans="1:18" x14ac:dyDescent="0.4">
      <c r="D14" s="85"/>
      <c r="G14" s="124"/>
      <c r="H14" s="145" t="s">
        <v>69</v>
      </c>
      <c r="I14" s="102" t="s">
        <v>66</v>
      </c>
      <c r="K14" s="124"/>
      <c r="L14" s="130"/>
      <c r="M14" s="162"/>
      <c r="O14" s="124"/>
      <c r="P14" s="130"/>
      <c r="Q14" s="162"/>
      <c r="R14" s="72"/>
    </row>
    <row r="15" spans="1:18" x14ac:dyDescent="0.4">
      <c r="D15" s="85"/>
      <c r="G15" s="124"/>
      <c r="H15" s="154"/>
      <c r="I15" s="161" t="s">
        <v>70</v>
      </c>
      <c r="K15" s="124"/>
      <c r="L15" s="130"/>
      <c r="M15" s="162"/>
      <c r="O15" s="124"/>
      <c r="P15" s="130"/>
      <c r="Q15" s="162"/>
      <c r="R15" s="72"/>
    </row>
    <row r="16" spans="1:18" x14ac:dyDescent="0.4">
      <c r="D16" s="85"/>
      <c r="G16" s="124"/>
      <c r="H16" s="154"/>
      <c r="I16" s="163"/>
      <c r="K16" s="124"/>
      <c r="L16" s="130"/>
      <c r="M16" s="162"/>
      <c r="O16" s="124"/>
      <c r="P16" s="130"/>
      <c r="Q16" s="162"/>
      <c r="R16" s="72"/>
    </row>
    <row r="17" spans="4:18" x14ac:dyDescent="0.4">
      <c r="D17" s="85"/>
      <c r="G17" s="125"/>
      <c r="H17" s="154"/>
      <c r="I17" s="163"/>
      <c r="K17" s="125"/>
      <c r="L17" s="130"/>
      <c r="M17" s="162"/>
      <c r="O17" s="125"/>
      <c r="P17" s="130"/>
      <c r="Q17" s="162"/>
      <c r="R17" s="72"/>
    </row>
    <row r="18" spans="4:18" x14ac:dyDescent="0.4">
      <c r="D18" s="85"/>
      <c r="E18" s="66" t="s">
        <v>71</v>
      </c>
      <c r="F18" s="66"/>
      <c r="G18" s="66"/>
      <c r="H18" s="101">
        <v>100</v>
      </c>
      <c r="I18" s="101">
        <v>50</v>
      </c>
      <c r="L18" s="92">
        <v>0</v>
      </c>
      <c r="M18" s="101">
        <v>50</v>
      </c>
      <c r="P18" s="92">
        <v>-50</v>
      </c>
      <c r="Q18" s="101">
        <v>50</v>
      </c>
      <c r="R18" s="72"/>
    </row>
    <row r="19" spans="4:18" ht="18.75" x14ac:dyDescent="0.4">
      <c r="D19" s="85"/>
      <c r="E19" s="66" t="s">
        <v>72</v>
      </c>
      <c r="F19" s="66"/>
      <c r="G19" s="66"/>
      <c r="H19" s="116">
        <v>150</v>
      </c>
      <c r="I19" s="139"/>
      <c r="L19" s="116">
        <v>250</v>
      </c>
      <c r="M19" s="116"/>
      <c r="P19" s="116">
        <v>300</v>
      </c>
      <c r="Q19" s="116"/>
      <c r="R19" s="72"/>
    </row>
    <row r="20" spans="4:18" x14ac:dyDescent="0.4">
      <c r="D20" s="85"/>
      <c r="E20" s="66"/>
      <c r="F20" s="66"/>
      <c r="G20" s="66"/>
      <c r="L20" s="67"/>
      <c r="M20" s="67"/>
      <c r="P20" s="67"/>
      <c r="Q20" s="67"/>
      <c r="R20" s="72"/>
    </row>
    <row r="21" spans="4:18" x14ac:dyDescent="0.4">
      <c r="D21" s="85"/>
      <c r="E21" s="66" t="s">
        <v>73</v>
      </c>
      <c r="F21" s="66"/>
      <c r="G21" s="66"/>
      <c r="L21" s="67"/>
      <c r="M21" s="67"/>
      <c r="P21" s="67"/>
      <c r="Q21" s="67"/>
      <c r="R21" s="72"/>
    </row>
    <row r="22" spans="4:18" x14ac:dyDescent="0.4">
      <c r="D22" s="85"/>
      <c r="E22" s="68" t="s">
        <v>74</v>
      </c>
      <c r="F22" s="68"/>
      <c r="G22" s="66"/>
      <c r="H22" s="67">
        <v>91111</v>
      </c>
      <c r="I22" s="67">
        <v>91220</v>
      </c>
      <c r="L22" s="67">
        <v>91111</v>
      </c>
      <c r="M22" s="67">
        <v>91220</v>
      </c>
      <c r="P22" s="67">
        <v>91111</v>
      </c>
      <c r="Q22" s="67">
        <v>91220</v>
      </c>
      <c r="R22" s="72"/>
    </row>
    <row r="23" spans="4:18" x14ac:dyDescent="0.4">
      <c r="D23" s="85"/>
      <c r="E23" s="68" t="s">
        <v>75</v>
      </c>
      <c r="F23" s="68"/>
      <c r="G23" s="66"/>
      <c r="H23" s="67">
        <v>0</v>
      </c>
      <c r="I23" s="67">
        <v>1</v>
      </c>
      <c r="L23" s="67">
        <v>0</v>
      </c>
      <c r="M23" s="67">
        <v>1</v>
      </c>
      <c r="P23" s="67">
        <v>0</v>
      </c>
      <c r="Q23" s="67">
        <v>1</v>
      </c>
      <c r="R23" s="72"/>
    </row>
    <row r="24" spans="4:18" x14ac:dyDescent="0.4">
      <c r="D24" s="85"/>
      <c r="E24" s="68" t="s">
        <v>76</v>
      </c>
      <c r="F24" s="68"/>
      <c r="G24" s="66"/>
      <c r="H24" s="66" t="s">
        <v>9</v>
      </c>
      <c r="I24" s="66" t="s">
        <v>7</v>
      </c>
      <c r="L24" s="66" t="s">
        <v>9</v>
      </c>
      <c r="M24" s="66" t="s">
        <v>7</v>
      </c>
      <c r="P24" s="66" t="s">
        <v>9</v>
      </c>
      <c r="Q24" s="66" t="s">
        <v>7</v>
      </c>
      <c r="R24" s="72"/>
    </row>
    <row r="25" spans="4:18" ht="27" x14ac:dyDescent="0.4">
      <c r="D25" s="85"/>
      <c r="E25" s="66" t="s">
        <v>71</v>
      </c>
      <c r="F25" s="66"/>
      <c r="G25" s="66"/>
      <c r="H25" s="66" t="s">
        <v>77</v>
      </c>
      <c r="I25" s="66" t="s">
        <v>78</v>
      </c>
      <c r="L25" s="93" t="s">
        <v>79</v>
      </c>
      <c r="M25" s="66" t="s">
        <v>78</v>
      </c>
      <c r="P25" s="94" t="s">
        <v>80</v>
      </c>
      <c r="Q25" s="66" t="s">
        <v>78</v>
      </c>
      <c r="R25" s="72"/>
    </row>
    <row r="26" spans="4:18" x14ac:dyDescent="0.4">
      <c r="D26" s="85"/>
      <c r="E26" s="80" t="s">
        <v>81</v>
      </c>
      <c r="F26" s="80"/>
      <c r="G26" s="66"/>
      <c r="L26" s="67"/>
      <c r="M26" s="67"/>
      <c r="P26" s="67"/>
      <c r="Q26" s="67"/>
      <c r="R26" s="72"/>
    </row>
    <row r="27" spans="4:18" ht="14.25" thickBot="1" x14ac:dyDescent="0.45">
      <c r="D27" s="86"/>
      <c r="E27" s="74"/>
      <c r="F27" s="74"/>
      <c r="G27" s="74"/>
      <c r="H27" s="74"/>
      <c r="I27" s="74"/>
      <c r="J27" s="75"/>
      <c r="K27" s="75"/>
      <c r="L27" s="75"/>
      <c r="M27" s="75"/>
      <c r="N27" s="75"/>
      <c r="O27" s="75"/>
      <c r="P27" s="75"/>
      <c r="Q27" s="75"/>
      <c r="R27" s="76"/>
    </row>
    <row r="28" spans="4:18" x14ac:dyDescent="0.4">
      <c r="D28" s="81" t="s">
        <v>56</v>
      </c>
      <c r="E28" s="69"/>
      <c r="F28" s="69"/>
      <c r="G28" s="69"/>
      <c r="H28" s="69"/>
      <c r="I28" s="69"/>
      <c r="J28" s="70"/>
      <c r="K28" s="70"/>
      <c r="L28" s="70"/>
      <c r="M28" s="70"/>
      <c r="N28" s="70"/>
      <c r="O28" s="70"/>
      <c r="P28" s="70"/>
      <c r="Q28" s="70"/>
      <c r="R28" s="71"/>
    </row>
    <row r="29" spans="4:18" x14ac:dyDescent="0.4">
      <c r="D29" s="82">
        <v>2</v>
      </c>
      <c r="E29" s="103" t="s">
        <v>82</v>
      </c>
      <c r="F29" s="103"/>
      <c r="G29" s="103"/>
      <c r="R29" s="72"/>
    </row>
    <row r="30" spans="4:18" x14ac:dyDescent="0.4">
      <c r="D30" s="83"/>
      <c r="E30" s="103"/>
      <c r="F30" s="103"/>
      <c r="G30" s="103"/>
      <c r="R30" s="72"/>
    </row>
    <row r="31" spans="4:18" s="38" customFormat="1" x14ac:dyDescent="0.4">
      <c r="D31" s="84"/>
      <c r="E31" s="38" t="s">
        <v>58</v>
      </c>
      <c r="H31" s="67" t="str">
        <f>H33&amp;"円に緊急売価変更設定"</f>
        <v>200円に緊急売価変更設定</v>
      </c>
      <c r="I31" s="67" t="str">
        <f>I33&amp;"％のマニュアル単品割引"</f>
        <v>10％のマニュアル単品割引</v>
      </c>
      <c r="L31" s="67" t="str">
        <f>L33&amp;"円に緊急売価変更設定"</f>
        <v>300円に緊急売価変更設定</v>
      </c>
      <c r="M31" s="67" t="str">
        <f>M33&amp;"％のマニュアル単品割引"</f>
        <v>10％のマニュアル単品割引</v>
      </c>
      <c r="P31" s="67" t="str">
        <f>P33&amp;"円に緊急売価変更設定"</f>
        <v>350円に緊急売価変更設定</v>
      </c>
      <c r="Q31" s="67" t="str">
        <f>Q33&amp;"％のマニュアル単品割引"</f>
        <v>10％のマニュアル単品割引</v>
      </c>
      <c r="R31" s="106"/>
    </row>
    <row r="32" spans="4:18" s="37" customFormat="1" x14ac:dyDescent="0.4">
      <c r="D32" s="84"/>
      <c r="E32" s="90"/>
      <c r="F32" s="90"/>
      <c r="G32" s="65"/>
      <c r="H32" s="38"/>
      <c r="I32" s="38"/>
      <c r="R32" s="73"/>
    </row>
    <row r="33" spans="4:18" x14ac:dyDescent="0.4">
      <c r="D33" s="85"/>
      <c r="E33" s="89" t="s">
        <v>83</v>
      </c>
      <c r="F33" s="89"/>
      <c r="H33" s="67">
        <v>200</v>
      </c>
      <c r="I33" s="67">
        <v>10</v>
      </c>
      <c r="L33" s="67">
        <v>300</v>
      </c>
      <c r="M33" s="67">
        <v>10</v>
      </c>
      <c r="P33" s="67">
        <v>350</v>
      </c>
      <c r="Q33" s="67">
        <v>10</v>
      </c>
      <c r="R33" s="72"/>
    </row>
    <row r="34" spans="4:18" x14ac:dyDescent="0.4">
      <c r="D34" s="85"/>
      <c r="L34" s="67"/>
      <c r="M34" s="67"/>
      <c r="P34" s="67"/>
      <c r="Q34" s="67"/>
      <c r="R34" s="72"/>
    </row>
    <row r="35" spans="4:18" x14ac:dyDescent="0.4">
      <c r="D35" s="85"/>
      <c r="L35" s="67"/>
      <c r="M35" s="67"/>
      <c r="O35" s="102" t="s">
        <v>60</v>
      </c>
      <c r="P35" s="129" t="s">
        <v>61</v>
      </c>
      <c r="Q35" s="102" t="s">
        <v>84</v>
      </c>
      <c r="R35" s="72"/>
    </row>
    <row r="36" spans="4:18" x14ac:dyDescent="0.4">
      <c r="D36" s="85"/>
      <c r="G36" s="123" t="s">
        <v>63</v>
      </c>
      <c r="H36" s="144" t="s">
        <v>85</v>
      </c>
      <c r="K36" s="123" t="s">
        <v>63</v>
      </c>
      <c r="L36" s="129" t="s">
        <v>65</v>
      </c>
      <c r="M36" s="102" t="s">
        <v>86</v>
      </c>
      <c r="O36" s="123" t="s">
        <v>63</v>
      </c>
      <c r="P36" s="130"/>
      <c r="Q36" s="161" t="s">
        <v>87</v>
      </c>
      <c r="R36" s="72"/>
    </row>
    <row r="37" spans="4:18" x14ac:dyDescent="0.4">
      <c r="D37" s="85"/>
      <c r="G37" s="124"/>
      <c r="H37" s="139"/>
      <c r="K37" s="124"/>
      <c r="L37" s="130"/>
      <c r="M37" s="161" t="s">
        <v>88</v>
      </c>
      <c r="O37" s="124"/>
      <c r="P37" s="130"/>
      <c r="Q37" s="162"/>
      <c r="R37" s="72"/>
    </row>
    <row r="38" spans="4:18" x14ac:dyDescent="0.4">
      <c r="D38" s="85"/>
      <c r="G38" s="124"/>
      <c r="H38" s="145" t="s">
        <v>69</v>
      </c>
      <c r="I38" s="102" t="s">
        <v>89</v>
      </c>
      <c r="K38" s="124"/>
      <c r="L38" s="130"/>
      <c r="M38" s="162"/>
      <c r="O38" s="124"/>
      <c r="P38" s="130"/>
      <c r="Q38" s="162"/>
      <c r="R38" s="72"/>
    </row>
    <row r="39" spans="4:18" x14ac:dyDescent="0.4">
      <c r="D39" s="85"/>
      <c r="G39" s="124"/>
      <c r="H39" s="154"/>
      <c r="I39" s="161" t="s">
        <v>90</v>
      </c>
      <c r="K39" s="124"/>
      <c r="L39" s="130"/>
      <c r="M39" s="162"/>
      <c r="O39" s="124"/>
      <c r="P39" s="130"/>
      <c r="Q39" s="162"/>
      <c r="R39" s="72"/>
    </row>
    <row r="40" spans="4:18" x14ac:dyDescent="0.4">
      <c r="D40" s="85"/>
      <c r="G40" s="124"/>
      <c r="H40" s="154"/>
      <c r="I40" s="163"/>
      <c r="K40" s="124"/>
      <c r="L40" s="130"/>
      <c r="M40" s="162"/>
      <c r="O40" s="124"/>
      <c r="P40" s="130"/>
      <c r="Q40" s="162"/>
      <c r="R40" s="72"/>
    </row>
    <row r="41" spans="4:18" x14ac:dyDescent="0.4">
      <c r="D41" s="85"/>
      <c r="G41" s="125"/>
      <c r="H41" s="154"/>
      <c r="I41" s="163"/>
      <c r="K41" s="125"/>
      <c r="L41" s="130"/>
      <c r="M41" s="162"/>
      <c r="O41" s="125"/>
      <c r="P41" s="130"/>
      <c r="Q41" s="162"/>
      <c r="R41" s="72"/>
    </row>
    <row r="42" spans="4:18" x14ac:dyDescent="0.4">
      <c r="D42" s="85"/>
      <c r="E42" s="66" t="s">
        <v>71</v>
      </c>
      <c r="F42" s="66"/>
      <c r="G42" s="66"/>
      <c r="H42" s="101">
        <v>100</v>
      </c>
      <c r="I42" s="101">
        <v>20</v>
      </c>
      <c r="L42" s="92">
        <v>0</v>
      </c>
      <c r="M42" s="101">
        <v>30</v>
      </c>
      <c r="P42" s="92">
        <v>-50</v>
      </c>
      <c r="Q42" s="101">
        <v>35</v>
      </c>
      <c r="R42" s="72"/>
    </row>
    <row r="43" spans="4:18" ht="18.75" x14ac:dyDescent="0.4">
      <c r="D43" s="85"/>
      <c r="E43" s="66" t="s">
        <v>72</v>
      </c>
      <c r="F43" s="66"/>
      <c r="G43" s="66"/>
      <c r="H43" s="116">
        <v>180</v>
      </c>
      <c r="I43" s="139"/>
      <c r="L43" s="116">
        <v>270</v>
      </c>
      <c r="M43" s="116"/>
      <c r="P43" s="116">
        <v>315</v>
      </c>
      <c r="Q43" s="116"/>
      <c r="R43" s="72"/>
    </row>
    <row r="44" spans="4:18" x14ac:dyDescent="0.4">
      <c r="D44" s="85"/>
      <c r="E44" s="66"/>
      <c r="F44" s="66"/>
      <c r="G44" s="66"/>
      <c r="L44" s="67"/>
      <c r="M44" s="67"/>
      <c r="P44" s="67"/>
      <c r="Q44" s="67"/>
      <c r="R44" s="72"/>
    </row>
    <row r="45" spans="4:18" x14ac:dyDescent="0.4">
      <c r="D45" s="85"/>
      <c r="E45" s="66" t="s">
        <v>73</v>
      </c>
      <c r="F45" s="66"/>
      <c r="G45" s="66"/>
      <c r="L45" s="67"/>
      <c r="M45" s="67"/>
      <c r="P45" s="67"/>
      <c r="Q45" s="67"/>
      <c r="R45" s="72"/>
    </row>
    <row r="46" spans="4:18" x14ac:dyDescent="0.4">
      <c r="D46" s="85"/>
      <c r="E46" s="68" t="s">
        <v>74</v>
      </c>
      <c r="F46" s="68"/>
      <c r="G46" s="66"/>
      <c r="H46" s="67">
        <v>91111</v>
      </c>
      <c r="I46" s="67">
        <v>91220</v>
      </c>
      <c r="L46" s="67">
        <v>91111</v>
      </c>
      <c r="M46" s="67">
        <v>91220</v>
      </c>
      <c r="P46" s="67">
        <v>91111</v>
      </c>
      <c r="Q46" s="67">
        <v>91220</v>
      </c>
      <c r="R46" s="72"/>
    </row>
    <row r="47" spans="4:18" x14ac:dyDescent="0.4">
      <c r="D47" s="85"/>
      <c r="E47" s="68" t="s">
        <v>75</v>
      </c>
      <c r="F47" s="68"/>
      <c r="G47" s="66"/>
      <c r="H47" s="67">
        <v>0</v>
      </c>
      <c r="I47" s="67">
        <v>2</v>
      </c>
      <c r="L47" s="67">
        <v>0</v>
      </c>
      <c r="M47" s="67">
        <v>2</v>
      </c>
      <c r="P47" s="67">
        <v>0</v>
      </c>
      <c r="Q47" s="67">
        <v>2</v>
      </c>
      <c r="R47" s="72"/>
    </row>
    <row r="48" spans="4:18" x14ac:dyDescent="0.4">
      <c r="D48" s="85"/>
      <c r="E48" s="68" t="s">
        <v>76</v>
      </c>
      <c r="F48" s="68"/>
      <c r="G48" s="66"/>
      <c r="H48" s="66" t="s">
        <v>9</v>
      </c>
      <c r="I48" s="66" t="s">
        <v>14</v>
      </c>
      <c r="L48" s="66" t="s">
        <v>9</v>
      </c>
      <c r="M48" s="66" t="s">
        <v>14</v>
      </c>
      <c r="P48" s="66" t="s">
        <v>9</v>
      </c>
      <c r="Q48" s="66" t="s">
        <v>14</v>
      </c>
      <c r="R48" s="72"/>
    </row>
    <row r="49" spans="4:18" ht="27" x14ac:dyDescent="0.4">
      <c r="D49" s="85"/>
      <c r="E49" s="66" t="s">
        <v>71</v>
      </c>
      <c r="F49" s="66"/>
      <c r="G49" s="66"/>
      <c r="H49" s="66" t="s">
        <v>77</v>
      </c>
      <c r="I49" s="66" t="s">
        <v>91</v>
      </c>
      <c r="L49" s="93" t="s">
        <v>79</v>
      </c>
      <c r="M49" s="66" t="s">
        <v>92</v>
      </c>
      <c r="P49" s="94" t="s">
        <v>80</v>
      </c>
      <c r="Q49" s="66" t="s">
        <v>93</v>
      </c>
      <c r="R49" s="72"/>
    </row>
    <row r="50" spans="4:18" x14ac:dyDescent="0.4">
      <c r="D50" s="85"/>
      <c r="E50" s="80" t="s">
        <v>81</v>
      </c>
      <c r="F50" s="80"/>
      <c r="G50" s="66"/>
      <c r="L50" s="67"/>
      <c r="M50" s="67"/>
      <c r="P50" s="67"/>
      <c r="Q50" s="67"/>
      <c r="R50" s="72"/>
    </row>
    <row r="51" spans="4:18" ht="14.25" thickBot="1" x14ac:dyDescent="0.45">
      <c r="D51" s="86"/>
      <c r="E51" s="74"/>
      <c r="F51" s="74"/>
      <c r="G51" s="74"/>
      <c r="H51" s="74"/>
      <c r="I51" s="74"/>
      <c r="J51" s="75"/>
      <c r="K51" s="75"/>
      <c r="L51" s="75"/>
      <c r="M51" s="75"/>
      <c r="N51" s="75"/>
      <c r="O51" s="75"/>
      <c r="P51" s="75"/>
      <c r="Q51" s="75"/>
      <c r="R51" s="76"/>
    </row>
    <row r="52" spans="4:18" x14ac:dyDescent="0.4">
      <c r="D52" s="81" t="s">
        <v>56</v>
      </c>
      <c r="E52" s="69"/>
      <c r="F52" s="69"/>
      <c r="G52" s="69"/>
      <c r="H52" s="69"/>
      <c r="I52" s="69"/>
      <c r="J52" s="70"/>
      <c r="K52" s="70"/>
      <c r="L52" s="70"/>
      <c r="M52" s="70"/>
      <c r="N52" s="70"/>
      <c r="O52" s="70"/>
      <c r="P52" s="70"/>
      <c r="Q52" s="70"/>
      <c r="R52" s="71"/>
    </row>
    <row r="53" spans="4:18" x14ac:dyDescent="0.4">
      <c r="D53" s="82">
        <v>3</v>
      </c>
      <c r="E53" s="103" t="s">
        <v>94</v>
      </c>
      <c r="F53" s="103"/>
      <c r="G53" s="103"/>
      <c r="R53" s="72"/>
    </row>
    <row r="54" spans="4:18" x14ac:dyDescent="0.4">
      <c r="D54" s="83"/>
      <c r="E54" s="103"/>
      <c r="F54" s="103"/>
      <c r="G54" s="103"/>
      <c r="R54" s="72"/>
    </row>
    <row r="55" spans="4:18" s="38" customFormat="1" x14ac:dyDescent="0.4">
      <c r="D55" s="84"/>
      <c r="E55" s="38" t="s">
        <v>58</v>
      </c>
      <c r="H55" s="67" t="str">
        <f>H57&amp;"円に緊急売価変更設定"</f>
        <v>200円に緊急売価変更設定</v>
      </c>
      <c r="I55" s="67" t="str">
        <f>I57&amp;"円にレジでの売価変更"</f>
        <v>150円にレジでの売価変更</v>
      </c>
      <c r="L55" s="67" t="str">
        <f>L57&amp;"円に緊急売価変更設定"</f>
        <v>300円に緊急売価変更設定</v>
      </c>
      <c r="M55" s="67" t="str">
        <f>M57&amp;"円にレジでの売価変更"</f>
        <v>250円にレジでの売価変更</v>
      </c>
      <c r="P55" s="67" t="str">
        <f>P57&amp;"円に緊急売価変更設定"</f>
        <v>350円に緊急売価変更設定</v>
      </c>
      <c r="Q55" s="67" t="str">
        <f>Q57&amp;"円にレジでの売価変更"</f>
        <v>300円にレジでの売価変更</v>
      </c>
      <c r="R55" s="106"/>
    </row>
    <row r="56" spans="4:18" s="37" customFormat="1" x14ac:dyDescent="0.4">
      <c r="D56" s="84"/>
      <c r="E56" s="90"/>
      <c r="F56" s="90"/>
      <c r="G56" s="65"/>
      <c r="H56" s="38"/>
      <c r="I56" s="38"/>
      <c r="R56" s="73"/>
    </row>
    <row r="57" spans="4:18" x14ac:dyDescent="0.4">
      <c r="D57" s="85"/>
      <c r="E57" s="89" t="s">
        <v>95</v>
      </c>
      <c r="F57" s="89"/>
      <c r="H57" s="67">
        <v>200</v>
      </c>
      <c r="I57" s="67">
        <v>150</v>
      </c>
      <c r="L57" s="67">
        <v>300</v>
      </c>
      <c r="M57" s="67">
        <v>250</v>
      </c>
      <c r="P57" s="67">
        <v>350</v>
      </c>
      <c r="Q57" s="67">
        <v>300</v>
      </c>
      <c r="R57" s="72"/>
    </row>
    <row r="58" spans="4:18" x14ac:dyDescent="0.4">
      <c r="D58" s="85"/>
      <c r="L58" s="67"/>
      <c r="M58" s="67"/>
      <c r="P58" s="67"/>
      <c r="Q58" s="67"/>
      <c r="R58" s="72"/>
    </row>
    <row r="59" spans="4:18" x14ac:dyDescent="0.4">
      <c r="D59" s="85"/>
      <c r="L59" s="67"/>
      <c r="M59" s="67"/>
      <c r="O59" s="102" t="s">
        <v>60</v>
      </c>
      <c r="P59" s="129" t="s">
        <v>96</v>
      </c>
      <c r="Q59" s="102" t="s">
        <v>62</v>
      </c>
      <c r="R59" s="72"/>
    </row>
    <row r="60" spans="4:18" x14ac:dyDescent="0.4">
      <c r="D60" s="85"/>
      <c r="G60" s="123" t="s">
        <v>63</v>
      </c>
      <c r="H60" s="144" t="s">
        <v>97</v>
      </c>
      <c r="K60" s="123" t="s">
        <v>63</v>
      </c>
      <c r="L60" s="129" t="s">
        <v>98</v>
      </c>
      <c r="M60" s="102" t="s">
        <v>62</v>
      </c>
      <c r="O60" s="123" t="s">
        <v>63</v>
      </c>
      <c r="P60" s="130"/>
      <c r="Q60" s="132" t="s">
        <v>99</v>
      </c>
      <c r="R60" s="72"/>
    </row>
    <row r="61" spans="4:18" ht="13.5" customHeight="1" x14ac:dyDescent="0.4">
      <c r="D61" s="85"/>
      <c r="G61" s="124"/>
      <c r="H61" s="139"/>
      <c r="K61" s="124"/>
      <c r="L61" s="130"/>
      <c r="M61" s="132" t="s">
        <v>100</v>
      </c>
      <c r="O61" s="124"/>
      <c r="P61" s="130"/>
      <c r="Q61" s="130"/>
      <c r="R61" s="72"/>
    </row>
    <row r="62" spans="4:18" x14ac:dyDescent="0.4">
      <c r="D62" s="85"/>
      <c r="G62" s="124"/>
      <c r="H62" s="145" t="s">
        <v>69</v>
      </c>
      <c r="I62" s="102" t="s">
        <v>66</v>
      </c>
      <c r="K62" s="124"/>
      <c r="L62" s="130"/>
      <c r="M62" s="130"/>
      <c r="O62" s="124"/>
      <c r="P62" s="130"/>
      <c r="Q62" s="130"/>
      <c r="R62" s="72"/>
    </row>
    <row r="63" spans="4:18" x14ac:dyDescent="0.4">
      <c r="D63" s="85"/>
      <c r="G63" s="124"/>
      <c r="H63" s="154"/>
      <c r="I63" s="132" t="s">
        <v>101</v>
      </c>
      <c r="K63" s="124"/>
      <c r="L63" s="130"/>
      <c r="M63" s="130"/>
      <c r="O63" s="124"/>
      <c r="P63" s="130"/>
      <c r="Q63" s="130"/>
      <c r="R63" s="72"/>
    </row>
    <row r="64" spans="4:18" x14ac:dyDescent="0.4">
      <c r="D64" s="85"/>
      <c r="G64" s="124"/>
      <c r="H64" s="154"/>
      <c r="I64" s="147"/>
      <c r="K64" s="124"/>
      <c r="L64" s="130"/>
      <c r="M64" s="130"/>
      <c r="O64" s="124"/>
      <c r="P64" s="130"/>
      <c r="Q64" s="130"/>
      <c r="R64" s="72"/>
    </row>
    <row r="65" spans="4:18" x14ac:dyDescent="0.4">
      <c r="D65" s="85"/>
      <c r="G65" s="125"/>
      <c r="H65" s="154"/>
      <c r="I65" s="147"/>
      <c r="K65" s="125"/>
      <c r="L65" s="130"/>
      <c r="M65" s="130"/>
      <c r="O65" s="125"/>
      <c r="P65" s="130"/>
      <c r="Q65" s="130"/>
      <c r="R65" s="72"/>
    </row>
    <row r="66" spans="4:18" x14ac:dyDescent="0.4">
      <c r="D66" s="85"/>
      <c r="E66" s="66" t="s">
        <v>71</v>
      </c>
      <c r="F66" s="66"/>
      <c r="G66" s="66"/>
      <c r="H66" s="101">
        <v>100</v>
      </c>
      <c r="I66" s="101">
        <v>50</v>
      </c>
      <c r="L66" s="92">
        <v>0</v>
      </c>
      <c r="M66" s="101">
        <v>50</v>
      </c>
      <c r="P66" s="92">
        <v>-50</v>
      </c>
      <c r="Q66" s="101">
        <v>50</v>
      </c>
      <c r="R66" s="72"/>
    </row>
    <row r="67" spans="4:18" x14ac:dyDescent="0.4">
      <c r="D67" s="85"/>
      <c r="E67" s="66" t="s">
        <v>72</v>
      </c>
      <c r="F67" s="66"/>
      <c r="G67" s="66"/>
      <c r="H67" s="116">
        <v>150</v>
      </c>
      <c r="I67" s="116"/>
      <c r="L67" s="116">
        <v>250</v>
      </c>
      <c r="M67" s="116"/>
      <c r="P67" s="116">
        <v>300</v>
      </c>
      <c r="Q67" s="116"/>
      <c r="R67" s="72"/>
    </row>
    <row r="68" spans="4:18" x14ac:dyDescent="0.4">
      <c r="D68" s="85"/>
      <c r="E68" s="66"/>
      <c r="F68" s="66"/>
      <c r="G68" s="66"/>
      <c r="L68" s="67"/>
      <c r="M68" s="67"/>
      <c r="P68" s="67"/>
      <c r="Q68" s="67"/>
      <c r="R68" s="72"/>
    </row>
    <row r="69" spans="4:18" x14ac:dyDescent="0.4">
      <c r="D69" s="85"/>
      <c r="E69" s="66" t="s">
        <v>73</v>
      </c>
      <c r="F69" s="66"/>
      <c r="G69" s="66"/>
      <c r="L69" s="67"/>
      <c r="M69" s="67"/>
      <c r="P69" s="67"/>
      <c r="Q69" s="67"/>
      <c r="R69" s="72"/>
    </row>
    <row r="70" spans="4:18" x14ac:dyDescent="0.4">
      <c r="D70" s="85"/>
      <c r="E70" s="68" t="s">
        <v>74</v>
      </c>
      <c r="F70" s="68"/>
      <c r="G70" s="66"/>
      <c r="H70" s="67">
        <v>91111</v>
      </c>
      <c r="I70" s="67">
        <v>91220</v>
      </c>
      <c r="L70" s="67">
        <v>91111</v>
      </c>
      <c r="M70" s="67">
        <v>91220</v>
      </c>
      <c r="P70" s="67">
        <v>91111</v>
      </c>
      <c r="Q70" s="67">
        <v>91220</v>
      </c>
      <c r="R70" s="72"/>
    </row>
    <row r="71" spans="4:18" x14ac:dyDescent="0.4">
      <c r="D71" s="85"/>
      <c r="E71" s="68" t="s">
        <v>75</v>
      </c>
      <c r="F71" s="68"/>
      <c r="G71" s="66"/>
      <c r="H71" s="67">
        <v>0</v>
      </c>
      <c r="I71" s="67">
        <v>6</v>
      </c>
      <c r="L71" s="67">
        <v>0</v>
      </c>
      <c r="M71" s="67">
        <v>6</v>
      </c>
      <c r="P71" s="67">
        <v>0</v>
      </c>
      <c r="Q71" s="67">
        <v>6</v>
      </c>
      <c r="R71" s="72"/>
    </row>
    <row r="72" spans="4:18" x14ac:dyDescent="0.4">
      <c r="D72" s="85"/>
      <c r="E72" s="68" t="s">
        <v>76</v>
      </c>
      <c r="F72" s="68"/>
      <c r="G72" s="66"/>
      <c r="H72" s="66" t="s">
        <v>9</v>
      </c>
      <c r="I72" s="66" t="s">
        <v>17</v>
      </c>
      <c r="L72" s="66" t="s">
        <v>9</v>
      </c>
      <c r="M72" s="66" t="s">
        <v>17</v>
      </c>
      <c r="P72" s="66" t="s">
        <v>9</v>
      </c>
      <c r="Q72" s="66" t="s">
        <v>17</v>
      </c>
      <c r="R72" s="72"/>
    </row>
    <row r="73" spans="4:18" ht="27" x14ac:dyDescent="0.4">
      <c r="D73" s="85"/>
      <c r="E73" s="66" t="s">
        <v>71</v>
      </c>
      <c r="F73" s="66"/>
      <c r="G73" s="66"/>
      <c r="H73" s="66" t="s">
        <v>77</v>
      </c>
      <c r="I73" s="66" t="s">
        <v>102</v>
      </c>
      <c r="L73" s="93" t="s">
        <v>79</v>
      </c>
      <c r="M73" s="66" t="s">
        <v>102</v>
      </c>
      <c r="P73" s="94" t="s">
        <v>80</v>
      </c>
      <c r="Q73" s="66" t="s">
        <v>102</v>
      </c>
      <c r="R73" s="72"/>
    </row>
    <row r="74" spans="4:18" x14ac:dyDescent="0.4">
      <c r="D74" s="85"/>
      <c r="E74" s="80" t="s">
        <v>81</v>
      </c>
      <c r="F74" s="80"/>
      <c r="G74" s="66"/>
      <c r="L74" s="67"/>
      <c r="M74" s="67"/>
      <c r="P74" s="67"/>
      <c r="Q74" s="67"/>
      <c r="R74" s="72"/>
    </row>
    <row r="75" spans="4:18" ht="14.25" thickBot="1" x14ac:dyDescent="0.45">
      <c r="D75" s="86"/>
      <c r="E75" s="74"/>
      <c r="F75" s="74"/>
      <c r="G75" s="74"/>
      <c r="H75" s="74"/>
      <c r="I75" s="74"/>
      <c r="J75" s="75"/>
      <c r="K75" s="75"/>
      <c r="L75" s="75"/>
      <c r="M75" s="75"/>
      <c r="N75" s="75"/>
      <c r="O75" s="75"/>
      <c r="P75" s="75"/>
      <c r="Q75" s="75"/>
      <c r="R75" s="76"/>
    </row>
    <row r="76" spans="4:18" x14ac:dyDescent="0.4">
      <c r="D76" s="81" t="s">
        <v>56</v>
      </c>
      <c r="E76" s="69"/>
      <c r="F76" s="69"/>
      <c r="G76" s="69"/>
      <c r="H76" s="69"/>
      <c r="I76" s="69"/>
      <c r="J76" s="70"/>
      <c r="K76" s="70"/>
      <c r="L76" s="70"/>
      <c r="M76" s="70"/>
      <c r="N76" s="70"/>
      <c r="O76" s="70"/>
      <c r="P76" s="70"/>
      <c r="Q76" s="70"/>
      <c r="R76" s="71"/>
    </row>
    <row r="77" spans="4:18" x14ac:dyDescent="0.4">
      <c r="D77" s="85">
        <v>4</v>
      </c>
      <c r="E77" s="103" t="s">
        <v>103</v>
      </c>
      <c r="F77" s="103"/>
      <c r="G77" s="103"/>
      <c r="R77" s="72"/>
    </row>
    <row r="78" spans="4:18" x14ac:dyDescent="0.4">
      <c r="D78" s="85"/>
      <c r="E78" s="103"/>
      <c r="F78" s="103"/>
      <c r="G78" s="103"/>
      <c r="R78" s="72"/>
    </row>
    <row r="79" spans="4:18" s="38" customFormat="1" x14ac:dyDescent="0.4">
      <c r="D79" s="84"/>
      <c r="E79" s="38" t="s">
        <v>58</v>
      </c>
      <c r="H79" s="67" t="str">
        <f>H81&amp;"円に緊急売価変更設定"</f>
        <v>250円に緊急売価変更設定</v>
      </c>
      <c r="I79" s="67" t="str">
        <f>I81&amp;"円にレジでの売価変更"</f>
        <v>250円にレジでの売価変更</v>
      </c>
      <c r="L79" s="67" t="str">
        <f>L81&amp;"円に緊急売価変更設定"</f>
        <v>300円に緊急売価変更設定</v>
      </c>
      <c r="M79" s="67" t="str">
        <f>M81&amp;"円にレジでの売価変更"</f>
        <v>300円にレジでの売価変更</v>
      </c>
      <c r="P79" s="67" t="str">
        <f>P81&amp;"円に緊急売価変更設定"</f>
        <v>350円に緊急売価変更設定</v>
      </c>
      <c r="Q79" s="67" t="str">
        <f>Q81&amp;"円にレジでの売価変更"</f>
        <v>350円にレジでの売価変更</v>
      </c>
      <c r="R79" s="106"/>
    </row>
    <row r="80" spans="4:18" s="37" customFormat="1" x14ac:dyDescent="0.4">
      <c r="D80" s="84"/>
      <c r="E80" s="65"/>
      <c r="F80" s="65"/>
      <c r="G80" s="65"/>
      <c r="H80" s="38"/>
      <c r="I80" s="38"/>
      <c r="R80" s="73"/>
    </row>
    <row r="81" spans="4:18" x14ac:dyDescent="0.4">
      <c r="D81" s="85"/>
      <c r="E81" s="67" t="s">
        <v>95</v>
      </c>
      <c r="H81" s="67">
        <v>250</v>
      </c>
      <c r="I81" s="67">
        <v>250</v>
      </c>
      <c r="L81" s="67">
        <v>300</v>
      </c>
      <c r="M81" s="67">
        <v>300</v>
      </c>
      <c r="P81" s="67">
        <v>350</v>
      </c>
      <c r="Q81" s="67">
        <v>350</v>
      </c>
      <c r="R81" s="72"/>
    </row>
    <row r="82" spans="4:18" x14ac:dyDescent="0.4">
      <c r="D82" s="85"/>
      <c r="L82" s="67"/>
      <c r="P82" s="67"/>
      <c r="R82" s="72"/>
    </row>
    <row r="83" spans="4:18" x14ac:dyDescent="0.4">
      <c r="D83" s="85"/>
      <c r="O83" s="102" t="s">
        <v>60</v>
      </c>
      <c r="P83" s="129" t="s">
        <v>104</v>
      </c>
      <c r="Q83" s="126" t="s">
        <v>105</v>
      </c>
      <c r="R83" s="72"/>
    </row>
    <row r="84" spans="4:18" x14ac:dyDescent="0.4">
      <c r="D84" s="85"/>
      <c r="G84" s="123" t="s">
        <v>63</v>
      </c>
      <c r="H84" s="102" t="s">
        <v>106</v>
      </c>
      <c r="K84" s="123" t="s">
        <v>63</v>
      </c>
      <c r="L84" s="121" t="s">
        <v>107</v>
      </c>
      <c r="M84" s="132" t="s">
        <v>99</v>
      </c>
      <c r="O84" s="123" t="s">
        <v>63</v>
      </c>
      <c r="P84" s="130"/>
      <c r="Q84" s="152"/>
      <c r="R84" s="72"/>
    </row>
    <row r="85" spans="4:18" x14ac:dyDescent="0.4">
      <c r="D85" s="85"/>
      <c r="G85" s="124"/>
      <c r="H85" s="129" t="s">
        <v>108</v>
      </c>
      <c r="I85" s="132" t="s">
        <v>109</v>
      </c>
      <c r="K85" s="124"/>
      <c r="L85" s="152"/>
      <c r="M85" s="130"/>
      <c r="O85" s="124"/>
      <c r="P85" s="130"/>
      <c r="Q85" s="152"/>
      <c r="R85" s="72"/>
    </row>
    <row r="86" spans="4:18" x14ac:dyDescent="0.4">
      <c r="D86" s="85"/>
      <c r="G86" s="124"/>
      <c r="H86" s="139"/>
      <c r="I86" s="139"/>
      <c r="K86" s="124"/>
      <c r="L86" s="152"/>
      <c r="M86" s="130"/>
      <c r="O86" s="124"/>
      <c r="P86" s="130"/>
      <c r="Q86" s="152"/>
      <c r="R86" s="72"/>
    </row>
    <row r="87" spans="4:18" x14ac:dyDescent="0.4">
      <c r="D87" s="85"/>
      <c r="G87" s="124"/>
      <c r="H87" s="139"/>
      <c r="I87" s="139"/>
      <c r="K87" s="124"/>
      <c r="L87" s="152"/>
      <c r="M87" s="130"/>
      <c r="O87" s="124"/>
      <c r="P87" s="130"/>
      <c r="Q87" s="152"/>
      <c r="R87" s="72"/>
    </row>
    <row r="88" spans="4:18" x14ac:dyDescent="0.4">
      <c r="D88" s="85"/>
      <c r="G88" s="124"/>
      <c r="H88" s="139"/>
      <c r="I88" s="139"/>
      <c r="K88" s="124"/>
      <c r="L88" s="152"/>
      <c r="M88" s="130"/>
      <c r="O88" s="124"/>
      <c r="P88" s="130"/>
      <c r="Q88" s="152"/>
      <c r="R88" s="72"/>
    </row>
    <row r="89" spans="4:18" x14ac:dyDescent="0.4">
      <c r="D89" s="85"/>
      <c r="G89" s="125"/>
      <c r="H89" s="139"/>
      <c r="I89" s="139"/>
      <c r="K89" s="125"/>
      <c r="L89" s="153"/>
      <c r="M89" s="130"/>
      <c r="O89" s="125"/>
      <c r="P89" s="130"/>
      <c r="Q89" s="153"/>
      <c r="R89" s="72"/>
    </row>
    <row r="90" spans="4:18" x14ac:dyDescent="0.4">
      <c r="D90" s="85"/>
      <c r="E90" s="66" t="s">
        <v>71</v>
      </c>
      <c r="F90" s="66"/>
      <c r="G90" s="66"/>
      <c r="H90" s="101">
        <v>50</v>
      </c>
      <c r="I90" s="101"/>
      <c r="L90" s="92">
        <v>0</v>
      </c>
      <c r="M90" s="3"/>
      <c r="P90" s="92">
        <v>-50</v>
      </c>
      <c r="Q90" s="3"/>
      <c r="R90" s="72"/>
    </row>
    <row r="91" spans="4:18" x14ac:dyDescent="0.4">
      <c r="D91" s="85"/>
      <c r="E91" s="66" t="s">
        <v>72</v>
      </c>
      <c r="F91" s="66"/>
      <c r="G91" s="66"/>
      <c r="H91" s="116">
        <v>250</v>
      </c>
      <c r="I91" s="116"/>
      <c r="L91" s="116">
        <v>300</v>
      </c>
      <c r="M91" s="116"/>
      <c r="P91" s="116">
        <v>350</v>
      </c>
      <c r="Q91" s="116"/>
      <c r="R91" s="72"/>
    </row>
    <row r="92" spans="4:18" x14ac:dyDescent="0.4">
      <c r="D92" s="85"/>
      <c r="E92" s="66"/>
      <c r="F92" s="66"/>
      <c r="G92" s="66"/>
      <c r="L92" s="67"/>
      <c r="P92" s="67"/>
      <c r="R92" s="72"/>
    </row>
    <row r="93" spans="4:18" x14ac:dyDescent="0.4">
      <c r="D93" s="85"/>
      <c r="E93" s="66" t="s">
        <v>73</v>
      </c>
      <c r="F93" s="66"/>
      <c r="G93" s="66"/>
      <c r="L93" s="67"/>
      <c r="M93" s="67"/>
      <c r="P93" s="67"/>
      <c r="Q93" s="67"/>
      <c r="R93" s="72"/>
    </row>
    <row r="94" spans="4:18" x14ac:dyDescent="0.4">
      <c r="D94" s="85"/>
      <c r="E94" s="68" t="s">
        <v>74</v>
      </c>
      <c r="F94" s="68"/>
      <c r="G94" s="66"/>
      <c r="H94" s="67">
        <v>91111</v>
      </c>
      <c r="I94" s="116" t="s">
        <v>110</v>
      </c>
      <c r="L94" s="67">
        <v>91111</v>
      </c>
      <c r="M94" s="116" t="s">
        <v>110</v>
      </c>
      <c r="P94" s="67">
        <v>91111</v>
      </c>
      <c r="Q94" s="116" t="s">
        <v>110</v>
      </c>
      <c r="R94" s="72"/>
    </row>
    <row r="95" spans="4:18" x14ac:dyDescent="0.4">
      <c r="D95" s="85"/>
      <c r="E95" s="68" t="s">
        <v>75</v>
      </c>
      <c r="F95" s="68"/>
      <c r="G95" s="66"/>
      <c r="H95" s="67">
        <v>0</v>
      </c>
      <c r="I95" s="116"/>
      <c r="L95" s="67">
        <v>0</v>
      </c>
      <c r="M95" s="116"/>
      <c r="P95" s="67">
        <v>0</v>
      </c>
      <c r="Q95" s="116"/>
      <c r="R95" s="72"/>
    </row>
    <row r="96" spans="4:18" x14ac:dyDescent="0.4">
      <c r="D96" s="85"/>
      <c r="E96" s="68" t="s">
        <v>76</v>
      </c>
      <c r="F96" s="68"/>
      <c r="G96" s="66"/>
      <c r="H96" s="66" t="s">
        <v>9</v>
      </c>
      <c r="I96" s="116"/>
      <c r="L96" s="66" t="s">
        <v>9</v>
      </c>
      <c r="M96" s="116"/>
      <c r="P96" s="66" t="s">
        <v>9</v>
      </c>
      <c r="Q96" s="116"/>
      <c r="R96" s="72"/>
    </row>
    <row r="97" spans="4:18" ht="27" x14ac:dyDescent="0.4">
      <c r="D97" s="85"/>
      <c r="E97" s="66" t="s">
        <v>71</v>
      </c>
      <c r="F97" s="66"/>
      <c r="G97" s="66"/>
      <c r="H97" s="66" t="s">
        <v>111</v>
      </c>
      <c r="I97" s="116"/>
      <c r="L97" s="93" t="s">
        <v>79</v>
      </c>
      <c r="M97" s="116"/>
      <c r="P97" s="94" t="s">
        <v>80</v>
      </c>
      <c r="Q97" s="116"/>
      <c r="R97" s="72"/>
    </row>
    <row r="98" spans="4:18" x14ac:dyDescent="0.4">
      <c r="D98" s="85"/>
      <c r="E98" s="80" t="s">
        <v>81</v>
      </c>
      <c r="F98" s="80"/>
      <c r="G98" s="66"/>
      <c r="L98" s="67"/>
      <c r="M98" s="67"/>
      <c r="P98" s="67"/>
      <c r="Q98" s="67"/>
      <c r="R98" s="72"/>
    </row>
    <row r="99" spans="4:18" ht="14.25" thickBot="1" x14ac:dyDescent="0.45">
      <c r="D99" s="86"/>
      <c r="E99" s="74"/>
      <c r="F99" s="74"/>
      <c r="G99" s="74"/>
      <c r="H99" s="74"/>
      <c r="I99" s="74"/>
      <c r="J99" s="75"/>
      <c r="K99" s="75"/>
      <c r="L99" s="75"/>
      <c r="M99" s="75"/>
      <c r="N99" s="75"/>
      <c r="O99" s="75"/>
      <c r="P99" s="75"/>
      <c r="Q99" s="75"/>
      <c r="R99" s="76"/>
    </row>
    <row r="100" spans="4:18" x14ac:dyDescent="0.4">
      <c r="D100" s="81" t="s">
        <v>56</v>
      </c>
      <c r="E100" s="69"/>
      <c r="F100" s="69"/>
      <c r="G100" s="69"/>
      <c r="H100" s="69"/>
      <c r="I100" s="69"/>
      <c r="J100" s="70"/>
      <c r="K100" s="70"/>
      <c r="L100" s="70"/>
      <c r="M100" s="70"/>
      <c r="N100" s="70"/>
      <c r="O100" s="70"/>
      <c r="P100" s="70"/>
      <c r="Q100" s="70"/>
      <c r="R100" s="71"/>
    </row>
    <row r="101" spans="4:18" x14ac:dyDescent="0.4">
      <c r="D101" s="85">
        <v>5</v>
      </c>
      <c r="E101" s="103" t="s">
        <v>112</v>
      </c>
      <c r="F101" s="103"/>
      <c r="G101" s="103"/>
      <c r="R101" s="72"/>
    </row>
    <row r="102" spans="4:18" x14ac:dyDescent="0.4">
      <c r="D102" s="85"/>
      <c r="E102" s="103"/>
      <c r="F102" s="103"/>
      <c r="G102" s="103"/>
      <c r="R102" s="72"/>
    </row>
    <row r="103" spans="4:18" s="38" customFormat="1" x14ac:dyDescent="0.4">
      <c r="D103" s="84"/>
      <c r="E103" s="38" t="s">
        <v>58</v>
      </c>
      <c r="H103" s="67" t="str">
        <f>H105&amp;"円に緊急売価変更設定"</f>
        <v>200円に緊急売価変更設定</v>
      </c>
      <c r="I103" s="67" t="str">
        <f>I105&amp;"円にレジでの売価変更"</f>
        <v>250円にレジでの売価変更</v>
      </c>
      <c r="L103" s="67" t="str">
        <f>L105&amp;"円に緊急売価変更設定"</f>
        <v>250円に緊急売価変更設定</v>
      </c>
      <c r="M103" s="67" t="str">
        <f>M105&amp;"円にレジでの売価変更"</f>
        <v>300円にレジでの売価変更</v>
      </c>
      <c r="P103" s="67" t="str">
        <f>P105&amp;"円に緊急売価変更設定"</f>
        <v>300円に緊急売価変更設定</v>
      </c>
      <c r="Q103" s="67" t="str">
        <f>Q105&amp;"円にレジでの売価変更"</f>
        <v>350円にレジでの売価変更</v>
      </c>
      <c r="R103" s="106"/>
    </row>
    <row r="104" spans="4:18" s="37" customFormat="1" x14ac:dyDescent="0.4">
      <c r="D104" s="84"/>
      <c r="E104" s="90"/>
      <c r="F104" s="90"/>
      <c r="G104" s="65"/>
      <c r="H104" s="38"/>
      <c r="I104" s="38"/>
      <c r="R104" s="73"/>
    </row>
    <row r="105" spans="4:18" x14ac:dyDescent="0.4">
      <c r="D105" s="85"/>
      <c r="E105" s="89" t="s">
        <v>95</v>
      </c>
      <c r="F105" s="89"/>
      <c r="H105" s="67">
        <v>200</v>
      </c>
      <c r="I105" s="67">
        <v>250</v>
      </c>
      <c r="L105" s="67">
        <v>250</v>
      </c>
      <c r="M105" s="67">
        <v>300</v>
      </c>
      <c r="P105" s="67">
        <v>300</v>
      </c>
      <c r="Q105" s="67">
        <v>350</v>
      </c>
      <c r="R105" s="72"/>
    </row>
    <row r="106" spans="4:18" x14ac:dyDescent="0.4">
      <c r="D106" s="85"/>
      <c r="L106" s="67"/>
      <c r="P106" s="67"/>
      <c r="R106" s="72"/>
    </row>
    <row r="107" spans="4:18" x14ac:dyDescent="0.4">
      <c r="D107" s="85"/>
      <c r="O107" s="102" t="s">
        <v>60</v>
      </c>
      <c r="Q107" s="126" t="s">
        <v>105</v>
      </c>
      <c r="R107" s="72"/>
    </row>
    <row r="108" spans="4:18" x14ac:dyDescent="0.4">
      <c r="D108" s="85"/>
      <c r="G108" s="123" t="s">
        <v>63</v>
      </c>
      <c r="I108" s="102" t="s">
        <v>113</v>
      </c>
      <c r="K108" s="123" t="s">
        <v>63</v>
      </c>
      <c r="M108" s="132" t="s">
        <v>99</v>
      </c>
      <c r="O108" s="123" t="s">
        <v>63</v>
      </c>
      <c r="P108" s="129" t="s">
        <v>107</v>
      </c>
      <c r="Q108" s="152"/>
      <c r="R108" s="72"/>
    </row>
    <row r="109" spans="4:18" x14ac:dyDescent="0.4">
      <c r="D109" s="85"/>
      <c r="G109" s="124"/>
      <c r="I109" s="132" t="s">
        <v>109</v>
      </c>
      <c r="K109" s="124"/>
      <c r="L109" s="129" t="s">
        <v>108</v>
      </c>
      <c r="M109" s="130"/>
      <c r="O109" s="124"/>
      <c r="P109" s="130"/>
      <c r="Q109" s="152"/>
      <c r="R109" s="72"/>
    </row>
    <row r="110" spans="4:18" x14ac:dyDescent="0.4">
      <c r="D110" s="85"/>
      <c r="G110" s="124"/>
      <c r="H110" s="145" t="s">
        <v>114</v>
      </c>
      <c r="I110" s="139"/>
      <c r="K110" s="124"/>
      <c r="L110" s="130"/>
      <c r="M110" s="130"/>
      <c r="O110" s="124"/>
      <c r="P110" s="130"/>
      <c r="Q110" s="152"/>
      <c r="R110" s="72"/>
    </row>
    <row r="111" spans="4:18" x14ac:dyDescent="0.4">
      <c r="D111" s="85"/>
      <c r="G111" s="124"/>
      <c r="H111" s="146"/>
      <c r="I111" s="139"/>
      <c r="K111" s="124"/>
      <c r="L111" s="130"/>
      <c r="M111" s="130"/>
      <c r="O111" s="124"/>
      <c r="P111" s="130"/>
      <c r="Q111" s="152"/>
      <c r="R111" s="72"/>
    </row>
    <row r="112" spans="4:18" x14ac:dyDescent="0.4">
      <c r="D112" s="85"/>
      <c r="G112" s="124"/>
      <c r="H112" s="146"/>
      <c r="I112" s="139"/>
      <c r="K112" s="124"/>
      <c r="L112" s="130"/>
      <c r="M112" s="130"/>
      <c r="O112" s="124"/>
      <c r="P112" s="130"/>
      <c r="Q112" s="152"/>
      <c r="R112" s="72"/>
    </row>
    <row r="113" spans="4:18" x14ac:dyDescent="0.4">
      <c r="D113" s="85"/>
      <c r="G113" s="125"/>
      <c r="H113" s="146"/>
      <c r="I113" s="139"/>
      <c r="K113" s="125"/>
      <c r="L113" s="130"/>
      <c r="M113" s="164"/>
      <c r="O113" s="125"/>
      <c r="P113" s="130"/>
      <c r="Q113" s="152"/>
      <c r="R113" s="72"/>
    </row>
    <row r="114" spans="4:18" x14ac:dyDescent="0.4">
      <c r="D114" s="85"/>
      <c r="E114" s="66" t="s">
        <v>71</v>
      </c>
      <c r="F114" s="66"/>
      <c r="G114" s="66"/>
      <c r="H114" s="101"/>
      <c r="I114" s="101">
        <v>50</v>
      </c>
      <c r="L114" s="3"/>
      <c r="M114" s="92">
        <v>0</v>
      </c>
      <c r="P114" s="3"/>
      <c r="Q114" s="92">
        <v>-50</v>
      </c>
      <c r="R114" s="72"/>
    </row>
    <row r="115" spans="4:18" x14ac:dyDescent="0.4">
      <c r="D115" s="85"/>
      <c r="E115" s="66" t="s">
        <v>72</v>
      </c>
      <c r="F115" s="66"/>
      <c r="G115" s="66"/>
      <c r="H115" s="116">
        <v>250</v>
      </c>
      <c r="I115" s="116"/>
      <c r="L115" s="116">
        <v>300</v>
      </c>
      <c r="M115" s="116"/>
      <c r="P115" s="116">
        <v>350</v>
      </c>
      <c r="Q115" s="116"/>
      <c r="R115" s="72"/>
    </row>
    <row r="116" spans="4:18" x14ac:dyDescent="0.4">
      <c r="D116" s="85"/>
      <c r="E116" s="66"/>
      <c r="F116" s="66"/>
      <c r="G116" s="66"/>
      <c r="L116" s="67"/>
      <c r="P116" s="67"/>
      <c r="R116" s="72"/>
    </row>
    <row r="117" spans="4:18" x14ac:dyDescent="0.4">
      <c r="D117" s="85"/>
      <c r="E117" s="66" t="s">
        <v>73</v>
      </c>
      <c r="F117" s="66"/>
      <c r="G117" s="66"/>
      <c r="L117" s="67"/>
      <c r="M117" s="67"/>
      <c r="P117" s="67"/>
      <c r="Q117" s="67"/>
      <c r="R117" s="72"/>
    </row>
    <row r="118" spans="4:18" x14ac:dyDescent="0.4">
      <c r="D118" s="85"/>
      <c r="E118" s="68" t="s">
        <v>74</v>
      </c>
      <c r="F118" s="68"/>
      <c r="G118" s="66"/>
      <c r="H118" s="1"/>
      <c r="I118" s="67">
        <v>91111</v>
      </c>
      <c r="M118" s="67">
        <v>91111</v>
      </c>
      <c r="Q118" s="67">
        <v>91111</v>
      </c>
      <c r="R118" s="72"/>
    </row>
    <row r="119" spans="4:18" x14ac:dyDescent="0.4">
      <c r="D119" s="85"/>
      <c r="E119" s="68" t="s">
        <v>75</v>
      </c>
      <c r="F119" s="68"/>
      <c r="G119" s="66"/>
      <c r="H119" s="1"/>
      <c r="I119" s="67">
        <v>0</v>
      </c>
      <c r="M119" s="67">
        <v>0</v>
      </c>
      <c r="Q119" s="67">
        <v>0</v>
      </c>
      <c r="R119" s="72"/>
    </row>
    <row r="120" spans="4:18" x14ac:dyDescent="0.4">
      <c r="D120" s="85"/>
      <c r="E120" s="68" t="s">
        <v>76</v>
      </c>
      <c r="F120" s="68"/>
      <c r="G120" s="66"/>
      <c r="H120" s="1"/>
      <c r="I120" s="66" t="s">
        <v>9</v>
      </c>
      <c r="M120" s="66" t="s">
        <v>9</v>
      </c>
      <c r="Q120" s="66" t="s">
        <v>9</v>
      </c>
      <c r="R120" s="72"/>
    </row>
    <row r="121" spans="4:18" ht="27" x14ac:dyDescent="0.4">
      <c r="D121" s="85"/>
      <c r="E121" s="66" t="s">
        <v>71</v>
      </c>
      <c r="F121" s="66"/>
      <c r="G121" s="66"/>
      <c r="H121" s="1"/>
      <c r="I121" s="66" t="s">
        <v>115</v>
      </c>
      <c r="M121" s="93" t="s">
        <v>116</v>
      </c>
      <c r="Q121" s="94" t="s">
        <v>117</v>
      </c>
      <c r="R121" s="72"/>
    </row>
    <row r="122" spans="4:18" x14ac:dyDescent="0.4">
      <c r="D122" s="85"/>
      <c r="E122" s="87" t="s">
        <v>118</v>
      </c>
      <c r="F122" s="87"/>
      <c r="G122" s="66"/>
      <c r="L122" s="67"/>
      <c r="M122" s="67"/>
      <c r="P122" s="67"/>
      <c r="Q122" s="67"/>
      <c r="R122" s="72"/>
    </row>
    <row r="123" spans="4:18" x14ac:dyDescent="0.4">
      <c r="D123" s="85"/>
      <c r="E123" s="91" t="s">
        <v>119</v>
      </c>
      <c r="F123" s="91"/>
      <c r="G123" s="66"/>
      <c r="L123" s="67"/>
      <c r="M123" s="67"/>
      <c r="P123" s="67"/>
      <c r="Q123" s="67"/>
      <c r="R123" s="72"/>
    </row>
    <row r="124" spans="4:18" ht="14.25" thickBot="1" x14ac:dyDescent="0.45">
      <c r="D124" s="86"/>
      <c r="E124" s="74"/>
      <c r="F124" s="74"/>
      <c r="G124" s="74"/>
      <c r="H124" s="74"/>
      <c r="I124" s="77"/>
      <c r="J124" s="75"/>
      <c r="K124" s="75"/>
      <c r="L124" s="75"/>
      <c r="M124" s="75"/>
      <c r="N124" s="75"/>
      <c r="O124" s="75"/>
      <c r="P124" s="75"/>
      <c r="Q124" s="75"/>
      <c r="R124" s="76"/>
    </row>
    <row r="125" spans="4:18" x14ac:dyDescent="0.4">
      <c r="D125" s="81" t="s">
        <v>56</v>
      </c>
      <c r="E125" s="69"/>
      <c r="F125" s="69"/>
      <c r="G125" s="69"/>
      <c r="H125" s="69"/>
      <c r="I125" s="69"/>
      <c r="J125" s="70"/>
      <c r="K125" s="70"/>
      <c r="L125" s="70"/>
      <c r="M125" s="70"/>
      <c r="N125" s="70"/>
      <c r="O125" s="70"/>
      <c r="P125" s="70"/>
      <c r="Q125" s="70"/>
      <c r="R125" s="71"/>
    </row>
    <row r="126" spans="4:18" x14ac:dyDescent="0.4">
      <c r="D126" s="85">
        <v>6</v>
      </c>
      <c r="E126" s="103" t="s">
        <v>120</v>
      </c>
      <c r="F126" s="103"/>
      <c r="G126" s="103"/>
      <c r="R126" s="72"/>
    </row>
    <row r="127" spans="4:18" x14ac:dyDescent="0.4">
      <c r="D127" s="85"/>
      <c r="E127" s="87" t="s">
        <v>121</v>
      </c>
      <c r="F127" s="103"/>
      <c r="G127" s="103"/>
      <c r="R127" s="72"/>
    </row>
    <row r="128" spans="4:18" x14ac:dyDescent="0.4">
      <c r="D128" s="85"/>
      <c r="E128" s="103"/>
      <c r="F128" s="103"/>
      <c r="G128" s="103"/>
      <c r="R128" s="72"/>
    </row>
    <row r="129" spans="4:18" s="38" customFormat="1" x14ac:dyDescent="0.4">
      <c r="D129" s="84"/>
      <c r="E129" s="38" t="s">
        <v>58</v>
      </c>
      <c r="H129" s="67" t="str">
        <f>H131&amp;"円に特売（タイムサービス売価）設定"</f>
        <v>200円に特売（タイムサービス売価）設定</v>
      </c>
      <c r="I129" s="67" t="str">
        <f>I131&amp;"円に緊急売価変更設定"</f>
        <v>250円に緊急売価変更設定</v>
      </c>
      <c r="L129" s="67" t="str">
        <f>L131&amp;"円に特売（タイムサービス売価）設定"</f>
        <v>250円に特売（タイムサービス売価）設定</v>
      </c>
      <c r="M129" s="67" t="str">
        <f>M131&amp;"円に緊急売価変更設定"</f>
        <v>300円に緊急売価変更設定</v>
      </c>
      <c r="P129" s="67" t="str">
        <f>P131&amp;"円に特売（タイムサービス売価）設定"</f>
        <v>300円に特売（タイムサービス売価）設定</v>
      </c>
      <c r="Q129" s="67" t="str">
        <f>Q131&amp;"円に緊急売価変更設定"</f>
        <v>350円に緊急売価変更設定</v>
      </c>
      <c r="R129" s="106"/>
    </row>
    <row r="130" spans="4:18" s="37" customFormat="1" x14ac:dyDescent="0.4">
      <c r="D130" s="84"/>
      <c r="E130" s="90"/>
      <c r="F130" s="90"/>
      <c r="G130" s="65"/>
      <c r="H130" s="1"/>
      <c r="L130" s="1"/>
      <c r="P130" s="38"/>
      <c r="Q130" s="38"/>
      <c r="R130" s="73"/>
    </row>
    <row r="131" spans="4:18" x14ac:dyDescent="0.4">
      <c r="D131" s="85"/>
      <c r="E131" s="89" t="s">
        <v>634</v>
      </c>
      <c r="F131" s="89"/>
      <c r="H131" s="67">
        <v>200</v>
      </c>
      <c r="I131" s="67">
        <v>250</v>
      </c>
      <c r="L131" s="67">
        <v>250</v>
      </c>
      <c r="M131" s="67">
        <v>300</v>
      </c>
      <c r="P131" s="67">
        <v>300</v>
      </c>
      <c r="Q131" s="67">
        <v>350</v>
      </c>
      <c r="R131" s="72"/>
    </row>
    <row r="132" spans="4:18" x14ac:dyDescent="0.4">
      <c r="D132" s="85"/>
      <c r="H132" s="1"/>
      <c r="P132" s="67"/>
      <c r="Q132" s="67"/>
      <c r="R132" s="72"/>
    </row>
    <row r="133" spans="4:18" x14ac:dyDescent="0.4">
      <c r="D133" s="85"/>
      <c r="H133" s="1"/>
      <c r="I133" s="88"/>
      <c r="O133" s="102" t="s">
        <v>60</v>
      </c>
      <c r="P133" s="67"/>
      <c r="Q133" s="121" t="s">
        <v>104</v>
      </c>
      <c r="R133" s="72"/>
    </row>
    <row r="134" spans="4:18" x14ac:dyDescent="0.4">
      <c r="D134" s="85"/>
      <c r="G134" s="123" t="s">
        <v>63</v>
      </c>
      <c r="H134" s="1"/>
      <c r="I134" s="102" t="s">
        <v>113</v>
      </c>
      <c r="K134" s="123" t="s">
        <v>63</v>
      </c>
      <c r="M134" s="121" t="s">
        <v>107</v>
      </c>
      <c r="O134" s="123" t="s">
        <v>63</v>
      </c>
      <c r="P134" s="118" t="s">
        <v>661</v>
      </c>
      <c r="Q134" s="122"/>
      <c r="R134" s="72"/>
    </row>
    <row r="135" spans="4:18" ht="13.5" customHeight="1" x14ac:dyDescent="0.4">
      <c r="D135" s="85"/>
      <c r="G135" s="124"/>
      <c r="H135" s="1"/>
      <c r="I135" s="135" t="s">
        <v>108</v>
      </c>
      <c r="K135" s="124"/>
      <c r="L135" s="118" t="s">
        <v>663</v>
      </c>
      <c r="M135" s="122"/>
      <c r="O135" s="124"/>
      <c r="P135" s="119"/>
      <c r="Q135" s="122"/>
      <c r="R135" s="72"/>
    </row>
    <row r="136" spans="4:18" ht="13.5" customHeight="1" x14ac:dyDescent="0.4">
      <c r="D136" s="85"/>
      <c r="G136" s="124"/>
      <c r="H136" s="133" t="s">
        <v>663</v>
      </c>
      <c r="I136" s="122"/>
      <c r="K136" s="124"/>
      <c r="L136" s="137"/>
      <c r="M136" s="122"/>
      <c r="O136" s="124"/>
      <c r="P136" s="119"/>
      <c r="Q136" s="122"/>
      <c r="R136" s="72"/>
    </row>
    <row r="137" spans="4:18" ht="13.5" customHeight="1" x14ac:dyDescent="0.4">
      <c r="D137" s="85"/>
      <c r="G137" s="124"/>
      <c r="H137" s="134"/>
      <c r="I137" s="122"/>
      <c r="K137" s="124"/>
      <c r="L137" s="137"/>
      <c r="M137" s="122"/>
      <c r="O137" s="124"/>
      <c r="P137" s="119"/>
      <c r="Q137" s="122"/>
      <c r="R137" s="72"/>
    </row>
    <row r="138" spans="4:18" ht="13.5" customHeight="1" x14ac:dyDescent="0.4">
      <c r="D138" s="85"/>
      <c r="G138" s="124"/>
      <c r="H138" s="134"/>
      <c r="I138" s="122"/>
      <c r="K138" s="124"/>
      <c r="L138" s="137"/>
      <c r="M138" s="122"/>
      <c r="O138" s="124"/>
      <c r="P138" s="119"/>
      <c r="Q138" s="122"/>
      <c r="R138" s="72"/>
    </row>
    <row r="139" spans="4:18" ht="13.5" customHeight="1" x14ac:dyDescent="0.4">
      <c r="D139" s="85"/>
      <c r="G139" s="125"/>
      <c r="H139" s="134"/>
      <c r="I139" s="122"/>
      <c r="K139" s="125"/>
      <c r="L139" s="137"/>
      <c r="M139" s="122"/>
      <c r="O139" s="125"/>
      <c r="P139" s="119"/>
      <c r="Q139" s="122"/>
      <c r="R139" s="72"/>
    </row>
    <row r="140" spans="4:18" x14ac:dyDescent="0.4">
      <c r="D140" s="85"/>
      <c r="E140" s="66" t="s">
        <v>71</v>
      </c>
      <c r="F140" s="66"/>
      <c r="G140" s="66"/>
      <c r="H140" s="101"/>
      <c r="I140" s="101">
        <v>50</v>
      </c>
      <c r="L140" s="3"/>
      <c r="M140" s="92">
        <v>0</v>
      </c>
      <c r="P140" s="3"/>
      <c r="Q140" s="92">
        <v>-50</v>
      </c>
      <c r="R140" s="72"/>
    </row>
    <row r="141" spans="4:18" x14ac:dyDescent="0.4">
      <c r="D141" s="85"/>
      <c r="E141" s="66" t="s">
        <v>72</v>
      </c>
      <c r="F141" s="66"/>
      <c r="G141" s="66"/>
      <c r="H141" s="116">
        <v>250</v>
      </c>
      <c r="I141" s="116"/>
      <c r="L141" s="116">
        <v>300</v>
      </c>
      <c r="M141" s="116"/>
      <c r="P141" s="116">
        <v>350</v>
      </c>
      <c r="Q141" s="116"/>
      <c r="R141" s="72"/>
    </row>
    <row r="142" spans="4:18" x14ac:dyDescent="0.4">
      <c r="D142" s="85"/>
      <c r="E142" s="66"/>
      <c r="F142" s="66"/>
      <c r="G142" s="66"/>
      <c r="I142" s="1"/>
      <c r="M142" s="67"/>
      <c r="P142" s="67"/>
      <c r="Q142" s="67"/>
      <c r="R142" s="72"/>
    </row>
    <row r="143" spans="4:18" x14ac:dyDescent="0.4">
      <c r="D143" s="85"/>
      <c r="E143" s="66" t="s">
        <v>73</v>
      </c>
      <c r="F143" s="66"/>
      <c r="G143" s="66"/>
      <c r="M143" s="67"/>
      <c r="P143" s="67"/>
      <c r="Q143" s="67"/>
      <c r="R143" s="72"/>
    </row>
    <row r="144" spans="4:18" x14ac:dyDescent="0.4">
      <c r="D144" s="85"/>
      <c r="E144" s="68" t="s">
        <v>74</v>
      </c>
      <c r="F144" s="68"/>
      <c r="G144" s="66"/>
      <c r="H144" s="117" t="s">
        <v>122</v>
      </c>
      <c r="I144" s="67">
        <v>91111</v>
      </c>
      <c r="L144" s="117" t="s">
        <v>122</v>
      </c>
      <c r="M144" s="67">
        <v>91111</v>
      </c>
      <c r="P144" s="117" t="s">
        <v>122</v>
      </c>
      <c r="Q144" s="67">
        <v>91111</v>
      </c>
      <c r="R144" s="72"/>
    </row>
    <row r="145" spans="4:18" x14ac:dyDescent="0.4">
      <c r="D145" s="85"/>
      <c r="E145" s="68" t="s">
        <v>75</v>
      </c>
      <c r="F145" s="68"/>
      <c r="G145" s="66"/>
      <c r="H145" s="116"/>
      <c r="I145" s="67">
        <v>0</v>
      </c>
      <c r="L145" s="116"/>
      <c r="M145" s="67">
        <v>0</v>
      </c>
      <c r="P145" s="116"/>
      <c r="Q145" s="67">
        <v>0</v>
      </c>
      <c r="R145" s="72"/>
    </row>
    <row r="146" spans="4:18" x14ac:dyDescent="0.4">
      <c r="D146" s="85"/>
      <c r="E146" s="68" t="s">
        <v>76</v>
      </c>
      <c r="F146" s="68"/>
      <c r="G146" s="66"/>
      <c r="H146" s="116"/>
      <c r="I146" s="66" t="s">
        <v>9</v>
      </c>
      <c r="L146" s="116"/>
      <c r="M146" s="66" t="s">
        <v>9</v>
      </c>
      <c r="P146" s="116"/>
      <c r="Q146" s="66" t="s">
        <v>9</v>
      </c>
      <c r="R146" s="72"/>
    </row>
    <row r="147" spans="4:18" ht="27" x14ac:dyDescent="0.4">
      <c r="D147" s="85"/>
      <c r="E147" s="66" t="s">
        <v>71</v>
      </c>
      <c r="F147" s="66"/>
      <c r="G147" s="66"/>
      <c r="H147" s="116"/>
      <c r="I147" s="66" t="s">
        <v>123</v>
      </c>
      <c r="L147" s="116"/>
      <c r="M147" s="93" t="s">
        <v>79</v>
      </c>
      <c r="P147" s="116"/>
      <c r="Q147" s="94" t="s">
        <v>80</v>
      </c>
      <c r="R147" s="72"/>
    </row>
    <row r="148" spans="4:18" x14ac:dyDescent="0.4">
      <c r="D148" s="85"/>
      <c r="E148" s="87" t="s">
        <v>124</v>
      </c>
      <c r="F148" s="87"/>
      <c r="G148" s="66"/>
      <c r="L148" s="67"/>
      <c r="M148" s="67"/>
      <c r="P148" s="67"/>
      <c r="Q148" s="67"/>
      <c r="R148" s="72"/>
    </row>
    <row r="149" spans="4:18" x14ac:dyDescent="0.4">
      <c r="D149" s="85"/>
      <c r="E149" s="87" t="s">
        <v>118</v>
      </c>
      <c r="F149" s="87"/>
      <c r="G149" s="66"/>
      <c r="L149" s="67"/>
      <c r="M149" s="67"/>
      <c r="P149" s="67"/>
      <c r="Q149" s="67"/>
      <c r="R149" s="72"/>
    </row>
    <row r="150" spans="4:18" ht="14.25" thickBot="1" x14ac:dyDescent="0.45">
      <c r="D150" s="86"/>
      <c r="E150" s="74"/>
      <c r="F150" s="74"/>
      <c r="G150" s="74"/>
      <c r="H150" s="74"/>
      <c r="I150" s="77"/>
      <c r="J150" s="75"/>
      <c r="K150" s="75"/>
      <c r="L150" s="75"/>
      <c r="M150" s="75"/>
      <c r="N150" s="75"/>
      <c r="O150" s="75"/>
      <c r="P150" s="75"/>
      <c r="Q150" s="75"/>
      <c r="R150" s="76"/>
    </row>
    <row r="151" spans="4:18" x14ac:dyDescent="0.4">
      <c r="D151" s="81" t="s">
        <v>56</v>
      </c>
      <c r="E151" s="69"/>
      <c r="F151" s="69"/>
      <c r="G151" s="69"/>
      <c r="H151" s="69"/>
      <c r="I151" s="69"/>
      <c r="J151" s="70"/>
      <c r="K151" s="70"/>
      <c r="L151" s="70"/>
      <c r="M151" s="70"/>
      <c r="N151" s="70"/>
      <c r="O151" s="70"/>
      <c r="P151" s="70"/>
      <c r="Q151" s="70"/>
      <c r="R151" s="71"/>
    </row>
    <row r="152" spans="4:18" x14ac:dyDescent="0.4">
      <c r="D152" s="85">
        <v>7</v>
      </c>
      <c r="E152" s="103" t="s">
        <v>125</v>
      </c>
      <c r="F152" s="103"/>
      <c r="G152" s="103"/>
      <c r="R152" s="72"/>
    </row>
    <row r="153" spans="4:18" x14ac:dyDescent="0.4">
      <c r="D153" s="85"/>
      <c r="E153" s="87" t="s">
        <v>121</v>
      </c>
      <c r="F153" s="103"/>
      <c r="G153" s="103"/>
      <c r="R153" s="72"/>
    </row>
    <row r="154" spans="4:18" x14ac:dyDescent="0.4">
      <c r="D154" s="85"/>
      <c r="E154" s="103"/>
      <c r="F154" s="103"/>
      <c r="G154" s="103"/>
      <c r="R154" s="72"/>
    </row>
    <row r="155" spans="4:18" s="38" customFormat="1" x14ac:dyDescent="0.4">
      <c r="D155" s="84"/>
      <c r="E155" s="38" t="s">
        <v>58</v>
      </c>
      <c r="H155" s="67" t="str">
        <f>H157&amp;"円に特売（タイムサービス売価）設定"</f>
        <v>250円に特売（タイムサービス売価）設定</v>
      </c>
      <c r="I155" s="67" t="str">
        <f>I157&amp;"円に緊急売価変更設定"</f>
        <v>250円に緊急売価変更設定</v>
      </c>
      <c r="L155" s="67" t="str">
        <f>L157&amp;"円に特売（タイムサービス売価）設定"</f>
        <v>300円に特売（タイムサービス売価）設定</v>
      </c>
      <c r="M155" s="67" t="str">
        <f>M157&amp;"円に緊急売価変更設定"</f>
        <v>300円に緊急売価変更設定</v>
      </c>
      <c r="P155" s="67" t="str">
        <f>P157&amp;"円に特売（タイムサービス売価）設定"</f>
        <v>350円に特売（タイムサービス売価）設定</v>
      </c>
      <c r="Q155" s="67" t="str">
        <f>Q157&amp;"円に緊急売価変更設定"</f>
        <v>350円に緊急売価変更設定</v>
      </c>
      <c r="R155" s="106"/>
    </row>
    <row r="156" spans="4:18" s="37" customFormat="1" x14ac:dyDescent="0.4">
      <c r="D156" s="84"/>
      <c r="E156" s="90"/>
      <c r="F156" s="90"/>
      <c r="P156" s="38"/>
      <c r="Q156" s="38"/>
      <c r="R156" s="73"/>
    </row>
    <row r="157" spans="4:18" x14ac:dyDescent="0.4">
      <c r="D157" s="85"/>
      <c r="E157" s="89" t="s">
        <v>634</v>
      </c>
      <c r="F157" s="89"/>
      <c r="H157" s="67">
        <v>250</v>
      </c>
      <c r="I157" s="67">
        <v>250</v>
      </c>
      <c r="L157" s="67">
        <v>300</v>
      </c>
      <c r="M157" s="67">
        <v>300</v>
      </c>
      <c r="P157" s="67">
        <v>350</v>
      </c>
      <c r="Q157" s="67">
        <v>350</v>
      </c>
      <c r="R157" s="72"/>
    </row>
    <row r="158" spans="4:18" x14ac:dyDescent="0.4">
      <c r="D158" s="85"/>
      <c r="I158" s="1"/>
      <c r="L158" s="67"/>
      <c r="P158" s="67"/>
      <c r="Q158" s="67"/>
      <c r="R158" s="72"/>
    </row>
    <row r="159" spans="4:18" ht="13.5" customHeight="1" x14ac:dyDescent="0.4">
      <c r="D159" s="85"/>
      <c r="H159" s="88"/>
      <c r="I159" s="1"/>
      <c r="O159" s="102" t="s">
        <v>60</v>
      </c>
      <c r="P159" s="118" t="s">
        <v>661</v>
      </c>
      <c r="Q159" s="121" t="s">
        <v>104</v>
      </c>
      <c r="R159" s="72"/>
    </row>
    <row r="160" spans="4:18" ht="13.5" customHeight="1" x14ac:dyDescent="0.4">
      <c r="D160" s="85"/>
      <c r="G160" s="123" t="s">
        <v>63</v>
      </c>
      <c r="H160" s="1"/>
      <c r="I160" s="102" t="s">
        <v>113</v>
      </c>
      <c r="K160" s="123" t="s">
        <v>63</v>
      </c>
      <c r="L160" s="118" t="s">
        <v>661</v>
      </c>
      <c r="M160" s="129" t="s">
        <v>107</v>
      </c>
      <c r="O160" s="123" t="s">
        <v>63</v>
      </c>
      <c r="P160" s="119"/>
      <c r="Q160" s="122"/>
      <c r="R160" s="72"/>
    </row>
    <row r="161" spans="4:18" ht="13.5" customHeight="1" x14ac:dyDescent="0.4">
      <c r="D161" s="85"/>
      <c r="G161" s="124"/>
      <c r="H161" s="133" t="s">
        <v>663</v>
      </c>
      <c r="I161" s="135" t="s">
        <v>108</v>
      </c>
      <c r="K161" s="124"/>
      <c r="L161" s="119"/>
      <c r="M161" s="131"/>
      <c r="O161" s="124"/>
      <c r="P161" s="119"/>
      <c r="Q161" s="122"/>
      <c r="R161" s="72"/>
    </row>
    <row r="162" spans="4:18" ht="13.5" customHeight="1" x14ac:dyDescent="0.4">
      <c r="D162" s="85"/>
      <c r="G162" s="124"/>
      <c r="H162" s="134"/>
      <c r="I162" s="122"/>
      <c r="K162" s="124"/>
      <c r="L162" s="119"/>
      <c r="M162" s="131"/>
      <c r="O162" s="124"/>
      <c r="P162" s="119"/>
      <c r="Q162" s="122"/>
      <c r="R162" s="72"/>
    </row>
    <row r="163" spans="4:18" ht="13.5" customHeight="1" x14ac:dyDescent="0.4">
      <c r="D163" s="85"/>
      <c r="G163" s="124"/>
      <c r="H163" s="134"/>
      <c r="I163" s="122"/>
      <c r="K163" s="124"/>
      <c r="L163" s="119"/>
      <c r="M163" s="131"/>
      <c r="O163" s="124"/>
      <c r="P163" s="119"/>
      <c r="Q163" s="122"/>
      <c r="R163" s="72"/>
    </row>
    <row r="164" spans="4:18" ht="13.5" customHeight="1" x14ac:dyDescent="0.4">
      <c r="D164" s="85"/>
      <c r="G164" s="124"/>
      <c r="H164" s="134"/>
      <c r="I164" s="122"/>
      <c r="K164" s="124"/>
      <c r="L164" s="119"/>
      <c r="M164" s="131"/>
      <c r="O164" s="124"/>
      <c r="P164" s="119"/>
      <c r="Q164" s="122"/>
      <c r="R164" s="72"/>
    </row>
    <row r="165" spans="4:18" ht="13.5" customHeight="1" x14ac:dyDescent="0.4">
      <c r="D165" s="85"/>
      <c r="G165" s="125"/>
      <c r="H165" s="134"/>
      <c r="I165" s="122"/>
      <c r="K165" s="125"/>
      <c r="L165" s="120"/>
      <c r="M165" s="131"/>
      <c r="O165" s="125"/>
      <c r="P165" s="120"/>
      <c r="Q165" s="122"/>
      <c r="R165" s="72"/>
    </row>
    <row r="166" spans="4:18" x14ac:dyDescent="0.4">
      <c r="D166" s="85"/>
      <c r="E166" s="66" t="s">
        <v>71</v>
      </c>
      <c r="F166" s="66"/>
      <c r="G166" s="66"/>
      <c r="H166" s="101"/>
      <c r="I166" s="101">
        <v>50</v>
      </c>
      <c r="L166" s="3"/>
      <c r="M166" s="92">
        <v>0</v>
      </c>
      <c r="P166" s="3"/>
      <c r="Q166" s="92">
        <v>-50</v>
      </c>
      <c r="R166" s="72"/>
    </row>
    <row r="167" spans="4:18" x14ac:dyDescent="0.4">
      <c r="D167" s="85"/>
      <c r="E167" s="66" t="s">
        <v>72</v>
      </c>
      <c r="F167" s="66"/>
      <c r="G167" s="66"/>
      <c r="H167" s="116">
        <v>250</v>
      </c>
      <c r="I167" s="116"/>
      <c r="L167" s="116">
        <v>300</v>
      </c>
      <c r="M167" s="116"/>
      <c r="P167" s="116">
        <v>350</v>
      </c>
      <c r="Q167" s="116"/>
      <c r="R167" s="72"/>
    </row>
    <row r="168" spans="4:18" x14ac:dyDescent="0.4">
      <c r="D168" s="85"/>
      <c r="E168" s="66"/>
      <c r="F168" s="66"/>
      <c r="G168" s="66"/>
      <c r="I168" s="1"/>
      <c r="L168" s="67"/>
      <c r="P168" s="67"/>
      <c r="Q168" s="67"/>
      <c r="R168" s="72"/>
    </row>
    <row r="169" spans="4:18" x14ac:dyDescent="0.4">
      <c r="D169" s="85"/>
      <c r="E169" s="66" t="s">
        <v>73</v>
      </c>
      <c r="F169" s="66"/>
      <c r="G169" s="66"/>
      <c r="L169" s="67"/>
      <c r="M169" s="67"/>
      <c r="P169" s="67"/>
      <c r="Q169" s="67"/>
      <c r="R169" s="72"/>
    </row>
    <row r="170" spans="4:18" x14ac:dyDescent="0.4">
      <c r="D170" s="85"/>
      <c r="E170" s="68" t="s">
        <v>74</v>
      </c>
      <c r="F170" s="68"/>
      <c r="G170" s="66"/>
      <c r="H170" s="117" t="s">
        <v>122</v>
      </c>
      <c r="I170" s="67">
        <v>91111</v>
      </c>
      <c r="L170" s="117" t="s">
        <v>122</v>
      </c>
      <c r="M170" s="67">
        <v>91111</v>
      </c>
      <c r="P170" s="117" t="s">
        <v>122</v>
      </c>
      <c r="Q170" s="67">
        <v>91111</v>
      </c>
      <c r="R170" s="72"/>
    </row>
    <row r="171" spans="4:18" x14ac:dyDescent="0.4">
      <c r="D171" s="85"/>
      <c r="E171" s="68" t="s">
        <v>75</v>
      </c>
      <c r="F171" s="68"/>
      <c r="G171" s="66"/>
      <c r="H171" s="116"/>
      <c r="I171" s="67">
        <v>0</v>
      </c>
      <c r="L171" s="116"/>
      <c r="M171" s="67">
        <v>0</v>
      </c>
      <c r="P171" s="116"/>
      <c r="Q171" s="67">
        <v>0</v>
      </c>
      <c r="R171" s="72"/>
    </row>
    <row r="172" spans="4:18" x14ac:dyDescent="0.4">
      <c r="D172" s="85"/>
      <c r="E172" s="68" t="s">
        <v>76</v>
      </c>
      <c r="F172" s="68"/>
      <c r="G172" s="66"/>
      <c r="H172" s="116"/>
      <c r="I172" s="66" t="s">
        <v>9</v>
      </c>
      <c r="L172" s="116"/>
      <c r="M172" s="66" t="s">
        <v>9</v>
      </c>
      <c r="P172" s="116"/>
      <c r="Q172" s="66" t="s">
        <v>9</v>
      </c>
      <c r="R172" s="72"/>
    </row>
    <row r="173" spans="4:18" ht="27" x14ac:dyDescent="0.4">
      <c r="D173" s="85"/>
      <c r="E173" s="66" t="s">
        <v>71</v>
      </c>
      <c r="F173" s="66"/>
      <c r="G173" s="66"/>
      <c r="H173" s="116"/>
      <c r="I173" s="66" t="s">
        <v>123</v>
      </c>
      <c r="L173" s="116"/>
      <c r="M173" s="93" t="s">
        <v>79</v>
      </c>
      <c r="P173" s="116"/>
      <c r="Q173" s="94" t="s">
        <v>80</v>
      </c>
      <c r="R173" s="72"/>
    </row>
    <row r="174" spans="4:18" x14ac:dyDescent="0.4">
      <c r="D174" s="85"/>
      <c r="E174" s="87" t="s">
        <v>124</v>
      </c>
      <c r="F174" s="87"/>
      <c r="G174" s="66"/>
      <c r="L174" s="67"/>
      <c r="M174" s="67"/>
      <c r="P174" s="67"/>
      <c r="Q174" s="67"/>
      <c r="R174" s="72"/>
    </row>
    <row r="175" spans="4:18" x14ac:dyDescent="0.4">
      <c r="D175" s="85"/>
      <c r="E175" s="87" t="s">
        <v>118</v>
      </c>
      <c r="F175" s="87"/>
      <c r="G175" s="66"/>
      <c r="L175" s="67"/>
      <c r="M175" s="67"/>
      <c r="P175" s="67"/>
      <c r="Q175" s="67"/>
      <c r="R175" s="72"/>
    </row>
    <row r="176" spans="4:18" ht="14.25" thickBot="1" x14ac:dyDescent="0.45">
      <c r="D176" s="86"/>
      <c r="E176" s="74"/>
      <c r="F176" s="74"/>
      <c r="G176" s="74"/>
      <c r="H176" s="74"/>
      <c r="I176" s="77"/>
      <c r="J176" s="75"/>
      <c r="K176" s="75"/>
      <c r="L176" s="75"/>
      <c r="M176" s="75"/>
      <c r="N176" s="75"/>
      <c r="O176" s="75"/>
      <c r="P176" s="75"/>
      <c r="Q176" s="75"/>
      <c r="R176" s="76"/>
    </row>
    <row r="177" spans="4:18" x14ac:dyDescent="0.4">
      <c r="D177" s="81" t="s">
        <v>56</v>
      </c>
      <c r="E177" s="69"/>
      <c r="F177" s="69"/>
      <c r="G177" s="69"/>
      <c r="H177" s="69"/>
      <c r="I177" s="69"/>
      <c r="J177" s="70"/>
      <c r="K177" s="70"/>
      <c r="L177" s="70"/>
      <c r="M177" s="70"/>
      <c r="N177" s="70"/>
      <c r="O177" s="70"/>
      <c r="P177" s="70"/>
      <c r="Q177" s="70"/>
      <c r="R177" s="71"/>
    </row>
    <row r="178" spans="4:18" x14ac:dyDescent="0.4">
      <c r="D178" s="85">
        <v>8</v>
      </c>
      <c r="E178" s="103" t="s">
        <v>126</v>
      </c>
      <c r="F178" s="103"/>
      <c r="G178" s="103"/>
      <c r="R178" s="72"/>
    </row>
    <row r="179" spans="4:18" x14ac:dyDescent="0.4">
      <c r="D179" s="85"/>
      <c r="E179" s="87" t="s">
        <v>121</v>
      </c>
      <c r="F179" s="103"/>
      <c r="G179" s="103"/>
      <c r="R179" s="72"/>
    </row>
    <row r="180" spans="4:18" x14ac:dyDescent="0.4">
      <c r="D180" s="85"/>
      <c r="E180" s="103"/>
      <c r="F180" s="103"/>
      <c r="G180" s="103"/>
      <c r="R180" s="72"/>
    </row>
    <row r="181" spans="4:18" s="38" customFormat="1" x14ac:dyDescent="0.4">
      <c r="D181" s="84"/>
      <c r="E181" s="38" t="s">
        <v>58</v>
      </c>
      <c r="H181" s="67" t="str">
        <f>H183&amp;"円に特売（タイムサービス売価）設定"</f>
        <v>300円に特売（タイムサービス売価）設定</v>
      </c>
      <c r="I181" s="67" t="str">
        <f>I183&amp;"円に緊急売価変更設定"</f>
        <v>250円に緊急売価変更設定</v>
      </c>
      <c r="L181" s="67" t="str">
        <f>L183&amp;"円に特売（タイムサービス売価）設定"</f>
        <v>350円に特売（タイムサービス売価）設定</v>
      </c>
      <c r="M181" s="67" t="str">
        <f>M183&amp;"円に緊急売価変更設定"</f>
        <v>300円に緊急売価変更設定</v>
      </c>
      <c r="P181" s="67" t="str">
        <f>P183&amp;"円に特売（タイムサービス売価）設定"</f>
        <v>400円に特売（タイムサービス売価）設定</v>
      </c>
      <c r="Q181" s="67" t="str">
        <f>Q183&amp;"円に緊急売価変更設定"</f>
        <v>350円に緊急売価変更設定</v>
      </c>
      <c r="R181" s="106"/>
    </row>
    <row r="182" spans="4:18" s="37" customFormat="1" x14ac:dyDescent="0.4">
      <c r="D182" s="84"/>
      <c r="E182" s="90"/>
      <c r="F182" s="90"/>
      <c r="P182" s="38"/>
      <c r="Q182" s="38"/>
      <c r="R182" s="73"/>
    </row>
    <row r="183" spans="4:18" x14ac:dyDescent="0.4">
      <c r="D183" s="85"/>
      <c r="E183" s="89" t="s">
        <v>634</v>
      </c>
      <c r="F183" s="89"/>
      <c r="H183" s="67">
        <v>300</v>
      </c>
      <c r="I183" s="67">
        <v>250</v>
      </c>
      <c r="L183" s="67">
        <v>350</v>
      </c>
      <c r="M183" s="67">
        <v>300</v>
      </c>
      <c r="P183" s="67">
        <v>400</v>
      </c>
      <c r="Q183" s="67">
        <v>350</v>
      </c>
      <c r="R183" s="72"/>
    </row>
    <row r="184" spans="4:18" x14ac:dyDescent="0.4">
      <c r="D184" s="85"/>
      <c r="E184" s="89"/>
      <c r="F184" s="89"/>
      <c r="L184" s="67"/>
      <c r="M184" s="67"/>
      <c r="P184" s="67"/>
      <c r="Q184" s="67"/>
      <c r="R184" s="72"/>
    </row>
    <row r="185" spans="4:18" x14ac:dyDescent="0.4">
      <c r="D185" s="85"/>
      <c r="I185" s="1"/>
      <c r="L185" s="67"/>
      <c r="M185" s="67"/>
      <c r="P185" s="133" t="s">
        <v>661</v>
      </c>
      <c r="Q185" s="67"/>
      <c r="R185" s="72"/>
    </row>
    <row r="186" spans="4:18" ht="13.5" customHeight="1" x14ac:dyDescent="0.4">
      <c r="D186" s="85"/>
      <c r="H186" s="88"/>
      <c r="I186" s="1"/>
      <c r="L186" s="133" t="s">
        <v>661</v>
      </c>
      <c r="O186" s="102" t="s">
        <v>60</v>
      </c>
      <c r="P186" s="134"/>
      <c r="Q186" s="121" t="s">
        <v>104</v>
      </c>
      <c r="R186" s="72"/>
    </row>
    <row r="187" spans="4:18" ht="13.5" customHeight="1" x14ac:dyDescent="0.4">
      <c r="D187" s="85"/>
      <c r="G187" s="123" t="s">
        <v>63</v>
      </c>
      <c r="H187" s="133" t="s">
        <v>661</v>
      </c>
      <c r="I187" s="102" t="s">
        <v>113</v>
      </c>
      <c r="K187" s="123" t="s">
        <v>63</v>
      </c>
      <c r="L187" s="136"/>
      <c r="M187" s="129" t="s">
        <v>107</v>
      </c>
      <c r="O187" s="123" t="s">
        <v>63</v>
      </c>
      <c r="P187" s="134"/>
      <c r="Q187" s="122"/>
      <c r="R187" s="72"/>
    </row>
    <row r="188" spans="4:18" ht="13.5" customHeight="1" x14ac:dyDescent="0.4">
      <c r="D188" s="85"/>
      <c r="G188" s="124"/>
      <c r="H188" s="136"/>
      <c r="I188" s="129" t="s">
        <v>108</v>
      </c>
      <c r="K188" s="124"/>
      <c r="L188" s="136"/>
      <c r="M188" s="131"/>
      <c r="O188" s="124"/>
      <c r="P188" s="134"/>
      <c r="Q188" s="122"/>
      <c r="R188" s="72"/>
    </row>
    <row r="189" spans="4:18" ht="13.5" customHeight="1" x14ac:dyDescent="0.4">
      <c r="D189" s="85"/>
      <c r="G189" s="124"/>
      <c r="H189" s="136"/>
      <c r="I189" s="131"/>
      <c r="K189" s="124"/>
      <c r="L189" s="136"/>
      <c r="M189" s="131"/>
      <c r="O189" s="124"/>
      <c r="P189" s="134"/>
      <c r="Q189" s="122"/>
      <c r="R189" s="72"/>
    </row>
    <row r="190" spans="4:18" ht="13.5" customHeight="1" x14ac:dyDescent="0.4">
      <c r="D190" s="85"/>
      <c r="G190" s="124"/>
      <c r="H190" s="136"/>
      <c r="I190" s="131"/>
      <c r="K190" s="124"/>
      <c r="L190" s="136"/>
      <c r="M190" s="131"/>
      <c r="O190" s="124"/>
      <c r="P190" s="134"/>
      <c r="Q190" s="122"/>
      <c r="R190" s="72"/>
    </row>
    <row r="191" spans="4:18" ht="13.5" customHeight="1" x14ac:dyDescent="0.4">
      <c r="D191" s="85"/>
      <c r="G191" s="124"/>
      <c r="H191" s="136"/>
      <c r="I191" s="131"/>
      <c r="K191" s="124"/>
      <c r="L191" s="136"/>
      <c r="M191" s="131"/>
      <c r="O191" s="124"/>
      <c r="P191" s="134"/>
      <c r="Q191" s="122"/>
      <c r="R191" s="72"/>
    </row>
    <row r="192" spans="4:18" ht="13.5" customHeight="1" x14ac:dyDescent="0.4">
      <c r="D192" s="85"/>
      <c r="G192" s="125"/>
      <c r="H192" s="136"/>
      <c r="I192" s="131"/>
      <c r="K192" s="125"/>
      <c r="L192" s="136"/>
      <c r="M192" s="131"/>
      <c r="O192" s="125"/>
      <c r="P192" s="134"/>
      <c r="Q192" s="122"/>
      <c r="R192" s="72"/>
    </row>
    <row r="193" spans="4:18" x14ac:dyDescent="0.4">
      <c r="D193" s="85"/>
      <c r="E193" s="66" t="s">
        <v>71</v>
      </c>
      <c r="F193" s="66"/>
      <c r="G193" s="66"/>
      <c r="H193" s="101"/>
      <c r="I193" s="101">
        <v>50</v>
      </c>
      <c r="L193" s="3"/>
      <c r="M193" s="92">
        <v>0</v>
      </c>
      <c r="P193" s="3"/>
      <c r="Q193" s="92">
        <v>-50</v>
      </c>
      <c r="R193" s="72"/>
    </row>
    <row r="194" spans="4:18" x14ac:dyDescent="0.4">
      <c r="D194" s="85"/>
      <c r="E194" s="66" t="s">
        <v>72</v>
      </c>
      <c r="F194" s="66"/>
      <c r="G194" s="66"/>
      <c r="H194" s="116">
        <v>250</v>
      </c>
      <c r="I194" s="116"/>
      <c r="L194" s="116">
        <v>300</v>
      </c>
      <c r="M194" s="116"/>
      <c r="P194" s="116">
        <v>350</v>
      </c>
      <c r="Q194" s="116"/>
      <c r="R194" s="72"/>
    </row>
    <row r="195" spans="4:18" x14ac:dyDescent="0.4">
      <c r="D195" s="85"/>
      <c r="E195" s="66"/>
      <c r="F195" s="66"/>
      <c r="G195" s="66"/>
      <c r="I195" s="1"/>
      <c r="L195" s="67"/>
      <c r="P195" s="67"/>
      <c r="Q195" s="67"/>
      <c r="R195" s="72"/>
    </row>
    <row r="196" spans="4:18" x14ac:dyDescent="0.4">
      <c r="D196" s="85"/>
      <c r="E196" s="66" t="s">
        <v>73</v>
      </c>
      <c r="F196" s="66"/>
      <c r="G196" s="66"/>
      <c r="L196" s="67"/>
      <c r="M196" s="67"/>
      <c r="P196" s="67"/>
      <c r="Q196" s="67"/>
      <c r="R196" s="72"/>
    </row>
    <row r="197" spans="4:18" x14ac:dyDescent="0.4">
      <c r="D197" s="85"/>
      <c r="E197" s="68" t="s">
        <v>74</v>
      </c>
      <c r="F197" s="68"/>
      <c r="G197" s="66"/>
      <c r="H197" s="117" t="s">
        <v>122</v>
      </c>
      <c r="I197" s="67">
        <v>91111</v>
      </c>
      <c r="L197" s="117" t="s">
        <v>122</v>
      </c>
      <c r="M197" s="67">
        <v>91111</v>
      </c>
      <c r="P197" s="117" t="s">
        <v>122</v>
      </c>
      <c r="Q197" s="67">
        <v>91111</v>
      </c>
      <c r="R197" s="72"/>
    </row>
    <row r="198" spans="4:18" x14ac:dyDescent="0.4">
      <c r="D198" s="85"/>
      <c r="E198" s="68" t="s">
        <v>75</v>
      </c>
      <c r="F198" s="68"/>
      <c r="G198" s="66"/>
      <c r="H198" s="116"/>
      <c r="I198" s="67">
        <v>0</v>
      </c>
      <c r="L198" s="116"/>
      <c r="M198" s="67">
        <v>0</v>
      </c>
      <c r="P198" s="116"/>
      <c r="Q198" s="67">
        <v>0</v>
      </c>
      <c r="R198" s="72"/>
    </row>
    <row r="199" spans="4:18" x14ac:dyDescent="0.4">
      <c r="D199" s="85"/>
      <c r="E199" s="68" t="s">
        <v>76</v>
      </c>
      <c r="F199" s="68"/>
      <c r="G199" s="66"/>
      <c r="H199" s="116"/>
      <c r="I199" s="66" t="s">
        <v>9</v>
      </c>
      <c r="L199" s="116"/>
      <c r="M199" s="66" t="s">
        <v>9</v>
      </c>
      <c r="P199" s="116"/>
      <c r="Q199" s="66" t="s">
        <v>9</v>
      </c>
      <c r="R199" s="72"/>
    </row>
    <row r="200" spans="4:18" ht="27" x14ac:dyDescent="0.4">
      <c r="D200" s="85"/>
      <c r="E200" s="66" t="s">
        <v>71</v>
      </c>
      <c r="F200" s="66"/>
      <c r="G200" s="66"/>
      <c r="H200" s="116"/>
      <c r="I200" s="66" t="s">
        <v>123</v>
      </c>
      <c r="L200" s="116"/>
      <c r="M200" s="93" t="s">
        <v>79</v>
      </c>
      <c r="P200" s="116"/>
      <c r="Q200" s="94" t="s">
        <v>80</v>
      </c>
      <c r="R200" s="72"/>
    </row>
    <row r="201" spans="4:18" x14ac:dyDescent="0.4">
      <c r="D201" s="85"/>
      <c r="E201" s="87" t="s">
        <v>124</v>
      </c>
      <c r="F201" s="87"/>
      <c r="G201" s="66"/>
      <c r="L201" s="67"/>
      <c r="M201" s="67"/>
      <c r="P201" s="67"/>
      <c r="Q201" s="67"/>
      <c r="R201" s="72"/>
    </row>
    <row r="202" spans="4:18" x14ac:dyDescent="0.4">
      <c r="D202" s="85"/>
      <c r="E202" s="87" t="s">
        <v>118</v>
      </c>
      <c r="F202" s="87"/>
      <c r="G202" s="66"/>
      <c r="L202" s="67"/>
      <c r="M202" s="67"/>
      <c r="P202" s="67"/>
      <c r="Q202" s="67"/>
      <c r="R202" s="72"/>
    </row>
    <row r="203" spans="4:18" ht="14.25" thickBot="1" x14ac:dyDescent="0.45">
      <c r="D203" s="86"/>
      <c r="E203" s="74"/>
      <c r="F203" s="74"/>
      <c r="G203" s="74"/>
      <c r="H203" s="74"/>
      <c r="I203" s="77"/>
      <c r="J203" s="75"/>
      <c r="K203" s="75"/>
      <c r="L203" s="75"/>
      <c r="M203" s="75"/>
      <c r="N203" s="75"/>
      <c r="O203" s="75"/>
      <c r="P203" s="75"/>
      <c r="Q203" s="75"/>
      <c r="R203" s="76"/>
    </row>
    <row r="204" spans="4:18" x14ac:dyDescent="0.4">
      <c r="D204" s="81" t="s">
        <v>56</v>
      </c>
      <c r="E204" s="69"/>
      <c r="F204" s="69"/>
      <c r="G204" s="69"/>
      <c r="H204" s="69"/>
      <c r="I204" s="69"/>
      <c r="J204" s="70"/>
      <c r="K204" s="70"/>
      <c r="L204" s="70"/>
      <c r="M204" s="70"/>
      <c r="N204" s="70"/>
      <c r="O204" s="70"/>
      <c r="P204" s="70"/>
      <c r="Q204" s="70"/>
      <c r="R204" s="71"/>
    </row>
    <row r="205" spans="4:18" x14ac:dyDescent="0.4">
      <c r="D205" s="85">
        <v>9</v>
      </c>
      <c r="E205" s="103" t="s">
        <v>127</v>
      </c>
      <c r="F205" s="103"/>
      <c r="G205" s="103"/>
      <c r="R205" s="72"/>
    </row>
    <row r="206" spans="4:18" x14ac:dyDescent="0.4">
      <c r="D206" s="85"/>
      <c r="E206" s="87" t="s">
        <v>128</v>
      </c>
      <c r="F206" s="103"/>
      <c r="G206" s="103"/>
      <c r="R206" s="72"/>
    </row>
    <row r="207" spans="4:18" x14ac:dyDescent="0.4">
      <c r="D207" s="85"/>
      <c r="E207" s="103"/>
      <c r="F207" s="103"/>
      <c r="G207" s="103"/>
      <c r="R207" s="72"/>
    </row>
    <row r="208" spans="4:18" s="38" customFormat="1" x14ac:dyDescent="0.4">
      <c r="D208" s="84"/>
      <c r="E208" s="38" t="s">
        <v>58</v>
      </c>
      <c r="H208" s="67" t="str">
        <f>H211&amp;"%特売（タイムサービス割引）設定"</f>
        <v>10%特売（タイムサービス割引）設定</v>
      </c>
      <c r="I208" s="67" t="str">
        <f>I211&amp;"円に緊急売価変更設定"</f>
        <v>250円に緊急売価変更設定</v>
      </c>
      <c r="L208" s="67" t="str">
        <f>L211&amp;"%特売（タイムサービス割引）設定"</f>
        <v>10%特売（タイムサービス割引）設定</v>
      </c>
      <c r="M208" s="67" t="str">
        <f>M211&amp;"円に緊急売価変更設定"</f>
        <v>300円に緊急売価変更設定</v>
      </c>
      <c r="P208" s="67" t="str">
        <f>P211&amp;"%特売（タイムサービス割引）設定"</f>
        <v>10%特売（タイムサービス割引）設定</v>
      </c>
      <c r="Q208" s="67" t="str">
        <f>Q211&amp;"円に緊急売価変更設定"</f>
        <v>350円に緊急売価変更設定</v>
      </c>
      <c r="R208" s="106"/>
    </row>
    <row r="209" spans="4:18" s="97" customFormat="1" ht="18.75" x14ac:dyDescent="0.4">
      <c r="D209" s="84"/>
      <c r="G209" s="65"/>
      <c r="I209" s="100"/>
      <c r="K209" s="100"/>
      <c r="M209" s="103"/>
      <c r="P209" s="103"/>
      <c r="Q209" s="100"/>
      <c r="R209" s="98"/>
    </row>
    <row r="210" spans="4:18" s="37" customFormat="1" x14ac:dyDescent="0.4">
      <c r="D210" s="84"/>
      <c r="E210" s="90"/>
      <c r="F210" s="90"/>
      <c r="G210" s="65"/>
      <c r="P210" s="38"/>
      <c r="Q210" s="38"/>
      <c r="R210" s="73"/>
    </row>
    <row r="211" spans="4:18" x14ac:dyDescent="0.4">
      <c r="D211" s="85"/>
      <c r="E211" s="89" t="s">
        <v>635</v>
      </c>
      <c r="F211" s="103"/>
      <c r="H211" s="67">
        <v>10</v>
      </c>
      <c r="I211" s="67">
        <v>250</v>
      </c>
      <c r="L211" s="67">
        <v>10</v>
      </c>
      <c r="M211" s="67">
        <v>300</v>
      </c>
      <c r="P211" s="67">
        <v>10</v>
      </c>
      <c r="Q211" s="67">
        <v>350</v>
      </c>
      <c r="R211" s="72"/>
    </row>
    <row r="212" spans="4:18" x14ac:dyDescent="0.4">
      <c r="D212" s="85"/>
      <c r="I212" s="1"/>
      <c r="M212" s="67"/>
      <c r="P212" s="67"/>
      <c r="Q212" s="67"/>
      <c r="R212" s="72"/>
    </row>
    <row r="213" spans="4:18" ht="13.5" customHeight="1" x14ac:dyDescent="0.4">
      <c r="D213" s="85"/>
      <c r="H213" s="88"/>
      <c r="I213" s="1"/>
      <c r="O213" s="102" t="s">
        <v>60</v>
      </c>
      <c r="P213" s="67"/>
      <c r="Q213" s="121" t="s">
        <v>104</v>
      </c>
      <c r="R213" s="72"/>
    </row>
    <row r="214" spans="4:18" ht="13.5" customHeight="1" x14ac:dyDescent="0.4">
      <c r="D214" s="85"/>
      <c r="G214" s="123" t="s">
        <v>63</v>
      </c>
      <c r="H214" s="1"/>
      <c r="I214" s="102" t="s">
        <v>113</v>
      </c>
      <c r="K214" s="123" t="s">
        <v>63</v>
      </c>
      <c r="M214" s="129" t="s">
        <v>107</v>
      </c>
      <c r="O214" s="123" t="s">
        <v>63</v>
      </c>
      <c r="Q214" s="122"/>
      <c r="R214" s="72"/>
    </row>
    <row r="215" spans="4:18" ht="13.5" customHeight="1" x14ac:dyDescent="0.4">
      <c r="D215" s="85"/>
      <c r="G215" s="124"/>
      <c r="H215" s="133" t="s">
        <v>663</v>
      </c>
      <c r="I215" s="135" t="s">
        <v>108</v>
      </c>
      <c r="K215" s="124"/>
      <c r="L215" s="133" t="s">
        <v>663</v>
      </c>
      <c r="M215" s="131"/>
      <c r="O215" s="124"/>
      <c r="P215" s="133" t="s">
        <v>663</v>
      </c>
      <c r="Q215" s="122"/>
      <c r="R215" s="72"/>
    </row>
    <row r="216" spans="4:18" ht="13.5" customHeight="1" x14ac:dyDescent="0.4">
      <c r="D216" s="85"/>
      <c r="G216" s="124"/>
      <c r="H216" s="134"/>
      <c r="I216" s="122"/>
      <c r="K216" s="124"/>
      <c r="L216" s="134"/>
      <c r="M216" s="131"/>
      <c r="O216" s="124"/>
      <c r="P216" s="134"/>
      <c r="Q216" s="122"/>
      <c r="R216" s="72"/>
    </row>
    <row r="217" spans="4:18" ht="13.5" customHeight="1" x14ac:dyDescent="0.4">
      <c r="D217" s="85"/>
      <c r="G217" s="124"/>
      <c r="H217" s="134"/>
      <c r="I217" s="122"/>
      <c r="K217" s="124"/>
      <c r="L217" s="134"/>
      <c r="M217" s="131"/>
      <c r="O217" s="124"/>
      <c r="P217" s="134"/>
      <c r="Q217" s="122"/>
      <c r="R217" s="72"/>
    </row>
    <row r="218" spans="4:18" ht="13.5" customHeight="1" x14ac:dyDescent="0.4">
      <c r="D218" s="85"/>
      <c r="G218" s="124"/>
      <c r="H218" s="134"/>
      <c r="I218" s="122"/>
      <c r="K218" s="124"/>
      <c r="L218" s="134"/>
      <c r="M218" s="131"/>
      <c r="O218" s="124"/>
      <c r="P218" s="134"/>
      <c r="Q218" s="122"/>
      <c r="R218" s="72"/>
    </row>
    <row r="219" spans="4:18" ht="13.5" customHeight="1" x14ac:dyDescent="0.4">
      <c r="D219" s="85"/>
      <c r="G219" s="125"/>
      <c r="H219" s="134"/>
      <c r="I219" s="122"/>
      <c r="K219" s="125"/>
      <c r="L219" s="134"/>
      <c r="M219" s="131"/>
      <c r="O219" s="125"/>
      <c r="P219" s="159"/>
      <c r="Q219" s="122"/>
      <c r="R219" s="72"/>
    </row>
    <row r="220" spans="4:18" ht="13.5" customHeight="1" x14ac:dyDescent="0.4">
      <c r="D220" s="85"/>
      <c r="E220" s="66" t="s">
        <v>71</v>
      </c>
      <c r="G220" s="66"/>
      <c r="H220" s="101"/>
      <c r="I220" s="101">
        <v>50</v>
      </c>
      <c r="L220" s="3"/>
      <c r="M220" s="92">
        <v>0</v>
      </c>
      <c r="P220" s="3"/>
      <c r="Q220" s="92">
        <v>-50</v>
      </c>
      <c r="R220" s="72"/>
    </row>
    <row r="221" spans="4:18" x14ac:dyDescent="0.4">
      <c r="D221" s="85"/>
      <c r="E221" s="66" t="s">
        <v>72</v>
      </c>
      <c r="F221" s="66"/>
      <c r="G221" s="66"/>
      <c r="H221" s="116">
        <v>250</v>
      </c>
      <c r="I221" s="116"/>
      <c r="L221" s="116">
        <v>300</v>
      </c>
      <c r="M221" s="116"/>
      <c r="P221" s="116">
        <v>350</v>
      </c>
      <c r="Q221" s="116"/>
      <c r="R221" s="72"/>
    </row>
    <row r="222" spans="4:18" x14ac:dyDescent="0.4">
      <c r="D222" s="85"/>
      <c r="E222" s="66"/>
      <c r="F222" s="66"/>
      <c r="G222" s="66"/>
      <c r="I222" s="1"/>
      <c r="L222" s="67"/>
      <c r="P222" s="67"/>
      <c r="Q222" s="67"/>
      <c r="R222" s="72"/>
    </row>
    <row r="223" spans="4:18" x14ac:dyDescent="0.4">
      <c r="D223" s="85"/>
      <c r="E223" s="66" t="s">
        <v>73</v>
      </c>
      <c r="F223" s="66"/>
      <c r="G223" s="66"/>
      <c r="L223" s="67"/>
      <c r="M223" s="67"/>
      <c r="P223" s="67"/>
      <c r="Q223" s="67"/>
      <c r="R223" s="72"/>
    </row>
    <row r="224" spans="4:18" x14ac:dyDescent="0.4">
      <c r="D224" s="85"/>
      <c r="E224" s="68" t="s">
        <v>74</v>
      </c>
      <c r="F224" s="68"/>
      <c r="G224" s="66"/>
      <c r="H224" s="117" t="s">
        <v>122</v>
      </c>
      <c r="I224" s="67">
        <v>91111</v>
      </c>
      <c r="L224" s="117" t="s">
        <v>122</v>
      </c>
      <c r="M224" s="67">
        <v>91111</v>
      </c>
      <c r="P224" s="117" t="s">
        <v>122</v>
      </c>
      <c r="Q224" s="67">
        <v>91111</v>
      </c>
      <c r="R224" s="72"/>
    </row>
    <row r="225" spans="4:18" x14ac:dyDescent="0.4">
      <c r="D225" s="85"/>
      <c r="E225" s="68" t="s">
        <v>75</v>
      </c>
      <c r="F225" s="68"/>
      <c r="G225" s="66"/>
      <c r="H225" s="116"/>
      <c r="I225" s="67">
        <v>0</v>
      </c>
      <c r="L225" s="116"/>
      <c r="M225" s="67">
        <v>0</v>
      </c>
      <c r="P225" s="116"/>
      <c r="Q225" s="67">
        <v>0</v>
      </c>
      <c r="R225" s="72"/>
    </row>
    <row r="226" spans="4:18" x14ac:dyDescent="0.4">
      <c r="D226" s="85"/>
      <c r="E226" s="68" t="s">
        <v>76</v>
      </c>
      <c r="F226" s="68"/>
      <c r="G226" s="66"/>
      <c r="H226" s="116"/>
      <c r="I226" s="66" t="s">
        <v>9</v>
      </c>
      <c r="L226" s="116"/>
      <c r="M226" s="66" t="s">
        <v>9</v>
      </c>
      <c r="P226" s="116"/>
      <c r="Q226" s="66" t="s">
        <v>9</v>
      </c>
      <c r="R226" s="72"/>
    </row>
    <row r="227" spans="4:18" ht="27" x14ac:dyDescent="0.4">
      <c r="D227" s="85"/>
      <c r="E227" s="66" t="s">
        <v>71</v>
      </c>
      <c r="F227" s="66"/>
      <c r="G227" s="66"/>
      <c r="H227" s="116"/>
      <c r="I227" s="66" t="s">
        <v>123</v>
      </c>
      <c r="L227" s="116"/>
      <c r="M227" s="93" t="s">
        <v>79</v>
      </c>
      <c r="P227" s="116"/>
      <c r="Q227" s="94" t="s">
        <v>80</v>
      </c>
      <c r="R227" s="72"/>
    </row>
    <row r="228" spans="4:18" x14ac:dyDescent="0.4">
      <c r="D228" s="85"/>
      <c r="E228" s="87" t="s">
        <v>129</v>
      </c>
      <c r="F228" s="87"/>
      <c r="G228" s="66"/>
      <c r="L228" s="67"/>
      <c r="M228" s="67"/>
      <c r="P228" s="67"/>
      <c r="Q228" s="67"/>
      <c r="R228" s="72"/>
    </row>
    <row r="229" spans="4:18" x14ac:dyDescent="0.4">
      <c r="D229" s="85"/>
      <c r="E229" s="87" t="s">
        <v>118</v>
      </c>
      <c r="F229" s="87"/>
      <c r="G229" s="66"/>
      <c r="L229" s="67"/>
      <c r="M229" s="67"/>
      <c r="P229" s="67"/>
      <c r="Q229" s="67"/>
      <c r="R229" s="72"/>
    </row>
    <row r="230" spans="4:18" x14ac:dyDescent="0.4">
      <c r="D230" s="85"/>
      <c r="E230" s="87"/>
      <c r="F230" s="87"/>
      <c r="G230" s="66"/>
      <c r="L230" s="67"/>
      <c r="M230" s="67"/>
      <c r="P230" s="67"/>
      <c r="Q230" s="67"/>
      <c r="R230" s="72"/>
    </row>
    <row r="231" spans="4:18" ht="14.25" thickBot="1" x14ac:dyDescent="0.45">
      <c r="D231" s="86"/>
      <c r="E231" s="74"/>
      <c r="F231" s="74"/>
      <c r="G231" s="74"/>
      <c r="H231" s="74"/>
      <c r="I231" s="77"/>
      <c r="J231" s="75"/>
      <c r="K231" s="75"/>
      <c r="L231" s="75"/>
      <c r="M231" s="75"/>
      <c r="N231" s="75"/>
      <c r="O231" s="75"/>
      <c r="P231" s="75"/>
      <c r="Q231" s="75"/>
      <c r="R231" s="76"/>
    </row>
    <row r="232" spans="4:18" x14ac:dyDescent="0.4">
      <c r="D232" s="81" t="s">
        <v>56</v>
      </c>
      <c r="E232" s="69"/>
      <c r="F232" s="69"/>
      <c r="G232" s="69"/>
      <c r="H232" s="69"/>
      <c r="I232" s="69"/>
      <c r="J232" s="70"/>
      <c r="K232" s="70"/>
      <c r="L232" s="70"/>
      <c r="M232" s="70"/>
      <c r="N232" s="70"/>
      <c r="O232" s="70"/>
      <c r="P232" s="70"/>
      <c r="Q232" s="70"/>
      <c r="R232" s="71"/>
    </row>
    <row r="233" spans="4:18" x14ac:dyDescent="0.4">
      <c r="D233" s="85">
        <v>10</v>
      </c>
      <c r="E233" s="103" t="s">
        <v>130</v>
      </c>
      <c r="F233" s="103"/>
      <c r="G233" s="103"/>
      <c r="R233" s="72"/>
    </row>
    <row r="234" spans="4:18" x14ac:dyDescent="0.4">
      <c r="D234" s="85"/>
      <c r="E234" s="87" t="s">
        <v>131</v>
      </c>
      <c r="F234" s="103"/>
      <c r="G234" s="103"/>
      <c r="R234" s="72"/>
    </row>
    <row r="235" spans="4:18" x14ac:dyDescent="0.4">
      <c r="D235" s="85"/>
      <c r="E235" s="103"/>
      <c r="F235" s="103"/>
      <c r="G235" s="103"/>
      <c r="R235" s="72"/>
    </row>
    <row r="236" spans="4:18" s="38" customFormat="1" x14ac:dyDescent="0.4">
      <c r="D236" s="84"/>
      <c r="E236" s="38" t="s">
        <v>58</v>
      </c>
      <c r="H236" s="67" t="str">
        <f>H238&amp;"円に特売（期間売価）設定"</f>
        <v>200円に特売（期間売価）設定</v>
      </c>
      <c r="I236" s="67" t="str">
        <f>I238&amp;"円に緊急売価変更設定"</f>
        <v>250円に緊急売価変更設定</v>
      </c>
      <c r="L236" s="67" t="str">
        <f>L238&amp;"円に特売（期間売価）設定"</f>
        <v>250円に特売（期間売価）設定</v>
      </c>
      <c r="M236" s="67" t="str">
        <f>M238&amp;"円に緊急売価変更設定"</f>
        <v>300円に緊急売価変更設定</v>
      </c>
      <c r="P236" s="67" t="str">
        <f>P238&amp;"円に特売（期間売価）設定"</f>
        <v>300円に特売（期間売価）設定</v>
      </c>
      <c r="Q236" s="67" t="str">
        <f>Q238&amp;"円に緊急売価変更設定"</f>
        <v>350円に緊急売価変更設定</v>
      </c>
      <c r="R236" s="106"/>
    </row>
    <row r="237" spans="4:18" s="37" customFormat="1" x14ac:dyDescent="0.4">
      <c r="D237" s="84"/>
      <c r="E237" s="90"/>
      <c r="F237" s="90"/>
      <c r="G237" s="65"/>
      <c r="H237" s="1"/>
      <c r="L237" s="1"/>
      <c r="P237" s="38"/>
      <c r="Q237" s="38"/>
      <c r="R237" s="73"/>
    </row>
    <row r="238" spans="4:18" x14ac:dyDescent="0.4">
      <c r="D238" s="85"/>
      <c r="E238" s="89" t="s">
        <v>636</v>
      </c>
      <c r="F238" s="89"/>
      <c r="H238" s="67">
        <v>200</v>
      </c>
      <c r="I238" s="67">
        <v>250</v>
      </c>
      <c r="L238" s="67">
        <v>250</v>
      </c>
      <c r="M238" s="67">
        <v>300</v>
      </c>
      <c r="P238" s="67">
        <v>300</v>
      </c>
      <c r="Q238" s="67">
        <v>350</v>
      </c>
      <c r="R238" s="72"/>
    </row>
    <row r="239" spans="4:18" x14ac:dyDescent="0.4">
      <c r="D239" s="85"/>
      <c r="H239" s="1"/>
      <c r="P239" s="67"/>
      <c r="Q239" s="67"/>
      <c r="R239" s="72"/>
    </row>
    <row r="240" spans="4:18" ht="13.5" customHeight="1" x14ac:dyDescent="0.4">
      <c r="D240" s="85"/>
      <c r="H240" s="1"/>
      <c r="I240" s="88"/>
      <c r="O240" s="102" t="s">
        <v>60</v>
      </c>
      <c r="P240" s="67"/>
      <c r="Q240" s="121" t="s">
        <v>104</v>
      </c>
      <c r="R240" s="72"/>
    </row>
    <row r="241" spans="4:18" ht="13.5" customHeight="1" x14ac:dyDescent="0.4">
      <c r="D241" s="85"/>
      <c r="G241" s="123" t="s">
        <v>63</v>
      </c>
      <c r="H241" s="1"/>
      <c r="I241" s="102" t="s">
        <v>113</v>
      </c>
      <c r="K241" s="123" t="s">
        <v>63</v>
      </c>
      <c r="M241" s="121" t="s">
        <v>107</v>
      </c>
      <c r="O241" s="123" t="s">
        <v>63</v>
      </c>
      <c r="P241" s="118" t="s">
        <v>662</v>
      </c>
      <c r="Q241" s="122"/>
      <c r="R241" s="72"/>
    </row>
    <row r="242" spans="4:18" ht="13.5" customHeight="1" x14ac:dyDescent="0.4">
      <c r="D242" s="85"/>
      <c r="G242" s="124"/>
      <c r="H242" s="1"/>
      <c r="I242" s="135" t="s">
        <v>108</v>
      </c>
      <c r="K242" s="124"/>
      <c r="L242" s="118" t="s">
        <v>664</v>
      </c>
      <c r="M242" s="122"/>
      <c r="O242" s="124"/>
      <c r="P242" s="119"/>
      <c r="Q242" s="122"/>
      <c r="R242" s="72"/>
    </row>
    <row r="243" spans="4:18" ht="13.5" customHeight="1" x14ac:dyDescent="0.4">
      <c r="D243" s="85"/>
      <c r="G243" s="124"/>
      <c r="H243" s="133" t="s">
        <v>664</v>
      </c>
      <c r="I243" s="122"/>
      <c r="K243" s="124"/>
      <c r="L243" s="137"/>
      <c r="M243" s="122"/>
      <c r="O243" s="124"/>
      <c r="P243" s="119"/>
      <c r="Q243" s="122"/>
      <c r="R243" s="72"/>
    </row>
    <row r="244" spans="4:18" ht="13.5" customHeight="1" x14ac:dyDescent="0.4">
      <c r="D244" s="85"/>
      <c r="G244" s="124"/>
      <c r="H244" s="134"/>
      <c r="I244" s="122"/>
      <c r="K244" s="124"/>
      <c r="L244" s="137"/>
      <c r="M244" s="122"/>
      <c r="O244" s="124"/>
      <c r="P244" s="119"/>
      <c r="Q244" s="122"/>
      <c r="R244" s="72"/>
    </row>
    <row r="245" spans="4:18" ht="13.5" customHeight="1" x14ac:dyDescent="0.4">
      <c r="D245" s="85"/>
      <c r="G245" s="124"/>
      <c r="H245" s="134"/>
      <c r="I245" s="122"/>
      <c r="K245" s="124"/>
      <c r="L245" s="137"/>
      <c r="M245" s="122"/>
      <c r="O245" s="124"/>
      <c r="P245" s="119"/>
      <c r="Q245" s="122"/>
      <c r="R245" s="72"/>
    </row>
    <row r="246" spans="4:18" ht="13.5" customHeight="1" x14ac:dyDescent="0.4">
      <c r="D246" s="85"/>
      <c r="G246" s="125"/>
      <c r="H246" s="134"/>
      <c r="I246" s="122"/>
      <c r="K246" s="125"/>
      <c r="L246" s="138"/>
      <c r="M246" s="122"/>
      <c r="O246" s="125"/>
      <c r="P246" s="120"/>
      <c r="Q246" s="122"/>
      <c r="R246" s="72"/>
    </row>
    <row r="247" spans="4:18" x14ac:dyDescent="0.4">
      <c r="D247" s="85"/>
      <c r="E247" s="66" t="s">
        <v>71</v>
      </c>
      <c r="F247" s="66"/>
      <c r="G247" s="66"/>
      <c r="H247" s="101"/>
      <c r="I247" s="101">
        <v>50</v>
      </c>
      <c r="L247" s="3"/>
      <c r="M247" s="92">
        <v>0</v>
      </c>
      <c r="P247" s="3"/>
      <c r="Q247" s="92">
        <v>-50</v>
      </c>
      <c r="R247" s="72"/>
    </row>
    <row r="248" spans="4:18" x14ac:dyDescent="0.4">
      <c r="D248" s="85"/>
      <c r="E248" s="66" t="s">
        <v>72</v>
      </c>
      <c r="F248" s="66"/>
      <c r="G248" s="66"/>
      <c r="H248" s="116">
        <v>250</v>
      </c>
      <c r="I248" s="116"/>
      <c r="L248" s="116">
        <v>300</v>
      </c>
      <c r="M248" s="116"/>
      <c r="P248" s="116">
        <v>350</v>
      </c>
      <c r="Q248" s="116"/>
      <c r="R248" s="72"/>
    </row>
    <row r="249" spans="4:18" x14ac:dyDescent="0.4">
      <c r="D249" s="85"/>
      <c r="E249" s="66"/>
      <c r="F249" s="66"/>
      <c r="G249" s="66"/>
      <c r="I249" s="1"/>
      <c r="M249" s="67"/>
      <c r="P249" s="67"/>
      <c r="Q249" s="67"/>
      <c r="R249" s="72"/>
    </row>
    <row r="250" spans="4:18" x14ac:dyDescent="0.4">
      <c r="D250" s="85"/>
      <c r="E250" s="66" t="s">
        <v>73</v>
      </c>
      <c r="F250" s="66"/>
      <c r="G250" s="66"/>
      <c r="M250" s="67"/>
      <c r="P250" s="67"/>
      <c r="Q250" s="67"/>
      <c r="R250" s="72"/>
    </row>
    <row r="251" spans="4:18" x14ac:dyDescent="0.4">
      <c r="D251" s="85"/>
      <c r="E251" s="68" t="s">
        <v>74</v>
      </c>
      <c r="F251" s="68"/>
      <c r="G251" s="66"/>
      <c r="H251" s="117" t="s">
        <v>122</v>
      </c>
      <c r="I251" s="67">
        <v>91111</v>
      </c>
      <c r="L251" s="117" t="s">
        <v>122</v>
      </c>
      <c r="M251" s="67">
        <v>91111</v>
      </c>
      <c r="P251" s="117" t="s">
        <v>122</v>
      </c>
      <c r="Q251" s="67">
        <v>91111</v>
      </c>
      <c r="R251" s="72"/>
    </row>
    <row r="252" spans="4:18" x14ac:dyDescent="0.4">
      <c r="D252" s="85"/>
      <c r="E252" s="68" t="s">
        <v>75</v>
      </c>
      <c r="F252" s="68"/>
      <c r="G252" s="66"/>
      <c r="H252" s="116"/>
      <c r="I252" s="67">
        <v>0</v>
      </c>
      <c r="L252" s="116"/>
      <c r="M252" s="67">
        <v>0</v>
      </c>
      <c r="P252" s="116"/>
      <c r="Q252" s="67">
        <v>0</v>
      </c>
      <c r="R252" s="72"/>
    </row>
    <row r="253" spans="4:18" x14ac:dyDescent="0.4">
      <c r="D253" s="85"/>
      <c r="E253" s="68" t="s">
        <v>76</v>
      </c>
      <c r="F253" s="68"/>
      <c r="G253" s="66"/>
      <c r="H253" s="116"/>
      <c r="I253" s="66" t="s">
        <v>9</v>
      </c>
      <c r="L253" s="116"/>
      <c r="M253" s="66" t="s">
        <v>9</v>
      </c>
      <c r="P253" s="116"/>
      <c r="Q253" s="66" t="s">
        <v>9</v>
      </c>
      <c r="R253" s="72"/>
    </row>
    <row r="254" spans="4:18" ht="27" x14ac:dyDescent="0.4">
      <c r="D254" s="85"/>
      <c r="E254" s="66" t="s">
        <v>71</v>
      </c>
      <c r="F254" s="66"/>
      <c r="G254" s="66"/>
      <c r="H254" s="116"/>
      <c r="I254" s="66" t="s">
        <v>123</v>
      </c>
      <c r="L254" s="116"/>
      <c r="M254" s="93" t="s">
        <v>79</v>
      </c>
      <c r="P254" s="116"/>
      <c r="Q254" s="94" t="s">
        <v>80</v>
      </c>
      <c r="R254" s="72"/>
    </row>
    <row r="255" spans="4:18" x14ac:dyDescent="0.4">
      <c r="D255" s="85"/>
      <c r="E255" s="87" t="s">
        <v>132</v>
      </c>
      <c r="F255" s="87"/>
      <c r="G255" s="66"/>
      <c r="L255" s="67"/>
      <c r="M255" s="67"/>
      <c r="P255" s="67"/>
      <c r="Q255" s="67"/>
      <c r="R255" s="72"/>
    </row>
    <row r="256" spans="4:18" x14ac:dyDescent="0.4">
      <c r="D256" s="85"/>
      <c r="E256" s="87" t="s">
        <v>118</v>
      </c>
      <c r="F256" s="87"/>
      <c r="G256" s="66"/>
      <c r="L256" s="67"/>
      <c r="M256" s="67"/>
      <c r="P256" s="67"/>
      <c r="Q256" s="67"/>
      <c r="R256" s="72"/>
    </row>
    <row r="257" spans="4:18" ht="14.25" thickBot="1" x14ac:dyDescent="0.45">
      <c r="D257" s="86"/>
      <c r="E257" s="74"/>
      <c r="F257" s="74"/>
      <c r="G257" s="74"/>
      <c r="H257" s="74"/>
      <c r="I257" s="77"/>
      <c r="J257" s="75"/>
      <c r="K257" s="75"/>
      <c r="L257" s="75"/>
      <c r="M257" s="75"/>
      <c r="N257" s="75"/>
      <c r="O257" s="75"/>
      <c r="P257" s="75"/>
      <c r="Q257" s="75"/>
      <c r="R257" s="76"/>
    </row>
    <row r="258" spans="4:18" x14ac:dyDescent="0.4">
      <c r="D258" s="81" t="s">
        <v>56</v>
      </c>
      <c r="E258" s="69"/>
      <c r="F258" s="69"/>
      <c r="G258" s="69"/>
      <c r="H258" s="69"/>
      <c r="I258" s="69"/>
      <c r="J258" s="70"/>
      <c r="K258" s="70"/>
      <c r="L258" s="70"/>
      <c r="M258" s="70"/>
      <c r="N258" s="70"/>
      <c r="O258" s="70"/>
      <c r="P258" s="70"/>
      <c r="Q258" s="70"/>
      <c r="R258" s="71"/>
    </row>
    <row r="259" spans="4:18" x14ac:dyDescent="0.4">
      <c r="D259" s="85">
        <v>11</v>
      </c>
      <c r="E259" s="103" t="s">
        <v>133</v>
      </c>
      <c r="F259" s="103"/>
      <c r="G259" s="103"/>
      <c r="R259" s="72"/>
    </row>
    <row r="260" spans="4:18" x14ac:dyDescent="0.4">
      <c r="D260" s="85"/>
      <c r="E260" s="87" t="s">
        <v>131</v>
      </c>
      <c r="F260" s="103"/>
      <c r="G260" s="103"/>
      <c r="R260" s="72"/>
    </row>
    <row r="261" spans="4:18" x14ac:dyDescent="0.4">
      <c r="D261" s="85"/>
      <c r="E261" s="103"/>
      <c r="F261" s="103"/>
      <c r="G261" s="103"/>
      <c r="R261" s="72"/>
    </row>
    <row r="262" spans="4:18" s="38" customFormat="1" x14ac:dyDescent="0.4">
      <c r="D262" s="84"/>
      <c r="E262" s="38" t="s">
        <v>58</v>
      </c>
      <c r="H262" s="67" t="str">
        <f>H264&amp;"円に特売（期間売価）設定"</f>
        <v>250円に特売（期間売価）設定</v>
      </c>
      <c r="I262" s="67" t="str">
        <f>I264&amp;"円に緊急売価変更設定"</f>
        <v>250円に緊急売価変更設定</v>
      </c>
      <c r="L262" s="67" t="str">
        <f>L264&amp;"円に特売（期間売価）設定"</f>
        <v>300円に特売（期間売価）設定</v>
      </c>
      <c r="M262" s="67" t="str">
        <f>M264&amp;"円に緊急売価変更設定"</f>
        <v>300円に緊急売価変更設定</v>
      </c>
      <c r="P262" s="67" t="str">
        <f>P264&amp;"円に特売（期間売価）設定"</f>
        <v>350円に特売（期間売価）設定</v>
      </c>
      <c r="Q262" s="67" t="str">
        <f>Q264&amp;"円に緊急売価変更設定"</f>
        <v>350円に緊急売価変更設定</v>
      </c>
      <c r="R262" s="106"/>
    </row>
    <row r="263" spans="4:18" s="37" customFormat="1" x14ac:dyDescent="0.4">
      <c r="D263" s="84"/>
      <c r="E263" s="90"/>
      <c r="F263" s="90"/>
      <c r="P263" s="38"/>
      <c r="Q263" s="38"/>
      <c r="R263" s="73"/>
    </row>
    <row r="264" spans="4:18" x14ac:dyDescent="0.4">
      <c r="D264" s="85"/>
      <c r="E264" s="89" t="s">
        <v>636</v>
      </c>
      <c r="F264" s="89"/>
      <c r="H264" s="67">
        <v>250</v>
      </c>
      <c r="I264" s="67">
        <v>250</v>
      </c>
      <c r="L264" s="67">
        <v>300</v>
      </c>
      <c r="M264" s="67">
        <v>300</v>
      </c>
      <c r="P264" s="67">
        <v>350</v>
      </c>
      <c r="Q264" s="67">
        <v>350</v>
      </c>
      <c r="R264" s="72"/>
    </row>
    <row r="265" spans="4:18" x14ac:dyDescent="0.4">
      <c r="D265" s="85"/>
      <c r="I265" s="1"/>
      <c r="L265" s="67"/>
      <c r="P265" s="67"/>
      <c r="Q265" s="67"/>
      <c r="R265" s="72"/>
    </row>
    <row r="266" spans="4:18" x14ac:dyDescent="0.4">
      <c r="D266" s="85"/>
      <c r="H266" s="88"/>
      <c r="I266" s="1"/>
      <c r="O266" s="102" t="s">
        <v>60</v>
      </c>
      <c r="P266" s="118" t="s">
        <v>662</v>
      </c>
      <c r="Q266" s="121" t="s">
        <v>104</v>
      </c>
      <c r="R266" s="72"/>
    </row>
    <row r="267" spans="4:18" ht="13.5" customHeight="1" x14ac:dyDescent="0.4">
      <c r="D267" s="85"/>
      <c r="G267" s="123" t="s">
        <v>63</v>
      </c>
      <c r="H267" s="1"/>
      <c r="I267" s="102" t="s">
        <v>113</v>
      </c>
      <c r="K267" s="123" t="s">
        <v>63</v>
      </c>
      <c r="L267" s="118" t="s">
        <v>662</v>
      </c>
      <c r="M267" s="121" t="s">
        <v>107</v>
      </c>
      <c r="O267" s="123" t="s">
        <v>63</v>
      </c>
      <c r="P267" s="119"/>
      <c r="Q267" s="122"/>
      <c r="R267" s="72"/>
    </row>
    <row r="268" spans="4:18" ht="13.5" customHeight="1" x14ac:dyDescent="0.4">
      <c r="D268" s="85"/>
      <c r="G268" s="124"/>
      <c r="H268" s="133" t="s">
        <v>664</v>
      </c>
      <c r="I268" s="135" t="s">
        <v>108</v>
      </c>
      <c r="K268" s="124"/>
      <c r="L268" s="119"/>
      <c r="M268" s="122"/>
      <c r="O268" s="124"/>
      <c r="P268" s="119"/>
      <c r="Q268" s="122"/>
      <c r="R268" s="72"/>
    </row>
    <row r="269" spans="4:18" ht="13.5" customHeight="1" x14ac:dyDescent="0.4">
      <c r="D269" s="85"/>
      <c r="G269" s="124"/>
      <c r="H269" s="134"/>
      <c r="I269" s="122"/>
      <c r="K269" s="124"/>
      <c r="L269" s="119"/>
      <c r="M269" s="122"/>
      <c r="O269" s="124"/>
      <c r="P269" s="119"/>
      <c r="Q269" s="122"/>
      <c r="R269" s="72"/>
    </row>
    <row r="270" spans="4:18" ht="13.5" customHeight="1" x14ac:dyDescent="0.4">
      <c r="D270" s="85"/>
      <c r="G270" s="124"/>
      <c r="H270" s="134"/>
      <c r="I270" s="122"/>
      <c r="K270" s="124"/>
      <c r="L270" s="119"/>
      <c r="M270" s="122"/>
      <c r="O270" s="124"/>
      <c r="P270" s="119"/>
      <c r="Q270" s="122"/>
      <c r="R270" s="72"/>
    </row>
    <row r="271" spans="4:18" ht="13.5" customHeight="1" x14ac:dyDescent="0.4">
      <c r="D271" s="85"/>
      <c r="G271" s="124"/>
      <c r="H271" s="134"/>
      <c r="I271" s="122"/>
      <c r="K271" s="124"/>
      <c r="L271" s="119"/>
      <c r="M271" s="122"/>
      <c r="O271" s="124"/>
      <c r="P271" s="119"/>
      <c r="Q271" s="122"/>
      <c r="R271" s="72"/>
    </row>
    <row r="272" spans="4:18" ht="13.5" customHeight="1" x14ac:dyDescent="0.4">
      <c r="D272" s="85"/>
      <c r="G272" s="125"/>
      <c r="H272" s="134"/>
      <c r="I272" s="122"/>
      <c r="K272" s="125"/>
      <c r="L272" s="120"/>
      <c r="M272" s="122"/>
      <c r="O272" s="125"/>
      <c r="P272" s="120"/>
      <c r="Q272" s="122"/>
      <c r="R272" s="72"/>
    </row>
    <row r="273" spans="4:18" x14ac:dyDescent="0.4">
      <c r="D273" s="85"/>
      <c r="E273" s="66" t="s">
        <v>71</v>
      </c>
      <c r="F273" s="66"/>
      <c r="G273" s="66"/>
      <c r="H273" s="101"/>
      <c r="I273" s="101">
        <v>50</v>
      </c>
      <c r="L273" s="92"/>
      <c r="M273" s="92">
        <v>0</v>
      </c>
      <c r="P273" s="92"/>
      <c r="Q273" s="92">
        <v>-50</v>
      </c>
      <c r="R273" s="72"/>
    </row>
    <row r="274" spans="4:18" x14ac:dyDescent="0.4">
      <c r="D274" s="85"/>
      <c r="E274" s="66" t="s">
        <v>72</v>
      </c>
      <c r="F274" s="66"/>
      <c r="G274" s="66"/>
      <c r="H274" s="116">
        <v>250</v>
      </c>
      <c r="I274" s="116"/>
      <c r="L274" s="116">
        <v>300</v>
      </c>
      <c r="M274" s="116"/>
      <c r="P274" s="116">
        <v>350</v>
      </c>
      <c r="Q274" s="116"/>
      <c r="R274" s="72"/>
    </row>
    <row r="275" spans="4:18" x14ac:dyDescent="0.4">
      <c r="D275" s="85"/>
      <c r="E275" s="66"/>
      <c r="F275" s="66"/>
      <c r="G275" s="66"/>
      <c r="I275" s="1"/>
      <c r="L275" s="67"/>
      <c r="P275" s="67"/>
      <c r="Q275" s="67"/>
      <c r="R275" s="72"/>
    </row>
    <row r="276" spans="4:18" x14ac:dyDescent="0.4">
      <c r="D276" s="85"/>
      <c r="E276" s="66" t="s">
        <v>73</v>
      </c>
      <c r="F276" s="66"/>
      <c r="G276" s="66"/>
      <c r="L276" s="67"/>
      <c r="M276" s="67"/>
      <c r="P276" s="67"/>
      <c r="Q276" s="67"/>
      <c r="R276" s="72"/>
    </row>
    <row r="277" spans="4:18" x14ac:dyDescent="0.4">
      <c r="D277" s="85"/>
      <c r="E277" s="68" t="s">
        <v>74</v>
      </c>
      <c r="F277" s="68"/>
      <c r="G277" s="66"/>
      <c r="H277" s="117" t="s">
        <v>122</v>
      </c>
      <c r="I277" s="67">
        <v>91111</v>
      </c>
      <c r="L277" s="117" t="s">
        <v>122</v>
      </c>
      <c r="M277" s="67">
        <v>91111</v>
      </c>
      <c r="P277" s="117" t="s">
        <v>122</v>
      </c>
      <c r="Q277" s="67">
        <v>91111</v>
      </c>
      <c r="R277" s="72"/>
    </row>
    <row r="278" spans="4:18" x14ac:dyDescent="0.4">
      <c r="D278" s="85"/>
      <c r="E278" s="68" t="s">
        <v>75</v>
      </c>
      <c r="F278" s="68"/>
      <c r="G278" s="66"/>
      <c r="H278" s="116"/>
      <c r="I278" s="67">
        <v>0</v>
      </c>
      <c r="L278" s="116"/>
      <c r="M278" s="67">
        <v>0</v>
      </c>
      <c r="P278" s="116"/>
      <c r="Q278" s="67">
        <v>0</v>
      </c>
      <c r="R278" s="72"/>
    </row>
    <row r="279" spans="4:18" x14ac:dyDescent="0.4">
      <c r="D279" s="85"/>
      <c r="E279" s="68" t="s">
        <v>76</v>
      </c>
      <c r="F279" s="68"/>
      <c r="G279" s="66"/>
      <c r="H279" s="116"/>
      <c r="I279" s="66" t="s">
        <v>9</v>
      </c>
      <c r="L279" s="116"/>
      <c r="M279" s="66" t="s">
        <v>9</v>
      </c>
      <c r="P279" s="116"/>
      <c r="Q279" s="66" t="s">
        <v>9</v>
      </c>
      <c r="R279" s="72"/>
    </row>
    <row r="280" spans="4:18" ht="27" x14ac:dyDescent="0.4">
      <c r="D280" s="85"/>
      <c r="E280" s="66" t="s">
        <v>71</v>
      </c>
      <c r="F280" s="66"/>
      <c r="G280" s="66"/>
      <c r="H280" s="116"/>
      <c r="I280" s="66" t="s">
        <v>123</v>
      </c>
      <c r="L280" s="116"/>
      <c r="M280" s="93" t="s">
        <v>79</v>
      </c>
      <c r="P280" s="116"/>
      <c r="Q280" s="94" t="s">
        <v>80</v>
      </c>
      <c r="R280" s="72"/>
    </row>
    <row r="281" spans="4:18" x14ac:dyDescent="0.4">
      <c r="D281" s="85"/>
      <c r="E281" s="87" t="s">
        <v>132</v>
      </c>
      <c r="F281" s="87"/>
      <c r="G281" s="66"/>
      <c r="L281" s="67"/>
      <c r="M281" s="67"/>
      <c r="P281" s="67"/>
      <c r="Q281" s="67"/>
      <c r="R281" s="72"/>
    </row>
    <row r="282" spans="4:18" x14ac:dyDescent="0.4">
      <c r="D282" s="85"/>
      <c r="E282" s="87" t="s">
        <v>118</v>
      </c>
      <c r="F282" s="87"/>
      <c r="G282" s="66"/>
      <c r="L282" s="67"/>
      <c r="M282" s="67"/>
      <c r="P282" s="67"/>
      <c r="Q282" s="67"/>
      <c r="R282" s="72"/>
    </row>
    <row r="283" spans="4:18" ht="14.25" thickBot="1" x14ac:dyDescent="0.45">
      <c r="D283" s="86"/>
      <c r="E283" s="74"/>
      <c r="F283" s="74"/>
      <c r="G283" s="74"/>
      <c r="H283" s="74"/>
      <c r="I283" s="77"/>
      <c r="J283" s="75"/>
      <c r="K283" s="75"/>
      <c r="L283" s="75"/>
      <c r="M283" s="75"/>
      <c r="N283" s="75"/>
      <c r="O283" s="75"/>
      <c r="P283" s="75"/>
      <c r="Q283" s="75"/>
      <c r="R283" s="76"/>
    </row>
    <row r="284" spans="4:18" x14ac:dyDescent="0.4">
      <c r="D284" s="81" t="s">
        <v>56</v>
      </c>
      <c r="E284" s="69"/>
      <c r="F284" s="69"/>
      <c r="G284" s="69"/>
      <c r="H284" s="69"/>
      <c r="I284" s="69"/>
      <c r="J284" s="70"/>
      <c r="K284" s="70"/>
      <c r="L284" s="70"/>
      <c r="M284" s="70"/>
      <c r="N284" s="70"/>
      <c r="O284" s="70"/>
      <c r="P284" s="70"/>
      <c r="Q284" s="70"/>
      <c r="R284" s="71"/>
    </row>
    <row r="285" spans="4:18" x14ac:dyDescent="0.4">
      <c r="D285" s="85">
        <v>12</v>
      </c>
      <c r="E285" s="103" t="s">
        <v>134</v>
      </c>
      <c r="F285" s="103"/>
      <c r="G285" s="103"/>
      <c r="R285" s="72"/>
    </row>
    <row r="286" spans="4:18" x14ac:dyDescent="0.4">
      <c r="D286" s="85"/>
      <c r="E286" s="87" t="s">
        <v>131</v>
      </c>
      <c r="F286" s="103"/>
      <c r="G286" s="103"/>
      <c r="R286" s="72"/>
    </row>
    <row r="287" spans="4:18" x14ac:dyDescent="0.4">
      <c r="D287" s="85"/>
      <c r="E287" s="103"/>
      <c r="F287" s="103"/>
      <c r="G287" s="103"/>
      <c r="R287" s="72"/>
    </row>
    <row r="288" spans="4:18" s="38" customFormat="1" x14ac:dyDescent="0.4">
      <c r="D288" s="84"/>
      <c r="E288" s="38" t="s">
        <v>58</v>
      </c>
      <c r="H288" s="67" t="str">
        <f>H290&amp;"円に特売（期間売価）設定"</f>
        <v>300円に特売（期間売価）設定</v>
      </c>
      <c r="I288" s="67" t="str">
        <f>I290&amp;"円に緊急売価変更設定"</f>
        <v>250円に緊急売価変更設定</v>
      </c>
      <c r="L288" s="67" t="str">
        <f>L290&amp;"円に特売（期間売価）設定"</f>
        <v>350円に特売（期間売価）設定</v>
      </c>
      <c r="M288" s="67" t="str">
        <f>M290&amp;"円に緊急売価変更設定"</f>
        <v>300円に緊急売価変更設定</v>
      </c>
      <c r="P288" s="67" t="str">
        <f>P290&amp;"円に特売（期間売価）設定"</f>
        <v>400円に特売（期間売価）設定</v>
      </c>
      <c r="Q288" s="67" t="str">
        <f>Q290&amp;"円に緊急売価変更設定"</f>
        <v>350円に緊急売価変更設定</v>
      </c>
      <c r="R288" s="106"/>
    </row>
    <row r="289" spans="4:18" s="37" customFormat="1" x14ac:dyDescent="0.4">
      <c r="D289" s="84"/>
      <c r="E289" s="90"/>
      <c r="F289" s="90"/>
      <c r="P289" s="38"/>
      <c r="Q289" s="38"/>
      <c r="R289" s="73"/>
    </row>
    <row r="290" spans="4:18" x14ac:dyDescent="0.4">
      <c r="D290" s="85"/>
      <c r="E290" s="89" t="s">
        <v>636</v>
      </c>
      <c r="F290" s="89"/>
      <c r="H290" s="67">
        <v>300</v>
      </c>
      <c r="I290" s="67">
        <v>250</v>
      </c>
      <c r="L290" s="67">
        <v>350</v>
      </c>
      <c r="M290" s="67">
        <v>300</v>
      </c>
      <c r="P290" s="67">
        <v>400</v>
      </c>
      <c r="Q290" s="67">
        <v>350</v>
      </c>
      <c r="R290" s="72"/>
    </row>
    <row r="291" spans="4:18" x14ac:dyDescent="0.4">
      <c r="D291" s="85"/>
      <c r="E291" s="89"/>
      <c r="F291" s="89"/>
      <c r="L291" s="67"/>
      <c r="M291" s="67"/>
      <c r="P291" s="67"/>
      <c r="Q291" s="67"/>
      <c r="R291" s="72"/>
    </row>
    <row r="292" spans="4:18" x14ac:dyDescent="0.4">
      <c r="D292" s="85"/>
      <c r="I292" s="1"/>
      <c r="L292" s="67"/>
      <c r="M292" s="67"/>
      <c r="P292" s="133" t="s">
        <v>662</v>
      </c>
      <c r="Q292" s="67"/>
      <c r="R292" s="72"/>
    </row>
    <row r="293" spans="4:18" x14ac:dyDescent="0.4">
      <c r="D293" s="85"/>
      <c r="H293" s="88"/>
      <c r="I293" s="1"/>
      <c r="L293" s="133" t="s">
        <v>662</v>
      </c>
      <c r="O293" s="102" t="s">
        <v>60</v>
      </c>
      <c r="P293" s="134"/>
      <c r="Q293" s="121" t="s">
        <v>104</v>
      </c>
      <c r="R293" s="72"/>
    </row>
    <row r="294" spans="4:18" ht="13.5" customHeight="1" x14ac:dyDescent="0.4">
      <c r="D294" s="85"/>
      <c r="G294" s="123" t="s">
        <v>63</v>
      </c>
      <c r="H294" s="118" t="s">
        <v>660</v>
      </c>
      <c r="I294" s="102" t="s">
        <v>113</v>
      </c>
      <c r="K294" s="123" t="s">
        <v>63</v>
      </c>
      <c r="L294" s="136"/>
      <c r="M294" s="121" t="s">
        <v>107</v>
      </c>
      <c r="O294" s="123" t="s">
        <v>63</v>
      </c>
      <c r="P294" s="134"/>
      <c r="Q294" s="122"/>
      <c r="R294" s="72"/>
    </row>
    <row r="295" spans="4:18" ht="13.5" customHeight="1" x14ac:dyDescent="0.4">
      <c r="D295" s="85"/>
      <c r="G295" s="124"/>
      <c r="H295" s="119"/>
      <c r="I295" s="135" t="s">
        <v>108</v>
      </c>
      <c r="K295" s="124"/>
      <c r="L295" s="136"/>
      <c r="M295" s="122"/>
      <c r="O295" s="124"/>
      <c r="P295" s="134"/>
      <c r="Q295" s="122"/>
      <c r="R295" s="72"/>
    </row>
    <row r="296" spans="4:18" ht="13.5" customHeight="1" x14ac:dyDescent="0.4">
      <c r="D296" s="85"/>
      <c r="G296" s="124"/>
      <c r="H296" s="119"/>
      <c r="I296" s="122"/>
      <c r="K296" s="124"/>
      <c r="L296" s="136"/>
      <c r="M296" s="122"/>
      <c r="O296" s="124"/>
      <c r="P296" s="134"/>
      <c r="Q296" s="122"/>
      <c r="R296" s="72"/>
    </row>
    <row r="297" spans="4:18" ht="13.5" customHeight="1" x14ac:dyDescent="0.4">
      <c r="D297" s="85"/>
      <c r="G297" s="124"/>
      <c r="H297" s="119"/>
      <c r="I297" s="122"/>
      <c r="K297" s="124"/>
      <c r="L297" s="136"/>
      <c r="M297" s="122"/>
      <c r="O297" s="124"/>
      <c r="P297" s="134"/>
      <c r="Q297" s="122"/>
      <c r="R297" s="72"/>
    </row>
    <row r="298" spans="4:18" ht="13.5" customHeight="1" x14ac:dyDescent="0.4">
      <c r="D298" s="85"/>
      <c r="G298" s="124"/>
      <c r="H298" s="119"/>
      <c r="I298" s="122"/>
      <c r="K298" s="124"/>
      <c r="L298" s="136"/>
      <c r="M298" s="122"/>
      <c r="O298" s="124"/>
      <c r="P298" s="134"/>
      <c r="Q298" s="122"/>
      <c r="R298" s="72"/>
    </row>
    <row r="299" spans="4:18" ht="13.5" customHeight="1" x14ac:dyDescent="0.4">
      <c r="D299" s="85"/>
      <c r="G299" s="125"/>
      <c r="H299" s="120"/>
      <c r="I299" s="122"/>
      <c r="K299" s="125"/>
      <c r="L299" s="136"/>
      <c r="M299" s="122"/>
      <c r="O299" s="125"/>
      <c r="P299" s="134"/>
      <c r="Q299" s="122"/>
      <c r="R299" s="72"/>
    </row>
    <row r="300" spans="4:18" x14ac:dyDescent="0.4">
      <c r="D300" s="85"/>
      <c r="E300" s="66" t="s">
        <v>71</v>
      </c>
      <c r="F300" s="66"/>
      <c r="G300" s="66"/>
      <c r="H300" s="101"/>
      <c r="I300" s="101">
        <v>50</v>
      </c>
      <c r="L300" s="3"/>
      <c r="M300" s="92">
        <v>0</v>
      </c>
      <c r="P300" s="3"/>
      <c r="Q300" s="92">
        <v>-50</v>
      </c>
      <c r="R300" s="72"/>
    </row>
    <row r="301" spans="4:18" x14ac:dyDescent="0.4">
      <c r="D301" s="85"/>
      <c r="E301" s="66" t="s">
        <v>72</v>
      </c>
      <c r="F301" s="66"/>
      <c r="G301" s="66"/>
      <c r="H301" s="116">
        <v>250</v>
      </c>
      <c r="I301" s="116"/>
      <c r="L301" s="116">
        <v>300</v>
      </c>
      <c r="M301" s="116"/>
      <c r="P301" s="116">
        <v>350</v>
      </c>
      <c r="Q301" s="116"/>
      <c r="R301" s="72"/>
    </row>
    <row r="302" spans="4:18" x14ac:dyDescent="0.4">
      <c r="D302" s="85"/>
      <c r="E302" s="66"/>
      <c r="F302" s="66"/>
      <c r="G302" s="66"/>
      <c r="I302" s="1"/>
      <c r="L302" s="67"/>
      <c r="P302" s="67"/>
      <c r="Q302" s="67"/>
      <c r="R302" s="72"/>
    </row>
    <row r="303" spans="4:18" x14ac:dyDescent="0.4">
      <c r="D303" s="85"/>
      <c r="E303" s="66" t="s">
        <v>73</v>
      </c>
      <c r="F303" s="66"/>
      <c r="G303" s="66"/>
      <c r="L303" s="67"/>
      <c r="M303" s="67"/>
      <c r="P303" s="67"/>
      <c r="Q303" s="67"/>
      <c r="R303" s="72"/>
    </row>
    <row r="304" spans="4:18" x14ac:dyDescent="0.4">
      <c r="D304" s="85"/>
      <c r="E304" s="68" t="s">
        <v>74</v>
      </c>
      <c r="F304" s="68"/>
      <c r="G304" s="66"/>
      <c r="H304" s="117" t="s">
        <v>122</v>
      </c>
      <c r="I304" s="67">
        <v>91111</v>
      </c>
      <c r="L304" s="117" t="s">
        <v>122</v>
      </c>
      <c r="M304" s="67">
        <v>91111</v>
      </c>
      <c r="P304" s="117" t="s">
        <v>122</v>
      </c>
      <c r="Q304" s="67">
        <v>91111</v>
      </c>
      <c r="R304" s="72"/>
    </row>
    <row r="305" spans="4:18" x14ac:dyDescent="0.4">
      <c r="D305" s="85"/>
      <c r="E305" s="68" t="s">
        <v>75</v>
      </c>
      <c r="F305" s="68"/>
      <c r="G305" s="66"/>
      <c r="H305" s="116"/>
      <c r="I305" s="67">
        <v>0</v>
      </c>
      <c r="L305" s="116"/>
      <c r="M305" s="67">
        <v>0</v>
      </c>
      <c r="P305" s="116"/>
      <c r="Q305" s="67">
        <v>0</v>
      </c>
      <c r="R305" s="72"/>
    </row>
    <row r="306" spans="4:18" x14ac:dyDescent="0.4">
      <c r="D306" s="85"/>
      <c r="E306" s="68" t="s">
        <v>76</v>
      </c>
      <c r="F306" s="68"/>
      <c r="G306" s="66"/>
      <c r="H306" s="116"/>
      <c r="I306" s="66" t="s">
        <v>9</v>
      </c>
      <c r="L306" s="116"/>
      <c r="M306" s="66" t="s">
        <v>9</v>
      </c>
      <c r="P306" s="116"/>
      <c r="Q306" s="66" t="s">
        <v>9</v>
      </c>
      <c r="R306" s="72"/>
    </row>
    <row r="307" spans="4:18" ht="27" x14ac:dyDescent="0.4">
      <c r="D307" s="85"/>
      <c r="E307" s="66" t="s">
        <v>71</v>
      </c>
      <c r="F307" s="66"/>
      <c r="G307" s="66"/>
      <c r="H307" s="116"/>
      <c r="I307" s="66" t="s">
        <v>123</v>
      </c>
      <c r="L307" s="116"/>
      <c r="M307" s="93" t="s">
        <v>79</v>
      </c>
      <c r="P307" s="116"/>
      <c r="Q307" s="94" t="s">
        <v>80</v>
      </c>
      <c r="R307" s="72"/>
    </row>
    <row r="308" spans="4:18" x14ac:dyDescent="0.4">
      <c r="D308" s="85"/>
      <c r="E308" s="87" t="s">
        <v>132</v>
      </c>
      <c r="F308" s="87"/>
      <c r="G308" s="66"/>
      <c r="L308" s="67"/>
      <c r="M308" s="67"/>
      <c r="P308" s="67"/>
      <c r="Q308" s="67"/>
      <c r="R308" s="72"/>
    </row>
    <row r="309" spans="4:18" x14ac:dyDescent="0.4">
      <c r="D309" s="85"/>
      <c r="E309" s="87" t="s">
        <v>118</v>
      </c>
      <c r="F309" s="87"/>
      <c r="G309" s="66"/>
      <c r="L309" s="67"/>
      <c r="M309" s="67"/>
      <c r="P309" s="67"/>
      <c r="Q309" s="67"/>
      <c r="R309" s="72"/>
    </row>
    <row r="310" spans="4:18" ht="14.25" thickBot="1" x14ac:dyDescent="0.45">
      <c r="D310" s="86"/>
      <c r="E310" s="74"/>
      <c r="F310" s="74"/>
      <c r="G310" s="74"/>
      <c r="H310" s="74"/>
      <c r="I310" s="77"/>
      <c r="J310" s="75"/>
      <c r="K310" s="75"/>
      <c r="L310" s="75"/>
      <c r="M310" s="75"/>
      <c r="N310" s="75"/>
      <c r="O310" s="75"/>
      <c r="P310" s="75"/>
      <c r="Q310" s="75"/>
      <c r="R310" s="76"/>
    </row>
    <row r="311" spans="4:18" x14ac:dyDescent="0.4">
      <c r="D311" s="81" t="s">
        <v>56</v>
      </c>
      <c r="E311" s="69"/>
      <c r="F311" s="69"/>
      <c r="G311" s="69"/>
      <c r="H311" s="69"/>
      <c r="I311" s="69"/>
      <c r="J311" s="70"/>
      <c r="K311" s="70"/>
      <c r="L311" s="70"/>
      <c r="M311" s="70"/>
      <c r="N311" s="70"/>
      <c r="O311" s="70"/>
      <c r="P311" s="70"/>
      <c r="Q311" s="70"/>
      <c r="R311" s="71"/>
    </row>
    <row r="312" spans="4:18" x14ac:dyDescent="0.4">
      <c r="D312" s="85">
        <v>13</v>
      </c>
      <c r="E312" s="103" t="s">
        <v>135</v>
      </c>
      <c r="F312" s="103"/>
      <c r="G312" s="103"/>
      <c r="R312" s="72"/>
    </row>
    <row r="313" spans="4:18" x14ac:dyDescent="0.4">
      <c r="D313" s="85"/>
      <c r="E313" s="87" t="s">
        <v>136</v>
      </c>
      <c r="F313" s="103"/>
      <c r="G313" s="103"/>
      <c r="R313" s="72"/>
    </row>
    <row r="314" spans="4:18" x14ac:dyDescent="0.4">
      <c r="D314" s="85"/>
      <c r="E314" s="103"/>
      <c r="F314" s="103"/>
      <c r="G314" s="103"/>
      <c r="R314" s="72"/>
    </row>
    <row r="315" spans="4:18" s="38" customFormat="1" x14ac:dyDescent="0.4">
      <c r="D315" s="84"/>
      <c r="E315" s="38" t="s">
        <v>58</v>
      </c>
      <c r="H315" s="67" t="str">
        <f>H318&amp;"%特売（期間割引）設定"</f>
        <v>10%特売（期間割引）設定</v>
      </c>
      <c r="I315" s="67" t="str">
        <f>I318&amp;"円に緊急売価変更設定"</f>
        <v>250円に緊急売価変更設定</v>
      </c>
      <c r="L315" s="67" t="str">
        <f>L318&amp;"%特売（期間割引）設定"</f>
        <v>10%特売（期間割引）設定</v>
      </c>
      <c r="M315" s="67" t="str">
        <f>M318&amp;"円に緊急売価変更設定"</f>
        <v>300円に緊急売価変更設定</v>
      </c>
      <c r="P315" s="67" t="str">
        <f>P318&amp;"%特売（期間割引）設定"</f>
        <v>10%特売（期間割引）設定</v>
      </c>
      <c r="Q315" s="67" t="str">
        <f>Q318&amp;"円に緊急売価変更設定"</f>
        <v>350円に緊急売価変更設定</v>
      </c>
      <c r="R315" s="106"/>
    </row>
    <row r="316" spans="4:18" s="97" customFormat="1" ht="18.75" x14ac:dyDescent="0.4">
      <c r="D316" s="84"/>
      <c r="G316" s="65"/>
      <c r="I316" s="100"/>
      <c r="K316" s="100"/>
      <c r="M316" s="103"/>
      <c r="P316" s="103"/>
      <c r="Q316" s="100"/>
      <c r="R316" s="98"/>
    </row>
    <row r="317" spans="4:18" s="37" customFormat="1" x14ac:dyDescent="0.4">
      <c r="D317" s="84"/>
      <c r="E317" s="90"/>
      <c r="F317" s="90"/>
      <c r="G317" s="65"/>
      <c r="P317" s="38"/>
      <c r="Q317" s="38"/>
      <c r="R317" s="73"/>
    </row>
    <row r="318" spans="4:18" x14ac:dyDescent="0.4">
      <c r="D318" s="85"/>
      <c r="E318" s="89" t="s">
        <v>637</v>
      </c>
      <c r="F318" s="103"/>
      <c r="H318" s="67">
        <v>10</v>
      </c>
      <c r="I318" s="67">
        <v>250</v>
      </c>
      <c r="L318" s="67">
        <v>10</v>
      </c>
      <c r="M318" s="67">
        <v>300</v>
      </c>
      <c r="P318" s="67">
        <v>10</v>
      </c>
      <c r="Q318" s="67">
        <v>350</v>
      </c>
      <c r="R318" s="72"/>
    </row>
    <row r="319" spans="4:18" x14ac:dyDescent="0.4">
      <c r="D319" s="85"/>
      <c r="I319" s="1"/>
      <c r="M319" s="67"/>
      <c r="P319" s="67"/>
      <c r="Q319" s="67"/>
      <c r="R319" s="72"/>
    </row>
    <row r="320" spans="4:18" x14ac:dyDescent="0.4">
      <c r="D320" s="85"/>
      <c r="H320" s="88"/>
      <c r="I320" s="1"/>
      <c r="O320" s="102" t="s">
        <v>60</v>
      </c>
      <c r="P320" s="67"/>
      <c r="Q320" s="129" t="s">
        <v>104</v>
      </c>
      <c r="R320" s="72"/>
    </row>
    <row r="321" spans="4:18" ht="13.5" customHeight="1" x14ac:dyDescent="0.4">
      <c r="D321" s="85"/>
      <c r="G321" s="123" t="s">
        <v>63</v>
      </c>
      <c r="H321" s="1"/>
      <c r="I321" s="102" t="s">
        <v>113</v>
      </c>
      <c r="K321" s="123" t="s">
        <v>63</v>
      </c>
      <c r="M321" s="121" t="s">
        <v>107</v>
      </c>
      <c r="O321" s="123" t="s">
        <v>63</v>
      </c>
      <c r="Q321" s="131"/>
      <c r="R321" s="72"/>
    </row>
    <row r="322" spans="4:18" ht="13.5" customHeight="1" x14ac:dyDescent="0.4">
      <c r="D322" s="85"/>
      <c r="G322" s="124"/>
      <c r="H322" s="133" t="s">
        <v>660</v>
      </c>
      <c r="I322" s="135" t="s">
        <v>108</v>
      </c>
      <c r="K322" s="124"/>
      <c r="L322" s="133" t="s">
        <v>662</v>
      </c>
      <c r="M322" s="122"/>
      <c r="O322" s="124"/>
      <c r="P322" s="133" t="s">
        <v>662</v>
      </c>
      <c r="Q322" s="131"/>
      <c r="R322" s="72"/>
    </row>
    <row r="323" spans="4:18" ht="13.5" customHeight="1" x14ac:dyDescent="0.4">
      <c r="D323" s="85"/>
      <c r="G323" s="124"/>
      <c r="H323" s="134"/>
      <c r="I323" s="122"/>
      <c r="K323" s="124"/>
      <c r="L323" s="134"/>
      <c r="M323" s="122"/>
      <c r="O323" s="124"/>
      <c r="P323" s="134"/>
      <c r="Q323" s="131"/>
      <c r="R323" s="72"/>
    </row>
    <row r="324" spans="4:18" ht="13.5" customHeight="1" x14ac:dyDescent="0.4">
      <c r="D324" s="85"/>
      <c r="G324" s="124"/>
      <c r="H324" s="134"/>
      <c r="I324" s="122"/>
      <c r="K324" s="124"/>
      <c r="L324" s="134"/>
      <c r="M324" s="122"/>
      <c r="O324" s="124"/>
      <c r="P324" s="134"/>
      <c r="Q324" s="131"/>
      <c r="R324" s="72"/>
    </row>
    <row r="325" spans="4:18" ht="13.5" customHeight="1" x14ac:dyDescent="0.4">
      <c r="D325" s="85"/>
      <c r="G325" s="124"/>
      <c r="H325" s="134"/>
      <c r="I325" s="122"/>
      <c r="K325" s="124"/>
      <c r="L325" s="134"/>
      <c r="M325" s="122"/>
      <c r="O325" s="124"/>
      <c r="P325" s="134"/>
      <c r="Q325" s="131"/>
      <c r="R325" s="72"/>
    </row>
    <row r="326" spans="4:18" ht="13.5" customHeight="1" x14ac:dyDescent="0.4">
      <c r="D326" s="85"/>
      <c r="G326" s="125"/>
      <c r="H326" s="134"/>
      <c r="I326" s="122"/>
      <c r="K326" s="125"/>
      <c r="L326" s="134"/>
      <c r="M326" s="122"/>
      <c r="O326" s="125"/>
      <c r="P326" s="134"/>
      <c r="Q326" s="131"/>
      <c r="R326" s="72"/>
    </row>
    <row r="327" spans="4:18" ht="13.5" customHeight="1" x14ac:dyDescent="0.4">
      <c r="D327" s="85"/>
      <c r="E327" s="66" t="s">
        <v>71</v>
      </c>
      <c r="G327" s="66"/>
      <c r="H327" s="101"/>
      <c r="I327" s="101">
        <v>50</v>
      </c>
      <c r="L327" s="3"/>
      <c r="M327" s="92">
        <v>0</v>
      </c>
      <c r="P327" s="3"/>
      <c r="Q327" s="92">
        <v>-50</v>
      </c>
      <c r="R327" s="72"/>
    </row>
    <row r="328" spans="4:18" x14ac:dyDescent="0.4">
      <c r="D328" s="85"/>
      <c r="E328" s="66" t="s">
        <v>72</v>
      </c>
      <c r="F328" s="66"/>
      <c r="G328" s="66"/>
      <c r="H328" s="116">
        <v>250</v>
      </c>
      <c r="I328" s="116"/>
      <c r="L328" s="116">
        <v>300</v>
      </c>
      <c r="M328" s="116"/>
      <c r="P328" s="116">
        <v>350</v>
      </c>
      <c r="Q328" s="116"/>
      <c r="R328" s="72"/>
    </row>
    <row r="329" spans="4:18" x14ac:dyDescent="0.4">
      <c r="D329" s="85"/>
      <c r="E329" s="66"/>
      <c r="F329" s="66"/>
      <c r="G329" s="66"/>
      <c r="I329" s="1"/>
      <c r="L329" s="67"/>
      <c r="P329" s="67"/>
      <c r="Q329" s="67"/>
      <c r="R329" s="72"/>
    </row>
    <row r="330" spans="4:18" x14ac:dyDescent="0.4">
      <c r="D330" s="85"/>
      <c r="E330" s="66" t="s">
        <v>73</v>
      </c>
      <c r="F330" s="66"/>
      <c r="G330" s="66"/>
      <c r="L330" s="67"/>
      <c r="M330" s="67"/>
      <c r="P330" s="67"/>
      <c r="Q330" s="67"/>
      <c r="R330" s="72"/>
    </row>
    <row r="331" spans="4:18" x14ac:dyDescent="0.4">
      <c r="D331" s="85"/>
      <c r="E331" s="68" t="s">
        <v>74</v>
      </c>
      <c r="F331" s="68"/>
      <c r="G331" s="66"/>
      <c r="H331" s="117" t="s">
        <v>122</v>
      </c>
      <c r="I331" s="67">
        <v>91111</v>
      </c>
      <c r="L331" s="117" t="s">
        <v>122</v>
      </c>
      <c r="M331" s="67">
        <v>91111</v>
      </c>
      <c r="P331" s="117" t="s">
        <v>122</v>
      </c>
      <c r="Q331" s="67">
        <v>91111</v>
      </c>
      <c r="R331" s="72"/>
    </row>
    <row r="332" spans="4:18" x14ac:dyDescent="0.4">
      <c r="D332" s="85"/>
      <c r="E332" s="68" t="s">
        <v>75</v>
      </c>
      <c r="F332" s="68"/>
      <c r="G332" s="66"/>
      <c r="H332" s="116"/>
      <c r="I332" s="67">
        <v>0</v>
      </c>
      <c r="L332" s="116"/>
      <c r="M332" s="67">
        <v>0</v>
      </c>
      <c r="P332" s="116"/>
      <c r="Q332" s="67">
        <v>0</v>
      </c>
      <c r="R332" s="72"/>
    </row>
    <row r="333" spans="4:18" x14ac:dyDescent="0.4">
      <c r="D333" s="85"/>
      <c r="E333" s="68" t="s">
        <v>76</v>
      </c>
      <c r="F333" s="68"/>
      <c r="G333" s="66"/>
      <c r="H333" s="116"/>
      <c r="I333" s="66" t="s">
        <v>9</v>
      </c>
      <c r="L333" s="116"/>
      <c r="M333" s="66" t="s">
        <v>9</v>
      </c>
      <c r="P333" s="116"/>
      <c r="Q333" s="66" t="s">
        <v>9</v>
      </c>
      <c r="R333" s="72"/>
    </row>
    <row r="334" spans="4:18" ht="27" x14ac:dyDescent="0.4">
      <c r="D334" s="85"/>
      <c r="E334" s="66" t="s">
        <v>71</v>
      </c>
      <c r="F334" s="66"/>
      <c r="G334" s="66"/>
      <c r="H334" s="116"/>
      <c r="I334" s="66" t="s">
        <v>123</v>
      </c>
      <c r="L334" s="116"/>
      <c r="M334" s="93" t="s">
        <v>79</v>
      </c>
      <c r="P334" s="116"/>
      <c r="Q334" s="94" t="s">
        <v>80</v>
      </c>
      <c r="R334" s="72"/>
    </row>
    <row r="335" spans="4:18" x14ac:dyDescent="0.4">
      <c r="D335" s="85"/>
      <c r="E335" s="87" t="s">
        <v>137</v>
      </c>
      <c r="F335" s="87"/>
      <c r="G335" s="66"/>
      <c r="L335" s="67"/>
      <c r="M335" s="67"/>
      <c r="P335" s="67"/>
      <c r="Q335" s="67"/>
      <c r="R335" s="72"/>
    </row>
    <row r="336" spans="4:18" x14ac:dyDescent="0.4">
      <c r="D336" s="85"/>
      <c r="E336" s="87" t="s">
        <v>118</v>
      </c>
      <c r="F336" s="87"/>
      <c r="G336" s="66"/>
      <c r="L336" s="67"/>
      <c r="M336" s="67"/>
      <c r="P336" s="67"/>
      <c r="Q336" s="67"/>
      <c r="R336" s="72"/>
    </row>
    <row r="337" spans="4:18" x14ac:dyDescent="0.4">
      <c r="D337" s="85"/>
      <c r="E337" s="87"/>
      <c r="F337" s="87"/>
      <c r="G337" s="66"/>
      <c r="L337" s="67"/>
      <c r="M337" s="67"/>
      <c r="P337" s="67"/>
      <c r="Q337" s="67"/>
      <c r="R337" s="72"/>
    </row>
    <row r="338" spans="4:18" ht="14.25" thickBot="1" x14ac:dyDescent="0.45">
      <c r="D338" s="86"/>
      <c r="E338" s="74"/>
      <c r="F338" s="74"/>
      <c r="G338" s="74"/>
      <c r="H338" s="74"/>
      <c r="I338" s="77"/>
      <c r="J338" s="75"/>
      <c r="K338" s="75"/>
      <c r="L338" s="75"/>
      <c r="M338" s="75"/>
      <c r="N338" s="75"/>
      <c r="O338" s="75"/>
      <c r="P338" s="75"/>
      <c r="Q338" s="75"/>
      <c r="R338" s="76"/>
    </row>
    <row r="339" spans="4:18" x14ac:dyDescent="0.4">
      <c r="D339" s="81" t="s">
        <v>56</v>
      </c>
      <c r="E339" s="69"/>
      <c r="F339" s="69"/>
      <c r="G339" s="69"/>
      <c r="H339" s="69"/>
      <c r="I339" s="69"/>
      <c r="J339" s="70"/>
      <c r="K339" s="70"/>
      <c r="L339" s="70"/>
      <c r="M339" s="70"/>
      <c r="N339" s="70"/>
      <c r="O339" s="70"/>
      <c r="P339" s="70"/>
      <c r="Q339" s="70"/>
      <c r="R339" s="71"/>
    </row>
    <row r="340" spans="4:18" x14ac:dyDescent="0.4">
      <c r="D340" s="85">
        <v>14</v>
      </c>
      <c r="E340" s="103" t="s">
        <v>138</v>
      </c>
      <c r="F340" s="103"/>
      <c r="G340" s="103"/>
      <c r="R340" s="72"/>
    </row>
    <row r="341" spans="4:18" x14ac:dyDescent="0.4">
      <c r="D341" s="85"/>
      <c r="E341" s="103"/>
      <c r="F341" s="103"/>
      <c r="G341" s="103"/>
      <c r="R341" s="72"/>
    </row>
    <row r="342" spans="4:18" s="38" customFormat="1" x14ac:dyDescent="0.4">
      <c r="D342" s="84"/>
      <c r="E342" s="67" t="s">
        <v>139</v>
      </c>
      <c r="H342" s="67" t="str">
        <f>"2個"&amp;H345&amp;"円にミックスマッチ設定"</f>
        <v>2個400円にミックスマッチ設定</v>
      </c>
      <c r="I342" s="67" t="str">
        <f>I344&amp;"円に緊急売価変更設定"</f>
        <v>250円に緊急売価変更設定</v>
      </c>
      <c r="L342" s="67" t="str">
        <f>"2個"&amp;L345&amp;"円にミックスマッチ設定"</f>
        <v>2個500円にミックスマッチ設定</v>
      </c>
      <c r="M342" s="67" t="str">
        <f>M344&amp;"円に緊急売価変更設定"</f>
        <v>300円に緊急売価変更設定</v>
      </c>
      <c r="P342" s="67" t="str">
        <f>"2個"&amp;P345&amp;"円にミックスマッチ設定"</f>
        <v>2個600円にミックスマッチ設定</v>
      </c>
      <c r="Q342" s="67" t="str">
        <f>Q344&amp;"円に緊急売価変更設定"</f>
        <v>350円に緊急売価変更設定</v>
      </c>
      <c r="R342" s="106"/>
    </row>
    <row r="343" spans="4:18" s="37" customFormat="1" x14ac:dyDescent="0.4">
      <c r="D343" s="84"/>
      <c r="E343" s="65"/>
      <c r="G343" s="65"/>
      <c r="H343" s="38"/>
      <c r="I343" s="38"/>
      <c r="R343" s="73"/>
    </row>
    <row r="344" spans="4:18" x14ac:dyDescent="0.4">
      <c r="D344" s="85"/>
      <c r="E344" s="89" t="s">
        <v>665</v>
      </c>
      <c r="H344" s="67">
        <v>200</v>
      </c>
      <c r="I344" s="67">
        <v>250</v>
      </c>
      <c r="L344" s="67">
        <v>250</v>
      </c>
      <c r="M344" s="67">
        <v>300</v>
      </c>
      <c r="P344" s="67">
        <v>300</v>
      </c>
      <c r="Q344" s="67">
        <v>350</v>
      </c>
      <c r="R344" s="72"/>
    </row>
    <row r="345" spans="4:18" x14ac:dyDescent="0.4">
      <c r="D345" s="85"/>
      <c r="E345" s="89" t="s">
        <v>666</v>
      </c>
      <c r="H345" s="67">
        <v>400</v>
      </c>
      <c r="I345" s="67">
        <v>500</v>
      </c>
      <c r="L345" s="67">
        <v>500</v>
      </c>
      <c r="M345" s="67">
        <v>600</v>
      </c>
      <c r="P345" s="38">
        <v>600</v>
      </c>
      <c r="Q345" s="67">
        <v>700</v>
      </c>
      <c r="R345" s="72"/>
    </row>
    <row r="346" spans="4:18" x14ac:dyDescent="0.4">
      <c r="D346" s="85"/>
      <c r="L346" s="67"/>
      <c r="M346" s="67"/>
      <c r="P346" s="38"/>
      <c r="Q346" s="67"/>
      <c r="R346" s="72"/>
    </row>
    <row r="347" spans="4:18" x14ac:dyDescent="0.4">
      <c r="D347" s="85"/>
      <c r="L347" s="67"/>
      <c r="M347" s="67"/>
      <c r="O347" s="102" t="s">
        <v>140</v>
      </c>
      <c r="P347" s="102" t="s">
        <v>64</v>
      </c>
      <c r="Q347" s="129" t="s">
        <v>141</v>
      </c>
      <c r="R347" s="72"/>
    </row>
    <row r="348" spans="4:18" ht="13.5" customHeight="1" x14ac:dyDescent="0.4">
      <c r="D348" s="85"/>
      <c r="G348" s="123" t="s">
        <v>142</v>
      </c>
      <c r="I348" s="102" t="s">
        <v>64</v>
      </c>
      <c r="K348" s="123" t="s">
        <v>142</v>
      </c>
      <c r="L348" s="102" t="s">
        <v>64</v>
      </c>
      <c r="M348" s="121" t="s">
        <v>107</v>
      </c>
      <c r="O348" s="123" t="s">
        <v>142</v>
      </c>
      <c r="P348" s="132" t="s">
        <v>143</v>
      </c>
      <c r="Q348" s="130"/>
      <c r="R348" s="72"/>
    </row>
    <row r="349" spans="4:18" x14ac:dyDescent="0.4">
      <c r="D349" s="85"/>
      <c r="G349" s="124"/>
      <c r="H349" s="102" t="s">
        <v>64</v>
      </c>
      <c r="I349" s="121" t="s">
        <v>144</v>
      </c>
      <c r="K349" s="124"/>
      <c r="L349" s="132" t="s">
        <v>145</v>
      </c>
      <c r="M349" s="122"/>
      <c r="O349" s="124"/>
      <c r="P349" s="130"/>
      <c r="Q349" s="130"/>
      <c r="R349" s="72"/>
    </row>
    <row r="350" spans="4:18" x14ac:dyDescent="0.4">
      <c r="D350" s="85"/>
      <c r="G350" s="124"/>
      <c r="H350" s="126" t="s">
        <v>146</v>
      </c>
      <c r="I350" s="127"/>
      <c r="K350" s="124"/>
      <c r="L350" s="130"/>
      <c r="M350" s="122"/>
      <c r="O350" s="124"/>
      <c r="P350" s="130"/>
      <c r="Q350" s="130"/>
      <c r="R350" s="72"/>
    </row>
    <row r="351" spans="4:18" x14ac:dyDescent="0.4">
      <c r="D351" s="85"/>
      <c r="G351" s="124"/>
      <c r="H351" s="127"/>
      <c r="I351" s="127"/>
      <c r="K351" s="124"/>
      <c r="L351" s="130"/>
      <c r="M351" s="122"/>
      <c r="O351" s="124"/>
      <c r="P351" s="130"/>
      <c r="Q351" s="130"/>
      <c r="R351" s="72"/>
    </row>
    <row r="352" spans="4:18" x14ac:dyDescent="0.4">
      <c r="D352" s="85"/>
      <c r="G352" s="124"/>
      <c r="H352" s="127"/>
      <c r="I352" s="127"/>
      <c r="K352" s="124"/>
      <c r="L352" s="130"/>
      <c r="M352" s="122"/>
      <c r="O352" s="124"/>
      <c r="P352" s="130"/>
      <c r="Q352" s="130"/>
      <c r="R352" s="72"/>
    </row>
    <row r="353" spans="4:18" x14ac:dyDescent="0.4">
      <c r="D353" s="85"/>
      <c r="G353" s="125"/>
      <c r="H353" s="128"/>
      <c r="I353" s="128"/>
      <c r="K353" s="125"/>
      <c r="L353" s="130"/>
      <c r="M353" s="122"/>
      <c r="O353" s="125"/>
      <c r="P353" s="130"/>
      <c r="Q353" s="130"/>
      <c r="R353" s="72"/>
    </row>
    <row r="354" spans="4:18" x14ac:dyDescent="0.4">
      <c r="D354" s="85"/>
      <c r="E354" s="66" t="s">
        <v>71</v>
      </c>
      <c r="G354" s="66"/>
      <c r="H354" s="101">
        <v>100</v>
      </c>
      <c r="I354" s="101">
        <v>100</v>
      </c>
      <c r="L354" s="101">
        <v>100</v>
      </c>
      <c r="M354" s="92">
        <v>0</v>
      </c>
      <c r="P354" s="101">
        <v>100</v>
      </c>
      <c r="Q354" s="92">
        <v>-100</v>
      </c>
      <c r="R354" s="72"/>
    </row>
    <row r="355" spans="4:18" x14ac:dyDescent="0.4">
      <c r="D355" s="85"/>
      <c r="E355" s="66" t="s">
        <v>147</v>
      </c>
      <c r="F355" s="66"/>
      <c r="G355" s="66"/>
      <c r="H355" s="116">
        <v>400</v>
      </c>
      <c r="I355" s="116"/>
      <c r="L355" s="116">
        <v>500</v>
      </c>
      <c r="M355" s="116"/>
      <c r="P355" s="116">
        <v>600</v>
      </c>
      <c r="Q355" s="116"/>
      <c r="R355" s="72"/>
    </row>
    <row r="356" spans="4:18" x14ac:dyDescent="0.4">
      <c r="D356" s="85"/>
      <c r="E356" s="66"/>
      <c r="F356" s="66"/>
      <c r="G356" s="66"/>
      <c r="L356" s="78"/>
      <c r="M356" s="67"/>
      <c r="P356" s="78"/>
      <c r="Q356" s="67"/>
      <c r="R356" s="72"/>
    </row>
    <row r="357" spans="4:18" x14ac:dyDescent="0.4">
      <c r="D357" s="85"/>
      <c r="E357" s="66" t="s">
        <v>73</v>
      </c>
      <c r="F357" s="66"/>
      <c r="G357" s="66"/>
      <c r="L357" s="67"/>
      <c r="M357" s="67"/>
      <c r="P357" s="67"/>
      <c r="Q357" s="67"/>
      <c r="R357" s="72"/>
    </row>
    <row r="358" spans="4:18" x14ac:dyDescent="0.4">
      <c r="D358" s="85"/>
      <c r="E358" s="68" t="s">
        <v>74</v>
      </c>
      <c r="G358" s="66"/>
      <c r="H358" s="67">
        <v>91316</v>
      </c>
      <c r="I358" s="67">
        <v>91111</v>
      </c>
      <c r="L358" s="67">
        <v>91316</v>
      </c>
      <c r="M358" s="67">
        <v>91111</v>
      </c>
      <c r="P358" s="67">
        <v>91316</v>
      </c>
      <c r="Q358" s="67">
        <v>91111</v>
      </c>
      <c r="R358" s="72"/>
    </row>
    <row r="359" spans="4:18" x14ac:dyDescent="0.4">
      <c r="D359" s="85"/>
      <c r="E359" s="68" t="s">
        <v>75</v>
      </c>
      <c r="G359" s="66"/>
      <c r="H359" s="67">
        <v>0</v>
      </c>
      <c r="I359" s="67">
        <v>0</v>
      </c>
      <c r="L359" s="67">
        <v>0</v>
      </c>
      <c r="M359" s="67">
        <v>0</v>
      </c>
      <c r="P359" s="67">
        <v>0</v>
      </c>
      <c r="Q359" s="67">
        <v>0</v>
      </c>
      <c r="R359" s="72"/>
    </row>
    <row r="360" spans="4:18" x14ac:dyDescent="0.4">
      <c r="D360" s="85"/>
      <c r="E360" s="68" t="s">
        <v>76</v>
      </c>
      <c r="G360" s="66"/>
      <c r="H360" s="66" t="s">
        <v>148</v>
      </c>
      <c r="I360" s="66" t="s">
        <v>9</v>
      </c>
      <c r="L360" s="66" t="s">
        <v>148</v>
      </c>
      <c r="M360" s="66" t="s">
        <v>9</v>
      </c>
      <c r="P360" s="66" t="s">
        <v>148</v>
      </c>
      <c r="Q360" s="66" t="s">
        <v>9</v>
      </c>
      <c r="R360" s="72"/>
    </row>
    <row r="361" spans="4:18" ht="27" x14ac:dyDescent="0.4">
      <c r="D361" s="85"/>
      <c r="E361" s="66" t="s">
        <v>71</v>
      </c>
      <c r="G361" s="66"/>
      <c r="H361" s="66" t="s">
        <v>149</v>
      </c>
      <c r="I361" s="66" t="s">
        <v>157</v>
      </c>
      <c r="L361" s="66" t="s">
        <v>149</v>
      </c>
      <c r="M361" s="93" t="s">
        <v>150</v>
      </c>
      <c r="P361" s="66" t="s">
        <v>149</v>
      </c>
      <c r="Q361" s="94" t="s">
        <v>151</v>
      </c>
      <c r="R361" s="72"/>
    </row>
    <row r="362" spans="4:18" x14ac:dyDescent="0.4">
      <c r="D362" s="85"/>
      <c r="E362" s="80" t="s">
        <v>81</v>
      </c>
      <c r="F362" s="80"/>
      <c r="G362" s="66"/>
      <c r="L362" s="67"/>
      <c r="M362" s="67"/>
      <c r="P362" s="67"/>
      <c r="Q362" s="67"/>
      <c r="R362" s="72"/>
    </row>
    <row r="363" spans="4:18" ht="14.25" thickBot="1" x14ac:dyDescent="0.45">
      <c r="D363" s="86"/>
      <c r="E363" s="74"/>
      <c r="F363" s="74"/>
      <c r="G363" s="74"/>
      <c r="H363" s="74"/>
      <c r="I363" s="74"/>
      <c r="J363" s="75"/>
      <c r="K363" s="75"/>
      <c r="L363" s="75"/>
      <c r="M363" s="75"/>
      <c r="N363" s="75"/>
      <c r="O363" s="75"/>
      <c r="P363" s="75"/>
      <c r="Q363" s="75"/>
      <c r="R363" s="76"/>
    </row>
    <row r="364" spans="4:18" x14ac:dyDescent="0.4">
      <c r="D364" s="81" t="s">
        <v>56</v>
      </c>
      <c r="E364" s="69"/>
      <c r="F364" s="69"/>
      <c r="G364" s="69"/>
      <c r="H364" s="69"/>
      <c r="I364" s="69"/>
      <c r="J364" s="70"/>
      <c r="K364" s="70"/>
      <c r="L364" s="70"/>
      <c r="M364" s="70"/>
      <c r="N364" s="70"/>
      <c r="O364" s="70"/>
      <c r="P364" s="70"/>
      <c r="Q364" s="70"/>
      <c r="R364" s="71"/>
    </row>
    <row r="365" spans="4:18" x14ac:dyDescent="0.4">
      <c r="D365" s="85">
        <v>15</v>
      </c>
      <c r="E365" s="103" t="s">
        <v>152</v>
      </c>
      <c r="F365" s="103"/>
      <c r="G365" s="103"/>
      <c r="R365" s="72"/>
    </row>
    <row r="366" spans="4:18" x14ac:dyDescent="0.4">
      <c r="D366" s="85"/>
      <c r="E366" s="103"/>
      <c r="F366" s="103"/>
      <c r="G366" s="103"/>
      <c r="R366" s="72"/>
    </row>
    <row r="367" spans="4:18" s="38" customFormat="1" x14ac:dyDescent="0.4">
      <c r="D367" s="84"/>
      <c r="E367" s="67" t="s">
        <v>139</v>
      </c>
      <c r="F367" s="67"/>
      <c r="H367" s="67" t="str">
        <f>"2個"&amp;H370&amp;"円にミックスマッチ設定"</f>
        <v>2個500円にミックスマッチ設定</v>
      </c>
      <c r="I367" s="67" t="str">
        <f>I369&amp;"円に緊急売価変更設定"</f>
        <v>250円に緊急売価変更設定</v>
      </c>
      <c r="L367" s="67" t="str">
        <f>"2個"&amp;L370&amp;"円にミックスマッチ設定"</f>
        <v>2個600円にミックスマッチ設定</v>
      </c>
      <c r="M367" s="67" t="str">
        <f>M369&amp;"円に緊急売価変更設定"</f>
        <v>300円に緊急売価変更設定</v>
      </c>
      <c r="P367" s="67" t="str">
        <f>"2個"&amp;P370&amp;"円にミックスマッチ設定"</f>
        <v>2個700円にミックスマッチ設定</v>
      </c>
      <c r="Q367" s="67" t="str">
        <f>Q369&amp;"円に緊急売価変更設定"</f>
        <v>350円に緊急売価変更設定</v>
      </c>
      <c r="R367" s="106"/>
    </row>
    <row r="368" spans="4:18" s="37" customFormat="1" x14ac:dyDescent="0.4">
      <c r="D368" s="84"/>
      <c r="E368" s="65"/>
      <c r="F368" s="65"/>
      <c r="G368" s="65"/>
      <c r="H368" s="38"/>
      <c r="I368" s="38"/>
      <c r="R368" s="73"/>
    </row>
    <row r="369" spans="4:18" x14ac:dyDescent="0.4">
      <c r="D369" s="85"/>
      <c r="E369" s="89" t="s">
        <v>665</v>
      </c>
      <c r="F369" s="89"/>
      <c r="H369" s="67">
        <v>250</v>
      </c>
      <c r="I369" s="67">
        <v>250</v>
      </c>
      <c r="L369" s="67">
        <v>300</v>
      </c>
      <c r="M369" s="67">
        <v>300</v>
      </c>
      <c r="P369" s="67">
        <v>350</v>
      </c>
      <c r="Q369" s="67">
        <v>350</v>
      </c>
      <c r="R369" s="72"/>
    </row>
    <row r="370" spans="4:18" x14ac:dyDescent="0.4">
      <c r="D370" s="85"/>
      <c r="E370" s="89" t="s">
        <v>666</v>
      </c>
      <c r="F370" s="89"/>
      <c r="H370" s="67">
        <v>500</v>
      </c>
      <c r="I370" s="67">
        <v>500</v>
      </c>
      <c r="L370" s="67">
        <v>600</v>
      </c>
      <c r="M370" s="67">
        <v>600</v>
      </c>
      <c r="P370" s="38">
        <v>700</v>
      </c>
      <c r="Q370" s="38">
        <v>700</v>
      </c>
      <c r="R370" s="72"/>
    </row>
    <row r="371" spans="4:18" x14ac:dyDescent="0.4">
      <c r="D371" s="85"/>
      <c r="L371" s="38"/>
      <c r="M371" s="67"/>
      <c r="P371" s="67"/>
      <c r="Q371" s="38"/>
      <c r="R371" s="72"/>
    </row>
    <row r="372" spans="4:18" x14ac:dyDescent="0.4">
      <c r="D372" s="85"/>
      <c r="L372" s="38"/>
      <c r="M372" s="67"/>
      <c r="N372" s="88"/>
      <c r="O372" s="88"/>
      <c r="P372" s="67"/>
      <c r="R372" s="72"/>
    </row>
    <row r="373" spans="4:18" x14ac:dyDescent="0.4">
      <c r="D373" s="85"/>
      <c r="M373" s="88"/>
      <c r="O373" s="88"/>
      <c r="P373" s="167" t="s">
        <v>668</v>
      </c>
      <c r="Q373" s="121" t="s">
        <v>153</v>
      </c>
      <c r="R373" s="72"/>
    </row>
    <row r="374" spans="4:18" ht="13.5" customHeight="1" x14ac:dyDescent="0.4">
      <c r="D374" s="85"/>
      <c r="G374" s="123" t="s">
        <v>142</v>
      </c>
      <c r="I374" s="102" t="s">
        <v>64</v>
      </c>
      <c r="K374" s="123" t="s">
        <v>142</v>
      </c>
      <c r="L374" s="167" t="s">
        <v>668</v>
      </c>
      <c r="M374" s="121" t="s">
        <v>154</v>
      </c>
      <c r="O374" s="123" t="s">
        <v>142</v>
      </c>
      <c r="P374" s="168"/>
      <c r="Q374" s="122"/>
      <c r="R374" s="72"/>
    </row>
    <row r="375" spans="4:18" x14ac:dyDescent="0.4">
      <c r="D375" s="85"/>
      <c r="G375" s="124"/>
      <c r="H375" s="165" t="s">
        <v>668</v>
      </c>
      <c r="I375" s="129" t="s">
        <v>155</v>
      </c>
      <c r="K375" s="124"/>
      <c r="L375" s="168"/>
      <c r="M375" s="122"/>
      <c r="O375" s="124"/>
      <c r="P375" s="168"/>
      <c r="Q375" s="122"/>
      <c r="R375" s="72"/>
    </row>
    <row r="376" spans="4:18" x14ac:dyDescent="0.4">
      <c r="D376" s="85"/>
      <c r="G376" s="124"/>
      <c r="H376" s="166"/>
      <c r="I376" s="139"/>
      <c r="K376" s="124"/>
      <c r="L376" s="168"/>
      <c r="M376" s="122"/>
      <c r="O376" s="124"/>
      <c r="P376" s="168"/>
      <c r="Q376" s="122"/>
      <c r="R376" s="72"/>
    </row>
    <row r="377" spans="4:18" x14ac:dyDescent="0.4">
      <c r="D377" s="85"/>
      <c r="G377" s="124"/>
      <c r="H377" s="166"/>
      <c r="I377" s="139"/>
      <c r="K377" s="124"/>
      <c r="L377" s="168"/>
      <c r="M377" s="122"/>
      <c r="O377" s="124"/>
      <c r="P377" s="168"/>
      <c r="Q377" s="122"/>
      <c r="R377" s="72"/>
    </row>
    <row r="378" spans="4:18" x14ac:dyDescent="0.4">
      <c r="D378" s="85"/>
      <c r="G378" s="124"/>
      <c r="H378" s="166"/>
      <c r="I378" s="139"/>
      <c r="K378" s="124"/>
      <c r="L378" s="168"/>
      <c r="M378" s="122"/>
      <c r="O378" s="124"/>
      <c r="P378" s="168"/>
      <c r="Q378" s="122"/>
      <c r="R378" s="72"/>
    </row>
    <row r="379" spans="4:18" x14ac:dyDescent="0.4">
      <c r="D379" s="85"/>
      <c r="G379" s="125"/>
      <c r="H379" s="166"/>
      <c r="I379" s="139"/>
      <c r="K379" s="125"/>
      <c r="L379" s="169"/>
      <c r="M379" s="155"/>
      <c r="O379" s="125"/>
      <c r="P379" s="169"/>
      <c r="Q379" s="155"/>
      <c r="R379" s="72"/>
    </row>
    <row r="380" spans="4:18" x14ac:dyDescent="0.4">
      <c r="D380" s="85"/>
      <c r="E380" s="66" t="s">
        <v>71</v>
      </c>
      <c r="G380" s="66"/>
      <c r="H380" s="101"/>
      <c r="I380" s="101">
        <v>100</v>
      </c>
      <c r="L380" s="3"/>
      <c r="M380" s="92">
        <v>0</v>
      </c>
      <c r="P380" s="3"/>
      <c r="Q380" s="92">
        <v>-100</v>
      </c>
      <c r="R380" s="72"/>
    </row>
    <row r="381" spans="4:18" x14ac:dyDescent="0.4">
      <c r="D381" s="85"/>
      <c r="E381" s="66" t="s">
        <v>156</v>
      </c>
      <c r="F381" s="66"/>
      <c r="G381" s="66"/>
      <c r="H381" s="116">
        <v>500</v>
      </c>
      <c r="I381" s="116"/>
      <c r="L381" s="116">
        <v>600</v>
      </c>
      <c r="M381" s="116"/>
      <c r="P381" s="116">
        <v>700</v>
      </c>
      <c r="Q381" s="116"/>
      <c r="R381" s="72"/>
    </row>
    <row r="382" spans="4:18" x14ac:dyDescent="0.4">
      <c r="D382" s="85"/>
      <c r="E382" s="66"/>
      <c r="F382" s="66"/>
      <c r="G382" s="66"/>
      <c r="L382" s="78"/>
      <c r="M382" s="67"/>
      <c r="P382" s="78"/>
      <c r="Q382" s="67"/>
      <c r="R382" s="72"/>
    </row>
    <row r="383" spans="4:18" x14ac:dyDescent="0.4">
      <c r="D383" s="85"/>
      <c r="E383" s="66" t="s">
        <v>73</v>
      </c>
      <c r="F383" s="66"/>
      <c r="G383" s="66"/>
      <c r="L383" s="67"/>
      <c r="M383" s="67"/>
      <c r="P383" s="67"/>
      <c r="Q383" s="67"/>
      <c r="R383" s="72"/>
    </row>
    <row r="384" spans="4:18" ht="13.5" customHeight="1" x14ac:dyDescent="0.4">
      <c r="D384" s="85"/>
      <c r="E384" s="68" t="s">
        <v>74</v>
      </c>
      <c r="F384" s="68"/>
      <c r="G384" s="66"/>
      <c r="H384" s="117" t="s">
        <v>110</v>
      </c>
      <c r="I384" s="67">
        <v>91111</v>
      </c>
      <c r="L384" s="117" t="s">
        <v>110</v>
      </c>
      <c r="M384" s="67">
        <v>91111</v>
      </c>
      <c r="P384" s="117" t="s">
        <v>110</v>
      </c>
      <c r="Q384" s="67">
        <v>91111</v>
      </c>
      <c r="R384" s="72"/>
    </row>
    <row r="385" spans="4:18" x14ac:dyDescent="0.4">
      <c r="D385" s="85"/>
      <c r="E385" s="68" t="s">
        <v>75</v>
      </c>
      <c r="F385" s="68"/>
      <c r="G385" s="66"/>
      <c r="H385" s="116"/>
      <c r="I385" s="67">
        <v>100</v>
      </c>
      <c r="L385" s="116"/>
      <c r="M385" s="67">
        <v>0</v>
      </c>
      <c r="P385" s="116"/>
      <c r="Q385" s="67">
        <v>-100</v>
      </c>
      <c r="R385" s="72"/>
    </row>
    <row r="386" spans="4:18" x14ac:dyDescent="0.4">
      <c r="D386" s="85"/>
      <c r="E386" s="68" t="s">
        <v>76</v>
      </c>
      <c r="F386" s="68"/>
      <c r="G386" s="66"/>
      <c r="H386" s="116"/>
      <c r="I386" s="66" t="s">
        <v>9</v>
      </c>
      <c r="L386" s="116"/>
      <c r="M386" s="66" t="s">
        <v>9</v>
      </c>
      <c r="P386" s="116"/>
      <c r="Q386" s="66" t="s">
        <v>9</v>
      </c>
      <c r="R386" s="72"/>
    </row>
    <row r="387" spans="4:18" ht="27" x14ac:dyDescent="0.4">
      <c r="D387" s="85"/>
      <c r="E387" s="66" t="s">
        <v>71</v>
      </c>
      <c r="F387" s="66"/>
      <c r="G387" s="66"/>
      <c r="H387" s="116"/>
      <c r="I387" s="66" t="s">
        <v>157</v>
      </c>
      <c r="L387" s="116"/>
      <c r="M387" s="66" t="s">
        <v>150</v>
      </c>
      <c r="P387" s="116"/>
      <c r="Q387" s="79" t="s">
        <v>151</v>
      </c>
      <c r="R387" s="72"/>
    </row>
    <row r="388" spans="4:18" x14ac:dyDescent="0.4">
      <c r="D388" s="85"/>
      <c r="E388" s="80" t="s">
        <v>81</v>
      </c>
      <c r="F388" s="80"/>
      <c r="G388" s="66"/>
      <c r="I388" s="78"/>
      <c r="L388" s="78"/>
      <c r="P388" s="67"/>
      <c r="Q388" s="78"/>
      <c r="R388" s="72"/>
    </row>
    <row r="389" spans="4:18" ht="14.25" thickBot="1" x14ac:dyDescent="0.45">
      <c r="D389" s="86"/>
      <c r="E389" s="74"/>
      <c r="F389" s="74"/>
      <c r="G389" s="74"/>
      <c r="H389" s="74"/>
      <c r="I389" s="74"/>
      <c r="J389" s="75"/>
      <c r="K389" s="75"/>
      <c r="L389" s="75"/>
      <c r="M389" s="75"/>
      <c r="N389" s="75"/>
      <c r="O389" s="75"/>
      <c r="P389" s="75"/>
      <c r="Q389" s="75"/>
      <c r="R389" s="76"/>
    </row>
    <row r="390" spans="4:18" x14ac:dyDescent="0.4">
      <c r="D390" s="81" t="s">
        <v>56</v>
      </c>
      <c r="E390" s="69"/>
      <c r="F390" s="69"/>
      <c r="G390" s="69"/>
      <c r="H390" s="69"/>
      <c r="I390" s="69"/>
      <c r="J390" s="70"/>
      <c r="K390" s="70"/>
      <c r="L390" s="70"/>
      <c r="M390" s="70"/>
      <c r="N390" s="70"/>
      <c r="O390" s="70"/>
      <c r="P390" s="70"/>
      <c r="Q390" s="70"/>
      <c r="R390" s="71"/>
    </row>
    <row r="391" spans="4:18" x14ac:dyDescent="0.4">
      <c r="D391" s="85">
        <v>16</v>
      </c>
      <c r="E391" s="103" t="s">
        <v>158</v>
      </c>
      <c r="F391" s="103"/>
      <c r="G391" s="103"/>
      <c r="R391" s="72"/>
    </row>
    <row r="392" spans="4:18" x14ac:dyDescent="0.4">
      <c r="D392" s="85"/>
      <c r="E392" s="103"/>
      <c r="F392" s="103"/>
      <c r="G392" s="103"/>
      <c r="R392" s="72"/>
    </row>
    <row r="393" spans="4:18" s="38" customFormat="1" x14ac:dyDescent="0.4">
      <c r="D393" s="84"/>
      <c r="E393" s="67" t="s">
        <v>139</v>
      </c>
      <c r="F393" s="67"/>
      <c r="H393" s="67" t="str">
        <f>"2個"&amp;H396&amp;"円にミックスマッチ設定"</f>
        <v>2個600円にミックスマッチ設定</v>
      </c>
      <c r="I393" s="67" t="str">
        <f>I395&amp;"円に緊急売価変更設定"</f>
        <v>250円に緊急売価変更設定</v>
      </c>
      <c r="L393" s="67" t="str">
        <f>"2個"&amp;L396&amp;"円にミックスマッチ設定"</f>
        <v>2個700円にミックスマッチ設定</v>
      </c>
      <c r="M393" s="67" t="str">
        <f>M395&amp;"円に緊急売価変更設定"</f>
        <v>300円に緊急売価変更設定</v>
      </c>
      <c r="P393" s="67" t="str">
        <f>"2個"&amp;P396&amp;"円にミックスマッチ設定"</f>
        <v>2個800円にミックスマッチ設定</v>
      </c>
      <c r="Q393" s="67" t="str">
        <f>Q395&amp;"円に緊急売価変更設定"</f>
        <v>350円に緊急売価変更設定</v>
      </c>
      <c r="R393" s="106"/>
    </row>
    <row r="394" spans="4:18" s="37" customFormat="1" x14ac:dyDescent="0.4">
      <c r="D394" s="84"/>
      <c r="E394" s="65"/>
      <c r="F394" s="65"/>
      <c r="G394" s="65"/>
      <c r="H394" s="38"/>
      <c r="I394" s="38"/>
      <c r="R394" s="73"/>
    </row>
    <row r="395" spans="4:18" x14ac:dyDescent="0.4">
      <c r="D395" s="85"/>
      <c r="E395" s="89" t="s">
        <v>665</v>
      </c>
      <c r="F395" s="89"/>
      <c r="H395" s="67">
        <v>300</v>
      </c>
      <c r="I395" s="67">
        <v>250</v>
      </c>
      <c r="L395" s="67">
        <v>350</v>
      </c>
      <c r="M395" s="67">
        <v>300</v>
      </c>
      <c r="P395" s="67">
        <v>400</v>
      </c>
      <c r="Q395" s="67">
        <v>350</v>
      </c>
      <c r="R395" s="72"/>
    </row>
    <row r="396" spans="4:18" x14ac:dyDescent="0.4">
      <c r="D396" s="85"/>
      <c r="E396" s="89" t="s">
        <v>666</v>
      </c>
      <c r="F396" s="89"/>
      <c r="H396" s="67">
        <v>600</v>
      </c>
      <c r="I396" s="67">
        <v>500</v>
      </c>
      <c r="L396" s="67">
        <v>700</v>
      </c>
      <c r="M396" s="38">
        <v>600</v>
      </c>
      <c r="P396" s="38">
        <v>800</v>
      </c>
      <c r="Q396" s="38">
        <v>700</v>
      </c>
      <c r="R396" s="72"/>
    </row>
    <row r="397" spans="4:18" x14ac:dyDescent="0.4">
      <c r="D397" s="85"/>
      <c r="E397" s="89"/>
      <c r="F397" s="89"/>
      <c r="L397" s="67"/>
      <c r="M397" s="38"/>
      <c r="P397" s="38"/>
      <c r="Q397" s="38"/>
      <c r="R397" s="72"/>
    </row>
    <row r="398" spans="4:18" x14ac:dyDescent="0.4">
      <c r="D398" s="85"/>
      <c r="E398" s="89"/>
      <c r="F398" s="89"/>
      <c r="L398" s="67"/>
      <c r="M398" s="38"/>
      <c r="Q398" s="38"/>
      <c r="R398" s="72"/>
    </row>
    <row r="399" spans="4:18" x14ac:dyDescent="0.4">
      <c r="D399" s="85"/>
      <c r="L399" s="67"/>
      <c r="M399" s="38"/>
      <c r="Q399" s="67"/>
      <c r="R399" s="72"/>
    </row>
    <row r="400" spans="4:18" x14ac:dyDescent="0.4">
      <c r="D400" s="85"/>
      <c r="M400" s="38"/>
      <c r="P400" s="167" t="s">
        <v>669</v>
      </c>
      <c r="R400" s="72"/>
    </row>
    <row r="401" spans="4:18" ht="13.5" customHeight="1" x14ac:dyDescent="0.4">
      <c r="D401" s="85"/>
      <c r="L401" s="167" t="s">
        <v>669</v>
      </c>
      <c r="N401" s="88"/>
      <c r="O401" s="102" t="s">
        <v>159</v>
      </c>
      <c r="P401" s="168"/>
      <c r="Q401" s="121" t="s">
        <v>160</v>
      </c>
      <c r="R401" s="72"/>
    </row>
    <row r="402" spans="4:18" ht="13.5" customHeight="1" x14ac:dyDescent="0.4">
      <c r="D402" s="85"/>
      <c r="G402" s="123" t="s">
        <v>142</v>
      </c>
      <c r="H402" s="167" t="s">
        <v>669</v>
      </c>
      <c r="I402" s="102" t="s">
        <v>64</v>
      </c>
      <c r="K402" s="123" t="s">
        <v>142</v>
      </c>
      <c r="L402" s="168"/>
      <c r="M402" s="156" t="s">
        <v>161</v>
      </c>
      <c r="N402" s="88"/>
      <c r="O402" s="123" t="s">
        <v>142</v>
      </c>
      <c r="P402" s="168"/>
      <c r="Q402" s="122"/>
      <c r="R402" s="72"/>
    </row>
    <row r="403" spans="4:18" ht="13.5" customHeight="1" x14ac:dyDescent="0.4">
      <c r="D403" s="85"/>
      <c r="G403" s="124"/>
      <c r="H403" s="168"/>
      <c r="I403" s="129" t="s">
        <v>155</v>
      </c>
      <c r="K403" s="124"/>
      <c r="L403" s="168"/>
      <c r="M403" s="157"/>
      <c r="N403" s="88"/>
      <c r="O403" s="124"/>
      <c r="P403" s="168"/>
      <c r="Q403" s="122"/>
      <c r="R403" s="72"/>
    </row>
    <row r="404" spans="4:18" ht="13.5" customHeight="1" x14ac:dyDescent="0.4">
      <c r="D404" s="85"/>
      <c r="G404" s="124"/>
      <c r="H404" s="168"/>
      <c r="I404" s="139"/>
      <c r="K404" s="124"/>
      <c r="L404" s="168"/>
      <c r="M404" s="157"/>
      <c r="N404" s="88"/>
      <c r="O404" s="124"/>
      <c r="P404" s="168"/>
      <c r="Q404" s="122"/>
      <c r="R404" s="72"/>
    </row>
    <row r="405" spans="4:18" ht="13.5" customHeight="1" x14ac:dyDescent="0.4">
      <c r="D405" s="85"/>
      <c r="G405" s="124"/>
      <c r="H405" s="168"/>
      <c r="I405" s="139"/>
      <c r="K405" s="124"/>
      <c r="L405" s="168"/>
      <c r="M405" s="157"/>
      <c r="N405" s="88"/>
      <c r="O405" s="124"/>
      <c r="P405" s="168"/>
      <c r="Q405" s="122"/>
      <c r="R405" s="72"/>
    </row>
    <row r="406" spans="4:18" ht="13.5" customHeight="1" x14ac:dyDescent="0.4">
      <c r="D406" s="85"/>
      <c r="G406" s="124"/>
      <c r="H406" s="168"/>
      <c r="I406" s="139"/>
      <c r="K406" s="124"/>
      <c r="L406" s="168"/>
      <c r="M406" s="157"/>
      <c r="N406" s="88"/>
      <c r="O406" s="124"/>
      <c r="P406" s="168"/>
      <c r="Q406" s="122"/>
      <c r="R406" s="72"/>
    </row>
    <row r="407" spans="4:18" ht="13.5" customHeight="1" x14ac:dyDescent="0.4">
      <c r="D407" s="85"/>
      <c r="G407" s="125"/>
      <c r="H407" s="169"/>
      <c r="I407" s="139"/>
      <c r="K407" s="125"/>
      <c r="L407" s="169"/>
      <c r="M407" s="158"/>
      <c r="N407" s="88"/>
      <c r="O407" s="125"/>
      <c r="P407" s="169"/>
      <c r="Q407" s="155"/>
      <c r="R407" s="72"/>
    </row>
    <row r="408" spans="4:18" x14ac:dyDescent="0.4">
      <c r="D408" s="85"/>
      <c r="E408" s="66" t="s">
        <v>71</v>
      </c>
      <c r="F408" s="66"/>
      <c r="G408" s="66"/>
      <c r="H408" s="101"/>
      <c r="I408" s="101">
        <v>100</v>
      </c>
      <c r="L408" s="3"/>
      <c r="M408" s="92">
        <v>0</v>
      </c>
      <c r="O408" s="67"/>
      <c r="P408" s="3"/>
      <c r="Q408" s="78">
        <v>-100</v>
      </c>
      <c r="R408" s="72"/>
    </row>
    <row r="409" spans="4:18" x14ac:dyDescent="0.4">
      <c r="D409" s="85"/>
      <c r="E409" s="66" t="s">
        <v>156</v>
      </c>
      <c r="F409" s="66"/>
      <c r="G409" s="66"/>
      <c r="H409" s="116">
        <v>500</v>
      </c>
      <c r="I409" s="116"/>
      <c r="L409" s="116">
        <v>600</v>
      </c>
      <c r="M409" s="116"/>
      <c r="P409" s="116">
        <v>700</v>
      </c>
      <c r="Q409" s="116"/>
      <c r="R409" s="72"/>
    </row>
    <row r="410" spans="4:18" x14ac:dyDescent="0.4">
      <c r="D410" s="85"/>
      <c r="E410" s="66"/>
      <c r="F410" s="66"/>
      <c r="G410" s="66"/>
      <c r="L410" s="78"/>
      <c r="M410" s="67"/>
      <c r="P410" s="78"/>
      <c r="Q410" s="67"/>
      <c r="R410" s="72"/>
    </row>
    <row r="411" spans="4:18" x14ac:dyDescent="0.4">
      <c r="D411" s="85"/>
      <c r="E411" s="66" t="s">
        <v>73</v>
      </c>
      <c r="F411" s="66"/>
      <c r="G411" s="66"/>
      <c r="L411" s="67"/>
      <c r="M411" s="67"/>
      <c r="P411" s="67"/>
      <c r="Q411" s="67"/>
      <c r="R411" s="72"/>
    </row>
    <row r="412" spans="4:18" ht="13.5" customHeight="1" x14ac:dyDescent="0.4">
      <c r="D412" s="85"/>
      <c r="E412" s="68" t="s">
        <v>74</v>
      </c>
      <c r="F412" s="68"/>
      <c r="G412" s="66"/>
      <c r="H412" s="117" t="s">
        <v>110</v>
      </c>
      <c r="I412" s="67">
        <v>91111</v>
      </c>
      <c r="L412" s="117" t="s">
        <v>110</v>
      </c>
      <c r="M412" s="67">
        <v>91111</v>
      </c>
      <c r="P412" s="117" t="s">
        <v>110</v>
      </c>
      <c r="Q412" s="67">
        <v>91111</v>
      </c>
      <c r="R412" s="72"/>
    </row>
    <row r="413" spans="4:18" x14ac:dyDescent="0.4">
      <c r="D413" s="85"/>
      <c r="E413" s="68" t="s">
        <v>75</v>
      </c>
      <c r="F413" s="68"/>
      <c r="G413" s="66"/>
      <c r="H413" s="116"/>
      <c r="I413" s="67">
        <v>100</v>
      </c>
      <c r="L413" s="116"/>
      <c r="M413" s="67">
        <v>0</v>
      </c>
      <c r="P413" s="116"/>
      <c r="Q413" s="67">
        <v>-100</v>
      </c>
      <c r="R413" s="72"/>
    </row>
    <row r="414" spans="4:18" x14ac:dyDescent="0.4">
      <c r="D414" s="85"/>
      <c r="E414" s="68" t="s">
        <v>76</v>
      </c>
      <c r="F414" s="68"/>
      <c r="G414" s="66"/>
      <c r="H414" s="116"/>
      <c r="I414" s="66" t="s">
        <v>9</v>
      </c>
      <c r="L414" s="116"/>
      <c r="M414" s="66" t="s">
        <v>9</v>
      </c>
      <c r="P414" s="116"/>
      <c r="Q414" s="66" t="s">
        <v>9</v>
      </c>
      <c r="R414" s="72"/>
    </row>
    <row r="415" spans="4:18" ht="27" x14ac:dyDescent="0.4">
      <c r="D415" s="85"/>
      <c r="E415" s="66" t="s">
        <v>71</v>
      </c>
      <c r="F415" s="66"/>
      <c r="G415" s="66"/>
      <c r="H415" s="116"/>
      <c r="I415" s="66" t="s">
        <v>157</v>
      </c>
      <c r="L415" s="116"/>
      <c r="M415" s="66" t="s">
        <v>150</v>
      </c>
      <c r="P415" s="116"/>
      <c r="Q415" s="79" t="s">
        <v>151</v>
      </c>
      <c r="R415" s="72"/>
    </row>
    <row r="416" spans="4:18" x14ac:dyDescent="0.4">
      <c r="D416" s="85"/>
      <c r="E416" s="80" t="s">
        <v>81</v>
      </c>
      <c r="F416" s="80"/>
      <c r="G416" s="66"/>
      <c r="I416" s="78"/>
      <c r="L416" s="67"/>
      <c r="M416" s="78"/>
      <c r="P416" s="67"/>
      <c r="Q416" s="78"/>
      <c r="R416" s="72"/>
    </row>
    <row r="417" spans="4:18" ht="14.25" thickBot="1" x14ac:dyDescent="0.45">
      <c r="D417" s="86"/>
      <c r="E417" s="74"/>
      <c r="F417" s="74"/>
      <c r="G417" s="74"/>
      <c r="H417" s="74"/>
      <c r="I417" s="74"/>
      <c r="J417" s="75"/>
      <c r="K417" s="75"/>
      <c r="L417" s="75"/>
      <c r="M417" s="75"/>
      <c r="N417" s="75"/>
      <c r="O417" s="75"/>
      <c r="P417" s="75"/>
      <c r="Q417" s="75"/>
      <c r="R417" s="76"/>
    </row>
    <row r="418" spans="4:18" x14ac:dyDescent="0.4">
      <c r="D418" s="81" t="s">
        <v>56</v>
      </c>
      <c r="E418" s="69"/>
      <c r="F418" s="69"/>
      <c r="G418" s="69"/>
      <c r="H418" s="69"/>
      <c r="I418" s="69"/>
      <c r="J418" s="70"/>
      <c r="K418" s="70"/>
      <c r="L418" s="70"/>
      <c r="M418" s="70"/>
      <c r="N418" s="70"/>
      <c r="O418" s="70"/>
      <c r="P418" s="70"/>
      <c r="Q418" s="70"/>
      <c r="R418" s="71"/>
    </row>
    <row r="419" spans="4:18" x14ac:dyDescent="0.4">
      <c r="D419" s="82">
        <v>17</v>
      </c>
      <c r="E419" s="103" t="s">
        <v>162</v>
      </c>
      <c r="F419" s="103"/>
      <c r="G419" s="103"/>
      <c r="R419" s="72"/>
    </row>
    <row r="420" spans="4:18" x14ac:dyDescent="0.4">
      <c r="D420" s="83"/>
      <c r="E420" s="103"/>
      <c r="F420" s="103"/>
      <c r="G420" s="103"/>
      <c r="R420" s="72"/>
    </row>
    <row r="421" spans="4:18" s="38" customFormat="1" x14ac:dyDescent="0.4">
      <c r="D421" s="84"/>
      <c r="E421" s="38" t="s">
        <v>58</v>
      </c>
      <c r="H421" s="67" t="str">
        <f>H423&amp;"円に緊急売価変更設定"</f>
        <v>200円に緊急売価変更設定</v>
      </c>
      <c r="I421" s="67" t="str">
        <f>I423&amp;"円の値引シール【1:値引】"</f>
        <v>50円の値引シール【1:値引】</v>
      </c>
      <c r="L421" s="67" t="str">
        <f>L423&amp;"円に緊急売価変更設定"</f>
        <v>300円に緊急売価変更設定</v>
      </c>
      <c r="M421" s="67" t="str">
        <f>M423&amp;"円の値引シール【1:値引】"</f>
        <v>50円の値引シール【1:値引】</v>
      </c>
      <c r="P421" s="67" t="str">
        <f>P423&amp;"円に緊急売価変更設定"</f>
        <v>350円に緊急売価変更設定</v>
      </c>
      <c r="Q421" s="67" t="str">
        <f>Q423&amp;"円の値引シール【1:値引】"</f>
        <v>50円の値引シール【1:値引】</v>
      </c>
      <c r="R421" s="106"/>
    </row>
    <row r="422" spans="4:18" s="37" customFormat="1" x14ac:dyDescent="0.4">
      <c r="D422" s="84"/>
      <c r="E422" s="90"/>
      <c r="F422" s="90"/>
      <c r="G422" s="65"/>
      <c r="H422" s="38"/>
      <c r="I422" s="38"/>
      <c r="R422" s="73"/>
    </row>
    <row r="423" spans="4:18" x14ac:dyDescent="0.4">
      <c r="D423" s="85"/>
      <c r="E423" s="89" t="s">
        <v>163</v>
      </c>
      <c r="F423" s="89"/>
      <c r="H423" s="67">
        <v>200</v>
      </c>
      <c r="I423" s="67">
        <v>50</v>
      </c>
      <c r="L423" s="67">
        <v>300</v>
      </c>
      <c r="M423" s="67">
        <v>50</v>
      </c>
      <c r="P423" s="67">
        <v>350</v>
      </c>
      <c r="Q423" s="67">
        <v>50</v>
      </c>
      <c r="R423" s="72"/>
    </row>
    <row r="424" spans="4:18" x14ac:dyDescent="0.4">
      <c r="D424" s="85"/>
      <c r="L424" s="67"/>
      <c r="M424" s="67"/>
      <c r="P424" s="67"/>
      <c r="Q424" s="67"/>
      <c r="R424" s="72"/>
    </row>
    <row r="425" spans="4:18" x14ac:dyDescent="0.4">
      <c r="D425" s="85"/>
      <c r="L425" s="67"/>
      <c r="M425" s="67"/>
      <c r="O425" s="102" t="s">
        <v>164</v>
      </c>
      <c r="P425" s="129" t="s">
        <v>61</v>
      </c>
      <c r="Q425" s="102" t="s">
        <v>165</v>
      </c>
      <c r="R425" s="72"/>
    </row>
    <row r="426" spans="4:18" x14ac:dyDescent="0.4">
      <c r="D426" s="85"/>
      <c r="G426" s="123" t="s">
        <v>63</v>
      </c>
      <c r="H426" s="144" t="s">
        <v>64</v>
      </c>
      <c r="K426" s="123" t="s">
        <v>63</v>
      </c>
      <c r="L426" s="129" t="s">
        <v>65</v>
      </c>
      <c r="M426" s="102" t="s">
        <v>165</v>
      </c>
      <c r="O426" s="123" t="s">
        <v>63</v>
      </c>
      <c r="P426" s="130"/>
      <c r="Q426" s="132" t="s">
        <v>166</v>
      </c>
      <c r="R426" s="72"/>
    </row>
    <row r="427" spans="4:18" x14ac:dyDescent="0.4">
      <c r="D427" s="85"/>
      <c r="G427" s="124"/>
      <c r="H427" s="139"/>
      <c r="K427" s="124"/>
      <c r="L427" s="130"/>
      <c r="M427" s="132" t="s">
        <v>167</v>
      </c>
      <c r="O427" s="124"/>
      <c r="P427" s="130"/>
      <c r="Q427" s="130"/>
      <c r="R427" s="72"/>
    </row>
    <row r="428" spans="4:18" x14ac:dyDescent="0.4">
      <c r="D428" s="85"/>
      <c r="G428" s="124"/>
      <c r="H428" s="145" t="s">
        <v>69</v>
      </c>
      <c r="I428" s="102" t="s">
        <v>165</v>
      </c>
      <c r="K428" s="124"/>
      <c r="L428" s="130"/>
      <c r="M428" s="130"/>
      <c r="O428" s="124"/>
      <c r="P428" s="130"/>
      <c r="Q428" s="130"/>
      <c r="R428" s="72"/>
    </row>
    <row r="429" spans="4:18" x14ac:dyDescent="0.4">
      <c r="D429" s="85"/>
      <c r="G429" s="124"/>
      <c r="H429" s="154"/>
      <c r="I429" s="132" t="s">
        <v>70</v>
      </c>
      <c r="K429" s="124"/>
      <c r="L429" s="130"/>
      <c r="M429" s="130"/>
      <c r="O429" s="124"/>
      <c r="P429" s="130"/>
      <c r="Q429" s="130"/>
      <c r="R429" s="72"/>
    </row>
    <row r="430" spans="4:18" x14ac:dyDescent="0.4">
      <c r="D430" s="85"/>
      <c r="G430" s="124"/>
      <c r="H430" s="154"/>
      <c r="I430" s="147"/>
      <c r="K430" s="124"/>
      <c r="L430" s="130"/>
      <c r="M430" s="130"/>
      <c r="O430" s="124"/>
      <c r="P430" s="130"/>
      <c r="Q430" s="130"/>
      <c r="R430" s="72"/>
    </row>
    <row r="431" spans="4:18" x14ac:dyDescent="0.4">
      <c r="D431" s="85"/>
      <c r="G431" s="125"/>
      <c r="H431" s="154"/>
      <c r="I431" s="147"/>
      <c r="K431" s="125"/>
      <c r="L431" s="130"/>
      <c r="M431" s="130"/>
      <c r="O431" s="125"/>
      <c r="P431" s="130"/>
      <c r="Q431" s="130"/>
      <c r="R431" s="72"/>
    </row>
    <row r="432" spans="4:18" x14ac:dyDescent="0.4">
      <c r="D432" s="85"/>
      <c r="E432" s="66" t="s">
        <v>71</v>
      </c>
      <c r="F432" s="66"/>
      <c r="G432" s="66"/>
      <c r="H432" s="101">
        <v>100</v>
      </c>
      <c r="I432" s="101">
        <v>50</v>
      </c>
      <c r="L432" s="92">
        <v>0</v>
      </c>
      <c r="M432" s="101">
        <v>50</v>
      </c>
      <c r="P432" s="92">
        <v>-50</v>
      </c>
      <c r="Q432" s="101">
        <v>50</v>
      </c>
      <c r="R432" s="72"/>
    </row>
    <row r="433" spans="4:18" ht="18.75" x14ac:dyDescent="0.4">
      <c r="D433" s="85"/>
      <c r="E433" s="66" t="s">
        <v>72</v>
      </c>
      <c r="F433" s="66"/>
      <c r="G433" s="66"/>
      <c r="H433" s="116">
        <v>150</v>
      </c>
      <c r="I433" s="139"/>
      <c r="L433" s="116">
        <v>250</v>
      </c>
      <c r="M433" s="116"/>
      <c r="P433" s="116">
        <v>300</v>
      </c>
      <c r="Q433" s="116"/>
      <c r="R433" s="72"/>
    </row>
    <row r="434" spans="4:18" x14ac:dyDescent="0.4">
      <c r="D434" s="85"/>
      <c r="E434" s="66"/>
      <c r="F434" s="66"/>
      <c r="G434" s="66"/>
      <c r="L434" s="67"/>
      <c r="M434" s="67"/>
      <c r="P434" s="67"/>
      <c r="Q434" s="67"/>
      <c r="R434" s="72"/>
    </row>
    <row r="435" spans="4:18" x14ac:dyDescent="0.4">
      <c r="D435" s="85"/>
      <c r="E435" s="66" t="s">
        <v>73</v>
      </c>
      <c r="F435" s="66"/>
      <c r="G435" s="66"/>
      <c r="L435" s="67"/>
      <c r="M435" s="67"/>
      <c r="P435" s="67"/>
      <c r="Q435" s="67"/>
      <c r="R435" s="72"/>
    </row>
    <row r="436" spans="4:18" x14ac:dyDescent="0.4">
      <c r="D436" s="85"/>
      <c r="E436" s="68" t="s">
        <v>74</v>
      </c>
      <c r="F436" s="68"/>
      <c r="G436" s="66"/>
      <c r="H436" s="67">
        <v>91111</v>
      </c>
      <c r="I436" s="67">
        <v>91220</v>
      </c>
      <c r="L436" s="67">
        <v>91111</v>
      </c>
      <c r="M436" s="67">
        <v>91220</v>
      </c>
      <c r="P436" s="67">
        <v>91111</v>
      </c>
      <c r="Q436" s="67">
        <v>91220</v>
      </c>
      <c r="R436" s="72"/>
    </row>
    <row r="437" spans="4:18" x14ac:dyDescent="0.4">
      <c r="D437" s="85"/>
      <c r="E437" s="68" t="s">
        <v>75</v>
      </c>
      <c r="F437" s="68"/>
      <c r="G437" s="66"/>
      <c r="H437" s="67">
        <v>0</v>
      </c>
      <c r="I437" s="67">
        <v>1</v>
      </c>
      <c r="L437" s="67">
        <v>0</v>
      </c>
      <c r="M437" s="67">
        <v>1</v>
      </c>
      <c r="P437" s="67">
        <v>0</v>
      </c>
      <c r="Q437" s="67">
        <v>1</v>
      </c>
      <c r="R437" s="72"/>
    </row>
    <row r="438" spans="4:18" x14ac:dyDescent="0.4">
      <c r="D438" s="85"/>
      <c r="E438" s="68" t="s">
        <v>76</v>
      </c>
      <c r="F438" s="68"/>
      <c r="G438" s="66"/>
      <c r="H438" s="66" t="s">
        <v>9</v>
      </c>
      <c r="I438" s="66" t="s">
        <v>7</v>
      </c>
      <c r="L438" s="66" t="s">
        <v>9</v>
      </c>
      <c r="M438" s="66" t="s">
        <v>7</v>
      </c>
      <c r="P438" s="66" t="s">
        <v>9</v>
      </c>
      <c r="Q438" s="66" t="s">
        <v>7</v>
      </c>
      <c r="R438" s="72"/>
    </row>
    <row r="439" spans="4:18" ht="27" x14ac:dyDescent="0.4">
      <c r="D439" s="85"/>
      <c r="E439" s="66" t="s">
        <v>71</v>
      </c>
      <c r="F439" s="66"/>
      <c r="G439" s="66"/>
      <c r="H439" s="66" t="s">
        <v>77</v>
      </c>
      <c r="I439" s="66" t="s">
        <v>168</v>
      </c>
      <c r="L439" s="93" t="s">
        <v>79</v>
      </c>
      <c r="M439" s="66" t="s">
        <v>168</v>
      </c>
      <c r="P439" s="94" t="s">
        <v>80</v>
      </c>
      <c r="Q439" s="66" t="s">
        <v>168</v>
      </c>
      <c r="R439" s="72"/>
    </row>
    <row r="440" spans="4:18" x14ac:dyDescent="0.4">
      <c r="D440" s="85"/>
      <c r="E440" s="80" t="s">
        <v>81</v>
      </c>
      <c r="F440" s="80"/>
      <c r="G440" s="66"/>
      <c r="L440" s="67"/>
      <c r="M440" s="67"/>
      <c r="P440" s="67"/>
      <c r="Q440" s="67"/>
      <c r="R440" s="72"/>
    </row>
    <row r="441" spans="4:18" x14ac:dyDescent="0.4">
      <c r="D441" s="85"/>
      <c r="E441" s="80" t="s">
        <v>169</v>
      </c>
      <c r="F441" s="80"/>
      <c r="G441" s="66"/>
      <c r="L441" s="67"/>
      <c r="M441" s="67"/>
      <c r="P441" s="67"/>
      <c r="Q441" s="67"/>
      <c r="R441" s="72"/>
    </row>
    <row r="442" spans="4:18" ht="14.25" thickBot="1" x14ac:dyDescent="0.45">
      <c r="D442" s="86"/>
      <c r="E442" s="74"/>
      <c r="F442" s="74"/>
      <c r="G442" s="74"/>
      <c r="H442" s="74"/>
      <c r="I442" s="74"/>
      <c r="J442" s="75"/>
      <c r="K442" s="75"/>
      <c r="L442" s="75"/>
      <c r="M442" s="75"/>
      <c r="N442" s="75"/>
      <c r="O442" s="75"/>
      <c r="P442" s="75"/>
      <c r="Q442" s="75"/>
      <c r="R442" s="76"/>
    </row>
    <row r="443" spans="4:18" x14ac:dyDescent="0.4">
      <c r="D443" s="81" t="s">
        <v>56</v>
      </c>
      <c r="E443" s="69"/>
      <c r="F443" s="69"/>
      <c r="G443" s="69"/>
      <c r="H443" s="69"/>
      <c r="I443" s="69"/>
      <c r="J443" s="70"/>
      <c r="K443" s="70"/>
      <c r="L443" s="70"/>
      <c r="M443" s="70"/>
      <c r="N443" s="70"/>
      <c r="O443" s="70"/>
      <c r="P443" s="70"/>
      <c r="Q443" s="70"/>
      <c r="R443" s="71"/>
    </row>
    <row r="444" spans="4:18" x14ac:dyDescent="0.4">
      <c r="D444" s="82">
        <v>18</v>
      </c>
      <c r="E444" s="103" t="s">
        <v>170</v>
      </c>
      <c r="F444" s="103"/>
      <c r="G444" s="103"/>
      <c r="R444" s="72"/>
    </row>
    <row r="445" spans="4:18" x14ac:dyDescent="0.4">
      <c r="D445" s="83"/>
      <c r="E445" s="103"/>
      <c r="F445" s="103"/>
      <c r="G445" s="103"/>
      <c r="R445" s="72"/>
    </row>
    <row r="446" spans="4:18" s="38" customFormat="1" x14ac:dyDescent="0.4">
      <c r="D446" s="84"/>
      <c r="E446" s="38" t="s">
        <v>58</v>
      </c>
      <c r="H446" s="67" t="str">
        <f>H448&amp;"円に緊急売価変更設定"</f>
        <v>200円に緊急売価変更設定</v>
      </c>
      <c r="I446" s="67" t="str">
        <f>I448&amp;"％の値引シール【2:割引】"</f>
        <v>10％の値引シール【2:割引】</v>
      </c>
      <c r="L446" s="67" t="str">
        <f>L448&amp;"円に緊急売価変更設定"</f>
        <v>300円に緊急売価変更設定</v>
      </c>
      <c r="M446" s="67" t="str">
        <f>M448&amp;"％の値引シール【2:割引】"</f>
        <v>10％の値引シール【2:割引】</v>
      </c>
      <c r="P446" s="67" t="str">
        <f>P448&amp;"円に緊急売価変更設定"</f>
        <v>350円に緊急売価変更設定</v>
      </c>
      <c r="Q446" s="67" t="str">
        <f>Q448&amp;"％の値引シール【2:割引】"</f>
        <v>10％の値引シール【2:割引】</v>
      </c>
      <c r="R446" s="106"/>
    </row>
    <row r="447" spans="4:18" s="37" customFormat="1" x14ac:dyDescent="0.4">
      <c r="D447" s="84"/>
      <c r="E447" s="90"/>
      <c r="F447" s="90"/>
      <c r="G447" s="65"/>
      <c r="H447" s="38"/>
      <c r="I447" s="38"/>
      <c r="R447" s="73"/>
    </row>
    <row r="448" spans="4:18" x14ac:dyDescent="0.4">
      <c r="D448" s="85"/>
      <c r="E448" s="89" t="s">
        <v>83</v>
      </c>
      <c r="F448" s="89"/>
      <c r="H448" s="67">
        <v>200</v>
      </c>
      <c r="I448" s="67">
        <v>10</v>
      </c>
      <c r="L448" s="67">
        <v>300</v>
      </c>
      <c r="M448" s="67">
        <v>10</v>
      </c>
      <c r="P448" s="67">
        <v>350</v>
      </c>
      <c r="Q448" s="67">
        <v>10</v>
      </c>
      <c r="R448" s="72"/>
    </row>
    <row r="449" spans="4:19" x14ac:dyDescent="0.4">
      <c r="D449" s="85"/>
      <c r="L449" s="67"/>
      <c r="M449" s="67"/>
      <c r="P449" s="67"/>
      <c r="Q449" s="67"/>
      <c r="R449" s="72"/>
    </row>
    <row r="450" spans="4:19" x14ac:dyDescent="0.4">
      <c r="D450" s="85"/>
      <c r="L450" s="67"/>
      <c r="M450" s="67"/>
      <c r="O450" s="102" t="s">
        <v>164</v>
      </c>
      <c r="P450" s="129" t="s">
        <v>61</v>
      </c>
      <c r="Q450" s="102" t="s">
        <v>171</v>
      </c>
      <c r="R450" s="72"/>
    </row>
    <row r="451" spans="4:19" x14ac:dyDescent="0.4">
      <c r="D451" s="85"/>
      <c r="G451" s="123" t="s">
        <v>63</v>
      </c>
      <c r="H451" s="144" t="s">
        <v>64</v>
      </c>
      <c r="K451" s="123" t="s">
        <v>63</v>
      </c>
      <c r="L451" s="129" t="s">
        <v>65</v>
      </c>
      <c r="M451" s="102" t="s">
        <v>172</v>
      </c>
      <c r="O451" s="123" t="s">
        <v>63</v>
      </c>
      <c r="P451" s="130"/>
      <c r="Q451" s="132" t="s">
        <v>87</v>
      </c>
      <c r="R451" s="72"/>
    </row>
    <row r="452" spans="4:19" x14ac:dyDescent="0.4">
      <c r="D452" s="85"/>
      <c r="G452" s="124"/>
      <c r="H452" s="139"/>
      <c r="K452" s="124"/>
      <c r="L452" s="130"/>
      <c r="M452" s="132" t="s">
        <v>88</v>
      </c>
      <c r="O452" s="124"/>
      <c r="P452" s="130"/>
      <c r="Q452" s="130"/>
      <c r="R452" s="72"/>
    </row>
    <row r="453" spans="4:19" x14ac:dyDescent="0.4">
      <c r="D453" s="85"/>
      <c r="G453" s="124"/>
      <c r="H453" s="145" t="s">
        <v>69</v>
      </c>
      <c r="I453" s="102" t="s">
        <v>173</v>
      </c>
      <c r="K453" s="124"/>
      <c r="L453" s="130"/>
      <c r="M453" s="130"/>
      <c r="O453" s="124"/>
      <c r="P453" s="130"/>
      <c r="Q453" s="130"/>
      <c r="R453" s="72"/>
    </row>
    <row r="454" spans="4:19" x14ac:dyDescent="0.4">
      <c r="D454" s="85"/>
      <c r="G454" s="124"/>
      <c r="H454" s="154"/>
      <c r="I454" s="132" t="s">
        <v>90</v>
      </c>
      <c r="K454" s="124"/>
      <c r="L454" s="130"/>
      <c r="M454" s="130"/>
      <c r="O454" s="124"/>
      <c r="P454" s="130"/>
      <c r="Q454" s="130"/>
      <c r="R454" s="72"/>
    </row>
    <row r="455" spans="4:19" x14ac:dyDescent="0.4">
      <c r="D455" s="85"/>
      <c r="G455" s="124"/>
      <c r="H455" s="154"/>
      <c r="I455" s="147"/>
      <c r="K455" s="124"/>
      <c r="L455" s="130"/>
      <c r="M455" s="130"/>
      <c r="O455" s="124"/>
      <c r="P455" s="130"/>
      <c r="Q455" s="130"/>
      <c r="R455" s="72"/>
    </row>
    <row r="456" spans="4:19" x14ac:dyDescent="0.4">
      <c r="D456" s="85"/>
      <c r="G456" s="125"/>
      <c r="H456" s="154"/>
      <c r="I456" s="147"/>
      <c r="K456" s="125"/>
      <c r="L456" s="130"/>
      <c r="M456" s="130"/>
      <c r="O456" s="125"/>
      <c r="P456" s="130"/>
      <c r="Q456" s="130"/>
      <c r="R456" s="72"/>
    </row>
    <row r="457" spans="4:19" x14ac:dyDescent="0.4">
      <c r="D457" s="85"/>
      <c r="E457" s="66" t="s">
        <v>71</v>
      </c>
      <c r="F457" s="66"/>
      <c r="G457" s="66"/>
      <c r="H457" s="101">
        <v>100</v>
      </c>
      <c r="I457" s="101">
        <v>20</v>
      </c>
      <c r="L457" s="92">
        <v>0</v>
      </c>
      <c r="M457" s="101">
        <v>30</v>
      </c>
      <c r="P457" s="92">
        <v>-50</v>
      </c>
      <c r="Q457" s="101">
        <v>35</v>
      </c>
      <c r="R457" s="72"/>
    </row>
    <row r="458" spans="4:19" ht="18.75" x14ac:dyDescent="0.4">
      <c r="D458" s="85"/>
      <c r="E458" s="66" t="s">
        <v>72</v>
      </c>
      <c r="F458" s="66"/>
      <c r="G458" s="66"/>
      <c r="H458" s="116">
        <v>180</v>
      </c>
      <c r="I458" s="139"/>
      <c r="L458" s="116">
        <v>270</v>
      </c>
      <c r="M458" s="116"/>
      <c r="P458" s="116">
        <v>315</v>
      </c>
      <c r="Q458" s="116"/>
      <c r="R458" s="72"/>
    </row>
    <row r="459" spans="4:19" x14ac:dyDescent="0.4">
      <c r="D459" s="85"/>
      <c r="E459" s="66"/>
      <c r="F459" s="66"/>
      <c r="G459" s="66"/>
      <c r="L459" s="67"/>
      <c r="M459" s="67"/>
      <c r="P459" s="67"/>
      <c r="Q459" s="67"/>
      <c r="R459" s="72"/>
    </row>
    <row r="460" spans="4:19" x14ac:dyDescent="0.4">
      <c r="D460" s="85"/>
      <c r="E460" s="66" t="s">
        <v>73</v>
      </c>
      <c r="F460" s="66"/>
      <c r="G460" s="66"/>
      <c r="L460" s="67"/>
      <c r="M460" s="67"/>
      <c r="P460" s="67"/>
      <c r="Q460" s="67"/>
      <c r="R460" s="72"/>
    </row>
    <row r="461" spans="4:19" x14ac:dyDescent="0.4">
      <c r="D461" s="85"/>
      <c r="E461" s="68" t="s">
        <v>74</v>
      </c>
      <c r="F461" s="68"/>
      <c r="G461" s="66"/>
      <c r="H461" s="67">
        <v>91111</v>
      </c>
      <c r="I461" s="67">
        <v>91220</v>
      </c>
      <c r="L461" s="67">
        <v>91111</v>
      </c>
      <c r="M461" s="67">
        <v>91220</v>
      </c>
      <c r="P461" s="67">
        <v>91111</v>
      </c>
      <c r="Q461" s="67">
        <v>91220</v>
      </c>
      <c r="R461" s="72"/>
      <c r="S461" s="1" t="s">
        <v>174</v>
      </c>
    </row>
    <row r="462" spans="4:19" x14ac:dyDescent="0.4">
      <c r="D462" s="85"/>
      <c r="E462" s="68" t="s">
        <v>75</v>
      </c>
      <c r="F462" s="68"/>
      <c r="G462" s="66"/>
      <c r="H462" s="67">
        <v>0</v>
      </c>
      <c r="I462" s="67">
        <v>2</v>
      </c>
      <c r="L462" s="67">
        <v>0</v>
      </c>
      <c r="M462" s="67">
        <v>2</v>
      </c>
      <c r="P462" s="67">
        <v>0</v>
      </c>
      <c r="Q462" s="67">
        <v>2</v>
      </c>
      <c r="R462" s="72"/>
    </row>
    <row r="463" spans="4:19" x14ac:dyDescent="0.4">
      <c r="D463" s="85"/>
      <c r="E463" s="68" t="s">
        <v>76</v>
      </c>
      <c r="F463" s="68"/>
      <c r="G463" s="66"/>
      <c r="H463" s="66" t="s">
        <v>9</v>
      </c>
      <c r="I463" s="66" t="s">
        <v>14</v>
      </c>
      <c r="L463" s="66" t="s">
        <v>9</v>
      </c>
      <c r="M463" s="66" t="s">
        <v>14</v>
      </c>
      <c r="P463" s="66" t="s">
        <v>9</v>
      </c>
      <c r="Q463" s="66" t="s">
        <v>14</v>
      </c>
      <c r="R463" s="72"/>
    </row>
    <row r="464" spans="4:19" ht="27" x14ac:dyDescent="0.4">
      <c r="D464" s="85"/>
      <c r="E464" s="66" t="s">
        <v>71</v>
      </c>
      <c r="F464" s="66"/>
      <c r="G464" s="66"/>
      <c r="H464" s="66" t="s">
        <v>77</v>
      </c>
      <c r="I464" s="66" t="s">
        <v>175</v>
      </c>
      <c r="L464" s="93" t="s">
        <v>79</v>
      </c>
      <c r="M464" s="66" t="s">
        <v>176</v>
      </c>
      <c r="P464" s="94" t="s">
        <v>80</v>
      </c>
      <c r="Q464" s="66" t="s">
        <v>177</v>
      </c>
      <c r="R464" s="72"/>
    </row>
    <row r="465" spans="4:18" x14ac:dyDescent="0.4">
      <c r="D465" s="85"/>
      <c r="E465" s="80" t="s">
        <v>81</v>
      </c>
      <c r="F465" s="80"/>
      <c r="G465" s="66"/>
      <c r="L465" s="67"/>
      <c r="M465" s="67"/>
      <c r="P465" s="67"/>
      <c r="Q465" s="67"/>
      <c r="R465" s="72"/>
    </row>
    <row r="466" spans="4:18" x14ac:dyDescent="0.4">
      <c r="D466" s="85"/>
      <c r="E466" s="80" t="s">
        <v>178</v>
      </c>
      <c r="F466" s="80"/>
      <c r="G466" s="66"/>
      <c r="L466" s="67"/>
      <c r="M466" s="67"/>
      <c r="P466" s="67"/>
      <c r="Q466" s="67"/>
      <c r="R466" s="72"/>
    </row>
    <row r="467" spans="4:18" ht="14.25" thickBot="1" x14ac:dyDescent="0.45">
      <c r="D467" s="86"/>
      <c r="E467" s="74"/>
      <c r="F467" s="74"/>
      <c r="G467" s="74"/>
      <c r="H467" s="74"/>
      <c r="I467" s="74"/>
      <c r="J467" s="75"/>
      <c r="K467" s="75"/>
      <c r="L467" s="75"/>
      <c r="M467" s="75"/>
      <c r="N467" s="75"/>
      <c r="O467" s="75"/>
      <c r="P467" s="75"/>
      <c r="Q467" s="75"/>
      <c r="R467" s="76"/>
    </row>
    <row r="468" spans="4:18" x14ac:dyDescent="0.4">
      <c r="D468" s="81" t="s">
        <v>56</v>
      </c>
      <c r="E468" s="69"/>
      <c r="F468" s="69"/>
      <c r="G468" s="69"/>
      <c r="H468" s="69"/>
      <c r="I468" s="69"/>
      <c r="J468" s="70"/>
      <c r="K468" s="70"/>
      <c r="L468" s="70"/>
      <c r="M468" s="70"/>
      <c r="N468" s="70"/>
      <c r="O468" s="70"/>
      <c r="P468" s="70"/>
      <c r="Q468" s="70"/>
      <c r="R468" s="71"/>
    </row>
    <row r="469" spans="4:18" x14ac:dyDescent="0.4">
      <c r="D469" s="85">
        <v>19</v>
      </c>
      <c r="E469" s="103" t="s">
        <v>179</v>
      </c>
      <c r="F469" s="103"/>
      <c r="G469" s="103"/>
      <c r="R469" s="72"/>
    </row>
    <row r="470" spans="4:18" x14ac:dyDescent="0.4">
      <c r="D470" s="85"/>
      <c r="E470" s="104"/>
      <c r="F470" s="104"/>
      <c r="G470" s="104"/>
      <c r="R470" s="72"/>
    </row>
    <row r="471" spans="4:18" s="38" customFormat="1" x14ac:dyDescent="0.4">
      <c r="D471" s="84"/>
      <c r="E471" s="38" t="s">
        <v>58</v>
      </c>
      <c r="H471" s="67" t="str">
        <f>H473&amp;"円に緊急売価変更設定"</f>
        <v>200円に緊急売価変更設定</v>
      </c>
      <c r="I471" s="67" t="str">
        <f>I473&amp;"円の値引シール【3:金額】"</f>
        <v>150円の値引シール【3:金額】</v>
      </c>
      <c r="L471" s="67" t="str">
        <f>L473&amp;"円に緊急売価変更設定"</f>
        <v>300円に緊急売価変更設定</v>
      </c>
      <c r="M471" s="67" t="str">
        <f>M473&amp;"円の値引シール【3:金額】"</f>
        <v>250円の値引シール【3:金額】</v>
      </c>
      <c r="P471" s="67" t="str">
        <f>P473&amp;"円に緊急売価変更設定"</f>
        <v>350円に緊急売価変更設定</v>
      </c>
      <c r="Q471" s="67" t="str">
        <f>Q473&amp;"円の値引シール【3:金額】"</f>
        <v>300円の値引シール【3:金額】</v>
      </c>
      <c r="R471" s="106"/>
    </row>
    <row r="472" spans="4:18" s="37" customFormat="1" x14ac:dyDescent="0.4">
      <c r="D472" s="84"/>
      <c r="E472" s="90"/>
      <c r="F472" s="90"/>
      <c r="G472" s="65"/>
      <c r="H472" s="38"/>
      <c r="I472" s="38"/>
      <c r="R472" s="73"/>
    </row>
    <row r="473" spans="4:18" x14ac:dyDescent="0.4">
      <c r="D473" s="85"/>
      <c r="E473" s="89" t="s">
        <v>180</v>
      </c>
      <c r="F473" s="89"/>
      <c r="H473" s="67">
        <v>200</v>
      </c>
      <c r="I473" s="67">
        <v>150</v>
      </c>
      <c r="L473" s="67">
        <v>300</v>
      </c>
      <c r="M473" s="67">
        <v>250</v>
      </c>
      <c r="P473" s="67">
        <v>350</v>
      </c>
      <c r="Q473" s="67">
        <v>300</v>
      </c>
      <c r="R473" s="72"/>
    </row>
    <row r="474" spans="4:18" x14ac:dyDescent="0.4">
      <c r="D474" s="85"/>
      <c r="L474" s="67"/>
      <c r="M474" s="67"/>
      <c r="P474" s="67"/>
      <c r="Q474" s="67"/>
      <c r="R474" s="72"/>
    </row>
    <row r="475" spans="4:18" ht="13.5" customHeight="1" x14ac:dyDescent="0.4">
      <c r="D475" s="85"/>
      <c r="L475" s="67"/>
      <c r="M475" s="67"/>
      <c r="O475" s="102" t="s">
        <v>164</v>
      </c>
      <c r="P475" s="129" t="s">
        <v>61</v>
      </c>
      <c r="Q475" s="102" t="s">
        <v>66</v>
      </c>
      <c r="R475" s="72"/>
    </row>
    <row r="476" spans="4:18" ht="13.5" customHeight="1" x14ac:dyDescent="0.4">
      <c r="D476" s="85"/>
      <c r="G476" s="123" t="s">
        <v>63</v>
      </c>
      <c r="H476" s="160" t="s">
        <v>85</v>
      </c>
      <c r="K476" s="123" t="s">
        <v>63</v>
      </c>
      <c r="L476" s="129" t="s">
        <v>65</v>
      </c>
      <c r="M476" s="102" t="s">
        <v>66</v>
      </c>
      <c r="O476" s="123" t="s">
        <v>63</v>
      </c>
      <c r="P476" s="130"/>
      <c r="Q476" s="132" t="s">
        <v>181</v>
      </c>
      <c r="R476" s="72"/>
    </row>
    <row r="477" spans="4:18" ht="13.5" customHeight="1" x14ac:dyDescent="0.4">
      <c r="D477" s="85"/>
      <c r="G477" s="124"/>
      <c r="H477" s="128"/>
      <c r="K477" s="124"/>
      <c r="L477" s="130"/>
      <c r="M477" s="132" t="s">
        <v>182</v>
      </c>
      <c r="O477" s="124"/>
      <c r="P477" s="130"/>
      <c r="Q477" s="130"/>
      <c r="R477" s="72"/>
    </row>
    <row r="478" spans="4:18" ht="13.5" customHeight="1" x14ac:dyDescent="0.4">
      <c r="D478" s="85"/>
      <c r="G478" s="124"/>
      <c r="H478" s="145" t="s">
        <v>69</v>
      </c>
      <c r="I478" s="102" t="s">
        <v>66</v>
      </c>
      <c r="K478" s="124"/>
      <c r="L478" s="130"/>
      <c r="M478" s="130"/>
      <c r="O478" s="124"/>
      <c r="P478" s="130"/>
      <c r="Q478" s="130"/>
      <c r="R478" s="72"/>
    </row>
    <row r="479" spans="4:18" x14ac:dyDescent="0.4">
      <c r="D479" s="85"/>
      <c r="G479" s="124"/>
      <c r="H479" s="154"/>
      <c r="I479" s="132" t="s">
        <v>183</v>
      </c>
      <c r="K479" s="124"/>
      <c r="L479" s="130"/>
      <c r="M479" s="130"/>
      <c r="O479" s="124"/>
      <c r="P479" s="130"/>
      <c r="Q479" s="130"/>
      <c r="R479" s="72"/>
    </row>
    <row r="480" spans="4:18" x14ac:dyDescent="0.4">
      <c r="D480" s="85"/>
      <c r="G480" s="124"/>
      <c r="H480" s="154"/>
      <c r="I480" s="147"/>
      <c r="K480" s="124"/>
      <c r="L480" s="130"/>
      <c r="M480" s="130"/>
      <c r="O480" s="124"/>
      <c r="P480" s="130"/>
      <c r="Q480" s="130"/>
      <c r="R480" s="72"/>
    </row>
    <row r="481" spans="4:18" x14ac:dyDescent="0.4">
      <c r="D481" s="85"/>
      <c r="G481" s="125"/>
      <c r="H481" s="154"/>
      <c r="I481" s="147"/>
      <c r="K481" s="125"/>
      <c r="L481" s="130"/>
      <c r="M481" s="130"/>
      <c r="O481" s="125"/>
      <c r="P481" s="130"/>
      <c r="Q481" s="130"/>
      <c r="R481" s="72"/>
    </row>
    <row r="482" spans="4:18" x14ac:dyDescent="0.4">
      <c r="D482" s="85"/>
      <c r="E482" s="66" t="s">
        <v>71</v>
      </c>
      <c r="F482" s="66"/>
      <c r="G482" s="66"/>
      <c r="H482" s="101">
        <v>100</v>
      </c>
      <c r="I482" s="101">
        <v>50</v>
      </c>
      <c r="L482" s="92">
        <v>0</v>
      </c>
      <c r="M482" s="101">
        <v>50</v>
      </c>
      <c r="P482" s="92">
        <v>-50</v>
      </c>
      <c r="Q482" s="101">
        <v>50</v>
      </c>
      <c r="R482" s="72"/>
    </row>
    <row r="483" spans="4:18" ht="18.75" x14ac:dyDescent="0.4">
      <c r="D483" s="85"/>
      <c r="E483" s="66" t="s">
        <v>72</v>
      </c>
      <c r="F483" s="66"/>
      <c r="G483" s="66"/>
      <c r="H483" s="116">
        <v>150</v>
      </c>
      <c r="I483" s="139"/>
      <c r="L483" s="116">
        <v>250</v>
      </c>
      <c r="M483" s="116"/>
      <c r="P483" s="116">
        <v>300</v>
      </c>
      <c r="Q483" s="116"/>
      <c r="R483" s="72"/>
    </row>
    <row r="484" spans="4:18" x14ac:dyDescent="0.4">
      <c r="D484" s="85"/>
      <c r="E484" s="66"/>
      <c r="F484" s="66"/>
      <c r="G484" s="66"/>
      <c r="L484" s="67"/>
      <c r="M484" s="67"/>
      <c r="P484" s="67"/>
      <c r="Q484" s="67"/>
      <c r="R484" s="72"/>
    </row>
    <row r="485" spans="4:18" x14ac:dyDescent="0.4">
      <c r="D485" s="85"/>
      <c r="E485" s="66" t="s">
        <v>73</v>
      </c>
      <c r="F485" s="66"/>
      <c r="G485" s="66"/>
      <c r="L485" s="67"/>
      <c r="M485" s="67"/>
      <c r="P485" s="67"/>
      <c r="Q485" s="67"/>
      <c r="R485" s="72"/>
    </row>
    <row r="486" spans="4:18" x14ac:dyDescent="0.4">
      <c r="D486" s="85"/>
      <c r="E486" s="68" t="s">
        <v>74</v>
      </c>
      <c r="F486" s="68"/>
      <c r="G486" s="66"/>
      <c r="H486" s="67">
        <v>91111</v>
      </c>
      <c r="I486" s="67">
        <v>91220</v>
      </c>
      <c r="L486" s="67">
        <v>91111</v>
      </c>
      <c r="M486" s="67">
        <v>91220</v>
      </c>
      <c r="P486" s="67">
        <v>91111</v>
      </c>
      <c r="Q486" s="67">
        <v>91220</v>
      </c>
      <c r="R486" s="72"/>
    </row>
    <row r="487" spans="4:18" x14ac:dyDescent="0.4">
      <c r="D487" s="85"/>
      <c r="E487" s="68" t="s">
        <v>75</v>
      </c>
      <c r="F487" s="68"/>
      <c r="G487" s="66"/>
      <c r="H487" s="67">
        <v>0</v>
      </c>
      <c r="I487" s="67">
        <v>1</v>
      </c>
      <c r="L487" s="67">
        <v>0</v>
      </c>
      <c r="M487" s="67">
        <v>1</v>
      </c>
      <c r="P487" s="67">
        <v>0</v>
      </c>
      <c r="Q487" s="67">
        <v>1</v>
      </c>
      <c r="R487" s="72"/>
    </row>
    <row r="488" spans="4:18" x14ac:dyDescent="0.4">
      <c r="D488" s="85"/>
      <c r="E488" s="68" t="s">
        <v>76</v>
      </c>
      <c r="F488" s="68"/>
      <c r="G488" s="66"/>
      <c r="H488" s="66" t="s">
        <v>9</v>
      </c>
      <c r="I488" s="66" t="s">
        <v>7</v>
      </c>
      <c r="L488" s="66" t="s">
        <v>9</v>
      </c>
      <c r="M488" s="66" t="s">
        <v>7</v>
      </c>
      <c r="P488" s="66" t="s">
        <v>9</v>
      </c>
      <c r="Q488" s="66" t="s">
        <v>7</v>
      </c>
      <c r="R488" s="72"/>
    </row>
    <row r="489" spans="4:18" ht="27" x14ac:dyDescent="0.4">
      <c r="D489" s="85"/>
      <c r="E489" s="66" t="s">
        <v>71</v>
      </c>
      <c r="F489" s="66"/>
      <c r="G489" s="66"/>
      <c r="H489" s="66" t="s">
        <v>77</v>
      </c>
      <c r="I489" s="66" t="s">
        <v>184</v>
      </c>
      <c r="L489" s="93" t="s">
        <v>79</v>
      </c>
      <c r="M489" s="66" t="s">
        <v>184</v>
      </c>
      <c r="P489" s="94" t="s">
        <v>80</v>
      </c>
      <c r="Q489" s="66" t="s">
        <v>184</v>
      </c>
      <c r="R489" s="72"/>
    </row>
    <row r="490" spans="4:18" x14ac:dyDescent="0.4">
      <c r="D490" s="85"/>
      <c r="E490" s="80" t="s">
        <v>81</v>
      </c>
      <c r="F490" s="80"/>
      <c r="G490" s="66"/>
      <c r="L490" s="67"/>
      <c r="M490" s="67"/>
      <c r="P490" s="67"/>
      <c r="Q490" s="67"/>
      <c r="R490" s="72"/>
    </row>
    <row r="491" spans="4:18" x14ac:dyDescent="0.4">
      <c r="D491" s="85"/>
      <c r="E491" s="80" t="s">
        <v>185</v>
      </c>
      <c r="F491" s="80"/>
      <c r="G491" s="66"/>
      <c r="L491" s="67"/>
      <c r="M491" s="67"/>
      <c r="P491" s="67"/>
      <c r="Q491" s="67"/>
      <c r="R491" s="72"/>
    </row>
    <row r="492" spans="4:18" ht="14.25" thickBot="1" x14ac:dyDescent="0.45">
      <c r="D492" s="86"/>
      <c r="E492" s="74"/>
      <c r="F492" s="74"/>
      <c r="G492" s="74"/>
      <c r="H492" s="74"/>
      <c r="I492" s="74"/>
      <c r="J492" s="75"/>
      <c r="K492" s="75"/>
      <c r="L492" s="75"/>
      <c r="M492" s="75"/>
      <c r="N492" s="75"/>
      <c r="O492" s="75"/>
      <c r="P492" s="75"/>
      <c r="Q492" s="75"/>
      <c r="R492" s="76"/>
    </row>
    <row r="493" spans="4:18" x14ac:dyDescent="0.4">
      <c r="D493" s="81" t="s">
        <v>56</v>
      </c>
      <c r="E493" s="69"/>
      <c r="F493" s="69"/>
      <c r="G493" s="69"/>
      <c r="H493" s="69"/>
      <c r="I493" s="69"/>
      <c r="J493" s="70"/>
      <c r="K493" s="70"/>
      <c r="L493" s="70"/>
      <c r="M493" s="70"/>
      <c r="N493" s="70"/>
      <c r="O493" s="70"/>
      <c r="P493" s="70"/>
      <c r="Q493" s="70"/>
      <c r="R493" s="71"/>
    </row>
    <row r="494" spans="4:18" x14ac:dyDescent="0.4">
      <c r="D494" s="85">
        <v>20</v>
      </c>
      <c r="E494" s="103" t="s">
        <v>186</v>
      </c>
      <c r="F494" s="103"/>
      <c r="G494" s="103"/>
      <c r="R494" s="72"/>
    </row>
    <row r="495" spans="4:18" x14ac:dyDescent="0.4">
      <c r="D495" s="85"/>
      <c r="E495" s="104"/>
      <c r="F495" s="104"/>
      <c r="G495" s="104"/>
      <c r="R495" s="72"/>
    </row>
    <row r="496" spans="4:18" s="38" customFormat="1" x14ac:dyDescent="0.4">
      <c r="D496" s="84"/>
      <c r="E496" s="38" t="s">
        <v>58</v>
      </c>
      <c r="H496" s="67" t="str">
        <f>H498&amp;"円に緊急売価変更設定"</f>
        <v>200円に緊急売価変更設定</v>
      </c>
      <c r="I496" s="67" t="str">
        <f>I498&amp;"円の値引シール【3:金額】"</f>
        <v>200円の値引シール【3:金額】</v>
      </c>
      <c r="L496" s="67" t="str">
        <f>L498&amp;"円に緊急売価変更設定"</f>
        <v>300円に緊急売価変更設定</v>
      </c>
      <c r="M496" s="67" t="str">
        <f>M498&amp;"円の値引シール【3:金額】"</f>
        <v>300円の値引シール【3:金額】</v>
      </c>
      <c r="P496" s="67" t="str">
        <f>P498&amp;"円に緊急売価変更設定"</f>
        <v>350円に緊急売価変更設定</v>
      </c>
      <c r="Q496" s="67" t="str">
        <f>Q498&amp;"円の値引シール【3:金額】"</f>
        <v>350円の値引シール【3:金額】</v>
      </c>
      <c r="R496" s="106"/>
    </row>
    <row r="497" spans="4:18" s="37" customFormat="1" x14ac:dyDescent="0.4">
      <c r="D497" s="84"/>
      <c r="E497" s="90"/>
      <c r="F497" s="90"/>
      <c r="G497" s="65"/>
      <c r="H497" s="38"/>
      <c r="I497" s="38"/>
      <c r="R497" s="73"/>
    </row>
    <row r="498" spans="4:18" x14ac:dyDescent="0.4">
      <c r="D498" s="85"/>
      <c r="E498" s="89" t="s">
        <v>180</v>
      </c>
      <c r="F498" s="89"/>
      <c r="H498" s="67">
        <v>200</v>
      </c>
      <c r="I498" s="67">
        <v>200</v>
      </c>
      <c r="L498" s="67">
        <v>300</v>
      </c>
      <c r="M498" s="67">
        <v>300</v>
      </c>
      <c r="P498" s="67">
        <v>350</v>
      </c>
      <c r="Q498" s="67">
        <v>350</v>
      </c>
      <c r="R498" s="72"/>
    </row>
    <row r="499" spans="4:18" x14ac:dyDescent="0.4">
      <c r="D499" s="85"/>
      <c r="L499" s="67"/>
      <c r="P499" s="67"/>
      <c r="R499" s="72"/>
    </row>
    <row r="500" spans="4:18" ht="13.5" customHeight="1" x14ac:dyDescent="0.4">
      <c r="D500" s="85"/>
      <c r="O500" s="102" t="s">
        <v>164</v>
      </c>
      <c r="P500" s="129" t="s">
        <v>61</v>
      </c>
      <c r="Q500" s="126" t="s">
        <v>187</v>
      </c>
      <c r="R500" s="72"/>
    </row>
    <row r="501" spans="4:18" x14ac:dyDescent="0.4">
      <c r="D501" s="85"/>
      <c r="G501" s="123" t="s">
        <v>63</v>
      </c>
      <c r="H501" s="144" t="s">
        <v>85</v>
      </c>
      <c r="K501" s="123" t="s">
        <v>63</v>
      </c>
      <c r="L501" s="121" t="s">
        <v>188</v>
      </c>
      <c r="M501" s="132" t="s">
        <v>181</v>
      </c>
      <c r="O501" s="123" t="s">
        <v>63</v>
      </c>
      <c r="P501" s="130"/>
      <c r="Q501" s="152"/>
      <c r="R501" s="72"/>
    </row>
    <row r="502" spans="4:18" x14ac:dyDescent="0.4">
      <c r="D502" s="85"/>
      <c r="G502" s="124"/>
      <c r="H502" s="139"/>
      <c r="K502" s="124"/>
      <c r="L502" s="152"/>
      <c r="M502" s="130"/>
      <c r="O502" s="124"/>
      <c r="P502" s="130"/>
      <c r="Q502" s="152"/>
      <c r="R502" s="72"/>
    </row>
    <row r="503" spans="4:18" ht="13.5" customHeight="1" x14ac:dyDescent="0.4">
      <c r="D503" s="85"/>
      <c r="G503" s="124"/>
      <c r="H503" s="145" t="s">
        <v>69</v>
      </c>
      <c r="I503" s="132" t="s">
        <v>189</v>
      </c>
      <c r="K503" s="124"/>
      <c r="L503" s="152"/>
      <c r="M503" s="130"/>
      <c r="O503" s="124"/>
      <c r="P503" s="130"/>
      <c r="Q503" s="152"/>
      <c r="R503" s="72"/>
    </row>
    <row r="504" spans="4:18" x14ac:dyDescent="0.4">
      <c r="D504" s="85"/>
      <c r="G504" s="124"/>
      <c r="H504" s="154"/>
      <c r="I504" s="147"/>
      <c r="K504" s="124"/>
      <c r="L504" s="152"/>
      <c r="M504" s="130"/>
      <c r="O504" s="124"/>
      <c r="P504" s="130"/>
      <c r="Q504" s="152"/>
      <c r="R504" s="72"/>
    </row>
    <row r="505" spans="4:18" x14ac:dyDescent="0.4">
      <c r="D505" s="85"/>
      <c r="G505" s="124"/>
      <c r="H505" s="154"/>
      <c r="I505" s="147"/>
      <c r="K505" s="124"/>
      <c r="L505" s="152"/>
      <c r="M505" s="130"/>
      <c r="O505" s="124"/>
      <c r="P505" s="130"/>
      <c r="Q505" s="152"/>
      <c r="R505" s="72"/>
    </row>
    <row r="506" spans="4:18" x14ac:dyDescent="0.4">
      <c r="D506" s="85"/>
      <c r="G506" s="125"/>
      <c r="H506" s="154"/>
      <c r="I506" s="147"/>
      <c r="K506" s="125"/>
      <c r="L506" s="153"/>
      <c r="M506" s="130"/>
      <c r="O506" s="125"/>
      <c r="P506" s="130"/>
      <c r="Q506" s="153"/>
      <c r="R506" s="72"/>
    </row>
    <row r="507" spans="4:18" x14ac:dyDescent="0.4">
      <c r="D507" s="85"/>
      <c r="E507" s="66" t="s">
        <v>71</v>
      </c>
      <c r="F507" s="66"/>
      <c r="G507" s="66"/>
      <c r="H507" s="101">
        <v>100</v>
      </c>
      <c r="L507" s="92">
        <v>0</v>
      </c>
      <c r="P507" s="92">
        <v>-50</v>
      </c>
      <c r="R507" s="72"/>
    </row>
    <row r="508" spans="4:18" ht="18.75" x14ac:dyDescent="0.4">
      <c r="D508" s="85"/>
      <c r="E508" s="66" t="s">
        <v>72</v>
      </c>
      <c r="F508" s="66"/>
      <c r="G508" s="66"/>
      <c r="H508" s="116">
        <v>200</v>
      </c>
      <c r="I508" s="139"/>
      <c r="L508" s="116">
        <v>300</v>
      </c>
      <c r="M508" s="116"/>
      <c r="P508" s="116">
        <v>350</v>
      </c>
      <c r="Q508" s="116"/>
      <c r="R508" s="72"/>
    </row>
    <row r="509" spans="4:18" x14ac:dyDescent="0.4">
      <c r="D509" s="85"/>
      <c r="E509" s="66"/>
      <c r="F509" s="66"/>
      <c r="G509" s="66"/>
      <c r="L509" s="67"/>
      <c r="M509" s="67"/>
      <c r="P509" s="67"/>
      <c r="Q509" s="67"/>
      <c r="R509" s="72"/>
    </row>
    <row r="510" spans="4:18" x14ac:dyDescent="0.4">
      <c r="D510" s="85"/>
      <c r="E510" s="66" t="s">
        <v>73</v>
      </c>
      <c r="F510" s="66"/>
      <c r="G510" s="66"/>
      <c r="L510" s="67"/>
      <c r="M510" s="67"/>
      <c r="P510" s="67"/>
      <c r="Q510" s="67"/>
      <c r="R510" s="72"/>
    </row>
    <row r="511" spans="4:18" x14ac:dyDescent="0.4">
      <c r="D511" s="85"/>
      <c r="E511" s="68" t="s">
        <v>74</v>
      </c>
      <c r="F511" s="68"/>
      <c r="G511" s="66"/>
      <c r="H511" s="67">
        <v>91111</v>
      </c>
      <c r="I511" s="116" t="s">
        <v>110</v>
      </c>
      <c r="L511" s="67">
        <v>91111</v>
      </c>
      <c r="M511" s="116" t="s">
        <v>110</v>
      </c>
      <c r="P511" s="67">
        <v>91111</v>
      </c>
      <c r="Q511" s="116" t="s">
        <v>110</v>
      </c>
      <c r="R511" s="72"/>
    </row>
    <row r="512" spans="4:18" x14ac:dyDescent="0.4">
      <c r="D512" s="85"/>
      <c r="E512" s="68" t="s">
        <v>75</v>
      </c>
      <c r="F512" s="68"/>
      <c r="G512" s="66"/>
      <c r="H512" s="67">
        <v>0</v>
      </c>
      <c r="I512" s="116"/>
      <c r="L512" s="67">
        <v>0</v>
      </c>
      <c r="M512" s="116"/>
      <c r="P512" s="67">
        <v>0</v>
      </c>
      <c r="Q512" s="116"/>
      <c r="R512" s="72"/>
    </row>
    <row r="513" spans="4:18" x14ac:dyDescent="0.4">
      <c r="D513" s="85"/>
      <c r="E513" s="68" t="s">
        <v>76</v>
      </c>
      <c r="F513" s="68"/>
      <c r="G513" s="66"/>
      <c r="H513" s="66" t="s">
        <v>9</v>
      </c>
      <c r="I513" s="116"/>
      <c r="L513" s="66" t="s">
        <v>9</v>
      </c>
      <c r="M513" s="116"/>
      <c r="P513" s="66" t="s">
        <v>9</v>
      </c>
      <c r="Q513" s="116"/>
      <c r="R513" s="72"/>
    </row>
    <row r="514" spans="4:18" ht="27" x14ac:dyDescent="0.4">
      <c r="D514" s="85"/>
      <c r="E514" s="66" t="s">
        <v>71</v>
      </c>
      <c r="F514" s="66"/>
      <c r="G514" s="66"/>
      <c r="H514" s="66" t="s">
        <v>77</v>
      </c>
      <c r="I514" s="116"/>
      <c r="L514" s="93" t="s">
        <v>79</v>
      </c>
      <c r="M514" s="116"/>
      <c r="P514" s="94" t="s">
        <v>80</v>
      </c>
      <c r="Q514" s="116"/>
      <c r="R514" s="72"/>
    </row>
    <row r="515" spans="4:18" x14ac:dyDescent="0.4">
      <c r="D515" s="85"/>
      <c r="E515" s="80" t="s">
        <v>81</v>
      </c>
      <c r="F515" s="80"/>
      <c r="G515" s="66"/>
      <c r="L515" s="67"/>
      <c r="M515" s="67"/>
      <c r="P515" s="67"/>
      <c r="Q515" s="67"/>
      <c r="R515" s="72"/>
    </row>
    <row r="516" spans="4:18" ht="14.25" thickBot="1" x14ac:dyDescent="0.45">
      <c r="D516" s="86"/>
      <c r="E516" s="74"/>
      <c r="F516" s="74"/>
      <c r="G516" s="74"/>
      <c r="H516" s="74"/>
      <c r="I516" s="74"/>
      <c r="J516" s="75"/>
      <c r="K516" s="75"/>
      <c r="L516" s="75"/>
      <c r="M516" s="75"/>
      <c r="N516" s="75"/>
      <c r="O516" s="75"/>
      <c r="P516" s="75"/>
      <c r="Q516" s="75"/>
      <c r="R516" s="76"/>
    </row>
    <row r="517" spans="4:18" x14ac:dyDescent="0.4">
      <c r="D517" s="81" t="s">
        <v>56</v>
      </c>
      <c r="E517" s="69"/>
      <c r="F517" s="69"/>
      <c r="G517" s="69"/>
      <c r="H517" s="69"/>
      <c r="I517" s="69"/>
      <c r="J517" s="70"/>
      <c r="K517" s="70"/>
      <c r="L517" s="70"/>
      <c r="M517" s="70"/>
      <c r="N517" s="70"/>
      <c r="O517" s="70"/>
      <c r="P517" s="70"/>
      <c r="Q517" s="70"/>
      <c r="R517" s="71"/>
    </row>
    <row r="518" spans="4:18" x14ac:dyDescent="0.4">
      <c r="D518" s="85">
        <v>21</v>
      </c>
      <c r="E518" s="103" t="s">
        <v>190</v>
      </c>
      <c r="F518" s="103"/>
      <c r="G518" s="103"/>
      <c r="R518" s="72"/>
    </row>
    <row r="519" spans="4:18" x14ac:dyDescent="0.4">
      <c r="D519" s="85"/>
      <c r="E519" s="104"/>
      <c r="F519" s="104"/>
      <c r="G519" s="104"/>
      <c r="R519" s="72"/>
    </row>
    <row r="520" spans="4:18" s="38" customFormat="1" ht="18.75" x14ac:dyDescent="0.4">
      <c r="D520" s="84"/>
      <c r="E520" s="38" t="s">
        <v>58</v>
      </c>
      <c r="H520" s="148" t="str">
        <f>H523&amp;"円に緊急売価変更設定"</f>
        <v>200円に緊急売価変更設定</v>
      </c>
      <c r="I520" s="149"/>
      <c r="L520" s="148" t="str">
        <f>L523&amp;"円に緊急売価変更設定"</f>
        <v>250円に緊急売価変更設定</v>
      </c>
      <c r="M520" s="149"/>
      <c r="P520" s="148" t="str">
        <f>P523&amp;"円に緊急売価変更設定"</f>
        <v>300円に緊急売価変更設定</v>
      </c>
      <c r="Q520" s="149"/>
      <c r="R520" s="106"/>
    </row>
    <row r="521" spans="4:18" s="37" customFormat="1" ht="18.75" x14ac:dyDescent="0.4">
      <c r="D521" s="84"/>
      <c r="E521" s="90"/>
      <c r="F521" s="90"/>
      <c r="G521" s="65"/>
      <c r="H521" s="150" t="str">
        <f>I523&amp;"円の値引シール【3:金額】"</f>
        <v>250円の値引シール【3:金額】</v>
      </c>
      <c r="I521" s="151"/>
      <c r="L521" s="150" t="str">
        <f>M523&amp;"円の値引シール【3:金額】"</f>
        <v>300円の値引シール【3:金額】</v>
      </c>
      <c r="M521" s="151"/>
      <c r="P521" s="150" t="str">
        <f>Q523&amp;"円の値引シール【3:金額】"</f>
        <v>350円の値引シール【3:金額】</v>
      </c>
      <c r="Q521" s="151"/>
      <c r="R521" s="73"/>
    </row>
    <row r="522" spans="4:18" s="37" customFormat="1" x14ac:dyDescent="0.4">
      <c r="D522" s="84"/>
      <c r="E522" s="90"/>
      <c r="F522" s="90"/>
      <c r="G522" s="65"/>
      <c r="H522" s="38"/>
      <c r="I522" s="38"/>
      <c r="R522" s="73"/>
    </row>
    <row r="523" spans="4:18" x14ac:dyDescent="0.4">
      <c r="D523" s="85"/>
      <c r="E523" s="89" t="s">
        <v>180</v>
      </c>
      <c r="F523" s="89"/>
      <c r="H523" s="67">
        <v>200</v>
      </c>
      <c r="I523" s="67">
        <v>250</v>
      </c>
      <c r="L523" s="67">
        <v>250</v>
      </c>
      <c r="M523" s="67">
        <v>300</v>
      </c>
      <c r="P523" s="67">
        <v>300</v>
      </c>
      <c r="Q523" s="67">
        <v>350</v>
      </c>
      <c r="R523" s="72"/>
    </row>
    <row r="524" spans="4:18" x14ac:dyDescent="0.4">
      <c r="D524" s="85"/>
      <c r="L524" s="67"/>
      <c r="P524" s="67"/>
      <c r="R524" s="72"/>
    </row>
    <row r="525" spans="4:18" x14ac:dyDescent="0.4">
      <c r="D525" s="85"/>
      <c r="O525" s="102" t="s">
        <v>164</v>
      </c>
      <c r="Q525" s="126" t="s">
        <v>191</v>
      </c>
      <c r="R525" s="72"/>
    </row>
    <row r="526" spans="4:18" x14ac:dyDescent="0.4">
      <c r="D526" s="85"/>
      <c r="G526" s="123" t="s">
        <v>63</v>
      </c>
      <c r="I526" s="102" t="s">
        <v>66</v>
      </c>
      <c r="K526" s="123" t="s">
        <v>63</v>
      </c>
      <c r="M526" s="132" t="s">
        <v>181</v>
      </c>
      <c r="O526" s="123" t="s">
        <v>63</v>
      </c>
      <c r="P526" s="121" t="s">
        <v>192</v>
      </c>
      <c r="Q526" s="152"/>
      <c r="R526" s="72"/>
    </row>
    <row r="527" spans="4:18" x14ac:dyDescent="0.4">
      <c r="D527" s="85"/>
      <c r="G527" s="124"/>
      <c r="I527" s="132" t="s">
        <v>182</v>
      </c>
      <c r="K527" s="124"/>
      <c r="L527" s="121" t="s">
        <v>193</v>
      </c>
      <c r="M527" s="130"/>
      <c r="O527" s="124"/>
      <c r="P527" s="152"/>
      <c r="Q527" s="152"/>
      <c r="R527" s="72"/>
    </row>
    <row r="528" spans="4:18" x14ac:dyDescent="0.4">
      <c r="D528" s="85"/>
      <c r="G528" s="124"/>
      <c r="H528" s="145" t="s">
        <v>194</v>
      </c>
      <c r="I528" s="147"/>
      <c r="K528" s="124"/>
      <c r="L528" s="152"/>
      <c r="M528" s="130"/>
      <c r="O528" s="124"/>
      <c r="P528" s="152"/>
      <c r="Q528" s="152"/>
      <c r="R528" s="72"/>
    </row>
    <row r="529" spans="4:18" x14ac:dyDescent="0.4">
      <c r="D529" s="85"/>
      <c r="G529" s="124"/>
      <c r="H529" s="146"/>
      <c r="I529" s="147"/>
      <c r="K529" s="124"/>
      <c r="L529" s="152"/>
      <c r="M529" s="130"/>
      <c r="O529" s="124"/>
      <c r="P529" s="152"/>
      <c r="Q529" s="152"/>
      <c r="R529" s="72"/>
    </row>
    <row r="530" spans="4:18" x14ac:dyDescent="0.4">
      <c r="D530" s="85"/>
      <c r="G530" s="124"/>
      <c r="H530" s="146"/>
      <c r="I530" s="147"/>
      <c r="K530" s="124"/>
      <c r="L530" s="152"/>
      <c r="M530" s="130"/>
      <c r="O530" s="124"/>
      <c r="P530" s="152"/>
      <c r="Q530" s="152"/>
      <c r="R530" s="72"/>
    </row>
    <row r="531" spans="4:18" x14ac:dyDescent="0.4">
      <c r="D531" s="85"/>
      <c r="G531" s="125"/>
      <c r="H531" s="146"/>
      <c r="I531" s="147"/>
      <c r="K531" s="125"/>
      <c r="L531" s="153"/>
      <c r="M531" s="130"/>
      <c r="O531" s="125"/>
      <c r="P531" s="153"/>
      <c r="Q531" s="153"/>
      <c r="R531" s="72"/>
    </row>
    <row r="532" spans="4:18" x14ac:dyDescent="0.4">
      <c r="D532" s="85"/>
      <c r="E532" s="66" t="s">
        <v>71</v>
      </c>
      <c r="F532" s="66"/>
      <c r="G532" s="66"/>
      <c r="H532" s="101"/>
      <c r="I532" s="101">
        <v>50</v>
      </c>
      <c r="L532" s="3"/>
      <c r="M532" s="92">
        <v>0</v>
      </c>
      <c r="P532" s="3"/>
      <c r="Q532" s="92">
        <v>-50</v>
      </c>
      <c r="R532" s="72"/>
    </row>
    <row r="533" spans="4:18" ht="18.75" x14ac:dyDescent="0.4">
      <c r="D533" s="85"/>
      <c r="E533" s="66" t="s">
        <v>72</v>
      </c>
      <c r="F533" s="66"/>
      <c r="G533" s="66"/>
      <c r="H533" s="116">
        <v>200</v>
      </c>
      <c r="I533" s="139"/>
      <c r="L533" s="116">
        <v>300</v>
      </c>
      <c r="M533" s="116"/>
      <c r="P533" s="116">
        <v>350</v>
      </c>
      <c r="Q533" s="116"/>
      <c r="R533" s="72"/>
    </row>
    <row r="534" spans="4:18" x14ac:dyDescent="0.4">
      <c r="D534" s="85"/>
      <c r="E534" s="66"/>
      <c r="F534" s="66"/>
      <c r="G534" s="66"/>
      <c r="L534" s="67"/>
      <c r="M534" s="67"/>
      <c r="P534" s="67"/>
      <c r="Q534" s="67"/>
      <c r="R534" s="72"/>
    </row>
    <row r="535" spans="4:18" x14ac:dyDescent="0.4">
      <c r="D535" s="85"/>
      <c r="E535" s="66" t="s">
        <v>73</v>
      </c>
      <c r="F535" s="66"/>
      <c r="G535" s="66"/>
      <c r="L535" s="67"/>
      <c r="M535" s="67"/>
      <c r="P535" s="67"/>
      <c r="Q535" s="67"/>
      <c r="R535" s="72"/>
    </row>
    <row r="536" spans="4:18" x14ac:dyDescent="0.4">
      <c r="D536" s="85"/>
      <c r="E536" s="68" t="s">
        <v>74</v>
      </c>
      <c r="F536" s="68"/>
      <c r="G536" s="66"/>
      <c r="H536" s="1"/>
      <c r="I536" s="67">
        <v>91111</v>
      </c>
      <c r="M536" s="67">
        <v>91111</v>
      </c>
      <c r="Q536" s="67">
        <v>91111</v>
      </c>
      <c r="R536" s="72"/>
    </row>
    <row r="537" spans="4:18" x14ac:dyDescent="0.4">
      <c r="D537" s="85"/>
      <c r="E537" s="68" t="s">
        <v>75</v>
      </c>
      <c r="F537" s="68"/>
      <c r="G537" s="66"/>
      <c r="H537" s="1"/>
      <c r="I537" s="67">
        <v>0</v>
      </c>
      <c r="M537" s="67">
        <v>0</v>
      </c>
      <c r="Q537" s="67">
        <v>0</v>
      </c>
      <c r="R537" s="72"/>
    </row>
    <row r="538" spans="4:18" x14ac:dyDescent="0.4">
      <c r="D538" s="85"/>
      <c r="E538" s="68" t="s">
        <v>76</v>
      </c>
      <c r="F538" s="68"/>
      <c r="G538" s="66"/>
      <c r="H538" s="1"/>
      <c r="I538" s="93" t="s">
        <v>9</v>
      </c>
      <c r="M538" s="93" t="s">
        <v>9</v>
      </c>
      <c r="Q538" s="93" t="s">
        <v>9</v>
      </c>
      <c r="R538" s="72"/>
    </row>
    <row r="539" spans="4:18" ht="27" x14ac:dyDescent="0.4">
      <c r="D539" s="85"/>
      <c r="E539" s="66" t="s">
        <v>71</v>
      </c>
      <c r="F539" s="66"/>
      <c r="G539" s="66"/>
      <c r="H539" s="1"/>
      <c r="I539" s="66" t="s">
        <v>195</v>
      </c>
      <c r="M539" s="93" t="s">
        <v>196</v>
      </c>
      <c r="Q539" s="94" t="s">
        <v>80</v>
      </c>
      <c r="R539" s="72"/>
    </row>
    <row r="540" spans="4:18" x14ac:dyDescent="0.4">
      <c r="D540" s="85"/>
      <c r="E540" s="80" t="s">
        <v>81</v>
      </c>
      <c r="F540" s="80"/>
      <c r="G540" s="66"/>
      <c r="L540" s="67"/>
      <c r="M540" s="67"/>
      <c r="P540" s="67"/>
      <c r="Q540" s="67"/>
      <c r="R540" s="72"/>
    </row>
    <row r="541" spans="4:18" x14ac:dyDescent="0.4">
      <c r="D541" s="85"/>
      <c r="E541" s="80" t="s">
        <v>197</v>
      </c>
      <c r="F541" s="80"/>
      <c r="G541" s="66"/>
      <c r="L541" s="67"/>
      <c r="M541" s="67"/>
      <c r="P541" s="67"/>
      <c r="Q541" s="67"/>
      <c r="R541" s="72"/>
    </row>
    <row r="542" spans="4:18" ht="14.25" thickBot="1" x14ac:dyDescent="0.45">
      <c r="D542" s="86"/>
      <c r="E542" s="74"/>
      <c r="F542" s="74"/>
      <c r="G542" s="74"/>
      <c r="H542" s="74"/>
      <c r="I542" s="77"/>
      <c r="J542" s="75"/>
      <c r="K542" s="75"/>
      <c r="L542" s="75"/>
      <c r="M542" s="75"/>
      <c r="N542" s="75"/>
      <c r="O542" s="75"/>
      <c r="P542" s="75"/>
      <c r="Q542" s="75"/>
      <c r="R542" s="76"/>
    </row>
    <row r="543" spans="4:18" x14ac:dyDescent="0.4">
      <c r="D543" s="81" t="s">
        <v>56</v>
      </c>
      <c r="E543" s="69"/>
      <c r="F543" s="69"/>
      <c r="G543" s="69"/>
      <c r="H543" s="69"/>
      <c r="I543" s="69"/>
      <c r="J543" s="70"/>
      <c r="K543" s="70"/>
      <c r="L543" s="70"/>
      <c r="M543" s="70"/>
      <c r="N543" s="70"/>
      <c r="O543" s="70"/>
      <c r="P543" s="70"/>
      <c r="Q543" s="70"/>
      <c r="R543" s="71"/>
    </row>
    <row r="544" spans="4:18" x14ac:dyDescent="0.4">
      <c r="D544" s="82">
        <v>22</v>
      </c>
      <c r="E544" s="103" t="s">
        <v>198</v>
      </c>
      <c r="F544" s="103"/>
      <c r="G544" s="103"/>
      <c r="R544" s="72"/>
    </row>
    <row r="545" spans="4:18" x14ac:dyDescent="0.4">
      <c r="D545" s="83"/>
      <c r="E545" s="103"/>
      <c r="F545" s="103"/>
      <c r="G545" s="103"/>
      <c r="R545" s="72"/>
    </row>
    <row r="546" spans="4:18" s="38" customFormat="1" x14ac:dyDescent="0.4">
      <c r="D546" s="84"/>
      <c r="E546" s="38" t="s">
        <v>58</v>
      </c>
      <c r="H546" s="67" t="str">
        <f>H548&amp;"円に緊急売価変更設定"</f>
        <v>200円に緊急売価変更設定</v>
      </c>
      <c r="I546" s="67" t="str">
        <f>I548&amp;"円のカテゴリ値引"</f>
        <v>50円のカテゴリ値引</v>
      </c>
      <c r="L546" s="67" t="str">
        <f>L548&amp;"円に緊急売価変更設定"</f>
        <v>300円に緊急売価変更設定</v>
      </c>
      <c r="M546" s="67" t="str">
        <f>M548&amp;"円のカテゴリ値引"</f>
        <v>50円のカテゴリ値引</v>
      </c>
      <c r="P546" s="67" t="str">
        <f>P548&amp;"円に緊急売価変更設定"</f>
        <v>350円に緊急売価変更設定</v>
      </c>
      <c r="Q546" s="67" t="str">
        <f>Q548&amp;"円のカテゴリ値引"</f>
        <v>50円のカテゴリ値引</v>
      </c>
      <c r="R546" s="106"/>
    </row>
    <row r="547" spans="4:18" s="37" customFormat="1" x14ac:dyDescent="0.4">
      <c r="D547" s="84"/>
      <c r="E547" s="90"/>
      <c r="F547" s="90"/>
      <c r="G547" s="65"/>
      <c r="H547" s="38"/>
      <c r="I547" s="38"/>
      <c r="R547" s="73"/>
    </row>
    <row r="548" spans="4:18" x14ac:dyDescent="0.4">
      <c r="D548" s="85"/>
      <c r="E548" s="89" t="s">
        <v>199</v>
      </c>
      <c r="F548" s="89"/>
      <c r="H548" s="67">
        <v>200</v>
      </c>
      <c r="I548" s="67">
        <v>50</v>
      </c>
      <c r="L548" s="67">
        <v>300</v>
      </c>
      <c r="M548" s="67">
        <v>50</v>
      </c>
      <c r="P548" s="67">
        <v>350</v>
      </c>
      <c r="Q548" s="67">
        <v>50</v>
      </c>
      <c r="R548" s="72"/>
    </row>
    <row r="549" spans="4:18" x14ac:dyDescent="0.4">
      <c r="D549" s="85"/>
      <c r="L549" s="67"/>
      <c r="M549" s="67"/>
      <c r="P549" s="67"/>
      <c r="Q549" s="67"/>
      <c r="R549" s="72"/>
    </row>
    <row r="550" spans="4:18" x14ac:dyDescent="0.4">
      <c r="D550" s="85"/>
      <c r="L550" s="67"/>
      <c r="M550" s="67"/>
      <c r="O550" s="102" t="s">
        <v>164</v>
      </c>
      <c r="P550" s="129" t="s">
        <v>61</v>
      </c>
      <c r="Q550" s="102" t="s">
        <v>113</v>
      </c>
      <c r="R550" s="72"/>
    </row>
    <row r="551" spans="4:18" x14ac:dyDescent="0.4">
      <c r="D551" s="85"/>
      <c r="G551" s="123" t="s">
        <v>63</v>
      </c>
      <c r="H551" s="144" t="s">
        <v>85</v>
      </c>
      <c r="K551" s="123" t="s">
        <v>63</v>
      </c>
      <c r="L551" s="129" t="s">
        <v>200</v>
      </c>
      <c r="M551" s="102" t="s">
        <v>113</v>
      </c>
      <c r="O551" s="123" t="s">
        <v>63</v>
      </c>
      <c r="P551" s="130"/>
      <c r="Q551" s="132" t="s">
        <v>67</v>
      </c>
      <c r="R551" s="72"/>
    </row>
    <row r="552" spans="4:18" x14ac:dyDescent="0.4">
      <c r="D552" s="85"/>
      <c r="G552" s="124"/>
      <c r="H552" s="139"/>
      <c r="K552" s="124"/>
      <c r="L552" s="130"/>
      <c r="M552" s="132" t="s">
        <v>68</v>
      </c>
      <c r="O552" s="124"/>
      <c r="P552" s="130"/>
      <c r="Q552" s="130"/>
      <c r="R552" s="72"/>
    </row>
    <row r="553" spans="4:18" x14ac:dyDescent="0.4">
      <c r="D553" s="85"/>
      <c r="G553" s="124"/>
      <c r="H553" s="145" t="s">
        <v>194</v>
      </c>
      <c r="I553" s="102" t="s">
        <v>113</v>
      </c>
      <c r="K553" s="124"/>
      <c r="L553" s="130"/>
      <c r="M553" s="130"/>
      <c r="O553" s="124"/>
      <c r="P553" s="130"/>
      <c r="Q553" s="130"/>
      <c r="R553" s="72"/>
    </row>
    <row r="554" spans="4:18" x14ac:dyDescent="0.4">
      <c r="D554" s="85"/>
      <c r="G554" s="124"/>
      <c r="H554" s="146"/>
      <c r="I554" s="132" t="s">
        <v>70</v>
      </c>
      <c r="K554" s="124"/>
      <c r="L554" s="130"/>
      <c r="M554" s="130"/>
      <c r="O554" s="124"/>
      <c r="P554" s="130"/>
      <c r="Q554" s="130"/>
      <c r="R554" s="72"/>
    </row>
    <row r="555" spans="4:18" x14ac:dyDescent="0.4">
      <c r="D555" s="85"/>
      <c r="G555" s="124"/>
      <c r="H555" s="146"/>
      <c r="I555" s="147"/>
      <c r="K555" s="124"/>
      <c r="L555" s="130"/>
      <c r="M555" s="130"/>
      <c r="O555" s="124"/>
      <c r="P555" s="130"/>
      <c r="Q555" s="130"/>
      <c r="R555" s="72"/>
    </row>
    <row r="556" spans="4:18" x14ac:dyDescent="0.4">
      <c r="D556" s="85"/>
      <c r="G556" s="125"/>
      <c r="H556" s="146"/>
      <c r="I556" s="147"/>
      <c r="K556" s="125"/>
      <c r="L556" s="130"/>
      <c r="M556" s="130"/>
      <c r="O556" s="125"/>
      <c r="P556" s="130"/>
      <c r="Q556" s="130"/>
      <c r="R556" s="72"/>
    </row>
    <row r="557" spans="4:18" x14ac:dyDescent="0.4">
      <c r="D557" s="85"/>
      <c r="E557" s="66" t="s">
        <v>71</v>
      </c>
      <c r="F557" s="66"/>
      <c r="G557" s="66"/>
      <c r="H557" s="101">
        <v>100</v>
      </c>
      <c r="I557" s="101">
        <v>50</v>
      </c>
      <c r="L557" s="92">
        <v>0</v>
      </c>
      <c r="M557" s="101">
        <v>50</v>
      </c>
      <c r="P557" s="92">
        <v>-50</v>
      </c>
      <c r="Q557" s="101">
        <v>50</v>
      </c>
      <c r="R557" s="72"/>
    </row>
    <row r="558" spans="4:18" ht="18.75" x14ac:dyDescent="0.4">
      <c r="D558" s="85"/>
      <c r="E558" s="66" t="s">
        <v>72</v>
      </c>
      <c r="F558" s="66"/>
      <c r="G558" s="66"/>
      <c r="H558" s="116">
        <v>150</v>
      </c>
      <c r="I558" s="139"/>
      <c r="L558" s="116">
        <v>250</v>
      </c>
      <c r="M558" s="116"/>
      <c r="P558" s="116">
        <v>300</v>
      </c>
      <c r="Q558" s="116"/>
      <c r="R558" s="72"/>
    </row>
    <row r="559" spans="4:18" x14ac:dyDescent="0.4">
      <c r="D559" s="85"/>
      <c r="E559" s="66"/>
      <c r="F559" s="66"/>
      <c r="G559" s="66"/>
      <c r="L559" s="67"/>
      <c r="M559" s="67"/>
      <c r="P559" s="67"/>
      <c r="Q559" s="67"/>
      <c r="R559" s="72"/>
    </row>
    <row r="560" spans="4:18" x14ac:dyDescent="0.4">
      <c r="D560" s="85"/>
      <c r="E560" s="66" t="s">
        <v>73</v>
      </c>
      <c r="F560" s="66"/>
      <c r="G560" s="66"/>
      <c r="L560" s="67"/>
      <c r="M560" s="67"/>
      <c r="P560" s="67"/>
      <c r="Q560" s="67"/>
      <c r="R560" s="72"/>
    </row>
    <row r="561" spans="4:18" x14ac:dyDescent="0.4">
      <c r="D561" s="85"/>
      <c r="E561" s="68" t="s">
        <v>74</v>
      </c>
      <c r="F561" s="68"/>
      <c r="G561" s="66"/>
      <c r="H561" s="67">
        <v>91111</v>
      </c>
      <c r="I561" s="67">
        <v>91220</v>
      </c>
      <c r="L561" s="67">
        <v>91111</v>
      </c>
      <c r="M561" s="67">
        <v>91220</v>
      </c>
      <c r="P561" s="67">
        <v>91111</v>
      </c>
      <c r="Q561" s="67">
        <v>91220</v>
      </c>
      <c r="R561" s="72"/>
    </row>
    <row r="562" spans="4:18" x14ac:dyDescent="0.4">
      <c r="D562" s="85"/>
      <c r="E562" s="68" t="s">
        <v>75</v>
      </c>
      <c r="F562" s="68"/>
      <c r="G562" s="66"/>
      <c r="H562" s="67">
        <v>0</v>
      </c>
      <c r="I562" s="67">
        <v>1</v>
      </c>
      <c r="L562" s="67">
        <v>0</v>
      </c>
      <c r="M562" s="67">
        <v>1</v>
      </c>
      <c r="P562" s="67">
        <v>0</v>
      </c>
      <c r="Q562" s="67">
        <v>1</v>
      </c>
      <c r="R562" s="72"/>
    </row>
    <row r="563" spans="4:18" x14ac:dyDescent="0.4">
      <c r="D563" s="85"/>
      <c r="E563" s="68" t="s">
        <v>76</v>
      </c>
      <c r="F563" s="68"/>
      <c r="G563" s="66"/>
      <c r="H563" s="66" t="s">
        <v>9</v>
      </c>
      <c r="I563" s="66" t="s">
        <v>198</v>
      </c>
      <c r="L563" s="66" t="s">
        <v>9</v>
      </c>
      <c r="M563" s="66" t="s">
        <v>198</v>
      </c>
      <c r="P563" s="66" t="s">
        <v>9</v>
      </c>
      <c r="Q563" s="66" t="s">
        <v>198</v>
      </c>
      <c r="R563" s="72"/>
    </row>
    <row r="564" spans="4:18" ht="27" x14ac:dyDescent="0.4">
      <c r="D564" s="85"/>
      <c r="E564" s="66" t="s">
        <v>71</v>
      </c>
      <c r="F564" s="66"/>
      <c r="G564" s="66"/>
      <c r="H564" s="66" t="s">
        <v>77</v>
      </c>
      <c r="I564" s="66" t="s">
        <v>201</v>
      </c>
      <c r="L564" s="93" t="s">
        <v>79</v>
      </c>
      <c r="M564" s="66" t="s">
        <v>201</v>
      </c>
      <c r="P564" s="94" t="s">
        <v>80</v>
      </c>
      <c r="Q564" s="66" t="s">
        <v>201</v>
      </c>
      <c r="R564" s="72"/>
    </row>
    <row r="565" spans="4:18" x14ac:dyDescent="0.4">
      <c r="D565" s="85"/>
      <c r="E565" s="80" t="s">
        <v>81</v>
      </c>
      <c r="F565" s="80"/>
      <c r="G565" s="66"/>
      <c r="L565" s="67"/>
      <c r="M565" s="67"/>
      <c r="P565" s="67"/>
      <c r="Q565" s="67"/>
      <c r="R565" s="72"/>
    </row>
    <row r="566" spans="4:18" ht="14.25" thickBot="1" x14ac:dyDescent="0.45">
      <c r="D566" s="86"/>
      <c r="E566" s="74"/>
      <c r="F566" s="74"/>
      <c r="G566" s="74"/>
      <c r="H566" s="74"/>
      <c r="I566" s="74"/>
      <c r="J566" s="75"/>
      <c r="K566" s="75"/>
      <c r="L566" s="75"/>
      <c r="M566" s="75"/>
      <c r="N566" s="75"/>
      <c r="O566" s="75"/>
      <c r="P566" s="75"/>
      <c r="Q566" s="75"/>
      <c r="R566" s="76"/>
    </row>
    <row r="567" spans="4:18" x14ac:dyDescent="0.4">
      <c r="D567" s="81" t="s">
        <v>56</v>
      </c>
      <c r="E567" s="69"/>
      <c r="F567" s="69"/>
      <c r="G567" s="69"/>
      <c r="H567" s="69"/>
      <c r="I567" s="69"/>
      <c r="J567" s="70"/>
      <c r="K567" s="70"/>
      <c r="L567" s="70"/>
      <c r="M567" s="70"/>
      <c r="N567" s="70"/>
      <c r="O567" s="70"/>
      <c r="P567" s="70"/>
      <c r="Q567" s="70"/>
      <c r="R567" s="71"/>
    </row>
    <row r="568" spans="4:18" x14ac:dyDescent="0.4">
      <c r="D568" s="82">
        <v>23</v>
      </c>
      <c r="E568" s="103" t="s">
        <v>202</v>
      </c>
      <c r="F568" s="103"/>
      <c r="G568" s="103"/>
      <c r="R568" s="72"/>
    </row>
    <row r="569" spans="4:18" x14ac:dyDescent="0.4">
      <c r="D569" s="83"/>
      <c r="E569" s="103"/>
      <c r="F569" s="103"/>
      <c r="G569" s="103"/>
      <c r="R569" s="72"/>
    </row>
    <row r="570" spans="4:18" s="38" customFormat="1" x14ac:dyDescent="0.4">
      <c r="D570" s="84"/>
      <c r="E570" s="38" t="s">
        <v>58</v>
      </c>
      <c r="H570" s="67" t="str">
        <f>H572&amp;"円に緊急売価変更設定"</f>
        <v>200円に緊急売価変更設定</v>
      </c>
      <c r="I570" s="67" t="str">
        <f>I572&amp;"％のカテゴリ割引"</f>
        <v>10％のカテゴリ割引</v>
      </c>
      <c r="L570" s="67" t="str">
        <f>L572&amp;"円に緊急売価変更設定"</f>
        <v>300円に緊急売価変更設定</v>
      </c>
      <c r="M570" s="67" t="str">
        <f>M572&amp;"％のカテゴリ割引"</f>
        <v>10％のカテゴリ割引</v>
      </c>
      <c r="P570" s="67" t="str">
        <f>P572&amp;"円に緊急売価変更設定"</f>
        <v>350円に緊急売価変更設定</v>
      </c>
      <c r="Q570" s="67" t="str">
        <f>Q572&amp;"％のカテゴリ割引"</f>
        <v>10％のカテゴリ割引</v>
      </c>
      <c r="R570" s="106"/>
    </row>
    <row r="571" spans="4:18" s="37" customFormat="1" x14ac:dyDescent="0.4">
      <c r="D571" s="84"/>
      <c r="E571" s="90"/>
      <c r="F571" s="90"/>
      <c r="G571" s="65"/>
      <c r="H571" s="38"/>
      <c r="I571" s="38"/>
      <c r="R571" s="73"/>
    </row>
    <row r="572" spans="4:18" x14ac:dyDescent="0.4">
      <c r="D572" s="85"/>
      <c r="E572" s="89" t="s">
        <v>203</v>
      </c>
      <c r="F572" s="89"/>
      <c r="H572" s="67">
        <v>200</v>
      </c>
      <c r="I572" s="67">
        <v>10</v>
      </c>
      <c r="L572" s="67">
        <v>300</v>
      </c>
      <c r="M572" s="67">
        <v>10</v>
      </c>
      <c r="P572" s="67">
        <v>350</v>
      </c>
      <c r="Q572" s="67">
        <v>10</v>
      </c>
      <c r="R572" s="72"/>
    </row>
    <row r="573" spans="4:18" x14ac:dyDescent="0.4">
      <c r="D573" s="85"/>
      <c r="L573" s="67"/>
      <c r="M573" s="67"/>
      <c r="P573" s="67"/>
      <c r="Q573" s="67"/>
      <c r="R573" s="72"/>
    </row>
    <row r="574" spans="4:18" x14ac:dyDescent="0.4">
      <c r="D574" s="85"/>
      <c r="L574" s="67"/>
      <c r="M574" s="67"/>
      <c r="O574" s="102" t="s">
        <v>164</v>
      </c>
      <c r="P574" s="129" t="s">
        <v>61</v>
      </c>
      <c r="Q574" s="102" t="s">
        <v>204</v>
      </c>
      <c r="R574" s="72"/>
    </row>
    <row r="575" spans="4:18" x14ac:dyDescent="0.4">
      <c r="D575" s="85"/>
      <c r="G575" s="123" t="s">
        <v>63</v>
      </c>
      <c r="H575" s="144" t="s">
        <v>85</v>
      </c>
      <c r="K575" s="123" t="s">
        <v>63</v>
      </c>
      <c r="L575" s="129" t="s">
        <v>65</v>
      </c>
      <c r="M575" s="102" t="s">
        <v>205</v>
      </c>
      <c r="O575" s="123" t="s">
        <v>63</v>
      </c>
      <c r="P575" s="130"/>
      <c r="Q575" s="132" t="s">
        <v>87</v>
      </c>
      <c r="R575" s="72"/>
    </row>
    <row r="576" spans="4:18" x14ac:dyDescent="0.4">
      <c r="D576" s="85"/>
      <c r="G576" s="124"/>
      <c r="H576" s="139"/>
      <c r="K576" s="124"/>
      <c r="L576" s="130"/>
      <c r="M576" s="132" t="s">
        <v>88</v>
      </c>
      <c r="O576" s="124"/>
      <c r="P576" s="130"/>
      <c r="Q576" s="130"/>
      <c r="R576" s="72"/>
    </row>
    <row r="577" spans="4:18" x14ac:dyDescent="0.4">
      <c r="D577" s="85"/>
      <c r="G577" s="124"/>
      <c r="H577" s="145" t="s">
        <v>194</v>
      </c>
      <c r="I577" s="102" t="s">
        <v>206</v>
      </c>
      <c r="K577" s="124"/>
      <c r="L577" s="130"/>
      <c r="M577" s="130"/>
      <c r="O577" s="124"/>
      <c r="P577" s="130"/>
      <c r="Q577" s="130"/>
      <c r="R577" s="72"/>
    </row>
    <row r="578" spans="4:18" x14ac:dyDescent="0.4">
      <c r="D578" s="85"/>
      <c r="G578" s="124"/>
      <c r="H578" s="146"/>
      <c r="I578" s="132" t="s">
        <v>90</v>
      </c>
      <c r="K578" s="124"/>
      <c r="L578" s="130"/>
      <c r="M578" s="130"/>
      <c r="O578" s="124"/>
      <c r="P578" s="130"/>
      <c r="Q578" s="130"/>
      <c r="R578" s="72"/>
    </row>
    <row r="579" spans="4:18" x14ac:dyDescent="0.4">
      <c r="D579" s="85"/>
      <c r="G579" s="124"/>
      <c r="H579" s="146"/>
      <c r="I579" s="147"/>
      <c r="K579" s="124"/>
      <c r="L579" s="130"/>
      <c r="M579" s="130"/>
      <c r="O579" s="124"/>
      <c r="P579" s="130"/>
      <c r="Q579" s="130"/>
      <c r="R579" s="72"/>
    </row>
    <row r="580" spans="4:18" x14ac:dyDescent="0.4">
      <c r="D580" s="85"/>
      <c r="G580" s="125"/>
      <c r="H580" s="146"/>
      <c r="I580" s="147"/>
      <c r="K580" s="125"/>
      <c r="L580" s="130"/>
      <c r="M580" s="130"/>
      <c r="O580" s="125"/>
      <c r="P580" s="130"/>
      <c r="Q580" s="130"/>
      <c r="R580" s="72"/>
    </row>
    <row r="581" spans="4:18" x14ac:dyDescent="0.4">
      <c r="D581" s="85"/>
      <c r="E581" s="66" t="s">
        <v>71</v>
      </c>
      <c r="F581" s="66"/>
      <c r="G581" s="66"/>
      <c r="H581" s="101">
        <v>100</v>
      </c>
      <c r="I581" s="101">
        <v>20</v>
      </c>
      <c r="L581" s="92">
        <v>0</v>
      </c>
      <c r="M581" s="101">
        <v>30</v>
      </c>
      <c r="P581" s="92">
        <v>-50</v>
      </c>
      <c r="Q581" s="101">
        <v>35</v>
      </c>
      <c r="R581" s="72"/>
    </row>
    <row r="582" spans="4:18" ht="18.75" x14ac:dyDescent="0.4">
      <c r="D582" s="85"/>
      <c r="E582" s="66" t="s">
        <v>72</v>
      </c>
      <c r="F582" s="66"/>
      <c r="G582" s="66"/>
      <c r="H582" s="116">
        <v>180</v>
      </c>
      <c r="I582" s="139"/>
      <c r="L582" s="116">
        <v>270</v>
      </c>
      <c r="M582" s="116"/>
      <c r="P582" s="116">
        <v>315</v>
      </c>
      <c r="Q582" s="116"/>
      <c r="R582" s="72"/>
    </row>
    <row r="583" spans="4:18" x14ac:dyDescent="0.4">
      <c r="D583" s="85"/>
      <c r="E583" s="66"/>
      <c r="F583" s="66"/>
      <c r="G583" s="66"/>
      <c r="L583" s="67"/>
      <c r="M583" s="67"/>
      <c r="P583" s="67"/>
      <c r="Q583" s="67"/>
      <c r="R583" s="72"/>
    </row>
    <row r="584" spans="4:18" x14ac:dyDescent="0.4">
      <c r="D584" s="85"/>
      <c r="E584" s="66" t="s">
        <v>73</v>
      </c>
      <c r="F584" s="66"/>
      <c r="G584" s="66"/>
      <c r="L584" s="67"/>
      <c r="M584" s="67"/>
      <c r="P584" s="67"/>
      <c r="Q584" s="67"/>
      <c r="R584" s="72"/>
    </row>
    <row r="585" spans="4:18" x14ac:dyDescent="0.4">
      <c r="D585" s="85"/>
      <c r="E585" s="68" t="s">
        <v>74</v>
      </c>
      <c r="F585" s="68"/>
      <c r="G585" s="66"/>
      <c r="H585" s="67">
        <v>91111</v>
      </c>
      <c r="I585" s="67">
        <v>91220</v>
      </c>
      <c r="L585" s="67">
        <v>91111</v>
      </c>
      <c r="M585" s="67">
        <v>91220</v>
      </c>
      <c r="P585" s="67">
        <v>91111</v>
      </c>
      <c r="Q585" s="67">
        <v>91220</v>
      </c>
      <c r="R585" s="72"/>
    </row>
    <row r="586" spans="4:18" x14ac:dyDescent="0.4">
      <c r="D586" s="85"/>
      <c r="E586" s="68" t="s">
        <v>75</v>
      </c>
      <c r="F586" s="68"/>
      <c r="G586" s="66"/>
      <c r="H586" s="67">
        <v>0</v>
      </c>
      <c r="I586" s="67">
        <v>2</v>
      </c>
      <c r="L586" s="67">
        <v>0</v>
      </c>
      <c r="M586" s="67">
        <v>2</v>
      </c>
      <c r="P586" s="67">
        <v>0</v>
      </c>
      <c r="Q586" s="67">
        <v>2</v>
      </c>
      <c r="R586" s="72"/>
    </row>
    <row r="587" spans="4:18" x14ac:dyDescent="0.4">
      <c r="D587" s="85"/>
      <c r="E587" s="68" t="s">
        <v>76</v>
      </c>
      <c r="F587" s="68"/>
      <c r="G587" s="66"/>
      <c r="H587" s="66" t="s">
        <v>9</v>
      </c>
      <c r="I587" s="66" t="s">
        <v>207</v>
      </c>
      <c r="L587" s="66" t="s">
        <v>9</v>
      </c>
      <c r="M587" s="66" t="s">
        <v>207</v>
      </c>
      <c r="P587" s="66" t="s">
        <v>9</v>
      </c>
      <c r="Q587" s="66" t="s">
        <v>207</v>
      </c>
      <c r="R587" s="72"/>
    </row>
    <row r="588" spans="4:18" ht="27" x14ac:dyDescent="0.4">
      <c r="D588" s="85"/>
      <c r="E588" s="66" t="s">
        <v>71</v>
      </c>
      <c r="F588" s="66"/>
      <c r="G588" s="66"/>
      <c r="H588" s="66" t="s">
        <v>77</v>
      </c>
      <c r="I588" s="66" t="s">
        <v>208</v>
      </c>
      <c r="L588" s="93" t="s">
        <v>79</v>
      </c>
      <c r="M588" s="66" t="s">
        <v>209</v>
      </c>
      <c r="P588" s="94" t="s">
        <v>80</v>
      </c>
      <c r="Q588" s="66" t="s">
        <v>210</v>
      </c>
      <c r="R588" s="72"/>
    </row>
    <row r="589" spans="4:18" x14ac:dyDescent="0.4">
      <c r="D589" s="85"/>
      <c r="E589" s="80" t="s">
        <v>81</v>
      </c>
      <c r="F589" s="80"/>
      <c r="G589" s="66"/>
      <c r="L589" s="67"/>
      <c r="M589" s="67"/>
      <c r="P589" s="67"/>
      <c r="Q589" s="67"/>
      <c r="R589" s="72"/>
    </row>
    <row r="590" spans="4:18" ht="14.25" thickBot="1" x14ac:dyDescent="0.45">
      <c r="D590" s="86"/>
      <c r="E590" s="74"/>
      <c r="F590" s="74"/>
      <c r="G590" s="74"/>
      <c r="H590" s="74"/>
      <c r="I590" s="74"/>
      <c r="J590" s="75"/>
      <c r="K590" s="75"/>
      <c r="L590" s="75"/>
      <c r="M590" s="75"/>
      <c r="N590" s="75"/>
      <c r="O590" s="75"/>
      <c r="P590" s="75"/>
      <c r="Q590" s="75"/>
      <c r="R590" s="76"/>
    </row>
    <row r="591" spans="4:18" x14ac:dyDescent="0.4">
      <c r="D591" s="81" t="s">
        <v>56</v>
      </c>
      <c r="E591" s="69"/>
      <c r="F591" s="69"/>
      <c r="G591" s="69"/>
      <c r="H591" s="69"/>
      <c r="I591" s="69"/>
      <c r="J591" s="70"/>
      <c r="K591" s="70"/>
      <c r="L591" s="70"/>
      <c r="M591" s="70"/>
      <c r="N591" s="70"/>
      <c r="O591" s="70"/>
      <c r="P591" s="70"/>
      <c r="Q591" s="70"/>
      <c r="R591" s="71"/>
    </row>
    <row r="592" spans="4:18" x14ac:dyDescent="0.4">
      <c r="D592" s="82">
        <v>24</v>
      </c>
      <c r="E592" s="103" t="s">
        <v>211</v>
      </c>
      <c r="F592" s="103"/>
      <c r="G592" s="103"/>
      <c r="R592" s="72"/>
    </row>
    <row r="593" spans="4:18" x14ac:dyDescent="0.4">
      <c r="D593" s="83"/>
      <c r="E593" s="103"/>
      <c r="F593" s="103"/>
      <c r="G593" s="103"/>
      <c r="R593" s="72"/>
    </row>
    <row r="594" spans="4:18" s="38" customFormat="1" x14ac:dyDescent="0.4">
      <c r="D594" s="84"/>
      <c r="E594" s="38" t="s">
        <v>58</v>
      </c>
      <c r="H594" s="67" t="str">
        <f>H596&amp;"円に緊急売価変更設定"</f>
        <v>200円に緊急売価変更設定</v>
      </c>
      <c r="I594" s="67" t="str">
        <f>I596&amp;"円の小計値引（マニュアル）"</f>
        <v>50円の小計値引（マニュアル）</v>
      </c>
      <c r="L594" s="67" t="str">
        <f>L596&amp;"円に緊急売価変更設定"</f>
        <v>300円に緊急売価変更設定</v>
      </c>
      <c r="M594" s="67" t="str">
        <f>M596&amp;"円の小計値引（マニュアル）"</f>
        <v>50円の小計値引（マニュアル）</v>
      </c>
      <c r="P594" s="67" t="str">
        <f>P596&amp;"円に緊急売価変更設定"</f>
        <v>350円に緊急売価変更設定</v>
      </c>
      <c r="Q594" s="67" t="str">
        <f>Q596&amp;"円の小計値引（マニュアル）"</f>
        <v>50円の小計値引（マニュアル）</v>
      </c>
      <c r="R594" s="106"/>
    </row>
    <row r="595" spans="4:18" s="37" customFormat="1" x14ac:dyDescent="0.4">
      <c r="D595" s="84"/>
      <c r="E595" s="90"/>
      <c r="F595" s="90"/>
      <c r="G595" s="65"/>
      <c r="H595" s="38"/>
      <c r="I595" s="38"/>
      <c r="R595" s="73"/>
    </row>
    <row r="596" spans="4:18" x14ac:dyDescent="0.4">
      <c r="D596" s="85"/>
      <c r="E596" s="89" t="s">
        <v>212</v>
      </c>
      <c r="F596" s="89"/>
      <c r="H596" s="67">
        <v>200</v>
      </c>
      <c r="I596" s="67">
        <v>50</v>
      </c>
      <c r="L596" s="67">
        <v>300</v>
      </c>
      <c r="M596" s="67">
        <v>50</v>
      </c>
      <c r="P596" s="67">
        <v>350</v>
      </c>
      <c r="Q596" s="67">
        <v>50</v>
      </c>
      <c r="R596" s="72"/>
    </row>
    <row r="597" spans="4:18" x14ac:dyDescent="0.4">
      <c r="D597" s="85"/>
      <c r="L597" s="67"/>
      <c r="M597" s="67"/>
      <c r="P597" s="67"/>
      <c r="Q597" s="67"/>
      <c r="R597" s="72"/>
    </row>
    <row r="598" spans="4:18" ht="13.5" customHeight="1" x14ac:dyDescent="0.4">
      <c r="D598" s="85"/>
      <c r="L598" s="67"/>
      <c r="M598" s="67"/>
      <c r="O598" s="102" t="s">
        <v>164</v>
      </c>
      <c r="P598" s="129" t="s">
        <v>61</v>
      </c>
      <c r="Q598" s="102" t="s">
        <v>113</v>
      </c>
      <c r="R598" s="72"/>
    </row>
    <row r="599" spans="4:18" ht="13.5" customHeight="1" x14ac:dyDescent="0.4">
      <c r="D599" s="85"/>
      <c r="G599" s="123" t="s">
        <v>63</v>
      </c>
      <c r="H599" s="144" t="s">
        <v>85</v>
      </c>
      <c r="K599" s="123" t="s">
        <v>63</v>
      </c>
      <c r="L599" s="129" t="s">
        <v>65</v>
      </c>
      <c r="M599" s="102" t="s">
        <v>113</v>
      </c>
      <c r="O599" s="123" t="s">
        <v>63</v>
      </c>
      <c r="P599" s="130"/>
      <c r="Q599" s="132" t="s">
        <v>67</v>
      </c>
      <c r="R599" s="72"/>
    </row>
    <row r="600" spans="4:18" ht="13.5" customHeight="1" x14ac:dyDescent="0.4">
      <c r="D600" s="85"/>
      <c r="G600" s="124"/>
      <c r="H600" s="139"/>
      <c r="K600" s="124"/>
      <c r="L600" s="130"/>
      <c r="M600" s="132" t="s">
        <v>68</v>
      </c>
      <c r="O600" s="124"/>
      <c r="P600" s="130"/>
      <c r="Q600" s="130"/>
      <c r="R600" s="72"/>
    </row>
    <row r="601" spans="4:18" ht="13.5" customHeight="1" x14ac:dyDescent="0.4">
      <c r="D601" s="85"/>
      <c r="G601" s="124"/>
      <c r="H601" s="145" t="s">
        <v>194</v>
      </c>
      <c r="I601" s="102" t="s">
        <v>113</v>
      </c>
      <c r="K601" s="124"/>
      <c r="L601" s="130"/>
      <c r="M601" s="130"/>
      <c r="O601" s="124"/>
      <c r="P601" s="130"/>
      <c r="Q601" s="130"/>
      <c r="R601" s="72"/>
    </row>
    <row r="602" spans="4:18" x14ac:dyDescent="0.4">
      <c r="D602" s="85"/>
      <c r="G602" s="124"/>
      <c r="H602" s="146"/>
      <c r="I602" s="132" t="s">
        <v>70</v>
      </c>
      <c r="K602" s="124"/>
      <c r="L602" s="130"/>
      <c r="M602" s="130"/>
      <c r="O602" s="124"/>
      <c r="P602" s="130"/>
      <c r="Q602" s="130"/>
      <c r="R602" s="72"/>
    </row>
    <row r="603" spans="4:18" x14ac:dyDescent="0.4">
      <c r="D603" s="85"/>
      <c r="G603" s="124"/>
      <c r="H603" s="146"/>
      <c r="I603" s="147"/>
      <c r="K603" s="124"/>
      <c r="L603" s="130"/>
      <c r="M603" s="130"/>
      <c r="O603" s="124"/>
      <c r="P603" s="130"/>
      <c r="Q603" s="130"/>
      <c r="R603" s="72"/>
    </row>
    <row r="604" spans="4:18" x14ac:dyDescent="0.4">
      <c r="D604" s="85"/>
      <c r="G604" s="125"/>
      <c r="H604" s="146"/>
      <c r="I604" s="147"/>
      <c r="K604" s="125"/>
      <c r="L604" s="130"/>
      <c r="M604" s="130"/>
      <c r="O604" s="125"/>
      <c r="P604" s="130"/>
      <c r="Q604" s="130"/>
      <c r="R604" s="72"/>
    </row>
    <row r="605" spans="4:18" x14ac:dyDescent="0.4">
      <c r="D605" s="85"/>
      <c r="E605" s="66" t="s">
        <v>71</v>
      </c>
      <c r="F605" s="66"/>
      <c r="G605" s="66"/>
      <c r="H605" s="101">
        <v>100</v>
      </c>
      <c r="I605" s="101">
        <v>50</v>
      </c>
      <c r="L605" s="92">
        <v>0</v>
      </c>
      <c r="M605" s="101">
        <v>50</v>
      </c>
      <c r="P605" s="92">
        <v>-50</v>
      </c>
      <c r="Q605" s="101">
        <v>50</v>
      </c>
      <c r="R605" s="72"/>
    </row>
    <row r="606" spans="4:18" ht="18.75" x14ac:dyDescent="0.4">
      <c r="D606" s="85"/>
      <c r="E606" s="66" t="s">
        <v>72</v>
      </c>
      <c r="F606" s="66"/>
      <c r="G606" s="66"/>
      <c r="H606" s="116">
        <v>150</v>
      </c>
      <c r="I606" s="139"/>
      <c r="L606" s="116">
        <v>250</v>
      </c>
      <c r="M606" s="116"/>
      <c r="P606" s="116">
        <v>300</v>
      </c>
      <c r="Q606" s="116"/>
      <c r="R606" s="72"/>
    </row>
    <row r="607" spans="4:18" x14ac:dyDescent="0.4">
      <c r="D607" s="85"/>
      <c r="E607" s="66"/>
      <c r="F607" s="66"/>
      <c r="G607" s="66"/>
      <c r="L607" s="67"/>
      <c r="M607" s="67"/>
      <c r="P607" s="67"/>
      <c r="Q607" s="67"/>
      <c r="R607" s="72"/>
    </row>
    <row r="608" spans="4:18" x14ac:dyDescent="0.4">
      <c r="D608" s="85"/>
      <c r="E608" s="66" t="s">
        <v>73</v>
      </c>
      <c r="F608" s="66"/>
      <c r="G608" s="66"/>
      <c r="L608" s="67"/>
      <c r="M608" s="67"/>
      <c r="P608" s="67"/>
      <c r="Q608" s="67"/>
      <c r="R608" s="72"/>
    </row>
    <row r="609" spans="4:18" x14ac:dyDescent="0.4">
      <c r="D609" s="85"/>
      <c r="E609" s="68" t="s">
        <v>74</v>
      </c>
      <c r="F609" s="68"/>
      <c r="G609" s="66"/>
      <c r="H609" s="67">
        <v>91111</v>
      </c>
      <c r="I609" s="67">
        <v>91440</v>
      </c>
      <c r="L609" s="67">
        <v>91111</v>
      </c>
      <c r="M609" s="67">
        <v>91440</v>
      </c>
      <c r="P609" s="67">
        <v>91111</v>
      </c>
      <c r="Q609" s="67">
        <v>91440</v>
      </c>
      <c r="R609" s="72"/>
    </row>
    <row r="610" spans="4:18" x14ac:dyDescent="0.4">
      <c r="D610" s="85"/>
      <c r="E610" s="68" t="s">
        <v>75</v>
      </c>
      <c r="F610" s="68"/>
      <c r="G610" s="66"/>
      <c r="H610" s="67">
        <v>0</v>
      </c>
      <c r="I610" s="67">
        <v>14</v>
      </c>
      <c r="L610" s="67">
        <v>0</v>
      </c>
      <c r="M610" s="67">
        <v>14</v>
      </c>
      <c r="P610" s="67">
        <v>0</v>
      </c>
      <c r="Q610" s="67">
        <v>14</v>
      </c>
      <c r="R610" s="72"/>
    </row>
    <row r="611" spans="4:18" x14ac:dyDescent="0.4">
      <c r="D611" s="85"/>
      <c r="E611" s="68" t="s">
        <v>76</v>
      </c>
      <c r="F611" s="68"/>
      <c r="G611" s="66"/>
      <c r="H611" s="66" t="s">
        <v>9</v>
      </c>
      <c r="I611" s="66" t="s">
        <v>211</v>
      </c>
      <c r="L611" s="66" t="s">
        <v>9</v>
      </c>
      <c r="M611" s="66" t="s">
        <v>211</v>
      </c>
      <c r="P611" s="66" t="s">
        <v>9</v>
      </c>
      <c r="Q611" s="66" t="s">
        <v>211</v>
      </c>
      <c r="R611" s="72"/>
    </row>
    <row r="612" spans="4:18" ht="27" x14ac:dyDescent="0.4">
      <c r="D612" s="85"/>
      <c r="E612" s="66" t="s">
        <v>71</v>
      </c>
      <c r="F612" s="66"/>
      <c r="G612" s="66"/>
      <c r="H612" s="66" t="s">
        <v>77</v>
      </c>
      <c r="I612" s="66" t="s">
        <v>213</v>
      </c>
      <c r="L612" s="93" t="s">
        <v>79</v>
      </c>
      <c r="M612" s="66" t="s">
        <v>213</v>
      </c>
      <c r="P612" s="94" t="s">
        <v>214</v>
      </c>
      <c r="Q612" s="66" t="s">
        <v>213</v>
      </c>
      <c r="R612" s="72"/>
    </row>
    <row r="613" spans="4:18" x14ac:dyDescent="0.4">
      <c r="D613" s="85"/>
      <c r="E613" s="80" t="s">
        <v>81</v>
      </c>
      <c r="F613" s="80"/>
      <c r="G613" s="66"/>
      <c r="L613" s="67"/>
      <c r="M613" s="67"/>
      <c r="P613" s="67"/>
      <c r="Q613" s="67"/>
      <c r="R613" s="72"/>
    </row>
    <row r="614" spans="4:18" x14ac:dyDescent="0.4">
      <c r="D614" s="85"/>
      <c r="E614" s="80" t="s">
        <v>197</v>
      </c>
      <c r="F614" s="80"/>
      <c r="G614" s="66"/>
      <c r="L614" s="67"/>
      <c r="M614" s="67"/>
      <c r="P614" s="67"/>
      <c r="Q614" s="67"/>
      <c r="R614" s="72"/>
    </row>
    <row r="615" spans="4:18" ht="14.25" thickBot="1" x14ac:dyDescent="0.45">
      <c r="D615" s="86"/>
      <c r="E615" s="74"/>
      <c r="F615" s="74"/>
      <c r="G615" s="74"/>
      <c r="H615" s="74"/>
      <c r="I615" s="74"/>
      <c r="J615" s="75"/>
      <c r="K615" s="75"/>
      <c r="L615" s="75"/>
      <c r="M615" s="75"/>
      <c r="N615" s="75"/>
      <c r="O615" s="75"/>
      <c r="P615" s="75"/>
      <c r="Q615" s="75"/>
      <c r="R615" s="76"/>
    </row>
    <row r="616" spans="4:18" x14ac:dyDescent="0.4">
      <c r="D616" s="81" t="s">
        <v>56</v>
      </c>
      <c r="E616" s="69"/>
      <c r="F616" s="69"/>
      <c r="G616" s="69"/>
      <c r="H616" s="69"/>
      <c r="I616" s="69"/>
      <c r="J616" s="70"/>
      <c r="K616" s="70"/>
      <c r="L616" s="70"/>
      <c r="M616" s="70"/>
      <c r="N616" s="70"/>
      <c r="O616" s="70"/>
      <c r="P616" s="70"/>
      <c r="Q616" s="70"/>
      <c r="R616" s="71"/>
    </row>
    <row r="617" spans="4:18" x14ac:dyDescent="0.4">
      <c r="D617" s="82">
        <v>25</v>
      </c>
      <c r="E617" s="103" t="s">
        <v>215</v>
      </c>
      <c r="F617" s="103"/>
      <c r="G617" s="103"/>
      <c r="R617" s="72"/>
    </row>
    <row r="618" spans="4:18" x14ac:dyDescent="0.4">
      <c r="D618" s="83"/>
      <c r="E618" s="103"/>
      <c r="F618" s="103"/>
      <c r="G618" s="103"/>
      <c r="R618" s="72"/>
    </row>
    <row r="619" spans="4:18" s="38" customFormat="1" x14ac:dyDescent="0.4">
      <c r="D619" s="84"/>
      <c r="E619" s="38" t="s">
        <v>58</v>
      </c>
      <c r="H619" s="67" t="str">
        <f>H621&amp;"円に緊急売価変更設定"</f>
        <v>200円に緊急売価変更設定</v>
      </c>
      <c r="I619" s="67" t="str">
        <f>I621&amp;"％の小計割引（マニュアル）"</f>
        <v>10％の小計割引（マニュアル）</v>
      </c>
      <c r="L619" s="67" t="str">
        <f>L621&amp;"円に緊急売価変更設定"</f>
        <v>300円に緊急売価変更設定</v>
      </c>
      <c r="M619" s="67" t="str">
        <f>M621&amp;"％の小計割引（マニュアル）"</f>
        <v>10％の小計割引（マニュアル）</v>
      </c>
      <c r="P619" s="67" t="str">
        <f>P621&amp;"円に緊急売価変更設定"</f>
        <v>350円に緊急売価変更設定</v>
      </c>
      <c r="Q619" s="67" t="str">
        <f>Q621&amp;"％の小計割引（マニュアル）"</f>
        <v>10％の小計割引（マニュアル）</v>
      </c>
      <c r="R619" s="106"/>
    </row>
    <row r="620" spans="4:18" s="37" customFormat="1" x14ac:dyDescent="0.4">
      <c r="D620" s="84"/>
      <c r="E620" s="90"/>
      <c r="F620" s="90"/>
      <c r="G620" s="65"/>
      <c r="H620" s="38"/>
      <c r="I620" s="38"/>
      <c r="R620" s="73"/>
    </row>
    <row r="621" spans="4:18" x14ac:dyDescent="0.4">
      <c r="D621" s="85"/>
      <c r="E621" s="89" t="s">
        <v>216</v>
      </c>
      <c r="F621" s="89"/>
      <c r="H621" s="67">
        <v>200</v>
      </c>
      <c r="I621" s="67">
        <v>10</v>
      </c>
      <c r="L621" s="67">
        <v>300</v>
      </c>
      <c r="M621" s="67">
        <v>10</v>
      </c>
      <c r="P621" s="67">
        <v>350</v>
      </c>
      <c r="Q621" s="67">
        <v>10</v>
      </c>
      <c r="R621" s="72"/>
    </row>
    <row r="622" spans="4:18" x14ac:dyDescent="0.4">
      <c r="D622" s="85"/>
      <c r="L622" s="67"/>
      <c r="M622" s="67"/>
      <c r="P622" s="67"/>
      <c r="Q622" s="67"/>
      <c r="R622" s="72"/>
    </row>
    <row r="623" spans="4:18" ht="13.5" customHeight="1" x14ac:dyDescent="0.4">
      <c r="D623" s="85"/>
      <c r="L623" s="67"/>
      <c r="M623" s="67"/>
      <c r="O623" s="102" t="s">
        <v>164</v>
      </c>
      <c r="P623" s="129" t="s">
        <v>61</v>
      </c>
      <c r="Q623" s="102" t="s">
        <v>204</v>
      </c>
      <c r="R623" s="72"/>
    </row>
    <row r="624" spans="4:18" ht="13.5" customHeight="1" x14ac:dyDescent="0.4">
      <c r="D624" s="85"/>
      <c r="G624" s="123" t="s">
        <v>63</v>
      </c>
      <c r="H624" s="144" t="s">
        <v>85</v>
      </c>
      <c r="K624" s="123" t="s">
        <v>63</v>
      </c>
      <c r="L624" s="129" t="s">
        <v>65</v>
      </c>
      <c r="M624" s="102" t="s">
        <v>205</v>
      </c>
      <c r="O624" s="123" t="s">
        <v>63</v>
      </c>
      <c r="P624" s="130"/>
      <c r="Q624" s="132" t="s">
        <v>87</v>
      </c>
      <c r="R624" s="72"/>
    </row>
    <row r="625" spans="4:18" ht="13.5" customHeight="1" x14ac:dyDescent="0.4">
      <c r="D625" s="85"/>
      <c r="G625" s="124"/>
      <c r="H625" s="139"/>
      <c r="K625" s="124"/>
      <c r="L625" s="130"/>
      <c r="M625" s="132" t="s">
        <v>88</v>
      </c>
      <c r="O625" s="124"/>
      <c r="P625" s="130"/>
      <c r="Q625" s="130"/>
      <c r="R625" s="72"/>
    </row>
    <row r="626" spans="4:18" ht="13.5" customHeight="1" x14ac:dyDescent="0.4">
      <c r="D626" s="85"/>
      <c r="G626" s="124"/>
      <c r="H626" s="145" t="s">
        <v>194</v>
      </c>
      <c r="I626" s="102" t="s">
        <v>206</v>
      </c>
      <c r="K626" s="124"/>
      <c r="L626" s="130"/>
      <c r="M626" s="130"/>
      <c r="O626" s="124"/>
      <c r="P626" s="130"/>
      <c r="Q626" s="130"/>
      <c r="R626" s="72"/>
    </row>
    <row r="627" spans="4:18" x14ac:dyDescent="0.4">
      <c r="D627" s="85"/>
      <c r="G627" s="124"/>
      <c r="H627" s="146"/>
      <c r="I627" s="132" t="s">
        <v>90</v>
      </c>
      <c r="K627" s="124"/>
      <c r="L627" s="130"/>
      <c r="M627" s="130"/>
      <c r="O627" s="124"/>
      <c r="P627" s="130"/>
      <c r="Q627" s="130"/>
      <c r="R627" s="72"/>
    </row>
    <row r="628" spans="4:18" x14ac:dyDescent="0.4">
      <c r="D628" s="85"/>
      <c r="G628" s="124"/>
      <c r="H628" s="146"/>
      <c r="I628" s="147"/>
      <c r="K628" s="124"/>
      <c r="L628" s="130"/>
      <c r="M628" s="130"/>
      <c r="O628" s="124"/>
      <c r="P628" s="130"/>
      <c r="Q628" s="130"/>
      <c r="R628" s="72"/>
    </row>
    <row r="629" spans="4:18" x14ac:dyDescent="0.4">
      <c r="D629" s="85"/>
      <c r="G629" s="125"/>
      <c r="H629" s="146"/>
      <c r="I629" s="147"/>
      <c r="K629" s="125"/>
      <c r="L629" s="130"/>
      <c r="M629" s="130"/>
      <c r="O629" s="125"/>
      <c r="P629" s="130"/>
      <c r="Q629" s="130"/>
      <c r="R629" s="72"/>
    </row>
    <row r="630" spans="4:18" x14ac:dyDescent="0.4">
      <c r="D630" s="85"/>
      <c r="E630" s="66" t="s">
        <v>71</v>
      </c>
      <c r="F630" s="66"/>
      <c r="G630" s="66"/>
      <c r="H630" s="101">
        <v>100</v>
      </c>
      <c r="I630" s="101">
        <v>20</v>
      </c>
      <c r="L630" s="92">
        <v>0</v>
      </c>
      <c r="M630" s="101">
        <v>30</v>
      </c>
      <c r="P630" s="92">
        <v>-50</v>
      </c>
      <c r="Q630" s="101">
        <v>35</v>
      </c>
      <c r="R630" s="72"/>
    </row>
    <row r="631" spans="4:18" ht="18.75" x14ac:dyDescent="0.4">
      <c r="D631" s="85"/>
      <c r="E631" s="66" t="s">
        <v>72</v>
      </c>
      <c r="F631" s="66"/>
      <c r="G631" s="66"/>
      <c r="H631" s="116">
        <v>180</v>
      </c>
      <c r="I631" s="139"/>
      <c r="L631" s="116">
        <v>270</v>
      </c>
      <c r="M631" s="116"/>
      <c r="P631" s="116">
        <v>315</v>
      </c>
      <c r="Q631" s="116"/>
      <c r="R631" s="72"/>
    </row>
    <row r="632" spans="4:18" x14ac:dyDescent="0.4">
      <c r="D632" s="85"/>
      <c r="E632" s="66"/>
      <c r="F632" s="66"/>
      <c r="G632" s="66"/>
      <c r="L632" s="67"/>
      <c r="M632" s="67"/>
      <c r="P632" s="67"/>
      <c r="Q632" s="67"/>
      <c r="R632" s="72"/>
    </row>
    <row r="633" spans="4:18" x14ac:dyDescent="0.4">
      <c r="D633" s="85"/>
      <c r="E633" s="66" t="s">
        <v>73</v>
      </c>
      <c r="F633" s="66"/>
      <c r="G633" s="66"/>
      <c r="L633" s="67"/>
      <c r="M633" s="67"/>
      <c r="P633" s="67"/>
      <c r="Q633" s="67"/>
      <c r="R633" s="72"/>
    </row>
    <row r="634" spans="4:18" x14ac:dyDescent="0.4">
      <c r="D634" s="85"/>
      <c r="E634" s="68" t="s">
        <v>74</v>
      </c>
      <c r="F634" s="68"/>
      <c r="G634" s="66"/>
      <c r="H634" s="67">
        <v>91111</v>
      </c>
      <c r="I634" s="67">
        <v>91440</v>
      </c>
      <c r="L634" s="67">
        <v>91111</v>
      </c>
      <c r="M634" s="67">
        <v>91440</v>
      </c>
      <c r="P634" s="67">
        <v>91111</v>
      </c>
      <c r="Q634" s="67">
        <v>91440</v>
      </c>
      <c r="R634" s="72"/>
    </row>
    <row r="635" spans="4:18" x14ac:dyDescent="0.4">
      <c r="D635" s="85"/>
      <c r="E635" s="68" t="s">
        <v>75</v>
      </c>
      <c r="F635" s="68"/>
      <c r="G635" s="66"/>
      <c r="H635" s="67">
        <v>0</v>
      </c>
      <c r="I635" s="67">
        <v>14</v>
      </c>
      <c r="L635" s="67">
        <v>0</v>
      </c>
      <c r="M635" s="67">
        <v>14</v>
      </c>
      <c r="P635" s="67">
        <v>0</v>
      </c>
      <c r="Q635" s="67">
        <v>14</v>
      </c>
      <c r="R635" s="72"/>
    </row>
    <row r="636" spans="4:18" x14ac:dyDescent="0.4">
      <c r="D636" s="85"/>
      <c r="E636" s="68" t="s">
        <v>76</v>
      </c>
      <c r="F636" s="68"/>
      <c r="G636" s="66"/>
      <c r="H636" s="66" t="s">
        <v>9</v>
      </c>
      <c r="I636" s="66" t="s">
        <v>211</v>
      </c>
      <c r="L636" s="66" t="s">
        <v>9</v>
      </c>
      <c r="M636" s="66" t="s">
        <v>211</v>
      </c>
      <c r="P636" s="66" t="s">
        <v>9</v>
      </c>
      <c r="Q636" s="66" t="s">
        <v>211</v>
      </c>
      <c r="R636" s="72"/>
    </row>
    <row r="637" spans="4:18" ht="27" x14ac:dyDescent="0.4">
      <c r="D637" s="85"/>
      <c r="E637" s="66" t="s">
        <v>71</v>
      </c>
      <c r="F637" s="66"/>
      <c r="G637" s="66"/>
      <c r="H637" s="66" t="s">
        <v>77</v>
      </c>
      <c r="I637" s="66" t="s">
        <v>217</v>
      </c>
      <c r="L637" s="93" t="s">
        <v>79</v>
      </c>
      <c r="M637" s="66" t="s">
        <v>218</v>
      </c>
      <c r="P637" s="94" t="s">
        <v>214</v>
      </c>
      <c r="Q637" s="66" t="s">
        <v>219</v>
      </c>
      <c r="R637" s="72"/>
    </row>
    <row r="638" spans="4:18" x14ac:dyDescent="0.4">
      <c r="D638" s="85"/>
      <c r="E638" s="80" t="s">
        <v>81</v>
      </c>
      <c r="F638" s="80"/>
      <c r="G638" s="66"/>
      <c r="L638" s="67"/>
      <c r="M638" s="67"/>
      <c r="P638" s="67"/>
      <c r="Q638" s="67"/>
      <c r="R638" s="72"/>
    </row>
    <row r="639" spans="4:18" x14ac:dyDescent="0.4">
      <c r="D639" s="85"/>
      <c r="E639" s="80" t="s">
        <v>220</v>
      </c>
      <c r="F639" s="80"/>
      <c r="G639" s="66"/>
      <c r="L639" s="67"/>
      <c r="M639" s="67"/>
      <c r="P639" s="67"/>
      <c r="Q639" s="67"/>
      <c r="R639" s="72"/>
    </row>
    <row r="640" spans="4:18" ht="14.25" thickBot="1" x14ac:dyDescent="0.45">
      <c r="D640" s="86"/>
      <c r="E640" s="74"/>
      <c r="F640" s="74"/>
      <c r="G640" s="74"/>
      <c r="H640" s="74"/>
      <c r="I640" s="74"/>
      <c r="J640" s="75"/>
      <c r="K640" s="75"/>
      <c r="L640" s="75"/>
      <c r="M640" s="75"/>
      <c r="N640" s="75"/>
      <c r="O640" s="75"/>
      <c r="P640" s="75"/>
      <c r="Q640" s="75"/>
      <c r="R640" s="76"/>
    </row>
    <row r="641" spans="4:18" x14ac:dyDescent="0.4">
      <c r="D641" s="81" t="s">
        <v>56</v>
      </c>
      <c r="E641" s="69"/>
      <c r="F641" s="69"/>
      <c r="G641" s="69"/>
      <c r="H641" s="69"/>
      <c r="I641" s="69"/>
      <c r="J641" s="70"/>
      <c r="K641" s="70"/>
      <c r="L641" s="70"/>
      <c r="M641" s="70"/>
      <c r="N641" s="70"/>
      <c r="O641" s="70"/>
      <c r="P641" s="70"/>
      <c r="Q641" s="70"/>
      <c r="R641" s="71"/>
    </row>
    <row r="642" spans="4:18" x14ac:dyDescent="0.4">
      <c r="D642" s="82">
        <v>26</v>
      </c>
      <c r="E642" s="103" t="s">
        <v>221</v>
      </c>
      <c r="F642" s="103"/>
      <c r="G642" s="103"/>
      <c r="R642" s="72"/>
    </row>
    <row r="643" spans="4:18" s="88" customFormat="1" x14ac:dyDescent="0.4">
      <c r="D643" s="83"/>
      <c r="E643" s="103"/>
      <c r="F643" s="103"/>
      <c r="G643" s="103"/>
      <c r="H643" s="67"/>
      <c r="I643" s="67"/>
      <c r="R643" s="99"/>
    </row>
    <row r="644" spans="4:18" s="38" customFormat="1" x14ac:dyDescent="0.4">
      <c r="D644" s="84"/>
      <c r="E644" s="38" t="s">
        <v>58</v>
      </c>
      <c r="H644" s="67" t="str">
        <f>H646&amp;"円に緊急売価変更設定"</f>
        <v>200円に緊急売価変更設定</v>
      </c>
      <c r="I644" s="67" t="str">
        <f>I646&amp;"％の朝割り（自動）"</f>
        <v>10％の朝割り（自動）</v>
      </c>
      <c r="L644" s="67" t="str">
        <f>L646&amp;"円に緊急売価変更設定"</f>
        <v>300円に緊急売価変更設定</v>
      </c>
      <c r="M644" s="67" t="str">
        <f>M646&amp;"％の朝割り（自動）"</f>
        <v>10％の朝割り（自動）</v>
      </c>
      <c r="P644" s="67" t="str">
        <f>P646&amp;"円に緊急売価変更設定"</f>
        <v>350円に緊急売価変更設定</v>
      </c>
      <c r="Q644" s="67" t="str">
        <f>Q646&amp;"％の朝割り（自動）"</f>
        <v>10％の朝割り（自動）</v>
      </c>
      <c r="R644" s="106"/>
    </row>
    <row r="645" spans="4:18" s="37" customFormat="1" x14ac:dyDescent="0.4">
      <c r="D645" s="84"/>
      <c r="E645" s="90"/>
      <c r="F645" s="90"/>
      <c r="G645" s="65"/>
      <c r="H645" s="38"/>
      <c r="I645" s="38"/>
      <c r="R645" s="73"/>
    </row>
    <row r="646" spans="4:18" x14ac:dyDescent="0.4">
      <c r="D646" s="85"/>
      <c r="E646" s="89" t="s">
        <v>222</v>
      </c>
      <c r="F646" s="89"/>
      <c r="H646" s="67">
        <v>200</v>
      </c>
      <c r="I646" s="67">
        <v>10</v>
      </c>
      <c r="L646" s="67">
        <v>300</v>
      </c>
      <c r="M646" s="67">
        <v>10</v>
      </c>
      <c r="P646" s="67">
        <v>350</v>
      </c>
      <c r="Q646" s="67">
        <v>10</v>
      </c>
      <c r="R646" s="72"/>
    </row>
    <row r="647" spans="4:18" x14ac:dyDescent="0.4">
      <c r="D647" s="85"/>
      <c r="L647" s="67"/>
      <c r="M647" s="67"/>
      <c r="P647" s="67"/>
      <c r="Q647" s="67"/>
      <c r="R647" s="72"/>
    </row>
    <row r="648" spans="4:18" ht="13.5" customHeight="1" x14ac:dyDescent="0.4">
      <c r="D648" s="85"/>
      <c r="L648" s="67"/>
      <c r="M648" s="67"/>
      <c r="O648" s="102" t="s">
        <v>164</v>
      </c>
      <c r="P648" s="129" t="s">
        <v>61</v>
      </c>
      <c r="Q648" s="102" t="s">
        <v>204</v>
      </c>
      <c r="R648" s="72"/>
    </row>
    <row r="649" spans="4:18" ht="13.5" customHeight="1" x14ac:dyDescent="0.4">
      <c r="D649" s="85"/>
      <c r="G649" s="123" t="s">
        <v>223</v>
      </c>
      <c r="H649" s="144" t="s">
        <v>85</v>
      </c>
      <c r="K649" s="123" t="s">
        <v>63</v>
      </c>
      <c r="L649" s="129" t="s">
        <v>65</v>
      </c>
      <c r="M649" s="102" t="s">
        <v>205</v>
      </c>
      <c r="O649" s="123" t="s">
        <v>63</v>
      </c>
      <c r="P649" s="130"/>
      <c r="Q649" s="132" t="s">
        <v>87</v>
      </c>
      <c r="R649" s="72"/>
    </row>
    <row r="650" spans="4:18" ht="13.5" customHeight="1" x14ac:dyDescent="0.4">
      <c r="D650" s="85"/>
      <c r="G650" s="142"/>
      <c r="H650" s="139"/>
      <c r="K650" s="124"/>
      <c r="L650" s="130"/>
      <c r="M650" s="132" t="s">
        <v>88</v>
      </c>
      <c r="O650" s="124"/>
      <c r="P650" s="130"/>
      <c r="Q650" s="130"/>
      <c r="R650" s="72"/>
    </row>
    <row r="651" spans="4:18" ht="13.5" customHeight="1" x14ac:dyDescent="0.4">
      <c r="D651" s="85"/>
      <c r="G651" s="142"/>
      <c r="H651" s="145" t="s">
        <v>194</v>
      </c>
      <c r="I651" s="102" t="s">
        <v>206</v>
      </c>
      <c r="K651" s="124"/>
      <c r="L651" s="130"/>
      <c r="M651" s="130"/>
      <c r="O651" s="124"/>
      <c r="P651" s="130"/>
      <c r="Q651" s="130"/>
      <c r="R651" s="72"/>
    </row>
    <row r="652" spans="4:18" x14ac:dyDescent="0.4">
      <c r="D652" s="85"/>
      <c r="G652" s="142"/>
      <c r="H652" s="146"/>
      <c r="I652" s="132" t="s">
        <v>90</v>
      </c>
      <c r="K652" s="124"/>
      <c r="L652" s="130"/>
      <c r="M652" s="130"/>
      <c r="O652" s="124"/>
      <c r="P652" s="130"/>
      <c r="Q652" s="130"/>
      <c r="R652" s="72"/>
    </row>
    <row r="653" spans="4:18" x14ac:dyDescent="0.4">
      <c r="D653" s="85"/>
      <c r="G653" s="142"/>
      <c r="H653" s="146"/>
      <c r="I653" s="147"/>
      <c r="K653" s="124"/>
      <c r="L653" s="130"/>
      <c r="M653" s="130"/>
      <c r="O653" s="124"/>
      <c r="P653" s="130"/>
      <c r="Q653" s="130"/>
      <c r="R653" s="72"/>
    </row>
    <row r="654" spans="4:18" x14ac:dyDescent="0.4">
      <c r="D654" s="85"/>
      <c r="G654" s="143"/>
      <c r="H654" s="146"/>
      <c r="I654" s="147"/>
      <c r="K654" s="125"/>
      <c r="L654" s="130"/>
      <c r="M654" s="130"/>
      <c r="O654" s="125"/>
      <c r="P654" s="130"/>
      <c r="Q654" s="130"/>
      <c r="R654" s="72"/>
    </row>
    <row r="655" spans="4:18" x14ac:dyDescent="0.4">
      <c r="D655" s="85"/>
      <c r="E655" s="66" t="s">
        <v>71</v>
      </c>
      <c r="F655" s="66"/>
      <c r="G655" s="66"/>
      <c r="H655" s="101">
        <v>100</v>
      </c>
      <c r="I655" s="101">
        <v>20</v>
      </c>
      <c r="L655" s="92">
        <v>0</v>
      </c>
      <c r="M655" s="101">
        <v>30</v>
      </c>
      <c r="P655" s="92">
        <v>-50</v>
      </c>
      <c r="Q655" s="101">
        <v>35</v>
      </c>
      <c r="R655" s="72"/>
    </row>
    <row r="656" spans="4:18" ht="18.75" x14ac:dyDescent="0.4">
      <c r="D656" s="85"/>
      <c r="E656" s="66" t="s">
        <v>72</v>
      </c>
      <c r="F656" s="66"/>
      <c r="G656" s="66"/>
      <c r="H656" s="116">
        <v>180</v>
      </c>
      <c r="I656" s="139"/>
      <c r="L656" s="116">
        <v>270</v>
      </c>
      <c r="M656" s="116"/>
      <c r="P656" s="116">
        <v>315</v>
      </c>
      <c r="Q656" s="116"/>
      <c r="R656" s="72"/>
    </row>
    <row r="657" spans="4:18" x14ac:dyDescent="0.4">
      <c r="D657" s="85"/>
      <c r="E657" s="66"/>
      <c r="F657" s="66"/>
      <c r="G657" s="66"/>
      <c r="L657" s="67"/>
      <c r="M657" s="67"/>
      <c r="P657" s="67"/>
      <c r="Q657" s="67"/>
      <c r="R657" s="72"/>
    </row>
    <row r="658" spans="4:18" x14ac:dyDescent="0.4">
      <c r="D658" s="85"/>
      <c r="E658" s="66" t="s">
        <v>73</v>
      </c>
      <c r="F658" s="66"/>
      <c r="G658" s="66"/>
      <c r="L658" s="67"/>
      <c r="M658" s="67"/>
      <c r="P658" s="67"/>
      <c r="Q658" s="67"/>
      <c r="R658" s="72"/>
    </row>
    <row r="659" spans="4:18" x14ac:dyDescent="0.4">
      <c r="D659" s="85"/>
      <c r="E659" s="68" t="s">
        <v>74</v>
      </c>
      <c r="F659" s="68"/>
      <c r="G659" s="66"/>
      <c r="H659" s="67">
        <v>91111</v>
      </c>
      <c r="I659" s="67">
        <v>91440</v>
      </c>
      <c r="L659" s="67">
        <v>91111</v>
      </c>
      <c r="M659" s="67">
        <v>91440</v>
      </c>
      <c r="P659" s="67">
        <v>91111</v>
      </c>
      <c r="Q659" s="67">
        <v>91440</v>
      </c>
      <c r="R659" s="72"/>
    </row>
    <row r="660" spans="4:18" x14ac:dyDescent="0.4">
      <c r="D660" s="85"/>
      <c r="E660" s="68" t="s">
        <v>75</v>
      </c>
      <c r="F660" s="68"/>
      <c r="G660" s="66"/>
      <c r="H660" s="67">
        <v>0</v>
      </c>
      <c r="I660" s="67">
        <v>14</v>
      </c>
      <c r="L660" s="67">
        <v>0</v>
      </c>
      <c r="M660" s="67">
        <v>14</v>
      </c>
      <c r="P660" s="67">
        <v>0</v>
      </c>
      <c r="Q660" s="67">
        <v>14</v>
      </c>
      <c r="R660" s="72"/>
    </row>
    <row r="661" spans="4:18" x14ac:dyDescent="0.4">
      <c r="D661" s="85"/>
      <c r="E661" s="68" t="s">
        <v>76</v>
      </c>
      <c r="F661" s="68"/>
      <c r="G661" s="66"/>
      <c r="H661" s="66" t="s">
        <v>9</v>
      </c>
      <c r="I661" s="66" t="s">
        <v>211</v>
      </c>
      <c r="L661" s="66" t="s">
        <v>9</v>
      </c>
      <c r="M661" s="66" t="s">
        <v>211</v>
      </c>
      <c r="P661" s="66" t="s">
        <v>9</v>
      </c>
      <c r="Q661" s="66" t="s">
        <v>211</v>
      </c>
      <c r="R661" s="72"/>
    </row>
    <row r="662" spans="4:18" ht="27" x14ac:dyDescent="0.4">
      <c r="D662" s="85"/>
      <c r="E662" s="66" t="s">
        <v>71</v>
      </c>
      <c r="F662" s="66"/>
      <c r="G662" s="66"/>
      <c r="H662" s="66" t="s">
        <v>77</v>
      </c>
      <c r="I662" s="66" t="s">
        <v>224</v>
      </c>
      <c r="L662" s="93" t="s">
        <v>79</v>
      </c>
      <c r="M662" s="66" t="s">
        <v>225</v>
      </c>
      <c r="P662" s="94" t="s">
        <v>214</v>
      </c>
      <c r="Q662" s="66" t="s">
        <v>226</v>
      </c>
      <c r="R662" s="72"/>
    </row>
    <row r="663" spans="4:18" x14ac:dyDescent="0.4">
      <c r="D663" s="85"/>
      <c r="E663" s="80" t="s">
        <v>81</v>
      </c>
      <c r="F663" s="80"/>
      <c r="G663" s="66"/>
      <c r="L663" s="67"/>
      <c r="M663" s="67"/>
      <c r="P663" s="67"/>
      <c r="Q663" s="67"/>
      <c r="R663" s="72"/>
    </row>
    <row r="664" spans="4:18" x14ac:dyDescent="0.4">
      <c r="D664" s="85"/>
      <c r="E664" s="80" t="s">
        <v>227</v>
      </c>
      <c r="F664" s="80"/>
      <c r="G664" s="66"/>
      <c r="L664" s="67"/>
      <c r="M664" s="67"/>
      <c r="P664" s="67"/>
      <c r="Q664" s="67"/>
      <c r="R664" s="72"/>
    </row>
    <row r="665" spans="4:18" ht="14.25" thickBot="1" x14ac:dyDescent="0.45">
      <c r="D665" s="86"/>
      <c r="E665" s="74"/>
      <c r="F665" s="74"/>
      <c r="G665" s="74"/>
      <c r="H665" s="74"/>
      <c r="I665" s="74"/>
      <c r="J665" s="75"/>
      <c r="K665" s="75"/>
      <c r="L665" s="75"/>
      <c r="M665" s="75"/>
      <c r="N665" s="75"/>
      <c r="O665" s="75"/>
      <c r="P665" s="75"/>
      <c r="Q665" s="75"/>
      <c r="R665" s="76"/>
    </row>
    <row r="666" spans="4:18" x14ac:dyDescent="0.4">
      <c r="D666" s="81" t="s">
        <v>56</v>
      </c>
      <c r="E666" s="69"/>
      <c r="F666" s="69"/>
      <c r="G666" s="69"/>
      <c r="H666" s="69"/>
      <c r="I666" s="69"/>
      <c r="J666" s="70"/>
      <c r="K666" s="70"/>
      <c r="L666" s="70"/>
      <c r="M666" s="70"/>
      <c r="N666" s="70"/>
      <c r="O666" s="70"/>
      <c r="P666" s="70"/>
      <c r="Q666" s="70"/>
      <c r="R666" s="71"/>
    </row>
    <row r="667" spans="4:18" x14ac:dyDescent="0.4">
      <c r="D667" s="82">
        <v>27</v>
      </c>
      <c r="E667" s="103" t="s">
        <v>228</v>
      </c>
      <c r="F667" s="103"/>
      <c r="G667" s="103"/>
      <c r="R667" s="72"/>
    </row>
    <row r="668" spans="4:18" x14ac:dyDescent="0.4">
      <c r="D668" s="83"/>
      <c r="E668" s="103"/>
      <c r="F668" s="103"/>
      <c r="G668" s="103"/>
      <c r="R668" s="72"/>
    </row>
    <row r="669" spans="4:18" s="38" customFormat="1" x14ac:dyDescent="0.4">
      <c r="D669" s="84"/>
      <c r="E669" s="38" t="s">
        <v>58</v>
      </c>
      <c r="H669" s="67" t="str">
        <f>H671&amp;"円に緊急売価変更設定"</f>
        <v>200円に緊急売価変更設定</v>
      </c>
      <c r="I669" s="67" t="str">
        <f>I671&amp;"％のメガ割（自動）"</f>
        <v>10％のメガ割（自動）</v>
      </c>
      <c r="L669" s="67" t="str">
        <f>L671&amp;"円に緊急売価変更設定"</f>
        <v>300円に緊急売価変更設定</v>
      </c>
      <c r="M669" s="67" t="str">
        <f>M671&amp;"％のメガ割（自動）"</f>
        <v>10％のメガ割（自動）</v>
      </c>
      <c r="P669" s="67" t="str">
        <f>P671&amp;"円に緊急売価変更設定"</f>
        <v>350円に緊急売価変更設定</v>
      </c>
      <c r="Q669" s="67" t="str">
        <f>Q671&amp;"％のメガ割（自動）"</f>
        <v>10％のメガ割（自動）</v>
      </c>
      <c r="R669" s="106"/>
    </row>
    <row r="670" spans="4:18" s="37" customFormat="1" x14ac:dyDescent="0.4">
      <c r="D670" s="84"/>
      <c r="E670" s="90"/>
      <c r="F670" s="90"/>
      <c r="G670" s="65"/>
      <c r="H670" s="38"/>
      <c r="I670" s="38"/>
      <c r="R670" s="73"/>
    </row>
    <row r="671" spans="4:18" x14ac:dyDescent="0.4">
      <c r="D671" s="85"/>
      <c r="E671" s="89" t="s">
        <v>229</v>
      </c>
      <c r="F671" s="89"/>
      <c r="H671" s="67">
        <v>200</v>
      </c>
      <c r="I671" s="67">
        <v>10</v>
      </c>
      <c r="L671" s="67">
        <v>300</v>
      </c>
      <c r="M671" s="67">
        <v>10</v>
      </c>
      <c r="P671" s="67">
        <v>350</v>
      </c>
      <c r="Q671" s="67">
        <v>10</v>
      </c>
      <c r="R671" s="72"/>
    </row>
    <row r="672" spans="4:18" x14ac:dyDescent="0.4">
      <c r="D672" s="85"/>
      <c r="L672" s="67"/>
      <c r="M672" s="67"/>
      <c r="P672" s="67"/>
      <c r="Q672" s="67"/>
      <c r="R672" s="72"/>
    </row>
    <row r="673" spans="4:18" ht="13.5" customHeight="1" x14ac:dyDescent="0.4">
      <c r="D673" s="85"/>
      <c r="L673" s="67"/>
      <c r="M673" s="67"/>
      <c r="O673" s="102" t="s">
        <v>164</v>
      </c>
      <c r="P673" s="129" t="s">
        <v>61</v>
      </c>
      <c r="Q673" s="102" t="s">
        <v>204</v>
      </c>
      <c r="R673" s="72"/>
    </row>
    <row r="674" spans="4:18" ht="13.5" customHeight="1" x14ac:dyDescent="0.4">
      <c r="D674" s="85"/>
      <c r="G674" s="123" t="s">
        <v>223</v>
      </c>
      <c r="H674" s="144" t="s">
        <v>85</v>
      </c>
      <c r="K674" s="123" t="s">
        <v>63</v>
      </c>
      <c r="L674" s="129" t="s">
        <v>65</v>
      </c>
      <c r="M674" s="102" t="s">
        <v>205</v>
      </c>
      <c r="O674" s="123" t="s">
        <v>63</v>
      </c>
      <c r="P674" s="130"/>
      <c r="Q674" s="132" t="s">
        <v>87</v>
      </c>
      <c r="R674" s="72"/>
    </row>
    <row r="675" spans="4:18" ht="13.5" customHeight="1" x14ac:dyDescent="0.4">
      <c r="D675" s="85"/>
      <c r="G675" s="142"/>
      <c r="H675" s="139"/>
      <c r="K675" s="124"/>
      <c r="L675" s="130"/>
      <c r="M675" s="132" t="s">
        <v>88</v>
      </c>
      <c r="O675" s="124"/>
      <c r="P675" s="130"/>
      <c r="Q675" s="130"/>
      <c r="R675" s="72"/>
    </row>
    <row r="676" spans="4:18" ht="13.5" customHeight="1" x14ac:dyDescent="0.4">
      <c r="D676" s="85"/>
      <c r="G676" s="142"/>
      <c r="H676" s="145" t="s">
        <v>194</v>
      </c>
      <c r="I676" s="102" t="s">
        <v>206</v>
      </c>
      <c r="K676" s="124"/>
      <c r="L676" s="130"/>
      <c r="M676" s="130"/>
      <c r="O676" s="124"/>
      <c r="P676" s="130"/>
      <c r="Q676" s="130"/>
      <c r="R676" s="72"/>
    </row>
    <row r="677" spans="4:18" x14ac:dyDescent="0.4">
      <c r="D677" s="85"/>
      <c r="G677" s="142"/>
      <c r="H677" s="146"/>
      <c r="I677" s="132" t="s">
        <v>90</v>
      </c>
      <c r="K677" s="124"/>
      <c r="L677" s="130"/>
      <c r="M677" s="130"/>
      <c r="O677" s="124"/>
      <c r="P677" s="130"/>
      <c r="Q677" s="130"/>
      <c r="R677" s="72"/>
    </row>
    <row r="678" spans="4:18" x14ac:dyDescent="0.4">
      <c r="D678" s="85"/>
      <c r="G678" s="142"/>
      <c r="H678" s="146"/>
      <c r="I678" s="147"/>
      <c r="K678" s="124"/>
      <c r="L678" s="130"/>
      <c r="M678" s="130"/>
      <c r="O678" s="124"/>
      <c r="P678" s="130"/>
      <c r="Q678" s="130"/>
      <c r="R678" s="72"/>
    </row>
    <row r="679" spans="4:18" x14ac:dyDescent="0.4">
      <c r="D679" s="85"/>
      <c r="G679" s="143"/>
      <c r="H679" s="146"/>
      <c r="I679" s="147"/>
      <c r="K679" s="125"/>
      <c r="L679" s="130"/>
      <c r="M679" s="130"/>
      <c r="O679" s="125"/>
      <c r="P679" s="130"/>
      <c r="Q679" s="130"/>
      <c r="R679" s="72"/>
    </row>
    <row r="680" spans="4:18" x14ac:dyDescent="0.4">
      <c r="D680" s="85"/>
      <c r="E680" s="66" t="s">
        <v>71</v>
      </c>
      <c r="F680" s="66"/>
      <c r="G680" s="66"/>
      <c r="H680" s="101">
        <v>100</v>
      </c>
      <c r="I680" s="101">
        <v>20</v>
      </c>
      <c r="L680" s="92">
        <v>0</v>
      </c>
      <c r="M680" s="101">
        <v>30</v>
      </c>
      <c r="P680" s="92">
        <v>-50</v>
      </c>
      <c r="Q680" s="101">
        <v>35</v>
      </c>
      <c r="R680" s="72"/>
    </row>
    <row r="681" spans="4:18" ht="18.75" x14ac:dyDescent="0.4">
      <c r="D681" s="85"/>
      <c r="E681" s="66" t="s">
        <v>72</v>
      </c>
      <c r="F681" s="66"/>
      <c r="G681" s="66"/>
      <c r="H681" s="116">
        <v>180</v>
      </c>
      <c r="I681" s="139"/>
      <c r="L681" s="116">
        <v>270</v>
      </c>
      <c r="M681" s="116"/>
      <c r="P681" s="140">
        <v>315</v>
      </c>
      <c r="Q681" s="141"/>
      <c r="R681" s="72"/>
    </row>
    <row r="682" spans="4:18" x14ac:dyDescent="0.4">
      <c r="D682" s="85"/>
      <c r="E682" s="66"/>
      <c r="F682" s="66"/>
      <c r="G682" s="66"/>
      <c r="L682" s="67"/>
      <c r="M682" s="67"/>
      <c r="P682" s="67"/>
      <c r="Q682" s="67"/>
      <c r="R682" s="72"/>
    </row>
    <row r="683" spans="4:18" x14ac:dyDescent="0.4">
      <c r="D683" s="85"/>
      <c r="E683" s="66" t="s">
        <v>73</v>
      </c>
      <c r="F683" s="66"/>
      <c r="G683" s="66"/>
      <c r="L683" s="67"/>
      <c r="M683" s="67"/>
      <c r="P683" s="67"/>
      <c r="Q683" s="67"/>
      <c r="R683" s="72"/>
    </row>
    <row r="684" spans="4:18" x14ac:dyDescent="0.4">
      <c r="D684" s="85"/>
      <c r="E684" s="68" t="s">
        <v>74</v>
      </c>
      <c r="F684" s="68"/>
      <c r="G684" s="66"/>
      <c r="H684" s="67">
        <v>91111</v>
      </c>
      <c r="I684" s="67">
        <v>91440</v>
      </c>
      <c r="L684" s="67">
        <v>91111</v>
      </c>
      <c r="M684" s="67">
        <v>91440</v>
      </c>
      <c r="P684" s="67">
        <v>91111</v>
      </c>
      <c r="Q684" s="67">
        <v>91440</v>
      </c>
      <c r="R684" s="72"/>
    </row>
    <row r="685" spans="4:18" x14ac:dyDescent="0.4">
      <c r="D685" s="85"/>
      <c r="E685" s="68" t="s">
        <v>75</v>
      </c>
      <c r="F685" s="68"/>
      <c r="G685" s="66"/>
      <c r="H685" s="67">
        <v>0</v>
      </c>
      <c r="I685" s="67">
        <v>14</v>
      </c>
      <c r="L685" s="67">
        <v>0</v>
      </c>
      <c r="M685" s="67">
        <v>14</v>
      </c>
      <c r="P685" s="67">
        <v>0</v>
      </c>
      <c r="Q685" s="67">
        <v>14</v>
      </c>
      <c r="R685" s="72"/>
    </row>
    <row r="686" spans="4:18" x14ac:dyDescent="0.4">
      <c r="D686" s="85"/>
      <c r="E686" s="68" t="s">
        <v>76</v>
      </c>
      <c r="F686" s="68"/>
      <c r="G686" s="66"/>
      <c r="H686" s="66" t="s">
        <v>9</v>
      </c>
      <c r="I686" s="66" t="s">
        <v>211</v>
      </c>
      <c r="L686" s="66" t="s">
        <v>9</v>
      </c>
      <c r="M686" s="66" t="s">
        <v>211</v>
      </c>
      <c r="P686" s="66" t="s">
        <v>9</v>
      </c>
      <c r="Q686" s="66" t="s">
        <v>211</v>
      </c>
      <c r="R686" s="72"/>
    </row>
    <row r="687" spans="4:18" ht="27" x14ac:dyDescent="0.4">
      <c r="D687" s="85"/>
      <c r="E687" s="66" t="s">
        <v>71</v>
      </c>
      <c r="F687" s="66"/>
      <c r="G687" s="66"/>
      <c r="H687" s="66" t="s">
        <v>77</v>
      </c>
      <c r="I687" s="66" t="s">
        <v>230</v>
      </c>
      <c r="L687" s="93" t="s">
        <v>79</v>
      </c>
      <c r="M687" s="66" t="s">
        <v>231</v>
      </c>
      <c r="P687" s="94" t="s">
        <v>214</v>
      </c>
      <c r="Q687" s="66" t="s">
        <v>232</v>
      </c>
      <c r="R687" s="72"/>
    </row>
    <row r="688" spans="4:18" x14ac:dyDescent="0.4">
      <c r="D688" s="85"/>
      <c r="E688" s="80" t="s">
        <v>81</v>
      </c>
      <c r="F688" s="80"/>
      <c r="G688" s="66"/>
      <c r="L688" s="67"/>
      <c r="M688" s="67"/>
      <c r="P688" s="67"/>
      <c r="Q688" s="67"/>
      <c r="R688" s="72"/>
    </row>
    <row r="689" spans="4:18" x14ac:dyDescent="0.4">
      <c r="D689" s="85"/>
      <c r="E689" s="80" t="s">
        <v>233</v>
      </c>
      <c r="F689" s="80"/>
      <c r="G689" s="66"/>
      <c r="L689" s="67"/>
      <c r="M689" s="67"/>
      <c r="P689" s="67"/>
      <c r="Q689" s="67"/>
      <c r="R689" s="72"/>
    </row>
    <row r="690" spans="4:18" ht="14.25" thickBot="1" x14ac:dyDescent="0.45">
      <c r="D690" s="86"/>
      <c r="E690" s="74"/>
      <c r="F690" s="74"/>
      <c r="G690" s="74"/>
      <c r="H690" s="74"/>
      <c r="I690" s="74"/>
      <c r="J690" s="75"/>
      <c r="K690" s="75"/>
      <c r="L690" s="75"/>
      <c r="M690" s="75"/>
      <c r="N690" s="75"/>
      <c r="O690" s="75"/>
      <c r="P690" s="75"/>
      <c r="Q690" s="75"/>
      <c r="R690" s="76"/>
    </row>
    <row r="691" spans="4:18" x14ac:dyDescent="0.4">
      <c r="D691" s="81" t="s">
        <v>56</v>
      </c>
      <c r="E691" s="69"/>
      <c r="F691" s="69"/>
      <c r="G691" s="69"/>
      <c r="H691" s="69"/>
      <c r="I691" s="69"/>
      <c r="J691" s="70"/>
      <c r="K691" s="70"/>
      <c r="L691" s="70"/>
      <c r="M691" s="70"/>
      <c r="N691" s="70"/>
      <c r="O691" s="70"/>
      <c r="P691" s="70"/>
      <c r="Q691" s="70"/>
      <c r="R691" s="71"/>
    </row>
    <row r="692" spans="4:18" x14ac:dyDescent="0.4">
      <c r="D692" s="82">
        <v>28</v>
      </c>
      <c r="E692" s="103" t="s">
        <v>234</v>
      </c>
      <c r="F692" s="103"/>
      <c r="G692" s="103"/>
      <c r="R692" s="72"/>
    </row>
    <row r="693" spans="4:18" x14ac:dyDescent="0.4">
      <c r="D693" s="83"/>
      <c r="E693" s="103"/>
      <c r="F693" s="103"/>
      <c r="G693" s="103"/>
      <c r="R693" s="72"/>
    </row>
    <row r="694" spans="4:18" s="38" customFormat="1" x14ac:dyDescent="0.4">
      <c r="D694" s="84"/>
      <c r="E694" s="38" t="s">
        <v>58</v>
      </c>
      <c r="H694" s="67" t="str">
        <f>H696&amp;"円に緊急売価変更設定"</f>
        <v>200円に緊急売価変更設定</v>
      </c>
      <c r="I694" s="67" t="str">
        <f>I696&amp;"％のクレジット割（自動）"</f>
        <v>5％のクレジット割（自動）</v>
      </c>
      <c r="L694" s="67" t="str">
        <f>L696&amp;"円に緊急売価変更設定"</f>
        <v>300円に緊急売価変更設定</v>
      </c>
      <c r="M694" s="67" t="str">
        <f>M696&amp;"％のクレジット割（自動）"</f>
        <v>5％のクレジット割（自動）</v>
      </c>
      <c r="P694" s="67" t="str">
        <f>P696&amp;"円に緊急売価変更設定"</f>
        <v>350円に緊急売価変更設定</v>
      </c>
      <c r="Q694" s="67" t="str">
        <f>Q696&amp;"％のクレジット割（自動）"</f>
        <v>5％のクレジット割（自動）</v>
      </c>
      <c r="R694" s="106"/>
    </row>
    <row r="695" spans="4:18" s="37" customFormat="1" x14ac:dyDescent="0.4">
      <c r="D695" s="84"/>
      <c r="E695" s="90"/>
      <c r="F695" s="90"/>
      <c r="G695" s="65"/>
      <c r="H695" s="38"/>
      <c r="I695" s="38"/>
      <c r="R695" s="73"/>
    </row>
    <row r="696" spans="4:18" x14ac:dyDescent="0.4">
      <c r="D696" s="85"/>
      <c r="E696" s="89" t="s">
        <v>235</v>
      </c>
      <c r="F696" s="89"/>
      <c r="H696" s="67">
        <v>200</v>
      </c>
      <c r="I696" s="67">
        <v>5</v>
      </c>
      <c r="L696" s="67">
        <v>300</v>
      </c>
      <c r="M696" s="67">
        <v>5</v>
      </c>
      <c r="P696" s="67">
        <v>350</v>
      </c>
      <c r="Q696" s="67">
        <v>5</v>
      </c>
      <c r="R696" s="72"/>
    </row>
    <row r="697" spans="4:18" x14ac:dyDescent="0.4">
      <c r="D697" s="85"/>
      <c r="L697" s="67"/>
      <c r="M697" s="67"/>
      <c r="P697" s="67"/>
      <c r="Q697" s="67"/>
      <c r="R697" s="72"/>
    </row>
    <row r="698" spans="4:18" ht="13.5" customHeight="1" x14ac:dyDescent="0.4">
      <c r="D698" s="85"/>
      <c r="L698" s="67"/>
      <c r="M698" s="67"/>
      <c r="O698" s="102" t="s">
        <v>164</v>
      </c>
      <c r="P698" s="129" t="s">
        <v>61</v>
      </c>
      <c r="Q698" s="102" t="s">
        <v>236</v>
      </c>
      <c r="R698" s="72"/>
    </row>
    <row r="699" spans="4:18" ht="13.5" customHeight="1" x14ac:dyDescent="0.4">
      <c r="D699" s="85"/>
      <c r="G699" s="123" t="s">
        <v>223</v>
      </c>
      <c r="H699" s="144" t="s">
        <v>85</v>
      </c>
      <c r="K699" s="123" t="s">
        <v>63</v>
      </c>
      <c r="L699" s="129" t="s">
        <v>65</v>
      </c>
      <c r="M699" s="102" t="s">
        <v>237</v>
      </c>
      <c r="O699" s="123" t="s">
        <v>63</v>
      </c>
      <c r="P699" s="130"/>
      <c r="Q699" s="132" t="s">
        <v>238</v>
      </c>
      <c r="R699" s="72"/>
    </row>
    <row r="700" spans="4:18" ht="13.5" customHeight="1" x14ac:dyDescent="0.4">
      <c r="D700" s="85"/>
      <c r="G700" s="142"/>
      <c r="H700" s="139"/>
      <c r="K700" s="124"/>
      <c r="L700" s="130"/>
      <c r="M700" s="132" t="s">
        <v>239</v>
      </c>
      <c r="O700" s="124"/>
      <c r="P700" s="130"/>
      <c r="Q700" s="130"/>
      <c r="R700" s="72"/>
    </row>
    <row r="701" spans="4:18" ht="13.5" customHeight="1" x14ac:dyDescent="0.4">
      <c r="D701" s="85"/>
      <c r="G701" s="142"/>
      <c r="H701" s="145" t="s">
        <v>194</v>
      </c>
      <c r="I701" s="102" t="s">
        <v>240</v>
      </c>
      <c r="K701" s="124"/>
      <c r="L701" s="130"/>
      <c r="M701" s="130"/>
      <c r="O701" s="124"/>
      <c r="P701" s="130"/>
      <c r="Q701" s="130"/>
      <c r="R701" s="72"/>
    </row>
    <row r="702" spans="4:18" x14ac:dyDescent="0.4">
      <c r="D702" s="85"/>
      <c r="G702" s="142"/>
      <c r="H702" s="146"/>
      <c r="I702" s="132" t="s">
        <v>241</v>
      </c>
      <c r="K702" s="124"/>
      <c r="L702" s="130"/>
      <c r="M702" s="130"/>
      <c r="O702" s="124"/>
      <c r="P702" s="130"/>
      <c r="Q702" s="130"/>
      <c r="R702" s="72"/>
    </row>
    <row r="703" spans="4:18" x14ac:dyDescent="0.4">
      <c r="D703" s="85"/>
      <c r="G703" s="142"/>
      <c r="H703" s="146"/>
      <c r="I703" s="147"/>
      <c r="K703" s="124"/>
      <c r="L703" s="130"/>
      <c r="M703" s="130"/>
      <c r="O703" s="124"/>
      <c r="P703" s="130"/>
      <c r="Q703" s="130"/>
      <c r="R703" s="72"/>
    </row>
    <row r="704" spans="4:18" x14ac:dyDescent="0.4">
      <c r="D704" s="85"/>
      <c r="G704" s="143"/>
      <c r="H704" s="146"/>
      <c r="I704" s="147"/>
      <c r="K704" s="125"/>
      <c r="L704" s="130"/>
      <c r="M704" s="130"/>
      <c r="O704" s="125"/>
      <c r="P704" s="130"/>
      <c r="Q704" s="130"/>
      <c r="R704" s="72"/>
    </row>
    <row r="705" spans="4:18" x14ac:dyDescent="0.4">
      <c r="D705" s="85"/>
      <c r="E705" s="66" t="s">
        <v>71</v>
      </c>
      <c r="F705" s="66"/>
      <c r="G705" s="66"/>
      <c r="H705" s="101">
        <v>100</v>
      </c>
      <c r="I705" s="101">
        <v>10</v>
      </c>
      <c r="L705" s="92">
        <v>0</v>
      </c>
      <c r="M705" s="101">
        <v>15</v>
      </c>
      <c r="P705" s="92">
        <v>-50</v>
      </c>
      <c r="Q705" s="101">
        <v>18</v>
      </c>
      <c r="R705" s="72"/>
    </row>
    <row r="706" spans="4:18" ht="18.75" x14ac:dyDescent="0.4">
      <c r="D706" s="85"/>
      <c r="E706" s="66" t="s">
        <v>72</v>
      </c>
      <c r="F706" s="66"/>
      <c r="G706" s="66"/>
      <c r="H706" s="116">
        <v>190</v>
      </c>
      <c r="I706" s="139"/>
      <c r="L706" s="116">
        <v>285</v>
      </c>
      <c r="M706" s="116"/>
      <c r="P706" s="116">
        <v>332</v>
      </c>
      <c r="Q706" s="116"/>
      <c r="R706" s="72"/>
    </row>
    <row r="707" spans="4:18" x14ac:dyDescent="0.4">
      <c r="D707" s="85"/>
      <c r="E707" s="66"/>
      <c r="F707" s="66"/>
      <c r="G707" s="66"/>
      <c r="L707" s="67"/>
      <c r="M707" s="67"/>
      <c r="P707" s="67"/>
      <c r="Q707" s="67"/>
      <c r="R707" s="72"/>
    </row>
    <row r="708" spans="4:18" x14ac:dyDescent="0.4">
      <c r="D708" s="85"/>
      <c r="E708" s="66" t="s">
        <v>73</v>
      </c>
      <c r="F708" s="66"/>
      <c r="G708" s="66"/>
      <c r="L708" s="67"/>
      <c r="M708" s="67"/>
      <c r="P708" s="67"/>
      <c r="Q708" s="67"/>
      <c r="R708" s="72"/>
    </row>
    <row r="709" spans="4:18" x14ac:dyDescent="0.4">
      <c r="D709" s="85"/>
      <c r="E709" s="68" t="s">
        <v>74</v>
      </c>
      <c r="F709" s="68"/>
      <c r="G709" s="66"/>
      <c r="H709" s="67">
        <v>91111</v>
      </c>
      <c r="I709" s="67">
        <v>91440</v>
      </c>
      <c r="L709" s="67">
        <v>91111</v>
      </c>
      <c r="M709" s="67">
        <v>91440</v>
      </c>
      <c r="P709" s="67">
        <v>91111</v>
      </c>
      <c r="Q709" s="67">
        <v>91440</v>
      </c>
      <c r="R709" s="72"/>
    </row>
    <row r="710" spans="4:18" x14ac:dyDescent="0.4">
      <c r="D710" s="85"/>
      <c r="E710" s="68" t="s">
        <v>75</v>
      </c>
      <c r="F710" s="68"/>
      <c r="G710" s="66"/>
      <c r="H710" s="67">
        <v>0</v>
      </c>
      <c r="I710" s="67">
        <v>14</v>
      </c>
      <c r="L710" s="67">
        <v>0</v>
      </c>
      <c r="M710" s="67">
        <v>14</v>
      </c>
      <c r="P710" s="67">
        <v>0</v>
      </c>
      <c r="Q710" s="67">
        <v>14</v>
      </c>
      <c r="R710" s="72"/>
    </row>
    <row r="711" spans="4:18" x14ac:dyDescent="0.4">
      <c r="D711" s="85"/>
      <c r="E711" s="68" t="s">
        <v>76</v>
      </c>
      <c r="F711" s="68"/>
      <c r="G711" s="66"/>
      <c r="H711" s="66" t="s">
        <v>9</v>
      </c>
      <c r="I711" s="66" t="s">
        <v>211</v>
      </c>
      <c r="L711" s="66" t="s">
        <v>9</v>
      </c>
      <c r="M711" s="66" t="s">
        <v>211</v>
      </c>
      <c r="P711" s="66" t="s">
        <v>9</v>
      </c>
      <c r="Q711" s="66" t="s">
        <v>211</v>
      </c>
      <c r="R711" s="72"/>
    </row>
    <row r="712" spans="4:18" ht="27" x14ac:dyDescent="0.4">
      <c r="D712" s="85"/>
      <c r="E712" s="66" t="s">
        <v>71</v>
      </c>
      <c r="F712" s="66"/>
      <c r="G712" s="66"/>
      <c r="H712" s="66" t="s">
        <v>77</v>
      </c>
      <c r="I712" s="66" t="s">
        <v>242</v>
      </c>
      <c r="L712" s="93" t="s">
        <v>79</v>
      </c>
      <c r="M712" s="66" t="s">
        <v>243</v>
      </c>
      <c r="P712" s="94" t="s">
        <v>214</v>
      </c>
      <c r="Q712" s="66" t="s">
        <v>244</v>
      </c>
      <c r="R712" s="72"/>
    </row>
    <row r="713" spans="4:18" x14ac:dyDescent="0.4">
      <c r="D713" s="85"/>
      <c r="E713" s="80" t="s">
        <v>81</v>
      </c>
      <c r="F713" s="80"/>
      <c r="G713" s="66"/>
      <c r="L713" s="67"/>
      <c r="M713" s="67"/>
      <c r="P713" s="67"/>
      <c r="Q713" s="67"/>
      <c r="R713" s="72"/>
    </row>
    <row r="714" spans="4:18" x14ac:dyDescent="0.4">
      <c r="D714" s="85"/>
      <c r="E714" s="80" t="s">
        <v>245</v>
      </c>
      <c r="F714" s="80"/>
      <c r="G714" s="66"/>
      <c r="L714" s="67"/>
      <c r="M714" s="67"/>
      <c r="P714" s="67"/>
      <c r="Q714" s="67"/>
      <c r="R714" s="72"/>
    </row>
    <row r="715" spans="4:18" ht="14.25" thickBot="1" x14ac:dyDescent="0.45">
      <c r="D715" s="86"/>
      <c r="E715" s="74"/>
      <c r="F715" s="74"/>
      <c r="G715" s="74"/>
      <c r="H715" s="74"/>
      <c r="I715" s="74"/>
      <c r="J715" s="75"/>
      <c r="K715" s="75"/>
      <c r="L715" s="75"/>
      <c r="M715" s="75"/>
      <c r="N715" s="75"/>
      <c r="O715" s="75"/>
      <c r="P715" s="75"/>
      <c r="Q715" s="75"/>
      <c r="R715" s="76"/>
    </row>
  </sheetData>
  <mergeCells count="392">
    <mergeCell ref="K84:K89"/>
    <mergeCell ref="O84:O89"/>
    <mergeCell ref="K108:K113"/>
    <mergeCell ref="O108:O113"/>
    <mergeCell ref="H412:H415"/>
    <mergeCell ref="L412:L415"/>
    <mergeCell ref="I94:I97"/>
    <mergeCell ref="M94:M97"/>
    <mergeCell ref="Q94:Q97"/>
    <mergeCell ref="H115:I115"/>
    <mergeCell ref="L115:M115"/>
    <mergeCell ref="P115:Q115"/>
    <mergeCell ref="M108:M113"/>
    <mergeCell ref="Q159:Q165"/>
    <mergeCell ref="M160:M165"/>
    <mergeCell ref="L141:M141"/>
    <mergeCell ref="H141:I141"/>
    <mergeCell ref="H136:H139"/>
    <mergeCell ref="H144:H147"/>
    <mergeCell ref="P144:P147"/>
    <mergeCell ref="I109:I113"/>
    <mergeCell ref="H110:H113"/>
    <mergeCell ref="P141:Q141"/>
    <mergeCell ref="P412:P415"/>
    <mergeCell ref="H14:H17"/>
    <mergeCell ref="I15:I17"/>
    <mergeCell ref="H91:I91"/>
    <mergeCell ref="P91:Q91"/>
    <mergeCell ref="M13:M17"/>
    <mergeCell ref="Q186:Q192"/>
    <mergeCell ref="M187:M192"/>
    <mergeCell ref="I188:I192"/>
    <mergeCell ref="H221:I221"/>
    <mergeCell ref="L221:M221"/>
    <mergeCell ref="P221:Q221"/>
    <mergeCell ref="Q213:Q219"/>
    <mergeCell ref="Q107:Q113"/>
    <mergeCell ref="P108:P113"/>
    <mergeCell ref="L109:L113"/>
    <mergeCell ref="K134:K139"/>
    <mergeCell ref="O134:O139"/>
    <mergeCell ref="O160:O165"/>
    <mergeCell ref="K160:K165"/>
    <mergeCell ref="L135:L139"/>
    <mergeCell ref="L144:L147"/>
    <mergeCell ref="M84:M89"/>
    <mergeCell ref="Q83:Q89"/>
    <mergeCell ref="L84:L89"/>
    <mergeCell ref="G60:G65"/>
    <mergeCell ref="H67:I67"/>
    <mergeCell ref="L67:M67"/>
    <mergeCell ref="P67:Q67"/>
    <mergeCell ref="H60:H61"/>
    <mergeCell ref="L60:L65"/>
    <mergeCell ref="M61:M65"/>
    <mergeCell ref="Q60:Q65"/>
    <mergeCell ref="P59:P65"/>
    <mergeCell ref="H62:H65"/>
    <mergeCell ref="I63:I65"/>
    <mergeCell ref="K60:K65"/>
    <mergeCell ref="O60:O65"/>
    <mergeCell ref="G84:G89"/>
    <mergeCell ref="H43:I43"/>
    <mergeCell ref="L43:M43"/>
    <mergeCell ref="P43:Q43"/>
    <mergeCell ref="P11:P17"/>
    <mergeCell ref="H19:I19"/>
    <mergeCell ref="L19:M19"/>
    <mergeCell ref="P19:Q19"/>
    <mergeCell ref="P35:P41"/>
    <mergeCell ref="G36:G41"/>
    <mergeCell ref="H36:H37"/>
    <mergeCell ref="L36:L41"/>
    <mergeCell ref="Q36:Q41"/>
    <mergeCell ref="M37:M41"/>
    <mergeCell ref="H38:H41"/>
    <mergeCell ref="I39:I41"/>
    <mergeCell ref="K12:K17"/>
    <mergeCell ref="O12:O17"/>
    <mergeCell ref="O36:O41"/>
    <mergeCell ref="K36:K41"/>
    <mergeCell ref="G12:G17"/>
    <mergeCell ref="H12:H13"/>
    <mergeCell ref="L12:L17"/>
    <mergeCell ref="Q12:Q17"/>
    <mergeCell ref="G526:G531"/>
    <mergeCell ref="H409:I409"/>
    <mergeCell ref="L409:M409"/>
    <mergeCell ref="H433:I433"/>
    <mergeCell ref="L433:M433"/>
    <mergeCell ref="H458:I458"/>
    <mergeCell ref="L458:M458"/>
    <mergeCell ref="H483:I483"/>
    <mergeCell ref="L483:M483"/>
    <mergeCell ref="H476:H477"/>
    <mergeCell ref="H520:I520"/>
    <mergeCell ref="L520:M520"/>
    <mergeCell ref="K526:K531"/>
    <mergeCell ref="G476:G481"/>
    <mergeCell ref="G501:G506"/>
    <mergeCell ref="H528:H531"/>
    <mergeCell ref="H478:H481"/>
    <mergeCell ref="I479:I481"/>
    <mergeCell ref="H503:H506"/>
    <mergeCell ref="I503:I506"/>
    <mergeCell ref="M526:M531"/>
    <mergeCell ref="I527:I531"/>
    <mergeCell ref="L527:L531"/>
    <mergeCell ref="G426:G431"/>
    <mergeCell ref="G348:G353"/>
    <mergeCell ref="G214:G219"/>
    <mergeCell ref="M214:M219"/>
    <mergeCell ref="I215:I219"/>
    <mergeCell ref="L215:L219"/>
    <mergeCell ref="H215:H219"/>
    <mergeCell ref="P215:P219"/>
    <mergeCell ref="H85:H89"/>
    <mergeCell ref="I85:I89"/>
    <mergeCell ref="H161:H165"/>
    <mergeCell ref="P159:P165"/>
    <mergeCell ref="H167:I167"/>
    <mergeCell ref="L167:M167"/>
    <mergeCell ref="P167:Q167"/>
    <mergeCell ref="I135:I139"/>
    <mergeCell ref="P83:P89"/>
    <mergeCell ref="I349:I353"/>
    <mergeCell ref="H187:H192"/>
    <mergeCell ref="L186:L192"/>
    <mergeCell ref="P185:P192"/>
    <mergeCell ref="G108:G113"/>
    <mergeCell ref="G134:G139"/>
    <mergeCell ref="G160:G165"/>
    <mergeCell ref="G187:G192"/>
    <mergeCell ref="O402:O407"/>
    <mergeCell ref="L401:L407"/>
    <mergeCell ref="G402:G407"/>
    <mergeCell ref="K402:K407"/>
    <mergeCell ref="G374:G379"/>
    <mergeCell ref="H384:H387"/>
    <mergeCell ref="L384:L387"/>
    <mergeCell ref="P384:P387"/>
    <mergeCell ref="P409:Q409"/>
    <mergeCell ref="I375:I379"/>
    <mergeCell ref="L374:L379"/>
    <mergeCell ref="P373:P379"/>
    <mergeCell ref="I403:I407"/>
    <mergeCell ref="H402:H407"/>
    <mergeCell ref="P400:P407"/>
    <mergeCell ref="Q401:Q407"/>
    <mergeCell ref="M402:M407"/>
    <mergeCell ref="Q373:Q379"/>
    <mergeCell ref="H381:I381"/>
    <mergeCell ref="L381:M381"/>
    <mergeCell ref="P381:Q381"/>
    <mergeCell ref="H375:H379"/>
    <mergeCell ref="M374:M379"/>
    <mergeCell ref="P433:Q433"/>
    <mergeCell ref="K451:K456"/>
    <mergeCell ref="O451:O456"/>
    <mergeCell ref="P425:P431"/>
    <mergeCell ref="H426:H427"/>
    <mergeCell ref="L426:L431"/>
    <mergeCell ref="Q426:Q431"/>
    <mergeCell ref="M427:M431"/>
    <mergeCell ref="H428:H431"/>
    <mergeCell ref="I429:I431"/>
    <mergeCell ref="K426:K431"/>
    <mergeCell ref="O426:O431"/>
    <mergeCell ref="P458:Q458"/>
    <mergeCell ref="P483:Q483"/>
    <mergeCell ref="K476:K481"/>
    <mergeCell ref="O476:O481"/>
    <mergeCell ref="P450:P456"/>
    <mergeCell ref="G451:G456"/>
    <mergeCell ref="H451:H452"/>
    <mergeCell ref="L451:L456"/>
    <mergeCell ref="Q451:Q456"/>
    <mergeCell ref="M452:M456"/>
    <mergeCell ref="H453:H456"/>
    <mergeCell ref="I454:I456"/>
    <mergeCell ref="Q476:Q481"/>
    <mergeCell ref="P475:P481"/>
    <mergeCell ref="L476:L481"/>
    <mergeCell ref="M477:M481"/>
    <mergeCell ref="H533:I533"/>
    <mergeCell ref="L533:M533"/>
    <mergeCell ref="P533:Q533"/>
    <mergeCell ref="P520:Q520"/>
    <mergeCell ref="H521:I521"/>
    <mergeCell ref="L521:M521"/>
    <mergeCell ref="P521:Q521"/>
    <mergeCell ref="H501:H502"/>
    <mergeCell ref="H508:I508"/>
    <mergeCell ref="L508:M508"/>
    <mergeCell ref="P508:Q508"/>
    <mergeCell ref="I511:I514"/>
    <mergeCell ref="M511:M514"/>
    <mergeCell ref="Q511:Q514"/>
    <mergeCell ref="P500:P506"/>
    <mergeCell ref="Q500:Q506"/>
    <mergeCell ref="L501:L506"/>
    <mergeCell ref="M501:M506"/>
    <mergeCell ref="K501:K506"/>
    <mergeCell ref="O501:O506"/>
    <mergeCell ref="Q525:Q531"/>
    <mergeCell ref="P526:P531"/>
    <mergeCell ref="O526:O531"/>
    <mergeCell ref="P550:P556"/>
    <mergeCell ref="G551:G556"/>
    <mergeCell ref="H551:H552"/>
    <mergeCell ref="L551:L556"/>
    <mergeCell ref="Q551:Q556"/>
    <mergeCell ref="M552:M556"/>
    <mergeCell ref="H553:H556"/>
    <mergeCell ref="I554:I556"/>
    <mergeCell ref="H558:I558"/>
    <mergeCell ref="L558:M558"/>
    <mergeCell ref="P558:Q558"/>
    <mergeCell ref="K551:K556"/>
    <mergeCell ref="O551:O556"/>
    <mergeCell ref="H582:I582"/>
    <mergeCell ref="L582:M582"/>
    <mergeCell ref="P582:Q582"/>
    <mergeCell ref="P574:P580"/>
    <mergeCell ref="G575:G580"/>
    <mergeCell ref="H575:H576"/>
    <mergeCell ref="L575:L580"/>
    <mergeCell ref="Q575:Q580"/>
    <mergeCell ref="M576:M580"/>
    <mergeCell ref="H577:H580"/>
    <mergeCell ref="I578:I580"/>
    <mergeCell ref="O575:O580"/>
    <mergeCell ref="K575:K580"/>
    <mergeCell ref="H606:I606"/>
    <mergeCell ref="L606:M606"/>
    <mergeCell ref="P606:Q606"/>
    <mergeCell ref="P598:P604"/>
    <mergeCell ref="G599:G604"/>
    <mergeCell ref="H599:H600"/>
    <mergeCell ref="L599:L604"/>
    <mergeCell ref="Q599:Q604"/>
    <mergeCell ref="M600:M604"/>
    <mergeCell ref="H601:H604"/>
    <mergeCell ref="I602:I604"/>
    <mergeCell ref="K599:K604"/>
    <mergeCell ref="O599:O604"/>
    <mergeCell ref="H631:I631"/>
    <mergeCell ref="L631:M631"/>
    <mergeCell ref="P631:Q631"/>
    <mergeCell ref="P623:P629"/>
    <mergeCell ref="G624:G629"/>
    <mergeCell ref="H624:H625"/>
    <mergeCell ref="L624:L629"/>
    <mergeCell ref="Q624:Q629"/>
    <mergeCell ref="M625:M629"/>
    <mergeCell ref="H626:H629"/>
    <mergeCell ref="I627:I629"/>
    <mergeCell ref="K624:K629"/>
    <mergeCell ref="O624:O629"/>
    <mergeCell ref="P648:P654"/>
    <mergeCell ref="G649:G654"/>
    <mergeCell ref="H649:H650"/>
    <mergeCell ref="L649:L654"/>
    <mergeCell ref="Q649:Q654"/>
    <mergeCell ref="M650:M654"/>
    <mergeCell ref="H651:H654"/>
    <mergeCell ref="I652:I654"/>
    <mergeCell ref="K649:K654"/>
    <mergeCell ref="O649:O654"/>
    <mergeCell ref="H674:H675"/>
    <mergeCell ref="L674:L679"/>
    <mergeCell ref="Q674:Q679"/>
    <mergeCell ref="M675:M679"/>
    <mergeCell ref="H676:H679"/>
    <mergeCell ref="I677:I679"/>
    <mergeCell ref="H656:I656"/>
    <mergeCell ref="L656:M656"/>
    <mergeCell ref="P656:Q656"/>
    <mergeCell ref="H706:I706"/>
    <mergeCell ref="L706:M706"/>
    <mergeCell ref="P706:Q706"/>
    <mergeCell ref="P698:P704"/>
    <mergeCell ref="G699:G704"/>
    <mergeCell ref="H699:H700"/>
    <mergeCell ref="L699:L704"/>
    <mergeCell ref="Q699:Q704"/>
    <mergeCell ref="M700:M704"/>
    <mergeCell ref="H701:H704"/>
    <mergeCell ref="I702:I704"/>
    <mergeCell ref="K699:K704"/>
    <mergeCell ref="O699:O704"/>
    <mergeCell ref="H681:I681"/>
    <mergeCell ref="L681:M681"/>
    <mergeCell ref="P681:Q681"/>
    <mergeCell ref="P673:P679"/>
    <mergeCell ref="O674:O679"/>
    <mergeCell ref="K674:K679"/>
    <mergeCell ref="G674:G679"/>
    <mergeCell ref="I161:I165"/>
    <mergeCell ref="H170:H173"/>
    <mergeCell ref="L160:L165"/>
    <mergeCell ref="L170:L173"/>
    <mergeCell ref="P170:P173"/>
    <mergeCell ref="H197:H200"/>
    <mergeCell ref="L197:L200"/>
    <mergeCell ref="P197:P200"/>
    <mergeCell ref="K187:K192"/>
    <mergeCell ref="O187:O192"/>
    <mergeCell ref="K214:K219"/>
    <mergeCell ref="H224:H227"/>
    <mergeCell ref="L224:L227"/>
    <mergeCell ref="P224:P227"/>
    <mergeCell ref="O214:O219"/>
    <mergeCell ref="H194:I194"/>
    <mergeCell ref="L194:M194"/>
    <mergeCell ref="L91:M91"/>
    <mergeCell ref="Q133:Q139"/>
    <mergeCell ref="P134:P139"/>
    <mergeCell ref="M134:M139"/>
    <mergeCell ref="G267:G272"/>
    <mergeCell ref="K267:K272"/>
    <mergeCell ref="L267:L272"/>
    <mergeCell ref="M267:M272"/>
    <mergeCell ref="O267:O272"/>
    <mergeCell ref="H268:H272"/>
    <mergeCell ref="I268:I272"/>
    <mergeCell ref="G241:G246"/>
    <mergeCell ref="K241:K246"/>
    <mergeCell ref="M241:M246"/>
    <mergeCell ref="O241:O246"/>
    <mergeCell ref="I242:I246"/>
    <mergeCell ref="L242:L246"/>
    <mergeCell ref="H243:H246"/>
    <mergeCell ref="H248:I248"/>
    <mergeCell ref="L248:M248"/>
    <mergeCell ref="Q240:Q246"/>
    <mergeCell ref="G321:G326"/>
    <mergeCell ref="K321:K326"/>
    <mergeCell ref="M321:M326"/>
    <mergeCell ref="O321:O326"/>
    <mergeCell ref="H322:H326"/>
    <mergeCell ref="I322:I326"/>
    <mergeCell ref="L322:L326"/>
    <mergeCell ref="P322:P326"/>
    <mergeCell ref="G294:G299"/>
    <mergeCell ref="H294:H299"/>
    <mergeCell ref="K294:K299"/>
    <mergeCell ref="M294:M299"/>
    <mergeCell ref="O294:O299"/>
    <mergeCell ref="I295:I299"/>
    <mergeCell ref="H301:I301"/>
    <mergeCell ref="L301:M301"/>
    <mergeCell ref="P301:Q301"/>
    <mergeCell ref="P292:P299"/>
    <mergeCell ref="L293:L299"/>
    <mergeCell ref="Q293:Q299"/>
    <mergeCell ref="K374:K379"/>
    <mergeCell ref="O374:O379"/>
    <mergeCell ref="H350:H353"/>
    <mergeCell ref="Q347:Q353"/>
    <mergeCell ref="H304:H307"/>
    <mergeCell ref="L304:L307"/>
    <mergeCell ref="P304:P307"/>
    <mergeCell ref="Q320:Q326"/>
    <mergeCell ref="P355:Q355"/>
    <mergeCell ref="M348:M353"/>
    <mergeCell ref="P348:P353"/>
    <mergeCell ref="L349:L353"/>
    <mergeCell ref="H355:I355"/>
    <mergeCell ref="L355:M355"/>
    <mergeCell ref="H251:H254"/>
    <mergeCell ref="L251:L254"/>
    <mergeCell ref="P251:P254"/>
    <mergeCell ref="P266:P272"/>
    <mergeCell ref="Q266:Q272"/>
    <mergeCell ref="P241:P246"/>
    <mergeCell ref="P248:Q248"/>
    <mergeCell ref="P194:Q194"/>
    <mergeCell ref="K348:K353"/>
    <mergeCell ref="O348:O353"/>
    <mergeCell ref="H328:I328"/>
    <mergeCell ref="L328:M328"/>
    <mergeCell ref="P328:Q328"/>
    <mergeCell ref="H331:H334"/>
    <mergeCell ref="L331:L334"/>
    <mergeCell ref="P331:P334"/>
    <mergeCell ref="H274:I274"/>
    <mergeCell ref="L274:M274"/>
    <mergeCell ref="P274:Q274"/>
    <mergeCell ref="H277:H280"/>
    <mergeCell ref="L277:L280"/>
    <mergeCell ref="P277:P280"/>
  </mergeCells>
  <phoneticPr fontId="7"/>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605DA-1B95-41D9-A484-E68B44D05191}">
  <dimension ref="A1:AG359"/>
  <sheetViews>
    <sheetView zoomScale="85" zoomScaleNormal="85" workbookViewId="0">
      <pane xSplit="6" ySplit="1" topLeftCell="AA179" activePane="bottomRight" state="frozen"/>
      <selection pane="topRight" activeCell="F1" sqref="F1"/>
      <selection pane="bottomLeft" activeCell="A2" sqref="A2"/>
      <selection pane="bottomRight" sqref="A1:XFD1"/>
    </sheetView>
  </sheetViews>
  <sheetFormatPr defaultColWidth="74.375" defaultRowHeight="18.75" outlineLevelCol="3" x14ac:dyDescent="0.4"/>
  <cols>
    <col min="1" max="1" width="57.875" style="59" bestFit="1" customWidth="1"/>
    <col min="2" max="2" width="5.25" bestFit="1" customWidth="1"/>
    <col min="3" max="3" width="9" hidden="1" customWidth="1" outlineLevel="1"/>
    <col min="4" max="4" width="13" hidden="1" customWidth="1" outlineLevel="1"/>
    <col min="5" max="5" width="6.25" hidden="1" customWidth="1" outlineLevel="1"/>
    <col min="6" max="6" width="18.25" customWidth="1" collapsed="1"/>
    <col min="7" max="7" width="10.875" bestFit="1" customWidth="1"/>
    <col min="8" max="8" width="49.75" hidden="1" customWidth="1" outlineLevel="1"/>
    <col min="9" max="9" width="35.25" hidden="1" customWidth="1" outlineLevel="3"/>
    <col min="10" max="10" width="16.625" bestFit="1" customWidth="1" collapsed="1"/>
    <col min="11" max="11" width="9" hidden="1" customWidth="1" outlineLevel="1"/>
    <col min="12" max="12" width="19.25" bestFit="1" customWidth="1" collapsed="1"/>
    <col min="13" max="13" width="4.5" style="59" bestFit="1" customWidth="1"/>
    <col min="14" max="14" width="10" bestFit="1" customWidth="1"/>
    <col min="15" max="15" width="5.5" style="59" bestFit="1" customWidth="1"/>
    <col min="16" max="16" width="15" customWidth="1" outlineLevel="1"/>
    <col min="17" max="17" width="5.5" style="59" customWidth="1" outlineLevel="1"/>
    <col min="18" max="18" width="11.625" customWidth="1" outlineLevel="3"/>
    <col min="19" max="19" width="4.5" customWidth="1" outlineLevel="3"/>
    <col min="20" max="20" width="18.125" bestFit="1" customWidth="1" outlineLevel="3"/>
    <col min="21" max="21" width="11.75" bestFit="1" customWidth="1" outlineLevel="3"/>
    <col min="22" max="22" width="10" bestFit="1" customWidth="1" outlineLevel="3"/>
    <col min="23" max="23" width="14.375" bestFit="1" customWidth="1"/>
    <col min="24" max="24" width="13.5" bestFit="1" customWidth="1"/>
    <col min="25" max="25" width="11.75" bestFit="1" customWidth="1"/>
    <col min="26" max="26" width="7.125" bestFit="1" customWidth="1"/>
    <col min="27" max="28" width="25.625" bestFit="1" customWidth="1"/>
    <col min="29" max="29" width="10.875" bestFit="1" customWidth="1"/>
    <col min="30" max="30" width="9" bestFit="1" customWidth="1"/>
    <col min="31" max="31" width="11" bestFit="1" customWidth="1"/>
    <col min="32" max="33" width="13" bestFit="1" customWidth="1"/>
  </cols>
  <sheetData>
    <row r="1" spans="1:33" x14ac:dyDescent="0.15">
      <c r="B1" s="22" t="s">
        <v>247</v>
      </c>
      <c r="C1" s="22" t="s">
        <v>248</v>
      </c>
      <c r="D1" s="22" t="s">
        <v>12</v>
      </c>
      <c r="E1" s="22" t="s">
        <v>249</v>
      </c>
      <c r="F1" s="22" t="s">
        <v>250</v>
      </c>
      <c r="G1" s="22" t="s">
        <v>251</v>
      </c>
      <c r="H1" s="22" t="s">
        <v>252</v>
      </c>
      <c r="I1" s="22" t="s">
        <v>253</v>
      </c>
      <c r="J1" s="22" t="s">
        <v>254</v>
      </c>
      <c r="K1" s="22" t="s">
        <v>255</v>
      </c>
      <c r="L1" s="22" t="s">
        <v>256</v>
      </c>
      <c r="M1" s="62"/>
      <c r="N1" s="22" t="s">
        <v>257</v>
      </c>
      <c r="O1" s="62"/>
      <c r="P1" s="22" t="s">
        <v>258</v>
      </c>
      <c r="Q1" s="62"/>
      <c r="R1" s="22" t="s">
        <v>259</v>
      </c>
      <c r="S1" s="22"/>
      <c r="T1" s="22" t="s">
        <v>260</v>
      </c>
      <c r="U1" s="22" t="s">
        <v>261</v>
      </c>
      <c r="V1" s="22" t="s">
        <v>262</v>
      </c>
      <c r="W1" s="22" t="s">
        <v>3</v>
      </c>
      <c r="X1" s="22" t="s">
        <v>4</v>
      </c>
      <c r="Y1" s="22" t="s">
        <v>246</v>
      </c>
      <c r="Z1" s="22" t="s">
        <v>263</v>
      </c>
      <c r="AA1" s="22" t="s">
        <v>5</v>
      </c>
      <c r="AB1" s="22" t="s">
        <v>264</v>
      </c>
      <c r="AC1" s="22" t="s">
        <v>265</v>
      </c>
      <c r="AD1" s="22" t="s">
        <v>266</v>
      </c>
      <c r="AE1" s="22" t="s">
        <v>267</v>
      </c>
      <c r="AF1" s="22" t="s">
        <v>268</v>
      </c>
      <c r="AG1" s="22" t="s">
        <v>268</v>
      </c>
    </row>
    <row r="2" spans="1:33" s="34" customFormat="1" x14ac:dyDescent="0.15">
      <c r="A2" s="60" t="s">
        <v>638</v>
      </c>
      <c r="B2" s="31">
        <v>1</v>
      </c>
      <c r="C2" s="32" t="s">
        <v>269</v>
      </c>
      <c r="D2" s="32" t="s">
        <v>269</v>
      </c>
      <c r="E2" s="32" t="s">
        <v>270</v>
      </c>
      <c r="F2" s="32" t="s">
        <v>271</v>
      </c>
      <c r="G2" s="32">
        <v>50</v>
      </c>
      <c r="H2" s="32" t="s">
        <v>272</v>
      </c>
      <c r="I2" s="32" t="s">
        <v>273</v>
      </c>
      <c r="J2" s="33">
        <v>4962822317307</v>
      </c>
      <c r="K2" s="32">
        <v>500</v>
      </c>
      <c r="L2" s="32">
        <v>450</v>
      </c>
      <c r="M2" s="63"/>
      <c r="N2" s="32"/>
      <c r="O2" s="32"/>
      <c r="P2" s="32"/>
      <c r="Q2" s="32"/>
      <c r="R2" s="32"/>
      <c r="S2" s="32"/>
      <c r="T2" s="32"/>
      <c r="U2" s="32"/>
      <c r="V2" s="32"/>
      <c r="W2" s="32">
        <v>91111</v>
      </c>
      <c r="X2" s="32">
        <v>0</v>
      </c>
      <c r="Y2" s="32">
        <v>50</v>
      </c>
      <c r="Z2" s="32">
        <v>1</v>
      </c>
      <c r="AA2" s="32" t="s">
        <v>274</v>
      </c>
      <c r="AB2" s="32" t="s">
        <v>275</v>
      </c>
      <c r="AC2" s="32">
        <v>400</v>
      </c>
      <c r="AD2" s="32">
        <v>1</v>
      </c>
      <c r="AE2" s="32">
        <v>50</v>
      </c>
      <c r="AF2" s="32">
        <v>1</v>
      </c>
      <c r="AG2" s="32" t="s">
        <v>276</v>
      </c>
    </row>
    <row r="3" spans="1:33" s="34" customFormat="1" x14ac:dyDescent="0.15">
      <c r="A3" s="60" t="s">
        <v>638</v>
      </c>
      <c r="B3" s="31">
        <v>1</v>
      </c>
      <c r="C3" s="32" t="s">
        <v>269</v>
      </c>
      <c r="D3" s="32" t="s">
        <v>269</v>
      </c>
      <c r="E3" s="32" t="s">
        <v>270</v>
      </c>
      <c r="F3" s="32" t="s">
        <v>271</v>
      </c>
      <c r="G3" s="32">
        <v>50</v>
      </c>
      <c r="H3" s="32" t="s">
        <v>272</v>
      </c>
      <c r="I3" s="32" t="s">
        <v>273</v>
      </c>
      <c r="J3" s="33">
        <v>4962822317307</v>
      </c>
      <c r="K3" s="32">
        <v>500</v>
      </c>
      <c r="L3" s="32">
        <v>450</v>
      </c>
      <c r="M3" s="63"/>
      <c r="N3" s="32"/>
      <c r="O3" s="32"/>
      <c r="P3" s="32"/>
      <c r="Q3" s="32"/>
      <c r="R3" s="32"/>
      <c r="S3" s="32"/>
      <c r="T3" s="32"/>
      <c r="U3" s="32"/>
      <c r="V3" s="32"/>
      <c r="W3" s="32">
        <v>91220</v>
      </c>
      <c r="X3" s="32">
        <v>1</v>
      </c>
      <c r="Y3" s="32">
        <v>50</v>
      </c>
      <c r="Z3" s="32">
        <v>1</v>
      </c>
      <c r="AA3" s="32" t="s">
        <v>277</v>
      </c>
      <c r="AB3" s="32" t="s">
        <v>278</v>
      </c>
      <c r="AC3" s="32">
        <v>400</v>
      </c>
      <c r="AD3" s="32">
        <v>1</v>
      </c>
      <c r="AE3" s="32">
        <v>50</v>
      </c>
      <c r="AF3" s="32">
        <v>1</v>
      </c>
      <c r="AG3" s="32" t="s">
        <v>276</v>
      </c>
    </row>
    <row r="4" spans="1:33" s="34" customFormat="1" x14ac:dyDescent="0.15">
      <c r="A4" s="60" t="s">
        <v>638</v>
      </c>
      <c r="B4" s="31">
        <v>2</v>
      </c>
      <c r="C4" s="32" t="s">
        <v>279</v>
      </c>
      <c r="D4" s="32" t="s">
        <v>269</v>
      </c>
      <c r="E4" s="32" t="s">
        <v>270</v>
      </c>
      <c r="F4" s="32" t="s">
        <v>271</v>
      </c>
      <c r="G4" s="32">
        <v>50</v>
      </c>
      <c r="H4" s="32" t="s">
        <v>280</v>
      </c>
      <c r="I4" s="32" t="s">
        <v>281</v>
      </c>
      <c r="J4" s="33">
        <v>4978260313962</v>
      </c>
      <c r="K4" s="32">
        <v>500</v>
      </c>
      <c r="L4" s="32">
        <v>500</v>
      </c>
      <c r="M4" s="63"/>
      <c r="N4" s="32"/>
      <c r="O4" s="32"/>
      <c r="P4" s="32"/>
      <c r="Q4" s="32"/>
      <c r="R4" s="32"/>
      <c r="S4" s="32"/>
      <c r="T4" s="32"/>
      <c r="U4" s="32"/>
      <c r="V4" s="32"/>
      <c r="W4" s="32">
        <v>91220</v>
      </c>
      <c r="X4" s="32">
        <v>1</v>
      </c>
      <c r="Y4" s="32">
        <v>50</v>
      </c>
      <c r="Z4" s="32">
        <v>1</v>
      </c>
      <c r="AA4" s="32" t="s">
        <v>277</v>
      </c>
      <c r="AB4" s="32" t="s">
        <v>282</v>
      </c>
      <c r="AC4" s="32">
        <v>450</v>
      </c>
      <c r="AD4" s="32">
        <v>1</v>
      </c>
      <c r="AE4" s="32">
        <v>50</v>
      </c>
      <c r="AF4" s="32">
        <v>1</v>
      </c>
      <c r="AG4" s="32" t="s">
        <v>276</v>
      </c>
    </row>
    <row r="5" spans="1:33" s="34" customFormat="1" x14ac:dyDescent="0.15">
      <c r="A5" s="60" t="s">
        <v>638</v>
      </c>
      <c r="B5" s="31">
        <v>2</v>
      </c>
      <c r="C5" s="32" t="s">
        <v>279</v>
      </c>
      <c r="D5" s="32" t="s">
        <v>269</v>
      </c>
      <c r="E5" s="32" t="s">
        <v>270</v>
      </c>
      <c r="F5" s="32" t="s">
        <v>271</v>
      </c>
      <c r="G5" s="32">
        <v>50</v>
      </c>
      <c r="H5" s="32" t="s">
        <v>280</v>
      </c>
      <c r="I5" s="32" t="s">
        <v>281</v>
      </c>
      <c r="J5" s="33">
        <v>4978260313962</v>
      </c>
      <c r="K5" s="32">
        <v>500</v>
      </c>
      <c r="L5" s="32">
        <v>500</v>
      </c>
      <c r="M5" s="63"/>
      <c r="N5" s="32"/>
      <c r="O5" s="32"/>
      <c r="P5" s="32"/>
      <c r="Q5" s="32"/>
      <c r="R5" s="32"/>
      <c r="S5" s="32"/>
      <c r="T5" s="32"/>
      <c r="U5" s="32"/>
      <c r="V5" s="32"/>
      <c r="W5" s="32">
        <v>91111</v>
      </c>
      <c r="X5" s="32">
        <v>0</v>
      </c>
      <c r="Y5" s="32">
        <v>0</v>
      </c>
      <c r="Z5" s="32">
        <v>1</v>
      </c>
      <c r="AA5" s="32" t="s">
        <v>274</v>
      </c>
      <c r="AB5" s="32" t="s">
        <v>275</v>
      </c>
      <c r="AC5" s="32">
        <v>450</v>
      </c>
      <c r="AD5" s="32">
        <v>1</v>
      </c>
      <c r="AE5" s="32">
        <v>50</v>
      </c>
      <c r="AF5" s="32">
        <v>1</v>
      </c>
      <c r="AG5" s="32" t="s">
        <v>276</v>
      </c>
    </row>
    <row r="6" spans="1:33" s="34" customFormat="1" x14ac:dyDescent="0.15">
      <c r="A6" s="60" t="s">
        <v>638</v>
      </c>
      <c r="B6" s="31">
        <v>3</v>
      </c>
      <c r="C6" s="32" t="s">
        <v>283</v>
      </c>
      <c r="D6" s="32" t="s">
        <v>269</v>
      </c>
      <c r="E6" s="32" t="s">
        <v>270</v>
      </c>
      <c r="F6" s="32" t="s">
        <v>271</v>
      </c>
      <c r="G6" s="32">
        <v>100</v>
      </c>
      <c r="H6" s="32" t="s">
        <v>284</v>
      </c>
      <c r="I6" s="32" t="s">
        <v>285</v>
      </c>
      <c r="J6" s="33">
        <v>4957971290106</v>
      </c>
      <c r="K6" s="32">
        <v>500</v>
      </c>
      <c r="L6" s="32">
        <v>550</v>
      </c>
      <c r="M6" s="63"/>
      <c r="N6" s="32"/>
      <c r="O6" s="32"/>
      <c r="P6" s="32"/>
      <c r="Q6" s="32"/>
      <c r="R6" s="32"/>
      <c r="S6" s="32"/>
      <c r="T6" s="32"/>
      <c r="U6" s="32"/>
      <c r="V6" s="32"/>
      <c r="W6" s="32">
        <v>91111</v>
      </c>
      <c r="X6" s="32">
        <v>0</v>
      </c>
      <c r="Y6" s="32">
        <v>-50</v>
      </c>
      <c r="Z6" s="32">
        <v>1</v>
      </c>
      <c r="AA6" s="32" t="s">
        <v>274</v>
      </c>
      <c r="AB6" s="32" t="s">
        <v>275</v>
      </c>
      <c r="AC6" s="32">
        <v>450</v>
      </c>
      <c r="AD6" s="32">
        <v>1</v>
      </c>
      <c r="AE6" s="32">
        <v>100</v>
      </c>
      <c r="AF6" s="32">
        <v>1</v>
      </c>
      <c r="AG6" s="32" t="s">
        <v>276</v>
      </c>
    </row>
    <row r="7" spans="1:33" s="34" customFormat="1" x14ac:dyDescent="0.15">
      <c r="A7" s="60" t="s">
        <v>638</v>
      </c>
      <c r="B7" s="31">
        <v>3</v>
      </c>
      <c r="C7" s="32" t="s">
        <v>283</v>
      </c>
      <c r="D7" s="32" t="s">
        <v>269</v>
      </c>
      <c r="E7" s="32" t="s">
        <v>270</v>
      </c>
      <c r="F7" s="32" t="s">
        <v>271</v>
      </c>
      <c r="G7" s="32">
        <v>100</v>
      </c>
      <c r="H7" s="32" t="s">
        <v>284</v>
      </c>
      <c r="I7" s="32" t="s">
        <v>285</v>
      </c>
      <c r="J7" s="33">
        <v>4957971290106</v>
      </c>
      <c r="K7" s="32">
        <v>500</v>
      </c>
      <c r="L7" s="32">
        <v>550</v>
      </c>
      <c r="M7" s="63"/>
      <c r="N7" s="32"/>
      <c r="O7" s="32"/>
      <c r="P7" s="32"/>
      <c r="Q7" s="32"/>
      <c r="R7" s="32"/>
      <c r="S7" s="32"/>
      <c r="T7" s="32"/>
      <c r="U7" s="32"/>
      <c r="V7" s="32"/>
      <c r="W7" s="32">
        <v>91220</v>
      </c>
      <c r="X7" s="32">
        <v>1</v>
      </c>
      <c r="Y7" s="32">
        <v>100</v>
      </c>
      <c r="Z7" s="32">
        <v>1</v>
      </c>
      <c r="AA7" s="32" t="s">
        <v>277</v>
      </c>
      <c r="AB7" s="32" t="s">
        <v>282</v>
      </c>
      <c r="AC7" s="32">
        <v>450</v>
      </c>
      <c r="AD7" s="32">
        <v>1</v>
      </c>
      <c r="AE7" s="32">
        <v>100</v>
      </c>
      <c r="AF7" s="32">
        <v>1</v>
      </c>
      <c r="AG7" s="32" t="s">
        <v>276</v>
      </c>
    </row>
    <row r="8" spans="1:33" s="34" customFormat="1" x14ac:dyDescent="0.15">
      <c r="A8" s="61" t="s">
        <v>608</v>
      </c>
      <c r="B8" s="31">
        <v>4</v>
      </c>
      <c r="C8" s="32" t="s">
        <v>283</v>
      </c>
      <c r="D8" s="32" t="s">
        <v>269</v>
      </c>
      <c r="E8" s="32" t="s">
        <v>270</v>
      </c>
      <c r="F8" s="32" t="s">
        <v>271</v>
      </c>
      <c r="G8" s="32">
        <v>50</v>
      </c>
      <c r="H8" s="32" t="s">
        <v>286</v>
      </c>
      <c r="I8" s="32" t="s">
        <v>287</v>
      </c>
      <c r="J8" s="33">
        <v>4957971803825</v>
      </c>
      <c r="K8" s="32">
        <v>500</v>
      </c>
      <c r="L8" s="32">
        <v>550</v>
      </c>
      <c r="M8" s="63"/>
      <c r="N8" s="32"/>
      <c r="O8" s="32"/>
      <c r="P8" s="32"/>
      <c r="Q8" s="32"/>
      <c r="R8" s="32"/>
      <c r="S8" s="32"/>
      <c r="T8" s="32"/>
      <c r="U8" s="32"/>
      <c r="V8" s="32"/>
      <c r="W8" s="32">
        <v>91220</v>
      </c>
      <c r="X8" s="32">
        <v>1</v>
      </c>
      <c r="Y8" s="32">
        <v>50</v>
      </c>
      <c r="Z8" s="32">
        <v>1</v>
      </c>
      <c r="AA8" s="32" t="s">
        <v>277</v>
      </c>
      <c r="AB8" s="32" t="s">
        <v>282</v>
      </c>
      <c r="AC8" s="32">
        <v>500</v>
      </c>
      <c r="AD8" s="32">
        <v>1</v>
      </c>
      <c r="AE8" s="32">
        <v>50</v>
      </c>
      <c r="AF8" s="32">
        <v>1</v>
      </c>
      <c r="AG8" s="32" t="s">
        <v>276</v>
      </c>
    </row>
    <row r="9" spans="1:33" s="34" customFormat="1" x14ac:dyDescent="0.15">
      <c r="A9" s="61" t="s">
        <v>608</v>
      </c>
      <c r="B9" s="31">
        <v>4</v>
      </c>
      <c r="C9" s="32" t="s">
        <v>283</v>
      </c>
      <c r="D9" s="32" t="s">
        <v>269</v>
      </c>
      <c r="E9" s="32" t="s">
        <v>270</v>
      </c>
      <c r="F9" s="32" t="s">
        <v>271</v>
      </c>
      <c r="G9" s="32">
        <v>50</v>
      </c>
      <c r="H9" s="32" t="s">
        <v>286</v>
      </c>
      <c r="I9" s="32" t="s">
        <v>287</v>
      </c>
      <c r="J9" s="33">
        <v>4957971803825</v>
      </c>
      <c r="K9" s="32">
        <v>500</v>
      </c>
      <c r="L9" s="32">
        <v>550</v>
      </c>
      <c r="M9" s="63"/>
      <c r="N9" s="32"/>
      <c r="O9" s="32"/>
      <c r="P9" s="32"/>
      <c r="Q9" s="32"/>
      <c r="R9" s="32"/>
      <c r="S9" s="32"/>
      <c r="T9" s="32"/>
      <c r="U9" s="32"/>
      <c r="V9" s="32"/>
      <c r="W9" s="32">
        <v>91111</v>
      </c>
      <c r="X9" s="32">
        <v>0</v>
      </c>
      <c r="Y9" s="32">
        <v>-50</v>
      </c>
      <c r="Z9" s="32">
        <v>1</v>
      </c>
      <c r="AA9" s="32" t="s">
        <v>274</v>
      </c>
      <c r="AB9" s="32" t="s">
        <v>275</v>
      </c>
      <c r="AC9" s="32">
        <v>500</v>
      </c>
      <c r="AD9" s="32">
        <v>1</v>
      </c>
      <c r="AE9" s="32">
        <v>50</v>
      </c>
      <c r="AF9" s="32">
        <v>1</v>
      </c>
      <c r="AG9" s="32" t="s">
        <v>276</v>
      </c>
    </row>
    <row r="10" spans="1:33" s="34" customFormat="1" x14ac:dyDescent="0.15">
      <c r="A10" s="61" t="s">
        <v>608</v>
      </c>
      <c r="B10" s="31">
        <v>5</v>
      </c>
      <c r="C10" s="32" t="s">
        <v>283</v>
      </c>
      <c r="D10" s="32" t="s">
        <v>269</v>
      </c>
      <c r="E10" s="32" t="s">
        <v>270</v>
      </c>
      <c r="F10" s="32" t="s">
        <v>271</v>
      </c>
      <c r="G10" s="32">
        <v>50</v>
      </c>
      <c r="H10" s="32" t="s">
        <v>288</v>
      </c>
      <c r="I10" s="32" t="s">
        <v>289</v>
      </c>
      <c r="J10" s="33">
        <v>4972195418341</v>
      </c>
      <c r="K10" s="32">
        <v>500</v>
      </c>
      <c r="L10" s="32">
        <v>550</v>
      </c>
      <c r="M10" s="63"/>
      <c r="N10" s="32"/>
      <c r="O10" s="32"/>
      <c r="P10" s="32"/>
      <c r="Q10" s="32"/>
      <c r="R10" s="32"/>
      <c r="S10" s="32"/>
      <c r="T10" s="32"/>
      <c r="U10" s="32"/>
      <c r="V10" s="32"/>
      <c r="W10" s="32">
        <v>91111</v>
      </c>
      <c r="X10" s="32">
        <v>0</v>
      </c>
      <c r="Y10" s="32">
        <v>-50</v>
      </c>
      <c r="Z10" s="32">
        <v>1</v>
      </c>
      <c r="AA10" s="32" t="s">
        <v>274</v>
      </c>
      <c r="AB10" s="32" t="s">
        <v>275</v>
      </c>
      <c r="AC10" s="32">
        <v>500</v>
      </c>
      <c r="AD10" s="32">
        <v>1</v>
      </c>
      <c r="AE10" s="32">
        <v>50</v>
      </c>
      <c r="AF10" s="32">
        <v>1</v>
      </c>
      <c r="AG10" s="32" t="s">
        <v>276</v>
      </c>
    </row>
    <row r="11" spans="1:33" s="34" customFormat="1" x14ac:dyDescent="0.15">
      <c r="A11" s="61" t="s">
        <v>608</v>
      </c>
      <c r="B11" s="31">
        <v>5</v>
      </c>
      <c r="C11" s="32" t="s">
        <v>283</v>
      </c>
      <c r="D11" s="32" t="s">
        <v>269</v>
      </c>
      <c r="E11" s="32" t="s">
        <v>270</v>
      </c>
      <c r="F11" s="32" t="s">
        <v>271</v>
      </c>
      <c r="G11" s="32">
        <v>50</v>
      </c>
      <c r="H11" s="32" t="s">
        <v>288</v>
      </c>
      <c r="I11" s="32" t="s">
        <v>289</v>
      </c>
      <c r="J11" s="33">
        <v>4972195418341</v>
      </c>
      <c r="K11" s="32">
        <v>500</v>
      </c>
      <c r="L11" s="32">
        <v>550</v>
      </c>
      <c r="M11" s="63"/>
      <c r="N11" s="32"/>
      <c r="O11" s="32"/>
      <c r="P11" s="32"/>
      <c r="Q11" s="32"/>
      <c r="R11" s="32"/>
      <c r="S11" s="32"/>
      <c r="T11" s="32"/>
      <c r="U11" s="32"/>
      <c r="V11" s="32"/>
      <c r="W11" s="32">
        <v>91220</v>
      </c>
      <c r="X11" s="32">
        <v>1</v>
      </c>
      <c r="Y11" s="32">
        <v>50</v>
      </c>
      <c r="Z11" s="32">
        <v>1</v>
      </c>
      <c r="AA11" s="32" t="s">
        <v>277</v>
      </c>
      <c r="AB11" s="32" t="s">
        <v>282</v>
      </c>
      <c r="AC11" s="32">
        <v>500</v>
      </c>
      <c r="AD11" s="32">
        <v>1</v>
      </c>
      <c r="AE11" s="32">
        <v>50</v>
      </c>
      <c r="AF11" s="32">
        <v>1</v>
      </c>
      <c r="AG11" s="32" t="s">
        <v>276</v>
      </c>
    </row>
    <row r="12" spans="1:33" s="34" customFormat="1" x14ac:dyDescent="0.15">
      <c r="A12" s="60" t="s">
        <v>658</v>
      </c>
      <c r="B12" s="31">
        <v>6</v>
      </c>
      <c r="C12" s="32" t="s">
        <v>269</v>
      </c>
      <c r="D12" s="32" t="s">
        <v>269</v>
      </c>
      <c r="E12" s="32" t="s">
        <v>270</v>
      </c>
      <c r="F12" s="32" t="s">
        <v>290</v>
      </c>
      <c r="G12" s="32">
        <v>10</v>
      </c>
      <c r="H12" s="32" t="s">
        <v>291</v>
      </c>
      <c r="I12" s="32" t="s">
        <v>292</v>
      </c>
      <c r="J12" s="33">
        <v>4976880913388</v>
      </c>
      <c r="K12" s="32">
        <v>500</v>
      </c>
      <c r="L12" s="32">
        <v>450</v>
      </c>
      <c r="M12" s="63"/>
      <c r="N12" s="32"/>
      <c r="O12" s="32"/>
      <c r="P12" s="32"/>
      <c r="Q12" s="32"/>
      <c r="R12" s="32"/>
      <c r="S12" s="32"/>
      <c r="T12" s="32"/>
      <c r="U12" s="32"/>
      <c r="V12" s="32"/>
      <c r="W12" s="32">
        <v>91220</v>
      </c>
      <c r="X12" s="32">
        <v>2</v>
      </c>
      <c r="Y12" s="32">
        <v>45</v>
      </c>
      <c r="Z12" s="32">
        <v>1</v>
      </c>
      <c r="AA12" s="32" t="s">
        <v>277</v>
      </c>
      <c r="AB12" s="32" t="s">
        <v>293</v>
      </c>
      <c r="AC12" s="32">
        <v>405</v>
      </c>
      <c r="AD12" s="32">
        <v>1</v>
      </c>
      <c r="AE12" s="32">
        <v>45</v>
      </c>
      <c r="AF12" s="32">
        <v>1</v>
      </c>
      <c r="AG12" s="32" t="s">
        <v>276</v>
      </c>
    </row>
    <row r="13" spans="1:33" s="34" customFormat="1" x14ac:dyDescent="0.15">
      <c r="A13" s="60" t="s">
        <v>658</v>
      </c>
      <c r="B13" s="31">
        <v>6</v>
      </c>
      <c r="C13" s="32" t="s">
        <v>269</v>
      </c>
      <c r="D13" s="32" t="s">
        <v>269</v>
      </c>
      <c r="E13" s="32" t="s">
        <v>270</v>
      </c>
      <c r="F13" s="32" t="s">
        <v>290</v>
      </c>
      <c r="G13" s="32">
        <v>10</v>
      </c>
      <c r="H13" s="32" t="s">
        <v>291</v>
      </c>
      <c r="I13" s="32" t="s">
        <v>292</v>
      </c>
      <c r="J13" s="33">
        <v>4976880913388</v>
      </c>
      <c r="K13" s="32">
        <v>500</v>
      </c>
      <c r="L13" s="32">
        <v>450</v>
      </c>
      <c r="M13" s="63"/>
      <c r="N13" s="32"/>
      <c r="O13" s="32"/>
      <c r="P13" s="32"/>
      <c r="Q13" s="32"/>
      <c r="R13" s="32"/>
      <c r="S13" s="32"/>
      <c r="T13" s="32"/>
      <c r="U13" s="32"/>
      <c r="V13" s="32"/>
      <c r="W13" s="32">
        <v>91111</v>
      </c>
      <c r="X13" s="32">
        <v>0</v>
      </c>
      <c r="Y13" s="32">
        <v>50</v>
      </c>
      <c r="Z13" s="32">
        <v>1</v>
      </c>
      <c r="AA13" s="32" t="s">
        <v>274</v>
      </c>
      <c r="AB13" s="32" t="s">
        <v>275</v>
      </c>
      <c r="AC13" s="32">
        <v>405</v>
      </c>
      <c r="AD13" s="32">
        <v>1</v>
      </c>
      <c r="AE13" s="32">
        <v>45</v>
      </c>
      <c r="AF13" s="32">
        <v>1</v>
      </c>
      <c r="AG13" s="32" t="s">
        <v>276</v>
      </c>
    </row>
    <row r="14" spans="1:33" s="34" customFormat="1" x14ac:dyDescent="0.15">
      <c r="A14" s="60" t="s">
        <v>658</v>
      </c>
      <c r="B14" s="31">
        <v>7</v>
      </c>
      <c r="C14" s="32" t="s">
        <v>279</v>
      </c>
      <c r="D14" s="32" t="s">
        <v>269</v>
      </c>
      <c r="E14" s="32" t="s">
        <v>270</v>
      </c>
      <c r="F14" s="32" t="s">
        <v>290</v>
      </c>
      <c r="G14" s="32">
        <v>10</v>
      </c>
      <c r="H14" s="32" t="s">
        <v>294</v>
      </c>
      <c r="I14" s="32" t="s">
        <v>295</v>
      </c>
      <c r="J14" s="33">
        <v>4935758056633</v>
      </c>
      <c r="K14" s="32">
        <v>500</v>
      </c>
      <c r="L14" s="32">
        <v>500</v>
      </c>
      <c r="M14" s="63"/>
      <c r="N14" s="32"/>
      <c r="O14" s="32"/>
      <c r="P14" s="32"/>
      <c r="Q14" s="32"/>
      <c r="R14" s="32"/>
      <c r="S14" s="32"/>
      <c r="T14" s="32"/>
      <c r="U14" s="32"/>
      <c r="V14" s="32"/>
      <c r="W14" s="32">
        <v>91220</v>
      </c>
      <c r="X14" s="32">
        <v>2</v>
      </c>
      <c r="Y14" s="32">
        <v>50</v>
      </c>
      <c r="Z14" s="32">
        <v>1</v>
      </c>
      <c r="AA14" s="32" t="s">
        <v>277</v>
      </c>
      <c r="AB14" s="32" t="s">
        <v>296</v>
      </c>
      <c r="AC14" s="32">
        <v>450</v>
      </c>
      <c r="AD14" s="32">
        <v>1</v>
      </c>
      <c r="AE14" s="32">
        <v>50</v>
      </c>
      <c r="AF14" s="32">
        <v>1</v>
      </c>
      <c r="AG14" s="32" t="s">
        <v>276</v>
      </c>
    </row>
    <row r="15" spans="1:33" s="34" customFormat="1" x14ac:dyDescent="0.15">
      <c r="A15" s="60" t="s">
        <v>658</v>
      </c>
      <c r="B15" s="31">
        <v>7</v>
      </c>
      <c r="C15" s="32" t="s">
        <v>279</v>
      </c>
      <c r="D15" s="32" t="s">
        <v>269</v>
      </c>
      <c r="E15" s="32" t="s">
        <v>270</v>
      </c>
      <c r="F15" s="32" t="s">
        <v>290</v>
      </c>
      <c r="G15" s="32">
        <v>10</v>
      </c>
      <c r="H15" s="32" t="s">
        <v>294</v>
      </c>
      <c r="I15" s="32" t="s">
        <v>295</v>
      </c>
      <c r="J15" s="33">
        <v>4935758056633</v>
      </c>
      <c r="K15" s="32">
        <v>500</v>
      </c>
      <c r="L15" s="32">
        <v>500</v>
      </c>
      <c r="M15" s="63"/>
      <c r="N15" s="32"/>
      <c r="O15" s="32"/>
      <c r="P15" s="32"/>
      <c r="Q15" s="32"/>
      <c r="R15" s="32"/>
      <c r="S15" s="32"/>
      <c r="T15" s="32"/>
      <c r="U15" s="32"/>
      <c r="V15" s="32"/>
      <c r="W15" s="32">
        <v>91111</v>
      </c>
      <c r="X15" s="32">
        <v>0</v>
      </c>
      <c r="Y15" s="32">
        <v>0</v>
      </c>
      <c r="Z15" s="32">
        <v>1</v>
      </c>
      <c r="AA15" s="32" t="s">
        <v>274</v>
      </c>
      <c r="AB15" s="32" t="s">
        <v>275</v>
      </c>
      <c r="AC15" s="32">
        <v>450</v>
      </c>
      <c r="AD15" s="32">
        <v>1</v>
      </c>
      <c r="AE15" s="32">
        <v>50</v>
      </c>
      <c r="AF15" s="32">
        <v>1</v>
      </c>
      <c r="AG15" s="32" t="s">
        <v>276</v>
      </c>
    </row>
    <row r="16" spans="1:33" s="34" customFormat="1" x14ac:dyDescent="0.15">
      <c r="A16" s="60" t="s">
        <v>658</v>
      </c>
      <c r="B16" s="31">
        <v>8</v>
      </c>
      <c r="C16" s="32" t="s">
        <v>283</v>
      </c>
      <c r="D16" s="32" t="s">
        <v>269</v>
      </c>
      <c r="E16" s="32" t="s">
        <v>270</v>
      </c>
      <c r="F16" s="32" t="s">
        <v>290</v>
      </c>
      <c r="G16" s="32">
        <v>10</v>
      </c>
      <c r="H16" s="32" t="s">
        <v>297</v>
      </c>
      <c r="I16" s="32" t="s">
        <v>298</v>
      </c>
      <c r="J16" s="33">
        <v>4974817027504</v>
      </c>
      <c r="K16" s="32">
        <v>500</v>
      </c>
      <c r="L16" s="32">
        <v>550</v>
      </c>
      <c r="M16" s="63"/>
      <c r="N16" s="32"/>
      <c r="O16" s="32"/>
      <c r="P16" s="32"/>
      <c r="Q16" s="32"/>
      <c r="R16" s="32"/>
      <c r="S16" s="32"/>
      <c r="T16" s="32"/>
      <c r="U16" s="32"/>
      <c r="V16" s="32"/>
      <c r="W16" s="32">
        <v>91111</v>
      </c>
      <c r="X16" s="32">
        <v>0</v>
      </c>
      <c r="Y16" s="32">
        <v>-50</v>
      </c>
      <c r="Z16" s="32">
        <v>1</v>
      </c>
      <c r="AA16" s="32" t="s">
        <v>274</v>
      </c>
      <c r="AB16" s="32" t="s">
        <v>275</v>
      </c>
      <c r="AC16" s="32">
        <v>495</v>
      </c>
      <c r="AD16" s="32">
        <v>1</v>
      </c>
      <c r="AE16" s="32">
        <v>55</v>
      </c>
      <c r="AF16" s="32">
        <v>1</v>
      </c>
      <c r="AG16" s="32" t="s">
        <v>276</v>
      </c>
    </row>
    <row r="17" spans="1:33" s="34" customFormat="1" x14ac:dyDescent="0.15">
      <c r="A17" s="60" t="s">
        <v>658</v>
      </c>
      <c r="B17" s="31">
        <v>8</v>
      </c>
      <c r="C17" s="32" t="s">
        <v>283</v>
      </c>
      <c r="D17" s="32" t="s">
        <v>269</v>
      </c>
      <c r="E17" s="32" t="s">
        <v>270</v>
      </c>
      <c r="F17" s="32" t="s">
        <v>290</v>
      </c>
      <c r="G17" s="32">
        <v>10</v>
      </c>
      <c r="H17" s="32" t="s">
        <v>297</v>
      </c>
      <c r="I17" s="32" t="s">
        <v>298</v>
      </c>
      <c r="J17" s="33">
        <v>4974817027504</v>
      </c>
      <c r="K17" s="32">
        <v>500</v>
      </c>
      <c r="L17" s="32">
        <v>550</v>
      </c>
      <c r="M17" s="63"/>
      <c r="N17" s="32"/>
      <c r="O17" s="32"/>
      <c r="P17" s="32"/>
      <c r="Q17" s="32"/>
      <c r="R17" s="32"/>
      <c r="S17" s="32"/>
      <c r="T17" s="32"/>
      <c r="U17" s="32"/>
      <c r="V17" s="32"/>
      <c r="W17" s="32">
        <v>91220</v>
      </c>
      <c r="X17" s="32">
        <v>2</v>
      </c>
      <c r="Y17" s="32">
        <v>55</v>
      </c>
      <c r="Z17" s="32">
        <v>1</v>
      </c>
      <c r="AA17" s="32" t="s">
        <v>277</v>
      </c>
      <c r="AB17" s="32" t="s">
        <v>296</v>
      </c>
      <c r="AC17" s="32">
        <v>495</v>
      </c>
      <c r="AD17" s="32">
        <v>1</v>
      </c>
      <c r="AE17" s="32">
        <v>55</v>
      </c>
      <c r="AF17" s="32">
        <v>1</v>
      </c>
      <c r="AG17" s="32" t="s">
        <v>276</v>
      </c>
    </row>
    <row r="18" spans="1:33" s="34" customFormat="1" x14ac:dyDescent="0.15">
      <c r="A18" s="61" t="s">
        <v>608</v>
      </c>
      <c r="B18" s="31">
        <v>9</v>
      </c>
      <c r="C18" s="32" t="s">
        <v>283</v>
      </c>
      <c r="D18" s="32" t="s">
        <v>269</v>
      </c>
      <c r="E18" s="32" t="s">
        <v>270</v>
      </c>
      <c r="F18" s="32" t="s">
        <v>290</v>
      </c>
      <c r="G18" s="32">
        <v>10</v>
      </c>
      <c r="H18" s="32" t="s">
        <v>299</v>
      </c>
      <c r="I18" s="32" t="s">
        <v>300</v>
      </c>
      <c r="J18" s="33">
        <v>4972195253768</v>
      </c>
      <c r="K18" s="32">
        <v>500</v>
      </c>
      <c r="L18" s="32">
        <v>550</v>
      </c>
      <c r="M18" s="63"/>
      <c r="N18" s="32"/>
      <c r="O18" s="32"/>
      <c r="P18" s="32"/>
      <c r="Q18" s="32"/>
      <c r="R18" s="32"/>
      <c r="S18" s="32"/>
      <c r="T18" s="32"/>
      <c r="U18" s="32"/>
      <c r="V18" s="32"/>
      <c r="W18" s="32">
        <v>91111</v>
      </c>
      <c r="X18" s="32">
        <v>0</v>
      </c>
      <c r="Y18" s="32">
        <v>-50</v>
      </c>
      <c r="Z18" s="32">
        <v>1</v>
      </c>
      <c r="AA18" s="32" t="s">
        <v>274</v>
      </c>
      <c r="AB18" s="32" t="s">
        <v>275</v>
      </c>
      <c r="AC18" s="32">
        <v>495</v>
      </c>
      <c r="AD18" s="32">
        <v>1</v>
      </c>
      <c r="AE18" s="32">
        <v>55</v>
      </c>
      <c r="AF18" s="32">
        <v>1</v>
      </c>
      <c r="AG18" s="32" t="s">
        <v>276</v>
      </c>
    </row>
    <row r="19" spans="1:33" s="34" customFormat="1" x14ac:dyDescent="0.15">
      <c r="A19" s="61" t="s">
        <v>608</v>
      </c>
      <c r="B19" s="31">
        <v>9</v>
      </c>
      <c r="C19" s="32" t="s">
        <v>283</v>
      </c>
      <c r="D19" s="32" t="s">
        <v>269</v>
      </c>
      <c r="E19" s="32" t="s">
        <v>270</v>
      </c>
      <c r="F19" s="32" t="s">
        <v>290</v>
      </c>
      <c r="G19" s="32">
        <v>10</v>
      </c>
      <c r="H19" s="32" t="s">
        <v>299</v>
      </c>
      <c r="I19" s="32" t="s">
        <v>300</v>
      </c>
      <c r="J19" s="33">
        <v>4972195253768</v>
      </c>
      <c r="K19" s="32">
        <v>500</v>
      </c>
      <c r="L19" s="32">
        <v>550</v>
      </c>
      <c r="M19" s="63"/>
      <c r="N19" s="32"/>
      <c r="O19" s="32"/>
      <c r="P19" s="32"/>
      <c r="Q19" s="32"/>
      <c r="R19" s="32"/>
      <c r="S19" s="32"/>
      <c r="T19" s="32"/>
      <c r="U19" s="32"/>
      <c r="V19" s="32"/>
      <c r="W19" s="32">
        <v>91220</v>
      </c>
      <c r="X19" s="32">
        <v>2</v>
      </c>
      <c r="Y19" s="32">
        <v>55</v>
      </c>
      <c r="Z19" s="32">
        <v>1</v>
      </c>
      <c r="AA19" s="32" t="s">
        <v>277</v>
      </c>
      <c r="AB19" s="32" t="s">
        <v>296</v>
      </c>
      <c r="AC19" s="32">
        <v>495</v>
      </c>
      <c r="AD19" s="32">
        <v>1</v>
      </c>
      <c r="AE19" s="32">
        <v>55</v>
      </c>
      <c r="AF19" s="32">
        <v>1</v>
      </c>
      <c r="AG19" s="32" t="s">
        <v>276</v>
      </c>
    </row>
    <row r="20" spans="1:33" s="34" customFormat="1" x14ac:dyDescent="0.15">
      <c r="A20" s="61" t="s">
        <v>608</v>
      </c>
      <c r="B20" s="31">
        <v>10</v>
      </c>
      <c r="C20" s="32" t="s">
        <v>283</v>
      </c>
      <c r="D20" s="32" t="s">
        <v>269</v>
      </c>
      <c r="E20" s="32" t="s">
        <v>270</v>
      </c>
      <c r="F20" s="32" t="s">
        <v>290</v>
      </c>
      <c r="G20" s="32">
        <v>10</v>
      </c>
      <c r="H20" s="32" t="s">
        <v>301</v>
      </c>
      <c r="I20" s="32" t="s">
        <v>302</v>
      </c>
      <c r="J20" s="33">
        <v>4900888046960</v>
      </c>
      <c r="K20" s="32">
        <v>500</v>
      </c>
      <c r="L20" s="32">
        <v>550</v>
      </c>
      <c r="M20" s="63"/>
      <c r="N20" s="32"/>
      <c r="O20" s="32"/>
      <c r="P20" s="32"/>
      <c r="Q20" s="32"/>
      <c r="R20" s="32"/>
      <c r="S20" s="32"/>
      <c r="T20" s="32"/>
      <c r="U20" s="32"/>
      <c r="V20" s="32"/>
      <c r="W20" s="32">
        <v>91111</v>
      </c>
      <c r="X20" s="32">
        <v>0</v>
      </c>
      <c r="Y20" s="32">
        <v>-50</v>
      </c>
      <c r="Z20" s="32">
        <v>1</v>
      </c>
      <c r="AA20" s="32" t="s">
        <v>274</v>
      </c>
      <c r="AB20" s="32" t="s">
        <v>275</v>
      </c>
      <c r="AC20" s="32">
        <v>495</v>
      </c>
      <c r="AD20" s="32">
        <v>1</v>
      </c>
      <c r="AE20" s="32">
        <v>55</v>
      </c>
      <c r="AF20" s="32">
        <v>1</v>
      </c>
      <c r="AG20" s="32" t="s">
        <v>276</v>
      </c>
    </row>
    <row r="21" spans="1:33" s="34" customFormat="1" x14ac:dyDescent="0.15">
      <c r="A21" s="61" t="s">
        <v>608</v>
      </c>
      <c r="B21" s="31">
        <v>10</v>
      </c>
      <c r="C21" s="32" t="s">
        <v>283</v>
      </c>
      <c r="D21" s="32" t="s">
        <v>269</v>
      </c>
      <c r="E21" s="32" t="s">
        <v>270</v>
      </c>
      <c r="F21" s="32" t="s">
        <v>290</v>
      </c>
      <c r="G21" s="32">
        <v>10</v>
      </c>
      <c r="H21" s="32" t="s">
        <v>301</v>
      </c>
      <c r="I21" s="32" t="s">
        <v>302</v>
      </c>
      <c r="J21" s="33">
        <v>4900888046960</v>
      </c>
      <c r="K21" s="32">
        <v>500</v>
      </c>
      <c r="L21" s="32">
        <v>550</v>
      </c>
      <c r="M21" s="63"/>
      <c r="N21" s="32"/>
      <c r="O21" s="32"/>
      <c r="P21" s="32"/>
      <c r="Q21" s="32"/>
      <c r="R21" s="32"/>
      <c r="S21" s="32"/>
      <c r="T21" s="32"/>
      <c r="U21" s="32"/>
      <c r="V21" s="32"/>
      <c r="W21" s="32">
        <v>91220</v>
      </c>
      <c r="X21" s="32">
        <v>2</v>
      </c>
      <c r="Y21" s="32">
        <v>55</v>
      </c>
      <c r="Z21" s="32">
        <v>1</v>
      </c>
      <c r="AA21" s="32" t="s">
        <v>277</v>
      </c>
      <c r="AB21" s="32" t="s">
        <v>296</v>
      </c>
      <c r="AC21" s="32">
        <v>495</v>
      </c>
      <c r="AD21" s="32">
        <v>1</v>
      </c>
      <c r="AE21" s="32">
        <v>55</v>
      </c>
      <c r="AF21" s="32">
        <v>1</v>
      </c>
      <c r="AG21" s="32" t="s">
        <v>276</v>
      </c>
    </row>
    <row r="22" spans="1:33" s="34" customFormat="1" x14ac:dyDescent="0.15">
      <c r="A22" s="60" t="s">
        <v>651</v>
      </c>
      <c r="B22" s="31">
        <v>11</v>
      </c>
      <c r="C22" s="32" t="s">
        <v>269</v>
      </c>
      <c r="D22" s="32" t="s">
        <v>269</v>
      </c>
      <c r="E22" s="32" t="s">
        <v>270</v>
      </c>
      <c r="F22" s="32" t="s">
        <v>303</v>
      </c>
      <c r="G22" s="32">
        <v>400</v>
      </c>
      <c r="H22" s="32" t="s">
        <v>304</v>
      </c>
      <c r="I22" s="32" t="s">
        <v>305</v>
      </c>
      <c r="J22" s="33">
        <v>4972195552250</v>
      </c>
      <c r="K22" s="32">
        <v>500</v>
      </c>
      <c r="L22" s="32">
        <v>450</v>
      </c>
      <c r="M22" s="63">
        <f>L22-G22</f>
        <v>50</v>
      </c>
      <c r="N22" s="32"/>
      <c r="O22" s="32"/>
      <c r="P22" s="32"/>
      <c r="Q22" s="32"/>
      <c r="R22" s="32"/>
      <c r="S22" s="32"/>
      <c r="T22" s="32"/>
      <c r="U22" s="32"/>
      <c r="V22" s="32"/>
      <c r="W22" s="32">
        <v>91111</v>
      </c>
      <c r="X22" s="32">
        <v>0</v>
      </c>
      <c r="Y22" s="32">
        <v>50</v>
      </c>
      <c r="Z22" s="32">
        <v>1</v>
      </c>
      <c r="AA22" s="32" t="s">
        <v>274</v>
      </c>
      <c r="AB22" s="32" t="s">
        <v>275</v>
      </c>
      <c r="AC22" s="32">
        <v>400</v>
      </c>
      <c r="AD22" s="32">
        <v>1</v>
      </c>
      <c r="AE22" s="32">
        <v>50</v>
      </c>
      <c r="AF22" s="32">
        <v>1</v>
      </c>
      <c r="AG22" s="32" t="s">
        <v>276</v>
      </c>
    </row>
    <row r="23" spans="1:33" s="34" customFormat="1" x14ac:dyDescent="0.15">
      <c r="A23" s="60" t="s">
        <v>651</v>
      </c>
      <c r="B23" s="31">
        <v>11</v>
      </c>
      <c r="C23" s="32" t="s">
        <v>269</v>
      </c>
      <c r="D23" s="32" t="s">
        <v>269</v>
      </c>
      <c r="E23" s="32" t="s">
        <v>270</v>
      </c>
      <c r="F23" s="32" t="s">
        <v>303</v>
      </c>
      <c r="G23" s="32">
        <v>400</v>
      </c>
      <c r="H23" s="32" t="s">
        <v>304</v>
      </c>
      <c r="I23" s="32" t="s">
        <v>305</v>
      </c>
      <c r="J23" s="33">
        <v>4972195552250</v>
      </c>
      <c r="K23" s="32">
        <v>500</v>
      </c>
      <c r="L23" s="32">
        <v>450</v>
      </c>
      <c r="M23" s="63">
        <f t="shared" ref="M23:M38" si="0">L23-G23</f>
        <v>50</v>
      </c>
      <c r="N23" s="32"/>
      <c r="O23" s="32"/>
      <c r="P23" s="32"/>
      <c r="Q23" s="32"/>
      <c r="R23" s="32"/>
      <c r="S23" s="32"/>
      <c r="T23" s="32"/>
      <c r="U23" s="32"/>
      <c r="V23" s="32"/>
      <c r="W23" s="32">
        <v>91220</v>
      </c>
      <c r="X23" s="32">
        <v>6</v>
      </c>
      <c r="Y23" s="32">
        <v>50</v>
      </c>
      <c r="Z23" s="32">
        <v>1</v>
      </c>
      <c r="AA23" s="32" t="s">
        <v>277</v>
      </c>
      <c r="AB23" s="32" t="s">
        <v>306</v>
      </c>
      <c r="AC23" s="32">
        <v>400</v>
      </c>
      <c r="AD23" s="32">
        <v>1</v>
      </c>
      <c r="AE23" s="32">
        <v>50</v>
      </c>
      <c r="AF23" s="32">
        <v>1</v>
      </c>
      <c r="AG23" s="32" t="s">
        <v>276</v>
      </c>
    </row>
    <row r="24" spans="1:33" s="34" customFormat="1" x14ac:dyDescent="0.15">
      <c r="A24" s="60" t="s">
        <v>652</v>
      </c>
      <c r="B24" s="31">
        <v>12</v>
      </c>
      <c r="C24" s="32" t="s">
        <v>269</v>
      </c>
      <c r="D24" s="32" t="s">
        <v>279</v>
      </c>
      <c r="E24" s="32" t="s">
        <v>270</v>
      </c>
      <c r="F24" s="32" t="s">
        <v>303</v>
      </c>
      <c r="G24" s="32">
        <v>400</v>
      </c>
      <c r="H24" s="32" t="s">
        <v>307</v>
      </c>
      <c r="I24" s="32" t="s">
        <v>308</v>
      </c>
      <c r="J24" s="33">
        <v>4978260313856</v>
      </c>
      <c r="K24" s="32">
        <v>500</v>
      </c>
      <c r="L24" s="32">
        <v>400</v>
      </c>
      <c r="M24" s="63">
        <f t="shared" si="0"/>
        <v>0</v>
      </c>
      <c r="N24" s="32"/>
      <c r="O24" s="32"/>
      <c r="P24" s="32"/>
      <c r="Q24" s="32"/>
      <c r="R24" s="32"/>
      <c r="S24" s="32"/>
      <c r="T24" s="32"/>
      <c r="U24" s="32"/>
      <c r="V24" s="32"/>
      <c r="W24" s="32">
        <v>91111</v>
      </c>
      <c r="X24" s="32">
        <v>0</v>
      </c>
      <c r="Y24" s="32">
        <v>100</v>
      </c>
      <c r="Z24" s="32">
        <v>1</v>
      </c>
      <c r="AA24" s="32" t="s">
        <v>274</v>
      </c>
      <c r="AB24" s="32" t="s">
        <v>275</v>
      </c>
      <c r="AC24" s="32">
        <v>400</v>
      </c>
      <c r="AD24" s="32">
        <v>1</v>
      </c>
      <c r="AE24" s="32">
        <v>0</v>
      </c>
      <c r="AF24" s="32">
        <v>0</v>
      </c>
      <c r="AG24" s="32" t="s">
        <v>309</v>
      </c>
    </row>
    <row r="25" spans="1:33" s="28" customFormat="1" x14ac:dyDescent="0.15">
      <c r="A25" s="60" t="s">
        <v>653</v>
      </c>
      <c r="B25" s="25">
        <v>13</v>
      </c>
      <c r="C25" s="26" t="s">
        <v>269</v>
      </c>
      <c r="D25" s="26" t="s">
        <v>283</v>
      </c>
      <c r="E25" s="26" t="s">
        <v>270</v>
      </c>
      <c r="F25" s="26" t="s">
        <v>303</v>
      </c>
      <c r="G25" s="26">
        <v>400</v>
      </c>
      <c r="H25" s="26" t="s">
        <v>310</v>
      </c>
      <c r="I25" s="26" t="s">
        <v>311</v>
      </c>
      <c r="J25" s="27">
        <v>4962822320505</v>
      </c>
      <c r="K25" s="26">
        <v>500</v>
      </c>
      <c r="L25" s="26">
        <v>350</v>
      </c>
      <c r="M25" s="63">
        <f t="shared" si="0"/>
        <v>-50</v>
      </c>
      <c r="N25" s="26"/>
      <c r="O25" s="26"/>
      <c r="P25" s="26"/>
      <c r="Q25" s="26"/>
      <c r="R25" s="26"/>
      <c r="S25" s="26"/>
      <c r="T25" s="26"/>
      <c r="U25" s="26"/>
      <c r="V25" s="26"/>
      <c r="W25" s="26">
        <v>91111</v>
      </c>
      <c r="X25" s="26">
        <v>0</v>
      </c>
      <c r="Y25" s="26">
        <v>100</v>
      </c>
      <c r="Z25" s="26">
        <v>1</v>
      </c>
      <c r="AA25" s="26" t="s">
        <v>274</v>
      </c>
      <c r="AB25" s="26" t="s">
        <v>275</v>
      </c>
      <c r="AC25" s="26">
        <v>400</v>
      </c>
      <c r="AD25" s="26">
        <v>1</v>
      </c>
      <c r="AE25" s="26">
        <v>0</v>
      </c>
      <c r="AF25" s="26">
        <v>0</v>
      </c>
      <c r="AG25" s="26" t="s">
        <v>309</v>
      </c>
    </row>
    <row r="26" spans="1:33" s="34" customFormat="1" x14ac:dyDescent="0.15">
      <c r="A26" s="60" t="s">
        <v>651</v>
      </c>
      <c r="B26" s="31">
        <v>14</v>
      </c>
      <c r="C26" s="32" t="s">
        <v>279</v>
      </c>
      <c r="D26" s="32" t="s">
        <v>269</v>
      </c>
      <c r="E26" s="32" t="s">
        <v>270</v>
      </c>
      <c r="F26" s="32" t="s">
        <v>303</v>
      </c>
      <c r="G26" s="32">
        <v>450</v>
      </c>
      <c r="H26" s="32" t="s">
        <v>312</v>
      </c>
      <c r="I26" s="32" t="s">
        <v>313</v>
      </c>
      <c r="J26" s="33">
        <v>4978260312774</v>
      </c>
      <c r="K26" s="32">
        <v>500</v>
      </c>
      <c r="L26" s="32">
        <v>500</v>
      </c>
      <c r="M26" s="63">
        <f t="shared" si="0"/>
        <v>50</v>
      </c>
      <c r="N26" s="32"/>
      <c r="O26" s="32"/>
      <c r="P26" s="32"/>
      <c r="Q26" s="32"/>
      <c r="R26" s="32"/>
      <c r="S26" s="32"/>
      <c r="T26" s="32"/>
      <c r="U26" s="32"/>
      <c r="V26" s="32"/>
      <c r="W26" s="32">
        <v>91111</v>
      </c>
      <c r="X26" s="32">
        <v>0</v>
      </c>
      <c r="Y26" s="32">
        <v>0</v>
      </c>
      <c r="Z26" s="32">
        <v>1</v>
      </c>
      <c r="AA26" s="32" t="s">
        <v>274</v>
      </c>
      <c r="AB26" s="32" t="s">
        <v>275</v>
      </c>
      <c r="AC26" s="32">
        <v>450</v>
      </c>
      <c r="AD26" s="32">
        <v>1</v>
      </c>
      <c r="AE26" s="32">
        <v>50</v>
      </c>
      <c r="AF26" s="32">
        <v>1</v>
      </c>
      <c r="AG26" s="32" t="s">
        <v>276</v>
      </c>
    </row>
    <row r="27" spans="1:33" s="34" customFormat="1" x14ac:dyDescent="0.15">
      <c r="A27" s="60" t="s">
        <v>651</v>
      </c>
      <c r="B27" s="31">
        <v>14</v>
      </c>
      <c r="C27" s="32" t="s">
        <v>279</v>
      </c>
      <c r="D27" s="32" t="s">
        <v>269</v>
      </c>
      <c r="E27" s="32" t="s">
        <v>270</v>
      </c>
      <c r="F27" s="32" t="s">
        <v>303</v>
      </c>
      <c r="G27" s="32">
        <v>450</v>
      </c>
      <c r="H27" s="32" t="s">
        <v>312</v>
      </c>
      <c r="I27" s="32" t="s">
        <v>313</v>
      </c>
      <c r="J27" s="33">
        <v>4978260312774</v>
      </c>
      <c r="K27" s="32">
        <v>500</v>
      </c>
      <c r="L27" s="32">
        <v>500</v>
      </c>
      <c r="M27" s="63">
        <f t="shared" si="0"/>
        <v>50</v>
      </c>
      <c r="N27" s="32"/>
      <c r="O27" s="32"/>
      <c r="P27" s="32"/>
      <c r="Q27" s="32"/>
      <c r="R27" s="32"/>
      <c r="S27" s="32"/>
      <c r="T27" s="32"/>
      <c r="U27" s="32"/>
      <c r="V27" s="32"/>
      <c r="W27" s="32">
        <v>91220</v>
      </c>
      <c r="X27" s="32">
        <v>6</v>
      </c>
      <c r="Y27" s="32">
        <v>50</v>
      </c>
      <c r="Z27" s="32">
        <v>1</v>
      </c>
      <c r="AA27" s="32" t="s">
        <v>277</v>
      </c>
      <c r="AB27" s="32" t="s">
        <v>314</v>
      </c>
      <c r="AC27" s="32">
        <v>450</v>
      </c>
      <c r="AD27" s="32">
        <v>1</v>
      </c>
      <c r="AE27" s="32">
        <v>50</v>
      </c>
      <c r="AF27" s="32">
        <v>1</v>
      </c>
      <c r="AG27" s="32" t="s">
        <v>276</v>
      </c>
    </row>
    <row r="28" spans="1:33" s="34" customFormat="1" x14ac:dyDescent="0.15">
      <c r="A28" s="60" t="s">
        <v>652</v>
      </c>
      <c r="B28" s="31">
        <v>15</v>
      </c>
      <c r="C28" s="32" t="s">
        <v>279</v>
      </c>
      <c r="D28" s="32" t="s">
        <v>279</v>
      </c>
      <c r="E28" s="32" t="s">
        <v>270</v>
      </c>
      <c r="F28" s="32" t="s">
        <v>303</v>
      </c>
      <c r="G28" s="32">
        <v>500</v>
      </c>
      <c r="H28" s="32" t="s">
        <v>315</v>
      </c>
      <c r="I28" s="32" t="s">
        <v>316</v>
      </c>
      <c r="J28" s="33">
        <v>4957971400185</v>
      </c>
      <c r="K28" s="32">
        <v>500</v>
      </c>
      <c r="L28" s="32">
        <v>500</v>
      </c>
      <c r="M28" s="63">
        <f t="shared" si="0"/>
        <v>0</v>
      </c>
      <c r="N28" s="32"/>
      <c r="O28" s="32"/>
      <c r="P28" s="32"/>
      <c r="Q28" s="32"/>
      <c r="R28" s="32"/>
      <c r="S28" s="32"/>
      <c r="T28" s="32"/>
      <c r="U28" s="32"/>
      <c r="V28" s="32"/>
      <c r="W28" s="32">
        <v>91111</v>
      </c>
      <c r="X28" s="32">
        <v>0</v>
      </c>
      <c r="Y28" s="32">
        <v>0</v>
      </c>
      <c r="Z28" s="32">
        <v>1</v>
      </c>
      <c r="AA28" s="32" t="s">
        <v>274</v>
      </c>
      <c r="AB28" s="32" t="s">
        <v>275</v>
      </c>
      <c r="AC28" s="32">
        <v>500</v>
      </c>
      <c r="AD28" s="32">
        <v>1</v>
      </c>
      <c r="AE28" s="32">
        <v>0</v>
      </c>
      <c r="AF28" s="32">
        <v>0</v>
      </c>
      <c r="AG28" s="32" t="s">
        <v>309</v>
      </c>
    </row>
    <row r="29" spans="1:33" s="28" customFormat="1" x14ac:dyDescent="0.15">
      <c r="A29" s="60" t="s">
        <v>653</v>
      </c>
      <c r="B29" s="25">
        <v>16</v>
      </c>
      <c r="C29" s="26" t="s">
        <v>279</v>
      </c>
      <c r="D29" s="26" t="s">
        <v>283</v>
      </c>
      <c r="E29" s="26" t="s">
        <v>270</v>
      </c>
      <c r="F29" s="26" t="s">
        <v>303</v>
      </c>
      <c r="G29" s="26">
        <v>550</v>
      </c>
      <c r="H29" s="26" t="s">
        <v>312</v>
      </c>
      <c r="I29" s="26" t="s">
        <v>317</v>
      </c>
      <c r="J29" s="27">
        <v>4974817016737</v>
      </c>
      <c r="K29" s="26">
        <v>500</v>
      </c>
      <c r="L29" s="26">
        <v>500</v>
      </c>
      <c r="M29" s="63">
        <f t="shared" si="0"/>
        <v>-50</v>
      </c>
      <c r="N29" s="26"/>
      <c r="O29" s="26"/>
      <c r="P29" s="26"/>
      <c r="Q29" s="26"/>
      <c r="R29" s="26"/>
      <c r="S29" s="26"/>
      <c r="T29" s="26"/>
      <c r="U29" s="26"/>
      <c r="V29" s="26"/>
      <c r="W29" s="26">
        <v>91111</v>
      </c>
      <c r="X29" s="26">
        <v>0</v>
      </c>
      <c r="Y29" s="26">
        <v>-50</v>
      </c>
      <c r="Z29" s="26">
        <v>1</v>
      </c>
      <c r="AA29" s="26" t="s">
        <v>274</v>
      </c>
      <c r="AB29" s="26" t="s">
        <v>275</v>
      </c>
      <c r="AC29" s="26">
        <v>550</v>
      </c>
      <c r="AD29" s="26">
        <v>1</v>
      </c>
      <c r="AE29" s="26">
        <v>0</v>
      </c>
      <c r="AF29" s="26">
        <v>0</v>
      </c>
      <c r="AG29" s="26" t="s">
        <v>309</v>
      </c>
    </row>
    <row r="30" spans="1:33" s="34" customFormat="1" x14ac:dyDescent="0.15">
      <c r="A30" s="60" t="s">
        <v>651</v>
      </c>
      <c r="B30" s="31">
        <v>17</v>
      </c>
      <c r="C30" s="32" t="s">
        <v>283</v>
      </c>
      <c r="D30" s="32" t="s">
        <v>269</v>
      </c>
      <c r="E30" s="32" t="s">
        <v>270</v>
      </c>
      <c r="F30" s="32" t="s">
        <v>303</v>
      </c>
      <c r="G30" s="32">
        <v>450</v>
      </c>
      <c r="H30" s="32" t="s">
        <v>318</v>
      </c>
      <c r="I30" s="32" t="s">
        <v>319</v>
      </c>
      <c r="J30" s="33">
        <v>4974817029553</v>
      </c>
      <c r="K30" s="32">
        <v>500</v>
      </c>
      <c r="L30" s="32">
        <v>550</v>
      </c>
      <c r="M30" s="63">
        <f t="shared" si="0"/>
        <v>100</v>
      </c>
      <c r="N30" s="32"/>
      <c r="O30" s="32"/>
      <c r="P30" s="32"/>
      <c r="Q30" s="32"/>
      <c r="R30" s="32"/>
      <c r="S30" s="32"/>
      <c r="T30" s="32"/>
      <c r="U30" s="32"/>
      <c r="V30" s="32"/>
      <c r="W30" s="32">
        <v>91111</v>
      </c>
      <c r="X30" s="32">
        <v>0</v>
      </c>
      <c r="Y30" s="32">
        <v>-50</v>
      </c>
      <c r="Z30" s="32">
        <v>1</v>
      </c>
      <c r="AA30" s="32" t="s">
        <v>274</v>
      </c>
      <c r="AB30" s="32" t="s">
        <v>275</v>
      </c>
      <c r="AC30" s="32">
        <v>450</v>
      </c>
      <c r="AD30" s="32">
        <v>1</v>
      </c>
      <c r="AE30" s="32">
        <v>100</v>
      </c>
      <c r="AF30" s="32">
        <v>1</v>
      </c>
      <c r="AG30" s="32" t="s">
        <v>276</v>
      </c>
    </row>
    <row r="31" spans="1:33" s="34" customFormat="1" x14ac:dyDescent="0.15">
      <c r="A31" s="60" t="s">
        <v>651</v>
      </c>
      <c r="B31" s="31">
        <v>17</v>
      </c>
      <c r="C31" s="32" t="s">
        <v>283</v>
      </c>
      <c r="D31" s="32" t="s">
        <v>269</v>
      </c>
      <c r="E31" s="32" t="s">
        <v>270</v>
      </c>
      <c r="F31" s="32" t="s">
        <v>303</v>
      </c>
      <c r="G31" s="32">
        <v>450</v>
      </c>
      <c r="H31" s="32" t="s">
        <v>318</v>
      </c>
      <c r="I31" s="32" t="s">
        <v>319</v>
      </c>
      <c r="J31" s="33">
        <v>4974817029553</v>
      </c>
      <c r="K31" s="32">
        <v>500</v>
      </c>
      <c r="L31" s="32">
        <v>550</v>
      </c>
      <c r="M31" s="63">
        <f t="shared" si="0"/>
        <v>100</v>
      </c>
      <c r="N31" s="32"/>
      <c r="O31" s="32"/>
      <c r="P31" s="32"/>
      <c r="Q31" s="32"/>
      <c r="R31" s="32"/>
      <c r="S31" s="32"/>
      <c r="T31" s="32"/>
      <c r="U31" s="32"/>
      <c r="V31" s="32"/>
      <c r="W31" s="32">
        <v>91220</v>
      </c>
      <c r="X31" s="32">
        <v>6</v>
      </c>
      <c r="Y31" s="32">
        <v>100</v>
      </c>
      <c r="Z31" s="32">
        <v>1</v>
      </c>
      <c r="AA31" s="32" t="s">
        <v>277</v>
      </c>
      <c r="AB31" s="32" t="s">
        <v>314</v>
      </c>
      <c r="AC31" s="32">
        <v>450</v>
      </c>
      <c r="AD31" s="32">
        <v>1</v>
      </c>
      <c r="AE31" s="32">
        <v>100</v>
      </c>
      <c r="AF31" s="32">
        <v>1</v>
      </c>
      <c r="AG31" s="32" t="s">
        <v>276</v>
      </c>
    </row>
    <row r="32" spans="1:33" s="34" customFormat="1" x14ac:dyDescent="0.15">
      <c r="A32" s="61" t="s">
        <v>608</v>
      </c>
      <c r="B32" s="31">
        <v>18</v>
      </c>
      <c r="C32" s="32" t="s">
        <v>283</v>
      </c>
      <c r="D32" s="32" t="s">
        <v>269</v>
      </c>
      <c r="E32" s="32" t="s">
        <v>270</v>
      </c>
      <c r="F32" s="32" t="s">
        <v>303</v>
      </c>
      <c r="G32" s="32">
        <v>500</v>
      </c>
      <c r="H32" s="32" t="s">
        <v>320</v>
      </c>
      <c r="I32" s="32" t="s">
        <v>321</v>
      </c>
      <c r="J32" s="33">
        <v>4962822236202</v>
      </c>
      <c r="K32" s="32">
        <v>500</v>
      </c>
      <c r="L32" s="32">
        <v>550</v>
      </c>
      <c r="M32" s="63">
        <f t="shared" si="0"/>
        <v>50</v>
      </c>
      <c r="N32" s="32"/>
      <c r="O32" s="32"/>
      <c r="P32" s="32"/>
      <c r="Q32" s="32"/>
      <c r="R32" s="32"/>
      <c r="S32" s="32"/>
      <c r="T32" s="32"/>
      <c r="U32" s="32"/>
      <c r="V32" s="32"/>
      <c r="W32" s="32">
        <v>91220</v>
      </c>
      <c r="X32" s="32">
        <v>6</v>
      </c>
      <c r="Y32" s="32">
        <v>50</v>
      </c>
      <c r="Z32" s="32">
        <v>1</v>
      </c>
      <c r="AA32" s="32" t="s">
        <v>277</v>
      </c>
      <c r="AB32" s="32" t="s">
        <v>314</v>
      </c>
      <c r="AC32" s="32">
        <v>500</v>
      </c>
      <c r="AD32" s="32">
        <v>1</v>
      </c>
      <c r="AE32" s="32">
        <v>50</v>
      </c>
      <c r="AF32" s="32">
        <v>1</v>
      </c>
      <c r="AG32" s="32" t="s">
        <v>276</v>
      </c>
    </row>
    <row r="33" spans="1:33" s="34" customFormat="1" x14ac:dyDescent="0.15">
      <c r="A33" s="61" t="s">
        <v>608</v>
      </c>
      <c r="B33" s="31">
        <v>18</v>
      </c>
      <c r="C33" s="32" t="s">
        <v>283</v>
      </c>
      <c r="D33" s="32" t="s">
        <v>269</v>
      </c>
      <c r="E33" s="32" t="s">
        <v>270</v>
      </c>
      <c r="F33" s="32" t="s">
        <v>303</v>
      </c>
      <c r="G33" s="32">
        <v>500</v>
      </c>
      <c r="H33" s="32" t="s">
        <v>320</v>
      </c>
      <c r="I33" s="32" t="s">
        <v>321</v>
      </c>
      <c r="J33" s="33">
        <v>4962822236202</v>
      </c>
      <c r="K33" s="32">
        <v>500</v>
      </c>
      <c r="L33" s="32">
        <v>550</v>
      </c>
      <c r="M33" s="63">
        <f t="shared" si="0"/>
        <v>50</v>
      </c>
      <c r="N33" s="32"/>
      <c r="O33" s="32"/>
      <c r="P33" s="32"/>
      <c r="Q33" s="32"/>
      <c r="R33" s="32"/>
      <c r="S33" s="32"/>
      <c r="T33" s="32"/>
      <c r="U33" s="32"/>
      <c r="V33" s="32"/>
      <c r="W33" s="32">
        <v>91111</v>
      </c>
      <c r="X33" s="32">
        <v>0</v>
      </c>
      <c r="Y33" s="32">
        <v>-50</v>
      </c>
      <c r="Z33" s="32">
        <v>1</v>
      </c>
      <c r="AA33" s="32" t="s">
        <v>274</v>
      </c>
      <c r="AB33" s="32" t="s">
        <v>275</v>
      </c>
      <c r="AC33" s="32">
        <v>500</v>
      </c>
      <c r="AD33" s="32">
        <v>1</v>
      </c>
      <c r="AE33" s="32">
        <v>50</v>
      </c>
      <c r="AF33" s="32">
        <v>1</v>
      </c>
      <c r="AG33" s="32" t="s">
        <v>276</v>
      </c>
    </row>
    <row r="34" spans="1:33" s="34" customFormat="1" x14ac:dyDescent="0.15">
      <c r="A34" s="61" t="s">
        <v>608</v>
      </c>
      <c r="B34" s="31">
        <v>19</v>
      </c>
      <c r="C34" s="32" t="s">
        <v>283</v>
      </c>
      <c r="D34" s="32" t="s">
        <v>269</v>
      </c>
      <c r="E34" s="32" t="s">
        <v>270</v>
      </c>
      <c r="F34" s="32" t="s">
        <v>303</v>
      </c>
      <c r="G34" s="32">
        <v>550</v>
      </c>
      <c r="H34" s="32" t="s">
        <v>322</v>
      </c>
      <c r="I34" s="32" t="s">
        <v>323</v>
      </c>
      <c r="J34" s="33">
        <v>4978260309910</v>
      </c>
      <c r="K34" s="32">
        <v>500</v>
      </c>
      <c r="L34" s="32">
        <v>600</v>
      </c>
      <c r="M34" s="63">
        <f t="shared" si="0"/>
        <v>50</v>
      </c>
      <c r="N34" s="32"/>
      <c r="O34" s="32"/>
      <c r="P34" s="32"/>
      <c r="Q34" s="32"/>
      <c r="R34" s="32"/>
      <c r="S34" s="32"/>
      <c r="T34" s="32"/>
      <c r="U34" s="32"/>
      <c r="V34" s="32"/>
      <c r="W34" s="32">
        <v>91111</v>
      </c>
      <c r="X34" s="32">
        <v>0</v>
      </c>
      <c r="Y34" s="32">
        <v>-100</v>
      </c>
      <c r="Z34" s="32">
        <v>1</v>
      </c>
      <c r="AA34" s="32" t="s">
        <v>274</v>
      </c>
      <c r="AB34" s="32" t="s">
        <v>275</v>
      </c>
      <c r="AC34" s="32">
        <v>550</v>
      </c>
      <c r="AD34" s="32">
        <v>1</v>
      </c>
      <c r="AE34" s="32">
        <v>50</v>
      </c>
      <c r="AF34" s="32">
        <v>1</v>
      </c>
      <c r="AG34" s="32" t="s">
        <v>276</v>
      </c>
    </row>
    <row r="35" spans="1:33" s="34" customFormat="1" x14ac:dyDescent="0.15">
      <c r="A35" s="61" t="s">
        <v>608</v>
      </c>
      <c r="B35" s="31">
        <v>19</v>
      </c>
      <c r="C35" s="32" t="s">
        <v>283</v>
      </c>
      <c r="D35" s="32" t="s">
        <v>269</v>
      </c>
      <c r="E35" s="32" t="s">
        <v>270</v>
      </c>
      <c r="F35" s="32" t="s">
        <v>303</v>
      </c>
      <c r="G35" s="32">
        <v>550</v>
      </c>
      <c r="H35" s="32" t="s">
        <v>322</v>
      </c>
      <c r="I35" s="32" t="s">
        <v>323</v>
      </c>
      <c r="J35" s="33">
        <v>4978260309910</v>
      </c>
      <c r="K35" s="32">
        <v>500</v>
      </c>
      <c r="L35" s="32">
        <v>600</v>
      </c>
      <c r="M35" s="63">
        <f t="shared" si="0"/>
        <v>50</v>
      </c>
      <c r="N35" s="32"/>
      <c r="O35" s="32"/>
      <c r="P35" s="32"/>
      <c r="Q35" s="32"/>
      <c r="R35" s="32"/>
      <c r="S35" s="32"/>
      <c r="T35" s="32"/>
      <c r="U35" s="32"/>
      <c r="V35" s="32"/>
      <c r="W35" s="32">
        <v>91220</v>
      </c>
      <c r="X35" s="32">
        <v>6</v>
      </c>
      <c r="Y35" s="32">
        <v>50</v>
      </c>
      <c r="Z35" s="32">
        <v>1</v>
      </c>
      <c r="AA35" s="32" t="s">
        <v>277</v>
      </c>
      <c r="AB35" s="32" t="s">
        <v>314</v>
      </c>
      <c r="AC35" s="32">
        <v>550</v>
      </c>
      <c r="AD35" s="32">
        <v>1</v>
      </c>
      <c r="AE35" s="32">
        <v>50</v>
      </c>
      <c r="AF35" s="32">
        <v>1</v>
      </c>
      <c r="AG35" s="32" t="s">
        <v>276</v>
      </c>
    </row>
    <row r="36" spans="1:33" s="34" customFormat="1" x14ac:dyDescent="0.15">
      <c r="A36" s="61" t="s">
        <v>608</v>
      </c>
      <c r="B36" s="31">
        <v>20</v>
      </c>
      <c r="C36" s="32" t="s">
        <v>283</v>
      </c>
      <c r="D36" s="32" t="s">
        <v>279</v>
      </c>
      <c r="E36" s="32" t="s">
        <v>270</v>
      </c>
      <c r="F36" s="32" t="s">
        <v>303</v>
      </c>
      <c r="G36" s="32">
        <v>500</v>
      </c>
      <c r="H36" s="32" t="s">
        <v>320</v>
      </c>
      <c r="I36" s="32" t="s">
        <v>324</v>
      </c>
      <c r="J36" s="33">
        <v>4974817029539</v>
      </c>
      <c r="K36" s="32">
        <v>500</v>
      </c>
      <c r="L36" s="32">
        <v>550</v>
      </c>
      <c r="M36" s="63">
        <f t="shared" si="0"/>
        <v>50</v>
      </c>
      <c r="N36" s="32"/>
      <c r="O36" s="32"/>
      <c r="P36" s="32"/>
      <c r="Q36" s="32"/>
      <c r="R36" s="32"/>
      <c r="S36" s="32"/>
      <c r="T36" s="32"/>
      <c r="U36" s="32"/>
      <c r="V36" s="32"/>
      <c r="W36" s="32">
        <v>91111</v>
      </c>
      <c r="X36" s="32">
        <v>0</v>
      </c>
      <c r="Y36" s="32">
        <v>-50</v>
      </c>
      <c r="Z36" s="32">
        <v>1</v>
      </c>
      <c r="AA36" s="32" t="s">
        <v>274</v>
      </c>
      <c r="AB36" s="32" t="s">
        <v>275</v>
      </c>
      <c r="AC36" s="32">
        <v>500</v>
      </c>
      <c r="AD36" s="32">
        <v>1</v>
      </c>
      <c r="AE36" s="32">
        <v>50</v>
      </c>
      <c r="AF36" s="32">
        <v>1</v>
      </c>
      <c r="AG36" s="32" t="s">
        <v>276</v>
      </c>
    </row>
    <row r="37" spans="1:33" s="34" customFormat="1" x14ac:dyDescent="0.15">
      <c r="A37" s="61" t="s">
        <v>608</v>
      </c>
      <c r="B37" s="31">
        <v>20</v>
      </c>
      <c r="C37" s="32" t="s">
        <v>283</v>
      </c>
      <c r="D37" s="32" t="s">
        <v>279</v>
      </c>
      <c r="E37" s="32" t="s">
        <v>270</v>
      </c>
      <c r="F37" s="32" t="s">
        <v>303</v>
      </c>
      <c r="G37" s="32">
        <v>500</v>
      </c>
      <c r="H37" s="32" t="s">
        <v>320</v>
      </c>
      <c r="I37" s="32" t="s">
        <v>324</v>
      </c>
      <c r="J37" s="33">
        <v>4974817029539</v>
      </c>
      <c r="K37" s="32">
        <v>500</v>
      </c>
      <c r="L37" s="32">
        <v>550</v>
      </c>
      <c r="M37" s="63">
        <f t="shared" si="0"/>
        <v>50</v>
      </c>
      <c r="N37" s="32"/>
      <c r="O37" s="32"/>
      <c r="P37" s="32"/>
      <c r="Q37" s="32"/>
      <c r="R37" s="32"/>
      <c r="S37" s="32"/>
      <c r="T37" s="32"/>
      <c r="U37" s="32"/>
      <c r="V37" s="32"/>
      <c r="W37" s="32">
        <v>91220</v>
      </c>
      <c r="X37" s="32">
        <v>6</v>
      </c>
      <c r="Y37" s="32">
        <v>50</v>
      </c>
      <c r="Z37" s="32">
        <v>1</v>
      </c>
      <c r="AA37" s="32" t="s">
        <v>277</v>
      </c>
      <c r="AB37" s="32" t="s">
        <v>314</v>
      </c>
      <c r="AC37" s="32">
        <v>500</v>
      </c>
      <c r="AD37" s="32">
        <v>1</v>
      </c>
      <c r="AE37" s="32">
        <v>50</v>
      </c>
      <c r="AF37" s="32">
        <v>1</v>
      </c>
      <c r="AG37" s="32" t="s">
        <v>276</v>
      </c>
    </row>
    <row r="38" spans="1:33" s="28" customFormat="1" x14ac:dyDescent="0.15">
      <c r="A38" s="60" t="s">
        <v>653</v>
      </c>
      <c r="B38" s="25">
        <v>21</v>
      </c>
      <c r="C38" s="26" t="s">
        <v>283</v>
      </c>
      <c r="D38" s="26" t="s">
        <v>283</v>
      </c>
      <c r="E38" s="26" t="s">
        <v>270</v>
      </c>
      <c r="F38" s="26" t="s">
        <v>303</v>
      </c>
      <c r="G38" s="26">
        <v>600</v>
      </c>
      <c r="H38" s="26" t="s">
        <v>325</v>
      </c>
      <c r="I38" s="26" t="s">
        <v>326</v>
      </c>
      <c r="J38" s="27">
        <v>4974817025562</v>
      </c>
      <c r="K38" s="26">
        <v>500</v>
      </c>
      <c r="L38" s="26">
        <v>550</v>
      </c>
      <c r="M38" s="63">
        <f t="shared" si="0"/>
        <v>-50</v>
      </c>
      <c r="N38" s="26"/>
      <c r="O38" s="26"/>
      <c r="P38" s="26"/>
      <c r="Q38" s="26"/>
      <c r="R38" s="26"/>
      <c r="S38" s="26"/>
      <c r="T38" s="26"/>
      <c r="U38" s="26"/>
      <c r="V38" s="26"/>
      <c r="W38" s="26">
        <v>91111</v>
      </c>
      <c r="X38" s="26">
        <v>0</v>
      </c>
      <c r="Y38" s="26">
        <v>-100</v>
      </c>
      <c r="Z38" s="26">
        <v>1</v>
      </c>
      <c r="AA38" s="26" t="s">
        <v>274</v>
      </c>
      <c r="AB38" s="26" t="s">
        <v>275</v>
      </c>
      <c r="AC38" s="26">
        <v>600</v>
      </c>
      <c r="AD38" s="26">
        <v>1</v>
      </c>
      <c r="AE38" s="26">
        <v>0</v>
      </c>
      <c r="AF38" s="26">
        <v>0</v>
      </c>
      <c r="AG38" s="26" t="s">
        <v>309</v>
      </c>
    </row>
    <row r="39" spans="1:33" s="34" customFormat="1" ht="27" x14ac:dyDescent="0.15">
      <c r="A39" s="60" t="s">
        <v>654</v>
      </c>
      <c r="B39" s="31">
        <v>22</v>
      </c>
      <c r="C39" s="32" t="s">
        <v>269</v>
      </c>
      <c r="D39" s="32" t="s">
        <v>269</v>
      </c>
      <c r="E39" s="32" t="s">
        <v>270</v>
      </c>
      <c r="F39" s="32" t="s">
        <v>327</v>
      </c>
      <c r="G39" s="32"/>
      <c r="H39" s="32" t="s">
        <v>328</v>
      </c>
      <c r="I39" s="32" t="s">
        <v>329</v>
      </c>
      <c r="J39" s="33">
        <v>4957971490100</v>
      </c>
      <c r="K39" s="32">
        <v>500</v>
      </c>
      <c r="L39" s="32">
        <v>450</v>
      </c>
      <c r="M39" s="63" t="str">
        <f>IF(L39=AC39,"〇","●")</f>
        <v>〇</v>
      </c>
      <c r="N39" s="32">
        <v>400</v>
      </c>
      <c r="O39" s="63">
        <f>L39-N39</f>
        <v>50</v>
      </c>
      <c r="P39" s="32"/>
      <c r="Q39" s="32"/>
      <c r="R39" s="32"/>
      <c r="S39" s="32"/>
      <c r="T39" s="32"/>
      <c r="U39" s="32"/>
      <c r="V39" s="32">
        <v>908001</v>
      </c>
      <c r="W39" s="32">
        <v>91111</v>
      </c>
      <c r="X39" s="32">
        <v>0</v>
      </c>
      <c r="Y39" s="32">
        <v>50</v>
      </c>
      <c r="Z39" s="32">
        <v>1</v>
      </c>
      <c r="AA39" s="32" t="s">
        <v>274</v>
      </c>
      <c r="AB39" s="32" t="s">
        <v>275</v>
      </c>
      <c r="AC39" s="32">
        <v>450</v>
      </c>
      <c r="AD39" s="32">
        <v>1</v>
      </c>
      <c r="AE39" s="32">
        <v>0</v>
      </c>
      <c r="AF39" s="32">
        <v>0</v>
      </c>
      <c r="AG39" s="32" t="s">
        <v>309</v>
      </c>
    </row>
    <row r="40" spans="1:33" s="34" customFormat="1" ht="27" x14ac:dyDescent="0.15">
      <c r="A40" s="60" t="s">
        <v>655</v>
      </c>
      <c r="B40" s="31">
        <v>23</v>
      </c>
      <c r="C40" s="32" t="s">
        <v>269</v>
      </c>
      <c r="D40" s="32" t="s">
        <v>279</v>
      </c>
      <c r="E40" s="32" t="s">
        <v>270</v>
      </c>
      <c r="F40" s="32" t="s">
        <v>327</v>
      </c>
      <c r="G40" s="32"/>
      <c r="H40" s="32" t="s">
        <v>330</v>
      </c>
      <c r="I40" s="32" t="s">
        <v>331</v>
      </c>
      <c r="J40" s="33">
        <v>4963019200419</v>
      </c>
      <c r="K40" s="32">
        <v>500</v>
      </c>
      <c r="L40" s="32">
        <v>450</v>
      </c>
      <c r="M40" s="63" t="str">
        <f t="shared" ref="M40:M76" si="1">IF(L40=AC40,"〇","●")</f>
        <v>〇</v>
      </c>
      <c r="N40" s="32">
        <v>450</v>
      </c>
      <c r="O40" s="63">
        <f t="shared" ref="O40:O51" si="2">L40-N40</f>
        <v>0</v>
      </c>
      <c r="P40" s="32"/>
      <c r="Q40" s="32"/>
      <c r="R40" s="32"/>
      <c r="S40" s="32"/>
      <c r="T40" s="32"/>
      <c r="U40" s="32"/>
      <c r="V40" s="32">
        <v>908001</v>
      </c>
      <c r="W40" s="32">
        <v>91111</v>
      </c>
      <c r="X40" s="32">
        <v>0</v>
      </c>
      <c r="Y40" s="32">
        <v>50</v>
      </c>
      <c r="Z40" s="32">
        <v>1</v>
      </c>
      <c r="AA40" s="32" t="s">
        <v>274</v>
      </c>
      <c r="AB40" s="32" t="s">
        <v>275</v>
      </c>
      <c r="AC40" s="32">
        <v>450</v>
      </c>
      <c r="AD40" s="32">
        <v>1</v>
      </c>
      <c r="AE40" s="32">
        <v>0</v>
      </c>
      <c r="AF40" s="32">
        <v>0</v>
      </c>
      <c r="AG40" s="32" t="s">
        <v>309</v>
      </c>
    </row>
    <row r="41" spans="1:33" s="34" customFormat="1" ht="27" x14ac:dyDescent="0.15">
      <c r="A41" s="60" t="s">
        <v>656</v>
      </c>
      <c r="B41" s="31">
        <v>24</v>
      </c>
      <c r="C41" s="32" t="s">
        <v>269</v>
      </c>
      <c r="D41" s="32" t="s">
        <v>283</v>
      </c>
      <c r="E41" s="32" t="s">
        <v>270</v>
      </c>
      <c r="F41" s="32" t="s">
        <v>327</v>
      </c>
      <c r="G41" s="32"/>
      <c r="H41" s="32" t="s">
        <v>332</v>
      </c>
      <c r="I41" s="32" t="s">
        <v>333</v>
      </c>
      <c r="J41" s="33">
        <v>4974817029546</v>
      </c>
      <c r="K41" s="32">
        <v>500</v>
      </c>
      <c r="L41" s="32">
        <v>400</v>
      </c>
      <c r="M41" s="63" t="str">
        <f t="shared" si="1"/>
        <v>〇</v>
      </c>
      <c r="N41" s="32">
        <v>450</v>
      </c>
      <c r="O41" s="63">
        <f t="shared" si="2"/>
        <v>-50</v>
      </c>
      <c r="P41" s="32"/>
      <c r="Q41" s="32"/>
      <c r="R41" s="32"/>
      <c r="S41" s="32"/>
      <c r="T41" s="32"/>
      <c r="U41" s="32"/>
      <c r="V41" s="32">
        <v>908001</v>
      </c>
      <c r="W41" s="32">
        <v>91111</v>
      </c>
      <c r="X41" s="32">
        <v>0</v>
      </c>
      <c r="Y41" s="32">
        <v>100</v>
      </c>
      <c r="Z41" s="32">
        <v>1</v>
      </c>
      <c r="AA41" s="32" t="s">
        <v>274</v>
      </c>
      <c r="AB41" s="32" t="s">
        <v>275</v>
      </c>
      <c r="AC41" s="32">
        <v>400</v>
      </c>
      <c r="AD41" s="32">
        <v>1</v>
      </c>
      <c r="AE41" s="32">
        <v>0</v>
      </c>
      <c r="AF41" s="32">
        <v>0</v>
      </c>
      <c r="AG41" s="32" t="s">
        <v>309</v>
      </c>
    </row>
    <row r="42" spans="1:33" s="34" customFormat="1" ht="27" x14ac:dyDescent="0.15">
      <c r="A42" s="60" t="s">
        <v>656</v>
      </c>
      <c r="B42" s="31">
        <v>25</v>
      </c>
      <c r="C42" s="32" t="s">
        <v>269</v>
      </c>
      <c r="D42" s="32" t="s">
        <v>283</v>
      </c>
      <c r="E42" s="32" t="s">
        <v>270</v>
      </c>
      <c r="F42" s="32" t="s">
        <v>327</v>
      </c>
      <c r="G42" s="32"/>
      <c r="H42" s="32" t="s">
        <v>334</v>
      </c>
      <c r="I42" s="32" t="s">
        <v>335</v>
      </c>
      <c r="J42" s="33">
        <v>4976880912626</v>
      </c>
      <c r="K42" s="32">
        <v>500</v>
      </c>
      <c r="L42" s="32">
        <v>450</v>
      </c>
      <c r="M42" s="63" t="str">
        <f t="shared" si="1"/>
        <v>〇</v>
      </c>
      <c r="N42" s="32">
        <v>500</v>
      </c>
      <c r="O42" s="63">
        <f t="shared" si="2"/>
        <v>-50</v>
      </c>
      <c r="P42" s="32"/>
      <c r="Q42" s="32"/>
      <c r="R42" s="32"/>
      <c r="S42" s="32"/>
      <c r="T42" s="32"/>
      <c r="U42" s="32"/>
      <c r="V42" s="32">
        <v>908001</v>
      </c>
      <c r="W42" s="32">
        <v>91111</v>
      </c>
      <c r="X42" s="32">
        <v>0</v>
      </c>
      <c r="Y42" s="32">
        <v>50</v>
      </c>
      <c r="Z42" s="32">
        <v>1</v>
      </c>
      <c r="AA42" s="32" t="s">
        <v>274</v>
      </c>
      <c r="AB42" s="32" t="s">
        <v>275</v>
      </c>
      <c r="AC42" s="32">
        <v>450</v>
      </c>
      <c r="AD42" s="32">
        <v>1</v>
      </c>
      <c r="AE42" s="32">
        <v>0</v>
      </c>
      <c r="AF42" s="32">
        <v>0</v>
      </c>
      <c r="AG42" s="32" t="s">
        <v>309</v>
      </c>
    </row>
    <row r="43" spans="1:33" s="34" customFormat="1" ht="27" x14ac:dyDescent="0.15">
      <c r="A43" s="61" t="s">
        <v>608</v>
      </c>
      <c r="B43" s="31">
        <v>26</v>
      </c>
      <c r="C43" s="32" t="s">
        <v>269</v>
      </c>
      <c r="D43" s="32" t="s">
        <v>283</v>
      </c>
      <c r="E43" s="32" t="s">
        <v>270</v>
      </c>
      <c r="F43" s="32" t="s">
        <v>327</v>
      </c>
      <c r="G43" s="32"/>
      <c r="H43" s="32" t="s">
        <v>336</v>
      </c>
      <c r="I43" s="32" t="s">
        <v>337</v>
      </c>
      <c r="J43" s="33">
        <v>4953413817337</v>
      </c>
      <c r="K43" s="32">
        <v>500</v>
      </c>
      <c r="L43" s="32">
        <v>450</v>
      </c>
      <c r="M43" s="63" t="str">
        <f t="shared" si="1"/>
        <v>〇</v>
      </c>
      <c r="N43" s="32">
        <v>550</v>
      </c>
      <c r="O43" s="63">
        <f t="shared" si="2"/>
        <v>-100</v>
      </c>
      <c r="P43" s="32"/>
      <c r="Q43" s="32"/>
      <c r="R43" s="32"/>
      <c r="S43" s="32"/>
      <c r="T43" s="32"/>
      <c r="U43" s="32"/>
      <c r="V43" s="32">
        <v>908001</v>
      </c>
      <c r="W43" s="32">
        <v>91111</v>
      </c>
      <c r="X43" s="32">
        <v>0</v>
      </c>
      <c r="Y43" s="32">
        <v>50</v>
      </c>
      <c r="Z43" s="32">
        <v>1</v>
      </c>
      <c r="AA43" s="32" t="s">
        <v>274</v>
      </c>
      <c r="AB43" s="32" t="s">
        <v>275</v>
      </c>
      <c r="AC43" s="32">
        <v>450</v>
      </c>
      <c r="AD43" s="32">
        <v>1</v>
      </c>
      <c r="AE43" s="32">
        <v>0</v>
      </c>
      <c r="AF43" s="32">
        <v>0</v>
      </c>
      <c r="AG43" s="32" t="s">
        <v>309</v>
      </c>
    </row>
    <row r="44" spans="1:33" s="34" customFormat="1" ht="27" x14ac:dyDescent="0.15">
      <c r="A44" s="60" t="s">
        <v>654</v>
      </c>
      <c r="B44" s="31">
        <v>27</v>
      </c>
      <c r="C44" s="35" t="s">
        <v>279</v>
      </c>
      <c r="D44" s="35" t="s">
        <v>269</v>
      </c>
      <c r="E44" s="35" t="s">
        <v>270</v>
      </c>
      <c r="F44" s="32" t="s">
        <v>327</v>
      </c>
      <c r="G44" s="32"/>
      <c r="H44" s="32" t="s">
        <v>338</v>
      </c>
      <c r="I44" s="32" t="s">
        <v>339</v>
      </c>
      <c r="J44" s="33">
        <v>4974817031020</v>
      </c>
      <c r="K44" s="35">
        <v>500</v>
      </c>
      <c r="L44" s="32">
        <v>500</v>
      </c>
      <c r="M44" s="63" t="str">
        <f t="shared" si="1"/>
        <v>〇</v>
      </c>
      <c r="N44" s="32">
        <v>450</v>
      </c>
      <c r="O44" s="63">
        <f t="shared" si="2"/>
        <v>50</v>
      </c>
      <c r="P44" s="32"/>
      <c r="Q44" s="32"/>
      <c r="R44" s="32"/>
      <c r="S44" s="32"/>
      <c r="T44" s="32"/>
      <c r="U44" s="32"/>
      <c r="V44" s="32">
        <v>908001</v>
      </c>
      <c r="W44" s="32">
        <v>91111</v>
      </c>
      <c r="X44" s="32">
        <v>0</v>
      </c>
      <c r="Y44" s="32">
        <v>0</v>
      </c>
      <c r="Z44" s="32">
        <v>1</v>
      </c>
      <c r="AA44" s="32" t="s">
        <v>274</v>
      </c>
      <c r="AB44" s="32" t="s">
        <v>275</v>
      </c>
      <c r="AC44" s="32">
        <v>500</v>
      </c>
      <c r="AD44" s="32">
        <v>1</v>
      </c>
      <c r="AE44" s="32">
        <v>0</v>
      </c>
      <c r="AF44" s="32">
        <v>0</v>
      </c>
      <c r="AG44" s="32" t="s">
        <v>309</v>
      </c>
    </row>
    <row r="45" spans="1:33" s="34" customFormat="1" ht="27" x14ac:dyDescent="0.15">
      <c r="A45" s="61" t="s">
        <v>608</v>
      </c>
      <c r="B45" s="31">
        <v>28</v>
      </c>
      <c r="C45" s="32" t="s">
        <v>279</v>
      </c>
      <c r="D45" s="32" t="s">
        <v>279</v>
      </c>
      <c r="E45" s="32" t="s">
        <v>270</v>
      </c>
      <c r="F45" s="32" t="s">
        <v>327</v>
      </c>
      <c r="G45" s="32"/>
      <c r="H45" s="32" t="s">
        <v>340</v>
      </c>
      <c r="I45" s="32" t="s">
        <v>341</v>
      </c>
      <c r="J45" s="33">
        <v>4962822218505</v>
      </c>
      <c r="K45" s="32">
        <v>500</v>
      </c>
      <c r="L45" s="32">
        <v>450</v>
      </c>
      <c r="M45" s="63" t="str">
        <f t="shared" si="1"/>
        <v>〇</v>
      </c>
      <c r="N45" s="32">
        <v>450</v>
      </c>
      <c r="O45" s="63">
        <f t="shared" si="2"/>
        <v>0</v>
      </c>
      <c r="P45" s="32"/>
      <c r="Q45" s="32"/>
      <c r="R45" s="32"/>
      <c r="S45" s="32"/>
      <c r="T45" s="32"/>
      <c r="U45" s="32"/>
      <c r="V45" s="32">
        <v>908001</v>
      </c>
      <c r="W45" s="32">
        <v>91111</v>
      </c>
      <c r="X45" s="32">
        <v>0</v>
      </c>
      <c r="Y45" s="32">
        <v>50</v>
      </c>
      <c r="Z45" s="32">
        <v>1</v>
      </c>
      <c r="AA45" s="32" t="s">
        <v>274</v>
      </c>
      <c r="AB45" s="32" t="s">
        <v>275</v>
      </c>
      <c r="AC45" s="32">
        <v>450</v>
      </c>
      <c r="AD45" s="32">
        <v>1</v>
      </c>
      <c r="AE45" s="32">
        <v>0</v>
      </c>
      <c r="AF45" s="32">
        <v>0</v>
      </c>
      <c r="AG45" s="32" t="s">
        <v>309</v>
      </c>
    </row>
    <row r="46" spans="1:33" s="34" customFormat="1" ht="27" x14ac:dyDescent="0.15">
      <c r="A46" s="60" t="s">
        <v>656</v>
      </c>
      <c r="B46" s="31">
        <v>29</v>
      </c>
      <c r="C46" s="32" t="s">
        <v>279</v>
      </c>
      <c r="D46" s="32" t="s">
        <v>283</v>
      </c>
      <c r="E46" s="32" t="s">
        <v>270</v>
      </c>
      <c r="F46" s="32" t="s">
        <v>327</v>
      </c>
      <c r="G46" s="32"/>
      <c r="H46" s="32" t="s">
        <v>342</v>
      </c>
      <c r="I46" s="32" t="s">
        <v>343</v>
      </c>
      <c r="J46" s="33">
        <v>4972195253799</v>
      </c>
      <c r="K46" s="32">
        <v>500</v>
      </c>
      <c r="L46" s="32">
        <v>500</v>
      </c>
      <c r="M46" s="63" t="str">
        <f t="shared" si="1"/>
        <v>〇</v>
      </c>
      <c r="N46" s="32">
        <v>550</v>
      </c>
      <c r="O46" s="63">
        <f t="shared" si="2"/>
        <v>-50</v>
      </c>
      <c r="P46" s="32"/>
      <c r="Q46" s="32"/>
      <c r="R46" s="32"/>
      <c r="S46" s="32"/>
      <c r="T46" s="32"/>
      <c r="U46" s="32"/>
      <c r="V46" s="32">
        <v>908001</v>
      </c>
      <c r="W46" s="32">
        <v>91111</v>
      </c>
      <c r="X46" s="32">
        <v>0</v>
      </c>
      <c r="Y46" s="32">
        <v>0</v>
      </c>
      <c r="Z46" s="32">
        <v>1</v>
      </c>
      <c r="AA46" s="32" t="s">
        <v>274</v>
      </c>
      <c r="AB46" s="32" t="s">
        <v>275</v>
      </c>
      <c r="AC46" s="32">
        <v>500</v>
      </c>
      <c r="AD46" s="32">
        <v>1</v>
      </c>
      <c r="AE46" s="32">
        <v>0</v>
      </c>
      <c r="AF46" s="32">
        <v>0</v>
      </c>
      <c r="AG46" s="32" t="s">
        <v>309</v>
      </c>
    </row>
    <row r="47" spans="1:33" s="34" customFormat="1" ht="27" x14ac:dyDescent="0.15">
      <c r="A47" s="61" t="s">
        <v>608</v>
      </c>
      <c r="B47" s="31">
        <v>30</v>
      </c>
      <c r="C47" s="32" t="s">
        <v>283</v>
      </c>
      <c r="D47" s="32" t="s">
        <v>269</v>
      </c>
      <c r="E47" s="32" t="s">
        <v>270</v>
      </c>
      <c r="F47" s="32" t="s">
        <v>327</v>
      </c>
      <c r="G47" s="32"/>
      <c r="H47" s="32" t="s">
        <v>344</v>
      </c>
      <c r="I47" s="32" t="s">
        <v>345</v>
      </c>
      <c r="J47" s="33">
        <v>4978260313733</v>
      </c>
      <c r="K47" s="32">
        <v>500</v>
      </c>
      <c r="L47" s="32">
        <v>550</v>
      </c>
      <c r="M47" s="63" t="str">
        <f t="shared" si="1"/>
        <v>〇</v>
      </c>
      <c r="N47" s="32">
        <v>450</v>
      </c>
      <c r="O47" s="63">
        <f t="shared" si="2"/>
        <v>100</v>
      </c>
      <c r="P47" s="32"/>
      <c r="Q47" s="32"/>
      <c r="R47" s="32"/>
      <c r="S47" s="32"/>
      <c r="T47" s="32"/>
      <c r="U47" s="32"/>
      <c r="V47" s="32">
        <v>908001</v>
      </c>
      <c r="W47" s="32">
        <v>91111</v>
      </c>
      <c r="X47" s="32">
        <v>0</v>
      </c>
      <c r="Y47" s="32">
        <v>-50</v>
      </c>
      <c r="Z47" s="32">
        <v>1</v>
      </c>
      <c r="AA47" s="32" t="s">
        <v>274</v>
      </c>
      <c r="AB47" s="32" t="s">
        <v>275</v>
      </c>
      <c r="AC47" s="32">
        <v>550</v>
      </c>
      <c r="AD47" s="32">
        <v>1</v>
      </c>
      <c r="AE47" s="32">
        <v>0</v>
      </c>
      <c r="AF47" s="32">
        <v>0</v>
      </c>
      <c r="AG47" s="32" t="s">
        <v>309</v>
      </c>
    </row>
    <row r="48" spans="1:33" s="34" customFormat="1" ht="27" x14ac:dyDescent="0.15">
      <c r="A48" s="60" t="s">
        <v>654</v>
      </c>
      <c r="B48" s="31">
        <v>31</v>
      </c>
      <c r="C48" s="32" t="s">
        <v>283</v>
      </c>
      <c r="D48" s="32" t="s">
        <v>269</v>
      </c>
      <c r="E48" s="32" t="s">
        <v>270</v>
      </c>
      <c r="F48" s="32" t="s">
        <v>327</v>
      </c>
      <c r="G48" s="32"/>
      <c r="H48" s="32" t="s">
        <v>346</v>
      </c>
      <c r="I48" s="32" t="s">
        <v>347</v>
      </c>
      <c r="J48" s="33">
        <v>4935758056626</v>
      </c>
      <c r="K48" s="32">
        <v>500</v>
      </c>
      <c r="L48" s="32">
        <v>550</v>
      </c>
      <c r="M48" s="63" t="str">
        <f t="shared" si="1"/>
        <v>〇</v>
      </c>
      <c r="N48" s="32">
        <v>500</v>
      </c>
      <c r="O48" s="63">
        <f t="shared" si="2"/>
        <v>50</v>
      </c>
      <c r="P48" s="32"/>
      <c r="Q48" s="32"/>
      <c r="R48" s="32"/>
      <c r="S48" s="32"/>
      <c r="T48" s="32"/>
      <c r="U48" s="32"/>
      <c r="V48" s="32">
        <v>908001</v>
      </c>
      <c r="W48" s="32">
        <v>91111</v>
      </c>
      <c r="X48" s="32">
        <v>0</v>
      </c>
      <c r="Y48" s="32">
        <v>-50</v>
      </c>
      <c r="Z48" s="32">
        <v>1</v>
      </c>
      <c r="AA48" s="32" t="s">
        <v>274</v>
      </c>
      <c r="AB48" s="32" t="s">
        <v>275</v>
      </c>
      <c r="AC48" s="32">
        <v>550</v>
      </c>
      <c r="AD48" s="32">
        <v>1</v>
      </c>
      <c r="AE48" s="32">
        <v>0</v>
      </c>
      <c r="AF48" s="32">
        <v>0</v>
      </c>
      <c r="AG48" s="32" t="s">
        <v>309</v>
      </c>
    </row>
    <row r="49" spans="1:33" s="34" customFormat="1" ht="27" x14ac:dyDescent="0.15">
      <c r="A49" s="61" t="s">
        <v>608</v>
      </c>
      <c r="B49" s="31">
        <v>32</v>
      </c>
      <c r="C49" s="32" t="s">
        <v>283</v>
      </c>
      <c r="D49" s="32" t="s">
        <v>269</v>
      </c>
      <c r="E49" s="32" t="s">
        <v>270</v>
      </c>
      <c r="F49" s="32" t="s">
        <v>327</v>
      </c>
      <c r="G49" s="32"/>
      <c r="H49" s="32" t="s">
        <v>348</v>
      </c>
      <c r="I49" s="32" t="s">
        <v>349</v>
      </c>
      <c r="J49" s="33">
        <v>4974817027443</v>
      </c>
      <c r="K49" s="32">
        <v>500</v>
      </c>
      <c r="L49" s="32">
        <v>600</v>
      </c>
      <c r="M49" s="63" t="str">
        <f t="shared" si="1"/>
        <v>〇</v>
      </c>
      <c r="N49" s="32">
        <v>550</v>
      </c>
      <c r="O49" s="63">
        <f t="shared" si="2"/>
        <v>50</v>
      </c>
      <c r="P49" s="32"/>
      <c r="Q49" s="32"/>
      <c r="R49" s="32"/>
      <c r="S49" s="32"/>
      <c r="T49" s="32"/>
      <c r="U49" s="32"/>
      <c r="V49" s="32">
        <v>908001</v>
      </c>
      <c r="W49" s="32">
        <v>91111</v>
      </c>
      <c r="X49" s="32">
        <v>0</v>
      </c>
      <c r="Y49" s="32">
        <v>-100</v>
      </c>
      <c r="Z49" s="32">
        <v>1</v>
      </c>
      <c r="AA49" s="32" t="s">
        <v>274</v>
      </c>
      <c r="AB49" s="32" t="s">
        <v>275</v>
      </c>
      <c r="AC49" s="32">
        <v>600</v>
      </c>
      <c r="AD49" s="32">
        <v>1</v>
      </c>
      <c r="AE49" s="32">
        <v>0</v>
      </c>
      <c r="AF49" s="32">
        <v>0</v>
      </c>
      <c r="AG49" s="32" t="s">
        <v>309</v>
      </c>
    </row>
    <row r="50" spans="1:33" s="34" customFormat="1" ht="27" x14ac:dyDescent="0.15">
      <c r="A50" s="61" t="s">
        <v>608</v>
      </c>
      <c r="B50" s="31">
        <v>33</v>
      </c>
      <c r="C50" s="32" t="s">
        <v>283</v>
      </c>
      <c r="D50" s="32" t="s">
        <v>279</v>
      </c>
      <c r="E50" s="32" t="s">
        <v>270</v>
      </c>
      <c r="F50" s="32" t="s">
        <v>327</v>
      </c>
      <c r="G50" s="32"/>
      <c r="H50" s="32" t="s">
        <v>350</v>
      </c>
      <c r="I50" s="32" t="s">
        <v>351</v>
      </c>
      <c r="J50" s="33">
        <v>4978260313955</v>
      </c>
      <c r="K50" s="32">
        <v>500</v>
      </c>
      <c r="L50" s="32">
        <v>550</v>
      </c>
      <c r="M50" s="63" t="str">
        <f t="shared" si="1"/>
        <v>〇</v>
      </c>
      <c r="N50" s="32">
        <v>450</v>
      </c>
      <c r="O50" s="63">
        <f t="shared" si="2"/>
        <v>100</v>
      </c>
      <c r="P50" s="32"/>
      <c r="Q50" s="32"/>
      <c r="R50" s="32"/>
      <c r="S50" s="32"/>
      <c r="T50" s="32"/>
      <c r="U50" s="32"/>
      <c r="V50" s="32">
        <v>908001</v>
      </c>
      <c r="W50" s="32">
        <v>91111</v>
      </c>
      <c r="X50" s="32">
        <v>0</v>
      </c>
      <c r="Y50" s="32">
        <v>-50</v>
      </c>
      <c r="Z50" s="32">
        <v>1</v>
      </c>
      <c r="AA50" s="32" t="s">
        <v>274</v>
      </c>
      <c r="AB50" s="32" t="s">
        <v>275</v>
      </c>
      <c r="AC50" s="32">
        <v>550</v>
      </c>
      <c r="AD50" s="32">
        <v>1</v>
      </c>
      <c r="AE50" s="32">
        <v>0</v>
      </c>
      <c r="AF50" s="32">
        <v>0</v>
      </c>
      <c r="AG50" s="32" t="s">
        <v>309</v>
      </c>
    </row>
    <row r="51" spans="1:33" s="34" customFormat="1" ht="27" x14ac:dyDescent="0.15">
      <c r="A51" s="61" t="s">
        <v>608</v>
      </c>
      <c r="B51" s="31">
        <v>34</v>
      </c>
      <c r="C51" s="32" t="s">
        <v>283</v>
      </c>
      <c r="D51" s="32" t="s">
        <v>283</v>
      </c>
      <c r="E51" s="32" t="s">
        <v>270</v>
      </c>
      <c r="F51" s="32" t="s">
        <v>327</v>
      </c>
      <c r="G51" s="32"/>
      <c r="H51" s="32" t="s">
        <v>352</v>
      </c>
      <c r="I51" s="32" t="s">
        <v>353</v>
      </c>
      <c r="J51" s="33">
        <v>4978110016388</v>
      </c>
      <c r="K51" s="32">
        <v>500</v>
      </c>
      <c r="L51" s="32">
        <v>550</v>
      </c>
      <c r="M51" s="63" t="str">
        <f t="shared" si="1"/>
        <v>〇</v>
      </c>
      <c r="N51" s="32">
        <v>450</v>
      </c>
      <c r="O51" s="63">
        <f t="shared" si="2"/>
        <v>100</v>
      </c>
      <c r="P51" s="32"/>
      <c r="Q51" s="32"/>
      <c r="R51" s="32"/>
      <c r="S51" s="32"/>
      <c r="T51" s="32"/>
      <c r="U51" s="32"/>
      <c r="V51" s="32">
        <v>908001</v>
      </c>
      <c r="W51" s="32">
        <v>91111</v>
      </c>
      <c r="X51" s="32">
        <v>0</v>
      </c>
      <c r="Y51" s="32">
        <v>-50</v>
      </c>
      <c r="Z51" s="32">
        <v>1</v>
      </c>
      <c r="AA51" s="32" t="s">
        <v>274</v>
      </c>
      <c r="AB51" s="32" t="s">
        <v>275</v>
      </c>
      <c r="AC51" s="32">
        <v>550</v>
      </c>
      <c r="AD51" s="32">
        <v>1</v>
      </c>
      <c r="AE51" s="32">
        <v>0</v>
      </c>
      <c r="AF51" s="32">
        <v>0</v>
      </c>
      <c r="AG51" s="32" t="s">
        <v>309</v>
      </c>
    </row>
    <row r="52" spans="1:33" s="34" customFormat="1" ht="27" x14ac:dyDescent="0.15">
      <c r="A52" s="60" t="s">
        <v>657</v>
      </c>
      <c r="B52" s="31">
        <v>35</v>
      </c>
      <c r="C52" s="32" t="s">
        <v>269</v>
      </c>
      <c r="D52" s="32" t="s">
        <v>269</v>
      </c>
      <c r="E52" s="32" t="s">
        <v>270</v>
      </c>
      <c r="F52" s="32" t="s">
        <v>354</v>
      </c>
      <c r="G52" s="32"/>
      <c r="H52" s="32" t="s">
        <v>328</v>
      </c>
      <c r="I52" s="32" t="s">
        <v>355</v>
      </c>
      <c r="J52" s="33">
        <v>4935758055476</v>
      </c>
      <c r="K52" s="32">
        <v>500</v>
      </c>
      <c r="L52" s="32">
        <v>450</v>
      </c>
      <c r="M52" s="63" t="str">
        <f t="shared" si="1"/>
        <v>〇</v>
      </c>
      <c r="N52" s="32">
        <v>10</v>
      </c>
      <c r="O52" s="32"/>
      <c r="P52" s="32"/>
      <c r="Q52" s="32"/>
      <c r="R52" s="32"/>
      <c r="S52" s="32"/>
      <c r="T52" s="32"/>
      <c r="U52" s="32"/>
      <c r="V52" s="32">
        <v>908001</v>
      </c>
      <c r="W52" s="32">
        <v>91111</v>
      </c>
      <c r="X52" s="32">
        <v>0</v>
      </c>
      <c r="Y52" s="32">
        <v>50</v>
      </c>
      <c r="Z52" s="32">
        <v>1</v>
      </c>
      <c r="AA52" s="32" t="s">
        <v>274</v>
      </c>
      <c r="AB52" s="32" t="s">
        <v>275</v>
      </c>
      <c r="AC52" s="32">
        <v>450</v>
      </c>
      <c r="AD52" s="32">
        <v>1</v>
      </c>
      <c r="AE52" s="32">
        <v>0</v>
      </c>
      <c r="AF52" s="32">
        <v>0</v>
      </c>
      <c r="AG52" s="32" t="s">
        <v>309</v>
      </c>
    </row>
    <row r="53" spans="1:33" s="34" customFormat="1" ht="27" x14ac:dyDescent="0.15">
      <c r="A53" s="60" t="s">
        <v>657</v>
      </c>
      <c r="B53" s="31">
        <v>36</v>
      </c>
      <c r="C53" s="32" t="s">
        <v>279</v>
      </c>
      <c r="D53" s="32" t="s">
        <v>269</v>
      </c>
      <c r="E53" s="32" t="s">
        <v>270</v>
      </c>
      <c r="F53" s="32" t="s">
        <v>354</v>
      </c>
      <c r="G53" s="32"/>
      <c r="H53" s="32" t="s">
        <v>356</v>
      </c>
      <c r="I53" s="32" t="s">
        <v>357</v>
      </c>
      <c r="J53" s="33">
        <v>4902046933709</v>
      </c>
      <c r="K53" s="32">
        <v>500</v>
      </c>
      <c r="L53" s="32">
        <v>500</v>
      </c>
      <c r="M53" s="63" t="str">
        <f t="shared" si="1"/>
        <v>〇</v>
      </c>
      <c r="N53" s="32">
        <v>10</v>
      </c>
      <c r="O53" s="32"/>
      <c r="P53" s="32"/>
      <c r="Q53" s="32"/>
      <c r="R53" s="32"/>
      <c r="S53" s="32"/>
      <c r="T53" s="32"/>
      <c r="U53" s="32"/>
      <c r="V53" s="32">
        <v>908001</v>
      </c>
      <c r="W53" s="32">
        <v>91111</v>
      </c>
      <c r="X53" s="32">
        <v>0</v>
      </c>
      <c r="Y53" s="32">
        <v>0</v>
      </c>
      <c r="Z53" s="32">
        <v>1</v>
      </c>
      <c r="AA53" s="32" t="s">
        <v>274</v>
      </c>
      <c r="AB53" s="32" t="s">
        <v>275</v>
      </c>
      <c r="AC53" s="32">
        <v>500</v>
      </c>
      <c r="AD53" s="32">
        <v>1</v>
      </c>
      <c r="AE53" s="32">
        <v>0</v>
      </c>
      <c r="AF53" s="32">
        <v>0</v>
      </c>
      <c r="AG53" s="32" t="s">
        <v>309</v>
      </c>
    </row>
    <row r="54" spans="1:33" s="34" customFormat="1" ht="27" x14ac:dyDescent="0.15">
      <c r="A54" s="60" t="s">
        <v>657</v>
      </c>
      <c r="B54" s="31">
        <v>37</v>
      </c>
      <c r="C54" s="32" t="s">
        <v>283</v>
      </c>
      <c r="D54" s="32" t="s">
        <v>269</v>
      </c>
      <c r="E54" s="32" t="s">
        <v>270</v>
      </c>
      <c r="F54" s="32" t="s">
        <v>354</v>
      </c>
      <c r="G54" s="32"/>
      <c r="H54" s="32" t="s">
        <v>344</v>
      </c>
      <c r="I54" s="32" t="s">
        <v>358</v>
      </c>
      <c r="J54" s="33">
        <v>4978110022211</v>
      </c>
      <c r="K54" s="32">
        <v>500</v>
      </c>
      <c r="L54" s="32">
        <v>550</v>
      </c>
      <c r="M54" s="63" t="str">
        <f t="shared" si="1"/>
        <v>〇</v>
      </c>
      <c r="N54" s="32">
        <v>10</v>
      </c>
      <c r="O54" s="32"/>
      <c r="P54" s="32"/>
      <c r="Q54" s="32"/>
      <c r="R54" s="32"/>
      <c r="S54" s="32"/>
      <c r="T54" s="32"/>
      <c r="U54" s="32"/>
      <c r="V54" s="32">
        <v>908001</v>
      </c>
      <c r="W54" s="32">
        <v>91111</v>
      </c>
      <c r="X54" s="32">
        <v>0</v>
      </c>
      <c r="Y54" s="32">
        <v>-50</v>
      </c>
      <c r="Z54" s="32">
        <v>1</v>
      </c>
      <c r="AA54" s="32" t="s">
        <v>274</v>
      </c>
      <c r="AB54" s="32" t="s">
        <v>275</v>
      </c>
      <c r="AC54" s="32">
        <v>550</v>
      </c>
      <c r="AD54" s="32">
        <v>1</v>
      </c>
      <c r="AE54" s="32">
        <v>0</v>
      </c>
      <c r="AF54" s="32">
        <v>0</v>
      </c>
      <c r="AG54" s="32" t="s">
        <v>309</v>
      </c>
    </row>
    <row r="55" spans="1:33" s="34" customFormat="1" ht="27" x14ac:dyDescent="0.15">
      <c r="A55" s="61" t="s">
        <v>608</v>
      </c>
      <c r="B55" s="31">
        <v>38</v>
      </c>
      <c r="C55" s="32" t="s">
        <v>269</v>
      </c>
      <c r="D55" s="32" t="s">
        <v>269</v>
      </c>
      <c r="E55" s="32" t="s">
        <v>270</v>
      </c>
      <c r="F55" s="32" t="s">
        <v>359</v>
      </c>
      <c r="G55" s="32"/>
      <c r="H55" s="32" t="s">
        <v>328</v>
      </c>
      <c r="I55" s="32" t="s">
        <v>360</v>
      </c>
      <c r="J55" s="33">
        <v>4978110017071</v>
      </c>
      <c r="K55" s="32">
        <v>500</v>
      </c>
      <c r="L55" s="32">
        <v>450</v>
      </c>
      <c r="M55" s="63" t="str">
        <f t="shared" si="1"/>
        <v>〇</v>
      </c>
      <c r="N55" s="32">
        <v>50</v>
      </c>
      <c r="O55" s="32"/>
      <c r="P55" s="32"/>
      <c r="Q55" s="32"/>
      <c r="R55" s="32"/>
      <c r="S55" s="32"/>
      <c r="T55" s="32"/>
      <c r="U55" s="32"/>
      <c r="V55" s="32">
        <v>908001</v>
      </c>
      <c r="W55" s="32">
        <v>91111</v>
      </c>
      <c r="X55" s="32">
        <v>0</v>
      </c>
      <c r="Y55" s="32">
        <v>50</v>
      </c>
      <c r="Z55" s="32">
        <v>1</v>
      </c>
      <c r="AA55" s="32" t="s">
        <v>274</v>
      </c>
      <c r="AB55" s="32" t="s">
        <v>275</v>
      </c>
      <c r="AC55" s="32">
        <v>450</v>
      </c>
      <c r="AD55" s="32">
        <v>1</v>
      </c>
      <c r="AE55" s="32">
        <v>0</v>
      </c>
      <c r="AF55" s="32">
        <v>0</v>
      </c>
      <c r="AG55" s="32" t="s">
        <v>309</v>
      </c>
    </row>
    <row r="56" spans="1:33" s="34" customFormat="1" ht="27" x14ac:dyDescent="0.15">
      <c r="A56" s="61" t="s">
        <v>608</v>
      </c>
      <c r="B56" s="31">
        <v>39</v>
      </c>
      <c r="C56" s="32" t="s">
        <v>279</v>
      </c>
      <c r="D56" s="32" t="s">
        <v>269</v>
      </c>
      <c r="E56" s="32" t="s">
        <v>270</v>
      </c>
      <c r="F56" s="32" t="s">
        <v>359</v>
      </c>
      <c r="G56" s="32"/>
      <c r="H56" s="32" t="s">
        <v>356</v>
      </c>
      <c r="I56" s="32" t="s">
        <v>361</v>
      </c>
      <c r="J56" s="33">
        <v>4902046075058</v>
      </c>
      <c r="K56" s="32">
        <v>500</v>
      </c>
      <c r="L56" s="32">
        <v>500</v>
      </c>
      <c r="M56" s="63" t="str">
        <f t="shared" si="1"/>
        <v>〇</v>
      </c>
      <c r="N56" s="32">
        <v>50</v>
      </c>
      <c r="O56" s="32"/>
      <c r="P56" s="32"/>
      <c r="Q56" s="32"/>
      <c r="R56" s="32"/>
      <c r="S56" s="32"/>
      <c r="T56" s="32"/>
      <c r="U56" s="32"/>
      <c r="V56" s="32">
        <v>908001</v>
      </c>
      <c r="W56" s="32">
        <v>91111</v>
      </c>
      <c r="X56" s="32">
        <v>0</v>
      </c>
      <c r="Y56" s="32">
        <v>0</v>
      </c>
      <c r="Z56" s="32">
        <v>1</v>
      </c>
      <c r="AA56" s="32" t="s">
        <v>274</v>
      </c>
      <c r="AB56" s="32" t="s">
        <v>275</v>
      </c>
      <c r="AC56" s="32">
        <v>500</v>
      </c>
      <c r="AD56" s="32">
        <v>1</v>
      </c>
      <c r="AE56" s="32">
        <v>0</v>
      </c>
      <c r="AF56" s="32">
        <v>0</v>
      </c>
      <c r="AG56" s="32" t="s">
        <v>309</v>
      </c>
    </row>
    <row r="57" spans="1:33" s="34" customFormat="1" ht="27" x14ac:dyDescent="0.15">
      <c r="A57" s="61" t="s">
        <v>608</v>
      </c>
      <c r="B57" s="31">
        <v>40</v>
      </c>
      <c r="C57" s="32" t="s">
        <v>283</v>
      </c>
      <c r="D57" s="32" t="s">
        <v>269</v>
      </c>
      <c r="E57" s="32" t="s">
        <v>270</v>
      </c>
      <c r="F57" s="32" t="s">
        <v>359</v>
      </c>
      <c r="G57" s="32"/>
      <c r="H57" s="32" t="s">
        <v>344</v>
      </c>
      <c r="I57" s="32" t="s">
        <v>362</v>
      </c>
      <c r="J57" s="33">
        <v>4975881201647</v>
      </c>
      <c r="K57" s="32">
        <v>500</v>
      </c>
      <c r="L57" s="32">
        <v>550</v>
      </c>
      <c r="M57" s="63" t="str">
        <f t="shared" si="1"/>
        <v>〇</v>
      </c>
      <c r="N57" s="32">
        <v>50</v>
      </c>
      <c r="O57" s="32"/>
      <c r="P57" s="32"/>
      <c r="Q57" s="32"/>
      <c r="R57" s="32"/>
      <c r="S57" s="32"/>
      <c r="T57" s="32"/>
      <c r="U57" s="32"/>
      <c r="V57" s="32">
        <v>908001</v>
      </c>
      <c r="W57" s="32">
        <v>91111</v>
      </c>
      <c r="X57" s="32">
        <v>0</v>
      </c>
      <c r="Y57" s="32">
        <v>-50</v>
      </c>
      <c r="Z57" s="32">
        <v>1</v>
      </c>
      <c r="AA57" s="32" t="s">
        <v>274</v>
      </c>
      <c r="AB57" s="32" t="s">
        <v>275</v>
      </c>
      <c r="AC57" s="32">
        <v>550</v>
      </c>
      <c r="AD57" s="32">
        <v>1</v>
      </c>
      <c r="AE57" s="32">
        <v>0</v>
      </c>
      <c r="AF57" s="32">
        <v>0</v>
      </c>
      <c r="AG57" s="32" t="s">
        <v>309</v>
      </c>
    </row>
    <row r="58" spans="1:33" s="34" customFormat="1" x14ac:dyDescent="0.15">
      <c r="A58" s="60" t="s">
        <v>639</v>
      </c>
      <c r="B58" s="31">
        <v>41</v>
      </c>
      <c r="C58" s="32" t="s">
        <v>269</v>
      </c>
      <c r="D58" s="32" t="s">
        <v>269</v>
      </c>
      <c r="E58" s="32" t="s">
        <v>270</v>
      </c>
      <c r="F58" s="32" t="s">
        <v>363</v>
      </c>
      <c r="G58" s="32"/>
      <c r="H58" s="32" t="s">
        <v>328</v>
      </c>
      <c r="I58" s="32" t="s">
        <v>364</v>
      </c>
      <c r="J58" s="33">
        <v>4976912201551</v>
      </c>
      <c r="K58" s="32">
        <v>500</v>
      </c>
      <c r="L58" s="32">
        <v>450</v>
      </c>
      <c r="M58" s="63" t="str">
        <f t="shared" si="1"/>
        <v>〇</v>
      </c>
      <c r="N58" s="32">
        <v>400</v>
      </c>
      <c r="O58" s="63">
        <f>L58-N58</f>
        <v>50</v>
      </c>
      <c r="P58" s="32"/>
      <c r="Q58" s="32"/>
      <c r="R58" s="32"/>
      <c r="S58" s="32"/>
      <c r="T58" s="32"/>
      <c r="U58" s="32"/>
      <c r="V58" s="32">
        <v>908002</v>
      </c>
      <c r="W58" s="32">
        <v>91111</v>
      </c>
      <c r="X58" s="32">
        <v>0</v>
      </c>
      <c r="Y58" s="32">
        <v>50</v>
      </c>
      <c r="Z58" s="32">
        <v>1</v>
      </c>
      <c r="AA58" s="32" t="s">
        <v>274</v>
      </c>
      <c r="AB58" s="32" t="s">
        <v>275</v>
      </c>
      <c r="AC58" s="32">
        <v>450</v>
      </c>
      <c r="AD58" s="32">
        <v>1</v>
      </c>
      <c r="AE58" s="32">
        <v>0</v>
      </c>
      <c r="AF58" s="32">
        <v>0</v>
      </c>
      <c r="AG58" s="32" t="s">
        <v>309</v>
      </c>
    </row>
    <row r="59" spans="1:33" s="34" customFormat="1" x14ac:dyDescent="0.15">
      <c r="A59" s="60" t="s">
        <v>640</v>
      </c>
      <c r="B59" s="31">
        <v>42</v>
      </c>
      <c r="C59" s="32" t="s">
        <v>269</v>
      </c>
      <c r="D59" s="32" t="s">
        <v>279</v>
      </c>
      <c r="E59" s="32" t="s">
        <v>270</v>
      </c>
      <c r="F59" s="32" t="s">
        <v>363</v>
      </c>
      <c r="G59" s="32"/>
      <c r="H59" s="32" t="s">
        <v>330</v>
      </c>
      <c r="I59" s="32" t="s">
        <v>365</v>
      </c>
      <c r="J59" s="33">
        <v>4978130519623</v>
      </c>
      <c r="K59" s="32">
        <v>500</v>
      </c>
      <c r="L59" s="32">
        <v>450</v>
      </c>
      <c r="M59" s="63" t="str">
        <f t="shared" si="1"/>
        <v>〇</v>
      </c>
      <c r="N59" s="32">
        <v>450</v>
      </c>
      <c r="O59" s="63">
        <f t="shared" ref="O59:O70" si="3">L59-N59</f>
        <v>0</v>
      </c>
      <c r="P59" s="32"/>
      <c r="Q59" s="32"/>
      <c r="R59" s="32"/>
      <c r="S59" s="32"/>
      <c r="T59" s="32"/>
      <c r="U59" s="32"/>
      <c r="V59" s="32">
        <v>908002</v>
      </c>
      <c r="W59" s="32">
        <v>91111</v>
      </c>
      <c r="X59" s="32">
        <v>0</v>
      </c>
      <c r="Y59" s="32">
        <v>50</v>
      </c>
      <c r="Z59" s="32">
        <v>1</v>
      </c>
      <c r="AA59" s="32" t="s">
        <v>274</v>
      </c>
      <c r="AB59" s="32" t="s">
        <v>275</v>
      </c>
      <c r="AC59" s="32">
        <v>450</v>
      </c>
      <c r="AD59" s="32">
        <v>1</v>
      </c>
      <c r="AE59" s="32">
        <v>0</v>
      </c>
      <c r="AF59" s="32">
        <v>0</v>
      </c>
      <c r="AG59" s="32" t="s">
        <v>309</v>
      </c>
    </row>
    <row r="60" spans="1:33" s="34" customFormat="1" x14ac:dyDescent="0.15">
      <c r="A60" s="60" t="s">
        <v>641</v>
      </c>
      <c r="B60" s="31">
        <v>43</v>
      </c>
      <c r="C60" s="32" t="s">
        <v>269</v>
      </c>
      <c r="D60" s="32" t="s">
        <v>283</v>
      </c>
      <c r="E60" s="32" t="s">
        <v>270</v>
      </c>
      <c r="F60" s="32" t="s">
        <v>363</v>
      </c>
      <c r="G60" s="32"/>
      <c r="H60" s="32" t="s">
        <v>332</v>
      </c>
      <c r="I60" s="32" t="s">
        <v>366</v>
      </c>
      <c r="J60" s="33">
        <v>4935758055537</v>
      </c>
      <c r="K60" s="32">
        <v>500</v>
      </c>
      <c r="L60" s="32">
        <v>400</v>
      </c>
      <c r="M60" s="63" t="str">
        <f t="shared" si="1"/>
        <v>〇</v>
      </c>
      <c r="N60" s="32">
        <v>450</v>
      </c>
      <c r="O60" s="63">
        <f t="shared" si="3"/>
        <v>-50</v>
      </c>
      <c r="P60" s="32"/>
      <c r="Q60" s="32"/>
      <c r="R60" s="32"/>
      <c r="S60" s="32"/>
      <c r="T60" s="32"/>
      <c r="U60" s="32"/>
      <c r="V60" s="32">
        <v>908002</v>
      </c>
      <c r="W60" s="32">
        <v>91111</v>
      </c>
      <c r="X60" s="32">
        <v>0</v>
      </c>
      <c r="Y60" s="32">
        <v>100</v>
      </c>
      <c r="Z60" s="32">
        <v>1</v>
      </c>
      <c r="AA60" s="32" t="s">
        <v>274</v>
      </c>
      <c r="AB60" s="32" t="s">
        <v>275</v>
      </c>
      <c r="AC60" s="32">
        <v>400</v>
      </c>
      <c r="AD60" s="32">
        <v>1</v>
      </c>
      <c r="AE60" s="32">
        <v>0</v>
      </c>
      <c r="AF60" s="32">
        <v>0</v>
      </c>
      <c r="AG60" s="32" t="s">
        <v>309</v>
      </c>
    </row>
    <row r="61" spans="1:33" s="34" customFormat="1" x14ac:dyDescent="0.15">
      <c r="A61" s="60" t="s">
        <v>641</v>
      </c>
      <c r="B61" s="31">
        <v>44</v>
      </c>
      <c r="C61" s="32" t="s">
        <v>269</v>
      </c>
      <c r="D61" s="32" t="s">
        <v>283</v>
      </c>
      <c r="E61" s="32" t="s">
        <v>270</v>
      </c>
      <c r="F61" s="32" t="s">
        <v>363</v>
      </c>
      <c r="G61" s="32"/>
      <c r="H61" s="32" t="s">
        <v>334</v>
      </c>
      <c r="I61" s="32" t="s">
        <v>367</v>
      </c>
      <c r="J61" s="33">
        <v>4935758055841</v>
      </c>
      <c r="K61" s="32">
        <v>500</v>
      </c>
      <c r="L61" s="32">
        <v>450</v>
      </c>
      <c r="M61" s="63" t="str">
        <f t="shared" si="1"/>
        <v>〇</v>
      </c>
      <c r="N61" s="32">
        <v>500</v>
      </c>
      <c r="O61" s="63">
        <f t="shared" si="3"/>
        <v>-50</v>
      </c>
      <c r="P61" s="32"/>
      <c r="Q61" s="32"/>
      <c r="R61" s="32"/>
      <c r="S61" s="32"/>
      <c r="T61" s="32"/>
      <c r="U61" s="32"/>
      <c r="V61" s="32">
        <v>908002</v>
      </c>
      <c r="W61" s="32">
        <v>91111</v>
      </c>
      <c r="X61" s="32">
        <v>0</v>
      </c>
      <c r="Y61" s="32">
        <v>50</v>
      </c>
      <c r="Z61" s="32">
        <v>1</v>
      </c>
      <c r="AA61" s="32" t="s">
        <v>274</v>
      </c>
      <c r="AB61" s="32" t="s">
        <v>275</v>
      </c>
      <c r="AC61" s="32">
        <v>450</v>
      </c>
      <c r="AD61" s="32">
        <v>1</v>
      </c>
      <c r="AE61" s="32">
        <v>0</v>
      </c>
      <c r="AF61" s="32">
        <v>0</v>
      </c>
      <c r="AG61" s="32" t="s">
        <v>309</v>
      </c>
    </row>
    <row r="62" spans="1:33" s="34" customFormat="1" x14ac:dyDescent="0.15">
      <c r="A62" s="61" t="s">
        <v>608</v>
      </c>
      <c r="B62" s="31">
        <v>45</v>
      </c>
      <c r="C62" s="32" t="s">
        <v>269</v>
      </c>
      <c r="D62" s="32" t="s">
        <v>283</v>
      </c>
      <c r="E62" s="32" t="s">
        <v>270</v>
      </c>
      <c r="F62" s="32" t="s">
        <v>363</v>
      </c>
      <c r="G62" s="32"/>
      <c r="H62" s="32" t="s">
        <v>336</v>
      </c>
      <c r="I62" s="32" t="s">
        <v>368</v>
      </c>
      <c r="J62" s="33">
        <v>4935758055810</v>
      </c>
      <c r="K62" s="32">
        <v>500</v>
      </c>
      <c r="L62" s="32">
        <v>450</v>
      </c>
      <c r="M62" s="63" t="str">
        <f t="shared" si="1"/>
        <v>〇</v>
      </c>
      <c r="N62" s="32">
        <v>550</v>
      </c>
      <c r="O62" s="63">
        <f t="shared" si="3"/>
        <v>-100</v>
      </c>
      <c r="P62" s="32"/>
      <c r="Q62" s="32"/>
      <c r="R62" s="32"/>
      <c r="S62" s="32"/>
      <c r="T62" s="32"/>
      <c r="U62" s="32"/>
      <c r="V62" s="32">
        <v>908002</v>
      </c>
      <c r="W62" s="32">
        <v>91111</v>
      </c>
      <c r="X62" s="32">
        <v>0</v>
      </c>
      <c r="Y62" s="32">
        <v>50</v>
      </c>
      <c r="Z62" s="32">
        <v>1</v>
      </c>
      <c r="AA62" s="32" t="s">
        <v>274</v>
      </c>
      <c r="AB62" s="32" t="s">
        <v>275</v>
      </c>
      <c r="AC62" s="32">
        <v>450</v>
      </c>
      <c r="AD62" s="32">
        <v>1</v>
      </c>
      <c r="AE62" s="32">
        <v>0</v>
      </c>
      <c r="AF62" s="32">
        <v>0</v>
      </c>
      <c r="AG62" s="32" t="s">
        <v>309</v>
      </c>
    </row>
    <row r="63" spans="1:33" s="34" customFormat="1" x14ac:dyDescent="0.15">
      <c r="A63" s="61" t="s">
        <v>608</v>
      </c>
      <c r="B63" s="31">
        <v>46</v>
      </c>
      <c r="C63" s="32" t="s">
        <v>279</v>
      </c>
      <c r="D63" s="32" t="s">
        <v>269</v>
      </c>
      <c r="E63" s="32" t="s">
        <v>270</v>
      </c>
      <c r="F63" s="32" t="s">
        <v>363</v>
      </c>
      <c r="G63" s="32"/>
      <c r="H63" s="32" t="s">
        <v>338</v>
      </c>
      <c r="I63" s="32" t="s">
        <v>369</v>
      </c>
      <c r="J63" s="33">
        <v>4935758056183</v>
      </c>
      <c r="K63" s="32">
        <v>500</v>
      </c>
      <c r="L63" s="32">
        <v>450</v>
      </c>
      <c r="M63" s="63" t="str">
        <f t="shared" si="1"/>
        <v>〇</v>
      </c>
      <c r="N63" s="32">
        <v>450</v>
      </c>
      <c r="O63" s="63">
        <f t="shared" si="3"/>
        <v>0</v>
      </c>
      <c r="P63" s="32"/>
      <c r="Q63" s="32"/>
      <c r="R63" s="32"/>
      <c r="S63" s="32"/>
      <c r="T63" s="32"/>
      <c r="U63" s="32"/>
      <c r="V63" s="32">
        <v>908002</v>
      </c>
      <c r="W63" s="32">
        <v>91111</v>
      </c>
      <c r="X63" s="32">
        <v>0</v>
      </c>
      <c r="Y63" s="32">
        <v>50</v>
      </c>
      <c r="Z63" s="32">
        <v>1</v>
      </c>
      <c r="AA63" s="32" t="s">
        <v>274</v>
      </c>
      <c r="AB63" s="32" t="s">
        <v>275</v>
      </c>
      <c r="AC63" s="32">
        <v>450</v>
      </c>
      <c r="AD63" s="32">
        <v>1</v>
      </c>
      <c r="AE63" s="32">
        <v>0</v>
      </c>
      <c r="AF63" s="32">
        <v>0</v>
      </c>
      <c r="AG63" s="32" t="s">
        <v>309</v>
      </c>
    </row>
    <row r="64" spans="1:33" s="34" customFormat="1" x14ac:dyDescent="0.15">
      <c r="A64" s="61" t="s">
        <v>608</v>
      </c>
      <c r="B64" s="31">
        <v>47</v>
      </c>
      <c r="C64" s="32" t="s">
        <v>279</v>
      </c>
      <c r="D64" s="32" t="s">
        <v>279</v>
      </c>
      <c r="E64" s="32" t="s">
        <v>270</v>
      </c>
      <c r="F64" s="32" t="s">
        <v>363</v>
      </c>
      <c r="G64" s="32"/>
      <c r="H64" s="32" t="s">
        <v>340</v>
      </c>
      <c r="I64" s="32" t="s">
        <v>370</v>
      </c>
      <c r="J64" s="33">
        <v>4978110026776</v>
      </c>
      <c r="K64" s="32">
        <v>500</v>
      </c>
      <c r="L64" s="32">
        <v>450</v>
      </c>
      <c r="M64" s="63" t="str">
        <f t="shared" si="1"/>
        <v>〇</v>
      </c>
      <c r="N64" s="32">
        <v>450</v>
      </c>
      <c r="O64" s="63">
        <f t="shared" si="3"/>
        <v>0</v>
      </c>
      <c r="P64" s="32"/>
      <c r="Q64" s="32"/>
      <c r="R64" s="32"/>
      <c r="S64" s="32"/>
      <c r="T64" s="32"/>
      <c r="U64" s="32"/>
      <c r="V64" s="32">
        <v>908002</v>
      </c>
      <c r="W64" s="32">
        <v>91111</v>
      </c>
      <c r="X64" s="32">
        <v>0</v>
      </c>
      <c r="Y64" s="32">
        <v>50</v>
      </c>
      <c r="Z64" s="32">
        <v>1</v>
      </c>
      <c r="AA64" s="32" t="s">
        <v>274</v>
      </c>
      <c r="AB64" s="32" t="s">
        <v>275</v>
      </c>
      <c r="AC64" s="32">
        <v>450</v>
      </c>
      <c r="AD64" s="32">
        <v>1</v>
      </c>
      <c r="AE64" s="32">
        <v>0</v>
      </c>
      <c r="AF64" s="32">
        <v>0</v>
      </c>
      <c r="AG64" s="32" t="s">
        <v>309</v>
      </c>
    </row>
    <row r="65" spans="1:33" s="34" customFormat="1" x14ac:dyDescent="0.15">
      <c r="A65" s="60" t="s">
        <v>641</v>
      </c>
      <c r="B65" s="31">
        <v>48</v>
      </c>
      <c r="C65" s="32" t="s">
        <v>279</v>
      </c>
      <c r="D65" s="32" t="s">
        <v>283</v>
      </c>
      <c r="E65" s="32" t="s">
        <v>270</v>
      </c>
      <c r="F65" s="32" t="s">
        <v>363</v>
      </c>
      <c r="G65" s="32"/>
      <c r="H65" s="32" t="s">
        <v>342</v>
      </c>
      <c r="I65" s="32" t="s">
        <v>371</v>
      </c>
      <c r="J65" s="33">
        <v>4978110014582</v>
      </c>
      <c r="K65" s="32">
        <v>500</v>
      </c>
      <c r="L65" s="32">
        <v>500</v>
      </c>
      <c r="M65" s="63" t="str">
        <f t="shared" si="1"/>
        <v>〇</v>
      </c>
      <c r="N65" s="32">
        <v>550</v>
      </c>
      <c r="O65" s="63">
        <f t="shared" si="3"/>
        <v>-50</v>
      </c>
      <c r="P65" s="32"/>
      <c r="Q65" s="32"/>
      <c r="R65" s="32"/>
      <c r="S65" s="32"/>
      <c r="T65" s="32"/>
      <c r="U65" s="32"/>
      <c r="V65" s="32">
        <v>908002</v>
      </c>
      <c r="W65" s="32">
        <v>91111</v>
      </c>
      <c r="X65" s="32">
        <v>0</v>
      </c>
      <c r="Y65" s="32">
        <v>0</v>
      </c>
      <c r="Z65" s="32">
        <v>1</v>
      </c>
      <c r="AA65" s="32" t="s">
        <v>274</v>
      </c>
      <c r="AB65" s="32" t="s">
        <v>275</v>
      </c>
      <c r="AC65" s="32">
        <v>500</v>
      </c>
      <c r="AD65" s="32">
        <v>1</v>
      </c>
      <c r="AE65" s="32">
        <v>0</v>
      </c>
      <c r="AF65" s="32">
        <v>0</v>
      </c>
      <c r="AG65" s="32" t="s">
        <v>309</v>
      </c>
    </row>
    <row r="66" spans="1:33" s="34" customFormat="1" x14ac:dyDescent="0.15">
      <c r="A66" s="61" t="s">
        <v>608</v>
      </c>
      <c r="B66" s="31">
        <v>49</v>
      </c>
      <c r="C66" s="32" t="s">
        <v>283</v>
      </c>
      <c r="D66" s="32" t="s">
        <v>269</v>
      </c>
      <c r="E66" s="32" t="s">
        <v>270</v>
      </c>
      <c r="F66" s="32" t="s">
        <v>363</v>
      </c>
      <c r="G66" s="32"/>
      <c r="H66" s="32" t="s">
        <v>344</v>
      </c>
      <c r="I66" s="32" t="s">
        <v>372</v>
      </c>
      <c r="J66" s="33">
        <v>4903250599156</v>
      </c>
      <c r="K66" s="32">
        <v>500</v>
      </c>
      <c r="L66" s="32">
        <v>550</v>
      </c>
      <c r="M66" s="63" t="str">
        <f t="shared" si="1"/>
        <v>〇</v>
      </c>
      <c r="N66" s="32">
        <v>450</v>
      </c>
      <c r="O66" s="63">
        <f t="shared" si="3"/>
        <v>100</v>
      </c>
      <c r="P66" s="32"/>
      <c r="Q66" s="32"/>
      <c r="R66" s="32"/>
      <c r="S66" s="32"/>
      <c r="T66" s="32"/>
      <c r="U66" s="32"/>
      <c r="V66" s="32">
        <v>908002</v>
      </c>
      <c r="W66" s="32">
        <v>91111</v>
      </c>
      <c r="X66" s="32">
        <v>0</v>
      </c>
      <c r="Y66" s="32">
        <v>-50</v>
      </c>
      <c r="Z66" s="32">
        <v>1</v>
      </c>
      <c r="AA66" s="32" t="s">
        <v>274</v>
      </c>
      <c r="AB66" s="32" t="s">
        <v>275</v>
      </c>
      <c r="AC66" s="32">
        <v>550</v>
      </c>
      <c r="AD66" s="32">
        <v>1</v>
      </c>
      <c r="AE66" s="32">
        <v>0</v>
      </c>
      <c r="AF66" s="32">
        <v>0</v>
      </c>
      <c r="AG66" s="32" t="s">
        <v>309</v>
      </c>
    </row>
    <row r="67" spans="1:33" s="34" customFormat="1" x14ac:dyDescent="0.15">
      <c r="A67" s="60" t="s">
        <v>639</v>
      </c>
      <c r="B67" s="31">
        <v>50</v>
      </c>
      <c r="C67" s="32" t="s">
        <v>283</v>
      </c>
      <c r="D67" s="32" t="s">
        <v>269</v>
      </c>
      <c r="E67" s="32" t="s">
        <v>270</v>
      </c>
      <c r="F67" s="32" t="s">
        <v>363</v>
      </c>
      <c r="G67" s="32"/>
      <c r="H67" s="32" t="s">
        <v>346</v>
      </c>
      <c r="I67" s="32" t="s">
        <v>373</v>
      </c>
      <c r="J67" s="33">
        <v>4978110417116</v>
      </c>
      <c r="K67" s="32">
        <v>500</v>
      </c>
      <c r="L67" s="32">
        <v>550</v>
      </c>
      <c r="M67" s="63" t="str">
        <f t="shared" si="1"/>
        <v>〇</v>
      </c>
      <c r="N67" s="32">
        <v>500</v>
      </c>
      <c r="O67" s="63">
        <f t="shared" si="3"/>
        <v>50</v>
      </c>
      <c r="P67" s="32"/>
      <c r="Q67" s="32"/>
      <c r="R67" s="32"/>
      <c r="S67" s="32"/>
      <c r="T67" s="32"/>
      <c r="U67" s="32"/>
      <c r="V67" s="32">
        <v>908002</v>
      </c>
      <c r="W67" s="32">
        <v>91111</v>
      </c>
      <c r="X67" s="32">
        <v>0</v>
      </c>
      <c r="Y67" s="32">
        <v>-50</v>
      </c>
      <c r="Z67" s="32">
        <v>1</v>
      </c>
      <c r="AA67" s="32" t="s">
        <v>274</v>
      </c>
      <c r="AB67" s="32" t="s">
        <v>275</v>
      </c>
      <c r="AC67" s="32">
        <v>550</v>
      </c>
      <c r="AD67" s="32">
        <v>1</v>
      </c>
      <c r="AE67" s="32">
        <v>0</v>
      </c>
      <c r="AF67" s="32">
        <v>0</v>
      </c>
      <c r="AG67" s="32" t="s">
        <v>309</v>
      </c>
    </row>
    <row r="68" spans="1:33" s="34" customFormat="1" x14ac:dyDescent="0.15">
      <c r="A68" s="61" t="s">
        <v>608</v>
      </c>
      <c r="B68" s="31">
        <v>51</v>
      </c>
      <c r="C68" s="32" t="s">
        <v>283</v>
      </c>
      <c r="D68" s="32" t="s">
        <v>269</v>
      </c>
      <c r="E68" s="32" t="s">
        <v>270</v>
      </c>
      <c r="F68" s="32" t="s">
        <v>363</v>
      </c>
      <c r="G68" s="32"/>
      <c r="H68" s="32" t="s">
        <v>348</v>
      </c>
      <c r="I68" s="32" t="s">
        <v>374</v>
      </c>
      <c r="J68" s="33">
        <v>4902046800483</v>
      </c>
      <c r="K68" s="32">
        <v>500</v>
      </c>
      <c r="L68" s="32">
        <v>600</v>
      </c>
      <c r="M68" s="63" t="str">
        <f t="shared" si="1"/>
        <v>〇</v>
      </c>
      <c r="N68" s="32">
        <v>550</v>
      </c>
      <c r="O68" s="63">
        <f t="shared" si="3"/>
        <v>50</v>
      </c>
      <c r="P68" s="32"/>
      <c r="Q68" s="32"/>
      <c r="R68" s="32"/>
      <c r="S68" s="32"/>
      <c r="T68" s="32"/>
      <c r="U68" s="32"/>
      <c r="V68" s="32">
        <v>908002</v>
      </c>
      <c r="W68" s="32">
        <v>91111</v>
      </c>
      <c r="X68" s="32">
        <v>0</v>
      </c>
      <c r="Y68" s="32">
        <v>-100</v>
      </c>
      <c r="Z68" s="32">
        <v>1</v>
      </c>
      <c r="AA68" s="32" t="s">
        <v>274</v>
      </c>
      <c r="AB68" s="32" t="s">
        <v>275</v>
      </c>
      <c r="AC68" s="32">
        <v>600</v>
      </c>
      <c r="AD68" s="32">
        <v>1</v>
      </c>
      <c r="AE68" s="32">
        <v>0</v>
      </c>
      <c r="AF68" s="32">
        <v>0</v>
      </c>
      <c r="AG68" s="32" t="s">
        <v>309</v>
      </c>
    </row>
    <row r="69" spans="1:33" s="34" customFormat="1" x14ac:dyDescent="0.15">
      <c r="A69" s="61" t="s">
        <v>608</v>
      </c>
      <c r="B69" s="31">
        <v>52</v>
      </c>
      <c r="C69" s="32" t="s">
        <v>283</v>
      </c>
      <c r="D69" s="32" t="s">
        <v>279</v>
      </c>
      <c r="E69" s="32" t="s">
        <v>270</v>
      </c>
      <c r="F69" s="32" t="s">
        <v>363</v>
      </c>
      <c r="G69" s="32"/>
      <c r="H69" s="32" t="s">
        <v>350</v>
      </c>
      <c r="I69" s="32" t="s">
        <v>375</v>
      </c>
      <c r="J69" s="33">
        <v>4978110014575</v>
      </c>
      <c r="K69" s="32">
        <v>500</v>
      </c>
      <c r="L69" s="32">
        <v>550</v>
      </c>
      <c r="M69" s="63" t="str">
        <f t="shared" si="1"/>
        <v>〇</v>
      </c>
      <c r="N69" s="32">
        <v>450</v>
      </c>
      <c r="O69" s="63">
        <f t="shared" si="3"/>
        <v>100</v>
      </c>
      <c r="P69" s="32"/>
      <c r="Q69" s="32"/>
      <c r="R69" s="32"/>
      <c r="S69" s="32"/>
      <c r="T69" s="32"/>
      <c r="U69" s="32"/>
      <c r="V69" s="32">
        <v>908002</v>
      </c>
      <c r="W69" s="32">
        <v>91111</v>
      </c>
      <c r="X69" s="32">
        <v>0</v>
      </c>
      <c r="Y69" s="32">
        <v>-50</v>
      </c>
      <c r="Z69" s="32">
        <v>1</v>
      </c>
      <c r="AA69" s="32" t="s">
        <v>274</v>
      </c>
      <c r="AB69" s="32" t="s">
        <v>275</v>
      </c>
      <c r="AC69" s="32">
        <v>550</v>
      </c>
      <c r="AD69" s="32">
        <v>1</v>
      </c>
      <c r="AE69" s="32">
        <v>0</v>
      </c>
      <c r="AF69" s="32">
        <v>0</v>
      </c>
      <c r="AG69" s="32" t="s">
        <v>309</v>
      </c>
    </row>
    <row r="70" spans="1:33" s="34" customFormat="1" x14ac:dyDescent="0.15">
      <c r="A70" s="61" t="s">
        <v>608</v>
      </c>
      <c r="B70" s="31">
        <v>53</v>
      </c>
      <c r="C70" s="32" t="s">
        <v>283</v>
      </c>
      <c r="D70" s="32" t="s">
        <v>283</v>
      </c>
      <c r="E70" s="32" t="s">
        <v>270</v>
      </c>
      <c r="F70" s="32" t="s">
        <v>363</v>
      </c>
      <c r="G70" s="32"/>
      <c r="H70" s="32" t="s">
        <v>352</v>
      </c>
      <c r="I70" s="32" t="s">
        <v>376</v>
      </c>
      <c r="J70" s="33">
        <v>4903250599149</v>
      </c>
      <c r="K70" s="32">
        <v>500</v>
      </c>
      <c r="L70" s="32">
        <v>550</v>
      </c>
      <c r="M70" s="63" t="str">
        <f t="shared" si="1"/>
        <v>〇</v>
      </c>
      <c r="N70" s="32">
        <v>450</v>
      </c>
      <c r="O70" s="63">
        <f t="shared" si="3"/>
        <v>100</v>
      </c>
      <c r="P70" s="32"/>
      <c r="Q70" s="32"/>
      <c r="R70" s="32"/>
      <c r="S70" s="32"/>
      <c r="T70" s="32"/>
      <c r="U70" s="32"/>
      <c r="V70" s="32">
        <v>908002</v>
      </c>
      <c r="W70" s="32">
        <v>91111</v>
      </c>
      <c r="X70" s="32">
        <v>0</v>
      </c>
      <c r="Y70" s="32">
        <v>-50</v>
      </c>
      <c r="Z70" s="32">
        <v>1</v>
      </c>
      <c r="AA70" s="32" t="s">
        <v>274</v>
      </c>
      <c r="AB70" s="32" t="s">
        <v>275</v>
      </c>
      <c r="AC70" s="32">
        <v>550</v>
      </c>
      <c r="AD70" s="32">
        <v>1</v>
      </c>
      <c r="AE70" s="32">
        <v>0</v>
      </c>
      <c r="AF70" s="32">
        <v>0</v>
      </c>
      <c r="AG70" s="32" t="s">
        <v>309</v>
      </c>
    </row>
    <row r="71" spans="1:33" s="34" customFormat="1" x14ac:dyDescent="0.15">
      <c r="A71" s="60" t="s">
        <v>642</v>
      </c>
      <c r="B71" s="31">
        <v>54</v>
      </c>
      <c r="C71" s="32" t="s">
        <v>269</v>
      </c>
      <c r="D71" s="32" t="s">
        <v>269</v>
      </c>
      <c r="E71" s="32" t="s">
        <v>270</v>
      </c>
      <c r="F71" s="32" t="s">
        <v>377</v>
      </c>
      <c r="G71" s="32"/>
      <c r="H71" s="32" t="s">
        <v>328</v>
      </c>
      <c r="I71" s="32" t="s">
        <v>378</v>
      </c>
      <c r="J71" s="33">
        <v>4935758055827</v>
      </c>
      <c r="K71" s="32">
        <v>500</v>
      </c>
      <c r="L71" s="32">
        <v>450</v>
      </c>
      <c r="M71" s="63" t="str">
        <f t="shared" si="1"/>
        <v>〇</v>
      </c>
      <c r="N71" s="32">
        <v>10</v>
      </c>
      <c r="O71" s="32"/>
      <c r="P71" s="32"/>
      <c r="Q71" s="32"/>
      <c r="R71" s="32"/>
      <c r="S71" s="32"/>
      <c r="T71" s="32"/>
      <c r="U71" s="32"/>
      <c r="V71" s="32">
        <v>908002</v>
      </c>
      <c r="W71" s="32">
        <v>91111</v>
      </c>
      <c r="X71" s="32">
        <v>0</v>
      </c>
      <c r="Y71" s="32">
        <v>50</v>
      </c>
      <c r="Z71" s="32">
        <v>1</v>
      </c>
      <c r="AA71" s="32" t="s">
        <v>274</v>
      </c>
      <c r="AB71" s="32" t="s">
        <v>275</v>
      </c>
      <c r="AC71" s="32">
        <v>450</v>
      </c>
      <c r="AD71" s="32">
        <v>1</v>
      </c>
      <c r="AE71" s="32">
        <v>0</v>
      </c>
      <c r="AF71" s="32">
        <v>0</v>
      </c>
      <c r="AG71" s="32" t="s">
        <v>309</v>
      </c>
    </row>
    <row r="72" spans="1:33" s="34" customFormat="1" x14ac:dyDescent="0.15">
      <c r="A72" s="60" t="s">
        <v>642</v>
      </c>
      <c r="B72" s="31">
        <v>55</v>
      </c>
      <c r="C72" s="32" t="s">
        <v>279</v>
      </c>
      <c r="D72" s="32" t="s">
        <v>269</v>
      </c>
      <c r="E72" s="32" t="s">
        <v>270</v>
      </c>
      <c r="F72" s="32" t="s">
        <v>377</v>
      </c>
      <c r="G72" s="32"/>
      <c r="H72" s="32" t="s">
        <v>356</v>
      </c>
      <c r="I72" s="32" t="s">
        <v>379</v>
      </c>
      <c r="J72" s="33">
        <v>4978110012342</v>
      </c>
      <c r="K72" s="32">
        <v>500</v>
      </c>
      <c r="L72" s="32">
        <v>500</v>
      </c>
      <c r="M72" s="63" t="str">
        <f t="shared" si="1"/>
        <v>〇</v>
      </c>
      <c r="N72" s="32">
        <v>10</v>
      </c>
      <c r="O72" s="32"/>
      <c r="P72" s="32"/>
      <c r="Q72" s="32"/>
      <c r="R72" s="32"/>
      <c r="S72" s="32"/>
      <c r="T72" s="32"/>
      <c r="U72" s="32"/>
      <c r="V72" s="32">
        <v>908002</v>
      </c>
      <c r="W72" s="32">
        <v>91111</v>
      </c>
      <c r="X72" s="32">
        <v>0</v>
      </c>
      <c r="Y72" s="32">
        <v>0</v>
      </c>
      <c r="Z72" s="32">
        <v>1</v>
      </c>
      <c r="AA72" s="32" t="s">
        <v>274</v>
      </c>
      <c r="AB72" s="32" t="s">
        <v>275</v>
      </c>
      <c r="AC72" s="32">
        <v>500</v>
      </c>
      <c r="AD72" s="32">
        <v>1</v>
      </c>
      <c r="AE72" s="32">
        <v>0</v>
      </c>
      <c r="AF72" s="32">
        <v>0</v>
      </c>
      <c r="AG72" s="32" t="s">
        <v>309</v>
      </c>
    </row>
    <row r="73" spans="1:33" s="34" customFormat="1" x14ac:dyDescent="0.15">
      <c r="A73" s="60" t="s">
        <v>642</v>
      </c>
      <c r="B73" s="31">
        <v>56</v>
      </c>
      <c r="C73" s="32" t="s">
        <v>283</v>
      </c>
      <c r="D73" s="32" t="s">
        <v>269</v>
      </c>
      <c r="E73" s="32" t="s">
        <v>270</v>
      </c>
      <c r="F73" s="32" t="s">
        <v>377</v>
      </c>
      <c r="G73" s="32"/>
      <c r="H73" s="32" t="s">
        <v>344</v>
      </c>
      <c r="I73" s="32" t="s">
        <v>380</v>
      </c>
      <c r="J73" s="33">
        <v>4978110033392</v>
      </c>
      <c r="K73" s="32">
        <v>500</v>
      </c>
      <c r="L73" s="32">
        <v>550</v>
      </c>
      <c r="M73" s="63" t="str">
        <f t="shared" si="1"/>
        <v>〇</v>
      </c>
      <c r="N73" s="32">
        <v>10</v>
      </c>
      <c r="O73" s="32"/>
      <c r="P73" s="32"/>
      <c r="Q73" s="32"/>
      <c r="R73" s="32"/>
      <c r="S73" s="32"/>
      <c r="T73" s="32"/>
      <c r="U73" s="32"/>
      <c r="V73" s="32">
        <v>908002</v>
      </c>
      <c r="W73" s="32">
        <v>91111</v>
      </c>
      <c r="X73" s="32">
        <v>0</v>
      </c>
      <c r="Y73" s="32">
        <v>-50</v>
      </c>
      <c r="Z73" s="32">
        <v>1</v>
      </c>
      <c r="AA73" s="32" t="s">
        <v>274</v>
      </c>
      <c r="AB73" s="32" t="s">
        <v>275</v>
      </c>
      <c r="AC73" s="32">
        <v>550</v>
      </c>
      <c r="AD73" s="32">
        <v>1</v>
      </c>
      <c r="AE73" s="32">
        <v>0</v>
      </c>
      <c r="AF73" s="32">
        <v>0</v>
      </c>
      <c r="AG73" s="32" t="s">
        <v>309</v>
      </c>
    </row>
    <row r="74" spans="1:33" s="34" customFormat="1" x14ac:dyDescent="0.15">
      <c r="A74" s="61" t="s">
        <v>608</v>
      </c>
      <c r="B74" s="31">
        <v>57</v>
      </c>
      <c r="C74" s="32" t="s">
        <v>269</v>
      </c>
      <c r="D74" s="32" t="s">
        <v>269</v>
      </c>
      <c r="E74" s="32" t="s">
        <v>270</v>
      </c>
      <c r="F74" s="32" t="s">
        <v>381</v>
      </c>
      <c r="G74" s="32"/>
      <c r="H74" s="32" t="s">
        <v>328</v>
      </c>
      <c r="I74" s="32" t="s">
        <v>382</v>
      </c>
      <c r="J74" s="33">
        <v>4978110024598</v>
      </c>
      <c r="K74" s="32">
        <v>500</v>
      </c>
      <c r="L74" s="32">
        <v>450</v>
      </c>
      <c r="M74" s="63" t="str">
        <f t="shared" si="1"/>
        <v>〇</v>
      </c>
      <c r="N74" s="32">
        <v>50</v>
      </c>
      <c r="O74" s="32"/>
      <c r="P74" s="32"/>
      <c r="Q74" s="32"/>
      <c r="R74" s="32"/>
      <c r="S74" s="32"/>
      <c r="T74" s="32"/>
      <c r="U74" s="32"/>
      <c r="V74" s="32">
        <v>908002</v>
      </c>
      <c r="W74" s="32">
        <v>91111</v>
      </c>
      <c r="X74" s="32">
        <v>0</v>
      </c>
      <c r="Y74" s="32">
        <v>50</v>
      </c>
      <c r="Z74" s="32">
        <v>1</v>
      </c>
      <c r="AA74" s="32" t="s">
        <v>274</v>
      </c>
      <c r="AB74" s="32" t="s">
        <v>275</v>
      </c>
      <c r="AC74" s="32">
        <v>450</v>
      </c>
      <c r="AD74" s="32">
        <v>1</v>
      </c>
      <c r="AE74" s="32">
        <v>0</v>
      </c>
      <c r="AF74" s="32">
        <v>0</v>
      </c>
      <c r="AG74" s="32" t="s">
        <v>309</v>
      </c>
    </row>
    <row r="75" spans="1:33" s="34" customFormat="1" x14ac:dyDescent="0.15">
      <c r="A75" s="61" t="s">
        <v>608</v>
      </c>
      <c r="B75" s="31">
        <v>58</v>
      </c>
      <c r="C75" s="32" t="s">
        <v>279</v>
      </c>
      <c r="D75" s="32" t="s">
        <v>269</v>
      </c>
      <c r="E75" s="32" t="s">
        <v>270</v>
      </c>
      <c r="F75" s="32" t="s">
        <v>381</v>
      </c>
      <c r="G75" s="32"/>
      <c r="H75" s="32" t="s">
        <v>356</v>
      </c>
      <c r="I75" s="32" t="s">
        <v>383</v>
      </c>
      <c r="J75" s="33">
        <v>4935758055605</v>
      </c>
      <c r="K75" s="32">
        <v>500</v>
      </c>
      <c r="L75" s="32">
        <v>500</v>
      </c>
      <c r="M75" s="63" t="str">
        <f t="shared" si="1"/>
        <v>〇</v>
      </c>
      <c r="N75" s="32">
        <v>50</v>
      </c>
      <c r="O75" s="32"/>
      <c r="P75" s="32"/>
      <c r="Q75" s="32"/>
      <c r="R75" s="32"/>
      <c r="S75" s="32"/>
      <c r="T75" s="32"/>
      <c r="U75" s="32"/>
      <c r="V75" s="32">
        <v>908002</v>
      </c>
      <c r="W75" s="32">
        <v>91111</v>
      </c>
      <c r="X75" s="32">
        <v>0</v>
      </c>
      <c r="Y75" s="32">
        <v>0</v>
      </c>
      <c r="Z75" s="32">
        <v>1</v>
      </c>
      <c r="AA75" s="32" t="s">
        <v>274</v>
      </c>
      <c r="AB75" s="32" t="s">
        <v>275</v>
      </c>
      <c r="AC75" s="32">
        <v>500</v>
      </c>
      <c r="AD75" s="32">
        <v>1</v>
      </c>
      <c r="AE75" s="32">
        <v>0</v>
      </c>
      <c r="AF75" s="32">
        <v>0</v>
      </c>
      <c r="AG75" s="32" t="s">
        <v>309</v>
      </c>
    </row>
    <row r="76" spans="1:33" s="34" customFormat="1" x14ac:dyDescent="0.15">
      <c r="A76" s="61" t="s">
        <v>608</v>
      </c>
      <c r="B76" s="31">
        <v>59</v>
      </c>
      <c r="C76" s="32" t="s">
        <v>283</v>
      </c>
      <c r="D76" s="32" t="s">
        <v>269</v>
      </c>
      <c r="E76" s="32" t="s">
        <v>270</v>
      </c>
      <c r="F76" s="32" t="s">
        <v>381</v>
      </c>
      <c r="G76" s="32"/>
      <c r="H76" s="32" t="s">
        <v>344</v>
      </c>
      <c r="I76" s="32" t="s">
        <v>384</v>
      </c>
      <c r="J76" s="33">
        <v>4978110023973</v>
      </c>
      <c r="K76" s="32">
        <v>500</v>
      </c>
      <c r="L76" s="32">
        <v>550</v>
      </c>
      <c r="M76" s="63" t="str">
        <f t="shared" si="1"/>
        <v>〇</v>
      </c>
      <c r="N76" s="32">
        <v>50</v>
      </c>
      <c r="O76" s="32"/>
      <c r="P76" s="32"/>
      <c r="Q76" s="32"/>
      <c r="R76" s="32"/>
      <c r="S76" s="32"/>
      <c r="T76" s="32"/>
      <c r="U76" s="32"/>
      <c r="V76" s="32">
        <v>908002</v>
      </c>
      <c r="W76" s="32">
        <v>91111</v>
      </c>
      <c r="X76" s="32">
        <v>0</v>
      </c>
      <c r="Y76" s="32">
        <v>-50</v>
      </c>
      <c r="Z76" s="32">
        <v>1</v>
      </c>
      <c r="AA76" s="32" t="s">
        <v>274</v>
      </c>
      <c r="AB76" s="32" t="s">
        <v>275</v>
      </c>
      <c r="AC76" s="32">
        <v>550</v>
      </c>
      <c r="AD76" s="32">
        <v>1</v>
      </c>
      <c r="AE76" s="32">
        <v>0</v>
      </c>
      <c r="AF76" s="32">
        <v>0</v>
      </c>
      <c r="AG76" s="32" t="s">
        <v>309</v>
      </c>
    </row>
    <row r="77" spans="1:33" s="34" customFormat="1" x14ac:dyDescent="0.15">
      <c r="A77" s="61" t="s">
        <v>608</v>
      </c>
      <c r="B77" s="31">
        <v>60</v>
      </c>
      <c r="C77" s="32" t="s">
        <v>269</v>
      </c>
      <c r="D77" s="32" t="s">
        <v>269</v>
      </c>
      <c r="E77" s="32" t="s">
        <v>270</v>
      </c>
      <c r="F77" s="32" t="s">
        <v>385</v>
      </c>
      <c r="G77" s="32"/>
      <c r="H77" s="32" t="s">
        <v>386</v>
      </c>
      <c r="I77" s="32" t="s">
        <v>387</v>
      </c>
      <c r="J77" s="33">
        <v>4935758055865</v>
      </c>
      <c r="K77" s="32">
        <v>500</v>
      </c>
      <c r="L77" s="32">
        <v>450</v>
      </c>
      <c r="M77" s="63"/>
      <c r="N77" s="32"/>
      <c r="O77" s="32"/>
      <c r="P77" s="32">
        <v>400</v>
      </c>
      <c r="Q77" s="63">
        <f>L77-P77</f>
        <v>50</v>
      </c>
      <c r="R77" s="32"/>
      <c r="S77" s="32"/>
      <c r="T77" s="32"/>
      <c r="U77" s="32"/>
      <c r="V77" s="32">
        <v>908100</v>
      </c>
      <c r="W77" s="32">
        <v>91111</v>
      </c>
      <c r="X77" s="32">
        <v>0</v>
      </c>
      <c r="Y77" s="32">
        <v>100</v>
      </c>
      <c r="Z77" s="32">
        <v>2</v>
      </c>
      <c r="AA77" s="32" t="s">
        <v>274</v>
      </c>
      <c r="AB77" s="32" t="s">
        <v>275</v>
      </c>
      <c r="AC77" s="32">
        <v>800</v>
      </c>
      <c r="AD77" s="32">
        <v>2</v>
      </c>
      <c r="AE77" s="32">
        <v>0</v>
      </c>
      <c r="AF77" s="32">
        <v>0</v>
      </c>
      <c r="AG77" s="32" t="s">
        <v>309</v>
      </c>
    </row>
    <row r="78" spans="1:33" s="34" customFormat="1" x14ac:dyDescent="0.15">
      <c r="A78" s="61" t="s">
        <v>608</v>
      </c>
      <c r="B78" s="31">
        <v>60</v>
      </c>
      <c r="C78" s="32" t="s">
        <v>269</v>
      </c>
      <c r="D78" s="32" t="s">
        <v>269</v>
      </c>
      <c r="E78" s="32" t="s">
        <v>270</v>
      </c>
      <c r="F78" s="32" t="s">
        <v>385</v>
      </c>
      <c r="G78" s="32"/>
      <c r="H78" s="32" t="s">
        <v>386</v>
      </c>
      <c r="I78" s="32" t="s">
        <v>387</v>
      </c>
      <c r="J78" s="33">
        <v>4935758055865</v>
      </c>
      <c r="K78" s="32">
        <v>500</v>
      </c>
      <c r="L78" s="32">
        <v>450</v>
      </c>
      <c r="M78" s="63"/>
      <c r="N78" s="32"/>
      <c r="O78" s="32"/>
      <c r="P78" s="32">
        <v>400</v>
      </c>
      <c r="Q78" s="63">
        <f t="shared" ref="Q78:Q94" si="4">L78-P78</f>
        <v>50</v>
      </c>
      <c r="R78" s="32"/>
      <c r="S78" s="32"/>
      <c r="T78" s="32"/>
      <c r="U78" s="32"/>
      <c r="V78" s="32">
        <v>908100</v>
      </c>
      <c r="W78" s="32">
        <v>91316</v>
      </c>
      <c r="X78" s="32">
        <v>0</v>
      </c>
      <c r="Y78" s="32">
        <v>100</v>
      </c>
      <c r="Z78" s="32">
        <v>2</v>
      </c>
      <c r="AA78" s="32" t="s">
        <v>32</v>
      </c>
      <c r="AB78" s="32" t="s">
        <v>275</v>
      </c>
      <c r="AC78" s="32">
        <v>800</v>
      </c>
      <c r="AD78" s="32">
        <v>2</v>
      </c>
      <c r="AE78" s="32">
        <v>0</v>
      </c>
      <c r="AF78" s="32">
        <v>0</v>
      </c>
      <c r="AG78" s="32" t="s">
        <v>309</v>
      </c>
    </row>
    <row r="79" spans="1:33" s="34" customFormat="1" x14ac:dyDescent="0.15">
      <c r="A79" s="60" t="s">
        <v>643</v>
      </c>
      <c r="B79" s="31">
        <v>61</v>
      </c>
      <c r="C79" s="32" t="s">
        <v>269</v>
      </c>
      <c r="D79" s="32" t="s">
        <v>279</v>
      </c>
      <c r="E79" s="32" t="s">
        <v>270</v>
      </c>
      <c r="F79" s="32" t="s">
        <v>385</v>
      </c>
      <c r="G79" s="32"/>
      <c r="H79" s="32" t="s">
        <v>388</v>
      </c>
      <c r="I79" s="32" t="s">
        <v>389</v>
      </c>
      <c r="J79" s="33">
        <v>4978110016326</v>
      </c>
      <c r="K79" s="32">
        <v>500</v>
      </c>
      <c r="L79" s="32">
        <v>450</v>
      </c>
      <c r="M79" s="63"/>
      <c r="N79" s="32"/>
      <c r="O79" s="32"/>
      <c r="P79" s="32">
        <v>450</v>
      </c>
      <c r="Q79" s="63">
        <f t="shared" si="4"/>
        <v>0</v>
      </c>
      <c r="R79" s="32"/>
      <c r="S79" s="32"/>
      <c r="T79" s="32"/>
      <c r="U79" s="32"/>
      <c r="V79" s="32">
        <v>908101</v>
      </c>
      <c r="W79" s="32">
        <v>91111</v>
      </c>
      <c r="X79" s="32">
        <v>0</v>
      </c>
      <c r="Y79" s="32">
        <v>100</v>
      </c>
      <c r="Z79" s="32">
        <v>2</v>
      </c>
      <c r="AA79" s="32" t="s">
        <v>274</v>
      </c>
      <c r="AB79" s="32" t="s">
        <v>275</v>
      </c>
      <c r="AC79" s="32">
        <v>900</v>
      </c>
      <c r="AD79" s="32">
        <v>2</v>
      </c>
      <c r="AE79" s="32">
        <v>0</v>
      </c>
      <c r="AF79" s="32">
        <v>0</v>
      </c>
      <c r="AG79" s="32" t="s">
        <v>309</v>
      </c>
    </row>
    <row r="80" spans="1:33" s="34" customFormat="1" x14ac:dyDescent="0.15">
      <c r="A80" s="60" t="s">
        <v>644</v>
      </c>
      <c r="B80" s="31">
        <v>62</v>
      </c>
      <c r="C80" s="32" t="s">
        <v>269</v>
      </c>
      <c r="D80" s="32" t="s">
        <v>283</v>
      </c>
      <c r="E80" s="32" t="s">
        <v>270</v>
      </c>
      <c r="F80" s="32" t="s">
        <v>385</v>
      </c>
      <c r="G80" s="32"/>
      <c r="H80" s="32" t="s">
        <v>390</v>
      </c>
      <c r="I80" s="32" t="s">
        <v>391</v>
      </c>
      <c r="J80" s="33">
        <v>4996797092068</v>
      </c>
      <c r="K80" s="32">
        <v>500</v>
      </c>
      <c r="L80" s="32">
        <v>400</v>
      </c>
      <c r="M80" s="63"/>
      <c r="N80" s="32"/>
      <c r="O80" s="32"/>
      <c r="P80" s="32">
        <v>450</v>
      </c>
      <c r="Q80" s="63">
        <f t="shared" si="4"/>
        <v>-50</v>
      </c>
      <c r="R80" s="32"/>
      <c r="S80" s="32"/>
      <c r="T80" s="32"/>
      <c r="U80" s="32"/>
      <c r="V80" s="32">
        <v>908101</v>
      </c>
      <c r="W80" s="32">
        <v>91111</v>
      </c>
      <c r="X80" s="32">
        <v>0</v>
      </c>
      <c r="Y80" s="32">
        <v>100</v>
      </c>
      <c r="Z80" s="32">
        <v>2</v>
      </c>
      <c r="AA80" s="32" t="s">
        <v>274</v>
      </c>
      <c r="AB80" s="32" t="s">
        <v>275</v>
      </c>
      <c r="AC80" s="32">
        <v>900</v>
      </c>
      <c r="AD80" s="32">
        <v>2</v>
      </c>
      <c r="AE80" s="32">
        <v>0</v>
      </c>
      <c r="AF80" s="32">
        <v>0</v>
      </c>
      <c r="AG80" s="32" t="s">
        <v>309</v>
      </c>
    </row>
    <row r="81" spans="1:33" s="34" customFormat="1" x14ac:dyDescent="0.15">
      <c r="A81" s="60" t="s">
        <v>644</v>
      </c>
      <c r="B81" s="31">
        <v>63</v>
      </c>
      <c r="C81" s="32" t="s">
        <v>269</v>
      </c>
      <c r="D81" s="32" t="s">
        <v>283</v>
      </c>
      <c r="E81" s="32" t="s">
        <v>270</v>
      </c>
      <c r="F81" s="32" t="s">
        <v>385</v>
      </c>
      <c r="G81" s="32"/>
      <c r="H81" s="32" t="s">
        <v>392</v>
      </c>
      <c r="I81" s="32" t="s">
        <v>393</v>
      </c>
      <c r="J81" s="33">
        <v>4902584811576</v>
      </c>
      <c r="K81" s="32">
        <v>500</v>
      </c>
      <c r="L81" s="32">
        <v>450</v>
      </c>
      <c r="M81" s="63"/>
      <c r="N81" s="32"/>
      <c r="O81" s="32"/>
      <c r="P81" s="32">
        <v>500</v>
      </c>
      <c r="Q81" s="63">
        <f t="shared" si="4"/>
        <v>-50</v>
      </c>
      <c r="R81" s="32"/>
      <c r="S81" s="32"/>
      <c r="T81" s="32"/>
      <c r="U81" s="32"/>
      <c r="V81" s="32">
        <v>908102</v>
      </c>
      <c r="W81" s="32">
        <v>91111</v>
      </c>
      <c r="X81" s="32">
        <v>0</v>
      </c>
      <c r="Y81" s="32">
        <v>100</v>
      </c>
      <c r="Z81" s="32">
        <v>2</v>
      </c>
      <c r="AA81" s="32" t="s">
        <v>274</v>
      </c>
      <c r="AB81" s="32" t="s">
        <v>275</v>
      </c>
      <c r="AC81" s="32">
        <v>900</v>
      </c>
      <c r="AD81" s="32">
        <v>2</v>
      </c>
      <c r="AE81" s="32">
        <v>0</v>
      </c>
      <c r="AF81" s="32">
        <v>0</v>
      </c>
      <c r="AG81" s="32" t="s">
        <v>309</v>
      </c>
    </row>
    <row r="82" spans="1:33" s="34" customFormat="1" x14ac:dyDescent="0.15">
      <c r="A82" s="61" t="s">
        <v>608</v>
      </c>
      <c r="B82" s="31">
        <v>64</v>
      </c>
      <c r="C82" s="32" t="s">
        <v>269</v>
      </c>
      <c r="D82" s="32" t="s">
        <v>283</v>
      </c>
      <c r="E82" s="32" t="s">
        <v>270</v>
      </c>
      <c r="F82" s="32" t="s">
        <v>385</v>
      </c>
      <c r="G82" s="32"/>
      <c r="H82" s="32" t="s">
        <v>394</v>
      </c>
      <c r="I82" s="32" t="s">
        <v>395</v>
      </c>
      <c r="J82" s="33">
        <v>4902584811729</v>
      </c>
      <c r="K82" s="32">
        <v>500</v>
      </c>
      <c r="L82" s="32">
        <v>450</v>
      </c>
      <c r="M82" s="63"/>
      <c r="N82" s="32"/>
      <c r="O82" s="32"/>
      <c r="P82" s="32">
        <v>550</v>
      </c>
      <c r="Q82" s="63">
        <f t="shared" si="4"/>
        <v>-100</v>
      </c>
      <c r="R82" s="32"/>
      <c r="S82" s="32"/>
      <c r="T82" s="32"/>
      <c r="U82" s="32"/>
      <c r="V82" s="32">
        <v>908103</v>
      </c>
      <c r="W82" s="32">
        <v>91111</v>
      </c>
      <c r="X82" s="32">
        <v>0</v>
      </c>
      <c r="Y82" s="32">
        <v>100</v>
      </c>
      <c r="Z82" s="32">
        <v>2</v>
      </c>
      <c r="AA82" s="32" t="s">
        <v>274</v>
      </c>
      <c r="AB82" s="32" t="s">
        <v>275</v>
      </c>
      <c r="AC82" s="32">
        <v>900</v>
      </c>
      <c r="AD82" s="32">
        <v>2</v>
      </c>
      <c r="AE82" s="32">
        <v>0</v>
      </c>
      <c r="AF82" s="32">
        <v>0</v>
      </c>
      <c r="AG82" s="32" t="s">
        <v>309</v>
      </c>
    </row>
    <row r="83" spans="1:33" s="34" customFormat="1" x14ac:dyDescent="0.15">
      <c r="A83" s="60" t="s">
        <v>645</v>
      </c>
      <c r="B83" s="31">
        <v>65</v>
      </c>
      <c r="C83" s="32" t="s">
        <v>279</v>
      </c>
      <c r="D83" s="32" t="s">
        <v>269</v>
      </c>
      <c r="E83" s="32" t="s">
        <v>270</v>
      </c>
      <c r="F83" s="32" t="s">
        <v>385</v>
      </c>
      <c r="G83" s="32"/>
      <c r="H83" s="32" t="s">
        <v>396</v>
      </c>
      <c r="I83" s="32" t="s">
        <v>397</v>
      </c>
      <c r="J83" s="33">
        <v>4902046832972</v>
      </c>
      <c r="K83" s="32">
        <v>500</v>
      </c>
      <c r="L83" s="32">
        <v>500</v>
      </c>
      <c r="M83" s="63"/>
      <c r="N83" s="32"/>
      <c r="O83" s="32"/>
      <c r="P83" s="32">
        <v>450</v>
      </c>
      <c r="Q83" s="63">
        <f t="shared" si="4"/>
        <v>50</v>
      </c>
      <c r="R83" s="32"/>
      <c r="S83" s="32"/>
      <c r="T83" s="32"/>
      <c r="U83" s="32"/>
      <c r="V83" s="32">
        <v>908101</v>
      </c>
      <c r="W83" s="32">
        <v>91316</v>
      </c>
      <c r="X83" s="32">
        <v>0</v>
      </c>
      <c r="Y83" s="32">
        <v>100</v>
      </c>
      <c r="Z83" s="32">
        <v>2</v>
      </c>
      <c r="AA83" s="32" t="s">
        <v>32</v>
      </c>
      <c r="AB83" s="32" t="s">
        <v>275</v>
      </c>
      <c r="AC83" s="32">
        <v>900</v>
      </c>
      <c r="AD83" s="32">
        <v>2</v>
      </c>
      <c r="AE83" s="32">
        <v>0</v>
      </c>
      <c r="AF83" s="32">
        <v>0</v>
      </c>
      <c r="AG83" s="32" t="s">
        <v>309</v>
      </c>
    </row>
    <row r="84" spans="1:33" s="34" customFormat="1" x14ac:dyDescent="0.15">
      <c r="A84" s="60" t="s">
        <v>645</v>
      </c>
      <c r="B84" s="31">
        <v>65</v>
      </c>
      <c r="C84" s="32" t="s">
        <v>279</v>
      </c>
      <c r="D84" s="32" t="s">
        <v>269</v>
      </c>
      <c r="E84" s="32" t="s">
        <v>270</v>
      </c>
      <c r="F84" s="32" t="s">
        <v>385</v>
      </c>
      <c r="G84" s="32"/>
      <c r="H84" s="32" t="s">
        <v>396</v>
      </c>
      <c r="I84" s="32" t="s">
        <v>397</v>
      </c>
      <c r="J84" s="33">
        <v>4902046832972</v>
      </c>
      <c r="K84" s="32">
        <v>500</v>
      </c>
      <c r="L84" s="32">
        <v>500</v>
      </c>
      <c r="M84" s="63"/>
      <c r="N84" s="32"/>
      <c r="O84" s="32"/>
      <c r="P84" s="32">
        <v>450</v>
      </c>
      <c r="Q84" s="63">
        <f t="shared" si="4"/>
        <v>50</v>
      </c>
      <c r="R84" s="32"/>
      <c r="S84" s="32"/>
      <c r="T84" s="32"/>
      <c r="U84" s="32"/>
      <c r="V84" s="32">
        <v>908101</v>
      </c>
      <c r="W84" s="32">
        <v>91111</v>
      </c>
      <c r="X84" s="32">
        <v>0</v>
      </c>
      <c r="Y84" s="32">
        <v>0</v>
      </c>
      <c r="Z84" s="32">
        <v>2</v>
      </c>
      <c r="AA84" s="32" t="s">
        <v>274</v>
      </c>
      <c r="AB84" s="32" t="s">
        <v>275</v>
      </c>
      <c r="AC84" s="32">
        <v>900</v>
      </c>
      <c r="AD84" s="32">
        <v>2</v>
      </c>
      <c r="AE84" s="32">
        <v>0</v>
      </c>
      <c r="AF84" s="32">
        <v>0</v>
      </c>
      <c r="AG84" s="32" t="s">
        <v>309</v>
      </c>
    </row>
    <row r="85" spans="1:33" s="34" customFormat="1" x14ac:dyDescent="0.15">
      <c r="A85" s="60" t="s">
        <v>643</v>
      </c>
      <c r="B85" s="31">
        <v>66</v>
      </c>
      <c r="C85" s="32" t="s">
        <v>279</v>
      </c>
      <c r="D85" s="32" t="s">
        <v>279</v>
      </c>
      <c r="E85" s="32" t="s">
        <v>270</v>
      </c>
      <c r="F85" s="32" t="s">
        <v>385</v>
      </c>
      <c r="G85" s="32"/>
      <c r="H85" s="32" t="s">
        <v>398</v>
      </c>
      <c r="I85" s="32" t="s">
        <v>399</v>
      </c>
      <c r="J85" s="33">
        <v>4978110012656</v>
      </c>
      <c r="K85" s="32">
        <v>500</v>
      </c>
      <c r="L85" s="32">
        <v>500</v>
      </c>
      <c r="M85" s="63"/>
      <c r="N85" s="32"/>
      <c r="O85" s="32"/>
      <c r="P85" s="32">
        <v>500</v>
      </c>
      <c r="Q85" s="63">
        <f t="shared" si="4"/>
        <v>0</v>
      </c>
      <c r="R85" s="32"/>
      <c r="S85" s="32"/>
      <c r="T85" s="32"/>
      <c r="U85" s="32"/>
      <c r="V85" s="32">
        <v>908102</v>
      </c>
      <c r="W85" s="32">
        <v>91111</v>
      </c>
      <c r="X85" s="32">
        <v>0</v>
      </c>
      <c r="Y85" s="32">
        <v>0</v>
      </c>
      <c r="Z85" s="32">
        <v>2</v>
      </c>
      <c r="AA85" s="32" t="s">
        <v>274</v>
      </c>
      <c r="AB85" s="32" t="s">
        <v>275</v>
      </c>
      <c r="AC85" s="32">
        <v>1000</v>
      </c>
      <c r="AD85" s="32">
        <v>2</v>
      </c>
      <c r="AE85" s="32">
        <v>0</v>
      </c>
      <c r="AF85" s="32">
        <v>0</v>
      </c>
      <c r="AG85" s="32" t="s">
        <v>309</v>
      </c>
    </row>
    <row r="86" spans="1:33" s="34" customFormat="1" x14ac:dyDescent="0.15">
      <c r="A86" s="60" t="s">
        <v>644</v>
      </c>
      <c r="B86" s="31">
        <v>67</v>
      </c>
      <c r="C86" s="32" t="s">
        <v>279</v>
      </c>
      <c r="D86" s="32" t="s">
        <v>283</v>
      </c>
      <c r="E86" s="32" t="s">
        <v>270</v>
      </c>
      <c r="F86" s="32" t="s">
        <v>385</v>
      </c>
      <c r="G86" s="32"/>
      <c r="H86" s="32" t="s">
        <v>400</v>
      </c>
      <c r="I86" s="32" t="s">
        <v>401</v>
      </c>
      <c r="J86" s="33">
        <v>4974995002072</v>
      </c>
      <c r="K86" s="32">
        <v>500</v>
      </c>
      <c r="L86" s="32">
        <v>500</v>
      </c>
      <c r="M86" s="63"/>
      <c r="N86" s="32"/>
      <c r="O86" s="32"/>
      <c r="P86" s="32">
        <v>550</v>
      </c>
      <c r="Q86" s="63">
        <f t="shared" si="4"/>
        <v>-50</v>
      </c>
      <c r="R86" s="32"/>
      <c r="S86" s="32"/>
      <c r="T86" s="32"/>
      <c r="U86" s="32"/>
      <c r="V86" s="32">
        <v>908103</v>
      </c>
      <c r="W86" s="32">
        <v>91111</v>
      </c>
      <c r="X86" s="32">
        <v>0</v>
      </c>
      <c r="Y86" s="32">
        <v>0</v>
      </c>
      <c r="Z86" s="32">
        <v>2</v>
      </c>
      <c r="AA86" s="32" t="s">
        <v>274</v>
      </c>
      <c r="AB86" s="32" t="s">
        <v>275</v>
      </c>
      <c r="AC86" s="32">
        <v>1000</v>
      </c>
      <c r="AD86" s="32">
        <v>2</v>
      </c>
      <c r="AE86" s="32">
        <v>0</v>
      </c>
      <c r="AF86" s="32">
        <v>0</v>
      </c>
      <c r="AG86" s="32" t="s">
        <v>309</v>
      </c>
    </row>
    <row r="87" spans="1:33" s="34" customFormat="1" x14ac:dyDescent="0.15">
      <c r="A87" s="61" t="s">
        <v>608</v>
      </c>
      <c r="B87" s="31">
        <v>68</v>
      </c>
      <c r="C87" s="32" t="s">
        <v>283</v>
      </c>
      <c r="D87" s="32" t="s">
        <v>269</v>
      </c>
      <c r="E87" s="32" t="s">
        <v>270</v>
      </c>
      <c r="F87" s="32" t="s">
        <v>385</v>
      </c>
      <c r="G87" s="32"/>
      <c r="H87" s="32" t="s">
        <v>402</v>
      </c>
      <c r="I87" s="32" t="s">
        <v>403</v>
      </c>
      <c r="J87" s="33">
        <v>4950861109588</v>
      </c>
      <c r="K87" s="32">
        <v>500</v>
      </c>
      <c r="L87" s="32">
        <v>550</v>
      </c>
      <c r="M87" s="63"/>
      <c r="N87" s="32"/>
      <c r="O87" s="32"/>
      <c r="P87" s="32">
        <v>450</v>
      </c>
      <c r="Q87" s="63">
        <f t="shared" si="4"/>
        <v>100</v>
      </c>
      <c r="R87" s="32"/>
      <c r="S87" s="32"/>
      <c r="T87" s="32"/>
      <c r="U87" s="32"/>
      <c r="V87" s="32">
        <v>908101</v>
      </c>
      <c r="W87" s="32">
        <v>91111</v>
      </c>
      <c r="X87" s="32">
        <v>0</v>
      </c>
      <c r="Y87" s="32">
        <v>-100</v>
      </c>
      <c r="Z87" s="32">
        <v>2</v>
      </c>
      <c r="AA87" s="32" t="s">
        <v>274</v>
      </c>
      <c r="AB87" s="32" t="s">
        <v>275</v>
      </c>
      <c r="AC87" s="32">
        <v>900</v>
      </c>
      <c r="AD87" s="32">
        <v>2</v>
      </c>
      <c r="AE87" s="32">
        <v>0</v>
      </c>
      <c r="AF87" s="32">
        <v>0</v>
      </c>
      <c r="AG87" s="32" t="s">
        <v>309</v>
      </c>
    </row>
    <row r="88" spans="1:33" s="34" customFormat="1" x14ac:dyDescent="0.15">
      <c r="A88" s="61" t="s">
        <v>608</v>
      </c>
      <c r="B88" s="31">
        <v>68</v>
      </c>
      <c r="C88" s="32" t="s">
        <v>283</v>
      </c>
      <c r="D88" s="32" t="s">
        <v>269</v>
      </c>
      <c r="E88" s="32" t="s">
        <v>270</v>
      </c>
      <c r="F88" s="32" t="s">
        <v>385</v>
      </c>
      <c r="G88" s="32"/>
      <c r="H88" s="32" t="s">
        <v>402</v>
      </c>
      <c r="I88" s="32" t="s">
        <v>403</v>
      </c>
      <c r="J88" s="33">
        <v>4950861109588</v>
      </c>
      <c r="K88" s="32">
        <v>500</v>
      </c>
      <c r="L88" s="32">
        <v>550</v>
      </c>
      <c r="M88" s="63"/>
      <c r="N88" s="32"/>
      <c r="O88" s="32"/>
      <c r="P88" s="32">
        <v>450</v>
      </c>
      <c r="Q88" s="63">
        <f t="shared" si="4"/>
        <v>100</v>
      </c>
      <c r="R88" s="32"/>
      <c r="S88" s="32"/>
      <c r="T88" s="32"/>
      <c r="U88" s="32"/>
      <c r="V88" s="32">
        <v>908101</v>
      </c>
      <c r="W88" s="32">
        <v>91316</v>
      </c>
      <c r="X88" s="32">
        <v>0</v>
      </c>
      <c r="Y88" s="32">
        <v>200</v>
      </c>
      <c r="Z88" s="32">
        <v>2</v>
      </c>
      <c r="AA88" s="32" t="s">
        <v>32</v>
      </c>
      <c r="AB88" s="32" t="s">
        <v>275</v>
      </c>
      <c r="AC88" s="32">
        <v>900</v>
      </c>
      <c r="AD88" s="32">
        <v>2</v>
      </c>
      <c r="AE88" s="32">
        <v>0</v>
      </c>
      <c r="AF88" s="32">
        <v>0</v>
      </c>
      <c r="AG88" s="32" t="s">
        <v>309</v>
      </c>
    </row>
    <row r="89" spans="1:33" s="34" customFormat="1" x14ac:dyDescent="0.15">
      <c r="A89" s="60" t="s">
        <v>645</v>
      </c>
      <c r="B89" s="31">
        <v>69</v>
      </c>
      <c r="C89" s="32" t="s">
        <v>283</v>
      </c>
      <c r="D89" s="32" t="s">
        <v>269</v>
      </c>
      <c r="E89" s="32" t="s">
        <v>270</v>
      </c>
      <c r="F89" s="32" t="s">
        <v>385</v>
      </c>
      <c r="G89" s="32"/>
      <c r="H89" s="32" t="s">
        <v>404</v>
      </c>
      <c r="I89" s="32" t="s">
        <v>405</v>
      </c>
      <c r="J89" s="33">
        <v>4976912202893</v>
      </c>
      <c r="K89" s="32">
        <v>500</v>
      </c>
      <c r="L89" s="32">
        <v>550</v>
      </c>
      <c r="M89" s="63"/>
      <c r="N89" s="32"/>
      <c r="O89" s="32"/>
      <c r="P89" s="32">
        <v>500</v>
      </c>
      <c r="Q89" s="63">
        <f t="shared" si="4"/>
        <v>50</v>
      </c>
      <c r="R89" s="32"/>
      <c r="S89" s="32"/>
      <c r="T89" s="32"/>
      <c r="U89" s="32"/>
      <c r="V89" s="32">
        <v>908102</v>
      </c>
      <c r="W89" s="32">
        <v>91316</v>
      </c>
      <c r="X89" s="32">
        <v>0</v>
      </c>
      <c r="Y89" s="32">
        <v>100</v>
      </c>
      <c r="Z89" s="32">
        <v>2</v>
      </c>
      <c r="AA89" s="32" t="s">
        <v>32</v>
      </c>
      <c r="AB89" s="32" t="s">
        <v>275</v>
      </c>
      <c r="AC89" s="32">
        <v>1000</v>
      </c>
      <c r="AD89" s="32">
        <v>2</v>
      </c>
      <c r="AE89" s="32">
        <v>0</v>
      </c>
      <c r="AF89" s="32">
        <v>0</v>
      </c>
      <c r="AG89" s="32" t="s">
        <v>309</v>
      </c>
    </row>
    <row r="90" spans="1:33" s="34" customFormat="1" x14ac:dyDescent="0.15">
      <c r="A90" s="60" t="s">
        <v>645</v>
      </c>
      <c r="B90" s="31">
        <v>69</v>
      </c>
      <c r="C90" s="32" t="s">
        <v>283</v>
      </c>
      <c r="D90" s="32" t="s">
        <v>269</v>
      </c>
      <c r="E90" s="32" t="s">
        <v>270</v>
      </c>
      <c r="F90" s="32" t="s">
        <v>385</v>
      </c>
      <c r="G90" s="32"/>
      <c r="H90" s="32" t="s">
        <v>404</v>
      </c>
      <c r="I90" s="32" t="s">
        <v>405</v>
      </c>
      <c r="J90" s="33">
        <v>4976912202893</v>
      </c>
      <c r="K90" s="32">
        <v>500</v>
      </c>
      <c r="L90" s="32">
        <v>550</v>
      </c>
      <c r="M90" s="63"/>
      <c r="N90" s="32"/>
      <c r="O90" s="32"/>
      <c r="P90" s="32">
        <v>500</v>
      </c>
      <c r="Q90" s="63">
        <f t="shared" si="4"/>
        <v>50</v>
      </c>
      <c r="R90" s="32"/>
      <c r="S90" s="32"/>
      <c r="T90" s="32"/>
      <c r="U90" s="32"/>
      <c r="V90" s="32">
        <v>908102</v>
      </c>
      <c r="W90" s="32">
        <v>91111</v>
      </c>
      <c r="X90" s="32">
        <v>0</v>
      </c>
      <c r="Y90" s="32">
        <v>-100</v>
      </c>
      <c r="Z90" s="32">
        <v>2</v>
      </c>
      <c r="AA90" s="32" t="s">
        <v>274</v>
      </c>
      <c r="AB90" s="32" t="s">
        <v>275</v>
      </c>
      <c r="AC90" s="32">
        <v>1000</v>
      </c>
      <c r="AD90" s="32">
        <v>2</v>
      </c>
      <c r="AE90" s="32">
        <v>0</v>
      </c>
      <c r="AF90" s="32">
        <v>0</v>
      </c>
      <c r="AG90" s="32" t="s">
        <v>309</v>
      </c>
    </row>
    <row r="91" spans="1:33" s="34" customFormat="1" x14ac:dyDescent="0.15">
      <c r="A91" s="60" t="s">
        <v>645</v>
      </c>
      <c r="B91" s="31">
        <v>70</v>
      </c>
      <c r="C91" s="32" t="s">
        <v>283</v>
      </c>
      <c r="D91" s="32" t="s">
        <v>269</v>
      </c>
      <c r="E91" s="32" t="s">
        <v>270</v>
      </c>
      <c r="F91" s="32" t="s">
        <v>385</v>
      </c>
      <c r="G91" s="32"/>
      <c r="H91" s="32" t="s">
        <v>406</v>
      </c>
      <c r="I91" s="32" t="s">
        <v>407</v>
      </c>
      <c r="J91" s="33">
        <v>4963793500606</v>
      </c>
      <c r="K91" s="32">
        <v>500</v>
      </c>
      <c r="L91" s="32">
        <v>600</v>
      </c>
      <c r="M91" s="63"/>
      <c r="N91" s="32"/>
      <c r="O91" s="32"/>
      <c r="P91" s="32">
        <v>550</v>
      </c>
      <c r="Q91" s="63">
        <f t="shared" si="4"/>
        <v>50</v>
      </c>
      <c r="R91" s="32"/>
      <c r="S91" s="32"/>
      <c r="T91" s="32"/>
      <c r="U91" s="32"/>
      <c r="V91" s="32">
        <v>908103</v>
      </c>
      <c r="W91" s="32">
        <v>91111</v>
      </c>
      <c r="X91" s="32">
        <v>0</v>
      </c>
      <c r="Y91" s="32">
        <v>-200</v>
      </c>
      <c r="Z91" s="32">
        <v>2</v>
      </c>
      <c r="AA91" s="32" t="s">
        <v>274</v>
      </c>
      <c r="AB91" s="32" t="s">
        <v>275</v>
      </c>
      <c r="AC91" s="32">
        <v>1100</v>
      </c>
      <c r="AD91" s="32">
        <v>2</v>
      </c>
      <c r="AE91" s="32">
        <v>0</v>
      </c>
      <c r="AF91" s="32">
        <v>0</v>
      </c>
      <c r="AG91" s="32" t="s">
        <v>309</v>
      </c>
    </row>
    <row r="92" spans="1:33" s="34" customFormat="1" x14ac:dyDescent="0.15">
      <c r="A92" s="60" t="s">
        <v>645</v>
      </c>
      <c r="B92" s="31">
        <v>70</v>
      </c>
      <c r="C92" s="32" t="s">
        <v>283</v>
      </c>
      <c r="D92" s="32" t="s">
        <v>269</v>
      </c>
      <c r="E92" s="32" t="s">
        <v>270</v>
      </c>
      <c r="F92" s="32" t="s">
        <v>385</v>
      </c>
      <c r="G92" s="32"/>
      <c r="H92" s="32" t="s">
        <v>406</v>
      </c>
      <c r="I92" s="32" t="s">
        <v>407</v>
      </c>
      <c r="J92" s="33">
        <v>4963793500606</v>
      </c>
      <c r="K92" s="32">
        <v>500</v>
      </c>
      <c r="L92" s="32">
        <v>600</v>
      </c>
      <c r="M92" s="63"/>
      <c r="N92" s="32"/>
      <c r="O92" s="32"/>
      <c r="P92" s="32">
        <v>550</v>
      </c>
      <c r="Q92" s="63">
        <f t="shared" si="4"/>
        <v>50</v>
      </c>
      <c r="R92" s="32"/>
      <c r="S92" s="32"/>
      <c r="T92" s="32"/>
      <c r="U92" s="32"/>
      <c r="V92" s="32">
        <v>908103</v>
      </c>
      <c r="W92" s="32">
        <v>91316</v>
      </c>
      <c r="X92" s="32">
        <v>0</v>
      </c>
      <c r="Y92" s="32">
        <v>100</v>
      </c>
      <c r="Z92" s="32">
        <v>2</v>
      </c>
      <c r="AA92" s="32" t="s">
        <v>32</v>
      </c>
      <c r="AB92" s="32" t="s">
        <v>275</v>
      </c>
      <c r="AC92" s="32">
        <v>1100</v>
      </c>
      <c r="AD92" s="32">
        <v>2</v>
      </c>
      <c r="AE92" s="32">
        <v>0</v>
      </c>
      <c r="AF92" s="32">
        <v>0</v>
      </c>
      <c r="AG92" s="32" t="s">
        <v>309</v>
      </c>
    </row>
    <row r="93" spans="1:33" s="34" customFormat="1" x14ac:dyDescent="0.15">
      <c r="A93" s="60" t="s">
        <v>643</v>
      </c>
      <c r="B93" s="31">
        <v>71</v>
      </c>
      <c r="C93" s="32" t="s">
        <v>283</v>
      </c>
      <c r="D93" s="32" t="s">
        <v>279</v>
      </c>
      <c r="E93" s="32" t="s">
        <v>270</v>
      </c>
      <c r="F93" s="32" t="s">
        <v>385</v>
      </c>
      <c r="G93" s="32"/>
      <c r="H93" s="32" t="s">
        <v>408</v>
      </c>
      <c r="I93" s="32" t="s">
        <v>409</v>
      </c>
      <c r="J93" s="33">
        <v>4976132024268</v>
      </c>
      <c r="K93" s="32">
        <v>500</v>
      </c>
      <c r="L93" s="32">
        <v>550</v>
      </c>
      <c r="M93" s="63"/>
      <c r="N93" s="32"/>
      <c r="O93" s="32"/>
      <c r="P93" s="32">
        <v>550</v>
      </c>
      <c r="Q93" s="63">
        <f t="shared" si="4"/>
        <v>0</v>
      </c>
      <c r="R93" s="32"/>
      <c r="S93" s="32"/>
      <c r="T93" s="32"/>
      <c r="U93" s="32"/>
      <c r="V93" s="32">
        <v>908103</v>
      </c>
      <c r="W93" s="32">
        <v>91111</v>
      </c>
      <c r="X93" s="32">
        <v>0</v>
      </c>
      <c r="Y93" s="32">
        <v>-100</v>
      </c>
      <c r="Z93" s="32">
        <v>2</v>
      </c>
      <c r="AA93" s="32" t="s">
        <v>274</v>
      </c>
      <c r="AB93" s="32" t="s">
        <v>275</v>
      </c>
      <c r="AC93" s="32">
        <v>1100</v>
      </c>
      <c r="AD93" s="32">
        <v>2</v>
      </c>
      <c r="AE93" s="32">
        <v>0</v>
      </c>
      <c r="AF93" s="32">
        <v>0</v>
      </c>
      <c r="AG93" s="32" t="s">
        <v>309</v>
      </c>
    </row>
    <row r="94" spans="1:33" s="34" customFormat="1" x14ac:dyDescent="0.15">
      <c r="A94" s="61" t="s">
        <v>621</v>
      </c>
      <c r="B94" s="31">
        <v>72</v>
      </c>
      <c r="C94" s="35" t="s">
        <v>283</v>
      </c>
      <c r="D94" s="35" t="s">
        <v>283</v>
      </c>
      <c r="E94" s="35" t="s">
        <v>270</v>
      </c>
      <c r="F94" s="32" t="s">
        <v>385</v>
      </c>
      <c r="G94" s="32"/>
      <c r="H94" s="32" t="s">
        <v>410</v>
      </c>
      <c r="I94" s="32" t="s">
        <v>411</v>
      </c>
      <c r="J94" s="33">
        <v>4976912202923</v>
      </c>
      <c r="K94" s="35">
        <v>500</v>
      </c>
      <c r="L94" s="32">
        <v>550</v>
      </c>
      <c r="M94" s="63"/>
      <c r="N94" s="32"/>
      <c r="O94" s="32"/>
      <c r="P94" s="32">
        <v>600</v>
      </c>
      <c r="Q94" s="63">
        <f t="shared" si="4"/>
        <v>-50</v>
      </c>
      <c r="R94" s="32"/>
      <c r="S94" s="32"/>
      <c r="T94" s="32"/>
      <c r="U94" s="32"/>
      <c r="V94" s="32">
        <v>908104</v>
      </c>
      <c r="W94" s="32"/>
      <c r="X94" s="32"/>
      <c r="Y94" s="32"/>
      <c r="Z94" s="32"/>
      <c r="AA94" s="32"/>
      <c r="AB94" s="32"/>
      <c r="AC94" s="32">
        <v>1000</v>
      </c>
      <c r="AD94" s="32">
        <v>2</v>
      </c>
      <c r="AE94" s="32">
        <v>0</v>
      </c>
      <c r="AF94" s="32">
        <v>0</v>
      </c>
      <c r="AG94" s="32" t="s">
        <v>309</v>
      </c>
    </row>
    <row r="95" spans="1:33" s="34" customFormat="1" x14ac:dyDescent="0.15">
      <c r="A95" s="60" t="s">
        <v>646</v>
      </c>
      <c r="B95" s="31">
        <v>73</v>
      </c>
      <c r="C95" s="32" t="s">
        <v>269</v>
      </c>
      <c r="D95" s="32" t="s">
        <v>269</v>
      </c>
      <c r="E95" s="32" t="s">
        <v>270</v>
      </c>
      <c r="F95" s="32" t="s">
        <v>412</v>
      </c>
      <c r="G95" s="32"/>
      <c r="H95" s="32" t="s">
        <v>413</v>
      </c>
      <c r="I95" s="32" t="s">
        <v>414</v>
      </c>
      <c r="J95" s="33">
        <v>4970050021378</v>
      </c>
      <c r="K95" s="32">
        <v>500</v>
      </c>
      <c r="L95" s="32">
        <v>450</v>
      </c>
      <c r="M95" s="63"/>
      <c r="N95" s="32"/>
      <c r="O95" s="32"/>
      <c r="P95" s="32"/>
      <c r="Q95" s="32"/>
      <c r="R95" s="32">
        <v>50</v>
      </c>
      <c r="S95" s="32"/>
      <c r="T95" s="32"/>
      <c r="U95" s="32"/>
      <c r="V95" s="32"/>
      <c r="W95" s="32">
        <v>91111</v>
      </c>
      <c r="X95" s="32">
        <v>0</v>
      </c>
      <c r="Y95" s="32">
        <v>50</v>
      </c>
      <c r="Z95" s="32">
        <v>1</v>
      </c>
      <c r="AA95" s="32" t="s">
        <v>274</v>
      </c>
      <c r="AB95" s="32" t="s">
        <v>275</v>
      </c>
      <c r="AC95" s="32">
        <v>400</v>
      </c>
      <c r="AD95" s="32">
        <v>1</v>
      </c>
      <c r="AE95" s="32">
        <v>50</v>
      </c>
      <c r="AF95" s="32">
        <v>1</v>
      </c>
      <c r="AG95" s="32" t="s">
        <v>276</v>
      </c>
    </row>
    <row r="96" spans="1:33" s="34" customFormat="1" x14ac:dyDescent="0.15">
      <c r="A96" s="60" t="s">
        <v>646</v>
      </c>
      <c r="B96" s="31">
        <v>73</v>
      </c>
      <c r="C96" s="32" t="s">
        <v>269</v>
      </c>
      <c r="D96" s="32" t="s">
        <v>269</v>
      </c>
      <c r="E96" s="32" t="s">
        <v>270</v>
      </c>
      <c r="F96" s="32" t="s">
        <v>412</v>
      </c>
      <c r="G96" s="32"/>
      <c r="H96" s="32" t="s">
        <v>413</v>
      </c>
      <c r="I96" s="32" t="s">
        <v>414</v>
      </c>
      <c r="J96" s="33">
        <v>4970050021378</v>
      </c>
      <c r="K96" s="32">
        <v>500</v>
      </c>
      <c r="L96" s="32">
        <v>450</v>
      </c>
      <c r="M96" s="63"/>
      <c r="N96" s="32"/>
      <c r="O96" s="32"/>
      <c r="P96" s="32"/>
      <c r="Q96" s="32"/>
      <c r="R96" s="32">
        <v>50</v>
      </c>
      <c r="S96" s="32"/>
      <c r="T96" s="32"/>
      <c r="U96" s="32"/>
      <c r="V96" s="32"/>
      <c r="W96" s="32">
        <v>91220</v>
      </c>
      <c r="X96" s="32">
        <v>1</v>
      </c>
      <c r="Y96" s="32">
        <v>50</v>
      </c>
      <c r="Z96" s="32">
        <v>1</v>
      </c>
      <c r="AA96" s="32" t="s">
        <v>415</v>
      </c>
      <c r="AB96" s="32" t="s">
        <v>278</v>
      </c>
      <c r="AC96" s="32">
        <v>400</v>
      </c>
      <c r="AD96" s="32">
        <v>1</v>
      </c>
      <c r="AE96" s="32">
        <v>50</v>
      </c>
      <c r="AF96" s="32">
        <v>1</v>
      </c>
      <c r="AG96" s="32" t="s">
        <v>276</v>
      </c>
    </row>
    <row r="97" spans="1:33" s="34" customFormat="1" x14ac:dyDescent="0.15">
      <c r="A97" s="60" t="s">
        <v>646</v>
      </c>
      <c r="B97" s="31">
        <v>74</v>
      </c>
      <c r="C97" s="32" t="s">
        <v>279</v>
      </c>
      <c r="D97" s="32" t="s">
        <v>269</v>
      </c>
      <c r="E97" s="32" t="s">
        <v>270</v>
      </c>
      <c r="F97" s="32" t="s">
        <v>412</v>
      </c>
      <c r="G97" s="32"/>
      <c r="H97" s="32" t="s">
        <v>416</v>
      </c>
      <c r="I97" s="32" t="s">
        <v>417</v>
      </c>
      <c r="J97" s="33">
        <v>4963793600702</v>
      </c>
      <c r="K97" s="32">
        <v>500</v>
      </c>
      <c r="L97" s="32">
        <v>500</v>
      </c>
      <c r="M97" s="63"/>
      <c r="N97" s="32"/>
      <c r="O97" s="32"/>
      <c r="P97" s="32"/>
      <c r="Q97" s="32"/>
      <c r="R97" s="32">
        <v>50</v>
      </c>
      <c r="S97" s="32"/>
      <c r="T97" s="32"/>
      <c r="U97" s="32"/>
      <c r="V97" s="32"/>
      <c r="W97" s="32">
        <v>91220</v>
      </c>
      <c r="X97" s="32">
        <v>1</v>
      </c>
      <c r="Y97" s="32">
        <v>50</v>
      </c>
      <c r="Z97" s="32">
        <v>1</v>
      </c>
      <c r="AA97" s="32" t="s">
        <v>277</v>
      </c>
      <c r="AB97" s="32" t="s">
        <v>282</v>
      </c>
      <c r="AC97" s="32">
        <v>450</v>
      </c>
      <c r="AD97" s="32">
        <v>1</v>
      </c>
      <c r="AE97" s="32">
        <v>50</v>
      </c>
      <c r="AF97" s="32">
        <v>1</v>
      </c>
      <c r="AG97" s="32" t="s">
        <v>276</v>
      </c>
    </row>
    <row r="98" spans="1:33" s="34" customFormat="1" x14ac:dyDescent="0.15">
      <c r="A98" s="60" t="s">
        <v>646</v>
      </c>
      <c r="B98" s="31">
        <v>74</v>
      </c>
      <c r="C98" s="32" t="s">
        <v>279</v>
      </c>
      <c r="D98" s="32" t="s">
        <v>269</v>
      </c>
      <c r="E98" s="32" t="s">
        <v>270</v>
      </c>
      <c r="F98" s="32" t="s">
        <v>412</v>
      </c>
      <c r="G98" s="32"/>
      <c r="H98" s="32" t="s">
        <v>416</v>
      </c>
      <c r="I98" s="32" t="s">
        <v>417</v>
      </c>
      <c r="J98" s="33">
        <v>4963793600702</v>
      </c>
      <c r="K98" s="32">
        <v>500</v>
      </c>
      <c r="L98" s="32">
        <v>500</v>
      </c>
      <c r="M98" s="63"/>
      <c r="N98" s="32"/>
      <c r="O98" s="32"/>
      <c r="P98" s="32"/>
      <c r="Q98" s="32"/>
      <c r="R98" s="32">
        <v>50</v>
      </c>
      <c r="S98" s="32"/>
      <c r="T98" s="32"/>
      <c r="U98" s="32"/>
      <c r="V98" s="32"/>
      <c r="W98" s="32">
        <v>91111</v>
      </c>
      <c r="X98" s="32">
        <v>0</v>
      </c>
      <c r="Y98" s="32">
        <v>0</v>
      </c>
      <c r="Z98" s="32">
        <v>1</v>
      </c>
      <c r="AA98" s="32" t="s">
        <v>274</v>
      </c>
      <c r="AB98" s="32" t="s">
        <v>275</v>
      </c>
      <c r="AC98" s="32">
        <v>450</v>
      </c>
      <c r="AD98" s="32">
        <v>1</v>
      </c>
      <c r="AE98" s="32">
        <v>50</v>
      </c>
      <c r="AF98" s="32">
        <v>1</v>
      </c>
      <c r="AG98" s="32" t="s">
        <v>276</v>
      </c>
    </row>
    <row r="99" spans="1:33" s="34" customFormat="1" x14ac:dyDescent="0.15">
      <c r="A99" s="60" t="s">
        <v>646</v>
      </c>
      <c r="B99" s="31">
        <v>75</v>
      </c>
      <c r="C99" s="32" t="s">
        <v>283</v>
      </c>
      <c r="D99" s="32" t="s">
        <v>269</v>
      </c>
      <c r="E99" s="32" t="s">
        <v>270</v>
      </c>
      <c r="F99" s="32" t="s">
        <v>412</v>
      </c>
      <c r="G99" s="32"/>
      <c r="H99" s="32" t="s">
        <v>418</v>
      </c>
      <c r="I99" s="32" t="s">
        <v>419</v>
      </c>
      <c r="J99" s="33">
        <v>4977960061579</v>
      </c>
      <c r="K99" s="32">
        <v>500</v>
      </c>
      <c r="L99" s="32">
        <v>550</v>
      </c>
      <c r="M99" s="63"/>
      <c r="N99" s="32"/>
      <c r="O99" s="32"/>
      <c r="P99" s="32"/>
      <c r="Q99" s="32"/>
      <c r="R99" s="32">
        <v>100</v>
      </c>
      <c r="S99" s="32"/>
      <c r="T99" s="32"/>
      <c r="U99" s="32"/>
      <c r="V99" s="32"/>
      <c r="W99" s="32">
        <v>91220</v>
      </c>
      <c r="X99" s="32">
        <v>1</v>
      </c>
      <c r="Y99" s="32">
        <v>100</v>
      </c>
      <c r="Z99" s="32">
        <v>1</v>
      </c>
      <c r="AA99" s="32" t="s">
        <v>277</v>
      </c>
      <c r="AB99" s="32" t="s">
        <v>282</v>
      </c>
      <c r="AC99" s="32">
        <v>450</v>
      </c>
      <c r="AD99" s="32">
        <v>1</v>
      </c>
      <c r="AE99" s="32">
        <v>100</v>
      </c>
      <c r="AF99" s="32">
        <v>1</v>
      </c>
      <c r="AG99" s="32" t="s">
        <v>276</v>
      </c>
    </row>
    <row r="100" spans="1:33" s="34" customFormat="1" x14ac:dyDescent="0.15">
      <c r="A100" s="60" t="s">
        <v>646</v>
      </c>
      <c r="B100" s="31">
        <v>75</v>
      </c>
      <c r="C100" s="32" t="s">
        <v>283</v>
      </c>
      <c r="D100" s="32" t="s">
        <v>269</v>
      </c>
      <c r="E100" s="32" t="s">
        <v>270</v>
      </c>
      <c r="F100" s="32" t="s">
        <v>162</v>
      </c>
      <c r="G100" s="32"/>
      <c r="H100" s="32" t="s">
        <v>418</v>
      </c>
      <c r="I100" s="32" t="s">
        <v>419</v>
      </c>
      <c r="J100" s="33">
        <v>4977960061579</v>
      </c>
      <c r="K100" s="32">
        <v>500</v>
      </c>
      <c r="L100" s="32">
        <v>550</v>
      </c>
      <c r="M100" s="63"/>
      <c r="N100" s="32"/>
      <c r="O100" s="32"/>
      <c r="P100" s="32"/>
      <c r="Q100" s="32"/>
      <c r="R100" s="32">
        <v>100</v>
      </c>
      <c r="S100" s="32"/>
      <c r="T100" s="32"/>
      <c r="U100" s="32"/>
      <c r="V100" s="32"/>
      <c r="W100" s="32">
        <v>91111</v>
      </c>
      <c r="X100" s="32">
        <v>0</v>
      </c>
      <c r="Y100" s="32">
        <v>-50</v>
      </c>
      <c r="Z100" s="32">
        <v>1</v>
      </c>
      <c r="AA100" s="32" t="s">
        <v>274</v>
      </c>
      <c r="AB100" s="32" t="s">
        <v>275</v>
      </c>
      <c r="AC100" s="32">
        <v>450</v>
      </c>
      <c r="AD100" s="32">
        <v>1</v>
      </c>
      <c r="AE100" s="32">
        <v>100</v>
      </c>
      <c r="AF100" s="32">
        <v>1</v>
      </c>
      <c r="AG100" s="32" t="s">
        <v>276</v>
      </c>
    </row>
    <row r="101" spans="1:33" s="34" customFormat="1" x14ac:dyDescent="0.15">
      <c r="A101" s="61" t="s">
        <v>621</v>
      </c>
      <c r="B101" s="31">
        <v>76</v>
      </c>
      <c r="C101" s="32" t="s">
        <v>283</v>
      </c>
      <c r="D101" s="32" t="s">
        <v>269</v>
      </c>
      <c r="E101" s="32" t="s">
        <v>270</v>
      </c>
      <c r="F101" s="32" t="s">
        <v>412</v>
      </c>
      <c r="G101" s="32"/>
      <c r="H101" s="32" t="s">
        <v>420</v>
      </c>
      <c r="I101" s="32" t="s">
        <v>421</v>
      </c>
      <c r="J101" s="33">
        <v>4970050021385</v>
      </c>
      <c r="K101" s="32">
        <v>500</v>
      </c>
      <c r="L101" s="32">
        <v>550</v>
      </c>
      <c r="M101" s="63"/>
      <c r="N101" s="32"/>
      <c r="O101" s="32"/>
      <c r="P101" s="32"/>
      <c r="Q101" s="32"/>
      <c r="R101" s="32">
        <v>50</v>
      </c>
      <c r="S101" s="32"/>
      <c r="T101" s="32"/>
      <c r="U101" s="32"/>
      <c r="V101" s="32"/>
      <c r="W101" s="32">
        <v>91111</v>
      </c>
      <c r="X101" s="32">
        <v>0</v>
      </c>
      <c r="Y101" s="32">
        <v>-50</v>
      </c>
      <c r="Z101" s="32">
        <v>1</v>
      </c>
      <c r="AA101" s="32" t="s">
        <v>274</v>
      </c>
      <c r="AB101" s="32" t="s">
        <v>275</v>
      </c>
      <c r="AC101" s="32">
        <v>500</v>
      </c>
      <c r="AD101" s="32">
        <v>1</v>
      </c>
      <c r="AE101" s="32">
        <v>50</v>
      </c>
      <c r="AF101" s="32">
        <v>1</v>
      </c>
      <c r="AG101" s="32" t="s">
        <v>276</v>
      </c>
    </row>
    <row r="102" spans="1:33" s="34" customFormat="1" x14ac:dyDescent="0.15">
      <c r="A102" s="61" t="s">
        <v>621</v>
      </c>
      <c r="B102" s="31">
        <v>76</v>
      </c>
      <c r="C102" s="32" t="s">
        <v>283</v>
      </c>
      <c r="D102" s="32" t="s">
        <v>269</v>
      </c>
      <c r="E102" s="32" t="s">
        <v>270</v>
      </c>
      <c r="F102" s="32" t="s">
        <v>412</v>
      </c>
      <c r="G102" s="32"/>
      <c r="H102" s="32" t="s">
        <v>420</v>
      </c>
      <c r="I102" s="32" t="s">
        <v>421</v>
      </c>
      <c r="J102" s="33">
        <v>4970050021385</v>
      </c>
      <c r="K102" s="32">
        <v>500</v>
      </c>
      <c r="L102" s="32">
        <v>550</v>
      </c>
      <c r="M102" s="63"/>
      <c r="N102" s="32"/>
      <c r="O102" s="32"/>
      <c r="P102" s="32"/>
      <c r="Q102" s="32"/>
      <c r="R102" s="32">
        <v>50</v>
      </c>
      <c r="S102" s="32"/>
      <c r="T102" s="32"/>
      <c r="U102" s="32"/>
      <c r="V102" s="32"/>
      <c r="W102" s="32">
        <v>91220</v>
      </c>
      <c r="X102" s="32">
        <v>1</v>
      </c>
      <c r="Y102" s="32">
        <v>50</v>
      </c>
      <c r="Z102" s="32">
        <v>1</v>
      </c>
      <c r="AA102" s="32" t="s">
        <v>277</v>
      </c>
      <c r="AB102" s="32" t="s">
        <v>282</v>
      </c>
      <c r="AC102" s="32">
        <v>500</v>
      </c>
      <c r="AD102" s="32">
        <v>1</v>
      </c>
      <c r="AE102" s="32">
        <v>50</v>
      </c>
      <c r="AF102" s="32">
        <v>1</v>
      </c>
      <c r="AG102" s="32" t="s">
        <v>276</v>
      </c>
    </row>
    <row r="103" spans="1:33" s="34" customFormat="1" x14ac:dyDescent="0.15">
      <c r="A103" s="61" t="s">
        <v>621</v>
      </c>
      <c r="B103" s="31">
        <v>77</v>
      </c>
      <c r="C103" s="32" t="s">
        <v>283</v>
      </c>
      <c r="D103" s="32" t="s">
        <v>269</v>
      </c>
      <c r="E103" s="32" t="s">
        <v>270</v>
      </c>
      <c r="F103" s="32" t="s">
        <v>412</v>
      </c>
      <c r="G103" s="32"/>
      <c r="H103" s="32" t="s">
        <v>422</v>
      </c>
      <c r="I103" s="32" t="s">
        <v>423</v>
      </c>
      <c r="J103" s="33">
        <v>4974995062908</v>
      </c>
      <c r="K103" s="32">
        <v>500</v>
      </c>
      <c r="L103" s="32">
        <v>550</v>
      </c>
      <c r="M103" s="63"/>
      <c r="N103" s="32"/>
      <c r="O103" s="32"/>
      <c r="P103" s="32"/>
      <c r="Q103" s="32"/>
      <c r="R103" s="32">
        <v>50</v>
      </c>
      <c r="S103" s="32"/>
      <c r="T103" s="32"/>
      <c r="U103" s="32"/>
      <c r="V103" s="32"/>
      <c r="W103" s="32">
        <v>91111</v>
      </c>
      <c r="X103" s="32">
        <v>0</v>
      </c>
      <c r="Y103" s="32">
        <v>-50</v>
      </c>
      <c r="Z103" s="32">
        <v>1</v>
      </c>
      <c r="AA103" s="32" t="s">
        <v>274</v>
      </c>
      <c r="AB103" s="32" t="s">
        <v>275</v>
      </c>
      <c r="AC103" s="32">
        <v>500</v>
      </c>
      <c r="AD103" s="32">
        <v>1</v>
      </c>
      <c r="AE103" s="32">
        <v>50</v>
      </c>
      <c r="AF103" s="32">
        <v>1</v>
      </c>
      <c r="AG103" s="32" t="s">
        <v>276</v>
      </c>
    </row>
    <row r="104" spans="1:33" s="34" customFormat="1" x14ac:dyDescent="0.15">
      <c r="A104" s="61" t="s">
        <v>621</v>
      </c>
      <c r="B104" s="31">
        <v>77</v>
      </c>
      <c r="C104" s="32" t="s">
        <v>283</v>
      </c>
      <c r="D104" s="32" t="s">
        <v>269</v>
      </c>
      <c r="E104" s="32" t="s">
        <v>270</v>
      </c>
      <c r="F104" s="32" t="s">
        <v>412</v>
      </c>
      <c r="G104" s="32"/>
      <c r="H104" s="32" t="s">
        <v>422</v>
      </c>
      <c r="I104" s="32" t="s">
        <v>423</v>
      </c>
      <c r="J104" s="33">
        <v>4974995062908</v>
      </c>
      <c r="K104" s="32">
        <v>500</v>
      </c>
      <c r="L104" s="32">
        <v>550</v>
      </c>
      <c r="M104" s="63"/>
      <c r="N104" s="32"/>
      <c r="O104" s="32"/>
      <c r="P104" s="32"/>
      <c r="Q104" s="32"/>
      <c r="R104" s="32">
        <v>50</v>
      </c>
      <c r="S104" s="32"/>
      <c r="T104" s="32"/>
      <c r="U104" s="32"/>
      <c r="V104" s="32"/>
      <c r="W104" s="32">
        <v>91220</v>
      </c>
      <c r="X104" s="32">
        <v>1</v>
      </c>
      <c r="Y104" s="32">
        <v>50</v>
      </c>
      <c r="Z104" s="32">
        <v>1</v>
      </c>
      <c r="AA104" s="32" t="s">
        <v>277</v>
      </c>
      <c r="AB104" s="32" t="s">
        <v>282</v>
      </c>
      <c r="AC104" s="32">
        <v>500</v>
      </c>
      <c r="AD104" s="32">
        <v>1</v>
      </c>
      <c r="AE104" s="32">
        <v>50</v>
      </c>
      <c r="AF104" s="32">
        <v>1</v>
      </c>
      <c r="AG104" s="32" t="s">
        <v>276</v>
      </c>
    </row>
    <row r="105" spans="1:33" s="34" customFormat="1" x14ac:dyDescent="0.15">
      <c r="A105" s="60" t="s">
        <v>647</v>
      </c>
      <c r="B105" s="31">
        <v>78</v>
      </c>
      <c r="C105" s="32" t="s">
        <v>269</v>
      </c>
      <c r="D105" s="32" t="s">
        <v>269</v>
      </c>
      <c r="E105" s="32" t="s">
        <v>270</v>
      </c>
      <c r="F105" s="32" t="s">
        <v>424</v>
      </c>
      <c r="G105" s="32"/>
      <c r="H105" s="32" t="s">
        <v>425</v>
      </c>
      <c r="I105" s="32" t="s">
        <v>426</v>
      </c>
      <c r="J105" s="33">
        <v>4903250560583</v>
      </c>
      <c r="K105" s="32">
        <v>500</v>
      </c>
      <c r="L105" s="32">
        <v>450</v>
      </c>
      <c r="M105" s="63"/>
      <c r="N105" s="32"/>
      <c r="O105" s="32"/>
      <c r="P105" s="32"/>
      <c r="Q105" s="32"/>
      <c r="R105" s="32">
        <v>10</v>
      </c>
      <c r="S105" s="32"/>
      <c r="T105" s="32"/>
      <c r="U105" s="32"/>
      <c r="V105" s="32"/>
      <c r="W105" s="32">
        <v>91111</v>
      </c>
      <c r="X105" s="32">
        <v>0</v>
      </c>
      <c r="Y105" s="32">
        <v>50</v>
      </c>
      <c r="Z105" s="32">
        <v>1</v>
      </c>
      <c r="AA105" s="32" t="s">
        <v>274</v>
      </c>
      <c r="AB105" s="32" t="s">
        <v>275</v>
      </c>
      <c r="AC105" s="32">
        <v>405</v>
      </c>
      <c r="AD105" s="32">
        <v>1</v>
      </c>
      <c r="AE105" s="32">
        <v>45</v>
      </c>
      <c r="AF105" s="32">
        <v>1</v>
      </c>
      <c r="AG105" s="32" t="s">
        <v>276</v>
      </c>
    </row>
    <row r="106" spans="1:33" s="34" customFormat="1" x14ac:dyDescent="0.15">
      <c r="A106" s="60" t="s">
        <v>647</v>
      </c>
      <c r="B106" s="31">
        <v>78</v>
      </c>
      <c r="C106" s="32" t="s">
        <v>269</v>
      </c>
      <c r="D106" s="32" t="s">
        <v>269</v>
      </c>
      <c r="E106" s="32" t="s">
        <v>270</v>
      </c>
      <c r="F106" s="32" t="s">
        <v>424</v>
      </c>
      <c r="G106" s="32"/>
      <c r="H106" s="32" t="s">
        <v>425</v>
      </c>
      <c r="I106" s="32" t="s">
        <v>426</v>
      </c>
      <c r="J106" s="33">
        <v>4903250560583</v>
      </c>
      <c r="K106" s="32">
        <v>500</v>
      </c>
      <c r="L106" s="32">
        <v>450</v>
      </c>
      <c r="M106" s="63"/>
      <c r="N106" s="32"/>
      <c r="O106" s="32"/>
      <c r="P106" s="32"/>
      <c r="Q106" s="32"/>
      <c r="R106" s="32">
        <v>10</v>
      </c>
      <c r="S106" s="32"/>
      <c r="T106" s="32"/>
      <c r="U106" s="32"/>
      <c r="V106" s="32"/>
      <c r="W106" s="32">
        <v>91220</v>
      </c>
      <c r="X106" s="32">
        <v>2</v>
      </c>
      <c r="Y106" s="32">
        <v>45</v>
      </c>
      <c r="Z106" s="32">
        <v>1</v>
      </c>
      <c r="AA106" s="32" t="s">
        <v>277</v>
      </c>
      <c r="AB106" s="32" t="s">
        <v>293</v>
      </c>
      <c r="AC106" s="32">
        <v>405</v>
      </c>
      <c r="AD106" s="32">
        <v>1</v>
      </c>
      <c r="AE106" s="32">
        <v>45</v>
      </c>
      <c r="AF106" s="32">
        <v>1</v>
      </c>
      <c r="AG106" s="32" t="s">
        <v>276</v>
      </c>
    </row>
    <row r="107" spans="1:33" s="34" customFormat="1" x14ac:dyDescent="0.15">
      <c r="A107" s="60" t="s">
        <v>647</v>
      </c>
      <c r="B107" s="31">
        <v>79</v>
      </c>
      <c r="C107" s="32" t="s">
        <v>279</v>
      </c>
      <c r="D107" s="32" t="s">
        <v>269</v>
      </c>
      <c r="E107" s="32" t="s">
        <v>270</v>
      </c>
      <c r="F107" s="32" t="s">
        <v>424</v>
      </c>
      <c r="G107" s="32"/>
      <c r="H107" s="32" t="s">
        <v>427</v>
      </c>
      <c r="I107" s="32" t="s">
        <v>428</v>
      </c>
      <c r="J107" s="33">
        <v>4970455010205</v>
      </c>
      <c r="K107" s="32">
        <v>500</v>
      </c>
      <c r="L107" s="32">
        <v>500</v>
      </c>
      <c r="M107" s="63"/>
      <c r="N107" s="32"/>
      <c r="O107" s="32"/>
      <c r="P107" s="32"/>
      <c r="Q107" s="32"/>
      <c r="R107" s="32">
        <v>10</v>
      </c>
      <c r="S107" s="32"/>
      <c r="T107" s="32"/>
      <c r="U107" s="32"/>
      <c r="V107" s="32"/>
      <c r="W107" s="32">
        <v>91220</v>
      </c>
      <c r="X107" s="32">
        <v>2</v>
      </c>
      <c r="Y107" s="32">
        <v>50</v>
      </c>
      <c r="Z107" s="32">
        <v>1</v>
      </c>
      <c r="AA107" s="32" t="s">
        <v>277</v>
      </c>
      <c r="AB107" s="32" t="s">
        <v>296</v>
      </c>
      <c r="AC107" s="32">
        <v>450</v>
      </c>
      <c r="AD107" s="32">
        <v>1</v>
      </c>
      <c r="AE107" s="32">
        <v>50</v>
      </c>
      <c r="AF107" s="32">
        <v>1</v>
      </c>
      <c r="AG107" s="32" t="s">
        <v>276</v>
      </c>
    </row>
    <row r="108" spans="1:33" s="34" customFormat="1" x14ac:dyDescent="0.15">
      <c r="A108" s="60" t="s">
        <v>647</v>
      </c>
      <c r="B108" s="31">
        <v>79</v>
      </c>
      <c r="C108" s="32" t="s">
        <v>279</v>
      </c>
      <c r="D108" s="32" t="s">
        <v>269</v>
      </c>
      <c r="E108" s="32" t="s">
        <v>270</v>
      </c>
      <c r="F108" s="32" t="s">
        <v>424</v>
      </c>
      <c r="G108" s="32"/>
      <c r="H108" s="32" t="s">
        <v>427</v>
      </c>
      <c r="I108" s="32" t="s">
        <v>428</v>
      </c>
      <c r="J108" s="33">
        <v>4970455010205</v>
      </c>
      <c r="K108" s="32">
        <v>500</v>
      </c>
      <c r="L108" s="32">
        <v>500</v>
      </c>
      <c r="M108" s="63"/>
      <c r="N108" s="32"/>
      <c r="O108" s="32"/>
      <c r="P108" s="32"/>
      <c r="Q108" s="32"/>
      <c r="R108" s="32">
        <v>10</v>
      </c>
      <c r="S108" s="32"/>
      <c r="T108" s="32"/>
      <c r="U108" s="32"/>
      <c r="V108" s="32"/>
      <c r="W108" s="32">
        <v>91111</v>
      </c>
      <c r="X108" s="32">
        <v>0</v>
      </c>
      <c r="Y108" s="32">
        <v>0</v>
      </c>
      <c r="Z108" s="32">
        <v>1</v>
      </c>
      <c r="AA108" s="32" t="s">
        <v>274</v>
      </c>
      <c r="AB108" s="32" t="s">
        <v>275</v>
      </c>
      <c r="AC108" s="32">
        <v>450</v>
      </c>
      <c r="AD108" s="32">
        <v>1</v>
      </c>
      <c r="AE108" s="32">
        <v>50</v>
      </c>
      <c r="AF108" s="32">
        <v>1</v>
      </c>
      <c r="AG108" s="32" t="s">
        <v>276</v>
      </c>
    </row>
    <row r="109" spans="1:33" s="34" customFormat="1" x14ac:dyDescent="0.15">
      <c r="A109" s="60" t="s">
        <v>647</v>
      </c>
      <c r="B109" s="31">
        <v>80</v>
      </c>
      <c r="C109" s="32" t="s">
        <v>283</v>
      </c>
      <c r="D109" s="32" t="s">
        <v>269</v>
      </c>
      <c r="E109" s="32" t="s">
        <v>270</v>
      </c>
      <c r="F109" s="32" t="s">
        <v>424</v>
      </c>
      <c r="G109" s="32"/>
      <c r="H109" s="32" t="s">
        <v>429</v>
      </c>
      <c r="I109" s="32" t="s">
        <v>430</v>
      </c>
      <c r="J109" s="33">
        <v>4974929841487</v>
      </c>
      <c r="K109" s="32">
        <v>500</v>
      </c>
      <c r="L109" s="32">
        <v>550</v>
      </c>
      <c r="M109" s="63"/>
      <c r="N109" s="32"/>
      <c r="O109" s="32"/>
      <c r="P109" s="32"/>
      <c r="Q109" s="32"/>
      <c r="R109" s="32">
        <v>10</v>
      </c>
      <c r="S109" s="32"/>
      <c r="T109" s="32"/>
      <c r="U109" s="32"/>
      <c r="V109" s="32"/>
      <c r="W109" s="32">
        <v>91111</v>
      </c>
      <c r="X109" s="32">
        <v>0</v>
      </c>
      <c r="Y109" s="32">
        <v>-50</v>
      </c>
      <c r="Z109" s="32">
        <v>1</v>
      </c>
      <c r="AA109" s="32" t="s">
        <v>274</v>
      </c>
      <c r="AB109" s="32" t="s">
        <v>275</v>
      </c>
      <c r="AC109" s="32">
        <v>495</v>
      </c>
      <c r="AD109" s="32">
        <v>1</v>
      </c>
      <c r="AE109" s="32">
        <v>55</v>
      </c>
      <c r="AF109" s="32">
        <v>1</v>
      </c>
      <c r="AG109" s="32" t="s">
        <v>276</v>
      </c>
    </row>
    <row r="110" spans="1:33" s="34" customFormat="1" x14ac:dyDescent="0.15">
      <c r="A110" s="60" t="s">
        <v>647</v>
      </c>
      <c r="B110" s="31">
        <v>80</v>
      </c>
      <c r="C110" s="32" t="s">
        <v>283</v>
      </c>
      <c r="D110" s="32" t="s">
        <v>269</v>
      </c>
      <c r="E110" s="32" t="s">
        <v>270</v>
      </c>
      <c r="F110" s="32" t="s">
        <v>424</v>
      </c>
      <c r="G110" s="32"/>
      <c r="H110" s="32" t="s">
        <v>429</v>
      </c>
      <c r="I110" s="32" t="s">
        <v>430</v>
      </c>
      <c r="J110" s="33">
        <v>4974929841487</v>
      </c>
      <c r="K110" s="32">
        <v>500</v>
      </c>
      <c r="L110" s="32">
        <v>550</v>
      </c>
      <c r="M110" s="63"/>
      <c r="N110" s="32"/>
      <c r="O110" s="32"/>
      <c r="P110" s="32"/>
      <c r="Q110" s="32"/>
      <c r="R110" s="32">
        <v>10</v>
      </c>
      <c r="S110" s="32"/>
      <c r="T110" s="32"/>
      <c r="U110" s="32"/>
      <c r="V110" s="32"/>
      <c r="W110" s="32">
        <v>91220</v>
      </c>
      <c r="X110" s="32">
        <v>2</v>
      </c>
      <c r="Y110" s="32">
        <v>55</v>
      </c>
      <c r="Z110" s="32">
        <v>1</v>
      </c>
      <c r="AA110" s="32" t="s">
        <v>277</v>
      </c>
      <c r="AB110" s="32" t="s">
        <v>296</v>
      </c>
      <c r="AC110" s="32">
        <v>495</v>
      </c>
      <c r="AD110" s="32">
        <v>1</v>
      </c>
      <c r="AE110" s="32">
        <v>55</v>
      </c>
      <c r="AF110" s="32">
        <v>1</v>
      </c>
      <c r="AG110" s="32" t="s">
        <v>276</v>
      </c>
    </row>
    <row r="111" spans="1:33" s="34" customFormat="1" x14ac:dyDescent="0.15">
      <c r="A111" s="61" t="s">
        <v>608</v>
      </c>
      <c r="B111" s="31">
        <v>81</v>
      </c>
      <c r="C111" s="32" t="s">
        <v>283</v>
      </c>
      <c r="D111" s="32" t="s">
        <v>269</v>
      </c>
      <c r="E111" s="32" t="s">
        <v>270</v>
      </c>
      <c r="F111" s="32" t="s">
        <v>170</v>
      </c>
      <c r="G111" s="32"/>
      <c r="H111" s="32" t="s">
        <v>431</v>
      </c>
      <c r="I111" s="32" t="s">
        <v>432</v>
      </c>
      <c r="J111" s="33">
        <v>4974995070088</v>
      </c>
      <c r="K111" s="32">
        <v>500</v>
      </c>
      <c r="L111" s="32">
        <v>550</v>
      </c>
      <c r="M111" s="63"/>
      <c r="N111" s="32"/>
      <c r="O111" s="32"/>
      <c r="P111" s="32"/>
      <c r="Q111" s="32"/>
      <c r="R111" s="32">
        <v>10</v>
      </c>
      <c r="S111" s="32"/>
      <c r="T111" s="32"/>
      <c r="U111" s="32"/>
      <c r="V111" s="32"/>
      <c r="W111" s="32">
        <v>91111</v>
      </c>
      <c r="X111" s="32">
        <v>0</v>
      </c>
      <c r="Y111" s="32">
        <v>-50</v>
      </c>
      <c r="Z111" s="32">
        <v>1</v>
      </c>
      <c r="AA111" s="32" t="s">
        <v>274</v>
      </c>
      <c r="AB111" s="32" t="s">
        <v>275</v>
      </c>
      <c r="AC111" s="32">
        <v>495</v>
      </c>
      <c r="AD111" s="32">
        <v>1</v>
      </c>
      <c r="AE111" s="32">
        <v>55</v>
      </c>
      <c r="AF111" s="32">
        <v>1</v>
      </c>
      <c r="AG111" s="32" t="s">
        <v>276</v>
      </c>
    </row>
    <row r="112" spans="1:33" s="34" customFormat="1" x14ac:dyDescent="0.15">
      <c r="A112" s="61" t="s">
        <v>608</v>
      </c>
      <c r="B112" s="31">
        <v>81</v>
      </c>
      <c r="C112" s="32" t="s">
        <v>283</v>
      </c>
      <c r="D112" s="32" t="s">
        <v>269</v>
      </c>
      <c r="E112" s="32" t="s">
        <v>270</v>
      </c>
      <c r="F112" s="32" t="s">
        <v>424</v>
      </c>
      <c r="G112" s="32"/>
      <c r="H112" s="32" t="s">
        <v>431</v>
      </c>
      <c r="I112" s="32" t="s">
        <v>432</v>
      </c>
      <c r="J112" s="33">
        <v>4974995070088</v>
      </c>
      <c r="K112" s="32">
        <v>500</v>
      </c>
      <c r="L112" s="32">
        <v>550</v>
      </c>
      <c r="M112" s="63"/>
      <c r="N112" s="32"/>
      <c r="O112" s="32"/>
      <c r="P112" s="32"/>
      <c r="Q112" s="32"/>
      <c r="R112" s="32">
        <v>10</v>
      </c>
      <c r="S112" s="32"/>
      <c r="T112" s="32"/>
      <c r="U112" s="32"/>
      <c r="V112" s="32"/>
      <c r="W112" s="32">
        <v>91220</v>
      </c>
      <c r="X112" s="32">
        <v>2</v>
      </c>
      <c r="Y112" s="32">
        <v>55</v>
      </c>
      <c r="Z112" s="32">
        <v>1</v>
      </c>
      <c r="AA112" s="32" t="s">
        <v>277</v>
      </c>
      <c r="AB112" s="32" t="s">
        <v>296</v>
      </c>
      <c r="AC112" s="32">
        <v>495</v>
      </c>
      <c r="AD112" s="32">
        <v>1</v>
      </c>
      <c r="AE112" s="32">
        <v>55</v>
      </c>
      <c r="AF112" s="32">
        <v>1</v>
      </c>
      <c r="AG112" s="32" t="s">
        <v>276</v>
      </c>
    </row>
    <row r="113" spans="1:33" s="34" customFormat="1" x14ac:dyDescent="0.15">
      <c r="A113" s="61" t="s">
        <v>608</v>
      </c>
      <c r="B113" s="31">
        <v>82</v>
      </c>
      <c r="C113" s="32" t="s">
        <v>283</v>
      </c>
      <c r="D113" s="32" t="s">
        <v>269</v>
      </c>
      <c r="E113" s="32" t="s">
        <v>270</v>
      </c>
      <c r="F113" s="32" t="s">
        <v>424</v>
      </c>
      <c r="G113" s="32"/>
      <c r="H113" s="32" t="s">
        <v>433</v>
      </c>
      <c r="I113" s="32" t="s">
        <v>434</v>
      </c>
      <c r="J113" s="33">
        <v>4974929153207</v>
      </c>
      <c r="K113" s="32">
        <v>500</v>
      </c>
      <c r="L113" s="32">
        <v>550</v>
      </c>
      <c r="M113" s="63"/>
      <c r="N113" s="32"/>
      <c r="O113" s="32"/>
      <c r="P113" s="32"/>
      <c r="Q113" s="32"/>
      <c r="R113" s="32">
        <v>10</v>
      </c>
      <c r="S113" s="32"/>
      <c r="T113" s="32"/>
      <c r="U113" s="32"/>
      <c r="V113" s="32"/>
      <c r="W113" s="32">
        <v>91220</v>
      </c>
      <c r="X113" s="32">
        <v>2</v>
      </c>
      <c r="Y113" s="32">
        <v>55</v>
      </c>
      <c r="Z113" s="32">
        <v>1</v>
      </c>
      <c r="AA113" s="32" t="s">
        <v>277</v>
      </c>
      <c r="AB113" s="32" t="s">
        <v>296</v>
      </c>
      <c r="AC113" s="32">
        <v>495</v>
      </c>
      <c r="AD113" s="32">
        <v>1</v>
      </c>
      <c r="AE113" s="32">
        <v>55</v>
      </c>
      <c r="AF113" s="32">
        <v>1</v>
      </c>
      <c r="AG113" s="32" t="s">
        <v>276</v>
      </c>
    </row>
    <row r="114" spans="1:33" s="34" customFormat="1" x14ac:dyDescent="0.15">
      <c r="A114" s="61" t="s">
        <v>608</v>
      </c>
      <c r="B114" s="31">
        <v>82</v>
      </c>
      <c r="C114" s="32" t="s">
        <v>283</v>
      </c>
      <c r="D114" s="32" t="s">
        <v>269</v>
      </c>
      <c r="E114" s="32" t="s">
        <v>270</v>
      </c>
      <c r="F114" s="32" t="s">
        <v>424</v>
      </c>
      <c r="G114" s="32"/>
      <c r="H114" s="32" t="s">
        <v>433</v>
      </c>
      <c r="I114" s="32" t="s">
        <v>434</v>
      </c>
      <c r="J114" s="33">
        <v>4974929153207</v>
      </c>
      <c r="K114" s="32">
        <v>500</v>
      </c>
      <c r="L114" s="32">
        <v>550</v>
      </c>
      <c r="M114" s="63"/>
      <c r="N114" s="32"/>
      <c r="O114" s="32"/>
      <c r="P114" s="32"/>
      <c r="Q114" s="32"/>
      <c r="R114" s="32">
        <v>10</v>
      </c>
      <c r="S114" s="32"/>
      <c r="T114" s="32"/>
      <c r="U114" s="32"/>
      <c r="V114" s="32"/>
      <c r="W114" s="32">
        <v>91111</v>
      </c>
      <c r="X114" s="32">
        <v>0</v>
      </c>
      <c r="Y114" s="32">
        <v>-50</v>
      </c>
      <c r="Z114" s="32">
        <v>1</v>
      </c>
      <c r="AA114" s="32" t="s">
        <v>274</v>
      </c>
      <c r="AB114" s="32" t="s">
        <v>275</v>
      </c>
      <c r="AC114" s="32">
        <v>495</v>
      </c>
      <c r="AD114" s="32">
        <v>1</v>
      </c>
      <c r="AE114" s="32">
        <v>55</v>
      </c>
      <c r="AF114" s="32">
        <v>1</v>
      </c>
      <c r="AG114" s="32" t="s">
        <v>276</v>
      </c>
    </row>
    <row r="115" spans="1:33" s="34" customFormat="1" x14ac:dyDescent="0.15">
      <c r="A115" s="60" t="s">
        <v>648</v>
      </c>
      <c r="B115" s="31">
        <v>83</v>
      </c>
      <c r="C115" s="32" t="s">
        <v>269</v>
      </c>
      <c r="D115" s="32" t="s">
        <v>269</v>
      </c>
      <c r="E115" s="32" t="s">
        <v>270</v>
      </c>
      <c r="F115" s="32" t="s">
        <v>435</v>
      </c>
      <c r="G115" s="32"/>
      <c r="H115" s="32" t="s">
        <v>436</v>
      </c>
      <c r="I115" s="32" t="s">
        <v>437</v>
      </c>
      <c r="J115" s="33">
        <v>4978230108390</v>
      </c>
      <c r="K115" s="32">
        <v>500</v>
      </c>
      <c r="L115" s="32">
        <v>450</v>
      </c>
      <c r="M115" s="63"/>
      <c r="N115" s="32"/>
      <c r="O115" s="32"/>
      <c r="P115" s="32"/>
      <c r="Q115" s="32"/>
      <c r="R115" s="32">
        <v>400</v>
      </c>
      <c r="S115" s="32">
        <f>L115-R115</f>
        <v>50</v>
      </c>
      <c r="T115" s="32"/>
      <c r="U115" s="32"/>
      <c r="V115" s="32"/>
      <c r="W115" s="32">
        <v>91220</v>
      </c>
      <c r="X115" s="32">
        <v>1</v>
      </c>
      <c r="Y115" s="32">
        <v>50</v>
      </c>
      <c r="Z115" s="32">
        <v>1</v>
      </c>
      <c r="AA115" s="32" t="s">
        <v>277</v>
      </c>
      <c r="AB115" s="32" t="s">
        <v>282</v>
      </c>
      <c r="AC115" s="32">
        <v>400</v>
      </c>
      <c r="AD115" s="32">
        <v>1</v>
      </c>
      <c r="AE115" s="32">
        <v>50</v>
      </c>
      <c r="AF115" s="32">
        <v>1</v>
      </c>
      <c r="AG115" s="32" t="s">
        <v>276</v>
      </c>
    </row>
    <row r="116" spans="1:33" s="34" customFormat="1" x14ac:dyDescent="0.15">
      <c r="A116" s="60" t="s">
        <v>648</v>
      </c>
      <c r="B116" s="31">
        <v>83</v>
      </c>
      <c r="C116" s="32" t="s">
        <v>269</v>
      </c>
      <c r="D116" s="32" t="s">
        <v>269</v>
      </c>
      <c r="E116" s="32" t="s">
        <v>270</v>
      </c>
      <c r="F116" s="32" t="s">
        <v>435</v>
      </c>
      <c r="G116" s="32"/>
      <c r="H116" s="32" t="s">
        <v>436</v>
      </c>
      <c r="I116" s="32" t="s">
        <v>437</v>
      </c>
      <c r="J116" s="33">
        <v>4978230108390</v>
      </c>
      <c r="K116" s="32">
        <v>500</v>
      </c>
      <c r="L116" s="32">
        <v>450</v>
      </c>
      <c r="M116" s="63"/>
      <c r="N116" s="32"/>
      <c r="O116" s="32"/>
      <c r="P116" s="32"/>
      <c r="Q116" s="32"/>
      <c r="R116" s="32">
        <v>400</v>
      </c>
      <c r="S116" s="32">
        <f t="shared" ref="S116:S132" si="5">L116-R116</f>
        <v>50</v>
      </c>
      <c r="T116" s="32"/>
      <c r="U116" s="32"/>
      <c r="V116" s="32"/>
      <c r="W116" s="32">
        <v>91111</v>
      </c>
      <c r="X116" s="32">
        <v>0</v>
      </c>
      <c r="Y116" s="32">
        <v>50</v>
      </c>
      <c r="Z116" s="32">
        <v>1</v>
      </c>
      <c r="AA116" s="32" t="s">
        <v>274</v>
      </c>
      <c r="AB116" s="32" t="s">
        <v>275</v>
      </c>
      <c r="AC116" s="32">
        <v>400</v>
      </c>
      <c r="AD116" s="32">
        <v>1</v>
      </c>
      <c r="AE116" s="32">
        <v>50</v>
      </c>
      <c r="AF116" s="32">
        <v>1</v>
      </c>
      <c r="AG116" s="32" t="s">
        <v>276</v>
      </c>
    </row>
    <row r="117" spans="1:33" s="34" customFormat="1" x14ac:dyDescent="0.15">
      <c r="A117" s="61" t="s">
        <v>621</v>
      </c>
      <c r="B117" s="31">
        <v>84</v>
      </c>
      <c r="C117" s="36" t="s">
        <v>269</v>
      </c>
      <c r="D117" s="36" t="s">
        <v>279</v>
      </c>
      <c r="E117" s="36" t="s">
        <v>270</v>
      </c>
      <c r="F117" s="32" t="s">
        <v>435</v>
      </c>
      <c r="G117" s="32"/>
      <c r="H117" s="32" t="s">
        <v>438</v>
      </c>
      <c r="I117" s="32" t="s">
        <v>407</v>
      </c>
      <c r="J117" s="33">
        <v>4976912202909</v>
      </c>
      <c r="K117" s="36">
        <v>500</v>
      </c>
      <c r="L117" s="32">
        <v>400</v>
      </c>
      <c r="M117" s="63"/>
      <c r="N117" s="32"/>
      <c r="O117" s="32"/>
      <c r="P117" s="32"/>
      <c r="Q117" s="32"/>
      <c r="R117" s="32">
        <v>400</v>
      </c>
      <c r="S117" s="32">
        <f t="shared" si="5"/>
        <v>0</v>
      </c>
      <c r="T117" s="32"/>
      <c r="U117" s="32"/>
      <c r="V117" s="32"/>
      <c r="W117" s="32">
        <v>91220</v>
      </c>
      <c r="X117" s="32">
        <v>1</v>
      </c>
      <c r="Y117" s="32">
        <v>50</v>
      </c>
      <c r="Z117" s="32">
        <v>1</v>
      </c>
      <c r="AA117" s="32" t="s">
        <v>415</v>
      </c>
      <c r="AB117" s="32" t="s">
        <v>282</v>
      </c>
      <c r="AC117" s="32">
        <v>400</v>
      </c>
      <c r="AD117" s="32">
        <v>1</v>
      </c>
      <c r="AE117" s="32">
        <v>50</v>
      </c>
      <c r="AF117" s="32">
        <v>1</v>
      </c>
      <c r="AG117" s="32" t="s">
        <v>276</v>
      </c>
    </row>
    <row r="118" spans="1:33" s="34" customFormat="1" x14ac:dyDescent="0.15">
      <c r="A118" s="61" t="s">
        <v>621</v>
      </c>
      <c r="B118" s="31">
        <v>84</v>
      </c>
      <c r="C118" s="36" t="s">
        <v>269</v>
      </c>
      <c r="D118" s="36" t="s">
        <v>279</v>
      </c>
      <c r="E118" s="36" t="s">
        <v>270</v>
      </c>
      <c r="F118" s="32" t="s">
        <v>435</v>
      </c>
      <c r="G118" s="32"/>
      <c r="H118" s="32" t="s">
        <v>438</v>
      </c>
      <c r="I118" s="32" t="s">
        <v>407</v>
      </c>
      <c r="J118" s="33">
        <v>4976912202909</v>
      </c>
      <c r="K118" s="36">
        <v>500</v>
      </c>
      <c r="L118" s="32">
        <v>400</v>
      </c>
      <c r="M118" s="63"/>
      <c r="N118" s="32"/>
      <c r="O118" s="32"/>
      <c r="P118" s="32"/>
      <c r="Q118" s="32"/>
      <c r="R118" s="32">
        <v>400</v>
      </c>
      <c r="S118" s="32">
        <f t="shared" si="5"/>
        <v>0</v>
      </c>
      <c r="T118" s="32"/>
      <c r="U118" s="32"/>
      <c r="V118" s="32"/>
      <c r="W118" s="32">
        <v>91111</v>
      </c>
      <c r="X118" s="32">
        <v>0</v>
      </c>
      <c r="Y118" s="32">
        <v>50</v>
      </c>
      <c r="Z118" s="32">
        <v>1</v>
      </c>
      <c r="AA118" s="32" t="s">
        <v>274</v>
      </c>
      <c r="AB118" s="32" t="s">
        <v>275</v>
      </c>
      <c r="AC118" s="32">
        <v>400</v>
      </c>
      <c r="AD118" s="32">
        <v>1</v>
      </c>
      <c r="AE118" s="32">
        <v>50</v>
      </c>
      <c r="AF118" s="32">
        <v>1</v>
      </c>
      <c r="AG118" s="32" t="s">
        <v>276</v>
      </c>
    </row>
    <row r="119" spans="1:33" s="28" customFormat="1" x14ac:dyDescent="0.15">
      <c r="A119" s="61" t="s">
        <v>621</v>
      </c>
      <c r="B119" s="25">
        <v>85</v>
      </c>
      <c r="C119" s="26" t="s">
        <v>269</v>
      </c>
      <c r="D119" s="26" t="s">
        <v>283</v>
      </c>
      <c r="E119" s="26" t="s">
        <v>270</v>
      </c>
      <c r="F119" s="26" t="s">
        <v>435</v>
      </c>
      <c r="G119" s="26"/>
      <c r="H119" s="26" t="s">
        <v>439</v>
      </c>
      <c r="I119" s="26" t="s">
        <v>440</v>
      </c>
      <c r="J119" s="27">
        <v>4970455020105</v>
      </c>
      <c r="K119" s="26">
        <v>500</v>
      </c>
      <c r="L119" s="26">
        <v>350</v>
      </c>
      <c r="M119" s="63"/>
      <c r="N119" s="26"/>
      <c r="O119" s="26"/>
      <c r="P119" s="26"/>
      <c r="Q119" s="26"/>
      <c r="R119" s="26">
        <v>400</v>
      </c>
      <c r="S119" s="32">
        <f t="shared" si="5"/>
        <v>-50</v>
      </c>
      <c r="T119" s="26"/>
      <c r="U119" s="26"/>
      <c r="V119" s="26"/>
      <c r="W119" s="26">
        <v>91111</v>
      </c>
      <c r="X119" s="26">
        <v>0</v>
      </c>
      <c r="Y119" s="26">
        <v>100</v>
      </c>
      <c r="Z119" s="26">
        <v>1</v>
      </c>
      <c r="AA119" s="26" t="s">
        <v>274</v>
      </c>
      <c r="AB119" s="26" t="s">
        <v>275</v>
      </c>
      <c r="AC119" s="26">
        <v>400</v>
      </c>
      <c r="AD119" s="26">
        <v>1</v>
      </c>
      <c r="AE119" s="26">
        <v>0</v>
      </c>
      <c r="AF119" s="26">
        <v>0</v>
      </c>
      <c r="AG119" s="26" t="s">
        <v>309</v>
      </c>
    </row>
    <row r="120" spans="1:33" s="34" customFormat="1" x14ac:dyDescent="0.15">
      <c r="A120" s="60" t="s">
        <v>648</v>
      </c>
      <c r="B120" s="31">
        <v>86</v>
      </c>
      <c r="C120" s="32" t="s">
        <v>279</v>
      </c>
      <c r="D120" s="32" t="s">
        <v>269</v>
      </c>
      <c r="E120" s="32" t="s">
        <v>270</v>
      </c>
      <c r="F120" s="32" t="s">
        <v>441</v>
      </c>
      <c r="G120" s="32"/>
      <c r="H120" s="32" t="s">
        <v>442</v>
      </c>
      <c r="I120" s="32" t="s">
        <v>443</v>
      </c>
      <c r="J120" s="33">
        <v>4970455055404</v>
      </c>
      <c r="K120" s="32">
        <v>500</v>
      </c>
      <c r="L120" s="32">
        <v>500</v>
      </c>
      <c r="M120" s="63"/>
      <c r="N120" s="32"/>
      <c r="O120" s="32"/>
      <c r="P120" s="32"/>
      <c r="Q120" s="32"/>
      <c r="R120" s="32">
        <v>450</v>
      </c>
      <c r="S120" s="32">
        <f t="shared" si="5"/>
        <v>50</v>
      </c>
      <c r="T120" s="32"/>
      <c r="U120" s="32"/>
      <c r="V120" s="32"/>
      <c r="W120" s="32">
        <v>91220</v>
      </c>
      <c r="X120" s="32">
        <v>1</v>
      </c>
      <c r="Y120" s="32">
        <v>50</v>
      </c>
      <c r="Z120" s="32">
        <v>1</v>
      </c>
      <c r="AA120" s="32" t="s">
        <v>277</v>
      </c>
      <c r="AB120" s="32" t="s">
        <v>282</v>
      </c>
      <c r="AC120" s="32">
        <v>450</v>
      </c>
      <c r="AD120" s="32">
        <v>1</v>
      </c>
      <c r="AE120" s="32">
        <v>50</v>
      </c>
      <c r="AF120" s="32">
        <v>1</v>
      </c>
      <c r="AG120" s="32" t="s">
        <v>276</v>
      </c>
    </row>
    <row r="121" spans="1:33" s="34" customFormat="1" x14ac:dyDescent="0.15">
      <c r="A121" s="60" t="s">
        <v>648</v>
      </c>
      <c r="B121" s="31">
        <v>86</v>
      </c>
      <c r="C121" s="32" t="s">
        <v>279</v>
      </c>
      <c r="D121" s="32" t="s">
        <v>269</v>
      </c>
      <c r="E121" s="32" t="s">
        <v>270</v>
      </c>
      <c r="F121" s="32" t="s">
        <v>435</v>
      </c>
      <c r="G121" s="32"/>
      <c r="H121" s="32" t="s">
        <v>442</v>
      </c>
      <c r="I121" s="32" t="s">
        <v>443</v>
      </c>
      <c r="J121" s="33">
        <v>4970455055404</v>
      </c>
      <c r="K121" s="32">
        <v>500</v>
      </c>
      <c r="L121" s="32">
        <v>500</v>
      </c>
      <c r="M121" s="63"/>
      <c r="N121" s="32"/>
      <c r="O121" s="32"/>
      <c r="P121" s="32"/>
      <c r="Q121" s="32"/>
      <c r="R121" s="32">
        <v>450</v>
      </c>
      <c r="S121" s="32">
        <f t="shared" si="5"/>
        <v>50</v>
      </c>
      <c r="T121" s="32"/>
      <c r="U121" s="32"/>
      <c r="V121" s="32"/>
      <c r="W121" s="32">
        <v>91111</v>
      </c>
      <c r="X121" s="32">
        <v>0</v>
      </c>
      <c r="Y121" s="32">
        <v>0</v>
      </c>
      <c r="Z121" s="32">
        <v>1</v>
      </c>
      <c r="AA121" s="32" t="s">
        <v>274</v>
      </c>
      <c r="AB121" s="32" t="s">
        <v>275</v>
      </c>
      <c r="AC121" s="32">
        <v>450</v>
      </c>
      <c r="AD121" s="32">
        <v>1</v>
      </c>
      <c r="AE121" s="32">
        <v>50</v>
      </c>
      <c r="AF121" s="32">
        <v>1</v>
      </c>
      <c r="AG121" s="32" t="s">
        <v>276</v>
      </c>
    </row>
    <row r="122" spans="1:33" s="34" customFormat="1" x14ac:dyDescent="0.15">
      <c r="A122" s="60" t="s">
        <v>649</v>
      </c>
      <c r="B122" s="31">
        <v>87</v>
      </c>
      <c r="C122" s="32" t="s">
        <v>279</v>
      </c>
      <c r="D122" s="32" t="s">
        <v>279</v>
      </c>
      <c r="E122" s="32" t="s">
        <v>270</v>
      </c>
      <c r="F122" s="32" t="s">
        <v>435</v>
      </c>
      <c r="G122" s="32"/>
      <c r="H122" s="32" t="s">
        <v>444</v>
      </c>
      <c r="I122" s="32" t="s">
        <v>445</v>
      </c>
      <c r="J122" s="33">
        <v>4902584807685</v>
      </c>
      <c r="K122" s="32">
        <v>500</v>
      </c>
      <c r="L122" s="32">
        <v>500</v>
      </c>
      <c r="M122" s="63"/>
      <c r="N122" s="32"/>
      <c r="O122" s="32"/>
      <c r="P122" s="32"/>
      <c r="Q122" s="32"/>
      <c r="R122" s="32">
        <v>500</v>
      </c>
      <c r="S122" s="32">
        <f t="shared" si="5"/>
        <v>0</v>
      </c>
      <c r="T122" s="32"/>
      <c r="U122" s="32"/>
      <c r="V122" s="32"/>
      <c r="W122" s="32">
        <v>91111</v>
      </c>
      <c r="X122" s="32">
        <v>0</v>
      </c>
      <c r="Y122" s="32">
        <v>0</v>
      </c>
      <c r="Z122" s="32">
        <v>1</v>
      </c>
      <c r="AA122" s="32" t="s">
        <v>274</v>
      </c>
      <c r="AB122" s="32" t="s">
        <v>275</v>
      </c>
      <c r="AC122" s="32">
        <v>500</v>
      </c>
      <c r="AD122" s="32">
        <v>1</v>
      </c>
      <c r="AE122" s="32">
        <v>0</v>
      </c>
      <c r="AF122" s="32">
        <v>0</v>
      </c>
      <c r="AG122" s="32" t="s">
        <v>309</v>
      </c>
    </row>
    <row r="123" spans="1:33" s="28" customFormat="1" x14ac:dyDescent="0.15">
      <c r="A123" s="60" t="s">
        <v>650</v>
      </c>
      <c r="B123" s="25">
        <v>88</v>
      </c>
      <c r="C123" s="26" t="s">
        <v>279</v>
      </c>
      <c r="D123" s="26" t="s">
        <v>283</v>
      </c>
      <c r="E123" s="26" t="s">
        <v>270</v>
      </c>
      <c r="F123" s="26" t="s">
        <v>435</v>
      </c>
      <c r="G123" s="26"/>
      <c r="H123" s="26" t="s">
        <v>442</v>
      </c>
      <c r="I123" s="26" t="s">
        <v>446</v>
      </c>
      <c r="J123" s="27">
        <v>4976912202916</v>
      </c>
      <c r="K123" s="26">
        <v>500</v>
      </c>
      <c r="L123" s="26">
        <v>500</v>
      </c>
      <c r="M123" s="63"/>
      <c r="N123" s="26"/>
      <c r="O123" s="26"/>
      <c r="P123" s="26"/>
      <c r="Q123" s="26"/>
      <c r="R123" s="26">
        <v>550</v>
      </c>
      <c r="S123" s="32">
        <f t="shared" si="5"/>
        <v>-50</v>
      </c>
      <c r="T123" s="26"/>
      <c r="U123" s="26"/>
      <c r="V123" s="26"/>
      <c r="W123" s="26">
        <v>91111</v>
      </c>
      <c r="X123" s="26">
        <v>0</v>
      </c>
      <c r="Y123" s="26">
        <v>-50</v>
      </c>
      <c r="Z123" s="26">
        <v>1</v>
      </c>
      <c r="AA123" s="26" t="s">
        <v>274</v>
      </c>
      <c r="AB123" s="26" t="s">
        <v>275</v>
      </c>
      <c r="AC123" s="26">
        <v>550</v>
      </c>
      <c r="AD123" s="26">
        <v>1</v>
      </c>
      <c r="AE123" s="26">
        <v>0</v>
      </c>
      <c r="AF123" s="26">
        <v>0</v>
      </c>
      <c r="AG123" s="26" t="s">
        <v>309</v>
      </c>
    </row>
    <row r="124" spans="1:33" s="34" customFormat="1" x14ac:dyDescent="0.15">
      <c r="A124" s="61" t="s">
        <v>608</v>
      </c>
      <c r="B124" s="31">
        <v>89</v>
      </c>
      <c r="C124" s="32" t="s">
        <v>283</v>
      </c>
      <c r="D124" s="32" t="s">
        <v>269</v>
      </c>
      <c r="E124" s="32" t="s">
        <v>270</v>
      </c>
      <c r="F124" s="32" t="s">
        <v>435</v>
      </c>
      <c r="G124" s="32"/>
      <c r="H124" s="32" t="s">
        <v>447</v>
      </c>
      <c r="I124" s="32" t="s">
        <v>448</v>
      </c>
      <c r="J124" s="33">
        <v>4978316991755</v>
      </c>
      <c r="K124" s="32">
        <v>500</v>
      </c>
      <c r="L124" s="32">
        <v>550</v>
      </c>
      <c r="M124" s="63"/>
      <c r="N124" s="32"/>
      <c r="O124" s="32"/>
      <c r="P124" s="32"/>
      <c r="Q124" s="32"/>
      <c r="R124" s="32">
        <v>450</v>
      </c>
      <c r="S124" s="32">
        <f t="shared" si="5"/>
        <v>100</v>
      </c>
      <c r="T124" s="32"/>
      <c r="U124" s="32"/>
      <c r="V124" s="32"/>
      <c r="W124" s="32">
        <v>91111</v>
      </c>
      <c r="X124" s="32">
        <v>0</v>
      </c>
      <c r="Y124" s="32">
        <v>-50</v>
      </c>
      <c r="Z124" s="32">
        <v>1</v>
      </c>
      <c r="AA124" s="32" t="s">
        <v>274</v>
      </c>
      <c r="AB124" s="32" t="s">
        <v>275</v>
      </c>
      <c r="AC124" s="32">
        <v>450</v>
      </c>
      <c r="AD124" s="32">
        <v>1</v>
      </c>
      <c r="AE124" s="32">
        <v>100</v>
      </c>
      <c r="AF124" s="32">
        <v>1</v>
      </c>
      <c r="AG124" s="32" t="s">
        <v>276</v>
      </c>
    </row>
    <row r="125" spans="1:33" s="34" customFormat="1" x14ac:dyDescent="0.15">
      <c r="A125" s="61" t="s">
        <v>608</v>
      </c>
      <c r="B125" s="31">
        <v>89</v>
      </c>
      <c r="C125" s="32" t="s">
        <v>283</v>
      </c>
      <c r="D125" s="32" t="s">
        <v>269</v>
      </c>
      <c r="E125" s="32" t="s">
        <v>270</v>
      </c>
      <c r="F125" s="32" t="s">
        <v>435</v>
      </c>
      <c r="G125" s="32"/>
      <c r="H125" s="32" t="s">
        <v>447</v>
      </c>
      <c r="I125" s="32" t="s">
        <v>448</v>
      </c>
      <c r="J125" s="33">
        <v>4978316991755</v>
      </c>
      <c r="K125" s="32">
        <v>500</v>
      </c>
      <c r="L125" s="32">
        <v>550</v>
      </c>
      <c r="M125" s="63"/>
      <c r="N125" s="32"/>
      <c r="O125" s="32"/>
      <c r="P125" s="32"/>
      <c r="Q125" s="32"/>
      <c r="R125" s="32">
        <v>450</v>
      </c>
      <c r="S125" s="32">
        <f t="shared" si="5"/>
        <v>100</v>
      </c>
      <c r="T125" s="32"/>
      <c r="U125" s="32"/>
      <c r="V125" s="32"/>
      <c r="W125" s="32">
        <v>91220</v>
      </c>
      <c r="X125" s="32">
        <v>1</v>
      </c>
      <c r="Y125" s="32">
        <v>100</v>
      </c>
      <c r="Z125" s="32">
        <v>1</v>
      </c>
      <c r="AA125" s="32" t="s">
        <v>277</v>
      </c>
      <c r="AB125" s="32" t="s">
        <v>282</v>
      </c>
      <c r="AC125" s="32">
        <v>450</v>
      </c>
      <c r="AD125" s="32">
        <v>1</v>
      </c>
      <c r="AE125" s="32">
        <v>100</v>
      </c>
      <c r="AF125" s="32">
        <v>1</v>
      </c>
      <c r="AG125" s="32" t="s">
        <v>276</v>
      </c>
    </row>
    <row r="126" spans="1:33" s="34" customFormat="1" x14ac:dyDescent="0.15">
      <c r="A126" s="60" t="s">
        <v>648</v>
      </c>
      <c r="B126" s="31">
        <v>90</v>
      </c>
      <c r="C126" s="32" t="s">
        <v>283</v>
      </c>
      <c r="D126" s="32" t="s">
        <v>269</v>
      </c>
      <c r="E126" s="32" t="s">
        <v>270</v>
      </c>
      <c r="F126" s="32" t="s">
        <v>435</v>
      </c>
      <c r="G126" s="32"/>
      <c r="H126" s="32" t="s">
        <v>449</v>
      </c>
      <c r="I126" s="32" t="s">
        <v>450</v>
      </c>
      <c r="J126" s="33">
        <v>4973925490156</v>
      </c>
      <c r="K126" s="32">
        <v>500</v>
      </c>
      <c r="L126" s="32">
        <v>550</v>
      </c>
      <c r="M126" s="63"/>
      <c r="N126" s="32"/>
      <c r="O126" s="32"/>
      <c r="P126" s="32"/>
      <c r="Q126" s="32"/>
      <c r="R126" s="32">
        <v>500</v>
      </c>
      <c r="S126" s="32">
        <f t="shared" si="5"/>
        <v>50</v>
      </c>
      <c r="T126" s="32"/>
      <c r="U126" s="32"/>
      <c r="V126" s="32"/>
      <c r="W126" s="32">
        <v>91220</v>
      </c>
      <c r="X126" s="32">
        <v>1</v>
      </c>
      <c r="Y126" s="32">
        <v>50</v>
      </c>
      <c r="Z126" s="32">
        <v>1</v>
      </c>
      <c r="AA126" s="32" t="s">
        <v>277</v>
      </c>
      <c r="AB126" s="32" t="s">
        <v>282</v>
      </c>
      <c r="AC126" s="32">
        <v>500</v>
      </c>
      <c r="AD126" s="32">
        <v>1</v>
      </c>
      <c r="AE126" s="32">
        <v>50</v>
      </c>
      <c r="AF126" s="32">
        <v>1</v>
      </c>
      <c r="AG126" s="32" t="s">
        <v>276</v>
      </c>
    </row>
    <row r="127" spans="1:33" s="34" customFormat="1" x14ac:dyDescent="0.15">
      <c r="A127" s="60" t="s">
        <v>648</v>
      </c>
      <c r="B127" s="31">
        <v>90</v>
      </c>
      <c r="C127" s="32" t="s">
        <v>283</v>
      </c>
      <c r="D127" s="32" t="s">
        <v>269</v>
      </c>
      <c r="E127" s="32" t="s">
        <v>270</v>
      </c>
      <c r="F127" s="32" t="s">
        <v>435</v>
      </c>
      <c r="G127" s="32"/>
      <c r="H127" s="32" t="s">
        <v>449</v>
      </c>
      <c r="I127" s="32" t="s">
        <v>450</v>
      </c>
      <c r="J127" s="33">
        <v>4973925490156</v>
      </c>
      <c r="K127" s="32">
        <v>500</v>
      </c>
      <c r="L127" s="32">
        <v>550</v>
      </c>
      <c r="M127" s="63"/>
      <c r="N127" s="32"/>
      <c r="O127" s="32"/>
      <c r="P127" s="32"/>
      <c r="Q127" s="32"/>
      <c r="R127" s="32">
        <v>500</v>
      </c>
      <c r="S127" s="32">
        <f t="shared" si="5"/>
        <v>50</v>
      </c>
      <c r="T127" s="32"/>
      <c r="U127" s="32"/>
      <c r="V127" s="32"/>
      <c r="W127" s="32">
        <v>91111</v>
      </c>
      <c r="X127" s="32">
        <v>0</v>
      </c>
      <c r="Y127" s="32">
        <v>-50</v>
      </c>
      <c r="Z127" s="32">
        <v>1</v>
      </c>
      <c r="AA127" s="32" t="s">
        <v>274</v>
      </c>
      <c r="AB127" s="32" t="s">
        <v>275</v>
      </c>
      <c r="AC127" s="32">
        <v>500</v>
      </c>
      <c r="AD127" s="32">
        <v>1</v>
      </c>
      <c r="AE127" s="32">
        <v>50</v>
      </c>
      <c r="AF127" s="32">
        <v>1</v>
      </c>
      <c r="AG127" s="32" t="s">
        <v>276</v>
      </c>
    </row>
    <row r="128" spans="1:33" s="34" customFormat="1" x14ac:dyDescent="0.15">
      <c r="A128" s="61" t="s">
        <v>608</v>
      </c>
      <c r="B128" s="31">
        <v>91</v>
      </c>
      <c r="C128" s="32" t="s">
        <v>283</v>
      </c>
      <c r="D128" s="32" t="s">
        <v>269</v>
      </c>
      <c r="E128" s="32" t="s">
        <v>270</v>
      </c>
      <c r="F128" s="32" t="s">
        <v>435</v>
      </c>
      <c r="G128" s="32"/>
      <c r="H128" s="32" t="s">
        <v>451</v>
      </c>
      <c r="I128" s="32" t="s">
        <v>452</v>
      </c>
      <c r="J128" s="33">
        <v>4974995070071</v>
      </c>
      <c r="K128" s="32">
        <v>500</v>
      </c>
      <c r="L128" s="32">
        <v>600</v>
      </c>
      <c r="M128" s="63"/>
      <c r="N128" s="32"/>
      <c r="O128" s="32"/>
      <c r="P128" s="32"/>
      <c r="Q128" s="32"/>
      <c r="R128" s="32">
        <v>550</v>
      </c>
      <c r="S128" s="32">
        <f t="shared" si="5"/>
        <v>50</v>
      </c>
      <c r="T128" s="32"/>
      <c r="U128" s="32"/>
      <c r="V128" s="32"/>
      <c r="W128" s="32">
        <v>91111</v>
      </c>
      <c r="X128" s="32">
        <v>0</v>
      </c>
      <c r="Y128" s="32">
        <v>-100</v>
      </c>
      <c r="Z128" s="32">
        <v>1</v>
      </c>
      <c r="AA128" s="32" t="s">
        <v>274</v>
      </c>
      <c r="AB128" s="32" t="s">
        <v>275</v>
      </c>
      <c r="AC128" s="32">
        <v>550</v>
      </c>
      <c r="AD128" s="32">
        <v>1</v>
      </c>
      <c r="AE128" s="32">
        <v>50</v>
      </c>
      <c r="AF128" s="32">
        <v>1</v>
      </c>
      <c r="AG128" s="32" t="s">
        <v>276</v>
      </c>
    </row>
    <row r="129" spans="1:33" s="34" customFormat="1" x14ac:dyDescent="0.15">
      <c r="A129" s="61" t="s">
        <v>608</v>
      </c>
      <c r="B129" s="31">
        <v>91</v>
      </c>
      <c r="C129" s="32" t="s">
        <v>283</v>
      </c>
      <c r="D129" s="32" t="s">
        <v>269</v>
      </c>
      <c r="E129" s="32" t="s">
        <v>270</v>
      </c>
      <c r="F129" s="32" t="s">
        <v>435</v>
      </c>
      <c r="G129" s="32"/>
      <c r="H129" s="32" t="s">
        <v>451</v>
      </c>
      <c r="I129" s="32" t="s">
        <v>452</v>
      </c>
      <c r="J129" s="33">
        <v>4974995070071</v>
      </c>
      <c r="K129" s="32">
        <v>500</v>
      </c>
      <c r="L129" s="32">
        <v>600</v>
      </c>
      <c r="M129" s="63"/>
      <c r="N129" s="32"/>
      <c r="O129" s="32"/>
      <c r="P129" s="32"/>
      <c r="Q129" s="32"/>
      <c r="R129" s="32">
        <v>550</v>
      </c>
      <c r="S129" s="32">
        <f t="shared" si="5"/>
        <v>50</v>
      </c>
      <c r="T129" s="32"/>
      <c r="U129" s="32"/>
      <c r="V129" s="32"/>
      <c r="W129" s="32">
        <v>91220</v>
      </c>
      <c r="X129" s="32">
        <v>1</v>
      </c>
      <c r="Y129" s="32">
        <v>50</v>
      </c>
      <c r="Z129" s="32">
        <v>1</v>
      </c>
      <c r="AA129" s="32" t="s">
        <v>277</v>
      </c>
      <c r="AB129" s="32" t="s">
        <v>282</v>
      </c>
      <c r="AC129" s="32">
        <v>550</v>
      </c>
      <c r="AD129" s="32">
        <v>1</v>
      </c>
      <c r="AE129" s="32">
        <v>50</v>
      </c>
      <c r="AF129" s="32">
        <v>1</v>
      </c>
      <c r="AG129" s="32" t="s">
        <v>276</v>
      </c>
    </row>
    <row r="130" spans="1:33" s="34" customFormat="1" x14ac:dyDescent="0.15">
      <c r="A130" s="61" t="s">
        <v>608</v>
      </c>
      <c r="B130" s="31">
        <v>92</v>
      </c>
      <c r="C130" s="32" t="s">
        <v>283</v>
      </c>
      <c r="D130" s="32" t="s">
        <v>279</v>
      </c>
      <c r="E130" s="32" t="s">
        <v>270</v>
      </c>
      <c r="F130" s="32" t="s">
        <v>435</v>
      </c>
      <c r="G130" s="32"/>
      <c r="H130" s="32" t="s">
        <v>449</v>
      </c>
      <c r="I130" s="32" t="s">
        <v>453</v>
      </c>
      <c r="J130" s="33">
        <v>4994879108041</v>
      </c>
      <c r="K130" s="32">
        <v>500</v>
      </c>
      <c r="L130" s="32">
        <v>550</v>
      </c>
      <c r="M130" s="63"/>
      <c r="N130" s="32"/>
      <c r="O130" s="32"/>
      <c r="P130" s="32"/>
      <c r="Q130" s="32"/>
      <c r="R130" s="32">
        <v>500</v>
      </c>
      <c r="S130" s="32">
        <f t="shared" si="5"/>
        <v>50</v>
      </c>
      <c r="T130" s="32"/>
      <c r="U130" s="32"/>
      <c r="V130" s="32"/>
      <c r="W130" s="32">
        <v>91220</v>
      </c>
      <c r="X130" s="32">
        <v>1</v>
      </c>
      <c r="Y130" s="32">
        <v>50</v>
      </c>
      <c r="Z130" s="32">
        <v>1</v>
      </c>
      <c r="AA130" s="32" t="s">
        <v>277</v>
      </c>
      <c r="AB130" s="32" t="s">
        <v>282</v>
      </c>
      <c r="AC130" s="32">
        <v>500</v>
      </c>
      <c r="AD130" s="32">
        <v>1</v>
      </c>
      <c r="AE130" s="32">
        <v>50</v>
      </c>
      <c r="AF130" s="32">
        <v>1</v>
      </c>
      <c r="AG130" s="32" t="s">
        <v>276</v>
      </c>
    </row>
    <row r="131" spans="1:33" s="34" customFormat="1" x14ac:dyDescent="0.15">
      <c r="A131" s="61" t="s">
        <v>608</v>
      </c>
      <c r="B131" s="31">
        <v>92</v>
      </c>
      <c r="C131" s="32" t="s">
        <v>283</v>
      </c>
      <c r="D131" s="32" t="s">
        <v>279</v>
      </c>
      <c r="E131" s="32" t="s">
        <v>270</v>
      </c>
      <c r="F131" s="32" t="s">
        <v>435</v>
      </c>
      <c r="G131" s="32"/>
      <c r="H131" s="32" t="s">
        <v>449</v>
      </c>
      <c r="I131" s="32" t="s">
        <v>453</v>
      </c>
      <c r="J131" s="33">
        <v>4994879108041</v>
      </c>
      <c r="K131" s="32">
        <v>500</v>
      </c>
      <c r="L131" s="32">
        <v>550</v>
      </c>
      <c r="M131" s="63"/>
      <c r="N131" s="32"/>
      <c r="O131" s="32"/>
      <c r="P131" s="32"/>
      <c r="Q131" s="32"/>
      <c r="R131" s="32">
        <v>500</v>
      </c>
      <c r="S131" s="32">
        <f t="shared" si="5"/>
        <v>50</v>
      </c>
      <c r="T131" s="32"/>
      <c r="U131" s="32"/>
      <c r="V131" s="32"/>
      <c r="W131" s="32">
        <v>91111</v>
      </c>
      <c r="X131" s="32">
        <v>0</v>
      </c>
      <c r="Y131" s="32">
        <v>-50</v>
      </c>
      <c r="Z131" s="32">
        <v>1</v>
      </c>
      <c r="AA131" s="32" t="s">
        <v>274</v>
      </c>
      <c r="AB131" s="32" t="s">
        <v>275</v>
      </c>
      <c r="AC131" s="32">
        <v>500</v>
      </c>
      <c r="AD131" s="32">
        <v>1</v>
      </c>
      <c r="AE131" s="32">
        <v>50</v>
      </c>
      <c r="AF131" s="32">
        <v>1</v>
      </c>
      <c r="AG131" s="32" t="s">
        <v>276</v>
      </c>
    </row>
    <row r="132" spans="1:33" s="34" customFormat="1" x14ac:dyDescent="0.15">
      <c r="A132" s="60" t="s">
        <v>650</v>
      </c>
      <c r="B132" s="31">
        <v>93</v>
      </c>
      <c r="C132" s="32" t="s">
        <v>283</v>
      </c>
      <c r="D132" s="32" t="s">
        <v>283</v>
      </c>
      <c r="E132" s="32" t="s">
        <v>270</v>
      </c>
      <c r="F132" s="32" t="s">
        <v>435</v>
      </c>
      <c r="G132" s="32"/>
      <c r="H132" s="32" t="s">
        <v>325</v>
      </c>
      <c r="I132" s="32" t="s">
        <v>454</v>
      </c>
      <c r="J132" s="33">
        <v>4997330521717</v>
      </c>
      <c r="K132" s="32">
        <v>500</v>
      </c>
      <c r="L132" s="32">
        <v>550</v>
      </c>
      <c r="M132" s="63"/>
      <c r="N132" s="32"/>
      <c r="O132" s="32"/>
      <c r="P132" s="32"/>
      <c r="Q132" s="32"/>
      <c r="R132" s="32">
        <v>600</v>
      </c>
      <c r="S132" s="32">
        <f t="shared" si="5"/>
        <v>-50</v>
      </c>
      <c r="T132" s="32"/>
      <c r="U132" s="32"/>
      <c r="V132" s="32"/>
      <c r="W132" s="32">
        <v>91111</v>
      </c>
      <c r="X132" s="32">
        <v>0</v>
      </c>
      <c r="Y132" s="32">
        <v>-100</v>
      </c>
      <c r="Z132" s="32">
        <v>1</v>
      </c>
      <c r="AA132" s="32" t="s">
        <v>274</v>
      </c>
      <c r="AB132" s="32" t="s">
        <v>275</v>
      </c>
      <c r="AC132" s="32">
        <v>600</v>
      </c>
      <c r="AD132" s="32">
        <v>1</v>
      </c>
      <c r="AE132" s="32">
        <v>0</v>
      </c>
      <c r="AF132" s="32">
        <v>0</v>
      </c>
      <c r="AG132" s="32" t="s">
        <v>309</v>
      </c>
    </row>
    <row r="133" spans="1:33" s="34" customFormat="1" x14ac:dyDescent="0.15">
      <c r="A133" s="60" t="s">
        <v>627</v>
      </c>
      <c r="B133" s="31">
        <v>94</v>
      </c>
      <c r="C133" s="32" t="s">
        <v>269</v>
      </c>
      <c r="D133" s="32" t="s">
        <v>269</v>
      </c>
      <c r="E133" s="32" t="s">
        <v>270</v>
      </c>
      <c r="F133" s="32" t="s">
        <v>455</v>
      </c>
      <c r="G133" s="32"/>
      <c r="H133" s="32" t="s">
        <v>456</v>
      </c>
      <c r="I133" s="32" t="s">
        <v>457</v>
      </c>
      <c r="J133" s="33">
        <v>4901540603446</v>
      </c>
      <c r="K133" s="32">
        <v>500</v>
      </c>
      <c r="L133" s="32">
        <v>450</v>
      </c>
      <c r="M133" s="63"/>
      <c r="N133" s="32"/>
      <c r="O133" s="32"/>
      <c r="P133" s="32"/>
      <c r="Q133" s="32"/>
      <c r="R133" s="32"/>
      <c r="S133" s="32"/>
      <c r="T133" s="32">
        <v>50</v>
      </c>
      <c r="U133" s="32"/>
      <c r="V133" s="32"/>
      <c r="W133" s="32">
        <v>91111</v>
      </c>
      <c r="X133" s="32">
        <v>0</v>
      </c>
      <c r="Y133" s="32">
        <v>50</v>
      </c>
      <c r="Z133" s="32">
        <v>1</v>
      </c>
      <c r="AA133" s="32" t="s">
        <v>274</v>
      </c>
      <c r="AB133" s="32" t="s">
        <v>275</v>
      </c>
      <c r="AC133" s="32">
        <v>400</v>
      </c>
      <c r="AD133" s="32">
        <v>1</v>
      </c>
      <c r="AE133" s="32">
        <v>50</v>
      </c>
      <c r="AF133" s="32">
        <v>1</v>
      </c>
      <c r="AG133" s="32" t="s">
        <v>276</v>
      </c>
    </row>
    <row r="134" spans="1:33" s="34" customFormat="1" x14ac:dyDescent="0.15">
      <c r="A134" s="60" t="s">
        <v>627</v>
      </c>
      <c r="B134" s="31">
        <v>94</v>
      </c>
      <c r="C134" s="32" t="s">
        <v>269</v>
      </c>
      <c r="D134" s="32" t="s">
        <v>269</v>
      </c>
      <c r="E134" s="32" t="s">
        <v>270</v>
      </c>
      <c r="F134" s="32" t="s">
        <v>455</v>
      </c>
      <c r="G134" s="32"/>
      <c r="H134" s="32" t="s">
        <v>456</v>
      </c>
      <c r="I134" s="32" t="s">
        <v>457</v>
      </c>
      <c r="J134" s="33">
        <v>4901540603446</v>
      </c>
      <c r="K134" s="32">
        <v>500</v>
      </c>
      <c r="L134" s="32">
        <v>450</v>
      </c>
      <c r="M134" s="63"/>
      <c r="N134" s="32"/>
      <c r="O134" s="32"/>
      <c r="P134" s="32"/>
      <c r="Q134" s="32"/>
      <c r="R134" s="32"/>
      <c r="S134" s="32"/>
      <c r="T134" s="32">
        <v>50</v>
      </c>
      <c r="U134" s="32"/>
      <c r="V134" s="32"/>
      <c r="W134" s="32">
        <v>91324</v>
      </c>
      <c r="X134" s="32">
        <v>0</v>
      </c>
      <c r="Y134" s="32">
        <v>50</v>
      </c>
      <c r="Z134" s="32">
        <v>1</v>
      </c>
      <c r="AA134" s="32" t="s">
        <v>458</v>
      </c>
      <c r="AB134" s="32" t="s">
        <v>275</v>
      </c>
      <c r="AC134" s="32">
        <v>400</v>
      </c>
      <c r="AD134" s="32">
        <v>1</v>
      </c>
      <c r="AE134" s="32">
        <v>50</v>
      </c>
      <c r="AF134" s="32">
        <v>1</v>
      </c>
      <c r="AG134" s="32" t="s">
        <v>276</v>
      </c>
    </row>
    <row r="135" spans="1:33" s="34" customFormat="1" x14ac:dyDescent="0.15">
      <c r="A135" s="60" t="s">
        <v>627</v>
      </c>
      <c r="B135" s="31">
        <v>95</v>
      </c>
      <c r="C135" s="32" t="s">
        <v>279</v>
      </c>
      <c r="D135" s="32" t="s">
        <v>269</v>
      </c>
      <c r="E135" s="32" t="s">
        <v>270</v>
      </c>
      <c r="F135" s="32" t="s">
        <v>455</v>
      </c>
      <c r="G135" s="32"/>
      <c r="H135" s="32" t="s">
        <v>459</v>
      </c>
      <c r="I135" s="32" t="s">
        <v>460</v>
      </c>
      <c r="J135" s="33">
        <v>4902165317466</v>
      </c>
      <c r="K135" s="32">
        <v>500</v>
      </c>
      <c r="L135" s="32">
        <v>500</v>
      </c>
      <c r="M135" s="63"/>
      <c r="N135" s="32"/>
      <c r="O135" s="32"/>
      <c r="P135" s="32"/>
      <c r="Q135" s="32"/>
      <c r="R135" s="32"/>
      <c r="S135" s="32"/>
      <c r="T135" s="32">
        <v>50</v>
      </c>
      <c r="U135" s="32"/>
      <c r="V135" s="32"/>
      <c r="W135" s="32">
        <v>91111</v>
      </c>
      <c r="X135" s="32">
        <v>0</v>
      </c>
      <c r="Y135" s="32">
        <v>0</v>
      </c>
      <c r="Z135" s="32">
        <v>1</v>
      </c>
      <c r="AA135" s="32" t="s">
        <v>274</v>
      </c>
      <c r="AB135" s="32" t="s">
        <v>275</v>
      </c>
      <c r="AC135" s="32">
        <v>450</v>
      </c>
      <c r="AD135" s="32">
        <v>1</v>
      </c>
      <c r="AE135" s="32">
        <v>50</v>
      </c>
      <c r="AF135" s="32">
        <v>1</v>
      </c>
      <c r="AG135" s="32" t="s">
        <v>276</v>
      </c>
    </row>
    <row r="136" spans="1:33" s="34" customFormat="1" x14ac:dyDescent="0.15">
      <c r="A136" s="60" t="s">
        <v>627</v>
      </c>
      <c r="B136" s="31">
        <v>95</v>
      </c>
      <c r="C136" s="32" t="s">
        <v>279</v>
      </c>
      <c r="D136" s="32" t="s">
        <v>269</v>
      </c>
      <c r="E136" s="32" t="s">
        <v>270</v>
      </c>
      <c r="F136" s="32" t="s">
        <v>455</v>
      </c>
      <c r="G136" s="32"/>
      <c r="H136" s="32" t="s">
        <v>459</v>
      </c>
      <c r="I136" s="32" t="s">
        <v>460</v>
      </c>
      <c r="J136" s="33">
        <v>4902165317466</v>
      </c>
      <c r="K136" s="32">
        <v>500</v>
      </c>
      <c r="L136" s="32">
        <v>500</v>
      </c>
      <c r="M136" s="63"/>
      <c r="N136" s="32"/>
      <c r="O136" s="32"/>
      <c r="P136" s="32"/>
      <c r="Q136" s="32"/>
      <c r="R136" s="32"/>
      <c r="S136" s="32"/>
      <c r="T136" s="32">
        <v>50</v>
      </c>
      <c r="U136" s="32"/>
      <c r="V136" s="32"/>
      <c r="W136" s="32">
        <v>91324</v>
      </c>
      <c r="X136" s="32">
        <v>0</v>
      </c>
      <c r="Y136" s="32">
        <v>50</v>
      </c>
      <c r="Z136" s="32">
        <v>1</v>
      </c>
      <c r="AA136" s="32" t="s">
        <v>458</v>
      </c>
      <c r="AB136" s="32" t="s">
        <v>275</v>
      </c>
      <c r="AC136" s="32">
        <v>450</v>
      </c>
      <c r="AD136" s="32">
        <v>1</v>
      </c>
      <c r="AE136" s="32">
        <v>50</v>
      </c>
      <c r="AF136" s="32">
        <v>1</v>
      </c>
      <c r="AG136" s="32" t="s">
        <v>276</v>
      </c>
    </row>
    <row r="137" spans="1:33" s="34" customFormat="1" x14ac:dyDescent="0.15">
      <c r="A137" s="60" t="s">
        <v>627</v>
      </c>
      <c r="B137" s="31">
        <v>96</v>
      </c>
      <c r="C137" s="32" t="s">
        <v>283</v>
      </c>
      <c r="D137" s="32" t="s">
        <v>269</v>
      </c>
      <c r="E137" s="32" t="s">
        <v>270</v>
      </c>
      <c r="F137" s="32" t="s">
        <v>455</v>
      </c>
      <c r="G137" s="32"/>
      <c r="H137" s="32" t="s">
        <v>461</v>
      </c>
      <c r="I137" s="32" t="s">
        <v>462</v>
      </c>
      <c r="J137" s="33">
        <v>4997330641736</v>
      </c>
      <c r="K137" s="32">
        <v>500</v>
      </c>
      <c r="L137" s="32">
        <v>550</v>
      </c>
      <c r="M137" s="63"/>
      <c r="N137" s="32"/>
      <c r="O137" s="32"/>
      <c r="P137" s="32"/>
      <c r="Q137" s="32"/>
      <c r="R137" s="32"/>
      <c r="S137" s="32"/>
      <c r="T137" s="32">
        <v>50</v>
      </c>
      <c r="U137" s="32"/>
      <c r="V137" s="32"/>
      <c r="W137" s="32">
        <v>91111</v>
      </c>
      <c r="X137" s="32">
        <v>0</v>
      </c>
      <c r="Y137" s="32">
        <v>-50</v>
      </c>
      <c r="Z137" s="32">
        <v>1</v>
      </c>
      <c r="AA137" s="32" t="s">
        <v>274</v>
      </c>
      <c r="AB137" s="32" t="s">
        <v>275</v>
      </c>
      <c r="AC137" s="32">
        <v>500</v>
      </c>
      <c r="AD137" s="32">
        <v>1</v>
      </c>
      <c r="AE137" s="32">
        <v>50</v>
      </c>
      <c r="AF137" s="32">
        <v>1</v>
      </c>
      <c r="AG137" s="32" t="s">
        <v>276</v>
      </c>
    </row>
    <row r="138" spans="1:33" s="34" customFormat="1" x14ac:dyDescent="0.15">
      <c r="A138" s="60" t="s">
        <v>627</v>
      </c>
      <c r="B138" s="31">
        <v>96</v>
      </c>
      <c r="C138" s="32" t="s">
        <v>283</v>
      </c>
      <c r="D138" s="32" t="s">
        <v>269</v>
      </c>
      <c r="E138" s="32" t="s">
        <v>270</v>
      </c>
      <c r="F138" s="32" t="s">
        <v>455</v>
      </c>
      <c r="G138" s="32"/>
      <c r="H138" s="32" t="s">
        <v>461</v>
      </c>
      <c r="I138" s="32" t="s">
        <v>462</v>
      </c>
      <c r="J138" s="33">
        <v>4997330641736</v>
      </c>
      <c r="K138" s="32">
        <v>500</v>
      </c>
      <c r="L138" s="32">
        <v>550</v>
      </c>
      <c r="M138" s="63"/>
      <c r="N138" s="32"/>
      <c r="O138" s="32"/>
      <c r="P138" s="32"/>
      <c r="Q138" s="32"/>
      <c r="R138" s="32"/>
      <c r="S138" s="32"/>
      <c r="T138" s="32">
        <v>50</v>
      </c>
      <c r="U138" s="32"/>
      <c r="V138" s="32"/>
      <c r="W138" s="32">
        <v>91324</v>
      </c>
      <c r="X138" s="32">
        <v>0</v>
      </c>
      <c r="Y138" s="32">
        <v>50</v>
      </c>
      <c r="Z138" s="32">
        <v>1</v>
      </c>
      <c r="AA138" s="32" t="s">
        <v>458</v>
      </c>
      <c r="AB138" s="32" t="s">
        <v>275</v>
      </c>
      <c r="AC138" s="32">
        <v>500</v>
      </c>
      <c r="AD138" s="32">
        <v>1</v>
      </c>
      <c r="AE138" s="32">
        <v>50</v>
      </c>
      <c r="AF138" s="32">
        <v>1</v>
      </c>
      <c r="AG138" s="32" t="s">
        <v>276</v>
      </c>
    </row>
    <row r="139" spans="1:33" s="34" customFormat="1" x14ac:dyDescent="0.15">
      <c r="A139" s="61" t="s">
        <v>621</v>
      </c>
      <c r="B139" s="31">
        <v>97</v>
      </c>
      <c r="C139" s="32" t="s">
        <v>283</v>
      </c>
      <c r="D139" s="32" t="s">
        <v>269</v>
      </c>
      <c r="E139" s="32" t="s">
        <v>270</v>
      </c>
      <c r="F139" s="32" t="s">
        <v>455</v>
      </c>
      <c r="G139" s="32"/>
      <c r="H139" s="32" t="s">
        <v>463</v>
      </c>
      <c r="I139" s="32" t="s">
        <v>464</v>
      </c>
      <c r="J139" s="33">
        <v>4901810889648</v>
      </c>
      <c r="K139" s="32">
        <v>500</v>
      </c>
      <c r="L139" s="32">
        <v>550</v>
      </c>
      <c r="M139" s="63"/>
      <c r="N139" s="32"/>
      <c r="O139" s="32"/>
      <c r="P139" s="32"/>
      <c r="Q139" s="32"/>
      <c r="R139" s="32"/>
      <c r="S139" s="32"/>
      <c r="T139" s="32">
        <v>50</v>
      </c>
      <c r="U139" s="32"/>
      <c r="V139" s="32"/>
      <c r="W139" s="32">
        <v>91324</v>
      </c>
      <c r="X139" s="32">
        <v>0</v>
      </c>
      <c r="Y139" s="32">
        <v>50</v>
      </c>
      <c r="Z139" s="32">
        <v>1</v>
      </c>
      <c r="AA139" s="32" t="s">
        <v>458</v>
      </c>
      <c r="AB139" s="32" t="s">
        <v>275</v>
      </c>
      <c r="AC139" s="32">
        <v>500</v>
      </c>
      <c r="AD139" s="32">
        <v>1</v>
      </c>
      <c r="AE139" s="32">
        <v>50</v>
      </c>
      <c r="AF139" s="32">
        <v>1</v>
      </c>
      <c r="AG139" s="32" t="s">
        <v>276</v>
      </c>
    </row>
    <row r="140" spans="1:33" s="34" customFormat="1" x14ac:dyDescent="0.15">
      <c r="A140" s="61" t="s">
        <v>621</v>
      </c>
      <c r="B140" s="31">
        <v>97</v>
      </c>
      <c r="C140" s="32" t="s">
        <v>283</v>
      </c>
      <c r="D140" s="32" t="s">
        <v>269</v>
      </c>
      <c r="E140" s="32" t="s">
        <v>270</v>
      </c>
      <c r="F140" s="32" t="s">
        <v>455</v>
      </c>
      <c r="G140" s="32"/>
      <c r="H140" s="32" t="s">
        <v>463</v>
      </c>
      <c r="I140" s="32" t="s">
        <v>464</v>
      </c>
      <c r="J140" s="33">
        <v>4901810889648</v>
      </c>
      <c r="K140" s="32">
        <v>500</v>
      </c>
      <c r="L140" s="32">
        <v>550</v>
      </c>
      <c r="M140" s="63"/>
      <c r="N140" s="32"/>
      <c r="O140" s="32"/>
      <c r="P140" s="32"/>
      <c r="Q140" s="32"/>
      <c r="R140" s="32"/>
      <c r="S140" s="32"/>
      <c r="T140" s="32">
        <v>50</v>
      </c>
      <c r="U140" s="32"/>
      <c r="V140" s="32"/>
      <c r="W140" s="32">
        <v>91111</v>
      </c>
      <c r="X140" s="32">
        <v>0</v>
      </c>
      <c r="Y140" s="32">
        <v>-50</v>
      </c>
      <c r="Z140" s="32">
        <v>1</v>
      </c>
      <c r="AA140" s="32" t="s">
        <v>274</v>
      </c>
      <c r="AB140" s="32" t="s">
        <v>275</v>
      </c>
      <c r="AC140" s="32">
        <v>500</v>
      </c>
      <c r="AD140" s="32">
        <v>1</v>
      </c>
      <c r="AE140" s="32">
        <v>50</v>
      </c>
      <c r="AF140" s="32">
        <v>1</v>
      </c>
      <c r="AG140" s="32" t="s">
        <v>276</v>
      </c>
    </row>
    <row r="141" spans="1:33" s="34" customFormat="1" x14ac:dyDescent="0.15">
      <c r="A141" s="61" t="s">
        <v>621</v>
      </c>
      <c r="B141" s="31">
        <v>98</v>
      </c>
      <c r="C141" s="32" t="s">
        <v>283</v>
      </c>
      <c r="D141" s="32" t="s">
        <v>269</v>
      </c>
      <c r="E141" s="32" t="s">
        <v>270</v>
      </c>
      <c r="F141" s="32" t="s">
        <v>455</v>
      </c>
      <c r="G141" s="32"/>
      <c r="H141" s="32" t="s">
        <v>465</v>
      </c>
      <c r="I141" s="32" t="s">
        <v>466</v>
      </c>
      <c r="J141" s="33">
        <v>4974819901840</v>
      </c>
      <c r="K141" s="32">
        <v>500</v>
      </c>
      <c r="L141" s="32">
        <v>550</v>
      </c>
      <c r="M141" s="63"/>
      <c r="N141" s="32"/>
      <c r="O141" s="32"/>
      <c r="P141" s="32"/>
      <c r="Q141" s="32"/>
      <c r="R141" s="32"/>
      <c r="S141" s="32"/>
      <c r="T141" s="32">
        <v>50</v>
      </c>
      <c r="U141" s="32"/>
      <c r="V141" s="32"/>
      <c r="W141" s="32">
        <v>91111</v>
      </c>
      <c r="X141" s="32">
        <v>0</v>
      </c>
      <c r="Y141" s="32">
        <v>-50</v>
      </c>
      <c r="Z141" s="32">
        <v>1</v>
      </c>
      <c r="AA141" s="32" t="s">
        <v>274</v>
      </c>
      <c r="AB141" s="32" t="s">
        <v>275</v>
      </c>
      <c r="AC141" s="32">
        <v>500</v>
      </c>
      <c r="AD141" s="32">
        <v>1</v>
      </c>
      <c r="AE141" s="32">
        <v>50</v>
      </c>
      <c r="AF141" s="32">
        <v>1</v>
      </c>
      <c r="AG141" s="32" t="s">
        <v>276</v>
      </c>
    </row>
    <row r="142" spans="1:33" s="34" customFormat="1" x14ac:dyDescent="0.15">
      <c r="A142" s="61" t="s">
        <v>621</v>
      </c>
      <c r="B142" s="31">
        <v>98</v>
      </c>
      <c r="C142" s="32" t="s">
        <v>283</v>
      </c>
      <c r="D142" s="32" t="s">
        <v>269</v>
      </c>
      <c r="E142" s="32" t="s">
        <v>270</v>
      </c>
      <c r="F142" s="32" t="s">
        <v>455</v>
      </c>
      <c r="G142" s="32"/>
      <c r="H142" s="32" t="s">
        <v>465</v>
      </c>
      <c r="I142" s="32" t="s">
        <v>466</v>
      </c>
      <c r="J142" s="33">
        <v>4974819901840</v>
      </c>
      <c r="K142" s="32">
        <v>500</v>
      </c>
      <c r="L142" s="32">
        <v>550</v>
      </c>
      <c r="M142" s="63"/>
      <c r="N142" s="32"/>
      <c r="O142" s="32"/>
      <c r="P142" s="32"/>
      <c r="Q142" s="32"/>
      <c r="R142" s="32"/>
      <c r="S142" s="32"/>
      <c r="T142" s="32">
        <v>50</v>
      </c>
      <c r="U142" s="32"/>
      <c r="V142" s="32"/>
      <c r="W142" s="32">
        <v>91324</v>
      </c>
      <c r="X142" s="32">
        <v>0</v>
      </c>
      <c r="Y142" s="32">
        <v>50</v>
      </c>
      <c r="Z142" s="32">
        <v>1</v>
      </c>
      <c r="AA142" s="32" t="s">
        <v>467</v>
      </c>
      <c r="AB142" s="32" t="s">
        <v>275</v>
      </c>
      <c r="AC142" s="32">
        <v>500</v>
      </c>
      <c r="AD142" s="32">
        <v>1</v>
      </c>
      <c r="AE142" s="32">
        <v>50</v>
      </c>
      <c r="AF142" s="32">
        <v>1</v>
      </c>
      <c r="AG142" s="32" t="s">
        <v>276</v>
      </c>
    </row>
    <row r="143" spans="1:33" s="34" customFormat="1" x14ac:dyDescent="0.15">
      <c r="A143" s="60" t="s">
        <v>628</v>
      </c>
      <c r="B143" s="31">
        <v>99</v>
      </c>
      <c r="C143" s="32" t="s">
        <v>269</v>
      </c>
      <c r="D143" s="32" t="s">
        <v>269</v>
      </c>
      <c r="E143" s="32" t="s">
        <v>270</v>
      </c>
      <c r="F143" s="32" t="s">
        <v>468</v>
      </c>
      <c r="G143" s="32"/>
      <c r="H143" s="32" t="s">
        <v>469</v>
      </c>
      <c r="I143" s="32" t="s">
        <v>470</v>
      </c>
      <c r="J143" s="33">
        <v>4549741198172</v>
      </c>
      <c r="K143" s="32">
        <v>500</v>
      </c>
      <c r="L143" s="32">
        <v>450</v>
      </c>
      <c r="M143" s="63"/>
      <c r="N143" s="32"/>
      <c r="O143" s="32"/>
      <c r="P143" s="32"/>
      <c r="Q143" s="32"/>
      <c r="R143" s="32"/>
      <c r="S143" s="32"/>
      <c r="T143" s="32">
        <v>10</v>
      </c>
      <c r="U143" s="32"/>
      <c r="V143" s="32"/>
      <c r="W143" s="32">
        <v>91111</v>
      </c>
      <c r="X143" s="32">
        <v>0</v>
      </c>
      <c r="Y143" s="32">
        <v>50</v>
      </c>
      <c r="Z143" s="32">
        <v>1</v>
      </c>
      <c r="AA143" s="32" t="s">
        <v>274</v>
      </c>
      <c r="AB143" s="32" t="s">
        <v>275</v>
      </c>
      <c r="AC143" s="32">
        <v>405</v>
      </c>
      <c r="AD143" s="32">
        <v>1</v>
      </c>
      <c r="AE143" s="32">
        <v>45</v>
      </c>
      <c r="AF143" s="32">
        <v>1</v>
      </c>
      <c r="AG143" s="32" t="s">
        <v>276</v>
      </c>
    </row>
    <row r="144" spans="1:33" s="34" customFormat="1" x14ac:dyDescent="0.15">
      <c r="A144" s="60" t="s">
        <v>628</v>
      </c>
      <c r="B144" s="31">
        <v>99</v>
      </c>
      <c r="C144" s="32" t="s">
        <v>269</v>
      </c>
      <c r="D144" s="32" t="s">
        <v>269</v>
      </c>
      <c r="E144" s="32" t="s">
        <v>270</v>
      </c>
      <c r="F144" s="32" t="s">
        <v>468</v>
      </c>
      <c r="G144" s="32"/>
      <c r="H144" s="32" t="s">
        <v>469</v>
      </c>
      <c r="I144" s="32" t="s">
        <v>470</v>
      </c>
      <c r="J144" s="33">
        <v>4549741198172</v>
      </c>
      <c r="K144" s="32">
        <v>500</v>
      </c>
      <c r="L144" s="32">
        <v>450</v>
      </c>
      <c r="M144" s="63"/>
      <c r="N144" s="32"/>
      <c r="O144" s="32"/>
      <c r="P144" s="32"/>
      <c r="Q144" s="32"/>
      <c r="R144" s="32"/>
      <c r="S144" s="32"/>
      <c r="T144" s="32">
        <v>10</v>
      </c>
      <c r="U144" s="32"/>
      <c r="V144" s="32"/>
      <c r="W144" s="32">
        <v>91324</v>
      </c>
      <c r="X144" s="32">
        <v>0</v>
      </c>
      <c r="Y144" s="32">
        <v>45</v>
      </c>
      <c r="Z144" s="32">
        <v>1</v>
      </c>
      <c r="AA144" s="32" t="s">
        <v>458</v>
      </c>
      <c r="AB144" s="32" t="s">
        <v>275</v>
      </c>
      <c r="AC144" s="32">
        <v>405</v>
      </c>
      <c r="AD144" s="32">
        <v>1</v>
      </c>
      <c r="AE144" s="32">
        <v>45</v>
      </c>
      <c r="AF144" s="32">
        <v>1</v>
      </c>
      <c r="AG144" s="32" t="s">
        <v>276</v>
      </c>
    </row>
    <row r="145" spans="1:33" s="34" customFormat="1" x14ac:dyDescent="0.15">
      <c r="A145" s="60" t="s">
        <v>628</v>
      </c>
      <c r="B145" s="31">
        <v>100</v>
      </c>
      <c r="C145" s="32" t="s">
        <v>279</v>
      </c>
      <c r="D145" s="32" t="s">
        <v>269</v>
      </c>
      <c r="E145" s="32" t="s">
        <v>270</v>
      </c>
      <c r="F145" s="32" t="s">
        <v>468</v>
      </c>
      <c r="G145" s="32"/>
      <c r="H145" s="32" t="s">
        <v>471</v>
      </c>
      <c r="I145" s="32" t="s">
        <v>472</v>
      </c>
      <c r="J145" s="33">
        <v>4549741021579</v>
      </c>
      <c r="K145" s="32">
        <v>500</v>
      </c>
      <c r="L145" s="32">
        <v>500</v>
      </c>
      <c r="M145" s="63"/>
      <c r="N145" s="32"/>
      <c r="O145" s="32"/>
      <c r="P145" s="32"/>
      <c r="Q145" s="32"/>
      <c r="R145" s="32"/>
      <c r="S145" s="32"/>
      <c r="T145" s="32">
        <v>10</v>
      </c>
      <c r="U145" s="32"/>
      <c r="V145" s="32"/>
      <c r="W145" s="32">
        <v>91111</v>
      </c>
      <c r="X145" s="32">
        <v>0</v>
      </c>
      <c r="Y145" s="32">
        <v>0</v>
      </c>
      <c r="Z145" s="32">
        <v>1</v>
      </c>
      <c r="AA145" s="32" t="s">
        <v>274</v>
      </c>
      <c r="AB145" s="32" t="s">
        <v>275</v>
      </c>
      <c r="AC145" s="32">
        <v>450</v>
      </c>
      <c r="AD145" s="32">
        <v>1</v>
      </c>
      <c r="AE145" s="32">
        <v>50</v>
      </c>
      <c r="AF145" s="32">
        <v>1</v>
      </c>
      <c r="AG145" s="32" t="s">
        <v>276</v>
      </c>
    </row>
    <row r="146" spans="1:33" s="34" customFormat="1" x14ac:dyDescent="0.15">
      <c r="A146" s="60" t="s">
        <v>628</v>
      </c>
      <c r="B146" s="31">
        <v>100</v>
      </c>
      <c r="C146" s="32" t="s">
        <v>279</v>
      </c>
      <c r="D146" s="32" t="s">
        <v>269</v>
      </c>
      <c r="E146" s="32" t="s">
        <v>270</v>
      </c>
      <c r="F146" s="32" t="s">
        <v>468</v>
      </c>
      <c r="G146" s="32"/>
      <c r="H146" s="32" t="s">
        <v>471</v>
      </c>
      <c r="I146" s="32" t="s">
        <v>472</v>
      </c>
      <c r="J146" s="33">
        <v>4549741021579</v>
      </c>
      <c r="K146" s="32">
        <v>500</v>
      </c>
      <c r="L146" s="32">
        <v>500</v>
      </c>
      <c r="M146" s="63"/>
      <c r="N146" s="32"/>
      <c r="O146" s="32"/>
      <c r="P146" s="32"/>
      <c r="Q146" s="32"/>
      <c r="R146" s="32"/>
      <c r="S146" s="32"/>
      <c r="T146" s="32">
        <v>10</v>
      </c>
      <c r="U146" s="32"/>
      <c r="V146" s="32"/>
      <c r="W146" s="32">
        <v>91324</v>
      </c>
      <c r="X146" s="32">
        <v>0</v>
      </c>
      <c r="Y146" s="32">
        <v>50</v>
      </c>
      <c r="Z146" s="32">
        <v>1</v>
      </c>
      <c r="AA146" s="32" t="s">
        <v>458</v>
      </c>
      <c r="AB146" s="32" t="s">
        <v>275</v>
      </c>
      <c r="AC146" s="32">
        <v>450</v>
      </c>
      <c r="AD146" s="32">
        <v>1</v>
      </c>
      <c r="AE146" s="32">
        <v>50</v>
      </c>
      <c r="AF146" s="32">
        <v>1</v>
      </c>
      <c r="AG146" s="32" t="s">
        <v>276</v>
      </c>
    </row>
    <row r="147" spans="1:33" s="34" customFormat="1" x14ac:dyDescent="0.15">
      <c r="A147" s="60" t="s">
        <v>628</v>
      </c>
      <c r="B147" s="31">
        <v>101</v>
      </c>
      <c r="C147" s="32" t="s">
        <v>283</v>
      </c>
      <c r="D147" s="32" t="s">
        <v>269</v>
      </c>
      <c r="E147" s="32" t="s">
        <v>270</v>
      </c>
      <c r="F147" s="32" t="s">
        <v>468</v>
      </c>
      <c r="G147" s="32"/>
      <c r="H147" s="32" t="s">
        <v>473</v>
      </c>
      <c r="I147" s="32" t="s">
        <v>474</v>
      </c>
      <c r="J147" s="33">
        <v>4904620801060</v>
      </c>
      <c r="K147" s="32">
        <v>500</v>
      </c>
      <c r="L147" s="32">
        <v>550</v>
      </c>
      <c r="M147" s="63"/>
      <c r="N147" s="32"/>
      <c r="O147" s="32"/>
      <c r="P147" s="32"/>
      <c r="Q147" s="32"/>
      <c r="R147" s="32"/>
      <c r="S147" s="32"/>
      <c r="T147" s="32">
        <v>10</v>
      </c>
      <c r="U147" s="32"/>
      <c r="V147" s="32"/>
      <c r="W147" s="32">
        <v>91111</v>
      </c>
      <c r="X147" s="32">
        <v>0</v>
      </c>
      <c r="Y147" s="32">
        <v>-50</v>
      </c>
      <c r="Z147" s="32">
        <v>1</v>
      </c>
      <c r="AA147" s="32" t="s">
        <v>274</v>
      </c>
      <c r="AB147" s="32" t="s">
        <v>275</v>
      </c>
      <c r="AC147" s="32">
        <v>495</v>
      </c>
      <c r="AD147" s="32">
        <v>1</v>
      </c>
      <c r="AE147" s="32">
        <v>55</v>
      </c>
      <c r="AF147" s="32">
        <v>1</v>
      </c>
      <c r="AG147" s="32" t="s">
        <v>276</v>
      </c>
    </row>
    <row r="148" spans="1:33" s="34" customFormat="1" x14ac:dyDescent="0.15">
      <c r="A148" s="60" t="s">
        <v>628</v>
      </c>
      <c r="B148" s="31">
        <v>101</v>
      </c>
      <c r="C148" s="32" t="s">
        <v>283</v>
      </c>
      <c r="D148" s="32" t="s">
        <v>269</v>
      </c>
      <c r="E148" s="32" t="s">
        <v>270</v>
      </c>
      <c r="F148" s="32" t="s">
        <v>468</v>
      </c>
      <c r="G148" s="32"/>
      <c r="H148" s="32" t="s">
        <v>473</v>
      </c>
      <c r="I148" s="32" t="s">
        <v>474</v>
      </c>
      <c r="J148" s="33">
        <v>4904620801060</v>
      </c>
      <c r="K148" s="32">
        <v>500</v>
      </c>
      <c r="L148" s="32">
        <v>550</v>
      </c>
      <c r="M148" s="63"/>
      <c r="N148" s="32"/>
      <c r="O148" s="32"/>
      <c r="P148" s="32"/>
      <c r="Q148" s="32"/>
      <c r="R148" s="32"/>
      <c r="S148" s="32"/>
      <c r="T148" s="32">
        <v>10</v>
      </c>
      <c r="U148" s="32"/>
      <c r="V148" s="32"/>
      <c r="W148" s="32">
        <v>91324</v>
      </c>
      <c r="X148" s="32">
        <v>0</v>
      </c>
      <c r="Y148" s="32">
        <v>55</v>
      </c>
      <c r="Z148" s="32">
        <v>1</v>
      </c>
      <c r="AA148" s="32" t="s">
        <v>458</v>
      </c>
      <c r="AB148" s="32" t="s">
        <v>275</v>
      </c>
      <c r="AC148" s="32">
        <v>495</v>
      </c>
      <c r="AD148" s="32">
        <v>1</v>
      </c>
      <c r="AE148" s="32">
        <v>55</v>
      </c>
      <c r="AF148" s="32">
        <v>1</v>
      </c>
      <c r="AG148" s="32" t="s">
        <v>276</v>
      </c>
    </row>
    <row r="149" spans="1:33" s="34" customFormat="1" x14ac:dyDescent="0.15">
      <c r="A149" s="61" t="s">
        <v>621</v>
      </c>
      <c r="B149" s="31">
        <v>102</v>
      </c>
      <c r="C149" s="32" t="s">
        <v>283</v>
      </c>
      <c r="D149" s="32" t="s">
        <v>269</v>
      </c>
      <c r="E149" s="32" t="s">
        <v>270</v>
      </c>
      <c r="F149" s="32" t="s">
        <v>468</v>
      </c>
      <c r="G149" s="32"/>
      <c r="H149" s="32" t="s">
        <v>475</v>
      </c>
      <c r="I149" s="32" t="s">
        <v>476</v>
      </c>
      <c r="J149" s="33">
        <v>4950861103296</v>
      </c>
      <c r="K149" s="32">
        <v>500</v>
      </c>
      <c r="L149" s="32">
        <v>550</v>
      </c>
      <c r="M149" s="63"/>
      <c r="N149" s="32"/>
      <c r="O149" s="32"/>
      <c r="P149" s="32"/>
      <c r="Q149" s="32"/>
      <c r="R149" s="32"/>
      <c r="S149" s="32"/>
      <c r="T149" s="32">
        <v>10</v>
      </c>
      <c r="U149" s="32"/>
      <c r="V149" s="32"/>
      <c r="W149" s="32">
        <v>91111</v>
      </c>
      <c r="X149" s="32">
        <v>0</v>
      </c>
      <c r="Y149" s="32">
        <v>-50</v>
      </c>
      <c r="Z149" s="32">
        <v>1</v>
      </c>
      <c r="AA149" s="32" t="s">
        <v>274</v>
      </c>
      <c r="AB149" s="32" t="s">
        <v>275</v>
      </c>
      <c r="AC149" s="32">
        <v>495</v>
      </c>
      <c r="AD149" s="32">
        <v>1</v>
      </c>
      <c r="AE149" s="32">
        <v>55</v>
      </c>
      <c r="AF149" s="32">
        <v>1</v>
      </c>
      <c r="AG149" s="32" t="s">
        <v>276</v>
      </c>
    </row>
    <row r="150" spans="1:33" s="34" customFormat="1" x14ac:dyDescent="0.15">
      <c r="A150" s="61" t="s">
        <v>621</v>
      </c>
      <c r="B150" s="31">
        <v>102</v>
      </c>
      <c r="C150" s="32" t="s">
        <v>283</v>
      </c>
      <c r="D150" s="32" t="s">
        <v>269</v>
      </c>
      <c r="E150" s="32" t="s">
        <v>270</v>
      </c>
      <c r="F150" s="32" t="s">
        <v>468</v>
      </c>
      <c r="G150" s="32"/>
      <c r="H150" s="32" t="s">
        <v>475</v>
      </c>
      <c r="I150" s="32" t="s">
        <v>476</v>
      </c>
      <c r="J150" s="33">
        <v>4950861103296</v>
      </c>
      <c r="K150" s="32">
        <v>500</v>
      </c>
      <c r="L150" s="32">
        <v>550</v>
      </c>
      <c r="M150" s="63"/>
      <c r="N150" s="32"/>
      <c r="O150" s="32"/>
      <c r="P150" s="32"/>
      <c r="Q150" s="32"/>
      <c r="R150" s="32"/>
      <c r="S150" s="32"/>
      <c r="T150" s="32">
        <v>10</v>
      </c>
      <c r="U150" s="32"/>
      <c r="V150" s="32"/>
      <c r="W150" s="32">
        <v>91324</v>
      </c>
      <c r="X150" s="32">
        <v>0</v>
      </c>
      <c r="Y150" s="32">
        <v>55</v>
      </c>
      <c r="Z150" s="32">
        <v>1</v>
      </c>
      <c r="AA150" s="32" t="s">
        <v>458</v>
      </c>
      <c r="AB150" s="32" t="s">
        <v>275</v>
      </c>
      <c r="AC150" s="32">
        <v>495</v>
      </c>
      <c r="AD150" s="32">
        <v>1</v>
      </c>
      <c r="AE150" s="32">
        <v>55</v>
      </c>
      <c r="AF150" s="32">
        <v>1</v>
      </c>
      <c r="AG150" s="32" t="s">
        <v>276</v>
      </c>
    </row>
    <row r="151" spans="1:33" s="34" customFormat="1" x14ac:dyDescent="0.15">
      <c r="A151" s="61" t="s">
        <v>621</v>
      </c>
      <c r="B151" s="31">
        <v>103</v>
      </c>
      <c r="C151" s="32" t="s">
        <v>283</v>
      </c>
      <c r="D151" s="32" t="s">
        <v>269</v>
      </c>
      <c r="E151" s="32" t="s">
        <v>270</v>
      </c>
      <c r="F151" s="32" t="s">
        <v>468</v>
      </c>
      <c r="G151" s="32"/>
      <c r="H151" s="32" t="s">
        <v>433</v>
      </c>
      <c r="I151" s="32" t="s">
        <v>477</v>
      </c>
      <c r="J151" s="33">
        <v>4950861108284</v>
      </c>
      <c r="K151" s="32">
        <v>500</v>
      </c>
      <c r="L151" s="32">
        <v>550</v>
      </c>
      <c r="M151" s="63"/>
      <c r="N151" s="32"/>
      <c r="O151" s="32"/>
      <c r="P151" s="32"/>
      <c r="Q151" s="32"/>
      <c r="R151" s="32"/>
      <c r="S151" s="32"/>
      <c r="T151" s="32">
        <v>10</v>
      </c>
      <c r="U151" s="32"/>
      <c r="V151" s="32"/>
      <c r="W151" s="32">
        <v>91111</v>
      </c>
      <c r="X151" s="32">
        <v>0</v>
      </c>
      <c r="Y151" s="32">
        <v>-50</v>
      </c>
      <c r="Z151" s="32">
        <v>1</v>
      </c>
      <c r="AA151" s="32" t="s">
        <v>274</v>
      </c>
      <c r="AB151" s="32" t="s">
        <v>275</v>
      </c>
      <c r="AC151" s="32">
        <v>495</v>
      </c>
      <c r="AD151" s="32">
        <v>1</v>
      </c>
      <c r="AE151" s="32">
        <v>55</v>
      </c>
      <c r="AF151" s="32">
        <v>1</v>
      </c>
      <c r="AG151" s="32" t="s">
        <v>276</v>
      </c>
    </row>
    <row r="152" spans="1:33" s="34" customFormat="1" x14ac:dyDescent="0.15">
      <c r="A152" s="61" t="s">
        <v>621</v>
      </c>
      <c r="B152" s="31">
        <v>103</v>
      </c>
      <c r="C152" s="32" t="s">
        <v>283</v>
      </c>
      <c r="D152" s="32" t="s">
        <v>269</v>
      </c>
      <c r="E152" s="32" t="s">
        <v>270</v>
      </c>
      <c r="F152" s="32" t="s">
        <v>468</v>
      </c>
      <c r="G152" s="32"/>
      <c r="H152" s="32" t="s">
        <v>433</v>
      </c>
      <c r="I152" s="32" t="s">
        <v>477</v>
      </c>
      <c r="J152" s="33">
        <v>4950861108284</v>
      </c>
      <c r="K152" s="32">
        <v>500</v>
      </c>
      <c r="L152" s="32">
        <v>550</v>
      </c>
      <c r="M152" s="63"/>
      <c r="N152" s="32"/>
      <c r="O152" s="32"/>
      <c r="P152" s="32"/>
      <c r="Q152" s="32"/>
      <c r="R152" s="32"/>
      <c r="S152" s="32"/>
      <c r="T152" s="32">
        <v>10</v>
      </c>
      <c r="U152" s="32"/>
      <c r="V152" s="32"/>
      <c r="W152" s="32">
        <v>91324</v>
      </c>
      <c r="X152" s="32">
        <v>0</v>
      </c>
      <c r="Y152" s="32">
        <v>55</v>
      </c>
      <c r="Z152" s="32">
        <v>1</v>
      </c>
      <c r="AA152" s="32" t="s">
        <v>458</v>
      </c>
      <c r="AB152" s="32" t="s">
        <v>275</v>
      </c>
      <c r="AC152" s="32">
        <v>495</v>
      </c>
      <c r="AD152" s="32">
        <v>1</v>
      </c>
      <c r="AE152" s="32">
        <v>55</v>
      </c>
      <c r="AF152" s="32">
        <v>1</v>
      </c>
      <c r="AG152" s="32" t="s">
        <v>276</v>
      </c>
    </row>
    <row r="153" spans="1:33" s="34" customFormat="1" x14ac:dyDescent="0.15">
      <c r="A153" s="60" t="s">
        <v>629</v>
      </c>
      <c r="B153" s="31">
        <v>104</v>
      </c>
      <c r="C153" s="32" t="s">
        <v>269</v>
      </c>
      <c r="D153" s="32" t="s">
        <v>269</v>
      </c>
      <c r="E153" s="32" t="s">
        <v>270</v>
      </c>
      <c r="F153" s="32" t="s">
        <v>478</v>
      </c>
      <c r="G153" s="32">
        <v>50</v>
      </c>
      <c r="H153" s="32" t="s">
        <v>479</v>
      </c>
      <c r="I153" s="32" t="s">
        <v>480</v>
      </c>
      <c r="J153" s="33">
        <v>4549741465083</v>
      </c>
      <c r="K153" s="32">
        <v>500</v>
      </c>
      <c r="L153" s="32">
        <v>450</v>
      </c>
      <c r="M153" s="63"/>
      <c r="N153" s="32"/>
      <c r="O153" s="32"/>
      <c r="P153" s="32"/>
      <c r="Q153" s="32"/>
      <c r="R153" s="32"/>
      <c r="S153" s="32"/>
      <c r="T153" s="32"/>
      <c r="U153" s="32"/>
      <c r="V153" s="32"/>
      <c r="W153" s="32">
        <v>91400</v>
      </c>
      <c r="X153" s="32">
        <v>14</v>
      </c>
      <c r="Y153" s="32">
        <v>50</v>
      </c>
      <c r="Z153" s="32">
        <v>0</v>
      </c>
      <c r="AA153" s="32" t="s">
        <v>481</v>
      </c>
      <c r="AB153" s="32" t="s">
        <v>296</v>
      </c>
      <c r="AC153" s="32">
        <v>400</v>
      </c>
      <c r="AD153" s="32">
        <v>1</v>
      </c>
      <c r="AE153" s="32">
        <v>50</v>
      </c>
      <c r="AF153" s="32">
        <v>1</v>
      </c>
      <c r="AG153" s="32" t="s">
        <v>276</v>
      </c>
    </row>
    <row r="154" spans="1:33" s="34" customFormat="1" x14ac:dyDescent="0.15">
      <c r="A154" s="60" t="s">
        <v>629</v>
      </c>
      <c r="B154" s="31">
        <v>104</v>
      </c>
      <c r="C154" s="32" t="s">
        <v>269</v>
      </c>
      <c r="D154" s="32" t="s">
        <v>269</v>
      </c>
      <c r="E154" s="32" t="s">
        <v>270</v>
      </c>
      <c r="F154" s="32" t="s">
        <v>478</v>
      </c>
      <c r="G154" s="32">
        <v>50</v>
      </c>
      <c r="H154" s="32" t="s">
        <v>479</v>
      </c>
      <c r="I154" s="32" t="s">
        <v>480</v>
      </c>
      <c r="J154" s="33">
        <v>4549741465083</v>
      </c>
      <c r="K154" s="32">
        <v>500</v>
      </c>
      <c r="L154" s="32">
        <v>450</v>
      </c>
      <c r="M154" s="63"/>
      <c r="N154" s="32"/>
      <c r="O154" s="32"/>
      <c r="P154" s="32"/>
      <c r="Q154" s="32"/>
      <c r="R154" s="32"/>
      <c r="S154" s="32"/>
      <c r="T154" s="32"/>
      <c r="U154" s="32"/>
      <c r="V154" s="32"/>
      <c r="W154" s="32">
        <v>91111</v>
      </c>
      <c r="X154" s="32">
        <v>0</v>
      </c>
      <c r="Y154" s="32">
        <v>50</v>
      </c>
      <c r="Z154" s="32">
        <v>1</v>
      </c>
      <c r="AA154" s="32" t="s">
        <v>274</v>
      </c>
      <c r="AB154" s="32" t="s">
        <v>275</v>
      </c>
      <c r="AC154" s="32">
        <v>400</v>
      </c>
      <c r="AD154" s="32">
        <v>1</v>
      </c>
      <c r="AE154" s="32">
        <v>50</v>
      </c>
      <c r="AF154" s="32">
        <v>1</v>
      </c>
      <c r="AG154" s="32" t="s">
        <v>276</v>
      </c>
    </row>
    <row r="155" spans="1:33" s="34" customFormat="1" x14ac:dyDescent="0.15">
      <c r="A155" s="60" t="s">
        <v>629</v>
      </c>
      <c r="B155" s="31">
        <v>105</v>
      </c>
      <c r="C155" s="32" t="s">
        <v>279</v>
      </c>
      <c r="D155" s="32" t="s">
        <v>269</v>
      </c>
      <c r="E155" s="32" t="s">
        <v>270</v>
      </c>
      <c r="F155" s="32" t="s">
        <v>478</v>
      </c>
      <c r="G155" s="32">
        <v>50</v>
      </c>
      <c r="H155" s="32" t="s">
        <v>482</v>
      </c>
      <c r="I155" s="32" t="s">
        <v>483</v>
      </c>
      <c r="J155" s="33">
        <v>4901540603415</v>
      </c>
      <c r="K155" s="32">
        <v>500</v>
      </c>
      <c r="L155" s="32">
        <v>500</v>
      </c>
      <c r="M155" s="63"/>
      <c r="N155" s="32"/>
      <c r="O155" s="32"/>
      <c r="P155" s="32"/>
      <c r="Q155" s="32"/>
      <c r="R155" s="32"/>
      <c r="S155" s="32"/>
      <c r="T155" s="32"/>
      <c r="U155" s="32"/>
      <c r="V155" s="32"/>
      <c r="W155" s="32">
        <v>91111</v>
      </c>
      <c r="X155" s="32">
        <v>0</v>
      </c>
      <c r="Y155" s="32">
        <v>0</v>
      </c>
      <c r="Z155" s="32">
        <v>1</v>
      </c>
      <c r="AA155" s="32" t="s">
        <v>274</v>
      </c>
      <c r="AB155" s="32" t="s">
        <v>275</v>
      </c>
      <c r="AC155" s="32">
        <v>450</v>
      </c>
      <c r="AD155" s="32">
        <v>1</v>
      </c>
      <c r="AE155" s="32">
        <v>50</v>
      </c>
      <c r="AF155" s="32">
        <v>1</v>
      </c>
      <c r="AG155" s="32" t="s">
        <v>276</v>
      </c>
    </row>
    <row r="156" spans="1:33" s="34" customFormat="1" x14ac:dyDescent="0.15">
      <c r="A156" s="60" t="s">
        <v>629</v>
      </c>
      <c r="B156" s="31">
        <v>105</v>
      </c>
      <c r="C156" s="32" t="s">
        <v>279</v>
      </c>
      <c r="D156" s="32" t="s">
        <v>269</v>
      </c>
      <c r="E156" s="32" t="s">
        <v>270</v>
      </c>
      <c r="F156" s="32" t="s">
        <v>478</v>
      </c>
      <c r="G156" s="32">
        <v>50</v>
      </c>
      <c r="H156" s="32" t="s">
        <v>482</v>
      </c>
      <c r="I156" s="32" t="s">
        <v>483</v>
      </c>
      <c r="J156" s="33">
        <v>4901540603415</v>
      </c>
      <c r="K156" s="32">
        <v>500</v>
      </c>
      <c r="L156" s="32">
        <v>500</v>
      </c>
      <c r="M156" s="63"/>
      <c r="N156" s="32"/>
      <c r="O156" s="32"/>
      <c r="P156" s="32"/>
      <c r="Q156" s="32"/>
      <c r="R156" s="32"/>
      <c r="S156" s="32"/>
      <c r="T156" s="32"/>
      <c r="U156" s="32"/>
      <c r="V156" s="32"/>
      <c r="W156" s="32">
        <v>91400</v>
      </c>
      <c r="X156" s="32">
        <v>14</v>
      </c>
      <c r="Y156" s="32">
        <v>50</v>
      </c>
      <c r="Z156" s="32">
        <v>0</v>
      </c>
      <c r="AA156" s="32" t="s">
        <v>484</v>
      </c>
      <c r="AB156" s="32" t="s">
        <v>296</v>
      </c>
      <c r="AC156" s="32">
        <v>450</v>
      </c>
      <c r="AD156" s="32">
        <v>1</v>
      </c>
      <c r="AE156" s="32">
        <v>50</v>
      </c>
      <c r="AF156" s="32">
        <v>1</v>
      </c>
      <c r="AG156" s="32" t="s">
        <v>276</v>
      </c>
    </row>
    <row r="157" spans="1:33" s="34" customFormat="1" x14ac:dyDescent="0.15">
      <c r="A157" s="60" t="s">
        <v>629</v>
      </c>
      <c r="B157" s="31">
        <v>106</v>
      </c>
      <c r="C157" s="24" t="s">
        <v>283</v>
      </c>
      <c r="D157" s="24" t="s">
        <v>269</v>
      </c>
      <c r="E157" s="24" t="s">
        <v>270</v>
      </c>
      <c r="F157" s="32" t="s">
        <v>478</v>
      </c>
      <c r="G157" s="32">
        <v>50</v>
      </c>
      <c r="H157" s="24" t="s">
        <v>485</v>
      </c>
      <c r="I157" s="24" t="s">
        <v>486</v>
      </c>
      <c r="J157" s="33">
        <v>4549741178280</v>
      </c>
      <c r="K157" s="24">
        <v>500</v>
      </c>
      <c r="L157" s="32">
        <v>550</v>
      </c>
      <c r="M157" s="63"/>
      <c r="N157" s="32"/>
      <c r="O157" s="32"/>
      <c r="P157" s="32"/>
      <c r="Q157" s="32"/>
      <c r="R157" s="32"/>
      <c r="S157" s="32"/>
      <c r="T157" s="32"/>
      <c r="U157" s="32"/>
      <c r="V157" s="32"/>
      <c r="W157" s="32">
        <v>91400</v>
      </c>
      <c r="X157" s="32">
        <v>14</v>
      </c>
      <c r="Y157" s="32">
        <v>50</v>
      </c>
      <c r="Z157" s="32">
        <v>0</v>
      </c>
      <c r="AA157" s="32" t="s">
        <v>481</v>
      </c>
      <c r="AB157" s="32" t="s">
        <v>296</v>
      </c>
      <c r="AC157" s="32">
        <v>500</v>
      </c>
      <c r="AD157" s="32">
        <v>1</v>
      </c>
      <c r="AE157" s="32">
        <v>50</v>
      </c>
      <c r="AF157" s="32">
        <v>1</v>
      </c>
      <c r="AG157" s="32" t="s">
        <v>276</v>
      </c>
    </row>
    <row r="158" spans="1:33" s="34" customFormat="1" x14ac:dyDescent="0.15">
      <c r="A158" s="60" t="s">
        <v>629</v>
      </c>
      <c r="B158" s="31">
        <v>106</v>
      </c>
      <c r="C158" s="24" t="s">
        <v>283</v>
      </c>
      <c r="D158" s="24" t="s">
        <v>269</v>
      </c>
      <c r="E158" s="24" t="s">
        <v>270</v>
      </c>
      <c r="F158" s="32" t="s">
        <v>478</v>
      </c>
      <c r="G158" s="32">
        <v>50</v>
      </c>
      <c r="H158" s="24" t="s">
        <v>485</v>
      </c>
      <c r="I158" s="24" t="s">
        <v>486</v>
      </c>
      <c r="J158" s="33">
        <v>4549741178280</v>
      </c>
      <c r="K158" s="24">
        <v>500</v>
      </c>
      <c r="L158" s="32">
        <v>550</v>
      </c>
      <c r="M158" s="63"/>
      <c r="N158" s="32"/>
      <c r="O158" s="32"/>
      <c r="P158" s="32"/>
      <c r="Q158" s="32"/>
      <c r="R158" s="32"/>
      <c r="S158" s="32"/>
      <c r="T158" s="32"/>
      <c r="U158" s="32"/>
      <c r="V158" s="32"/>
      <c r="W158" s="32">
        <v>91111</v>
      </c>
      <c r="X158" s="32">
        <v>0</v>
      </c>
      <c r="Y158" s="32">
        <v>-50</v>
      </c>
      <c r="Z158" s="32">
        <v>1</v>
      </c>
      <c r="AA158" s="32" t="s">
        <v>274</v>
      </c>
      <c r="AB158" s="32" t="s">
        <v>275</v>
      </c>
      <c r="AC158" s="32">
        <v>500</v>
      </c>
      <c r="AD158" s="32">
        <v>1</v>
      </c>
      <c r="AE158" s="32">
        <v>50</v>
      </c>
      <c r="AF158" s="32">
        <v>1</v>
      </c>
      <c r="AG158" s="32" t="s">
        <v>276</v>
      </c>
    </row>
    <row r="159" spans="1:33" s="34" customFormat="1" x14ac:dyDescent="0.15">
      <c r="A159" s="61" t="s">
        <v>621</v>
      </c>
      <c r="B159" s="31">
        <v>107</v>
      </c>
      <c r="C159" s="24" t="s">
        <v>283</v>
      </c>
      <c r="D159" s="24" t="s">
        <v>269</v>
      </c>
      <c r="E159" s="24" t="s">
        <v>270</v>
      </c>
      <c r="F159" s="32" t="s">
        <v>478</v>
      </c>
      <c r="G159" s="32">
        <v>100</v>
      </c>
      <c r="H159" s="24" t="s">
        <v>485</v>
      </c>
      <c r="I159" s="24" t="s">
        <v>487</v>
      </c>
      <c r="J159" s="33">
        <v>4977291201125</v>
      </c>
      <c r="K159" s="24">
        <v>500</v>
      </c>
      <c r="L159" s="32">
        <v>550</v>
      </c>
      <c r="M159" s="63"/>
      <c r="N159" s="32"/>
      <c r="O159" s="32"/>
      <c r="P159" s="32"/>
      <c r="Q159" s="32"/>
      <c r="R159" s="32"/>
      <c r="S159" s="32"/>
      <c r="T159" s="32"/>
      <c r="U159" s="32"/>
      <c r="V159" s="32"/>
      <c r="W159" s="32">
        <v>91400</v>
      </c>
      <c r="X159" s="32">
        <v>14</v>
      </c>
      <c r="Y159" s="32">
        <v>100</v>
      </c>
      <c r="Z159" s="32">
        <v>0</v>
      </c>
      <c r="AA159" s="32" t="s">
        <v>481</v>
      </c>
      <c r="AB159" s="32" t="s">
        <v>296</v>
      </c>
      <c r="AC159" s="32">
        <v>450</v>
      </c>
      <c r="AD159" s="32">
        <v>1</v>
      </c>
      <c r="AE159" s="32">
        <v>100</v>
      </c>
      <c r="AF159" s="32">
        <v>1</v>
      </c>
      <c r="AG159" s="32" t="s">
        <v>276</v>
      </c>
    </row>
    <row r="160" spans="1:33" s="34" customFormat="1" x14ac:dyDescent="0.15">
      <c r="A160" s="61" t="s">
        <v>621</v>
      </c>
      <c r="B160" s="31">
        <v>107</v>
      </c>
      <c r="C160" s="24" t="s">
        <v>283</v>
      </c>
      <c r="D160" s="24" t="s">
        <v>269</v>
      </c>
      <c r="E160" s="24" t="s">
        <v>270</v>
      </c>
      <c r="F160" s="32" t="s">
        <v>478</v>
      </c>
      <c r="G160" s="32">
        <v>100</v>
      </c>
      <c r="H160" s="24" t="s">
        <v>485</v>
      </c>
      <c r="I160" s="24" t="s">
        <v>487</v>
      </c>
      <c r="J160" s="33">
        <v>4977291201125</v>
      </c>
      <c r="K160" s="24">
        <v>500</v>
      </c>
      <c r="L160" s="32">
        <v>550</v>
      </c>
      <c r="M160" s="63"/>
      <c r="N160" s="32"/>
      <c r="O160" s="32"/>
      <c r="P160" s="32"/>
      <c r="Q160" s="32"/>
      <c r="R160" s="32"/>
      <c r="S160" s="32"/>
      <c r="T160" s="32"/>
      <c r="U160" s="32"/>
      <c r="V160" s="32"/>
      <c r="W160" s="32">
        <v>91111</v>
      </c>
      <c r="X160" s="32">
        <v>0</v>
      </c>
      <c r="Y160" s="32">
        <v>-50</v>
      </c>
      <c r="Z160" s="32">
        <v>1</v>
      </c>
      <c r="AA160" s="32" t="s">
        <v>274</v>
      </c>
      <c r="AB160" s="32" t="s">
        <v>275</v>
      </c>
      <c r="AC160" s="32">
        <v>450</v>
      </c>
      <c r="AD160" s="32">
        <v>1</v>
      </c>
      <c r="AE160" s="32">
        <v>100</v>
      </c>
      <c r="AF160" s="32">
        <v>1</v>
      </c>
      <c r="AG160" s="32" t="s">
        <v>276</v>
      </c>
    </row>
    <row r="161" spans="1:33" s="34" customFormat="1" x14ac:dyDescent="0.15">
      <c r="A161" s="60" t="s">
        <v>630</v>
      </c>
      <c r="B161" s="31">
        <v>108</v>
      </c>
      <c r="C161" s="24" t="s">
        <v>269</v>
      </c>
      <c r="D161" s="24" t="s">
        <v>269</v>
      </c>
      <c r="E161" s="24" t="s">
        <v>270</v>
      </c>
      <c r="F161" s="32" t="s">
        <v>488</v>
      </c>
      <c r="G161" s="32">
        <v>10</v>
      </c>
      <c r="H161" s="24" t="s">
        <v>489</v>
      </c>
      <c r="I161" s="24" t="s">
        <v>490</v>
      </c>
      <c r="J161" s="33">
        <v>4993578063002</v>
      </c>
      <c r="K161" s="24">
        <v>500</v>
      </c>
      <c r="L161" s="32">
        <v>450</v>
      </c>
      <c r="M161" s="63"/>
      <c r="N161" s="32"/>
      <c r="O161" s="32"/>
      <c r="P161" s="32"/>
      <c r="Q161" s="32"/>
      <c r="R161" s="32"/>
      <c r="S161" s="32"/>
      <c r="T161" s="32"/>
      <c r="U161" s="32"/>
      <c r="V161" s="32"/>
      <c r="W161" s="32">
        <v>91111</v>
      </c>
      <c r="X161" s="32">
        <v>0</v>
      </c>
      <c r="Y161" s="32">
        <v>50</v>
      </c>
      <c r="Z161" s="32">
        <v>1</v>
      </c>
      <c r="AA161" s="32" t="s">
        <v>274</v>
      </c>
      <c r="AB161" s="32" t="s">
        <v>275</v>
      </c>
      <c r="AC161" s="32">
        <v>405</v>
      </c>
      <c r="AD161" s="32">
        <v>1</v>
      </c>
      <c r="AE161" s="32">
        <v>45</v>
      </c>
      <c r="AF161" s="32">
        <v>1</v>
      </c>
      <c r="AG161" s="32" t="s">
        <v>276</v>
      </c>
    </row>
    <row r="162" spans="1:33" s="34" customFormat="1" x14ac:dyDescent="0.15">
      <c r="A162" s="60" t="s">
        <v>630</v>
      </c>
      <c r="B162" s="31">
        <v>108</v>
      </c>
      <c r="C162" s="24" t="s">
        <v>269</v>
      </c>
      <c r="D162" s="24" t="s">
        <v>269</v>
      </c>
      <c r="E162" s="24" t="s">
        <v>270</v>
      </c>
      <c r="F162" s="32" t="s">
        <v>488</v>
      </c>
      <c r="G162" s="32">
        <v>10</v>
      </c>
      <c r="H162" s="24" t="s">
        <v>489</v>
      </c>
      <c r="I162" s="24" t="s">
        <v>490</v>
      </c>
      <c r="J162" s="33">
        <v>4993578063002</v>
      </c>
      <c r="K162" s="24">
        <v>500</v>
      </c>
      <c r="L162" s="32">
        <v>450</v>
      </c>
      <c r="M162" s="63"/>
      <c r="N162" s="32"/>
      <c r="O162" s="32"/>
      <c r="P162" s="32"/>
      <c r="Q162" s="32"/>
      <c r="R162" s="32"/>
      <c r="S162" s="32"/>
      <c r="T162" s="32"/>
      <c r="U162" s="32"/>
      <c r="V162" s="32"/>
      <c r="W162" s="32">
        <v>91400</v>
      </c>
      <c r="X162" s="32">
        <v>14</v>
      </c>
      <c r="Y162" s="32">
        <v>45</v>
      </c>
      <c r="Z162" s="32">
        <v>0</v>
      </c>
      <c r="AA162" s="32" t="s">
        <v>481</v>
      </c>
      <c r="AB162" s="32" t="s">
        <v>296</v>
      </c>
      <c r="AC162" s="32">
        <v>405</v>
      </c>
      <c r="AD162" s="32">
        <v>1</v>
      </c>
      <c r="AE162" s="32">
        <v>45</v>
      </c>
      <c r="AF162" s="32">
        <v>1</v>
      </c>
      <c r="AG162" s="32" t="s">
        <v>276</v>
      </c>
    </row>
    <row r="163" spans="1:33" s="34" customFormat="1" x14ac:dyDescent="0.15">
      <c r="A163" s="60" t="s">
        <v>630</v>
      </c>
      <c r="B163" s="31">
        <v>109</v>
      </c>
      <c r="C163" s="24" t="s">
        <v>279</v>
      </c>
      <c r="D163" s="24" t="s">
        <v>269</v>
      </c>
      <c r="E163" s="24" t="s">
        <v>270</v>
      </c>
      <c r="F163" s="32" t="s">
        <v>488</v>
      </c>
      <c r="G163" s="32">
        <v>10</v>
      </c>
      <c r="H163" s="24" t="s">
        <v>491</v>
      </c>
      <c r="I163" s="24" t="s">
        <v>492</v>
      </c>
      <c r="J163" s="33">
        <v>4977291335127</v>
      </c>
      <c r="K163" s="24">
        <v>500</v>
      </c>
      <c r="L163" s="32">
        <v>500</v>
      </c>
      <c r="M163" s="63"/>
      <c r="N163" s="32"/>
      <c r="O163" s="32"/>
      <c r="P163" s="32"/>
      <c r="Q163" s="32"/>
      <c r="R163" s="32"/>
      <c r="S163" s="32"/>
      <c r="T163" s="32"/>
      <c r="U163" s="32"/>
      <c r="V163" s="32"/>
      <c r="W163" s="32">
        <v>91111</v>
      </c>
      <c r="X163" s="32">
        <v>0</v>
      </c>
      <c r="Y163" s="32">
        <v>0</v>
      </c>
      <c r="Z163" s="32">
        <v>1</v>
      </c>
      <c r="AA163" s="32" t="s">
        <v>274</v>
      </c>
      <c r="AB163" s="32" t="s">
        <v>275</v>
      </c>
      <c r="AC163" s="32">
        <v>450</v>
      </c>
      <c r="AD163" s="32">
        <v>1</v>
      </c>
      <c r="AE163" s="32">
        <v>50</v>
      </c>
      <c r="AF163" s="32">
        <v>1</v>
      </c>
      <c r="AG163" s="32" t="s">
        <v>276</v>
      </c>
    </row>
    <row r="164" spans="1:33" s="34" customFormat="1" x14ac:dyDescent="0.15">
      <c r="A164" s="60" t="s">
        <v>630</v>
      </c>
      <c r="B164" s="31">
        <v>109</v>
      </c>
      <c r="C164" s="24" t="s">
        <v>279</v>
      </c>
      <c r="D164" s="24" t="s">
        <v>269</v>
      </c>
      <c r="E164" s="24" t="s">
        <v>270</v>
      </c>
      <c r="F164" s="32" t="s">
        <v>488</v>
      </c>
      <c r="G164" s="32">
        <v>10</v>
      </c>
      <c r="H164" s="24" t="s">
        <v>491</v>
      </c>
      <c r="I164" s="24" t="s">
        <v>492</v>
      </c>
      <c r="J164" s="33">
        <v>4977291335127</v>
      </c>
      <c r="K164" s="24">
        <v>500</v>
      </c>
      <c r="L164" s="32">
        <v>500</v>
      </c>
      <c r="M164" s="63"/>
      <c r="N164" s="32"/>
      <c r="O164" s="32"/>
      <c r="P164" s="32"/>
      <c r="Q164" s="32"/>
      <c r="R164" s="32"/>
      <c r="S164" s="32"/>
      <c r="T164" s="32"/>
      <c r="U164" s="32"/>
      <c r="V164" s="32"/>
      <c r="W164" s="32">
        <v>91400</v>
      </c>
      <c r="X164" s="32">
        <v>14</v>
      </c>
      <c r="Y164" s="32">
        <v>50</v>
      </c>
      <c r="Z164" s="32">
        <v>0</v>
      </c>
      <c r="AA164" s="32" t="s">
        <v>481</v>
      </c>
      <c r="AB164" s="32" t="s">
        <v>296</v>
      </c>
      <c r="AC164" s="32">
        <v>450</v>
      </c>
      <c r="AD164" s="32">
        <v>1</v>
      </c>
      <c r="AE164" s="32">
        <v>50</v>
      </c>
      <c r="AF164" s="32">
        <v>1</v>
      </c>
      <c r="AG164" s="32" t="s">
        <v>276</v>
      </c>
    </row>
    <row r="165" spans="1:33" s="34" customFormat="1" x14ac:dyDescent="0.15">
      <c r="A165" s="60" t="s">
        <v>630</v>
      </c>
      <c r="B165" s="31">
        <v>110</v>
      </c>
      <c r="C165" s="24" t="s">
        <v>283</v>
      </c>
      <c r="D165" s="24" t="s">
        <v>269</v>
      </c>
      <c r="E165" s="24" t="s">
        <v>270</v>
      </c>
      <c r="F165" s="32" t="s">
        <v>488</v>
      </c>
      <c r="G165" s="32">
        <v>10</v>
      </c>
      <c r="H165" s="24" t="s">
        <v>493</v>
      </c>
      <c r="I165" s="24" t="s">
        <v>494</v>
      </c>
      <c r="J165" s="33">
        <v>4948254101059</v>
      </c>
      <c r="K165" s="24">
        <v>500</v>
      </c>
      <c r="L165" s="32">
        <v>550</v>
      </c>
      <c r="M165" s="63"/>
      <c r="N165" s="32"/>
      <c r="O165" s="32"/>
      <c r="P165" s="32"/>
      <c r="Q165" s="32"/>
      <c r="R165" s="32"/>
      <c r="S165" s="32"/>
      <c r="T165" s="32"/>
      <c r="U165" s="32"/>
      <c r="V165" s="32"/>
      <c r="W165" s="32">
        <v>91111</v>
      </c>
      <c r="X165" s="32">
        <v>0</v>
      </c>
      <c r="Y165" s="32">
        <v>-50</v>
      </c>
      <c r="Z165" s="32">
        <v>1</v>
      </c>
      <c r="AA165" s="32" t="s">
        <v>274</v>
      </c>
      <c r="AB165" s="32" t="s">
        <v>275</v>
      </c>
      <c r="AC165" s="32">
        <v>495</v>
      </c>
      <c r="AD165" s="32">
        <v>1</v>
      </c>
      <c r="AE165" s="32">
        <v>55</v>
      </c>
      <c r="AF165" s="32">
        <v>1</v>
      </c>
      <c r="AG165" s="32" t="s">
        <v>276</v>
      </c>
    </row>
    <row r="166" spans="1:33" s="34" customFormat="1" x14ac:dyDescent="0.15">
      <c r="A166" s="60" t="s">
        <v>630</v>
      </c>
      <c r="B166" s="31">
        <v>110</v>
      </c>
      <c r="C166" s="24" t="s">
        <v>283</v>
      </c>
      <c r="D166" s="24" t="s">
        <v>269</v>
      </c>
      <c r="E166" s="24" t="s">
        <v>270</v>
      </c>
      <c r="F166" s="32" t="s">
        <v>488</v>
      </c>
      <c r="G166" s="32">
        <v>10</v>
      </c>
      <c r="H166" s="24" t="s">
        <v>493</v>
      </c>
      <c r="I166" s="24" t="s">
        <v>494</v>
      </c>
      <c r="J166" s="33">
        <v>4948254101059</v>
      </c>
      <c r="K166" s="24">
        <v>500</v>
      </c>
      <c r="L166" s="32">
        <v>550</v>
      </c>
      <c r="M166" s="63"/>
      <c r="N166" s="32"/>
      <c r="O166" s="32"/>
      <c r="P166" s="32"/>
      <c r="Q166" s="32"/>
      <c r="R166" s="32"/>
      <c r="S166" s="32"/>
      <c r="T166" s="32"/>
      <c r="U166" s="32"/>
      <c r="V166" s="32"/>
      <c r="W166" s="32">
        <v>91400</v>
      </c>
      <c r="X166" s="32">
        <v>14</v>
      </c>
      <c r="Y166" s="32">
        <v>55</v>
      </c>
      <c r="Z166" s="32">
        <v>0</v>
      </c>
      <c r="AA166" s="32" t="s">
        <v>481</v>
      </c>
      <c r="AB166" s="32" t="s">
        <v>296</v>
      </c>
      <c r="AC166" s="32">
        <v>495</v>
      </c>
      <c r="AD166" s="32">
        <v>1</v>
      </c>
      <c r="AE166" s="32">
        <v>55</v>
      </c>
      <c r="AF166" s="32">
        <v>1</v>
      </c>
      <c r="AG166" s="32" t="s">
        <v>276</v>
      </c>
    </row>
    <row r="167" spans="1:33" s="34" customFormat="1" x14ac:dyDescent="0.15">
      <c r="A167" s="61" t="s">
        <v>621</v>
      </c>
      <c r="B167" s="31">
        <v>111</v>
      </c>
      <c r="C167" s="24" t="s">
        <v>283</v>
      </c>
      <c r="D167" s="24" t="s">
        <v>269</v>
      </c>
      <c r="E167" s="24" t="s">
        <v>270</v>
      </c>
      <c r="F167" s="32" t="s">
        <v>488</v>
      </c>
      <c r="G167" s="32">
        <v>20</v>
      </c>
      <c r="H167" s="24" t="s">
        <v>493</v>
      </c>
      <c r="I167" s="24" t="s">
        <v>495</v>
      </c>
      <c r="J167" s="33">
        <v>4962281197052</v>
      </c>
      <c r="K167" s="24">
        <v>500</v>
      </c>
      <c r="L167" s="32">
        <v>550</v>
      </c>
      <c r="M167" s="63"/>
      <c r="N167" s="32"/>
      <c r="O167" s="32"/>
      <c r="P167" s="32"/>
      <c r="Q167" s="32"/>
      <c r="R167" s="32"/>
      <c r="S167" s="32"/>
      <c r="T167" s="32"/>
      <c r="U167" s="32"/>
      <c r="V167" s="32"/>
      <c r="W167" s="32">
        <v>91400</v>
      </c>
      <c r="X167" s="32">
        <v>14</v>
      </c>
      <c r="Y167" s="32">
        <v>110</v>
      </c>
      <c r="Z167" s="32">
        <v>0</v>
      </c>
      <c r="AA167" s="32" t="s">
        <v>481</v>
      </c>
      <c r="AB167" s="32" t="s">
        <v>296</v>
      </c>
      <c r="AC167" s="32">
        <v>440</v>
      </c>
      <c r="AD167" s="32">
        <v>1</v>
      </c>
      <c r="AE167" s="32">
        <v>110</v>
      </c>
      <c r="AF167" s="32">
        <v>1</v>
      </c>
      <c r="AG167" s="32" t="s">
        <v>276</v>
      </c>
    </row>
    <row r="168" spans="1:33" s="34" customFormat="1" x14ac:dyDescent="0.15">
      <c r="A168" s="61" t="s">
        <v>621</v>
      </c>
      <c r="B168" s="31">
        <v>111</v>
      </c>
      <c r="C168" s="24" t="s">
        <v>283</v>
      </c>
      <c r="D168" s="24" t="s">
        <v>269</v>
      </c>
      <c r="E168" s="24" t="s">
        <v>270</v>
      </c>
      <c r="F168" s="32" t="s">
        <v>488</v>
      </c>
      <c r="G168" s="32">
        <v>20</v>
      </c>
      <c r="H168" s="24" t="s">
        <v>493</v>
      </c>
      <c r="I168" s="24" t="s">
        <v>495</v>
      </c>
      <c r="J168" s="33">
        <v>4962281197052</v>
      </c>
      <c r="K168" s="24">
        <v>500</v>
      </c>
      <c r="L168" s="32">
        <v>550</v>
      </c>
      <c r="M168" s="63"/>
      <c r="N168" s="32"/>
      <c r="O168" s="32"/>
      <c r="P168" s="32"/>
      <c r="Q168" s="32"/>
      <c r="R168" s="32"/>
      <c r="S168" s="32"/>
      <c r="T168" s="32"/>
      <c r="U168" s="32"/>
      <c r="V168" s="32"/>
      <c r="W168" s="32">
        <v>91111</v>
      </c>
      <c r="X168" s="32">
        <v>0</v>
      </c>
      <c r="Y168" s="32">
        <v>-50</v>
      </c>
      <c r="Z168" s="32">
        <v>1</v>
      </c>
      <c r="AA168" s="32" t="s">
        <v>274</v>
      </c>
      <c r="AB168" s="32" t="s">
        <v>275</v>
      </c>
      <c r="AC168" s="32">
        <v>440</v>
      </c>
      <c r="AD168" s="32">
        <v>1</v>
      </c>
      <c r="AE168" s="32">
        <v>110</v>
      </c>
      <c r="AF168" s="32">
        <v>1</v>
      </c>
      <c r="AG168" s="32" t="s">
        <v>276</v>
      </c>
    </row>
    <row r="169" spans="1:33" s="34" customFormat="1" x14ac:dyDescent="0.15">
      <c r="A169" s="60" t="s">
        <v>631</v>
      </c>
      <c r="B169" s="31">
        <v>112</v>
      </c>
      <c r="C169" s="32" t="s">
        <v>269</v>
      </c>
      <c r="D169" s="32" t="s">
        <v>269</v>
      </c>
      <c r="E169" s="32" t="s">
        <v>270</v>
      </c>
      <c r="F169" s="32" t="s">
        <v>496</v>
      </c>
      <c r="G169" s="32"/>
      <c r="H169" s="32" t="s">
        <v>497</v>
      </c>
      <c r="I169" s="32" t="s">
        <v>498</v>
      </c>
      <c r="J169" s="33">
        <v>4901737831072</v>
      </c>
      <c r="K169" s="32">
        <v>500</v>
      </c>
      <c r="L169" s="32">
        <v>450</v>
      </c>
      <c r="M169" s="63"/>
      <c r="N169" s="32"/>
      <c r="O169" s="32"/>
      <c r="P169" s="32"/>
      <c r="Q169" s="32"/>
      <c r="R169" s="32"/>
      <c r="S169" s="32"/>
      <c r="T169" s="32"/>
      <c r="U169" s="32">
        <v>10</v>
      </c>
      <c r="V169" s="32"/>
      <c r="W169" s="32">
        <v>91111</v>
      </c>
      <c r="X169" s="32">
        <v>0</v>
      </c>
      <c r="Y169" s="32">
        <v>50</v>
      </c>
      <c r="Z169" s="32">
        <v>1</v>
      </c>
      <c r="AA169" s="32" t="s">
        <v>274</v>
      </c>
      <c r="AB169" s="32" t="s">
        <v>275</v>
      </c>
      <c r="AC169" s="32">
        <v>405</v>
      </c>
      <c r="AD169" s="32">
        <v>1</v>
      </c>
      <c r="AE169" s="32">
        <v>45</v>
      </c>
      <c r="AF169" s="32">
        <v>1</v>
      </c>
      <c r="AG169" s="32" t="s">
        <v>276</v>
      </c>
    </row>
    <row r="170" spans="1:33" s="34" customFormat="1" x14ac:dyDescent="0.15">
      <c r="A170" s="60" t="s">
        <v>631</v>
      </c>
      <c r="B170" s="31">
        <v>112</v>
      </c>
      <c r="C170" s="32" t="s">
        <v>269</v>
      </c>
      <c r="D170" s="32" t="s">
        <v>269</v>
      </c>
      <c r="E170" s="32" t="s">
        <v>270</v>
      </c>
      <c r="F170" s="32" t="s">
        <v>496</v>
      </c>
      <c r="G170" s="32"/>
      <c r="H170" s="32" t="s">
        <v>497</v>
      </c>
      <c r="I170" s="32" t="s">
        <v>498</v>
      </c>
      <c r="J170" s="33">
        <v>4901737831072</v>
      </c>
      <c r="K170" s="32">
        <v>500</v>
      </c>
      <c r="L170" s="32">
        <v>450</v>
      </c>
      <c r="M170" s="63"/>
      <c r="N170" s="32"/>
      <c r="O170" s="32"/>
      <c r="P170" s="32"/>
      <c r="Q170" s="32"/>
      <c r="R170" s="32"/>
      <c r="S170" s="32"/>
      <c r="T170" s="32"/>
      <c r="U170" s="32">
        <v>10</v>
      </c>
      <c r="V170" s="32"/>
      <c r="W170" s="32">
        <v>91400</v>
      </c>
      <c r="X170" s="32">
        <v>14</v>
      </c>
      <c r="Y170" s="32">
        <v>45</v>
      </c>
      <c r="Z170" s="32">
        <v>0</v>
      </c>
      <c r="AA170" s="32" t="s">
        <v>481</v>
      </c>
      <c r="AB170" s="32" t="s">
        <v>296</v>
      </c>
      <c r="AC170" s="32">
        <v>405</v>
      </c>
      <c r="AD170" s="32">
        <v>1</v>
      </c>
      <c r="AE170" s="32">
        <v>45</v>
      </c>
      <c r="AF170" s="32">
        <v>1</v>
      </c>
      <c r="AG170" s="32" t="s">
        <v>276</v>
      </c>
    </row>
    <row r="171" spans="1:33" s="34" customFormat="1" x14ac:dyDescent="0.15">
      <c r="A171" s="60" t="s">
        <v>631</v>
      </c>
      <c r="B171" s="31">
        <v>113</v>
      </c>
      <c r="C171" s="32" t="s">
        <v>279</v>
      </c>
      <c r="D171" s="32" t="s">
        <v>269</v>
      </c>
      <c r="E171" s="32" t="s">
        <v>270</v>
      </c>
      <c r="F171" s="32" t="s">
        <v>499</v>
      </c>
      <c r="G171" s="32"/>
      <c r="H171" s="32" t="s">
        <v>500</v>
      </c>
      <c r="I171" s="32" t="s">
        <v>501</v>
      </c>
      <c r="J171" s="33">
        <v>4974817021557</v>
      </c>
      <c r="K171" s="32">
        <v>500</v>
      </c>
      <c r="L171" s="32">
        <v>500</v>
      </c>
      <c r="M171" s="63"/>
      <c r="N171" s="32"/>
      <c r="O171" s="32"/>
      <c r="P171" s="32"/>
      <c r="Q171" s="32"/>
      <c r="R171" s="32"/>
      <c r="S171" s="32"/>
      <c r="T171" s="32"/>
      <c r="U171" s="32">
        <v>10</v>
      </c>
      <c r="V171" s="32"/>
      <c r="W171" s="32">
        <v>91111</v>
      </c>
      <c r="X171" s="32">
        <v>0</v>
      </c>
      <c r="Y171" s="32">
        <v>0</v>
      </c>
      <c r="Z171" s="32">
        <v>1</v>
      </c>
      <c r="AA171" s="32" t="s">
        <v>274</v>
      </c>
      <c r="AB171" s="32" t="s">
        <v>275</v>
      </c>
      <c r="AC171" s="32">
        <v>450</v>
      </c>
      <c r="AD171" s="32">
        <v>1</v>
      </c>
      <c r="AE171" s="32">
        <v>50</v>
      </c>
      <c r="AF171" s="32">
        <v>1</v>
      </c>
      <c r="AG171" s="32" t="s">
        <v>276</v>
      </c>
    </row>
    <row r="172" spans="1:33" s="34" customFormat="1" x14ac:dyDescent="0.15">
      <c r="A172" s="60" t="s">
        <v>631</v>
      </c>
      <c r="B172" s="31">
        <v>113</v>
      </c>
      <c r="C172" s="32" t="s">
        <v>279</v>
      </c>
      <c r="D172" s="32" t="s">
        <v>269</v>
      </c>
      <c r="E172" s="32" t="s">
        <v>270</v>
      </c>
      <c r="F172" s="32" t="s">
        <v>496</v>
      </c>
      <c r="G172" s="32"/>
      <c r="H172" s="32" t="s">
        <v>500</v>
      </c>
      <c r="I172" s="32" t="s">
        <v>501</v>
      </c>
      <c r="J172" s="33">
        <v>4974817021557</v>
      </c>
      <c r="K172" s="32">
        <v>500</v>
      </c>
      <c r="L172" s="32">
        <v>500</v>
      </c>
      <c r="M172" s="63"/>
      <c r="N172" s="32"/>
      <c r="O172" s="32"/>
      <c r="P172" s="32"/>
      <c r="Q172" s="32"/>
      <c r="R172" s="32"/>
      <c r="S172" s="32"/>
      <c r="T172" s="32"/>
      <c r="U172" s="32">
        <v>10</v>
      </c>
      <c r="V172" s="32"/>
      <c r="W172" s="32">
        <v>91400</v>
      </c>
      <c r="X172" s="32">
        <v>14</v>
      </c>
      <c r="Y172" s="32">
        <v>50</v>
      </c>
      <c r="Z172" s="32">
        <v>0</v>
      </c>
      <c r="AA172" s="32" t="s">
        <v>481</v>
      </c>
      <c r="AB172" s="32" t="s">
        <v>296</v>
      </c>
      <c r="AC172" s="32">
        <v>450</v>
      </c>
      <c r="AD172" s="32">
        <v>1</v>
      </c>
      <c r="AE172" s="32">
        <v>50</v>
      </c>
      <c r="AF172" s="32">
        <v>1</v>
      </c>
      <c r="AG172" s="32" t="s">
        <v>276</v>
      </c>
    </row>
    <row r="173" spans="1:33" s="34" customFormat="1" x14ac:dyDescent="0.15">
      <c r="A173" s="60" t="s">
        <v>631</v>
      </c>
      <c r="B173" s="31">
        <v>114</v>
      </c>
      <c r="C173" s="32" t="s">
        <v>283</v>
      </c>
      <c r="D173" s="32" t="s">
        <v>269</v>
      </c>
      <c r="E173" s="32" t="s">
        <v>270</v>
      </c>
      <c r="F173" s="32" t="s">
        <v>496</v>
      </c>
      <c r="G173" s="32"/>
      <c r="H173" s="32" t="s">
        <v>502</v>
      </c>
      <c r="I173" s="32" t="s">
        <v>503</v>
      </c>
      <c r="J173" s="33">
        <v>4974819901918</v>
      </c>
      <c r="K173" s="32">
        <v>500</v>
      </c>
      <c r="L173" s="32">
        <v>550</v>
      </c>
      <c r="M173" s="63"/>
      <c r="N173" s="32"/>
      <c r="O173" s="32"/>
      <c r="P173" s="32"/>
      <c r="Q173" s="32"/>
      <c r="R173" s="32"/>
      <c r="S173" s="32"/>
      <c r="T173" s="32"/>
      <c r="U173" s="32">
        <v>10</v>
      </c>
      <c r="V173" s="32"/>
      <c r="W173" s="32">
        <v>91400</v>
      </c>
      <c r="X173" s="32">
        <v>14</v>
      </c>
      <c r="Y173" s="32">
        <v>55</v>
      </c>
      <c r="Z173" s="32">
        <v>0</v>
      </c>
      <c r="AA173" s="32" t="s">
        <v>481</v>
      </c>
      <c r="AB173" s="32" t="s">
        <v>296</v>
      </c>
      <c r="AC173" s="32">
        <v>495</v>
      </c>
      <c r="AD173" s="32">
        <v>1</v>
      </c>
      <c r="AE173" s="32">
        <v>55</v>
      </c>
      <c r="AF173" s="32">
        <v>1</v>
      </c>
      <c r="AG173" s="32" t="s">
        <v>276</v>
      </c>
    </row>
    <row r="174" spans="1:33" s="34" customFormat="1" x14ac:dyDescent="0.15">
      <c r="A174" s="60" t="s">
        <v>631</v>
      </c>
      <c r="B174" s="31">
        <v>114</v>
      </c>
      <c r="C174" s="32" t="s">
        <v>283</v>
      </c>
      <c r="D174" s="32" t="s">
        <v>269</v>
      </c>
      <c r="E174" s="32" t="s">
        <v>270</v>
      </c>
      <c r="F174" s="32" t="s">
        <v>496</v>
      </c>
      <c r="G174" s="32"/>
      <c r="H174" s="32" t="s">
        <v>502</v>
      </c>
      <c r="I174" s="32" t="s">
        <v>503</v>
      </c>
      <c r="J174" s="33">
        <v>4974819901918</v>
      </c>
      <c r="K174" s="32">
        <v>500</v>
      </c>
      <c r="L174" s="32">
        <v>550</v>
      </c>
      <c r="M174" s="63"/>
      <c r="N174" s="32"/>
      <c r="O174" s="32"/>
      <c r="P174" s="32"/>
      <c r="Q174" s="32"/>
      <c r="R174" s="32"/>
      <c r="S174" s="32"/>
      <c r="T174" s="32"/>
      <c r="U174" s="32">
        <v>10</v>
      </c>
      <c r="V174" s="32"/>
      <c r="W174" s="32">
        <v>91111</v>
      </c>
      <c r="X174" s="32">
        <v>0</v>
      </c>
      <c r="Y174" s="32">
        <v>-50</v>
      </c>
      <c r="Z174" s="32">
        <v>1</v>
      </c>
      <c r="AA174" s="32" t="s">
        <v>274</v>
      </c>
      <c r="AB174" s="32" t="s">
        <v>275</v>
      </c>
      <c r="AC174" s="32">
        <v>495</v>
      </c>
      <c r="AD174" s="32">
        <v>1</v>
      </c>
      <c r="AE174" s="32">
        <v>55</v>
      </c>
      <c r="AF174" s="32">
        <v>1</v>
      </c>
      <c r="AG174" s="32" t="s">
        <v>276</v>
      </c>
    </row>
    <row r="175" spans="1:33" x14ac:dyDescent="0.15">
      <c r="A175" s="60" t="s">
        <v>632</v>
      </c>
      <c r="B175" s="23">
        <v>115</v>
      </c>
      <c r="C175" s="24" t="s">
        <v>269</v>
      </c>
      <c r="D175" s="24" t="s">
        <v>269</v>
      </c>
      <c r="E175" s="24" t="s">
        <v>270</v>
      </c>
      <c r="F175" s="24" t="s">
        <v>504</v>
      </c>
      <c r="G175" s="24"/>
      <c r="H175" s="24" t="s">
        <v>505</v>
      </c>
      <c r="I175" s="24" t="s">
        <v>506</v>
      </c>
      <c r="J175" s="29">
        <v>4975152012545</v>
      </c>
      <c r="K175" s="24">
        <v>500</v>
      </c>
      <c r="L175" s="24">
        <v>450</v>
      </c>
      <c r="M175" s="63"/>
      <c r="N175" s="24"/>
      <c r="O175" s="24"/>
      <c r="P175" s="24"/>
      <c r="Q175" s="24"/>
      <c r="R175" s="24"/>
      <c r="S175" s="24"/>
      <c r="T175" s="24"/>
      <c r="U175" s="24">
        <v>20</v>
      </c>
      <c r="V175" s="24"/>
      <c r="W175" s="24">
        <v>91400</v>
      </c>
      <c r="X175" s="24">
        <v>14</v>
      </c>
      <c r="Y175" s="24">
        <v>90</v>
      </c>
      <c r="Z175" s="24">
        <v>0</v>
      </c>
      <c r="AA175" s="24" t="s">
        <v>481</v>
      </c>
      <c r="AB175" s="24" t="s">
        <v>296</v>
      </c>
      <c r="AC175" s="24">
        <v>360</v>
      </c>
      <c r="AD175" s="24">
        <v>1</v>
      </c>
      <c r="AE175" s="24">
        <v>90</v>
      </c>
      <c r="AF175" s="24">
        <v>1</v>
      </c>
      <c r="AG175" s="24" t="s">
        <v>276</v>
      </c>
    </row>
    <row r="176" spans="1:33" x14ac:dyDescent="0.15">
      <c r="A176" s="60" t="s">
        <v>632</v>
      </c>
      <c r="B176" s="23">
        <v>115</v>
      </c>
      <c r="C176" s="24" t="s">
        <v>269</v>
      </c>
      <c r="D176" s="24" t="s">
        <v>269</v>
      </c>
      <c r="E176" s="24" t="s">
        <v>270</v>
      </c>
      <c r="F176" s="24" t="s">
        <v>507</v>
      </c>
      <c r="G176" s="24"/>
      <c r="H176" s="24" t="s">
        <v>505</v>
      </c>
      <c r="I176" s="24" t="s">
        <v>506</v>
      </c>
      <c r="J176" s="29">
        <v>4975152012545</v>
      </c>
      <c r="K176" s="24">
        <v>500</v>
      </c>
      <c r="L176" s="24">
        <v>450</v>
      </c>
      <c r="M176" s="63"/>
      <c r="N176" s="24"/>
      <c r="O176" s="24"/>
      <c r="P176" s="24"/>
      <c r="Q176" s="24"/>
      <c r="R176" s="24"/>
      <c r="S176" s="24"/>
      <c r="T176" s="24"/>
      <c r="U176" s="24">
        <v>20</v>
      </c>
      <c r="V176" s="24"/>
      <c r="W176" s="24">
        <v>91111</v>
      </c>
      <c r="X176" s="24">
        <v>0</v>
      </c>
      <c r="Y176" s="24">
        <v>50</v>
      </c>
      <c r="Z176" s="24">
        <v>1</v>
      </c>
      <c r="AA176" s="24" t="s">
        <v>274</v>
      </c>
      <c r="AB176" s="24" t="s">
        <v>275</v>
      </c>
      <c r="AC176" s="24">
        <v>360</v>
      </c>
      <c r="AD176" s="24">
        <v>1</v>
      </c>
      <c r="AE176" s="24">
        <v>90</v>
      </c>
      <c r="AF176" s="24">
        <v>1</v>
      </c>
      <c r="AG176" s="24" t="s">
        <v>276</v>
      </c>
    </row>
    <row r="177" spans="1:33" x14ac:dyDescent="0.15">
      <c r="A177" s="60" t="s">
        <v>632</v>
      </c>
      <c r="B177" s="23">
        <v>116</v>
      </c>
      <c r="C177" s="24" t="s">
        <v>279</v>
      </c>
      <c r="D177" s="24" t="s">
        <v>269</v>
      </c>
      <c r="E177" s="24" t="s">
        <v>270</v>
      </c>
      <c r="F177" s="24" t="s">
        <v>507</v>
      </c>
      <c r="G177" s="24"/>
      <c r="H177" s="24" t="s">
        <v>508</v>
      </c>
      <c r="I177" s="24" t="s">
        <v>509</v>
      </c>
      <c r="J177" s="29">
        <v>4977291325128</v>
      </c>
      <c r="K177" s="24">
        <v>500</v>
      </c>
      <c r="L177" s="24">
        <v>500</v>
      </c>
      <c r="M177" s="63"/>
      <c r="N177" s="24"/>
      <c r="O177" s="24"/>
      <c r="P177" s="24"/>
      <c r="Q177" s="24"/>
      <c r="R177" s="24"/>
      <c r="S177" s="24"/>
      <c r="T177" s="24"/>
      <c r="U177" s="24">
        <v>20</v>
      </c>
      <c r="V177" s="24"/>
      <c r="W177" s="24">
        <v>91400</v>
      </c>
      <c r="X177" s="24">
        <v>14</v>
      </c>
      <c r="Y177" s="24">
        <v>100</v>
      </c>
      <c r="Z177" s="24">
        <v>0</v>
      </c>
      <c r="AA177" s="24" t="s">
        <v>481</v>
      </c>
      <c r="AB177" s="24" t="s">
        <v>296</v>
      </c>
      <c r="AC177" s="24">
        <v>400</v>
      </c>
      <c r="AD177" s="24">
        <v>1</v>
      </c>
      <c r="AE177" s="24">
        <v>100</v>
      </c>
      <c r="AF177" s="24">
        <v>1</v>
      </c>
      <c r="AG177" s="24" t="s">
        <v>276</v>
      </c>
    </row>
    <row r="178" spans="1:33" x14ac:dyDescent="0.15">
      <c r="A178" s="60" t="s">
        <v>632</v>
      </c>
      <c r="B178" s="23">
        <v>116</v>
      </c>
      <c r="C178" s="24" t="s">
        <v>279</v>
      </c>
      <c r="D178" s="24" t="s">
        <v>269</v>
      </c>
      <c r="E178" s="24" t="s">
        <v>270</v>
      </c>
      <c r="F178" s="24" t="s">
        <v>507</v>
      </c>
      <c r="G178" s="24"/>
      <c r="H178" s="24" t="s">
        <v>508</v>
      </c>
      <c r="I178" s="24" t="s">
        <v>509</v>
      </c>
      <c r="J178" s="29">
        <v>4977291325128</v>
      </c>
      <c r="K178" s="24">
        <v>500</v>
      </c>
      <c r="L178" s="24">
        <v>500</v>
      </c>
      <c r="M178" s="63"/>
      <c r="N178" s="24"/>
      <c r="O178" s="24"/>
      <c r="P178" s="24"/>
      <c r="Q178" s="24"/>
      <c r="R178" s="24"/>
      <c r="S178" s="24"/>
      <c r="T178" s="24"/>
      <c r="U178" s="24">
        <v>20</v>
      </c>
      <c r="V178" s="24"/>
      <c r="W178" s="24">
        <v>91111</v>
      </c>
      <c r="X178" s="24">
        <v>0</v>
      </c>
      <c r="Y178" s="24">
        <v>0</v>
      </c>
      <c r="Z178" s="24">
        <v>1</v>
      </c>
      <c r="AA178" s="24" t="s">
        <v>274</v>
      </c>
      <c r="AB178" s="24" t="s">
        <v>275</v>
      </c>
      <c r="AC178" s="24">
        <v>400</v>
      </c>
      <c r="AD178" s="24">
        <v>1</v>
      </c>
      <c r="AE178" s="24">
        <v>100</v>
      </c>
      <c r="AF178" s="24">
        <v>1</v>
      </c>
      <c r="AG178" s="24" t="s">
        <v>276</v>
      </c>
    </row>
    <row r="179" spans="1:33" x14ac:dyDescent="0.15">
      <c r="A179" s="60" t="s">
        <v>632</v>
      </c>
      <c r="B179" s="23">
        <v>117</v>
      </c>
      <c r="C179" s="24" t="s">
        <v>283</v>
      </c>
      <c r="D179" s="24" t="s">
        <v>269</v>
      </c>
      <c r="E179" s="24" t="s">
        <v>270</v>
      </c>
      <c r="F179" s="24" t="s">
        <v>507</v>
      </c>
      <c r="G179" s="24"/>
      <c r="H179" s="24" t="s">
        <v>510</v>
      </c>
      <c r="I179" s="24" t="s">
        <v>511</v>
      </c>
      <c r="J179" s="29">
        <v>4946908001274</v>
      </c>
      <c r="K179" s="24">
        <v>500</v>
      </c>
      <c r="L179" s="24">
        <v>550</v>
      </c>
      <c r="M179" s="63"/>
      <c r="N179" s="24"/>
      <c r="O179" s="24"/>
      <c r="P179" s="24"/>
      <c r="Q179" s="24"/>
      <c r="R179" s="24"/>
      <c r="S179" s="24"/>
      <c r="T179" s="24"/>
      <c r="U179" s="24">
        <v>20</v>
      </c>
      <c r="V179" s="24"/>
      <c r="W179" s="24">
        <v>91111</v>
      </c>
      <c r="X179" s="24">
        <v>0</v>
      </c>
      <c r="Y179" s="24">
        <v>-50</v>
      </c>
      <c r="Z179" s="24">
        <v>1</v>
      </c>
      <c r="AA179" s="24" t="s">
        <v>274</v>
      </c>
      <c r="AB179" s="24" t="s">
        <v>275</v>
      </c>
      <c r="AC179" s="24">
        <v>440</v>
      </c>
      <c r="AD179" s="24">
        <v>1</v>
      </c>
      <c r="AE179" s="24">
        <v>110</v>
      </c>
      <c r="AF179" s="24">
        <v>1</v>
      </c>
      <c r="AG179" s="24" t="s">
        <v>276</v>
      </c>
    </row>
    <row r="180" spans="1:33" x14ac:dyDescent="0.15">
      <c r="A180" s="60" t="s">
        <v>632</v>
      </c>
      <c r="B180" s="23">
        <v>117</v>
      </c>
      <c r="C180" s="24" t="s">
        <v>283</v>
      </c>
      <c r="D180" s="24" t="s">
        <v>269</v>
      </c>
      <c r="E180" s="24" t="s">
        <v>270</v>
      </c>
      <c r="F180" s="24" t="s">
        <v>507</v>
      </c>
      <c r="G180" s="24"/>
      <c r="H180" s="24" t="s">
        <v>510</v>
      </c>
      <c r="I180" s="24" t="s">
        <v>511</v>
      </c>
      <c r="J180" s="29">
        <v>4946908001274</v>
      </c>
      <c r="K180" s="24">
        <v>500</v>
      </c>
      <c r="L180" s="24">
        <v>550</v>
      </c>
      <c r="M180" s="63"/>
      <c r="N180" s="24"/>
      <c r="O180" s="24"/>
      <c r="P180" s="24"/>
      <c r="Q180" s="24"/>
      <c r="R180" s="24"/>
      <c r="S180" s="24"/>
      <c r="T180" s="24"/>
      <c r="U180" s="24">
        <v>20</v>
      </c>
      <c r="V180" s="24"/>
      <c r="W180" s="24">
        <v>91400</v>
      </c>
      <c r="X180" s="24">
        <v>14</v>
      </c>
      <c r="Y180" s="24">
        <v>110</v>
      </c>
      <c r="Z180" s="24">
        <v>0</v>
      </c>
      <c r="AA180" s="24" t="s">
        <v>481</v>
      </c>
      <c r="AB180" s="24" t="s">
        <v>296</v>
      </c>
      <c r="AC180" s="24">
        <v>440</v>
      </c>
      <c r="AD180" s="24">
        <v>1</v>
      </c>
      <c r="AE180" s="24">
        <v>110</v>
      </c>
      <c r="AF180" s="24">
        <v>1</v>
      </c>
      <c r="AG180" s="24" t="s">
        <v>276</v>
      </c>
    </row>
    <row r="181" spans="1:33" x14ac:dyDescent="0.15">
      <c r="A181" s="60" t="s">
        <v>633</v>
      </c>
      <c r="B181" s="23">
        <v>118</v>
      </c>
      <c r="C181" s="24" t="s">
        <v>269</v>
      </c>
      <c r="D181" s="24" t="s">
        <v>269</v>
      </c>
      <c r="E181" s="24" t="s">
        <v>270</v>
      </c>
      <c r="F181" s="24" t="s">
        <v>512</v>
      </c>
      <c r="G181" s="24"/>
      <c r="H181" s="24" t="s">
        <v>513</v>
      </c>
      <c r="I181" s="24" t="s">
        <v>514</v>
      </c>
      <c r="J181" s="29">
        <v>4901592917775</v>
      </c>
      <c r="K181" s="24">
        <v>500</v>
      </c>
      <c r="L181" s="24">
        <v>450</v>
      </c>
      <c r="M181" s="63"/>
      <c r="N181" s="24"/>
      <c r="O181" s="24"/>
      <c r="P181" s="24"/>
      <c r="Q181" s="24"/>
      <c r="R181" s="24"/>
      <c r="S181" s="24"/>
      <c r="T181" s="24"/>
      <c r="U181" s="24">
        <v>5</v>
      </c>
      <c r="V181" s="24"/>
      <c r="W181" s="24">
        <v>91111</v>
      </c>
      <c r="X181" s="24">
        <v>0</v>
      </c>
      <c r="Y181" s="24">
        <v>50</v>
      </c>
      <c r="Z181" s="24">
        <v>1</v>
      </c>
      <c r="AA181" s="24" t="s">
        <v>274</v>
      </c>
      <c r="AB181" s="24" t="s">
        <v>275</v>
      </c>
      <c r="AC181" s="24">
        <v>428</v>
      </c>
      <c r="AD181" s="24">
        <v>1</v>
      </c>
      <c r="AE181" s="24">
        <v>22</v>
      </c>
      <c r="AF181" s="24">
        <v>1</v>
      </c>
      <c r="AG181" s="24" t="s">
        <v>276</v>
      </c>
    </row>
    <row r="182" spans="1:33" x14ac:dyDescent="0.15">
      <c r="A182" s="60" t="s">
        <v>633</v>
      </c>
      <c r="B182" s="23">
        <v>118</v>
      </c>
      <c r="C182" s="24" t="s">
        <v>269</v>
      </c>
      <c r="D182" s="24" t="s">
        <v>269</v>
      </c>
      <c r="E182" s="24" t="s">
        <v>270</v>
      </c>
      <c r="F182" s="24" t="s">
        <v>515</v>
      </c>
      <c r="G182" s="24"/>
      <c r="H182" s="24" t="s">
        <v>513</v>
      </c>
      <c r="I182" s="24" t="s">
        <v>514</v>
      </c>
      <c r="J182" s="29">
        <v>4901592917775</v>
      </c>
      <c r="K182" s="24">
        <v>500</v>
      </c>
      <c r="L182" s="24">
        <v>450</v>
      </c>
      <c r="M182" s="63"/>
      <c r="N182" s="24"/>
      <c r="O182" s="24"/>
      <c r="P182" s="24"/>
      <c r="Q182" s="24"/>
      <c r="R182" s="24"/>
      <c r="S182" s="24"/>
      <c r="T182" s="24"/>
      <c r="U182" s="24">
        <v>5</v>
      </c>
      <c r="V182" s="24"/>
      <c r="W182" s="24">
        <v>91400</v>
      </c>
      <c r="X182" s="24">
        <v>14</v>
      </c>
      <c r="Y182" s="24">
        <v>22</v>
      </c>
      <c r="Z182" s="24">
        <v>0</v>
      </c>
      <c r="AA182" s="24" t="s">
        <v>481</v>
      </c>
      <c r="AB182" s="24" t="s">
        <v>296</v>
      </c>
      <c r="AC182" s="24">
        <v>428</v>
      </c>
      <c r="AD182" s="24">
        <v>1</v>
      </c>
      <c r="AE182" s="24">
        <v>22</v>
      </c>
      <c r="AF182" s="24">
        <v>1</v>
      </c>
      <c r="AG182" s="24" t="s">
        <v>276</v>
      </c>
    </row>
    <row r="183" spans="1:33" x14ac:dyDescent="0.15">
      <c r="A183" s="60" t="s">
        <v>633</v>
      </c>
      <c r="B183" s="23">
        <v>119</v>
      </c>
      <c r="C183" s="24" t="s">
        <v>279</v>
      </c>
      <c r="D183" s="24" t="s">
        <v>269</v>
      </c>
      <c r="E183" s="24" t="s">
        <v>270</v>
      </c>
      <c r="F183" s="24" t="s">
        <v>515</v>
      </c>
      <c r="G183" s="24"/>
      <c r="H183" s="24" t="s">
        <v>516</v>
      </c>
      <c r="I183" s="24" t="s">
        <v>517</v>
      </c>
      <c r="J183" s="29">
        <v>4969766111435</v>
      </c>
      <c r="K183" s="24">
        <v>500</v>
      </c>
      <c r="L183" s="24">
        <v>500</v>
      </c>
      <c r="M183" s="63"/>
      <c r="N183" s="24"/>
      <c r="O183" s="24"/>
      <c r="P183" s="24"/>
      <c r="Q183" s="24"/>
      <c r="R183" s="24"/>
      <c r="S183" s="24"/>
      <c r="T183" s="24"/>
      <c r="U183" s="24">
        <v>5</v>
      </c>
      <c r="V183" s="24"/>
      <c r="W183" s="24">
        <v>91400</v>
      </c>
      <c r="X183" s="24">
        <v>14</v>
      </c>
      <c r="Y183" s="24">
        <v>25</v>
      </c>
      <c r="Z183" s="24">
        <v>0</v>
      </c>
      <c r="AA183" s="24" t="s">
        <v>481</v>
      </c>
      <c r="AB183" s="24" t="s">
        <v>296</v>
      </c>
      <c r="AC183" s="24">
        <v>475</v>
      </c>
      <c r="AD183" s="24">
        <v>1</v>
      </c>
      <c r="AE183" s="24">
        <v>25</v>
      </c>
      <c r="AF183" s="24">
        <v>1</v>
      </c>
      <c r="AG183" s="24" t="s">
        <v>276</v>
      </c>
    </row>
    <row r="184" spans="1:33" x14ac:dyDescent="0.15">
      <c r="A184" s="60" t="s">
        <v>633</v>
      </c>
      <c r="B184" s="23">
        <v>119</v>
      </c>
      <c r="C184" s="24" t="s">
        <v>279</v>
      </c>
      <c r="D184" s="24" t="s">
        <v>269</v>
      </c>
      <c r="E184" s="24" t="s">
        <v>270</v>
      </c>
      <c r="F184" s="24" t="s">
        <v>515</v>
      </c>
      <c r="G184" s="24"/>
      <c r="H184" s="24" t="s">
        <v>516</v>
      </c>
      <c r="I184" s="24" t="s">
        <v>517</v>
      </c>
      <c r="J184" s="29">
        <v>4969766111435</v>
      </c>
      <c r="K184" s="24">
        <v>500</v>
      </c>
      <c r="L184" s="24">
        <v>500</v>
      </c>
      <c r="M184" s="63"/>
      <c r="N184" s="24"/>
      <c r="O184" s="24"/>
      <c r="P184" s="24"/>
      <c r="Q184" s="24"/>
      <c r="R184" s="24"/>
      <c r="S184" s="24"/>
      <c r="T184" s="24"/>
      <c r="U184" s="24">
        <v>5</v>
      </c>
      <c r="V184" s="24"/>
      <c r="W184" s="24">
        <v>91111</v>
      </c>
      <c r="X184" s="24">
        <v>0</v>
      </c>
      <c r="Y184" s="24">
        <v>0</v>
      </c>
      <c r="Z184" s="24">
        <v>1</v>
      </c>
      <c r="AA184" s="24" t="s">
        <v>274</v>
      </c>
      <c r="AB184" s="24" t="s">
        <v>275</v>
      </c>
      <c r="AC184" s="24">
        <v>475</v>
      </c>
      <c r="AD184" s="24">
        <v>1</v>
      </c>
      <c r="AE184" s="24">
        <v>25</v>
      </c>
      <c r="AF184" s="24">
        <v>1</v>
      </c>
      <c r="AG184" s="24" t="s">
        <v>276</v>
      </c>
    </row>
    <row r="185" spans="1:33" x14ac:dyDescent="0.15">
      <c r="A185" s="60" t="s">
        <v>633</v>
      </c>
      <c r="B185" s="23">
        <v>120</v>
      </c>
      <c r="C185" s="24" t="s">
        <v>283</v>
      </c>
      <c r="D185" s="24" t="s">
        <v>269</v>
      </c>
      <c r="E185" s="24" t="s">
        <v>270</v>
      </c>
      <c r="F185" s="24" t="s">
        <v>515</v>
      </c>
      <c r="G185" s="24"/>
      <c r="H185" s="24" t="s">
        <v>518</v>
      </c>
      <c r="I185" s="24" t="s">
        <v>519</v>
      </c>
      <c r="J185" s="29">
        <v>4902150362259</v>
      </c>
      <c r="K185" s="24">
        <v>500</v>
      </c>
      <c r="L185" s="24">
        <v>550</v>
      </c>
      <c r="M185" s="63"/>
      <c r="N185" s="24"/>
      <c r="O185" s="24"/>
      <c r="P185" s="24"/>
      <c r="Q185" s="24"/>
      <c r="R185" s="24"/>
      <c r="S185" s="24"/>
      <c r="T185" s="24"/>
      <c r="U185" s="24">
        <v>5</v>
      </c>
      <c r="V185" s="24"/>
      <c r="W185" s="24">
        <v>91400</v>
      </c>
      <c r="X185" s="24">
        <v>14</v>
      </c>
      <c r="Y185" s="24">
        <v>28</v>
      </c>
      <c r="Z185" s="24">
        <v>0</v>
      </c>
      <c r="AA185" s="24" t="s">
        <v>481</v>
      </c>
      <c r="AB185" s="24" t="s">
        <v>296</v>
      </c>
      <c r="AC185" s="24">
        <v>522</v>
      </c>
      <c r="AD185" s="24">
        <v>1</v>
      </c>
      <c r="AE185" s="24">
        <v>28</v>
      </c>
      <c r="AF185" s="24">
        <v>1</v>
      </c>
      <c r="AG185" s="24" t="s">
        <v>276</v>
      </c>
    </row>
    <row r="186" spans="1:33" x14ac:dyDescent="0.15">
      <c r="A186" s="60" t="s">
        <v>633</v>
      </c>
      <c r="B186" s="23">
        <v>120</v>
      </c>
      <c r="C186" s="24" t="s">
        <v>283</v>
      </c>
      <c r="D186" s="24" t="s">
        <v>269</v>
      </c>
      <c r="E186" s="24" t="s">
        <v>270</v>
      </c>
      <c r="F186" s="24" t="s">
        <v>515</v>
      </c>
      <c r="G186" s="24"/>
      <c r="H186" s="24" t="s">
        <v>518</v>
      </c>
      <c r="I186" s="24" t="s">
        <v>519</v>
      </c>
      <c r="J186" s="29">
        <v>4902150362259</v>
      </c>
      <c r="K186" s="24">
        <v>500</v>
      </c>
      <c r="L186" s="24">
        <v>550</v>
      </c>
      <c r="M186" s="63"/>
      <c r="N186" s="24"/>
      <c r="O186" s="24"/>
      <c r="P186" s="24"/>
      <c r="Q186" s="24"/>
      <c r="R186" s="24"/>
      <c r="S186" s="24"/>
      <c r="T186" s="24"/>
      <c r="U186" s="24">
        <v>5</v>
      </c>
      <c r="V186" s="24"/>
      <c r="W186" s="24">
        <v>91111</v>
      </c>
      <c r="X186" s="24">
        <v>0</v>
      </c>
      <c r="Y186" s="24">
        <v>-50</v>
      </c>
      <c r="Z186" s="24">
        <v>1</v>
      </c>
      <c r="AA186" s="24" t="s">
        <v>274</v>
      </c>
      <c r="AB186" s="24" t="s">
        <v>275</v>
      </c>
      <c r="AC186" s="24">
        <v>522</v>
      </c>
      <c r="AD186" s="24">
        <v>1</v>
      </c>
      <c r="AE186" s="24">
        <v>28</v>
      </c>
      <c r="AF186" s="24">
        <v>1</v>
      </c>
      <c r="AG186" s="24" t="s">
        <v>276</v>
      </c>
    </row>
    <row r="187" spans="1:33" x14ac:dyDescent="0.4">
      <c r="J187" s="30"/>
    </row>
    <row r="188" spans="1:33" x14ac:dyDescent="0.4">
      <c r="J188" s="30"/>
    </row>
    <row r="189" spans="1:33" x14ac:dyDescent="0.4">
      <c r="J189" s="30"/>
    </row>
    <row r="190" spans="1:33" x14ac:dyDescent="0.4">
      <c r="J190" s="30"/>
    </row>
    <row r="191" spans="1:33" x14ac:dyDescent="0.4">
      <c r="J191" s="30"/>
    </row>
    <row r="192" spans="1:33" x14ac:dyDescent="0.4">
      <c r="J192" s="30"/>
    </row>
    <row r="193" spans="10:10" x14ac:dyDescent="0.4">
      <c r="J193" s="30"/>
    </row>
    <row r="194" spans="10:10" x14ac:dyDescent="0.4">
      <c r="J194" s="30"/>
    </row>
    <row r="195" spans="10:10" x14ac:dyDescent="0.4">
      <c r="J195" s="30"/>
    </row>
    <row r="196" spans="10:10" x14ac:dyDescent="0.4">
      <c r="J196" s="30"/>
    </row>
    <row r="197" spans="10:10" x14ac:dyDescent="0.4">
      <c r="J197" s="30"/>
    </row>
    <row r="198" spans="10:10" x14ac:dyDescent="0.4">
      <c r="J198" s="30"/>
    </row>
    <row r="199" spans="10:10" x14ac:dyDescent="0.4">
      <c r="J199" s="30"/>
    </row>
    <row r="200" spans="10:10" x14ac:dyDescent="0.4">
      <c r="J200" s="30"/>
    </row>
    <row r="201" spans="10:10" x14ac:dyDescent="0.4">
      <c r="J201" s="30"/>
    </row>
    <row r="202" spans="10:10" x14ac:dyDescent="0.4">
      <c r="J202" s="30"/>
    </row>
    <row r="203" spans="10:10" x14ac:dyDescent="0.4">
      <c r="J203" s="30"/>
    </row>
    <row r="204" spans="10:10" x14ac:dyDescent="0.4">
      <c r="J204" s="30"/>
    </row>
    <row r="205" spans="10:10" x14ac:dyDescent="0.4">
      <c r="J205" s="30"/>
    </row>
    <row r="206" spans="10:10" x14ac:dyDescent="0.4">
      <c r="J206" s="30"/>
    </row>
    <row r="207" spans="10:10" x14ac:dyDescent="0.4">
      <c r="J207" s="30"/>
    </row>
    <row r="208" spans="10:10" x14ac:dyDescent="0.4">
      <c r="J208" s="30"/>
    </row>
    <row r="209" spans="10:10" x14ac:dyDescent="0.4">
      <c r="J209" s="30"/>
    </row>
    <row r="210" spans="10:10" x14ac:dyDescent="0.4">
      <c r="J210" s="30"/>
    </row>
    <row r="211" spans="10:10" x14ac:dyDescent="0.4">
      <c r="J211" s="30"/>
    </row>
    <row r="212" spans="10:10" x14ac:dyDescent="0.4">
      <c r="J212" s="30"/>
    </row>
    <row r="213" spans="10:10" x14ac:dyDescent="0.4">
      <c r="J213" s="30"/>
    </row>
    <row r="214" spans="10:10" x14ac:dyDescent="0.4">
      <c r="J214" s="30"/>
    </row>
    <row r="215" spans="10:10" x14ac:dyDescent="0.4">
      <c r="J215" s="30"/>
    </row>
    <row r="216" spans="10:10" x14ac:dyDescent="0.4">
      <c r="J216" s="30"/>
    </row>
    <row r="217" spans="10:10" x14ac:dyDescent="0.4">
      <c r="J217" s="30"/>
    </row>
    <row r="218" spans="10:10" x14ac:dyDescent="0.4">
      <c r="J218" s="30"/>
    </row>
    <row r="219" spans="10:10" x14ac:dyDescent="0.4">
      <c r="J219" s="30"/>
    </row>
    <row r="220" spans="10:10" x14ac:dyDescent="0.4">
      <c r="J220" s="30"/>
    </row>
    <row r="221" spans="10:10" x14ac:dyDescent="0.4">
      <c r="J221" s="30"/>
    </row>
    <row r="222" spans="10:10" x14ac:dyDescent="0.4">
      <c r="J222" s="30"/>
    </row>
    <row r="223" spans="10:10" x14ac:dyDescent="0.4">
      <c r="J223" s="30"/>
    </row>
    <row r="224" spans="10:10" x14ac:dyDescent="0.4">
      <c r="J224" s="30"/>
    </row>
    <row r="225" spans="10:10" x14ac:dyDescent="0.4">
      <c r="J225" s="30"/>
    </row>
    <row r="226" spans="10:10" x14ac:dyDescent="0.4">
      <c r="J226" s="30"/>
    </row>
    <row r="227" spans="10:10" x14ac:dyDescent="0.4">
      <c r="J227" s="30"/>
    </row>
    <row r="228" spans="10:10" x14ac:dyDescent="0.4">
      <c r="J228" s="30"/>
    </row>
    <row r="229" spans="10:10" x14ac:dyDescent="0.4">
      <c r="J229" s="30"/>
    </row>
    <row r="230" spans="10:10" x14ac:dyDescent="0.4">
      <c r="J230" s="30"/>
    </row>
    <row r="231" spans="10:10" x14ac:dyDescent="0.4">
      <c r="J231" s="30"/>
    </row>
    <row r="232" spans="10:10" x14ac:dyDescent="0.4">
      <c r="J232" s="30"/>
    </row>
    <row r="233" spans="10:10" x14ac:dyDescent="0.4">
      <c r="J233" s="30"/>
    </row>
    <row r="234" spans="10:10" x14ac:dyDescent="0.4">
      <c r="J234" s="30"/>
    </row>
    <row r="235" spans="10:10" x14ac:dyDescent="0.4">
      <c r="J235" s="30"/>
    </row>
    <row r="236" spans="10:10" x14ac:dyDescent="0.4">
      <c r="J236" s="30"/>
    </row>
    <row r="237" spans="10:10" x14ac:dyDescent="0.4">
      <c r="J237" s="30"/>
    </row>
    <row r="238" spans="10:10" x14ac:dyDescent="0.4">
      <c r="J238" s="30"/>
    </row>
    <row r="239" spans="10:10" x14ac:dyDescent="0.4">
      <c r="J239" s="30"/>
    </row>
    <row r="240" spans="10:10" x14ac:dyDescent="0.4">
      <c r="J240" s="30"/>
    </row>
    <row r="241" spans="10:10" x14ac:dyDescent="0.4">
      <c r="J241" s="30"/>
    </row>
    <row r="242" spans="10:10" x14ac:dyDescent="0.4">
      <c r="J242" s="30"/>
    </row>
    <row r="243" spans="10:10" x14ac:dyDescent="0.4">
      <c r="J243" s="30"/>
    </row>
    <row r="244" spans="10:10" x14ac:dyDescent="0.4">
      <c r="J244" s="30"/>
    </row>
    <row r="245" spans="10:10" x14ac:dyDescent="0.4">
      <c r="J245" s="30"/>
    </row>
    <row r="246" spans="10:10" x14ac:dyDescent="0.4">
      <c r="J246" s="30"/>
    </row>
    <row r="247" spans="10:10" x14ac:dyDescent="0.4">
      <c r="J247" s="30"/>
    </row>
    <row r="248" spans="10:10" x14ac:dyDescent="0.4">
      <c r="J248" s="30"/>
    </row>
    <row r="249" spans="10:10" x14ac:dyDescent="0.4">
      <c r="J249" s="30"/>
    </row>
    <row r="250" spans="10:10" x14ac:dyDescent="0.4">
      <c r="J250" s="30"/>
    </row>
    <row r="251" spans="10:10" x14ac:dyDescent="0.4">
      <c r="J251" s="30"/>
    </row>
    <row r="252" spans="10:10" x14ac:dyDescent="0.4">
      <c r="J252" s="30"/>
    </row>
    <row r="253" spans="10:10" x14ac:dyDescent="0.4">
      <c r="J253" s="30"/>
    </row>
    <row r="254" spans="10:10" x14ac:dyDescent="0.4">
      <c r="J254" s="30"/>
    </row>
    <row r="255" spans="10:10" x14ac:dyDescent="0.4">
      <c r="J255" s="30"/>
    </row>
    <row r="256" spans="10:10" x14ac:dyDescent="0.4">
      <c r="J256" s="30"/>
    </row>
    <row r="257" spans="10:10" x14ac:dyDescent="0.4">
      <c r="J257" s="30"/>
    </row>
    <row r="258" spans="10:10" x14ac:dyDescent="0.4">
      <c r="J258" s="30"/>
    </row>
    <row r="259" spans="10:10" x14ac:dyDescent="0.4">
      <c r="J259" s="30"/>
    </row>
    <row r="260" spans="10:10" x14ac:dyDescent="0.4">
      <c r="J260" s="30"/>
    </row>
    <row r="261" spans="10:10" x14ac:dyDescent="0.4">
      <c r="J261" s="30"/>
    </row>
    <row r="262" spans="10:10" x14ac:dyDescent="0.4">
      <c r="J262" s="30"/>
    </row>
    <row r="263" spans="10:10" x14ac:dyDescent="0.4">
      <c r="J263" s="30"/>
    </row>
    <row r="264" spans="10:10" x14ac:dyDescent="0.4">
      <c r="J264" s="30"/>
    </row>
    <row r="265" spans="10:10" x14ac:dyDescent="0.4">
      <c r="J265" s="30"/>
    </row>
    <row r="266" spans="10:10" x14ac:dyDescent="0.4">
      <c r="J266" s="30"/>
    </row>
    <row r="267" spans="10:10" x14ac:dyDescent="0.4">
      <c r="J267" s="30"/>
    </row>
    <row r="268" spans="10:10" x14ac:dyDescent="0.4">
      <c r="J268" s="30"/>
    </row>
    <row r="269" spans="10:10" x14ac:dyDescent="0.4">
      <c r="J269" s="30"/>
    </row>
    <row r="270" spans="10:10" x14ac:dyDescent="0.4">
      <c r="J270" s="30"/>
    </row>
    <row r="271" spans="10:10" x14ac:dyDescent="0.4">
      <c r="J271" s="30"/>
    </row>
    <row r="272" spans="10:10" x14ac:dyDescent="0.4">
      <c r="J272" s="30"/>
    </row>
    <row r="273" spans="10:10" x14ac:dyDescent="0.4">
      <c r="J273" s="30"/>
    </row>
    <row r="274" spans="10:10" x14ac:dyDescent="0.4">
      <c r="J274" s="30"/>
    </row>
    <row r="275" spans="10:10" x14ac:dyDescent="0.4">
      <c r="J275" s="30"/>
    </row>
    <row r="276" spans="10:10" x14ac:dyDescent="0.4">
      <c r="J276" s="30"/>
    </row>
    <row r="277" spans="10:10" x14ac:dyDescent="0.4">
      <c r="J277" s="30"/>
    </row>
    <row r="278" spans="10:10" x14ac:dyDescent="0.4">
      <c r="J278" s="30"/>
    </row>
    <row r="279" spans="10:10" x14ac:dyDescent="0.4">
      <c r="J279" s="30"/>
    </row>
    <row r="280" spans="10:10" x14ac:dyDescent="0.4">
      <c r="J280" s="30"/>
    </row>
    <row r="281" spans="10:10" x14ac:dyDescent="0.4">
      <c r="J281" s="30"/>
    </row>
    <row r="282" spans="10:10" x14ac:dyDescent="0.4">
      <c r="J282" s="30"/>
    </row>
    <row r="283" spans="10:10" x14ac:dyDescent="0.4">
      <c r="J283" s="30"/>
    </row>
    <row r="284" spans="10:10" x14ac:dyDescent="0.4">
      <c r="J284" s="30"/>
    </row>
    <row r="285" spans="10:10" x14ac:dyDescent="0.4">
      <c r="J285" s="30"/>
    </row>
    <row r="286" spans="10:10" x14ac:dyDescent="0.4">
      <c r="J286" s="30"/>
    </row>
    <row r="287" spans="10:10" x14ac:dyDescent="0.4">
      <c r="J287" s="30"/>
    </row>
    <row r="288" spans="10:10" x14ac:dyDescent="0.4">
      <c r="J288" s="30"/>
    </row>
    <row r="289" spans="10:10" x14ac:dyDescent="0.4">
      <c r="J289" s="30"/>
    </row>
    <row r="290" spans="10:10" x14ac:dyDescent="0.4">
      <c r="J290" s="30"/>
    </row>
    <row r="291" spans="10:10" x14ac:dyDescent="0.4">
      <c r="J291" s="30"/>
    </row>
    <row r="292" spans="10:10" x14ac:dyDescent="0.4">
      <c r="J292" s="30"/>
    </row>
    <row r="293" spans="10:10" x14ac:dyDescent="0.4">
      <c r="J293" s="30"/>
    </row>
    <row r="294" spans="10:10" x14ac:dyDescent="0.4">
      <c r="J294" s="30"/>
    </row>
    <row r="295" spans="10:10" x14ac:dyDescent="0.4">
      <c r="J295" s="30"/>
    </row>
    <row r="296" spans="10:10" x14ac:dyDescent="0.4">
      <c r="J296" s="30"/>
    </row>
    <row r="297" spans="10:10" x14ac:dyDescent="0.4">
      <c r="J297" s="30"/>
    </row>
    <row r="298" spans="10:10" x14ac:dyDescent="0.4">
      <c r="J298" s="30"/>
    </row>
    <row r="299" spans="10:10" x14ac:dyDescent="0.4">
      <c r="J299" s="30"/>
    </row>
    <row r="300" spans="10:10" x14ac:dyDescent="0.4">
      <c r="J300" s="30"/>
    </row>
    <row r="301" spans="10:10" x14ac:dyDescent="0.4">
      <c r="J301" s="30"/>
    </row>
    <row r="302" spans="10:10" x14ac:dyDescent="0.4">
      <c r="J302" s="30"/>
    </row>
    <row r="303" spans="10:10" x14ac:dyDescent="0.4">
      <c r="J303" s="30"/>
    </row>
    <row r="304" spans="10:10" x14ac:dyDescent="0.4">
      <c r="J304" s="30"/>
    </row>
    <row r="305" spans="10:10" x14ac:dyDescent="0.4">
      <c r="J305" s="30"/>
    </row>
    <row r="306" spans="10:10" x14ac:dyDescent="0.4">
      <c r="J306" s="30"/>
    </row>
    <row r="307" spans="10:10" x14ac:dyDescent="0.4">
      <c r="J307" s="30"/>
    </row>
    <row r="308" spans="10:10" x14ac:dyDescent="0.4">
      <c r="J308" s="30"/>
    </row>
    <row r="309" spans="10:10" x14ac:dyDescent="0.4">
      <c r="J309" s="30"/>
    </row>
    <row r="310" spans="10:10" x14ac:dyDescent="0.4">
      <c r="J310" s="30"/>
    </row>
    <row r="311" spans="10:10" x14ac:dyDescent="0.4">
      <c r="J311" s="30"/>
    </row>
    <row r="312" spans="10:10" x14ac:dyDescent="0.4">
      <c r="J312" s="30"/>
    </row>
    <row r="313" spans="10:10" x14ac:dyDescent="0.4">
      <c r="J313" s="30"/>
    </row>
    <row r="314" spans="10:10" x14ac:dyDescent="0.4">
      <c r="J314" s="30"/>
    </row>
    <row r="315" spans="10:10" x14ac:dyDescent="0.4">
      <c r="J315" s="30"/>
    </row>
    <row r="316" spans="10:10" x14ac:dyDescent="0.4">
      <c r="J316" s="30"/>
    </row>
    <row r="317" spans="10:10" x14ac:dyDescent="0.4">
      <c r="J317" s="30"/>
    </row>
    <row r="318" spans="10:10" x14ac:dyDescent="0.4">
      <c r="J318" s="30"/>
    </row>
    <row r="319" spans="10:10" x14ac:dyDescent="0.4">
      <c r="J319" s="30"/>
    </row>
    <row r="320" spans="10:10" x14ac:dyDescent="0.4">
      <c r="J320" s="30"/>
    </row>
    <row r="321" spans="10:10" x14ac:dyDescent="0.4">
      <c r="J321" s="30"/>
    </row>
    <row r="322" spans="10:10" x14ac:dyDescent="0.4">
      <c r="J322" s="30"/>
    </row>
    <row r="323" spans="10:10" x14ac:dyDescent="0.4">
      <c r="J323" s="30"/>
    </row>
    <row r="324" spans="10:10" x14ac:dyDescent="0.4">
      <c r="J324" s="30"/>
    </row>
    <row r="325" spans="10:10" x14ac:dyDescent="0.4">
      <c r="J325" s="30"/>
    </row>
    <row r="326" spans="10:10" x14ac:dyDescent="0.4">
      <c r="J326" s="30"/>
    </row>
    <row r="327" spans="10:10" x14ac:dyDescent="0.4">
      <c r="J327" s="30"/>
    </row>
    <row r="328" spans="10:10" x14ac:dyDescent="0.4">
      <c r="J328" s="30"/>
    </row>
    <row r="329" spans="10:10" x14ac:dyDescent="0.4">
      <c r="J329" s="30"/>
    </row>
    <row r="330" spans="10:10" x14ac:dyDescent="0.4">
      <c r="J330" s="30"/>
    </row>
    <row r="331" spans="10:10" x14ac:dyDescent="0.4">
      <c r="J331" s="30"/>
    </row>
    <row r="332" spans="10:10" x14ac:dyDescent="0.4">
      <c r="J332" s="30"/>
    </row>
    <row r="333" spans="10:10" x14ac:dyDescent="0.4">
      <c r="J333" s="30"/>
    </row>
    <row r="334" spans="10:10" x14ac:dyDescent="0.4">
      <c r="J334" s="30"/>
    </row>
    <row r="335" spans="10:10" x14ac:dyDescent="0.4">
      <c r="J335" s="30"/>
    </row>
    <row r="336" spans="10:10" x14ac:dyDescent="0.4">
      <c r="J336" s="30"/>
    </row>
    <row r="337" spans="10:10" x14ac:dyDescent="0.4">
      <c r="J337" s="30"/>
    </row>
    <row r="338" spans="10:10" x14ac:dyDescent="0.4">
      <c r="J338" s="30"/>
    </row>
    <row r="339" spans="10:10" x14ac:dyDescent="0.4">
      <c r="J339" s="30"/>
    </row>
    <row r="340" spans="10:10" x14ac:dyDescent="0.4">
      <c r="J340" s="30"/>
    </row>
    <row r="341" spans="10:10" x14ac:dyDescent="0.4">
      <c r="J341" s="30"/>
    </row>
    <row r="342" spans="10:10" x14ac:dyDescent="0.4">
      <c r="J342" s="30"/>
    </row>
    <row r="343" spans="10:10" x14ac:dyDescent="0.4">
      <c r="J343" s="30"/>
    </row>
    <row r="344" spans="10:10" x14ac:dyDescent="0.4">
      <c r="J344" s="30"/>
    </row>
    <row r="345" spans="10:10" x14ac:dyDescent="0.4">
      <c r="J345" s="30"/>
    </row>
    <row r="346" spans="10:10" x14ac:dyDescent="0.4">
      <c r="J346" s="30"/>
    </row>
    <row r="347" spans="10:10" x14ac:dyDescent="0.4">
      <c r="J347" s="30"/>
    </row>
    <row r="348" spans="10:10" x14ac:dyDescent="0.4">
      <c r="J348" s="30"/>
    </row>
    <row r="349" spans="10:10" x14ac:dyDescent="0.4">
      <c r="J349" s="30"/>
    </row>
    <row r="350" spans="10:10" x14ac:dyDescent="0.4">
      <c r="J350" s="30"/>
    </row>
    <row r="351" spans="10:10" x14ac:dyDescent="0.4">
      <c r="J351" s="30"/>
    </row>
    <row r="352" spans="10:10" x14ac:dyDescent="0.4">
      <c r="J352" s="30"/>
    </row>
    <row r="353" spans="10:10" x14ac:dyDescent="0.4">
      <c r="J353" s="30"/>
    </row>
    <row r="354" spans="10:10" x14ac:dyDescent="0.4">
      <c r="J354" s="30"/>
    </row>
    <row r="355" spans="10:10" x14ac:dyDescent="0.4">
      <c r="J355" s="30"/>
    </row>
    <row r="356" spans="10:10" x14ac:dyDescent="0.4">
      <c r="J356" s="30"/>
    </row>
    <row r="357" spans="10:10" x14ac:dyDescent="0.4">
      <c r="J357" s="30"/>
    </row>
    <row r="358" spans="10:10" x14ac:dyDescent="0.4">
      <c r="J358" s="30"/>
    </row>
    <row r="359" spans="10:10" x14ac:dyDescent="0.4">
      <c r="J359" s="30"/>
    </row>
  </sheetData>
  <autoFilter ref="A1:AG1" xr:uid="{6222B8AD-3F7A-4FAD-856E-F26FBB8D4E2F}"/>
  <phoneticPr fontId="7"/>
  <pageMargins left="0.7" right="0.7" top="0.75" bottom="0.75" header="0.3" footer="0.3"/>
  <pageSetup paperSize="9" orientation="portrait" horizontalDpi="300" verticalDpi="30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72C36-62C2-4A1A-B651-9BD53272856D}">
  <dimension ref="A1:E18"/>
  <sheetViews>
    <sheetView workbookViewId="0">
      <selection activeCell="A19" sqref="A19:XFD19"/>
    </sheetView>
  </sheetViews>
  <sheetFormatPr defaultRowHeight="18.75" x14ac:dyDescent="0.4"/>
  <cols>
    <col min="1" max="1" width="11" style="59" bestFit="1" customWidth="1"/>
    <col min="2" max="2" width="16.25" style="59" bestFit="1" customWidth="1"/>
    <col min="3" max="3" width="42.125" style="59" bestFit="1" customWidth="1"/>
    <col min="4" max="4" width="15.125" style="59" bestFit="1" customWidth="1"/>
    <col min="5" max="5" width="10.875" style="59" bestFit="1" customWidth="1"/>
    <col min="6" max="16384" width="9" style="59"/>
  </cols>
  <sheetData>
    <row r="1" spans="1:5" x14ac:dyDescent="0.4">
      <c r="A1" s="59" t="s">
        <v>609</v>
      </c>
    </row>
    <row r="3" spans="1:5" x14ac:dyDescent="0.15">
      <c r="D3" s="62" t="s">
        <v>256</v>
      </c>
      <c r="E3" s="62" t="s">
        <v>618</v>
      </c>
    </row>
    <row r="4" spans="1:5" x14ac:dyDescent="0.4">
      <c r="B4" s="59" t="s">
        <v>612</v>
      </c>
      <c r="C4" s="59" t="s">
        <v>613</v>
      </c>
      <c r="D4" s="59">
        <v>550</v>
      </c>
      <c r="E4" s="59">
        <v>550</v>
      </c>
    </row>
    <row r="7" spans="1:5" x14ac:dyDescent="0.15">
      <c r="D7" s="62" t="s">
        <v>256</v>
      </c>
      <c r="E7" s="62" t="s">
        <v>257</v>
      </c>
    </row>
    <row r="8" spans="1:5" x14ac:dyDescent="0.15">
      <c r="B8" s="59" t="s">
        <v>611</v>
      </c>
      <c r="C8" s="59" t="s">
        <v>610</v>
      </c>
      <c r="D8" s="63">
        <v>500</v>
      </c>
      <c r="E8" s="63">
        <v>500</v>
      </c>
    </row>
    <row r="9" spans="1:5" x14ac:dyDescent="0.4">
      <c r="B9" s="59" t="s">
        <v>611</v>
      </c>
      <c r="C9" s="59" t="s">
        <v>610</v>
      </c>
      <c r="D9" s="59">
        <v>550</v>
      </c>
      <c r="E9" s="59">
        <v>550</v>
      </c>
    </row>
    <row r="10" spans="1:5" x14ac:dyDescent="0.4">
      <c r="B10" s="59" t="s">
        <v>614</v>
      </c>
      <c r="C10" s="59" t="s">
        <v>615</v>
      </c>
      <c r="D10" s="59">
        <v>500</v>
      </c>
      <c r="E10" s="59">
        <v>450</v>
      </c>
    </row>
    <row r="11" spans="1:5" x14ac:dyDescent="0.15">
      <c r="B11" s="59" t="s">
        <v>616</v>
      </c>
      <c r="C11" s="59" t="s">
        <v>617</v>
      </c>
      <c r="D11" s="63">
        <v>500</v>
      </c>
      <c r="E11" s="63">
        <v>500</v>
      </c>
    </row>
    <row r="12" spans="1:5" x14ac:dyDescent="0.4">
      <c r="B12" s="59" t="s">
        <v>616</v>
      </c>
      <c r="C12" s="59" t="s">
        <v>617</v>
      </c>
      <c r="D12" s="59">
        <v>550</v>
      </c>
      <c r="E12" s="59">
        <v>550</v>
      </c>
    </row>
    <row r="14" spans="1:5" x14ac:dyDescent="0.15">
      <c r="D14" s="62" t="s">
        <v>256</v>
      </c>
      <c r="E14" s="62" t="s">
        <v>435</v>
      </c>
    </row>
    <row r="15" spans="1:5" x14ac:dyDescent="0.4">
      <c r="B15" s="59" t="s">
        <v>624</v>
      </c>
      <c r="C15" s="105" t="s">
        <v>623</v>
      </c>
      <c r="D15" s="105">
        <v>450</v>
      </c>
      <c r="E15" s="105">
        <v>450</v>
      </c>
    </row>
    <row r="16" spans="1:5" x14ac:dyDescent="0.4">
      <c r="B16" s="59" t="s">
        <v>624</v>
      </c>
      <c r="C16" s="105" t="s">
        <v>623</v>
      </c>
      <c r="D16" s="105">
        <v>550</v>
      </c>
      <c r="E16" s="105">
        <v>550</v>
      </c>
    </row>
    <row r="17" spans="2:5" x14ac:dyDescent="0.4">
      <c r="B17" s="59" t="s">
        <v>625</v>
      </c>
      <c r="C17" s="105" t="s">
        <v>626</v>
      </c>
      <c r="D17" s="105">
        <v>400</v>
      </c>
      <c r="E17" s="105">
        <v>450</v>
      </c>
    </row>
    <row r="18" spans="2:5" x14ac:dyDescent="0.4">
      <c r="D18" s="105">
        <v>450</v>
      </c>
      <c r="E18" s="105">
        <v>500</v>
      </c>
    </row>
  </sheetData>
  <phoneticPr fontId="7"/>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E4CCC-6B1A-4F4E-8E5B-DE06D62869C6}">
  <dimension ref="A1"/>
  <sheetViews>
    <sheetView workbookViewId="0">
      <selection activeCell="B3" sqref="B3"/>
    </sheetView>
  </sheetViews>
  <sheetFormatPr defaultRowHeight="18.75" x14ac:dyDescent="0.4"/>
  <sheetData/>
  <phoneticPr fontId="7"/>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AEEBC-34BF-4E00-8D7C-5723CB232F59}">
  <dimension ref="A1:N4"/>
  <sheetViews>
    <sheetView workbookViewId="0">
      <selection activeCell="K4" sqref="K4"/>
    </sheetView>
  </sheetViews>
  <sheetFormatPr defaultRowHeight="18.75" x14ac:dyDescent="0.4"/>
  <cols>
    <col min="1" max="2" width="9.5" style="52" bestFit="1" customWidth="1"/>
    <col min="3" max="3" width="19.25" style="52" bestFit="1" customWidth="1"/>
    <col min="4" max="4" width="15" style="52" bestFit="1" customWidth="1"/>
    <col min="5" max="5" width="15.125" style="52" bestFit="1" customWidth="1"/>
    <col min="6" max="7" width="11" style="52" bestFit="1" customWidth="1"/>
    <col min="8" max="8" width="9" style="52"/>
    <col min="9" max="9" width="7.125" style="52" bestFit="1" customWidth="1"/>
    <col min="10" max="11" width="9" style="52"/>
    <col min="12" max="12" width="13" style="52" bestFit="1" customWidth="1"/>
    <col min="13" max="13" width="10.25" style="52" bestFit="1" customWidth="1"/>
    <col min="14" max="14" width="42.125" style="52" bestFit="1" customWidth="1"/>
    <col min="15" max="16384" width="9" style="52"/>
  </cols>
  <sheetData>
    <row r="1" spans="1:14" x14ac:dyDescent="0.4">
      <c r="A1" s="52" t="s">
        <v>520</v>
      </c>
      <c r="B1" s="52" t="s">
        <v>521</v>
      </c>
      <c r="C1" s="52" t="s">
        <v>522</v>
      </c>
      <c r="D1" s="52" t="s">
        <v>523</v>
      </c>
      <c r="E1" s="52" t="s">
        <v>524</v>
      </c>
      <c r="F1" s="52" t="s">
        <v>525</v>
      </c>
      <c r="G1" s="52" t="s">
        <v>3</v>
      </c>
      <c r="H1" s="52" t="s">
        <v>4</v>
      </c>
      <c r="I1" s="52" t="s">
        <v>246</v>
      </c>
      <c r="J1" s="52" t="s">
        <v>263</v>
      </c>
      <c r="K1" s="52" t="s">
        <v>526</v>
      </c>
      <c r="L1" s="52" t="s">
        <v>5</v>
      </c>
      <c r="M1" s="52" t="s">
        <v>264</v>
      </c>
      <c r="N1" s="52" t="s">
        <v>253</v>
      </c>
    </row>
    <row r="2" spans="1:14" x14ac:dyDescent="0.4">
      <c r="A2" s="52" t="s">
        <v>527</v>
      </c>
      <c r="B2" s="52" t="s">
        <v>528</v>
      </c>
      <c r="C2" s="52" t="s">
        <v>276</v>
      </c>
      <c r="D2" s="52" t="s">
        <v>529</v>
      </c>
      <c r="E2" s="52" t="s">
        <v>530</v>
      </c>
      <c r="G2" s="52" t="s">
        <v>531</v>
      </c>
      <c r="H2" s="52" t="s">
        <v>309</v>
      </c>
      <c r="I2" s="52" t="s">
        <v>532</v>
      </c>
      <c r="J2" s="52" t="s">
        <v>276</v>
      </c>
      <c r="K2" s="52" t="s">
        <v>309</v>
      </c>
      <c r="L2" s="52" t="s">
        <v>274</v>
      </c>
      <c r="M2" s="52" t="s">
        <v>275</v>
      </c>
      <c r="N2" s="52" t="s">
        <v>339</v>
      </c>
    </row>
    <row r="3" spans="1:14" x14ac:dyDescent="0.4">
      <c r="A3" s="52" t="s">
        <v>527</v>
      </c>
      <c r="B3" s="52" t="s">
        <v>528</v>
      </c>
      <c r="C3" s="52" t="s">
        <v>276</v>
      </c>
      <c r="D3" s="52" t="s">
        <v>533</v>
      </c>
      <c r="E3" s="52" t="s">
        <v>534</v>
      </c>
      <c r="G3" s="52" t="s">
        <v>531</v>
      </c>
      <c r="H3" s="52" t="s">
        <v>309</v>
      </c>
      <c r="I3" s="52" t="s">
        <v>535</v>
      </c>
      <c r="J3" s="52" t="s">
        <v>276</v>
      </c>
      <c r="K3" s="52" t="s">
        <v>309</v>
      </c>
      <c r="L3" s="52" t="s">
        <v>274</v>
      </c>
      <c r="M3" s="52" t="s">
        <v>275</v>
      </c>
      <c r="N3" s="52" t="s">
        <v>407</v>
      </c>
    </row>
    <row r="4" spans="1:14" x14ac:dyDescent="0.4">
      <c r="A4" s="52" t="s">
        <v>527</v>
      </c>
      <c r="B4" s="52" t="s">
        <v>528</v>
      </c>
      <c r="C4" s="52" t="s">
        <v>276</v>
      </c>
      <c r="D4" s="52" t="s">
        <v>536</v>
      </c>
      <c r="E4" s="52" t="s">
        <v>537</v>
      </c>
      <c r="G4" s="52" t="s">
        <v>531</v>
      </c>
      <c r="H4" s="52" t="s">
        <v>309</v>
      </c>
      <c r="I4" s="52" t="s">
        <v>309</v>
      </c>
      <c r="J4" s="52" t="s">
        <v>538</v>
      </c>
      <c r="K4" s="52" t="s">
        <v>309</v>
      </c>
      <c r="L4" s="52" t="s">
        <v>274</v>
      </c>
      <c r="M4" s="52" t="s">
        <v>275</v>
      </c>
      <c r="N4" s="52" t="s">
        <v>411</v>
      </c>
    </row>
  </sheetData>
  <phoneticPr fontId="7"/>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05"/>
  <sheetViews>
    <sheetView topLeftCell="A382" zoomScale="85" zoomScaleNormal="85" workbookViewId="0">
      <selection activeCell="E400" sqref="E400"/>
    </sheetView>
  </sheetViews>
  <sheetFormatPr defaultRowHeight="13.5" outlineLevelRow="1" x14ac:dyDescent="0.4"/>
  <cols>
    <col min="1" max="1" width="14.125" style="1" customWidth="1"/>
    <col min="2" max="2" width="35.875" style="1" bestFit="1" customWidth="1"/>
    <col min="3" max="3" width="5.5" style="1" bestFit="1" customWidth="1"/>
    <col min="4" max="4" width="54.625" style="1" bestFit="1" customWidth="1"/>
    <col min="5" max="5" width="7.125" style="1" bestFit="1" customWidth="1"/>
    <col min="6" max="6" width="25" style="1" customWidth="1"/>
    <col min="7" max="7" width="46.5" style="1" customWidth="1"/>
    <col min="8" max="16384" width="9" style="1"/>
  </cols>
  <sheetData>
    <row r="1" spans="1:7" x14ac:dyDescent="0.4">
      <c r="A1" s="1" t="s">
        <v>539</v>
      </c>
    </row>
    <row r="3" spans="1:7" x14ac:dyDescent="0.4">
      <c r="B3" s="6" t="s">
        <v>540</v>
      </c>
    </row>
    <row r="4" spans="1:7" x14ac:dyDescent="0.4">
      <c r="B4" s="101" t="s">
        <v>541</v>
      </c>
      <c r="C4" s="101" t="s">
        <v>542</v>
      </c>
      <c r="D4" s="101" t="s">
        <v>2</v>
      </c>
      <c r="E4" s="101" t="s">
        <v>71</v>
      </c>
      <c r="F4" s="101" t="s">
        <v>5</v>
      </c>
      <c r="G4" s="101" t="s">
        <v>6</v>
      </c>
    </row>
    <row r="5" spans="1:7" x14ac:dyDescent="0.4">
      <c r="B5" s="2" t="s">
        <v>543</v>
      </c>
      <c r="C5" s="3">
        <v>300</v>
      </c>
      <c r="D5" s="3"/>
      <c r="E5" s="101" t="s">
        <v>544</v>
      </c>
      <c r="F5" s="3"/>
      <c r="G5" s="3"/>
    </row>
    <row r="6" spans="1:7" x14ac:dyDescent="0.4">
      <c r="B6" s="2" t="s">
        <v>545</v>
      </c>
      <c r="C6" s="3">
        <v>250</v>
      </c>
      <c r="D6" s="3"/>
      <c r="E6" s="3">
        <v>0</v>
      </c>
      <c r="F6" s="3"/>
      <c r="G6" s="3"/>
    </row>
    <row r="7" spans="1:7" x14ac:dyDescent="0.4">
      <c r="B7" s="2" t="s">
        <v>546</v>
      </c>
      <c r="C7" s="3">
        <v>200</v>
      </c>
      <c r="D7" s="3"/>
      <c r="E7" s="3">
        <v>0</v>
      </c>
      <c r="F7" s="3"/>
      <c r="G7" s="3"/>
    </row>
    <row r="8" spans="1:7" x14ac:dyDescent="0.15">
      <c r="B8" s="4" t="s">
        <v>9</v>
      </c>
      <c r="C8" s="3">
        <v>150</v>
      </c>
      <c r="D8" s="3" t="s">
        <v>547</v>
      </c>
      <c r="E8" s="3">
        <v>300</v>
      </c>
      <c r="F8" s="3" t="s">
        <v>274</v>
      </c>
      <c r="G8" s="3" t="s">
        <v>548</v>
      </c>
    </row>
    <row r="9" spans="1:7" x14ac:dyDescent="0.15">
      <c r="B9" s="5" t="s">
        <v>549</v>
      </c>
      <c r="C9" s="3">
        <v>100</v>
      </c>
      <c r="D9" s="3" t="s">
        <v>550</v>
      </c>
      <c r="E9" s="3">
        <v>100</v>
      </c>
      <c r="F9" s="3" t="s">
        <v>551</v>
      </c>
      <c r="G9" s="3"/>
    </row>
    <row r="10" spans="1:7" x14ac:dyDescent="0.4">
      <c r="D10" s="1" t="s">
        <v>552</v>
      </c>
      <c r="E10" s="1">
        <f>SUM(E7:E9)</f>
        <v>400</v>
      </c>
    </row>
    <row r="12" spans="1:7" x14ac:dyDescent="0.4">
      <c r="B12" s="6" t="s">
        <v>553</v>
      </c>
    </row>
    <row r="13" spans="1:7" x14ac:dyDescent="0.4">
      <c r="B13" s="101" t="s">
        <v>541</v>
      </c>
      <c r="C13" s="101" t="s">
        <v>542</v>
      </c>
      <c r="D13" s="101" t="s">
        <v>2</v>
      </c>
      <c r="E13" s="101" t="s">
        <v>71</v>
      </c>
      <c r="F13" s="101" t="s">
        <v>5</v>
      </c>
      <c r="G13" s="101" t="s">
        <v>6</v>
      </c>
    </row>
    <row r="14" spans="1:7" x14ac:dyDescent="0.4">
      <c r="B14" s="2" t="s">
        <v>543</v>
      </c>
      <c r="C14" s="3">
        <v>300</v>
      </c>
      <c r="D14" s="3"/>
      <c r="E14" s="101" t="s">
        <v>544</v>
      </c>
      <c r="F14" s="3"/>
      <c r="G14" s="3"/>
    </row>
    <row r="15" spans="1:7" x14ac:dyDescent="0.4">
      <c r="B15" s="2" t="s">
        <v>545</v>
      </c>
      <c r="C15" s="3">
        <v>250</v>
      </c>
      <c r="D15" s="3"/>
      <c r="E15" s="3">
        <v>0</v>
      </c>
      <c r="F15" s="3"/>
      <c r="G15" s="3"/>
    </row>
    <row r="16" spans="1:7" x14ac:dyDescent="0.4">
      <c r="B16" s="2" t="s">
        <v>546</v>
      </c>
      <c r="C16" s="3">
        <v>200</v>
      </c>
      <c r="D16" s="3"/>
      <c r="E16" s="3">
        <v>0</v>
      </c>
      <c r="F16" s="3"/>
      <c r="G16" s="3"/>
    </row>
    <row r="17" spans="2:7" x14ac:dyDescent="0.15">
      <c r="B17" s="4" t="s">
        <v>9</v>
      </c>
      <c r="C17" s="3">
        <v>150</v>
      </c>
      <c r="D17" s="3" t="s">
        <v>547</v>
      </c>
      <c r="E17" s="3">
        <v>300</v>
      </c>
      <c r="F17" s="3" t="s">
        <v>274</v>
      </c>
      <c r="G17" s="3" t="s">
        <v>554</v>
      </c>
    </row>
    <row r="18" spans="2:7" x14ac:dyDescent="0.15">
      <c r="B18" s="5" t="s">
        <v>549</v>
      </c>
      <c r="C18" s="3">
        <v>150</v>
      </c>
      <c r="D18" s="3" t="s">
        <v>550</v>
      </c>
      <c r="E18" s="3">
        <v>0</v>
      </c>
      <c r="F18" s="3"/>
      <c r="G18" s="3"/>
    </row>
    <row r="19" spans="2:7" x14ac:dyDescent="0.4">
      <c r="D19" s="1" t="s">
        <v>552</v>
      </c>
      <c r="E19" s="1">
        <f>SUM(E16:E18)</f>
        <v>300</v>
      </c>
    </row>
    <row r="20" spans="2:7" x14ac:dyDescent="0.4">
      <c r="B20" s="6" t="s">
        <v>555</v>
      </c>
    </row>
    <row r="21" spans="2:7" x14ac:dyDescent="0.4">
      <c r="B21" s="101" t="s">
        <v>541</v>
      </c>
      <c r="C21" s="101" t="s">
        <v>542</v>
      </c>
      <c r="D21" s="101" t="s">
        <v>2</v>
      </c>
      <c r="E21" s="101" t="s">
        <v>71</v>
      </c>
      <c r="F21" s="101" t="s">
        <v>5</v>
      </c>
      <c r="G21" s="101" t="s">
        <v>6</v>
      </c>
    </row>
    <row r="22" spans="2:7" x14ac:dyDescent="0.4">
      <c r="B22" s="2" t="s">
        <v>543</v>
      </c>
      <c r="C22" s="3">
        <v>300</v>
      </c>
      <c r="D22" s="3"/>
      <c r="E22" s="101" t="s">
        <v>544</v>
      </c>
      <c r="F22" s="3"/>
      <c r="G22" s="3"/>
    </row>
    <row r="23" spans="2:7" x14ac:dyDescent="0.4">
      <c r="B23" s="2" t="s">
        <v>545</v>
      </c>
      <c r="C23" s="3">
        <v>250</v>
      </c>
      <c r="D23" s="3"/>
      <c r="E23" s="3">
        <v>0</v>
      </c>
      <c r="F23" s="3"/>
      <c r="G23" s="3"/>
    </row>
    <row r="24" spans="2:7" x14ac:dyDescent="0.4">
      <c r="B24" s="2" t="s">
        <v>546</v>
      </c>
      <c r="C24" s="3">
        <v>200</v>
      </c>
      <c r="D24" s="3"/>
      <c r="E24" s="3">
        <v>0</v>
      </c>
      <c r="F24" s="3"/>
      <c r="G24" s="3"/>
    </row>
    <row r="25" spans="2:7" x14ac:dyDescent="0.15">
      <c r="B25" s="4" t="s">
        <v>9</v>
      </c>
      <c r="C25" s="3">
        <v>100</v>
      </c>
      <c r="D25" s="3"/>
      <c r="E25" s="3">
        <v>0</v>
      </c>
      <c r="F25" s="3"/>
      <c r="G25" s="3"/>
    </row>
    <row r="26" spans="2:7" x14ac:dyDescent="0.15">
      <c r="B26" s="5" t="s">
        <v>549</v>
      </c>
      <c r="C26" s="3">
        <v>150</v>
      </c>
      <c r="D26" s="3" t="s">
        <v>556</v>
      </c>
      <c r="E26" s="3">
        <v>300</v>
      </c>
      <c r="F26" s="3" t="s">
        <v>274</v>
      </c>
      <c r="G26" s="3" t="s">
        <v>557</v>
      </c>
    </row>
    <row r="27" spans="2:7" x14ac:dyDescent="0.4">
      <c r="D27" s="1" t="s">
        <v>552</v>
      </c>
      <c r="E27" s="1">
        <f>SUM(E24:E26)</f>
        <v>300</v>
      </c>
    </row>
    <row r="28" spans="2:7" x14ac:dyDescent="0.4">
      <c r="B28" s="6" t="s">
        <v>558</v>
      </c>
    </row>
    <row r="29" spans="2:7" x14ac:dyDescent="0.4">
      <c r="B29" s="101" t="s">
        <v>541</v>
      </c>
      <c r="C29" s="101" t="s">
        <v>542</v>
      </c>
      <c r="D29" s="101" t="s">
        <v>2</v>
      </c>
      <c r="E29" s="101" t="s">
        <v>71</v>
      </c>
      <c r="F29" s="101" t="s">
        <v>5</v>
      </c>
      <c r="G29" s="101" t="s">
        <v>6</v>
      </c>
    </row>
    <row r="30" spans="2:7" x14ac:dyDescent="0.4">
      <c r="B30" s="2" t="s">
        <v>543</v>
      </c>
      <c r="C30" s="3">
        <v>300</v>
      </c>
      <c r="D30" s="3"/>
      <c r="E30" s="101" t="s">
        <v>544</v>
      </c>
      <c r="F30" s="3"/>
      <c r="G30" s="3"/>
    </row>
    <row r="31" spans="2:7" x14ac:dyDescent="0.4">
      <c r="B31" s="2" t="s">
        <v>545</v>
      </c>
      <c r="C31" s="3">
        <v>250</v>
      </c>
      <c r="D31" s="3"/>
      <c r="E31" s="3">
        <v>0</v>
      </c>
      <c r="F31" s="3"/>
      <c r="G31" s="3"/>
    </row>
    <row r="32" spans="2:7" x14ac:dyDescent="0.4">
      <c r="B32" s="2" t="s">
        <v>546</v>
      </c>
      <c r="C32" s="3">
        <v>200</v>
      </c>
      <c r="D32" s="3"/>
      <c r="E32" s="3">
        <v>0</v>
      </c>
      <c r="F32" s="3"/>
      <c r="G32" s="3"/>
    </row>
    <row r="33" spans="2:7" x14ac:dyDescent="0.15">
      <c r="B33" s="4" t="s">
        <v>9</v>
      </c>
      <c r="C33" s="3">
        <v>150</v>
      </c>
      <c r="D33" s="3"/>
      <c r="E33" s="3">
        <v>0</v>
      </c>
      <c r="F33" s="3"/>
      <c r="G33" s="3"/>
    </row>
    <row r="34" spans="2:7" x14ac:dyDescent="0.15">
      <c r="B34" s="5" t="s">
        <v>549</v>
      </c>
      <c r="C34" s="3">
        <v>200</v>
      </c>
      <c r="D34" s="3" t="s">
        <v>556</v>
      </c>
      <c r="E34" s="3">
        <v>200</v>
      </c>
      <c r="F34" s="3" t="s">
        <v>274</v>
      </c>
      <c r="G34" s="3" t="s">
        <v>557</v>
      </c>
    </row>
    <row r="35" spans="2:7" x14ac:dyDescent="0.4">
      <c r="D35" s="1" t="s">
        <v>552</v>
      </c>
      <c r="E35" s="1">
        <f>SUM(E32:E34)</f>
        <v>200</v>
      </c>
    </row>
    <row r="36" spans="2:7" x14ac:dyDescent="0.4">
      <c r="B36" s="6" t="s">
        <v>559</v>
      </c>
    </row>
    <row r="37" spans="2:7" x14ac:dyDescent="0.4">
      <c r="B37" s="101" t="s">
        <v>541</v>
      </c>
      <c r="C37" s="101" t="s">
        <v>542</v>
      </c>
      <c r="D37" s="101" t="s">
        <v>2</v>
      </c>
      <c r="E37" s="101" t="s">
        <v>71</v>
      </c>
      <c r="F37" s="101" t="s">
        <v>5</v>
      </c>
      <c r="G37" s="101" t="s">
        <v>6</v>
      </c>
    </row>
    <row r="38" spans="2:7" x14ac:dyDescent="0.4">
      <c r="B38" s="2" t="s">
        <v>543</v>
      </c>
      <c r="C38" s="3">
        <v>300</v>
      </c>
      <c r="D38" s="3"/>
      <c r="E38" s="101" t="s">
        <v>544</v>
      </c>
      <c r="F38" s="3"/>
      <c r="G38" s="3"/>
    </row>
    <row r="39" spans="2:7" x14ac:dyDescent="0.4">
      <c r="B39" s="2" t="s">
        <v>545</v>
      </c>
      <c r="C39" s="3">
        <v>250</v>
      </c>
      <c r="D39" s="3"/>
      <c r="E39" s="3">
        <v>0</v>
      </c>
      <c r="F39" s="3"/>
      <c r="G39" s="3"/>
    </row>
    <row r="40" spans="2:7" x14ac:dyDescent="0.4">
      <c r="B40" s="2" t="s">
        <v>546</v>
      </c>
      <c r="C40" s="3">
        <v>150</v>
      </c>
      <c r="D40" s="3" t="s">
        <v>560</v>
      </c>
      <c r="E40" s="3">
        <v>100</v>
      </c>
      <c r="F40" s="3" t="s">
        <v>32</v>
      </c>
      <c r="G40" s="3" t="s">
        <v>557</v>
      </c>
    </row>
    <row r="41" spans="2:7" x14ac:dyDescent="0.15">
      <c r="B41" s="4" t="s">
        <v>12</v>
      </c>
      <c r="C41" s="3">
        <v>100</v>
      </c>
      <c r="D41" s="3"/>
      <c r="E41" s="3">
        <v>0</v>
      </c>
      <c r="F41" s="3"/>
      <c r="G41" s="3"/>
    </row>
    <row r="42" spans="2:7" x14ac:dyDescent="0.15">
      <c r="B42" s="5" t="s">
        <v>549</v>
      </c>
      <c r="C42" s="3">
        <v>200</v>
      </c>
      <c r="D42" s="3" t="s">
        <v>556</v>
      </c>
      <c r="E42" s="3">
        <v>200</v>
      </c>
      <c r="F42" s="3" t="s">
        <v>274</v>
      </c>
      <c r="G42" s="3" t="s">
        <v>557</v>
      </c>
    </row>
    <row r="43" spans="2:7" x14ac:dyDescent="0.4">
      <c r="D43" s="1" t="s">
        <v>552</v>
      </c>
      <c r="E43" s="1">
        <f>SUM(E40:E42)</f>
        <v>300</v>
      </c>
    </row>
    <row r="44" spans="2:7" outlineLevel="1" x14ac:dyDescent="0.4">
      <c r="B44" s="6" t="s">
        <v>561</v>
      </c>
    </row>
    <row r="45" spans="2:7" outlineLevel="1" x14ac:dyDescent="0.4">
      <c r="B45" s="101" t="s">
        <v>541</v>
      </c>
      <c r="C45" s="101" t="s">
        <v>542</v>
      </c>
      <c r="D45" s="101" t="s">
        <v>2</v>
      </c>
      <c r="E45" s="101" t="s">
        <v>71</v>
      </c>
      <c r="F45" s="101" t="s">
        <v>5</v>
      </c>
      <c r="G45" s="101" t="s">
        <v>6</v>
      </c>
    </row>
    <row r="46" spans="2:7" outlineLevel="1" x14ac:dyDescent="0.4">
      <c r="B46" s="2" t="s">
        <v>543</v>
      </c>
      <c r="C46" s="3">
        <v>300</v>
      </c>
      <c r="D46" s="3"/>
      <c r="E46" s="101" t="s">
        <v>544</v>
      </c>
      <c r="F46" s="3"/>
      <c r="G46" s="3"/>
    </row>
    <row r="47" spans="2:7" outlineLevel="1" x14ac:dyDescent="0.4">
      <c r="B47" s="2" t="s">
        <v>545</v>
      </c>
      <c r="C47" s="3">
        <v>250</v>
      </c>
      <c r="D47" s="3"/>
      <c r="E47" s="3">
        <v>0</v>
      </c>
      <c r="F47" s="3"/>
      <c r="G47" s="3"/>
    </row>
    <row r="48" spans="2:7" outlineLevel="1" x14ac:dyDescent="0.4">
      <c r="B48" s="2" t="s">
        <v>546</v>
      </c>
      <c r="C48" s="3">
        <v>200</v>
      </c>
      <c r="D48" s="3"/>
      <c r="E48" s="3">
        <v>0</v>
      </c>
      <c r="F48" s="3"/>
      <c r="G48" s="3"/>
    </row>
    <row r="49" spans="2:7" outlineLevel="1" x14ac:dyDescent="0.15">
      <c r="B49" s="4" t="s">
        <v>12</v>
      </c>
      <c r="C49" s="3">
        <v>150</v>
      </c>
      <c r="D49" s="3"/>
      <c r="E49" s="3">
        <v>0</v>
      </c>
      <c r="F49" s="3"/>
      <c r="G49" s="3"/>
    </row>
    <row r="50" spans="2:7" outlineLevel="1" x14ac:dyDescent="0.15">
      <c r="B50" s="5" t="s">
        <v>549</v>
      </c>
      <c r="C50" s="3">
        <v>200</v>
      </c>
      <c r="D50" s="3" t="s">
        <v>556</v>
      </c>
      <c r="E50" s="3">
        <v>200</v>
      </c>
      <c r="F50" s="3" t="s">
        <v>274</v>
      </c>
      <c r="G50" s="3" t="s">
        <v>557</v>
      </c>
    </row>
    <row r="51" spans="2:7" outlineLevel="1" x14ac:dyDescent="0.4">
      <c r="D51" s="1" t="s">
        <v>552</v>
      </c>
      <c r="E51" s="1">
        <f>SUM(E48:E50)</f>
        <v>200</v>
      </c>
    </row>
    <row r="52" spans="2:7" outlineLevel="1" x14ac:dyDescent="0.4"/>
    <row r="53" spans="2:7" x14ac:dyDescent="0.4">
      <c r="B53" s="6" t="s">
        <v>562</v>
      </c>
    </row>
    <row r="54" spans="2:7" x14ac:dyDescent="0.4">
      <c r="B54" s="101" t="s">
        <v>541</v>
      </c>
      <c r="C54" s="101" t="s">
        <v>542</v>
      </c>
      <c r="D54" s="101" t="s">
        <v>2</v>
      </c>
      <c r="E54" s="101" t="s">
        <v>71</v>
      </c>
      <c r="F54" s="101" t="s">
        <v>5</v>
      </c>
      <c r="G54" s="101" t="s">
        <v>6</v>
      </c>
    </row>
    <row r="55" spans="2:7" x14ac:dyDescent="0.4">
      <c r="B55" s="2" t="s">
        <v>543</v>
      </c>
      <c r="C55" s="3">
        <v>300</v>
      </c>
      <c r="D55" s="3"/>
      <c r="E55" s="101" t="s">
        <v>544</v>
      </c>
      <c r="F55" s="3"/>
      <c r="G55" s="3"/>
    </row>
    <row r="56" spans="2:7" x14ac:dyDescent="0.4">
      <c r="B56" s="2" t="s">
        <v>545</v>
      </c>
      <c r="C56" s="3">
        <v>200</v>
      </c>
      <c r="D56" s="3"/>
      <c r="E56" s="3">
        <v>0</v>
      </c>
      <c r="F56" s="3"/>
      <c r="G56" s="3"/>
    </row>
    <row r="57" spans="2:7" x14ac:dyDescent="0.4">
      <c r="B57" s="2" t="s">
        <v>546</v>
      </c>
      <c r="C57" s="3">
        <v>150</v>
      </c>
      <c r="D57" s="3" t="s">
        <v>560</v>
      </c>
      <c r="E57" s="3">
        <v>200</v>
      </c>
      <c r="F57" s="3" t="s">
        <v>32</v>
      </c>
      <c r="G57" s="3"/>
    </row>
    <row r="58" spans="2:7" x14ac:dyDescent="0.15">
      <c r="B58" s="4" t="s">
        <v>12</v>
      </c>
      <c r="C58" s="3">
        <v>100</v>
      </c>
      <c r="D58" s="3"/>
      <c r="E58" s="3">
        <v>0</v>
      </c>
      <c r="F58" s="3"/>
      <c r="G58" s="3"/>
    </row>
    <row r="59" spans="2:7" x14ac:dyDescent="0.15">
      <c r="B59" s="5" t="s">
        <v>549</v>
      </c>
      <c r="C59" s="3">
        <v>250</v>
      </c>
      <c r="D59" s="3" t="s">
        <v>556</v>
      </c>
      <c r="E59" s="3">
        <v>100</v>
      </c>
      <c r="F59" s="3" t="s">
        <v>274</v>
      </c>
      <c r="G59" s="3" t="s">
        <v>557</v>
      </c>
    </row>
    <row r="60" spans="2:7" x14ac:dyDescent="0.4">
      <c r="D60" s="1" t="s">
        <v>552</v>
      </c>
      <c r="E60" s="1">
        <f>SUM(E57:E59)</f>
        <v>300</v>
      </c>
    </row>
    <row r="62" spans="2:7" collapsed="1" x14ac:dyDescent="0.4">
      <c r="B62" s="6" t="s">
        <v>563</v>
      </c>
    </row>
    <row r="63" spans="2:7" x14ac:dyDescent="0.4">
      <c r="B63" s="101" t="s">
        <v>541</v>
      </c>
      <c r="C63" s="101" t="s">
        <v>542</v>
      </c>
      <c r="D63" s="101" t="s">
        <v>2</v>
      </c>
      <c r="E63" s="101" t="s">
        <v>71</v>
      </c>
      <c r="F63" s="101" t="s">
        <v>5</v>
      </c>
      <c r="G63" s="101" t="s">
        <v>6</v>
      </c>
    </row>
    <row r="64" spans="2:7" x14ac:dyDescent="0.4">
      <c r="B64" s="2" t="s">
        <v>543</v>
      </c>
      <c r="C64" s="3">
        <v>300</v>
      </c>
      <c r="D64" s="3"/>
      <c r="E64" s="101" t="s">
        <v>544</v>
      </c>
      <c r="F64" s="3"/>
      <c r="G64" s="3"/>
    </row>
    <row r="65" spans="2:7" x14ac:dyDescent="0.4">
      <c r="B65" s="2" t="s">
        <v>545</v>
      </c>
      <c r="C65" s="3">
        <v>250</v>
      </c>
      <c r="D65" s="3"/>
      <c r="E65" s="101" t="s">
        <v>544</v>
      </c>
      <c r="F65" s="3"/>
      <c r="G65" s="3"/>
    </row>
    <row r="66" spans="2:7" x14ac:dyDescent="0.4">
      <c r="B66" s="2" t="s">
        <v>546</v>
      </c>
      <c r="C66" s="3">
        <v>200</v>
      </c>
      <c r="D66" s="3" t="s">
        <v>560</v>
      </c>
      <c r="E66" s="3">
        <v>100</v>
      </c>
      <c r="F66" s="3" t="s">
        <v>32</v>
      </c>
      <c r="G66" s="3"/>
    </row>
    <row r="67" spans="2:7" x14ac:dyDescent="0.15">
      <c r="B67" s="4" t="s">
        <v>12</v>
      </c>
      <c r="C67" s="3">
        <v>150</v>
      </c>
      <c r="D67" s="3"/>
      <c r="E67" s="3">
        <v>0</v>
      </c>
      <c r="F67" s="3"/>
      <c r="G67" s="3"/>
    </row>
    <row r="68" spans="2:7" x14ac:dyDescent="0.15">
      <c r="B68" s="5" t="s">
        <v>549</v>
      </c>
      <c r="C68" s="3">
        <v>250</v>
      </c>
      <c r="D68" s="3" t="s">
        <v>556</v>
      </c>
      <c r="E68" s="3">
        <v>100</v>
      </c>
      <c r="F68" s="3" t="s">
        <v>274</v>
      </c>
      <c r="G68" s="3" t="s">
        <v>557</v>
      </c>
    </row>
    <row r="69" spans="2:7" x14ac:dyDescent="0.4">
      <c r="D69" s="1" t="s">
        <v>552</v>
      </c>
      <c r="E69" s="1">
        <f>SUM(E66:E68)</f>
        <v>200</v>
      </c>
    </row>
    <row r="70" spans="2:7" x14ac:dyDescent="0.4">
      <c r="B70" s="6" t="s">
        <v>564</v>
      </c>
    </row>
    <row r="71" spans="2:7" x14ac:dyDescent="0.4">
      <c r="B71" s="101" t="s">
        <v>541</v>
      </c>
      <c r="C71" s="101" t="s">
        <v>542</v>
      </c>
      <c r="D71" s="101" t="s">
        <v>2</v>
      </c>
      <c r="E71" s="101" t="s">
        <v>71</v>
      </c>
      <c r="F71" s="101" t="s">
        <v>5</v>
      </c>
      <c r="G71" s="101" t="s">
        <v>6</v>
      </c>
    </row>
    <row r="72" spans="2:7" x14ac:dyDescent="0.4">
      <c r="B72" s="2" t="s">
        <v>543</v>
      </c>
      <c r="C72" s="3">
        <v>300</v>
      </c>
      <c r="D72" s="3"/>
      <c r="E72" s="101" t="s">
        <v>544</v>
      </c>
      <c r="F72" s="3"/>
      <c r="G72" s="3"/>
    </row>
    <row r="73" spans="2:7" x14ac:dyDescent="0.4">
      <c r="B73" s="2" t="s">
        <v>545</v>
      </c>
      <c r="C73" s="3">
        <v>250</v>
      </c>
      <c r="D73" s="3"/>
      <c r="E73" s="101" t="s">
        <v>544</v>
      </c>
      <c r="F73" s="3"/>
      <c r="G73" s="3"/>
    </row>
    <row r="74" spans="2:7" x14ac:dyDescent="0.4">
      <c r="B74" s="2" t="s">
        <v>546</v>
      </c>
      <c r="C74" s="3">
        <v>200</v>
      </c>
      <c r="D74" s="3" t="s">
        <v>560</v>
      </c>
      <c r="E74" s="3">
        <v>300</v>
      </c>
      <c r="F74" s="3" t="s">
        <v>32</v>
      </c>
      <c r="G74" s="3"/>
    </row>
    <row r="75" spans="2:7" x14ac:dyDescent="0.15">
      <c r="B75" s="4" t="s">
        <v>12</v>
      </c>
      <c r="C75" s="3">
        <v>150</v>
      </c>
      <c r="D75" s="3"/>
      <c r="E75" s="3">
        <v>0</v>
      </c>
      <c r="F75" s="3"/>
      <c r="G75" s="3"/>
    </row>
    <row r="76" spans="2:7" x14ac:dyDescent="0.15">
      <c r="B76" s="5" t="s">
        <v>549</v>
      </c>
      <c r="C76" s="3">
        <v>350</v>
      </c>
      <c r="D76" s="3" t="s">
        <v>556</v>
      </c>
      <c r="E76" s="3">
        <v>-100</v>
      </c>
      <c r="F76" s="3" t="s">
        <v>274</v>
      </c>
      <c r="G76" s="3" t="s">
        <v>557</v>
      </c>
    </row>
    <row r="77" spans="2:7" x14ac:dyDescent="0.4">
      <c r="D77" s="1" t="s">
        <v>552</v>
      </c>
      <c r="E77" s="1">
        <f>SUM(E74:E76)</f>
        <v>200</v>
      </c>
    </row>
    <row r="79" spans="2:7" x14ac:dyDescent="0.4">
      <c r="B79" s="6" t="s">
        <v>565</v>
      </c>
    </row>
    <row r="80" spans="2:7" x14ac:dyDescent="0.4">
      <c r="B80" s="101" t="s">
        <v>541</v>
      </c>
      <c r="C80" s="101" t="s">
        <v>542</v>
      </c>
      <c r="D80" s="101" t="s">
        <v>2</v>
      </c>
      <c r="E80" s="101" t="s">
        <v>71</v>
      </c>
      <c r="F80" s="101" t="s">
        <v>5</v>
      </c>
      <c r="G80" s="101" t="s">
        <v>6</v>
      </c>
    </row>
    <row r="81" spans="2:7" x14ac:dyDescent="0.4">
      <c r="B81" s="2" t="s">
        <v>543</v>
      </c>
      <c r="C81" s="3">
        <v>300</v>
      </c>
      <c r="D81" s="3"/>
      <c r="E81" s="101" t="s">
        <v>544</v>
      </c>
      <c r="F81" s="3"/>
      <c r="G81" s="3"/>
    </row>
    <row r="82" spans="2:7" x14ac:dyDescent="0.4">
      <c r="B82" s="2" t="s">
        <v>545</v>
      </c>
      <c r="C82" s="3">
        <v>250</v>
      </c>
      <c r="D82" s="3"/>
      <c r="E82" s="101" t="s">
        <v>544</v>
      </c>
      <c r="F82" s="3"/>
      <c r="G82" s="3"/>
    </row>
    <row r="83" spans="2:7" x14ac:dyDescent="0.4">
      <c r="B83" s="2" t="s">
        <v>546</v>
      </c>
      <c r="C83" s="3">
        <v>200</v>
      </c>
      <c r="D83" s="3" t="s">
        <v>560</v>
      </c>
      <c r="E83" s="3">
        <v>200</v>
      </c>
      <c r="F83" s="3" t="s">
        <v>32</v>
      </c>
      <c r="G83" s="3"/>
    </row>
    <row r="84" spans="2:7" x14ac:dyDescent="0.15">
      <c r="B84" s="4" t="s">
        <v>12</v>
      </c>
      <c r="C84" s="3">
        <v>150</v>
      </c>
      <c r="D84" s="3"/>
      <c r="E84" s="3">
        <v>0</v>
      </c>
      <c r="F84" s="3"/>
      <c r="G84" s="3"/>
    </row>
    <row r="85" spans="2:7" x14ac:dyDescent="0.15">
      <c r="B85" s="5" t="s">
        <v>549</v>
      </c>
      <c r="C85" s="3">
        <v>300</v>
      </c>
      <c r="D85" s="3" t="s">
        <v>556</v>
      </c>
      <c r="E85" s="3">
        <v>0</v>
      </c>
      <c r="F85" s="3" t="s">
        <v>274</v>
      </c>
      <c r="G85" s="3" t="s">
        <v>557</v>
      </c>
    </row>
    <row r="86" spans="2:7" x14ac:dyDescent="0.4">
      <c r="D86" s="1" t="s">
        <v>552</v>
      </c>
      <c r="E86" s="1">
        <f>SUM(E83:E85)</f>
        <v>200</v>
      </c>
    </row>
    <row r="88" spans="2:7" x14ac:dyDescent="0.4">
      <c r="B88" s="6" t="s">
        <v>566</v>
      </c>
    </row>
    <row r="89" spans="2:7" x14ac:dyDescent="0.4">
      <c r="B89" s="101" t="s">
        <v>541</v>
      </c>
      <c r="C89" s="101" t="s">
        <v>542</v>
      </c>
      <c r="D89" s="101" t="s">
        <v>2</v>
      </c>
      <c r="E89" s="101" t="s">
        <v>71</v>
      </c>
      <c r="F89" s="101" t="s">
        <v>5</v>
      </c>
      <c r="G89" s="101" t="s">
        <v>6</v>
      </c>
    </row>
    <row r="90" spans="2:7" x14ac:dyDescent="0.4">
      <c r="B90" s="2" t="s">
        <v>543</v>
      </c>
      <c r="C90" s="3">
        <v>300</v>
      </c>
      <c r="D90" s="3"/>
      <c r="E90" s="101" t="s">
        <v>544</v>
      </c>
      <c r="F90" s="3"/>
      <c r="G90" s="3"/>
    </row>
    <row r="91" spans="2:7" x14ac:dyDescent="0.4">
      <c r="B91" s="2" t="s">
        <v>545</v>
      </c>
      <c r="C91" s="3">
        <v>250</v>
      </c>
      <c r="D91" s="3"/>
      <c r="E91" s="101" t="s">
        <v>544</v>
      </c>
      <c r="F91" s="3"/>
      <c r="G91" s="3"/>
    </row>
    <row r="92" spans="2:7" x14ac:dyDescent="0.4">
      <c r="B92" s="2" t="s">
        <v>546</v>
      </c>
      <c r="C92" s="3">
        <v>200</v>
      </c>
      <c r="D92" s="3"/>
      <c r="E92" s="3">
        <v>0</v>
      </c>
      <c r="F92" s="3"/>
      <c r="G92" s="3"/>
    </row>
    <row r="93" spans="2:7" x14ac:dyDescent="0.15">
      <c r="B93" s="4" t="s">
        <v>12</v>
      </c>
      <c r="C93" s="3">
        <v>200</v>
      </c>
      <c r="D93" s="3" t="s">
        <v>547</v>
      </c>
      <c r="E93" s="3">
        <v>200</v>
      </c>
      <c r="F93" s="3" t="s">
        <v>274</v>
      </c>
      <c r="G93" s="3" t="s">
        <v>567</v>
      </c>
    </row>
    <row r="94" spans="2:7" x14ac:dyDescent="0.15">
      <c r="B94" s="5" t="s">
        <v>549</v>
      </c>
      <c r="C94" s="3">
        <v>150</v>
      </c>
      <c r="D94" s="3" t="s">
        <v>550</v>
      </c>
      <c r="E94" s="3">
        <v>100</v>
      </c>
      <c r="F94" s="3" t="s">
        <v>551</v>
      </c>
      <c r="G94" s="3"/>
    </row>
    <row r="95" spans="2:7" x14ac:dyDescent="0.4">
      <c r="D95" s="1" t="s">
        <v>552</v>
      </c>
      <c r="E95" s="1">
        <f>SUM(E92:E94)</f>
        <v>300</v>
      </c>
    </row>
    <row r="97" spans="1:7" x14ac:dyDescent="0.4">
      <c r="B97" s="6" t="s">
        <v>568</v>
      </c>
    </row>
    <row r="98" spans="1:7" x14ac:dyDescent="0.4">
      <c r="B98" s="101" t="s">
        <v>541</v>
      </c>
      <c r="C98" s="101" t="s">
        <v>542</v>
      </c>
      <c r="D98" s="101" t="s">
        <v>2</v>
      </c>
      <c r="E98" s="101" t="s">
        <v>71</v>
      </c>
      <c r="F98" s="101" t="s">
        <v>5</v>
      </c>
      <c r="G98" s="101" t="s">
        <v>6</v>
      </c>
    </row>
    <row r="99" spans="1:7" x14ac:dyDescent="0.4">
      <c r="B99" s="2" t="s">
        <v>543</v>
      </c>
      <c r="C99" s="3">
        <v>300</v>
      </c>
      <c r="D99" s="3"/>
      <c r="E99" s="101" t="s">
        <v>544</v>
      </c>
      <c r="F99" s="3"/>
      <c r="G99" s="3"/>
    </row>
    <row r="100" spans="1:7" x14ac:dyDescent="0.4">
      <c r="B100" s="2" t="s">
        <v>545</v>
      </c>
      <c r="C100" s="3">
        <v>250</v>
      </c>
      <c r="D100" s="3"/>
      <c r="E100" s="101" t="s">
        <v>544</v>
      </c>
      <c r="F100" s="3"/>
      <c r="G100" s="3"/>
    </row>
    <row r="101" spans="1:7" x14ac:dyDescent="0.4">
      <c r="B101" s="2" t="s">
        <v>546</v>
      </c>
      <c r="C101" s="3">
        <v>200</v>
      </c>
      <c r="D101" s="3"/>
      <c r="E101" s="3">
        <v>0</v>
      </c>
      <c r="F101" s="3"/>
      <c r="G101" s="3"/>
    </row>
    <row r="102" spans="1:7" x14ac:dyDescent="0.15">
      <c r="B102" s="4" t="s">
        <v>12</v>
      </c>
      <c r="C102" s="3">
        <v>200</v>
      </c>
      <c r="D102" s="3" t="s">
        <v>547</v>
      </c>
      <c r="E102" s="3">
        <v>200</v>
      </c>
      <c r="F102" s="3" t="s">
        <v>274</v>
      </c>
      <c r="G102" s="3" t="s">
        <v>567</v>
      </c>
    </row>
    <row r="103" spans="1:7" x14ac:dyDescent="0.15">
      <c r="B103" s="5" t="s">
        <v>549</v>
      </c>
      <c r="C103" s="3">
        <v>200</v>
      </c>
      <c r="D103" s="3" t="s">
        <v>550</v>
      </c>
      <c r="E103" s="3">
        <v>0</v>
      </c>
      <c r="F103" s="3"/>
      <c r="G103" s="3"/>
    </row>
    <row r="104" spans="1:7" x14ac:dyDescent="0.4">
      <c r="D104" s="1" t="s">
        <v>552</v>
      </c>
      <c r="E104" s="1">
        <f>SUM(E101:E103)</f>
        <v>200</v>
      </c>
    </row>
    <row r="106" spans="1:7" s="7" customFormat="1" x14ac:dyDescent="0.4">
      <c r="A106" s="7" t="s">
        <v>569</v>
      </c>
      <c r="B106" s="8" t="s">
        <v>570</v>
      </c>
    </row>
    <row r="107" spans="1:7" s="7" customFormat="1" x14ac:dyDescent="0.4">
      <c r="B107" s="9" t="s">
        <v>541</v>
      </c>
      <c r="C107" s="9" t="s">
        <v>542</v>
      </c>
      <c r="D107" s="9" t="s">
        <v>2</v>
      </c>
      <c r="E107" s="9" t="s">
        <v>71</v>
      </c>
      <c r="F107" s="9" t="s">
        <v>5</v>
      </c>
      <c r="G107" s="9" t="s">
        <v>6</v>
      </c>
    </row>
    <row r="108" spans="1:7" s="7" customFormat="1" x14ac:dyDescent="0.4">
      <c r="B108" s="10" t="s">
        <v>543</v>
      </c>
      <c r="C108" s="11">
        <v>300</v>
      </c>
      <c r="D108" s="11"/>
      <c r="E108" s="9" t="s">
        <v>544</v>
      </c>
      <c r="F108" s="11"/>
      <c r="G108" s="11"/>
    </row>
    <row r="109" spans="1:7" s="7" customFormat="1" x14ac:dyDescent="0.4">
      <c r="B109" s="10" t="s">
        <v>545</v>
      </c>
      <c r="C109" s="11">
        <v>250</v>
      </c>
      <c r="D109" s="11"/>
      <c r="E109" s="9" t="s">
        <v>544</v>
      </c>
      <c r="F109" s="11"/>
      <c r="G109" s="11"/>
    </row>
    <row r="110" spans="1:7" s="7" customFormat="1" x14ac:dyDescent="0.4">
      <c r="B110" s="10" t="s">
        <v>546</v>
      </c>
      <c r="C110" s="11">
        <v>150</v>
      </c>
      <c r="D110" s="11" t="s">
        <v>560</v>
      </c>
      <c r="E110" s="11">
        <v>100</v>
      </c>
      <c r="F110" s="11" t="s">
        <v>32</v>
      </c>
      <c r="G110" s="11"/>
    </row>
    <row r="111" spans="1:7" s="7" customFormat="1" x14ac:dyDescent="0.15">
      <c r="B111" s="12" t="s">
        <v>12</v>
      </c>
      <c r="C111" s="11">
        <v>150</v>
      </c>
      <c r="D111" s="11"/>
      <c r="E111" s="11">
        <v>0</v>
      </c>
      <c r="F111" s="11"/>
      <c r="G111" s="11"/>
    </row>
    <row r="112" spans="1:7" s="7" customFormat="1" x14ac:dyDescent="0.15">
      <c r="B112" s="13" t="s">
        <v>549</v>
      </c>
      <c r="C112" s="11">
        <v>200</v>
      </c>
      <c r="D112" s="11" t="s">
        <v>556</v>
      </c>
      <c r="E112" s="11">
        <v>200</v>
      </c>
      <c r="F112" s="11" t="s">
        <v>274</v>
      </c>
      <c r="G112" s="11" t="s">
        <v>557</v>
      </c>
    </row>
    <row r="113" spans="1:7" s="7" customFormat="1" x14ac:dyDescent="0.4">
      <c r="D113" s="7" t="s">
        <v>552</v>
      </c>
      <c r="E113" s="7">
        <f>SUM(E110:E112)</f>
        <v>300</v>
      </c>
    </row>
    <row r="115" spans="1:7" s="7" customFormat="1" x14ac:dyDescent="0.4">
      <c r="A115" s="7" t="s">
        <v>569</v>
      </c>
      <c r="B115" s="8" t="s">
        <v>571</v>
      </c>
    </row>
    <row r="116" spans="1:7" s="7" customFormat="1" x14ac:dyDescent="0.4">
      <c r="B116" s="9" t="s">
        <v>541</v>
      </c>
      <c r="C116" s="9" t="s">
        <v>542</v>
      </c>
      <c r="D116" s="9" t="s">
        <v>2</v>
      </c>
      <c r="E116" s="9" t="s">
        <v>71</v>
      </c>
      <c r="F116" s="9" t="s">
        <v>5</v>
      </c>
      <c r="G116" s="9" t="s">
        <v>6</v>
      </c>
    </row>
    <row r="117" spans="1:7" s="7" customFormat="1" x14ac:dyDescent="0.4">
      <c r="B117" s="10" t="s">
        <v>543</v>
      </c>
      <c r="C117" s="11">
        <v>300</v>
      </c>
      <c r="D117" s="11"/>
      <c r="E117" s="9" t="s">
        <v>544</v>
      </c>
      <c r="F117" s="11"/>
      <c r="G117" s="11"/>
    </row>
    <row r="118" spans="1:7" s="7" customFormat="1" x14ac:dyDescent="0.4">
      <c r="B118" s="10" t="s">
        <v>545</v>
      </c>
      <c r="C118" s="11">
        <v>250</v>
      </c>
      <c r="D118" s="11"/>
      <c r="E118" s="9" t="s">
        <v>544</v>
      </c>
      <c r="F118" s="11"/>
      <c r="G118" s="11"/>
    </row>
    <row r="119" spans="1:7" s="7" customFormat="1" x14ac:dyDescent="0.4">
      <c r="B119" s="10" t="s">
        <v>546</v>
      </c>
      <c r="C119" s="11">
        <v>150</v>
      </c>
      <c r="D119" s="11" t="s">
        <v>560</v>
      </c>
      <c r="E119" s="11">
        <v>200</v>
      </c>
      <c r="F119" s="11" t="s">
        <v>32</v>
      </c>
      <c r="G119" s="11"/>
    </row>
    <row r="120" spans="1:7" s="7" customFormat="1" x14ac:dyDescent="0.15">
      <c r="B120" s="12" t="s">
        <v>12</v>
      </c>
      <c r="C120" s="11">
        <v>150</v>
      </c>
      <c r="D120" s="11"/>
      <c r="E120" s="11">
        <v>0</v>
      </c>
      <c r="F120" s="11"/>
      <c r="G120" s="11"/>
    </row>
    <row r="121" spans="1:7" s="7" customFormat="1" x14ac:dyDescent="0.15">
      <c r="B121" s="13" t="s">
        <v>549</v>
      </c>
      <c r="C121" s="11">
        <v>250</v>
      </c>
      <c r="D121" s="11" t="s">
        <v>556</v>
      </c>
      <c r="E121" s="11">
        <v>100</v>
      </c>
      <c r="F121" s="11" t="s">
        <v>274</v>
      </c>
      <c r="G121" s="11" t="s">
        <v>557</v>
      </c>
    </row>
    <row r="122" spans="1:7" s="7" customFormat="1" x14ac:dyDescent="0.4">
      <c r="D122" s="7" t="s">
        <v>552</v>
      </c>
      <c r="E122" s="7">
        <f>SUM(E119:E121)</f>
        <v>300</v>
      </c>
    </row>
    <row r="124" spans="1:7" x14ac:dyDescent="0.4">
      <c r="B124" s="6" t="s">
        <v>572</v>
      </c>
    </row>
    <row r="125" spans="1:7" x14ac:dyDescent="0.4">
      <c r="B125" s="101" t="s">
        <v>541</v>
      </c>
      <c r="C125" s="101" t="s">
        <v>542</v>
      </c>
      <c r="D125" s="101" t="s">
        <v>2</v>
      </c>
      <c r="E125" s="101" t="s">
        <v>71</v>
      </c>
      <c r="F125" s="101" t="s">
        <v>5</v>
      </c>
      <c r="G125" s="101" t="s">
        <v>6</v>
      </c>
    </row>
    <row r="126" spans="1:7" x14ac:dyDescent="0.4">
      <c r="B126" s="2" t="s">
        <v>543</v>
      </c>
      <c r="C126" s="3">
        <v>300</v>
      </c>
      <c r="D126" s="3"/>
      <c r="E126" s="101" t="s">
        <v>544</v>
      </c>
      <c r="F126" s="3"/>
      <c r="G126" s="3"/>
    </row>
    <row r="127" spans="1:7" x14ac:dyDescent="0.4">
      <c r="B127" s="2" t="s">
        <v>545</v>
      </c>
      <c r="C127" s="3">
        <v>250</v>
      </c>
      <c r="D127" s="3"/>
      <c r="E127" s="101" t="s">
        <v>544</v>
      </c>
      <c r="F127" s="3"/>
      <c r="G127" s="3"/>
    </row>
    <row r="128" spans="1:7" x14ac:dyDescent="0.4">
      <c r="B128" s="2" t="s">
        <v>546</v>
      </c>
      <c r="C128" s="3">
        <v>200</v>
      </c>
      <c r="D128" s="3" t="s">
        <v>560</v>
      </c>
      <c r="E128" s="3">
        <v>100</v>
      </c>
      <c r="F128" s="3" t="s">
        <v>32</v>
      </c>
      <c r="G128" s="3"/>
    </row>
    <row r="129" spans="1:7" x14ac:dyDescent="0.15">
      <c r="B129" s="4" t="s">
        <v>12</v>
      </c>
      <c r="C129" s="3">
        <v>200</v>
      </c>
      <c r="D129" s="3"/>
      <c r="E129" s="3">
        <v>0</v>
      </c>
      <c r="F129" s="3"/>
      <c r="G129" s="3"/>
    </row>
    <row r="130" spans="1:7" x14ac:dyDescent="0.15">
      <c r="B130" s="5" t="s">
        <v>549</v>
      </c>
      <c r="C130" s="3">
        <v>250</v>
      </c>
      <c r="D130" s="3" t="s">
        <v>556</v>
      </c>
      <c r="E130" s="3">
        <v>100</v>
      </c>
      <c r="F130" s="3" t="s">
        <v>274</v>
      </c>
      <c r="G130" s="3" t="s">
        <v>557</v>
      </c>
    </row>
    <row r="131" spans="1:7" x14ac:dyDescent="0.4">
      <c r="D131" s="1" t="s">
        <v>552</v>
      </c>
      <c r="E131" s="1">
        <f>SUM(E128:E130)</f>
        <v>200</v>
      </c>
    </row>
    <row r="133" spans="1:7" s="7" customFormat="1" x14ac:dyDescent="0.4">
      <c r="A133" s="7" t="s">
        <v>569</v>
      </c>
      <c r="B133" s="8" t="s">
        <v>573</v>
      </c>
    </row>
    <row r="134" spans="1:7" s="7" customFormat="1" x14ac:dyDescent="0.4">
      <c r="B134" s="9" t="s">
        <v>541</v>
      </c>
      <c r="C134" s="9" t="s">
        <v>542</v>
      </c>
      <c r="D134" s="9" t="s">
        <v>2</v>
      </c>
      <c r="E134" s="9" t="s">
        <v>71</v>
      </c>
      <c r="F134" s="9" t="s">
        <v>5</v>
      </c>
      <c r="G134" s="9" t="s">
        <v>6</v>
      </c>
    </row>
    <row r="135" spans="1:7" s="7" customFormat="1" x14ac:dyDescent="0.4">
      <c r="B135" s="10" t="s">
        <v>543</v>
      </c>
      <c r="C135" s="11">
        <v>300</v>
      </c>
      <c r="D135" s="11"/>
      <c r="E135" s="9" t="s">
        <v>544</v>
      </c>
      <c r="F135" s="11"/>
      <c r="G135" s="11"/>
    </row>
    <row r="136" spans="1:7" s="7" customFormat="1" x14ac:dyDescent="0.4">
      <c r="B136" s="10" t="s">
        <v>545</v>
      </c>
      <c r="C136" s="11">
        <v>250</v>
      </c>
      <c r="D136" s="11"/>
      <c r="E136" s="9" t="s">
        <v>544</v>
      </c>
      <c r="F136" s="11"/>
      <c r="G136" s="11"/>
    </row>
    <row r="137" spans="1:7" s="7" customFormat="1" x14ac:dyDescent="0.4">
      <c r="B137" s="10" t="s">
        <v>546</v>
      </c>
      <c r="C137" s="11">
        <v>200</v>
      </c>
      <c r="D137" s="11" t="s">
        <v>560</v>
      </c>
      <c r="E137" s="11">
        <v>300</v>
      </c>
      <c r="F137" s="11" t="s">
        <v>32</v>
      </c>
      <c r="G137" s="11"/>
    </row>
    <row r="138" spans="1:7" s="7" customFormat="1" x14ac:dyDescent="0.15">
      <c r="B138" s="12" t="s">
        <v>12</v>
      </c>
      <c r="C138" s="11">
        <v>150</v>
      </c>
      <c r="D138" s="11"/>
      <c r="E138" s="11">
        <v>0</v>
      </c>
      <c r="F138" s="11"/>
      <c r="G138" s="11"/>
    </row>
    <row r="139" spans="1:7" s="7" customFormat="1" x14ac:dyDescent="0.15">
      <c r="B139" s="13" t="s">
        <v>549</v>
      </c>
      <c r="C139" s="11">
        <v>350</v>
      </c>
      <c r="D139" s="11" t="s">
        <v>556</v>
      </c>
      <c r="E139" s="11">
        <v>-100</v>
      </c>
      <c r="F139" s="11" t="s">
        <v>274</v>
      </c>
      <c r="G139" s="11" t="s">
        <v>557</v>
      </c>
    </row>
    <row r="140" spans="1:7" s="7" customFormat="1" x14ac:dyDescent="0.4">
      <c r="D140" s="7" t="s">
        <v>552</v>
      </c>
      <c r="E140" s="7">
        <f>SUM(E137:E139)</f>
        <v>200</v>
      </c>
    </row>
    <row r="142" spans="1:7" x14ac:dyDescent="0.4">
      <c r="B142" s="6" t="s">
        <v>574</v>
      </c>
    </row>
    <row r="143" spans="1:7" x14ac:dyDescent="0.4">
      <c r="B143" s="101" t="s">
        <v>541</v>
      </c>
      <c r="C143" s="101" t="s">
        <v>542</v>
      </c>
      <c r="D143" s="101" t="s">
        <v>2</v>
      </c>
      <c r="E143" s="101" t="s">
        <v>71</v>
      </c>
      <c r="F143" s="101" t="s">
        <v>5</v>
      </c>
      <c r="G143" s="101" t="s">
        <v>6</v>
      </c>
    </row>
    <row r="144" spans="1:7" x14ac:dyDescent="0.4">
      <c r="B144" s="2" t="s">
        <v>543</v>
      </c>
      <c r="C144" s="3">
        <v>300</v>
      </c>
      <c r="D144" s="3"/>
      <c r="E144" s="101" t="s">
        <v>544</v>
      </c>
      <c r="F144" s="3"/>
      <c r="G144" s="3"/>
    </row>
    <row r="145" spans="1:7" x14ac:dyDescent="0.4">
      <c r="B145" s="2" t="s">
        <v>545</v>
      </c>
      <c r="C145" s="3">
        <v>250</v>
      </c>
      <c r="D145" s="3"/>
      <c r="E145" s="101" t="s">
        <v>544</v>
      </c>
      <c r="F145" s="3"/>
      <c r="G145" s="3"/>
    </row>
    <row r="146" spans="1:7" x14ac:dyDescent="0.4">
      <c r="B146" s="2" t="s">
        <v>546</v>
      </c>
      <c r="C146" s="3">
        <v>200</v>
      </c>
      <c r="D146" s="3" t="s">
        <v>560</v>
      </c>
      <c r="E146" s="3">
        <v>300</v>
      </c>
      <c r="F146" s="3" t="s">
        <v>32</v>
      </c>
      <c r="G146" s="3"/>
    </row>
    <row r="147" spans="1:7" x14ac:dyDescent="0.15">
      <c r="B147" s="4" t="s">
        <v>12</v>
      </c>
      <c r="C147" s="3">
        <v>200</v>
      </c>
      <c r="D147" s="3"/>
      <c r="E147" s="3">
        <v>0</v>
      </c>
      <c r="F147" s="3"/>
      <c r="G147" s="3"/>
    </row>
    <row r="148" spans="1:7" x14ac:dyDescent="0.15">
      <c r="B148" s="5" t="s">
        <v>549</v>
      </c>
      <c r="C148" s="3">
        <v>350</v>
      </c>
      <c r="D148" s="3" t="s">
        <v>556</v>
      </c>
      <c r="E148" s="3">
        <v>-100</v>
      </c>
      <c r="F148" s="3" t="s">
        <v>274</v>
      </c>
      <c r="G148" s="3" t="s">
        <v>557</v>
      </c>
    </row>
    <row r="149" spans="1:7" x14ac:dyDescent="0.4">
      <c r="D149" s="1" t="s">
        <v>552</v>
      </c>
      <c r="E149" s="1">
        <f>SUM(E146:E148)</f>
        <v>200</v>
      </c>
    </row>
    <row r="151" spans="1:7" s="7" customFormat="1" x14ac:dyDescent="0.4">
      <c r="A151" s="7" t="s">
        <v>569</v>
      </c>
      <c r="B151" s="8" t="s">
        <v>575</v>
      </c>
    </row>
    <row r="152" spans="1:7" s="7" customFormat="1" x14ac:dyDescent="0.4">
      <c r="B152" s="9" t="s">
        <v>541</v>
      </c>
      <c r="C152" s="9" t="s">
        <v>542</v>
      </c>
      <c r="D152" s="9" t="s">
        <v>2</v>
      </c>
      <c r="E152" s="9" t="s">
        <v>71</v>
      </c>
      <c r="F152" s="9" t="s">
        <v>5</v>
      </c>
      <c r="G152" s="9" t="s">
        <v>6</v>
      </c>
    </row>
    <row r="153" spans="1:7" s="7" customFormat="1" x14ac:dyDescent="0.4">
      <c r="B153" s="10" t="s">
        <v>543</v>
      </c>
      <c r="C153" s="11">
        <v>300</v>
      </c>
      <c r="D153" s="11"/>
      <c r="E153" s="9" t="s">
        <v>544</v>
      </c>
      <c r="F153" s="11"/>
      <c r="G153" s="11"/>
    </row>
    <row r="154" spans="1:7" s="7" customFormat="1" x14ac:dyDescent="0.4">
      <c r="B154" s="10" t="s">
        <v>545</v>
      </c>
      <c r="C154" s="11">
        <v>250</v>
      </c>
      <c r="D154" s="11"/>
      <c r="E154" s="9" t="s">
        <v>544</v>
      </c>
      <c r="F154" s="11"/>
      <c r="G154" s="11"/>
    </row>
    <row r="155" spans="1:7" s="7" customFormat="1" x14ac:dyDescent="0.4">
      <c r="B155" s="10" t="s">
        <v>546</v>
      </c>
      <c r="C155" s="11">
        <v>150</v>
      </c>
      <c r="D155" s="11" t="s">
        <v>576</v>
      </c>
      <c r="E155" s="11">
        <v>100</v>
      </c>
      <c r="F155" s="11" t="s">
        <v>32</v>
      </c>
      <c r="G155" s="11"/>
    </row>
    <row r="156" spans="1:7" s="7" customFormat="1" x14ac:dyDescent="0.15">
      <c r="B156" s="12" t="s">
        <v>12</v>
      </c>
      <c r="C156" s="11">
        <v>200</v>
      </c>
      <c r="D156" s="11" t="s">
        <v>547</v>
      </c>
      <c r="E156" s="11">
        <v>200</v>
      </c>
      <c r="F156" s="11" t="s">
        <v>274</v>
      </c>
      <c r="G156" s="11" t="s">
        <v>567</v>
      </c>
    </row>
    <row r="157" spans="1:7" s="7" customFormat="1" x14ac:dyDescent="0.15">
      <c r="B157" s="13" t="s">
        <v>549</v>
      </c>
      <c r="C157" s="11">
        <v>100</v>
      </c>
      <c r="D157" s="11" t="s">
        <v>550</v>
      </c>
      <c r="E157" s="11">
        <v>200</v>
      </c>
      <c r="F157" s="11" t="s">
        <v>551</v>
      </c>
      <c r="G157" s="11"/>
    </row>
    <row r="158" spans="1:7" s="7" customFormat="1" x14ac:dyDescent="0.4">
      <c r="D158" s="7" t="s">
        <v>552</v>
      </c>
      <c r="E158" s="7">
        <f>SUM(E155:E157)</f>
        <v>500</v>
      </c>
    </row>
    <row r="160" spans="1:7" s="7" customFormat="1" x14ac:dyDescent="0.4">
      <c r="A160" s="7" t="s">
        <v>569</v>
      </c>
      <c r="B160" s="8" t="s">
        <v>577</v>
      </c>
    </row>
    <row r="161" spans="1:7" s="7" customFormat="1" x14ac:dyDescent="0.4">
      <c r="B161" s="9" t="s">
        <v>541</v>
      </c>
      <c r="C161" s="9" t="s">
        <v>542</v>
      </c>
      <c r="D161" s="9" t="s">
        <v>2</v>
      </c>
      <c r="E161" s="9" t="s">
        <v>71</v>
      </c>
      <c r="F161" s="9" t="s">
        <v>5</v>
      </c>
      <c r="G161" s="9" t="s">
        <v>6</v>
      </c>
    </row>
    <row r="162" spans="1:7" s="7" customFormat="1" x14ac:dyDescent="0.4">
      <c r="B162" s="10" t="s">
        <v>543</v>
      </c>
      <c r="C162" s="11">
        <v>300</v>
      </c>
      <c r="D162" s="11"/>
      <c r="E162" s="9" t="s">
        <v>544</v>
      </c>
      <c r="F162" s="11"/>
      <c r="G162" s="11"/>
    </row>
    <row r="163" spans="1:7" s="7" customFormat="1" x14ac:dyDescent="0.4">
      <c r="B163" s="10" t="s">
        <v>545</v>
      </c>
      <c r="C163" s="11">
        <v>250</v>
      </c>
      <c r="D163" s="11"/>
      <c r="E163" s="9" t="s">
        <v>544</v>
      </c>
      <c r="F163" s="11"/>
      <c r="G163" s="11"/>
    </row>
    <row r="164" spans="1:7" s="7" customFormat="1" x14ac:dyDescent="0.4">
      <c r="B164" s="10" t="s">
        <v>546</v>
      </c>
      <c r="C164" s="11">
        <v>150</v>
      </c>
      <c r="D164" s="11" t="s">
        <v>576</v>
      </c>
      <c r="E164" s="11">
        <v>100</v>
      </c>
      <c r="F164" s="11" t="s">
        <v>32</v>
      </c>
      <c r="G164" s="11"/>
    </row>
    <row r="165" spans="1:7" s="7" customFormat="1" x14ac:dyDescent="0.15">
      <c r="B165" s="12" t="s">
        <v>12</v>
      </c>
      <c r="C165" s="11">
        <v>200</v>
      </c>
      <c r="D165" s="11" t="s">
        <v>547</v>
      </c>
      <c r="E165" s="11">
        <v>200</v>
      </c>
      <c r="F165" s="11" t="s">
        <v>274</v>
      </c>
      <c r="G165" s="11" t="s">
        <v>567</v>
      </c>
    </row>
    <row r="166" spans="1:7" s="7" customFormat="1" x14ac:dyDescent="0.15">
      <c r="B166" s="13" t="s">
        <v>549</v>
      </c>
      <c r="C166" s="11">
        <v>150</v>
      </c>
      <c r="D166" s="11" t="s">
        <v>550</v>
      </c>
      <c r="E166" s="11">
        <v>100</v>
      </c>
      <c r="F166" s="11" t="s">
        <v>551</v>
      </c>
      <c r="G166" s="11"/>
    </row>
    <row r="167" spans="1:7" s="7" customFormat="1" x14ac:dyDescent="0.4">
      <c r="D167" s="7" t="s">
        <v>552</v>
      </c>
      <c r="E167" s="7">
        <f>SUM(E164:E166)</f>
        <v>400</v>
      </c>
    </row>
    <row r="169" spans="1:7" s="7" customFormat="1" x14ac:dyDescent="0.4">
      <c r="A169" s="7" t="s">
        <v>569</v>
      </c>
      <c r="B169" s="8" t="s">
        <v>578</v>
      </c>
    </row>
    <row r="170" spans="1:7" s="7" customFormat="1" x14ac:dyDescent="0.4">
      <c r="B170" s="9" t="s">
        <v>541</v>
      </c>
      <c r="C170" s="9" t="s">
        <v>542</v>
      </c>
      <c r="D170" s="9" t="s">
        <v>2</v>
      </c>
      <c r="E170" s="9" t="s">
        <v>71</v>
      </c>
      <c r="F170" s="9" t="s">
        <v>5</v>
      </c>
      <c r="G170" s="9" t="s">
        <v>6</v>
      </c>
    </row>
    <row r="171" spans="1:7" s="7" customFormat="1" x14ac:dyDescent="0.4">
      <c r="B171" s="10" t="s">
        <v>543</v>
      </c>
      <c r="C171" s="11">
        <v>300</v>
      </c>
      <c r="D171" s="11"/>
      <c r="E171" s="9" t="s">
        <v>544</v>
      </c>
      <c r="F171" s="11"/>
      <c r="G171" s="11"/>
    </row>
    <row r="172" spans="1:7" s="7" customFormat="1" x14ac:dyDescent="0.4">
      <c r="B172" s="10" t="s">
        <v>545</v>
      </c>
      <c r="C172" s="11">
        <v>250</v>
      </c>
      <c r="D172" s="11"/>
      <c r="E172" s="9" t="s">
        <v>544</v>
      </c>
      <c r="F172" s="11"/>
      <c r="G172" s="11"/>
    </row>
    <row r="173" spans="1:7" s="7" customFormat="1" x14ac:dyDescent="0.4">
      <c r="B173" s="10" t="s">
        <v>546</v>
      </c>
      <c r="C173" s="11">
        <v>100</v>
      </c>
      <c r="D173" s="11" t="s">
        <v>576</v>
      </c>
      <c r="E173" s="11">
        <v>200</v>
      </c>
      <c r="F173" s="11" t="s">
        <v>32</v>
      </c>
      <c r="G173" s="11"/>
    </row>
    <row r="174" spans="1:7" s="7" customFormat="1" x14ac:dyDescent="0.15">
      <c r="B174" s="12" t="s">
        <v>12</v>
      </c>
      <c r="C174" s="11">
        <v>200</v>
      </c>
      <c r="D174" s="11" t="s">
        <v>547</v>
      </c>
      <c r="E174" s="11">
        <v>200</v>
      </c>
      <c r="F174" s="11" t="s">
        <v>274</v>
      </c>
      <c r="G174" s="11" t="s">
        <v>567</v>
      </c>
    </row>
    <row r="175" spans="1:7" s="7" customFormat="1" x14ac:dyDescent="0.15">
      <c r="B175" s="13" t="s">
        <v>549</v>
      </c>
      <c r="C175" s="11">
        <v>150</v>
      </c>
      <c r="D175" s="11" t="s">
        <v>550</v>
      </c>
      <c r="E175" s="11">
        <v>100</v>
      </c>
      <c r="F175" s="11" t="s">
        <v>551</v>
      </c>
      <c r="G175" s="11"/>
    </row>
    <row r="176" spans="1:7" s="7" customFormat="1" x14ac:dyDescent="0.4">
      <c r="D176" s="7" t="s">
        <v>552</v>
      </c>
      <c r="E176" s="7">
        <f>SUM(E173:E175)</f>
        <v>500</v>
      </c>
    </row>
    <row r="178" spans="1:7" s="7" customFormat="1" x14ac:dyDescent="0.4">
      <c r="A178" s="7" t="s">
        <v>569</v>
      </c>
      <c r="B178" s="8" t="s">
        <v>579</v>
      </c>
    </row>
    <row r="179" spans="1:7" s="7" customFormat="1" x14ac:dyDescent="0.4">
      <c r="B179" s="9" t="s">
        <v>541</v>
      </c>
      <c r="C179" s="9" t="s">
        <v>542</v>
      </c>
      <c r="D179" s="9" t="s">
        <v>2</v>
      </c>
      <c r="E179" s="9" t="s">
        <v>71</v>
      </c>
      <c r="F179" s="9" t="s">
        <v>5</v>
      </c>
      <c r="G179" s="9" t="s">
        <v>6</v>
      </c>
    </row>
    <row r="180" spans="1:7" s="7" customFormat="1" x14ac:dyDescent="0.4">
      <c r="B180" s="10" t="s">
        <v>543</v>
      </c>
      <c r="C180" s="11">
        <v>300</v>
      </c>
      <c r="D180" s="11"/>
      <c r="E180" s="9" t="s">
        <v>544</v>
      </c>
      <c r="F180" s="11"/>
      <c r="G180" s="11"/>
    </row>
    <row r="181" spans="1:7" s="7" customFormat="1" x14ac:dyDescent="0.4">
      <c r="B181" s="10" t="s">
        <v>545</v>
      </c>
      <c r="C181" s="11">
        <v>250</v>
      </c>
      <c r="D181" s="11"/>
      <c r="E181" s="9" t="s">
        <v>544</v>
      </c>
      <c r="F181" s="11"/>
      <c r="G181" s="11"/>
    </row>
    <row r="182" spans="1:7" s="7" customFormat="1" x14ac:dyDescent="0.4">
      <c r="B182" s="10" t="s">
        <v>546</v>
      </c>
      <c r="C182" s="11">
        <v>150</v>
      </c>
      <c r="D182" s="11" t="s">
        <v>576</v>
      </c>
      <c r="E182" s="11">
        <v>100</v>
      </c>
      <c r="F182" s="11" t="s">
        <v>32</v>
      </c>
      <c r="G182" s="11"/>
    </row>
    <row r="183" spans="1:7" s="7" customFormat="1" x14ac:dyDescent="0.15">
      <c r="B183" s="12" t="s">
        <v>12</v>
      </c>
      <c r="C183" s="11">
        <v>200</v>
      </c>
      <c r="D183" s="11" t="s">
        <v>547</v>
      </c>
      <c r="E183" s="11">
        <v>200</v>
      </c>
      <c r="F183" s="11" t="s">
        <v>274</v>
      </c>
      <c r="G183" s="11" t="s">
        <v>567</v>
      </c>
    </row>
    <row r="184" spans="1:7" s="7" customFormat="1" x14ac:dyDescent="0.15">
      <c r="B184" s="13" t="s">
        <v>549</v>
      </c>
      <c r="C184" s="11">
        <v>150</v>
      </c>
      <c r="D184" s="11" t="s">
        <v>550</v>
      </c>
      <c r="E184" s="11">
        <v>100</v>
      </c>
      <c r="F184" s="11" t="s">
        <v>551</v>
      </c>
      <c r="G184" s="11"/>
    </row>
    <row r="185" spans="1:7" s="7" customFormat="1" x14ac:dyDescent="0.4">
      <c r="D185" s="7" t="s">
        <v>552</v>
      </c>
      <c r="E185" s="7">
        <f>SUM(E182:E184)</f>
        <v>400</v>
      </c>
    </row>
    <row r="187" spans="1:7" s="14" customFormat="1" x14ac:dyDescent="0.4">
      <c r="A187" s="14" t="s">
        <v>580</v>
      </c>
      <c r="B187" s="15" t="s">
        <v>581</v>
      </c>
    </row>
    <row r="188" spans="1:7" s="14" customFormat="1" x14ac:dyDescent="0.4">
      <c r="B188" s="16" t="s">
        <v>541</v>
      </c>
      <c r="C188" s="16" t="s">
        <v>542</v>
      </c>
      <c r="D188" s="16" t="s">
        <v>2</v>
      </c>
      <c r="E188" s="16" t="s">
        <v>71</v>
      </c>
      <c r="F188" s="16" t="s">
        <v>5</v>
      </c>
      <c r="G188" s="16" t="s">
        <v>6</v>
      </c>
    </row>
    <row r="189" spans="1:7" s="14" customFormat="1" x14ac:dyDescent="0.4">
      <c r="B189" s="17" t="s">
        <v>543</v>
      </c>
      <c r="C189" s="18">
        <v>300</v>
      </c>
      <c r="D189" s="18"/>
      <c r="E189" s="16"/>
      <c r="F189" s="18"/>
      <c r="G189" s="18"/>
    </row>
    <row r="190" spans="1:7" s="14" customFormat="1" x14ac:dyDescent="0.4">
      <c r="B190" s="17" t="s">
        <v>545</v>
      </c>
      <c r="C190" s="18">
        <v>250</v>
      </c>
      <c r="D190" s="18"/>
      <c r="E190" s="16"/>
      <c r="F190" s="18"/>
      <c r="G190" s="18"/>
    </row>
    <row r="191" spans="1:7" s="14" customFormat="1" x14ac:dyDescent="0.4">
      <c r="B191" s="17" t="s">
        <v>546</v>
      </c>
      <c r="C191" s="18">
        <v>150</v>
      </c>
      <c r="D191" s="18" t="s">
        <v>576</v>
      </c>
      <c r="E191" s="18"/>
      <c r="F191" s="18"/>
      <c r="G191" s="18"/>
    </row>
    <row r="192" spans="1:7" s="14" customFormat="1" x14ac:dyDescent="0.15">
      <c r="B192" s="19" t="s">
        <v>12</v>
      </c>
      <c r="C192" s="18">
        <v>200</v>
      </c>
      <c r="D192" s="18" t="s">
        <v>547</v>
      </c>
      <c r="E192" s="18"/>
      <c r="F192" s="18"/>
      <c r="G192" s="18"/>
    </row>
    <row r="193" spans="1:7" s="14" customFormat="1" x14ac:dyDescent="0.15">
      <c r="B193" s="20" t="s">
        <v>549</v>
      </c>
      <c r="C193" s="18">
        <v>150</v>
      </c>
      <c r="D193" s="18" t="s">
        <v>550</v>
      </c>
      <c r="E193" s="18"/>
      <c r="F193" s="18"/>
      <c r="G193" s="18"/>
    </row>
    <row r="194" spans="1:7" s="14" customFormat="1" x14ac:dyDescent="0.4">
      <c r="D194" s="14" t="s">
        <v>552</v>
      </c>
      <c r="E194" s="14">
        <f>SUM(E191:E193)</f>
        <v>0</v>
      </c>
    </row>
    <row r="196" spans="1:7" s="7" customFormat="1" x14ac:dyDescent="0.4">
      <c r="A196" s="7" t="s">
        <v>569</v>
      </c>
      <c r="B196" s="8" t="s">
        <v>582</v>
      </c>
    </row>
    <row r="197" spans="1:7" s="7" customFormat="1" x14ac:dyDescent="0.4">
      <c r="B197" s="9" t="s">
        <v>541</v>
      </c>
      <c r="C197" s="9" t="s">
        <v>542</v>
      </c>
      <c r="D197" s="9" t="s">
        <v>2</v>
      </c>
      <c r="E197" s="9" t="s">
        <v>71</v>
      </c>
      <c r="F197" s="9" t="s">
        <v>5</v>
      </c>
      <c r="G197" s="9" t="s">
        <v>6</v>
      </c>
    </row>
    <row r="198" spans="1:7" s="7" customFormat="1" x14ac:dyDescent="0.4">
      <c r="B198" s="10" t="s">
        <v>543</v>
      </c>
      <c r="C198" s="11">
        <v>300</v>
      </c>
      <c r="D198" s="11"/>
      <c r="E198" s="9" t="s">
        <v>544</v>
      </c>
      <c r="F198" s="11"/>
      <c r="G198" s="11"/>
    </row>
    <row r="199" spans="1:7" s="7" customFormat="1" x14ac:dyDescent="0.4">
      <c r="B199" s="10" t="s">
        <v>545</v>
      </c>
      <c r="C199" s="11">
        <v>200</v>
      </c>
      <c r="D199" s="11"/>
      <c r="E199" s="9" t="s">
        <v>544</v>
      </c>
      <c r="F199" s="11"/>
      <c r="G199" s="11"/>
    </row>
    <row r="200" spans="1:7" s="7" customFormat="1" x14ac:dyDescent="0.4">
      <c r="B200" s="10" t="s">
        <v>546</v>
      </c>
      <c r="C200" s="11">
        <v>150</v>
      </c>
      <c r="D200" s="11" t="s">
        <v>576</v>
      </c>
      <c r="E200" s="11">
        <v>200</v>
      </c>
      <c r="F200" s="11" t="s">
        <v>32</v>
      </c>
      <c r="G200" s="11"/>
    </row>
    <row r="201" spans="1:7" s="7" customFormat="1" x14ac:dyDescent="0.15">
      <c r="B201" s="12" t="s">
        <v>12</v>
      </c>
      <c r="C201" s="11">
        <v>250</v>
      </c>
      <c r="D201" s="11" t="s">
        <v>547</v>
      </c>
      <c r="E201" s="11">
        <v>100</v>
      </c>
      <c r="F201" s="11" t="s">
        <v>274</v>
      </c>
      <c r="G201" s="11" t="s">
        <v>567</v>
      </c>
    </row>
    <row r="202" spans="1:7" s="7" customFormat="1" x14ac:dyDescent="0.15">
      <c r="B202" s="13" t="s">
        <v>549</v>
      </c>
      <c r="C202" s="11">
        <v>150</v>
      </c>
      <c r="D202" s="11" t="s">
        <v>550</v>
      </c>
      <c r="E202" s="11">
        <v>200</v>
      </c>
      <c r="F202" s="11" t="s">
        <v>551</v>
      </c>
      <c r="G202" s="11"/>
    </row>
    <row r="203" spans="1:7" s="7" customFormat="1" x14ac:dyDescent="0.4">
      <c r="D203" s="7" t="s">
        <v>552</v>
      </c>
      <c r="E203" s="7">
        <f>SUM(E200:E202)</f>
        <v>500</v>
      </c>
    </row>
    <row r="204" spans="1:7" s="7" customFormat="1" x14ac:dyDescent="0.4"/>
    <row r="205" spans="1:7" s="7" customFormat="1" x14ac:dyDescent="0.4">
      <c r="A205" s="7" t="s">
        <v>569</v>
      </c>
      <c r="B205" s="8" t="s">
        <v>583</v>
      </c>
    </row>
    <row r="206" spans="1:7" s="7" customFormat="1" x14ac:dyDescent="0.4">
      <c r="B206" s="9" t="s">
        <v>541</v>
      </c>
      <c r="C206" s="9" t="s">
        <v>542</v>
      </c>
      <c r="D206" s="9" t="s">
        <v>2</v>
      </c>
      <c r="E206" s="9" t="s">
        <v>71</v>
      </c>
      <c r="F206" s="9" t="s">
        <v>5</v>
      </c>
      <c r="G206" s="9" t="s">
        <v>6</v>
      </c>
    </row>
    <row r="207" spans="1:7" s="7" customFormat="1" x14ac:dyDescent="0.4">
      <c r="B207" s="10" t="s">
        <v>543</v>
      </c>
      <c r="C207" s="11">
        <v>300</v>
      </c>
      <c r="D207" s="11"/>
      <c r="E207" s="9" t="s">
        <v>544</v>
      </c>
      <c r="F207" s="11"/>
      <c r="G207" s="11"/>
    </row>
    <row r="208" spans="1:7" s="7" customFormat="1" x14ac:dyDescent="0.4">
      <c r="B208" s="10" t="s">
        <v>545</v>
      </c>
      <c r="C208" s="11">
        <v>150</v>
      </c>
      <c r="D208" s="11"/>
      <c r="E208" s="9" t="s">
        <v>544</v>
      </c>
      <c r="F208" s="11"/>
      <c r="G208" s="11"/>
    </row>
    <row r="209" spans="1:7" s="7" customFormat="1" x14ac:dyDescent="0.4">
      <c r="B209" s="10" t="s">
        <v>546</v>
      </c>
      <c r="C209" s="11">
        <v>100</v>
      </c>
      <c r="D209" s="11" t="s">
        <v>576</v>
      </c>
      <c r="E209" s="11">
        <v>300</v>
      </c>
      <c r="F209" s="11" t="s">
        <v>32</v>
      </c>
      <c r="G209" s="11"/>
    </row>
    <row r="210" spans="1:7" s="7" customFormat="1" x14ac:dyDescent="0.15">
      <c r="B210" s="12" t="s">
        <v>12</v>
      </c>
      <c r="C210" s="11">
        <v>250</v>
      </c>
      <c r="D210" s="11" t="s">
        <v>547</v>
      </c>
      <c r="E210" s="11">
        <v>100</v>
      </c>
      <c r="F210" s="11" t="s">
        <v>274</v>
      </c>
      <c r="G210" s="11" t="s">
        <v>567</v>
      </c>
    </row>
    <row r="211" spans="1:7" s="7" customFormat="1" x14ac:dyDescent="0.15">
      <c r="B211" s="13" t="s">
        <v>549</v>
      </c>
      <c r="C211" s="11">
        <v>200</v>
      </c>
      <c r="D211" s="11" t="s">
        <v>550</v>
      </c>
      <c r="E211" s="11">
        <v>100</v>
      </c>
      <c r="F211" s="11" t="s">
        <v>551</v>
      </c>
      <c r="G211" s="11"/>
    </row>
    <row r="212" spans="1:7" s="7" customFormat="1" x14ac:dyDescent="0.4">
      <c r="D212" s="7" t="s">
        <v>552</v>
      </c>
      <c r="E212" s="7">
        <f>SUM(E209:E211)</f>
        <v>500</v>
      </c>
    </row>
    <row r="214" spans="1:7" x14ac:dyDescent="0.4">
      <c r="B214" s="6" t="s">
        <v>584</v>
      </c>
    </row>
    <row r="215" spans="1:7" x14ac:dyDescent="0.4">
      <c r="B215" s="101" t="s">
        <v>541</v>
      </c>
      <c r="C215" s="101" t="s">
        <v>542</v>
      </c>
      <c r="D215" s="101" t="s">
        <v>2</v>
      </c>
      <c r="E215" s="101" t="s">
        <v>71</v>
      </c>
      <c r="F215" s="101" t="s">
        <v>5</v>
      </c>
      <c r="G215" s="101" t="s">
        <v>6</v>
      </c>
    </row>
    <row r="216" spans="1:7" x14ac:dyDescent="0.4">
      <c r="B216" s="2" t="s">
        <v>543</v>
      </c>
      <c r="C216" s="3">
        <v>300</v>
      </c>
      <c r="D216" s="3"/>
      <c r="E216" s="101" t="s">
        <v>544</v>
      </c>
      <c r="F216" s="3"/>
      <c r="G216" s="3"/>
    </row>
    <row r="217" spans="1:7" x14ac:dyDescent="0.4">
      <c r="B217" s="2" t="s">
        <v>545</v>
      </c>
      <c r="C217" s="3">
        <v>200</v>
      </c>
      <c r="D217" s="3"/>
      <c r="E217" s="101" t="s">
        <v>544</v>
      </c>
      <c r="F217" s="3"/>
      <c r="G217" s="3"/>
    </row>
    <row r="218" spans="1:7" x14ac:dyDescent="0.4">
      <c r="B218" s="2" t="s">
        <v>546</v>
      </c>
      <c r="C218" s="3">
        <v>150</v>
      </c>
      <c r="D218" s="3" t="s">
        <v>576</v>
      </c>
      <c r="E218" s="3">
        <v>200</v>
      </c>
      <c r="F218" s="3" t="s">
        <v>32</v>
      </c>
      <c r="G218" s="3"/>
    </row>
    <row r="219" spans="1:7" x14ac:dyDescent="0.15">
      <c r="B219" s="4" t="s">
        <v>12</v>
      </c>
      <c r="C219" s="3">
        <v>250</v>
      </c>
      <c r="D219" s="3" t="s">
        <v>547</v>
      </c>
      <c r="E219" s="3">
        <v>100</v>
      </c>
      <c r="F219" s="3" t="s">
        <v>274</v>
      </c>
      <c r="G219" s="3" t="s">
        <v>567</v>
      </c>
    </row>
    <row r="220" spans="1:7" x14ac:dyDescent="0.15">
      <c r="B220" s="5" t="s">
        <v>549</v>
      </c>
      <c r="C220" s="3">
        <v>200</v>
      </c>
      <c r="D220" s="3" t="s">
        <v>550</v>
      </c>
      <c r="E220" s="3">
        <v>100</v>
      </c>
      <c r="F220" s="3" t="s">
        <v>551</v>
      </c>
      <c r="G220" s="3"/>
    </row>
    <row r="221" spans="1:7" x14ac:dyDescent="0.4">
      <c r="D221" s="1" t="s">
        <v>552</v>
      </c>
      <c r="E221" s="1">
        <f>SUM(E218:E220)</f>
        <v>400</v>
      </c>
    </row>
    <row r="223" spans="1:7" s="14" customFormat="1" x14ac:dyDescent="0.4">
      <c r="A223" s="14" t="s">
        <v>580</v>
      </c>
      <c r="B223" s="15" t="s">
        <v>585</v>
      </c>
    </row>
    <row r="224" spans="1:7" s="14" customFormat="1" x14ac:dyDescent="0.4">
      <c r="B224" s="16" t="s">
        <v>541</v>
      </c>
      <c r="C224" s="16" t="s">
        <v>542</v>
      </c>
      <c r="D224" s="16" t="s">
        <v>2</v>
      </c>
      <c r="E224" s="16" t="s">
        <v>71</v>
      </c>
      <c r="F224" s="16" t="s">
        <v>5</v>
      </c>
      <c r="G224" s="16" t="s">
        <v>6</v>
      </c>
    </row>
    <row r="225" spans="2:7" s="14" customFormat="1" x14ac:dyDescent="0.4">
      <c r="B225" s="17" t="s">
        <v>543</v>
      </c>
      <c r="C225" s="18">
        <v>300</v>
      </c>
      <c r="D225" s="18"/>
      <c r="E225" s="16" t="s">
        <v>544</v>
      </c>
      <c r="F225" s="18"/>
      <c r="G225" s="18"/>
    </row>
    <row r="226" spans="2:7" s="14" customFormat="1" x14ac:dyDescent="0.4">
      <c r="B226" s="17" t="s">
        <v>545</v>
      </c>
      <c r="C226" s="18">
        <v>250</v>
      </c>
      <c r="D226" s="18"/>
      <c r="E226" s="16" t="s">
        <v>544</v>
      </c>
      <c r="F226" s="18"/>
      <c r="G226" s="18"/>
    </row>
    <row r="227" spans="2:7" s="14" customFormat="1" x14ac:dyDescent="0.4">
      <c r="B227" s="17" t="s">
        <v>546</v>
      </c>
      <c r="C227" s="18">
        <v>200</v>
      </c>
      <c r="D227" s="18" t="s">
        <v>576</v>
      </c>
      <c r="E227" s="18">
        <v>200</v>
      </c>
      <c r="F227" s="18" t="s">
        <v>32</v>
      </c>
      <c r="G227" s="18"/>
    </row>
    <row r="228" spans="2:7" s="14" customFormat="1" x14ac:dyDescent="0.15">
      <c r="B228" s="19" t="s">
        <v>12</v>
      </c>
      <c r="C228" s="18">
        <v>350</v>
      </c>
      <c r="D228" s="18" t="s">
        <v>547</v>
      </c>
      <c r="E228" s="18">
        <v>100</v>
      </c>
      <c r="F228" s="18" t="s">
        <v>274</v>
      </c>
      <c r="G228" s="18" t="s">
        <v>567</v>
      </c>
    </row>
    <row r="229" spans="2:7" s="14" customFormat="1" x14ac:dyDescent="0.15">
      <c r="B229" s="20" t="s">
        <v>549</v>
      </c>
      <c r="C229" s="18">
        <v>150</v>
      </c>
      <c r="D229" s="18" t="s">
        <v>550</v>
      </c>
      <c r="E229" s="18">
        <v>100</v>
      </c>
      <c r="F229" s="18" t="s">
        <v>551</v>
      </c>
      <c r="G229" s="18"/>
    </row>
    <row r="230" spans="2:7" s="14" customFormat="1" x14ac:dyDescent="0.4">
      <c r="D230" s="14" t="s">
        <v>552</v>
      </c>
      <c r="E230" s="14">
        <f>SUM(E227:E229)</f>
        <v>400</v>
      </c>
    </row>
    <row r="232" spans="2:7" x14ac:dyDescent="0.4">
      <c r="B232" s="6" t="s">
        <v>586</v>
      </c>
    </row>
    <row r="233" spans="2:7" x14ac:dyDescent="0.4">
      <c r="B233" s="101" t="s">
        <v>541</v>
      </c>
      <c r="C233" s="101" t="s">
        <v>542</v>
      </c>
      <c r="D233" s="101" t="s">
        <v>2</v>
      </c>
      <c r="E233" s="101" t="s">
        <v>71</v>
      </c>
      <c r="F233" s="101" t="s">
        <v>5</v>
      </c>
      <c r="G233" s="101" t="s">
        <v>6</v>
      </c>
    </row>
    <row r="234" spans="2:7" x14ac:dyDescent="0.4">
      <c r="B234" s="2" t="s">
        <v>543</v>
      </c>
      <c r="C234" s="3">
        <v>300</v>
      </c>
      <c r="D234" s="3"/>
      <c r="E234" s="101" t="s">
        <v>544</v>
      </c>
      <c r="F234" s="3"/>
      <c r="G234" s="3"/>
    </row>
    <row r="235" spans="2:7" x14ac:dyDescent="0.4">
      <c r="B235" s="2" t="s">
        <v>545</v>
      </c>
      <c r="C235" s="3">
        <v>250</v>
      </c>
      <c r="D235" s="3"/>
      <c r="E235" s="101" t="s">
        <v>544</v>
      </c>
      <c r="F235" s="3"/>
      <c r="G235" s="3"/>
    </row>
    <row r="236" spans="2:7" x14ac:dyDescent="0.4">
      <c r="B236" s="2" t="s">
        <v>546</v>
      </c>
      <c r="C236" s="3">
        <v>200</v>
      </c>
      <c r="D236" s="3" t="s">
        <v>576</v>
      </c>
      <c r="E236" s="3">
        <v>300</v>
      </c>
      <c r="F236" s="3" t="s">
        <v>32</v>
      </c>
      <c r="G236" s="3"/>
    </row>
    <row r="237" spans="2:7" x14ac:dyDescent="0.15">
      <c r="B237" s="4" t="s">
        <v>12</v>
      </c>
      <c r="C237" s="3">
        <v>350</v>
      </c>
      <c r="D237" s="3" t="s">
        <v>547</v>
      </c>
      <c r="E237" s="3">
        <v>-100</v>
      </c>
      <c r="F237" s="3" t="s">
        <v>274</v>
      </c>
      <c r="G237" s="3" t="s">
        <v>567</v>
      </c>
    </row>
    <row r="238" spans="2:7" x14ac:dyDescent="0.15">
      <c r="B238" s="5" t="s">
        <v>549</v>
      </c>
      <c r="C238" s="3">
        <v>200</v>
      </c>
      <c r="D238" s="3" t="s">
        <v>550</v>
      </c>
      <c r="E238" s="3">
        <v>300</v>
      </c>
      <c r="F238" s="3" t="s">
        <v>551</v>
      </c>
      <c r="G238" s="3"/>
    </row>
    <row r="239" spans="2:7" x14ac:dyDescent="0.4">
      <c r="D239" s="1" t="s">
        <v>552</v>
      </c>
      <c r="E239" s="1">
        <f>SUM(E236:E238)</f>
        <v>500</v>
      </c>
    </row>
    <row r="241" spans="1:7" s="14" customFormat="1" x14ac:dyDescent="0.4">
      <c r="A241" s="14" t="s">
        <v>580</v>
      </c>
      <c r="B241" s="15" t="s">
        <v>587</v>
      </c>
    </row>
    <row r="242" spans="1:7" s="14" customFormat="1" x14ac:dyDescent="0.4">
      <c r="B242" s="16" t="s">
        <v>541</v>
      </c>
      <c r="C242" s="16" t="s">
        <v>542</v>
      </c>
      <c r="D242" s="16" t="s">
        <v>2</v>
      </c>
      <c r="E242" s="16" t="s">
        <v>71</v>
      </c>
      <c r="F242" s="16" t="s">
        <v>5</v>
      </c>
      <c r="G242" s="16" t="s">
        <v>6</v>
      </c>
    </row>
    <row r="243" spans="1:7" s="14" customFormat="1" x14ac:dyDescent="0.4">
      <c r="B243" s="17" t="s">
        <v>543</v>
      </c>
      <c r="C243" s="18">
        <v>300</v>
      </c>
      <c r="D243" s="18"/>
      <c r="E243" s="16" t="s">
        <v>544</v>
      </c>
      <c r="F243" s="18"/>
      <c r="G243" s="18"/>
    </row>
    <row r="244" spans="1:7" s="14" customFormat="1" x14ac:dyDescent="0.4">
      <c r="B244" s="17" t="s">
        <v>545</v>
      </c>
      <c r="C244" s="18">
        <v>250</v>
      </c>
      <c r="D244" s="18"/>
      <c r="E244" s="16" t="s">
        <v>544</v>
      </c>
      <c r="F244" s="18"/>
      <c r="G244" s="18"/>
    </row>
    <row r="245" spans="1:7" s="14" customFormat="1" x14ac:dyDescent="0.4">
      <c r="B245" s="17" t="s">
        <v>546</v>
      </c>
      <c r="C245" s="18">
        <v>150</v>
      </c>
      <c r="D245" s="18" t="s">
        <v>576</v>
      </c>
      <c r="E245" s="18">
        <v>400</v>
      </c>
      <c r="F245" s="18" t="s">
        <v>32</v>
      </c>
      <c r="G245" s="18"/>
    </row>
    <row r="246" spans="1:7" s="14" customFormat="1" x14ac:dyDescent="0.15">
      <c r="B246" s="19" t="s">
        <v>12</v>
      </c>
      <c r="C246" s="18">
        <v>350</v>
      </c>
      <c r="D246" s="18" t="s">
        <v>547</v>
      </c>
      <c r="E246" s="18">
        <v>-100</v>
      </c>
      <c r="F246" s="18" t="s">
        <v>274</v>
      </c>
      <c r="G246" s="18" t="s">
        <v>567</v>
      </c>
    </row>
    <row r="247" spans="1:7" s="14" customFormat="1" x14ac:dyDescent="0.15">
      <c r="B247" s="20" t="s">
        <v>549</v>
      </c>
      <c r="C247" s="18">
        <v>200</v>
      </c>
      <c r="D247" s="18" t="s">
        <v>550</v>
      </c>
      <c r="E247" s="18">
        <v>300</v>
      </c>
      <c r="F247" s="18" t="s">
        <v>551</v>
      </c>
      <c r="G247" s="18"/>
    </row>
    <row r="248" spans="1:7" s="14" customFormat="1" x14ac:dyDescent="0.4">
      <c r="D248" s="14" t="s">
        <v>552</v>
      </c>
      <c r="E248" s="14">
        <f>SUM(E245:E247)</f>
        <v>600</v>
      </c>
    </row>
    <row r="250" spans="1:7" s="7" customFormat="1" x14ac:dyDescent="0.4">
      <c r="A250" s="7" t="s">
        <v>569</v>
      </c>
      <c r="B250" s="8" t="s">
        <v>588</v>
      </c>
    </row>
    <row r="251" spans="1:7" s="7" customFormat="1" x14ac:dyDescent="0.4">
      <c r="B251" s="9" t="s">
        <v>541</v>
      </c>
      <c r="C251" s="9" t="s">
        <v>542</v>
      </c>
      <c r="D251" s="9" t="s">
        <v>2</v>
      </c>
      <c r="E251" s="9" t="s">
        <v>71</v>
      </c>
      <c r="F251" s="9" t="s">
        <v>5</v>
      </c>
      <c r="G251" s="9" t="s">
        <v>6</v>
      </c>
    </row>
    <row r="252" spans="1:7" s="7" customFormat="1" x14ac:dyDescent="0.4">
      <c r="B252" s="10" t="s">
        <v>543</v>
      </c>
      <c r="C252" s="11">
        <v>300</v>
      </c>
      <c r="D252" s="11"/>
      <c r="E252" s="9" t="s">
        <v>544</v>
      </c>
      <c r="F252" s="11"/>
      <c r="G252" s="11"/>
    </row>
    <row r="253" spans="1:7" s="7" customFormat="1" x14ac:dyDescent="0.4">
      <c r="B253" s="10" t="s">
        <v>545</v>
      </c>
      <c r="C253" s="11">
        <v>200</v>
      </c>
      <c r="D253" s="11"/>
      <c r="E253" s="9" t="s">
        <v>544</v>
      </c>
      <c r="F253" s="11"/>
      <c r="G253" s="11"/>
    </row>
    <row r="254" spans="1:7" s="7" customFormat="1" x14ac:dyDescent="0.4">
      <c r="B254" s="10" t="s">
        <v>546</v>
      </c>
      <c r="C254" s="11">
        <v>150</v>
      </c>
      <c r="D254" s="11" t="s">
        <v>576</v>
      </c>
      <c r="E254" s="11">
        <v>400</v>
      </c>
      <c r="F254" s="11" t="s">
        <v>32</v>
      </c>
      <c r="G254" s="11"/>
    </row>
    <row r="255" spans="1:7" s="7" customFormat="1" x14ac:dyDescent="0.15">
      <c r="B255" s="12" t="s">
        <v>12</v>
      </c>
      <c r="C255" s="11">
        <v>350</v>
      </c>
      <c r="D255" s="11" t="s">
        <v>547</v>
      </c>
      <c r="E255" s="11">
        <v>-100</v>
      </c>
      <c r="F255" s="11" t="s">
        <v>274</v>
      </c>
      <c r="G255" s="11" t="s">
        <v>567</v>
      </c>
    </row>
    <row r="256" spans="1:7" s="7" customFormat="1" x14ac:dyDescent="0.15">
      <c r="B256" s="13" t="s">
        <v>549</v>
      </c>
      <c r="C256" s="11">
        <v>250</v>
      </c>
      <c r="D256" s="11" t="s">
        <v>550</v>
      </c>
      <c r="E256" s="11">
        <v>200</v>
      </c>
      <c r="F256" s="11" t="s">
        <v>551</v>
      </c>
      <c r="G256" s="11"/>
    </row>
    <row r="257" spans="1:7" s="7" customFormat="1" x14ac:dyDescent="0.4">
      <c r="D257" s="7" t="s">
        <v>552</v>
      </c>
      <c r="E257" s="7">
        <f>SUM(E254:E256)</f>
        <v>500</v>
      </c>
    </row>
    <row r="259" spans="1:7" s="7" customFormat="1" x14ac:dyDescent="0.4">
      <c r="A259" s="7" t="s">
        <v>569</v>
      </c>
      <c r="B259" s="8" t="s">
        <v>589</v>
      </c>
    </row>
    <row r="260" spans="1:7" s="7" customFormat="1" x14ac:dyDescent="0.4">
      <c r="B260" s="9" t="s">
        <v>541</v>
      </c>
      <c r="C260" s="9" t="s">
        <v>542</v>
      </c>
      <c r="D260" s="9" t="s">
        <v>2</v>
      </c>
      <c r="E260" s="9" t="s">
        <v>71</v>
      </c>
      <c r="F260" s="9" t="s">
        <v>5</v>
      </c>
      <c r="G260" s="9" t="s">
        <v>6</v>
      </c>
    </row>
    <row r="261" spans="1:7" s="7" customFormat="1" x14ac:dyDescent="0.4">
      <c r="B261" s="10" t="s">
        <v>543</v>
      </c>
      <c r="C261" s="11">
        <v>300</v>
      </c>
      <c r="D261" s="11"/>
      <c r="E261" s="9" t="s">
        <v>544</v>
      </c>
      <c r="F261" s="11"/>
      <c r="G261" s="11"/>
    </row>
    <row r="262" spans="1:7" s="7" customFormat="1" x14ac:dyDescent="0.4">
      <c r="B262" s="10" t="s">
        <v>545</v>
      </c>
      <c r="C262" s="11">
        <v>250</v>
      </c>
      <c r="D262" s="11"/>
      <c r="E262" s="9" t="s">
        <v>544</v>
      </c>
      <c r="F262" s="11"/>
      <c r="G262" s="11"/>
    </row>
    <row r="263" spans="1:7" s="7" customFormat="1" x14ac:dyDescent="0.4">
      <c r="B263" s="10" t="s">
        <v>546</v>
      </c>
      <c r="C263" s="11">
        <v>200</v>
      </c>
      <c r="D263" s="11" t="s">
        <v>576</v>
      </c>
      <c r="E263" s="11">
        <v>300</v>
      </c>
      <c r="F263" s="11" t="s">
        <v>32</v>
      </c>
      <c r="G263" s="11"/>
    </row>
    <row r="264" spans="1:7" s="7" customFormat="1" x14ac:dyDescent="0.15">
      <c r="B264" s="12" t="s">
        <v>12</v>
      </c>
      <c r="C264" s="11">
        <v>350</v>
      </c>
      <c r="D264" s="11" t="s">
        <v>547</v>
      </c>
      <c r="E264" s="11">
        <v>-100</v>
      </c>
      <c r="F264" s="11" t="s">
        <v>274</v>
      </c>
      <c r="G264" s="11" t="s">
        <v>567</v>
      </c>
    </row>
    <row r="265" spans="1:7" s="7" customFormat="1" x14ac:dyDescent="0.15">
      <c r="B265" s="13" t="s">
        <v>549</v>
      </c>
      <c r="C265" s="11">
        <v>250</v>
      </c>
      <c r="D265" s="11" t="s">
        <v>550</v>
      </c>
      <c r="E265" s="11">
        <v>200</v>
      </c>
      <c r="F265" s="11" t="s">
        <v>551</v>
      </c>
      <c r="G265" s="11"/>
    </row>
    <row r="266" spans="1:7" s="7" customFormat="1" x14ac:dyDescent="0.4">
      <c r="D266" s="7" t="s">
        <v>552</v>
      </c>
      <c r="E266" s="7">
        <f>SUM(E263:E265)</f>
        <v>400</v>
      </c>
    </row>
    <row r="268" spans="1:7" x14ac:dyDescent="0.4">
      <c r="B268" s="6" t="s">
        <v>590</v>
      </c>
    </row>
    <row r="269" spans="1:7" x14ac:dyDescent="0.4">
      <c r="B269" s="101" t="s">
        <v>541</v>
      </c>
      <c r="C269" s="101" t="s">
        <v>542</v>
      </c>
      <c r="D269" s="101" t="s">
        <v>2</v>
      </c>
      <c r="E269" s="101" t="s">
        <v>71</v>
      </c>
      <c r="F269" s="101" t="s">
        <v>5</v>
      </c>
      <c r="G269" s="101" t="s">
        <v>6</v>
      </c>
    </row>
    <row r="270" spans="1:7" x14ac:dyDescent="0.4">
      <c r="B270" s="2" t="s">
        <v>543</v>
      </c>
      <c r="C270" s="3">
        <v>300</v>
      </c>
      <c r="D270" s="3"/>
      <c r="E270" s="101" t="s">
        <v>544</v>
      </c>
      <c r="F270" s="3"/>
      <c r="G270" s="3"/>
    </row>
    <row r="271" spans="1:7" x14ac:dyDescent="0.4">
      <c r="B271" s="2" t="s">
        <v>545</v>
      </c>
      <c r="C271" s="3">
        <v>250</v>
      </c>
      <c r="D271" s="3"/>
      <c r="E271" s="101" t="s">
        <v>544</v>
      </c>
      <c r="F271" s="3"/>
      <c r="G271" s="3"/>
    </row>
    <row r="272" spans="1:7" x14ac:dyDescent="0.4">
      <c r="B272" s="2" t="s">
        <v>546</v>
      </c>
      <c r="C272" s="3">
        <v>200</v>
      </c>
      <c r="D272" s="3" t="s">
        <v>576</v>
      </c>
      <c r="E272" s="3">
        <v>400</v>
      </c>
      <c r="F272" s="3" t="s">
        <v>32</v>
      </c>
      <c r="G272" s="3"/>
    </row>
    <row r="273" spans="2:7" x14ac:dyDescent="0.15">
      <c r="B273" s="4" t="s">
        <v>12</v>
      </c>
      <c r="C273" s="3">
        <v>400</v>
      </c>
      <c r="D273" s="3" t="s">
        <v>547</v>
      </c>
      <c r="E273" s="3">
        <v>-200</v>
      </c>
      <c r="F273" s="3" t="s">
        <v>274</v>
      </c>
      <c r="G273" s="3" t="s">
        <v>567</v>
      </c>
    </row>
    <row r="274" spans="2:7" x14ac:dyDescent="0.15">
      <c r="B274" s="5" t="s">
        <v>549</v>
      </c>
      <c r="C274" s="3">
        <v>350</v>
      </c>
      <c r="D274" s="3" t="s">
        <v>550</v>
      </c>
      <c r="E274" s="3">
        <v>100</v>
      </c>
      <c r="F274" s="3" t="s">
        <v>551</v>
      </c>
      <c r="G274" s="3"/>
    </row>
    <row r="275" spans="2:7" x14ac:dyDescent="0.4">
      <c r="D275" s="1" t="s">
        <v>552</v>
      </c>
      <c r="E275" s="1">
        <f>SUM(E272:E274)</f>
        <v>300</v>
      </c>
    </row>
    <row r="277" spans="2:7" x14ac:dyDescent="0.4">
      <c r="B277" s="6" t="s">
        <v>591</v>
      </c>
    </row>
    <row r="278" spans="2:7" x14ac:dyDescent="0.4">
      <c r="B278" s="101" t="s">
        <v>541</v>
      </c>
      <c r="C278" s="101" t="s">
        <v>542</v>
      </c>
      <c r="D278" s="101" t="s">
        <v>2</v>
      </c>
      <c r="E278" s="101" t="s">
        <v>71</v>
      </c>
      <c r="F278" s="101" t="s">
        <v>5</v>
      </c>
      <c r="G278" s="101" t="s">
        <v>6</v>
      </c>
    </row>
    <row r="279" spans="2:7" x14ac:dyDescent="0.4">
      <c r="B279" s="2" t="s">
        <v>543</v>
      </c>
      <c r="C279" s="3">
        <v>300</v>
      </c>
      <c r="D279" s="3"/>
      <c r="E279" s="101" t="s">
        <v>544</v>
      </c>
      <c r="F279" s="3"/>
      <c r="G279" s="3"/>
    </row>
    <row r="280" spans="2:7" x14ac:dyDescent="0.4">
      <c r="B280" s="2" t="s">
        <v>545</v>
      </c>
      <c r="C280" s="3">
        <v>250</v>
      </c>
      <c r="D280" s="3"/>
      <c r="E280" s="101" t="s">
        <v>544</v>
      </c>
      <c r="F280" s="3"/>
      <c r="G280" s="3"/>
    </row>
    <row r="281" spans="2:7" x14ac:dyDescent="0.4">
      <c r="B281" s="2" t="s">
        <v>546</v>
      </c>
      <c r="C281" s="3">
        <v>200</v>
      </c>
      <c r="D281" s="3" t="s">
        <v>560</v>
      </c>
      <c r="E281" s="3">
        <v>400</v>
      </c>
      <c r="F281" s="3" t="s">
        <v>32</v>
      </c>
      <c r="G281" s="3"/>
    </row>
    <row r="282" spans="2:7" x14ac:dyDescent="0.15">
      <c r="B282" s="4" t="s">
        <v>12</v>
      </c>
      <c r="C282" s="3">
        <v>300</v>
      </c>
      <c r="D282" s="3"/>
      <c r="E282" s="3"/>
      <c r="F282" s="3"/>
      <c r="G282" s="3"/>
    </row>
    <row r="283" spans="2:7" x14ac:dyDescent="0.15">
      <c r="B283" s="5" t="s">
        <v>549</v>
      </c>
      <c r="C283" s="3">
        <v>400</v>
      </c>
      <c r="D283" s="3" t="s">
        <v>550</v>
      </c>
      <c r="E283" s="3">
        <v>-200</v>
      </c>
      <c r="F283" s="3" t="s">
        <v>551</v>
      </c>
      <c r="G283" s="3" t="s">
        <v>557</v>
      </c>
    </row>
    <row r="284" spans="2:7" x14ac:dyDescent="0.4">
      <c r="D284" s="1" t="s">
        <v>552</v>
      </c>
      <c r="E284" s="1">
        <f>SUM(E281:E283)</f>
        <v>200</v>
      </c>
    </row>
    <row r="286" spans="2:7" x14ac:dyDescent="0.4">
      <c r="B286" s="6" t="s">
        <v>592</v>
      </c>
    </row>
    <row r="287" spans="2:7" x14ac:dyDescent="0.4">
      <c r="B287" s="101" t="s">
        <v>541</v>
      </c>
      <c r="C287" s="101" t="s">
        <v>542</v>
      </c>
      <c r="D287" s="101" t="s">
        <v>2</v>
      </c>
      <c r="E287" s="101" t="s">
        <v>71</v>
      </c>
      <c r="F287" s="101" t="s">
        <v>5</v>
      </c>
      <c r="G287" s="101" t="s">
        <v>6</v>
      </c>
    </row>
    <row r="288" spans="2:7" x14ac:dyDescent="0.4">
      <c r="B288" s="2" t="s">
        <v>543</v>
      </c>
      <c r="C288" s="3">
        <v>300</v>
      </c>
      <c r="D288" s="3"/>
      <c r="E288" s="101" t="s">
        <v>544</v>
      </c>
      <c r="F288" s="3"/>
      <c r="G288" s="3"/>
    </row>
    <row r="289" spans="2:7" x14ac:dyDescent="0.4">
      <c r="B289" s="2" t="s">
        <v>545</v>
      </c>
      <c r="C289" s="3">
        <v>250</v>
      </c>
      <c r="D289" s="3"/>
      <c r="E289" s="101" t="s">
        <v>544</v>
      </c>
      <c r="F289" s="3"/>
      <c r="G289" s="3"/>
    </row>
    <row r="290" spans="2:7" x14ac:dyDescent="0.4">
      <c r="B290" s="2" t="s">
        <v>546</v>
      </c>
      <c r="C290" s="3">
        <v>100</v>
      </c>
      <c r="D290" s="3" t="s">
        <v>576</v>
      </c>
      <c r="E290" s="3">
        <v>200</v>
      </c>
      <c r="F290" s="3" t="s">
        <v>32</v>
      </c>
      <c r="G290" s="3"/>
    </row>
    <row r="291" spans="2:7" x14ac:dyDescent="0.15">
      <c r="B291" s="4" t="s">
        <v>12</v>
      </c>
      <c r="C291" s="3">
        <v>200</v>
      </c>
      <c r="D291" s="3" t="s">
        <v>547</v>
      </c>
      <c r="E291" s="3">
        <v>200</v>
      </c>
      <c r="F291" s="3" t="s">
        <v>274</v>
      </c>
      <c r="G291" s="3" t="s">
        <v>567</v>
      </c>
    </row>
    <row r="292" spans="2:7" x14ac:dyDescent="0.15">
      <c r="B292" s="5" t="s">
        <v>549</v>
      </c>
      <c r="C292" s="3">
        <v>150</v>
      </c>
      <c r="D292" s="3" t="s">
        <v>550</v>
      </c>
      <c r="E292" s="3">
        <v>100</v>
      </c>
      <c r="F292" s="3" t="s">
        <v>551</v>
      </c>
      <c r="G292" s="3"/>
    </row>
    <row r="293" spans="2:7" x14ac:dyDescent="0.4">
      <c r="D293" s="1" t="s">
        <v>552</v>
      </c>
      <c r="E293" s="1">
        <f>SUM(E290:E292)</f>
        <v>500</v>
      </c>
    </row>
    <row r="295" spans="2:7" x14ac:dyDescent="0.4">
      <c r="B295" s="6" t="s">
        <v>593</v>
      </c>
    </row>
    <row r="296" spans="2:7" x14ac:dyDescent="0.4">
      <c r="B296" s="101" t="s">
        <v>541</v>
      </c>
      <c r="C296" s="101" t="s">
        <v>542</v>
      </c>
      <c r="D296" s="101" t="s">
        <v>2</v>
      </c>
      <c r="E296" s="101" t="s">
        <v>71</v>
      </c>
      <c r="F296" s="101" t="s">
        <v>5</v>
      </c>
      <c r="G296" s="101" t="s">
        <v>6</v>
      </c>
    </row>
    <row r="297" spans="2:7" x14ac:dyDescent="0.4">
      <c r="B297" s="2" t="s">
        <v>543</v>
      </c>
      <c r="C297" s="3">
        <v>300</v>
      </c>
      <c r="D297" s="3"/>
      <c r="E297" s="101" t="s">
        <v>544</v>
      </c>
      <c r="F297" s="3"/>
      <c r="G297" s="3"/>
    </row>
    <row r="298" spans="2:7" x14ac:dyDescent="0.4">
      <c r="B298" s="2" t="s">
        <v>545</v>
      </c>
      <c r="C298" s="3">
        <v>100</v>
      </c>
      <c r="D298" s="3"/>
      <c r="E298" s="101" t="s">
        <v>544</v>
      </c>
      <c r="F298" s="3"/>
      <c r="G298" s="3"/>
    </row>
    <row r="299" spans="2:7" x14ac:dyDescent="0.4">
      <c r="B299" s="2" t="s">
        <v>546</v>
      </c>
      <c r="C299" s="3">
        <v>150</v>
      </c>
      <c r="D299" s="3" t="s">
        <v>576</v>
      </c>
      <c r="E299" s="3">
        <v>200</v>
      </c>
      <c r="F299" s="3" t="s">
        <v>32</v>
      </c>
      <c r="G299" s="3"/>
    </row>
    <row r="300" spans="2:7" x14ac:dyDescent="0.15">
      <c r="B300" s="4" t="s">
        <v>12</v>
      </c>
      <c r="C300" s="3">
        <v>250</v>
      </c>
      <c r="D300" s="3" t="s">
        <v>547</v>
      </c>
      <c r="E300" s="3">
        <v>100</v>
      </c>
      <c r="F300" s="3" t="s">
        <v>274</v>
      </c>
      <c r="G300" s="3" t="s">
        <v>554</v>
      </c>
    </row>
    <row r="301" spans="2:7" x14ac:dyDescent="0.15">
      <c r="B301" s="5" t="s">
        <v>549</v>
      </c>
      <c r="C301" s="3">
        <v>250</v>
      </c>
      <c r="D301" s="3"/>
      <c r="E301" s="3">
        <v>0</v>
      </c>
      <c r="F301" s="3"/>
      <c r="G301" s="3"/>
    </row>
    <row r="302" spans="2:7" x14ac:dyDescent="0.4">
      <c r="D302" s="1" t="s">
        <v>552</v>
      </c>
      <c r="E302" s="1">
        <f>SUM(E299:E301)</f>
        <v>300</v>
      </c>
    </row>
    <row r="304" spans="2:7" x14ac:dyDescent="0.4">
      <c r="B304" s="6" t="s">
        <v>594</v>
      </c>
    </row>
    <row r="305" spans="2:7" x14ac:dyDescent="0.4">
      <c r="B305" s="101" t="s">
        <v>541</v>
      </c>
      <c r="C305" s="101" t="s">
        <v>542</v>
      </c>
      <c r="D305" s="101" t="s">
        <v>2</v>
      </c>
      <c r="E305" s="101" t="s">
        <v>71</v>
      </c>
      <c r="F305" s="101" t="s">
        <v>5</v>
      </c>
      <c r="G305" s="101" t="s">
        <v>6</v>
      </c>
    </row>
    <row r="306" spans="2:7" x14ac:dyDescent="0.4">
      <c r="B306" s="2" t="s">
        <v>543</v>
      </c>
      <c r="C306" s="3">
        <v>300</v>
      </c>
      <c r="D306" s="3"/>
      <c r="E306" s="101" t="s">
        <v>544</v>
      </c>
      <c r="F306" s="3"/>
      <c r="G306" s="3"/>
    </row>
    <row r="307" spans="2:7" x14ac:dyDescent="0.4">
      <c r="B307" s="2" t="s">
        <v>545</v>
      </c>
      <c r="C307" s="3">
        <v>250</v>
      </c>
      <c r="D307" s="3"/>
      <c r="E307" s="101" t="s">
        <v>544</v>
      </c>
      <c r="F307" s="3"/>
      <c r="G307" s="3"/>
    </row>
    <row r="308" spans="2:7" x14ac:dyDescent="0.4">
      <c r="B308" s="2" t="s">
        <v>546</v>
      </c>
      <c r="C308" s="3">
        <v>200</v>
      </c>
      <c r="D308" s="3" t="s">
        <v>576</v>
      </c>
      <c r="E308" s="3">
        <v>100</v>
      </c>
      <c r="F308" s="3" t="s">
        <v>32</v>
      </c>
      <c r="G308" s="3"/>
    </row>
    <row r="309" spans="2:7" x14ac:dyDescent="0.15">
      <c r="B309" s="4" t="s">
        <v>12</v>
      </c>
      <c r="C309" s="3">
        <v>250</v>
      </c>
      <c r="D309" s="3" t="s">
        <v>547</v>
      </c>
      <c r="E309" s="3">
        <v>100</v>
      </c>
      <c r="F309" s="3" t="s">
        <v>274</v>
      </c>
      <c r="G309" s="3" t="s">
        <v>554</v>
      </c>
    </row>
    <row r="310" spans="2:7" x14ac:dyDescent="0.15">
      <c r="B310" s="5" t="s">
        <v>549</v>
      </c>
      <c r="C310" s="3">
        <v>250</v>
      </c>
      <c r="D310" s="3"/>
      <c r="E310" s="3">
        <v>0</v>
      </c>
      <c r="F310" s="3"/>
      <c r="G310" s="3"/>
    </row>
    <row r="311" spans="2:7" x14ac:dyDescent="0.4">
      <c r="D311" s="1" t="s">
        <v>552</v>
      </c>
      <c r="E311" s="1">
        <f>SUM(E308:E310)</f>
        <v>200</v>
      </c>
    </row>
    <row r="313" spans="2:7" x14ac:dyDescent="0.4">
      <c r="B313" s="6" t="s">
        <v>595</v>
      </c>
    </row>
    <row r="314" spans="2:7" x14ac:dyDescent="0.4">
      <c r="B314" s="101" t="s">
        <v>541</v>
      </c>
      <c r="C314" s="101" t="s">
        <v>542</v>
      </c>
      <c r="D314" s="101" t="s">
        <v>2</v>
      </c>
      <c r="E314" s="101" t="s">
        <v>71</v>
      </c>
      <c r="F314" s="101" t="s">
        <v>5</v>
      </c>
      <c r="G314" s="101" t="s">
        <v>6</v>
      </c>
    </row>
    <row r="315" spans="2:7" x14ac:dyDescent="0.4">
      <c r="B315" s="2" t="s">
        <v>543</v>
      </c>
      <c r="C315" s="3">
        <v>300</v>
      </c>
      <c r="D315" s="3"/>
      <c r="E315" s="101" t="s">
        <v>544</v>
      </c>
      <c r="F315" s="3"/>
      <c r="G315" s="3"/>
    </row>
    <row r="316" spans="2:7" x14ac:dyDescent="0.4">
      <c r="B316" s="2" t="s">
        <v>545</v>
      </c>
      <c r="C316" s="3">
        <v>250</v>
      </c>
      <c r="D316" s="3"/>
      <c r="E316" s="101" t="s">
        <v>544</v>
      </c>
      <c r="F316" s="3"/>
      <c r="G316" s="3"/>
    </row>
    <row r="317" spans="2:7" x14ac:dyDescent="0.4">
      <c r="B317" s="2" t="s">
        <v>546</v>
      </c>
      <c r="C317" s="3">
        <v>200</v>
      </c>
      <c r="D317" s="3" t="s">
        <v>576</v>
      </c>
      <c r="E317" s="3">
        <v>300</v>
      </c>
      <c r="F317" s="3" t="s">
        <v>32</v>
      </c>
      <c r="G317" s="3"/>
    </row>
    <row r="318" spans="2:7" x14ac:dyDescent="0.15">
      <c r="B318" s="4" t="s">
        <v>12</v>
      </c>
      <c r="C318" s="3">
        <v>350</v>
      </c>
      <c r="D318" s="3" t="s">
        <v>547</v>
      </c>
      <c r="E318" s="3">
        <v>-100</v>
      </c>
      <c r="F318" s="3" t="s">
        <v>274</v>
      </c>
      <c r="G318" s="3" t="s">
        <v>554</v>
      </c>
    </row>
    <row r="319" spans="2:7" x14ac:dyDescent="0.15">
      <c r="B319" s="5" t="s">
        <v>549</v>
      </c>
      <c r="C319" s="3">
        <v>350</v>
      </c>
      <c r="D319" s="3"/>
      <c r="E319" s="3">
        <v>0</v>
      </c>
      <c r="F319" s="3"/>
      <c r="G319" s="3"/>
    </row>
    <row r="320" spans="2:7" x14ac:dyDescent="0.4">
      <c r="D320" s="1" t="s">
        <v>552</v>
      </c>
      <c r="E320" s="1">
        <f>SUM(E317:E319)</f>
        <v>200</v>
      </c>
    </row>
    <row r="322" spans="1:7" x14ac:dyDescent="0.4">
      <c r="B322" s="6" t="s">
        <v>596</v>
      </c>
    </row>
    <row r="323" spans="1:7" x14ac:dyDescent="0.4">
      <c r="B323" s="101" t="s">
        <v>541</v>
      </c>
      <c r="C323" s="101" t="s">
        <v>542</v>
      </c>
      <c r="D323" s="101" t="s">
        <v>2</v>
      </c>
      <c r="E323" s="101" t="s">
        <v>71</v>
      </c>
      <c r="F323" s="101" t="s">
        <v>5</v>
      </c>
      <c r="G323" s="101" t="s">
        <v>6</v>
      </c>
    </row>
    <row r="324" spans="1:7" x14ac:dyDescent="0.4">
      <c r="B324" s="2" t="s">
        <v>543</v>
      </c>
      <c r="C324" s="3">
        <v>300</v>
      </c>
      <c r="D324" s="3"/>
      <c r="E324" s="101" t="s">
        <v>544</v>
      </c>
      <c r="F324" s="3"/>
      <c r="G324" s="3"/>
    </row>
    <row r="325" spans="1:7" x14ac:dyDescent="0.4">
      <c r="B325" s="2" t="s">
        <v>545</v>
      </c>
      <c r="C325" s="3">
        <v>250</v>
      </c>
      <c r="D325" s="3"/>
      <c r="E325" s="101" t="s">
        <v>544</v>
      </c>
      <c r="F325" s="3"/>
      <c r="G325" s="3"/>
    </row>
    <row r="326" spans="1:7" x14ac:dyDescent="0.4">
      <c r="B326" s="2" t="s">
        <v>546</v>
      </c>
      <c r="C326" s="3">
        <v>200</v>
      </c>
      <c r="D326" s="3" t="s">
        <v>576</v>
      </c>
      <c r="E326" s="3">
        <v>200</v>
      </c>
      <c r="F326" s="3" t="s">
        <v>32</v>
      </c>
      <c r="G326" s="3"/>
    </row>
    <row r="327" spans="1:7" x14ac:dyDescent="0.15">
      <c r="B327" s="4" t="s">
        <v>12</v>
      </c>
      <c r="C327" s="3">
        <v>300</v>
      </c>
      <c r="D327" s="3" t="s">
        <v>547</v>
      </c>
      <c r="E327" s="3">
        <v>0</v>
      </c>
      <c r="F327" s="3" t="s">
        <v>274</v>
      </c>
      <c r="G327" s="3" t="s">
        <v>554</v>
      </c>
    </row>
    <row r="328" spans="1:7" x14ac:dyDescent="0.15">
      <c r="B328" s="5" t="s">
        <v>549</v>
      </c>
      <c r="C328" s="3">
        <v>300</v>
      </c>
      <c r="D328" s="3"/>
      <c r="E328" s="3">
        <v>0</v>
      </c>
      <c r="F328" s="3"/>
      <c r="G328" s="3"/>
    </row>
    <row r="329" spans="1:7" x14ac:dyDescent="0.4">
      <c r="D329" s="1" t="s">
        <v>552</v>
      </c>
      <c r="E329" s="1">
        <f>SUM(E326:E328)</f>
        <v>200</v>
      </c>
    </row>
    <row r="331" spans="1:7" s="7" customFormat="1" x14ac:dyDescent="0.4">
      <c r="A331" s="7" t="s">
        <v>569</v>
      </c>
      <c r="B331" s="8" t="s">
        <v>597</v>
      </c>
    </row>
    <row r="332" spans="1:7" s="7" customFormat="1" x14ac:dyDescent="0.4">
      <c r="B332" s="9" t="s">
        <v>541</v>
      </c>
      <c r="C332" s="9" t="s">
        <v>542</v>
      </c>
      <c r="D332" s="9" t="s">
        <v>2</v>
      </c>
      <c r="E332" s="9" t="s">
        <v>71</v>
      </c>
      <c r="F332" s="9" t="s">
        <v>5</v>
      </c>
      <c r="G332" s="9" t="s">
        <v>6</v>
      </c>
    </row>
    <row r="333" spans="1:7" s="7" customFormat="1" x14ac:dyDescent="0.4">
      <c r="B333" s="10" t="s">
        <v>543</v>
      </c>
      <c r="C333" s="11">
        <v>300</v>
      </c>
      <c r="D333" s="11"/>
      <c r="E333" s="9" t="s">
        <v>544</v>
      </c>
      <c r="F333" s="11"/>
      <c r="G333" s="11"/>
    </row>
    <row r="334" spans="1:7" s="7" customFormat="1" x14ac:dyDescent="0.4">
      <c r="B334" s="10" t="s">
        <v>545</v>
      </c>
      <c r="C334" s="11">
        <v>250</v>
      </c>
      <c r="D334" s="11"/>
      <c r="E334" s="9" t="s">
        <v>544</v>
      </c>
      <c r="F334" s="11"/>
      <c r="G334" s="11"/>
    </row>
    <row r="335" spans="1:7" s="7" customFormat="1" x14ac:dyDescent="0.4">
      <c r="B335" s="10" t="s">
        <v>546</v>
      </c>
      <c r="C335" s="11">
        <v>100</v>
      </c>
      <c r="D335" s="11" t="s">
        <v>560</v>
      </c>
      <c r="E335" s="11">
        <v>200</v>
      </c>
      <c r="F335" s="11" t="s">
        <v>32</v>
      </c>
      <c r="G335" s="11"/>
    </row>
    <row r="336" spans="1:7" s="7" customFormat="1" x14ac:dyDescent="0.15">
      <c r="B336" s="12" t="s">
        <v>12</v>
      </c>
      <c r="C336" s="11">
        <v>150</v>
      </c>
      <c r="D336" s="11"/>
      <c r="E336" s="11"/>
      <c r="F336" s="11"/>
      <c r="G336" s="11"/>
    </row>
    <row r="337" spans="1:7" s="7" customFormat="1" x14ac:dyDescent="0.15">
      <c r="B337" s="13" t="s">
        <v>549</v>
      </c>
      <c r="C337" s="11">
        <v>200</v>
      </c>
      <c r="D337" s="11" t="s">
        <v>550</v>
      </c>
      <c r="E337" s="11">
        <v>200</v>
      </c>
      <c r="F337" s="11" t="s">
        <v>551</v>
      </c>
      <c r="G337" s="11" t="s">
        <v>557</v>
      </c>
    </row>
    <row r="338" spans="1:7" s="7" customFormat="1" x14ac:dyDescent="0.4">
      <c r="D338" s="7" t="s">
        <v>552</v>
      </c>
      <c r="E338" s="7">
        <f>SUM(E335:E337)</f>
        <v>400</v>
      </c>
    </row>
    <row r="340" spans="1:7" x14ac:dyDescent="0.4">
      <c r="B340" s="6" t="s">
        <v>598</v>
      </c>
    </row>
    <row r="341" spans="1:7" x14ac:dyDescent="0.4">
      <c r="B341" s="101" t="s">
        <v>541</v>
      </c>
      <c r="C341" s="101" t="s">
        <v>542</v>
      </c>
      <c r="D341" s="101" t="s">
        <v>2</v>
      </c>
      <c r="E341" s="101" t="s">
        <v>71</v>
      </c>
      <c r="F341" s="101" t="s">
        <v>5</v>
      </c>
      <c r="G341" s="101" t="s">
        <v>6</v>
      </c>
    </row>
    <row r="342" spans="1:7" x14ac:dyDescent="0.4">
      <c r="B342" s="2" t="s">
        <v>543</v>
      </c>
      <c r="C342" s="3">
        <v>300</v>
      </c>
      <c r="D342" s="3"/>
      <c r="E342" s="101" t="s">
        <v>544</v>
      </c>
      <c r="F342" s="3"/>
      <c r="G342" s="3"/>
    </row>
    <row r="343" spans="1:7" x14ac:dyDescent="0.4">
      <c r="B343" s="2" t="s">
        <v>545</v>
      </c>
      <c r="C343" s="3">
        <v>200</v>
      </c>
      <c r="D343" s="3"/>
      <c r="E343" s="101" t="s">
        <v>544</v>
      </c>
      <c r="F343" s="3"/>
      <c r="G343" s="3"/>
    </row>
    <row r="344" spans="1:7" x14ac:dyDescent="0.4">
      <c r="B344" s="2" t="s">
        <v>546</v>
      </c>
      <c r="C344" s="3">
        <v>100</v>
      </c>
      <c r="D344" s="3" t="s">
        <v>560</v>
      </c>
      <c r="E344" s="3">
        <v>300</v>
      </c>
      <c r="F344" s="3" t="s">
        <v>32</v>
      </c>
      <c r="G344" s="3"/>
    </row>
    <row r="345" spans="1:7" x14ac:dyDescent="0.15">
      <c r="B345" s="4" t="s">
        <v>12</v>
      </c>
      <c r="C345" s="3">
        <v>150</v>
      </c>
      <c r="D345" s="3"/>
      <c r="E345" s="3"/>
      <c r="F345" s="3"/>
      <c r="G345" s="3"/>
    </row>
    <row r="346" spans="1:7" x14ac:dyDescent="0.15">
      <c r="B346" s="5" t="s">
        <v>549</v>
      </c>
      <c r="C346" s="3">
        <v>250</v>
      </c>
      <c r="D346" s="3" t="s">
        <v>556</v>
      </c>
      <c r="E346" s="3">
        <v>100</v>
      </c>
      <c r="F346" s="3" t="s">
        <v>551</v>
      </c>
      <c r="G346" s="3" t="s">
        <v>557</v>
      </c>
    </row>
    <row r="347" spans="1:7" x14ac:dyDescent="0.4">
      <c r="D347" s="1" t="s">
        <v>552</v>
      </c>
      <c r="E347" s="1">
        <f>SUM(E344:E346)</f>
        <v>400</v>
      </c>
    </row>
    <row r="349" spans="1:7" s="7" customFormat="1" x14ac:dyDescent="0.4">
      <c r="A349" s="7" t="s">
        <v>569</v>
      </c>
      <c r="B349" s="8" t="s">
        <v>599</v>
      </c>
    </row>
    <row r="350" spans="1:7" s="7" customFormat="1" x14ac:dyDescent="0.4">
      <c r="B350" s="9" t="s">
        <v>541</v>
      </c>
      <c r="C350" s="9" t="s">
        <v>542</v>
      </c>
      <c r="D350" s="9" t="s">
        <v>2</v>
      </c>
      <c r="E350" s="9" t="s">
        <v>71</v>
      </c>
      <c r="F350" s="9" t="s">
        <v>5</v>
      </c>
      <c r="G350" s="9" t="s">
        <v>6</v>
      </c>
    </row>
    <row r="351" spans="1:7" s="7" customFormat="1" x14ac:dyDescent="0.4">
      <c r="B351" s="10" t="s">
        <v>543</v>
      </c>
      <c r="C351" s="11">
        <v>300</v>
      </c>
      <c r="D351" s="11"/>
      <c r="E351" s="9" t="s">
        <v>544</v>
      </c>
      <c r="F351" s="11"/>
      <c r="G351" s="11"/>
    </row>
    <row r="352" spans="1:7" s="7" customFormat="1" x14ac:dyDescent="0.4">
      <c r="B352" s="10" t="s">
        <v>545</v>
      </c>
      <c r="C352" s="11">
        <v>250</v>
      </c>
      <c r="D352" s="11"/>
      <c r="E352" s="9" t="s">
        <v>544</v>
      </c>
      <c r="F352" s="11"/>
      <c r="G352" s="11"/>
    </row>
    <row r="353" spans="2:7" s="7" customFormat="1" x14ac:dyDescent="0.4">
      <c r="B353" s="10" t="s">
        <v>546</v>
      </c>
      <c r="C353" s="11">
        <v>150</v>
      </c>
      <c r="D353" s="11" t="s">
        <v>560</v>
      </c>
      <c r="E353" s="11">
        <v>400</v>
      </c>
      <c r="F353" s="11" t="s">
        <v>32</v>
      </c>
      <c r="G353" s="11"/>
    </row>
    <row r="354" spans="2:7" s="7" customFormat="1" x14ac:dyDescent="0.15">
      <c r="B354" s="12" t="s">
        <v>12</v>
      </c>
      <c r="C354" s="11">
        <v>200</v>
      </c>
      <c r="D354" s="11"/>
      <c r="E354" s="11"/>
      <c r="F354" s="11"/>
      <c r="G354" s="11"/>
    </row>
    <row r="355" spans="2:7" s="7" customFormat="1" x14ac:dyDescent="0.15">
      <c r="B355" s="13" t="s">
        <v>549</v>
      </c>
      <c r="C355" s="11">
        <v>350</v>
      </c>
      <c r="D355" s="11" t="s">
        <v>550</v>
      </c>
      <c r="E355" s="11">
        <v>-100</v>
      </c>
      <c r="F355" s="11" t="s">
        <v>551</v>
      </c>
      <c r="G355" s="11" t="s">
        <v>557</v>
      </c>
    </row>
    <row r="356" spans="2:7" s="7" customFormat="1" x14ac:dyDescent="0.4">
      <c r="D356" s="7" t="s">
        <v>552</v>
      </c>
      <c r="E356" s="7">
        <f>SUM(E353:E355)</f>
        <v>300</v>
      </c>
    </row>
    <row r="358" spans="2:7" x14ac:dyDescent="0.4">
      <c r="B358" s="6" t="s">
        <v>600</v>
      </c>
    </row>
    <row r="359" spans="2:7" x14ac:dyDescent="0.4">
      <c r="B359" s="101" t="s">
        <v>541</v>
      </c>
      <c r="C359" s="101" t="s">
        <v>542</v>
      </c>
      <c r="D359" s="101" t="s">
        <v>2</v>
      </c>
      <c r="E359" s="101" t="s">
        <v>71</v>
      </c>
      <c r="F359" s="101" t="s">
        <v>5</v>
      </c>
      <c r="G359" s="101" t="s">
        <v>6</v>
      </c>
    </row>
    <row r="360" spans="2:7" x14ac:dyDescent="0.4">
      <c r="B360" s="2" t="s">
        <v>543</v>
      </c>
      <c r="C360" s="3">
        <v>300</v>
      </c>
      <c r="D360" s="3"/>
      <c r="E360" s="101" t="s">
        <v>544</v>
      </c>
      <c r="F360" s="3"/>
      <c r="G360" s="3"/>
    </row>
    <row r="361" spans="2:7" x14ac:dyDescent="0.4">
      <c r="B361" s="2" t="s">
        <v>545</v>
      </c>
      <c r="C361" s="3">
        <v>150</v>
      </c>
      <c r="D361" s="3"/>
      <c r="E361" s="101" t="s">
        <v>544</v>
      </c>
      <c r="F361" s="3"/>
      <c r="G361" s="3"/>
    </row>
    <row r="362" spans="2:7" x14ac:dyDescent="0.4">
      <c r="B362" s="2" t="s">
        <v>546</v>
      </c>
      <c r="C362" s="3">
        <v>100</v>
      </c>
      <c r="D362" s="3" t="s">
        <v>576</v>
      </c>
      <c r="E362" s="3">
        <v>400</v>
      </c>
      <c r="F362" s="3" t="s">
        <v>32</v>
      </c>
      <c r="G362" s="3"/>
    </row>
    <row r="363" spans="2:7" x14ac:dyDescent="0.15">
      <c r="B363" s="4" t="s">
        <v>12</v>
      </c>
      <c r="C363" s="3">
        <v>300</v>
      </c>
      <c r="D363" s="3" t="s">
        <v>547</v>
      </c>
      <c r="E363" s="3">
        <v>0</v>
      </c>
      <c r="F363" s="3"/>
      <c r="G363" s="3"/>
    </row>
    <row r="364" spans="2:7" x14ac:dyDescent="0.15">
      <c r="B364" s="5" t="s">
        <v>549</v>
      </c>
      <c r="C364" s="3">
        <v>250</v>
      </c>
      <c r="D364" s="3" t="s">
        <v>550</v>
      </c>
      <c r="E364" s="3">
        <v>100</v>
      </c>
      <c r="F364" s="3" t="s">
        <v>551</v>
      </c>
      <c r="G364" s="3" t="s">
        <v>557</v>
      </c>
    </row>
    <row r="365" spans="2:7" x14ac:dyDescent="0.4">
      <c r="D365" s="1" t="s">
        <v>552</v>
      </c>
      <c r="E365" s="1">
        <f>SUM(E362:E364)</f>
        <v>500</v>
      </c>
    </row>
    <row r="367" spans="2:7" x14ac:dyDescent="0.4">
      <c r="B367" s="6" t="s">
        <v>601</v>
      </c>
    </row>
    <row r="368" spans="2:7" x14ac:dyDescent="0.4">
      <c r="B368" s="101" t="s">
        <v>541</v>
      </c>
      <c r="C368" s="101" t="s">
        <v>542</v>
      </c>
      <c r="D368" s="101" t="s">
        <v>2</v>
      </c>
      <c r="E368" s="101" t="s">
        <v>71</v>
      </c>
      <c r="F368" s="101" t="s">
        <v>5</v>
      </c>
      <c r="G368" s="101" t="s">
        <v>6</v>
      </c>
    </row>
    <row r="369" spans="2:7" x14ac:dyDescent="0.4">
      <c r="B369" s="2" t="s">
        <v>543</v>
      </c>
      <c r="C369" s="3">
        <v>300</v>
      </c>
      <c r="D369" s="3"/>
      <c r="E369" s="101" t="s">
        <v>544</v>
      </c>
      <c r="F369" s="3"/>
      <c r="G369" s="3"/>
    </row>
    <row r="370" spans="2:7" x14ac:dyDescent="0.4">
      <c r="B370" s="2" t="s">
        <v>545</v>
      </c>
      <c r="C370" s="3">
        <v>200</v>
      </c>
      <c r="D370" s="3"/>
      <c r="E370" s="101" t="s">
        <v>544</v>
      </c>
      <c r="F370" s="3"/>
      <c r="G370" s="3"/>
    </row>
    <row r="371" spans="2:7" x14ac:dyDescent="0.4">
      <c r="B371" s="2" t="s">
        <v>546</v>
      </c>
      <c r="C371" s="3">
        <v>150</v>
      </c>
      <c r="D371" s="3" t="s">
        <v>560</v>
      </c>
      <c r="E371" s="3">
        <v>400</v>
      </c>
      <c r="F371" s="3" t="s">
        <v>32</v>
      </c>
      <c r="G371" s="3"/>
    </row>
    <row r="372" spans="2:7" x14ac:dyDescent="0.15">
      <c r="B372" s="4" t="s">
        <v>12</v>
      </c>
      <c r="C372" s="3">
        <v>250</v>
      </c>
      <c r="D372" s="3"/>
      <c r="E372" s="3"/>
      <c r="F372" s="3"/>
      <c r="G372" s="3"/>
    </row>
    <row r="373" spans="2:7" x14ac:dyDescent="0.15">
      <c r="B373" s="5" t="s">
        <v>549</v>
      </c>
      <c r="C373" s="3">
        <v>350</v>
      </c>
      <c r="D373" s="3" t="s">
        <v>556</v>
      </c>
      <c r="E373" s="3">
        <v>-100</v>
      </c>
      <c r="F373" s="3" t="s">
        <v>551</v>
      </c>
      <c r="G373" s="3" t="s">
        <v>557</v>
      </c>
    </row>
    <row r="374" spans="2:7" x14ac:dyDescent="0.4">
      <c r="D374" s="1" t="s">
        <v>552</v>
      </c>
      <c r="E374" s="1">
        <f>SUM(E371:E373)</f>
        <v>300</v>
      </c>
    </row>
    <row r="376" spans="2:7" x14ac:dyDescent="0.4">
      <c r="B376" s="6" t="s">
        <v>602</v>
      </c>
    </row>
    <row r="377" spans="2:7" x14ac:dyDescent="0.4">
      <c r="B377" s="101" t="s">
        <v>541</v>
      </c>
      <c r="C377" s="101" t="s">
        <v>542</v>
      </c>
      <c r="D377" s="101" t="s">
        <v>2</v>
      </c>
      <c r="E377" s="101" t="s">
        <v>71</v>
      </c>
      <c r="F377" s="101" t="s">
        <v>5</v>
      </c>
      <c r="G377" s="101" t="s">
        <v>6</v>
      </c>
    </row>
    <row r="378" spans="2:7" x14ac:dyDescent="0.4">
      <c r="B378" s="2" t="s">
        <v>543</v>
      </c>
      <c r="C378" s="3">
        <v>300</v>
      </c>
      <c r="D378" s="3"/>
      <c r="E378" s="101" t="s">
        <v>544</v>
      </c>
      <c r="F378" s="3"/>
      <c r="G378" s="3"/>
    </row>
    <row r="379" spans="2:7" x14ac:dyDescent="0.4">
      <c r="B379" s="2" t="s">
        <v>545</v>
      </c>
      <c r="C379" s="3">
        <v>200</v>
      </c>
      <c r="D379" s="3"/>
      <c r="E379" s="101" t="s">
        <v>544</v>
      </c>
      <c r="F379" s="3"/>
      <c r="G379" s="3"/>
    </row>
    <row r="380" spans="2:7" x14ac:dyDescent="0.4">
      <c r="B380" s="2" t="s">
        <v>546</v>
      </c>
      <c r="C380" s="3">
        <v>150</v>
      </c>
      <c r="D380" s="3" t="s">
        <v>560</v>
      </c>
      <c r="E380" s="3">
        <v>400</v>
      </c>
      <c r="F380" s="3" t="s">
        <v>32</v>
      </c>
      <c r="G380" s="3"/>
    </row>
    <row r="381" spans="2:7" x14ac:dyDescent="0.15">
      <c r="B381" s="4" t="s">
        <v>12</v>
      </c>
      <c r="C381" s="3">
        <v>250</v>
      </c>
      <c r="D381" s="3"/>
      <c r="E381" s="3"/>
      <c r="F381" s="3"/>
      <c r="G381" s="3"/>
    </row>
    <row r="382" spans="2:7" x14ac:dyDescent="0.15">
      <c r="B382" s="5" t="s">
        <v>549</v>
      </c>
      <c r="C382" s="3">
        <v>350</v>
      </c>
      <c r="D382" s="3" t="s">
        <v>556</v>
      </c>
      <c r="E382" s="3">
        <v>-200</v>
      </c>
      <c r="F382" s="3" t="s">
        <v>551</v>
      </c>
      <c r="G382" s="3" t="s">
        <v>557</v>
      </c>
    </row>
    <row r="383" spans="2:7" x14ac:dyDescent="0.4">
      <c r="D383" s="1" t="s">
        <v>552</v>
      </c>
      <c r="E383" s="1">
        <f>SUM(E380:E382)</f>
        <v>200</v>
      </c>
    </row>
    <row r="385" spans="2:7" x14ac:dyDescent="0.4">
      <c r="B385" s="6" t="s">
        <v>603</v>
      </c>
    </row>
    <row r="386" spans="2:7" x14ac:dyDescent="0.4">
      <c r="B386" s="101" t="s">
        <v>541</v>
      </c>
      <c r="C386" s="101" t="s">
        <v>542</v>
      </c>
      <c r="D386" s="101" t="s">
        <v>2</v>
      </c>
      <c r="E386" s="101" t="s">
        <v>71</v>
      </c>
      <c r="F386" s="101" t="s">
        <v>5</v>
      </c>
      <c r="G386" s="101" t="s">
        <v>6</v>
      </c>
    </row>
    <row r="387" spans="2:7" x14ac:dyDescent="0.4">
      <c r="B387" s="2" t="s">
        <v>543</v>
      </c>
      <c r="C387" s="3">
        <v>300</v>
      </c>
      <c r="D387" s="3"/>
      <c r="E387" s="101" t="s">
        <v>544</v>
      </c>
      <c r="F387" s="3"/>
      <c r="G387" s="3"/>
    </row>
    <row r="388" spans="2:7" x14ac:dyDescent="0.4">
      <c r="B388" s="2" t="s">
        <v>545</v>
      </c>
      <c r="C388" s="3">
        <v>200</v>
      </c>
      <c r="D388" s="3"/>
      <c r="E388" s="101" t="s">
        <v>544</v>
      </c>
      <c r="F388" s="3"/>
      <c r="G388" s="3"/>
    </row>
    <row r="389" spans="2:7" x14ac:dyDescent="0.4">
      <c r="B389" s="2" t="s">
        <v>546</v>
      </c>
      <c r="C389" s="3">
        <v>150</v>
      </c>
      <c r="D389" s="3" t="s">
        <v>560</v>
      </c>
      <c r="E389" s="3">
        <v>400</v>
      </c>
      <c r="F389" s="3" t="s">
        <v>32</v>
      </c>
      <c r="G389" s="3"/>
    </row>
    <row r="390" spans="2:7" x14ac:dyDescent="0.15">
      <c r="B390" s="4" t="s">
        <v>12</v>
      </c>
      <c r="C390" s="3">
        <v>200</v>
      </c>
      <c r="D390" s="3"/>
      <c r="E390" s="3"/>
      <c r="F390" s="3"/>
      <c r="G390" s="3"/>
    </row>
    <row r="391" spans="2:7" x14ac:dyDescent="0.15">
      <c r="B391" s="5" t="s">
        <v>549</v>
      </c>
      <c r="C391" s="3">
        <v>250</v>
      </c>
      <c r="D391" s="3" t="s">
        <v>556</v>
      </c>
      <c r="E391" s="3">
        <v>-200</v>
      </c>
      <c r="F391" s="3" t="s">
        <v>551</v>
      </c>
      <c r="G391" s="3" t="s">
        <v>557</v>
      </c>
    </row>
    <row r="392" spans="2:7" x14ac:dyDescent="0.4">
      <c r="D392" s="1" t="s">
        <v>552</v>
      </c>
      <c r="E392" s="1">
        <f>SUM(E389:E391)</f>
        <v>200</v>
      </c>
    </row>
    <row r="394" spans="2:7" x14ac:dyDescent="0.4">
      <c r="B394" s="6" t="s">
        <v>604</v>
      </c>
    </row>
    <row r="395" spans="2:7" x14ac:dyDescent="0.4">
      <c r="B395" s="101" t="s">
        <v>541</v>
      </c>
      <c r="C395" s="101" t="s">
        <v>542</v>
      </c>
      <c r="D395" s="101" t="s">
        <v>2</v>
      </c>
      <c r="E395" s="101" t="s">
        <v>71</v>
      </c>
      <c r="F395" s="101" t="s">
        <v>5</v>
      </c>
      <c r="G395" s="101" t="s">
        <v>6</v>
      </c>
    </row>
    <row r="396" spans="2:7" x14ac:dyDescent="0.4">
      <c r="B396" s="2" t="s">
        <v>543</v>
      </c>
      <c r="C396" s="3">
        <v>300</v>
      </c>
      <c r="D396" s="3"/>
      <c r="E396" s="101" t="s">
        <v>544</v>
      </c>
      <c r="F396" s="3"/>
      <c r="G396" s="3"/>
    </row>
    <row r="397" spans="2:7" x14ac:dyDescent="0.4">
      <c r="B397" s="2" t="s">
        <v>545</v>
      </c>
      <c r="C397" s="3">
        <v>200</v>
      </c>
      <c r="D397" s="3"/>
      <c r="E397" s="101" t="s">
        <v>544</v>
      </c>
      <c r="F397" s="3"/>
      <c r="G397" s="3"/>
    </row>
    <row r="398" spans="2:7" x14ac:dyDescent="0.4">
      <c r="B398" s="2" t="s">
        <v>546</v>
      </c>
      <c r="C398" s="3">
        <v>150</v>
      </c>
      <c r="D398" s="3" t="s">
        <v>560</v>
      </c>
      <c r="E398" s="3">
        <v>300</v>
      </c>
      <c r="F398" s="3" t="s">
        <v>32</v>
      </c>
      <c r="G398" s="3"/>
    </row>
    <row r="399" spans="2:7" x14ac:dyDescent="0.15">
      <c r="B399" s="4" t="s">
        <v>12</v>
      </c>
      <c r="C399" s="3">
        <v>200</v>
      </c>
      <c r="D399" s="3"/>
      <c r="E399" s="3"/>
      <c r="F399" s="3"/>
      <c r="G399" s="3"/>
    </row>
    <row r="400" spans="2:7" x14ac:dyDescent="0.15">
      <c r="B400" s="5" t="s">
        <v>549</v>
      </c>
      <c r="C400" s="3">
        <v>300</v>
      </c>
      <c r="D400" s="3" t="s">
        <v>556</v>
      </c>
      <c r="E400" s="3">
        <v>0</v>
      </c>
      <c r="F400" s="3" t="s">
        <v>551</v>
      </c>
      <c r="G400" s="3" t="s">
        <v>557</v>
      </c>
    </row>
    <row r="401" spans="3:5" x14ac:dyDescent="0.4">
      <c r="D401" s="1" t="s">
        <v>552</v>
      </c>
      <c r="E401" s="1">
        <f>SUM(E398:E400)</f>
        <v>300</v>
      </c>
    </row>
    <row r="405" spans="3:5" x14ac:dyDescent="0.15">
      <c r="C405" s="21" t="s">
        <v>605</v>
      </c>
      <c r="D405" s="21" t="s">
        <v>606</v>
      </c>
      <c r="E405" s="21" t="s">
        <v>607</v>
      </c>
    </row>
  </sheetData>
  <phoneticPr fontId="1"/>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Props1.xml><?xml version="1.0" encoding="utf-8"?>
<ds:datastoreItem xmlns:ds="http://schemas.openxmlformats.org/officeDocument/2006/customXml" ds:itemID="{1A9DD691-9CD1-4A3E-9A32-5543EC71A69E}">
  <ds:schemaRefs>
    <ds:schemaRef ds:uri="http://schemas.microsoft.com/sharepoint/v3/contenttype/forms"/>
  </ds:schemaRefs>
</ds:datastoreItem>
</file>

<file path=customXml/itemProps2.xml><?xml version="1.0" encoding="utf-8"?>
<ds:datastoreItem xmlns:ds="http://schemas.openxmlformats.org/officeDocument/2006/customXml" ds:itemID="{7070516E-0036-4C11-856D-9FFFED9ED22D}"/>
</file>

<file path=customXml/itemProps3.xml><?xml version="1.0" encoding="utf-8"?>
<ds:datastoreItem xmlns:ds="http://schemas.openxmlformats.org/officeDocument/2006/customXml" ds:itemID="{CD9D2ED1-788D-4BCF-AD59-FB0C36837956}">
  <ds:schemaRefs>
    <ds:schemaRef ds:uri="http://purl.org/dc/elements/1.1/"/>
    <ds:schemaRef ds:uri="http://schemas.microsoft.com/office/2006/metadata/properties"/>
    <ds:schemaRef ds:uri="b4c7ce4d-67a4-4f44-8f88-bfeca3803a63"/>
    <ds:schemaRef ds:uri="8ab8a245-1025-469f-bc0a-26499413059b"/>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緊急売価変更 値引時</vt:lpstr>
      <vt:lpstr>緊急売価変更 値引時図</vt:lpstr>
      <vt:lpstr>緊急売価変更 値引時テスト</vt:lpstr>
      <vt:lpstr>追加テスト</vt:lpstr>
      <vt:lpstr>テスト抜粋分レジ精算</vt:lpstr>
      <vt:lpstr>テスト抜粋分値引</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KTC</dc:creator>
  <cp:keywords/>
  <dc:description/>
  <cp:lastModifiedBy>佐々木  大助</cp:lastModifiedBy>
  <cp:revision/>
  <dcterms:created xsi:type="dcterms:W3CDTF">2020-09-21T07:40:15Z</dcterms:created>
  <dcterms:modified xsi:type="dcterms:W3CDTF">2020-10-28T05:33:40Z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