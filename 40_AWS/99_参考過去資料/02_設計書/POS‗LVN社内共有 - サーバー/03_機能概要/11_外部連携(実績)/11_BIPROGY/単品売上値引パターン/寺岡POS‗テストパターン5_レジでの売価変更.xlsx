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TC\OneDrive - 株式会社カスミ\代表ストコン\31.寺岡POS実績テスト\●値引売上関連テスト\値引仕様\"/>
    </mc:Choice>
  </mc:AlternateContent>
  <xr:revisionPtr revIDLastSave="1586" documentId="6_{EA8143D5-C41E-497B-B167-46190B3E83F7}" xr6:coauthVersionLast="44" xr6:coauthVersionMax="45" xr10:uidLastSave="{385219D8-71D4-41D8-A1EE-38731C949AFB}"/>
  <bookViews>
    <workbookView xWindow="-120" yWindow="-120" windowWidth="20730" windowHeight="11160" tabRatio="778" xr2:uid="{00000000-000D-0000-FFFF-FFFF00000000}"/>
  </bookViews>
  <sheets>
    <sheet name="レジでの売価変更額" sheetId="6" r:id="rId1"/>
    <sheet name="レジでの売価変更額　図" sheetId="19" r:id="rId2"/>
    <sheet name="値引確認" sheetId="4" r:id="rId3"/>
    <sheet name="仕様　値引シール他　図" sheetId="18" r:id="rId4"/>
    <sheet name="確認1020データ特売" sheetId="20" r:id="rId5"/>
    <sheet name="確認1020結果特売" sheetId="23" r:id="rId6"/>
    <sheet name="確認1020図特売" sheetId="22" r:id="rId7"/>
    <sheet name="仕様　値引シール他" sheetId="15" r:id="rId8"/>
    <sheet name="値引確認元" sheetId="21" r:id="rId9"/>
  </sheets>
  <definedNames>
    <definedName name="_xlnm._FilterDatabase" localSheetId="0" hidden="1">レジでの売価変更額!$A$3:$I$34</definedName>
    <definedName name="_xlnm._FilterDatabase" localSheetId="4" hidden="1">確認1020データ特売!$B$1:$E$14</definedName>
    <definedName name="_xlnm._FilterDatabase" localSheetId="2" hidden="1">値引確認!$A$1:$AC$1</definedName>
    <definedName name="_xlnm._FilterDatabase" localSheetId="8" hidden="1">値引確認元!$A$1:$AB$114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P589" i="19" l="1"/>
  <c r="L589" i="19"/>
  <c r="H589" i="19"/>
  <c r="H563" i="19"/>
  <c r="H538" i="19"/>
  <c r="P513" i="19"/>
  <c r="L513" i="19"/>
  <c r="H513" i="19"/>
  <c r="H488" i="19"/>
  <c r="H463" i="19"/>
  <c r="P437" i="19"/>
  <c r="L437" i="19"/>
  <c r="H437" i="19"/>
  <c r="H411" i="19"/>
  <c r="H386" i="19"/>
  <c r="H361" i="19"/>
  <c r="H336" i="19"/>
  <c r="H311" i="19"/>
  <c r="Q589" i="19"/>
  <c r="M589" i="19"/>
  <c r="I589" i="19"/>
  <c r="I563" i="19"/>
  <c r="I538" i="19"/>
  <c r="Q513" i="19"/>
  <c r="M513" i="19"/>
  <c r="I513" i="19"/>
  <c r="I488" i="19"/>
  <c r="I463" i="19"/>
  <c r="Q437" i="19"/>
  <c r="M437" i="19"/>
  <c r="I437" i="19"/>
  <c r="I411" i="19"/>
  <c r="I386" i="19"/>
  <c r="I361" i="19"/>
  <c r="I336" i="19"/>
  <c r="I311" i="19"/>
  <c r="P285" i="19"/>
  <c r="L285" i="19"/>
  <c r="H285" i="19"/>
  <c r="H259" i="19"/>
  <c r="H234" i="19"/>
  <c r="Q285" i="19"/>
  <c r="M285" i="19"/>
  <c r="I285" i="19"/>
  <c r="I259" i="19"/>
  <c r="I234" i="19"/>
  <c r="Q958" i="19" l="1"/>
  <c r="M958" i="19"/>
  <c r="I958" i="19"/>
  <c r="P958" i="19"/>
  <c r="L958" i="19"/>
  <c r="H958" i="19"/>
  <c r="Q934" i="19"/>
  <c r="M934" i="19"/>
  <c r="I934" i="19"/>
  <c r="P934" i="19"/>
  <c r="L934" i="19"/>
  <c r="H934" i="19"/>
  <c r="Q910" i="19"/>
  <c r="M910" i="19"/>
  <c r="I910" i="19"/>
  <c r="P910" i="19"/>
  <c r="L910" i="19"/>
  <c r="H910" i="19"/>
  <c r="Q886" i="19" l="1"/>
  <c r="M886" i="19"/>
  <c r="I886" i="19"/>
  <c r="P886" i="19"/>
  <c r="L886" i="19"/>
  <c r="H886" i="19"/>
  <c r="Q862" i="19"/>
  <c r="M862" i="19"/>
  <c r="I862" i="19"/>
  <c r="P862" i="19"/>
  <c r="L862" i="19"/>
  <c r="H862" i="19"/>
  <c r="Q838" i="19" l="1"/>
  <c r="M838" i="19"/>
  <c r="I838" i="19"/>
  <c r="P838" i="19"/>
  <c r="L838" i="19"/>
  <c r="H838" i="19"/>
  <c r="Q814" i="19"/>
  <c r="P814" i="19"/>
  <c r="M814" i="19"/>
  <c r="L814" i="19"/>
  <c r="I814" i="19"/>
  <c r="H814" i="19"/>
  <c r="Q789" i="19" l="1"/>
  <c r="P789" i="19"/>
  <c r="M789" i="19"/>
  <c r="L789" i="19"/>
  <c r="I789" i="19"/>
  <c r="H789" i="19"/>
  <c r="Q764" i="19"/>
  <c r="P764" i="19"/>
  <c r="M764" i="19"/>
  <c r="L764" i="19"/>
  <c r="I764" i="19"/>
  <c r="H764" i="19"/>
  <c r="P739" i="19"/>
  <c r="L739" i="19"/>
  <c r="H739" i="19"/>
  <c r="P714" i="19"/>
  <c r="L714" i="19"/>
  <c r="H714" i="19"/>
  <c r="P689" i="19"/>
  <c r="L689" i="19"/>
  <c r="H689" i="19"/>
  <c r="Q739" i="19"/>
  <c r="M739" i="19"/>
  <c r="I739" i="19"/>
  <c r="Q714" i="19" l="1"/>
  <c r="M714" i="19"/>
  <c r="I714" i="19"/>
  <c r="Q689" i="19"/>
  <c r="M689" i="19"/>
  <c r="I689" i="19" l="1"/>
  <c r="Q663" i="19" l="1"/>
  <c r="M663" i="19"/>
  <c r="I663" i="19"/>
  <c r="Q639" i="19"/>
  <c r="M639" i="19"/>
  <c r="I639" i="19"/>
  <c r="Q614" i="19"/>
  <c r="M614" i="19"/>
  <c r="I614" i="19"/>
  <c r="L663" i="19"/>
  <c r="L614" i="19" l="1"/>
  <c r="U614" i="19"/>
  <c r="U663" i="19"/>
  <c r="T663" i="19"/>
  <c r="P663" i="19"/>
  <c r="H663" i="19"/>
  <c r="P639" i="19"/>
  <c r="L639" i="19"/>
  <c r="H639" i="19"/>
  <c r="T614" i="19"/>
  <c r="P614" i="19"/>
  <c r="H614" i="19"/>
  <c r="L133" i="19" l="1"/>
  <c r="M133" i="19"/>
  <c r="P133" i="19"/>
  <c r="Q133" i="19"/>
  <c r="L209" i="19"/>
  <c r="M209" i="19"/>
  <c r="P209" i="19"/>
  <c r="Q209" i="19"/>
  <c r="I209" i="19"/>
  <c r="H209" i="19"/>
  <c r="I133" i="19"/>
  <c r="H133" i="19"/>
  <c r="I107" i="19"/>
  <c r="H107" i="19"/>
  <c r="I57" i="19"/>
  <c r="H57" i="19"/>
  <c r="I32" i="19"/>
  <c r="H32" i="19"/>
  <c r="I184" i="19" l="1"/>
  <c r="H184" i="19"/>
  <c r="I159" i="19"/>
  <c r="H159" i="19"/>
  <c r="I82" i="19" l="1"/>
  <c r="H82" i="19"/>
  <c r="N43" i="4" l="1"/>
  <c r="N42" i="4"/>
  <c r="N41" i="4"/>
  <c r="N40" i="4"/>
  <c r="N39" i="4"/>
  <c r="N38" i="4"/>
  <c r="N37" i="4"/>
  <c r="N36" i="4"/>
  <c r="N35" i="4"/>
  <c r="N34" i="4"/>
  <c r="N33" i="4"/>
  <c r="N32" i="4"/>
  <c r="N31" i="4"/>
  <c r="N30" i="4"/>
  <c r="N29" i="4"/>
  <c r="N28" i="4"/>
  <c r="N27" i="4"/>
  <c r="N26" i="4"/>
  <c r="N25" i="4"/>
  <c r="N24" i="4"/>
  <c r="N23" i="4"/>
  <c r="N22" i="4"/>
  <c r="N21" i="4"/>
  <c r="N20" i="4"/>
  <c r="N19" i="4"/>
  <c r="N18" i="4"/>
  <c r="N17" i="4"/>
  <c r="N16" i="4"/>
  <c r="N15" i="4"/>
  <c r="N14" i="4"/>
  <c r="N13" i="4"/>
  <c r="N12" i="4"/>
  <c r="N11" i="4"/>
  <c r="N10" i="4"/>
  <c r="N9" i="4"/>
  <c r="N8" i="4"/>
  <c r="N7" i="4"/>
  <c r="N6" i="4"/>
  <c r="N5" i="4"/>
  <c r="N4" i="4"/>
  <c r="N3" i="4"/>
  <c r="N2" i="4"/>
  <c r="I7" i="19"/>
  <c r="H7" i="19"/>
  <c r="F2" i="15" l="1"/>
</calcChain>
</file>

<file path=xl/sharedStrings.xml><?xml version="1.0" encoding="utf-8"?>
<sst xmlns="http://schemas.openxmlformats.org/spreadsheetml/2006/main" count="7674" uniqueCount="774">
  <si>
    <t>値増</t>
  </si>
  <si>
    <t>ミックスマッチ</t>
  </si>
  <si>
    <t>同額</t>
  </si>
  <si>
    <t>値下</t>
  </si>
  <si>
    <t>特売期間売価変更</t>
  </si>
  <si>
    <t>特売タイムセール売価変更</t>
  </si>
  <si>
    <t>値引シール【3:金額】</t>
  </si>
  <si>
    <t>朝割り</t>
  </si>
  <si>
    <t>売上</t>
  </si>
  <si>
    <t>数の子わさび１６５Ｇ　　　　　　　　　　</t>
  </si>
  <si>
    <t>4978110016388</t>
  </si>
  <si>
    <t>たこわさび（小）　　　　　　　　　　　　</t>
  </si>
  <si>
    <t>4935758055476</t>
  </si>
  <si>
    <t>たらソーメン　ＦＯ用　　　　　　　　　　</t>
  </si>
  <si>
    <t>4902046933709</t>
  </si>
  <si>
    <t>貝しぐれ（中）５５ｇ　　　　　　　　　　</t>
  </si>
  <si>
    <t>4978110022211</t>
  </si>
  <si>
    <t>ままかり酢漬１０５ｇ　　　　　　　　　　</t>
  </si>
  <si>
    <t>4978110017071</t>
  </si>
  <si>
    <t>国産昆布巻（アベック）　　　　　　　　　</t>
  </si>
  <si>
    <t>4902046075058</t>
  </si>
  <si>
    <t>ピリ辛ごぼうめかぶ　　　　　　　　　　　</t>
  </si>
  <si>
    <t>4975881201647</t>
  </si>
  <si>
    <t>ほたて塩辛　　　　　　　　　　　　　　　</t>
  </si>
  <si>
    <t>4976912201551</t>
  </si>
  <si>
    <t>海鮮サーモンサラダ１００ｇ　　　　　　　</t>
  </si>
  <si>
    <t>4978130519623</t>
  </si>
  <si>
    <t>ホッキ貝サラダ（小）　　　　　　　　　　</t>
  </si>
  <si>
    <t>4935758055537</t>
  </si>
  <si>
    <t>いか酢　６０ｇ　　　　　　　　　　　　　</t>
  </si>
  <si>
    <t>4935758055841</t>
  </si>
  <si>
    <t>松前漬け７０ｇ　　　　　　　　　　　　　</t>
  </si>
  <si>
    <t>4935758055810</t>
  </si>
  <si>
    <t>海鮮チーズサラダ　　　　　　　　　　　　</t>
  </si>
  <si>
    <t>4935758056183</t>
  </si>
  <si>
    <t>数の子わさび（中）１００ｇ　　　　　　　</t>
  </si>
  <si>
    <t>4978110026776</t>
  </si>
  <si>
    <t>さけ一口昆布　１７０ｇ　　　　　　　　　</t>
  </si>
  <si>
    <t>4978110014582</t>
  </si>
  <si>
    <t>海の恵み食堂　いか松前漬　　　　　　　　</t>
  </si>
  <si>
    <t>4903250599156</t>
  </si>
  <si>
    <t>にしん酢漬（中）７５ｇ　　　　　　　　　</t>
  </si>
  <si>
    <t>4978110417116</t>
  </si>
  <si>
    <t>いか姿フライ折れ　ＦＯ用　　　　　　　　</t>
  </si>
  <si>
    <t>4902046800483</t>
  </si>
  <si>
    <t>にしん一口昆布　１７５ｇ　　　　　　　　</t>
  </si>
  <si>
    <t>4978110014575</t>
  </si>
  <si>
    <t>海の恵み食堂　いか明太　　　　　　　　　</t>
  </si>
  <si>
    <t>4903250599149</t>
  </si>
  <si>
    <t>中華いか山菜　５５ｇ　　　　　　　　　　</t>
  </si>
  <si>
    <t>4935758055827</t>
  </si>
  <si>
    <t>貝しぐれ７５ｇ　　　　　　　　　　　　　</t>
  </si>
  <si>
    <t>4978110012342</t>
  </si>
  <si>
    <t>しばわかめ８０ｇ　　　　　　　　　　　　</t>
  </si>
  <si>
    <t>4978110033392</t>
  </si>
  <si>
    <t>にしん昆布巻（太巻）　　　　　　　　　　</t>
  </si>
  <si>
    <t>4978110024598</t>
  </si>
  <si>
    <t>真たら子昆布　　　　　　　　　　　　　　</t>
  </si>
  <si>
    <t>4935758055605</t>
  </si>
  <si>
    <t>松前漬け（中）７０ｇ　　　　　　　　　　</t>
  </si>
  <si>
    <t>4978110023973</t>
  </si>
  <si>
    <t>ふかひれ風味メンマくらげ　６０ｇ　　　　</t>
  </si>
  <si>
    <t>4935758055865</t>
  </si>
  <si>
    <t>数の子わさび２３０ｇ　　　　　　　　　　</t>
  </si>
  <si>
    <t>4978110016326</t>
  </si>
  <si>
    <t>味付つぶ７０ｇ　ＦＯ用　　　　　　　　　</t>
  </si>
  <si>
    <t>4996797092068</t>
  </si>
  <si>
    <t>ほたて塩辛　１３０ｇ　　　　　　　　　　</t>
  </si>
  <si>
    <t>4974995002072</t>
  </si>
  <si>
    <t>子持ちめかぶつん辛わさび　　　　　　　　</t>
  </si>
  <si>
    <t>4902584811729</t>
  </si>
  <si>
    <t>いか黄金　１２５ｇ　　　　　　　　　　　</t>
  </si>
  <si>
    <t>4978110012656</t>
  </si>
  <si>
    <t>いかキムチ５０ＧＸ３　　　　　　　　　　</t>
  </si>
  <si>
    <t>4902584811576</t>
  </si>
  <si>
    <t>するめソーメン　ＦＯ用　　　　　　　　　</t>
  </si>
  <si>
    <t>4902046832972</t>
  </si>
  <si>
    <t>社長の塩辛　　　　　　　　　　　　　　　</t>
  </si>
  <si>
    <t>4976132024268</t>
  </si>
  <si>
    <t>たこわさび　　　　　　　　　　　　　　　</t>
  </si>
  <si>
    <t>4963793500606</t>
  </si>
  <si>
    <t>いか塩辛５０ｇ　ＦＯ用　　　　　　　　　</t>
  </si>
  <si>
    <t>4950861109588</t>
  </si>
  <si>
    <t>いか明太　　　　　　　　　　　　　　　　</t>
  </si>
  <si>
    <t>4976912202923</t>
  </si>
  <si>
    <t>ほたるいかの醤油漬１６０ｇ　　　　　　　</t>
  </si>
  <si>
    <t>4977960061579</t>
  </si>
  <si>
    <t>鰹チャンジャ　　　　　　　　　　　　　　</t>
  </si>
  <si>
    <t>4963793600702</t>
  </si>
  <si>
    <t>いか塩辛　　　　　　　　　　　　　　　　</t>
  </si>
  <si>
    <t>4976912202893</t>
  </si>
  <si>
    <t>熟濃旨いか塩辛　　　　　　　　　　　　　</t>
  </si>
  <si>
    <t>4974995062908</t>
  </si>
  <si>
    <t>減塩　だしが活きたいか塩辛７０ｇ　　　　</t>
  </si>
  <si>
    <t>4903250560583</t>
  </si>
  <si>
    <t>オノマン一本造塩辛１７０ｇ　　　　　　　</t>
  </si>
  <si>
    <t>4970455010205</t>
  </si>
  <si>
    <t>辛い旨いか明太　　　　　　　　　　　　　</t>
  </si>
  <si>
    <t>4974995070088</t>
  </si>
  <si>
    <t>いか塩辛　大漁唄６０ｇ　　　　　　　　　</t>
  </si>
  <si>
    <t>4974929153207</t>
  </si>
  <si>
    <t>浜育ち塩辛１００Ｇ　　　　　　　　　　　</t>
  </si>
  <si>
    <t>4978230108390</t>
  </si>
  <si>
    <t>4976912202909</t>
  </si>
  <si>
    <t>オノマン麹塩辛　　　　　　　　　　　　　</t>
  </si>
  <si>
    <t>4970455020105</t>
  </si>
  <si>
    <t>オノマンいか塩辛白造り５０ｇ×２（ＦＯ用</t>
  </si>
  <si>
    <t>4970455055404</t>
  </si>
  <si>
    <t>いか明太子ぶっかけ　　　　　　　　　　　</t>
  </si>
  <si>
    <t>4902584807685</t>
  </si>
  <si>
    <t>たこキムチ　　　　　　　　　　　　　　　</t>
  </si>
  <si>
    <t>4976912202916</t>
  </si>
  <si>
    <t>たこ塩レモン１２０ｇ　　　　　　　　　　</t>
  </si>
  <si>
    <t>4973925490156</t>
  </si>
  <si>
    <t>濃い旨いか塩辛　　　　　　　　　　　　　</t>
  </si>
  <si>
    <t>4974995070071</t>
  </si>
  <si>
    <t>ゴロほぐし焼さば　　　　　　　　　　　　</t>
  </si>
  <si>
    <t>4997330521717</t>
  </si>
  <si>
    <t>アケボノ鮭フレーク３０ｇ　　　　　　　　</t>
  </si>
  <si>
    <t>4902165317466</t>
  </si>
  <si>
    <t>紅鮭茶漬け　　　　　　　　　　　　　　　</t>
  </si>
  <si>
    <t>4901540603446</t>
  </si>
  <si>
    <t>ゴロほぐし紅鮭　　　　　　　　　　　　　</t>
  </si>
  <si>
    <t>4997330641736</t>
  </si>
  <si>
    <t>ＴＶ焼鮭フレーク７５ｇ　　　　　　　　　</t>
  </si>
  <si>
    <t>4901810889648</t>
  </si>
  <si>
    <t>さけフレークオリーブオイル仕上げ　　　　</t>
  </si>
  <si>
    <t>4974819901840</t>
  </si>
  <si>
    <t>ＴＶ　減塩焼鮭ほぐし　　　　　　　　　　</t>
  </si>
  <si>
    <t>4549741198172</t>
  </si>
  <si>
    <t>ＴＶセレクト紅鮭ほぐし身　　　　　　　　</t>
  </si>
  <si>
    <t>4549741021579</t>
  </si>
  <si>
    <t>鮭フレーク　塩分３０％カット　　　　　　</t>
  </si>
  <si>
    <t>4904620801060</t>
  </si>
  <si>
    <t>紅鮭ほぐし　１３０ｇ　　　　　　　　　　</t>
  </si>
  <si>
    <t>4950861103296</t>
  </si>
  <si>
    <t>紅鮭ほぐし１３０Ｇ　　　　　　　　　　　</t>
  </si>
  <si>
    <t>4950861108284</t>
  </si>
  <si>
    <t>ＴＶベストプライス　鮭フレーク　　　　　</t>
  </si>
  <si>
    <t>4549741178280</t>
  </si>
  <si>
    <t>ＢＰ鮭フレーク　　　　　　　　　　　　　</t>
  </si>
  <si>
    <t>4549741465083</t>
  </si>
  <si>
    <t>荒ほぐし鮭　明太風味　　　　　　　　　　</t>
  </si>
  <si>
    <t>4901540603415</t>
  </si>
  <si>
    <t>ごま昆布８５ｇ　　　　　　　　　　　　　</t>
  </si>
  <si>
    <t>4977291201125</t>
  </si>
  <si>
    <t>焼きししゃもみりん７０Ｇ　ＦＯ用　　　　</t>
  </si>
  <si>
    <t>4993578063002</t>
  </si>
  <si>
    <t>ほたて風味蒲鉾４０ｇＦＯ用　　　　　　　</t>
  </si>
  <si>
    <t>4901737831072</t>
  </si>
  <si>
    <t>山椒小魚９０Ｇ　　　　　　　　　　　　　</t>
  </si>
  <si>
    <t>4977291335127</t>
  </si>
  <si>
    <t>ちりめんお茶漬け７０Ｇ　ＦＯ用　　　　　</t>
  </si>
  <si>
    <t>4962281197052</t>
  </si>
  <si>
    <t>庄屋わかめに生姜でコリッコリ　　　　　　</t>
  </si>
  <si>
    <t>4948254101059</t>
  </si>
  <si>
    <t>明太高菜１００Ｇ　　　　　　　　　　　　</t>
  </si>
  <si>
    <t>4974817021557</t>
  </si>
  <si>
    <t>おむすび専門店のチーズおかか　　　　　　</t>
  </si>
  <si>
    <t>4974819901918</t>
  </si>
  <si>
    <t>金ごまおかか　　　　　　　　　　　　　　</t>
  </si>
  <si>
    <t>4975152012545</t>
  </si>
  <si>
    <t>えびくるみ８５Ｇ　　　　　　　　　　　　</t>
  </si>
  <si>
    <t>4977291325128</t>
  </si>
  <si>
    <t>ＭＳＣ無着色明太子１００Ｇ　　　　　　　</t>
  </si>
  <si>
    <t>4957971490100</t>
  </si>
  <si>
    <t>福さ屋辛子明太子１１０ｇ　　　　　　　　</t>
  </si>
  <si>
    <t>4963019200419</t>
  </si>
  <si>
    <t>めんたいソース（オニオン）　　　　　　　</t>
  </si>
  <si>
    <t>4974817029546</t>
  </si>
  <si>
    <t>あごおとし無着色明太子１５０ｇ　　　　　</t>
  </si>
  <si>
    <t>4976880912626</t>
  </si>
  <si>
    <t>明太子（ゆず風味）　　　　　　　　　　　</t>
  </si>
  <si>
    <t>4953413817337</t>
  </si>
  <si>
    <t>かねふくパスタソース明太子　　　　　　　</t>
  </si>
  <si>
    <t>4974817031020</t>
  </si>
  <si>
    <t>焼きあごだし辛子明太子１５０ｇ　　　　　</t>
  </si>
  <si>
    <t>4962822218505</t>
  </si>
  <si>
    <t>辛子明太子（切子）１３０ｇ　　　　　　　</t>
  </si>
  <si>
    <t>4972195253799</t>
  </si>
  <si>
    <t>辛子明太子２００ｇ　　　　　　　　　　　</t>
  </si>
  <si>
    <t>4978260313733</t>
  </si>
  <si>
    <t>（ＦＣ）明太子３０ｇ　　　　　　　　　　</t>
  </si>
  <si>
    <t>4935758056626</t>
  </si>
  <si>
    <t>かねふく無着色明太子１１０ｇ　　　　　　</t>
  </si>
  <si>
    <t>4974817027443</t>
  </si>
  <si>
    <t>減塩無着色辛子明太子４０ｇ　　　　　　　</t>
  </si>
  <si>
    <t>4978260313955</t>
  </si>
  <si>
    <t>特売期間値引 50円</t>
  </si>
  <si>
    <t>①通常単価＞マニュアル売価変更金額＞特売売価変更金額</t>
  </si>
  <si>
    <t>①通常単価＞マニュアル売価変更金額＝特売売価変更金額</t>
  </si>
  <si>
    <t>①通常単価＞特売売価変更金額＞マニュアル売価変更金額</t>
  </si>
  <si>
    <t>①通常単価＝特売売価変更金額＞マニュアル売価変更金額</t>
  </si>
  <si>
    <t>①特売売価変更金額＞通常単価＞マニュアル売価変更金額</t>
  </si>
  <si>
    <t>①通常単価＝マニュアル売価変更金額＞特売売価変更金額</t>
  </si>
  <si>
    <t>①通常単価＝マニュアル売価変更金額＝特売売価変更金額</t>
  </si>
  <si>
    <t>①特売売価変更金額＞通常単価＝マニュアル売価変更金額</t>
  </si>
  <si>
    <t>①マニュアル売価変更金額＞通常単価＞特売売価変更金額</t>
  </si>
  <si>
    <t>①マニュアル売価変更金額＞通常単価＝特売売価変更金額</t>
  </si>
  <si>
    <t>①マニュアル売価変更金額＞特売売価変更金額＞通常単価</t>
  </si>
  <si>
    <t>①マニュアル売価変更金額＝特売売価変更金額＞通常単価</t>
  </si>
  <si>
    <t>①特売売価変更金額＞マニュアル売価変更金額＞通常単価</t>
  </si>
  <si>
    <t>①マニュアル売価変更金額＝通常単価＞特売売価変更金額</t>
  </si>
  <si>
    <t>①通常単価＞ミックスマッチ後金額＞マニュアル売価変更金額</t>
  </si>
  <si>
    <t>①通常単価＝ミックスマッチ後金額＞マニュアル売価変更金額</t>
  </si>
  <si>
    <t>①通常単価＝マニュアル売価変更金額＝ミックスマッチ後金額</t>
  </si>
  <si>
    <t>①マニュアル売価変更金額＞ミックスマッチ後金額＞通常単価</t>
  </si>
  <si>
    <t>①マニュアル売価変更金額＝ミックスマッチ後金額＞通常単価</t>
  </si>
  <si>
    <t>①ミックスマッチ後金額＞マニュアル売価変更金額＞通常単価</t>
  </si>
  <si>
    <t>さんまうの花２尾　　　　　　　　　　　　</t>
  </si>
  <si>
    <t>4946908001274</t>
  </si>
  <si>
    <t>びんつま　にしんの燻製とバジル　　　　　</t>
  </si>
  <si>
    <t>4901592917775</t>
  </si>
  <si>
    <t>小肌粟漬（４枚真空）　　　　　　　　　　</t>
  </si>
  <si>
    <t>4969766111435</t>
  </si>
  <si>
    <t>北海道産ソーセージ５本束　　　　　　　　</t>
  </si>
  <si>
    <t>4902150362259</t>
  </si>
  <si>
    <t>①マニュアル売価変更金額＞通常単価＞値引シール【1:値引】</t>
  </si>
  <si>
    <t>①マニュアル売価変更金額＞通常単価＝値引シール【1:値引】</t>
  </si>
  <si>
    <t>①マニュアル売価変更金額＞値引シール【1:値引】＞通常単価</t>
  </si>
  <si>
    <t>①マニュアル売価変更金額＞通常単価＞値引シール【2:割引】</t>
  </si>
  <si>
    <t>①マニュアル売価変更金額＞通常単価＝値引シール【2:割引】</t>
  </si>
  <si>
    <t>①マニュアル売価変更金額＞値引シール【2:割引】＞通常単価</t>
  </si>
  <si>
    <t>①通常単価＞マニュアル売価変更金額＞値引シール【3:金額】</t>
  </si>
  <si>
    <t>①通常単価＞マニュアル売価変更金額＝値引シール【3:金額】</t>
  </si>
  <si>
    <t>①通常単価＞値引シール【3:金額】＞マニュアル売価変更金額</t>
  </si>
  <si>
    <t>①通常単価＝マニュアル売価変更金額＞値引シール【3:金額】</t>
  </si>
  <si>
    <t>①通常単価＝値引シール【3:金額】＝マニュアル売価変更金額</t>
  </si>
  <si>
    <t>①マニュアル売価変更金額＞通常単価＞値引シール【3:金額】</t>
  </si>
  <si>
    <t>①マニュアル売価変更金額＞通常単価＝値引シール【3:金額】</t>
  </si>
  <si>
    <t>①マニュアル売価変更金額＞値引シール【3:金額】＞通常単価</t>
  </si>
  <si>
    <t>①マニュアル売価変更＞マニュアル売価変更金額＞通常単価</t>
  </si>
  <si>
    <t>①マニュアル売価変更金額＞通常単価＞カテゴリー値引</t>
  </si>
  <si>
    <t>①マニュアル売価変更金額＞通常単価＝カテゴリー値引</t>
  </si>
  <si>
    <t>①マニュアル売価変更金額＞カテゴリー値引＞通常単価</t>
  </si>
  <si>
    <t>①マニュアル売価変更金額＞通常単価＞小計値引</t>
  </si>
  <si>
    <t>①マニュアル売価変更金額＞通常単価＞小計割引</t>
  </si>
  <si>
    <t>①マニュアル売価変更金額＞通常単価　朝割</t>
  </si>
  <si>
    <t>①マニュアル売価変更金額＞通常単価　メガ割</t>
  </si>
  <si>
    <t>①マニュアル売価変更金額＞通常単価　クレジット割</t>
  </si>
  <si>
    <t>サラダフィッシュ（プレーン）　　　　　　</t>
  </si>
  <si>
    <t>4970050021378</t>
  </si>
  <si>
    <t>サラダフィッシュ（バジル）　　　　　　　</t>
  </si>
  <si>
    <t>4970050021385</t>
  </si>
  <si>
    <t>いわしのマリネ　　　　　　　　　　　　　</t>
  </si>
  <si>
    <t>4974929841487</t>
  </si>
  <si>
    <t>バリ勝男クン（一味醤油味）　　　　　　　</t>
  </si>
  <si>
    <t>4978316991755</t>
  </si>
  <si>
    <t>オリーブオイルサーディン　　　　　　　　</t>
  </si>
  <si>
    <t>4994879108041</t>
  </si>
  <si>
    <t>シール</t>
  </si>
  <si>
    <t>項番</t>
  </si>
  <si>
    <t>取引内容</t>
  </si>
  <si>
    <t>マニュアル売価変更</t>
  </si>
  <si>
    <t>設定1</t>
  </si>
  <si>
    <t>処理1</t>
  </si>
  <si>
    <t>POS値引等</t>
  </si>
  <si>
    <t>金額</t>
  </si>
  <si>
    <t>商品名</t>
  </si>
  <si>
    <t>JAN</t>
  </si>
  <si>
    <t>当日売価</t>
  </si>
  <si>
    <t>特売</t>
  </si>
  <si>
    <t>ミックマッチ</t>
  </si>
  <si>
    <t>カテゴリー処理</t>
  </si>
  <si>
    <t>小計割</t>
  </si>
  <si>
    <t>純売上額</t>
  </si>
  <si>
    <t>純売上数量</t>
  </si>
  <si>
    <t>値引合計金額</t>
  </si>
  <si>
    <t>値引合計数量</t>
  </si>
  <si>
    <t>企画コード</t>
  </si>
  <si>
    <t>値引コード</t>
  </si>
  <si>
    <t>値引種別</t>
  </si>
  <si>
    <t>値引額</t>
  </si>
  <si>
    <t>値引数量</t>
  </si>
  <si>
    <t>値引名称</t>
  </si>
  <si>
    <t>ﾏﾆｭｱﾙ値引</t>
  </si>
  <si>
    <t/>
  </si>
  <si>
    <t>500</t>
  </si>
  <si>
    <t>400</t>
  </si>
  <si>
    <t>450</t>
  </si>
  <si>
    <t>1</t>
  </si>
  <si>
    <t>0</t>
  </si>
  <si>
    <t>908001</t>
  </si>
  <si>
    <t>91121</t>
  </si>
  <si>
    <t>50</t>
  </si>
  <si>
    <t>ﾀｲﾑｻｰﾋﾞｽ</t>
  </si>
  <si>
    <t>－</t>
  </si>
  <si>
    <t>91220</t>
  </si>
  <si>
    <t>6</t>
  </si>
  <si>
    <t>マニュアル額値引</t>
  </si>
  <si>
    <t>売価変更</t>
  </si>
  <si>
    <t>550</t>
  </si>
  <si>
    <t>-50</t>
  </si>
  <si>
    <t>600</t>
  </si>
  <si>
    <t>特売タイムセール割引 10％</t>
  </si>
  <si>
    <t>10</t>
  </si>
  <si>
    <t>4540</t>
  </si>
  <si>
    <t>-4040</t>
  </si>
  <si>
    <t>特売タイムセール値引 50円</t>
  </si>
  <si>
    <t>908002</t>
  </si>
  <si>
    <t>91141</t>
  </si>
  <si>
    <t>特売期間割引 10％</t>
  </si>
  <si>
    <t>①通常単価＞マニュアル売価変更金額＞ミックスマッチ後金額</t>
  </si>
  <si>
    <t>700</t>
  </si>
  <si>
    <t>2</t>
  </si>
  <si>
    <t>100</t>
  </si>
  <si>
    <t>908100</t>
  </si>
  <si>
    <t>91316</t>
  </si>
  <si>
    <t>200</t>
  </si>
  <si>
    <t>ミックス</t>
  </si>
  <si>
    <t>①通常単価＞マニュアル売価変更金額＝ミックスマッチ後金額</t>
  </si>
  <si>
    <t>800</t>
  </si>
  <si>
    <t>908101</t>
  </si>
  <si>
    <t>900</t>
  </si>
  <si>
    <t>17900</t>
  </si>
  <si>
    <t>①通常単価＝マニュアル売価変更金額＞ミックスマッチ後金額</t>
  </si>
  <si>
    <t>1000</t>
  </si>
  <si>
    <t>①マニュアル売価変更金額＞通常単価＞ミックスマッチ後金額</t>
  </si>
  <si>
    <t>①マニュアル売価変更金額＞通常単価＝ミックスマッチ後金額</t>
  </si>
  <si>
    <t>908102</t>
  </si>
  <si>
    <t>1100</t>
  </si>
  <si>
    <t>908103</t>
  </si>
  <si>
    <t>値引シール【1:値引】</t>
  </si>
  <si>
    <t>①通常単価＞マニュアル売価変更金額＞値引シール【1:値引】</t>
  </si>
  <si>
    <t>①通常単価＝マニュアル売価変更金額＞値引シール【1:値引】</t>
  </si>
  <si>
    <t>5450</t>
  </si>
  <si>
    <t>値引シール【2:割引】</t>
  </si>
  <si>
    <t>①通常単価＞マニュアル売価変更金額＞値引シール【2:割引】</t>
  </si>
  <si>
    <t>①通常単価＝マニュアル売価変更金額＞値引シール【2:割引】</t>
  </si>
  <si>
    <t>350</t>
  </si>
  <si>
    <t>150</t>
  </si>
  <si>
    <t>カテゴリー値引</t>
  </si>
  <si>
    <t>①通常単価＞マニュアル売価変更金額＞カテゴリー値引</t>
  </si>
  <si>
    <t>91324</t>
  </si>
  <si>
    <t>部門ﾚﾍﾞﾙ商品階層自動値引</t>
  </si>
  <si>
    <t>①通常単価＝マニュアル売価変更金額＞カテゴリー値引</t>
  </si>
  <si>
    <t>カテゴリー割引</t>
  </si>
  <si>
    <t>405</t>
  </si>
  <si>
    <t>95</t>
  </si>
  <si>
    <t>45</t>
  </si>
  <si>
    <t>495</t>
  </si>
  <si>
    <t>55</t>
  </si>
  <si>
    <t>小計値引</t>
  </si>
  <si>
    <t>①通常単価＞マニュアル売価変更金額＞小計値引</t>
  </si>
  <si>
    <t>91400</t>
  </si>
  <si>
    <t>14</t>
  </si>
  <si>
    <t>マニュアル小計値引</t>
  </si>
  <si>
    <t>％</t>
  </si>
  <si>
    <t>①通常単価＝マニュアル売価変更金額＞小計値引</t>
  </si>
  <si>
    <t>小計割引</t>
  </si>
  <si>
    <t>①通常単価＞マニュアル売価変更金額＞小計割引</t>
  </si>
  <si>
    <t>①通常単価＝マニュアル売価変更金額＞小計割引</t>
  </si>
  <si>
    <t>20</t>
  </si>
  <si>
    <t>440</t>
  </si>
  <si>
    <t>110</t>
  </si>
  <si>
    <t>①通常単価＞マニュアル売価変更金額　朝割</t>
  </si>
  <si>
    <t>①通常単価＝マニュアル売価変更金額　朝割</t>
  </si>
  <si>
    <t>メガ割</t>
  </si>
  <si>
    <t>①通常単価＞マニュアル売価変更金額　メガ割</t>
  </si>
  <si>
    <t>①通常単価＝マニュアル売価変更金額　メガ割</t>
  </si>
  <si>
    <t>クレジット割</t>
  </si>
  <si>
    <t>①通常単価＞マニュアル売価変更金額　クレジット割</t>
  </si>
  <si>
    <t>5</t>
  </si>
  <si>
    <t>427</t>
  </si>
  <si>
    <t>73</t>
  </si>
  <si>
    <t>23</t>
  </si>
  <si>
    <t>①通常単価＝マニュアル売価変更金額　クレジット割</t>
  </si>
  <si>
    <t>475</t>
  </si>
  <si>
    <t>25</t>
  </si>
  <si>
    <t>522</t>
  </si>
  <si>
    <t>28</t>
  </si>
  <si>
    <t>計算内容</t>
    <rPh sb="0" eb="2">
      <t>ケイサン</t>
    </rPh>
    <rPh sb="2" eb="4">
      <t>ナイヨウ</t>
    </rPh>
    <phoneticPr fontId="2"/>
  </si>
  <si>
    <t>備考</t>
    <rPh sb="0" eb="2">
      <t>ビコウ</t>
    </rPh>
    <phoneticPr fontId="2"/>
  </si>
  <si>
    <t>売価変更</t>
    <phoneticPr fontId="6"/>
  </si>
  <si>
    <t>実績作成を行わない。</t>
    <rPh sb="0" eb="2">
      <t>ジッセキ</t>
    </rPh>
    <rPh sb="2" eb="4">
      <t>サクセイ</t>
    </rPh>
    <rPh sb="5" eb="6">
      <t>オコナ</t>
    </rPh>
    <phoneticPr fontId="7"/>
  </si>
  <si>
    <t>値引パタ―ン</t>
    <rPh sb="0" eb="2">
      <t>ネビキ</t>
    </rPh>
    <phoneticPr fontId="2"/>
  </si>
  <si>
    <t>値引コ―ド</t>
  </si>
  <si>
    <t>前提条件：</t>
    <rPh sb="0" eb="2">
      <t>ゼンテイ</t>
    </rPh>
    <rPh sb="2" eb="4">
      <t>ジョウケン</t>
    </rPh>
    <phoneticPr fontId="2"/>
  </si>
  <si>
    <t>設定金額</t>
    <rPh sb="0" eb="2">
      <t>セッテイ</t>
    </rPh>
    <rPh sb="2" eb="4">
      <t>キンガク</t>
    </rPh>
    <phoneticPr fontId="2"/>
  </si>
  <si>
    <t>値引額</t>
    <rPh sb="0" eb="2">
      <t>ネビキ</t>
    </rPh>
    <rPh sb="2" eb="3">
      <t>ガク</t>
    </rPh>
    <phoneticPr fontId="2"/>
  </si>
  <si>
    <t>―</t>
    <phoneticPr fontId="7"/>
  </si>
  <si>
    <t>特売</t>
    <phoneticPr fontId="6"/>
  </si>
  <si>
    <t>ミックス</t>
    <phoneticPr fontId="8"/>
  </si>
  <si>
    <t>①ミックスマッチ後金額＞通常単価＞マニュアル売価変更金額</t>
    <phoneticPr fontId="6"/>
  </si>
  <si>
    <t>①ミックスマッチ後金額＞通常単価＝マニュアル売価変更金額</t>
    <phoneticPr fontId="6"/>
  </si>
  <si>
    <t>特売3</t>
    <rPh sb="0" eb="2">
      <t>トクバイ</t>
    </rPh>
    <phoneticPr fontId="6"/>
  </si>
  <si>
    <t>特売2</t>
    <phoneticPr fontId="6"/>
  </si>
  <si>
    <t>特売1</t>
    <phoneticPr fontId="6"/>
  </si>
  <si>
    <t>特売4</t>
    <rPh sb="0" eb="2">
      <t>トクバイ</t>
    </rPh>
    <phoneticPr fontId="6"/>
  </si>
  <si>
    <t>特売5</t>
    <phoneticPr fontId="6"/>
  </si>
  <si>
    <t>特売3</t>
    <phoneticPr fontId="6"/>
  </si>
  <si>
    <t>特売7</t>
    <phoneticPr fontId="6"/>
  </si>
  <si>
    <t>特売8</t>
    <phoneticPr fontId="6"/>
  </si>
  <si>
    <t>特売10</t>
    <phoneticPr fontId="6"/>
  </si>
  <si>
    <t>特売11</t>
    <phoneticPr fontId="6"/>
  </si>
  <si>
    <t>特売9</t>
    <phoneticPr fontId="6"/>
  </si>
  <si>
    <t>特売12</t>
    <phoneticPr fontId="6"/>
  </si>
  <si>
    <t>値引シール【1:値引】</t>
    <phoneticPr fontId="6"/>
  </si>
  <si>
    <t>マニュアル額値引</t>
    <phoneticPr fontId="6"/>
  </si>
  <si>
    <t>値引シール【3:金額】</t>
    <phoneticPr fontId="6"/>
  </si>
  <si>
    <t>値引シール【2:割引】</t>
    <phoneticPr fontId="6"/>
  </si>
  <si>
    <t>マニュアル売価額値引</t>
    <rPh sb="5" eb="7">
      <t>バイカ</t>
    </rPh>
    <rPh sb="7" eb="8">
      <t>ガク</t>
    </rPh>
    <rPh sb="8" eb="10">
      <t>ネビキ</t>
    </rPh>
    <phoneticPr fontId="6"/>
  </si>
  <si>
    <t>実績作成なし</t>
    <rPh sb="0" eb="2">
      <t>ジッセキ</t>
    </rPh>
    <rPh sb="2" eb="4">
      <t>サクセイ</t>
    </rPh>
    <phoneticPr fontId="6"/>
  </si>
  <si>
    <t>カテゴリー値引</t>
    <phoneticPr fontId="6"/>
  </si>
  <si>
    <t>小計値引</t>
    <phoneticPr fontId="6"/>
  </si>
  <si>
    <t>小計割引</t>
    <phoneticPr fontId="6"/>
  </si>
  <si>
    <t>朝割り</t>
    <phoneticPr fontId="6"/>
  </si>
  <si>
    <t>メガ割</t>
    <phoneticPr fontId="6"/>
  </si>
  <si>
    <t>クレジット割</t>
    <phoneticPr fontId="6"/>
  </si>
  <si>
    <t>MM1</t>
    <phoneticPr fontId="6"/>
  </si>
  <si>
    <t>MM4</t>
    <phoneticPr fontId="6"/>
  </si>
  <si>
    <t>MM7</t>
    <phoneticPr fontId="6"/>
  </si>
  <si>
    <t>MM2</t>
    <phoneticPr fontId="6"/>
  </si>
  <si>
    <t>MM5</t>
    <phoneticPr fontId="6"/>
  </si>
  <si>
    <t>MM8</t>
    <phoneticPr fontId="6"/>
  </si>
  <si>
    <t>MM3</t>
    <phoneticPr fontId="6"/>
  </si>
  <si>
    <t>MM6</t>
    <phoneticPr fontId="6"/>
  </si>
  <si>
    <t>MM9</t>
    <phoneticPr fontId="6"/>
  </si>
  <si>
    <t>MM10</t>
    <phoneticPr fontId="6"/>
  </si>
  <si>
    <t>＜作成実績＞</t>
    <rPh sb="1" eb="3">
      <t>サクセイ</t>
    </rPh>
    <rPh sb="3" eb="5">
      <t>ジッセキ</t>
    </rPh>
    <phoneticPr fontId="14"/>
  </si>
  <si>
    <t>①</t>
    <phoneticPr fontId="14"/>
  </si>
  <si>
    <t>：タイムサービス／特売</t>
    <rPh sb="9" eb="11">
      <t>トクバイ</t>
    </rPh>
    <phoneticPr fontId="14"/>
  </si>
  <si>
    <t>②</t>
    <phoneticPr fontId="14"/>
  </si>
  <si>
    <t>値引内容</t>
    <rPh sb="0" eb="2">
      <t>ネビキ</t>
    </rPh>
    <rPh sb="2" eb="4">
      <t>ナイヨウ</t>
    </rPh>
    <phoneticPr fontId="2"/>
  </si>
  <si>
    <t>値引パターン</t>
    <rPh sb="0" eb="2">
      <t>ネビキ</t>
    </rPh>
    <phoneticPr fontId="2"/>
  </si>
  <si>
    <t>カテゴリ値引額</t>
    <rPh sb="4" eb="6">
      <t>ネビキ</t>
    </rPh>
    <phoneticPr fontId="2"/>
  </si>
  <si>
    <t>売価変更</t>
    <phoneticPr fontId="6"/>
  </si>
  <si>
    <t>値引実績作成しない</t>
    <rPh sb="0" eb="2">
      <t>ネビキ</t>
    </rPh>
    <rPh sb="2" eb="4">
      <t>ジッセキ</t>
    </rPh>
    <rPh sb="4" eb="6">
      <t>サクセイ</t>
    </rPh>
    <phoneticPr fontId="2"/>
  </si>
  <si>
    <t xml:space="preserve"> </t>
    <phoneticPr fontId="14"/>
  </si>
  <si>
    <t>特売</t>
    <phoneticPr fontId="14"/>
  </si>
  <si>
    <t>特売額</t>
    <rPh sb="0" eb="2">
      <t>トクバイ</t>
    </rPh>
    <rPh sb="2" eb="3">
      <t>ガク</t>
    </rPh>
    <phoneticPr fontId="2"/>
  </si>
  <si>
    <t>マニュアル値引額</t>
    <phoneticPr fontId="2"/>
  </si>
  <si>
    <t>マニュアル割引額</t>
    <rPh sb="5" eb="7">
      <t>ワリビキ</t>
    </rPh>
    <rPh sb="7" eb="8">
      <t>ガク</t>
    </rPh>
    <phoneticPr fontId="2"/>
  </si>
  <si>
    <t>×</t>
    <phoneticPr fontId="14"/>
  </si>
  <si>
    <t>売価額</t>
    <rPh sb="0" eb="2">
      <t>バイカ</t>
    </rPh>
    <rPh sb="2" eb="3">
      <t>ガク</t>
    </rPh>
    <phoneticPr fontId="14"/>
  </si>
  <si>
    <t>※ 計算結果が０円も実績出力する。マイナスは実績出力しない。</t>
    <rPh sb="10" eb="12">
      <t>ジッセキ</t>
    </rPh>
    <rPh sb="12" eb="14">
      <t>シュツリョク</t>
    </rPh>
    <rPh sb="22" eb="24">
      <t>ジッセキ</t>
    </rPh>
    <rPh sb="24" eb="26">
      <t>シュツリョク</t>
    </rPh>
    <phoneticPr fontId="14"/>
  </si>
  <si>
    <t>マニュアル値引額</t>
  </si>
  <si>
    <t>：マニュアル額値引　額</t>
    <phoneticPr fontId="14"/>
  </si>
  <si>
    <t>※  売価額：定番売価と特売額の小さい金額</t>
    <rPh sb="3" eb="5">
      <t>バイカ</t>
    </rPh>
    <rPh sb="5" eb="6">
      <t>ガク</t>
    </rPh>
    <rPh sb="7" eb="9">
      <t>テイバン</t>
    </rPh>
    <rPh sb="9" eb="11">
      <t>バイカ</t>
    </rPh>
    <rPh sb="12" eb="14">
      <t>トクバイ</t>
    </rPh>
    <rPh sb="14" eb="15">
      <t>ガク</t>
    </rPh>
    <rPh sb="16" eb="17">
      <t>チイ</t>
    </rPh>
    <rPh sb="19" eb="21">
      <t>キンガク</t>
    </rPh>
    <phoneticPr fontId="14"/>
  </si>
  <si>
    <t>ミックスマッチ</t>
    <phoneticPr fontId="14"/>
  </si>
  <si>
    <t>ミックス
マッチ額</t>
    <rPh sb="8" eb="9">
      <t>ガク</t>
    </rPh>
    <phoneticPr fontId="2"/>
  </si>
  <si>
    <t>：ミックス</t>
    <phoneticPr fontId="14"/>
  </si>
  <si>
    <t>※ 計算結果が０円、マイナス時は実績出力しない。</t>
    <rPh sb="16" eb="18">
      <t>ジッセキ</t>
    </rPh>
    <rPh sb="18" eb="20">
      <t>シュツリョク</t>
    </rPh>
    <phoneticPr fontId="14"/>
  </si>
  <si>
    <t>値引シール【3:金額】</t>
    <phoneticPr fontId="14"/>
  </si>
  <si>
    <t>値引シール
【3:金額】</t>
    <rPh sb="0" eb="2">
      <t>ネビキ</t>
    </rPh>
    <rPh sb="9" eb="11">
      <t>キンガク</t>
    </rPh>
    <phoneticPr fontId="2"/>
  </si>
  <si>
    <t>売価額</t>
    <rPh sb="0" eb="2">
      <t>バイカ</t>
    </rPh>
    <rPh sb="2" eb="3">
      <t>ガク</t>
    </rPh>
    <phoneticPr fontId="14"/>
  </si>
  <si>
    <t>※ 値引額：値引実績</t>
    <phoneticPr fontId="2"/>
  </si>
  <si>
    <t>値引シール【1:値引】
定番売価＞レジでの売価変更</t>
    <rPh sb="12" eb="14">
      <t>テイバン</t>
    </rPh>
    <rPh sb="14" eb="16">
      <t>バイカ</t>
    </rPh>
    <phoneticPr fontId="2"/>
  </si>
  <si>
    <t>レジでの売価変更優先で値引実績が作成される。</t>
  </si>
  <si>
    <t>値引シール【1:値引】
定番売価＝＜レジでの売価変更</t>
    <rPh sb="12" eb="14">
      <t>テイバン</t>
    </rPh>
    <rPh sb="14" eb="16">
      <t>バイカ</t>
    </rPh>
    <phoneticPr fontId="2"/>
  </si>
  <si>
    <t>値引シール【2:割引】
定番売価＞レジでの売価変更</t>
    <rPh sb="12" eb="14">
      <t>テイバン</t>
    </rPh>
    <rPh sb="14" eb="16">
      <t>バイカ</t>
    </rPh>
    <phoneticPr fontId="2"/>
  </si>
  <si>
    <t>値引シール【2:割引】
定番売価＝＜レジでの売価変更</t>
    <rPh sb="12" eb="14">
      <t>テイバン</t>
    </rPh>
    <rPh sb="14" eb="16">
      <t>バイカ</t>
    </rPh>
    <phoneticPr fontId="2"/>
  </si>
  <si>
    <t>値引シール【3:金額】
定番売価＞レジでの売価変更</t>
    <rPh sb="12" eb="14">
      <t>テイバン</t>
    </rPh>
    <rPh sb="14" eb="16">
      <t>バイカ</t>
    </rPh>
    <phoneticPr fontId="2"/>
  </si>
  <si>
    <t>値引シール【3:金額】
定番売価＝＜レジでの売価変更</t>
    <rPh sb="12" eb="14">
      <t>テイバン</t>
    </rPh>
    <rPh sb="14" eb="16">
      <t>バイカ</t>
    </rPh>
    <phoneticPr fontId="2"/>
  </si>
  <si>
    <t>カテゴリ値引
定番売価＞レジでの売価変更</t>
    <rPh sb="4" eb="6">
      <t>ネビキ</t>
    </rPh>
    <phoneticPr fontId="2"/>
  </si>
  <si>
    <t>カテゴリ値引
定番売価＝＜レジでの売価変更</t>
    <rPh sb="4" eb="6">
      <t>ネビキ</t>
    </rPh>
    <phoneticPr fontId="2"/>
  </si>
  <si>
    <t>カテゴリ割引
定番売価＞レジでの売価変更</t>
    <rPh sb="4" eb="6">
      <t>ワリビキ</t>
    </rPh>
    <phoneticPr fontId="2"/>
  </si>
  <si>
    <t>カテゴリ割引
定番売価＝＜レジでの売価変更</t>
    <rPh sb="4" eb="6">
      <t>ワリビキ</t>
    </rPh>
    <phoneticPr fontId="2"/>
  </si>
  <si>
    <t>マニュアル小計割引
定番売価＞レジでの売価変更</t>
    <rPh sb="7" eb="9">
      <t>ワリビキ</t>
    </rPh>
    <phoneticPr fontId="2"/>
  </si>
  <si>
    <t>マニュアル小計割引
定番売価＝＜レジでの売価変更</t>
    <rPh sb="7" eb="9">
      <t>ワリビキ</t>
    </rPh>
    <phoneticPr fontId="2"/>
  </si>
  <si>
    <t>朝割り
定番売価＞レジでの売価変更</t>
    <rPh sb="0" eb="1">
      <t>アサ</t>
    </rPh>
    <rPh sb="1" eb="2">
      <t>ワ</t>
    </rPh>
    <phoneticPr fontId="2"/>
  </si>
  <si>
    <t>朝割り
定番売価＝＜レジでの売価変更</t>
    <rPh sb="0" eb="1">
      <t>アサ</t>
    </rPh>
    <rPh sb="1" eb="2">
      <t>ワ</t>
    </rPh>
    <phoneticPr fontId="2"/>
  </si>
  <si>
    <t>メガ割
定番売価＞レジでの売価変更</t>
  </si>
  <si>
    <t>メガ割
定番売価＝＜レジでの売価変更</t>
  </si>
  <si>
    <t>クレジット割
定番売価＞レジでの売価変更</t>
  </si>
  <si>
    <t>クレジット割
定番売価＝＜レジでの売価変更</t>
  </si>
  <si>
    <t>レジでの売価変更と値引シール混在時の実績計算_図</t>
    <rPh sb="9" eb="11">
      <t>ネビキ</t>
    </rPh>
    <rPh sb="14" eb="16">
      <t>コンザイ</t>
    </rPh>
    <rPh sb="16" eb="17">
      <t>ジ</t>
    </rPh>
    <rPh sb="18" eb="20">
      <t>ジッセキ</t>
    </rPh>
    <rPh sb="20" eb="22">
      <t>ケイサン</t>
    </rPh>
    <rPh sb="23" eb="24">
      <t>ズ</t>
    </rPh>
    <phoneticPr fontId="2"/>
  </si>
  <si>
    <t>レジでの売価変更金額</t>
  </si>
  <si>
    <t>レジでの売価変更</t>
  </si>
  <si>
    <t>レジでの売価変更実績計算（GHPLUDISC出力仕様）</t>
    <rPh sb="8" eb="10">
      <t>ジッセキ</t>
    </rPh>
    <rPh sb="10" eb="12">
      <t>ケイサン</t>
    </rPh>
    <rPh sb="22" eb="24">
      <t>シュツリョク</t>
    </rPh>
    <rPh sb="24" eb="26">
      <t>シヨウ</t>
    </rPh>
    <phoneticPr fontId="2"/>
  </si>
  <si>
    <t>レジでの売価変更実績計算（GHPLUDISC出力仕様）</t>
    <rPh sb="4" eb="6">
      <t>バイカ</t>
    </rPh>
    <rPh sb="6" eb="8">
      <t>ヘンコウ</t>
    </rPh>
    <rPh sb="8" eb="10">
      <t>ジッセキ</t>
    </rPh>
    <rPh sb="10" eb="12">
      <t>ケイサン</t>
    </rPh>
    <rPh sb="22" eb="24">
      <t>シュツリョク</t>
    </rPh>
    <rPh sb="24" eb="26">
      <t>シヨウ</t>
    </rPh>
    <phoneticPr fontId="2"/>
  </si>
  <si>
    <t>定番売価300円で販売</t>
  </si>
  <si>
    <t>定番売価ー値引シール【3:金額】</t>
  </si>
  <si>
    <t>定番売価ー特売額</t>
  </si>
  <si>
    <t>値引パターン</t>
    <rPh sb="0" eb="2">
      <t>ネビキ</t>
    </rPh>
    <phoneticPr fontId="14"/>
  </si>
  <si>
    <t>定番売価1個300円の商品を</t>
  </si>
  <si>
    <t>定番売価
300円</t>
    <rPh sb="0" eb="2">
      <t>テイバン</t>
    </rPh>
    <rPh sb="2" eb="4">
      <t>バイカ</t>
    </rPh>
    <rPh sb="8" eb="9">
      <t>エン</t>
    </rPh>
    <phoneticPr fontId="2"/>
  </si>
  <si>
    <t>値引額　50円</t>
    <rPh sb="0" eb="2">
      <t>ネビキ</t>
    </rPh>
    <rPh sb="2" eb="3">
      <t>ガク</t>
    </rPh>
    <rPh sb="6" eb="7">
      <t>エン</t>
    </rPh>
    <phoneticPr fontId="14"/>
  </si>
  <si>
    <t>販売額</t>
    <rPh sb="0" eb="2">
      <t>ハンバイ</t>
    </rPh>
    <rPh sb="2" eb="3">
      <t>ガク</t>
    </rPh>
    <phoneticPr fontId="14"/>
  </si>
  <si>
    <t>＜値引実績作成＞</t>
    <rPh sb="1" eb="3">
      <t>ネビキ</t>
    </rPh>
    <rPh sb="3" eb="5">
      <t>ジッセキ</t>
    </rPh>
    <rPh sb="5" eb="7">
      <t>サクセイ</t>
    </rPh>
    <phoneticPr fontId="14"/>
  </si>
  <si>
    <t>値引コード</t>
    <rPh sb="0" eb="2">
      <t>ネビキ</t>
    </rPh>
    <phoneticPr fontId="2"/>
  </si>
  <si>
    <t>値引種別</t>
    <rPh sb="0" eb="2">
      <t>ネビ</t>
    </rPh>
    <rPh sb="2" eb="4">
      <t>シュベツ</t>
    </rPh>
    <phoneticPr fontId="14"/>
  </si>
  <si>
    <t>値引名称</t>
    <rPh sb="0" eb="2">
      <t>ネビ</t>
    </rPh>
    <rPh sb="2" eb="4">
      <t>メイショウ</t>
    </rPh>
    <phoneticPr fontId="14"/>
  </si>
  <si>
    <t>特売（タイムサービス売価）
250円</t>
    <rPh sb="0" eb="2">
      <t>トクバイ</t>
    </rPh>
    <rPh sb="10" eb="12">
      <t>バイカ</t>
    </rPh>
    <rPh sb="17" eb="18">
      <t>エン</t>
    </rPh>
    <phoneticPr fontId="2"/>
  </si>
  <si>
    <t>特売（タイムサービス売価）</t>
    <phoneticPr fontId="14"/>
  </si>
  <si>
    <t>特売（タイムサービス売価）
300円</t>
    <rPh sb="0" eb="2">
      <t>トクバイ</t>
    </rPh>
    <rPh sb="10" eb="12">
      <t>バイカ</t>
    </rPh>
    <rPh sb="17" eb="18">
      <t>エン</t>
    </rPh>
    <phoneticPr fontId="2"/>
  </si>
  <si>
    <t>特売タイムセール売価変更</t>
    <phoneticPr fontId="6"/>
  </si>
  <si>
    <t>値引実績作成なし</t>
    <rPh sb="0" eb="2">
      <t>ネビキ</t>
    </rPh>
    <rPh sb="2" eb="4">
      <t>ジッセキ</t>
    </rPh>
    <rPh sb="4" eb="6">
      <t>サクセイ</t>
    </rPh>
    <phoneticPr fontId="14"/>
  </si>
  <si>
    <t>定番売価1個500円の商品を</t>
    <phoneticPr fontId="14"/>
  </si>
  <si>
    <t>特売</t>
    <rPh sb="0" eb="2">
      <t>トクバイ</t>
    </rPh>
    <phoneticPr fontId="14"/>
  </si>
  <si>
    <t>マニュアル売価変更金額</t>
    <phoneticPr fontId="2"/>
  </si>
  <si>
    <t>特売3</t>
    <rPh sb="0" eb="2">
      <t>トクバイ</t>
    </rPh>
    <phoneticPr fontId="2"/>
  </si>
  <si>
    <t>特売2</t>
    <phoneticPr fontId="2"/>
  </si>
  <si>
    <t>特売1</t>
    <phoneticPr fontId="2"/>
  </si>
  <si>
    <t>売価変更</t>
    <phoneticPr fontId="2"/>
  </si>
  <si>
    <t>特売4</t>
    <rPh sb="0" eb="2">
      <t>トクバイ</t>
    </rPh>
    <phoneticPr fontId="2"/>
  </si>
  <si>
    <t>特売5</t>
    <phoneticPr fontId="2"/>
  </si>
  <si>
    <t>特売3</t>
    <phoneticPr fontId="2"/>
  </si>
  <si>
    <t>特売9</t>
    <phoneticPr fontId="2"/>
  </si>
  <si>
    <t>特売8</t>
    <phoneticPr fontId="2"/>
  </si>
  <si>
    <t>特売7</t>
    <phoneticPr fontId="2"/>
  </si>
  <si>
    <t>特売10</t>
    <phoneticPr fontId="2"/>
  </si>
  <si>
    <t>特売11</t>
    <phoneticPr fontId="2"/>
  </si>
  <si>
    <t>特売</t>
    <phoneticPr fontId="2"/>
  </si>
  <si>
    <t>特売12</t>
    <phoneticPr fontId="2"/>
  </si>
  <si>
    <t>MM1</t>
    <phoneticPr fontId="2"/>
  </si>
  <si>
    <t>MM4</t>
    <phoneticPr fontId="2"/>
  </si>
  <si>
    <t>MM7</t>
    <phoneticPr fontId="2"/>
  </si>
  <si>
    <t>①ミックスマッチ後金額＞通常単価＞マニュアル売価変更金額</t>
    <phoneticPr fontId="2"/>
  </si>
  <si>
    <t>MM2</t>
    <phoneticPr fontId="2"/>
  </si>
  <si>
    <t>MM5</t>
    <phoneticPr fontId="2"/>
  </si>
  <si>
    <t>MM8</t>
    <phoneticPr fontId="2"/>
  </si>
  <si>
    <t>①ミックスマッチ後金額＞通常単価＝マニュアル売価変更金額</t>
    <phoneticPr fontId="2"/>
  </si>
  <si>
    <t>MM3</t>
    <phoneticPr fontId="2"/>
  </si>
  <si>
    <t>MM6</t>
    <phoneticPr fontId="2"/>
  </si>
  <si>
    <t>MM9</t>
    <phoneticPr fontId="2"/>
  </si>
  <si>
    <t>MM10</t>
    <phoneticPr fontId="2"/>
  </si>
  <si>
    <t>マニュアル売価額値引</t>
    <rPh sb="5" eb="7">
      <t>バイカ</t>
    </rPh>
    <rPh sb="7" eb="8">
      <t>ガク</t>
    </rPh>
    <rPh sb="8" eb="10">
      <t>ネビキ</t>
    </rPh>
    <phoneticPr fontId="2"/>
  </si>
  <si>
    <t>値引シール【1:値引】</t>
    <phoneticPr fontId="2"/>
  </si>
  <si>
    <t>マニュアル額値引</t>
    <phoneticPr fontId="2"/>
  </si>
  <si>
    <t>実績作成なし</t>
    <rPh sb="0" eb="2">
      <t>ジッセキ</t>
    </rPh>
    <rPh sb="2" eb="4">
      <t>サクセイ</t>
    </rPh>
    <phoneticPr fontId="2"/>
  </si>
  <si>
    <t>値引シール【2:割引】</t>
    <phoneticPr fontId="2"/>
  </si>
  <si>
    <t>値引シール【3:金額】</t>
    <phoneticPr fontId="2"/>
  </si>
  <si>
    <t>カテゴリー値引</t>
    <phoneticPr fontId="2"/>
  </si>
  <si>
    <t>小計値引</t>
    <phoneticPr fontId="2"/>
  </si>
  <si>
    <t>小計割引</t>
    <phoneticPr fontId="2"/>
  </si>
  <si>
    <t>朝割り</t>
    <phoneticPr fontId="2"/>
  </si>
  <si>
    <t>メガ割</t>
    <phoneticPr fontId="2"/>
  </si>
  <si>
    <t>クレジット割</t>
    <phoneticPr fontId="2"/>
  </si>
  <si>
    <t>単価</t>
  </si>
  <si>
    <t>フードリエフレッシュ朝食ハーフベーコン５</t>
  </si>
  <si>
    <t>4901366020762</t>
  </si>
  <si>
    <t>フードリエ　厚切りバラ焼豚　　　　　　　</t>
  </si>
  <si>
    <t>4901366020533</t>
  </si>
  <si>
    <t>フードリエ　ビアソーセージ　　　　　　　</t>
  </si>
  <si>
    <t>4901366020564</t>
  </si>
  <si>
    <t>イシイ　チキンハンバーグ３ケ束　　　　　</t>
  </si>
  <si>
    <t>4901003900020</t>
  </si>
  <si>
    <t>新井製麺所　半生手なえうどん　２５０Ｇ　</t>
  </si>
  <si>
    <t>4967143000204</t>
  </si>
  <si>
    <t>紀文　糖質０ｇ麺　１８０ｇ　　　　　　　</t>
  </si>
  <si>
    <t>4901530203878</t>
  </si>
  <si>
    <t>岩崎食品　藪そば　１食　　　　　　　　　</t>
  </si>
  <si>
    <t>4901176020051</t>
  </si>
  <si>
    <t>八千代　横綱そば　４５０Ｇ　　　　　　　</t>
  </si>
  <si>
    <t>4907435020220</t>
  </si>
  <si>
    <t>八千代うどん　ざるそば１２５Ｇ　２食入　</t>
  </si>
  <si>
    <t>4907435020336</t>
  </si>
  <si>
    <t>八千代　大関そば　４５０Ｇ　　　　　　　</t>
  </si>
  <si>
    <t>4907435020213</t>
  </si>
  <si>
    <t>木内麺業　国内産そば粉使用信州そば２人前</t>
  </si>
  <si>
    <t>4971938020025</t>
  </si>
  <si>
    <t>山形屋　ゆでそば　１９０ｇ　　　　　　　</t>
  </si>
  <si>
    <t>4979504502036</t>
  </si>
  <si>
    <t>シマダヤ　「時計台」らーめん　味噌味　　</t>
  </si>
  <si>
    <t>4901790020970</t>
  </si>
  <si>
    <t>レジでの売価変更金額</t>
    <phoneticPr fontId="14"/>
  </si>
  <si>
    <t>特売
300円</t>
    <rPh sb="0" eb="2">
      <t>トクバイ</t>
    </rPh>
    <rPh sb="6" eb="7">
      <t>エン</t>
    </rPh>
    <phoneticPr fontId="2"/>
  </si>
  <si>
    <t>特売
250円</t>
    <rPh sb="0" eb="2">
      <t>トクバイ</t>
    </rPh>
    <rPh sb="6" eb="7">
      <t>エン</t>
    </rPh>
    <phoneticPr fontId="2"/>
  </si>
  <si>
    <t>特売
350円</t>
    <rPh sb="0" eb="2">
      <t>トクバイ</t>
    </rPh>
    <rPh sb="6" eb="7">
      <t>エン</t>
    </rPh>
    <phoneticPr fontId="2"/>
  </si>
  <si>
    <t>300</t>
  </si>
  <si>
    <t>250</t>
  </si>
  <si>
    <t>280</t>
  </si>
  <si>
    <t>330</t>
  </si>
  <si>
    <t>値引額　-50円</t>
    <rPh sb="0" eb="2">
      <t>ネビキ</t>
    </rPh>
    <rPh sb="2" eb="3">
      <t>ガク</t>
    </rPh>
    <rPh sb="7" eb="8">
      <t>エン</t>
    </rPh>
    <phoneticPr fontId="14"/>
  </si>
  <si>
    <t>値引額　20円</t>
    <rPh sb="0" eb="2">
      <t>ネビキ</t>
    </rPh>
    <rPh sb="2" eb="3">
      <t>ガク</t>
    </rPh>
    <rPh sb="6" eb="7">
      <t>エン</t>
    </rPh>
    <phoneticPr fontId="14"/>
  </si>
  <si>
    <t>※定番売価ー特売（タイムサービス売価） 計算結果がマイナスは実績出力しない。</t>
    <phoneticPr fontId="2"/>
  </si>
  <si>
    <t>マイナスで実績作成する</t>
    <phoneticPr fontId="7"/>
  </si>
  <si>
    <t>定番売価1個300円の商品を2個販売</t>
    <rPh sb="0" eb="2">
      <t>テイバン</t>
    </rPh>
    <rPh sb="2" eb="4">
      <t>バイカ</t>
    </rPh>
    <rPh sb="5" eb="6">
      <t>コ</t>
    </rPh>
    <rPh sb="9" eb="10">
      <t>エン</t>
    </rPh>
    <rPh sb="11" eb="13">
      <t>ショウヒン</t>
    </rPh>
    <rPh sb="15" eb="16">
      <t>コ</t>
    </rPh>
    <rPh sb="16" eb="18">
      <t>ハンバイ</t>
    </rPh>
    <phoneticPr fontId="14"/>
  </si>
  <si>
    <t>値引額 100円</t>
    <rPh sb="0" eb="2">
      <t>ネビキ</t>
    </rPh>
    <rPh sb="2" eb="3">
      <t>ガク</t>
    </rPh>
    <rPh sb="7" eb="8">
      <t>エン</t>
    </rPh>
    <phoneticPr fontId="14"/>
  </si>
  <si>
    <t>定番売価
600円
（2個）</t>
    <rPh sb="0" eb="2">
      <t>テイバン</t>
    </rPh>
    <rPh sb="2" eb="4">
      <t>バイカ</t>
    </rPh>
    <rPh sb="8" eb="9">
      <t>エン</t>
    </rPh>
    <phoneticPr fontId="2"/>
  </si>
  <si>
    <t>2個当たり販売額</t>
    <rPh sb="1" eb="2">
      <t>コ</t>
    </rPh>
    <rPh sb="2" eb="3">
      <t>ア</t>
    </rPh>
    <phoneticPr fontId="14"/>
  </si>
  <si>
    <t>ミックスマッチ</t>
    <phoneticPr fontId="2"/>
  </si>
  <si>
    <t>100
緊急売価変更ーミックスマッチ</t>
    <phoneticPr fontId="14"/>
  </si>
  <si>
    <t>ミックスマッチ1個当たり／レジでの売価変更1個当たり</t>
    <rPh sb="9" eb="10">
      <t>ア</t>
    </rPh>
    <rPh sb="17" eb="19">
      <t>バイカ</t>
    </rPh>
    <rPh sb="19" eb="21">
      <t>ヘンコウ</t>
    </rPh>
    <rPh sb="23" eb="24">
      <t>ア</t>
    </rPh>
    <phoneticPr fontId="14"/>
  </si>
  <si>
    <t>ミックスマッチ2個当たり／レジでの売価変更2個当たり</t>
    <rPh sb="9" eb="10">
      <t>ア</t>
    </rPh>
    <rPh sb="17" eb="19">
      <t>バイカ</t>
    </rPh>
    <rPh sb="19" eb="21">
      <t>ヘンコウ</t>
    </rPh>
    <rPh sb="23" eb="24">
      <t>ア</t>
    </rPh>
    <phoneticPr fontId="14"/>
  </si>
  <si>
    <t>100
定番売価ーミックスマッチ</t>
    <phoneticPr fontId="14"/>
  </si>
  <si>
    <t>値引額 200円</t>
    <rPh sb="0" eb="2">
      <t>ネビキ</t>
    </rPh>
    <rPh sb="2" eb="3">
      <t>ガク</t>
    </rPh>
    <rPh sb="7" eb="8">
      <t>エン</t>
    </rPh>
    <phoneticPr fontId="14"/>
  </si>
  <si>
    <t>ミックスマッチ対象外</t>
    <phoneticPr fontId="2"/>
  </si>
  <si>
    <t>値引シール【1:値引】</t>
    <phoneticPr fontId="14"/>
  </si>
  <si>
    <t>値引シール【1:値引】無効</t>
    <rPh sb="0" eb="2">
      <t>ネビキ</t>
    </rPh>
    <rPh sb="8" eb="10">
      <t>ネビキ</t>
    </rPh>
    <rPh sb="11" eb="13">
      <t>ムコウ</t>
    </rPh>
    <phoneticPr fontId="2"/>
  </si>
  <si>
    <t>※ レジでの売価変更優先で値引実績が作成される。</t>
    <phoneticPr fontId="14"/>
  </si>
  <si>
    <t>値引シール【2:割引】無効</t>
    <rPh sb="11" eb="13">
      <t>ムコウ</t>
    </rPh>
    <phoneticPr fontId="2"/>
  </si>
  <si>
    <t>値引シール【3:金額】無効</t>
    <rPh sb="11" eb="13">
      <t>ムコウ</t>
    </rPh>
    <phoneticPr fontId="2"/>
  </si>
  <si>
    <t>定番売価＝値引シール【3:金額】</t>
    <rPh sb="0" eb="2">
      <t>テイバン</t>
    </rPh>
    <rPh sb="2" eb="4">
      <t>バイカ</t>
    </rPh>
    <phoneticPr fontId="14"/>
  </si>
  <si>
    <t>定番売価＝値引シール【3:金額】</t>
    <phoneticPr fontId="2"/>
  </si>
  <si>
    <t>定番売価＞値引シール【3:金額】</t>
    <rPh sb="0" eb="2">
      <t>テイバン</t>
    </rPh>
    <rPh sb="2" eb="4">
      <t>バイカ</t>
    </rPh>
    <phoneticPr fontId="14"/>
  </si>
  <si>
    <t>定番売価＞値引シール【3:金額】</t>
    <phoneticPr fontId="2"/>
  </si>
  <si>
    <t>定番売価＜値引シール【3:金額】</t>
    <phoneticPr fontId="2"/>
  </si>
  <si>
    <t>定番売価＜値引シール【3:金額】</t>
    <rPh sb="0" eb="2">
      <t>テイバン</t>
    </rPh>
    <rPh sb="2" eb="4">
      <t>バイカ</t>
    </rPh>
    <phoneticPr fontId="14"/>
  </si>
  <si>
    <t>カテゴリ値引</t>
  </si>
  <si>
    <t>値引シール【2:割引】</t>
    <phoneticPr fontId="14"/>
  </si>
  <si>
    <t>カテゴリ値引</t>
    <phoneticPr fontId="14"/>
  </si>
  <si>
    <t>カテゴリ値引</t>
    <phoneticPr fontId="2"/>
  </si>
  <si>
    <t>レジでの売価変更</t>
    <phoneticPr fontId="7"/>
  </si>
  <si>
    <t>レジでの売価変更</t>
    <phoneticPr fontId="14"/>
  </si>
  <si>
    <t>小計値引（マニュアル）</t>
  </si>
  <si>
    <t>販売額
250円</t>
    <rPh sb="0" eb="2">
      <t>ハンバイ</t>
    </rPh>
    <rPh sb="2" eb="3">
      <t>ガク</t>
    </rPh>
    <rPh sb="7" eb="8">
      <t>エン</t>
    </rPh>
    <phoneticPr fontId="2"/>
  </si>
  <si>
    <t>販売額
200円</t>
    <rPh sb="0" eb="2">
      <t>ハンバイ</t>
    </rPh>
    <rPh sb="2" eb="3">
      <t>ガク</t>
    </rPh>
    <rPh sb="7" eb="8">
      <t>エン</t>
    </rPh>
    <phoneticPr fontId="2"/>
  </si>
  <si>
    <t>50
カテゴリ値引</t>
    <phoneticPr fontId="14"/>
  </si>
  <si>
    <t>販売額
300円</t>
    <rPh sb="0" eb="2">
      <t>ハンバイ</t>
    </rPh>
    <rPh sb="2" eb="3">
      <t>ガク</t>
    </rPh>
    <rPh sb="7" eb="8">
      <t>エン</t>
    </rPh>
    <phoneticPr fontId="2"/>
  </si>
  <si>
    <t>カテゴリ割引</t>
  </si>
  <si>
    <t>値引額　25円</t>
    <rPh sb="0" eb="2">
      <t>ネビキ</t>
    </rPh>
    <rPh sb="2" eb="3">
      <t>ガク</t>
    </rPh>
    <rPh sb="6" eb="7">
      <t>エン</t>
    </rPh>
    <phoneticPr fontId="14"/>
  </si>
  <si>
    <t>値引額　30円</t>
    <rPh sb="0" eb="2">
      <t>ネビキ</t>
    </rPh>
    <rPh sb="2" eb="3">
      <t>ガク</t>
    </rPh>
    <rPh sb="6" eb="7">
      <t>エン</t>
    </rPh>
    <phoneticPr fontId="14"/>
  </si>
  <si>
    <t>販売額
270円</t>
    <rPh sb="0" eb="2">
      <t>ハンバイ</t>
    </rPh>
    <rPh sb="2" eb="3">
      <t>ガク</t>
    </rPh>
    <rPh sb="7" eb="8">
      <t>エン</t>
    </rPh>
    <phoneticPr fontId="2"/>
  </si>
  <si>
    <t>値引額　35円</t>
    <rPh sb="0" eb="2">
      <t>ネビキ</t>
    </rPh>
    <rPh sb="2" eb="3">
      <t>ガク</t>
    </rPh>
    <rPh sb="6" eb="7">
      <t>エン</t>
    </rPh>
    <phoneticPr fontId="14"/>
  </si>
  <si>
    <t>マニュアル小計値引
定番売価＞レジでの売価変更</t>
    <phoneticPr fontId="2"/>
  </si>
  <si>
    <t>マニュアル小計値引</t>
    <phoneticPr fontId="14"/>
  </si>
  <si>
    <t>マニュアル小計値引
定番売価＝＜レジでの売価変更</t>
    <phoneticPr fontId="2"/>
  </si>
  <si>
    <t>定番売価―レジでの売価変更</t>
  </si>
  <si>
    <t>定番売価―レジでの売価変更の計算結果が０、マイナスは実績出力しない。</t>
  </si>
  <si>
    <t>レジでの売価変更―ミックスマッチ額</t>
  </si>
  <si>
    <t>定番売価―レジでの売価変更</t>
    <rPh sb="0" eb="2">
      <t>テイバン</t>
    </rPh>
    <rPh sb="2" eb="4">
      <t>バイカ</t>
    </rPh>
    <phoneticPr fontId="2"/>
  </si>
  <si>
    <t>レジでの売価変更優先で値引実績が作成される。
定番売価―レジでの売価変更の計算結果が０、マイナスは実績出力しない。</t>
  </si>
  <si>
    <t>レジでの売価変更×カテゴリ割引</t>
  </si>
  <si>
    <t>小計額（レジでの売価変更）×朝割り率</t>
    <rPh sb="17" eb="18">
      <t>リツ</t>
    </rPh>
    <phoneticPr fontId="14"/>
  </si>
  <si>
    <t>小計額（レジでの売価変更）×朝割り率</t>
    <rPh sb="0" eb="2">
      <t>ショウケイ</t>
    </rPh>
    <rPh sb="2" eb="3">
      <t>ガク</t>
    </rPh>
    <rPh sb="14" eb="15">
      <t>アサ</t>
    </rPh>
    <rPh sb="15" eb="16">
      <t>ワ</t>
    </rPh>
    <rPh sb="17" eb="18">
      <t>リツ</t>
    </rPh>
    <phoneticPr fontId="14"/>
  </si>
  <si>
    <t>小計額（レジでの売価変更）×メガ割率</t>
    <rPh sb="17" eb="18">
      <t>リツ</t>
    </rPh>
    <phoneticPr fontId="14"/>
  </si>
  <si>
    <t>小計額（レジでの売価変更）×メガ割率</t>
    <rPh sb="0" eb="2">
      <t>ショウケイ</t>
    </rPh>
    <rPh sb="2" eb="3">
      <t>ガク</t>
    </rPh>
    <rPh sb="17" eb="18">
      <t>リツ</t>
    </rPh>
    <phoneticPr fontId="14"/>
  </si>
  <si>
    <t>小計額（レジでの売価変更）×クレジット割率</t>
    <rPh sb="20" eb="21">
      <t>リツ</t>
    </rPh>
    <phoneticPr fontId="14"/>
  </si>
  <si>
    <t>レジでの売価変更値引実績計算_図</t>
    <rPh sb="8" eb="10">
      <t>ネビキ</t>
    </rPh>
    <rPh sb="10" eb="12">
      <t>ジッセキ</t>
    </rPh>
    <rPh sb="12" eb="14">
      <t>ケイサン</t>
    </rPh>
    <rPh sb="15" eb="16">
      <t>ズ</t>
    </rPh>
    <phoneticPr fontId="2"/>
  </si>
  <si>
    <t>特売（タイムサービス売価）／レジでの売価変更金額</t>
    <rPh sb="22" eb="24">
      <t>キンガク</t>
    </rPh>
    <phoneticPr fontId="14"/>
  </si>
  <si>
    <t>レジでの売価変更
250円</t>
    <rPh sb="12" eb="13">
      <t>エン</t>
    </rPh>
    <phoneticPr fontId="2"/>
  </si>
  <si>
    <t>50
定番売価―レジでの売価変更</t>
  </si>
  <si>
    <t>レジでの売価変更
300円</t>
    <rPh sb="12" eb="13">
      <t>エン</t>
    </rPh>
    <phoneticPr fontId="2"/>
  </si>
  <si>
    <t>レジでの売価変更
350円</t>
    <rPh sb="12" eb="13">
      <t>エン</t>
    </rPh>
    <phoneticPr fontId="2"/>
  </si>
  <si>
    <t>-50
定番売価―レジでの売価変更</t>
  </si>
  <si>
    <t>レジでの売価変更
200円</t>
    <rPh sb="12" eb="13">
      <t>エン</t>
    </rPh>
    <phoneticPr fontId="2"/>
  </si>
  <si>
    <t>※ 値引種別「特売（タイムサービス売価）」で値引実績が作成されているが。レジでの売価変更実績作成するべきではないか。</t>
    <rPh sb="22" eb="24">
      <t>ネビキ</t>
    </rPh>
    <rPh sb="24" eb="26">
      <t>ジッセキ</t>
    </rPh>
    <rPh sb="27" eb="29">
      <t>サクセイ</t>
    </rPh>
    <rPh sb="46" eb="48">
      <t>サクセイ</t>
    </rPh>
    <phoneticPr fontId="14"/>
  </si>
  <si>
    <t>レジでの売価変更
280円</t>
    <rPh sb="12" eb="13">
      <t>エン</t>
    </rPh>
    <phoneticPr fontId="2"/>
  </si>
  <si>
    <t>20
定番売価―レジでの売価変更</t>
  </si>
  <si>
    <t>0
定番売価―レジでの売価変更</t>
  </si>
  <si>
    <t>レジでの売価変更
400円</t>
    <rPh sb="12" eb="13">
      <t>エン</t>
    </rPh>
    <phoneticPr fontId="2"/>
  </si>
  <si>
    <t>レジでの売価変更
330円</t>
    <rPh sb="12" eb="13">
      <t>エン</t>
    </rPh>
    <phoneticPr fontId="2"/>
  </si>
  <si>
    <t>レジでの売価変更
700円</t>
    <rPh sb="12" eb="13">
      <t>エン</t>
    </rPh>
    <phoneticPr fontId="2"/>
  </si>
  <si>
    <t>レジでの売価変更
600円</t>
    <rPh sb="12" eb="13">
      <t>エン</t>
    </rPh>
    <phoneticPr fontId="2"/>
  </si>
  <si>
    <t>レジでの売価変更
500円</t>
    <rPh sb="12" eb="13">
      <t>エン</t>
    </rPh>
    <phoneticPr fontId="2"/>
  </si>
  <si>
    <t>100
定番売価―レジでの売価変更</t>
  </si>
  <si>
    <t>100
レジでの売価変更ーミックスマッチ</t>
  </si>
  <si>
    <t>レジでの売価変更
750円</t>
    <rPh sb="12" eb="13">
      <t>エン</t>
    </rPh>
    <phoneticPr fontId="2"/>
  </si>
  <si>
    <t>レジでの売価変更
650円</t>
    <rPh sb="12" eb="13">
      <t>エン</t>
    </rPh>
    <phoneticPr fontId="2"/>
  </si>
  <si>
    <t>値引シール【1:値引】／レジでの売価変更金額</t>
    <rPh sb="20" eb="22">
      <t>キンガク</t>
    </rPh>
    <phoneticPr fontId="14"/>
  </si>
  <si>
    <t>値引シール【2:割引】／レジでの売価変更金額</t>
    <rPh sb="20" eb="22">
      <t>キンガク</t>
    </rPh>
    <phoneticPr fontId="14"/>
  </si>
  <si>
    <t>値引シール【3:金額】／レジでの売価変更金額</t>
    <rPh sb="20" eb="22">
      <t>キンガク</t>
    </rPh>
    <phoneticPr fontId="14"/>
  </si>
  <si>
    <t>カテゴリ値引／レジでの売価変更金額</t>
    <rPh sb="15" eb="17">
      <t>キンガク</t>
    </rPh>
    <phoneticPr fontId="14"/>
  </si>
  <si>
    <t>カテゴリ割引／レジでの売価変更金額</t>
    <rPh sb="15" eb="17">
      <t>キンガク</t>
    </rPh>
    <phoneticPr fontId="14"/>
  </si>
  <si>
    <t>25
レジでの売価変更×カテゴリ割引</t>
  </si>
  <si>
    <t>30
レジでの売価変更×カテゴリ割引</t>
  </si>
  <si>
    <t>35
レジでの売価変更×カテゴリ割引</t>
  </si>
  <si>
    <t>小計額（レジでの売価変更）×マニュアル小計割引</t>
    <phoneticPr fontId="14"/>
  </si>
  <si>
    <t>小計割引（マニュアル）
定番売価＞レジでの売価変更</t>
    <phoneticPr fontId="2"/>
  </si>
  <si>
    <t>朝割り（自動）
定番売価＞レジでの売価変更</t>
    <rPh sb="0" eb="1">
      <t>アサ</t>
    </rPh>
    <rPh sb="1" eb="2">
      <t>ワ</t>
    </rPh>
    <phoneticPr fontId="2"/>
  </si>
  <si>
    <t>メガ割（自動）
定番売価＞レジでの売価変更</t>
    <phoneticPr fontId="7"/>
  </si>
  <si>
    <t>クレジット割（自動）
定番売価＞レジでの売価変更</t>
    <phoneticPr fontId="7"/>
  </si>
  <si>
    <t>小計値引（マニュアル）</t>
    <phoneticPr fontId="14"/>
  </si>
  <si>
    <t>50
小計値引（マニュアル）</t>
    <phoneticPr fontId="14"/>
  </si>
  <si>
    <t>小計値引（マニュアル）
定番売価＞レジでの売価変更</t>
    <phoneticPr fontId="7"/>
  </si>
  <si>
    <t>小計値引（マニュアル）</t>
    <phoneticPr fontId="14"/>
  </si>
  <si>
    <t>販売額
315円</t>
    <rPh sb="0" eb="2">
      <t>ハンバイ</t>
    </rPh>
    <rPh sb="2" eb="3">
      <t>ガク</t>
    </rPh>
    <rPh sb="7" eb="8">
      <t>エン</t>
    </rPh>
    <phoneticPr fontId="2"/>
  </si>
  <si>
    <t>販売額
225円</t>
    <rPh sb="0" eb="2">
      <t>ハンバイ</t>
    </rPh>
    <rPh sb="2" eb="3">
      <t>ガク</t>
    </rPh>
    <rPh sb="7" eb="8">
      <t>エン</t>
    </rPh>
    <phoneticPr fontId="2"/>
  </si>
  <si>
    <t>小計値引（マニュアル）</t>
    <phoneticPr fontId="7"/>
  </si>
  <si>
    <t>レジでの売価変更優先で値引実績が作成される。
定番売価―レジでの売価変更の計算結果が０、マイナスは実績出力しない。</t>
    <phoneticPr fontId="7"/>
  </si>
  <si>
    <t>定番売価―レジでの売価変更の計算結果が０、マイナスは実績出力しない。</t>
    <phoneticPr fontId="7"/>
  </si>
  <si>
    <t>カテゴリ割引</t>
    <rPh sb="4" eb="6">
      <t>ワリビキ</t>
    </rPh>
    <phoneticPr fontId="2"/>
  </si>
  <si>
    <t>小計割引（マニュアル）</t>
  </si>
  <si>
    <t>30
小計割引（マニュアル）</t>
    <phoneticPr fontId="14"/>
  </si>
  <si>
    <t>25
小計割引（マニュアル）</t>
    <phoneticPr fontId="14"/>
  </si>
  <si>
    <t>35
小計割引（マニュアル）</t>
    <phoneticPr fontId="14"/>
  </si>
  <si>
    <t>小計額（レジでの売価変更）×小計割引（マニュアル）</t>
    <phoneticPr fontId="7"/>
  </si>
  <si>
    <t>朝割り（自動）</t>
  </si>
  <si>
    <t>25
小計額（レジでの売価変更）×朝割り（自動）</t>
  </si>
  <si>
    <t>30
小計額（レジでの売価変更）×朝割り（自動）</t>
  </si>
  <si>
    <t>35
小計額（レジでの売価変更）×朝割り（自動）</t>
  </si>
  <si>
    <t>メガ割（自動）</t>
  </si>
  <si>
    <t>25
小計額（レジでの売価変更）×メガ割（自動）</t>
  </si>
  <si>
    <t>30
小計額（レジでの売価変更）×メガ割（自動）</t>
  </si>
  <si>
    <t>35
小計額（レジでの売価変更）×メガ割（自動）</t>
  </si>
  <si>
    <t>クレジット割（自動）</t>
  </si>
  <si>
    <t>25
小計額（レジでの売価変更）×クレジット割（自動）</t>
  </si>
  <si>
    <t>30
小計額（レジでの売価変更）×クレジット割（自動）</t>
  </si>
  <si>
    <t>35
小計額（レジでの売価変更）×クレジット割（自動）</t>
  </si>
  <si>
    <t>ミックスマッチ
500円（2個販売額）</t>
    <phoneticPr fontId="2"/>
  </si>
  <si>
    <t>ミックスマッチ
600円（2個販売額）</t>
    <phoneticPr fontId="2"/>
  </si>
  <si>
    <t>ミックスマッチ
700円（2個販売額）</t>
    <phoneticPr fontId="2"/>
  </si>
  <si>
    <t>定番売価―ミックスマッチ額</t>
  </si>
  <si>
    <t>定番売価＞ミックスマッチ</t>
  </si>
  <si>
    <t>定番売価＝ミックスマッチ</t>
  </si>
  <si>
    <t>レジでの売価変更―ミックスマッチの計算結果が０、マイナスは実績出力しない。</t>
  </si>
  <si>
    <t>定番売価＜ミックスマッチ</t>
  </si>
  <si>
    <t>定番売価&lt;ミックスマッチ</t>
  </si>
  <si>
    <t>定番売価ーミックスマッチ</t>
  </si>
  <si>
    <t>定番売価＝特売（タイムサービス売価）</t>
  </si>
  <si>
    <t>特売（タイムサービス売価）＞レジでの売価変更</t>
  </si>
  <si>
    <t>定番売価―特売（タイムサービス売価）</t>
  </si>
  <si>
    <t>特売（タイムサービス売価）</t>
  </si>
  <si>
    <t>特売（タイムサービス売価）＝レジでの売価変更</t>
  </si>
  <si>
    <t>特売（タイムサービス売価）＜レジでの売価変更</t>
  </si>
  <si>
    <t>定番売価＞特売（タイムサービス売価）</t>
  </si>
  <si>
    <t>特売（タイムサービス売価）―レジでの売価変更</t>
  </si>
  <si>
    <t>定番売価＜特売（タイムサービス売価）</t>
  </si>
  <si>
    <t>0
定番売価―特売（タイムサービス売価）</t>
  </si>
  <si>
    <t>50
定番売価―特売（タイムサービス売価）</t>
  </si>
  <si>
    <t>50
特売（タイムサービス売価）―レジでの売価変更</t>
  </si>
  <si>
    <t>特売（タイムサービス売価）=レジでの売価変更</t>
  </si>
  <si>
    <t>０円で実績する。</t>
    <rPh sb="1" eb="2">
      <t>エン</t>
    </rPh>
    <rPh sb="3" eb="5">
      <t>ジッセキ</t>
    </rPh>
    <phoneticPr fontId="2"/>
  </si>
  <si>
    <t>０円で実績する。</t>
    <phoneticPr fontId="7"/>
  </si>
  <si>
    <t>定番売価＞特売（タイムサービス売価）</t>
    <phoneticPr fontId="7"/>
  </si>
  <si>
    <t>定番売価＞特特売（タイムサービス割引）</t>
  </si>
  <si>
    <t>特特売（タイムサービス割引）＞レジでの売価変更</t>
  </si>
  <si>
    <t>定番売価―特特売（タイムサービス割引）</t>
  </si>
  <si>
    <t>※定番売価ー特特売（タイムサービス割引） 計算結果がマイナスは実績出力しない。</t>
  </si>
  <si>
    <t>特特売（タイムサービス割引）―レジでの売価変更</t>
  </si>
  <si>
    <t>特特売（タイムサービス割引）＝レジでの売価変更</t>
  </si>
  <si>
    <t>特特売（タイムサービス割引）＜レジでの売価変更</t>
  </si>
  <si>
    <t>定番売価＞特特売（タイムサービス割引）</t>
    <phoneticPr fontId="7"/>
  </si>
  <si>
    <t>定番売価＞特売（タイムサービス割引）</t>
  </si>
  <si>
    <t>特売（タイムサービス割引）＞レジでの売価変更</t>
  </si>
  <si>
    <t>特売（タイムサービス割引）／レジでの売価変更金額</t>
    <rPh sb="22" eb="24">
      <t>キンガク</t>
    </rPh>
    <phoneticPr fontId="14"/>
  </si>
  <si>
    <t>特売（タイムサービス割引）</t>
  </si>
  <si>
    <t>特売（タイムサービス割引）＝レジでの売価変更</t>
  </si>
  <si>
    <t>※ 値引種別「特売（タイムサービス割引）」で値引実績が作成されているが。レジでの売価変更実績作成するべきではないか。</t>
    <rPh sb="22" eb="24">
      <t>ネビキ</t>
    </rPh>
    <rPh sb="24" eb="26">
      <t>ジッセキ</t>
    </rPh>
    <rPh sb="27" eb="29">
      <t>サクセイ</t>
    </rPh>
    <rPh sb="46" eb="48">
      <t>サクセイ</t>
    </rPh>
    <phoneticPr fontId="14"/>
  </si>
  <si>
    <t>特売（タイムサービス割引）＜レジでの売価変更</t>
  </si>
  <si>
    <t>特売（タイムサービス売価）</t>
    <phoneticPr fontId="14"/>
  </si>
  <si>
    <t>特売（タイムサービス割引）
270円</t>
    <rPh sb="17" eb="18">
      <t>エン</t>
    </rPh>
    <phoneticPr fontId="2"/>
  </si>
  <si>
    <t>30
定番売価―特売（タイムサービス割引）</t>
    <phoneticPr fontId="14"/>
  </si>
  <si>
    <t>値引額　70円</t>
    <rPh sb="0" eb="2">
      <t>ネビキ</t>
    </rPh>
    <rPh sb="2" eb="3">
      <t>ガク</t>
    </rPh>
    <rPh sb="6" eb="7">
      <t>エン</t>
    </rPh>
    <phoneticPr fontId="14"/>
  </si>
  <si>
    <t>70
特売（タイムサービス割引）―レジでの売価変更</t>
    <phoneticPr fontId="14"/>
  </si>
  <si>
    <t>レジでの売価変更
270円</t>
    <rPh sb="12" eb="13">
      <t>エン</t>
    </rPh>
    <phoneticPr fontId="2"/>
  </si>
  <si>
    <t>定番売価＝特売（期間売価）</t>
  </si>
  <si>
    <t>特売（期間売価）＞レジでの売価変更</t>
  </si>
  <si>
    <t>定番売価―特売（期間売価）</t>
  </si>
  <si>
    <t>特売（期間売価）</t>
  </si>
  <si>
    <t>特売（期間売価）＝レジでの売価変更</t>
  </si>
  <si>
    <t>特売（期間売価）＜レジでの売価変更</t>
  </si>
  <si>
    <t>定番売価＞特売（期間売価）</t>
  </si>
  <si>
    <t>※定番売価ー特売（期間売価） 計算結果がマイナスは実績出力しない。</t>
  </si>
  <si>
    <t>特売（期間売価）―レジでの売価変更</t>
  </si>
  <si>
    <t>定番売価＜特売（期間売価）</t>
  </si>
  <si>
    <t>定番売価＞特特売（期間割引）</t>
  </si>
  <si>
    <t>特特売（期間割引）＞レジでの売価変更</t>
  </si>
  <si>
    <t>定番売価―特特売（期間割引）</t>
  </si>
  <si>
    <t>※定番売価ー特特売（期間割引） 計算結果がマイナスは実績出力しない。</t>
  </si>
  <si>
    <t>特特売（期間割引）―レジでの売価変更</t>
  </si>
  <si>
    <t>特特売（期間割引）＝レジでの売価変更</t>
  </si>
  <si>
    <t>特特売（期間割引）＜レジでの売価変更</t>
  </si>
  <si>
    <t>特売（期間売価）／レジでの売価変更金額</t>
    <rPh sb="17" eb="19">
      <t>キンガク</t>
    </rPh>
    <phoneticPr fontId="14"/>
  </si>
  <si>
    <t>0
定番売価―特売（期間売価）</t>
  </si>
  <si>
    <t>特売（期間売価）
300円</t>
    <rPh sb="12" eb="13">
      <t>エン</t>
    </rPh>
    <phoneticPr fontId="2"/>
  </si>
  <si>
    <t>特売（期間売価）
250円</t>
    <rPh sb="12" eb="13">
      <t>エン</t>
    </rPh>
    <phoneticPr fontId="2"/>
  </si>
  <si>
    <t>50
定番売価―特売（期間売価）</t>
  </si>
  <si>
    <t>50
特売（期間売価）―レジでの売価変更</t>
  </si>
  <si>
    <t>※ 値引種別「特売（期間売価）」で値引実績が作成されているが。レジでの売価変更実績作成するべきではないか。</t>
    <rPh sb="17" eb="19">
      <t>ネビキ</t>
    </rPh>
    <rPh sb="19" eb="21">
      <t>ジッセキ</t>
    </rPh>
    <rPh sb="22" eb="24">
      <t>サクセイ</t>
    </rPh>
    <rPh sb="41" eb="43">
      <t>サクセイ</t>
    </rPh>
    <phoneticPr fontId="14"/>
  </si>
  <si>
    <t>特売（期間売価）=レジでの売価変更</t>
  </si>
  <si>
    <t>定番売価＞特売（期間割引）</t>
  </si>
  <si>
    <t>特売（期間割引）＞レジでの売価変更</t>
  </si>
  <si>
    <t>特売（期間割引）／レジでの売価変更金額</t>
    <rPh sb="17" eb="19">
      <t>キンガク</t>
    </rPh>
    <phoneticPr fontId="14"/>
  </si>
  <si>
    <t>特売（期間割引）
270円</t>
    <rPh sb="12" eb="13">
      <t>エン</t>
    </rPh>
    <phoneticPr fontId="2"/>
  </si>
  <si>
    <t>特売（期間割引）</t>
  </si>
  <si>
    <t>30
定番売価―特売（期間割引）</t>
  </si>
  <si>
    <t>70
特売（期間割引）―レジでの売価変更</t>
  </si>
  <si>
    <t>特売（期間割引）＝レジでの売価変更</t>
  </si>
  <si>
    <t>※ 値引種別「特売（期間割引）」で値引実績が作成されているが。レジでの売価変更実績作成するべきではないか。</t>
    <rPh sb="17" eb="19">
      <t>ネビキ</t>
    </rPh>
    <rPh sb="19" eb="21">
      <t>ジッセキ</t>
    </rPh>
    <rPh sb="22" eb="24">
      <t>サクセイ</t>
    </rPh>
    <rPh sb="41" eb="43">
      <t>サクセイ</t>
    </rPh>
    <phoneticPr fontId="14"/>
  </si>
  <si>
    <t>特売（期間割引）＜レジでの売価変更</t>
  </si>
  <si>
    <t>定番売価＝特売（タイムサービス売価）</t>
    <phoneticPr fontId="14"/>
  </si>
  <si>
    <t>特売（タイムサービス売価）対象外</t>
    <rPh sb="0" eb="2">
      <t>トクバイ</t>
    </rPh>
    <rPh sb="10" eb="12">
      <t>バイカ</t>
    </rPh>
    <rPh sb="13" eb="15">
      <t>タイショウ</t>
    </rPh>
    <rPh sb="15" eb="16">
      <t>ガイ</t>
    </rPh>
    <phoneticPr fontId="2"/>
  </si>
  <si>
    <t>定番売価＝特売（期間売価）</t>
    <phoneticPr fontId="14"/>
  </si>
  <si>
    <t>特売（期間売価）
300円</t>
    <rPh sb="0" eb="2">
      <t>トクバイ</t>
    </rPh>
    <rPh sb="3" eb="5">
      <t>キカン</t>
    </rPh>
    <rPh sb="5" eb="7">
      <t>バイカ</t>
    </rPh>
    <rPh sb="12" eb="13">
      <t>エン</t>
    </rPh>
    <phoneticPr fontId="2"/>
  </si>
  <si>
    <t>特売（期間売価）対象外</t>
    <rPh sb="0" eb="2">
      <t>トクバイ</t>
    </rPh>
    <rPh sb="3" eb="5">
      <t>キカン</t>
    </rPh>
    <rPh sb="5" eb="7">
      <t>バイカ</t>
    </rPh>
    <rPh sb="8" eb="10">
      <t>タイショウ</t>
    </rPh>
    <rPh sb="10" eb="11">
      <t>ガイ</t>
    </rPh>
    <phoneticPr fontId="2"/>
  </si>
  <si>
    <t>特売（タイムサービス売価）＞レジでの売価変更</t>
    <phoneticPr fontId="14"/>
  </si>
  <si>
    <t>特売（タイムサービス売価）＝レジでの売価変更</t>
    <phoneticPr fontId="7"/>
  </si>
  <si>
    <t>小計値引（マニュアル）</t>
    <phoneticPr fontId="7"/>
  </si>
  <si>
    <t>カテゴリ値引</t>
    <phoneticPr fontId="7"/>
  </si>
  <si>
    <t>カテゴリ値引</t>
    <rPh sb="4" eb="6">
      <t>ネビキ</t>
    </rPh>
    <phoneticPr fontId="2"/>
  </si>
  <si>
    <t>30
定番売価―レジでの売価変更</t>
    <phoneticPr fontId="1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</si>
</sst>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3"/>
      <charset val="128"/>
    </font>
    <font>
      <sz val="11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8"/>
      <name val="ＭＳ ゴシック"/>
      <family val="3"/>
      <charset val="128"/>
    </font>
    <font>
      <sz val="6"/>
      <name val="游ゴシック"/>
      <family val="3"/>
      <charset val="128"/>
    </font>
    <font>
      <sz val="6"/>
      <name val="游ゴシック"/>
      <family val="3"/>
      <charset val="128"/>
    </font>
    <font>
      <sz val="6"/>
      <name val="游ゴシック"/>
      <family val="3"/>
      <charset val="128"/>
    </font>
    <font>
      <sz val="11"/>
      <color rgb="FFFF0000"/>
      <name val="游ゴシック"/>
      <family val="3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ＭＳ ゴシック"/>
      <family val="3"/>
      <charset val="128"/>
    </font>
    <font>
      <b/>
      <sz val="14"/>
      <color theme="1"/>
      <name val="ＭＳ ゴシック"/>
      <family val="3"/>
      <charset val="128"/>
    </font>
    <font>
      <sz val="14"/>
      <color theme="1"/>
      <name val="游ゴシック"/>
      <family val="3"/>
      <charset val="128"/>
      <scheme val="minor"/>
    </font>
    <font>
      <sz val="6"/>
      <name val="游ゴシック"/>
      <family val="3"/>
      <charset val="128"/>
      <scheme val="minor"/>
    </font>
    <font>
      <sz val="11"/>
      <name val="游ゴシック"/>
      <family val="3"/>
      <charset val="128"/>
      <scheme val="minor"/>
    </font>
    <font>
      <sz val="11"/>
      <color rgb="FFFF0000"/>
      <name val="ＭＳ ゴシック"/>
      <family val="3"/>
      <charset val="128"/>
    </font>
    <font>
      <b/>
      <sz val="11"/>
      <color theme="1"/>
      <name val="ＭＳ ゴシック"/>
      <family val="3"/>
      <charset val="128"/>
    </font>
    <font>
      <sz val="11"/>
      <color rgb="FFFF0000"/>
      <name val="游ゴシック"/>
      <family val="2"/>
      <charset val="128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indexed="22"/>
        <bgColor indexed="0"/>
      </patternFill>
    </fill>
    <fill>
      <patternFill patternType="solid">
        <fgColor theme="0" tint="-0.34998626667073579"/>
        <bgColor indexed="64"/>
      </patternFill>
    </fill>
  </fills>
  <borders count="47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8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>
      <alignment vertical="center"/>
    </xf>
    <xf numFmtId="0" fontId="4" fillId="0" borderId="0"/>
    <xf numFmtId="0" fontId="4" fillId="0" borderId="0"/>
    <xf numFmtId="0" fontId="4" fillId="0" borderId="0"/>
    <xf numFmtId="0" fontId="1" fillId="0" borderId="0">
      <alignment vertical="center"/>
    </xf>
  </cellStyleXfs>
  <cellXfs count="301">
    <xf numFmtId="0" fontId="0" fillId="0" borderId="0" xfId="0">
      <alignment vertical="center"/>
    </xf>
    <xf numFmtId="0" fontId="11" fillId="0" borderId="0" xfId="0" applyFont="1" applyFill="1" applyAlignment="1">
      <alignment horizontal="center" vertical="center"/>
    </xf>
    <xf numFmtId="0" fontId="11" fillId="0" borderId="0" xfId="0" applyFont="1" applyFill="1" applyAlignment="1">
      <alignment vertical="center"/>
    </xf>
    <xf numFmtId="0" fontId="4" fillId="0" borderId="1" xfId="1" applyFont="1" applyFill="1" applyBorder="1" applyAlignment="1">
      <alignment horizontal="right" wrapText="1"/>
    </xf>
    <xf numFmtId="0" fontId="4" fillId="0" borderId="1" xfId="1" applyFont="1" applyFill="1" applyBorder="1" applyAlignment="1">
      <alignment wrapText="1"/>
    </xf>
    <xf numFmtId="0" fontId="4" fillId="0" borderId="2" xfId="1" applyFont="1" applyFill="1" applyBorder="1" applyAlignment="1">
      <alignment horizontal="center"/>
    </xf>
    <xf numFmtId="0" fontId="0" fillId="0" borderId="0" xfId="0" applyFill="1">
      <alignment vertical="center"/>
    </xf>
    <xf numFmtId="0" fontId="0" fillId="0" borderId="0" xfId="0">
      <alignment vertical="center"/>
    </xf>
    <xf numFmtId="0" fontId="10" fillId="0" borderId="0" xfId="0" applyFont="1">
      <alignment vertical="center"/>
    </xf>
    <xf numFmtId="0" fontId="0" fillId="0" borderId="0" xfId="0" applyAlignment="1">
      <alignment horizontal="center" vertical="center"/>
    </xf>
    <xf numFmtId="0" fontId="0" fillId="0" borderId="3" xfId="0" applyBorder="1">
      <alignment vertical="center"/>
    </xf>
    <xf numFmtId="0" fontId="0" fillId="0" borderId="4" xfId="0" applyBorder="1" applyAlignment="1">
      <alignment horizontal="center"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11" fillId="0" borderId="0" xfId="0" applyFont="1" applyAlignment="1">
      <alignment horizontal="left" vertical="center"/>
    </xf>
    <xf numFmtId="0" fontId="0" fillId="0" borderId="7" xfId="0" applyBorder="1">
      <alignment vertical="center"/>
    </xf>
    <xf numFmtId="0" fontId="0" fillId="0" borderId="0" xfId="0" applyAlignment="1">
      <alignment horizontal="center" vertical="center" wrapText="1"/>
    </xf>
    <xf numFmtId="0" fontId="0" fillId="0" borderId="10" xfId="0" applyBorder="1">
      <alignment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>
      <alignment vertical="center"/>
    </xf>
    <xf numFmtId="0" fontId="0" fillId="0" borderId="0" xfId="0" applyFill="1" applyBorder="1">
      <alignment vertical="center"/>
    </xf>
    <xf numFmtId="0" fontId="5" fillId="0" borderId="15" xfId="2" applyFont="1" applyFill="1" applyBorder="1" applyAlignment="1">
      <alignment wrapText="1"/>
    </xf>
    <xf numFmtId="0" fontId="5" fillId="0" borderId="15" xfId="2" applyFont="1" applyFill="1" applyBorder="1" applyAlignment="1">
      <alignment horizontal="right" wrapText="1"/>
    </xf>
    <xf numFmtId="0" fontId="11" fillId="0" borderId="16" xfId="0" applyFont="1" applyFill="1" applyBorder="1" applyAlignment="1">
      <alignment horizontal="left" vertical="center"/>
    </xf>
    <xf numFmtId="0" fontId="11" fillId="0" borderId="0" xfId="0" applyFont="1" applyFill="1">
      <alignment vertical="center"/>
    </xf>
    <xf numFmtId="0" fontId="5" fillId="0" borderId="19" xfId="2" applyFont="1" applyFill="1" applyBorder="1" applyAlignment="1">
      <alignment wrapText="1"/>
    </xf>
    <xf numFmtId="0" fontId="5" fillId="0" borderId="19" xfId="2" applyFont="1" applyFill="1" applyBorder="1" applyAlignment="1">
      <alignment horizontal="right" wrapText="1"/>
    </xf>
    <xf numFmtId="0" fontId="11" fillId="0" borderId="19" xfId="0" applyFont="1" applyFill="1" applyBorder="1">
      <alignment vertical="center"/>
    </xf>
    <xf numFmtId="0" fontId="11" fillId="0" borderId="20" xfId="0" applyFont="1" applyFill="1" applyBorder="1" applyAlignment="1">
      <alignment horizontal="left" vertical="center"/>
    </xf>
    <xf numFmtId="0" fontId="11" fillId="0" borderId="14" xfId="0" applyFont="1" applyFill="1" applyBorder="1" applyAlignment="1">
      <alignment horizontal="center" vertical="center"/>
    </xf>
    <xf numFmtId="0" fontId="5" fillId="0" borderId="15" xfId="2" applyFont="1" applyFill="1" applyBorder="1" applyAlignment="1">
      <alignment vertical="center" wrapText="1"/>
    </xf>
    <xf numFmtId="0" fontId="5" fillId="0" borderId="15" xfId="2" applyFont="1" applyFill="1" applyBorder="1" applyAlignment="1">
      <alignment horizontal="right" vertical="center" wrapText="1"/>
    </xf>
    <xf numFmtId="0" fontId="11" fillId="0" borderId="24" xfId="0" applyFont="1" applyFill="1" applyBorder="1" applyAlignment="1">
      <alignment horizontal="left" vertical="center"/>
    </xf>
    <xf numFmtId="0" fontId="11" fillId="0" borderId="25" xfId="0" applyFont="1" applyFill="1" applyBorder="1" applyAlignment="1">
      <alignment horizontal="center" vertical="center"/>
    </xf>
    <xf numFmtId="0" fontId="11" fillId="0" borderId="26" xfId="0" applyFont="1" applyFill="1" applyBorder="1" applyAlignment="1">
      <alignment horizontal="left" vertical="center" wrapText="1"/>
    </xf>
    <xf numFmtId="0" fontId="11" fillId="0" borderId="27" xfId="0" applyFont="1" applyFill="1" applyBorder="1" applyAlignment="1">
      <alignment horizontal="left" vertical="center"/>
    </xf>
    <xf numFmtId="0" fontId="5" fillId="0" borderId="19" xfId="2" applyFont="1" applyFill="1" applyBorder="1" applyAlignment="1">
      <alignment vertical="center" wrapText="1"/>
    </xf>
    <xf numFmtId="0" fontId="5" fillId="0" borderId="19" xfId="2" applyFont="1" applyFill="1" applyBorder="1" applyAlignment="1">
      <alignment horizontal="right" vertical="center" wrapText="1"/>
    </xf>
    <xf numFmtId="0" fontId="11" fillId="0" borderId="19" xfId="0" applyFont="1" applyFill="1" applyBorder="1" applyAlignment="1">
      <alignment vertical="center"/>
    </xf>
    <xf numFmtId="0" fontId="5" fillId="0" borderId="14" xfId="2" applyFont="1" applyFill="1" applyBorder="1" applyAlignment="1">
      <alignment horizontal="center"/>
    </xf>
    <xf numFmtId="0" fontId="11" fillId="0" borderId="24" xfId="0" applyFont="1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3" borderId="8" xfId="0" applyFill="1" applyBorder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5" fillId="0" borderId="14" xfId="2" applyFont="1" applyFill="1" applyBorder="1" applyAlignment="1">
      <alignment wrapText="1"/>
    </xf>
    <xf numFmtId="0" fontId="5" fillId="0" borderId="14" xfId="2" applyFont="1" applyFill="1" applyBorder="1" applyAlignment="1">
      <alignment horizontal="right" wrapText="1"/>
    </xf>
    <xf numFmtId="0" fontId="5" fillId="0" borderId="26" xfId="2" applyFont="1" applyFill="1" applyBorder="1" applyAlignment="1">
      <alignment wrapText="1"/>
    </xf>
    <xf numFmtId="0" fontId="5" fillId="0" borderId="26" xfId="2" applyFont="1" applyFill="1" applyBorder="1" applyAlignment="1">
      <alignment horizontal="right" wrapText="1"/>
    </xf>
    <xf numFmtId="0" fontId="0" fillId="3" borderId="8" xfId="0" applyFill="1" applyBorder="1" applyAlignment="1">
      <alignment horizontal="center" vertical="center" wrapText="1"/>
    </xf>
    <xf numFmtId="0" fontId="11" fillId="0" borderId="14" xfId="0" applyFont="1" applyBorder="1" applyAlignment="1">
      <alignment horizontal="center" vertical="center"/>
    </xf>
    <xf numFmtId="0" fontId="0" fillId="0" borderId="0" xfId="0">
      <alignment vertical="center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22" xfId="0" applyFont="1" applyBorder="1" applyAlignment="1">
      <alignment horizontal="left" vertical="center" indent="1"/>
    </xf>
    <xf numFmtId="0" fontId="11" fillId="0" borderId="14" xfId="0" applyFont="1" applyBorder="1" applyAlignment="1">
      <alignment horizontal="left" vertical="center" indent="1"/>
    </xf>
    <xf numFmtId="0" fontId="5" fillId="0" borderId="14" xfId="2" applyFont="1" applyBorder="1" applyAlignment="1">
      <alignment horizontal="left" indent="1"/>
    </xf>
    <xf numFmtId="0" fontId="11" fillId="0" borderId="24" xfId="0" applyFont="1" applyBorder="1" applyAlignment="1">
      <alignment horizontal="left" vertical="center" indent="1"/>
    </xf>
    <xf numFmtId="0" fontId="11" fillId="0" borderId="15" xfId="0" applyFont="1" applyBorder="1" applyAlignment="1">
      <alignment horizontal="left" vertical="center" wrapText="1"/>
    </xf>
    <xf numFmtId="0" fontId="5" fillId="0" borderId="15" xfId="2" applyFont="1" applyBorder="1" applyAlignment="1">
      <alignment wrapText="1"/>
    </xf>
    <xf numFmtId="0" fontId="5" fillId="0" borderId="15" xfId="2" applyFont="1" applyBorder="1" applyAlignment="1">
      <alignment horizontal="right" wrapText="1"/>
    </xf>
    <xf numFmtId="0" fontId="11" fillId="0" borderId="15" xfId="0" applyFont="1" applyBorder="1" applyAlignment="1">
      <alignment horizontal="left" vertical="center"/>
    </xf>
    <xf numFmtId="0" fontId="5" fillId="0" borderId="19" xfId="2" applyFont="1" applyBorder="1" applyAlignment="1">
      <alignment wrapText="1"/>
    </xf>
    <xf numFmtId="0" fontId="11" fillId="0" borderId="19" xfId="0" applyFont="1" applyBorder="1">
      <alignment vertical="center"/>
    </xf>
    <xf numFmtId="0" fontId="5" fillId="0" borderId="29" xfId="2" applyFont="1" applyBorder="1" applyAlignment="1">
      <alignment horizontal="right" wrapText="1"/>
    </xf>
    <xf numFmtId="0" fontId="11" fillId="0" borderId="33" xfId="0" applyFont="1" applyBorder="1">
      <alignment vertical="center"/>
    </xf>
    <xf numFmtId="0" fontId="11" fillId="0" borderId="15" xfId="0" applyFont="1" applyBorder="1">
      <alignment vertical="center"/>
    </xf>
    <xf numFmtId="0" fontId="11" fillId="0" borderId="16" xfId="0" applyFont="1" applyBorder="1">
      <alignment vertical="center"/>
    </xf>
    <xf numFmtId="0" fontId="11" fillId="0" borderId="14" xfId="0" applyFont="1" applyBorder="1">
      <alignment vertical="center"/>
    </xf>
    <xf numFmtId="0" fontId="5" fillId="0" borderId="14" xfId="2" applyFont="1" applyBorder="1" applyAlignment="1">
      <alignment wrapText="1"/>
    </xf>
    <xf numFmtId="0" fontId="11" fillId="0" borderId="24" xfId="0" applyFont="1" applyBorder="1">
      <alignment vertical="center"/>
    </xf>
    <xf numFmtId="0" fontId="11" fillId="4" borderId="22" xfId="0" applyFont="1" applyFill="1" applyBorder="1" applyAlignment="1">
      <alignment horizontal="center" vertical="center"/>
    </xf>
    <xf numFmtId="0" fontId="11" fillId="0" borderId="28" xfId="0" applyFont="1" applyBorder="1" applyAlignment="1">
      <alignment vertical="center" wrapText="1"/>
    </xf>
    <xf numFmtId="0" fontId="11" fillId="0" borderId="28" xfId="0" applyFont="1" applyBorder="1">
      <alignment vertical="center"/>
    </xf>
    <xf numFmtId="0" fontId="5" fillId="0" borderId="28" xfId="2" applyFont="1" applyBorder="1" applyAlignment="1">
      <alignment wrapText="1"/>
    </xf>
    <xf numFmtId="0" fontId="11" fillId="0" borderId="34" xfId="0" applyFont="1" applyBorder="1">
      <alignment vertical="center"/>
    </xf>
    <xf numFmtId="0" fontId="11" fillId="0" borderId="9" xfId="0" applyFont="1" applyBorder="1">
      <alignment vertical="center"/>
    </xf>
    <xf numFmtId="0" fontId="5" fillId="0" borderId="9" xfId="2" applyFont="1" applyBorder="1" applyAlignment="1">
      <alignment wrapText="1"/>
    </xf>
    <xf numFmtId="0" fontId="11" fillId="0" borderId="20" xfId="0" applyFont="1" applyBorder="1">
      <alignment vertical="center"/>
    </xf>
    <xf numFmtId="0" fontId="11" fillId="4" borderId="13" xfId="0" applyFont="1" applyFill="1" applyBorder="1" applyAlignment="1">
      <alignment horizontal="center" vertical="center"/>
    </xf>
    <xf numFmtId="0" fontId="11" fillId="4" borderId="31" xfId="0" applyFont="1" applyFill="1" applyBorder="1" applyAlignment="1">
      <alignment horizontal="center" vertical="center"/>
    </xf>
    <xf numFmtId="0" fontId="11" fillId="0" borderId="29" xfId="0" applyFont="1" applyBorder="1" applyAlignment="1">
      <alignment horizontal="left" vertical="center"/>
    </xf>
    <xf numFmtId="0" fontId="11" fillId="0" borderId="29" xfId="0" applyFont="1" applyBorder="1" applyAlignment="1">
      <alignment horizontal="left" vertical="center" wrapText="1"/>
    </xf>
    <xf numFmtId="0" fontId="11" fillId="0" borderId="27" xfId="0" applyFont="1" applyBorder="1" applyAlignment="1">
      <alignment horizontal="left" vertical="center"/>
    </xf>
    <xf numFmtId="0" fontId="5" fillId="0" borderId="18" xfId="2" applyFont="1" applyBorder="1" applyAlignment="1">
      <alignment wrapText="1"/>
    </xf>
    <xf numFmtId="0" fontId="11" fillId="0" borderId="35" xfId="0" applyFont="1" applyBorder="1" applyAlignment="1">
      <alignment horizontal="left" vertical="center"/>
    </xf>
    <xf numFmtId="0" fontId="11" fillId="4" borderId="25" xfId="0" applyFont="1" applyFill="1" applyBorder="1" applyAlignment="1">
      <alignment horizontal="center" vertical="center"/>
    </xf>
    <xf numFmtId="0" fontId="11" fillId="0" borderId="26" xfId="0" applyFont="1" applyBorder="1" applyAlignment="1">
      <alignment horizontal="left" vertical="center" wrapText="1"/>
    </xf>
    <xf numFmtId="0" fontId="5" fillId="0" borderId="26" xfId="2" applyFont="1" applyBorder="1" applyAlignment="1">
      <alignment wrapText="1"/>
    </xf>
    <xf numFmtId="0" fontId="5" fillId="0" borderId="26" xfId="2" applyFont="1" applyBorder="1" applyAlignment="1">
      <alignment horizontal="right" wrapText="1"/>
    </xf>
    <xf numFmtId="0" fontId="11" fillId="0" borderId="26" xfId="0" applyFont="1" applyBorder="1" applyAlignment="1">
      <alignment horizontal="left" vertical="center"/>
    </xf>
    <xf numFmtId="0" fontId="11" fillId="0" borderId="34" xfId="0" applyFont="1" applyBorder="1" applyAlignment="1">
      <alignment horizontal="left" vertical="center"/>
    </xf>
    <xf numFmtId="0" fontId="11" fillId="0" borderId="15" xfId="0" applyFont="1" applyBorder="1" applyAlignment="1">
      <alignment vertical="center" wrapText="1"/>
    </xf>
    <xf numFmtId="0" fontId="11" fillId="4" borderId="36" xfId="0" applyFont="1" applyFill="1" applyBorder="1" applyAlignment="1">
      <alignment horizontal="center" vertical="center"/>
    </xf>
    <xf numFmtId="0" fontId="11" fillId="0" borderId="28" xfId="0" applyFont="1" applyBorder="1" applyAlignment="1">
      <alignment horizontal="left" vertical="center" wrapText="1"/>
    </xf>
    <xf numFmtId="0" fontId="5" fillId="0" borderId="28" xfId="2" applyFont="1" applyBorder="1" applyAlignment="1">
      <alignment horizontal="right" wrapText="1"/>
    </xf>
    <xf numFmtId="0" fontId="11" fillId="0" borderId="28" xfId="0" applyFont="1" applyBorder="1" applyAlignment="1">
      <alignment horizontal="left" vertical="center"/>
    </xf>
    <xf numFmtId="0" fontId="11" fillId="0" borderId="14" xfId="0" applyFont="1" applyBorder="1" applyAlignment="1">
      <alignment vertical="center" wrapText="1"/>
    </xf>
    <xf numFmtId="0" fontId="11" fillId="0" borderId="26" xfId="0" applyFont="1" applyBorder="1" applyAlignment="1">
      <alignment vertical="center" wrapText="1"/>
    </xf>
    <xf numFmtId="0" fontId="11" fillId="0" borderId="26" xfId="0" applyFont="1" applyBorder="1">
      <alignment vertical="center"/>
    </xf>
    <xf numFmtId="0" fontId="11" fillId="0" borderId="27" xfId="0" applyFont="1" applyBorder="1">
      <alignment vertical="center"/>
    </xf>
    <xf numFmtId="0" fontId="0" fillId="0" borderId="4" xfId="0" applyBorder="1">
      <alignment vertical="center"/>
    </xf>
    <xf numFmtId="0" fontId="0" fillId="0" borderId="11" xfId="0" applyBorder="1">
      <alignment vertical="center"/>
    </xf>
    <xf numFmtId="0" fontId="9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9" fillId="0" borderId="0" xfId="0" applyFont="1">
      <alignment vertical="center"/>
    </xf>
    <xf numFmtId="0" fontId="0" fillId="0" borderId="0" xfId="0" applyFill="1">
      <alignment vertical="center"/>
    </xf>
    <xf numFmtId="0" fontId="11" fillId="0" borderId="15" xfId="0" applyFont="1" applyBorder="1" applyAlignment="1">
      <alignment vertical="center" wrapText="1"/>
    </xf>
    <xf numFmtId="0" fontId="11" fillId="0" borderId="19" xfId="0" applyFont="1" applyBorder="1">
      <alignment vertical="center"/>
    </xf>
    <xf numFmtId="0" fontId="11" fillId="0" borderId="9" xfId="0" applyFont="1" applyBorder="1">
      <alignment vertical="center"/>
    </xf>
    <xf numFmtId="0" fontId="0" fillId="0" borderId="0" xfId="0" applyFill="1">
      <alignment vertical="center"/>
    </xf>
    <xf numFmtId="0" fontId="0" fillId="0" borderId="0" xfId="0">
      <alignment vertical="center"/>
    </xf>
    <xf numFmtId="0" fontId="11" fillId="0" borderId="0" xfId="0" applyFont="1" applyFill="1" applyAlignment="1">
      <alignment horizontal="left" vertical="center"/>
    </xf>
    <xf numFmtId="0" fontId="11" fillId="0" borderId="21" xfId="0" applyFont="1" applyFill="1" applyBorder="1" applyAlignment="1">
      <alignment horizontal="left" vertical="center"/>
    </xf>
    <xf numFmtId="0" fontId="11" fillId="0" borderId="23" xfId="0" applyFont="1" applyFill="1" applyBorder="1" applyAlignment="1">
      <alignment horizontal="left" vertical="center"/>
    </xf>
    <xf numFmtId="0" fontId="11" fillId="0" borderId="3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4" xfId="0" applyFont="1" applyBorder="1">
      <alignment vertical="center"/>
    </xf>
    <xf numFmtId="0" fontId="11" fillId="0" borderId="5" xfId="0" applyFont="1" applyBorder="1">
      <alignment vertical="center"/>
    </xf>
    <xf numFmtId="0" fontId="11" fillId="0" borderId="6" xfId="0" applyFont="1" applyBorder="1" applyAlignment="1">
      <alignment horizontal="center" vertical="center"/>
    </xf>
    <xf numFmtId="0" fontId="11" fillId="0" borderId="7" xfId="0" applyFont="1" applyBorder="1">
      <alignment vertical="center"/>
    </xf>
    <xf numFmtId="0" fontId="16" fillId="0" borderId="0" xfId="0" applyFont="1" applyAlignment="1">
      <alignment horizontal="left" vertical="center"/>
    </xf>
    <xf numFmtId="0" fontId="11" fillId="0" borderId="7" xfId="0" applyFont="1" applyBorder="1" applyAlignment="1">
      <alignment horizontal="center" vertical="center"/>
    </xf>
    <xf numFmtId="0" fontId="11" fillId="0" borderId="0" xfId="0" applyFont="1" applyAlignment="1">
      <alignment horizontal="right" vertical="center"/>
    </xf>
    <xf numFmtId="0" fontId="11" fillId="5" borderId="8" xfId="0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 wrapText="1"/>
    </xf>
    <xf numFmtId="0" fontId="11" fillId="0" borderId="8" xfId="0" applyFont="1" applyBorder="1" applyAlignment="1">
      <alignment horizontal="center" vertical="center"/>
    </xf>
    <xf numFmtId="0" fontId="16" fillId="0" borderId="8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11" fillId="0" borderId="10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0" borderId="11" xfId="0" applyFont="1" applyBorder="1" applyAlignment="1">
      <alignment horizontal="left" vertical="center"/>
    </xf>
    <xf numFmtId="0" fontId="11" fillId="0" borderId="11" xfId="0" applyFont="1" applyBorder="1">
      <alignment vertical="center"/>
    </xf>
    <xf numFmtId="0" fontId="11" fillId="0" borderId="12" xfId="0" applyFont="1" applyBorder="1">
      <alignment vertical="center"/>
    </xf>
    <xf numFmtId="0" fontId="17" fillId="0" borderId="0" xfId="0" applyFont="1">
      <alignment vertical="center"/>
    </xf>
    <xf numFmtId="0" fontId="11" fillId="0" borderId="0" xfId="0" applyFont="1" applyBorder="1" applyAlignment="1">
      <alignment horizontal="center" vertical="center"/>
    </xf>
    <xf numFmtId="0" fontId="11" fillId="0" borderId="0" xfId="0" applyFont="1" applyBorder="1" applyAlignment="1">
      <alignment horizontal="center" vertical="center" wrapText="1"/>
    </xf>
    <xf numFmtId="0" fontId="16" fillId="0" borderId="0" xfId="0" applyFont="1" applyBorder="1" applyAlignment="1">
      <alignment horizontal="center" vertical="center" wrapText="1"/>
    </xf>
    <xf numFmtId="0" fontId="11" fillId="0" borderId="14" xfId="0" applyFont="1" applyFill="1" applyBorder="1" applyAlignment="1">
      <alignment horizontal="left" vertical="center"/>
    </xf>
    <xf numFmtId="0" fontId="11" fillId="0" borderId="8" xfId="0" applyFont="1" applyBorder="1" applyAlignment="1">
      <alignment horizontal="center" vertical="center"/>
    </xf>
    <xf numFmtId="0" fontId="4" fillId="0" borderId="1" xfId="1" applyFont="1" applyFill="1" applyBorder="1" applyAlignment="1">
      <alignment horizontal="center" wrapText="1"/>
    </xf>
    <xf numFmtId="0" fontId="0" fillId="0" borderId="0" xfId="0" applyFill="1" applyAlignment="1">
      <alignment horizontal="center" vertical="center"/>
    </xf>
    <xf numFmtId="0" fontId="0" fillId="2" borderId="0" xfId="0" applyFill="1">
      <alignment vertical="center"/>
    </xf>
    <xf numFmtId="0" fontId="4" fillId="0" borderId="40" xfId="1" applyFont="1" applyFill="1" applyBorder="1" applyAlignment="1">
      <alignment horizontal="center"/>
    </xf>
    <xf numFmtId="0" fontId="4" fillId="0" borderId="2" xfId="1" applyBorder="1" applyAlignment="1">
      <alignment horizontal="center"/>
    </xf>
    <xf numFmtId="0" fontId="4" fillId="0" borderId="1" xfId="1" applyBorder="1" applyAlignment="1">
      <alignment horizontal="right" wrapText="1"/>
    </xf>
    <xf numFmtId="0" fontId="4" fillId="0" borderId="1" xfId="1" applyBorder="1" applyAlignment="1">
      <alignment wrapText="1"/>
    </xf>
    <xf numFmtId="0" fontId="4" fillId="7" borderId="2" xfId="3" applyFont="1" applyFill="1" applyBorder="1" applyAlignment="1">
      <alignment horizontal="center"/>
    </xf>
    <xf numFmtId="0" fontId="4" fillId="0" borderId="1" xfId="3" applyFont="1" applyFill="1" applyBorder="1" applyAlignment="1">
      <alignment wrapText="1"/>
    </xf>
    <xf numFmtId="0" fontId="1" fillId="0" borderId="0" xfId="4">
      <alignment vertical="center"/>
    </xf>
    <xf numFmtId="0" fontId="16" fillId="0" borderId="0" xfId="0" quotePrefix="1" applyFont="1" applyBorder="1" applyAlignment="1">
      <alignment horizontal="center" vertical="center" wrapText="1"/>
    </xf>
    <xf numFmtId="0" fontId="4" fillId="0" borderId="2" xfId="3" applyBorder="1" applyAlignment="1">
      <alignment horizontal="center"/>
    </xf>
    <xf numFmtId="0" fontId="4" fillId="0" borderId="1" xfId="3" applyBorder="1" applyAlignment="1">
      <alignment horizontal="right" wrapText="1"/>
    </xf>
    <xf numFmtId="0" fontId="4" fillId="0" borderId="1" xfId="3" applyBorder="1" applyAlignment="1">
      <alignment wrapText="1"/>
    </xf>
    <xf numFmtId="0" fontId="0" fillId="0" borderId="0" xfId="0" applyFill="1">
      <alignment vertical="center"/>
    </xf>
    <xf numFmtId="0" fontId="11" fillId="0" borderId="8" xfId="0" applyFont="1" applyBorder="1" applyAlignment="1">
      <alignment horizontal="center" vertical="center"/>
    </xf>
    <xf numFmtId="0" fontId="11" fillId="0" borderId="29" xfId="0" applyFont="1" applyFill="1" applyBorder="1" applyAlignment="1">
      <alignment horizontal="left" vertical="center" wrapText="1"/>
    </xf>
    <xf numFmtId="0" fontId="5" fillId="0" borderId="29" xfId="2" applyFont="1" applyFill="1" applyBorder="1" applyAlignment="1">
      <alignment wrapText="1"/>
    </xf>
    <xf numFmtId="0" fontId="5" fillId="0" borderId="29" xfId="2" applyFont="1" applyFill="1" applyBorder="1" applyAlignment="1">
      <alignment horizontal="right" wrapText="1"/>
    </xf>
    <xf numFmtId="0" fontId="11" fillId="0" borderId="29" xfId="0" applyFont="1" applyFill="1" applyBorder="1" applyAlignment="1">
      <alignment horizontal="left" vertical="center"/>
    </xf>
    <xf numFmtId="0" fontId="5" fillId="0" borderId="8" xfId="2" applyFont="1" applyFill="1" applyBorder="1" applyAlignment="1">
      <alignment wrapText="1"/>
    </xf>
    <xf numFmtId="0" fontId="5" fillId="0" borderId="8" xfId="2" applyFont="1" applyFill="1" applyBorder="1" applyAlignment="1">
      <alignment horizontal="right" wrapText="1"/>
    </xf>
    <xf numFmtId="0" fontId="5" fillId="0" borderId="9" xfId="2" applyFont="1" applyFill="1" applyBorder="1" applyAlignment="1">
      <alignment wrapText="1"/>
    </xf>
    <xf numFmtId="0" fontId="5" fillId="0" borderId="9" xfId="2" applyFont="1" applyFill="1" applyBorder="1" applyAlignment="1">
      <alignment horizontal="right" wrapText="1"/>
    </xf>
    <xf numFmtId="0" fontId="11" fillId="0" borderId="9" xfId="0" applyFont="1" applyFill="1" applyBorder="1">
      <alignment vertical="center"/>
    </xf>
    <xf numFmtId="0" fontId="11" fillId="0" borderId="45" xfId="0" applyFont="1" applyFill="1" applyBorder="1" applyAlignment="1">
      <alignment horizontal="left" vertical="center"/>
    </xf>
    <xf numFmtId="0" fontId="11" fillId="0" borderId="46" xfId="0" applyFont="1" applyFill="1" applyBorder="1" applyAlignment="1">
      <alignment horizontal="left" vertical="center"/>
    </xf>
    <xf numFmtId="0" fontId="11" fillId="0" borderId="30" xfId="0" applyFont="1" applyFill="1" applyBorder="1" applyAlignment="1">
      <alignment horizontal="left" vertical="center"/>
    </xf>
    <xf numFmtId="0" fontId="11" fillId="0" borderId="26" xfId="0" applyFont="1" applyFill="1" applyBorder="1">
      <alignment vertical="center"/>
    </xf>
    <xf numFmtId="0" fontId="16" fillId="0" borderId="0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 wrapText="1"/>
    </xf>
    <xf numFmtId="0" fontId="11" fillId="0" borderId="4" xfId="0" applyFont="1" applyFill="1" applyBorder="1">
      <alignment vertical="center"/>
    </xf>
    <xf numFmtId="0" fontId="11" fillId="0" borderId="11" xfId="0" applyFont="1" applyFill="1" applyBorder="1">
      <alignment vertical="center"/>
    </xf>
    <xf numFmtId="0" fontId="11" fillId="0" borderId="0" xfId="0" applyFont="1" applyFill="1" applyBorder="1" applyAlignment="1">
      <alignment horizontal="center" vertical="center" wrapText="1"/>
    </xf>
    <xf numFmtId="0" fontId="16" fillId="0" borderId="0" xfId="0" applyFont="1" applyFill="1" applyBorder="1" applyAlignment="1">
      <alignment horizontal="center" vertical="center"/>
    </xf>
    <xf numFmtId="0" fontId="11" fillId="0" borderId="0" xfId="0" applyFont="1" applyFill="1" applyBorder="1" applyAlignment="1">
      <alignment horizontal="center" vertical="center"/>
    </xf>
    <xf numFmtId="0" fontId="16" fillId="0" borderId="0" xfId="0" quotePrefix="1" applyFont="1" applyFill="1" applyBorder="1" applyAlignment="1">
      <alignment horizontal="center" vertical="center" wrapText="1"/>
    </xf>
    <xf numFmtId="0" fontId="11" fillId="0" borderId="0" xfId="0" applyFont="1" applyFill="1" applyAlignment="1">
      <alignment horizontal="center" vertical="center" wrapText="1"/>
    </xf>
    <xf numFmtId="0" fontId="0" fillId="0" borderId="0" xfId="0" applyFill="1" applyBorder="1" applyAlignment="1">
      <alignment vertical="center"/>
    </xf>
    <xf numFmtId="0" fontId="16" fillId="0" borderId="0" xfId="0" applyFont="1">
      <alignment vertical="center"/>
    </xf>
    <xf numFmtId="0" fontId="11" fillId="0" borderId="0" xfId="0" applyFont="1" applyAlignment="1">
      <alignment horizontal="left" vertical="center" wrapText="1"/>
    </xf>
    <xf numFmtId="0" fontId="11" fillId="0" borderId="31" xfId="0" applyFont="1" applyFill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1" fillId="0" borderId="14" xfId="0" applyFont="1" applyFill="1" applyBorder="1" applyAlignment="1">
      <alignment horizontal="left" vertical="center" wrapText="1"/>
    </xf>
    <xf numFmtId="0" fontId="11" fillId="0" borderId="15" xfId="0" applyFont="1" applyFill="1" applyBorder="1" applyAlignment="1">
      <alignment horizontal="left" vertical="center" wrapText="1"/>
    </xf>
    <xf numFmtId="0" fontId="11" fillId="0" borderId="19" xfId="0" applyFont="1" applyFill="1" applyBorder="1" applyAlignment="1">
      <alignment horizontal="left" vertical="center"/>
    </xf>
    <xf numFmtId="0" fontId="11" fillId="0" borderId="13" xfId="0" applyFont="1" applyFill="1" applyBorder="1" applyAlignment="1">
      <alignment horizontal="center" vertical="center"/>
    </xf>
    <xf numFmtId="0" fontId="11" fillId="0" borderId="8" xfId="0" applyFont="1" applyFill="1" applyBorder="1" applyAlignment="1">
      <alignment horizontal="left" vertical="center"/>
    </xf>
    <xf numFmtId="0" fontId="11" fillId="0" borderId="8" xfId="0" applyFont="1" applyFill="1" applyBorder="1" applyAlignment="1">
      <alignment horizontal="left" vertical="center" wrapText="1"/>
    </xf>
    <xf numFmtId="0" fontId="11" fillId="0" borderId="9" xfId="0" applyFont="1" applyFill="1" applyBorder="1" applyAlignment="1">
      <alignment horizontal="left" vertical="center"/>
    </xf>
    <xf numFmtId="0" fontId="11" fillId="0" borderId="15" xfId="0" applyFont="1" applyFill="1" applyBorder="1" applyAlignment="1">
      <alignment horizontal="left" vertical="center"/>
    </xf>
    <xf numFmtId="0" fontId="11" fillId="0" borderId="22" xfId="0" applyFont="1" applyFill="1" applyBorder="1" applyAlignment="1">
      <alignment horizontal="center" vertical="center"/>
    </xf>
    <xf numFmtId="0" fontId="11" fillId="0" borderId="0" xfId="0" applyFont="1" applyFill="1">
      <alignment vertical="center"/>
    </xf>
    <xf numFmtId="0" fontId="11" fillId="0" borderId="18" xfId="0" applyFont="1" applyFill="1" applyBorder="1" applyAlignment="1">
      <alignment horizontal="left" vertical="center"/>
    </xf>
    <xf numFmtId="0" fontId="11" fillId="0" borderId="41" xfId="0" applyFont="1" applyFill="1" applyBorder="1" applyAlignment="1">
      <alignment horizontal="center" vertical="center"/>
    </xf>
    <xf numFmtId="0" fontId="11" fillId="0" borderId="0" xfId="0" applyFont="1" applyFill="1" applyAlignment="1">
      <alignment horizontal="center" vertical="center"/>
    </xf>
    <xf numFmtId="0" fontId="11" fillId="0" borderId="26" xfId="0" applyFont="1" applyFill="1" applyBorder="1" applyAlignment="1">
      <alignment horizontal="left" vertical="center"/>
    </xf>
    <xf numFmtId="0" fontId="11" fillId="0" borderId="27" xfId="0" applyFont="1" applyFill="1" applyBorder="1" applyAlignment="1">
      <alignment horizontal="left" vertical="center" wrapText="1"/>
    </xf>
    <xf numFmtId="0" fontId="11" fillId="0" borderId="15" xfId="0" applyFont="1" applyFill="1" applyBorder="1" applyAlignment="1">
      <alignment vertical="center" wrapText="1"/>
    </xf>
    <xf numFmtId="0" fontId="11" fillId="0" borderId="15" xfId="0" applyFont="1" applyFill="1" applyBorder="1">
      <alignment vertical="center"/>
    </xf>
    <xf numFmtId="0" fontId="11" fillId="0" borderId="16" xfId="0" applyFont="1" applyFill="1" applyBorder="1">
      <alignment vertical="center"/>
    </xf>
    <xf numFmtId="0" fontId="11" fillId="0" borderId="20" xfId="0" applyFont="1" applyFill="1" applyBorder="1">
      <alignment vertical="center"/>
    </xf>
    <xf numFmtId="0" fontId="11" fillId="0" borderId="33" xfId="0" applyFont="1" applyFill="1" applyBorder="1">
      <alignment vertical="center"/>
    </xf>
    <xf numFmtId="0" fontId="11" fillId="0" borderId="14" xfId="0" applyFont="1" applyFill="1" applyBorder="1" applyAlignment="1">
      <alignment horizontal="left" vertical="center" wrapText="1"/>
    </xf>
    <xf numFmtId="0" fontId="11" fillId="0" borderId="18" xfId="0" applyFont="1" applyFill="1" applyBorder="1" applyAlignment="1">
      <alignment horizontal="left" vertical="center" wrapText="1"/>
    </xf>
    <xf numFmtId="0" fontId="11" fillId="0" borderId="15" xfId="0" applyFont="1" applyFill="1" applyBorder="1" applyAlignment="1">
      <alignment horizontal="left" vertical="center" wrapText="1"/>
    </xf>
    <xf numFmtId="0" fontId="11" fillId="0" borderId="19" xfId="0" applyFont="1" applyFill="1" applyBorder="1" applyAlignment="1">
      <alignment horizontal="left" vertical="center"/>
    </xf>
    <xf numFmtId="0" fontId="11" fillId="0" borderId="13" xfId="0" applyFont="1" applyFill="1" applyBorder="1" applyAlignment="1">
      <alignment horizontal="center" vertical="center"/>
    </xf>
    <xf numFmtId="0" fontId="11" fillId="0" borderId="17" xfId="0" applyFont="1" applyFill="1" applyBorder="1" applyAlignment="1">
      <alignment horizontal="center" vertical="center"/>
    </xf>
    <xf numFmtId="0" fontId="11" fillId="0" borderId="15" xfId="0" applyFont="1" applyFill="1" applyBorder="1" applyAlignment="1">
      <alignment vertical="center" wrapText="1"/>
    </xf>
    <xf numFmtId="0" fontId="11" fillId="0" borderId="19" xfId="0" applyFont="1" applyFill="1" applyBorder="1">
      <alignment vertical="center"/>
    </xf>
    <xf numFmtId="0" fontId="17" fillId="0" borderId="0" xfId="0" applyFont="1" applyFill="1" applyAlignment="1">
      <alignment horizontal="center" vertical="center"/>
    </xf>
    <xf numFmtId="0" fontId="11" fillId="0" borderId="0" xfId="0" applyFont="1" applyFill="1" applyAlignment="1">
      <alignment horizontal="center" vertical="center"/>
    </xf>
    <xf numFmtId="0" fontId="11" fillId="0" borderId="0" xfId="0" applyFont="1" applyFill="1">
      <alignment vertical="center"/>
    </xf>
    <xf numFmtId="0" fontId="11" fillId="0" borderId="8" xfId="0" applyFont="1" applyFill="1" applyBorder="1" applyAlignment="1">
      <alignment horizontal="left" vertical="center"/>
    </xf>
    <xf numFmtId="0" fontId="11" fillId="0" borderId="9" xfId="0" applyFont="1" applyFill="1" applyBorder="1" applyAlignment="1">
      <alignment horizontal="left" vertical="center"/>
    </xf>
    <xf numFmtId="0" fontId="11" fillId="0" borderId="8" xfId="0" applyFont="1" applyFill="1" applyBorder="1" applyAlignment="1">
      <alignment horizontal="center" vertical="center"/>
    </xf>
    <xf numFmtId="0" fontId="11" fillId="0" borderId="9" xfId="0" applyFont="1" applyFill="1" applyBorder="1" applyAlignment="1">
      <alignment horizontal="center" vertical="center"/>
    </xf>
    <xf numFmtId="0" fontId="11" fillId="0" borderId="8" xfId="0" applyFont="1" applyFill="1" applyBorder="1" applyAlignment="1">
      <alignment horizontal="left" vertical="center" wrapText="1"/>
    </xf>
    <xf numFmtId="0" fontId="11" fillId="0" borderId="42" xfId="0" applyFont="1" applyFill="1" applyBorder="1" applyAlignment="1">
      <alignment horizontal="center" vertical="center"/>
    </xf>
    <xf numFmtId="0" fontId="11" fillId="0" borderId="4" xfId="0" applyFont="1" applyFill="1" applyBorder="1" applyAlignment="1">
      <alignment horizontal="center" vertical="center"/>
    </xf>
    <xf numFmtId="0" fontId="11" fillId="0" borderId="23" xfId="0" applyFont="1" applyFill="1" applyBorder="1" applyAlignment="1">
      <alignment horizontal="center" vertical="center"/>
    </xf>
    <xf numFmtId="0" fontId="11" fillId="0" borderId="15" xfId="0" applyFont="1" applyFill="1" applyBorder="1" applyAlignment="1">
      <alignment horizontal="left" vertical="center"/>
    </xf>
    <xf numFmtId="0" fontId="11" fillId="0" borderId="22" xfId="0" applyFont="1" applyFill="1" applyBorder="1" applyAlignment="1">
      <alignment horizontal="center" vertical="center"/>
    </xf>
    <xf numFmtId="0" fontId="11" fillId="0" borderId="41" xfId="0" applyFont="1" applyFill="1" applyBorder="1" applyAlignment="1">
      <alignment horizontal="center" vertical="center"/>
    </xf>
    <xf numFmtId="0" fontId="11" fillId="0" borderId="32" xfId="0" applyFont="1" applyFill="1" applyBorder="1" applyAlignment="1">
      <alignment horizontal="center" vertical="center"/>
    </xf>
    <xf numFmtId="0" fontId="11" fillId="0" borderId="9" xfId="0" applyFont="1" applyFill="1" applyBorder="1">
      <alignment vertical="center"/>
    </xf>
    <xf numFmtId="0" fontId="11" fillId="0" borderId="18" xfId="0" applyFont="1" applyFill="1" applyBorder="1" applyAlignment="1">
      <alignment horizontal="left" vertical="center"/>
    </xf>
    <xf numFmtId="0" fontId="11" fillId="0" borderId="8" xfId="0" applyFont="1" applyBorder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8" xfId="0" applyFont="1" applyBorder="1" applyAlignment="1">
      <alignment horizontal="center" vertical="center"/>
    </xf>
    <xf numFmtId="0" fontId="11" fillId="0" borderId="29" xfId="0" applyFont="1" applyBorder="1" applyAlignment="1">
      <alignment horizontal="center" vertical="center"/>
    </xf>
    <xf numFmtId="0" fontId="11" fillId="4" borderId="9" xfId="0" applyFont="1" applyFill="1" applyBorder="1" applyAlignment="1">
      <alignment horizontal="center" vertical="center" wrapText="1"/>
    </xf>
    <xf numFmtId="0" fontId="11" fillId="4" borderId="28" xfId="0" applyFont="1" applyFill="1" applyBorder="1" applyAlignment="1">
      <alignment horizontal="center" vertical="center" wrapText="1"/>
    </xf>
    <xf numFmtId="0" fontId="11" fillId="4" borderId="29" xfId="0" applyFont="1" applyFill="1" applyBorder="1" applyAlignment="1">
      <alignment horizontal="center" vertical="center" wrapText="1"/>
    </xf>
    <xf numFmtId="0" fontId="0" fillId="0" borderId="28" xfId="0" applyBorder="1" applyAlignment="1">
      <alignment vertical="center"/>
    </xf>
    <xf numFmtId="0" fontId="0" fillId="0" borderId="29" xfId="0" applyBorder="1" applyAlignment="1">
      <alignment vertical="center"/>
    </xf>
    <xf numFmtId="0" fontId="16" fillId="8" borderId="9" xfId="0" applyFont="1" applyFill="1" applyBorder="1" applyAlignment="1">
      <alignment horizontal="center" vertical="center" wrapText="1"/>
    </xf>
    <xf numFmtId="0" fontId="11" fillId="6" borderId="9" xfId="0" applyFont="1" applyFill="1" applyBorder="1" applyAlignment="1">
      <alignment horizontal="center" vertical="center" wrapText="1"/>
    </xf>
    <xf numFmtId="0" fontId="11" fillId="6" borderId="28" xfId="0" applyFont="1" applyFill="1" applyBorder="1" applyAlignment="1">
      <alignment horizontal="center" vertical="center" wrapText="1"/>
    </xf>
    <xf numFmtId="0" fontId="11" fillId="6" borderId="29" xfId="0" applyFont="1" applyFill="1" applyBorder="1" applyAlignment="1">
      <alignment horizontal="center" vertical="center" wrapText="1"/>
    </xf>
    <xf numFmtId="0" fontId="0" fillId="0" borderId="28" xfId="0" applyBorder="1" applyAlignment="1">
      <alignment horizontal="center" vertical="center" wrapText="1"/>
    </xf>
    <xf numFmtId="0" fontId="0" fillId="0" borderId="29" xfId="0" applyBorder="1" applyAlignment="1">
      <alignment horizontal="center" vertical="center" wrapText="1"/>
    </xf>
    <xf numFmtId="0" fontId="9" fillId="8" borderId="28" xfId="0" applyFont="1" applyFill="1" applyBorder="1" applyAlignment="1">
      <alignment horizontal="center" vertical="center"/>
    </xf>
    <xf numFmtId="0" fontId="9" fillId="8" borderId="29" xfId="0" applyFont="1" applyFill="1" applyBorder="1" applyAlignment="1">
      <alignment horizontal="center" vertical="center"/>
    </xf>
    <xf numFmtId="0" fontId="11" fillId="4" borderId="37" xfId="0" applyFont="1" applyFill="1" applyBorder="1" applyAlignment="1">
      <alignment horizontal="center" vertical="center" wrapText="1"/>
    </xf>
    <xf numFmtId="0" fontId="0" fillId="0" borderId="38" xfId="0" applyBorder="1" applyAlignment="1">
      <alignment vertical="center"/>
    </xf>
    <xf numFmtId="0" fontId="0" fillId="0" borderId="39" xfId="0" applyBorder="1" applyAlignment="1">
      <alignment vertical="center"/>
    </xf>
    <xf numFmtId="0" fontId="0" fillId="0" borderId="38" xfId="0" applyBorder="1" applyAlignment="1">
      <alignment horizontal="center" vertical="center" wrapText="1"/>
    </xf>
    <xf numFmtId="0" fontId="0" fillId="0" borderId="39" xfId="0" applyBorder="1" applyAlignment="1">
      <alignment horizontal="center" vertical="center" wrapText="1"/>
    </xf>
    <xf numFmtId="0" fontId="11" fillId="3" borderId="9" xfId="0" applyFont="1" applyFill="1" applyBorder="1" applyAlignment="1">
      <alignment horizontal="center" vertical="center" wrapText="1"/>
    </xf>
    <xf numFmtId="0" fontId="0" fillId="0" borderId="28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11" fillId="4" borderId="38" xfId="0" applyFont="1" applyFill="1" applyBorder="1" applyAlignment="1">
      <alignment horizontal="center" vertical="center" wrapText="1"/>
    </xf>
    <xf numFmtId="0" fontId="11" fillId="3" borderId="8" xfId="0" applyFont="1" applyFill="1" applyBorder="1" applyAlignment="1">
      <alignment horizontal="center" vertical="center" wrapText="1"/>
    </xf>
    <xf numFmtId="0" fontId="11" fillId="0" borderId="8" xfId="0" applyFont="1" applyBorder="1">
      <alignment vertical="center"/>
    </xf>
    <xf numFmtId="0" fontId="11" fillId="5" borderId="37" xfId="0" applyFont="1" applyFill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 wrapText="1"/>
    </xf>
    <xf numFmtId="0" fontId="0" fillId="0" borderId="28" xfId="0" applyBorder="1">
      <alignment vertical="center"/>
    </xf>
    <xf numFmtId="0" fontId="0" fillId="0" borderId="29" xfId="0" applyBorder="1">
      <alignment vertical="center"/>
    </xf>
    <xf numFmtId="0" fontId="11" fillId="4" borderId="8" xfId="0" applyFont="1" applyFill="1" applyBorder="1" applyAlignment="1">
      <alignment horizontal="center" vertical="center" wrapText="1"/>
    </xf>
    <xf numFmtId="0" fontId="0" fillId="0" borderId="8" xfId="0" applyBorder="1" applyAlignment="1">
      <alignment vertical="center"/>
    </xf>
    <xf numFmtId="0" fontId="0" fillId="2" borderId="28" xfId="0" applyFill="1" applyBorder="1" applyAlignment="1">
      <alignment vertical="center"/>
    </xf>
    <xf numFmtId="0" fontId="0" fillId="2" borderId="29" xfId="0" applyFill="1" applyBorder="1" applyAlignment="1">
      <alignment vertical="center"/>
    </xf>
    <xf numFmtId="0" fontId="16" fillId="8" borderId="28" xfId="0" applyFont="1" applyFill="1" applyBorder="1" applyAlignment="1">
      <alignment horizontal="center" vertical="center" wrapText="1"/>
    </xf>
    <xf numFmtId="0" fontId="16" fillId="8" borderId="29" xfId="0" applyFont="1" applyFill="1" applyBorder="1" applyAlignment="1">
      <alignment horizontal="center" vertical="center" wrapText="1"/>
    </xf>
    <xf numFmtId="0" fontId="11" fillId="4" borderId="39" xfId="0" applyFont="1" applyFill="1" applyBorder="1" applyAlignment="1">
      <alignment horizontal="center" vertical="center" wrapText="1"/>
    </xf>
    <xf numFmtId="0" fontId="11" fillId="0" borderId="43" xfId="0" applyFont="1" applyBorder="1" applyAlignment="1">
      <alignment horizontal="center" vertical="center"/>
    </xf>
    <xf numFmtId="0" fontId="11" fillId="0" borderId="44" xfId="0" applyFont="1" applyBorder="1" applyAlignment="1">
      <alignment horizontal="center" vertical="center"/>
    </xf>
    <xf numFmtId="0" fontId="11" fillId="2" borderId="28" xfId="0" applyFont="1" applyFill="1" applyBorder="1" applyAlignment="1">
      <alignment horizontal="center" vertical="center" wrapText="1"/>
    </xf>
    <xf numFmtId="0" fontId="11" fillId="2" borderId="29" xfId="0" applyFont="1" applyFill="1" applyBorder="1" applyAlignment="1">
      <alignment horizontal="center" vertical="center" wrapText="1"/>
    </xf>
    <xf numFmtId="0" fontId="9" fillId="8" borderId="28" xfId="0" applyFont="1" applyFill="1" applyBorder="1" applyAlignment="1">
      <alignment vertical="center"/>
    </xf>
    <xf numFmtId="0" fontId="9" fillId="8" borderId="29" xfId="0" applyFont="1" applyFill="1" applyBorder="1" applyAlignment="1">
      <alignment vertical="center"/>
    </xf>
    <xf numFmtId="0" fontId="11" fillId="2" borderId="8" xfId="0" applyFont="1" applyFill="1" applyBorder="1" applyAlignment="1">
      <alignment horizontal="center" vertical="center" wrapText="1"/>
    </xf>
    <xf numFmtId="0" fontId="0" fillId="4" borderId="8" xfId="0" applyFill="1" applyBorder="1" applyAlignment="1">
      <alignment horizontal="center" vertical="center" wrapText="1"/>
    </xf>
    <xf numFmtId="0" fontId="0" fillId="0" borderId="8" xfId="0" applyBorder="1">
      <alignment vertical="center"/>
    </xf>
    <xf numFmtId="0" fontId="0" fillId="4" borderId="9" xfId="0" applyFill="1" applyBorder="1" applyAlignment="1">
      <alignment horizontal="center" vertical="center" wrapText="1"/>
    </xf>
    <xf numFmtId="0" fontId="0" fillId="4" borderId="8" xfId="0" applyFill="1" applyBorder="1" applyAlignment="1">
      <alignment horizontal="center" vertical="center"/>
    </xf>
    <xf numFmtId="0" fontId="11" fillId="6" borderId="9" xfId="4" applyFont="1" applyFill="1" applyBorder="1" applyAlignment="1">
      <alignment horizontal="center" vertical="center" wrapText="1"/>
    </xf>
    <xf numFmtId="0" fontId="11" fillId="6" borderId="28" xfId="4" applyFont="1" applyFill="1" applyBorder="1" applyAlignment="1">
      <alignment horizontal="center" vertical="center" wrapText="1"/>
    </xf>
    <xf numFmtId="0" fontId="11" fillId="6" borderId="29" xfId="4" applyFont="1" applyFill="1" applyBorder="1" applyAlignment="1">
      <alignment horizontal="center" vertical="center" wrapText="1"/>
    </xf>
    <xf numFmtId="0" fontId="16" fillId="4" borderId="8" xfId="4" applyFont="1" applyFill="1" applyBorder="1" applyAlignment="1">
      <alignment horizontal="center" vertical="center" wrapText="1"/>
    </xf>
    <xf numFmtId="0" fontId="18" fillId="0" borderId="8" xfId="4" applyFont="1" applyBorder="1">
      <alignment vertical="center"/>
    </xf>
    <xf numFmtId="0" fontId="11" fillId="4" borderId="8" xfId="4" applyFont="1" applyFill="1" applyBorder="1" applyAlignment="1">
      <alignment horizontal="center" vertical="center" wrapText="1"/>
    </xf>
    <xf numFmtId="0" fontId="1" fillId="0" borderId="8" xfId="4" applyBorder="1">
      <alignment vertical="center"/>
    </xf>
    <xf numFmtId="0" fontId="11" fillId="4" borderId="9" xfId="4" applyFont="1" applyFill="1" applyBorder="1" applyAlignment="1">
      <alignment horizontal="center" vertical="center" wrapText="1"/>
    </xf>
    <xf numFmtId="0" fontId="1" fillId="0" borderId="28" xfId="4" applyBorder="1">
      <alignment vertical="center"/>
    </xf>
    <xf numFmtId="0" fontId="1" fillId="0" borderId="29" xfId="4" applyBorder="1">
      <alignment vertical="center"/>
    </xf>
    <xf numFmtId="0" fontId="11" fillId="2" borderId="8" xfId="4" applyFont="1" applyFill="1" applyBorder="1" applyAlignment="1">
      <alignment horizontal="center" vertical="center" wrapText="1"/>
    </xf>
    <xf numFmtId="0" fontId="11" fillId="2" borderId="9" xfId="4" applyFont="1" applyFill="1" applyBorder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0" fillId="0" borderId="0" xfId="0">
      <alignment vertical="center"/>
    </xf>
    <xf numFmtId="0" fontId="11" fillId="4" borderId="13" xfId="0" applyFont="1" applyFill="1" applyBorder="1" applyAlignment="1">
      <alignment horizontal="center" vertical="center"/>
    </xf>
    <xf numFmtId="0" fontId="11" fillId="4" borderId="17" xfId="0" applyFont="1" applyFill="1" applyBorder="1" applyAlignment="1">
      <alignment horizontal="center" vertical="center"/>
    </xf>
    <xf numFmtId="0" fontId="11" fillId="0" borderId="15" xfId="0" applyFont="1" applyBorder="1" applyAlignment="1">
      <alignment vertical="center" wrapText="1"/>
    </xf>
    <xf numFmtId="0" fontId="11" fillId="0" borderId="19" xfId="0" applyFont="1" applyBorder="1">
      <alignment vertical="center"/>
    </xf>
    <xf numFmtId="0" fontId="11" fillId="4" borderId="32" xfId="0" applyFont="1" applyFill="1" applyBorder="1" applyAlignment="1">
      <alignment horizontal="center" vertical="center"/>
    </xf>
    <xf numFmtId="0" fontId="11" fillId="0" borderId="9" xfId="0" applyFont="1" applyBorder="1">
      <alignment vertical="center"/>
    </xf>
  </cellXfs>
  <cellStyles count="5">
    <cellStyle name="標準" xfId="0" builtinId="0"/>
    <cellStyle name="標準 2" xfId="4" xr:uid="{E5F32B34-4F00-459F-9B22-6B6DDDE76B26}"/>
    <cellStyle name="標準_Sheet2" xfId="3" xr:uid="{86A0981D-2E25-4627-A063-056A7F2216FD}"/>
    <cellStyle name="標準_Sheet3" xfId="1" xr:uid="{00000000-0005-0000-0000-000001000000}"/>
    <cellStyle name="標準_Sheet4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58"/>
  <sheetViews>
    <sheetView tabSelected="1" zoomScale="70" zoomScaleNormal="70" workbookViewId="0">
      <pane xSplit="3" ySplit="3" topLeftCell="F25" activePane="bottomRight" state="frozen"/>
      <selection pane="topRight" activeCell="D1" sqref="D1"/>
      <selection pane="bottomLeft" activeCell="A4" sqref="A4"/>
      <selection pane="bottomRight" activeCell="I35" sqref="I35"/>
    </sheetView>
  </sheetViews>
  <sheetFormatPr defaultRowHeight="27.75" customHeight="1" x14ac:dyDescent="0.4"/>
  <cols>
    <col min="1" max="1" width="13.875" style="197" bestFit="1" customWidth="1"/>
    <col min="2" max="2" width="36.125" style="111" bestFit="1" customWidth="1"/>
    <col min="3" max="3" width="47.125" style="111" bestFit="1" customWidth="1"/>
    <col min="4" max="4" width="33.875" style="111" bestFit="1" customWidth="1"/>
    <col min="5" max="5" width="60.5" style="194" bestFit="1" customWidth="1"/>
    <col min="6" max="6" width="11.625" style="194" bestFit="1" customWidth="1"/>
    <col min="7" max="7" width="9.5" style="194" bestFit="1" customWidth="1"/>
    <col min="8" max="8" width="27.25" style="194" bestFit="1" customWidth="1"/>
    <col min="9" max="9" width="83.75" style="194" bestFit="1" customWidth="1"/>
    <col min="10" max="16384" width="9" style="194"/>
  </cols>
  <sheetData>
    <row r="1" spans="1:9" ht="27.75" customHeight="1" x14ac:dyDescent="0.4">
      <c r="A1" s="213" t="s">
        <v>469</v>
      </c>
      <c r="B1" s="213"/>
      <c r="C1" s="214"/>
      <c r="D1" s="214"/>
      <c r="E1" s="214"/>
      <c r="F1" s="214"/>
      <c r="G1" s="214"/>
      <c r="H1" s="214"/>
      <c r="I1" s="215"/>
    </row>
    <row r="2" spans="1:9" ht="27.75" customHeight="1" thickBot="1" x14ac:dyDescent="0.45"/>
    <row r="3" spans="1:9" s="197" customFormat="1" ht="25.5" customHeight="1" x14ac:dyDescent="0.15">
      <c r="A3" s="193" t="s">
        <v>375</v>
      </c>
      <c r="B3" s="221" t="s">
        <v>423</v>
      </c>
      <c r="C3" s="222"/>
      <c r="D3" s="223"/>
      <c r="E3" s="29" t="s">
        <v>371</v>
      </c>
      <c r="F3" s="39" t="s">
        <v>376</v>
      </c>
      <c r="G3" s="39" t="s">
        <v>271</v>
      </c>
      <c r="H3" s="29" t="s">
        <v>274</v>
      </c>
      <c r="I3" s="40" t="s">
        <v>372</v>
      </c>
    </row>
    <row r="4" spans="1:9" ht="25.5" customHeight="1" x14ac:dyDescent="0.15">
      <c r="A4" s="218">
        <v>1</v>
      </c>
      <c r="B4" s="216" t="s">
        <v>691</v>
      </c>
      <c r="C4" s="220" t="s">
        <v>692</v>
      </c>
      <c r="D4" s="216" t="s">
        <v>380</v>
      </c>
      <c r="E4" s="190" t="s">
        <v>693</v>
      </c>
      <c r="F4" s="160">
        <v>91121</v>
      </c>
      <c r="G4" s="161">
        <v>0</v>
      </c>
      <c r="H4" s="189" t="s">
        <v>694</v>
      </c>
      <c r="I4" s="189" t="s">
        <v>705</v>
      </c>
    </row>
    <row r="5" spans="1:9" ht="25.5" customHeight="1" thickBot="1" x14ac:dyDescent="0.2">
      <c r="A5" s="219"/>
      <c r="B5" s="217"/>
      <c r="C5" s="217"/>
      <c r="D5" s="217"/>
      <c r="E5" s="191" t="s">
        <v>609</v>
      </c>
      <c r="F5" s="162">
        <v>91220</v>
      </c>
      <c r="G5" s="163">
        <v>6</v>
      </c>
      <c r="H5" s="164" t="s">
        <v>468</v>
      </c>
      <c r="I5" s="191"/>
    </row>
    <row r="6" spans="1:9" ht="25.5" customHeight="1" thickBot="1" x14ac:dyDescent="0.2">
      <c r="A6" s="193">
        <v>2</v>
      </c>
      <c r="B6" s="138" t="s">
        <v>691</v>
      </c>
      <c r="C6" s="138" t="s">
        <v>695</v>
      </c>
      <c r="D6" s="138"/>
      <c r="E6" s="185" t="s">
        <v>693</v>
      </c>
      <c r="F6" s="44">
        <v>91121</v>
      </c>
      <c r="G6" s="45">
        <v>0</v>
      </c>
      <c r="H6" s="138" t="s">
        <v>694</v>
      </c>
      <c r="I6" s="32" t="s">
        <v>704</v>
      </c>
    </row>
    <row r="7" spans="1:9" ht="25.5" customHeight="1" thickBot="1" x14ac:dyDescent="0.2">
      <c r="A7" s="193">
        <v>3</v>
      </c>
      <c r="B7" s="138" t="s">
        <v>691</v>
      </c>
      <c r="C7" s="138" t="s">
        <v>696</v>
      </c>
      <c r="D7" s="138"/>
      <c r="E7" s="185" t="s">
        <v>609</v>
      </c>
      <c r="F7" s="44">
        <v>91121</v>
      </c>
      <c r="G7" s="45">
        <v>0</v>
      </c>
      <c r="H7" s="138" t="s">
        <v>694</v>
      </c>
      <c r="I7" s="32" t="s">
        <v>567</v>
      </c>
    </row>
    <row r="8" spans="1:9" ht="25.5" customHeight="1" x14ac:dyDescent="0.15">
      <c r="A8" s="209">
        <v>4</v>
      </c>
      <c r="B8" s="224" t="s">
        <v>697</v>
      </c>
      <c r="C8" s="207" t="s">
        <v>692</v>
      </c>
      <c r="D8" s="224" t="s">
        <v>380</v>
      </c>
      <c r="E8" s="186" t="s">
        <v>693</v>
      </c>
      <c r="F8" s="21">
        <v>91121</v>
      </c>
      <c r="G8" s="22">
        <v>0</v>
      </c>
      <c r="H8" s="192" t="s">
        <v>694</v>
      </c>
      <c r="I8" s="23" t="s">
        <v>566</v>
      </c>
    </row>
    <row r="9" spans="1:9" ht="25.5" customHeight="1" thickBot="1" x14ac:dyDescent="0.2">
      <c r="A9" s="210"/>
      <c r="B9" s="208"/>
      <c r="C9" s="208"/>
      <c r="D9" s="208"/>
      <c r="E9" s="187" t="s">
        <v>698</v>
      </c>
      <c r="F9" s="25">
        <v>91220</v>
      </c>
      <c r="G9" s="26">
        <v>6</v>
      </c>
      <c r="H9" s="27" t="s">
        <v>468</v>
      </c>
      <c r="I9" s="28"/>
    </row>
    <row r="10" spans="1:9" ht="25.5" customHeight="1" thickBot="1" x14ac:dyDescent="0.2">
      <c r="A10" s="196">
        <v>5</v>
      </c>
      <c r="B10" s="195" t="s">
        <v>706</v>
      </c>
      <c r="C10" s="156" t="s">
        <v>769</v>
      </c>
      <c r="D10" s="166" t="s">
        <v>380</v>
      </c>
      <c r="E10" s="156" t="s">
        <v>609</v>
      </c>
      <c r="F10" s="157">
        <v>91121</v>
      </c>
      <c r="G10" s="158">
        <v>0</v>
      </c>
      <c r="H10" s="159" t="s">
        <v>694</v>
      </c>
      <c r="I10" s="165"/>
    </row>
    <row r="11" spans="1:9" ht="25.5" customHeight="1" thickBot="1" x14ac:dyDescent="0.2">
      <c r="A11" s="196">
        <v>6</v>
      </c>
      <c r="B11" s="195" t="s">
        <v>697</v>
      </c>
      <c r="C11" s="156" t="s">
        <v>696</v>
      </c>
      <c r="D11" s="166" t="s">
        <v>380</v>
      </c>
      <c r="E11" s="156" t="s">
        <v>609</v>
      </c>
      <c r="F11" s="157">
        <v>91121</v>
      </c>
      <c r="G11" s="158">
        <v>0</v>
      </c>
      <c r="H11" s="159" t="s">
        <v>694</v>
      </c>
      <c r="I11" s="165"/>
    </row>
    <row r="12" spans="1:9" ht="25.5" customHeight="1" thickBot="1" x14ac:dyDescent="0.2">
      <c r="A12" s="188">
        <v>7</v>
      </c>
      <c r="B12" s="112" t="s">
        <v>699</v>
      </c>
      <c r="C12" s="186" t="s">
        <v>696</v>
      </c>
      <c r="D12" s="112" t="s">
        <v>380</v>
      </c>
      <c r="E12" s="186"/>
      <c r="F12" s="21"/>
      <c r="G12" s="22"/>
      <c r="H12" s="192"/>
      <c r="I12" s="23" t="s">
        <v>374</v>
      </c>
    </row>
    <row r="13" spans="1:9" ht="25.5" customHeight="1" thickBot="1" x14ac:dyDescent="0.2">
      <c r="A13" s="193">
        <v>8</v>
      </c>
      <c r="B13" s="113" t="s">
        <v>699</v>
      </c>
      <c r="C13" s="185" t="s">
        <v>695</v>
      </c>
      <c r="D13" s="113" t="s">
        <v>380</v>
      </c>
      <c r="E13" s="185"/>
      <c r="F13" s="44"/>
      <c r="G13" s="45"/>
      <c r="H13" s="138"/>
      <c r="I13" s="32" t="s">
        <v>374</v>
      </c>
    </row>
    <row r="14" spans="1:9" ht="25.5" customHeight="1" thickBot="1" x14ac:dyDescent="0.2">
      <c r="A14" s="33">
        <v>9</v>
      </c>
      <c r="B14" s="167" t="s">
        <v>699</v>
      </c>
      <c r="C14" s="34" t="s">
        <v>692</v>
      </c>
      <c r="D14" s="167" t="s">
        <v>380</v>
      </c>
      <c r="E14" s="198" t="s">
        <v>609</v>
      </c>
      <c r="F14" s="46">
        <v>91220</v>
      </c>
      <c r="G14" s="47">
        <v>6</v>
      </c>
      <c r="H14" s="168" t="s">
        <v>468</v>
      </c>
      <c r="I14" s="35" t="s">
        <v>610</v>
      </c>
    </row>
    <row r="15" spans="1:9" ht="25.5" customHeight="1" x14ac:dyDescent="0.15">
      <c r="A15" s="209">
        <v>10</v>
      </c>
      <c r="B15" s="224" t="s">
        <v>714</v>
      </c>
      <c r="C15" s="207" t="s">
        <v>708</v>
      </c>
      <c r="D15" s="224" t="s">
        <v>380</v>
      </c>
      <c r="E15" s="186" t="s">
        <v>709</v>
      </c>
      <c r="F15" s="21">
        <v>91121</v>
      </c>
      <c r="G15" s="22">
        <v>0</v>
      </c>
      <c r="H15" s="192" t="s">
        <v>694</v>
      </c>
      <c r="I15" s="23" t="s">
        <v>710</v>
      </c>
    </row>
    <row r="16" spans="1:9" ht="25.5" customHeight="1" thickBot="1" x14ac:dyDescent="0.2">
      <c r="A16" s="210"/>
      <c r="B16" s="208"/>
      <c r="C16" s="208"/>
      <c r="D16" s="208"/>
      <c r="E16" s="187" t="s">
        <v>711</v>
      </c>
      <c r="F16" s="25">
        <v>91220</v>
      </c>
      <c r="G16" s="26">
        <v>6</v>
      </c>
      <c r="H16" s="27" t="s">
        <v>468</v>
      </c>
      <c r="I16" s="28"/>
    </row>
    <row r="17" spans="1:9" ht="25.5" customHeight="1" thickBot="1" x14ac:dyDescent="0.2">
      <c r="A17" s="196">
        <v>11</v>
      </c>
      <c r="B17" s="195" t="s">
        <v>707</v>
      </c>
      <c r="C17" s="156" t="s">
        <v>712</v>
      </c>
      <c r="D17" s="166" t="s">
        <v>380</v>
      </c>
      <c r="E17" s="156" t="s">
        <v>609</v>
      </c>
      <c r="F17" s="157">
        <v>91121</v>
      </c>
      <c r="G17" s="158">
        <v>0</v>
      </c>
      <c r="H17" s="159" t="s">
        <v>694</v>
      </c>
      <c r="I17" s="165"/>
    </row>
    <row r="18" spans="1:9" ht="25.5" customHeight="1" thickBot="1" x14ac:dyDescent="0.2">
      <c r="A18" s="196">
        <v>12</v>
      </c>
      <c r="B18" s="195" t="s">
        <v>707</v>
      </c>
      <c r="C18" s="156" t="s">
        <v>713</v>
      </c>
      <c r="D18" s="166" t="s">
        <v>380</v>
      </c>
      <c r="E18" s="156" t="s">
        <v>609</v>
      </c>
      <c r="F18" s="157">
        <v>91121</v>
      </c>
      <c r="G18" s="158">
        <v>0</v>
      </c>
      <c r="H18" s="159" t="s">
        <v>694</v>
      </c>
      <c r="I18" s="165"/>
    </row>
    <row r="19" spans="1:9" ht="25.5" customHeight="1" x14ac:dyDescent="0.15">
      <c r="A19" s="218">
        <v>13</v>
      </c>
      <c r="B19" s="216" t="s">
        <v>728</v>
      </c>
      <c r="C19" s="220" t="s">
        <v>729</v>
      </c>
      <c r="D19" s="216" t="s">
        <v>380</v>
      </c>
      <c r="E19" s="190" t="s">
        <v>730</v>
      </c>
      <c r="F19" s="160">
        <v>91141</v>
      </c>
      <c r="G19" s="161">
        <v>0</v>
      </c>
      <c r="H19" s="189" t="s">
        <v>731</v>
      </c>
      <c r="I19" s="189" t="s">
        <v>705</v>
      </c>
    </row>
    <row r="20" spans="1:9" ht="25.5" customHeight="1" thickBot="1" x14ac:dyDescent="0.2">
      <c r="A20" s="219"/>
      <c r="B20" s="217"/>
      <c r="C20" s="217"/>
      <c r="D20" s="217"/>
      <c r="E20" s="191" t="s">
        <v>609</v>
      </c>
      <c r="F20" s="162">
        <v>91220</v>
      </c>
      <c r="G20" s="163">
        <v>6</v>
      </c>
      <c r="H20" s="164" t="s">
        <v>468</v>
      </c>
      <c r="I20" s="191"/>
    </row>
    <row r="21" spans="1:9" ht="25.5" customHeight="1" thickBot="1" x14ac:dyDescent="0.2">
      <c r="A21" s="193">
        <v>14</v>
      </c>
      <c r="B21" s="138" t="s">
        <v>728</v>
      </c>
      <c r="C21" s="138" t="s">
        <v>732</v>
      </c>
      <c r="D21" s="138"/>
      <c r="E21" s="185" t="s">
        <v>730</v>
      </c>
      <c r="F21" s="44">
        <v>91141</v>
      </c>
      <c r="G21" s="45">
        <v>0</v>
      </c>
      <c r="H21" s="138" t="s">
        <v>731</v>
      </c>
      <c r="I21" s="32" t="s">
        <v>704</v>
      </c>
    </row>
    <row r="22" spans="1:9" ht="25.5" customHeight="1" thickBot="1" x14ac:dyDescent="0.2">
      <c r="A22" s="193">
        <v>15</v>
      </c>
      <c r="B22" s="138" t="s">
        <v>728</v>
      </c>
      <c r="C22" s="138" t="s">
        <v>733</v>
      </c>
      <c r="D22" s="138"/>
      <c r="E22" s="185" t="s">
        <v>609</v>
      </c>
      <c r="F22" s="44">
        <v>91141</v>
      </c>
      <c r="G22" s="45">
        <v>0</v>
      </c>
      <c r="H22" s="138" t="s">
        <v>731</v>
      </c>
      <c r="I22" s="32" t="s">
        <v>567</v>
      </c>
    </row>
    <row r="23" spans="1:9" ht="25.5" customHeight="1" x14ac:dyDescent="0.15">
      <c r="A23" s="209">
        <v>16</v>
      </c>
      <c r="B23" s="224" t="s">
        <v>734</v>
      </c>
      <c r="C23" s="207" t="s">
        <v>729</v>
      </c>
      <c r="D23" s="224" t="s">
        <v>380</v>
      </c>
      <c r="E23" s="186" t="s">
        <v>730</v>
      </c>
      <c r="F23" s="21">
        <v>91141</v>
      </c>
      <c r="G23" s="22">
        <v>0</v>
      </c>
      <c r="H23" s="192" t="s">
        <v>731</v>
      </c>
      <c r="I23" s="23" t="s">
        <v>735</v>
      </c>
    </row>
    <row r="24" spans="1:9" ht="25.5" customHeight="1" thickBot="1" x14ac:dyDescent="0.2">
      <c r="A24" s="210"/>
      <c r="B24" s="208"/>
      <c r="C24" s="208"/>
      <c r="D24" s="208"/>
      <c r="E24" s="187" t="s">
        <v>736</v>
      </c>
      <c r="F24" s="25">
        <v>91220</v>
      </c>
      <c r="G24" s="26">
        <v>6</v>
      </c>
      <c r="H24" s="27" t="s">
        <v>468</v>
      </c>
      <c r="I24" s="28"/>
    </row>
    <row r="25" spans="1:9" ht="25.5" customHeight="1" thickBot="1" x14ac:dyDescent="0.2">
      <c r="A25" s="196">
        <v>17</v>
      </c>
      <c r="B25" s="195" t="s">
        <v>734</v>
      </c>
      <c r="C25" s="156" t="s">
        <v>732</v>
      </c>
      <c r="D25" s="166" t="s">
        <v>380</v>
      </c>
      <c r="E25" s="156" t="s">
        <v>609</v>
      </c>
      <c r="F25" s="157">
        <v>91141</v>
      </c>
      <c r="G25" s="158">
        <v>0</v>
      </c>
      <c r="H25" s="159" t="s">
        <v>731</v>
      </c>
      <c r="I25" s="165"/>
    </row>
    <row r="26" spans="1:9" ht="25.5" customHeight="1" thickBot="1" x14ac:dyDescent="0.2">
      <c r="A26" s="196">
        <v>18</v>
      </c>
      <c r="B26" s="195" t="s">
        <v>734</v>
      </c>
      <c r="C26" s="156" t="s">
        <v>733</v>
      </c>
      <c r="D26" s="166" t="s">
        <v>380</v>
      </c>
      <c r="E26" s="156" t="s">
        <v>609</v>
      </c>
      <c r="F26" s="157">
        <v>91141</v>
      </c>
      <c r="G26" s="158">
        <v>0</v>
      </c>
      <c r="H26" s="159" t="s">
        <v>731</v>
      </c>
      <c r="I26" s="165"/>
    </row>
    <row r="27" spans="1:9" ht="25.5" customHeight="1" thickBot="1" x14ac:dyDescent="0.2">
      <c r="A27" s="188">
        <v>19</v>
      </c>
      <c r="B27" s="112" t="s">
        <v>737</v>
      </c>
      <c r="C27" s="186" t="s">
        <v>733</v>
      </c>
      <c r="D27" s="112" t="s">
        <v>380</v>
      </c>
      <c r="E27" s="186"/>
      <c r="F27" s="21"/>
      <c r="G27" s="22"/>
      <c r="H27" s="192"/>
      <c r="I27" s="23" t="s">
        <v>374</v>
      </c>
    </row>
    <row r="28" spans="1:9" ht="25.5" customHeight="1" thickBot="1" x14ac:dyDescent="0.2">
      <c r="A28" s="193">
        <v>20</v>
      </c>
      <c r="B28" s="113" t="s">
        <v>737</v>
      </c>
      <c r="C28" s="185" t="s">
        <v>732</v>
      </c>
      <c r="D28" s="113" t="s">
        <v>380</v>
      </c>
      <c r="E28" s="185"/>
      <c r="F28" s="44"/>
      <c r="G28" s="45"/>
      <c r="H28" s="138"/>
      <c r="I28" s="32" t="s">
        <v>374</v>
      </c>
    </row>
    <row r="29" spans="1:9" ht="25.5" customHeight="1" thickBot="1" x14ac:dyDescent="0.2">
      <c r="A29" s="33">
        <v>21</v>
      </c>
      <c r="B29" s="167" t="s">
        <v>737</v>
      </c>
      <c r="C29" s="34" t="s">
        <v>729</v>
      </c>
      <c r="D29" s="167" t="s">
        <v>380</v>
      </c>
      <c r="E29" s="198" t="s">
        <v>609</v>
      </c>
      <c r="F29" s="46">
        <v>91220</v>
      </c>
      <c r="G29" s="47">
        <v>6</v>
      </c>
      <c r="H29" s="168" t="s">
        <v>468</v>
      </c>
      <c r="I29" s="35" t="s">
        <v>610</v>
      </c>
    </row>
    <row r="30" spans="1:9" ht="25.5" customHeight="1" x14ac:dyDescent="0.15">
      <c r="A30" s="209">
        <v>22</v>
      </c>
      <c r="B30" s="224" t="s">
        <v>738</v>
      </c>
      <c r="C30" s="207" t="s">
        <v>739</v>
      </c>
      <c r="D30" s="224" t="s">
        <v>380</v>
      </c>
      <c r="E30" s="186" t="s">
        <v>740</v>
      </c>
      <c r="F30" s="21">
        <v>91141</v>
      </c>
      <c r="G30" s="22">
        <v>0</v>
      </c>
      <c r="H30" s="192" t="s">
        <v>731</v>
      </c>
      <c r="I30" s="23" t="s">
        <v>741</v>
      </c>
    </row>
    <row r="31" spans="1:9" ht="25.5" customHeight="1" thickBot="1" x14ac:dyDescent="0.2">
      <c r="A31" s="210"/>
      <c r="B31" s="208"/>
      <c r="C31" s="208"/>
      <c r="D31" s="208"/>
      <c r="E31" s="187" t="s">
        <v>742</v>
      </c>
      <c r="F31" s="25">
        <v>91220</v>
      </c>
      <c r="G31" s="26">
        <v>6</v>
      </c>
      <c r="H31" s="27" t="s">
        <v>468</v>
      </c>
      <c r="I31" s="28"/>
    </row>
    <row r="32" spans="1:9" ht="25.5" customHeight="1" thickBot="1" x14ac:dyDescent="0.2">
      <c r="A32" s="196">
        <v>23</v>
      </c>
      <c r="B32" s="195" t="s">
        <v>738</v>
      </c>
      <c r="C32" s="156" t="s">
        <v>743</v>
      </c>
      <c r="D32" s="166" t="s">
        <v>380</v>
      </c>
      <c r="E32" s="156" t="s">
        <v>609</v>
      </c>
      <c r="F32" s="157">
        <v>91141</v>
      </c>
      <c r="G32" s="158">
        <v>0</v>
      </c>
      <c r="H32" s="159" t="s">
        <v>731</v>
      </c>
      <c r="I32" s="165"/>
    </row>
    <row r="33" spans="1:9" ht="25.5" customHeight="1" thickBot="1" x14ac:dyDescent="0.2">
      <c r="A33" s="196">
        <v>24</v>
      </c>
      <c r="B33" s="195" t="s">
        <v>738</v>
      </c>
      <c r="C33" s="156" t="s">
        <v>744</v>
      </c>
      <c r="D33" s="166" t="s">
        <v>380</v>
      </c>
      <c r="E33" s="156" t="s">
        <v>609</v>
      </c>
      <c r="F33" s="157">
        <v>91141</v>
      </c>
      <c r="G33" s="158">
        <v>0</v>
      </c>
      <c r="H33" s="159" t="s">
        <v>731</v>
      </c>
      <c r="I33" s="165"/>
    </row>
    <row r="34" spans="1:9" ht="25.5" customHeight="1" x14ac:dyDescent="0.4">
      <c r="A34" s="209">
        <v>25</v>
      </c>
      <c r="B34" s="205" t="s">
        <v>685</v>
      </c>
      <c r="C34" s="207"/>
      <c r="D34" s="186"/>
      <c r="E34" s="186" t="s">
        <v>684</v>
      </c>
      <c r="F34" s="30">
        <v>91316</v>
      </c>
      <c r="G34" s="31">
        <v>0</v>
      </c>
      <c r="H34" s="192" t="s">
        <v>382</v>
      </c>
      <c r="I34" s="23"/>
    </row>
    <row r="35" spans="1:9" ht="25.5" customHeight="1" thickBot="1" x14ac:dyDescent="0.45">
      <c r="A35" s="210"/>
      <c r="B35" s="229"/>
      <c r="C35" s="208"/>
      <c r="D35" s="187"/>
      <c r="E35" s="187" t="s">
        <v>609</v>
      </c>
      <c r="F35" s="36">
        <v>91220</v>
      </c>
      <c r="G35" s="37">
        <v>6</v>
      </c>
      <c r="H35" s="38" t="s">
        <v>468</v>
      </c>
      <c r="I35" s="28" t="s">
        <v>662</v>
      </c>
    </row>
    <row r="36" spans="1:9" s="2" customFormat="1" ht="39.75" customHeight="1" thickBot="1" x14ac:dyDescent="0.45">
      <c r="A36" s="225">
        <v>26</v>
      </c>
      <c r="B36" s="205" t="s">
        <v>686</v>
      </c>
      <c r="C36" s="205"/>
      <c r="D36" s="186"/>
      <c r="E36" s="186" t="s">
        <v>611</v>
      </c>
      <c r="F36" s="30">
        <v>91316</v>
      </c>
      <c r="G36" s="31">
        <v>0</v>
      </c>
      <c r="H36" s="192" t="s">
        <v>382</v>
      </c>
      <c r="I36" s="23" t="s">
        <v>687</v>
      </c>
    </row>
    <row r="37" spans="1:9" ht="39.75" customHeight="1" thickBot="1" x14ac:dyDescent="0.45">
      <c r="A37" s="226"/>
      <c r="B37" s="206"/>
      <c r="C37" s="206"/>
      <c r="D37" s="186"/>
      <c r="E37" s="187" t="s">
        <v>609</v>
      </c>
      <c r="F37" s="36">
        <v>91220</v>
      </c>
      <c r="G37" s="37">
        <v>6</v>
      </c>
      <c r="H37" s="38" t="s">
        <v>468</v>
      </c>
      <c r="I37" s="23" t="s">
        <v>610</v>
      </c>
    </row>
    <row r="38" spans="1:9" ht="39.75" customHeight="1" thickBot="1" x14ac:dyDescent="0.45">
      <c r="A38" s="225">
        <v>27</v>
      </c>
      <c r="B38" s="205" t="s">
        <v>688</v>
      </c>
      <c r="C38" s="205"/>
      <c r="D38" s="186"/>
      <c r="E38" s="186" t="s">
        <v>611</v>
      </c>
      <c r="F38" s="30">
        <v>91316</v>
      </c>
      <c r="G38" s="31">
        <v>0</v>
      </c>
      <c r="H38" s="192" t="s">
        <v>382</v>
      </c>
      <c r="I38" s="23" t="s">
        <v>687</v>
      </c>
    </row>
    <row r="39" spans="1:9" ht="39.75" customHeight="1" thickBot="1" x14ac:dyDescent="0.45">
      <c r="A39" s="226"/>
      <c r="B39" s="206"/>
      <c r="C39" s="206"/>
      <c r="D39" s="186"/>
      <c r="E39" s="187" t="s">
        <v>609</v>
      </c>
      <c r="F39" s="36">
        <v>91220</v>
      </c>
      <c r="G39" s="37">
        <v>6</v>
      </c>
      <c r="H39" s="38" t="s">
        <v>468</v>
      </c>
      <c r="I39" s="23" t="s">
        <v>610</v>
      </c>
    </row>
    <row r="40" spans="1:9" ht="29.25" customHeight="1" thickBot="1" x14ac:dyDescent="0.2">
      <c r="A40" s="33">
        <v>28</v>
      </c>
      <c r="B40" s="34" t="s">
        <v>518</v>
      </c>
      <c r="C40" s="34"/>
      <c r="D40" s="34"/>
      <c r="E40" s="34" t="s">
        <v>612</v>
      </c>
      <c r="F40" s="46">
        <v>91220</v>
      </c>
      <c r="G40" s="47">
        <v>6</v>
      </c>
      <c r="H40" s="198" t="s">
        <v>468</v>
      </c>
      <c r="I40" s="199" t="s">
        <v>661</v>
      </c>
    </row>
    <row r="41" spans="1:9" ht="29.25" customHeight="1" thickBot="1" x14ac:dyDescent="0.2">
      <c r="A41" s="183">
        <v>29</v>
      </c>
      <c r="B41" s="156" t="s">
        <v>521</v>
      </c>
      <c r="C41" s="156"/>
      <c r="D41" s="156"/>
      <c r="E41" s="156"/>
      <c r="F41" s="46">
        <v>91220</v>
      </c>
      <c r="G41" s="47">
        <v>6</v>
      </c>
      <c r="H41" s="198" t="s">
        <v>468</v>
      </c>
      <c r="I41" s="199" t="s">
        <v>613</v>
      </c>
    </row>
    <row r="42" spans="1:9" ht="29.25" customHeight="1" thickBot="1" x14ac:dyDescent="0.2">
      <c r="A42" s="33">
        <v>30</v>
      </c>
      <c r="B42" s="34" t="s">
        <v>585</v>
      </c>
      <c r="C42" s="34"/>
      <c r="D42" s="34"/>
      <c r="E42" s="34" t="s">
        <v>612</v>
      </c>
      <c r="F42" s="46">
        <v>91220</v>
      </c>
      <c r="G42" s="47">
        <v>6</v>
      </c>
      <c r="H42" s="198" t="s">
        <v>468</v>
      </c>
      <c r="I42" s="199" t="s">
        <v>613</v>
      </c>
    </row>
    <row r="43" spans="1:9" ht="29.25" customHeight="1" thickBot="1" x14ac:dyDescent="0.2">
      <c r="A43" s="33">
        <v>31</v>
      </c>
      <c r="B43" s="34" t="s">
        <v>587</v>
      </c>
      <c r="C43" s="34"/>
      <c r="D43" s="34"/>
      <c r="E43" s="34" t="s">
        <v>612</v>
      </c>
      <c r="F43" s="46">
        <v>91220</v>
      </c>
      <c r="G43" s="47">
        <v>6</v>
      </c>
      <c r="H43" s="198" t="s">
        <v>468</v>
      </c>
      <c r="I43" s="199" t="s">
        <v>613</v>
      </c>
    </row>
    <row r="44" spans="1:9" ht="29.25" customHeight="1" thickBot="1" x14ac:dyDescent="0.2">
      <c r="A44" s="33">
        <v>32</v>
      </c>
      <c r="B44" s="34" t="s">
        <v>588</v>
      </c>
      <c r="C44" s="34"/>
      <c r="D44" s="34"/>
      <c r="E44" s="34" t="s">
        <v>612</v>
      </c>
      <c r="F44" s="46">
        <v>91220</v>
      </c>
      <c r="G44" s="47">
        <v>6</v>
      </c>
      <c r="H44" s="198" t="s">
        <v>594</v>
      </c>
      <c r="I44" s="199" t="s">
        <v>613</v>
      </c>
    </row>
    <row r="45" spans="1:9" ht="29.25" customHeight="1" x14ac:dyDescent="0.15">
      <c r="A45" s="209">
        <v>33</v>
      </c>
      <c r="B45" s="211" t="s">
        <v>454</v>
      </c>
      <c r="C45" s="200"/>
      <c r="D45" s="200"/>
      <c r="E45" s="201" t="s">
        <v>609</v>
      </c>
      <c r="F45" s="21">
        <v>91220</v>
      </c>
      <c r="G45" s="21">
        <v>6</v>
      </c>
      <c r="H45" s="201" t="s">
        <v>468</v>
      </c>
      <c r="I45" s="202" t="s">
        <v>662</v>
      </c>
    </row>
    <row r="46" spans="1:9" ht="29.25" customHeight="1" thickBot="1" x14ac:dyDescent="0.2">
      <c r="A46" s="210"/>
      <c r="B46" s="212"/>
      <c r="C46" s="27"/>
      <c r="D46" s="27"/>
      <c r="E46" s="27" t="s">
        <v>772</v>
      </c>
      <c r="F46" s="25">
        <v>91324</v>
      </c>
      <c r="G46" s="25">
        <v>0</v>
      </c>
      <c r="H46" s="27" t="s">
        <v>593</v>
      </c>
      <c r="I46" s="203"/>
    </row>
    <row r="47" spans="1:9" ht="29.25" customHeight="1" x14ac:dyDescent="0.15">
      <c r="A47" s="209">
        <v>34</v>
      </c>
      <c r="B47" s="211" t="s">
        <v>663</v>
      </c>
      <c r="C47" s="200"/>
      <c r="D47" s="200"/>
      <c r="E47" s="201" t="s">
        <v>609</v>
      </c>
      <c r="F47" s="21">
        <v>91220</v>
      </c>
      <c r="G47" s="21">
        <v>6</v>
      </c>
      <c r="H47" s="201" t="s">
        <v>595</v>
      </c>
      <c r="I47" s="202" t="s">
        <v>662</v>
      </c>
    </row>
    <row r="48" spans="1:9" ht="29.25" customHeight="1" thickBot="1" x14ac:dyDescent="0.2">
      <c r="A48" s="210"/>
      <c r="B48" s="212"/>
      <c r="C48" s="27"/>
      <c r="D48" s="27"/>
      <c r="E48" s="27" t="s">
        <v>614</v>
      </c>
      <c r="F48" s="25">
        <v>91324</v>
      </c>
      <c r="G48" s="25">
        <v>0</v>
      </c>
      <c r="H48" s="27" t="s">
        <v>771</v>
      </c>
      <c r="I48" s="203"/>
    </row>
    <row r="49" spans="1:9" ht="29.25" customHeight="1" x14ac:dyDescent="0.15">
      <c r="A49" s="209">
        <v>35</v>
      </c>
      <c r="B49" s="211" t="s">
        <v>656</v>
      </c>
      <c r="C49" s="200"/>
      <c r="D49" s="200"/>
      <c r="E49" s="186" t="s">
        <v>612</v>
      </c>
      <c r="F49" s="21">
        <v>91220</v>
      </c>
      <c r="G49" s="22">
        <v>6</v>
      </c>
      <c r="H49" s="192" t="s">
        <v>468</v>
      </c>
      <c r="I49" s="202" t="s">
        <v>662</v>
      </c>
    </row>
    <row r="50" spans="1:9" ht="29.25" customHeight="1" thickBot="1" x14ac:dyDescent="0.2">
      <c r="A50" s="227"/>
      <c r="B50" s="228"/>
      <c r="C50" s="164"/>
      <c r="D50" s="164"/>
      <c r="E50" s="164" t="s">
        <v>596</v>
      </c>
      <c r="F50" s="162">
        <v>91400</v>
      </c>
      <c r="G50" s="162">
        <v>14</v>
      </c>
      <c r="H50" s="164" t="s">
        <v>660</v>
      </c>
      <c r="I50" s="204"/>
    </row>
    <row r="51" spans="1:9" ht="29.25" customHeight="1" x14ac:dyDescent="0.15">
      <c r="A51" s="209">
        <v>36</v>
      </c>
      <c r="B51" s="211" t="s">
        <v>650</v>
      </c>
      <c r="C51" s="200"/>
      <c r="D51" s="200"/>
      <c r="E51" s="201" t="s">
        <v>609</v>
      </c>
      <c r="F51" s="21">
        <v>91220</v>
      </c>
      <c r="G51" s="21">
        <v>6</v>
      </c>
      <c r="H51" s="201" t="s">
        <v>468</v>
      </c>
      <c r="I51" s="202" t="s">
        <v>662</v>
      </c>
    </row>
    <row r="52" spans="1:9" ht="29.25" customHeight="1" thickBot="1" x14ac:dyDescent="0.2">
      <c r="A52" s="210"/>
      <c r="B52" s="212"/>
      <c r="C52" s="27"/>
      <c r="D52" s="27"/>
      <c r="E52" s="27" t="s">
        <v>668</v>
      </c>
      <c r="F52" s="25">
        <v>91400</v>
      </c>
      <c r="G52" s="25">
        <v>14</v>
      </c>
      <c r="H52" s="27" t="s">
        <v>660</v>
      </c>
      <c r="I52" s="203"/>
    </row>
    <row r="53" spans="1:9" ht="29.25" customHeight="1" x14ac:dyDescent="0.15">
      <c r="A53" s="209">
        <v>37</v>
      </c>
      <c r="B53" s="211" t="s">
        <v>651</v>
      </c>
      <c r="C53" s="200"/>
      <c r="D53" s="200"/>
      <c r="E53" s="201" t="s">
        <v>609</v>
      </c>
      <c r="F53" s="21">
        <v>91220</v>
      </c>
      <c r="G53" s="21">
        <v>6</v>
      </c>
      <c r="H53" s="201" t="s">
        <v>468</v>
      </c>
      <c r="I53" s="202" t="s">
        <v>662</v>
      </c>
    </row>
    <row r="54" spans="1:9" ht="29.25" customHeight="1" thickBot="1" x14ac:dyDescent="0.2">
      <c r="A54" s="210"/>
      <c r="B54" s="212"/>
      <c r="C54" s="27"/>
      <c r="D54" s="27"/>
      <c r="E54" s="27" t="s">
        <v>615</v>
      </c>
      <c r="F54" s="25">
        <v>91400</v>
      </c>
      <c r="G54" s="25">
        <v>14</v>
      </c>
      <c r="H54" s="27" t="s">
        <v>770</v>
      </c>
      <c r="I54" s="203"/>
    </row>
    <row r="55" spans="1:9" ht="29.25" customHeight="1" x14ac:dyDescent="0.15">
      <c r="A55" s="209">
        <v>38</v>
      </c>
      <c r="B55" s="211" t="s">
        <v>652</v>
      </c>
      <c r="C55" s="200"/>
      <c r="D55" s="200"/>
      <c r="E55" s="201" t="s">
        <v>609</v>
      </c>
      <c r="F55" s="21">
        <v>91220</v>
      </c>
      <c r="G55" s="21">
        <v>6</v>
      </c>
      <c r="H55" s="201" t="s">
        <v>468</v>
      </c>
      <c r="I55" s="202" t="s">
        <v>662</v>
      </c>
    </row>
    <row r="56" spans="1:9" ht="29.25" customHeight="1" thickBot="1" x14ac:dyDescent="0.2">
      <c r="A56" s="227"/>
      <c r="B56" s="228"/>
      <c r="C56" s="164"/>
      <c r="D56" s="164"/>
      <c r="E56" s="164" t="s">
        <v>617</v>
      </c>
      <c r="F56" s="162">
        <v>91400</v>
      </c>
      <c r="G56" s="162">
        <v>14</v>
      </c>
      <c r="H56" s="164" t="s">
        <v>596</v>
      </c>
      <c r="I56" s="204"/>
    </row>
    <row r="57" spans="1:9" ht="29.25" customHeight="1" x14ac:dyDescent="0.15">
      <c r="A57" s="209">
        <v>39</v>
      </c>
      <c r="B57" s="211" t="s">
        <v>653</v>
      </c>
      <c r="C57" s="200"/>
      <c r="D57" s="200"/>
      <c r="E57" s="201" t="s">
        <v>609</v>
      </c>
      <c r="F57" s="21">
        <v>91220</v>
      </c>
      <c r="G57" s="21">
        <v>6</v>
      </c>
      <c r="H57" s="201" t="s">
        <v>468</v>
      </c>
      <c r="I57" s="202" t="s">
        <v>662</v>
      </c>
    </row>
    <row r="58" spans="1:9" ht="29.25" customHeight="1" thickBot="1" x14ac:dyDescent="0.2">
      <c r="A58" s="210"/>
      <c r="B58" s="212"/>
      <c r="C58" s="27"/>
      <c r="D58" s="27"/>
      <c r="E58" s="27" t="s">
        <v>619</v>
      </c>
      <c r="F58" s="25">
        <v>91400</v>
      </c>
      <c r="G58" s="25">
        <v>14</v>
      </c>
      <c r="H58" s="27" t="s">
        <v>596</v>
      </c>
      <c r="I58" s="203"/>
    </row>
  </sheetData>
  <autoFilter ref="A3:I34" xr:uid="{00000000-0009-0000-0000-000000000000}"/>
  <mergeCells count="49">
    <mergeCell ref="C23:C24"/>
    <mergeCell ref="D23:D24"/>
    <mergeCell ref="A30:A31"/>
    <mergeCell ref="B30:B31"/>
    <mergeCell ref="C30:C31"/>
    <mergeCell ref="D30:D31"/>
    <mergeCell ref="C15:C16"/>
    <mergeCell ref="D15:D16"/>
    <mergeCell ref="A19:A20"/>
    <mergeCell ref="B19:B20"/>
    <mergeCell ref="C19:C20"/>
    <mergeCell ref="D19:D20"/>
    <mergeCell ref="A8:A9"/>
    <mergeCell ref="B8:B9"/>
    <mergeCell ref="A53:A54"/>
    <mergeCell ref="B53:B54"/>
    <mergeCell ref="A55:A56"/>
    <mergeCell ref="B55:B56"/>
    <mergeCell ref="A34:A35"/>
    <mergeCell ref="B34:B35"/>
    <mergeCell ref="B38:B39"/>
    <mergeCell ref="A15:A16"/>
    <mergeCell ref="B15:B16"/>
    <mergeCell ref="A23:A24"/>
    <mergeCell ref="B23:B24"/>
    <mergeCell ref="A57:A58"/>
    <mergeCell ref="B57:B58"/>
    <mergeCell ref="A47:A48"/>
    <mergeCell ref="B47:B48"/>
    <mergeCell ref="A49:A50"/>
    <mergeCell ref="B49:B50"/>
    <mergeCell ref="A51:A52"/>
    <mergeCell ref="B51:B52"/>
    <mergeCell ref="C38:C39"/>
    <mergeCell ref="C34:C35"/>
    <mergeCell ref="A45:A46"/>
    <mergeCell ref="B45:B46"/>
    <mergeCell ref="A1:I1"/>
    <mergeCell ref="B4:B5"/>
    <mergeCell ref="D4:D5"/>
    <mergeCell ref="A4:A5"/>
    <mergeCell ref="C4:C5"/>
    <mergeCell ref="B3:D3"/>
    <mergeCell ref="C8:C9"/>
    <mergeCell ref="D8:D9"/>
    <mergeCell ref="A36:A37"/>
    <mergeCell ref="B36:B37"/>
    <mergeCell ref="C36:C37"/>
    <mergeCell ref="A38:A39"/>
  </mergeCells>
  <phoneticPr fontId="7"/>
  <pageMargins left="0.70866141732283472" right="0.70866141732283472" top="0.35433070866141736" bottom="0.15748031496062992" header="0.31496062992125984" footer="0.31496062992125984"/>
  <pageSetup paperSize="9" scale="59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517697-73D2-459D-8001-ABB818F6774C}">
  <dimension ref="A1:V978"/>
  <sheetViews>
    <sheetView topLeftCell="A910" zoomScale="25" zoomScaleNormal="25" workbookViewId="0">
      <selection activeCell="M595" sqref="M595:M600"/>
    </sheetView>
  </sheetViews>
  <sheetFormatPr defaultRowHeight="18.75" x14ac:dyDescent="0.4"/>
  <cols>
    <col min="1" max="3" width="3.5" customWidth="1"/>
    <col min="4" max="4" width="13.875" bestFit="1" customWidth="1"/>
    <col min="5" max="5" width="45.125" customWidth="1"/>
    <col min="7" max="7" width="9.5" bestFit="1" customWidth="1"/>
    <col min="8" max="8" width="41.625" bestFit="1" customWidth="1"/>
    <col min="9" max="9" width="51.875" bestFit="1" customWidth="1"/>
    <col min="11" max="11" width="9.5" bestFit="1" customWidth="1"/>
    <col min="12" max="12" width="41.625" bestFit="1" customWidth="1"/>
    <col min="13" max="13" width="53.875" bestFit="1" customWidth="1"/>
    <col min="15" max="15" width="9.5" bestFit="1" customWidth="1"/>
    <col min="16" max="16" width="41.625" bestFit="1" customWidth="1"/>
    <col min="17" max="17" width="53.875" bestFit="1" customWidth="1"/>
    <col min="18" max="18" width="17.25" style="154" customWidth="1"/>
    <col min="19" max="19" width="9.5" style="154" bestFit="1" customWidth="1"/>
    <col min="20" max="20" width="31.625" style="154" bestFit="1" customWidth="1"/>
    <col min="21" max="21" width="26.125" style="154" bestFit="1" customWidth="1"/>
  </cols>
  <sheetData>
    <row r="1" spans="1:22" x14ac:dyDescent="0.4">
      <c r="A1" s="134" t="s">
        <v>620</v>
      </c>
    </row>
    <row r="2" spans="1:22" ht="19.5" thickBot="1" x14ac:dyDescent="0.45"/>
    <row r="3" spans="1:22" s="51" customFormat="1" ht="13.5" x14ac:dyDescent="0.4">
      <c r="D3" s="114" t="s">
        <v>474</v>
      </c>
      <c r="E3" s="115"/>
      <c r="F3" s="115"/>
      <c r="G3" s="115"/>
      <c r="H3" s="115"/>
      <c r="I3" s="115"/>
      <c r="J3" s="116"/>
      <c r="K3" s="116"/>
      <c r="L3" s="116"/>
      <c r="M3" s="116"/>
      <c r="N3" s="116"/>
      <c r="O3" s="116"/>
      <c r="P3" s="116"/>
      <c r="Q3" s="116"/>
      <c r="R3" s="173"/>
      <c r="S3" s="173"/>
      <c r="T3" s="173"/>
      <c r="U3" s="173"/>
      <c r="V3" s="117"/>
    </row>
    <row r="4" spans="1:22" s="51" customFormat="1" ht="13.5" x14ac:dyDescent="0.4">
      <c r="D4" s="118">
        <v>1</v>
      </c>
      <c r="E4" s="14" t="s">
        <v>763</v>
      </c>
      <c r="F4" s="14"/>
      <c r="G4" s="14"/>
      <c r="H4" s="52"/>
      <c r="I4" s="52"/>
      <c r="R4" s="24"/>
      <c r="S4" s="24"/>
      <c r="T4" s="24"/>
      <c r="U4" s="24"/>
      <c r="V4" s="119"/>
    </row>
    <row r="5" spans="1:22" s="51" customFormat="1" ht="13.5" x14ac:dyDescent="0.4">
      <c r="D5" s="118"/>
      <c r="E5" s="14" t="s">
        <v>768</v>
      </c>
      <c r="F5" s="14"/>
      <c r="G5" s="14"/>
      <c r="H5" s="52"/>
      <c r="I5" s="52"/>
      <c r="R5" s="24"/>
      <c r="S5" s="24"/>
      <c r="T5" s="24"/>
      <c r="U5" s="24"/>
      <c r="V5" s="119"/>
    </row>
    <row r="6" spans="1:22" s="51" customFormat="1" ht="13.5" x14ac:dyDescent="0.4">
      <c r="D6" s="118"/>
      <c r="E6" s="14"/>
      <c r="F6" s="14"/>
      <c r="G6" s="14"/>
      <c r="H6" s="52"/>
      <c r="I6" s="52"/>
      <c r="R6" s="24"/>
      <c r="S6" s="24"/>
      <c r="T6" s="24"/>
      <c r="U6" s="24"/>
      <c r="V6" s="119"/>
    </row>
    <row r="7" spans="1:22" s="52" customFormat="1" ht="13.5" x14ac:dyDescent="0.4">
      <c r="D7" s="118"/>
      <c r="E7" s="52" t="s">
        <v>488</v>
      </c>
      <c r="H7" s="52" t="str">
        <f>H9&amp;"円に特売（タイムサービス売価）設定"</f>
        <v>300円に特売（タイムサービス売価）設定</v>
      </c>
      <c r="I7" s="52" t="str">
        <f>I9&amp;"円にレジでの売価変更"</f>
        <v>250円にレジでの売価変更</v>
      </c>
      <c r="R7" s="1"/>
      <c r="S7" s="1"/>
      <c r="T7" s="1"/>
      <c r="U7" s="1"/>
      <c r="V7" s="121"/>
    </row>
    <row r="8" spans="1:22" s="51" customFormat="1" ht="13.5" x14ac:dyDescent="0.4">
      <c r="D8" s="118"/>
      <c r="E8" s="122"/>
      <c r="F8" s="122"/>
      <c r="G8" s="14"/>
      <c r="K8" s="52"/>
      <c r="L8" s="52"/>
      <c r="M8" s="52"/>
      <c r="N8" s="52"/>
      <c r="O8" s="52"/>
      <c r="P8" s="52"/>
      <c r="Q8" s="52"/>
      <c r="R8" s="1"/>
      <c r="S8" s="1"/>
      <c r="T8" s="1"/>
      <c r="U8" s="1"/>
      <c r="V8" s="119"/>
    </row>
    <row r="9" spans="1:22" s="51" customFormat="1" ht="13.5" x14ac:dyDescent="0.4">
      <c r="D9" s="118"/>
      <c r="E9" s="122" t="s">
        <v>621</v>
      </c>
      <c r="F9" s="122"/>
      <c r="G9" s="52"/>
      <c r="H9" s="52">
        <v>300</v>
      </c>
      <c r="I9" s="52">
        <v>250</v>
      </c>
      <c r="K9" s="52"/>
      <c r="L9" s="52"/>
      <c r="M9" s="52"/>
      <c r="N9" s="52"/>
      <c r="O9" s="52"/>
      <c r="P9" s="52"/>
      <c r="Q9" s="52"/>
      <c r="R9" s="1"/>
      <c r="S9" s="1"/>
      <c r="T9" s="1"/>
      <c r="U9" s="1"/>
      <c r="V9" s="119"/>
    </row>
    <row r="10" spans="1:22" s="51" customFormat="1" ht="13.5" x14ac:dyDescent="0.4">
      <c r="D10" s="118"/>
      <c r="E10" s="52"/>
      <c r="F10" s="52"/>
      <c r="G10" s="52"/>
      <c r="I10" s="52"/>
      <c r="K10" s="52"/>
      <c r="L10" s="52"/>
      <c r="M10" s="52"/>
      <c r="N10" s="52"/>
      <c r="O10" s="52"/>
      <c r="P10" s="52"/>
      <c r="Q10" s="52"/>
      <c r="R10" s="1"/>
      <c r="S10" s="1"/>
      <c r="T10" s="1"/>
      <c r="U10" s="1"/>
      <c r="V10" s="119"/>
    </row>
    <row r="11" spans="1:22" s="51" customFormat="1" ht="13.5" customHeight="1" x14ac:dyDescent="0.4">
      <c r="D11" s="118"/>
      <c r="E11" s="52"/>
      <c r="F11" s="52"/>
      <c r="G11" s="52"/>
      <c r="I11" s="52"/>
      <c r="K11" s="52"/>
      <c r="L11" s="52"/>
      <c r="M11" s="52"/>
      <c r="N11" s="52"/>
      <c r="O11" s="52"/>
      <c r="P11" s="52"/>
      <c r="Q11" s="52"/>
      <c r="R11" s="1"/>
      <c r="S11" s="1"/>
      <c r="T11" s="1"/>
      <c r="U11" s="1"/>
      <c r="V11" s="119"/>
    </row>
    <row r="12" spans="1:22" s="51" customFormat="1" ht="13.5" customHeight="1" x14ac:dyDescent="0.4">
      <c r="D12" s="118"/>
      <c r="E12" s="52"/>
      <c r="F12" s="52"/>
      <c r="G12" s="52"/>
      <c r="K12" s="52"/>
      <c r="L12" s="52"/>
      <c r="M12" s="52"/>
      <c r="N12" s="52"/>
      <c r="O12" s="52"/>
      <c r="P12" s="52"/>
      <c r="Q12" s="52"/>
      <c r="R12" s="1"/>
      <c r="S12" s="1"/>
      <c r="T12" s="1"/>
      <c r="U12" s="1"/>
      <c r="V12" s="119"/>
    </row>
    <row r="13" spans="1:22" s="51" customFormat="1" ht="13.5" customHeight="1" x14ac:dyDescent="0.4">
      <c r="D13" s="118"/>
      <c r="E13" s="52"/>
      <c r="F13" s="52"/>
      <c r="G13" s="240" t="s">
        <v>476</v>
      </c>
      <c r="H13" s="259" t="s">
        <v>485</v>
      </c>
      <c r="I13" s="123" t="s">
        <v>477</v>
      </c>
      <c r="K13" s="52"/>
      <c r="L13" s="52"/>
      <c r="M13" s="52"/>
      <c r="N13" s="52"/>
      <c r="O13" s="52"/>
      <c r="P13" s="52"/>
      <c r="Q13" s="52"/>
      <c r="R13" s="1"/>
      <c r="S13" s="1"/>
      <c r="T13" s="1"/>
      <c r="U13" s="1"/>
      <c r="V13" s="119"/>
    </row>
    <row r="14" spans="1:22" s="51" customFormat="1" ht="13.5" customHeight="1" x14ac:dyDescent="0.4">
      <c r="D14" s="118"/>
      <c r="E14" s="52"/>
      <c r="F14" s="52"/>
      <c r="G14" s="241"/>
      <c r="H14" s="260"/>
      <c r="I14" s="234" t="s">
        <v>622</v>
      </c>
      <c r="K14" s="52"/>
      <c r="L14" s="52"/>
      <c r="M14" s="52"/>
      <c r="N14" s="52"/>
      <c r="O14" s="52"/>
      <c r="P14" s="52"/>
      <c r="Q14" s="52"/>
      <c r="R14" s="1"/>
      <c r="S14" s="1"/>
      <c r="T14" s="1"/>
      <c r="U14" s="1"/>
      <c r="V14" s="119"/>
    </row>
    <row r="15" spans="1:22" s="51" customFormat="1" ht="13.5" customHeight="1" x14ac:dyDescent="0.4">
      <c r="D15" s="118"/>
      <c r="E15" s="52"/>
      <c r="F15" s="52"/>
      <c r="G15" s="241"/>
      <c r="H15" s="260"/>
      <c r="I15" s="260"/>
      <c r="K15" s="52"/>
      <c r="L15" s="52"/>
      <c r="M15" s="52"/>
      <c r="N15" s="52"/>
      <c r="O15" s="52"/>
      <c r="P15" s="52"/>
      <c r="Q15" s="52"/>
      <c r="R15" s="1"/>
      <c r="S15" s="1"/>
      <c r="T15" s="1"/>
      <c r="U15" s="1"/>
      <c r="V15" s="119"/>
    </row>
    <row r="16" spans="1:22" s="51" customFormat="1" ht="13.5" customHeight="1" x14ac:dyDescent="0.4">
      <c r="D16" s="118"/>
      <c r="E16" s="52"/>
      <c r="F16" s="52"/>
      <c r="G16" s="241"/>
      <c r="H16" s="260"/>
      <c r="I16" s="260"/>
      <c r="K16" s="52"/>
      <c r="L16" s="52"/>
      <c r="M16" s="52"/>
      <c r="N16" s="52"/>
      <c r="O16" s="52"/>
      <c r="P16" s="52"/>
      <c r="Q16" s="52"/>
      <c r="R16" s="1"/>
      <c r="S16" s="1"/>
      <c r="T16" s="1"/>
      <c r="U16" s="1"/>
      <c r="V16" s="119"/>
    </row>
    <row r="17" spans="4:22" s="51" customFormat="1" ht="13.5" customHeight="1" x14ac:dyDescent="0.4">
      <c r="D17" s="118"/>
      <c r="E17" s="52"/>
      <c r="F17" s="52"/>
      <c r="G17" s="241"/>
      <c r="H17" s="260"/>
      <c r="I17" s="260"/>
      <c r="K17" s="52"/>
      <c r="L17" s="52"/>
      <c r="M17" s="52"/>
      <c r="N17" s="52"/>
      <c r="O17" s="52"/>
      <c r="P17" s="52"/>
      <c r="Q17" s="52"/>
      <c r="R17" s="1"/>
      <c r="S17" s="1"/>
      <c r="T17" s="1"/>
      <c r="U17" s="1"/>
      <c r="V17" s="119"/>
    </row>
    <row r="18" spans="4:22" s="51" customFormat="1" ht="13.5" customHeight="1" x14ac:dyDescent="0.4">
      <c r="D18" s="118"/>
      <c r="E18" s="52"/>
      <c r="F18" s="52"/>
      <c r="G18" s="242"/>
      <c r="H18" s="261"/>
      <c r="I18" s="261"/>
      <c r="K18" s="52"/>
      <c r="L18" s="52"/>
      <c r="M18" s="52"/>
      <c r="N18" s="52"/>
      <c r="O18" s="52"/>
      <c r="P18" s="52"/>
      <c r="Q18" s="52"/>
      <c r="R18" s="1"/>
      <c r="S18" s="1"/>
      <c r="T18" s="1"/>
      <c r="U18" s="1"/>
      <c r="V18" s="119"/>
    </row>
    <row r="19" spans="4:22" s="51" customFormat="1" ht="13.5" x14ac:dyDescent="0.4">
      <c r="D19" s="118"/>
      <c r="E19" s="124" t="s">
        <v>379</v>
      </c>
      <c r="F19" s="124"/>
      <c r="G19" s="124"/>
      <c r="H19" s="126">
        <v>0</v>
      </c>
      <c r="I19" s="125">
        <v>50</v>
      </c>
      <c r="K19" s="52"/>
      <c r="L19" s="52"/>
      <c r="M19" s="52"/>
      <c r="N19" s="52"/>
      <c r="O19" s="52"/>
      <c r="P19" s="52"/>
      <c r="Q19" s="52"/>
      <c r="R19" s="1"/>
      <c r="S19" s="1"/>
      <c r="T19" s="1"/>
      <c r="U19" s="1"/>
      <c r="V19" s="119"/>
    </row>
    <row r="20" spans="4:22" s="51" customFormat="1" ht="13.5" x14ac:dyDescent="0.4">
      <c r="D20" s="118"/>
      <c r="E20" s="124" t="s">
        <v>478</v>
      </c>
      <c r="F20" s="124"/>
      <c r="G20" s="124"/>
      <c r="H20" s="230">
        <v>250</v>
      </c>
      <c r="I20" s="230"/>
      <c r="K20" s="52"/>
      <c r="L20" s="52"/>
      <c r="M20" s="52"/>
      <c r="N20" s="52"/>
      <c r="O20" s="52"/>
      <c r="P20" s="52"/>
      <c r="Q20" s="52"/>
      <c r="R20" s="1"/>
      <c r="S20" s="1"/>
      <c r="T20" s="1"/>
      <c r="U20" s="1"/>
      <c r="V20" s="119"/>
    </row>
    <row r="21" spans="4:22" s="51" customFormat="1" ht="13.5" x14ac:dyDescent="0.4">
      <c r="D21" s="118"/>
      <c r="E21" s="124"/>
      <c r="F21" s="124"/>
      <c r="G21" s="124"/>
      <c r="H21" s="52"/>
      <c r="K21" s="52"/>
      <c r="L21" s="52"/>
      <c r="M21" s="52"/>
      <c r="N21" s="52"/>
      <c r="O21" s="52"/>
      <c r="P21" s="52"/>
      <c r="Q21" s="52"/>
      <c r="R21" s="1"/>
      <c r="S21" s="1"/>
      <c r="T21" s="1"/>
      <c r="U21" s="1"/>
      <c r="V21" s="119"/>
    </row>
    <row r="22" spans="4:22" s="51" customFormat="1" ht="13.5" x14ac:dyDescent="0.4">
      <c r="D22" s="118"/>
      <c r="E22" s="124" t="s">
        <v>479</v>
      </c>
      <c r="F22" s="124"/>
      <c r="G22" s="124"/>
      <c r="H22" s="52"/>
      <c r="I22" s="52"/>
      <c r="K22" s="52"/>
      <c r="L22" s="52"/>
      <c r="M22" s="52"/>
      <c r="N22" s="52"/>
      <c r="O22" s="52"/>
      <c r="P22" s="52"/>
      <c r="Q22" s="52"/>
      <c r="R22" s="1"/>
      <c r="S22" s="1"/>
      <c r="T22" s="1"/>
      <c r="U22" s="1"/>
      <c r="V22" s="119"/>
    </row>
    <row r="23" spans="4:22" s="51" customFormat="1" ht="13.5" customHeight="1" x14ac:dyDescent="0.4">
      <c r="D23" s="118"/>
      <c r="E23" s="128" t="s">
        <v>480</v>
      </c>
      <c r="F23" s="128"/>
      <c r="G23" s="124"/>
      <c r="H23" s="136">
        <v>91121</v>
      </c>
      <c r="I23" s="52">
        <v>91220</v>
      </c>
      <c r="K23" s="52"/>
      <c r="L23" s="52"/>
      <c r="M23" s="52"/>
      <c r="N23" s="52"/>
      <c r="O23" s="52"/>
      <c r="P23" s="52"/>
      <c r="Q23" s="52"/>
      <c r="R23" s="1"/>
      <c r="S23" s="1"/>
      <c r="T23" s="1"/>
      <c r="U23" s="1"/>
      <c r="V23" s="119"/>
    </row>
    <row r="24" spans="4:22" s="51" customFormat="1" ht="13.5" customHeight="1" x14ac:dyDescent="0.4">
      <c r="D24" s="118"/>
      <c r="E24" s="128" t="s">
        <v>481</v>
      </c>
      <c r="F24" s="128"/>
      <c r="G24" s="124"/>
      <c r="H24" s="135">
        <v>0</v>
      </c>
      <c r="I24" s="52">
        <v>6</v>
      </c>
      <c r="K24" s="52"/>
      <c r="L24" s="52"/>
      <c r="M24" s="52"/>
      <c r="N24" s="52"/>
      <c r="O24" s="52"/>
      <c r="P24" s="52"/>
      <c r="Q24" s="52"/>
      <c r="R24" s="1"/>
      <c r="S24" s="1"/>
      <c r="T24" s="1"/>
      <c r="U24" s="1"/>
      <c r="V24" s="119"/>
    </row>
    <row r="25" spans="4:22" s="51" customFormat="1" ht="13.5" x14ac:dyDescent="0.4">
      <c r="D25" s="118"/>
      <c r="E25" s="128" t="s">
        <v>482</v>
      </c>
      <c r="F25" s="128"/>
      <c r="G25" s="124"/>
      <c r="H25" s="135" t="s">
        <v>484</v>
      </c>
      <c r="I25" s="124" t="s">
        <v>468</v>
      </c>
      <c r="K25" s="52"/>
      <c r="L25" s="52"/>
      <c r="M25" s="52"/>
      <c r="N25" s="52"/>
      <c r="O25" s="52"/>
      <c r="P25" s="52"/>
      <c r="Q25" s="52"/>
      <c r="R25" s="1"/>
      <c r="S25" s="1"/>
      <c r="T25" s="1"/>
      <c r="U25" s="1"/>
      <c r="V25" s="119"/>
    </row>
    <row r="26" spans="4:22" s="51" customFormat="1" ht="27" x14ac:dyDescent="0.4">
      <c r="D26" s="118"/>
      <c r="E26" s="124" t="s">
        <v>379</v>
      </c>
      <c r="F26" s="124"/>
      <c r="G26" s="124"/>
      <c r="H26" s="137" t="s">
        <v>700</v>
      </c>
      <c r="I26" s="124" t="s">
        <v>623</v>
      </c>
      <c r="K26" s="52"/>
      <c r="L26" s="52"/>
      <c r="M26" s="52"/>
      <c r="N26" s="52"/>
      <c r="O26" s="52"/>
      <c r="P26" s="52"/>
      <c r="Q26" s="52"/>
      <c r="R26" s="1"/>
      <c r="S26" s="1"/>
      <c r="T26" s="1"/>
      <c r="U26" s="1"/>
      <c r="V26" s="119"/>
    </row>
    <row r="27" spans="4:22" s="51" customFormat="1" ht="14.25" thickBot="1" x14ac:dyDescent="0.45">
      <c r="D27" s="129"/>
      <c r="E27" s="130"/>
      <c r="F27" s="130"/>
      <c r="G27" s="130"/>
      <c r="H27" s="130"/>
      <c r="I27" s="131"/>
      <c r="J27" s="132"/>
      <c r="K27" s="132"/>
      <c r="L27" s="132"/>
      <c r="M27" s="132"/>
      <c r="N27" s="132"/>
      <c r="O27" s="132"/>
      <c r="P27" s="132"/>
      <c r="Q27" s="132"/>
      <c r="R27" s="174"/>
      <c r="S27" s="174"/>
      <c r="T27" s="174"/>
      <c r="U27" s="174"/>
      <c r="V27" s="133"/>
    </row>
    <row r="28" spans="4:22" s="51" customFormat="1" ht="13.5" x14ac:dyDescent="0.4">
      <c r="D28" s="114" t="s">
        <v>474</v>
      </c>
      <c r="E28" s="115"/>
      <c r="F28" s="115"/>
      <c r="G28" s="115"/>
      <c r="H28" s="115"/>
      <c r="I28" s="115"/>
      <c r="J28" s="116"/>
      <c r="K28" s="116"/>
      <c r="L28" s="116"/>
      <c r="M28" s="116"/>
      <c r="N28" s="116"/>
      <c r="O28" s="116"/>
      <c r="P28" s="116"/>
      <c r="Q28" s="116"/>
      <c r="R28" s="173"/>
      <c r="S28" s="173"/>
      <c r="T28" s="173"/>
      <c r="U28" s="173"/>
      <c r="V28" s="117"/>
    </row>
    <row r="29" spans="4:22" s="51" customFormat="1" ht="13.5" x14ac:dyDescent="0.4">
      <c r="D29" s="118">
        <v>2</v>
      </c>
      <c r="E29" s="14" t="s">
        <v>691</v>
      </c>
      <c r="F29" s="14"/>
      <c r="G29" s="14"/>
      <c r="H29" s="52"/>
      <c r="I29" s="52"/>
      <c r="R29" s="24"/>
      <c r="S29" s="24"/>
      <c r="T29" s="24"/>
      <c r="U29" s="24"/>
      <c r="V29" s="119"/>
    </row>
    <row r="30" spans="4:22" s="51" customFormat="1" ht="13.5" x14ac:dyDescent="0.4">
      <c r="D30" s="118"/>
      <c r="E30" s="14" t="s">
        <v>695</v>
      </c>
      <c r="F30" s="14"/>
      <c r="G30" s="14"/>
      <c r="H30" s="52"/>
      <c r="I30" s="52"/>
      <c r="R30" s="24"/>
      <c r="S30" s="24"/>
      <c r="T30" s="24"/>
      <c r="U30" s="24"/>
      <c r="V30" s="119"/>
    </row>
    <row r="31" spans="4:22" s="51" customFormat="1" ht="13.5" x14ac:dyDescent="0.4">
      <c r="D31" s="118"/>
      <c r="E31" s="14"/>
      <c r="F31" s="14"/>
      <c r="R31" s="24"/>
      <c r="S31" s="24"/>
      <c r="T31" s="24"/>
      <c r="U31" s="24"/>
      <c r="V31" s="119"/>
    </row>
    <row r="32" spans="4:22" s="52" customFormat="1" ht="13.5" x14ac:dyDescent="0.4">
      <c r="D32" s="118"/>
      <c r="E32" s="52" t="s">
        <v>488</v>
      </c>
      <c r="H32" s="52" t="str">
        <f>H34&amp;"円に特売（タイムサービス売価）設定"</f>
        <v>300円に特売（タイムサービス売価）設定</v>
      </c>
      <c r="I32" s="52" t="str">
        <f>I34&amp;"円にレジでの売価変更"</f>
        <v>250円にレジでの売価変更</v>
      </c>
      <c r="R32" s="1"/>
      <c r="S32" s="1"/>
      <c r="T32" s="1"/>
      <c r="U32" s="1"/>
      <c r="V32" s="121"/>
    </row>
    <row r="33" spans="4:22" s="51" customFormat="1" ht="13.5" x14ac:dyDescent="0.4">
      <c r="D33" s="118"/>
      <c r="E33" s="122"/>
      <c r="F33" s="122"/>
      <c r="O33" s="52"/>
      <c r="P33" s="52"/>
      <c r="Q33" s="52"/>
      <c r="R33" s="1"/>
      <c r="S33" s="1"/>
      <c r="T33" s="1"/>
      <c r="U33" s="1"/>
      <c r="V33" s="119"/>
    </row>
    <row r="34" spans="4:22" s="51" customFormat="1" ht="13.5" x14ac:dyDescent="0.4">
      <c r="D34" s="118"/>
      <c r="E34" s="122" t="s">
        <v>621</v>
      </c>
      <c r="F34" s="122"/>
      <c r="H34" s="52">
        <v>300</v>
      </c>
      <c r="I34" s="52">
        <v>250</v>
      </c>
      <c r="O34" s="52"/>
      <c r="P34" s="52"/>
      <c r="Q34" s="52"/>
      <c r="R34" s="1"/>
      <c r="S34" s="1"/>
      <c r="T34" s="1"/>
      <c r="U34" s="1"/>
      <c r="V34" s="119"/>
    </row>
    <row r="35" spans="4:22" s="51" customFormat="1" ht="13.5" x14ac:dyDescent="0.4">
      <c r="D35" s="118"/>
      <c r="E35" s="52"/>
      <c r="F35" s="52"/>
      <c r="O35" s="52"/>
      <c r="P35" s="52"/>
      <c r="Q35" s="52"/>
      <c r="R35" s="1"/>
      <c r="S35" s="1"/>
      <c r="T35" s="1"/>
      <c r="U35" s="1"/>
      <c r="V35" s="119"/>
    </row>
    <row r="36" spans="4:22" s="51" customFormat="1" ht="13.5" customHeight="1" x14ac:dyDescent="0.4">
      <c r="D36" s="118"/>
      <c r="E36" s="52"/>
      <c r="F36" s="52"/>
      <c r="O36" s="52"/>
      <c r="P36" s="52"/>
      <c r="Q36" s="52"/>
      <c r="R36" s="1"/>
      <c r="S36" s="1"/>
      <c r="T36" s="1"/>
      <c r="U36" s="1"/>
      <c r="V36" s="119"/>
    </row>
    <row r="37" spans="4:22" s="51" customFormat="1" ht="13.5" customHeight="1" x14ac:dyDescent="0.4">
      <c r="D37" s="118"/>
      <c r="E37" s="52"/>
      <c r="F37" s="52"/>
      <c r="O37" s="52"/>
      <c r="P37" s="52"/>
      <c r="Q37" s="52"/>
      <c r="R37" s="1"/>
      <c r="S37" s="1"/>
      <c r="T37" s="1"/>
      <c r="U37" s="1"/>
      <c r="V37" s="119"/>
    </row>
    <row r="38" spans="4:22" s="51" customFormat="1" ht="13.5" customHeight="1" x14ac:dyDescent="0.4">
      <c r="D38" s="118"/>
      <c r="E38" s="52"/>
      <c r="F38" s="52"/>
      <c r="G38" s="240" t="s">
        <v>476</v>
      </c>
      <c r="H38" s="259" t="s">
        <v>485</v>
      </c>
      <c r="I38" s="234" t="s">
        <v>624</v>
      </c>
      <c r="O38" s="52"/>
      <c r="P38" s="52"/>
      <c r="Q38" s="52"/>
      <c r="R38" s="1"/>
      <c r="S38" s="1"/>
      <c r="T38" s="1"/>
      <c r="U38" s="1"/>
      <c r="V38" s="119"/>
    </row>
    <row r="39" spans="4:22" s="51" customFormat="1" ht="13.5" customHeight="1" x14ac:dyDescent="0.4">
      <c r="D39" s="118"/>
      <c r="E39" s="52"/>
      <c r="F39" s="52"/>
      <c r="G39" s="241"/>
      <c r="H39" s="237"/>
      <c r="I39" s="237"/>
      <c r="O39" s="52"/>
      <c r="P39" s="52"/>
      <c r="Q39" s="52"/>
      <c r="R39" s="1"/>
      <c r="S39" s="1"/>
      <c r="T39" s="1"/>
      <c r="U39" s="1"/>
      <c r="V39" s="119"/>
    </row>
    <row r="40" spans="4:22" s="51" customFormat="1" ht="13.5" customHeight="1" x14ac:dyDescent="0.4">
      <c r="D40" s="118"/>
      <c r="E40" s="52"/>
      <c r="F40" s="52"/>
      <c r="G40" s="241"/>
      <c r="H40" s="237"/>
      <c r="I40" s="237"/>
      <c r="O40" s="52"/>
      <c r="P40" s="52"/>
      <c r="Q40" s="52"/>
      <c r="R40" s="1"/>
      <c r="S40" s="1"/>
      <c r="T40" s="1"/>
      <c r="U40" s="1"/>
      <c r="V40" s="119"/>
    </row>
    <row r="41" spans="4:22" s="51" customFormat="1" ht="13.5" customHeight="1" x14ac:dyDescent="0.4">
      <c r="D41" s="118"/>
      <c r="E41" s="52"/>
      <c r="F41" s="52"/>
      <c r="G41" s="241"/>
      <c r="H41" s="237"/>
      <c r="I41" s="237"/>
      <c r="O41" s="52"/>
      <c r="P41" s="52"/>
      <c r="Q41" s="52"/>
      <c r="R41" s="1"/>
      <c r="S41" s="1"/>
      <c r="T41" s="1"/>
      <c r="U41" s="1"/>
      <c r="V41" s="119"/>
    </row>
    <row r="42" spans="4:22" s="51" customFormat="1" ht="13.5" customHeight="1" x14ac:dyDescent="0.4">
      <c r="D42" s="118"/>
      <c r="E42" s="52"/>
      <c r="F42" s="52"/>
      <c r="G42" s="241"/>
      <c r="H42" s="237"/>
      <c r="I42" s="237"/>
      <c r="O42" s="52"/>
      <c r="P42" s="52"/>
      <c r="Q42" s="52"/>
      <c r="R42" s="1"/>
      <c r="S42" s="1"/>
      <c r="T42" s="1"/>
      <c r="U42" s="1"/>
      <c r="V42" s="119"/>
    </row>
    <row r="43" spans="4:22" s="51" customFormat="1" ht="13.5" customHeight="1" x14ac:dyDescent="0.4">
      <c r="D43" s="118"/>
      <c r="E43" s="52"/>
      <c r="F43" s="52"/>
      <c r="G43" s="242"/>
      <c r="H43" s="238"/>
      <c r="I43" s="238"/>
      <c r="O43" s="52"/>
      <c r="P43" s="52"/>
      <c r="Q43" s="52"/>
      <c r="R43" s="1"/>
      <c r="S43" s="1"/>
      <c r="T43" s="1"/>
      <c r="U43" s="1"/>
      <c r="V43" s="119"/>
    </row>
    <row r="44" spans="4:22" s="51" customFormat="1" ht="13.5" x14ac:dyDescent="0.4">
      <c r="D44" s="118"/>
      <c r="E44" s="124" t="s">
        <v>379</v>
      </c>
      <c r="F44" s="124"/>
      <c r="H44" s="126">
        <v>0</v>
      </c>
      <c r="I44" s="139"/>
      <c r="O44" s="52"/>
      <c r="P44" s="52"/>
      <c r="Q44" s="52"/>
      <c r="R44" s="1"/>
      <c r="S44" s="1"/>
      <c r="T44" s="1"/>
      <c r="U44" s="1"/>
      <c r="V44" s="119"/>
    </row>
    <row r="45" spans="4:22" s="51" customFormat="1" ht="13.5" x14ac:dyDescent="0.4">
      <c r="D45" s="118"/>
      <c r="E45" s="124" t="s">
        <v>478</v>
      </c>
      <c r="F45" s="124"/>
      <c r="H45" s="230">
        <v>300</v>
      </c>
      <c r="I45" s="230"/>
      <c r="O45" s="52"/>
      <c r="P45" s="52"/>
      <c r="Q45" s="52"/>
      <c r="R45" s="1"/>
      <c r="S45" s="1"/>
      <c r="T45" s="1"/>
      <c r="U45" s="1"/>
      <c r="V45" s="119"/>
    </row>
    <row r="46" spans="4:22" s="51" customFormat="1" ht="13.5" x14ac:dyDescent="0.4">
      <c r="D46" s="118"/>
      <c r="E46" s="124"/>
      <c r="F46" s="124"/>
      <c r="I46" s="52"/>
      <c r="O46" s="52"/>
      <c r="P46" s="52"/>
      <c r="Q46" s="52"/>
      <c r="R46" s="1"/>
      <c r="S46" s="1"/>
      <c r="T46" s="1"/>
      <c r="U46" s="1"/>
      <c r="V46" s="119"/>
    </row>
    <row r="47" spans="4:22" s="51" customFormat="1" ht="13.5" x14ac:dyDescent="0.4">
      <c r="D47" s="118"/>
      <c r="E47" s="124" t="s">
        <v>479</v>
      </c>
      <c r="F47" s="124"/>
      <c r="I47" s="52"/>
      <c r="O47" s="52"/>
      <c r="P47" s="52"/>
      <c r="Q47" s="52"/>
      <c r="R47" s="1"/>
      <c r="S47" s="1"/>
      <c r="T47" s="1"/>
      <c r="U47" s="1"/>
      <c r="V47" s="119"/>
    </row>
    <row r="48" spans="4:22" s="51" customFormat="1" ht="13.5" customHeight="1" x14ac:dyDescent="0.4">
      <c r="D48" s="118"/>
      <c r="E48" s="128" t="s">
        <v>480</v>
      </c>
      <c r="F48" s="128"/>
      <c r="H48" s="136">
        <v>91121</v>
      </c>
      <c r="I48" s="230" t="s">
        <v>487</v>
      </c>
      <c r="O48" s="52"/>
      <c r="P48" s="52"/>
      <c r="Q48" s="52"/>
      <c r="R48" s="1"/>
      <c r="S48" s="1"/>
      <c r="T48" s="1"/>
      <c r="U48" s="1"/>
      <c r="V48" s="119"/>
    </row>
    <row r="49" spans="4:22" s="51" customFormat="1" ht="13.5" customHeight="1" x14ac:dyDescent="0.4">
      <c r="D49" s="118"/>
      <c r="E49" s="128" t="s">
        <v>481</v>
      </c>
      <c r="F49" s="128"/>
      <c r="H49" s="135">
        <v>0</v>
      </c>
      <c r="I49" s="230"/>
      <c r="O49" s="52"/>
      <c r="P49" s="52"/>
      <c r="Q49" s="52"/>
      <c r="R49" s="1"/>
      <c r="S49" s="1"/>
      <c r="T49" s="1"/>
      <c r="U49" s="1"/>
      <c r="V49" s="119"/>
    </row>
    <row r="50" spans="4:22" s="51" customFormat="1" ht="13.5" x14ac:dyDescent="0.4">
      <c r="D50" s="118"/>
      <c r="E50" s="128" t="s">
        <v>482</v>
      </c>
      <c r="F50" s="128"/>
      <c r="H50" s="135" t="s">
        <v>484</v>
      </c>
      <c r="I50" s="230"/>
      <c r="O50" s="52"/>
      <c r="P50" s="52"/>
      <c r="Q50" s="52"/>
      <c r="R50" s="1"/>
      <c r="S50" s="1"/>
      <c r="T50" s="1"/>
      <c r="U50" s="1"/>
      <c r="V50" s="119"/>
    </row>
    <row r="51" spans="4:22" s="51" customFormat="1" ht="27" x14ac:dyDescent="0.4">
      <c r="D51" s="118"/>
      <c r="E51" s="124" t="s">
        <v>379</v>
      </c>
      <c r="F51" s="124"/>
      <c r="H51" s="137" t="s">
        <v>700</v>
      </c>
      <c r="I51" s="230"/>
      <c r="O51" s="52"/>
      <c r="P51" s="52"/>
      <c r="Q51" s="52"/>
      <c r="R51" s="1"/>
      <c r="S51" s="1"/>
      <c r="T51" s="1"/>
      <c r="U51" s="1"/>
      <c r="V51" s="119"/>
    </row>
    <row r="52" spans="4:22" s="51" customFormat="1" ht="14.25" thickBot="1" x14ac:dyDescent="0.45">
      <c r="D52" s="129"/>
      <c r="E52" s="130"/>
      <c r="F52" s="130"/>
      <c r="G52" s="130"/>
      <c r="H52" s="130"/>
      <c r="I52" s="131"/>
      <c r="J52" s="132"/>
      <c r="K52" s="132"/>
      <c r="L52" s="132"/>
      <c r="M52" s="132"/>
      <c r="N52" s="132"/>
      <c r="O52" s="132"/>
      <c r="P52" s="132"/>
      <c r="Q52" s="132"/>
      <c r="R52" s="174"/>
      <c r="S52" s="174"/>
      <c r="T52" s="174"/>
      <c r="U52" s="174"/>
      <c r="V52" s="133"/>
    </row>
    <row r="53" spans="4:22" s="51" customFormat="1" ht="13.5" x14ac:dyDescent="0.4">
      <c r="D53" s="114" t="s">
        <v>474</v>
      </c>
      <c r="E53" s="115"/>
      <c r="F53" s="115"/>
      <c r="G53" s="115"/>
      <c r="H53" s="115"/>
      <c r="I53" s="115"/>
      <c r="J53" s="116"/>
      <c r="K53" s="116"/>
      <c r="L53" s="116"/>
      <c r="M53" s="116"/>
      <c r="N53" s="116"/>
      <c r="O53" s="116"/>
      <c r="P53" s="116"/>
      <c r="Q53" s="116"/>
      <c r="R53" s="173"/>
      <c r="S53" s="173"/>
      <c r="T53" s="173"/>
      <c r="U53" s="173"/>
      <c r="V53" s="117"/>
    </row>
    <row r="54" spans="4:22" s="51" customFormat="1" ht="13.5" x14ac:dyDescent="0.4">
      <c r="D54" s="118">
        <v>3</v>
      </c>
      <c r="E54" s="14" t="s">
        <v>691</v>
      </c>
      <c r="F54" s="14"/>
      <c r="G54" s="14"/>
      <c r="H54" s="52"/>
      <c r="I54" s="52"/>
      <c r="R54" s="24"/>
      <c r="S54" s="24"/>
      <c r="T54" s="24"/>
      <c r="U54" s="24"/>
      <c r="V54" s="119"/>
    </row>
    <row r="55" spans="4:22" s="51" customFormat="1" ht="13.5" x14ac:dyDescent="0.4">
      <c r="D55" s="118"/>
      <c r="E55" s="14" t="s">
        <v>696</v>
      </c>
      <c r="F55" s="14"/>
      <c r="G55" s="14"/>
      <c r="H55" s="52"/>
      <c r="I55" s="52"/>
      <c r="R55" s="24"/>
      <c r="S55" s="24"/>
      <c r="T55" s="24"/>
      <c r="U55" s="24"/>
      <c r="V55" s="119"/>
    </row>
    <row r="56" spans="4:22" s="51" customFormat="1" ht="13.5" x14ac:dyDescent="0.4">
      <c r="D56" s="118"/>
      <c r="E56" s="14"/>
      <c r="F56" s="14"/>
      <c r="R56" s="24"/>
      <c r="S56" s="24"/>
      <c r="T56" s="24"/>
      <c r="U56" s="24"/>
      <c r="V56" s="119"/>
    </row>
    <row r="57" spans="4:22" s="52" customFormat="1" ht="13.5" x14ac:dyDescent="0.4">
      <c r="D57" s="118"/>
      <c r="E57" s="52" t="s">
        <v>488</v>
      </c>
      <c r="H57" s="52" t="str">
        <f>H59&amp;"円に特売（タイムサービス売価）設定"</f>
        <v>300円に特売（タイムサービス売価）設定</v>
      </c>
      <c r="I57" s="52" t="str">
        <f>I59&amp;"円にレジでの売価変更"</f>
        <v>350円にレジでの売価変更</v>
      </c>
      <c r="R57" s="1"/>
      <c r="S57" s="1"/>
      <c r="T57" s="1"/>
      <c r="U57" s="1"/>
      <c r="V57" s="121"/>
    </row>
    <row r="58" spans="4:22" s="51" customFormat="1" ht="13.5" x14ac:dyDescent="0.4">
      <c r="D58" s="118"/>
      <c r="E58" s="122"/>
      <c r="F58" s="122"/>
      <c r="R58" s="24"/>
      <c r="S58" s="24"/>
      <c r="T58" s="24"/>
      <c r="U58" s="24"/>
      <c r="V58" s="119"/>
    </row>
    <row r="59" spans="4:22" s="51" customFormat="1" ht="13.5" x14ac:dyDescent="0.4">
      <c r="D59" s="118"/>
      <c r="E59" s="122" t="s">
        <v>621</v>
      </c>
      <c r="F59" s="122"/>
      <c r="H59" s="52">
        <v>300</v>
      </c>
      <c r="I59" s="52">
        <v>350</v>
      </c>
      <c r="R59" s="24"/>
      <c r="S59" s="24"/>
      <c r="T59" s="24"/>
      <c r="U59" s="24"/>
      <c r="V59" s="119"/>
    </row>
    <row r="60" spans="4:22" s="51" customFormat="1" ht="13.5" x14ac:dyDescent="0.4">
      <c r="D60" s="118"/>
      <c r="E60" s="52"/>
      <c r="F60" s="52"/>
      <c r="R60" s="24"/>
      <c r="S60" s="24"/>
      <c r="T60" s="24"/>
      <c r="U60" s="24"/>
      <c r="V60" s="119"/>
    </row>
    <row r="61" spans="4:22" s="51" customFormat="1" ht="13.5" customHeight="1" x14ac:dyDescent="0.4">
      <c r="D61" s="118"/>
      <c r="E61" s="52"/>
      <c r="F61" s="52"/>
      <c r="R61" s="24"/>
      <c r="S61" s="24"/>
      <c r="T61" s="24"/>
      <c r="U61" s="24"/>
      <c r="V61" s="119"/>
    </row>
    <row r="62" spans="4:22" s="51" customFormat="1" ht="13.5" customHeight="1" x14ac:dyDescent="0.4">
      <c r="D62" s="118"/>
      <c r="E62" s="52"/>
      <c r="F62" s="52"/>
      <c r="H62" s="123" t="s">
        <v>564</v>
      </c>
      <c r="I62" s="247" t="s">
        <v>625</v>
      </c>
      <c r="R62" s="24"/>
      <c r="S62" s="24"/>
      <c r="T62" s="24"/>
      <c r="U62" s="24"/>
      <c r="V62" s="119"/>
    </row>
    <row r="63" spans="4:22" s="51" customFormat="1" ht="13.5" customHeight="1" x14ac:dyDescent="0.4">
      <c r="D63" s="118"/>
      <c r="E63" s="52"/>
      <c r="F63" s="52"/>
      <c r="G63" s="240" t="s">
        <v>476</v>
      </c>
      <c r="H63" s="259" t="s">
        <v>485</v>
      </c>
      <c r="I63" s="248"/>
      <c r="R63" s="24"/>
      <c r="S63" s="24"/>
      <c r="T63" s="24"/>
      <c r="U63" s="24"/>
      <c r="V63" s="119"/>
    </row>
    <row r="64" spans="4:22" s="51" customFormat="1" ht="13.5" customHeight="1" x14ac:dyDescent="0.4">
      <c r="D64" s="118"/>
      <c r="E64" s="52"/>
      <c r="F64" s="52"/>
      <c r="G64" s="241"/>
      <c r="H64" s="237"/>
      <c r="I64" s="248"/>
      <c r="R64" s="24"/>
      <c r="S64" s="24"/>
      <c r="T64" s="24"/>
      <c r="U64" s="24"/>
      <c r="V64" s="119"/>
    </row>
    <row r="65" spans="4:22" s="51" customFormat="1" ht="13.5" customHeight="1" x14ac:dyDescent="0.4">
      <c r="D65" s="118"/>
      <c r="E65" s="52"/>
      <c r="F65" s="52"/>
      <c r="G65" s="241"/>
      <c r="H65" s="237"/>
      <c r="I65" s="248"/>
      <c r="R65" s="24"/>
      <c r="S65" s="24"/>
      <c r="T65" s="24"/>
      <c r="U65" s="24"/>
      <c r="V65" s="119"/>
    </row>
    <row r="66" spans="4:22" s="51" customFormat="1" ht="13.5" customHeight="1" x14ac:dyDescent="0.4">
      <c r="D66" s="118"/>
      <c r="E66" s="52"/>
      <c r="F66" s="52"/>
      <c r="G66" s="241"/>
      <c r="H66" s="237"/>
      <c r="I66" s="248"/>
      <c r="R66" s="24"/>
      <c r="S66" s="24"/>
      <c r="T66" s="24"/>
      <c r="U66" s="24"/>
      <c r="V66" s="119"/>
    </row>
    <row r="67" spans="4:22" s="51" customFormat="1" ht="13.5" customHeight="1" x14ac:dyDescent="0.4">
      <c r="D67" s="118"/>
      <c r="E67" s="52"/>
      <c r="F67" s="52"/>
      <c r="G67" s="241"/>
      <c r="H67" s="237"/>
      <c r="I67" s="248"/>
      <c r="R67" s="24"/>
      <c r="S67" s="24"/>
      <c r="T67" s="24"/>
      <c r="U67" s="24"/>
      <c r="V67" s="119"/>
    </row>
    <row r="68" spans="4:22" s="51" customFormat="1" ht="13.5" customHeight="1" x14ac:dyDescent="0.4">
      <c r="D68" s="118"/>
      <c r="E68" s="52"/>
      <c r="F68" s="52"/>
      <c r="G68" s="242"/>
      <c r="H68" s="238"/>
      <c r="I68" s="249"/>
      <c r="R68" s="24"/>
      <c r="S68" s="24"/>
      <c r="T68" s="24"/>
      <c r="U68" s="24"/>
      <c r="V68" s="119"/>
    </row>
    <row r="69" spans="4:22" s="51" customFormat="1" ht="13.5" x14ac:dyDescent="0.4">
      <c r="D69" s="118"/>
      <c r="E69" s="124" t="s">
        <v>379</v>
      </c>
      <c r="F69" s="124"/>
      <c r="H69" s="126">
        <v>-50</v>
      </c>
      <c r="I69" s="139"/>
      <c r="R69" s="24"/>
      <c r="S69" s="24"/>
      <c r="T69" s="24"/>
      <c r="U69" s="24"/>
      <c r="V69" s="119"/>
    </row>
    <row r="70" spans="4:22" s="51" customFormat="1" ht="13.5" x14ac:dyDescent="0.4">
      <c r="D70" s="118"/>
      <c r="E70" s="124" t="s">
        <v>478</v>
      </c>
      <c r="F70" s="124"/>
      <c r="H70" s="230">
        <v>350</v>
      </c>
      <c r="I70" s="230"/>
      <c r="R70" s="24"/>
      <c r="S70" s="24"/>
      <c r="T70" s="24"/>
      <c r="U70" s="24"/>
      <c r="V70" s="119"/>
    </row>
    <row r="71" spans="4:22" s="51" customFormat="1" ht="13.5" x14ac:dyDescent="0.4">
      <c r="D71" s="118"/>
      <c r="E71" s="124"/>
      <c r="F71" s="124"/>
      <c r="I71" s="52"/>
      <c r="R71" s="24"/>
      <c r="S71" s="24"/>
      <c r="T71" s="24"/>
      <c r="U71" s="24"/>
      <c r="V71" s="119"/>
    </row>
    <row r="72" spans="4:22" s="51" customFormat="1" ht="13.5" x14ac:dyDescent="0.4">
      <c r="D72" s="118"/>
      <c r="E72" s="124" t="s">
        <v>479</v>
      </c>
      <c r="F72" s="124"/>
      <c r="I72" s="52"/>
      <c r="R72" s="24"/>
      <c r="S72" s="24"/>
      <c r="T72" s="24"/>
      <c r="U72" s="24"/>
      <c r="V72" s="119"/>
    </row>
    <row r="73" spans="4:22" s="51" customFormat="1" ht="13.5" customHeight="1" x14ac:dyDescent="0.4">
      <c r="D73" s="118"/>
      <c r="E73" s="128" t="s">
        <v>480</v>
      </c>
      <c r="F73" s="128"/>
      <c r="H73" s="136">
        <v>91121</v>
      </c>
      <c r="I73" s="230" t="s">
        <v>487</v>
      </c>
      <c r="R73" s="24"/>
      <c r="S73" s="24"/>
      <c r="T73" s="24"/>
      <c r="U73" s="24"/>
      <c r="V73" s="119"/>
    </row>
    <row r="74" spans="4:22" s="51" customFormat="1" ht="13.5" customHeight="1" x14ac:dyDescent="0.4">
      <c r="D74" s="118"/>
      <c r="E74" s="128" t="s">
        <v>481</v>
      </c>
      <c r="F74" s="128"/>
      <c r="H74" s="135">
        <v>0</v>
      </c>
      <c r="I74" s="230"/>
      <c r="R74" s="24"/>
      <c r="S74" s="24"/>
      <c r="T74" s="24"/>
      <c r="U74" s="24"/>
      <c r="V74" s="119"/>
    </row>
    <row r="75" spans="4:22" s="51" customFormat="1" ht="13.5" x14ac:dyDescent="0.4">
      <c r="D75" s="118"/>
      <c r="E75" s="128" t="s">
        <v>482</v>
      </c>
      <c r="F75" s="128"/>
      <c r="H75" s="135" t="s">
        <v>484</v>
      </c>
      <c r="I75" s="230"/>
      <c r="R75" s="24"/>
      <c r="S75" s="24"/>
      <c r="T75" s="24"/>
      <c r="U75" s="24"/>
      <c r="V75" s="119"/>
    </row>
    <row r="76" spans="4:22" s="51" customFormat="1" ht="27" x14ac:dyDescent="0.4">
      <c r="D76" s="118"/>
      <c r="E76" s="124" t="s">
        <v>379</v>
      </c>
      <c r="F76" s="124"/>
      <c r="H76" s="150" t="s">
        <v>626</v>
      </c>
      <c r="I76" s="230"/>
      <c r="R76" s="24"/>
      <c r="S76" s="24"/>
      <c r="T76" s="24"/>
      <c r="U76" s="24"/>
      <c r="V76" s="119"/>
    </row>
    <row r="77" spans="4:22" s="51" customFormat="1" ht="14.25" thickBot="1" x14ac:dyDescent="0.45">
      <c r="D77" s="129"/>
      <c r="E77" s="130"/>
      <c r="F77" s="130"/>
      <c r="G77" s="130"/>
      <c r="H77" s="130"/>
      <c r="I77" s="131"/>
      <c r="J77" s="132"/>
      <c r="K77" s="132"/>
      <c r="L77" s="132"/>
      <c r="M77" s="132"/>
      <c r="N77" s="132"/>
      <c r="O77" s="132"/>
      <c r="P77" s="132"/>
      <c r="Q77" s="132"/>
      <c r="R77" s="174"/>
      <c r="S77" s="174"/>
      <c r="T77" s="174"/>
      <c r="U77" s="174"/>
      <c r="V77" s="133"/>
    </row>
    <row r="78" spans="4:22" s="51" customFormat="1" ht="13.5" x14ac:dyDescent="0.4">
      <c r="D78" s="114" t="s">
        <v>474</v>
      </c>
      <c r="E78" s="115"/>
      <c r="F78" s="115"/>
      <c r="G78" s="115"/>
      <c r="H78" s="115"/>
      <c r="I78" s="115"/>
      <c r="J78" s="116"/>
      <c r="K78" s="116"/>
      <c r="L78" s="116"/>
      <c r="M78" s="116"/>
      <c r="N78" s="116"/>
      <c r="O78" s="116"/>
      <c r="P78" s="116"/>
      <c r="Q78" s="116"/>
      <c r="R78" s="173"/>
      <c r="S78" s="173"/>
      <c r="T78" s="173"/>
      <c r="U78" s="173"/>
      <c r="V78" s="117"/>
    </row>
    <row r="79" spans="4:22" s="51" customFormat="1" ht="13.5" x14ac:dyDescent="0.4">
      <c r="D79" s="118">
        <v>4</v>
      </c>
      <c r="E79" s="14" t="s">
        <v>697</v>
      </c>
      <c r="F79" s="14"/>
      <c r="G79" s="14"/>
      <c r="H79" s="52"/>
      <c r="I79" s="52"/>
      <c r="R79" s="24"/>
      <c r="S79" s="24"/>
      <c r="T79" s="24"/>
      <c r="U79" s="24"/>
      <c r="V79" s="119"/>
    </row>
    <row r="80" spans="4:22" s="51" customFormat="1" ht="13.5" x14ac:dyDescent="0.4">
      <c r="D80" s="118"/>
      <c r="E80" s="14" t="s">
        <v>692</v>
      </c>
      <c r="F80" s="14"/>
      <c r="G80" s="14"/>
      <c r="H80" s="52"/>
      <c r="I80" s="52"/>
      <c r="R80" s="24"/>
      <c r="S80" s="24"/>
      <c r="T80" s="24"/>
      <c r="U80" s="24"/>
      <c r="V80" s="119"/>
    </row>
    <row r="81" spans="4:22" s="51" customFormat="1" ht="13.5" x14ac:dyDescent="0.4">
      <c r="D81" s="118"/>
      <c r="E81" s="14"/>
      <c r="F81" s="14"/>
      <c r="G81" s="14"/>
      <c r="H81" s="52"/>
      <c r="I81" s="52"/>
      <c r="R81" s="24"/>
      <c r="S81" s="24"/>
      <c r="T81" s="24"/>
      <c r="U81" s="24"/>
      <c r="V81" s="119"/>
    </row>
    <row r="82" spans="4:22" s="52" customFormat="1" ht="13.5" x14ac:dyDescent="0.4">
      <c r="D82" s="118"/>
      <c r="E82" s="52" t="s">
        <v>475</v>
      </c>
      <c r="H82" s="52" t="str">
        <f>H84&amp;"円に特売（タイムサービス売価）設定"</f>
        <v>250円に特売（タイムサービス売価）設定</v>
      </c>
      <c r="I82" s="52" t="str">
        <f>I84&amp;"円にレジでの売価変更"</f>
        <v>200円にレジでの売価変更</v>
      </c>
      <c r="K82" s="51"/>
      <c r="L82" s="51"/>
      <c r="M82" s="51"/>
      <c r="N82" s="51"/>
      <c r="O82" s="51"/>
      <c r="P82" s="51"/>
      <c r="Q82" s="51"/>
      <c r="R82" s="24"/>
      <c r="S82" s="24"/>
      <c r="T82" s="24"/>
      <c r="U82" s="24"/>
      <c r="V82" s="121"/>
    </row>
    <row r="83" spans="4:22" s="51" customFormat="1" ht="13.5" x14ac:dyDescent="0.4">
      <c r="D83" s="118"/>
      <c r="E83" s="122"/>
      <c r="F83" s="122"/>
      <c r="G83" s="14"/>
      <c r="R83" s="24"/>
      <c r="S83" s="24"/>
      <c r="T83" s="24"/>
      <c r="U83" s="24"/>
      <c r="V83" s="119"/>
    </row>
    <row r="84" spans="4:22" s="51" customFormat="1" ht="13.5" x14ac:dyDescent="0.4">
      <c r="D84" s="118"/>
      <c r="E84" s="122" t="s">
        <v>621</v>
      </c>
      <c r="F84" s="122"/>
      <c r="G84" s="52"/>
      <c r="H84" s="52">
        <v>250</v>
      </c>
      <c r="I84" s="52">
        <v>200</v>
      </c>
      <c r="R84" s="24"/>
      <c r="S84" s="24"/>
      <c r="T84" s="24"/>
      <c r="U84" s="24"/>
      <c r="V84" s="119"/>
    </row>
    <row r="85" spans="4:22" s="51" customFormat="1" ht="13.5" x14ac:dyDescent="0.4">
      <c r="D85" s="118"/>
      <c r="E85" s="52"/>
      <c r="F85" s="52"/>
      <c r="G85" s="52"/>
      <c r="I85" s="52"/>
      <c r="R85" s="24"/>
      <c r="S85" s="24"/>
      <c r="T85" s="24"/>
      <c r="U85" s="24"/>
      <c r="V85" s="119"/>
    </row>
    <row r="86" spans="4:22" s="51" customFormat="1" ht="13.5" customHeight="1" x14ac:dyDescent="0.4">
      <c r="D86" s="118"/>
      <c r="E86" s="52"/>
      <c r="F86" s="52"/>
      <c r="G86" s="52"/>
      <c r="I86" s="52"/>
      <c r="R86" s="24"/>
      <c r="S86" s="24"/>
      <c r="T86" s="24"/>
      <c r="U86" s="24"/>
      <c r="V86" s="119"/>
    </row>
    <row r="87" spans="4:22" s="51" customFormat="1" ht="13.5" customHeight="1" x14ac:dyDescent="0.4">
      <c r="D87" s="118"/>
      <c r="E87" s="52"/>
      <c r="F87" s="52"/>
      <c r="G87" s="52"/>
      <c r="R87" s="24"/>
      <c r="S87" s="24"/>
      <c r="T87" s="24"/>
      <c r="U87" s="24"/>
      <c r="V87" s="119"/>
    </row>
    <row r="88" spans="4:22" s="51" customFormat="1" ht="13.5" customHeight="1" x14ac:dyDescent="0.4">
      <c r="D88" s="118"/>
      <c r="E88" s="52"/>
      <c r="F88" s="52"/>
      <c r="G88" s="240" t="s">
        <v>476</v>
      </c>
      <c r="H88" s="123" t="s">
        <v>477</v>
      </c>
      <c r="R88" s="24"/>
      <c r="S88" s="24"/>
      <c r="T88" s="24"/>
      <c r="U88" s="24"/>
      <c r="V88" s="119"/>
    </row>
    <row r="89" spans="4:22" s="51" customFormat="1" ht="13.5" customHeight="1" x14ac:dyDescent="0.4">
      <c r="D89" s="118"/>
      <c r="E89" s="52"/>
      <c r="F89" s="52"/>
      <c r="G89" s="241"/>
      <c r="H89" s="259" t="s">
        <v>483</v>
      </c>
      <c r="I89" s="123" t="s">
        <v>477</v>
      </c>
      <c r="R89" s="24"/>
      <c r="S89" s="24"/>
      <c r="T89" s="24"/>
      <c r="U89" s="24"/>
      <c r="V89" s="119"/>
    </row>
    <row r="90" spans="4:22" s="51" customFormat="1" ht="13.5" customHeight="1" x14ac:dyDescent="0.4">
      <c r="D90" s="118"/>
      <c r="E90" s="52"/>
      <c r="F90" s="52"/>
      <c r="G90" s="241"/>
      <c r="H90" s="264"/>
      <c r="I90" s="234" t="s">
        <v>627</v>
      </c>
      <c r="R90" s="24"/>
      <c r="S90" s="24"/>
      <c r="T90" s="24"/>
      <c r="U90" s="24"/>
      <c r="V90" s="119"/>
    </row>
    <row r="91" spans="4:22" s="51" customFormat="1" ht="13.5" customHeight="1" x14ac:dyDescent="0.4">
      <c r="D91" s="118"/>
      <c r="E91" s="52"/>
      <c r="F91" s="52"/>
      <c r="G91" s="241"/>
      <c r="H91" s="264"/>
      <c r="I91" s="237"/>
      <c r="R91" s="24"/>
      <c r="S91" s="24"/>
      <c r="T91" s="24"/>
      <c r="U91" s="24"/>
      <c r="V91" s="119"/>
    </row>
    <row r="92" spans="4:22" s="51" customFormat="1" ht="13.5" customHeight="1" x14ac:dyDescent="0.4">
      <c r="D92" s="118"/>
      <c r="E92" s="52"/>
      <c r="F92" s="52"/>
      <c r="G92" s="241"/>
      <c r="H92" s="264"/>
      <c r="I92" s="237"/>
      <c r="R92" s="24"/>
      <c r="S92" s="24"/>
      <c r="T92" s="24"/>
      <c r="U92" s="24"/>
      <c r="V92" s="119"/>
    </row>
    <row r="93" spans="4:22" s="51" customFormat="1" ht="13.5" customHeight="1" x14ac:dyDescent="0.4">
      <c r="D93" s="118"/>
      <c r="E93" s="52"/>
      <c r="F93" s="52"/>
      <c r="G93" s="242"/>
      <c r="H93" s="265"/>
      <c r="I93" s="238"/>
      <c r="R93" s="24"/>
      <c r="S93" s="24"/>
      <c r="T93" s="24"/>
      <c r="U93" s="24"/>
      <c r="V93" s="119"/>
    </row>
    <row r="94" spans="4:22" s="51" customFormat="1" ht="13.5" x14ac:dyDescent="0.4">
      <c r="D94" s="118"/>
      <c r="E94" s="124" t="s">
        <v>379</v>
      </c>
      <c r="F94" s="124"/>
      <c r="G94" s="124"/>
      <c r="H94" s="127">
        <v>50</v>
      </c>
      <c r="I94" s="127">
        <v>50</v>
      </c>
      <c r="R94" s="24"/>
      <c r="S94" s="24"/>
      <c r="T94" s="24"/>
      <c r="U94" s="24"/>
      <c r="V94" s="119"/>
    </row>
    <row r="95" spans="4:22" s="51" customFormat="1" ht="13.5" x14ac:dyDescent="0.4">
      <c r="D95" s="118"/>
      <c r="E95" s="124" t="s">
        <v>478</v>
      </c>
      <c r="F95" s="124"/>
      <c r="G95" s="124"/>
      <c r="H95" s="230">
        <v>200</v>
      </c>
      <c r="I95" s="230"/>
      <c r="R95" s="24"/>
      <c r="S95" s="24"/>
      <c r="T95" s="24"/>
      <c r="U95" s="24"/>
      <c r="V95" s="119"/>
    </row>
    <row r="96" spans="4:22" s="51" customFormat="1" ht="13.5" x14ac:dyDescent="0.4">
      <c r="D96" s="118"/>
      <c r="E96" s="124"/>
      <c r="F96" s="124"/>
      <c r="G96" s="124"/>
      <c r="H96" s="52"/>
      <c r="R96" s="24"/>
      <c r="S96" s="24"/>
      <c r="T96" s="24"/>
      <c r="U96" s="24"/>
      <c r="V96" s="119"/>
    </row>
    <row r="97" spans="4:22" s="51" customFormat="1" ht="13.5" x14ac:dyDescent="0.4">
      <c r="D97" s="118"/>
      <c r="E97" s="124" t="s">
        <v>479</v>
      </c>
      <c r="F97" s="124"/>
      <c r="G97" s="124"/>
      <c r="H97" s="52"/>
      <c r="I97" s="52"/>
      <c r="R97" s="24"/>
      <c r="S97" s="24"/>
      <c r="T97" s="24"/>
      <c r="U97" s="24"/>
      <c r="V97" s="119"/>
    </row>
    <row r="98" spans="4:22" s="51" customFormat="1" ht="13.5" customHeight="1" x14ac:dyDescent="0.4">
      <c r="D98" s="118"/>
      <c r="E98" s="128" t="s">
        <v>480</v>
      </c>
      <c r="F98" s="128"/>
      <c r="G98" s="124"/>
      <c r="H98" s="136">
        <v>91121</v>
      </c>
      <c r="I98" s="52">
        <v>91220</v>
      </c>
      <c r="R98" s="24"/>
      <c r="S98" s="24"/>
      <c r="T98" s="24"/>
      <c r="U98" s="24"/>
      <c r="V98" s="119"/>
    </row>
    <row r="99" spans="4:22" s="51" customFormat="1" ht="13.5" customHeight="1" x14ac:dyDescent="0.4">
      <c r="D99" s="118"/>
      <c r="E99" s="128" t="s">
        <v>481</v>
      </c>
      <c r="F99" s="128"/>
      <c r="G99" s="124"/>
      <c r="H99" s="135">
        <v>0</v>
      </c>
      <c r="I99" s="52">
        <v>6</v>
      </c>
      <c r="R99" s="24"/>
      <c r="S99" s="24"/>
      <c r="T99" s="24"/>
      <c r="U99" s="24"/>
      <c r="V99" s="119"/>
    </row>
    <row r="100" spans="4:22" s="51" customFormat="1" ht="13.5" x14ac:dyDescent="0.4">
      <c r="D100" s="118"/>
      <c r="E100" s="128" t="s">
        <v>482</v>
      </c>
      <c r="F100" s="128"/>
      <c r="G100" s="124"/>
      <c r="H100" s="135" t="s">
        <v>484</v>
      </c>
      <c r="I100" s="124" t="s">
        <v>468</v>
      </c>
      <c r="R100" s="24"/>
      <c r="S100" s="24"/>
      <c r="T100" s="24"/>
      <c r="U100" s="24"/>
      <c r="V100" s="119"/>
    </row>
    <row r="101" spans="4:22" s="51" customFormat="1" ht="27" x14ac:dyDescent="0.4">
      <c r="D101" s="118"/>
      <c r="E101" s="124" t="s">
        <v>379</v>
      </c>
      <c r="F101" s="124"/>
      <c r="G101" s="124"/>
      <c r="H101" s="136" t="s">
        <v>701</v>
      </c>
      <c r="I101" s="124" t="s">
        <v>702</v>
      </c>
      <c r="R101" s="24"/>
      <c r="S101" s="24"/>
      <c r="T101" s="24"/>
      <c r="U101" s="24"/>
      <c r="V101" s="119"/>
    </row>
    <row r="102" spans="4:22" s="51" customFormat="1" ht="14.25" thickBot="1" x14ac:dyDescent="0.45">
      <c r="D102" s="129"/>
      <c r="E102" s="130"/>
      <c r="F102" s="130"/>
      <c r="G102" s="130"/>
      <c r="H102" s="130"/>
      <c r="I102" s="131"/>
      <c r="J102" s="132"/>
      <c r="K102" s="132"/>
      <c r="L102" s="132"/>
      <c r="M102" s="132"/>
      <c r="N102" s="132"/>
      <c r="O102" s="132"/>
      <c r="P102" s="132"/>
      <c r="Q102" s="132"/>
      <c r="R102" s="174"/>
      <c r="S102" s="174"/>
      <c r="T102" s="174"/>
      <c r="U102" s="174"/>
      <c r="V102" s="133"/>
    </row>
    <row r="103" spans="4:22" s="51" customFormat="1" ht="13.5" x14ac:dyDescent="0.4">
      <c r="D103" s="114" t="s">
        <v>474</v>
      </c>
      <c r="E103" s="115"/>
      <c r="F103" s="115"/>
      <c r="G103" s="115"/>
      <c r="H103" s="115"/>
      <c r="I103" s="115"/>
      <c r="J103" s="116"/>
      <c r="K103" s="116"/>
      <c r="L103" s="116"/>
      <c r="M103" s="116"/>
      <c r="N103" s="116"/>
      <c r="O103" s="116"/>
      <c r="P103" s="116"/>
      <c r="Q103" s="116"/>
      <c r="R103" s="173"/>
      <c r="S103" s="173"/>
      <c r="T103" s="173"/>
      <c r="U103" s="173"/>
      <c r="V103" s="117"/>
    </row>
    <row r="104" spans="4:22" s="51" customFormat="1" ht="13.5" x14ac:dyDescent="0.4">
      <c r="D104" s="118">
        <v>5</v>
      </c>
      <c r="E104" s="14" t="s">
        <v>697</v>
      </c>
      <c r="F104" s="14"/>
      <c r="G104" s="14"/>
      <c r="H104" s="52"/>
      <c r="I104" s="52"/>
      <c r="R104" s="24"/>
      <c r="S104" s="24"/>
      <c r="T104" s="24"/>
      <c r="U104" s="24"/>
      <c r="V104" s="119"/>
    </row>
    <row r="105" spans="4:22" s="51" customFormat="1" ht="13.5" x14ac:dyDescent="0.4">
      <c r="D105" s="118"/>
      <c r="E105" s="14" t="s">
        <v>695</v>
      </c>
      <c r="F105" s="14"/>
      <c r="G105" s="14"/>
      <c r="H105" s="52"/>
      <c r="I105" s="52"/>
      <c r="R105" s="24"/>
      <c r="S105" s="24"/>
      <c r="T105" s="24"/>
      <c r="U105" s="24"/>
      <c r="V105" s="119"/>
    </row>
    <row r="106" spans="4:22" s="51" customFormat="1" ht="13.5" x14ac:dyDescent="0.4">
      <c r="D106" s="118"/>
      <c r="E106" s="14"/>
      <c r="F106" s="14"/>
      <c r="G106" s="14"/>
      <c r="H106" s="52"/>
      <c r="I106" s="52"/>
      <c r="R106" s="24"/>
      <c r="S106" s="24"/>
      <c r="T106" s="24"/>
      <c r="U106" s="24"/>
      <c r="V106" s="119"/>
    </row>
    <row r="107" spans="4:22" s="52" customFormat="1" ht="13.5" x14ac:dyDescent="0.4">
      <c r="D107" s="118"/>
      <c r="E107" s="52" t="s">
        <v>475</v>
      </c>
      <c r="G107" s="51"/>
      <c r="H107" s="52" t="str">
        <f>H109&amp;"円に特売（タイムサービス売価）設定"</f>
        <v>250円に特売（タイムサービス売価）設定</v>
      </c>
      <c r="I107" s="52" t="str">
        <f>I109&amp;"円にレジでの売価変更"</f>
        <v>250円にレジでの売価変更</v>
      </c>
      <c r="K107" s="51"/>
      <c r="L107" s="51"/>
      <c r="M107" s="51"/>
      <c r="N107" s="51"/>
      <c r="O107" s="51"/>
      <c r="P107" s="51"/>
      <c r="Q107" s="51"/>
      <c r="R107" s="24"/>
      <c r="S107" s="24"/>
      <c r="T107" s="24"/>
      <c r="U107" s="24"/>
      <c r="V107" s="121"/>
    </row>
    <row r="108" spans="4:22" s="51" customFormat="1" ht="13.5" x14ac:dyDescent="0.4">
      <c r="D108" s="118"/>
      <c r="E108" s="122"/>
      <c r="F108" s="122"/>
      <c r="R108" s="24"/>
      <c r="S108" s="24"/>
      <c r="T108" s="24"/>
      <c r="U108" s="24"/>
      <c r="V108" s="119"/>
    </row>
    <row r="109" spans="4:22" s="51" customFormat="1" ht="13.5" x14ac:dyDescent="0.4">
      <c r="D109" s="118"/>
      <c r="E109" s="122" t="s">
        <v>621</v>
      </c>
      <c r="F109" s="122"/>
      <c r="H109" s="52">
        <v>250</v>
      </c>
      <c r="I109" s="52">
        <v>250</v>
      </c>
      <c r="R109" s="24"/>
      <c r="S109" s="24"/>
      <c r="T109" s="24"/>
      <c r="U109" s="24"/>
      <c r="V109" s="119"/>
    </row>
    <row r="110" spans="4:22" s="51" customFormat="1" ht="13.5" x14ac:dyDescent="0.4">
      <c r="D110" s="118"/>
      <c r="E110" s="52"/>
      <c r="F110" s="52"/>
      <c r="R110" s="24"/>
      <c r="S110" s="24"/>
      <c r="T110" s="24"/>
      <c r="U110" s="24"/>
      <c r="V110" s="119"/>
    </row>
    <row r="111" spans="4:22" s="51" customFormat="1" ht="13.5" customHeight="1" x14ac:dyDescent="0.4">
      <c r="D111" s="118"/>
      <c r="E111" s="52"/>
      <c r="F111" s="52"/>
      <c r="R111" s="24"/>
      <c r="S111" s="24"/>
      <c r="T111" s="24"/>
      <c r="U111" s="24"/>
      <c r="V111" s="119"/>
    </row>
    <row r="112" spans="4:22" s="51" customFormat="1" ht="13.5" customHeight="1" x14ac:dyDescent="0.4">
      <c r="D112" s="118"/>
      <c r="E112" s="52"/>
      <c r="F112" s="52"/>
      <c r="R112" s="24"/>
      <c r="S112" s="24"/>
      <c r="T112" s="24"/>
      <c r="U112" s="24"/>
      <c r="V112" s="119"/>
    </row>
    <row r="113" spans="4:22" s="51" customFormat="1" ht="13.5" customHeight="1" x14ac:dyDescent="0.4">
      <c r="D113" s="118"/>
      <c r="E113" s="52"/>
      <c r="F113" s="52"/>
      <c r="G113" s="240" t="s">
        <v>476</v>
      </c>
      <c r="I113" s="123" t="s">
        <v>477</v>
      </c>
      <c r="R113" s="24"/>
      <c r="S113" s="24"/>
      <c r="T113" s="24"/>
      <c r="U113" s="24"/>
      <c r="V113" s="119"/>
    </row>
    <row r="114" spans="4:22" s="51" customFormat="1" ht="13.5" customHeight="1" x14ac:dyDescent="0.4">
      <c r="D114" s="118"/>
      <c r="E114" s="52"/>
      <c r="F114" s="52"/>
      <c r="G114" s="241"/>
      <c r="H114" s="259" t="s">
        <v>483</v>
      </c>
      <c r="I114" s="247" t="s">
        <v>622</v>
      </c>
      <c r="R114" s="24"/>
      <c r="S114" s="24"/>
      <c r="T114" s="24"/>
      <c r="U114" s="24"/>
      <c r="V114" s="119"/>
    </row>
    <row r="115" spans="4:22" s="51" customFormat="1" ht="13.5" customHeight="1" x14ac:dyDescent="0.4">
      <c r="D115" s="118"/>
      <c r="E115" s="52"/>
      <c r="F115" s="52"/>
      <c r="G115" s="241"/>
      <c r="H115" s="264"/>
      <c r="I115" s="248"/>
      <c r="R115" s="24"/>
      <c r="S115" s="24"/>
      <c r="T115" s="24"/>
      <c r="U115" s="24"/>
      <c r="V115" s="119"/>
    </row>
    <row r="116" spans="4:22" s="51" customFormat="1" ht="13.5" customHeight="1" x14ac:dyDescent="0.4">
      <c r="D116" s="118"/>
      <c r="E116" s="52"/>
      <c r="F116" s="52"/>
      <c r="G116" s="241"/>
      <c r="H116" s="264"/>
      <c r="I116" s="248"/>
      <c r="R116" s="24"/>
      <c r="S116" s="24"/>
      <c r="T116" s="24"/>
      <c r="U116" s="24"/>
      <c r="V116" s="119"/>
    </row>
    <row r="117" spans="4:22" s="51" customFormat="1" ht="13.5" customHeight="1" x14ac:dyDescent="0.4">
      <c r="D117" s="118"/>
      <c r="E117" s="52"/>
      <c r="F117" s="52"/>
      <c r="G117" s="241"/>
      <c r="H117" s="264"/>
      <c r="I117" s="248"/>
      <c r="R117" s="24"/>
      <c r="S117" s="24"/>
      <c r="T117" s="24"/>
      <c r="U117" s="24"/>
      <c r="V117" s="119"/>
    </row>
    <row r="118" spans="4:22" s="51" customFormat="1" ht="13.5" customHeight="1" x14ac:dyDescent="0.4">
      <c r="D118" s="118"/>
      <c r="E118" s="52"/>
      <c r="F118" s="52"/>
      <c r="G118" s="242"/>
      <c r="H118" s="265"/>
      <c r="I118" s="249"/>
      <c r="R118" s="24"/>
      <c r="S118" s="24"/>
      <c r="T118" s="24"/>
      <c r="U118" s="24"/>
      <c r="V118" s="119"/>
    </row>
    <row r="119" spans="4:22" s="51" customFormat="1" ht="13.5" x14ac:dyDescent="0.4">
      <c r="D119" s="118"/>
      <c r="E119" s="124" t="s">
        <v>379</v>
      </c>
      <c r="F119" s="124"/>
      <c r="G119" s="124"/>
      <c r="H119" s="139"/>
      <c r="I119" s="139">
        <v>50</v>
      </c>
      <c r="R119" s="24"/>
      <c r="S119" s="24"/>
      <c r="T119" s="24"/>
      <c r="U119" s="24"/>
      <c r="V119" s="119"/>
    </row>
    <row r="120" spans="4:22" s="51" customFormat="1" ht="13.5" x14ac:dyDescent="0.4">
      <c r="D120" s="118"/>
      <c r="E120" s="124" t="s">
        <v>478</v>
      </c>
      <c r="F120" s="124"/>
      <c r="G120" s="124"/>
      <c r="H120" s="230">
        <v>250</v>
      </c>
      <c r="I120" s="230"/>
      <c r="R120" s="24"/>
      <c r="S120" s="24"/>
      <c r="T120" s="24"/>
      <c r="U120" s="24"/>
      <c r="V120" s="119"/>
    </row>
    <row r="121" spans="4:22" s="51" customFormat="1" ht="13.5" x14ac:dyDescent="0.4">
      <c r="D121" s="118"/>
      <c r="E121" s="124"/>
      <c r="F121" s="124"/>
      <c r="G121" s="124"/>
      <c r="H121" s="52"/>
      <c r="R121" s="24"/>
      <c r="S121" s="24"/>
      <c r="T121" s="24"/>
      <c r="U121" s="24"/>
      <c r="V121" s="119"/>
    </row>
    <row r="122" spans="4:22" s="51" customFormat="1" ht="13.5" x14ac:dyDescent="0.4">
      <c r="D122" s="118"/>
      <c r="E122" s="124" t="s">
        <v>479</v>
      </c>
      <c r="F122" s="124"/>
      <c r="G122" s="124"/>
      <c r="H122" s="52"/>
      <c r="I122" s="52"/>
      <c r="R122" s="24"/>
      <c r="S122" s="24"/>
      <c r="T122" s="24"/>
      <c r="U122" s="24"/>
      <c r="V122" s="119"/>
    </row>
    <row r="123" spans="4:22" s="51" customFormat="1" ht="13.5" customHeight="1" x14ac:dyDescent="0.4">
      <c r="D123" s="118"/>
      <c r="E123" s="128" t="s">
        <v>480</v>
      </c>
      <c r="F123" s="128"/>
      <c r="G123" s="124"/>
      <c r="I123" s="136">
        <v>91121</v>
      </c>
      <c r="R123" s="24"/>
      <c r="S123" s="24"/>
      <c r="T123" s="24"/>
      <c r="U123" s="24"/>
      <c r="V123" s="119"/>
    </row>
    <row r="124" spans="4:22" s="51" customFormat="1" ht="13.5" customHeight="1" x14ac:dyDescent="0.4">
      <c r="D124" s="118"/>
      <c r="E124" s="128" t="s">
        <v>481</v>
      </c>
      <c r="F124" s="128"/>
      <c r="G124" s="124"/>
      <c r="I124" s="135">
        <v>0</v>
      </c>
      <c r="R124" s="24"/>
      <c r="S124" s="24"/>
      <c r="T124" s="24"/>
      <c r="U124" s="24"/>
      <c r="V124" s="119"/>
    </row>
    <row r="125" spans="4:22" s="51" customFormat="1" ht="13.5" x14ac:dyDescent="0.4">
      <c r="D125" s="118"/>
      <c r="E125" s="128" t="s">
        <v>482</v>
      </c>
      <c r="F125" s="128"/>
      <c r="G125" s="124"/>
      <c r="I125" s="135" t="s">
        <v>484</v>
      </c>
      <c r="R125" s="24"/>
      <c r="S125" s="24"/>
      <c r="T125" s="24"/>
      <c r="U125" s="24"/>
      <c r="V125" s="119"/>
    </row>
    <row r="126" spans="4:22" s="51" customFormat="1" ht="27" x14ac:dyDescent="0.4">
      <c r="D126" s="118"/>
      <c r="E126" s="124" t="s">
        <v>379</v>
      </c>
      <c r="F126" s="124"/>
      <c r="G126" s="124"/>
      <c r="I126" s="137" t="s">
        <v>623</v>
      </c>
      <c r="R126" s="24"/>
      <c r="S126" s="24"/>
      <c r="T126" s="24"/>
      <c r="U126" s="24"/>
      <c r="V126" s="119"/>
    </row>
    <row r="127" spans="4:22" s="51" customFormat="1" ht="13.5" x14ac:dyDescent="0.4">
      <c r="D127" s="118"/>
      <c r="E127" s="120" t="s">
        <v>628</v>
      </c>
      <c r="F127" s="124"/>
      <c r="G127" s="124"/>
      <c r="I127" s="137"/>
      <c r="R127" s="24"/>
      <c r="S127" s="24"/>
      <c r="T127" s="24"/>
      <c r="U127" s="24"/>
      <c r="V127" s="119"/>
    </row>
    <row r="128" spans="4:22" s="51" customFormat="1" ht="14.25" thickBot="1" x14ac:dyDescent="0.45">
      <c r="D128" s="129"/>
      <c r="E128" s="130"/>
      <c r="F128" s="130"/>
      <c r="G128" s="130"/>
      <c r="H128" s="130"/>
      <c r="I128" s="131"/>
      <c r="J128" s="132"/>
      <c r="K128" s="132"/>
      <c r="L128" s="132"/>
      <c r="M128" s="132"/>
      <c r="N128" s="132"/>
      <c r="O128" s="132"/>
      <c r="P128" s="132"/>
      <c r="Q128" s="132"/>
      <c r="R128" s="174"/>
      <c r="S128" s="174"/>
      <c r="T128" s="174"/>
      <c r="U128" s="174"/>
      <c r="V128" s="133"/>
    </row>
    <row r="129" spans="4:22" s="51" customFormat="1" ht="13.5" x14ac:dyDescent="0.4">
      <c r="D129" s="114" t="s">
        <v>474</v>
      </c>
      <c r="E129" s="115"/>
      <c r="F129" s="115"/>
      <c r="G129" s="115"/>
      <c r="H129" s="115"/>
      <c r="I129" s="115"/>
      <c r="J129" s="116"/>
      <c r="K129" s="116"/>
      <c r="L129" s="116"/>
      <c r="M129" s="116"/>
      <c r="N129" s="116"/>
      <c r="O129" s="116"/>
      <c r="P129" s="116"/>
      <c r="Q129" s="116"/>
      <c r="R129" s="173"/>
      <c r="S129" s="173"/>
      <c r="T129" s="173"/>
      <c r="U129" s="173"/>
      <c r="V129" s="117"/>
    </row>
    <row r="130" spans="4:22" s="51" customFormat="1" ht="13.5" x14ac:dyDescent="0.4">
      <c r="D130" s="118">
        <v>6</v>
      </c>
      <c r="E130" s="14" t="s">
        <v>697</v>
      </c>
      <c r="F130" s="14"/>
      <c r="G130" s="14"/>
      <c r="H130" s="52"/>
      <c r="I130" s="52"/>
      <c r="R130" s="24"/>
      <c r="S130" s="24"/>
      <c r="T130" s="24"/>
      <c r="U130" s="24"/>
      <c r="V130" s="119"/>
    </row>
    <row r="131" spans="4:22" s="51" customFormat="1" ht="13.5" x14ac:dyDescent="0.4">
      <c r="D131" s="118"/>
      <c r="E131" s="14" t="s">
        <v>696</v>
      </c>
      <c r="F131" s="14"/>
      <c r="G131" s="14"/>
      <c r="H131" s="52"/>
      <c r="I131" s="52"/>
      <c r="R131" s="24"/>
      <c r="S131" s="24"/>
      <c r="T131" s="24"/>
      <c r="U131" s="24"/>
      <c r="V131" s="119"/>
    </row>
    <row r="132" spans="4:22" s="51" customFormat="1" ht="13.5" x14ac:dyDescent="0.4">
      <c r="D132" s="118"/>
      <c r="E132" s="14"/>
      <c r="F132" s="14"/>
      <c r="G132" s="14"/>
      <c r="H132" s="52"/>
      <c r="I132" s="52"/>
      <c r="R132" s="24"/>
      <c r="S132" s="24"/>
      <c r="T132" s="24"/>
      <c r="U132" s="24"/>
      <c r="V132" s="119"/>
    </row>
    <row r="133" spans="4:22" s="52" customFormat="1" ht="13.5" x14ac:dyDescent="0.4">
      <c r="D133" s="118"/>
      <c r="E133" s="52" t="s">
        <v>475</v>
      </c>
      <c r="G133" s="51"/>
      <c r="H133" s="52" t="str">
        <f>H135&amp;"円に特売（タイムサービス売価）設定"</f>
        <v>250円に特売（タイムサービス売価）設定</v>
      </c>
      <c r="I133" s="52" t="str">
        <f>I135&amp;"円にレジでの売価変更"</f>
        <v>280円にレジでの売価変更</v>
      </c>
      <c r="K133" s="51"/>
      <c r="L133" s="52" t="str">
        <f>L135&amp;"円に特売（タイムサービス売価）設定"</f>
        <v>250円に特売（タイムサービス売価）設定</v>
      </c>
      <c r="M133" s="52" t="str">
        <f>M135&amp;"円にレジでの売価変更"</f>
        <v>300円にレジでの売価変更</v>
      </c>
      <c r="N133" s="51"/>
      <c r="O133" s="51"/>
      <c r="P133" s="52" t="str">
        <f>P135&amp;"円に特売（タイムサービス売価）設定"</f>
        <v>250円に特売（タイムサービス売価）設定</v>
      </c>
      <c r="Q133" s="52" t="str">
        <f>Q135&amp;"円にレジでの売価変更"</f>
        <v>350円にレジでの売価変更</v>
      </c>
      <c r="R133" s="1"/>
      <c r="S133" s="1"/>
      <c r="T133" s="1"/>
      <c r="U133" s="1"/>
      <c r="V133" s="121"/>
    </row>
    <row r="134" spans="4:22" s="51" customFormat="1" ht="13.5" x14ac:dyDescent="0.4">
      <c r="D134" s="118"/>
      <c r="E134" s="122"/>
      <c r="F134" s="122"/>
      <c r="R134" s="24"/>
      <c r="S134" s="24"/>
      <c r="T134" s="24"/>
      <c r="U134" s="24"/>
      <c r="V134" s="119"/>
    </row>
    <row r="135" spans="4:22" s="51" customFormat="1" ht="13.5" x14ac:dyDescent="0.4">
      <c r="D135" s="118"/>
      <c r="E135" s="122" t="s">
        <v>621</v>
      </c>
      <c r="F135" s="122"/>
      <c r="H135" s="52">
        <v>250</v>
      </c>
      <c r="I135" s="52">
        <v>280</v>
      </c>
      <c r="L135" s="52">
        <v>250</v>
      </c>
      <c r="M135" s="52">
        <v>300</v>
      </c>
      <c r="P135" s="52">
        <v>250</v>
      </c>
      <c r="Q135" s="52">
        <v>350</v>
      </c>
      <c r="R135" s="1"/>
      <c r="S135" s="1"/>
      <c r="T135" s="1"/>
      <c r="U135" s="1"/>
      <c r="V135" s="119"/>
    </row>
    <row r="136" spans="4:22" s="51" customFormat="1" ht="13.5" x14ac:dyDescent="0.4">
      <c r="D136" s="118"/>
      <c r="E136" s="52"/>
      <c r="F136" s="52"/>
      <c r="R136" s="24"/>
      <c r="S136" s="24"/>
      <c r="T136" s="24"/>
      <c r="U136" s="24"/>
      <c r="V136" s="119"/>
    </row>
    <row r="137" spans="4:22" s="51" customFormat="1" ht="13.5" customHeight="1" x14ac:dyDescent="0.4">
      <c r="D137" s="118"/>
      <c r="E137" s="52"/>
      <c r="F137" s="52"/>
      <c r="R137" s="24"/>
      <c r="S137" s="24"/>
      <c r="T137" s="24"/>
      <c r="U137" s="24"/>
      <c r="V137" s="119"/>
    </row>
    <row r="138" spans="4:22" s="51" customFormat="1" ht="13.5" customHeight="1" x14ac:dyDescent="0.4">
      <c r="D138" s="118"/>
      <c r="E138" s="52"/>
      <c r="F138" s="52"/>
      <c r="G138" s="240" t="s">
        <v>476</v>
      </c>
      <c r="I138" s="123" t="s">
        <v>565</v>
      </c>
      <c r="Q138" s="234" t="s">
        <v>625</v>
      </c>
      <c r="R138" s="175"/>
      <c r="S138" s="175"/>
      <c r="T138" s="175"/>
      <c r="U138" s="175"/>
      <c r="V138" s="119"/>
    </row>
    <row r="139" spans="4:22" s="51" customFormat="1" ht="13.5" customHeight="1" x14ac:dyDescent="0.4">
      <c r="D139" s="118"/>
      <c r="E139" s="52"/>
      <c r="F139" s="52"/>
      <c r="G139" s="243"/>
      <c r="I139" s="262" t="s">
        <v>629</v>
      </c>
      <c r="K139" s="240" t="s">
        <v>476</v>
      </c>
      <c r="M139" s="234" t="s">
        <v>624</v>
      </c>
      <c r="O139" s="240" t="s">
        <v>476</v>
      </c>
      <c r="Q139" s="235"/>
      <c r="R139" s="175"/>
      <c r="S139" s="175"/>
      <c r="T139" s="175"/>
      <c r="U139" s="175"/>
      <c r="V139" s="119"/>
    </row>
    <row r="140" spans="4:22" s="51" customFormat="1" ht="13.5" customHeight="1" x14ac:dyDescent="0.4">
      <c r="D140" s="118"/>
      <c r="E140" s="52"/>
      <c r="F140" s="52"/>
      <c r="G140" s="243"/>
      <c r="H140" s="259" t="s">
        <v>483</v>
      </c>
      <c r="I140" s="263"/>
      <c r="K140" s="241"/>
      <c r="L140" s="259" t="s">
        <v>483</v>
      </c>
      <c r="M140" s="235"/>
      <c r="O140" s="241"/>
      <c r="P140" s="259" t="s">
        <v>483</v>
      </c>
      <c r="Q140" s="235"/>
      <c r="R140" s="175"/>
      <c r="S140" s="175"/>
      <c r="T140" s="175"/>
      <c r="U140" s="175"/>
      <c r="V140" s="119"/>
    </row>
    <row r="141" spans="4:22" s="51" customFormat="1" ht="13.5" customHeight="1" x14ac:dyDescent="0.4">
      <c r="D141" s="118"/>
      <c r="E141" s="52"/>
      <c r="F141" s="52"/>
      <c r="G141" s="243"/>
      <c r="H141" s="264"/>
      <c r="I141" s="263"/>
      <c r="K141" s="241"/>
      <c r="L141" s="271"/>
      <c r="M141" s="235"/>
      <c r="O141" s="241"/>
      <c r="P141" s="271"/>
      <c r="Q141" s="235"/>
      <c r="R141" s="175"/>
      <c r="S141" s="175"/>
      <c r="T141" s="175"/>
      <c r="U141" s="175"/>
      <c r="V141" s="119"/>
    </row>
    <row r="142" spans="4:22" s="51" customFormat="1" ht="13.5" customHeight="1" x14ac:dyDescent="0.4">
      <c r="D142" s="118"/>
      <c r="E142" s="52"/>
      <c r="F142" s="52"/>
      <c r="G142" s="243"/>
      <c r="H142" s="264"/>
      <c r="I142" s="263"/>
      <c r="K142" s="241"/>
      <c r="L142" s="271"/>
      <c r="M142" s="235"/>
      <c r="O142" s="241"/>
      <c r="P142" s="271"/>
      <c r="Q142" s="235"/>
      <c r="R142" s="175"/>
      <c r="S142" s="175"/>
      <c r="T142" s="175"/>
      <c r="U142" s="175"/>
      <c r="V142" s="119"/>
    </row>
    <row r="143" spans="4:22" s="51" customFormat="1" ht="13.5" customHeight="1" x14ac:dyDescent="0.4">
      <c r="D143" s="118"/>
      <c r="E143" s="52"/>
      <c r="F143" s="52"/>
      <c r="G143" s="243"/>
      <c r="H143" s="264"/>
      <c r="I143" s="263"/>
      <c r="K143" s="241"/>
      <c r="L143" s="271"/>
      <c r="M143" s="235"/>
      <c r="O143" s="241"/>
      <c r="P143" s="271"/>
      <c r="Q143" s="235"/>
      <c r="R143" s="175"/>
      <c r="S143" s="175"/>
      <c r="T143" s="175"/>
      <c r="U143" s="175"/>
      <c r="V143" s="119"/>
    </row>
    <row r="144" spans="4:22" s="51" customFormat="1" ht="13.5" customHeight="1" x14ac:dyDescent="0.4">
      <c r="D144" s="118"/>
      <c r="E144" s="52"/>
      <c r="F144" s="52"/>
      <c r="G144" s="244"/>
      <c r="H144" s="265"/>
      <c r="I144" s="263"/>
      <c r="K144" s="242"/>
      <c r="L144" s="272"/>
      <c r="M144" s="236"/>
      <c r="O144" s="242"/>
      <c r="P144" s="272"/>
      <c r="Q144" s="236"/>
      <c r="R144" s="175"/>
      <c r="S144" s="175"/>
      <c r="T144" s="175"/>
      <c r="U144" s="175"/>
      <c r="V144" s="119"/>
    </row>
    <row r="145" spans="4:22" s="51" customFormat="1" ht="13.5" x14ac:dyDescent="0.4">
      <c r="D145" s="118"/>
      <c r="E145" s="124" t="s">
        <v>379</v>
      </c>
      <c r="F145" s="124"/>
      <c r="G145" s="124"/>
      <c r="H145" s="139"/>
      <c r="I145" s="126">
        <v>20</v>
      </c>
      <c r="K145" s="124"/>
      <c r="L145" s="139"/>
      <c r="M145" s="126">
        <v>0</v>
      </c>
      <c r="O145" s="124"/>
      <c r="P145" s="139"/>
      <c r="Q145" s="126">
        <v>-50</v>
      </c>
      <c r="R145" s="176"/>
      <c r="S145" s="176"/>
      <c r="T145" s="176"/>
      <c r="U145" s="176"/>
      <c r="V145" s="119"/>
    </row>
    <row r="146" spans="4:22" s="51" customFormat="1" ht="13.5" x14ac:dyDescent="0.4">
      <c r="D146" s="118"/>
      <c r="E146" s="124" t="s">
        <v>478</v>
      </c>
      <c r="F146" s="124"/>
      <c r="G146" s="124"/>
      <c r="H146" s="230">
        <v>280</v>
      </c>
      <c r="I146" s="230"/>
      <c r="K146" s="124"/>
      <c r="L146" s="269">
        <v>280</v>
      </c>
      <c r="M146" s="270"/>
      <c r="O146" s="124"/>
      <c r="P146" s="269">
        <v>280</v>
      </c>
      <c r="Q146" s="270"/>
      <c r="R146" s="177"/>
      <c r="S146" s="177"/>
      <c r="T146" s="177"/>
      <c r="U146" s="177"/>
      <c r="V146" s="119"/>
    </row>
    <row r="147" spans="4:22" s="51" customFormat="1" ht="13.5" x14ac:dyDescent="0.4">
      <c r="D147" s="118"/>
      <c r="E147" s="124"/>
      <c r="F147" s="124"/>
      <c r="G147" s="124"/>
      <c r="H147" s="52"/>
      <c r="K147" s="124"/>
      <c r="L147" s="52"/>
      <c r="O147" s="124"/>
      <c r="P147" s="52"/>
      <c r="R147" s="24"/>
      <c r="S147" s="24"/>
      <c r="T147" s="24"/>
      <c r="U147" s="24"/>
      <c r="V147" s="119"/>
    </row>
    <row r="148" spans="4:22" s="51" customFormat="1" ht="13.5" x14ac:dyDescent="0.4">
      <c r="D148" s="118"/>
      <c r="E148" s="124" t="s">
        <v>479</v>
      </c>
      <c r="F148" s="124"/>
      <c r="G148" s="124"/>
      <c r="H148" s="52"/>
      <c r="I148" s="52"/>
      <c r="K148" s="124"/>
      <c r="L148" s="52"/>
      <c r="M148" s="52"/>
      <c r="O148" s="124"/>
      <c r="P148" s="52"/>
      <c r="Q148" s="52"/>
      <c r="R148" s="1"/>
      <c r="S148" s="1"/>
      <c r="T148" s="1"/>
      <c r="U148" s="1"/>
      <c r="V148" s="119"/>
    </row>
    <row r="149" spans="4:22" s="51" customFormat="1" ht="13.5" customHeight="1" x14ac:dyDescent="0.4">
      <c r="D149" s="118"/>
      <c r="E149" s="128" t="s">
        <v>480</v>
      </c>
      <c r="F149" s="128"/>
      <c r="G149" s="124"/>
      <c r="I149" s="136">
        <v>91121</v>
      </c>
      <c r="K149" s="124"/>
      <c r="M149" s="136">
        <v>91121</v>
      </c>
      <c r="O149" s="124"/>
      <c r="Q149" s="136">
        <v>91121</v>
      </c>
      <c r="R149" s="175"/>
      <c r="S149" s="175"/>
      <c r="T149" s="175"/>
      <c r="U149" s="175"/>
      <c r="V149" s="119"/>
    </row>
    <row r="150" spans="4:22" s="51" customFormat="1" ht="13.5" customHeight="1" x14ac:dyDescent="0.4">
      <c r="D150" s="118"/>
      <c r="E150" s="128" t="s">
        <v>481</v>
      </c>
      <c r="F150" s="128"/>
      <c r="G150" s="124"/>
      <c r="I150" s="135">
        <v>0</v>
      </c>
      <c r="K150" s="124"/>
      <c r="M150" s="135">
        <v>0</v>
      </c>
      <c r="O150" s="124"/>
      <c r="Q150" s="135">
        <v>0</v>
      </c>
      <c r="R150" s="177"/>
      <c r="S150" s="177"/>
      <c r="T150" s="177"/>
      <c r="U150" s="177"/>
      <c r="V150" s="119"/>
    </row>
    <row r="151" spans="4:22" s="51" customFormat="1" ht="13.5" x14ac:dyDescent="0.4">
      <c r="D151" s="118"/>
      <c r="E151" s="128" t="s">
        <v>482</v>
      </c>
      <c r="F151" s="128"/>
      <c r="G151" s="124"/>
      <c r="I151" s="169" t="s">
        <v>484</v>
      </c>
      <c r="K151" s="124"/>
      <c r="M151" s="169" t="s">
        <v>484</v>
      </c>
      <c r="O151" s="124"/>
      <c r="Q151" s="135" t="s">
        <v>484</v>
      </c>
      <c r="R151" s="177"/>
      <c r="S151" s="177"/>
      <c r="T151" s="177"/>
      <c r="U151" s="177"/>
      <c r="V151" s="119"/>
    </row>
    <row r="152" spans="4:22" s="51" customFormat="1" ht="27" x14ac:dyDescent="0.4">
      <c r="D152" s="118"/>
      <c r="E152" s="124" t="s">
        <v>379</v>
      </c>
      <c r="F152" s="124"/>
      <c r="G152" s="124"/>
      <c r="I152" s="137" t="s">
        <v>630</v>
      </c>
      <c r="K152" s="124"/>
      <c r="M152" s="137" t="s">
        <v>631</v>
      </c>
      <c r="O152" s="124"/>
      <c r="Q152" s="150" t="s">
        <v>626</v>
      </c>
      <c r="R152" s="178"/>
      <c r="S152" s="178"/>
      <c r="T152" s="178"/>
      <c r="U152" s="178"/>
      <c r="V152" s="119"/>
    </row>
    <row r="153" spans="4:22" s="51" customFormat="1" ht="13.5" x14ac:dyDescent="0.4">
      <c r="D153" s="118"/>
      <c r="E153" s="120" t="s">
        <v>628</v>
      </c>
      <c r="F153" s="124"/>
      <c r="G153" s="124"/>
      <c r="I153" s="137"/>
      <c r="K153" s="124"/>
      <c r="M153" s="137"/>
      <c r="O153" s="124"/>
      <c r="Q153" s="150"/>
      <c r="R153" s="178"/>
      <c r="S153" s="178"/>
      <c r="T153" s="178"/>
      <c r="U153" s="178"/>
      <c r="V153" s="119"/>
    </row>
    <row r="154" spans="4:22" s="51" customFormat="1" ht="14.25" thickBot="1" x14ac:dyDescent="0.45">
      <c r="D154" s="129"/>
      <c r="E154" s="130"/>
      <c r="F154" s="130"/>
      <c r="G154" s="130"/>
      <c r="H154" s="130"/>
      <c r="I154" s="131"/>
      <c r="J154" s="132"/>
      <c r="K154" s="132"/>
      <c r="L154" s="132"/>
      <c r="M154" s="132"/>
      <c r="N154" s="132"/>
      <c r="O154" s="132"/>
      <c r="P154" s="132"/>
      <c r="Q154" s="132"/>
      <c r="R154" s="174"/>
      <c r="S154" s="174"/>
      <c r="T154" s="174"/>
      <c r="U154" s="174"/>
      <c r="V154" s="133"/>
    </row>
    <row r="155" spans="4:22" s="51" customFormat="1" ht="13.5" x14ac:dyDescent="0.4">
      <c r="D155" s="114" t="s">
        <v>474</v>
      </c>
      <c r="E155" s="115"/>
      <c r="F155" s="115"/>
      <c r="G155" s="115"/>
      <c r="H155" s="115"/>
      <c r="I155" s="115"/>
      <c r="J155" s="116"/>
      <c r="K155" s="116"/>
      <c r="L155" s="116"/>
      <c r="M155" s="116"/>
      <c r="N155" s="116"/>
      <c r="O155" s="116"/>
      <c r="P155" s="116"/>
      <c r="Q155" s="116"/>
      <c r="R155" s="173"/>
      <c r="S155" s="173"/>
      <c r="T155" s="173"/>
      <c r="U155" s="173"/>
      <c r="V155" s="117"/>
    </row>
    <row r="156" spans="4:22" s="51" customFormat="1" ht="13.5" x14ac:dyDescent="0.4">
      <c r="D156" s="118">
        <v>7</v>
      </c>
      <c r="E156" s="14" t="s">
        <v>699</v>
      </c>
      <c r="F156" s="14"/>
      <c r="G156" s="14"/>
      <c r="H156" s="52"/>
      <c r="I156" s="52"/>
      <c r="R156" s="24"/>
      <c r="S156" s="24"/>
      <c r="T156" s="24"/>
      <c r="U156" s="24"/>
      <c r="V156" s="119"/>
    </row>
    <row r="157" spans="4:22" s="51" customFormat="1" ht="13.5" x14ac:dyDescent="0.4">
      <c r="D157" s="118"/>
      <c r="E157" s="14" t="s">
        <v>696</v>
      </c>
      <c r="F157" s="14"/>
      <c r="G157" s="14"/>
      <c r="H157" s="52"/>
      <c r="I157" s="52"/>
      <c r="R157" s="24"/>
      <c r="S157" s="24"/>
      <c r="T157" s="24"/>
      <c r="U157" s="24"/>
      <c r="V157" s="119"/>
    </row>
    <row r="158" spans="4:22" s="51" customFormat="1" ht="13.5" x14ac:dyDescent="0.4">
      <c r="D158" s="118"/>
      <c r="E158" s="14"/>
      <c r="F158" s="14"/>
      <c r="G158" s="14"/>
      <c r="H158" s="52"/>
      <c r="I158" s="52"/>
      <c r="R158" s="24"/>
      <c r="S158" s="24"/>
      <c r="T158" s="24"/>
      <c r="U158" s="24"/>
      <c r="V158" s="119"/>
    </row>
    <row r="159" spans="4:22" s="52" customFormat="1" ht="13.5" x14ac:dyDescent="0.4">
      <c r="D159" s="118"/>
      <c r="E159" s="52" t="s">
        <v>475</v>
      </c>
      <c r="H159" s="52" t="str">
        <f>H161&amp;"円に特売（タイムサービス売価）設定"</f>
        <v>350円に特売（タイムサービス売価）設定</v>
      </c>
      <c r="I159" s="52" t="str">
        <f>I161&amp;"円にレジでの売価変更"</f>
        <v>400円にレジでの売価変更</v>
      </c>
      <c r="N159" s="51"/>
      <c r="O159" s="51"/>
      <c r="P159" s="51"/>
      <c r="Q159" s="51"/>
      <c r="R159" s="24"/>
      <c r="S159" s="24"/>
      <c r="T159" s="24"/>
      <c r="U159" s="24"/>
      <c r="V159" s="121"/>
    </row>
    <row r="160" spans="4:22" s="51" customFormat="1" ht="13.5" x14ac:dyDescent="0.4">
      <c r="D160" s="118"/>
      <c r="E160" s="122"/>
      <c r="F160" s="122"/>
      <c r="G160" s="14"/>
      <c r="R160" s="24"/>
      <c r="S160" s="24"/>
      <c r="T160" s="24"/>
      <c r="U160" s="24"/>
      <c r="V160" s="119"/>
    </row>
    <row r="161" spans="4:22" s="51" customFormat="1" ht="13.5" x14ac:dyDescent="0.4">
      <c r="D161" s="118"/>
      <c r="E161" s="122" t="s">
        <v>621</v>
      </c>
      <c r="F161" s="122"/>
      <c r="G161" s="52"/>
      <c r="H161" s="52">
        <v>350</v>
      </c>
      <c r="I161" s="52">
        <v>400</v>
      </c>
      <c r="R161" s="24"/>
      <c r="S161" s="24"/>
      <c r="T161" s="24"/>
      <c r="U161" s="24"/>
      <c r="V161" s="119"/>
    </row>
    <row r="162" spans="4:22" s="51" customFormat="1" ht="13.5" x14ac:dyDescent="0.4">
      <c r="D162" s="118"/>
      <c r="E162" s="52"/>
      <c r="F162" s="52"/>
      <c r="G162" s="52"/>
      <c r="I162" s="52"/>
      <c r="R162" s="24"/>
      <c r="S162" s="24"/>
      <c r="T162" s="24"/>
      <c r="U162" s="24"/>
      <c r="V162" s="119"/>
    </row>
    <row r="163" spans="4:22" s="51" customFormat="1" ht="13.5" customHeight="1" x14ac:dyDescent="0.4">
      <c r="D163" s="118"/>
      <c r="E163" s="52"/>
      <c r="F163" s="52"/>
      <c r="G163" s="52"/>
      <c r="I163" s="234" t="s">
        <v>632</v>
      </c>
      <c r="R163" s="24"/>
      <c r="S163" s="24"/>
      <c r="T163" s="24"/>
      <c r="U163" s="24"/>
      <c r="V163" s="119"/>
    </row>
    <row r="164" spans="4:22" s="51" customFormat="1" ht="13.5" customHeight="1" x14ac:dyDescent="0.4">
      <c r="D164" s="118"/>
      <c r="E164" s="52"/>
      <c r="F164" s="52"/>
      <c r="G164" s="52"/>
      <c r="H164" s="239" t="s">
        <v>764</v>
      </c>
      <c r="I164" s="237"/>
      <c r="R164" s="24"/>
      <c r="S164" s="24"/>
      <c r="T164" s="24"/>
      <c r="U164" s="24"/>
      <c r="V164" s="119"/>
    </row>
    <row r="165" spans="4:22" s="51" customFormat="1" ht="13.5" customHeight="1" x14ac:dyDescent="0.4">
      <c r="D165" s="118"/>
      <c r="E165" s="52"/>
      <c r="F165" s="52"/>
      <c r="G165" s="240" t="s">
        <v>476</v>
      </c>
      <c r="H165" s="273"/>
      <c r="I165" s="237"/>
      <c r="R165" s="24"/>
      <c r="S165" s="24"/>
      <c r="T165" s="24"/>
      <c r="U165" s="24"/>
      <c r="V165" s="119"/>
    </row>
    <row r="166" spans="4:22" s="51" customFormat="1" ht="13.5" customHeight="1" x14ac:dyDescent="0.4">
      <c r="D166" s="118"/>
      <c r="E166" s="52"/>
      <c r="F166" s="52"/>
      <c r="G166" s="241"/>
      <c r="H166" s="273"/>
      <c r="I166" s="237"/>
      <c r="R166" s="24"/>
      <c r="S166" s="24"/>
      <c r="T166" s="24"/>
      <c r="U166" s="24"/>
      <c r="V166" s="119"/>
    </row>
    <row r="167" spans="4:22" s="51" customFormat="1" ht="13.5" customHeight="1" x14ac:dyDescent="0.4">
      <c r="D167" s="118"/>
      <c r="E167" s="52"/>
      <c r="F167" s="52"/>
      <c r="G167" s="241"/>
      <c r="H167" s="273"/>
      <c r="I167" s="237"/>
      <c r="R167" s="24"/>
      <c r="S167" s="24"/>
      <c r="T167" s="24"/>
      <c r="U167" s="24"/>
      <c r="V167" s="119"/>
    </row>
    <row r="168" spans="4:22" s="51" customFormat="1" ht="13.5" customHeight="1" x14ac:dyDescent="0.4">
      <c r="D168" s="118"/>
      <c r="E168" s="52"/>
      <c r="F168" s="52"/>
      <c r="G168" s="241"/>
      <c r="H168" s="273"/>
      <c r="I168" s="237"/>
      <c r="R168" s="24"/>
      <c r="S168" s="24"/>
      <c r="T168" s="24"/>
      <c r="U168" s="24"/>
      <c r="V168" s="119"/>
    </row>
    <row r="169" spans="4:22" s="51" customFormat="1" ht="13.5" customHeight="1" x14ac:dyDescent="0.4">
      <c r="D169" s="118"/>
      <c r="E169" s="52"/>
      <c r="F169" s="52"/>
      <c r="G169" s="241"/>
      <c r="H169" s="273"/>
      <c r="I169" s="237"/>
      <c r="R169" s="24"/>
      <c r="S169" s="24"/>
      <c r="T169" s="24"/>
      <c r="U169" s="24"/>
      <c r="V169" s="119"/>
    </row>
    <row r="170" spans="4:22" s="51" customFormat="1" ht="13.5" customHeight="1" x14ac:dyDescent="0.4">
      <c r="D170" s="118"/>
      <c r="E170" s="52"/>
      <c r="F170" s="52"/>
      <c r="G170" s="242"/>
      <c r="H170" s="274"/>
      <c r="I170" s="238"/>
      <c r="R170" s="24"/>
      <c r="S170" s="24"/>
      <c r="T170" s="24"/>
      <c r="U170" s="24"/>
      <c r="V170" s="119"/>
    </row>
    <row r="171" spans="4:22" s="51" customFormat="1" ht="13.5" x14ac:dyDescent="0.4">
      <c r="D171" s="118"/>
      <c r="E171" s="124" t="s">
        <v>379</v>
      </c>
      <c r="F171" s="124"/>
      <c r="G171" s="124"/>
      <c r="H171" s="127"/>
      <c r="I171" s="127"/>
      <c r="R171" s="24"/>
      <c r="S171" s="24"/>
      <c r="T171" s="24"/>
      <c r="U171" s="24"/>
      <c r="V171" s="119"/>
    </row>
    <row r="172" spans="4:22" s="51" customFormat="1" ht="13.5" x14ac:dyDescent="0.4">
      <c r="D172" s="118"/>
      <c r="E172" s="124" t="s">
        <v>478</v>
      </c>
      <c r="F172" s="124"/>
      <c r="G172" s="124"/>
      <c r="H172" s="230">
        <v>400</v>
      </c>
      <c r="I172" s="230"/>
      <c r="R172" s="24"/>
      <c r="S172" s="24"/>
      <c r="T172" s="24"/>
      <c r="U172" s="24"/>
      <c r="V172" s="119"/>
    </row>
    <row r="173" spans="4:22" s="51" customFormat="1" ht="13.5" x14ac:dyDescent="0.4">
      <c r="D173" s="118"/>
      <c r="E173" s="124"/>
      <c r="F173" s="124"/>
      <c r="G173" s="124"/>
      <c r="H173" s="52"/>
      <c r="R173" s="24"/>
      <c r="S173" s="24"/>
      <c r="T173" s="24"/>
      <c r="U173" s="24"/>
      <c r="V173" s="119"/>
    </row>
    <row r="174" spans="4:22" s="51" customFormat="1" ht="13.5" x14ac:dyDescent="0.4">
      <c r="D174" s="118"/>
      <c r="E174" s="124" t="s">
        <v>479</v>
      </c>
      <c r="F174" s="124"/>
      <c r="G174" s="124"/>
      <c r="H174" s="52"/>
      <c r="I174" s="52"/>
      <c r="R174" s="24"/>
      <c r="S174" s="24"/>
      <c r="T174" s="24"/>
      <c r="U174" s="24"/>
      <c r="V174" s="119"/>
    </row>
    <row r="175" spans="4:22" s="51" customFormat="1" ht="13.5" customHeight="1" x14ac:dyDescent="0.4">
      <c r="D175" s="118"/>
      <c r="E175" s="128" t="s">
        <v>480</v>
      </c>
      <c r="F175" s="128"/>
      <c r="G175" s="124"/>
      <c r="H175" s="230" t="s">
        <v>487</v>
      </c>
      <c r="I175" s="230" t="s">
        <v>487</v>
      </c>
      <c r="R175" s="24"/>
      <c r="S175" s="24"/>
      <c r="T175" s="24"/>
      <c r="U175" s="24"/>
      <c r="V175" s="119"/>
    </row>
    <row r="176" spans="4:22" s="51" customFormat="1" ht="13.5" customHeight="1" x14ac:dyDescent="0.4">
      <c r="D176" s="118"/>
      <c r="E176" s="128" t="s">
        <v>481</v>
      </c>
      <c r="F176" s="128"/>
      <c r="G176" s="124"/>
      <c r="H176" s="230"/>
      <c r="I176" s="230"/>
      <c r="R176" s="24"/>
      <c r="S176" s="24"/>
      <c r="T176" s="24"/>
      <c r="U176" s="24"/>
      <c r="V176" s="119"/>
    </row>
    <row r="177" spans="4:22" s="51" customFormat="1" ht="13.5" x14ac:dyDescent="0.4">
      <c r="D177" s="118"/>
      <c r="E177" s="128" t="s">
        <v>482</v>
      </c>
      <c r="F177" s="128"/>
      <c r="G177" s="124"/>
      <c r="H177" s="230"/>
      <c r="I177" s="230"/>
      <c r="R177" s="24"/>
      <c r="S177" s="24"/>
      <c r="T177" s="24"/>
      <c r="U177" s="24"/>
      <c r="V177" s="119"/>
    </row>
    <row r="178" spans="4:22" s="51" customFormat="1" ht="13.5" x14ac:dyDescent="0.4">
      <c r="D178" s="118"/>
      <c r="E178" s="124" t="s">
        <v>379</v>
      </c>
      <c r="F178" s="124"/>
      <c r="G178" s="124"/>
      <c r="H178" s="230"/>
      <c r="I178" s="230"/>
      <c r="R178" s="24"/>
      <c r="S178" s="24"/>
      <c r="T178" s="24"/>
      <c r="U178" s="24"/>
      <c r="V178" s="119"/>
    </row>
    <row r="179" spans="4:22" s="51" customFormat="1" ht="14.25" thickBot="1" x14ac:dyDescent="0.45">
      <c r="D179" s="129"/>
      <c r="E179" s="130"/>
      <c r="F179" s="130"/>
      <c r="G179" s="130"/>
      <c r="H179" s="130"/>
      <c r="I179" s="131"/>
      <c r="J179" s="132"/>
      <c r="K179" s="132"/>
      <c r="L179" s="132"/>
      <c r="M179" s="132"/>
      <c r="N179" s="132"/>
      <c r="O179" s="132"/>
      <c r="P179" s="132"/>
      <c r="Q179" s="132"/>
      <c r="R179" s="174"/>
      <c r="S179" s="174"/>
      <c r="T179" s="174"/>
      <c r="U179" s="174"/>
      <c r="V179" s="133"/>
    </row>
    <row r="180" spans="4:22" s="51" customFormat="1" ht="13.5" x14ac:dyDescent="0.4">
      <c r="D180" s="114" t="s">
        <v>474</v>
      </c>
      <c r="E180" s="115"/>
      <c r="F180" s="115"/>
      <c r="G180" s="115"/>
      <c r="H180" s="115"/>
      <c r="I180" s="115"/>
      <c r="J180" s="116"/>
      <c r="K180" s="116"/>
      <c r="L180" s="116"/>
      <c r="M180" s="116"/>
      <c r="N180" s="116"/>
      <c r="O180" s="116"/>
      <c r="P180" s="116"/>
      <c r="Q180" s="116"/>
      <c r="R180" s="173"/>
      <c r="S180" s="173"/>
      <c r="T180" s="173"/>
      <c r="U180" s="173"/>
      <c r="V180" s="117"/>
    </row>
    <row r="181" spans="4:22" s="51" customFormat="1" ht="13.5" x14ac:dyDescent="0.4">
      <c r="D181" s="118">
        <v>8</v>
      </c>
      <c r="E181" s="14" t="s">
        <v>699</v>
      </c>
      <c r="F181" s="14"/>
      <c r="G181" s="14"/>
      <c r="H181" s="52"/>
      <c r="I181" s="52"/>
      <c r="R181" s="24"/>
      <c r="S181" s="24"/>
      <c r="T181" s="24"/>
      <c r="U181" s="24"/>
      <c r="V181" s="119"/>
    </row>
    <row r="182" spans="4:22" s="51" customFormat="1" ht="13.5" x14ac:dyDescent="0.4">
      <c r="D182" s="118"/>
      <c r="E182" s="14" t="s">
        <v>703</v>
      </c>
      <c r="F182" s="14"/>
      <c r="G182" s="14"/>
      <c r="H182" s="52"/>
      <c r="I182" s="52"/>
      <c r="R182" s="24"/>
      <c r="S182" s="24"/>
      <c r="T182" s="24"/>
      <c r="U182" s="24"/>
      <c r="V182" s="119"/>
    </row>
    <row r="183" spans="4:22" s="51" customFormat="1" ht="13.5" x14ac:dyDescent="0.4">
      <c r="D183" s="118"/>
      <c r="E183" s="14"/>
      <c r="F183" s="14"/>
      <c r="G183" s="14"/>
      <c r="H183" s="52"/>
      <c r="I183" s="52"/>
      <c r="R183" s="24"/>
      <c r="S183" s="24"/>
      <c r="T183" s="24"/>
      <c r="U183" s="24"/>
      <c r="V183" s="119"/>
    </row>
    <row r="184" spans="4:22" s="52" customFormat="1" ht="13.5" x14ac:dyDescent="0.4">
      <c r="D184" s="118"/>
      <c r="E184" s="52" t="s">
        <v>475</v>
      </c>
      <c r="G184" s="51"/>
      <c r="H184" s="52" t="str">
        <f>H186&amp;"円に特売（タイムサービス売価）設定"</f>
        <v>350円に特売（タイムサービス売価）設定</v>
      </c>
      <c r="I184" s="52" t="str">
        <f>I186&amp;"円にレジでの売価変更"</f>
        <v>350円にレジでの売価変更</v>
      </c>
      <c r="K184" s="51"/>
      <c r="L184" s="51"/>
      <c r="M184" s="51"/>
      <c r="N184" s="51"/>
      <c r="O184" s="51"/>
      <c r="P184" s="51"/>
      <c r="Q184" s="51"/>
      <c r="R184" s="24"/>
      <c r="S184" s="24"/>
      <c r="T184" s="24"/>
      <c r="U184" s="24"/>
      <c r="V184" s="121"/>
    </row>
    <row r="185" spans="4:22" s="51" customFormat="1" ht="13.5" x14ac:dyDescent="0.4">
      <c r="D185" s="118"/>
      <c r="E185" s="122"/>
      <c r="F185" s="122"/>
      <c r="R185" s="24"/>
      <c r="S185" s="24"/>
      <c r="T185" s="24"/>
      <c r="U185" s="24"/>
      <c r="V185" s="119"/>
    </row>
    <row r="186" spans="4:22" s="51" customFormat="1" ht="13.5" x14ac:dyDescent="0.4">
      <c r="D186" s="118"/>
      <c r="E186" s="122" t="s">
        <v>621</v>
      </c>
      <c r="F186" s="122"/>
      <c r="H186" s="52">
        <v>350</v>
      </c>
      <c r="I186" s="52">
        <v>350</v>
      </c>
      <c r="R186" s="24"/>
      <c r="S186" s="24"/>
      <c r="T186" s="24"/>
      <c r="U186" s="24"/>
      <c r="V186" s="119"/>
    </row>
    <row r="187" spans="4:22" s="51" customFormat="1" ht="13.5" x14ac:dyDescent="0.4">
      <c r="D187" s="118"/>
      <c r="E187" s="52"/>
      <c r="F187" s="52"/>
      <c r="R187" s="24"/>
      <c r="S187" s="24"/>
      <c r="T187" s="24"/>
      <c r="U187" s="24"/>
      <c r="V187" s="119"/>
    </row>
    <row r="188" spans="4:22" s="51" customFormat="1" ht="13.5" customHeight="1" x14ac:dyDescent="0.4">
      <c r="D188" s="118"/>
      <c r="E188" s="52"/>
      <c r="F188" s="52"/>
      <c r="R188" s="24"/>
      <c r="S188" s="24"/>
      <c r="T188" s="24"/>
      <c r="U188" s="24"/>
      <c r="V188" s="119"/>
    </row>
    <row r="189" spans="4:22" s="51" customFormat="1" ht="13.5" customHeight="1" x14ac:dyDescent="0.4">
      <c r="D189" s="118"/>
      <c r="E189" s="52"/>
      <c r="F189" s="52"/>
      <c r="H189" s="239" t="s">
        <v>764</v>
      </c>
      <c r="I189" s="247" t="s">
        <v>625</v>
      </c>
      <c r="R189" s="24"/>
      <c r="S189" s="24"/>
      <c r="T189" s="24"/>
      <c r="U189" s="24"/>
      <c r="V189" s="119"/>
    </row>
    <row r="190" spans="4:22" s="51" customFormat="1" ht="13.5" customHeight="1" x14ac:dyDescent="0.4">
      <c r="D190" s="118"/>
      <c r="E190" s="52"/>
      <c r="F190" s="52"/>
      <c r="G190" s="240" t="s">
        <v>476</v>
      </c>
      <c r="H190" s="273"/>
      <c r="I190" s="248"/>
      <c r="R190" s="24"/>
      <c r="S190" s="24"/>
      <c r="T190" s="24"/>
      <c r="U190" s="24"/>
      <c r="V190" s="119"/>
    </row>
    <row r="191" spans="4:22" s="51" customFormat="1" ht="13.5" customHeight="1" x14ac:dyDescent="0.4">
      <c r="D191" s="118"/>
      <c r="E191" s="52"/>
      <c r="F191" s="52"/>
      <c r="G191" s="241"/>
      <c r="H191" s="273"/>
      <c r="I191" s="248"/>
      <c r="R191" s="24"/>
      <c r="S191" s="24"/>
      <c r="T191" s="24"/>
      <c r="U191" s="24"/>
      <c r="V191" s="119"/>
    </row>
    <row r="192" spans="4:22" s="51" customFormat="1" ht="13.5" customHeight="1" x14ac:dyDescent="0.4">
      <c r="D192" s="118"/>
      <c r="E192" s="52"/>
      <c r="F192" s="52"/>
      <c r="G192" s="241"/>
      <c r="H192" s="273"/>
      <c r="I192" s="248"/>
      <c r="R192" s="24"/>
      <c r="S192" s="24"/>
      <c r="T192" s="24"/>
      <c r="U192" s="24"/>
      <c r="V192" s="119"/>
    </row>
    <row r="193" spans="4:22" s="51" customFormat="1" ht="13.5" customHeight="1" x14ac:dyDescent="0.4">
      <c r="D193" s="118"/>
      <c r="E193" s="52"/>
      <c r="F193" s="52"/>
      <c r="G193" s="241"/>
      <c r="H193" s="273"/>
      <c r="I193" s="248"/>
      <c r="R193" s="24"/>
      <c r="S193" s="24"/>
      <c r="T193" s="24"/>
      <c r="U193" s="24"/>
      <c r="V193" s="119"/>
    </row>
    <row r="194" spans="4:22" s="51" customFormat="1" ht="13.5" customHeight="1" x14ac:dyDescent="0.4">
      <c r="D194" s="118"/>
      <c r="E194" s="52"/>
      <c r="F194" s="52"/>
      <c r="G194" s="241"/>
      <c r="H194" s="273"/>
      <c r="I194" s="248"/>
      <c r="R194" s="24"/>
      <c r="S194" s="24"/>
      <c r="T194" s="24"/>
      <c r="U194" s="24"/>
      <c r="V194" s="119"/>
    </row>
    <row r="195" spans="4:22" s="51" customFormat="1" ht="13.5" customHeight="1" x14ac:dyDescent="0.4">
      <c r="D195" s="118"/>
      <c r="E195" s="52"/>
      <c r="F195" s="52"/>
      <c r="G195" s="242"/>
      <c r="H195" s="274"/>
      <c r="I195" s="249"/>
      <c r="R195" s="24"/>
      <c r="S195" s="24"/>
      <c r="T195" s="24"/>
      <c r="U195" s="24"/>
      <c r="V195" s="119"/>
    </row>
    <row r="196" spans="4:22" s="51" customFormat="1" ht="13.5" x14ac:dyDescent="0.4">
      <c r="D196" s="118"/>
      <c r="E196" s="124" t="s">
        <v>379</v>
      </c>
      <c r="F196" s="124"/>
      <c r="G196" s="124"/>
      <c r="H196" s="127"/>
      <c r="I196" s="127"/>
      <c r="R196" s="24"/>
      <c r="S196" s="24"/>
      <c r="T196" s="24"/>
      <c r="U196" s="24"/>
      <c r="V196" s="119"/>
    </row>
    <row r="197" spans="4:22" s="51" customFormat="1" ht="13.5" x14ac:dyDescent="0.4">
      <c r="D197" s="118"/>
      <c r="E197" s="124" t="s">
        <v>478</v>
      </c>
      <c r="F197" s="124"/>
      <c r="G197" s="124"/>
      <c r="H197" s="230">
        <v>350</v>
      </c>
      <c r="I197" s="230"/>
      <c r="R197" s="24"/>
      <c r="S197" s="24"/>
      <c r="T197" s="24"/>
      <c r="U197" s="24"/>
      <c r="V197" s="119"/>
    </row>
    <row r="198" spans="4:22" s="51" customFormat="1" ht="13.5" x14ac:dyDescent="0.4">
      <c r="D198" s="118"/>
      <c r="E198" s="124"/>
      <c r="F198" s="124"/>
      <c r="G198" s="124"/>
      <c r="H198" s="52"/>
      <c r="R198" s="24"/>
      <c r="S198" s="24"/>
      <c r="T198" s="24"/>
      <c r="U198" s="24"/>
      <c r="V198" s="119"/>
    </row>
    <row r="199" spans="4:22" s="51" customFormat="1" ht="13.5" x14ac:dyDescent="0.4">
      <c r="D199" s="118"/>
      <c r="E199" s="124" t="s">
        <v>479</v>
      </c>
      <c r="F199" s="124"/>
      <c r="G199" s="124"/>
      <c r="H199" s="52"/>
      <c r="I199" s="52"/>
      <c r="R199" s="24"/>
      <c r="S199" s="24"/>
      <c r="T199" s="24"/>
      <c r="U199" s="24"/>
      <c r="V199" s="119"/>
    </row>
    <row r="200" spans="4:22" s="51" customFormat="1" ht="13.5" customHeight="1" x14ac:dyDescent="0.4">
      <c r="D200" s="118"/>
      <c r="E200" s="128" t="s">
        <v>480</v>
      </c>
      <c r="F200" s="128"/>
      <c r="G200" s="124"/>
      <c r="H200" s="230" t="s">
        <v>487</v>
      </c>
      <c r="I200" s="230" t="s">
        <v>487</v>
      </c>
      <c r="R200" s="24"/>
      <c r="S200" s="24"/>
      <c r="T200" s="24"/>
      <c r="U200" s="24"/>
      <c r="V200" s="119"/>
    </row>
    <row r="201" spans="4:22" s="51" customFormat="1" ht="13.5" customHeight="1" x14ac:dyDescent="0.4">
      <c r="D201" s="118"/>
      <c r="E201" s="128" t="s">
        <v>481</v>
      </c>
      <c r="F201" s="128"/>
      <c r="G201" s="124"/>
      <c r="H201" s="230"/>
      <c r="I201" s="230"/>
      <c r="R201" s="24"/>
      <c r="S201" s="24"/>
      <c r="T201" s="24"/>
      <c r="U201" s="24"/>
      <c r="V201" s="119"/>
    </row>
    <row r="202" spans="4:22" s="51" customFormat="1" ht="13.5" x14ac:dyDescent="0.4">
      <c r="D202" s="118"/>
      <c r="E202" s="128" t="s">
        <v>482</v>
      </c>
      <c r="F202" s="128"/>
      <c r="G202" s="124"/>
      <c r="H202" s="230"/>
      <c r="I202" s="230"/>
      <c r="R202" s="24"/>
      <c r="S202" s="24"/>
      <c r="T202" s="24"/>
      <c r="U202" s="24"/>
      <c r="V202" s="119"/>
    </row>
    <row r="203" spans="4:22" s="51" customFormat="1" ht="13.5" x14ac:dyDescent="0.4">
      <c r="D203" s="118"/>
      <c r="E203" s="124" t="s">
        <v>379</v>
      </c>
      <c r="F203" s="124"/>
      <c r="G203" s="124"/>
      <c r="H203" s="230"/>
      <c r="I203" s="230"/>
      <c r="R203" s="24"/>
      <c r="S203" s="24"/>
      <c r="T203" s="24"/>
      <c r="U203" s="24"/>
      <c r="V203" s="119"/>
    </row>
    <row r="204" spans="4:22" s="51" customFormat="1" ht="14.25" thickBot="1" x14ac:dyDescent="0.45">
      <c r="D204" s="129"/>
      <c r="E204" s="130"/>
      <c r="F204" s="130"/>
      <c r="G204" s="130"/>
      <c r="H204" s="130"/>
      <c r="I204" s="131"/>
      <c r="J204" s="132"/>
      <c r="K204" s="132"/>
      <c r="L204" s="132"/>
      <c r="M204" s="132"/>
      <c r="N204" s="132"/>
      <c r="O204" s="132"/>
      <c r="P204" s="132"/>
      <c r="Q204" s="132"/>
      <c r="R204" s="174"/>
      <c r="S204" s="174"/>
      <c r="T204" s="174"/>
      <c r="U204" s="174"/>
      <c r="V204" s="133"/>
    </row>
    <row r="205" spans="4:22" s="51" customFormat="1" ht="13.5" x14ac:dyDescent="0.4">
      <c r="D205" s="114" t="s">
        <v>474</v>
      </c>
      <c r="E205" s="115"/>
      <c r="F205" s="115"/>
      <c r="G205" s="115"/>
      <c r="H205" s="115"/>
      <c r="I205" s="115"/>
      <c r="J205" s="116"/>
      <c r="K205" s="116"/>
      <c r="L205" s="116"/>
      <c r="M205" s="116"/>
      <c r="N205" s="116"/>
      <c r="O205" s="116"/>
      <c r="P205" s="116"/>
      <c r="Q205" s="116"/>
      <c r="R205" s="173"/>
      <c r="S205" s="173"/>
      <c r="T205" s="173"/>
      <c r="U205" s="173"/>
      <c r="V205" s="117"/>
    </row>
    <row r="206" spans="4:22" s="51" customFormat="1" ht="13.5" x14ac:dyDescent="0.4">
      <c r="D206" s="118">
        <v>9</v>
      </c>
      <c r="E206" s="14" t="s">
        <v>699</v>
      </c>
      <c r="F206" s="14"/>
      <c r="G206" s="14"/>
      <c r="H206" s="52"/>
      <c r="I206" s="52"/>
      <c r="R206" s="24"/>
      <c r="S206" s="24"/>
      <c r="T206" s="24"/>
      <c r="U206" s="24"/>
      <c r="V206" s="119"/>
    </row>
    <row r="207" spans="4:22" s="51" customFormat="1" ht="13.5" x14ac:dyDescent="0.4">
      <c r="D207" s="118"/>
      <c r="E207" s="14" t="s">
        <v>692</v>
      </c>
      <c r="F207" s="14"/>
      <c r="G207" s="14"/>
      <c r="H207" s="52"/>
      <c r="I207" s="52"/>
      <c r="R207" s="24"/>
      <c r="S207" s="24"/>
      <c r="T207" s="24"/>
      <c r="U207" s="24"/>
      <c r="V207" s="119"/>
    </row>
    <row r="208" spans="4:22" s="51" customFormat="1" ht="13.5" x14ac:dyDescent="0.4">
      <c r="D208" s="118"/>
      <c r="E208" s="14"/>
      <c r="F208" s="14"/>
      <c r="G208" s="14"/>
      <c r="H208" s="52"/>
      <c r="I208" s="52"/>
      <c r="R208" s="24"/>
      <c r="S208" s="24"/>
      <c r="T208" s="24"/>
      <c r="U208" s="24"/>
      <c r="V208" s="119"/>
    </row>
    <row r="209" spans="4:22" s="52" customFormat="1" ht="13.5" x14ac:dyDescent="0.4">
      <c r="D209" s="118"/>
      <c r="E209" s="52" t="s">
        <v>475</v>
      </c>
      <c r="G209" s="51"/>
      <c r="H209" s="52" t="str">
        <f>H211&amp;"円に特売（タイムサービス売価）設定"</f>
        <v>350円に特売（タイムサービス売価）設定</v>
      </c>
      <c r="I209" s="52" t="str">
        <f>I211&amp;"円にレジでの売価変更"</f>
        <v>330円にレジでの売価変更</v>
      </c>
      <c r="K209" s="51"/>
      <c r="L209" s="52" t="str">
        <f>L211&amp;"円に特売（タイムサービス売価）設定"</f>
        <v>350円に特売（タイムサービス売価）設定</v>
      </c>
      <c r="M209" s="52" t="str">
        <f>M211&amp;"円にレジでの売価変更"</f>
        <v>300円にレジでの売価変更</v>
      </c>
      <c r="N209" s="51"/>
      <c r="O209" s="51"/>
      <c r="P209" s="52" t="str">
        <f>P211&amp;"円に特売（タイムサービス売価）設定"</f>
        <v>350円に特売（タイムサービス売価）設定</v>
      </c>
      <c r="Q209" s="52" t="str">
        <f>Q211&amp;"円にレジでの売価変更"</f>
        <v>250円にレジでの売価変更</v>
      </c>
      <c r="R209" s="1"/>
      <c r="S209" s="1"/>
      <c r="T209" s="1"/>
      <c r="U209" s="1"/>
      <c r="V209" s="121"/>
    </row>
    <row r="210" spans="4:22" s="51" customFormat="1" ht="13.5" x14ac:dyDescent="0.4">
      <c r="D210" s="118"/>
      <c r="E210" s="122"/>
      <c r="F210" s="122"/>
      <c r="R210" s="24"/>
      <c r="S210" s="24"/>
      <c r="T210" s="24"/>
      <c r="U210" s="24"/>
      <c r="V210" s="119"/>
    </row>
    <row r="211" spans="4:22" s="51" customFormat="1" ht="13.5" x14ac:dyDescent="0.4">
      <c r="D211" s="118"/>
      <c r="E211" s="122" t="s">
        <v>621</v>
      </c>
      <c r="F211" s="122"/>
      <c r="H211" s="52">
        <v>350</v>
      </c>
      <c r="I211" s="52">
        <v>330</v>
      </c>
      <c r="L211" s="52">
        <v>350</v>
      </c>
      <c r="M211" s="52">
        <v>300</v>
      </c>
      <c r="P211" s="52">
        <v>350</v>
      </c>
      <c r="Q211" s="52">
        <v>250</v>
      </c>
      <c r="R211" s="1"/>
      <c r="S211" s="1"/>
      <c r="T211" s="1"/>
      <c r="U211" s="1"/>
      <c r="V211" s="119"/>
    </row>
    <row r="212" spans="4:22" s="51" customFormat="1" ht="13.5" x14ac:dyDescent="0.4">
      <c r="D212" s="118"/>
      <c r="E212" s="52"/>
      <c r="F212" s="52"/>
      <c r="R212" s="24"/>
      <c r="S212" s="24"/>
      <c r="T212" s="24"/>
      <c r="U212" s="24"/>
      <c r="V212" s="119"/>
    </row>
    <row r="213" spans="4:22" s="51" customFormat="1" ht="13.5" customHeight="1" x14ac:dyDescent="0.4">
      <c r="D213" s="118"/>
      <c r="E213" s="52"/>
      <c r="F213" s="52"/>
      <c r="R213" s="24"/>
      <c r="S213" s="24"/>
      <c r="T213" s="24"/>
      <c r="U213" s="24"/>
      <c r="V213" s="119"/>
    </row>
    <row r="214" spans="4:22" s="51" customFormat="1" ht="13.5" customHeight="1" x14ac:dyDescent="0.4">
      <c r="D214" s="118"/>
      <c r="E214" s="52"/>
      <c r="F214" s="52"/>
      <c r="H214" s="239" t="s">
        <v>764</v>
      </c>
      <c r="L214" s="239" t="s">
        <v>764</v>
      </c>
      <c r="P214" s="239" t="s">
        <v>764</v>
      </c>
      <c r="R214" s="24"/>
      <c r="S214" s="24"/>
      <c r="T214" s="24"/>
      <c r="U214" s="24"/>
      <c r="V214" s="119"/>
    </row>
    <row r="215" spans="4:22" s="51" customFormat="1" ht="13.5" customHeight="1" x14ac:dyDescent="0.4">
      <c r="D215" s="118"/>
      <c r="E215" s="52"/>
      <c r="F215" s="52"/>
      <c r="G215" s="240" t="s">
        <v>476</v>
      </c>
      <c r="H215" s="266"/>
      <c r="I215" s="247" t="s">
        <v>633</v>
      </c>
      <c r="K215" s="240" t="s">
        <v>476</v>
      </c>
      <c r="L215" s="266"/>
      <c r="M215" s="234" t="s">
        <v>624</v>
      </c>
      <c r="O215" s="240" t="s">
        <v>476</v>
      </c>
      <c r="P215" s="266"/>
      <c r="R215" s="24"/>
      <c r="S215" s="24"/>
      <c r="T215" s="24"/>
      <c r="U215" s="24"/>
      <c r="V215" s="119"/>
    </row>
    <row r="216" spans="4:22" s="51" customFormat="1" ht="13.5" customHeight="1" x14ac:dyDescent="0.4">
      <c r="D216" s="118"/>
      <c r="E216" s="52"/>
      <c r="F216" s="52"/>
      <c r="G216" s="241"/>
      <c r="H216" s="266"/>
      <c r="I216" s="255"/>
      <c r="K216" s="241"/>
      <c r="L216" s="266"/>
      <c r="M216" s="235"/>
      <c r="O216" s="241"/>
      <c r="P216" s="266"/>
      <c r="Q216" s="234" t="s">
        <v>622</v>
      </c>
      <c r="R216" s="175"/>
      <c r="S216" s="175"/>
      <c r="T216" s="175"/>
      <c r="U216" s="175"/>
      <c r="V216" s="119"/>
    </row>
    <row r="217" spans="4:22" s="51" customFormat="1" ht="13.5" customHeight="1" x14ac:dyDescent="0.4">
      <c r="D217" s="118"/>
      <c r="E217" s="52"/>
      <c r="F217" s="52"/>
      <c r="G217" s="241"/>
      <c r="H217" s="266"/>
      <c r="I217" s="255"/>
      <c r="K217" s="241"/>
      <c r="L217" s="266"/>
      <c r="M217" s="235"/>
      <c r="O217" s="241"/>
      <c r="P217" s="266"/>
      <c r="Q217" s="235"/>
      <c r="R217" s="175"/>
      <c r="S217" s="175"/>
      <c r="T217" s="175"/>
      <c r="U217" s="175"/>
      <c r="V217" s="119"/>
    </row>
    <row r="218" spans="4:22" s="51" customFormat="1" ht="13.5" customHeight="1" x14ac:dyDescent="0.4">
      <c r="D218" s="118"/>
      <c r="E218" s="52"/>
      <c r="F218" s="52"/>
      <c r="G218" s="241"/>
      <c r="H218" s="266"/>
      <c r="I218" s="255"/>
      <c r="K218" s="241"/>
      <c r="L218" s="266"/>
      <c r="M218" s="235"/>
      <c r="O218" s="241"/>
      <c r="P218" s="266"/>
      <c r="Q218" s="235"/>
      <c r="R218" s="175"/>
      <c r="S218" s="175"/>
      <c r="T218" s="175"/>
      <c r="U218" s="175"/>
      <c r="V218" s="119"/>
    </row>
    <row r="219" spans="4:22" s="51" customFormat="1" ht="13.5" customHeight="1" x14ac:dyDescent="0.4">
      <c r="D219" s="118"/>
      <c r="E219" s="52"/>
      <c r="F219" s="52"/>
      <c r="G219" s="241"/>
      <c r="H219" s="266"/>
      <c r="I219" s="255"/>
      <c r="K219" s="241"/>
      <c r="L219" s="266"/>
      <c r="M219" s="235"/>
      <c r="O219" s="241"/>
      <c r="P219" s="266"/>
      <c r="Q219" s="235"/>
      <c r="R219" s="175"/>
      <c r="S219" s="175"/>
      <c r="T219" s="175"/>
      <c r="U219" s="175"/>
      <c r="V219" s="119"/>
    </row>
    <row r="220" spans="4:22" s="51" customFormat="1" ht="13.5" customHeight="1" x14ac:dyDescent="0.4">
      <c r="D220" s="118"/>
      <c r="E220" s="52"/>
      <c r="F220" s="52"/>
      <c r="G220" s="242"/>
      <c r="H220" s="267"/>
      <c r="I220" s="268"/>
      <c r="K220" s="242"/>
      <c r="L220" s="267"/>
      <c r="M220" s="236"/>
      <c r="O220" s="242"/>
      <c r="P220" s="267"/>
      <c r="Q220" s="236"/>
      <c r="R220" s="175"/>
      <c r="S220" s="175"/>
      <c r="T220" s="175"/>
      <c r="U220" s="175"/>
      <c r="V220" s="119"/>
    </row>
    <row r="221" spans="4:22" s="51" customFormat="1" ht="13.5" x14ac:dyDescent="0.4">
      <c r="D221" s="118"/>
      <c r="E221" s="124" t="s">
        <v>379</v>
      </c>
      <c r="F221" s="124"/>
      <c r="G221" s="124"/>
      <c r="H221" s="139"/>
      <c r="I221" s="126"/>
      <c r="K221" s="124"/>
      <c r="L221" s="139"/>
      <c r="M221" s="126">
        <v>0</v>
      </c>
      <c r="O221" s="124"/>
      <c r="P221" s="139"/>
      <c r="Q221" s="139">
        <v>50</v>
      </c>
      <c r="R221" s="177"/>
      <c r="S221" s="177"/>
      <c r="T221" s="177"/>
      <c r="U221" s="177"/>
      <c r="V221" s="119"/>
    </row>
    <row r="222" spans="4:22" s="51" customFormat="1" ht="13.5" x14ac:dyDescent="0.4">
      <c r="D222" s="118"/>
      <c r="E222" s="124" t="s">
        <v>478</v>
      </c>
      <c r="F222" s="124"/>
      <c r="G222" s="124"/>
      <c r="H222" s="269">
        <v>330</v>
      </c>
      <c r="I222" s="270"/>
      <c r="K222" s="124"/>
      <c r="L222" s="269">
        <v>300</v>
      </c>
      <c r="M222" s="270"/>
      <c r="O222" s="124"/>
      <c r="P222" s="269">
        <v>250</v>
      </c>
      <c r="Q222" s="270"/>
      <c r="R222" s="177"/>
      <c r="S222" s="177"/>
      <c r="T222" s="177"/>
      <c r="U222" s="177"/>
      <c r="V222" s="119"/>
    </row>
    <row r="223" spans="4:22" s="51" customFormat="1" ht="13.5" x14ac:dyDescent="0.4">
      <c r="D223" s="118"/>
      <c r="E223" s="124"/>
      <c r="F223" s="124"/>
      <c r="G223" s="124"/>
      <c r="H223" s="52"/>
      <c r="K223" s="124"/>
      <c r="L223" s="52"/>
      <c r="O223" s="124"/>
      <c r="P223" s="52"/>
      <c r="R223" s="24"/>
      <c r="S223" s="24"/>
      <c r="T223" s="24"/>
      <c r="U223" s="24"/>
      <c r="V223" s="119"/>
    </row>
    <row r="224" spans="4:22" s="51" customFormat="1" ht="13.5" x14ac:dyDescent="0.4">
      <c r="D224" s="118"/>
      <c r="E224" s="124" t="s">
        <v>479</v>
      </c>
      <c r="F224" s="124"/>
      <c r="G224" s="124"/>
      <c r="H224" s="52"/>
      <c r="I224" s="52"/>
      <c r="K224" s="124"/>
      <c r="L224" s="52"/>
      <c r="M224" s="52"/>
      <c r="O224" s="124"/>
      <c r="P224" s="52"/>
      <c r="Q224" s="52"/>
      <c r="R224" s="1"/>
      <c r="S224" s="1"/>
      <c r="T224" s="1"/>
      <c r="U224" s="1"/>
      <c r="V224" s="119"/>
    </row>
    <row r="225" spans="4:22" s="51" customFormat="1" ht="13.5" customHeight="1" x14ac:dyDescent="0.4">
      <c r="D225" s="118"/>
      <c r="E225" s="128" t="s">
        <v>480</v>
      </c>
      <c r="F225" s="128"/>
      <c r="G225" s="124"/>
      <c r="H225" s="231" t="s">
        <v>487</v>
      </c>
      <c r="I225" s="231" t="s">
        <v>487</v>
      </c>
      <c r="K225" s="124"/>
      <c r="L225" s="231" t="s">
        <v>487</v>
      </c>
      <c r="M225" s="231" t="s">
        <v>487</v>
      </c>
      <c r="O225" s="124"/>
      <c r="P225" s="231" t="s">
        <v>487</v>
      </c>
      <c r="Q225" s="52">
        <v>91220</v>
      </c>
      <c r="R225" s="1"/>
      <c r="S225" s="1"/>
      <c r="T225" s="1"/>
      <c r="U225" s="1"/>
      <c r="V225" s="119"/>
    </row>
    <row r="226" spans="4:22" s="51" customFormat="1" ht="13.5" customHeight="1" x14ac:dyDescent="0.4">
      <c r="D226" s="118"/>
      <c r="E226" s="128" t="s">
        <v>481</v>
      </c>
      <c r="F226" s="128"/>
      <c r="G226" s="124"/>
      <c r="H226" s="232"/>
      <c r="I226" s="232"/>
      <c r="K226" s="124"/>
      <c r="L226" s="232"/>
      <c r="M226" s="232"/>
      <c r="O226" s="124"/>
      <c r="P226" s="232"/>
      <c r="Q226" s="52">
        <v>6</v>
      </c>
      <c r="R226" s="1"/>
      <c r="S226" s="1"/>
      <c r="T226" s="1"/>
      <c r="U226" s="1"/>
      <c r="V226" s="119"/>
    </row>
    <row r="227" spans="4:22" s="51" customFormat="1" ht="13.5" x14ac:dyDescent="0.4">
      <c r="D227" s="118"/>
      <c r="E227" s="128" t="s">
        <v>482</v>
      </c>
      <c r="F227" s="128"/>
      <c r="G227" s="124"/>
      <c r="H227" s="232"/>
      <c r="I227" s="232"/>
      <c r="K227" s="124"/>
      <c r="L227" s="232"/>
      <c r="M227" s="232"/>
      <c r="O227" s="124"/>
      <c r="P227" s="232"/>
      <c r="Q227" s="124" t="s">
        <v>468</v>
      </c>
      <c r="R227" s="179"/>
      <c r="S227" s="179"/>
      <c r="T227" s="179"/>
      <c r="U227" s="179"/>
      <c r="V227" s="119"/>
    </row>
    <row r="228" spans="4:22" s="51" customFormat="1" ht="27" x14ac:dyDescent="0.4">
      <c r="D228" s="118"/>
      <c r="E228" s="124" t="s">
        <v>379</v>
      </c>
      <c r="F228" s="124"/>
      <c r="G228" s="124"/>
      <c r="H228" s="233"/>
      <c r="I228" s="233"/>
      <c r="K228" s="124"/>
      <c r="L228" s="233"/>
      <c r="M228" s="233"/>
      <c r="O228" s="124"/>
      <c r="P228" s="233"/>
      <c r="Q228" s="124" t="s">
        <v>623</v>
      </c>
      <c r="R228" s="179"/>
      <c r="S228" s="179"/>
      <c r="T228" s="179"/>
      <c r="U228" s="179"/>
      <c r="V228" s="119"/>
    </row>
    <row r="229" spans="4:22" s="51" customFormat="1" ht="14.25" thickBot="1" x14ac:dyDescent="0.45">
      <c r="D229" s="129"/>
      <c r="E229" s="130"/>
      <c r="F229" s="130"/>
      <c r="G229" s="130"/>
      <c r="H229" s="130"/>
      <c r="I229" s="131"/>
      <c r="J229" s="132"/>
      <c r="K229" s="132"/>
      <c r="L229" s="132"/>
      <c r="M229" s="132"/>
      <c r="N229" s="132"/>
      <c r="O229" s="132"/>
      <c r="P229" s="132"/>
      <c r="Q229" s="132"/>
      <c r="R229" s="174"/>
      <c r="S229" s="174"/>
      <c r="T229" s="174"/>
      <c r="U229" s="174"/>
      <c r="V229" s="133"/>
    </row>
    <row r="230" spans="4:22" s="51" customFormat="1" ht="13.5" x14ac:dyDescent="0.4">
      <c r="D230" s="114" t="s">
        <v>474</v>
      </c>
      <c r="E230" s="115"/>
      <c r="F230" s="115"/>
      <c r="G230" s="115"/>
      <c r="H230" s="115"/>
      <c r="I230" s="115"/>
      <c r="J230" s="116"/>
      <c r="K230" s="116"/>
      <c r="L230" s="116"/>
      <c r="M230" s="116"/>
      <c r="N230" s="116"/>
      <c r="O230" s="116"/>
      <c r="P230" s="116"/>
      <c r="Q230" s="116"/>
      <c r="R230" s="173"/>
      <c r="S230" s="173"/>
      <c r="T230" s="173"/>
      <c r="U230" s="173"/>
      <c r="V230" s="117"/>
    </row>
    <row r="231" spans="4:22" s="51" customFormat="1" ht="13.5" x14ac:dyDescent="0.4">
      <c r="D231" s="118">
        <v>10</v>
      </c>
      <c r="E231" s="14" t="s">
        <v>715</v>
      </c>
      <c r="F231" s="14"/>
      <c r="G231" s="14"/>
      <c r="H231" s="52"/>
      <c r="I231" s="52"/>
      <c r="R231" s="24"/>
      <c r="S231" s="24"/>
      <c r="T231" s="24"/>
      <c r="U231" s="24"/>
      <c r="V231" s="119"/>
    </row>
    <row r="232" spans="4:22" s="51" customFormat="1" ht="13.5" x14ac:dyDescent="0.4">
      <c r="D232" s="118"/>
      <c r="E232" s="14" t="s">
        <v>716</v>
      </c>
      <c r="F232" s="14"/>
      <c r="G232" s="14"/>
      <c r="H232" s="52"/>
      <c r="I232" s="52"/>
      <c r="R232" s="24"/>
      <c r="S232" s="24"/>
      <c r="T232" s="24"/>
      <c r="U232" s="24"/>
      <c r="V232" s="119"/>
    </row>
    <row r="233" spans="4:22" s="51" customFormat="1" ht="13.5" x14ac:dyDescent="0.4">
      <c r="D233" s="118"/>
      <c r="E233" s="14"/>
      <c r="F233" s="14"/>
      <c r="G233" s="14"/>
      <c r="H233" s="52"/>
      <c r="I233" s="52"/>
      <c r="R233" s="24"/>
      <c r="S233" s="24"/>
      <c r="T233" s="24"/>
      <c r="U233" s="24"/>
      <c r="V233" s="119"/>
    </row>
    <row r="234" spans="4:22" s="52" customFormat="1" ht="13.5" x14ac:dyDescent="0.4">
      <c r="D234" s="118"/>
      <c r="E234" s="52" t="s">
        <v>475</v>
      </c>
      <c r="H234" s="52" t="str">
        <f>H236&amp;"%に特売（タイムサービス割引）設定"</f>
        <v>10%に特売（タイムサービス割引）設定</v>
      </c>
      <c r="I234" s="52" t="str">
        <f>I236&amp;"円にレジでの売価変更"</f>
        <v>200円にレジでの売価変更</v>
      </c>
      <c r="K234" s="51"/>
      <c r="L234" s="51"/>
      <c r="M234" s="51"/>
      <c r="N234" s="51"/>
      <c r="O234" s="51"/>
      <c r="P234" s="51"/>
      <c r="Q234" s="51"/>
      <c r="R234" s="24"/>
      <c r="S234" s="24"/>
      <c r="T234" s="24"/>
      <c r="U234" s="24"/>
      <c r="V234" s="121"/>
    </row>
    <row r="235" spans="4:22" s="51" customFormat="1" ht="13.5" x14ac:dyDescent="0.4">
      <c r="D235" s="118"/>
      <c r="E235" s="122"/>
      <c r="F235" s="122"/>
      <c r="G235" s="14"/>
      <c r="R235" s="24"/>
      <c r="S235" s="24"/>
      <c r="T235" s="24"/>
      <c r="U235" s="24"/>
      <c r="V235" s="119"/>
    </row>
    <row r="236" spans="4:22" s="51" customFormat="1" ht="13.5" x14ac:dyDescent="0.4">
      <c r="D236" s="118"/>
      <c r="E236" s="122" t="s">
        <v>717</v>
      </c>
      <c r="F236" s="122"/>
      <c r="G236" s="52"/>
      <c r="H236" s="52">
        <v>10</v>
      </c>
      <c r="I236" s="52">
        <v>200</v>
      </c>
      <c r="R236" s="24"/>
      <c r="S236" s="24"/>
      <c r="T236" s="24"/>
      <c r="U236" s="24"/>
      <c r="V236" s="119"/>
    </row>
    <row r="237" spans="4:22" s="51" customFormat="1" ht="13.5" x14ac:dyDescent="0.4">
      <c r="D237" s="118"/>
      <c r="E237" s="52"/>
      <c r="F237" s="52"/>
      <c r="G237" s="52"/>
      <c r="I237" s="52"/>
      <c r="R237" s="24"/>
      <c r="S237" s="24"/>
      <c r="T237" s="24"/>
      <c r="U237" s="24"/>
      <c r="V237" s="119"/>
    </row>
    <row r="238" spans="4:22" s="51" customFormat="1" ht="13.5" customHeight="1" x14ac:dyDescent="0.4">
      <c r="D238" s="118"/>
      <c r="E238" s="52"/>
      <c r="F238" s="52"/>
      <c r="G238" s="52"/>
      <c r="I238" s="52"/>
      <c r="R238" s="24"/>
      <c r="S238" s="24"/>
      <c r="T238" s="24"/>
      <c r="U238" s="24"/>
      <c r="V238" s="119"/>
    </row>
    <row r="239" spans="4:22" s="51" customFormat="1" ht="13.5" customHeight="1" x14ac:dyDescent="0.4">
      <c r="D239" s="118"/>
      <c r="E239" s="52"/>
      <c r="F239" s="52"/>
      <c r="G239" s="52"/>
      <c r="R239" s="24"/>
      <c r="S239" s="24"/>
      <c r="T239" s="24"/>
      <c r="U239" s="24"/>
      <c r="V239" s="119"/>
    </row>
    <row r="240" spans="4:22" s="51" customFormat="1" ht="13.5" customHeight="1" x14ac:dyDescent="0.4">
      <c r="D240" s="118"/>
      <c r="E240" s="52"/>
      <c r="F240" s="52"/>
      <c r="G240" s="240" t="s">
        <v>476</v>
      </c>
      <c r="H240" s="123" t="s">
        <v>603</v>
      </c>
      <c r="R240" s="24"/>
      <c r="S240" s="24"/>
      <c r="T240" s="24"/>
      <c r="U240" s="24"/>
      <c r="V240" s="119"/>
    </row>
    <row r="241" spans="4:22" s="51" customFormat="1" ht="13.5" customHeight="1" x14ac:dyDescent="0.4">
      <c r="D241" s="118"/>
      <c r="E241" s="52"/>
      <c r="F241" s="52"/>
      <c r="G241" s="241"/>
      <c r="H241" s="259" t="s">
        <v>723</v>
      </c>
      <c r="I241" s="123" t="s">
        <v>725</v>
      </c>
      <c r="R241" s="24"/>
      <c r="S241" s="24"/>
      <c r="T241" s="24"/>
      <c r="U241" s="24"/>
      <c r="V241" s="119"/>
    </row>
    <row r="242" spans="4:22" s="51" customFormat="1" ht="13.5" customHeight="1" x14ac:dyDescent="0.4">
      <c r="D242" s="118"/>
      <c r="E242" s="52"/>
      <c r="F242" s="52"/>
      <c r="G242" s="241"/>
      <c r="H242" s="264"/>
      <c r="I242" s="234" t="s">
        <v>627</v>
      </c>
      <c r="R242" s="24"/>
      <c r="S242" s="24"/>
      <c r="T242" s="24"/>
      <c r="U242" s="24"/>
      <c r="V242" s="119"/>
    </row>
    <row r="243" spans="4:22" s="51" customFormat="1" ht="13.5" customHeight="1" x14ac:dyDescent="0.4">
      <c r="D243" s="118"/>
      <c r="E243" s="52"/>
      <c r="F243" s="52"/>
      <c r="G243" s="241"/>
      <c r="H243" s="264"/>
      <c r="I243" s="237"/>
      <c r="R243" s="24"/>
      <c r="S243" s="24"/>
      <c r="T243" s="24"/>
      <c r="U243" s="24"/>
      <c r="V243" s="119"/>
    </row>
    <row r="244" spans="4:22" s="51" customFormat="1" ht="13.5" customHeight="1" x14ac:dyDescent="0.4">
      <c r="D244" s="118"/>
      <c r="E244" s="52"/>
      <c r="F244" s="52"/>
      <c r="G244" s="241"/>
      <c r="H244" s="264"/>
      <c r="I244" s="237"/>
      <c r="R244" s="24"/>
      <c r="S244" s="24"/>
      <c r="T244" s="24"/>
      <c r="U244" s="24"/>
      <c r="V244" s="119"/>
    </row>
    <row r="245" spans="4:22" s="51" customFormat="1" ht="13.5" customHeight="1" x14ac:dyDescent="0.4">
      <c r="D245" s="118"/>
      <c r="E245" s="52"/>
      <c r="F245" s="52"/>
      <c r="G245" s="242"/>
      <c r="H245" s="265"/>
      <c r="I245" s="238"/>
      <c r="R245" s="24"/>
      <c r="S245" s="24"/>
      <c r="T245" s="24"/>
      <c r="U245" s="24"/>
      <c r="V245" s="119"/>
    </row>
    <row r="246" spans="4:22" s="51" customFormat="1" ht="13.5" x14ac:dyDescent="0.4">
      <c r="D246" s="118"/>
      <c r="E246" s="124" t="s">
        <v>379</v>
      </c>
      <c r="F246" s="124"/>
      <c r="G246" s="124"/>
      <c r="H246" s="184">
        <v>30</v>
      </c>
      <c r="I246" s="184">
        <v>70</v>
      </c>
      <c r="R246" s="24"/>
      <c r="S246" s="24"/>
      <c r="T246" s="24"/>
      <c r="U246" s="24"/>
      <c r="V246" s="119"/>
    </row>
    <row r="247" spans="4:22" s="51" customFormat="1" ht="13.5" x14ac:dyDescent="0.4">
      <c r="D247" s="118"/>
      <c r="E247" s="124" t="s">
        <v>478</v>
      </c>
      <c r="F247" s="124"/>
      <c r="G247" s="124"/>
      <c r="H247" s="230">
        <v>200</v>
      </c>
      <c r="I247" s="230"/>
      <c r="R247" s="24"/>
      <c r="S247" s="24"/>
      <c r="T247" s="24"/>
      <c r="U247" s="24"/>
      <c r="V247" s="119"/>
    </row>
    <row r="248" spans="4:22" s="51" customFormat="1" ht="13.5" x14ac:dyDescent="0.4">
      <c r="D248" s="118"/>
      <c r="E248" s="124"/>
      <c r="F248" s="124"/>
      <c r="G248" s="124"/>
      <c r="H248" s="52"/>
      <c r="R248" s="24"/>
      <c r="S248" s="24"/>
      <c r="T248" s="24"/>
      <c r="U248" s="24"/>
      <c r="V248" s="119"/>
    </row>
    <row r="249" spans="4:22" s="51" customFormat="1" ht="13.5" x14ac:dyDescent="0.4">
      <c r="D249" s="118"/>
      <c r="E249" s="124" t="s">
        <v>479</v>
      </c>
      <c r="F249" s="124"/>
      <c r="G249" s="124"/>
      <c r="H249" s="52"/>
      <c r="I249" s="52"/>
      <c r="R249" s="24"/>
      <c r="S249" s="24"/>
      <c r="T249" s="24"/>
      <c r="U249" s="24"/>
      <c r="V249" s="119"/>
    </row>
    <row r="250" spans="4:22" s="51" customFormat="1" ht="13.5" customHeight="1" x14ac:dyDescent="0.4">
      <c r="D250" s="118"/>
      <c r="E250" s="128" t="s">
        <v>480</v>
      </c>
      <c r="F250" s="128"/>
      <c r="G250" s="124"/>
      <c r="H250" s="136">
        <v>91121</v>
      </c>
      <c r="I250" s="52">
        <v>91220</v>
      </c>
      <c r="R250" s="24"/>
      <c r="S250" s="24"/>
      <c r="T250" s="24"/>
      <c r="U250" s="24"/>
      <c r="V250" s="119"/>
    </row>
    <row r="251" spans="4:22" s="51" customFormat="1" ht="13.5" customHeight="1" x14ac:dyDescent="0.4">
      <c r="D251" s="118"/>
      <c r="E251" s="128" t="s">
        <v>481</v>
      </c>
      <c r="F251" s="128"/>
      <c r="G251" s="124"/>
      <c r="H251" s="135">
        <v>0</v>
      </c>
      <c r="I251" s="52">
        <v>6</v>
      </c>
      <c r="R251" s="24"/>
      <c r="S251" s="24"/>
      <c r="T251" s="24"/>
      <c r="U251" s="24"/>
      <c r="V251" s="119"/>
    </row>
    <row r="252" spans="4:22" s="51" customFormat="1" ht="13.5" x14ac:dyDescent="0.4">
      <c r="D252" s="118"/>
      <c r="E252" s="128" t="s">
        <v>482</v>
      </c>
      <c r="F252" s="128"/>
      <c r="G252" s="124"/>
      <c r="H252" s="135" t="s">
        <v>718</v>
      </c>
      <c r="I252" s="124" t="s">
        <v>468</v>
      </c>
      <c r="R252" s="24"/>
      <c r="S252" s="24"/>
      <c r="T252" s="24"/>
      <c r="U252" s="24"/>
      <c r="V252" s="119"/>
    </row>
    <row r="253" spans="4:22" s="51" customFormat="1" ht="27" x14ac:dyDescent="0.4">
      <c r="D253" s="118"/>
      <c r="E253" s="124" t="s">
        <v>379</v>
      </c>
      <c r="F253" s="124"/>
      <c r="G253" s="124"/>
      <c r="H253" s="136" t="s">
        <v>724</v>
      </c>
      <c r="I253" s="124" t="s">
        <v>726</v>
      </c>
      <c r="R253" s="24"/>
      <c r="S253" s="24"/>
      <c r="T253" s="24"/>
      <c r="U253" s="24"/>
      <c r="V253" s="119"/>
    </row>
    <row r="254" spans="4:22" s="51" customFormat="1" ht="14.25" thickBot="1" x14ac:dyDescent="0.45">
      <c r="D254" s="129"/>
      <c r="E254" s="130"/>
      <c r="F254" s="130"/>
      <c r="G254" s="130"/>
      <c r="H254" s="130"/>
      <c r="I254" s="131"/>
      <c r="J254" s="132"/>
      <c r="K254" s="132"/>
      <c r="L254" s="132"/>
      <c r="M254" s="132"/>
      <c r="N254" s="132"/>
      <c r="O254" s="132"/>
      <c r="P254" s="132"/>
      <c r="Q254" s="132"/>
      <c r="R254" s="174"/>
      <c r="S254" s="174"/>
      <c r="T254" s="174"/>
      <c r="U254" s="174"/>
      <c r="V254" s="133"/>
    </row>
    <row r="255" spans="4:22" s="51" customFormat="1" ht="13.5" x14ac:dyDescent="0.4">
      <c r="D255" s="114" t="s">
        <v>474</v>
      </c>
      <c r="E255" s="115"/>
      <c r="F255" s="115"/>
      <c r="G255" s="115"/>
      <c r="H255" s="115"/>
      <c r="I255" s="115"/>
      <c r="J255" s="116"/>
      <c r="K255" s="116"/>
      <c r="L255" s="116"/>
      <c r="M255" s="116"/>
      <c r="N255" s="116"/>
      <c r="O255" s="116"/>
      <c r="P255" s="116"/>
      <c r="Q255" s="116"/>
      <c r="R255" s="173"/>
      <c r="S255" s="173"/>
      <c r="T255" s="173"/>
      <c r="U255" s="173"/>
      <c r="V255" s="117"/>
    </row>
    <row r="256" spans="4:22" s="51" customFormat="1" ht="13.5" x14ac:dyDescent="0.4">
      <c r="D256" s="118">
        <v>11</v>
      </c>
      <c r="E256" s="14" t="s">
        <v>715</v>
      </c>
      <c r="F256" s="14"/>
      <c r="G256" s="14"/>
      <c r="H256" s="52"/>
      <c r="I256" s="52"/>
      <c r="R256" s="24"/>
      <c r="S256" s="24"/>
      <c r="T256" s="24"/>
      <c r="U256" s="24"/>
      <c r="V256" s="119"/>
    </row>
    <row r="257" spans="4:22" s="51" customFormat="1" ht="13.5" x14ac:dyDescent="0.4">
      <c r="D257" s="118"/>
      <c r="E257" s="14" t="s">
        <v>719</v>
      </c>
      <c r="F257" s="14"/>
      <c r="G257" s="14"/>
      <c r="H257" s="52"/>
      <c r="I257" s="52"/>
      <c r="R257" s="24"/>
      <c r="S257" s="24"/>
      <c r="T257" s="24"/>
      <c r="U257" s="24"/>
      <c r="V257" s="119"/>
    </row>
    <row r="258" spans="4:22" s="51" customFormat="1" ht="13.5" x14ac:dyDescent="0.4">
      <c r="D258" s="118"/>
      <c r="E258" s="14"/>
      <c r="F258" s="14"/>
      <c r="G258" s="14"/>
      <c r="H258" s="52"/>
      <c r="I258" s="52"/>
      <c r="R258" s="24"/>
      <c r="S258" s="24"/>
      <c r="T258" s="24"/>
      <c r="U258" s="24"/>
      <c r="V258" s="119"/>
    </row>
    <row r="259" spans="4:22" s="52" customFormat="1" ht="13.5" x14ac:dyDescent="0.4">
      <c r="D259" s="118"/>
      <c r="E259" s="52" t="s">
        <v>475</v>
      </c>
      <c r="G259" s="51"/>
      <c r="H259" s="52" t="str">
        <f>H261&amp;"%に特売（タイムサービス割引）設定"</f>
        <v>10%に特売（タイムサービス割引）設定</v>
      </c>
      <c r="I259" s="52" t="str">
        <f>I261&amp;"円にレジでの売価変更"</f>
        <v>270円にレジでの売価変更</v>
      </c>
      <c r="K259" s="51"/>
      <c r="L259" s="51"/>
      <c r="M259" s="51"/>
      <c r="N259" s="51"/>
      <c r="O259" s="51"/>
      <c r="P259" s="51"/>
      <c r="Q259" s="51"/>
      <c r="R259" s="24"/>
      <c r="S259" s="24"/>
      <c r="T259" s="24"/>
      <c r="U259" s="24"/>
      <c r="V259" s="121"/>
    </row>
    <row r="260" spans="4:22" s="51" customFormat="1" ht="13.5" x14ac:dyDescent="0.4">
      <c r="D260" s="118"/>
      <c r="E260" s="122"/>
      <c r="F260" s="122"/>
      <c r="R260" s="24"/>
      <c r="S260" s="24"/>
      <c r="T260" s="24"/>
      <c r="U260" s="24"/>
      <c r="V260" s="119"/>
    </row>
    <row r="261" spans="4:22" s="51" customFormat="1" ht="13.5" x14ac:dyDescent="0.4">
      <c r="D261" s="118"/>
      <c r="E261" s="122" t="s">
        <v>717</v>
      </c>
      <c r="F261" s="122"/>
      <c r="H261" s="52">
        <v>10</v>
      </c>
      <c r="I261" s="52">
        <v>270</v>
      </c>
      <c r="R261" s="24"/>
      <c r="S261" s="24"/>
      <c r="T261" s="24"/>
      <c r="U261" s="24"/>
      <c r="V261" s="119"/>
    </row>
    <row r="262" spans="4:22" s="51" customFormat="1" ht="13.5" x14ac:dyDescent="0.4">
      <c r="D262" s="118"/>
      <c r="E262" s="52"/>
      <c r="F262" s="52"/>
      <c r="R262" s="24"/>
      <c r="S262" s="24"/>
      <c r="T262" s="24"/>
      <c r="U262" s="24"/>
      <c r="V262" s="119"/>
    </row>
    <row r="263" spans="4:22" s="51" customFormat="1" ht="13.5" x14ac:dyDescent="0.4">
      <c r="D263" s="118"/>
      <c r="E263" s="52"/>
      <c r="F263" s="52"/>
      <c r="R263" s="24"/>
      <c r="S263" s="24"/>
      <c r="T263" s="24"/>
      <c r="U263" s="24"/>
      <c r="V263" s="119"/>
    </row>
    <row r="264" spans="4:22" s="51" customFormat="1" ht="13.5" x14ac:dyDescent="0.4">
      <c r="D264" s="118"/>
      <c r="E264" s="52"/>
      <c r="F264" s="52"/>
      <c r="R264" s="24"/>
      <c r="S264" s="24"/>
      <c r="T264" s="24"/>
      <c r="U264" s="24"/>
      <c r="V264" s="119"/>
    </row>
    <row r="265" spans="4:22" s="51" customFormat="1" ht="13.5" x14ac:dyDescent="0.4">
      <c r="D265" s="118"/>
      <c r="E265" s="52"/>
      <c r="F265" s="52"/>
      <c r="G265" s="240" t="s">
        <v>476</v>
      </c>
      <c r="I265" s="123" t="s">
        <v>477</v>
      </c>
      <c r="R265" s="24"/>
      <c r="S265" s="24"/>
      <c r="T265" s="24"/>
      <c r="U265" s="24"/>
      <c r="V265" s="119"/>
    </row>
    <row r="266" spans="4:22" s="51" customFormat="1" ht="13.5" customHeight="1" x14ac:dyDescent="0.4">
      <c r="D266" s="118"/>
      <c r="E266" s="52"/>
      <c r="F266" s="52"/>
      <c r="G266" s="241"/>
      <c r="H266" s="259" t="s">
        <v>723</v>
      </c>
      <c r="I266" s="247" t="s">
        <v>727</v>
      </c>
      <c r="R266" s="24"/>
      <c r="S266" s="24"/>
      <c r="T266" s="24"/>
      <c r="U266" s="24"/>
      <c r="V266" s="119"/>
    </row>
    <row r="267" spans="4:22" s="51" customFormat="1" ht="13.5" customHeight="1" x14ac:dyDescent="0.4">
      <c r="D267" s="118"/>
      <c r="E267" s="52"/>
      <c r="F267" s="52"/>
      <c r="G267" s="241"/>
      <c r="H267" s="264"/>
      <c r="I267" s="248"/>
      <c r="R267" s="24"/>
      <c r="S267" s="24"/>
      <c r="T267" s="24"/>
      <c r="U267" s="24"/>
      <c r="V267" s="119"/>
    </row>
    <row r="268" spans="4:22" s="51" customFormat="1" ht="13.5" customHeight="1" x14ac:dyDescent="0.4">
      <c r="D268" s="118"/>
      <c r="E268" s="52"/>
      <c r="F268" s="52"/>
      <c r="G268" s="241"/>
      <c r="H268" s="264"/>
      <c r="I268" s="248"/>
      <c r="R268" s="24"/>
      <c r="S268" s="24"/>
      <c r="T268" s="24"/>
      <c r="U268" s="24"/>
      <c r="V268" s="119"/>
    </row>
    <row r="269" spans="4:22" s="51" customFormat="1" ht="13.5" customHeight="1" x14ac:dyDescent="0.4">
      <c r="D269" s="118"/>
      <c r="E269" s="52"/>
      <c r="F269" s="52"/>
      <c r="G269" s="241"/>
      <c r="H269" s="264"/>
      <c r="I269" s="248"/>
      <c r="R269" s="24"/>
      <c r="S269" s="24"/>
      <c r="T269" s="24"/>
      <c r="U269" s="24"/>
      <c r="V269" s="119"/>
    </row>
    <row r="270" spans="4:22" s="51" customFormat="1" ht="13.5" customHeight="1" x14ac:dyDescent="0.4">
      <c r="D270" s="118"/>
      <c r="E270" s="52"/>
      <c r="F270" s="52"/>
      <c r="G270" s="242"/>
      <c r="H270" s="265"/>
      <c r="I270" s="249"/>
      <c r="R270" s="24"/>
      <c r="S270" s="24"/>
      <c r="T270" s="24"/>
      <c r="U270" s="24"/>
      <c r="V270" s="119"/>
    </row>
    <row r="271" spans="4:22" s="51" customFormat="1" ht="13.5" x14ac:dyDescent="0.4">
      <c r="D271" s="118"/>
      <c r="E271" s="124" t="s">
        <v>379</v>
      </c>
      <c r="F271" s="124"/>
      <c r="G271" s="124"/>
      <c r="H271" s="184"/>
      <c r="I271" s="184">
        <v>70</v>
      </c>
      <c r="R271" s="24"/>
      <c r="S271" s="24"/>
      <c r="T271" s="24"/>
      <c r="U271" s="24"/>
      <c r="V271" s="119"/>
    </row>
    <row r="272" spans="4:22" s="51" customFormat="1" ht="13.5" x14ac:dyDescent="0.4">
      <c r="D272" s="118"/>
      <c r="E272" s="124" t="s">
        <v>478</v>
      </c>
      <c r="F272" s="124"/>
      <c r="G272" s="124"/>
      <c r="H272" s="230">
        <v>270</v>
      </c>
      <c r="I272" s="230"/>
      <c r="R272" s="24"/>
      <c r="S272" s="24"/>
      <c r="T272" s="24"/>
      <c r="U272" s="24"/>
      <c r="V272" s="119"/>
    </row>
    <row r="273" spans="4:22" s="51" customFormat="1" ht="13.5" x14ac:dyDescent="0.4">
      <c r="D273" s="118"/>
      <c r="E273" s="124"/>
      <c r="F273" s="124"/>
      <c r="G273" s="124"/>
      <c r="H273" s="52"/>
      <c r="R273" s="24"/>
      <c r="S273" s="24"/>
      <c r="T273" s="24"/>
      <c r="U273" s="24"/>
      <c r="V273" s="119"/>
    </row>
    <row r="274" spans="4:22" s="51" customFormat="1" ht="13.5" x14ac:dyDescent="0.4">
      <c r="D274" s="118"/>
      <c r="E274" s="124" t="s">
        <v>479</v>
      </c>
      <c r="F274" s="124"/>
      <c r="G274" s="124"/>
      <c r="H274" s="52"/>
      <c r="I274" s="52"/>
      <c r="R274" s="24"/>
      <c r="S274" s="24"/>
      <c r="T274" s="24"/>
      <c r="U274" s="24"/>
      <c r="V274" s="119"/>
    </row>
    <row r="275" spans="4:22" s="51" customFormat="1" ht="13.5" customHeight="1" x14ac:dyDescent="0.4">
      <c r="D275" s="118"/>
      <c r="E275" s="128" t="s">
        <v>480</v>
      </c>
      <c r="F275" s="128"/>
      <c r="G275" s="124"/>
      <c r="I275" s="136">
        <v>91121</v>
      </c>
      <c r="R275" s="24"/>
      <c r="S275" s="24"/>
      <c r="T275" s="24"/>
      <c r="U275" s="24"/>
      <c r="V275" s="119"/>
    </row>
    <row r="276" spans="4:22" s="51" customFormat="1" ht="13.5" customHeight="1" x14ac:dyDescent="0.4">
      <c r="D276" s="118"/>
      <c r="E276" s="128" t="s">
        <v>481</v>
      </c>
      <c r="F276" s="128"/>
      <c r="G276" s="124"/>
      <c r="I276" s="135">
        <v>0</v>
      </c>
      <c r="R276" s="24"/>
      <c r="S276" s="24"/>
      <c r="T276" s="24"/>
      <c r="U276" s="24"/>
      <c r="V276" s="119"/>
    </row>
    <row r="277" spans="4:22" s="51" customFormat="1" ht="13.5" x14ac:dyDescent="0.4">
      <c r="D277" s="118"/>
      <c r="E277" s="128" t="s">
        <v>482</v>
      </c>
      <c r="F277" s="128"/>
      <c r="G277" s="124"/>
      <c r="I277" s="135" t="s">
        <v>718</v>
      </c>
      <c r="R277" s="24"/>
      <c r="S277" s="24"/>
      <c r="T277" s="24"/>
      <c r="U277" s="24"/>
      <c r="V277" s="119"/>
    </row>
    <row r="278" spans="4:22" s="51" customFormat="1" ht="27" x14ac:dyDescent="0.4">
      <c r="D278" s="118"/>
      <c r="E278" s="124" t="s">
        <v>379</v>
      </c>
      <c r="F278" s="124"/>
      <c r="G278" s="124"/>
      <c r="I278" s="137" t="s">
        <v>623</v>
      </c>
      <c r="R278" s="24"/>
      <c r="S278" s="24"/>
      <c r="T278" s="24"/>
      <c r="U278" s="24"/>
      <c r="V278" s="119"/>
    </row>
    <row r="279" spans="4:22" s="51" customFormat="1" ht="13.5" x14ac:dyDescent="0.4">
      <c r="D279" s="118"/>
      <c r="E279" s="120" t="s">
        <v>720</v>
      </c>
      <c r="F279" s="124"/>
      <c r="G279" s="124"/>
      <c r="I279" s="137"/>
      <c r="R279" s="24"/>
      <c r="S279" s="24"/>
      <c r="T279" s="24"/>
      <c r="U279" s="24"/>
      <c r="V279" s="119"/>
    </row>
    <row r="280" spans="4:22" s="51" customFormat="1" ht="14.25" thickBot="1" x14ac:dyDescent="0.45">
      <c r="D280" s="129"/>
      <c r="E280" s="130"/>
      <c r="F280" s="130"/>
      <c r="G280" s="130"/>
      <c r="H280" s="130"/>
      <c r="I280" s="131"/>
      <c r="J280" s="132"/>
      <c r="K280" s="132"/>
      <c r="L280" s="132"/>
      <c r="M280" s="132"/>
      <c r="N280" s="132"/>
      <c r="O280" s="132"/>
      <c r="P280" s="132"/>
      <c r="Q280" s="132"/>
      <c r="R280" s="174"/>
      <c r="S280" s="174"/>
      <c r="T280" s="174"/>
      <c r="U280" s="174"/>
      <c r="V280" s="133"/>
    </row>
    <row r="281" spans="4:22" s="51" customFormat="1" ht="13.5" x14ac:dyDescent="0.4">
      <c r="D281" s="114" t="s">
        <v>474</v>
      </c>
      <c r="E281" s="115"/>
      <c r="F281" s="115"/>
      <c r="G281" s="115"/>
      <c r="H281" s="115"/>
      <c r="I281" s="115"/>
      <c r="J281" s="116"/>
      <c r="K281" s="116"/>
      <c r="L281" s="116"/>
      <c r="M281" s="116"/>
      <c r="N281" s="116"/>
      <c r="O281" s="116"/>
      <c r="P281" s="116"/>
      <c r="Q281" s="116"/>
      <c r="R281" s="173"/>
      <c r="S281" s="173"/>
      <c r="T281" s="173"/>
      <c r="U281" s="173"/>
      <c r="V281" s="117"/>
    </row>
    <row r="282" spans="4:22" s="51" customFormat="1" ht="13.5" x14ac:dyDescent="0.4">
      <c r="D282" s="118">
        <v>12</v>
      </c>
      <c r="E282" s="14" t="s">
        <v>715</v>
      </c>
      <c r="F282" s="14"/>
      <c r="G282" s="14"/>
      <c r="H282" s="52"/>
      <c r="I282" s="52"/>
      <c r="R282" s="24"/>
      <c r="S282" s="24"/>
      <c r="T282" s="24"/>
      <c r="U282" s="24"/>
      <c r="V282" s="119"/>
    </row>
    <row r="283" spans="4:22" s="51" customFormat="1" ht="13.5" x14ac:dyDescent="0.4">
      <c r="D283" s="118"/>
      <c r="E283" s="14" t="s">
        <v>721</v>
      </c>
      <c r="F283" s="14"/>
      <c r="G283" s="14"/>
      <c r="H283" s="52"/>
      <c r="I283" s="52"/>
      <c r="R283" s="24"/>
      <c r="S283" s="24"/>
      <c r="T283" s="24"/>
      <c r="U283" s="24"/>
      <c r="V283" s="119"/>
    </row>
    <row r="284" spans="4:22" s="51" customFormat="1" ht="13.5" x14ac:dyDescent="0.4">
      <c r="D284" s="118"/>
      <c r="E284" s="14"/>
      <c r="F284" s="14"/>
      <c r="G284" s="14"/>
      <c r="H284" s="52"/>
      <c r="I284" s="52"/>
      <c r="R284" s="24"/>
      <c r="S284" s="24"/>
      <c r="T284" s="24"/>
      <c r="U284" s="24"/>
      <c r="V284" s="119"/>
    </row>
    <row r="285" spans="4:22" s="52" customFormat="1" ht="13.5" x14ac:dyDescent="0.4">
      <c r="D285" s="118"/>
      <c r="E285" s="52" t="s">
        <v>475</v>
      </c>
      <c r="G285" s="51"/>
      <c r="H285" s="52" t="str">
        <f>H287&amp;"%に特売（タイムサービス割引）設定"</f>
        <v>10%に特売（タイムサービス割引）設定</v>
      </c>
      <c r="I285" s="52" t="str">
        <f>I287&amp;"円にレジでの売価変更"</f>
        <v>280円にレジでの売価変更</v>
      </c>
      <c r="K285" s="51"/>
      <c r="L285" s="52" t="str">
        <f>L287&amp;"%に特売（タイムサービス割引）設定"</f>
        <v>10%に特売（タイムサービス割引）設定</v>
      </c>
      <c r="M285" s="52" t="str">
        <f>M287&amp;"円にレジでの売価変更"</f>
        <v>300円にレジでの売価変更</v>
      </c>
      <c r="N285" s="51"/>
      <c r="O285" s="51"/>
      <c r="P285" s="52" t="str">
        <f>P287&amp;"%に特売（タイムサービス割引）設定"</f>
        <v>10%に特売（タイムサービス割引）設定</v>
      </c>
      <c r="Q285" s="52" t="str">
        <f>Q287&amp;"円にレジでの売価変更"</f>
        <v>350円にレジでの売価変更</v>
      </c>
      <c r="R285" s="1"/>
      <c r="S285" s="1"/>
      <c r="T285" s="1"/>
      <c r="U285" s="1"/>
      <c r="V285" s="121"/>
    </row>
    <row r="286" spans="4:22" s="51" customFormat="1" ht="13.5" x14ac:dyDescent="0.4">
      <c r="D286" s="118"/>
      <c r="E286" s="122"/>
      <c r="F286" s="122"/>
      <c r="R286" s="24"/>
      <c r="S286" s="24"/>
      <c r="T286" s="24"/>
      <c r="U286" s="24"/>
      <c r="V286" s="119"/>
    </row>
    <row r="287" spans="4:22" s="51" customFormat="1" ht="13.5" x14ac:dyDescent="0.4">
      <c r="D287" s="118"/>
      <c r="E287" s="122" t="s">
        <v>717</v>
      </c>
      <c r="F287" s="122"/>
      <c r="H287" s="52">
        <v>10</v>
      </c>
      <c r="I287" s="52">
        <v>280</v>
      </c>
      <c r="L287" s="52">
        <v>10</v>
      </c>
      <c r="M287" s="52">
        <v>300</v>
      </c>
      <c r="P287" s="52">
        <v>10</v>
      </c>
      <c r="Q287" s="52">
        <v>350</v>
      </c>
      <c r="R287" s="1"/>
      <c r="S287" s="1"/>
      <c r="T287" s="1"/>
      <c r="U287" s="1"/>
      <c r="V287" s="119"/>
    </row>
    <row r="288" spans="4:22" s="51" customFormat="1" ht="13.5" x14ac:dyDescent="0.4">
      <c r="D288" s="118"/>
      <c r="E288" s="52"/>
      <c r="F288" s="52"/>
      <c r="R288" s="24"/>
      <c r="S288" s="24"/>
      <c r="T288" s="24"/>
      <c r="U288" s="24"/>
      <c r="V288" s="119"/>
    </row>
    <row r="289" spans="4:22" s="51" customFormat="1" ht="13.5" x14ac:dyDescent="0.4">
      <c r="D289" s="118"/>
      <c r="E289" s="52"/>
      <c r="F289" s="52"/>
      <c r="R289" s="24"/>
      <c r="S289" s="24"/>
      <c r="T289" s="24"/>
      <c r="U289" s="24"/>
      <c r="V289" s="119"/>
    </row>
    <row r="290" spans="4:22" s="51" customFormat="1" ht="13.5" x14ac:dyDescent="0.4">
      <c r="D290" s="118"/>
      <c r="E290" s="52"/>
      <c r="F290" s="52"/>
      <c r="G290" s="240" t="s">
        <v>476</v>
      </c>
      <c r="I290" s="123" t="s">
        <v>565</v>
      </c>
      <c r="Q290" s="234" t="s">
        <v>625</v>
      </c>
      <c r="R290" s="175"/>
      <c r="S290" s="175"/>
      <c r="T290" s="175"/>
      <c r="U290" s="175"/>
      <c r="V290" s="119"/>
    </row>
    <row r="291" spans="4:22" s="51" customFormat="1" ht="13.5" x14ac:dyDescent="0.4">
      <c r="D291" s="118"/>
      <c r="E291" s="52"/>
      <c r="F291" s="52"/>
      <c r="G291" s="243"/>
      <c r="I291" s="262" t="s">
        <v>629</v>
      </c>
      <c r="K291" s="240" t="s">
        <v>476</v>
      </c>
      <c r="M291" s="234" t="s">
        <v>624</v>
      </c>
      <c r="O291" s="240" t="s">
        <v>476</v>
      </c>
      <c r="Q291" s="235"/>
      <c r="R291" s="175"/>
      <c r="S291" s="175"/>
      <c r="T291" s="175"/>
      <c r="U291" s="175"/>
      <c r="V291" s="119"/>
    </row>
    <row r="292" spans="4:22" s="51" customFormat="1" ht="13.5" customHeight="1" x14ac:dyDescent="0.4">
      <c r="D292" s="118"/>
      <c r="E292" s="52"/>
      <c r="F292" s="52"/>
      <c r="G292" s="243"/>
      <c r="H292" s="259" t="s">
        <v>723</v>
      </c>
      <c r="I292" s="263"/>
      <c r="K292" s="241"/>
      <c r="L292" s="259" t="s">
        <v>723</v>
      </c>
      <c r="M292" s="235"/>
      <c r="O292" s="241"/>
      <c r="P292" s="259" t="s">
        <v>723</v>
      </c>
      <c r="Q292" s="235"/>
      <c r="R292" s="175"/>
      <c r="S292" s="175"/>
      <c r="T292" s="175"/>
      <c r="U292" s="175"/>
      <c r="V292" s="119"/>
    </row>
    <row r="293" spans="4:22" s="51" customFormat="1" ht="13.5" customHeight="1" x14ac:dyDescent="0.4">
      <c r="D293" s="118"/>
      <c r="E293" s="52"/>
      <c r="F293" s="52"/>
      <c r="G293" s="243"/>
      <c r="H293" s="264"/>
      <c r="I293" s="263"/>
      <c r="K293" s="241"/>
      <c r="L293" s="264"/>
      <c r="M293" s="235"/>
      <c r="O293" s="241"/>
      <c r="P293" s="264"/>
      <c r="Q293" s="235"/>
      <c r="R293" s="175"/>
      <c r="S293" s="175"/>
      <c r="T293" s="175"/>
      <c r="U293" s="175"/>
      <c r="V293" s="119"/>
    </row>
    <row r="294" spans="4:22" s="51" customFormat="1" ht="13.5" customHeight="1" x14ac:dyDescent="0.4">
      <c r="D294" s="118"/>
      <c r="E294" s="52"/>
      <c r="F294" s="52"/>
      <c r="G294" s="243"/>
      <c r="H294" s="264"/>
      <c r="I294" s="263"/>
      <c r="K294" s="241"/>
      <c r="L294" s="264"/>
      <c r="M294" s="235"/>
      <c r="O294" s="241"/>
      <c r="P294" s="264"/>
      <c r="Q294" s="235"/>
      <c r="R294" s="175"/>
      <c r="S294" s="175"/>
      <c r="T294" s="175"/>
      <c r="U294" s="175"/>
      <c r="V294" s="119"/>
    </row>
    <row r="295" spans="4:22" s="51" customFormat="1" ht="13.5" customHeight="1" x14ac:dyDescent="0.4">
      <c r="D295" s="118"/>
      <c r="E295" s="52"/>
      <c r="F295" s="52"/>
      <c r="G295" s="243"/>
      <c r="H295" s="264"/>
      <c r="I295" s="263"/>
      <c r="K295" s="241"/>
      <c r="L295" s="264"/>
      <c r="M295" s="235"/>
      <c r="O295" s="241"/>
      <c r="P295" s="264"/>
      <c r="Q295" s="235"/>
      <c r="R295" s="175"/>
      <c r="S295" s="175"/>
      <c r="T295" s="175"/>
      <c r="U295" s="175"/>
      <c r="V295" s="119"/>
    </row>
    <row r="296" spans="4:22" s="51" customFormat="1" ht="13.5" customHeight="1" x14ac:dyDescent="0.4">
      <c r="D296" s="118"/>
      <c r="E296" s="52"/>
      <c r="F296" s="52"/>
      <c r="G296" s="244"/>
      <c r="H296" s="265"/>
      <c r="I296" s="263"/>
      <c r="K296" s="242"/>
      <c r="L296" s="265"/>
      <c r="M296" s="236"/>
      <c r="O296" s="242"/>
      <c r="P296" s="265"/>
      <c r="Q296" s="236"/>
      <c r="R296" s="175"/>
      <c r="S296" s="175"/>
      <c r="T296" s="175"/>
      <c r="U296" s="175"/>
      <c r="V296" s="119"/>
    </row>
    <row r="297" spans="4:22" s="51" customFormat="1" ht="13.5" x14ac:dyDescent="0.4">
      <c r="D297" s="118"/>
      <c r="E297" s="124" t="s">
        <v>379</v>
      </c>
      <c r="F297" s="124"/>
      <c r="G297" s="124"/>
      <c r="H297" s="184"/>
      <c r="I297" s="126">
        <v>20</v>
      </c>
      <c r="K297" s="124"/>
      <c r="L297" s="184"/>
      <c r="M297" s="126">
        <v>0</v>
      </c>
      <c r="O297" s="124"/>
      <c r="P297" s="184"/>
      <c r="Q297" s="126">
        <v>-50</v>
      </c>
      <c r="R297" s="176"/>
      <c r="S297" s="176"/>
      <c r="T297" s="176"/>
      <c r="U297" s="176"/>
      <c r="V297" s="119"/>
    </row>
    <row r="298" spans="4:22" s="51" customFormat="1" ht="13.5" x14ac:dyDescent="0.4">
      <c r="D298" s="118"/>
      <c r="E298" s="124" t="s">
        <v>478</v>
      </c>
      <c r="F298" s="124"/>
      <c r="G298" s="124"/>
      <c r="H298" s="230">
        <v>280</v>
      </c>
      <c r="I298" s="230"/>
      <c r="K298" s="124"/>
      <c r="L298" s="269">
        <v>280</v>
      </c>
      <c r="M298" s="270"/>
      <c r="O298" s="124"/>
      <c r="P298" s="269">
        <v>280</v>
      </c>
      <c r="Q298" s="270"/>
      <c r="R298" s="177"/>
      <c r="S298" s="177"/>
      <c r="T298" s="177"/>
      <c r="U298" s="177"/>
      <c r="V298" s="119"/>
    </row>
    <row r="299" spans="4:22" s="51" customFormat="1" ht="13.5" x14ac:dyDescent="0.4">
      <c r="D299" s="118"/>
      <c r="E299" s="124"/>
      <c r="F299" s="124"/>
      <c r="G299" s="124"/>
      <c r="H299" s="52"/>
      <c r="K299" s="124"/>
      <c r="L299" s="52"/>
      <c r="O299" s="124"/>
      <c r="P299" s="52"/>
      <c r="R299" s="24"/>
      <c r="S299" s="24"/>
      <c r="T299" s="24"/>
      <c r="U299" s="24"/>
      <c r="V299" s="119"/>
    </row>
    <row r="300" spans="4:22" s="51" customFormat="1" ht="13.5" x14ac:dyDescent="0.4">
      <c r="D300" s="118"/>
      <c r="E300" s="124" t="s">
        <v>479</v>
      </c>
      <c r="F300" s="124"/>
      <c r="G300" s="124"/>
      <c r="H300" s="52"/>
      <c r="I300" s="52"/>
      <c r="K300" s="124"/>
      <c r="L300" s="52"/>
      <c r="M300" s="52"/>
      <c r="O300" s="124"/>
      <c r="P300" s="52"/>
      <c r="Q300" s="52"/>
      <c r="R300" s="1"/>
      <c r="S300" s="1"/>
      <c r="T300" s="1"/>
      <c r="U300" s="1"/>
      <c r="V300" s="119"/>
    </row>
    <row r="301" spans="4:22" s="51" customFormat="1" ht="13.5" customHeight="1" x14ac:dyDescent="0.4">
      <c r="D301" s="118"/>
      <c r="E301" s="128" t="s">
        <v>480</v>
      </c>
      <c r="F301" s="128"/>
      <c r="G301" s="124"/>
      <c r="I301" s="136">
        <v>91121</v>
      </c>
      <c r="K301" s="124"/>
      <c r="M301" s="136">
        <v>91121</v>
      </c>
      <c r="O301" s="124"/>
      <c r="Q301" s="136">
        <v>91121</v>
      </c>
      <c r="R301" s="175"/>
      <c r="S301" s="175"/>
      <c r="T301" s="175"/>
      <c r="U301" s="175"/>
      <c r="V301" s="119"/>
    </row>
    <row r="302" spans="4:22" s="51" customFormat="1" ht="13.5" customHeight="1" x14ac:dyDescent="0.4">
      <c r="D302" s="118"/>
      <c r="E302" s="128" t="s">
        <v>481</v>
      </c>
      <c r="F302" s="128"/>
      <c r="G302" s="124"/>
      <c r="I302" s="135">
        <v>0</v>
      </c>
      <c r="K302" s="124"/>
      <c r="M302" s="135">
        <v>0</v>
      </c>
      <c r="O302" s="124"/>
      <c r="Q302" s="135">
        <v>0</v>
      </c>
      <c r="R302" s="177"/>
      <c r="S302" s="177"/>
      <c r="T302" s="177"/>
      <c r="U302" s="177"/>
      <c r="V302" s="119"/>
    </row>
    <row r="303" spans="4:22" s="51" customFormat="1" ht="13.5" x14ac:dyDescent="0.4">
      <c r="D303" s="118"/>
      <c r="E303" s="128" t="s">
        <v>482</v>
      </c>
      <c r="F303" s="128"/>
      <c r="G303" s="124"/>
      <c r="I303" s="169" t="s">
        <v>722</v>
      </c>
      <c r="K303" s="124"/>
      <c r="M303" s="169" t="s">
        <v>694</v>
      </c>
      <c r="O303" s="124"/>
      <c r="Q303" s="135" t="s">
        <v>694</v>
      </c>
      <c r="R303" s="177"/>
      <c r="S303" s="177"/>
      <c r="T303" s="177"/>
      <c r="U303" s="177"/>
      <c r="V303" s="119"/>
    </row>
    <row r="304" spans="4:22" s="51" customFormat="1" ht="27" x14ac:dyDescent="0.4">
      <c r="D304" s="118"/>
      <c r="E304" s="124" t="s">
        <v>379</v>
      </c>
      <c r="F304" s="124"/>
      <c r="G304" s="124"/>
      <c r="I304" s="137" t="s">
        <v>630</v>
      </c>
      <c r="K304" s="124"/>
      <c r="M304" s="137" t="s">
        <v>631</v>
      </c>
      <c r="O304" s="124"/>
      <c r="Q304" s="150" t="s">
        <v>626</v>
      </c>
      <c r="R304" s="178"/>
      <c r="S304" s="178"/>
      <c r="T304" s="178"/>
      <c r="U304" s="178"/>
      <c r="V304" s="119"/>
    </row>
    <row r="305" spans="4:22" s="51" customFormat="1" ht="13.5" x14ac:dyDescent="0.4">
      <c r="D305" s="118"/>
      <c r="E305" s="120" t="s">
        <v>720</v>
      </c>
      <c r="F305" s="124"/>
      <c r="G305" s="124"/>
      <c r="I305" s="137"/>
      <c r="K305" s="124"/>
      <c r="M305" s="137"/>
      <c r="O305" s="124"/>
      <c r="Q305" s="150"/>
      <c r="R305" s="178"/>
      <c r="S305" s="178"/>
      <c r="T305" s="178"/>
      <c r="U305" s="178"/>
      <c r="V305" s="119"/>
    </row>
    <row r="306" spans="4:22" s="51" customFormat="1" ht="14.25" thickBot="1" x14ac:dyDescent="0.45">
      <c r="D306" s="129"/>
      <c r="E306" s="130"/>
      <c r="F306" s="130"/>
      <c r="G306" s="130"/>
      <c r="H306" s="130"/>
      <c r="I306" s="131"/>
      <c r="J306" s="132"/>
      <c r="K306" s="132"/>
      <c r="L306" s="132"/>
      <c r="M306" s="132"/>
      <c r="N306" s="132"/>
      <c r="O306" s="132"/>
      <c r="P306" s="132"/>
      <c r="Q306" s="132"/>
      <c r="R306" s="174"/>
      <c r="S306" s="174"/>
      <c r="T306" s="174"/>
      <c r="U306" s="174"/>
      <c r="V306" s="133"/>
    </row>
    <row r="307" spans="4:22" s="51" customFormat="1" ht="13.5" x14ac:dyDescent="0.4">
      <c r="D307" s="114" t="s">
        <v>474</v>
      </c>
      <c r="E307" s="115"/>
      <c r="F307" s="115"/>
      <c r="G307" s="115"/>
      <c r="H307" s="115"/>
      <c r="I307" s="115"/>
      <c r="J307" s="116"/>
      <c r="K307" s="116"/>
      <c r="L307" s="116"/>
      <c r="M307" s="116"/>
      <c r="N307" s="116"/>
      <c r="O307" s="116"/>
      <c r="P307" s="116"/>
      <c r="Q307" s="116"/>
      <c r="R307" s="173"/>
      <c r="S307" s="173"/>
      <c r="T307" s="173"/>
      <c r="U307" s="173"/>
      <c r="V307" s="117"/>
    </row>
    <row r="308" spans="4:22" s="51" customFormat="1" ht="13.5" x14ac:dyDescent="0.4">
      <c r="D308" s="118">
        <v>13</v>
      </c>
      <c r="E308" s="14" t="s">
        <v>765</v>
      </c>
      <c r="F308" s="14"/>
      <c r="G308" s="14"/>
      <c r="H308" s="52"/>
      <c r="I308" s="52"/>
      <c r="R308" s="24"/>
      <c r="S308" s="24"/>
      <c r="T308" s="24"/>
      <c r="U308" s="24"/>
      <c r="V308" s="119"/>
    </row>
    <row r="309" spans="4:22" s="51" customFormat="1" ht="13.5" x14ac:dyDescent="0.4">
      <c r="D309" s="118"/>
      <c r="E309" s="14" t="s">
        <v>729</v>
      </c>
      <c r="F309" s="14"/>
      <c r="G309" s="14"/>
      <c r="H309" s="52"/>
      <c r="I309" s="52"/>
      <c r="R309" s="24"/>
      <c r="S309" s="24"/>
      <c r="T309" s="24"/>
      <c r="U309" s="24"/>
      <c r="V309" s="119"/>
    </row>
    <row r="310" spans="4:22" s="51" customFormat="1" ht="13.5" x14ac:dyDescent="0.4">
      <c r="D310" s="118"/>
      <c r="E310" s="14"/>
      <c r="F310" s="14"/>
      <c r="G310" s="14"/>
      <c r="H310" s="52"/>
      <c r="I310" s="52"/>
      <c r="R310" s="24"/>
      <c r="S310" s="24"/>
      <c r="T310" s="24"/>
      <c r="U310" s="24"/>
      <c r="V310" s="119"/>
    </row>
    <row r="311" spans="4:22" s="52" customFormat="1" ht="13.5" x14ac:dyDescent="0.4">
      <c r="D311" s="118"/>
      <c r="E311" s="52" t="s">
        <v>488</v>
      </c>
      <c r="H311" s="52" t="str">
        <f>H313&amp;"円に特売（期間売価）設定"</f>
        <v>300円に特売（期間売価）設定</v>
      </c>
      <c r="I311" s="52" t="str">
        <f>I313&amp;"円にレジでの売価変更"</f>
        <v>250円にレジでの売価変更</v>
      </c>
      <c r="R311" s="1"/>
      <c r="S311" s="1"/>
      <c r="T311" s="1"/>
      <c r="U311" s="1"/>
      <c r="V311" s="121"/>
    </row>
    <row r="312" spans="4:22" s="51" customFormat="1" ht="13.5" x14ac:dyDescent="0.4">
      <c r="D312" s="118"/>
      <c r="E312" s="122"/>
      <c r="F312" s="122"/>
      <c r="G312" s="14"/>
      <c r="K312" s="52"/>
      <c r="L312" s="52"/>
      <c r="M312" s="52"/>
      <c r="N312" s="52"/>
      <c r="O312" s="52"/>
      <c r="P312" s="52"/>
      <c r="Q312" s="52"/>
      <c r="R312" s="1"/>
      <c r="S312" s="1"/>
      <c r="T312" s="1"/>
      <c r="U312" s="1"/>
      <c r="V312" s="119"/>
    </row>
    <row r="313" spans="4:22" s="51" customFormat="1" ht="13.5" x14ac:dyDescent="0.4">
      <c r="D313" s="118"/>
      <c r="E313" s="122" t="s">
        <v>745</v>
      </c>
      <c r="F313" s="122"/>
      <c r="G313" s="52"/>
      <c r="H313" s="52">
        <v>300</v>
      </c>
      <c r="I313" s="52">
        <v>250</v>
      </c>
      <c r="K313" s="52"/>
      <c r="L313" s="52"/>
      <c r="M313" s="52"/>
      <c r="N313" s="52"/>
      <c r="O313" s="52"/>
      <c r="P313" s="52"/>
      <c r="Q313" s="52"/>
      <c r="R313" s="1"/>
      <c r="S313" s="1"/>
      <c r="T313" s="1"/>
      <c r="U313" s="1"/>
      <c r="V313" s="119"/>
    </row>
    <row r="314" spans="4:22" s="51" customFormat="1" ht="13.5" x14ac:dyDescent="0.4">
      <c r="D314" s="118"/>
      <c r="E314" s="52"/>
      <c r="F314" s="52"/>
      <c r="G314" s="52"/>
      <c r="I314" s="52"/>
      <c r="K314" s="52"/>
      <c r="L314" s="52"/>
      <c r="M314" s="52"/>
      <c r="N314" s="52"/>
      <c r="O314" s="52"/>
      <c r="P314" s="52"/>
      <c r="Q314" s="52"/>
      <c r="R314" s="1"/>
      <c r="S314" s="1"/>
      <c r="T314" s="1"/>
      <c r="U314" s="1"/>
      <c r="V314" s="119"/>
    </row>
    <row r="315" spans="4:22" s="51" customFormat="1" ht="13.5" customHeight="1" x14ac:dyDescent="0.4">
      <c r="D315" s="118"/>
      <c r="E315" s="52"/>
      <c r="F315" s="52"/>
      <c r="G315" s="52"/>
      <c r="I315" s="52"/>
      <c r="K315" s="52"/>
      <c r="L315" s="52"/>
      <c r="M315" s="52"/>
      <c r="N315" s="52"/>
      <c r="O315" s="52"/>
      <c r="P315" s="52"/>
      <c r="Q315" s="52"/>
      <c r="R315" s="1"/>
      <c r="S315" s="1"/>
      <c r="T315" s="1"/>
      <c r="U315" s="1"/>
      <c r="V315" s="119"/>
    </row>
    <row r="316" spans="4:22" s="51" customFormat="1" ht="13.5" customHeight="1" x14ac:dyDescent="0.4">
      <c r="D316" s="118"/>
      <c r="E316" s="52"/>
      <c r="F316" s="52"/>
      <c r="G316" s="52"/>
      <c r="K316" s="52"/>
      <c r="L316" s="52"/>
      <c r="M316" s="52"/>
      <c r="N316" s="52"/>
      <c r="O316" s="52"/>
      <c r="P316" s="52"/>
      <c r="Q316" s="52"/>
      <c r="R316" s="1"/>
      <c r="S316" s="1"/>
      <c r="T316" s="1"/>
      <c r="U316" s="1"/>
      <c r="V316" s="119"/>
    </row>
    <row r="317" spans="4:22" s="51" customFormat="1" ht="13.5" customHeight="1" x14ac:dyDescent="0.4">
      <c r="D317" s="118"/>
      <c r="E317" s="52"/>
      <c r="F317" s="52"/>
      <c r="G317" s="240" t="s">
        <v>476</v>
      </c>
      <c r="H317" s="259" t="s">
        <v>766</v>
      </c>
      <c r="I317" s="123" t="s">
        <v>477</v>
      </c>
      <c r="K317" s="52"/>
      <c r="L317" s="52"/>
      <c r="M317" s="52"/>
      <c r="N317" s="52"/>
      <c r="O317" s="52"/>
      <c r="P317" s="52"/>
      <c r="Q317" s="52"/>
      <c r="R317" s="1"/>
      <c r="S317" s="1"/>
      <c r="T317" s="1"/>
      <c r="U317" s="1"/>
      <c r="V317" s="119"/>
    </row>
    <row r="318" spans="4:22" s="51" customFormat="1" ht="13.5" customHeight="1" x14ac:dyDescent="0.4">
      <c r="D318" s="118"/>
      <c r="E318" s="52"/>
      <c r="F318" s="52"/>
      <c r="G318" s="241"/>
      <c r="H318" s="260"/>
      <c r="I318" s="234" t="s">
        <v>622</v>
      </c>
      <c r="K318" s="52"/>
      <c r="L318" s="52"/>
      <c r="M318" s="52"/>
      <c r="N318" s="52"/>
      <c r="O318" s="52"/>
      <c r="P318" s="52"/>
      <c r="Q318" s="52"/>
      <c r="R318" s="1"/>
      <c r="S318" s="1"/>
      <c r="T318" s="1"/>
      <c r="U318" s="1"/>
      <c r="V318" s="119"/>
    </row>
    <row r="319" spans="4:22" s="51" customFormat="1" ht="13.5" customHeight="1" x14ac:dyDescent="0.4">
      <c r="D319" s="118"/>
      <c r="E319" s="52"/>
      <c r="F319" s="52"/>
      <c r="G319" s="241"/>
      <c r="H319" s="260"/>
      <c r="I319" s="260"/>
      <c r="K319" s="52"/>
      <c r="L319" s="52"/>
      <c r="M319" s="52"/>
      <c r="N319" s="52"/>
      <c r="O319" s="52"/>
      <c r="P319" s="52"/>
      <c r="Q319" s="52"/>
      <c r="R319" s="1"/>
      <c r="S319" s="1"/>
      <c r="T319" s="1"/>
      <c r="U319" s="1"/>
      <c r="V319" s="119"/>
    </row>
    <row r="320" spans="4:22" s="51" customFormat="1" ht="13.5" customHeight="1" x14ac:dyDescent="0.4">
      <c r="D320" s="118"/>
      <c r="E320" s="52"/>
      <c r="F320" s="52"/>
      <c r="G320" s="241"/>
      <c r="H320" s="260"/>
      <c r="I320" s="260"/>
      <c r="K320" s="52"/>
      <c r="L320" s="52"/>
      <c r="M320" s="52"/>
      <c r="N320" s="52"/>
      <c r="O320" s="52"/>
      <c r="P320" s="52"/>
      <c r="Q320" s="52"/>
      <c r="R320" s="1"/>
      <c r="S320" s="1"/>
      <c r="T320" s="1"/>
      <c r="U320" s="1"/>
      <c r="V320" s="119"/>
    </row>
    <row r="321" spans="4:22" s="51" customFormat="1" ht="13.5" customHeight="1" x14ac:dyDescent="0.4">
      <c r="D321" s="118"/>
      <c r="E321" s="52"/>
      <c r="F321" s="52"/>
      <c r="G321" s="241"/>
      <c r="H321" s="260"/>
      <c r="I321" s="260"/>
      <c r="K321" s="52"/>
      <c r="L321" s="52"/>
      <c r="M321" s="52"/>
      <c r="N321" s="52"/>
      <c r="O321" s="52"/>
      <c r="P321" s="52"/>
      <c r="Q321" s="52"/>
      <c r="R321" s="1"/>
      <c r="S321" s="1"/>
      <c r="T321" s="1"/>
      <c r="U321" s="1"/>
      <c r="V321" s="119"/>
    </row>
    <row r="322" spans="4:22" s="51" customFormat="1" ht="13.5" customHeight="1" x14ac:dyDescent="0.4">
      <c r="D322" s="118"/>
      <c r="E322" s="52"/>
      <c r="F322" s="52"/>
      <c r="G322" s="242"/>
      <c r="H322" s="261"/>
      <c r="I322" s="261"/>
      <c r="K322" s="52"/>
      <c r="L322" s="52"/>
      <c r="M322" s="52"/>
      <c r="N322" s="52"/>
      <c r="O322" s="52"/>
      <c r="P322" s="52"/>
      <c r="Q322" s="52"/>
      <c r="R322" s="1"/>
      <c r="S322" s="1"/>
      <c r="T322" s="1"/>
      <c r="U322" s="1"/>
      <c r="V322" s="119"/>
    </row>
    <row r="323" spans="4:22" s="51" customFormat="1" ht="13.5" x14ac:dyDescent="0.4">
      <c r="D323" s="118"/>
      <c r="E323" s="124" t="s">
        <v>379</v>
      </c>
      <c r="F323" s="124"/>
      <c r="G323" s="124"/>
      <c r="H323" s="126">
        <v>0</v>
      </c>
      <c r="I323" s="184">
        <v>50</v>
      </c>
      <c r="K323" s="52"/>
      <c r="L323" s="52"/>
      <c r="M323" s="52"/>
      <c r="N323" s="52"/>
      <c r="O323" s="52"/>
      <c r="P323" s="52"/>
      <c r="Q323" s="52"/>
      <c r="R323" s="1"/>
      <c r="S323" s="1"/>
      <c r="T323" s="1"/>
      <c r="U323" s="1"/>
      <c r="V323" s="119"/>
    </row>
    <row r="324" spans="4:22" s="51" customFormat="1" ht="13.5" x14ac:dyDescent="0.4">
      <c r="D324" s="118"/>
      <c r="E324" s="124" t="s">
        <v>478</v>
      </c>
      <c r="F324" s="124"/>
      <c r="G324" s="124"/>
      <c r="H324" s="230">
        <v>250</v>
      </c>
      <c r="I324" s="230"/>
      <c r="K324" s="52"/>
      <c r="L324" s="52"/>
      <c r="M324" s="52"/>
      <c r="N324" s="52"/>
      <c r="O324" s="52"/>
      <c r="P324" s="52"/>
      <c r="Q324" s="52"/>
      <c r="R324" s="1"/>
      <c r="S324" s="1"/>
      <c r="T324" s="1"/>
      <c r="U324" s="1"/>
      <c r="V324" s="119"/>
    </row>
    <row r="325" spans="4:22" s="51" customFormat="1" ht="13.5" x14ac:dyDescent="0.4">
      <c r="D325" s="118"/>
      <c r="E325" s="124"/>
      <c r="F325" s="124"/>
      <c r="G325" s="124"/>
      <c r="H325" s="52"/>
      <c r="K325" s="52"/>
      <c r="L325" s="52"/>
      <c r="M325" s="52"/>
      <c r="N325" s="52"/>
      <c r="O325" s="52"/>
      <c r="P325" s="52"/>
      <c r="Q325" s="52"/>
      <c r="R325" s="1"/>
      <c r="S325" s="1"/>
      <c r="T325" s="1"/>
      <c r="U325" s="1"/>
      <c r="V325" s="119"/>
    </row>
    <row r="326" spans="4:22" s="51" customFormat="1" ht="13.5" x14ac:dyDescent="0.4">
      <c r="D326" s="118"/>
      <c r="E326" s="124" t="s">
        <v>479</v>
      </c>
      <c r="F326" s="124"/>
      <c r="G326" s="124"/>
      <c r="H326" s="52"/>
      <c r="I326" s="52"/>
      <c r="K326" s="52"/>
      <c r="L326" s="52"/>
      <c r="M326" s="52"/>
      <c r="N326" s="52"/>
      <c r="O326" s="52"/>
      <c r="P326" s="52"/>
      <c r="Q326" s="52"/>
      <c r="R326" s="1"/>
      <c r="S326" s="1"/>
      <c r="T326" s="1"/>
      <c r="U326" s="1"/>
      <c r="V326" s="119"/>
    </row>
    <row r="327" spans="4:22" s="51" customFormat="1" ht="13.5" customHeight="1" x14ac:dyDescent="0.4">
      <c r="D327" s="118"/>
      <c r="E327" s="128" t="s">
        <v>480</v>
      </c>
      <c r="F327" s="128"/>
      <c r="G327" s="124"/>
      <c r="H327" s="136">
        <v>91141</v>
      </c>
      <c r="I327" s="52">
        <v>91220</v>
      </c>
      <c r="K327" s="52"/>
      <c r="L327" s="52"/>
      <c r="M327" s="52"/>
      <c r="N327" s="52"/>
      <c r="O327" s="52"/>
      <c r="P327" s="52"/>
      <c r="Q327" s="52"/>
      <c r="R327" s="1"/>
      <c r="S327" s="1"/>
      <c r="T327" s="1"/>
      <c r="U327" s="1"/>
      <c r="V327" s="119"/>
    </row>
    <row r="328" spans="4:22" s="51" customFormat="1" ht="13.5" customHeight="1" x14ac:dyDescent="0.4">
      <c r="D328" s="118"/>
      <c r="E328" s="128" t="s">
        <v>481</v>
      </c>
      <c r="F328" s="128"/>
      <c r="G328" s="124"/>
      <c r="H328" s="135">
        <v>0</v>
      </c>
      <c r="I328" s="52">
        <v>6</v>
      </c>
      <c r="K328" s="52"/>
      <c r="L328" s="52"/>
      <c r="M328" s="52"/>
      <c r="N328" s="52"/>
      <c r="O328" s="52"/>
      <c r="P328" s="52"/>
      <c r="Q328" s="52"/>
      <c r="R328" s="1"/>
      <c r="S328" s="1"/>
      <c r="T328" s="1"/>
      <c r="U328" s="1"/>
      <c r="V328" s="119"/>
    </row>
    <row r="329" spans="4:22" s="51" customFormat="1" ht="13.5" x14ac:dyDescent="0.4">
      <c r="D329" s="118"/>
      <c r="E329" s="128" t="s">
        <v>482</v>
      </c>
      <c r="F329" s="128"/>
      <c r="G329" s="124"/>
      <c r="H329" s="135" t="s">
        <v>731</v>
      </c>
      <c r="I329" s="124" t="s">
        <v>468</v>
      </c>
      <c r="K329" s="52"/>
      <c r="L329" s="52"/>
      <c r="M329" s="52"/>
      <c r="N329" s="52"/>
      <c r="O329" s="52"/>
      <c r="P329" s="52"/>
      <c r="Q329" s="52"/>
      <c r="R329" s="1"/>
      <c r="S329" s="1"/>
      <c r="T329" s="1"/>
      <c r="U329" s="1"/>
      <c r="V329" s="119"/>
    </row>
    <row r="330" spans="4:22" s="51" customFormat="1" ht="27" x14ac:dyDescent="0.4">
      <c r="D330" s="118"/>
      <c r="E330" s="124" t="s">
        <v>379</v>
      </c>
      <c r="F330" s="124"/>
      <c r="G330" s="124"/>
      <c r="H330" s="137" t="s">
        <v>746</v>
      </c>
      <c r="I330" s="124" t="s">
        <v>623</v>
      </c>
      <c r="K330" s="52"/>
      <c r="L330" s="52"/>
      <c r="M330" s="52"/>
      <c r="N330" s="52"/>
      <c r="O330" s="52"/>
      <c r="P330" s="52"/>
      <c r="Q330" s="52"/>
      <c r="R330" s="1"/>
      <c r="S330" s="1"/>
      <c r="T330" s="1"/>
      <c r="U330" s="1"/>
      <c r="V330" s="119"/>
    </row>
    <row r="331" spans="4:22" s="51" customFormat="1" ht="14.25" thickBot="1" x14ac:dyDescent="0.45">
      <c r="D331" s="129"/>
      <c r="E331" s="130"/>
      <c r="F331" s="130"/>
      <c r="G331" s="130"/>
      <c r="H331" s="130"/>
      <c r="I331" s="131"/>
      <c r="J331" s="132"/>
      <c r="K331" s="132"/>
      <c r="L331" s="132"/>
      <c r="M331" s="132"/>
      <c r="N331" s="132"/>
      <c r="O331" s="132"/>
      <c r="P331" s="132"/>
      <c r="Q331" s="132"/>
      <c r="R331" s="174"/>
      <c r="S331" s="174"/>
      <c r="T331" s="174"/>
      <c r="U331" s="174"/>
      <c r="V331" s="133"/>
    </row>
    <row r="332" spans="4:22" s="51" customFormat="1" ht="13.5" x14ac:dyDescent="0.4">
      <c r="D332" s="114" t="s">
        <v>474</v>
      </c>
      <c r="E332" s="115"/>
      <c r="F332" s="115"/>
      <c r="G332" s="115"/>
      <c r="H332" s="115"/>
      <c r="I332" s="115"/>
      <c r="J332" s="116"/>
      <c r="K332" s="116"/>
      <c r="L332" s="116"/>
      <c r="M332" s="116"/>
      <c r="N332" s="116"/>
      <c r="O332" s="116"/>
      <c r="P332" s="116"/>
      <c r="Q332" s="116"/>
      <c r="R332" s="173"/>
      <c r="S332" s="173"/>
      <c r="T332" s="173"/>
      <c r="U332" s="173"/>
      <c r="V332" s="117"/>
    </row>
    <row r="333" spans="4:22" s="51" customFormat="1" ht="13.5" x14ac:dyDescent="0.4">
      <c r="D333" s="118">
        <v>14</v>
      </c>
      <c r="E333" s="14" t="s">
        <v>728</v>
      </c>
      <c r="F333" s="14"/>
      <c r="G333" s="14"/>
      <c r="H333" s="52"/>
      <c r="I333" s="52"/>
      <c r="R333" s="24"/>
      <c r="S333" s="24"/>
      <c r="T333" s="24"/>
      <c r="U333" s="24"/>
      <c r="V333" s="119"/>
    </row>
    <row r="334" spans="4:22" s="51" customFormat="1" ht="13.5" x14ac:dyDescent="0.4">
      <c r="D334" s="118"/>
      <c r="E334" s="14" t="s">
        <v>732</v>
      </c>
      <c r="F334" s="14"/>
      <c r="G334" s="14"/>
      <c r="H334" s="52"/>
      <c r="I334" s="52"/>
      <c r="R334" s="24"/>
      <c r="S334" s="24"/>
      <c r="T334" s="24"/>
      <c r="U334" s="24"/>
      <c r="V334" s="119"/>
    </row>
    <row r="335" spans="4:22" s="51" customFormat="1" ht="13.5" x14ac:dyDescent="0.4">
      <c r="D335" s="118"/>
      <c r="E335" s="14"/>
      <c r="F335" s="14"/>
      <c r="R335" s="24"/>
      <c r="S335" s="24"/>
      <c r="T335" s="24"/>
      <c r="U335" s="24"/>
      <c r="V335" s="119"/>
    </row>
    <row r="336" spans="4:22" s="52" customFormat="1" ht="13.5" x14ac:dyDescent="0.4">
      <c r="D336" s="118"/>
      <c r="E336" s="52" t="s">
        <v>488</v>
      </c>
      <c r="H336" s="52" t="str">
        <f>H338&amp;"円に特売（期間売価）設定"</f>
        <v>300円に特売（期間売価）設定</v>
      </c>
      <c r="I336" s="52" t="str">
        <f>I338&amp;"円にレジでの売価変更"</f>
        <v>250円にレジでの売価変更</v>
      </c>
      <c r="R336" s="1"/>
      <c r="S336" s="1"/>
      <c r="T336" s="1"/>
      <c r="U336" s="1"/>
      <c r="V336" s="121"/>
    </row>
    <row r="337" spans="4:22" s="51" customFormat="1" ht="13.5" x14ac:dyDescent="0.4">
      <c r="D337" s="118"/>
      <c r="E337" s="122"/>
      <c r="F337" s="122"/>
      <c r="O337" s="52"/>
      <c r="P337" s="52"/>
      <c r="Q337" s="52"/>
      <c r="R337" s="1"/>
      <c r="S337" s="1"/>
      <c r="T337" s="1"/>
      <c r="U337" s="1"/>
      <c r="V337" s="119"/>
    </row>
    <row r="338" spans="4:22" s="51" customFormat="1" ht="13.5" x14ac:dyDescent="0.4">
      <c r="D338" s="118"/>
      <c r="E338" s="122" t="s">
        <v>745</v>
      </c>
      <c r="F338" s="122"/>
      <c r="H338" s="52">
        <v>300</v>
      </c>
      <c r="I338" s="52">
        <v>250</v>
      </c>
      <c r="O338" s="52"/>
      <c r="P338" s="52"/>
      <c r="Q338" s="52"/>
      <c r="R338" s="1"/>
      <c r="S338" s="1"/>
      <c r="T338" s="1"/>
      <c r="U338" s="1"/>
      <c r="V338" s="119"/>
    </row>
    <row r="339" spans="4:22" s="51" customFormat="1" ht="13.5" x14ac:dyDescent="0.4">
      <c r="D339" s="118"/>
      <c r="E339" s="52"/>
      <c r="F339" s="52"/>
      <c r="O339" s="52"/>
      <c r="P339" s="52"/>
      <c r="Q339" s="52"/>
      <c r="R339" s="1"/>
      <c r="S339" s="1"/>
      <c r="T339" s="1"/>
      <c r="U339" s="1"/>
      <c r="V339" s="119"/>
    </row>
    <row r="340" spans="4:22" s="51" customFormat="1" ht="13.5" customHeight="1" x14ac:dyDescent="0.4">
      <c r="D340" s="118"/>
      <c r="E340" s="52"/>
      <c r="F340" s="52"/>
      <c r="O340" s="52"/>
      <c r="P340" s="52"/>
      <c r="Q340" s="52"/>
      <c r="R340" s="1"/>
      <c r="S340" s="1"/>
      <c r="T340" s="1"/>
      <c r="U340" s="1"/>
      <c r="V340" s="119"/>
    </row>
    <row r="341" spans="4:22" s="51" customFormat="1" ht="13.5" customHeight="1" x14ac:dyDescent="0.4">
      <c r="D341" s="118"/>
      <c r="E341" s="52"/>
      <c r="F341" s="52"/>
      <c r="O341" s="52"/>
      <c r="P341" s="52"/>
      <c r="Q341" s="52"/>
      <c r="R341" s="1"/>
      <c r="S341" s="1"/>
      <c r="T341" s="1"/>
      <c r="U341" s="1"/>
      <c r="V341" s="119"/>
    </row>
    <row r="342" spans="4:22" s="51" customFormat="1" ht="13.5" customHeight="1" x14ac:dyDescent="0.4">
      <c r="D342" s="118"/>
      <c r="E342" s="52"/>
      <c r="F342" s="52"/>
      <c r="G342" s="240" t="s">
        <v>476</v>
      </c>
      <c r="H342" s="259" t="s">
        <v>747</v>
      </c>
      <c r="I342" s="234" t="s">
        <v>624</v>
      </c>
      <c r="O342" s="52"/>
      <c r="P342" s="52"/>
      <c r="Q342" s="52"/>
      <c r="R342" s="1"/>
      <c r="S342" s="1"/>
      <c r="T342" s="1"/>
      <c r="U342" s="1"/>
      <c r="V342" s="119"/>
    </row>
    <row r="343" spans="4:22" s="51" customFormat="1" ht="13.5" customHeight="1" x14ac:dyDescent="0.4">
      <c r="D343" s="118"/>
      <c r="E343" s="52"/>
      <c r="F343" s="52"/>
      <c r="G343" s="241"/>
      <c r="H343" s="237"/>
      <c r="I343" s="237"/>
      <c r="O343" s="52"/>
      <c r="P343" s="52"/>
      <c r="Q343" s="52"/>
      <c r="R343" s="1"/>
      <c r="S343" s="1"/>
      <c r="T343" s="1"/>
      <c r="U343" s="1"/>
      <c r="V343" s="119"/>
    </row>
    <row r="344" spans="4:22" s="51" customFormat="1" ht="13.5" customHeight="1" x14ac:dyDescent="0.4">
      <c r="D344" s="118"/>
      <c r="E344" s="52"/>
      <c r="F344" s="52"/>
      <c r="G344" s="241"/>
      <c r="H344" s="237"/>
      <c r="I344" s="237"/>
      <c r="O344" s="52"/>
      <c r="P344" s="52"/>
      <c r="Q344" s="52"/>
      <c r="R344" s="1"/>
      <c r="S344" s="1"/>
      <c r="T344" s="1"/>
      <c r="U344" s="1"/>
      <c r="V344" s="119"/>
    </row>
    <row r="345" spans="4:22" s="51" customFormat="1" ht="13.5" customHeight="1" x14ac:dyDescent="0.4">
      <c r="D345" s="118"/>
      <c r="E345" s="52"/>
      <c r="F345" s="52"/>
      <c r="G345" s="241"/>
      <c r="H345" s="237"/>
      <c r="I345" s="237"/>
      <c r="O345" s="52"/>
      <c r="P345" s="52"/>
      <c r="Q345" s="52"/>
      <c r="R345" s="1"/>
      <c r="S345" s="1"/>
      <c r="T345" s="1"/>
      <c r="U345" s="1"/>
      <c r="V345" s="119"/>
    </row>
    <row r="346" spans="4:22" s="51" customFormat="1" ht="13.5" customHeight="1" x14ac:dyDescent="0.4">
      <c r="D346" s="118"/>
      <c r="E346" s="52"/>
      <c r="F346" s="52"/>
      <c r="G346" s="241"/>
      <c r="H346" s="237"/>
      <c r="I346" s="237"/>
      <c r="O346" s="52"/>
      <c r="P346" s="52"/>
      <c r="Q346" s="52"/>
      <c r="R346" s="1"/>
      <c r="S346" s="1"/>
      <c r="T346" s="1"/>
      <c r="U346" s="1"/>
      <c r="V346" s="119"/>
    </row>
    <row r="347" spans="4:22" s="51" customFormat="1" ht="13.5" customHeight="1" x14ac:dyDescent="0.4">
      <c r="D347" s="118"/>
      <c r="E347" s="52"/>
      <c r="F347" s="52"/>
      <c r="G347" s="242"/>
      <c r="H347" s="238"/>
      <c r="I347" s="238"/>
      <c r="O347" s="52"/>
      <c r="P347" s="52"/>
      <c r="Q347" s="52"/>
      <c r="R347" s="1"/>
      <c r="S347" s="1"/>
      <c r="T347" s="1"/>
      <c r="U347" s="1"/>
      <c r="V347" s="119"/>
    </row>
    <row r="348" spans="4:22" s="51" customFormat="1" ht="13.5" x14ac:dyDescent="0.4">
      <c r="D348" s="118"/>
      <c r="E348" s="124" t="s">
        <v>379</v>
      </c>
      <c r="F348" s="124"/>
      <c r="H348" s="126">
        <v>0</v>
      </c>
      <c r="I348" s="184"/>
      <c r="O348" s="52"/>
      <c r="P348" s="52"/>
      <c r="Q348" s="52"/>
      <c r="R348" s="1"/>
      <c r="S348" s="1"/>
      <c r="T348" s="1"/>
      <c r="U348" s="1"/>
      <c r="V348" s="119"/>
    </row>
    <row r="349" spans="4:22" s="51" customFormat="1" ht="13.5" x14ac:dyDescent="0.4">
      <c r="D349" s="118"/>
      <c r="E349" s="124" t="s">
        <v>478</v>
      </c>
      <c r="F349" s="124"/>
      <c r="H349" s="230">
        <v>300</v>
      </c>
      <c r="I349" s="230"/>
      <c r="O349" s="52"/>
      <c r="P349" s="52"/>
      <c r="Q349" s="52"/>
      <c r="R349" s="1"/>
      <c r="S349" s="1"/>
      <c r="T349" s="1"/>
      <c r="U349" s="1"/>
      <c r="V349" s="119"/>
    </row>
    <row r="350" spans="4:22" s="51" customFormat="1" ht="13.5" x14ac:dyDescent="0.4">
      <c r="D350" s="118"/>
      <c r="E350" s="124"/>
      <c r="F350" s="124"/>
      <c r="I350" s="52"/>
      <c r="O350" s="52"/>
      <c r="P350" s="52"/>
      <c r="Q350" s="52"/>
      <c r="R350" s="1"/>
      <c r="S350" s="1"/>
      <c r="T350" s="1"/>
      <c r="U350" s="1"/>
      <c r="V350" s="119"/>
    </row>
    <row r="351" spans="4:22" s="51" customFormat="1" ht="13.5" x14ac:dyDescent="0.4">
      <c r="D351" s="118"/>
      <c r="E351" s="124" t="s">
        <v>479</v>
      </c>
      <c r="F351" s="124"/>
      <c r="I351" s="52"/>
      <c r="O351" s="52"/>
      <c r="P351" s="52"/>
      <c r="Q351" s="52"/>
      <c r="R351" s="1"/>
      <c r="S351" s="1"/>
      <c r="T351" s="1"/>
      <c r="U351" s="1"/>
      <c r="V351" s="119"/>
    </row>
    <row r="352" spans="4:22" s="51" customFormat="1" ht="13.5" customHeight="1" x14ac:dyDescent="0.4">
      <c r="D352" s="118"/>
      <c r="E352" s="128" t="s">
        <v>480</v>
      </c>
      <c r="F352" s="128"/>
      <c r="H352" s="136">
        <v>91141</v>
      </c>
      <c r="I352" s="230" t="s">
        <v>487</v>
      </c>
      <c r="O352" s="52"/>
      <c r="P352" s="52"/>
      <c r="Q352" s="52"/>
      <c r="R352" s="1"/>
      <c r="S352" s="1"/>
      <c r="T352" s="1"/>
      <c r="U352" s="1"/>
      <c r="V352" s="119"/>
    </row>
    <row r="353" spans="4:22" s="51" customFormat="1" ht="13.5" customHeight="1" x14ac:dyDescent="0.4">
      <c r="D353" s="118"/>
      <c r="E353" s="128" t="s">
        <v>481</v>
      </c>
      <c r="F353" s="128"/>
      <c r="H353" s="135">
        <v>0</v>
      </c>
      <c r="I353" s="230"/>
      <c r="O353" s="52"/>
      <c r="P353" s="52"/>
      <c r="Q353" s="52"/>
      <c r="R353" s="1"/>
      <c r="S353" s="1"/>
      <c r="T353" s="1"/>
      <c r="U353" s="1"/>
      <c r="V353" s="119"/>
    </row>
    <row r="354" spans="4:22" s="51" customFormat="1" ht="13.5" x14ac:dyDescent="0.4">
      <c r="D354" s="118"/>
      <c r="E354" s="128" t="s">
        <v>482</v>
      </c>
      <c r="F354" s="128"/>
      <c r="H354" s="135" t="s">
        <v>731</v>
      </c>
      <c r="I354" s="230"/>
      <c r="O354" s="52"/>
      <c r="P354" s="52"/>
      <c r="Q354" s="52"/>
      <c r="R354" s="1"/>
      <c r="S354" s="1"/>
      <c r="T354" s="1"/>
      <c r="U354" s="1"/>
      <c r="V354" s="119"/>
    </row>
    <row r="355" spans="4:22" s="51" customFormat="1" ht="27" x14ac:dyDescent="0.4">
      <c r="D355" s="118"/>
      <c r="E355" s="124" t="s">
        <v>379</v>
      </c>
      <c r="F355" s="124"/>
      <c r="H355" s="137" t="s">
        <v>746</v>
      </c>
      <c r="I355" s="230"/>
      <c r="O355" s="52"/>
      <c r="P355" s="52"/>
      <c r="Q355" s="52"/>
      <c r="R355" s="1"/>
      <c r="S355" s="1"/>
      <c r="T355" s="1"/>
      <c r="U355" s="1"/>
      <c r="V355" s="119"/>
    </row>
    <row r="356" spans="4:22" s="51" customFormat="1" ht="14.25" thickBot="1" x14ac:dyDescent="0.45">
      <c r="D356" s="129"/>
      <c r="E356" s="130"/>
      <c r="F356" s="130"/>
      <c r="G356" s="130"/>
      <c r="H356" s="130"/>
      <c r="I356" s="131"/>
      <c r="J356" s="132"/>
      <c r="K356" s="132"/>
      <c r="L356" s="132"/>
      <c r="M356" s="132"/>
      <c r="N356" s="132"/>
      <c r="O356" s="132"/>
      <c r="P356" s="132"/>
      <c r="Q356" s="132"/>
      <c r="R356" s="174"/>
      <c r="S356" s="174"/>
      <c r="T356" s="174"/>
      <c r="U356" s="174"/>
      <c r="V356" s="133"/>
    </row>
    <row r="357" spans="4:22" s="51" customFormat="1" ht="13.5" x14ac:dyDescent="0.4">
      <c r="D357" s="114" t="s">
        <v>474</v>
      </c>
      <c r="E357" s="115"/>
      <c r="F357" s="115"/>
      <c r="G357" s="115"/>
      <c r="H357" s="115"/>
      <c r="I357" s="115"/>
      <c r="J357" s="116"/>
      <c r="K357" s="116"/>
      <c r="L357" s="116"/>
      <c r="M357" s="116"/>
      <c r="N357" s="116"/>
      <c r="O357" s="116"/>
      <c r="P357" s="116"/>
      <c r="Q357" s="116"/>
      <c r="R357" s="173"/>
      <c r="S357" s="173"/>
      <c r="T357" s="173"/>
      <c r="U357" s="173"/>
      <c r="V357" s="117"/>
    </row>
    <row r="358" spans="4:22" s="51" customFormat="1" ht="13.5" x14ac:dyDescent="0.4">
      <c r="D358" s="118">
        <v>15</v>
      </c>
      <c r="E358" s="14" t="s">
        <v>728</v>
      </c>
      <c r="F358" s="14"/>
      <c r="G358" s="14"/>
      <c r="H358" s="52"/>
      <c r="I358" s="52"/>
      <c r="R358" s="24"/>
      <c r="S358" s="24"/>
      <c r="T358" s="24"/>
      <c r="U358" s="24"/>
      <c r="V358" s="119"/>
    </row>
    <row r="359" spans="4:22" s="51" customFormat="1" ht="13.5" x14ac:dyDescent="0.4">
      <c r="D359" s="118"/>
      <c r="E359" s="14" t="s">
        <v>733</v>
      </c>
      <c r="F359" s="14"/>
      <c r="G359" s="14"/>
      <c r="H359" s="52"/>
      <c r="I359" s="52"/>
      <c r="R359" s="24"/>
      <c r="S359" s="24"/>
      <c r="T359" s="24"/>
      <c r="U359" s="24"/>
      <c r="V359" s="119"/>
    </row>
    <row r="360" spans="4:22" s="51" customFormat="1" ht="13.5" x14ac:dyDescent="0.4">
      <c r="D360" s="118"/>
      <c r="E360" s="14"/>
      <c r="F360" s="14"/>
      <c r="R360" s="24"/>
      <c r="S360" s="24"/>
      <c r="T360" s="24"/>
      <c r="U360" s="24"/>
      <c r="V360" s="119"/>
    </row>
    <row r="361" spans="4:22" s="52" customFormat="1" ht="13.5" x14ac:dyDescent="0.4">
      <c r="D361" s="118"/>
      <c r="E361" s="52" t="s">
        <v>488</v>
      </c>
      <c r="H361" s="52" t="str">
        <f>H363&amp;"円に特売（期間売価）設定"</f>
        <v>300円に特売（期間売価）設定</v>
      </c>
      <c r="I361" s="52" t="str">
        <f>I363&amp;"円にレジでの売価変更"</f>
        <v>350円にレジでの売価変更</v>
      </c>
      <c r="R361" s="1"/>
      <c r="S361" s="1"/>
      <c r="T361" s="1"/>
      <c r="U361" s="1"/>
      <c r="V361" s="121"/>
    </row>
    <row r="362" spans="4:22" s="51" customFormat="1" ht="13.5" x14ac:dyDescent="0.4">
      <c r="D362" s="118"/>
      <c r="E362" s="122"/>
      <c r="F362" s="122"/>
      <c r="R362" s="24"/>
      <c r="S362" s="24"/>
      <c r="T362" s="24"/>
      <c r="U362" s="24"/>
      <c r="V362" s="119"/>
    </row>
    <row r="363" spans="4:22" s="51" customFormat="1" ht="13.5" x14ac:dyDescent="0.4">
      <c r="D363" s="118"/>
      <c r="E363" s="122" t="s">
        <v>745</v>
      </c>
      <c r="F363" s="122"/>
      <c r="H363" s="52">
        <v>300</v>
      </c>
      <c r="I363" s="52">
        <v>350</v>
      </c>
      <c r="R363" s="24"/>
      <c r="S363" s="24"/>
      <c r="T363" s="24"/>
      <c r="U363" s="24"/>
      <c r="V363" s="119"/>
    </row>
    <row r="364" spans="4:22" s="51" customFormat="1" ht="13.5" x14ac:dyDescent="0.4">
      <c r="D364" s="118"/>
      <c r="E364" s="52"/>
      <c r="F364" s="52"/>
      <c r="R364" s="24"/>
      <c r="S364" s="24"/>
      <c r="T364" s="24"/>
      <c r="U364" s="24"/>
      <c r="V364" s="119"/>
    </row>
    <row r="365" spans="4:22" s="51" customFormat="1" ht="13.5" customHeight="1" x14ac:dyDescent="0.4">
      <c r="D365" s="118"/>
      <c r="E365" s="52"/>
      <c r="F365" s="52"/>
      <c r="R365" s="24"/>
      <c r="S365" s="24"/>
      <c r="T365" s="24"/>
      <c r="U365" s="24"/>
      <c r="V365" s="119"/>
    </row>
    <row r="366" spans="4:22" s="51" customFormat="1" ht="13.5" customHeight="1" x14ac:dyDescent="0.4">
      <c r="D366" s="118"/>
      <c r="E366" s="52"/>
      <c r="F366" s="52"/>
      <c r="H366" s="123" t="s">
        <v>564</v>
      </c>
      <c r="I366" s="247" t="s">
        <v>625</v>
      </c>
      <c r="R366" s="24"/>
      <c r="S366" s="24"/>
      <c r="T366" s="24"/>
      <c r="U366" s="24"/>
      <c r="V366" s="119"/>
    </row>
    <row r="367" spans="4:22" s="51" customFormat="1" ht="13.5" customHeight="1" x14ac:dyDescent="0.4">
      <c r="D367" s="118"/>
      <c r="E367" s="52"/>
      <c r="F367" s="52"/>
      <c r="G367" s="240" t="s">
        <v>476</v>
      </c>
      <c r="H367" s="259" t="s">
        <v>747</v>
      </c>
      <c r="I367" s="248"/>
      <c r="R367" s="24"/>
      <c r="S367" s="24"/>
      <c r="T367" s="24"/>
      <c r="U367" s="24"/>
      <c r="V367" s="119"/>
    </row>
    <row r="368" spans="4:22" s="51" customFormat="1" ht="13.5" customHeight="1" x14ac:dyDescent="0.4">
      <c r="D368" s="118"/>
      <c r="E368" s="52"/>
      <c r="F368" s="52"/>
      <c r="G368" s="241"/>
      <c r="H368" s="237"/>
      <c r="I368" s="248"/>
      <c r="R368" s="24"/>
      <c r="S368" s="24"/>
      <c r="T368" s="24"/>
      <c r="U368" s="24"/>
      <c r="V368" s="119"/>
    </row>
    <row r="369" spans="4:22" s="51" customFormat="1" ht="13.5" customHeight="1" x14ac:dyDescent="0.4">
      <c r="D369" s="118"/>
      <c r="E369" s="52"/>
      <c r="F369" s="52"/>
      <c r="G369" s="241"/>
      <c r="H369" s="237"/>
      <c r="I369" s="248"/>
      <c r="R369" s="24"/>
      <c r="S369" s="24"/>
      <c r="T369" s="24"/>
      <c r="U369" s="24"/>
      <c r="V369" s="119"/>
    </row>
    <row r="370" spans="4:22" s="51" customFormat="1" ht="13.5" customHeight="1" x14ac:dyDescent="0.4">
      <c r="D370" s="118"/>
      <c r="E370" s="52"/>
      <c r="F370" s="52"/>
      <c r="G370" s="241"/>
      <c r="H370" s="237"/>
      <c r="I370" s="248"/>
      <c r="R370" s="24"/>
      <c r="S370" s="24"/>
      <c r="T370" s="24"/>
      <c r="U370" s="24"/>
      <c r="V370" s="119"/>
    </row>
    <row r="371" spans="4:22" s="51" customFormat="1" ht="13.5" customHeight="1" x14ac:dyDescent="0.4">
      <c r="D371" s="118"/>
      <c r="E371" s="52"/>
      <c r="F371" s="52"/>
      <c r="G371" s="241"/>
      <c r="H371" s="237"/>
      <c r="I371" s="248"/>
      <c r="R371" s="24"/>
      <c r="S371" s="24"/>
      <c r="T371" s="24"/>
      <c r="U371" s="24"/>
      <c r="V371" s="119"/>
    </row>
    <row r="372" spans="4:22" s="51" customFormat="1" ht="13.5" customHeight="1" x14ac:dyDescent="0.4">
      <c r="D372" s="118"/>
      <c r="E372" s="52"/>
      <c r="F372" s="52"/>
      <c r="G372" s="242"/>
      <c r="H372" s="238"/>
      <c r="I372" s="249"/>
      <c r="R372" s="24"/>
      <c r="S372" s="24"/>
      <c r="T372" s="24"/>
      <c r="U372" s="24"/>
      <c r="V372" s="119"/>
    </row>
    <row r="373" spans="4:22" s="51" customFormat="1" ht="13.5" x14ac:dyDescent="0.4">
      <c r="D373" s="118"/>
      <c r="E373" s="124" t="s">
        <v>379</v>
      </c>
      <c r="F373" s="124"/>
      <c r="H373" s="126">
        <v>-50</v>
      </c>
      <c r="I373" s="184"/>
      <c r="R373" s="24"/>
      <c r="S373" s="24"/>
      <c r="T373" s="24"/>
      <c r="U373" s="24"/>
      <c r="V373" s="119"/>
    </row>
    <row r="374" spans="4:22" s="51" customFormat="1" ht="13.5" x14ac:dyDescent="0.4">
      <c r="D374" s="118"/>
      <c r="E374" s="124" t="s">
        <v>478</v>
      </c>
      <c r="F374" s="124"/>
      <c r="H374" s="230">
        <v>350</v>
      </c>
      <c r="I374" s="230"/>
      <c r="R374" s="24"/>
      <c r="S374" s="24"/>
      <c r="T374" s="24"/>
      <c r="U374" s="24"/>
      <c r="V374" s="119"/>
    </row>
    <row r="375" spans="4:22" s="51" customFormat="1" ht="13.5" x14ac:dyDescent="0.4">
      <c r="D375" s="118"/>
      <c r="E375" s="124"/>
      <c r="F375" s="124"/>
      <c r="I375" s="52"/>
      <c r="R375" s="24"/>
      <c r="S375" s="24"/>
      <c r="T375" s="24"/>
      <c r="U375" s="24"/>
      <c r="V375" s="119"/>
    </row>
    <row r="376" spans="4:22" s="51" customFormat="1" ht="13.5" x14ac:dyDescent="0.4">
      <c r="D376" s="118"/>
      <c r="E376" s="124" t="s">
        <v>479</v>
      </c>
      <c r="F376" s="124"/>
      <c r="I376" s="52"/>
      <c r="R376" s="24"/>
      <c r="S376" s="24"/>
      <c r="T376" s="24"/>
      <c r="U376" s="24"/>
      <c r="V376" s="119"/>
    </row>
    <row r="377" spans="4:22" s="51" customFormat="1" ht="13.5" customHeight="1" x14ac:dyDescent="0.4">
      <c r="D377" s="118"/>
      <c r="E377" s="128" t="s">
        <v>480</v>
      </c>
      <c r="F377" s="128"/>
      <c r="H377" s="136">
        <v>91141</v>
      </c>
      <c r="I377" s="230" t="s">
        <v>487</v>
      </c>
      <c r="R377" s="24"/>
      <c r="S377" s="24"/>
      <c r="T377" s="24"/>
      <c r="U377" s="24"/>
      <c r="V377" s="119"/>
    </row>
    <row r="378" spans="4:22" s="51" customFormat="1" ht="13.5" customHeight="1" x14ac:dyDescent="0.4">
      <c r="D378" s="118"/>
      <c r="E378" s="128" t="s">
        <v>481</v>
      </c>
      <c r="F378" s="128"/>
      <c r="H378" s="135">
        <v>0</v>
      </c>
      <c r="I378" s="230"/>
      <c r="R378" s="24"/>
      <c r="S378" s="24"/>
      <c r="T378" s="24"/>
      <c r="U378" s="24"/>
      <c r="V378" s="119"/>
    </row>
    <row r="379" spans="4:22" s="51" customFormat="1" ht="13.5" x14ac:dyDescent="0.4">
      <c r="D379" s="118"/>
      <c r="E379" s="128" t="s">
        <v>482</v>
      </c>
      <c r="F379" s="128"/>
      <c r="H379" s="135" t="s">
        <v>731</v>
      </c>
      <c r="I379" s="230"/>
      <c r="R379" s="24"/>
      <c r="S379" s="24"/>
      <c r="T379" s="24"/>
      <c r="U379" s="24"/>
      <c r="V379" s="119"/>
    </row>
    <row r="380" spans="4:22" s="51" customFormat="1" ht="27" x14ac:dyDescent="0.4">
      <c r="D380" s="118"/>
      <c r="E380" s="124" t="s">
        <v>379</v>
      </c>
      <c r="F380" s="124"/>
      <c r="H380" s="150" t="s">
        <v>626</v>
      </c>
      <c r="I380" s="230"/>
      <c r="R380" s="24"/>
      <c r="S380" s="24"/>
      <c r="T380" s="24"/>
      <c r="U380" s="24"/>
      <c r="V380" s="119"/>
    </row>
    <row r="381" spans="4:22" s="51" customFormat="1" ht="14.25" thickBot="1" x14ac:dyDescent="0.45">
      <c r="D381" s="129"/>
      <c r="E381" s="130"/>
      <c r="F381" s="130"/>
      <c r="G381" s="130"/>
      <c r="H381" s="130"/>
      <c r="I381" s="131"/>
      <c r="J381" s="132"/>
      <c r="K381" s="132"/>
      <c r="L381" s="132"/>
      <c r="M381" s="132"/>
      <c r="N381" s="132"/>
      <c r="O381" s="132"/>
      <c r="P381" s="132"/>
      <c r="Q381" s="132"/>
      <c r="R381" s="174"/>
      <c r="S381" s="174"/>
      <c r="T381" s="174"/>
      <c r="U381" s="174"/>
      <c r="V381" s="133"/>
    </row>
    <row r="382" spans="4:22" s="51" customFormat="1" ht="13.5" x14ac:dyDescent="0.4">
      <c r="D382" s="114" t="s">
        <v>474</v>
      </c>
      <c r="E382" s="115"/>
      <c r="F382" s="115"/>
      <c r="G382" s="115"/>
      <c r="H382" s="115"/>
      <c r="I382" s="115"/>
      <c r="J382" s="116"/>
      <c r="K382" s="116"/>
      <c r="L382" s="116"/>
      <c r="M382" s="116"/>
      <c r="N382" s="116"/>
      <c r="O382" s="116"/>
      <c r="P382" s="116"/>
      <c r="Q382" s="116"/>
      <c r="R382" s="173"/>
      <c r="S382" s="173"/>
      <c r="T382" s="173"/>
      <c r="U382" s="173"/>
      <c r="V382" s="117"/>
    </row>
    <row r="383" spans="4:22" s="51" customFormat="1" ht="13.5" x14ac:dyDescent="0.4">
      <c r="D383" s="118">
        <v>16</v>
      </c>
      <c r="E383" s="14" t="s">
        <v>734</v>
      </c>
      <c r="F383" s="14"/>
      <c r="G383" s="14"/>
      <c r="H383" s="52"/>
      <c r="I383" s="52"/>
      <c r="R383" s="24"/>
      <c r="S383" s="24"/>
      <c r="T383" s="24"/>
      <c r="U383" s="24"/>
      <c r="V383" s="119"/>
    </row>
    <row r="384" spans="4:22" s="51" customFormat="1" ht="13.5" x14ac:dyDescent="0.4">
      <c r="D384" s="118"/>
      <c r="E384" s="14" t="s">
        <v>729</v>
      </c>
      <c r="F384" s="14"/>
      <c r="G384" s="14"/>
      <c r="H384" s="52"/>
      <c r="I384" s="52"/>
      <c r="R384" s="24"/>
      <c r="S384" s="24"/>
      <c r="T384" s="24"/>
      <c r="U384" s="24"/>
      <c r="V384" s="119"/>
    </row>
    <row r="385" spans="4:22" s="51" customFormat="1" ht="13.5" x14ac:dyDescent="0.4">
      <c r="D385" s="118"/>
      <c r="E385" s="14"/>
      <c r="F385" s="14"/>
      <c r="G385" s="14"/>
      <c r="H385" s="52"/>
      <c r="I385" s="52"/>
      <c r="R385" s="24"/>
      <c r="S385" s="24"/>
      <c r="T385" s="24"/>
      <c r="U385" s="24"/>
      <c r="V385" s="119"/>
    </row>
    <row r="386" spans="4:22" s="52" customFormat="1" ht="13.5" x14ac:dyDescent="0.4">
      <c r="D386" s="118"/>
      <c r="E386" s="52" t="s">
        <v>475</v>
      </c>
      <c r="H386" s="52" t="str">
        <f>H388&amp;"円に特売（期間売価）設定"</f>
        <v>250円に特売（期間売価）設定</v>
      </c>
      <c r="I386" s="52" t="str">
        <f>I388&amp;"円にレジでの売価変更"</f>
        <v>200円にレジでの売価変更</v>
      </c>
      <c r="K386" s="51"/>
      <c r="L386" s="51"/>
      <c r="M386" s="51"/>
      <c r="N386" s="51"/>
      <c r="O386" s="51"/>
      <c r="P386" s="51"/>
      <c r="Q386" s="51"/>
      <c r="R386" s="24"/>
      <c r="S386" s="24"/>
      <c r="T386" s="24"/>
      <c r="U386" s="24"/>
      <c r="V386" s="121"/>
    </row>
    <row r="387" spans="4:22" s="51" customFormat="1" ht="13.5" x14ac:dyDescent="0.4">
      <c r="D387" s="118"/>
      <c r="E387" s="122"/>
      <c r="F387" s="122"/>
      <c r="G387" s="14"/>
      <c r="R387" s="24"/>
      <c r="S387" s="24"/>
      <c r="T387" s="24"/>
      <c r="U387" s="24"/>
      <c r="V387" s="119"/>
    </row>
    <row r="388" spans="4:22" s="51" customFormat="1" ht="13.5" x14ac:dyDescent="0.4">
      <c r="D388" s="118"/>
      <c r="E388" s="122" t="s">
        <v>745</v>
      </c>
      <c r="F388" s="122"/>
      <c r="G388" s="52"/>
      <c r="H388" s="52">
        <v>250</v>
      </c>
      <c r="I388" s="52">
        <v>200</v>
      </c>
      <c r="R388" s="24"/>
      <c r="S388" s="24"/>
      <c r="T388" s="24"/>
      <c r="U388" s="24"/>
      <c r="V388" s="119"/>
    </row>
    <row r="389" spans="4:22" s="51" customFormat="1" ht="13.5" x14ac:dyDescent="0.4">
      <c r="D389" s="118"/>
      <c r="E389" s="52"/>
      <c r="F389" s="52"/>
      <c r="G389" s="52"/>
      <c r="I389" s="52"/>
      <c r="R389" s="24"/>
      <c r="S389" s="24"/>
      <c r="T389" s="24"/>
      <c r="U389" s="24"/>
      <c r="V389" s="119"/>
    </row>
    <row r="390" spans="4:22" s="51" customFormat="1" ht="13.5" customHeight="1" x14ac:dyDescent="0.4">
      <c r="D390" s="118"/>
      <c r="E390" s="52"/>
      <c r="F390" s="52"/>
      <c r="G390" s="52"/>
      <c r="I390" s="52"/>
      <c r="R390" s="24"/>
      <c r="S390" s="24"/>
      <c r="T390" s="24"/>
      <c r="U390" s="24"/>
      <c r="V390" s="119"/>
    </row>
    <row r="391" spans="4:22" s="51" customFormat="1" ht="13.5" customHeight="1" x14ac:dyDescent="0.4">
      <c r="D391" s="118"/>
      <c r="E391" s="52"/>
      <c r="F391" s="52"/>
      <c r="G391" s="52"/>
      <c r="R391" s="24"/>
      <c r="S391" s="24"/>
      <c r="T391" s="24"/>
      <c r="U391" s="24"/>
      <c r="V391" s="119"/>
    </row>
    <row r="392" spans="4:22" s="51" customFormat="1" ht="13.5" customHeight="1" x14ac:dyDescent="0.4">
      <c r="D392" s="118"/>
      <c r="E392" s="52"/>
      <c r="F392" s="52"/>
      <c r="G392" s="240" t="s">
        <v>476</v>
      </c>
      <c r="H392" s="123" t="s">
        <v>477</v>
      </c>
      <c r="R392" s="24"/>
      <c r="S392" s="24"/>
      <c r="T392" s="24"/>
      <c r="U392" s="24"/>
      <c r="V392" s="119"/>
    </row>
    <row r="393" spans="4:22" s="51" customFormat="1" ht="13.5" customHeight="1" x14ac:dyDescent="0.4">
      <c r="D393" s="118"/>
      <c r="E393" s="52"/>
      <c r="F393" s="52"/>
      <c r="G393" s="241"/>
      <c r="H393" s="259" t="s">
        <v>748</v>
      </c>
      <c r="I393" s="123" t="s">
        <v>477</v>
      </c>
      <c r="R393" s="24"/>
      <c r="S393" s="24"/>
      <c r="T393" s="24"/>
      <c r="U393" s="24"/>
      <c r="V393" s="119"/>
    </row>
    <row r="394" spans="4:22" s="51" customFormat="1" ht="13.5" customHeight="1" x14ac:dyDescent="0.4">
      <c r="D394" s="118"/>
      <c r="E394" s="52"/>
      <c r="F394" s="52"/>
      <c r="G394" s="241"/>
      <c r="H394" s="264"/>
      <c r="I394" s="234" t="s">
        <v>627</v>
      </c>
      <c r="R394" s="24"/>
      <c r="S394" s="24"/>
      <c r="T394" s="24"/>
      <c r="U394" s="24"/>
      <c r="V394" s="119"/>
    </row>
    <row r="395" spans="4:22" s="51" customFormat="1" ht="13.5" customHeight="1" x14ac:dyDescent="0.4">
      <c r="D395" s="118"/>
      <c r="E395" s="52"/>
      <c r="F395" s="52"/>
      <c r="G395" s="241"/>
      <c r="H395" s="264"/>
      <c r="I395" s="237"/>
      <c r="R395" s="24"/>
      <c r="S395" s="24"/>
      <c r="T395" s="24"/>
      <c r="U395" s="24"/>
      <c r="V395" s="119"/>
    </row>
    <row r="396" spans="4:22" s="51" customFormat="1" ht="13.5" customHeight="1" x14ac:dyDescent="0.4">
      <c r="D396" s="118"/>
      <c r="E396" s="52"/>
      <c r="F396" s="52"/>
      <c r="G396" s="241"/>
      <c r="H396" s="264"/>
      <c r="I396" s="237"/>
      <c r="R396" s="24"/>
      <c r="S396" s="24"/>
      <c r="T396" s="24"/>
      <c r="U396" s="24"/>
      <c r="V396" s="119"/>
    </row>
    <row r="397" spans="4:22" s="51" customFormat="1" ht="13.5" customHeight="1" x14ac:dyDescent="0.4">
      <c r="D397" s="118"/>
      <c r="E397" s="52"/>
      <c r="F397" s="52"/>
      <c r="G397" s="242"/>
      <c r="H397" s="265"/>
      <c r="I397" s="238"/>
      <c r="R397" s="24"/>
      <c r="S397" s="24"/>
      <c r="T397" s="24"/>
      <c r="U397" s="24"/>
      <c r="V397" s="119"/>
    </row>
    <row r="398" spans="4:22" s="51" customFormat="1" ht="13.5" x14ac:dyDescent="0.4">
      <c r="D398" s="118"/>
      <c r="E398" s="124" t="s">
        <v>379</v>
      </c>
      <c r="F398" s="124"/>
      <c r="G398" s="124"/>
      <c r="H398" s="184">
        <v>50</v>
      </c>
      <c r="I398" s="184">
        <v>50</v>
      </c>
      <c r="R398" s="24"/>
      <c r="S398" s="24"/>
      <c r="T398" s="24"/>
      <c r="U398" s="24"/>
      <c r="V398" s="119"/>
    </row>
    <row r="399" spans="4:22" s="51" customFormat="1" ht="13.5" x14ac:dyDescent="0.4">
      <c r="D399" s="118"/>
      <c r="E399" s="124" t="s">
        <v>478</v>
      </c>
      <c r="F399" s="124"/>
      <c r="G399" s="124"/>
      <c r="H399" s="230">
        <v>200</v>
      </c>
      <c r="I399" s="230"/>
      <c r="R399" s="24"/>
      <c r="S399" s="24"/>
      <c r="T399" s="24"/>
      <c r="U399" s="24"/>
      <c r="V399" s="119"/>
    </row>
    <row r="400" spans="4:22" s="51" customFormat="1" ht="13.5" x14ac:dyDescent="0.4">
      <c r="D400" s="118"/>
      <c r="E400" s="124"/>
      <c r="F400" s="124"/>
      <c r="G400" s="124"/>
      <c r="H400" s="52"/>
      <c r="R400" s="24"/>
      <c r="S400" s="24"/>
      <c r="T400" s="24"/>
      <c r="U400" s="24"/>
      <c r="V400" s="119"/>
    </row>
    <row r="401" spans="4:22" s="51" customFormat="1" ht="13.5" x14ac:dyDescent="0.4">
      <c r="D401" s="118"/>
      <c r="E401" s="124" t="s">
        <v>479</v>
      </c>
      <c r="F401" s="124"/>
      <c r="G401" s="124"/>
      <c r="H401" s="52"/>
      <c r="I401" s="52"/>
      <c r="R401" s="24"/>
      <c r="S401" s="24"/>
      <c r="T401" s="24"/>
      <c r="U401" s="24"/>
      <c r="V401" s="119"/>
    </row>
    <row r="402" spans="4:22" s="51" customFormat="1" ht="13.5" customHeight="1" x14ac:dyDescent="0.4">
      <c r="D402" s="118"/>
      <c r="E402" s="128" t="s">
        <v>480</v>
      </c>
      <c r="F402" s="128"/>
      <c r="G402" s="124"/>
      <c r="H402" s="136">
        <v>91141</v>
      </c>
      <c r="I402" s="52">
        <v>91220</v>
      </c>
      <c r="R402" s="24"/>
      <c r="S402" s="24"/>
      <c r="T402" s="24"/>
      <c r="U402" s="24"/>
      <c r="V402" s="119"/>
    </row>
    <row r="403" spans="4:22" s="51" customFormat="1" ht="13.5" customHeight="1" x14ac:dyDescent="0.4">
      <c r="D403" s="118"/>
      <c r="E403" s="128" t="s">
        <v>481</v>
      </c>
      <c r="F403" s="128"/>
      <c r="G403" s="124"/>
      <c r="H403" s="135">
        <v>0</v>
      </c>
      <c r="I403" s="52">
        <v>6</v>
      </c>
      <c r="R403" s="24"/>
      <c r="S403" s="24"/>
      <c r="T403" s="24"/>
      <c r="U403" s="24"/>
      <c r="V403" s="119"/>
    </row>
    <row r="404" spans="4:22" s="51" customFormat="1" ht="13.5" x14ac:dyDescent="0.4">
      <c r="D404" s="118"/>
      <c r="E404" s="128" t="s">
        <v>482</v>
      </c>
      <c r="F404" s="128"/>
      <c r="G404" s="124"/>
      <c r="H404" s="135" t="s">
        <v>731</v>
      </c>
      <c r="I404" s="124" t="s">
        <v>468</v>
      </c>
      <c r="R404" s="24"/>
      <c r="S404" s="24"/>
      <c r="T404" s="24"/>
      <c r="U404" s="24"/>
      <c r="V404" s="119"/>
    </row>
    <row r="405" spans="4:22" s="51" customFormat="1" ht="27" x14ac:dyDescent="0.4">
      <c r="D405" s="118"/>
      <c r="E405" s="124" t="s">
        <v>379</v>
      </c>
      <c r="F405" s="124"/>
      <c r="G405" s="124"/>
      <c r="H405" s="136" t="s">
        <v>749</v>
      </c>
      <c r="I405" s="124" t="s">
        <v>750</v>
      </c>
      <c r="R405" s="24"/>
      <c r="S405" s="24"/>
      <c r="T405" s="24"/>
      <c r="U405" s="24"/>
      <c r="V405" s="119"/>
    </row>
    <row r="406" spans="4:22" s="51" customFormat="1" ht="14.25" thickBot="1" x14ac:dyDescent="0.45">
      <c r="D406" s="129"/>
      <c r="E406" s="130"/>
      <c r="F406" s="130"/>
      <c r="G406" s="130"/>
      <c r="H406" s="130"/>
      <c r="I406" s="131"/>
      <c r="J406" s="132"/>
      <c r="K406" s="132"/>
      <c r="L406" s="132"/>
      <c r="M406" s="132"/>
      <c r="N406" s="132"/>
      <c r="O406" s="132"/>
      <c r="P406" s="132"/>
      <c r="Q406" s="132"/>
      <c r="R406" s="174"/>
      <c r="S406" s="174"/>
      <c r="T406" s="174"/>
      <c r="U406" s="174"/>
      <c r="V406" s="133"/>
    </row>
    <row r="407" spans="4:22" s="51" customFormat="1" ht="13.5" x14ac:dyDescent="0.4">
      <c r="D407" s="114" t="s">
        <v>474</v>
      </c>
      <c r="E407" s="115"/>
      <c r="F407" s="115"/>
      <c r="G407" s="115"/>
      <c r="H407" s="115"/>
      <c r="I407" s="115"/>
      <c r="J407" s="116"/>
      <c r="K407" s="116"/>
      <c r="L407" s="116"/>
      <c r="M407" s="116"/>
      <c r="N407" s="116"/>
      <c r="O407" s="116"/>
      <c r="P407" s="116"/>
      <c r="Q407" s="116"/>
      <c r="R407" s="173"/>
      <c r="S407" s="173"/>
      <c r="T407" s="173"/>
      <c r="U407" s="173"/>
      <c r="V407" s="117"/>
    </row>
    <row r="408" spans="4:22" s="51" customFormat="1" ht="13.5" x14ac:dyDescent="0.4">
      <c r="D408" s="118">
        <v>17</v>
      </c>
      <c r="E408" s="14" t="s">
        <v>734</v>
      </c>
      <c r="F408" s="14"/>
      <c r="G408" s="14"/>
      <c r="H408" s="52"/>
      <c r="I408" s="52"/>
      <c r="R408" s="24"/>
      <c r="S408" s="24"/>
      <c r="T408" s="24"/>
      <c r="U408" s="24"/>
      <c r="V408" s="119"/>
    </row>
    <row r="409" spans="4:22" s="51" customFormat="1" ht="13.5" x14ac:dyDescent="0.4">
      <c r="D409" s="118"/>
      <c r="E409" s="14" t="s">
        <v>732</v>
      </c>
      <c r="F409" s="14"/>
      <c r="G409" s="14"/>
      <c r="H409" s="52"/>
      <c r="I409" s="52"/>
      <c r="R409" s="24"/>
      <c r="S409" s="24"/>
      <c r="T409" s="24"/>
      <c r="U409" s="24"/>
      <c r="V409" s="119"/>
    </row>
    <row r="410" spans="4:22" s="51" customFormat="1" ht="13.5" x14ac:dyDescent="0.4">
      <c r="D410" s="118"/>
      <c r="E410" s="14"/>
      <c r="F410" s="14"/>
      <c r="G410" s="14"/>
      <c r="H410" s="52"/>
      <c r="I410" s="52"/>
      <c r="R410" s="24"/>
      <c r="S410" s="24"/>
      <c r="T410" s="24"/>
      <c r="U410" s="24"/>
      <c r="V410" s="119"/>
    </row>
    <row r="411" spans="4:22" s="52" customFormat="1" ht="13.5" x14ac:dyDescent="0.4">
      <c r="D411" s="118"/>
      <c r="E411" s="52" t="s">
        <v>475</v>
      </c>
      <c r="G411" s="51"/>
      <c r="H411" s="52" t="str">
        <f>H413&amp;"円に特売（期間売価）設定"</f>
        <v>250円に特売（期間売価）設定</v>
      </c>
      <c r="I411" s="52" t="str">
        <f>I413&amp;"円にレジでの売価変更"</f>
        <v>250円にレジでの売価変更</v>
      </c>
      <c r="K411" s="51"/>
      <c r="L411" s="51"/>
      <c r="M411" s="51"/>
      <c r="N411" s="51"/>
      <c r="O411" s="51"/>
      <c r="P411" s="51"/>
      <c r="Q411" s="51"/>
      <c r="R411" s="24"/>
      <c r="S411" s="24"/>
      <c r="T411" s="24"/>
      <c r="U411" s="24"/>
      <c r="V411" s="121"/>
    </row>
    <row r="412" spans="4:22" s="51" customFormat="1" ht="13.5" x14ac:dyDescent="0.4">
      <c r="D412" s="118"/>
      <c r="E412" s="122"/>
      <c r="F412" s="122"/>
      <c r="R412" s="24"/>
      <c r="S412" s="24"/>
      <c r="T412" s="24"/>
      <c r="U412" s="24"/>
      <c r="V412" s="119"/>
    </row>
    <row r="413" spans="4:22" s="51" customFormat="1" ht="13.5" x14ac:dyDescent="0.4">
      <c r="D413" s="118"/>
      <c r="E413" s="122" t="s">
        <v>745</v>
      </c>
      <c r="F413" s="122"/>
      <c r="H413" s="52">
        <v>250</v>
      </c>
      <c r="I413" s="52">
        <v>250</v>
      </c>
      <c r="R413" s="24"/>
      <c r="S413" s="24"/>
      <c r="T413" s="24"/>
      <c r="U413" s="24"/>
      <c r="V413" s="119"/>
    </row>
    <row r="414" spans="4:22" s="51" customFormat="1" ht="13.5" x14ac:dyDescent="0.4">
      <c r="D414" s="118"/>
      <c r="E414" s="52"/>
      <c r="F414" s="52"/>
      <c r="R414" s="24"/>
      <c r="S414" s="24"/>
      <c r="T414" s="24"/>
      <c r="U414" s="24"/>
      <c r="V414" s="119"/>
    </row>
    <row r="415" spans="4:22" s="51" customFormat="1" ht="13.5" customHeight="1" x14ac:dyDescent="0.4">
      <c r="D415" s="118"/>
      <c r="E415" s="52"/>
      <c r="F415" s="52"/>
      <c r="R415" s="24"/>
      <c r="S415" s="24"/>
      <c r="T415" s="24"/>
      <c r="U415" s="24"/>
      <c r="V415" s="119"/>
    </row>
    <row r="416" spans="4:22" s="51" customFormat="1" ht="13.5" customHeight="1" x14ac:dyDescent="0.4">
      <c r="D416" s="118"/>
      <c r="E416" s="52"/>
      <c r="F416" s="52"/>
      <c r="R416" s="24"/>
      <c r="S416" s="24"/>
      <c r="T416" s="24"/>
      <c r="U416" s="24"/>
      <c r="V416" s="119"/>
    </row>
    <row r="417" spans="4:22" s="51" customFormat="1" ht="13.5" customHeight="1" x14ac:dyDescent="0.4">
      <c r="D417" s="118"/>
      <c r="E417" s="52"/>
      <c r="F417" s="52"/>
      <c r="G417" s="240" t="s">
        <v>476</v>
      </c>
      <c r="I417" s="123" t="s">
        <v>477</v>
      </c>
      <c r="R417" s="24"/>
      <c r="S417" s="24"/>
      <c r="T417" s="24"/>
      <c r="U417" s="24"/>
      <c r="V417" s="119"/>
    </row>
    <row r="418" spans="4:22" s="51" customFormat="1" ht="13.5" customHeight="1" x14ac:dyDescent="0.4">
      <c r="D418" s="118"/>
      <c r="E418" s="52"/>
      <c r="F418" s="52"/>
      <c r="G418" s="241"/>
      <c r="H418" s="259" t="s">
        <v>748</v>
      </c>
      <c r="I418" s="247" t="s">
        <v>622</v>
      </c>
      <c r="R418" s="24"/>
      <c r="S418" s="24"/>
      <c r="T418" s="24"/>
      <c r="U418" s="24"/>
      <c r="V418" s="119"/>
    </row>
    <row r="419" spans="4:22" s="51" customFormat="1" ht="13.5" customHeight="1" x14ac:dyDescent="0.4">
      <c r="D419" s="118"/>
      <c r="E419" s="52"/>
      <c r="F419" s="52"/>
      <c r="G419" s="241"/>
      <c r="H419" s="264"/>
      <c r="I419" s="248"/>
      <c r="R419" s="24"/>
      <c r="S419" s="24"/>
      <c r="T419" s="24"/>
      <c r="U419" s="24"/>
      <c r="V419" s="119"/>
    </row>
    <row r="420" spans="4:22" s="51" customFormat="1" ht="13.5" customHeight="1" x14ac:dyDescent="0.4">
      <c r="D420" s="118"/>
      <c r="E420" s="52"/>
      <c r="F420" s="52"/>
      <c r="G420" s="241"/>
      <c r="H420" s="264"/>
      <c r="I420" s="248"/>
      <c r="R420" s="24"/>
      <c r="S420" s="24"/>
      <c r="T420" s="24"/>
      <c r="U420" s="24"/>
      <c r="V420" s="119"/>
    </row>
    <row r="421" spans="4:22" s="51" customFormat="1" ht="13.5" customHeight="1" x14ac:dyDescent="0.4">
      <c r="D421" s="118"/>
      <c r="E421" s="52"/>
      <c r="F421" s="52"/>
      <c r="G421" s="241"/>
      <c r="H421" s="264"/>
      <c r="I421" s="248"/>
      <c r="R421" s="24"/>
      <c r="S421" s="24"/>
      <c r="T421" s="24"/>
      <c r="U421" s="24"/>
      <c r="V421" s="119"/>
    </row>
    <row r="422" spans="4:22" s="51" customFormat="1" ht="13.5" customHeight="1" x14ac:dyDescent="0.4">
      <c r="D422" s="118"/>
      <c r="E422" s="52"/>
      <c r="F422" s="52"/>
      <c r="G422" s="242"/>
      <c r="H422" s="265"/>
      <c r="I422" s="249"/>
      <c r="R422" s="24"/>
      <c r="S422" s="24"/>
      <c r="T422" s="24"/>
      <c r="U422" s="24"/>
      <c r="V422" s="119"/>
    </row>
    <row r="423" spans="4:22" s="51" customFormat="1" ht="13.5" x14ac:dyDescent="0.4">
      <c r="D423" s="118"/>
      <c r="E423" s="124" t="s">
        <v>379</v>
      </c>
      <c r="F423" s="124"/>
      <c r="G423" s="124"/>
      <c r="H423" s="184"/>
      <c r="I423" s="184">
        <v>50</v>
      </c>
      <c r="R423" s="24"/>
      <c r="S423" s="24"/>
      <c r="T423" s="24"/>
      <c r="U423" s="24"/>
      <c r="V423" s="119"/>
    </row>
    <row r="424" spans="4:22" s="51" customFormat="1" ht="13.5" x14ac:dyDescent="0.4">
      <c r="D424" s="118"/>
      <c r="E424" s="124" t="s">
        <v>478</v>
      </c>
      <c r="F424" s="124"/>
      <c r="G424" s="124"/>
      <c r="H424" s="230">
        <v>250</v>
      </c>
      <c r="I424" s="230"/>
      <c r="R424" s="24"/>
      <c r="S424" s="24"/>
      <c r="T424" s="24"/>
      <c r="U424" s="24"/>
      <c r="V424" s="119"/>
    </row>
    <row r="425" spans="4:22" s="51" customFormat="1" ht="13.5" x14ac:dyDescent="0.4">
      <c r="D425" s="118"/>
      <c r="E425" s="124"/>
      <c r="F425" s="124"/>
      <c r="G425" s="124"/>
      <c r="H425" s="52"/>
      <c r="R425" s="24"/>
      <c r="S425" s="24"/>
      <c r="T425" s="24"/>
      <c r="U425" s="24"/>
      <c r="V425" s="119"/>
    </row>
    <row r="426" spans="4:22" s="51" customFormat="1" ht="13.5" x14ac:dyDescent="0.4">
      <c r="D426" s="118"/>
      <c r="E426" s="124" t="s">
        <v>479</v>
      </c>
      <c r="F426" s="124"/>
      <c r="G426" s="124"/>
      <c r="H426" s="52"/>
      <c r="I426" s="52"/>
      <c r="R426" s="24"/>
      <c r="S426" s="24"/>
      <c r="T426" s="24"/>
      <c r="U426" s="24"/>
      <c r="V426" s="119"/>
    </row>
    <row r="427" spans="4:22" s="51" customFormat="1" ht="13.5" customHeight="1" x14ac:dyDescent="0.4">
      <c r="D427" s="118"/>
      <c r="E427" s="128" t="s">
        <v>480</v>
      </c>
      <c r="F427" s="128"/>
      <c r="G427" s="124"/>
      <c r="I427" s="136">
        <v>91141</v>
      </c>
      <c r="R427" s="24"/>
      <c r="S427" s="24"/>
      <c r="T427" s="24"/>
      <c r="U427" s="24"/>
      <c r="V427" s="119"/>
    </row>
    <row r="428" spans="4:22" s="51" customFormat="1" ht="13.5" customHeight="1" x14ac:dyDescent="0.4">
      <c r="D428" s="118"/>
      <c r="E428" s="128" t="s">
        <v>481</v>
      </c>
      <c r="F428" s="128"/>
      <c r="G428" s="124"/>
      <c r="I428" s="135">
        <v>0</v>
      </c>
      <c r="R428" s="24"/>
      <c r="S428" s="24"/>
      <c r="T428" s="24"/>
      <c r="U428" s="24"/>
      <c r="V428" s="119"/>
    </row>
    <row r="429" spans="4:22" s="51" customFormat="1" ht="13.5" x14ac:dyDescent="0.4">
      <c r="D429" s="118"/>
      <c r="E429" s="128" t="s">
        <v>482</v>
      </c>
      <c r="F429" s="128"/>
      <c r="G429" s="124"/>
      <c r="I429" s="135" t="s">
        <v>731</v>
      </c>
      <c r="R429" s="24"/>
      <c r="S429" s="24"/>
      <c r="T429" s="24"/>
      <c r="U429" s="24"/>
      <c r="V429" s="119"/>
    </row>
    <row r="430" spans="4:22" s="51" customFormat="1" ht="27" x14ac:dyDescent="0.4">
      <c r="D430" s="118"/>
      <c r="E430" s="124" t="s">
        <v>379</v>
      </c>
      <c r="F430" s="124"/>
      <c r="G430" s="124"/>
      <c r="I430" s="137" t="s">
        <v>623</v>
      </c>
      <c r="R430" s="24"/>
      <c r="S430" s="24"/>
      <c r="T430" s="24"/>
      <c r="U430" s="24"/>
      <c r="V430" s="119"/>
    </row>
    <row r="431" spans="4:22" s="51" customFormat="1" ht="13.5" x14ac:dyDescent="0.4">
      <c r="D431" s="118"/>
      <c r="E431" s="120" t="s">
        <v>751</v>
      </c>
      <c r="F431" s="124"/>
      <c r="G431" s="124"/>
      <c r="I431" s="137"/>
      <c r="R431" s="24"/>
      <c r="S431" s="24"/>
      <c r="T431" s="24"/>
      <c r="U431" s="24"/>
      <c r="V431" s="119"/>
    </row>
    <row r="432" spans="4:22" s="51" customFormat="1" ht="14.25" thickBot="1" x14ac:dyDescent="0.45">
      <c r="D432" s="129"/>
      <c r="E432" s="130"/>
      <c r="F432" s="130"/>
      <c r="G432" s="130"/>
      <c r="H432" s="130"/>
      <c r="I432" s="131"/>
      <c r="J432" s="132"/>
      <c r="K432" s="132"/>
      <c r="L432" s="132"/>
      <c r="M432" s="132"/>
      <c r="N432" s="132"/>
      <c r="O432" s="132"/>
      <c r="P432" s="132"/>
      <c r="Q432" s="132"/>
      <c r="R432" s="174"/>
      <c r="S432" s="174"/>
      <c r="T432" s="174"/>
      <c r="U432" s="174"/>
      <c r="V432" s="133"/>
    </row>
    <row r="433" spans="4:22" s="51" customFormat="1" ht="13.5" x14ac:dyDescent="0.4">
      <c r="D433" s="114" t="s">
        <v>474</v>
      </c>
      <c r="E433" s="115"/>
      <c r="F433" s="115"/>
      <c r="G433" s="115"/>
      <c r="H433" s="115"/>
      <c r="I433" s="115"/>
      <c r="J433" s="116"/>
      <c r="K433" s="116"/>
      <c r="L433" s="116"/>
      <c r="M433" s="116"/>
      <c r="N433" s="116"/>
      <c r="O433" s="116"/>
      <c r="P433" s="116"/>
      <c r="Q433" s="116"/>
      <c r="R433" s="173"/>
      <c r="S433" s="173"/>
      <c r="T433" s="173"/>
      <c r="U433" s="173"/>
      <c r="V433" s="117"/>
    </row>
    <row r="434" spans="4:22" s="51" customFormat="1" ht="13.5" x14ac:dyDescent="0.4">
      <c r="D434" s="118">
        <v>18</v>
      </c>
      <c r="E434" s="14" t="s">
        <v>734</v>
      </c>
      <c r="F434" s="14"/>
      <c r="G434" s="14"/>
      <c r="H434" s="52"/>
      <c r="I434" s="52"/>
      <c r="R434" s="24"/>
      <c r="S434" s="24"/>
      <c r="T434" s="24"/>
      <c r="U434" s="24"/>
      <c r="V434" s="119"/>
    </row>
    <row r="435" spans="4:22" s="51" customFormat="1" ht="13.5" x14ac:dyDescent="0.4">
      <c r="D435" s="118"/>
      <c r="E435" s="14" t="s">
        <v>733</v>
      </c>
      <c r="F435" s="14"/>
      <c r="G435" s="14"/>
      <c r="H435" s="52"/>
      <c r="I435" s="52"/>
      <c r="R435" s="24"/>
      <c r="S435" s="24"/>
      <c r="T435" s="24"/>
      <c r="U435" s="24"/>
      <c r="V435" s="119"/>
    </row>
    <row r="436" spans="4:22" s="51" customFormat="1" ht="13.5" x14ac:dyDescent="0.4">
      <c r="D436" s="118"/>
      <c r="E436" s="14"/>
      <c r="F436" s="14"/>
      <c r="G436" s="14"/>
      <c r="H436" s="52"/>
      <c r="I436" s="52"/>
      <c r="R436" s="24"/>
      <c r="S436" s="24"/>
      <c r="T436" s="24"/>
      <c r="U436" s="24"/>
      <c r="V436" s="119"/>
    </row>
    <row r="437" spans="4:22" s="52" customFormat="1" ht="13.5" x14ac:dyDescent="0.4">
      <c r="D437" s="118"/>
      <c r="E437" s="52" t="s">
        <v>475</v>
      </c>
      <c r="G437" s="51"/>
      <c r="H437" s="52" t="str">
        <f>H439&amp;"円に特売（期間売価）設定"</f>
        <v>250円に特売（期間売価）設定</v>
      </c>
      <c r="I437" s="52" t="str">
        <f>I439&amp;"円にレジでの売価変更"</f>
        <v>280円にレジでの売価変更</v>
      </c>
      <c r="K437" s="51"/>
      <c r="L437" s="52" t="str">
        <f>L439&amp;"円に特売（期間売価）設定"</f>
        <v>250円に特売（期間売価）設定</v>
      </c>
      <c r="M437" s="52" t="str">
        <f>M439&amp;"円にレジでの売価変更"</f>
        <v>300円にレジでの売価変更</v>
      </c>
      <c r="N437" s="51"/>
      <c r="O437" s="51"/>
      <c r="P437" s="52" t="str">
        <f>P439&amp;"円に特売（期間売価）設定"</f>
        <v>250円に特売（期間売価）設定</v>
      </c>
      <c r="Q437" s="52" t="str">
        <f>Q439&amp;"円にレジでの売価変更"</f>
        <v>350円にレジでの売価変更</v>
      </c>
      <c r="R437" s="1"/>
      <c r="S437" s="1"/>
      <c r="T437" s="1"/>
      <c r="U437" s="1"/>
      <c r="V437" s="121"/>
    </row>
    <row r="438" spans="4:22" s="51" customFormat="1" ht="13.5" x14ac:dyDescent="0.4">
      <c r="D438" s="118"/>
      <c r="E438" s="122"/>
      <c r="F438" s="122"/>
      <c r="R438" s="24"/>
      <c r="S438" s="24"/>
      <c r="T438" s="24"/>
      <c r="U438" s="24"/>
      <c r="V438" s="119"/>
    </row>
    <row r="439" spans="4:22" s="51" customFormat="1" ht="13.5" x14ac:dyDescent="0.4">
      <c r="D439" s="118"/>
      <c r="E439" s="122" t="s">
        <v>745</v>
      </c>
      <c r="F439" s="122"/>
      <c r="H439" s="52">
        <v>250</v>
      </c>
      <c r="I439" s="52">
        <v>280</v>
      </c>
      <c r="L439" s="52">
        <v>250</v>
      </c>
      <c r="M439" s="52">
        <v>300</v>
      </c>
      <c r="P439" s="52">
        <v>250</v>
      </c>
      <c r="Q439" s="52">
        <v>350</v>
      </c>
      <c r="R439" s="1"/>
      <c r="S439" s="1"/>
      <c r="T439" s="1"/>
      <c r="U439" s="1"/>
      <c r="V439" s="119"/>
    </row>
    <row r="440" spans="4:22" s="51" customFormat="1" ht="13.5" x14ac:dyDescent="0.4">
      <c r="D440" s="118"/>
      <c r="E440" s="52"/>
      <c r="F440" s="52"/>
      <c r="R440" s="24"/>
      <c r="S440" s="24"/>
      <c r="T440" s="24"/>
      <c r="U440" s="24"/>
      <c r="V440" s="119"/>
    </row>
    <row r="441" spans="4:22" s="51" customFormat="1" ht="13.5" customHeight="1" x14ac:dyDescent="0.4">
      <c r="D441" s="118"/>
      <c r="E441" s="52"/>
      <c r="F441" s="52"/>
      <c r="R441" s="24"/>
      <c r="S441" s="24"/>
      <c r="T441" s="24"/>
      <c r="U441" s="24"/>
      <c r="V441" s="119"/>
    </row>
    <row r="442" spans="4:22" s="51" customFormat="1" ht="13.5" customHeight="1" x14ac:dyDescent="0.4">
      <c r="D442" s="118"/>
      <c r="E442" s="52"/>
      <c r="F442" s="52"/>
      <c r="G442" s="240" t="s">
        <v>476</v>
      </c>
      <c r="I442" s="123" t="s">
        <v>565</v>
      </c>
      <c r="Q442" s="234" t="s">
        <v>625</v>
      </c>
      <c r="R442" s="175"/>
      <c r="S442" s="175"/>
      <c r="T442" s="175"/>
      <c r="U442" s="175"/>
      <c r="V442" s="119"/>
    </row>
    <row r="443" spans="4:22" s="51" customFormat="1" ht="13.5" customHeight="1" x14ac:dyDescent="0.4">
      <c r="D443" s="118"/>
      <c r="E443" s="52"/>
      <c r="F443" s="52"/>
      <c r="G443" s="243"/>
      <c r="I443" s="262" t="s">
        <v>629</v>
      </c>
      <c r="K443" s="240" t="s">
        <v>476</v>
      </c>
      <c r="M443" s="234" t="s">
        <v>624</v>
      </c>
      <c r="O443" s="240" t="s">
        <v>476</v>
      </c>
      <c r="Q443" s="235"/>
      <c r="R443" s="175"/>
      <c r="S443" s="175"/>
      <c r="T443" s="175"/>
      <c r="U443" s="175"/>
      <c r="V443" s="119"/>
    </row>
    <row r="444" spans="4:22" s="51" customFormat="1" ht="13.5" customHeight="1" x14ac:dyDescent="0.4">
      <c r="D444" s="118"/>
      <c r="E444" s="52"/>
      <c r="F444" s="52"/>
      <c r="G444" s="243"/>
      <c r="H444" s="259" t="s">
        <v>748</v>
      </c>
      <c r="I444" s="263"/>
      <c r="K444" s="241"/>
      <c r="L444" s="259" t="s">
        <v>748</v>
      </c>
      <c r="M444" s="235"/>
      <c r="O444" s="241"/>
      <c r="P444" s="259" t="s">
        <v>748</v>
      </c>
      <c r="Q444" s="235"/>
      <c r="R444" s="175"/>
      <c r="S444" s="175"/>
      <c r="T444" s="175"/>
      <c r="U444" s="175"/>
      <c r="V444" s="119"/>
    </row>
    <row r="445" spans="4:22" s="51" customFormat="1" ht="13.5" customHeight="1" x14ac:dyDescent="0.4">
      <c r="D445" s="118"/>
      <c r="E445" s="52"/>
      <c r="F445" s="52"/>
      <c r="G445" s="243"/>
      <c r="H445" s="264"/>
      <c r="I445" s="263"/>
      <c r="K445" s="241"/>
      <c r="L445" s="271"/>
      <c r="M445" s="235"/>
      <c r="O445" s="241"/>
      <c r="P445" s="271"/>
      <c r="Q445" s="235"/>
      <c r="R445" s="175"/>
      <c r="S445" s="175"/>
      <c r="T445" s="175"/>
      <c r="U445" s="175"/>
      <c r="V445" s="119"/>
    </row>
    <row r="446" spans="4:22" s="51" customFormat="1" ht="13.5" customHeight="1" x14ac:dyDescent="0.4">
      <c r="D446" s="118"/>
      <c r="E446" s="52"/>
      <c r="F446" s="52"/>
      <c r="G446" s="243"/>
      <c r="H446" s="264"/>
      <c r="I446" s="263"/>
      <c r="K446" s="241"/>
      <c r="L446" s="271"/>
      <c r="M446" s="235"/>
      <c r="O446" s="241"/>
      <c r="P446" s="271"/>
      <c r="Q446" s="235"/>
      <c r="R446" s="175"/>
      <c r="S446" s="175"/>
      <c r="T446" s="175"/>
      <c r="U446" s="175"/>
      <c r="V446" s="119"/>
    </row>
    <row r="447" spans="4:22" s="51" customFormat="1" ht="13.5" customHeight="1" x14ac:dyDescent="0.4">
      <c r="D447" s="118"/>
      <c r="E447" s="52"/>
      <c r="F447" s="52"/>
      <c r="G447" s="243"/>
      <c r="H447" s="264"/>
      <c r="I447" s="263"/>
      <c r="K447" s="241"/>
      <c r="L447" s="271"/>
      <c r="M447" s="235"/>
      <c r="O447" s="241"/>
      <c r="P447" s="271"/>
      <c r="Q447" s="235"/>
      <c r="R447" s="175"/>
      <c r="S447" s="175"/>
      <c r="T447" s="175"/>
      <c r="U447" s="175"/>
      <c r="V447" s="119"/>
    </row>
    <row r="448" spans="4:22" s="51" customFormat="1" ht="13.5" customHeight="1" x14ac:dyDescent="0.4">
      <c r="D448" s="118"/>
      <c r="E448" s="52"/>
      <c r="F448" s="52"/>
      <c r="G448" s="244"/>
      <c r="H448" s="265"/>
      <c r="I448" s="263"/>
      <c r="K448" s="242"/>
      <c r="L448" s="272"/>
      <c r="M448" s="236"/>
      <c r="O448" s="242"/>
      <c r="P448" s="272"/>
      <c r="Q448" s="236"/>
      <c r="R448" s="175"/>
      <c r="S448" s="175"/>
      <c r="T448" s="175"/>
      <c r="U448" s="175"/>
      <c r="V448" s="119"/>
    </row>
    <row r="449" spans="4:22" s="51" customFormat="1" ht="13.5" x14ac:dyDescent="0.4">
      <c r="D449" s="118"/>
      <c r="E449" s="124" t="s">
        <v>379</v>
      </c>
      <c r="F449" s="124"/>
      <c r="G449" s="124"/>
      <c r="H449" s="184"/>
      <c r="I449" s="126">
        <v>20</v>
      </c>
      <c r="K449" s="124"/>
      <c r="L449" s="184"/>
      <c r="M449" s="126">
        <v>0</v>
      </c>
      <c r="O449" s="124"/>
      <c r="P449" s="184"/>
      <c r="Q449" s="126">
        <v>-50</v>
      </c>
      <c r="R449" s="176"/>
      <c r="S449" s="176"/>
      <c r="T449" s="176"/>
      <c r="U449" s="176"/>
      <c r="V449" s="119"/>
    </row>
    <row r="450" spans="4:22" s="51" customFormat="1" ht="13.5" x14ac:dyDescent="0.4">
      <c r="D450" s="118"/>
      <c r="E450" s="124" t="s">
        <v>478</v>
      </c>
      <c r="F450" s="124"/>
      <c r="G450" s="124"/>
      <c r="H450" s="230">
        <v>280</v>
      </c>
      <c r="I450" s="230"/>
      <c r="K450" s="124"/>
      <c r="L450" s="269">
        <v>280</v>
      </c>
      <c r="M450" s="270"/>
      <c r="O450" s="124"/>
      <c r="P450" s="269">
        <v>280</v>
      </c>
      <c r="Q450" s="270"/>
      <c r="R450" s="177"/>
      <c r="S450" s="177"/>
      <c r="T450" s="177"/>
      <c r="U450" s="177"/>
      <c r="V450" s="119"/>
    </row>
    <row r="451" spans="4:22" s="51" customFormat="1" ht="13.5" x14ac:dyDescent="0.4">
      <c r="D451" s="118"/>
      <c r="E451" s="124"/>
      <c r="F451" s="124"/>
      <c r="G451" s="124"/>
      <c r="H451" s="52"/>
      <c r="K451" s="124"/>
      <c r="L451" s="52"/>
      <c r="O451" s="124"/>
      <c r="P451" s="52"/>
      <c r="R451" s="24"/>
      <c r="S451" s="24"/>
      <c r="T451" s="24"/>
      <c r="U451" s="24"/>
      <c r="V451" s="119"/>
    </row>
    <row r="452" spans="4:22" s="51" customFormat="1" ht="13.5" x14ac:dyDescent="0.4">
      <c r="D452" s="118"/>
      <c r="E452" s="124" t="s">
        <v>479</v>
      </c>
      <c r="F452" s="124"/>
      <c r="G452" s="124"/>
      <c r="H452" s="52"/>
      <c r="I452" s="52"/>
      <c r="K452" s="124"/>
      <c r="L452" s="52"/>
      <c r="M452" s="52"/>
      <c r="O452" s="124"/>
      <c r="P452" s="52"/>
      <c r="Q452" s="52"/>
      <c r="R452" s="1"/>
      <c r="S452" s="1"/>
      <c r="T452" s="1"/>
      <c r="U452" s="1"/>
      <c r="V452" s="119"/>
    </row>
    <row r="453" spans="4:22" s="51" customFormat="1" ht="13.5" customHeight="1" x14ac:dyDescent="0.4">
      <c r="D453" s="118"/>
      <c r="E453" s="128" t="s">
        <v>480</v>
      </c>
      <c r="F453" s="128"/>
      <c r="G453" s="124"/>
      <c r="I453" s="136">
        <v>91141</v>
      </c>
      <c r="K453" s="124"/>
      <c r="M453" s="136">
        <v>91141</v>
      </c>
      <c r="O453" s="124"/>
      <c r="Q453" s="136">
        <v>91141</v>
      </c>
      <c r="R453" s="175"/>
      <c r="S453" s="175"/>
      <c r="T453" s="175"/>
      <c r="U453" s="175"/>
      <c r="V453" s="119"/>
    </row>
    <row r="454" spans="4:22" s="51" customFormat="1" ht="13.5" customHeight="1" x14ac:dyDescent="0.4">
      <c r="D454" s="118"/>
      <c r="E454" s="128" t="s">
        <v>481</v>
      </c>
      <c r="F454" s="128"/>
      <c r="G454" s="124"/>
      <c r="I454" s="135">
        <v>0</v>
      </c>
      <c r="K454" s="124"/>
      <c r="M454" s="135">
        <v>0</v>
      </c>
      <c r="O454" s="124"/>
      <c r="Q454" s="135">
        <v>0</v>
      </c>
      <c r="R454" s="177"/>
      <c r="S454" s="177"/>
      <c r="T454" s="177"/>
      <c r="U454" s="177"/>
      <c r="V454" s="119"/>
    </row>
    <row r="455" spans="4:22" s="51" customFormat="1" ht="13.5" x14ac:dyDescent="0.4">
      <c r="D455" s="118"/>
      <c r="E455" s="128" t="s">
        <v>482</v>
      </c>
      <c r="F455" s="128"/>
      <c r="G455" s="124"/>
      <c r="I455" s="169" t="s">
        <v>731</v>
      </c>
      <c r="K455" s="124"/>
      <c r="M455" s="169" t="s">
        <v>731</v>
      </c>
      <c r="O455" s="124"/>
      <c r="Q455" s="135" t="s">
        <v>731</v>
      </c>
      <c r="R455" s="177"/>
      <c r="S455" s="177"/>
      <c r="T455" s="177"/>
      <c r="U455" s="177"/>
      <c r="V455" s="119"/>
    </row>
    <row r="456" spans="4:22" s="51" customFormat="1" ht="27" x14ac:dyDescent="0.4">
      <c r="D456" s="118"/>
      <c r="E456" s="124" t="s">
        <v>379</v>
      </c>
      <c r="F456" s="124"/>
      <c r="G456" s="124"/>
      <c r="I456" s="137" t="s">
        <v>630</v>
      </c>
      <c r="K456" s="124"/>
      <c r="M456" s="137" t="s">
        <v>631</v>
      </c>
      <c r="O456" s="124"/>
      <c r="Q456" s="150" t="s">
        <v>626</v>
      </c>
      <c r="R456" s="178"/>
      <c r="S456" s="178"/>
      <c r="T456" s="178"/>
      <c r="U456" s="178"/>
      <c r="V456" s="119"/>
    </row>
    <row r="457" spans="4:22" s="51" customFormat="1" ht="13.5" x14ac:dyDescent="0.4">
      <c r="D457" s="118"/>
      <c r="E457" s="120" t="s">
        <v>751</v>
      </c>
      <c r="F457" s="124"/>
      <c r="G457" s="124"/>
      <c r="I457" s="137"/>
      <c r="K457" s="124"/>
      <c r="M457" s="137"/>
      <c r="O457" s="124"/>
      <c r="Q457" s="150"/>
      <c r="R457" s="178"/>
      <c r="S457" s="178"/>
      <c r="T457" s="178"/>
      <c r="U457" s="178"/>
      <c r="V457" s="119"/>
    </row>
    <row r="458" spans="4:22" s="51" customFormat="1" ht="14.25" thickBot="1" x14ac:dyDescent="0.45">
      <c r="D458" s="129"/>
      <c r="E458" s="130"/>
      <c r="F458" s="130"/>
      <c r="G458" s="130"/>
      <c r="H458" s="130"/>
      <c r="I458" s="131"/>
      <c r="J458" s="132"/>
      <c r="K458" s="132"/>
      <c r="L458" s="132"/>
      <c r="M458" s="132"/>
      <c r="N458" s="132"/>
      <c r="O458" s="132"/>
      <c r="P458" s="132"/>
      <c r="Q458" s="132"/>
      <c r="R458" s="174"/>
      <c r="S458" s="174"/>
      <c r="T458" s="174"/>
      <c r="U458" s="174"/>
      <c r="V458" s="133"/>
    </row>
    <row r="459" spans="4:22" s="51" customFormat="1" ht="13.5" x14ac:dyDescent="0.4">
      <c r="D459" s="114" t="s">
        <v>474</v>
      </c>
      <c r="E459" s="115"/>
      <c r="F459" s="115"/>
      <c r="G459" s="115"/>
      <c r="H459" s="115"/>
      <c r="I459" s="115"/>
      <c r="J459" s="116"/>
      <c r="K459" s="116"/>
      <c r="L459" s="116"/>
      <c r="M459" s="116"/>
      <c r="N459" s="116"/>
      <c r="O459" s="116"/>
      <c r="P459" s="116"/>
      <c r="Q459" s="116"/>
      <c r="R459" s="173"/>
      <c r="S459" s="173"/>
      <c r="T459" s="173"/>
      <c r="U459" s="173"/>
      <c r="V459" s="117"/>
    </row>
    <row r="460" spans="4:22" s="51" customFormat="1" ht="13.5" x14ac:dyDescent="0.4">
      <c r="D460" s="118">
        <v>19</v>
      </c>
      <c r="E460" s="14" t="s">
        <v>737</v>
      </c>
      <c r="F460" s="14"/>
      <c r="G460" s="14"/>
      <c r="H460" s="52"/>
      <c r="I460" s="52"/>
      <c r="R460" s="24"/>
      <c r="S460" s="24"/>
      <c r="T460" s="24"/>
      <c r="U460" s="24"/>
      <c r="V460" s="119"/>
    </row>
    <row r="461" spans="4:22" s="51" customFormat="1" ht="13.5" x14ac:dyDescent="0.4">
      <c r="D461" s="118"/>
      <c r="E461" s="14" t="s">
        <v>733</v>
      </c>
      <c r="F461" s="14"/>
      <c r="G461" s="14"/>
      <c r="H461" s="52"/>
      <c r="I461" s="52"/>
      <c r="R461" s="24"/>
      <c r="S461" s="24"/>
      <c r="T461" s="24"/>
      <c r="U461" s="24"/>
      <c r="V461" s="119"/>
    </row>
    <row r="462" spans="4:22" s="51" customFormat="1" ht="13.5" x14ac:dyDescent="0.4">
      <c r="D462" s="118"/>
      <c r="E462" s="14"/>
      <c r="F462" s="14"/>
      <c r="G462" s="14"/>
      <c r="H462" s="52"/>
      <c r="I462" s="52"/>
      <c r="R462" s="24"/>
      <c r="S462" s="24"/>
      <c r="T462" s="24"/>
      <c r="U462" s="24"/>
      <c r="V462" s="119"/>
    </row>
    <row r="463" spans="4:22" s="52" customFormat="1" ht="13.5" x14ac:dyDescent="0.4">
      <c r="D463" s="118"/>
      <c r="E463" s="52" t="s">
        <v>475</v>
      </c>
      <c r="H463" s="52" t="str">
        <f>H465&amp;"円に特売（期間売価）設定"</f>
        <v>350円に特売（期間売価）設定</v>
      </c>
      <c r="I463" s="52" t="str">
        <f>I465&amp;"円にレジでの売価変更"</f>
        <v>400円にレジでの売価変更</v>
      </c>
      <c r="N463" s="51"/>
      <c r="O463" s="51"/>
      <c r="P463" s="51"/>
      <c r="Q463" s="51"/>
      <c r="R463" s="24"/>
      <c r="S463" s="24"/>
      <c r="T463" s="24"/>
      <c r="U463" s="24"/>
      <c r="V463" s="121"/>
    </row>
    <row r="464" spans="4:22" s="51" customFormat="1" ht="13.5" x14ac:dyDescent="0.4">
      <c r="D464" s="118"/>
      <c r="E464" s="122"/>
      <c r="F464" s="122"/>
      <c r="G464" s="14"/>
      <c r="R464" s="24"/>
      <c r="S464" s="24"/>
      <c r="T464" s="24"/>
      <c r="U464" s="24"/>
      <c r="V464" s="119"/>
    </row>
    <row r="465" spans="4:22" s="51" customFormat="1" ht="13.5" x14ac:dyDescent="0.4">
      <c r="D465" s="118"/>
      <c r="E465" s="122" t="s">
        <v>745</v>
      </c>
      <c r="F465" s="122"/>
      <c r="G465" s="52"/>
      <c r="H465" s="52">
        <v>350</v>
      </c>
      <c r="I465" s="52">
        <v>400</v>
      </c>
      <c r="R465" s="24"/>
      <c r="S465" s="24"/>
      <c r="T465" s="24"/>
      <c r="U465" s="24"/>
      <c r="V465" s="119"/>
    </row>
    <row r="466" spans="4:22" s="51" customFormat="1" ht="13.5" x14ac:dyDescent="0.4">
      <c r="D466" s="118"/>
      <c r="E466" s="52"/>
      <c r="F466" s="52"/>
      <c r="G466" s="52"/>
      <c r="I466" s="52"/>
      <c r="R466" s="24"/>
      <c r="S466" s="24"/>
      <c r="T466" s="24"/>
      <c r="U466" s="24"/>
      <c r="V466" s="119"/>
    </row>
    <row r="467" spans="4:22" s="51" customFormat="1" ht="13.5" customHeight="1" x14ac:dyDescent="0.4">
      <c r="D467" s="118"/>
      <c r="E467" s="52"/>
      <c r="F467" s="52"/>
      <c r="G467" s="52"/>
      <c r="I467" s="234" t="s">
        <v>632</v>
      </c>
      <c r="R467" s="24"/>
      <c r="S467" s="24"/>
      <c r="T467" s="24"/>
      <c r="U467" s="24"/>
      <c r="V467" s="119"/>
    </row>
    <row r="468" spans="4:22" s="51" customFormat="1" ht="13.5" customHeight="1" x14ac:dyDescent="0.4">
      <c r="D468" s="118"/>
      <c r="E468" s="52"/>
      <c r="F468" s="52"/>
      <c r="G468" s="52"/>
      <c r="H468" s="239" t="s">
        <v>767</v>
      </c>
      <c r="I468" s="237"/>
      <c r="R468" s="24"/>
      <c r="S468" s="24"/>
      <c r="T468" s="24"/>
      <c r="U468" s="24"/>
      <c r="V468" s="119"/>
    </row>
    <row r="469" spans="4:22" s="51" customFormat="1" ht="13.5" customHeight="1" x14ac:dyDescent="0.4">
      <c r="D469" s="118"/>
      <c r="E469" s="52"/>
      <c r="F469" s="52"/>
      <c r="G469" s="240" t="s">
        <v>476</v>
      </c>
      <c r="H469" s="273"/>
      <c r="I469" s="237"/>
      <c r="R469" s="24"/>
      <c r="S469" s="24"/>
      <c r="T469" s="24"/>
      <c r="U469" s="24"/>
      <c r="V469" s="119"/>
    </row>
    <row r="470" spans="4:22" s="51" customFormat="1" ht="13.5" customHeight="1" x14ac:dyDescent="0.4">
      <c r="D470" s="118"/>
      <c r="E470" s="52"/>
      <c r="F470" s="52"/>
      <c r="G470" s="241"/>
      <c r="H470" s="273"/>
      <c r="I470" s="237"/>
      <c r="R470" s="24"/>
      <c r="S470" s="24"/>
      <c r="T470" s="24"/>
      <c r="U470" s="24"/>
      <c r="V470" s="119"/>
    </row>
    <row r="471" spans="4:22" s="51" customFormat="1" ht="13.5" customHeight="1" x14ac:dyDescent="0.4">
      <c r="D471" s="118"/>
      <c r="E471" s="52"/>
      <c r="F471" s="52"/>
      <c r="G471" s="241"/>
      <c r="H471" s="273"/>
      <c r="I471" s="237"/>
      <c r="R471" s="24"/>
      <c r="S471" s="24"/>
      <c r="T471" s="24"/>
      <c r="U471" s="24"/>
      <c r="V471" s="119"/>
    </row>
    <row r="472" spans="4:22" s="51" customFormat="1" ht="13.5" customHeight="1" x14ac:dyDescent="0.4">
      <c r="D472" s="118"/>
      <c r="E472" s="52"/>
      <c r="F472" s="52"/>
      <c r="G472" s="241"/>
      <c r="H472" s="273"/>
      <c r="I472" s="237"/>
      <c r="R472" s="24"/>
      <c r="S472" s="24"/>
      <c r="T472" s="24"/>
      <c r="U472" s="24"/>
      <c r="V472" s="119"/>
    </row>
    <row r="473" spans="4:22" s="51" customFormat="1" ht="13.5" customHeight="1" x14ac:dyDescent="0.4">
      <c r="D473" s="118"/>
      <c r="E473" s="52"/>
      <c r="F473" s="52"/>
      <c r="G473" s="241"/>
      <c r="H473" s="273"/>
      <c r="I473" s="237"/>
      <c r="R473" s="24"/>
      <c r="S473" s="24"/>
      <c r="T473" s="24"/>
      <c r="U473" s="24"/>
      <c r="V473" s="119"/>
    </row>
    <row r="474" spans="4:22" s="51" customFormat="1" ht="13.5" customHeight="1" x14ac:dyDescent="0.4">
      <c r="D474" s="118"/>
      <c r="E474" s="52"/>
      <c r="F474" s="52"/>
      <c r="G474" s="242"/>
      <c r="H474" s="274"/>
      <c r="I474" s="238"/>
      <c r="R474" s="24"/>
      <c r="S474" s="24"/>
      <c r="T474" s="24"/>
      <c r="U474" s="24"/>
      <c r="V474" s="119"/>
    </row>
    <row r="475" spans="4:22" s="51" customFormat="1" ht="13.5" x14ac:dyDescent="0.4">
      <c r="D475" s="118"/>
      <c r="E475" s="124" t="s">
        <v>379</v>
      </c>
      <c r="F475" s="124"/>
      <c r="G475" s="124"/>
      <c r="H475" s="184"/>
      <c r="I475" s="184"/>
      <c r="R475" s="24"/>
      <c r="S475" s="24"/>
      <c r="T475" s="24"/>
      <c r="U475" s="24"/>
      <c r="V475" s="119"/>
    </row>
    <row r="476" spans="4:22" s="51" customFormat="1" ht="13.5" x14ac:dyDescent="0.4">
      <c r="D476" s="118"/>
      <c r="E476" s="124" t="s">
        <v>478</v>
      </c>
      <c r="F476" s="124"/>
      <c r="G476" s="124"/>
      <c r="H476" s="230">
        <v>400</v>
      </c>
      <c r="I476" s="230"/>
      <c r="R476" s="24"/>
      <c r="S476" s="24"/>
      <c r="T476" s="24"/>
      <c r="U476" s="24"/>
      <c r="V476" s="119"/>
    </row>
    <row r="477" spans="4:22" s="51" customFormat="1" ht="13.5" x14ac:dyDescent="0.4">
      <c r="D477" s="118"/>
      <c r="E477" s="124"/>
      <c r="F477" s="124"/>
      <c r="G477" s="124"/>
      <c r="H477" s="52"/>
      <c r="R477" s="24"/>
      <c r="S477" s="24"/>
      <c r="T477" s="24"/>
      <c r="U477" s="24"/>
      <c r="V477" s="119"/>
    </row>
    <row r="478" spans="4:22" s="51" customFormat="1" ht="13.5" x14ac:dyDescent="0.4">
      <c r="D478" s="118"/>
      <c r="E478" s="124" t="s">
        <v>479</v>
      </c>
      <c r="F478" s="124"/>
      <c r="G478" s="124"/>
      <c r="H478" s="52"/>
      <c r="I478" s="52"/>
      <c r="R478" s="24"/>
      <c r="S478" s="24"/>
      <c r="T478" s="24"/>
      <c r="U478" s="24"/>
      <c r="V478" s="119"/>
    </row>
    <row r="479" spans="4:22" s="51" customFormat="1" ht="13.5" customHeight="1" x14ac:dyDescent="0.4">
      <c r="D479" s="118"/>
      <c r="E479" s="128" t="s">
        <v>480</v>
      </c>
      <c r="F479" s="128"/>
      <c r="G479" s="124"/>
      <c r="H479" s="230" t="s">
        <v>487</v>
      </c>
      <c r="I479" s="230" t="s">
        <v>487</v>
      </c>
      <c r="R479" s="24"/>
      <c r="S479" s="24"/>
      <c r="T479" s="24"/>
      <c r="U479" s="24"/>
      <c r="V479" s="119"/>
    </row>
    <row r="480" spans="4:22" s="51" customFormat="1" ht="13.5" customHeight="1" x14ac:dyDescent="0.4">
      <c r="D480" s="118"/>
      <c r="E480" s="128" t="s">
        <v>481</v>
      </c>
      <c r="F480" s="128"/>
      <c r="G480" s="124"/>
      <c r="H480" s="230"/>
      <c r="I480" s="230"/>
      <c r="R480" s="24"/>
      <c r="S480" s="24"/>
      <c r="T480" s="24"/>
      <c r="U480" s="24"/>
      <c r="V480" s="119"/>
    </row>
    <row r="481" spans="4:22" s="51" customFormat="1" ht="13.5" x14ac:dyDescent="0.4">
      <c r="D481" s="118"/>
      <c r="E481" s="128" t="s">
        <v>482</v>
      </c>
      <c r="F481" s="128"/>
      <c r="G481" s="124"/>
      <c r="H481" s="230"/>
      <c r="I481" s="230"/>
      <c r="R481" s="24"/>
      <c r="S481" s="24"/>
      <c r="T481" s="24"/>
      <c r="U481" s="24"/>
      <c r="V481" s="119"/>
    </row>
    <row r="482" spans="4:22" s="51" customFormat="1" ht="13.5" x14ac:dyDescent="0.4">
      <c r="D482" s="118"/>
      <c r="E482" s="124" t="s">
        <v>379</v>
      </c>
      <c r="F482" s="124"/>
      <c r="G482" s="124"/>
      <c r="H482" s="230"/>
      <c r="I482" s="230"/>
      <c r="R482" s="24"/>
      <c r="S482" s="24"/>
      <c r="T482" s="24"/>
      <c r="U482" s="24"/>
      <c r="V482" s="119"/>
    </row>
    <row r="483" spans="4:22" s="51" customFormat="1" ht="14.25" thickBot="1" x14ac:dyDescent="0.45">
      <c r="D483" s="129"/>
      <c r="E483" s="130"/>
      <c r="F483" s="130"/>
      <c r="G483" s="130"/>
      <c r="H483" s="130"/>
      <c r="I483" s="131"/>
      <c r="J483" s="132"/>
      <c r="K483" s="132"/>
      <c r="L483" s="132"/>
      <c r="M483" s="132"/>
      <c r="N483" s="132"/>
      <c r="O483" s="132"/>
      <c r="P483" s="132"/>
      <c r="Q483" s="132"/>
      <c r="R483" s="174"/>
      <c r="S483" s="174"/>
      <c r="T483" s="174"/>
      <c r="U483" s="174"/>
      <c r="V483" s="133"/>
    </row>
    <row r="484" spans="4:22" s="51" customFormat="1" ht="13.5" x14ac:dyDescent="0.4">
      <c r="D484" s="114" t="s">
        <v>474</v>
      </c>
      <c r="E484" s="115"/>
      <c r="F484" s="115"/>
      <c r="G484" s="115"/>
      <c r="H484" s="115"/>
      <c r="I484" s="115"/>
      <c r="J484" s="116"/>
      <c r="K484" s="116"/>
      <c r="L484" s="116"/>
      <c r="M484" s="116"/>
      <c r="N484" s="116"/>
      <c r="O484" s="116"/>
      <c r="P484" s="116"/>
      <c r="Q484" s="116"/>
      <c r="R484" s="173"/>
      <c r="S484" s="173"/>
      <c r="T484" s="173"/>
      <c r="U484" s="173"/>
      <c r="V484" s="117"/>
    </row>
    <row r="485" spans="4:22" s="51" customFormat="1" ht="13.5" x14ac:dyDescent="0.4">
      <c r="D485" s="118">
        <v>20</v>
      </c>
      <c r="E485" s="14" t="s">
        <v>737</v>
      </c>
      <c r="F485" s="14"/>
      <c r="G485" s="14"/>
      <c r="H485" s="52"/>
      <c r="I485" s="52"/>
      <c r="R485" s="24"/>
      <c r="S485" s="24"/>
      <c r="T485" s="24"/>
      <c r="U485" s="24"/>
      <c r="V485" s="119"/>
    </row>
    <row r="486" spans="4:22" s="51" customFormat="1" ht="13.5" x14ac:dyDescent="0.4">
      <c r="D486" s="118"/>
      <c r="E486" s="14" t="s">
        <v>752</v>
      </c>
      <c r="F486" s="14"/>
      <c r="G486" s="14"/>
      <c r="H486" s="52"/>
      <c r="I486" s="52"/>
      <c r="R486" s="24"/>
      <c r="S486" s="24"/>
      <c r="T486" s="24"/>
      <c r="U486" s="24"/>
      <c r="V486" s="119"/>
    </row>
    <row r="487" spans="4:22" s="51" customFormat="1" ht="13.5" x14ac:dyDescent="0.4">
      <c r="D487" s="118"/>
      <c r="E487" s="14"/>
      <c r="F487" s="14"/>
      <c r="G487" s="14"/>
      <c r="H487" s="52"/>
      <c r="I487" s="52"/>
      <c r="R487" s="24"/>
      <c r="S487" s="24"/>
      <c r="T487" s="24"/>
      <c r="U487" s="24"/>
      <c r="V487" s="119"/>
    </row>
    <row r="488" spans="4:22" s="52" customFormat="1" ht="13.5" x14ac:dyDescent="0.4">
      <c r="D488" s="118"/>
      <c r="E488" s="52" t="s">
        <v>475</v>
      </c>
      <c r="G488" s="51"/>
      <c r="H488" s="52" t="str">
        <f>H490&amp;"円に特売（期間売価）設定"</f>
        <v>350円に特売（期間売価）設定</v>
      </c>
      <c r="I488" s="52" t="str">
        <f>I490&amp;"円にレジでの売価変更"</f>
        <v>350円にレジでの売価変更</v>
      </c>
      <c r="K488" s="51"/>
      <c r="L488" s="51"/>
      <c r="M488" s="51"/>
      <c r="N488" s="51"/>
      <c r="O488" s="51"/>
      <c r="P488" s="51"/>
      <c r="Q488" s="51"/>
      <c r="R488" s="24"/>
      <c r="S488" s="24"/>
      <c r="T488" s="24"/>
      <c r="U488" s="24"/>
      <c r="V488" s="121"/>
    </row>
    <row r="489" spans="4:22" s="51" customFormat="1" ht="13.5" x14ac:dyDescent="0.4">
      <c r="D489" s="118"/>
      <c r="E489" s="122"/>
      <c r="F489" s="122"/>
      <c r="R489" s="24"/>
      <c r="S489" s="24"/>
      <c r="T489" s="24"/>
      <c r="U489" s="24"/>
      <c r="V489" s="119"/>
    </row>
    <row r="490" spans="4:22" s="51" customFormat="1" ht="13.5" x14ac:dyDescent="0.4">
      <c r="D490" s="118"/>
      <c r="E490" s="122" t="s">
        <v>745</v>
      </c>
      <c r="F490" s="122"/>
      <c r="H490" s="52">
        <v>350</v>
      </c>
      <c r="I490" s="52">
        <v>350</v>
      </c>
      <c r="R490" s="24"/>
      <c r="S490" s="24"/>
      <c r="T490" s="24"/>
      <c r="U490" s="24"/>
      <c r="V490" s="119"/>
    </row>
    <row r="491" spans="4:22" s="51" customFormat="1" ht="13.5" x14ac:dyDescent="0.4">
      <c r="D491" s="118"/>
      <c r="E491" s="52"/>
      <c r="F491" s="52"/>
      <c r="R491" s="24"/>
      <c r="S491" s="24"/>
      <c r="T491" s="24"/>
      <c r="U491" s="24"/>
      <c r="V491" s="119"/>
    </row>
    <row r="492" spans="4:22" s="51" customFormat="1" ht="13.5" customHeight="1" x14ac:dyDescent="0.4">
      <c r="D492" s="118"/>
      <c r="E492" s="52"/>
      <c r="F492" s="52"/>
      <c r="R492" s="24"/>
      <c r="S492" s="24"/>
      <c r="T492" s="24"/>
      <c r="U492" s="24"/>
      <c r="V492" s="119"/>
    </row>
    <row r="493" spans="4:22" s="51" customFormat="1" ht="13.5" customHeight="1" x14ac:dyDescent="0.4">
      <c r="D493" s="118"/>
      <c r="E493" s="52"/>
      <c r="F493" s="52"/>
      <c r="H493" s="239" t="s">
        <v>767</v>
      </c>
      <c r="I493" s="247" t="s">
        <v>625</v>
      </c>
      <c r="R493" s="24"/>
      <c r="S493" s="24"/>
      <c r="T493" s="24"/>
      <c r="U493" s="24"/>
      <c r="V493" s="119"/>
    </row>
    <row r="494" spans="4:22" s="51" customFormat="1" ht="13.5" customHeight="1" x14ac:dyDescent="0.4">
      <c r="D494" s="118"/>
      <c r="E494" s="52"/>
      <c r="F494" s="52"/>
      <c r="G494" s="240" t="s">
        <v>476</v>
      </c>
      <c r="H494" s="273"/>
      <c r="I494" s="248"/>
      <c r="R494" s="24"/>
      <c r="S494" s="24"/>
      <c r="T494" s="24"/>
      <c r="U494" s="24"/>
      <c r="V494" s="119"/>
    </row>
    <row r="495" spans="4:22" s="51" customFormat="1" ht="13.5" customHeight="1" x14ac:dyDescent="0.4">
      <c r="D495" s="118"/>
      <c r="E495" s="52"/>
      <c r="F495" s="52"/>
      <c r="G495" s="241"/>
      <c r="H495" s="273"/>
      <c r="I495" s="248"/>
      <c r="R495" s="24"/>
      <c r="S495" s="24"/>
      <c r="T495" s="24"/>
      <c r="U495" s="24"/>
      <c r="V495" s="119"/>
    </row>
    <row r="496" spans="4:22" s="51" customFormat="1" ht="13.5" customHeight="1" x14ac:dyDescent="0.4">
      <c r="D496" s="118"/>
      <c r="E496" s="52"/>
      <c r="F496" s="52"/>
      <c r="G496" s="241"/>
      <c r="H496" s="273"/>
      <c r="I496" s="248"/>
      <c r="R496" s="24"/>
      <c r="S496" s="24"/>
      <c r="T496" s="24"/>
      <c r="U496" s="24"/>
      <c r="V496" s="119"/>
    </row>
    <row r="497" spans="4:22" s="51" customFormat="1" ht="13.5" customHeight="1" x14ac:dyDescent="0.4">
      <c r="D497" s="118"/>
      <c r="E497" s="52"/>
      <c r="F497" s="52"/>
      <c r="G497" s="241"/>
      <c r="H497" s="273"/>
      <c r="I497" s="248"/>
      <c r="R497" s="24"/>
      <c r="S497" s="24"/>
      <c r="T497" s="24"/>
      <c r="U497" s="24"/>
      <c r="V497" s="119"/>
    </row>
    <row r="498" spans="4:22" s="51" customFormat="1" ht="13.5" customHeight="1" x14ac:dyDescent="0.4">
      <c r="D498" s="118"/>
      <c r="E498" s="52"/>
      <c r="F498" s="52"/>
      <c r="G498" s="241"/>
      <c r="H498" s="273"/>
      <c r="I498" s="248"/>
      <c r="R498" s="24"/>
      <c r="S498" s="24"/>
      <c r="T498" s="24"/>
      <c r="U498" s="24"/>
      <c r="V498" s="119"/>
    </row>
    <row r="499" spans="4:22" s="51" customFormat="1" ht="13.5" customHeight="1" x14ac:dyDescent="0.4">
      <c r="D499" s="118"/>
      <c r="E499" s="52"/>
      <c r="F499" s="52"/>
      <c r="G499" s="242"/>
      <c r="H499" s="274"/>
      <c r="I499" s="249"/>
      <c r="R499" s="24"/>
      <c r="S499" s="24"/>
      <c r="T499" s="24"/>
      <c r="U499" s="24"/>
      <c r="V499" s="119"/>
    </row>
    <row r="500" spans="4:22" s="51" customFormat="1" ht="13.5" x14ac:dyDescent="0.4">
      <c r="D500" s="118"/>
      <c r="E500" s="124" t="s">
        <v>379</v>
      </c>
      <c r="F500" s="124"/>
      <c r="G500" s="124"/>
      <c r="H500" s="184"/>
      <c r="I500" s="184"/>
      <c r="R500" s="24"/>
      <c r="S500" s="24"/>
      <c r="T500" s="24"/>
      <c r="U500" s="24"/>
      <c r="V500" s="119"/>
    </row>
    <row r="501" spans="4:22" s="51" customFormat="1" ht="13.5" x14ac:dyDescent="0.4">
      <c r="D501" s="118"/>
      <c r="E501" s="124" t="s">
        <v>478</v>
      </c>
      <c r="F501" s="124"/>
      <c r="G501" s="124"/>
      <c r="H501" s="230">
        <v>350</v>
      </c>
      <c r="I501" s="230"/>
      <c r="R501" s="24"/>
      <c r="S501" s="24"/>
      <c r="T501" s="24"/>
      <c r="U501" s="24"/>
      <c r="V501" s="119"/>
    </row>
    <row r="502" spans="4:22" s="51" customFormat="1" ht="13.5" x14ac:dyDescent="0.4">
      <c r="D502" s="118"/>
      <c r="E502" s="124"/>
      <c r="F502" s="124"/>
      <c r="G502" s="124"/>
      <c r="H502" s="52"/>
      <c r="R502" s="24"/>
      <c r="S502" s="24"/>
      <c r="T502" s="24"/>
      <c r="U502" s="24"/>
      <c r="V502" s="119"/>
    </row>
    <row r="503" spans="4:22" s="51" customFormat="1" ht="13.5" x14ac:dyDescent="0.4">
      <c r="D503" s="118"/>
      <c r="E503" s="124" t="s">
        <v>479</v>
      </c>
      <c r="F503" s="124"/>
      <c r="G503" s="124"/>
      <c r="H503" s="52"/>
      <c r="I503" s="52"/>
      <c r="R503" s="24"/>
      <c r="S503" s="24"/>
      <c r="T503" s="24"/>
      <c r="U503" s="24"/>
      <c r="V503" s="119"/>
    </row>
    <row r="504" spans="4:22" s="51" customFormat="1" ht="13.5" customHeight="1" x14ac:dyDescent="0.4">
      <c r="D504" s="118"/>
      <c r="E504" s="128" t="s">
        <v>480</v>
      </c>
      <c r="F504" s="128"/>
      <c r="G504" s="124"/>
      <c r="H504" s="230" t="s">
        <v>487</v>
      </c>
      <c r="I504" s="230" t="s">
        <v>487</v>
      </c>
      <c r="R504" s="24"/>
      <c r="S504" s="24"/>
      <c r="T504" s="24"/>
      <c r="U504" s="24"/>
      <c r="V504" s="119"/>
    </row>
    <row r="505" spans="4:22" s="51" customFormat="1" ht="13.5" customHeight="1" x14ac:dyDescent="0.4">
      <c r="D505" s="118"/>
      <c r="E505" s="128" t="s">
        <v>481</v>
      </c>
      <c r="F505" s="128"/>
      <c r="G505" s="124"/>
      <c r="H505" s="230"/>
      <c r="I505" s="230"/>
      <c r="R505" s="24"/>
      <c r="S505" s="24"/>
      <c r="T505" s="24"/>
      <c r="U505" s="24"/>
      <c r="V505" s="119"/>
    </row>
    <row r="506" spans="4:22" s="51" customFormat="1" ht="13.5" x14ac:dyDescent="0.4">
      <c r="D506" s="118"/>
      <c r="E506" s="128" t="s">
        <v>482</v>
      </c>
      <c r="F506" s="128"/>
      <c r="G506" s="124"/>
      <c r="H506" s="230"/>
      <c r="I506" s="230"/>
      <c r="R506" s="24"/>
      <c r="S506" s="24"/>
      <c r="T506" s="24"/>
      <c r="U506" s="24"/>
      <c r="V506" s="119"/>
    </row>
    <row r="507" spans="4:22" s="51" customFormat="1" ht="13.5" x14ac:dyDescent="0.4">
      <c r="D507" s="118"/>
      <c r="E507" s="124" t="s">
        <v>379</v>
      </c>
      <c r="F507" s="124"/>
      <c r="G507" s="124"/>
      <c r="H507" s="230"/>
      <c r="I507" s="230"/>
      <c r="R507" s="24"/>
      <c r="S507" s="24"/>
      <c r="T507" s="24"/>
      <c r="U507" s="24"/>
      <c r="V507" s="119"/>
    </row>
    <row r="508" spans="4:22" s="51" customFormat="1" ht="14.25" thickBot="1" x14ac:dyDescent="0.45">
      <c r="D508" s="129"/>
      <c r="E508" s="130"/>
      <c r="F508" s="130"/>
      <c r="G508" s="130"/>
      <c r="H508" s="130"/>
      <c r="I508" s="131"/>
      <c r="J508" s="132"/>
      <c r="K508" s="132"/>
      <c r="L508" s="132"/>
      <c r="M508" s="132"/>
      <c r="N508" s="132"/>
      <c r="O508" s="132"/>
      <c r="P508" s="132"/>
      <c r="Q508" s="132"/>
      <c r="R508" s="174"/>
      <c r="S508" s="174"/>
      <c r="T508" s="174"/>
      <c r="U508" s="174"/>
      <c r="V508" s="133"/>
    </row>
    <row r="509" spans="4:22" s="51" customFormat="1" ht="13.5" x14ac:dyDescent="0.4">
      <c r="D509" s="114" t="s">
        <v>474</v>
      </c>
      <c r="E509" s="115"/>
      <c r="F509" s="115"/>
      <c r="G509" s="115"/>
      <c r="H509" s="115"/>
      <c r="I509" s="115"/>
      <c r="J509" s="116"/>
      <c r="K509" s="116"/>
      <c r="L509" s="116"/>
      <c r="M509" s="116"/>
      <c r="N509" s="116"/>
      <c r="O509" s="116"/>
      <c r="P509" s="116"/>
      <c r="Q509" s="116"/>
      <c r="R509" s="173"/>
      <c r="S509" s="173"/>
      <c r="T509" s="173"/>
      <c r="U509" s="173"/>
      <c r="V509" s="117"/>
    </row>
    <row r="510" spans="4:22" s="51" customFormat="1" ht="13.5" x14ac:dyDescent="0.4">
      <c r="D510" s="118">
        <v>21</v>
      </c>
      <c r="E510" s="14" t="s">
        <v>737</v>
      </c>
      <c r="F510" s="14"/>
      <c r="G510" s="14"/>
      <c r="H510" s="52"/>
      <c r="I510" s="52"/>
      <c r="R510" s="24"/>
      <c r="S510" s="24"/>
      <c r="T510" s="24"/>
      <c r="U510" s="24"/>
      <c r="V510" s="119"/>
    </row>
    <row r="511" spans="4:22" s="51" customFormat="1" ht="13.5" x14ac:dyDescent="0.4">
      <c r="D511" s="118"/>
      <c r="E511" s="14" t="s">
        <v>729</v>
      </c>
      <c r="F511" s="14"/>
      <c r="G511" s="14"/>
      <c r="H511" s="52"/>
      <c r="I511" s="52"/>
      <c r="R511" s="24"/>
      <c r="S511" s="24"/>
      <c r="T511" s="24"/>
      <c r="U511" s="24"/>
      <c r="V511" s="119"/>
    </row>
    <row r="512" spans="4:22" s="51" customFormat="1" ht="13.5" x14ac:dyDescent="0.4">
      <c r="D512" s="118"/>
      <c r="E512" s="14"/>
      <c r="F512" s="14"/>
      <c r="G512" s="14"/>
      <c r="H512" s="52"/>
      <c r="I512" s="52"/>
      <c r="R512" s="24"/>
      <c r="S512" s="24"/>
      <c r="T512" s="24"/>
      <c r="U512" s="24"/>
      <c r="V512" s="119"/>
    </row>
    <row r="513" spans="4:22" s="52" customFormat="1" ht="13.5" x14ac:dyDescent="0.4">
      <c r="D513" s="118"/>
      <c r="E513" s="52" t="s">
        <v>475</v>
      </c>
      <c r="G513" s="51"/>
      <c r="H513" s="52" t="str">
        <f>H515&amp;"円に特売（期間売価）設定"</f>
        <v>350円に特売（期間売価）設定</v>
      </c>
      <c r="I513" s="52" t="str">
        <f>I515&amp;"円にレジでの売価変更"</f>
        <v>330円にレジでの売価変更</v>
      </c>
      <c r="K513" s="51"/>
      <c r="L513" s="52" t="str">
        <f>L515&amp;"円に特売（期間売価）設定"</f>
        <v>350円に特売（期間売価）設定</v>
      </c>
      <c r="M513" s="52" t="str">
        <f>M515&amp;"円にレジでの売価変更"</f>
        <v>300円にレジでの売価変更</v>
      </c>
      <c r="N513" s="51"/>
      <c r="O513" s="51"/>
      <c r="P513" s="52" t="str">
        <f>P515&amp;"円に特売（期間売価）設定"</f>
        <v>350円に特売（期間売価）設定</v>
      </c>
      <c r="Q513" s="52" t="str">
        <f>Q515&amp;"円にレジでの売価変更"</f>
        <v>250円にレジでの売価変更</v>
      </c>
      <c r="R513" s="1"/>
      <c r="S513" s="1"/>
      <c r="T513" s="1"/>
      <c r="U513" s="1"/>
      <c r="V513" s="121"/>
    </row>
    <row r="514" spans="4:22" s="51" customFormat="1" ht="13.5" x14ac:dyDescent="0.4">
      <c r="D514" s="118"/>
      <c r="E514" s="122"/>
      <c r="F514" s="122"/>
      <c r="R514" s="24"/>
      <c r="S514" s="24"/>
      <c r="T514" s="24"/>
      <c r="U514" s="24"/>
      <c r="V514" s="119"/>
    </row>
    <row r="515" spans="4:22" s="51" customFormat="1" ht="13.5" x14ac:dyDescent="0.4">
      <c r="D515" s="118"/>
      <c r="E515" s="122" t="s">
        <v>745</v>
      </c>
      <c r="F515" s="122"/>
      <c r="H515" s="52">
        <v>350</v>
      </c>
      <c r="I515" s="52">
        <v>330</v>
      </c>
      <c r="L515" s="52">
        <v>350</v>
      </c>
      <c r="M515" s="52">
        <v>300</v>
      </c>
      <c r="P515" s="52">
        <v>350</v>
      </c>
      <c r="Q515" s="52">
        <v>250</v>
      </c>
      <c r="R515" s="1"/>
      <c r="S515" s="1"/>
      <c r="T515" s="1"/>
      <c r="U515" s="1"/>
      <c r="V515" s="119"/>
    </row>
    <row r="516" spans="4:22" s="51" customFormat="1" ht="13.5" x14ac:dyDescent="0.4">
      <c r="D516" s="118"/>
      <c r="E516" s="52"/>
      <c r="F516" s="52"/>
      <c r="R516" s="24"/>
      <c r="S516" s="24"/>
      <c r="T516" s="24"/>
      <c r="U516" s="24"/>
      <c r="V516" s="119"/>
    </row>
    <row r="517" spans="4:22" s="51" customFormat="1" ht="13.5" customHeight="1" x14ac:dyDescent="0.4">
      <c r="D517" s="118"/>
      <c r="E517" s="52"/>
      <c r="F517" s="52"/>
      <c r="R517" s="24"/>
      <c r="S517" s="24"/>
      <c r="T517" s="24"/>
      <c r="U517" s="24"/>
      <c r="V517" s="119"/>
    </row>
    <row r="518" spans="4:22" s="51" customFormat="1" ht="13.5" customHeight="1" x14ac:dyDescent="0.4">
      <c r="D518" s="118"/>
      <c r="E518" s="52"/>
      <c r="F518" s="52"/>
      <c r="H518" s="239" t="s">
        <v>767</v>
      </c>
      <c r="L518" s="239" t="s">
        <v>767</v>
      </c>
      <c r="P518" s="239" t="s">
        <v>767</v>
      </c>
      <c r="R518" s="24"/>
      <c r="S518" s="24"/>
      <c r="T518" s="24"/>
      <c r="U518" s="24"/>
      <c r="V518" s="119"/>
    </row>
    <row r="519" spans="4:22" s="51" customFormat="1" ht="13.5" customHeight="1" x14ac:dyDescent="0.4">
      <c r="D519" s="118"/>
      <c r="E519" s="52"/>
      <c r="F519" s="52"/>
      <c r="G519" s="240" t="s">
        <v>476</v>
      </c>
      <c r="H519" s="273"/>
      <c r="I519" s="247" t="s">
        <v>633</v>
      </c>
      <c r="K519" s="240" t="s">
        <v>476</v>
      </c>
      <c r="L519" s="273"/>
      <c r="M519" s="234" t="s">
        <v>624</v>
      </c>
      <c r="O519" s="240" t="s">
        <v>476</v>
      </c>
      <c r="P519" s="273"/>
      <c r="R519" s="24"/>
      <c r="S519" s="24"/>
      <c r="T519" s="24"/>
      <c r="U519" s="24"/>
      <c r="V519" s="119"/>
    </row>
    <row r="520" spans="4:22" s="51" customFormat="1" ht="13.5" customHeight="1" x14ac:dyDescent="0.4">
      <c r="D520" s="118"/>
      <c r="E520" s="52"/>
      <c r="F520" s="52"/>
      <c r="G520" s="241"/>
      <c r="H520" s="273"/>
      <c r="I520" s="255"/>
      <c r="K520" s="241"/>
      <c r="L520" s="273"/>
      <c r="M520" s="235"/>
      <c r="O520" s="241"/>
      <c r="P520" s="273"/>
      <c r="Q520" s="234" t="s">
        <v>622</v>
      </c>
      <c r="R520" s="175"/>
      <c r="S520" s="175"/>
      <c r="T520" s="175"/>
      <c r="U520" s="175"/>
      <c r="V520" s="119"/>
    </row>
    <row r="521" spans="4:22" s="51" customFormat="1" ht="13.5" customHeight="1" x14ac:dyDescent="0.4">
      <c r="D521" s="118"/>
      <c r="E521" s="52"/>
      <c r="F521" s="52"/>
      <c r="G521" s="241"/>
      <c r="H521" s="273"/>
      <c r="I521" s="255"/>
      <c r="K521" s="241"/>
      <c r="L521" s="273"/>
      <c r="M521" s="235"/>
      <c r="O521" s="241"/>
      <c r="P521" s="273"/>
      <c r="Q521" s="235"/>
      <c r="R521" s="175"/>
      <c r="S521" s="175"/>
      <c r="T521" s="175"/>
      <c r="U521" s="175"/>
      <c r="V521" s="119"/>
    </row>
    <row r="522" spans="4:22" s="51" customFormat="1" ht="13.5" customHeight="1" x14ac:dyDescent="0.4">
      <c r="D522" s="118"/>
      <c r="E522" s="52"/>
      <c r="F522" s="52"/>
      <c r="G522" s="241"/>
      <c r="H522" s="273"/>
      <c r="I522" s="255"/>
      <c r="K522" s="241"/>
      <c r="L522" s="273"/>
      <c r="M522" s="235"/>
      <c r="O522" s="241"/>
      <c r="P522" s="273"/>
      <c r="Q522" s="235"/>
      <c r="R522" s="175"/>
      <c r="S522" s="175"/>
      <c r="T522" s="175"/>
      <c r="U522" s="175"/>
      <c r="V522" s="119"/>
    </row>
    <row r="523" spans="4:22" s="51" customFormat="1" ht="13.5" customHeight="1" x14ac:dyDescent="0.4">
      <c r="D523" s="118"/>
      <c r="E523" s="52"/>
      <c r="F523" s="52"/>
      <c r="G523" s="241"/>
      <c r="H523" s="273"/>
      <c r="I523" s="255"/>
      <c r="K523" s="241"/>
      <c r="L523" s="273"/>
      <c r="M523" s="235"/>
      <c r="O523" s="241"/>
      <c r="P523" s="273"/>
      <c r="Q523" s="235"/>
      <c r="R523" s="175"/>
      <c r="S523" s="175"/>
      <c r="T523" s="175"/>
      <c r="U523" s="175"/>
      <c r="V523" s="119"/>
    </row>
    <row r="524" spans="4:22" s="51" customFormat="1" ht="13.5" customHeight="1" x14ac:dyDescent="0.4">
      <c r="D524" s="118"/>
      <c r="E524" s="52"/>
      <c r="F524" s="52"/>
      <c r="G524" s="242"/>
      <c r="H524" s="274"/>
      <c r="I524" s="268"/>
      <c r="K524" s="242"/>
      <c r="L524" s="274"/>
      <c r="M524" s="236"/>
      <c r="O524" s="242"/>
      <c r="P524" s="274"/>
      <c r="Q524" s="236"/>
      <c r="R524" s="175"/>
      <c r="S524" s="175"/>
      <c r="T524" s="175"/>
      <c r="U524" s="175"/>
      <c r="V524" s="119"/>
    </row>
    <row r="525" spans="4:22" s="51" customFormat="1" ht="13.5" x14ac:dyDescent="0.4">
      <c r="D525" s="118"/>
      <c r="E525" s="124" t="s">
        <v>379</v>
      </c>
      <c r="F525" s="124"/>
      <c r="G525" s="124"/>
      <c r="H525" s="184"/>
      <c r="I525" s="126"/>
      <c r="K525" s="124"/>
      <c r="L525" s="184"/>
      <c r="M525" s="126">
        <v>0</v>
      </c>
      <c r="O525" s="124"/>
      <c r="P525" s="184"/>
      <c r="Q525" s="184">
        <v>50</v>
      </c>
      <c r="R525" s="177"/>
      <c r="S525" s="177"/>
      <c r="T525" s="177"/>
      <c r="U525" s="177"/>
      <c r="V525" s="119"/>
    </row>
    <row r="526" spans="4:22" s="51" customFormat="1" ht="13.5" x14ac:dyDescent="0.4">
      <c r="D526" s="118"/>
      <c r="E526" s="124" t="s">
        <v>478</v>
      </c>
      <c r="F526" s="124"/>
      <c r="G526" s="124"/>
      <c r="H526" s="269">
        <v>330</v>
      </c>
      <c r="I526" s="270"/>
      <c r="K526" s="124"/>
      <c r="L526" s="269">
        <v>300</v>
      </c>
      <c r="M526" s="270"/>
      <c r="O526" s="124"/>
      <c r="P526" s="269">
        <v>250</v>
      </c>
      <c r="Q526" s="270"/>
      <c r="R526" s="177"/>
      <c r="S526" s="177"/>
      <c r="T526" s="177"/>
      <c r="U526" s="177"/>
      <c r="V526" s="119"/>
    </row>
    <row r="527" spans="4:22" s="51" customFormat="1" ht="13.5" x14ac:dyDescent="0.4">
      <c r="D527" s="118"/>
      <c r="E527" s="124"/>
      <c r="F527" s="124"/>
      <c r="G527" s="124"/>
      <c r="H527" s="52"/>
      <c r="K527" s="124"/>
      <c r="L527" s="52"/>
      <c r="O527" s="124"/>
      <c r="P527" s="52"/>
      <c r="R527" s="24"/>
      <c r="S527" s="24"/>
      <c r="T527" s="24"/>
      <c r="U527" s="24"/>
      <c r="V527" s="119"/>
    </row>
    <row r="528" spans="4:22" s="51" customFormat="1" ht="13.5" x14ac:dyDescent="0.4">
      <c r="D528" s="118"/>
      <c r="E528" s="124" t="s">
        <v>479</v>
      </c>
      <c r="F528" s="124"/>
      <c r="G528" s="124"/>
      <c r="H528" s="52"/>
      <c r="I528" s="52"/>
      <c r="K528" s="124"/>
      <c r="L528" s="52"/>
      <c r="M528" s="52"/>
      <c r="O528" s="124"/>
      <c r="P528" s="52"/>
      <c r="Q528" s="52"/>
      <c r="R528" s="1"/>
      <c r="S528" s="1"/>
      <c r="T528" s="1"/>
      <c r="U528" s="1"/>
      <c r="V528" s="119"/>
    </row>
    <row r="529" spans="4:22" s="51" customFormat="1" ht="13.5" customHeight="1" x14ac:dyDescent="0.4">
      <c r="D529" s="118"/>
      <c r="E529" s="128" t="s">
        <v>480</v>
      </c>
      <c r="F529" s="128"/>
      <c r="G529" s="124"/>
      <c r="H529" s="231" t="s">
        <v>487</v>
      </c>
      <c r="I529" s="231" t="s">
        <v>487</v>
      </c>
      <c r="K529" s="124"/>
      <c r="L529" s="231" t="s">
        <v>487</v>
      </c>
      <c r="M529" s="231" t="s">
        <v>487</v>
      </c>
      <c r="O529" s="124"/>
      <c r="P529" s="231" t="s">
        <v>487</v>
      </c>
      <c r="Q529" s="52">
        <v>91220</v>
      </c>
      <c r="R529" s="1"/>
      <c r="S529" s="1"/>
      <c r="T529" s="1"/>
      <c r="U529" s="1"/>
      <c r="V529" s="119"/>
    </row>
    <row r="530" spans="4:22" s="51" customFormat="1" ht="13.5" customHeight="1" x14ac:dyDescent="0.4">
      <c r="D530" s="118"/>
      <c r="E530" s="128" t="s">
        <v>481</v>
      </c>
      <c r="F530" s="128"/>
      <c r="G530" s="124"/>
      <c r="H530" s="232"/>
      <c r="I530" s="232"/>
      <c r="K530" s="124"/>
      <c r="L530" s="232"/>
      <c r="M530" s="232"/>
      <c r="O530" s="124"/>
      <c r="P530" s="232"/>
      <c r="Q530" s="52">
        <v>6</v>
      </c>
      <c r="R530" s="1"/>
      <c r="S530" s="1"/>
      <c r="T530" s="1"/>
      <c r="U530" s="1"/>
      <c r="V530" s="119"/>
    </row>
    <row r="531" spans="4:22" s="51" customFormat="1" ht="13.5" x14ac:dyDescent="0.4">
      <c r="D531" s="118"/>
      <c r="E531" s="128" t="s">
        <v>482</v>
      </c>
      <c r="F531" s="128"/>
      <c r="G531" s="124"/>
      <c r="H531" s="232"/>
      <c r="I531" s="232"/>
      <c r="K531" s="124"/>
      <c r="L531" s="232"/>
      <c r="M531" s="232"/>
      <c r="O531" s="124"/>
      <c r="P531" s="232"/>
      <c r="Q531" s="124" t="s">
        <v>468</v>
      </c>
      <c r="R531" s="179"/>
      <c r="S531" s="179"/>
      <c r="T531" s="179"/>
      <c r="U531" s="179"/>
      <c r="V531" s="119"/>
    </row>
    <row r="532" spans="4:22" s="51" customFormat="1" ht="27" x14ac:dyDescent="0.4">
      <c r="D532" s="118"/>
      <c r="E532" s="124" t="s">
        <v>379</v>
      </c>
      <c r="F532" s="124"/>
      <c r="G532" s="124"/>
      <c r="H532" s="233"/>
      <c r="I532" s="233"/>
      <c r="K532" s="124"/>
      <c r="L532" s="233"/>
      <c r="M532" s="233"/>
      <c r="O532" s="124"/>
      <c r="P532" s="233"/>
      <c r="Q532" s="124" t="s">
        <v>623</v>
      </c>
      <c r="R532" s="179"/>
      <c r="S532" s="179"/>
      <c r="T532" s="179"/>
      <c r="U532" s="179"/>
      <c r="V532" s="119"/>
    </row>
    <row r="533" spans="4:22" s="51" customFormat="1" ht="14.25" thickBot="1" x14ac:dyDescent="0.45">
      <c r="D533" s="129"/>
      <c r="E533" s="130"/>
      <c r="F533" s="130"/>
      <c r="G533" s="130"/>
      <c r="H533" s="130"/>
      <c r="I533" s="131"/>
      <c r="J533" s="132"/>
      <c r="K533" s="132"/>
      <c r="L533" s="132"/>
      <c r="M533" s="132"/>
      <c r="N533" s="132"/>
      <c r="O533" s="132"/>
      <c r="P533" s="132"/>
      <c r="Q533" s="132"/>
      <c r="R533" s="174"/>
      <c r="S533" s="174"/>
      <c r="T533" s="174"/>
      <c r="U533" s="174"/>
      <c r="V533" s="133"/>
    </row>
    <row r="534" spans="4:22" s="51" customFormat="1" ht="13.5" x14ac:dyDescent="0.4">
      <c r="D534" s="114" t="s">
        <v>474</v>
      </c>
      <c r="E534" s="115"/>
      <c r="F534" s="115"/>
      <c r="G534" s="115"/>
      <c r="H534" s="115"/>
      <c r="I534" s="115"/>
      <c r="J534" s="116"/>
      <c r="K534" s="116"/>
      <c r="L534" s="116"/>
      <c r="M534" s="116"/>
      <c r="N534" s="116"/>
      <c r="O534" s="116"/>
      <c r="P534" s="116"/>
      <c r="Q534" s="116"/>
      <c r="R534" s="173"/>
      <c r="S534" s="173"/>
      <c r="T534" s="173"/>
      <c r="U534" s="173"/>
      <c r="V534" s="117"/>
    </row>
    <row r="535" spans="4:22" s="51" customFormat="1" ht="13.5" x14ac:dyDescent="0.4">
      <c r="D535" s="118">
        <v>22</v>
      </c>
      <c r="E535" s="14" t="s">
        <v>753</v>
      </c>
      <c r="F535" s="14"/>
      <c r="G535" s="14"/>
      <c r="H535" s="52"/>
      <c r="I535" s="52"/>
      <c r="R535" s="24"/>
      <c r="S535" s="24"/>
      <c r="T535" s="24"/>
      <c r="U535" s="24"/>
      <c r="V535" s="119"/>
    </row>
    <row r="536" spans="4:22" s="51" customFormat="1" ht="13.5" x14ac:dyDescent="0.4">
      <c r="D536" s="118"/>
      <c r="E536" s="14" t="s">
        <v>754</v>
      </c>
      <c r="F536" s="14"/>
      <c r="G536" s="14"/>
      <c r="H536" s="52"/>
      <c r="I536" s="52"/>
      <c r="R536" s="24"/>
      <c r="S536" s="24"/>
      <c r="T536" s="24"/>
      <c r="U536" s="24"/>
      <c r="V536" s="119"/>
    </row>
    <row r="537" spans="4:22" s="51" customFormat="1" ht="13.5" x14ac:dyDescent="0.4">
      <c r="D537" s="118"/>
      <c r="E537" s="14"/>
      <c r="F537" s="14"/>
      <c r="G537" s="14"/>
      <c r="H537" s="52"/>
      <c r="I537" s="52"/>
      <c r="R537" s="24"/>
      <c r="S537" s="24"/>
      <c r="T537" s="24"/>
      <c r="U537" s="24"/>
      <c r="V537" s="119"/>
    </row>
    <row r="538" spans="4:22" s="52" customFormat="1" ht="13.5" x14ac:dyDescent="0.4">
      <c r="D538" s="118"/>
      <c r="E538" s="52" t="s">
        <v>475</v>
      </c>
      <c r="H538" s="52" t="str">
        <f>H540&amp;"%に特売（期間割引）設定"</f>
        <v>10%に特売（期間割引）設定</v>
      </c>
      <c r="I538" s="52" t="str">
        <f>I540&amp;"円にレジでの売価変更"</f>
        <v>200円にレジでの売価変更</v>
      </c>
      <c r="K538" s="51"/>
      <c r="L538" s="51"/>
      <c r="M538" s="51"/>
      <c r="N538" s="51"/>
      <c r="O538" s="51"/>
      <c r="P538" s="51"/>
      <c r="Q538" s="51"/>
      <c r="R538" s="24"/>
      <c r="S538" s="24"/>
      <c r="T538" s="24"/>
      <c r="U538" s="24"/>
      <c r="V538" s="121"/>
    </row>
    <row r="539" spans="4:22" s="51" customFormat="1" ht="13.5" x14ac:dyDescent="0.4">
      <c r="D539" s="118"/>
      <c r="E539" s="122"/>
      <c r="F539" s="122"/>
      <c r="G539" s="14"/>
      <c r="R539" s="24"/>
      <c r="S539" s="24"/>
      <c r="T539" s="24"/>
      <c r="U539" s="24"/>
      <c r="V539" s="119"/>
    </row>
    <row r="540" spans="4:22" s="51" customFormat="1" ht="13.5" x14ac:dyDescent="0.4">
      <c r="D540" s="118"/>
      <c r="E540" s="122" t="s">
        <v>755</v>
      </c>
      <c r="F540" s="122"/>
      <c r="G540" s="52"/>
      <c r="H540" s="52">
        <v>10</v>
      </c>
      <c r="I540" s="52">
        <v>200</v>
      </c>
      <c r="R540" s="24"/>
      <c r="S540" s="24"/>
      <c r="T540" s="24"/>
      <c r="U540" s="24"/>
      <c r="V540" s="119"/>
    </row>
    <row r="541" spans="4:22" s="51" customFormat="1" ht="13.5" x14ac:dyDescent="0.4">
      <c r="D541" s="118"/>
      <c r="E541" s="52"/>
      <c r="F541" s="52"/>
      <c r="G541" s="52"/>
      <c r="I541" s="52"/>
      <c r="R541" s="24"/>
      <c r="S541" s="24"/>
      <c r="T541" s="24"/>
      <c r="U541" s="24"/>
      <c r="V541" s="119"/>
    </row>
    <row r="542" spans="4:22" s="51" customFormat="1" ht="13.5" customHeight="1" x14ac:dyDescent="0.4">
      <c r="D542" s="118"/>
      <c r="E542" s="52"/>
      <c r="F542" s="52"/>
      <c r="G542" s="52"/>
      <c r="I542" s="52"/>
      <c r="R542" s="24"/>
      <c r="S542" s="24"/>
      <c r="T542" s="24"/>
      <c r="U542" s="24"/>
      <c r="V542" s="119"/>
    </row>
    <row r="543" spans="4:22" s="51" customFormat="1" ht="13.5" customHeight="1" x14ac:dyDescent="0.4">
      <c r="D543" s="118"/>
      <c r="E543" s="52"/>
      <c r="F543" s="52"/>
      <c r="G543" s="52"/>
      <c r="R543" s="24"/>
      <c r="S543" s="24"/>
      <c r="T543" s="24"/>
      <c r="U543" s="24"/>
      <c r="V543" s="119"/>
    </row>
    <row r="544" spans="4:22" s="51" customFormat="1" ht="13.5" customHeight="1" x14ac:dyDescent="0.4">
      <c r="D544" s="118"/>
      <c r="E544" s="52"/>
      <c r="F544" s="52"/>
      <c r="G544" s="240" t="s">
        <v>476</v>
      </c>
      <c r="H544" s="123" t="s">
        <v>603</v>
      </c>
      <c r="R544" s="24"/>
      <c r="S544" s="24"/>
      <c r="T544" s="24"/>
      <c r="U544" s="24"/>
      <c r="V544" s="119"/>
    </row>
    <row r="545" spans="4:22" s="51" customFormat="1" ht="13.5" customHeight="1" x14ac:dyDescent="0.4">
      <c r="D545" s="118"/>
      <c r="E545" s="52"/>
      <c r="F545" s="52"/>
      <c r="G545" s="241"/>
      <c r="H545" s="259" t="s">
        <v>756</v>
      </c>
      <c r="I545" s="123" t="s">
        <v>725</v>
      </c>
      <c r="R545" s="24"/>
      <c r="S545" s="24"/>
      <c r="T545" s="24"/>
      <c r="U545" s="24"/>
      <c r="V545" s="119"/>
    </row>
    <row r="546" spans="4:22" s="51" customFormat="1" ht="13.5" customHeight="1" x14ac:dyDescent="0.4">
      <c r="D546" s="118"/>
      <c r="E546" s="52"/>
      <c r="F546" s="52"/>
      <c r="G546" s="241"/>
      <c r="H546" s="264"/>
      <c r="I546" s="234" t="s">
        <v>627</v>
      </c>
      <c r="R546" s="24"/>
      <c r="S546" s="24"/>
      <c r="T546" s="24"/>
      <c r="U546" s="24"/>
      <c r="V546" s="119"/>
    </row>
    <row r="547" spans="4:22" s="51" customFormat="1" ht="13.5" customHeight="1" x14ac:dyDescent="0.4">
      <c r="D547" s="118"/>
      <c r="E547" s="52"/>
      <c r="F547" s="52"/>
      <c r="G547" s="241"/>
      <c r="H547" s="264"/>
      <c r="I547" s="237"/>
      <c r="R547" s="24"/>
      <c r="S547" s="24"/>
      <c r="T547" s="24"/>
      <c r="U547" s="24"/>
      <c r="V547" s="119"/>
    </row>
    <row r="548" spans="4:22" s="51" customFormat="1" ht="13.5" customHeight="1" x14ac:dyDescent="0.4">
      <c r="D548" s="118"/>
      <c r="E548" s="52"/>
      <c r="F548" s="52"/>
      <c r="G548" s="241"/>
      <c r="H548" s="264"/>
      <c r="I548" s="237"/>
      <c r="R548" s="24"/>
      <c r="S548" s="24"/>
      <c r="T548" s="24"/>
      <c r="U548" s="24"/>
      <c r="V548" s="119"/>
    </row>
    <row r="549" spans="4:22" s="51" customFormat="1" ht="13.5" customHeight="1" x14ac:dyDescent="0.4">
      <c r="D549" s="118"/>
      <c r="E549" s="52"/>
      <c r="F549" s="52"/>
      <c r="G549" s="242"/>
      <c r="H549" s="265"/>
      <c r="I549" s="238"/>
      <c r="R549" s="24"/>
      <c r="S549" s="24"/>
      <c r="T549" s="24"/>
      <c r="U549" s="24"/>
      <c r="V549" s="119"/>
    </row>
    <row r="550" spans="4:22" s="51" customFormat="1" ht="13.5" x14ac:dyDescent="0.4">
      <c r="D550" s="118"/>
      <c r="E550" s="124" t="s">
        <v>379</v>
      </c>
      <c r="F550" s="124"/>
      <c r="G550" s="124"/>
      <c r="H550" s="184">
        <v>30</v>
      </c>
      <c r="I550" s="184">
        <v>70</v>
      </c>
      <c r="R550" s="24"/>
      <c r="S550" s="24"/>
      <c r="T550" s="24"/>
      <c r="U550" s="24"/>
      <c r="V550" s="119"/>
    </row>
    <row r="551" spans="4:22" s="51" customFormat="1" ht="13.5" x14ac:dyDescent="0.4">
      <c r="D551" s="118"/>
      <c r="E551" s="124" t="s">
        <v>478</v>
      </c>
      <c r="F551" s="124"/>
      <c r="G551" s="124"/>
      <c r="H551" s="230">
        <v>200</v>
      </c>
      <c r="I551" s="230"/>
      <c r="R551" s="24"/>
      <c r="S551" s="24"/>
      <c r="T551" s="24"/>
      <c r="U551" s="24"/>
      <c r="V551" s="119"/>
    </row>
    <row r="552" spans="4:22" s="51" customFormat="1" ht="13.5" x14ac:dyDescent="0.4">
      <c r="D552" s="118"/>
      <c r="E552" s="124"/>
      <c r="F552" s="124"/>
      <c r="G552" s="124"/>
      <c r="H552" s="52"/>
      <c r="R552" s="24"/>
      <c r="S552" s="24"/>
      <c r="T552" s="24"/>
      <c r="U552" s="24"/>
      <c r="V552" s="119"/>
    </row>
    <row r="553" spans="4:22" s="51" customFormat="1" ht="13.5" x14ac:dyDescent="0.4">
      <c r="D553" s="118"/>
      <c r="E553" s="124" t="s">
        <v>479</v>
      </c>
      <c r="F553" s="124"/>
      <c r="G553" s="124"/>
      <c r="H553" s="52"/>
      <c r="I553" s="52"/>
      <c r="R553" s="24"/>
      <c r="S553" s="24"/>
      <c r="T553" s="24"/>
      <c r="U553" s="24"/>
      <c r="V553" s="119"/>
    </row>
    <row r="554" spans="4:22" s="51" customFormat="1" ht="13.5" customHeight="1" x14ac:dyDescent="0.4">
      <c r="D554" s="118"/>
      <c r="E554" s="128" t="s">
        <v>480</v>
      </c>
      <c r="F554" s="128"/>
      <c r="G554" s="124"/>
      <c r="H554" s="136">
        <v>91141</v>
      </c>
      <c r="I554" s="52">
        <v>91220</v>
      </c>
      <c r="R554" s="24"/>
      <c r="S554" s="24"/>
      <c r="T554" s="24"/>
      <c r="U554" s="24"/>
      <c r="V554" s="119"/>
    </row>
    <row r="555" spans="4:22" s="51" customFormat="1" ht="13.5" customHeight="1" x14ac:dyDescent="0.4">
      <c r="D555" s="118"/>
      <c r="E555" s="128" t="s">
        <v>481</v>
      </c>
      <c r="F555" s="128"/>
      <c r="G555" s="124"/>
      <c r="H555" s="135">
        <v>0</v>
      </c>
      <c r="I555" s="52">
        <v>6</v>
      </c>
      <c r="R555" s="24"/>
      <c r="S555" s="24"/>
      <c r="T555" s="24"/>
      <c r="U555" s="24"/>
      <c r="V555" s="119"/>
    </row>
    <row r="556" spans="4:22" s="51" customFormat="1" ht="13.5" x14ac:dyDescent="0.4">
      <c r="D556" s="118"/>
      <c r="E556" s="128" t="s">
        <v>482</v>
      </c>
      <c r="F556" s="128"/>
      <c r="G556" s="124"/>
      <c r="H556" s="135" t="s">
        <v>757</v>
      </c>
      <c r="I556" s="124" t="s">
        <v>468</v>
      </c>
      <c r="R556" s="24"/>
      <c r="S556" s="24"/>
      <c r="T556" s="24"/>
      <c r="U556" s="24"/>
      <c r="V556" s="119"/>
    </row>
    <row r="557" spans="4:22" s="51" customFormat="1" ht="27" x14ac:dyDescent="0.4">
      <c r="D557" s="118"/>
      <c r="E557" s="124" t="s">
        <v>379</v>
      </c>
      <c r="F557" s="124"/>
      <c r="G557" s="124"/>
      <c r="H557" s="136" t="s">
        <v>758</v>
      </c>
      <c r="I557" s="124" t="s">
        <v>759</v>
      </c>
      <c r="R557" s="24"/>
      <c r="S557" s="24"/>
      <c r="T557" s="24"/>
      <c r="U557" s="24"/>
      <c r="V557" s="119"/>
    </row>
    <row r="558" spans="4:22" s="51" customFormat="1" ht="14.25" thickBot="1" x14ac:dyDescent="0.45">
      <c r="D558" s="129"/>
      <c r="E558" s="130"/>
      <c r="F558" s="130"/>
      <c r="G558" s="130"/>
      <c r="H558" s="130"/>
      <c r="I558" s="131"/>
      <c r="J558" s="132"/>
      <c r="K558" s="132"/>
      <c r="L558" s="132"/>
      <c r="M558" s="132"/>
      <c r="N558" s="132"/>
      <c r="O558" s="132"/>
      <c r="P558" s="132"/>
      <c r="Q558" s="132"/>
      <c r="R558" s="174"/>
      <c r="S558" s="174"/>
      <c r="T558" s="174"/>
      <c r="U558" s="174"/>
      <c r="V558" s="133"/>
    </row>
    <row r="559" spans="4:22" s="51" customFormat="1" ht="13.5" x14ac:dyDescent="0.4">
      <c r="D559" s="114" t="s">
        <v>474</v>
      </c>
      <c r="E559" s="115"/>
      <c r="F559" s="115"/>
      <c r="G559" s="115"/>
      <c r="H559" s="115"/>
      <c r="I559" s="115"/>
      <c r="J559" s="116"/>
      <c r="K559" s="116"/>
      <c r="L559" s="116"/>
      <c r="M559" s="116"/>
      <c r="N559" s="116"/>
      <c r="O559" s="116"/>
      <c r="P559" s="116"/>
      <c r="Q559" s="116"/>
      <c r="R559" s="173"/>
      <c r="S559" s="173"/>
      <c r="T559" s="173"/>
      <c r="U559" s="173"/>
      <c r="V559" s="117"/>
    </row>
    <row r="560" spans="4:22" s="51" customFormat="1" ht="13.5" x14ac:dyDescent="0.4">
      <c r="D560" s="118">
        <v>23</v>
      </c>
      <c r="E560" s="14" t="s">
        <v>753</v>
      </c>
      <c r="F560" s="14"/>
      <c r="G560" s="14"/>
      <c r="H560" s="52"/>
      <c r="I560" s="52"/>
      <c r="R560" s="24"/>
      <c r="S560" s="24"/>
      <c r="T560" s="24"/>
      <c r="U560" s="24"/>
      <c r="V560" s="119"/>
    </row>
    <row r="561" spans="4:22" s="51" customFormat="1" ht="13.5" x14ac:dyDescent="0.4">
      <c r="D561" s="118"/>
      <c r="E561" s="14" t="s">
        <v>760</v>
      </c>
      <c r="F561" s="14"/>
      <c r="G561" s="14"/>
      <c r="H561" s="52"/>
      <c r="I561" s="52"/>
      <c r="R561" s="24"/>
      <c r="S561" s="24"/>
      <c r="T561" s="24"/>
      <c r="U561" s="24"/>
      <c r="V561" s="119"/>
    </row>
    <row r="562" spans="4:22" s="51" customFormat="1" ht="13.5" x14ac:dyDescent="0.4">
      <c r="D562" s="118"/>
      <c r="E562" s="14"/>
      <c r="F562" s="14"/>
      <c r="G562" s="14"/>
      <c r="H562" s="52"/>
      <c r="I562" s="52"/>
      <c r="R562" s="24"/>
      <c r="S562" s="24"/>
      <c r="T562" s="24"/>
      <c r="U562" s="24"/>
      <c r="V562" s="119"/>
    </row>
    <row r="563" spans="4:22" s="52" customFormat="1" ht="13.5" x14ac:dyDescent="0.4">
      <c r="D563" s="118"/>
      <c r="E563" s="52" t="s">
        <v>475</v>
      </c>
      <c r="G563" s="51"/>
      <c r="H563" s="52" t="str">
        <f>H565&amp;"%に特売（期間割引）設定"</f>
        <v>10%に特売（期間割引）設定</v>
      </c>
      <c r="I563" s="52" t="str">
        <f>I565&amp;"円にレジでの売価変更"</f>
        <v>270円にレジでの売価変更</v>
      </c>
      <c r="K563" s="51"/>
      <c r="L563" s="51"/>
      <c r="M563" s="51"/>
      <c r="N563" s="51"/>
      <c r="O563" s="51"/>
      <c r="P563" s="51"/>
      <c r="Q563" s="51"/>
      <c r="R563" s="24"/>
      <c r="S563" s="24"/>
      <c r="T563" s="24"/>
      <c r="U563" s="24"/>
      <c r="V563" s="121"/>
    </row>
    <row r="564" spans="4:22" s="51" customFormat="1" ht="13.5" x14ac:dyDescent="0.4">
      <c r="D564" s="118"/>
      <c r="E564" s="122"/>
      <c r="F564" s="122"/>
      <c r="R564" s="24"/>
      <c r="S564" s="24"/>
      <c r="T564" s="24"/>
      <c r="U564" s="24"/>
      <c r="V564" s="119"/>
    </row>
    <row r="565" spans="4:22" s="51" customFormat="1" ht="13.5" x14ac:dyDescent="0.4">
      <c r="D565" s="118"/>
      <c r="E565" s="122" t="s">
        <v>755</v>
      </c>
      <c r="F565" s="122"/>
      <c r="H565" s="52">
        <v>10</v>
      </c>
      <c r="I565" s="52">
        <v>270</v>
      </c>
      <c r="R565" s="24"/>
      <c r="S565" s="24"/>
      <c r="T565" s="24"/>
      <c r="U565" s="24"/>
      <c r="V565" s="119"/>
    </row>
    <row r="566" spans="4:22" s="51" customFormat="1" ht="13.5" x14ac:dyDescent="0.4">
      <c r="D566" s="118"/>
      <c r="E566" s="52"/>
      <c r="F566" s="52"/>
      <c r="R566" s="24"/>
      <c r="S566" s="24"/>
      <c r="T566" s="24"/>
      <c r="U566" s="24"/>
      <c r="V566" s="119"/>
    </row>
    <row r="567" spans="4:22" s="51" customFormat="1" ht="13.5" x14ac:dyDescent="0.4">
      <c r="D567" s="118"/>
      <c r="E567" s="52"/>
      <c r="F567" s="52"/>
      <c r="R567" s="24"/>
      <c r="S567" s="24"/>
      <c r="T567" s="24"/>
      <c r="U567" s="24"/>
      <c r="V567" s="119"/>
    </row>
    <row r="568" spans="4:22" s="51" customFormat="1" ht="13.5" x14ac:dyDescent="0.4">
      <c r="D568" s="118"/>
      <c r="E568" s="52"/>
      <c r="F568" s="52"/>
      <c r="R568" s="24"/>
      <c r="S568" s="24"/>
      <c r="T568" s="24"/>
      <c r="U568" s="24"/>
      <c r="V568" s="119"/>
    </row>
    <row r="569" spans="4:22" s="51" customFormat="1" ht="13.5" x14ac:dyDescent="0.4">
      <c r="D569" s="118"/>
      <c r="E569" s="52"/>
      <c r="F569" s="52"/>
      <c r="G569" s="240" t="s">
        <v>476</v>
      </c>
      <c r="I569" s="123" t="s">
        <v>603</v>
      </c>
      <c r="R569" s="24"/>
      <c r="S569" s="24"/>
      <c r="T569" s="24"/>
      <c r="U569" s="24"/>
      <c r="V569" s="119"/>
    </row>
    <row r="570" spans="4:22" s="51" customFormat="1" ht="13.5" customHeight="1" x14ac:dyDescent="0.4">
      <c r="D570" s="118"/>
      <c r="E570" s="52"/>
      <c r="F570" s="52"/>
      <c r="G570" s="241"/>
      <c r="H570" s="259" t="s">
        <v>756</v>
      </c>
      <c r="I570" s="247" t="s">
        <v>727</v>
      </c>
      <c r="R570" s="24"/>
      <c r="S570" s="24"/>
      <c r="T570" s="24"/>
      <c r="U570" s="24"/>
      <c r="V570" s="119"/>
    </row>
    <row r="571" spans="4:22" s="51" customFormat="1" ht="13.5" customHeight="1" x14ac:dyDescent="0.4">
      <c r="D571" s="118"/>
      <c r="E571" s="52"/>
      <c r="F571" s="52"/>
      <c r="G571" s="241"/>
      <c r="H571" s="264"/>
      <c r="I571" s="248"/>
      <c r="R571" s="24"/>
      <c r="S571" s="24"/>
      <c r="T571" s="24"/>
      <c r="U571" s="24"/>
      <c r="V571" s="119"/>
    </row>
    <row r="572" spans="4:22" s="51" customFormat="1" ht="13.5" customHeight="1" x14ac:dyDescent="0.4">
      <c r="D572" s="118"/>
      <c r="E572" s="52"/>
      <c r="F572" s="52"/>
      <c r="G572" s="241"/>
      <c r="H572" s="264"/>
      <c r="I572" s="248"/>
      <c r="R572" s="24"/>
      <c r="S572" s="24"/>
      <c r="T572" s="24"/>
      <c r="U572" s="24"/>
      <c r="V572" s="119"/>
    </row>
    <row r="573" spans="4:22" s="51" customFormat="1" ht="13.5" customHeight="1" x14ac:dyDescent="0.4">
      <c r="D573" s="118"/>
      <c r="E573" s="52"/>
      <c r="F573" s="52"/>
      <c r="G573" s="241"/>
      <c r="H573" s="264"/>
      <c r="I573" s="248"/>
      <c r="R573" s="24"/>
      <c r="S573" s="24"/>
      <c r="T573" s="24"/>
      <c r="U573" s="24"/>
      <c r="V573" s="119"/>
    </row>
    <row r="574" spans="4:22" s="51" customFormat="1" ht="13.5" customHeight="1" x14ac:dyDescent="0.4">
      <c r="D574" s="118"/>
      <c r="E574" s="52"/>
      <c r="F574" s="52"/>
      <c r="G574" s="242"/>
      <c r="H574" s="265"/>
      <c r="I574" s="249"/>
      <c r="R574" s="24"/>
      <c r="S574" s="24"/>
      <c r="T574" s="24"/>
      <c r="U574" s="24"/>
      <c r="V574" s="119"/>
    </row>
    <row r="575" spans="4:22" s="51" customFormat="1" ht="13.5" x14ac:dyDescent="0.4">
      <c r="D575" s="118"/>
      <c r="E575" s="124" t="s">
        <v>379</v>
      </c>
      <c r="F575" s="124"/>
      <c r="G575" s="124"/>
      <c r="H575" s="184"/>
      <c r="I575" s="184">
        <v>30</v>
      </c>
      <c r="R575" s="24"/>
      <c r="S575" s="24"/>
      <c r="T575" s="24"/>
      <c r="U575" s="24"/>
      <c r="V575" s="119"/>
    </row>
    <row r="576" spans="4:22" s="51" customFormat="1" ht="13.5" x14ac:dyDescent="0.4">
      <c r="D576" s="118"/>
      <c r="E576" s="124" t="s">
        <v>478</v>
      </c>
      <c r="F576" s="124"/>
      <c r="G576" s="124"/>
      <c r="H576" s="230">
        <v>270</v>
      </c>
      <c r="I576" s="230"/>
      <c r="R576" s="24"/>
      <c r="S576" s="24"/>
      <c r="T576" s="24"/>
      <c r="U576" s="24"/>
      <c r="V576" s="119"/>
    </row>
    <row r="577" spans="4:22" s="51" customFormat="1" ht="13.5" x14ac:dyDescent="0.4">
      <c r="D577" s="118"/>
      <c r="E577" s="124"/>
      <c r="F577" s="124"/>
      <c r="G577" s="124"/>
      <c r="H577" s="52"/>
      <c r="R577" s="24"/>
      <c r="S577" s="24"/>
      <c r="T577" s="24"/>
      <c r="U577" s="24"/>
      <c r="V577" s="119"/>
    </row>
    <row r="578" spans="4:22" s="51" customFormat="1" ht="13.5" x14ac:dyDescent="0.4">
      <c r="D578" s="118"/>
      <c r="E578" s="124" t="s">
        <v>479</v>
      </c>
      <c r="F578" s="124"/>
      <c r="G578" s="124"/>
      <c r="H578" s="52"/>
      <c r="I578" s="52"/>
      <c r="R578" s="24"/>
      <c r="S578" s="24"/>
      <c r="T578" s="24"/>
      <c r="U578" s="24"/>
      <c r="V578" s="119"/>
    </row>
    <row r="579" spans="4:22" s="51" customFormat="1" ht="13.5" customHeight="1" x14ac:dyDescent="0.4">
      <c r="D579" s="118"/>
      <c r="E579" s="128" t="s">
        <v>480</v>
      </c>
      <c r="F579" s="128"/>
      <c r="G579" s="124"/>
      <c r="I579" s="136">
        <v>91141</v>
      </c>
      <c r="R579" s="24"/>
      <c r="S579" s="24"/>
      <c r="T579" s="24"/>
      <c r="U579" s="24"/>
      <c r="V579" s="119"/>
    </row>
    <row r="580" spans="4:22" s="51" customFormat="1" ht="13.5" customHeight="1" x14ac:dyDescent="0.4">
      <c r="D580" s="118"/>
      <c r="E580" s="128" t="s">
        <v>481</v>
      </c>
      <c r="F580" s="128"/>
      <c r="G580" s="124"/>
      <c r="I580" s="135">
        <v>0</v>
      </c>
      <c r="R580" s="24"/>
      <c r="S580" s="24"/>
      <c r="T580" s="24"/>
      <c r="U580" s="24"/>
      <c r="V580" s="119"/>
    </row>
    <row r="581" spans="4:22" s="51" customFormat="1" ht="13.5" x14ac:dyDescent="0.4">
      <c r="D581" s="118"/>
      <c r="E581" s="128" t="s">
        <v>482</v>
      </c>
      <c r="F581" s="128"/>
      <c r="G581" s="124"/>
      <c r="I581" s="135" t="s">
        <v>757</v>
      </c>
      <c r="R581" s="24"/>
      <c r="S581" s="24"/>
      <c r="T581" s="24"/>
      <c r="U581" s="24"/>
      <c r="V581" s="119"/>
    </row>
    <row r="582" spans="4:22" s="51" customFormat="1" ht="27" x14ac:dyDescent="0.4">
      <c r="D582" s="118"/>
      <c r="E582" s="124" t="s">
        <v>379</v>
      </c>
      <c r="F582" s="124"/>
      <c r="G582" s="124"/>
      <c r="I582" s="137" t="s">
        <v>773</v>
      </c>
      <c r="R582" s="24"/>
      <c r="S582" s="24"/>
      <c r="T582" s="24"/>
      <c r="U582" s="24"/>
      <c r="V582" s="119"/>
    </row>
    <row r="583" spans="4:22" s="51" customFormat="1" ht="13.5" x14ac:dyDescent="0.4">
      <c r="D583" s="118"/>
      <c r="E583" s="120" t="s">
        <v>761</v>
      </c>
      <c r="F583" s="124"/>
      <c r="G583" s="124"/>
      <c r="I583" s="137"/>
      <c r="R583" s="24"/>
      <c r="S583" s="24"/>
      <c r="T583" s="24"/>
      <c r="U583" s="24"/>
      <c r="V583" s="119"/>
    </row>
    <row r="584" spans="4:22" s="51" customFormat="1" ht="14.25" thickBot="1" x14ac:dyDescent="0.45">
      <c r="D584" s="129"/>
      <c r="E584" s="130"/>
      <c r="F584" s="130"/>
      <c r="G584" s="130"/>
      <c r="H584" s="130"/>
      <c r="I584" s="131"/>
      <c r="J584" s="132"/>
      <c r="K584" s="132"/>
      <c r="L584" s="132"/>
      <c r="M584" s="132"/>
      <c r="N584" s="132"/>
      <c r="O584" s="132"/>
      <c r="P584" s="132"/>
      <c r="Q584" s="132"/>
      <c r="R584" s="174"/>
      <c r="S584" s="174"/>
      <c r="T584" s="174"/>
      <c r="U584" s="174"/>
      <c r="V584" s="133"/>
    </row>
    <row r="585" spans="4:22" s="51" customFormat="1" ht="13.5" x14ac:dyDescent="0.4">
      <c r="D585" s="114" t="s">
        <v>474</v>
      </c>
      <c r="E585" s="115"/>
      <c r="F585" s="115"/>
      <c r="G585" s="115"/>
      <c r="H585" s="115"/>
      <c r="I585" s="115"/>
      <c r="J585" s="116"/>
      <c r="K585" s="116"/>
      <c r="L585" s="116"/>
      <c r="M585" s="116"/>
      <c r="N585" s="116"/>
      <c r="O585" s="116"/>
      <c r="P585" s="116"/>
      <c r="Q585" s="116"/>
      <c r="R585" s="173"/>
      <c r="S585" s="173"/>
      <c r="T585" s="173"/>
      <c r="U585" s="173"/>
      <c r="V585" s="117"/>
    </row>
    <row r="586" spans="4:22" s="51" customFormat="1" ht="13.5" x14ac:dyDescent="0.4">
      <c r="D586" s="118">
        <v>24</v>
      </c>
      <c r="E586" s="14" t="s">
        <v>753</v>
      </c>
      <c r="F586" s="14"/>
      <c r="G586" s="14"/>
      <c r="H586" s="52"/>
      <c r="I586" s="52"/>
      <c r="R586" s="24"/>
      <c r="S586" s="24"/>
      <c r="T586" s="24"/>
      <c r="U586" s="24"/>
      <c r="V586" s="119"/>
    </row>
    <row r="587" spans="4:22" s="51" customFormat="1" ht="13.5" x14ac:dyDescent="0.4">
      <c r="D587" s="118"/>
      <c r="E587" s="14" t="s">
        <v>762</v>
      </c>
      <c r="F587" s="14"/>
      <c r="G587" s="14"/>
      <c r="H587" s="52"/>
      <c r="I587" s="52"/>
      <c r="R587" s="24"/>
      <c r="S587" s="24"/>
      <c r="T587" s="24"/>
      <c r="U587" s="24"/>
      <c r="V587" s="119"/>
    </row>
    <row r="588" spans="4:22" s="51" customFormat="1" ht="13.5" x14ac:dyDescent="0.4">
      <c r="D588" s="118"/>
      <c r="E588" s="14"/>
      <c r="F588" s="14"/>
      <c r="G588" s="14"/>
      <c r="H588" s="52"/>
      <c r="I588" s="52"/>
      <c r="R588" s="24"/>
      <c r="S588" s="24"/>
      <c r="T588" s="24"/>
      <c r="U588" s="24"/>
      <c r="V588" s="119"/>
    </row>
    <row r="589" spans="4:22" s="52" customFormat="1" ht="13.5" x14ac:dyDescent="0.4">
      <c r="D589" s="118"/>
      <c r="E589" s="52" t="s">
        <v>475</v>
      </c>
      <c r="G589" s="51"/>
      <c r="H589" s="52" t="str">
        <f>H591&amp;"%に特売（期間割引）設定"</f>
        <v>10%に特売（期間割引）設定</v>
      </c>
      <c r="I589" s="52" t="str">
        <f>I591&amp;"円にレジでの売価変更"</f>
        <v>280円にレジでの売価変更</v>
      </c>
      <c r="K589" s="51"/>
      <c r="L589" s="52" t="str">
        <f>L591&amp;"%に特売（期間割引）設定"</f>
        <v>10%に特売（期間割引）設定</v>
      </c>
      <c r="M589" s="52" t="str">
        <f>M591&amp;"円にレジでの売価変更"</f>
        <v>300円にレジでの売価変更</v>
      </c>
      <c r="N589" s="51"/>
      <c r="O589" s="51"/>
      <c r="P589" s="52" t="str">
        <f>P591&amp;"%に特売（期間割引）設定"</f>
        <v>10%に特売（期間割引）設定</v>
      </c>
      <c r="Q589" s="52" t="str">
        <f>Q591&amp;"円にレジでの売価変更"</f>
        <v>350円にレジでの売価変更</v>
      </c>
      <c r="R589" s="1"/>
      <c r="S589" s="1"/>
      <c r="T589" s="1"/>
      <c r="U589" s="1"/>
      <c r="V589" s="121"/>
    </row>
    <row r="590" spans="4:22" s="51" customFormat="1" ht="13.5" x14ac:dyDescent="0.4">
      <c r="D590" s="118"/>
      <c r="E590" s="122"/>
      <c r="F590" s="122"/>
      <c r="R590" s="24"/>
      <c r="S590" s="24"/>
      <c r="T590" s="24"/>
      <c r="U590" s="24"/>
      <c r="V590" s="119"/>
    </row>
    <row r="591" spans="4:22" s="51" customFormat="1" ht="13.5" x14ac:dyDescent="0.4">
      <c r="D591" s="118"/>
      <c r="E591" s="122" t="s">
        <v>755</v>
      </c>
      <c r="F591" s="122"/>
      <c r="H591" s="52">
        <v>10</v>
      </c>
      <c r="I591" s="52">
        <v>280</v>
      </c>
      <c r="L591" s="52">
        <v>10</v>
      </c>
      <c r="M591" s="52">
        <v>300</v>
      </c>
      <c r="P591" s="52">
        <v>10</v>
      </c>
      <c r="Q591" s="52">
        <v>350</v>
      </c>
      <c r="R591" s="1"/>
      <c r="S591" s="1"/>
      <c r="T591" s="1"/>
      <c r="U591" s="1"/>
      <c r="V591" s="119"/>
    </row>
    <row r="592" spans="4:22" s="51" customFormat="1" ht="13.5" x14ac:dyDescent="0.4">
      <c r="D592" s="118"/>
      <c r="E592" s="52"/>
      <c r="F592" s="52"/>
      <c r="R592" s="24"/>
      <c r="S592" s="24"/>
      <c r="T592" s="24"/>
      <c r="U592" s="24"/>
      <c r="V592" s="119"/>
    </row>
    <row r="593" spans="4:22" s="51" customFormat="1" ht="13.5" x14ac:dyDescent="0.4">
      <c r="D593" s="118"/>
      <c r="E593" s="52"/>
      <c r="F593" s="52"/>
      <c r="R593" s="24"/>
      <c r="S593" s="24"/>
      <c r="T593" s="24"/>
      <c r="U593" s="24"/>
      <c r="V593" s="119"/>
    </row>
    <row r="594" spans="4:22" s="51" customFormat="1" ht="13.5" x14ac:dyDescent="0.4">
      <c r="D594" s="118"/>
      <c r="E594" s="52"/>
      <c r="F594" s="52"/>
      <c r="G594" s="240" t="s">
        <v>476</v>
      </c>
      <c r="I594" s="123" t="s">
        <v>565</v>
      </c>
      <c r="Q594" s="234" t="s">
        <v>625</v>
      </c>
      <c r="R594" s="175"/>
      <c r="S594" s="175"/>
      <c r="T594" s="175"/>
      <c r="U594" s="175"/>
      <c r="V594" s="119"/>
    </row>
    <row r="595" spans="4:22" s="51" customFormat="1" ht="13.5" x14ac:dyDescent="0.4">
      <c r="D595" s="118"/>
      <c r="E595" s="52"/>
      <c r="F595" s="52"/>
      <c r="G595" s="243"/>
      <c r="I595" s="262" t="s">
        <v>629</v>
      </c>
      <c r="K595" s="240" t="s">
        <v>476</v>
      </c>
      <c r="M595" s="234" t="s">
        <v>624</v>
      </c>
      <c r="O595" s="240" t="s">
        <v>476</v>
      </c>
      <c r="Q595" s="235"/>
      <c r="R595" s="175"/>
      <c r="S595" s="175"/>
      <c r="T595" s="175"/>
      <c r="U595" s="175"/>
      <c r="V595" s="119"/>
    </row>
    <row r="596" spans="4:22" s="51" customFormat="1" ht="13.5" customHeight="1" x14ac:dyDescent="0.4">
      <c r="D596" s="118"/>
      <c r="E596" s="52"/>
      <c r="F596" s="52"/>
      <c r="G596" s="243"/>
      <c r="H596" s="259" t="s">
        <v>756</v>
      </c>
      <c r="I596" s="263"/>
      <c r="K596" s="241"/>
      <c r="L596" s="259" t="s">
        <v>756</v>
      </c>
      <c r="M596" s="235"/>
      <c r="O596" s="241"/>
      <c r="P596" s="259" t="s">
        <v>756</v>
      </c>
      <c r="Q596" s="235"/>
      <c r="R596" s="175"/>
      <c r="S596" s="175"/>
      <c r="T596" s="175"/>
      <c r="U596" s="175"/>
      <c r="V596" s="119"/>
    </row>
    <row r="597" spans="4:22" s="51" customFormat="1" ht="13.5" customHeight="1" x14ac:dyDescent="0.4">
      <c r="D597" s="118"/>
      <c r="E597" s="52"/>
      <c r="F597" s="52"/>
      <c r="G597" s="243"/>
      <c r="H597" s="264"/>
      <c r="I597" s="263"/>
      <c r="K597" s="241"/>
      <c r="L597" s="264"/>
      <c r="M597" s="235"/>
      <c r="O597" s="241"/>
      <c r="P597" s="264"/>
      <c r="Q597" s="235"/>
      <c r="R597" s="175"/>
      <c r="S597" s="175"/>
      <c r="T597" s="175"/>
      <c r="U597" s="175"/>
      <c r="V597" s="119"/>
    </row>
    <row r="598" spans="4:22" s="51" customFormat="1" ht="13.5" customHeight="1" x14ac:dyDescent="0.4">
      <c r="D598" s="118"/>
      <c r="E598" s="52"/>
      <c r="F598" s="52"/>
      <c r="G598" s="243"/>
      <c r="H598" s="264"/>
      <c r="I598" s="263"/>
      <c r="K598" s="241"/>
      <c r="L598" s="264"/>
      <c r="M598" s="235"/>
      <c r="O598" s="241"/>
      <c r="P598" s="264"/>
      <c r="Q598" s="235"/>
      <c r="R598" s="175"/>
      <c r="S598" s="175"/>
      <c r="T598" s="175"/>
      <c r="U598" s="175"/>
      <c r="V598" s="119"/>
    </row>
    <row r="599" spans="4:22" s="51" customFormat="1" ht="13.5" customHeight="1" x14ac:dyDescent="0.4">
      <c r="D599" s="118"/>
      <c r="E599" s="52"/>
      <c r="F599" s="52"/>
      <c r="G599" s="243"/>
      <c r="H599" s="264"/>
      <c r="I599" s="263"/>
      <c r="K599" s="241"/>
      <c r="L599" s="264"/>
      <c r="M599" s="235"/>
      <c r="O599" s="241"/>
      <c r="P599" s="264"/>
      <c r="Q599" s="235"/>
      <c r="R599" s="175"/>
      <c r="S599" s="175"/>
      <c r="T599" s="175"/>
      <c r="U599" s="175"/>
      <c r="V599" s="119"/>
    </row>
    <row r="600" spans="4:22" s="51" customFormat="1" ht="13.5" customHeight="1" x14ac:dyDescent="0.4">
      <c r="D600" s="118"/>
      <c r="E600" s="52"/>
      <c r="F600" s="52"/>
      <c r="G600" s="244"/>
      <c r="H600" s="265"/>
      <c r="I600" s="263"/>
      <c r="K600" s="242"/>
      <c r="L600" s="265"/>
      <c r="M600" s="236"/>
      <c r="O600" s="242"/>
      <c r="P600" s="265"/>
      <c r="Q600" s="236"/>
      <c r="R600" s="175"/>
      <c r="S600" s="175"/>
      <c r="T600" s="175"/>
      <c r="U600" s="175"/>
      <c r="V600" s="119"/>
    </row>
    <row r="601" spans="4:22" s="51" customFormat="1" ht="13.5" x14ac:dyDescent="0.4">
      <c r="D601" s="118"/>
      <c r="E601" s="124" t="s">
        <v>379</v>
      </c>
      <c r="F601" s="124"/>
      <c r="G601" s="124"/>
      <c r="H601" s="184"/>
      <c r="I601" s="126">
        <v>20</v>
      </c>
      <c r="K601" s="124"/>
      <c r="L601" s="184"/>
      <c r="M601" s="126">
        <v>0</v>
      </c>
      <c r="O601" s="124"/>
      <c r="P601" s="184"/>
      <c r="Q601" s="126">
        <v>-50</v>
      </c>
      <c r="R601" s="176"/>
      <c r="S601" s="176"/>
      <c r="T601" s="176"/>
      <c r="U601" s="176"/>
      <c r="V601" s="119"/>
    </row>
    <row r="602" spans="4:22" s="51" customFormat="1" ht="13.5" x14ac:dyDescent="0.4">
      <c r="D602" s="118"/>
      <c r="E602" s="124" t="s">
        <v>478</v>
      </c>
      <c r="F602" s="124"/>
      <c r="G602" s="124"/>
      <c r="H602" s="230">
        <v>280</v>
      </c>
      <c r="I602" s="230"/>
      <c r="K602" s="124"/>
      <c r="L602" s="269">
        <v>280</v>
      </c>
      <c r="M602" s="270"/>
      <c r="O602" s="124"/>
      <c r="P602" s="269">
        <v>280</v>
      </c>
      <c r="Q602" s="270"/>
      <c r="R602" s="177"/>
      <c r="S602" s="177"/>
      <c r="T602" s="177"/>
      <c r="U602" s="177"/>
      <c r="V602" s="119"/>
    </row>
    <row r="603" spans="4:22" s="51" customFormat="1" ht="13.5" x14ac:dyDescent="0.4">
      <c r="D603" s="118"/>
      <c r="E603" s="124"/>
      <c r="F603" s="124"/>
      <c r="G603" s="124"/>
      <c r="H603" s="52"/>
      <c r="K603" s="124"/>
      <c r="L603" s="52"/>
      <c r="O603" s="124"/>
      <c r="P603" s="52"/>
      <c r="R603" s="24"/>
      <c r="S603" s="24"/>
      <c r="T603" s="24"/>
      <c r="U603" s="24"/>
      <c r="V603" s="119"/>
    </row>
    <row r="604" spans="4:22" s="51" customFormat="1" ht="13.5" x14ac:dyDescent="0.4">
      <c r="D604" s="118"/>
      <c r="E604" s="124" t="s">
        <v>479</v>
      </c>
      <c r="F604" s="124"/>
      <c r="G604" s="124"/>
      <c r="H604" s="52"/>
      <c r="I604" s="52"/>
      <c r="K604" s="124"/>
      <c r="L604" s="52"/>
      <c r="M604" s="52"/>
      <c r="O604" s="124"/>
      <c r="P604" s="52"/>
      <c r="Q604" s="52"/>
      <c r="R604" s="1"/>
      <c r="S604" s="1"/>
      <c r="T604" s="1"/>
      <c r="U604" s="1"/>
      <c r="V604" s="119"/>
    </row>
    <row r="605" spans="4:22" s="51" customFormat="1" ht="13.5" customHeight="1" x14ac:dyDescent="0.4">
      <c r="D605" s="118"/>
      <c r="E605" s="128" t="s">
        <v>480</v>
      </c>
      <c r="F605" s="128"/>
      <c r="G605" s="124"/>
      <c r="I605" s="136">
        <v>91141</v>
      </c>
      <c r="K605" s="124"/>
      <c r="M605" s="136">
        <v>91141</v>
      </c>
      <c r="O605" s="124"/>
      <c r="Q605" s="136">
        <v>91141</v>
      </c>
      <c r="R605" s="175"/>
      <c r="S605" s="175"/>
      <c r="T605" s="175"/>
      <c r="U605" s="175"/>
      <c r="V605" s="119"/>
    </row>
    <row r="606" spans="4:22" s="51" customFormat="1" ht="13.5" customHeight="1" x14ac:dyDescent="0.4">
      <c r="D606" s="118"/>
      <c r="E606" s="128" t="s">
        <v>481</v>
      </c>
      <c r="F606" s="128"/>
      <c r="G606" s="124"/>
      <c r="I606" s="135">
        <v>0</v>
      </c>
      <c r="K606" s="124"/>
      <c r="M606" s="135">
        <v>0</v>
      </c>
      <c r="O606" s="124"/>
      <c r="Q606" s="135">
        <v>0</v>
      </c>
      <c r="R606" s="177"/>
      <c r="S606" s="177"/>
      <c r="T606" s="177"/>
      <c r="U606" s="177"/>
      <c r="V606" s="119"/>
    </row>
    <row r="607" spans="4:22" s="51" customFormat="1" ht="13.5" x14ac:dyDescent="0.4">
      <c r="D607" s="118"/>
      <c r="E607" s="128" t="s">
        <v>482</v>
      </c>
      <c r="F607" s="128"/>
      <c r="G607" s="124"/>
      <c r="I607" s="169" t="s">
        <v>731</v>
      </c>
      <c r="K607" s="124"/>
      <c r="M607" s="169" t="s">
        <v>731</v>
      </c>
      <c r="O607" s="124"/>
      <c r="Q607" s="135" t="s">
        <v>731</v>
      </c>
      <c r="R607" s="177"/>
      <c r="S607" s="177"/>
      <c r="T607" s="177"/>
      <c r="U607" s="177"/>
      <c r="V607" s="119"/>
    </row>
    <row r="608" spans="4:22" s="51" customFormat="1" ht="27" x14ac:dyDescent="0.4">
      <c r="D608" s="118"/>
      <c r="E608" s="124" t="s">
        <v>379</v>
      </c>
      <c r="F608" s="124"/>
      <c r="G608" s="124"/>
      <c r="I608" s="137" t="s">
        <v>630</v>
      </c>
      <c r="K608" s="124"/>
      <c r="M608" s="137" t="s">
        <v>631</v>
      </c>
      <c r="O608" s="124"/>
      <c r="Q608" s="150" t="s">
        <v>626</v>
      </c>
      <c r="R608" s="178"/>
      <c r="S608" s="178"/>
      <c r="T608" s="178"/>
      <c r="U608" s="178"/>
      <c r="V608" s="119"/>
    </row>
    <row r="609" spans="4:22" s="51" customFormat="1" ht="13.5" x14ac:dyDescent="0.4">
      <c r="D609" s="118"/>
      <c r="E609" s="120" t="s">
        <v>761</v>
      </c>
      <c r="F609" s="124"/>
      <c r="G609" s="124"/>
      <c r="I609" s="137"/>
      <c r="K609" s="124"/>
      <c r="M609" s="137"/>
      <c r="O609" s="124"/>
      <c r="Q609" s="150"/>
      <c r="R609" s="178"/>
      <c r="S609" s="178"/>
      <c r="T609" s="178"/>
      <c r="U609" s="178"/>
      <c r="V609" s="119"/>
    </row>
    <row r="610" spans="4:22" s="51" customFormat="1" ht="14.25" thickBot="1" x14ac:dyDescent="0.45">
      <c r="D610" s="129"/>
      <c r="E610" s="130"/>
      <c r="F610" s="130"/>
      <c r="G610" s="130"/>
      <c r="H610" s="130"/>
      <c r="I610" s="131"/>
      <c r="J610" s="132"/>
      <c r="K610" s="132"/>
      <c r="L610" s="132"/>
      <c r="M610" s="132"/>
      <c r="N610" s="132"/>
      <c r="O610" s="132"/>
      <c r="P610" s="132"/>
      <c r="Q610" s="132"/>
      <c r="R610" s="174"/>
      <c r="S610" s="174"/>
      <c r="T610" s="174"/>
      <c r="U610" s="174"/>
      <c r="V610" s="133"/>
    </row>
    <row r="611" spans="4:22" s="51" customFormat="1" ht="13.5" x14ac:dyDescent="0.4">
      <c r="D611" s="114" t="s">
        <v>474</v>
      </c>
      <c r="E611" s="115"/>
      <c r="F611" s="115"/>
      <c r="G611" s="115"/>
      <c r="H611" s="115"/>
      <c r="I611" s="115"/>
      <c r="J611" s="116"/>
      <c r="K611" s="116"/>
      <c r="L611" s="116"/>
      <c r="M611" s="116"/>
      <c r="N611" s="116"/>
      <c r="O611" s="116"/>
      <c r="P611" s="116"/>
      <c r="Q611" s="116"/>
      <c r="R611" s="173"/>
      <c r="S611" s="173"/>
      <c r="T611" s="173"/>
      <c r="U611" s="173"/>
      <c r="V611" s="117"/>
    </row>
    <row r="612" spans="4:22" s="51" customFormat="1" ht="13.5" x14ac:dyDescent="0.4">
      <c r="D612" s="118">
        <v>25</v>
      </c>
      <c r="E612" s="14" t="s">
        <v>685</v>
      </c>
      <c r="F612" s="14"/>
      <c r="G612" s="14"/>
      <c r="H612" s="52"/>
      <c r="I612" s="52"/>
      <c r="R612" s="24"/>
      <c r="S612" s="24"/>
      <c r="T612" s="24"/>
      <c r="U612" s="24"/>
      <c r="V612" s="119"/>
    </row>
    <row r="613" spans="4:22" s="51" customFormat="1" ht="13.5" x14ac:dyDescent="0.4">
      <c r="D613" s="118"/>
      <c r="E613" s="14"/>
      <c r="F613" s="14"/>
      <c r="G613" s="14"/>
      <c r="H613" s="52"/>
      <c r="I613" s="52"/>
      <c r="R613" s="24"/>
      <c r="S613" s="24"/>
      <c r="T613" s="24"/>
      <c r="U613" s="24"/>
      <c r="V613" s="119"/>
    </row>
    <row r="614" spans="4:22" s="52" customFormat="1" ht="13.5" x14ac:dyDescent="0.4">
      <c r="D614" s="118"/>
      <c r="E614" s="52" t="s">
        <v>568</v>
      </c>
      <c r="H614" s="52" t="str">
        <f>"2個"&amp;H617&amp;"円にミックスマッチ設定"</f>
        <v>2個500円にミックスマッチ設定</v>
      </c>
      <c r="I614" s="52" t="str">
        <f>I616&amp;"円にレジでの売価変更"</f>
        <v>200円にレジでの売価変更</v>
      </c>
      <c r="L614" s="52" t="str">
        <f>"2個"&amp;L617&amp;"円にミックスマッチ設定"</f>
        <v>2個500円にミックスマッチ設定</v>
      </c>
      <c r="M614" s="52" t="str">
        <f>M616&amp;"円にレジでの売価変更"</f>
        <v>250円にレジでの売価変更</v>
      </c>
      <c r="P614" s="52" t="str">
        <f>"2個"&amp;P617&amp;"円にミックスマッチ設定"</f>
        <v>2個500円にミックスマッチ設定</v>
      </c>
      <c r="Q614" s="52" t="str">
        <f>Q616&amp;"円にレジでの売価変更"</f>
        <v>300円にレジでの売価変更</v>
      </c>
      <c r="R614" s="1"/>
      <c r="T614" s="52" t="str">
        <f>"2個"&amp;T617&amp;"円にミックスマッチ設定"</f>
        <v>2個500円にミックスマッチ設定</v>
      </c>
      <c r="U614" s="52" t="str">
        <f>U617&amp;"円にレジでの売価変更"</f>
        <v>700円にレジでの売価変更</v>
      </c>
      <c r="V614" s="121"/>
    </row>
    <row r="615" spans="4:22" s="51" customFormat="1" ht="13.5" x14ac:dyDescent="0.4">
      <c r="D615" s="118"/>
      <c r="E615" s="14"/>
      <c r="G615" s="14"/>
      <c r="H615" s="52"/>
      <c r="K615" s="14"/>
      <c r="L615" s="52"/>
      <c r="R615" s="24"/>
      <c r="V615" s="119"/>
    </row>
    <row r="616" spans="4:22" s="51" customFormat="1" ht="13.5" x14ac:dyDescent="0.4">
      <c r="D616" s="118"/>
      <c r="E616" s="122" t="s">
        <v>574</v>
      </c>
      <c r="F616" s="52"/>
      <c r="G616" s="52"/>
      <c r="H616" s="52">
        <v>250</v>
      </c>
      <c r="I616" s="52">
        <v>200</v>
      </c>
      <c r="K616" s="52"/>
      <c r="L616" s="52">
        <v>250</v>
      </c>
      <c r="M616" s="52">
        <v>250</v>
      </c>
      <c r="P616" s="52">
        <v>250</v>
      </c>
      <c r="Q616" s="52">
        <v>300</v>
      </c>
      <c r="R616" s="1"/>
      <c r="T616" s="52">
        <v>250</v>
      </c>
      <c r="U616" s="52">
        <v>350</v>
      </c>
      <c r="V616" s="119"/>
    </row>
    <row r="617" spans="4:22" s="51" customFormat="1" ht="13.5" x14ac:dyDescent="0.4">
      <c r="D617" s="118"/>
      <c r="E617" s="122" t="s">
        <v>575</v>
      </c>
      <c r="F617" s="52"/>
      <c r="G617" s="52"/>
      <c r="H617" s="52">
        <v>500</v>
      </c>
      <c r="I617" s="52">
        <v>400</v>
      </c>
      <c r="K617" s="52"/>
      <c r="L617" s="52">
        <v>500</v>
      </c>
      <c r="M617" s="52">
        <v>500</v>
      </c>
      <c r="P617" s="52">
        <v>500</v>
      </c>
      <c r="Q617" s="52">
        <v>600</v>
      </c>
      <c r="R617" s="1"/>
      <c r="T617" s="52">
        <v>500</v>
      </c>
      <c r="U617" s="52">
        <v>700</v>
      </c>
      <c r="V617" s="119"/>
    </row>
    <row r="618" spans="4:22" s="51" customFormat="1" ht="13.5" x14ac:dyDescent="0.4">
      <c r="D618" s="118"/>
      <c r="E618" s="52"/>
      <c r="F618" s="52"/>
      <c r="G618" s="52"/>
      <c r="H618" s="52"/>
      <c r="K618" s="52"/>
      <c r="L618" s="52"/>
      <c r="P618" s="52"/>
      <c r="R618" s="24"/>
      <c r="T618" s="52"/>
      <c r="V618" s="119"/>
    </row>
    <row r="619" spans="4:22" s="51" customFormat="1" ht="13.5" customHeight="1" x14ac:dyDescent="0.4">
      <c r="D619" s="118"/>
      <c r="E619" s="52"/>
      <c r="F619" s="52"/>
      <c r="G619" s="52"/>
      <c r="I619" s="181"/>
      <c r="K619" s="52"/>
      <c r="P619" s="52"/>
      <c r="R619" s="175"/>
      <c r="S619" s="52"/>
      <c r="T619" s="52"/>
      <c r="U619" s="247" t="s">
        <v>634</v>
      </c>
      <c r="V619" s="119"/>
    </row>
    <row r="620" spans="4:22" s="51" customFormat="1" ht="13.5" customHeight="1" x14ac:dyDescent="0.4">
      <c r="D620" s="118"/>
      <c r="E620" s="52"/>
      <c r="F620" s="52"/>
      <c r="G620" s="240" t="s">
        <v>570</v>
      </c>
      <c r="H620" s="123" t="s">
        <v>569</v>
      </c>
      <c r="I620" s="258" t="s">
        <v>577</v>
      </c>
      <c r="K620" s="240" t="s">
        <v>570</v>
      </c>
      <c r="L620" s="123" t="s">
        <v>569</v>
      </c>
      <c r="M620" s="123" t="s">
        <v>569</v>
      </c>
      <c r="O620" s="240" t="s">
        <v>570</v>
      </c>
      <c r="P620" s="123" t="s">
        <v>569</v>
      </c>
      <c r="Q620" s="247" t="s">
        <v>635</v>
      </c>
      <c r="R620" s="180"/>
      <c r="S620" s="240" t="s">
        <v>570</v>
      </c>
      <c r="T620" s="123" t="s">
        <v>569</v>
      </c>
      <c r="U620" s="248"/>
      <c r="V620" s="119"/>
    </row>
    <row r="621" spans="4:22" s="51" customFormat="1" ht="13.5" customHeight="1" x14ac:dyDescent="0.4">
      <c r="D621" s="118"/>
      <c r="E621" s="52"/>
      <c r="F621" s="52"/>
      <c r="G621" s="241"/>
      <c r="H621" s="252" t="s">
        <v>681</v>
      </c>
      <c r="I621" s="249"/>
      <c r="K621" s="241"/>
      <c r="L621" s="252" t="s">
        <v>681</v>
      </c>
      <c r="M621" s="247" t="s">
        <v>636</v>
      </c>
      <c r="O621" s="241"/>
      <c r="P621" s="256" t="s">
        <v>681</v>
      </c>
      <c r="Q621" s="250"/>
      <c r="R621" s="180"/>
      <c r="S621" s="241"/>
      <c r="T621" s="256" t="s">
        <v>681</v>
      </c>
      <c r="U621" s="248"/>
      <c r="V621" s="119"/>
    </row>
    <row r="622" spans="4:22" s="51" customFormat="1" ht="13.5" customHeight="1" x14ac:dyDescent="0.4">
      <c r="D622" s="118"/>
      <c r="E622" s="52"/>
      <c r="F622" s="52"/>
      <c r="G622" s="241"/>
      <c r="H622" s="253"/>
      <c r="I622" s="247" t="s">
        <v>632</v>
      </c>
      <c r="K622" s="241"/>
      <c r="L622" s="253"/>
      <c r="M622" s="250"/>
      <c r="O622" s="241"/>
      <c r="P622" s="257"/>
      <c r="Q622" s="250"/>
      <c r="R622" s="180"/>
      <c r="S622" s="241"/>
      <c r="T622" s="257"/>
      <c r="U622" s="248"/>
      <c r="V622" s="119"/>
    </row>
    <row r="623" spans="4:22" s="51" customFormat="1" ht="13.5" customHeight="1" x14ac:dyDescent="0.4">
      <c r="D623" s="118"/>
      <c r="E623" s="52"/>
      <c r="F623" s="52"/>
      <c r="G623" s="241"/>
      <c r="H623" s="253"/>
      <c r="I623" s="250"/>
      <c r="K623" s="241"/>
      <c r="L623" s="253"/>
      <c r="M623" s="250"/>
      <c r="O623" s="241"/>
      <c r="P623" s="257"/>
      <c r="Q623" s="250"/>
      <c r="R623" s="180"/>
      <c r="S623" s="241"/>
      <c r="T623" s="257"/>
      <c r="U623" s="248"/>
      <c r="V623" s="119"/>
    </row>
    <row r="624" spans="4:22" s="51" customFormat="1" ht="13.5" customHeight="1" x14ac:dyDescent="0.4">
      <c r="D624" s="118"/>
      <c r="E624" s="52"/>
      <c r="F624" s="52"/>
      <c r="G624" s="241"/>
      <c r="H624" s="253"/>
      <c r="I624" s="250"/>
      <c r="K624" s="241"/>
      <c r="L624" s="253"/>
      <c r="M624" s="250"/>
      <c r="O624" s="241"/>
      <c r="P624" s="257"/>
      <c r="Q624" s="250"/>
      <c r="R624" s="180"/>
      <c r="S624" s="241"/>
      <c r="T624" s="257"/>
      <c r="U624" s="248"/>
      <c r="V624" s="119"/>
    </row>
    <row r="625" spans="4:22" s="51" customFormat="1" ht="13.5" customHeight="1" x14ac:dyDescent="0.4">
      <c r="D625" s="118"/>
      <c r="E625" s="52"/>
      <c r="F625" s="52"/>
      <c r="G625" s="242"/>
      <c r="H625" s="254"/>
      <c r="I625" s="251"/>
      <c r="K625" s="242"/>
      <c r="L625" s="254"/>
      <c r="M625" s="251"/>
      <c r="O625" s="242"/>
      <c r="P625" s="257"/>
      <c r="Q625" s="251"/>
      <c r="R625" s="180"/>
      <c r="S625" s="242"/>
      <c r="T625" s="257"/>
      <c r="U625" s="249"/>
      <c r="V625" s="119"/>
    </row>
    <row r="626" spans="4:22" s="51" customFormat="1" ht="13.5" x14ac:dyDescent="0.4">
      <c r="D626" s="118"/>
      <c r="E626" s="124" t="s">
        <v>379</v>
      </c>
      <c r="F626" s="52"/>
      <c r="G626" s="124"/>
      <c r="H626" s="155">
        <v>100</v>
      </c>
      <c r="I626" s="155">
        <v>200</v>
      </c>
      <c r="K626" s="124"/>
      <c r="L626" s="155">
        <v>100</v>
      </c>
      <c r="M626" s="155">
        <v>100</v>
      </c>
      <c r="P626" s="155">
        <v>100</v>
      </c>
      <c r="Q626" s="155"/>
      <c r="R626" s="177"/>
      <c r="T626" s="155">
        <v>100</v>
      </c>
      <c r="U626" s="155"/>
      <c r="V626" s="119"/>
    </row>
    <row r="627" spans="4:22" s="51" customFormat="1" ht="13.5" x14ac:dyDescent="0.4">
      <c r="D627" s="118"/>
      <c r="E627" s="124" t="s">
        <v>571</v>
      </c>
      <c r="F627" s="124"/>
      <c r="G627" s="124"/>
      <c r="H627" s="230">
        <v>400</v>
      </c>
      <c r="I627" s="230"/>
      <c r="K627" s="124"/>
      <c r="L627" s="230">
        <v>400</v>
      </c>
      <c r="M627" s="230"/>
      <c r="P627" s="230">
        <v>500</v>
      </c>
      <c r="Q627" s="230"/>
      <c r="R627" s="177"/>
      <c r="T627" s="230">
        <v>600</v>
      </c>
      <c r="U627" s="230"/>
      <c r="V627" s="119"/>
    </row>
    <row r="628" spans="4:22" s="51" customFormat="1" ht="13.5" x14ac:dyDescent="0.4">
      <c r="D628" s="118"/>
      <c r="E628" s="124"/>
      <c r="F628" s="124"/>
      <c r="G628" s="124"/>
      <c r="H628" s="52"/>
      <c r="I628" s="52"/>
      <c r="K628" s="124"/>
      <c r="L628" s="52"/>
      <c r="M628" s="52"/>
      <c r="P628" s="52"/>
      <c r="Q628" s="52"/>
      <c r="R628" s="1"/>
      <c r="T628" s="171"/>
      <c r="U628" s="52"/>
      <c r="V628" s="119"/>
    </row>
    <row r="629" spans="4:22" s="51" customFormat="1" ht="13.5" x14ac:dyDescent="0.4">
      <c r="D629" s="118"/>
      <c r="E629" s="124" t="s">
        <v>479</v>
      </c>
      <c r="F629" s="124"/>
      <c r="G629" s="124"/>
      <c r="H629" s="52"/>
      <c r="I629" s="52"/>
      <c r="K629" s="124"/>
      <c r="L629" s="52"/>
      <c r="M629" s="52"/>
      <c r="P629" s="52"/>
      <c r="Q629" s="52"/>
      <c r="R629" s="1"/>
      <c r="T629" s="52"/>
      <c r="U629" s="52"/>
      <c r="V629" s="119"/>
    </row>
    <row r="630" spans="4:22" s="51" customFormat="1" ht="13.5" x14ac:dyDescent="0.4">
      <c r="D630" s="118"/>
      <c r="E630" s="128" t="s">
        <v>480</v>
      </c>
      <c r="F630" s="52"/>
      <c r="G630" s="124"/>
      <c r="H630" s="52">
        <v>91316</v>
      </c>
      <c r="I630" s="52">
        <v>91220</v>
      </c>
      <c r="K630" s="124"/>
      <c r="L630" s="52">
        <v>91316</v>
      </c>
      <c r="M630" s="52">
        <v>91220</v>
      </c>
      <c r="P630" s="52">
        <v>91316</v>
      </c>
      <c r="Q630" s="231" t="s">
        <v>487</v>
      </c>
      <c r="R630" s="177"/>
      <c r="T630" s="52">
        <v>91316</v>
      </c>
      <c r="U630" s="231" t="s">
        <v>487</v>
      </c>
      <c r="V630" s="119"/>
    </row>
    <row r="631" spans="4:22" s="51" customFormat="1" ht="13.5" x14ac:dyDescent="0.4">
      <c r="D631" s="118"/>
      <c r="E631" s="128" t="s">
        <v>481</v>
      </c>
      <c r="F631" s="52"/>
      <c r="G631" s="124"/>
      <c r="H631" s="52">
        <v>0</v>
      </c>
      <c r="I631" s="52">
        <v>6</v>
      </c>
      <c r="K631" s="124"/>
      <c r="L631" s="52">
        <v>0</v>
      </c>
      <c r="M631" s="52">
        <v>6</v>
      </c>
      <c r="P631" s="52">
        <v>0</v>
      </c>
      <c r="Q631" s="232"/>
      <c r="R631" s="177"/>
      <c r="T631" s="52">
        <v>0</v>
      </c>
      <c r="U631" s="232"/>
      <c r="V631" s="119"/>
    </row>
    <row r="632" spans="4:22" s="51" customFormat="1" ht="13.5" x14ac:dyDescent="0.4">
      <c r="D632" s="118"/>
      <c r="E632" s="128" t="s">
        <v>482</v>
      </c>
      <c r="F632" s="52"/>
      <c r="G632" s="124"/>
      <c r="H632" s="124" t="s">
        <v>572</v>
      </c>
      <c r="I632" s="124" t="s">
        <v>468</v>
      </c>
      <c r="K632" s="124"/>
      <c r="L632" s="124" t="s">
        <v>572</v>
      </c>
      <c r="M632" s="124" t="s">
        <v>468</v>
      </c>
      <c r="P632" s="124" t="s">
        <v>572</v>
      </c>
      <c r="Q632" s="232"/>
      <c r="R632" s="177"/>
      <c r="T632" s="124" t="s">
        <v>572</v>
      </c>
      <c r="U632" s="232"/>
      <c r="V632" s="119"/>
    </row>
    <row r="633" spans="4:22" s="51" customFormat="1" ht="27" x14ac:dyDescent="0.4">
      <c r="D633" s="118"/>
      <c r="E633" s="124" t="s">
        <v>379</v>
      </c>
      <c r="F633" s="52"/>
      <c r="G633" s="124"/>
      <c r="H633" s="124" t="s">
        <v>576</v>
      </c>
      <c r="I633" s="124" t="s">
        <v>637</v>
      </c>
      <c r="K633" s="124"/>
      <c r="L633" s="124" t="s">
        <v>576</v>
      </c>
      <c r="M633" s="124" t="s">
        <v>637</v>
      </c>
      <c r="P633" s="124" t="s">
        <v>573</v>
      </c>
      <c r="Q633" s="233"/>
      <c r="R633" s="177"/>
      <c r="T633" s="124" t="s">
        <v>573</v>
      </c>
      <c r="U633" s="233"/>
      <c r="V633" s="119"/>
    </row>
    <row r="634" spans="4:22" s="51" customFormat="1" ht="13.5" x14ac:dyDescent="0.4">
      <c r="D634" s="118"/>
      <c r="E634" s="120"/>
      <c r="F634" s="120"/>
      <c r="G634" s="124"/>
      <c r="H634" s="52"/>
      <c r="I634" s="52"/>
      <c r="L634" s="52"/>
      <c r="M634" s="52"/>
      <c r="R634" s="1"/>
      <c r="T634" s="52"/>
      <c r="U634" s="52"/>
      <c r="V634" s="119"/>
    </row>
    <row r="635" spans="4:22" s="51" customFormat="1" ht="14.25" thickBot="1" x14ac:dyDescent="0.45">
      <c r="D635" s="129"/>
      <c r="E635" s="130"/>
      <c r="F635" s="130"/>
      <c r="G635" s="130"/>
      <c r="H635" s="130"/>
      <c r="I635" s="130"/>
      <c r="J635" s="132"/>
      <c r="K635" s="132"/>
      <c r="L635" s="132"/>
      <c r="M635" s="132"/>
      <c r="N635" s="132"/>
      <c r="O635" s="132"/>
      <c r="P635" s="132"/>
      <c r="Q635" s="132"/>
      <c r="R635" s="174"/>
      <c r="S635" s="174"/>
      <c r="T635" s="174"/>
      <c r="U635" s="174"/>
      <c r="V635" s="133"/>
    </row>
    <row r="636" spans="4:22" s="51" customFormat="1" ht="13.5" x14ac:dyDescent="0.4">
      <c r="D636" s="114" t="s">
        <v>474</v>
      </c>
      <c r="E636" s="115"/>
      <c r="F636" s="115"/>
      <c r="G636" s="115"/>
      <c r="H636" s="115"/>
      <c r="I636" s="115"/>
      <c r="J636" s="116"/>
      <c r="K636" s="116"/>
      <c r="L636" s="116"/>
      <c r="M636" s="116"/>
      <c r="N636" s="116"/>
      <c r="O636" s="116"/>
      <c r="P636" s="116"/>
      <c r="Q636" s="116"/>
      <c r="R636" s="173"/>
      <c r="S636" s="173"/>
      <c r="T636" s="173"/>
      <c r="U636" s="173"/>
      <c r="V636" s="117"/>
    </row>
    <row r="637" spans="4:22" s="51" customFormat="1" ht="13.5" x14ac:dyDescent="0.4">
      <c r="D637" s="118">
        <v>26</v>
      </c>
      <c r="E637" s="14" t="s">
        <v>686</v>
      </c>
      <c r="F637" s="14"/>
      <c r="G637" s="14"/>
      <c r="H637" s="52"/>
      <c r="I637" s="52"/>
      <c r="R637" s="24"/>
      <c r="S637" s="24"/>
      <c r="T637" s="24"/>
      <c r="U637" s="24"/>
      <c r="V637" s="119"/>
    </row>
    <row r="638" spans="4:22" s="51" customFormat="1" ht="13.5" x14ac:dyDescent="0.4">
      <c r="D638" s="118"/>
      <c r="E638" s="14"/>
      <c r="F638" s="14"/>
      <c r="G638" s="14"/>
      <c r="H638" s="52"/>
      <c r="I638" s="52"/>
      <c r="R638" s="24"/>
      <c r="S638" s="24"/>
      <c r="T638" s="24"/>
      <c r="U638" s="24"/>
      <c r="V638" s="119"/>
    </row>
    <row r="639" spans="4:22" s="52" customFormat="1" ht="13.5" x14ac:dyDescent="0.4">
      <c r="D639" s="118"/>
      <c r="E639" s="52" t="s">
        <v>568</v>
      </c>
      <c r="H639" s="52" t="str">
        <f>"2個"&amp;H642&amp;"円にミックスマッチ設定"</f>
        <v>2個600円にミックスマッチ設定</v>
      </c>
      <c r="I639" s="52" t="str">
        <f>I641&amp;"円にレジでの売価変更"</f>
        <v>250円にレジでの売価変更</v>
      </c>
      <c r="L639" s="52" t="str">
        <f>"2個"&amp;L642&amp;"円にミックスマッチ設定"</f>
        <v>2個600円にミックスマッチ設定</v>
      </c>
      <c r="M639" s="52" t="str">
        <f>M641&amp;"円にレジでの売価変更"</f>
        <v>300円にレジでの売価変更</v>
      </c>
      <c r="P639" s="52" t="str">
        <f>"2個"&amp;P642&amp;"円にミックスマッチ設定"</f>
        <v>2個600円にミックスマッチ設定</v>
      </c>
      <c r="Q639" s="52" t="str">
        <f>Q641&amp;"円にレジでの売価変更"</f>
        <v>350円にレジでの売価変更</v>
      </c>
      <c r="R639" s="1"/>
      <c r="S639" s="1"/>
      <c r="T639" s="1"/>
      <c r="U639" s="1"/>
      <c r="V639" s="121"/>
    </row>
    <row r="640" spans="4:22" s="51" customFormat="1" ht="13.5" x14ac:dyDescent="0.4">
      <c r="D640" s="118"/>
      <c r="E640" s="14"/>
      <c r="G640" s="14"/>
      <c r="H640" s="52"/>
      <c r="L640" s="52"/>
      <c r="P640" s="52"/>
      <c r="R640" s="24"/>
      <c r="S640" s="24"/>
      <c r="T640" s="24"/>
      <c r="U640" s="24"/>
      <c r="V640" s="119"/>
    </row>
    <row r="641" spans="4:22" s="51" customFormat="1" ht="13.5" x14ac:dyDescent="0.4">
      <c r="D641" s="118"/>
      <c r="E641" s="122" t="s">
        <v>574</v>
      </c>
      <c r="F641" s="52"/>
      <c r="G641" s="52"/>
      <c r="H641" s="52">
        <v>300</v>
      </c>
      <c r="I641" s="52">
        <v>250</v>
      </c>
      <c r="L641" s="52">
        <v>300</v>
      </c>
      <c r="M641" s="52">
        <v>300</v>
      </c>
      <c r="P641" s="52">
        <v>300</v>
      </c>
      <c r="Q641" s="52">
        <v>350</v>
      </c>
      <c r="R641" s="1"/>
      <c r="S641" s="1"/>
      <c r="T641" s="1"/>
      <c r="U641" s="1"/>
      <c r="V641" s="119"/>
    </row>
    <row r="642" spans="4:22" s="51" customFormat="1" ht="13.5" x14ac:dyDescent="0.4">
      <c r="D642" s="118"/>
      <c r="E642" s="122" t="s">
        <v>575</v>
      </c>
      <c r="F642" s="52"/>
      <c r="G642" s="52"/>
      <c r="H642" s="52">
        <v>600</v>
      </c>
      <c r="I642" s="52">
        <v>500</v>
      </c>
      <c r="L642" s="52">
        <v>600</v>
      </c>
      <c r="M642" s="52">
        <v>600</v>
      </c>
      <c r="P642" s="52">
        <v>600</v>
      </c>
      <c r="Q642" s="52">
        <v>700</v>
      </c>
      <c r="R642" s="1"/>
      <c r="S642" s="1"/>
      <c r="T642" s="1"/>
      <c r="U642" s="1"/>
      <c r="V642" s="119"/>
    </row>
    <row r="643" spans="4:22" s="51" customFormat="1" ht="13.5" x14ac:dyDescent="0.4">
      <c r="D643" s="118"/>
      <c r="E643" s="52"/>
      <c r="F643" s="52"/>
      <c r="G643" s="52"/>
      <c r="H643" s="52"/>
      <c r="L643" s="52"/>
      <c r="P643" s="52"/>
      <c r="R643" s="24"/>
      <c r="S643" s="24"/>
      <c r="T643" s="24"/>
      <c r="U643" s="24"/>
      <c r="V643" s="119"/>
    </row>
    <row r="644" spans="4:22" s="51" customFormat="1" ht="13.5" x14ac:dyDescent="0.4">
      <c r="D644" s="118"/>
      <c r="E644" s="52"/>
      <c r="F644" s="52"/>
      <c r="G644" s="52"/>
      <c r="K644" s="52"/>
      <c r="O644" s="52"/>
      <c r="P644" s="123" t="s">
        <v>569</v>
      </c>
      <c r="Q644" s="247" t="s">
        <v>634</v>
      </c>
      <c r="R644" s="175"/>
      <c r="S644" s="175"/>
      <c r="T644" s="175"/>
      <c r="U644" s="175"/>
      <c r="V644" s="119"/>
    </row>
    <row r="645" spans="4:22" s="51" customFormat="1" ht="13.5" customHeight="1" x14ac:dyDescent="0.4">
      <c r="D645" s="118"/>
      <c r="E645" s="52"/>
      <c r="F645" s="52"/>
      <c r="G645" s="240" t="s">
        <v>570</v>
      </c>
      <c r="H645" s="239" t="s">
        <v>578</v>
      </c>
      <c r="I645" s="123" t="s">
        <v>569</v>
      </c>
      <c r="K645" s="240" t="s">
        <v>570</v>
      </c>
      <c r="L645" s="239" t="s">
        <v>578</v>
      </c>
      <c r="M645" s="247" t="s">
        <v>635</v>
      </c>
      <c r="O645" s="240" t="s">
        <v>570</v>
      </c>
      <c r="P645" s="252" t="s">
        <v>682</v>
      </c>
      <c r="Q645" s="248"/>
      <c r="R645" s="180"/>
      <c r="S645" s="180"/>
      <c r="T645" s="180"/>
      <c r="U645" s="180"/>
      <c r="V645" s="119"/>
    </row>
    <row r="646" spans="4:22" s="51" customFormat="1" ht="13.5" customHeight="1" x14ac:dyDescent="0.4">
      <c r="D646" s="118"/>
      <c r="E646" s="52"/>
      <c r="F646" s="52"/>
      <c r="G646" s="241"/>
      <c r="H646" s="245"/>
      <c r="I646" s="247" t="s">
        <v>636</v>
      </c>
      <c r="K646" s="241"/>
      <c r="L646" s="245"/>
      <c r="M646" s="250"/>
      <c r="O646" s="241"/>
      <c r="P646" s="253"/>
      <c r="Q646" s="248"/>
      <c r="R646" s="180"/>
      <c r="S646" s="180"/>
      <c r="T646" s="180"/>
      <c r="U646" s="180"/>
      <c r="V646" s="119"/>
    </row>
    <row r="647" spans="4:22" s="51" customFormat="1" ht="13.5" customHeight="1" x14ac:dyDescent="0.4">
      <c r="D647" s="118"/>
      <c r="E647" s="52"/>
      <c r="F647" s="52"/>
      <c r="G647" s="241"/>
      <c r="H647" s="245"/>
      <c r="I647" s="250"/>
      <c r="K647" s="241"/>
      <c r="L647" s="245"/>
      <c r="M647" s="250"/>
      <c r="O647" s="241"/>
      <c r="P647" s="253"/>
      <c r="Q647" s="248"/>
      <c r="R647" s="180"/>
      <c r="S647" s="180"/>
      <c r="T647" s="180"/>
      <c r="U647" s="180"/>
      <c r="V647" s="119"/>
    </row>
    <row r="648" spans="4:22" s="51" customFormat="1" ht="13.5" customHeight="1" x14ac:dyDescent="0.4">
      <c r="D648" s="118"/>
      <c r="E648" s="52"/>
      <c r="F648" s="52"/>
      <c r="G648" s="241"/>
      <c r="H648" s="245"/>
      <c r="I648" s="250"/>
      <c r="K648" s="241"/>
      <c r="L648" s="245"/>
      <c r="M648" s="250"/>
      <c r="O648" s="241"/>
      <c r="P648" s="253"/>
      <c r="Q648" s="248"/>
      <c r="R648" s="180"/>
      <c r="S648" s="180"/>
      <c r="T648" s="180"/>
      <c r="U648" s="180"/>
      <c r="V648" s="119"/>
    </row>
    <row r="649" spans="4:22" s="51" customFormat="1" ht="13.5" customHeight="1" x14ac:dyDescent="0.4">
      <c r="D649" s="118"/>
      <c r="E649" s="52"/>
      <c r="F649" s="52"/>
      <c r="G649" s="241"/>
      <c r="H649" s="245"/>
      <c r="I649" s="250"/>
      <c r="K649" s="241"/>
      <c r="L649" s="245"/>
      <c r="M649" s="250"/>
      <c r="O649" s="241"/>
      <c r="P649" s="253"/>
      <c r="Q649" s="248"/>
      <c r="R649" s="180"/>
      <c r="S649" s="180"/>
      <c r="T649" s="180"/>
      <c r="U649" s="180"/>
      <c r="V649" s="119"/>
    </row>
    <row r="650" spans="4:22" s="51" customFormat="1" ht="13.5" customHeight="1" x14ac:dyDescent="0.4">
      <c r="D650" s="118"/>
      <c r="E650" s="52"/>
      <c r="F650" s="52"/>
      <c r="G650" s="242"/>
      <c r="H650" s="246"/>
      <c r="I650" s="251"/>
      <c r="K650" s="242"/>
      <c r="L650" s="246"/>
      <c r="M650" s="251"/>
      <c r="O650" s="242"/>
      <c r="P650" s="254"/>
      <c r="Q650" s="249"/>
      <c r="R650" s="180"/>
      <c r="S650" s="180"/>
      <c r="T650" s="180"/>
      <c r="U650" s="180"/>
      <c r="V650" s="119"/>
    </row>
    <row r="651" spans="4:22" s="51" customFormat="1" ht="13.5" x14ac:dyDescent="0.4">
      <c r="D651" s="118"/>
      <c r="E651" s="124" t="s">
        <v>379</v>
      </c>
      <c r="F651" s="52"/>
      <c r="G651" s="124"/>
      <c r="H651" s="155"/>
      <c r="I651" s="155">
        <v>100</v>
      </c>
      <c r="L651" s="155"/>
      <c r="M651" s="155"/>
      <c r="P651" s="155">
        <v>100</v>
      </c>
      <c r="Q651" s="155"/>
      <c r="R651" s="177"/>
      <c r="S651" s="177"/>
      <c r="T651" s="177"/>
      <c r="U651" s="177"/>
      <c r="V651" s="119"/>
    </row>
    <row r="652" spans="4:22" s="51" customFormat="1" ht="13.5" x14ac:dyDescent="0.4">
      <c r="D652" s="118"/>
      <c r="E652" s="124" t="s">
        <v>571</v>
      </c>
      <c r="F652" s="124"/>
      <c r="G652" s="124"/>
      <c r="H652" s="230">
        <v>400</v>
      </c>
      <c r="I652" s="230"/>
      <c r="L652" s="230">
        <v>500</v>
      </c>
      <c r="M652" s="230"/>
      <c r="P652" s="230">
        <v>600</v>
      </c>
      <c r="Q652" s="230"/>
      <c r="R652" s="177"/>
      <c r="S652" s="177"/>
      <c r="T652" s="177"/>
      <c r="U652" s="177"/>
      <c r="V652" s="119"/>
    </row>
    <row r="653" spans="4:22" s="51" customFormat="1" ht="13.5" x14ac:dyDescent="0.4">
      <c r="D653" s="118"/>
      <c r="E653" s="124"/>
      <c r="F653" s="124"/>
      <c r="G653" s="124"/>
      <c r="H653" s="52"/>
      <c r="I653" s="52"/>
      <c r="L653" s="52"/>
      <c r="M653" s="52"/>
      <c r="P653" s="171"/>
      <c r="Q653" s="52"/>
      <c r="R653" s="1"/>
      <c r="S653" s="1"/>
      <c r="T653" s="1"/>
      <c r="U653" s="1"/>
      <c r="V653" s="119"/>
    </row>
    <row r="654" spans="4:22" s="51" customFormat="1" ht="13.5" x14ac:dyDescent="0.4">
      <c r="D654" s="118"/>
      <c r="E654" s="124" t="s">
        <v>479</v>
      </c>
      <c r="F654" s="124"/>
      <c r="G654" s="124"/>
      <c r="H654" s="52"/>
      <c r="I654" s="52"/>
      <c r="L654" s="52"/>
      <c r="M654" s="52"/>
      <c r="P654" s="52"/>
      <c r="Q654" s="52"/>
      <c r="R654" s="1"/>
      <c r="S654" s="1"/>
      <c r="T654" s="1"/>
      <c r="U654" s="1"/>
      <c r="V654" s="119"/>
    </row>
    <row r="655" spans="4:22" s="51" customFormat="1" ht="13.5" x14ac:dyDescent="0.4">
      <c r="D655" s="118"/>
      <c r="E655" s="128" t="s">
        <v>480</v>
      </c>
      <c r="F655" s="52"/>
      <c r="G655" s="124"/>
      <c r="H655" s="231" t="s">
        <v>487</v>
      </c>
      <c r="I655" s="52">
        <v>91220</v>
      </c>
      <c r="L655" s="231" t="s">
        <v>487</v>
      </c>
      <c r="M655" s="231" t="s">
        <v>487</v>
      </c>
      <c r="P655" s="52">
        <v>91316</v>
      </c>
      <c r="Q655" s="231" t="s">
        <v>487</v>
      </c>
      <c r="R655" s="177"/>
      <c r="S655" s="177"/>
      <c r="T655" s="177"/>
      <c r="U655" s="177"/>
      <c r="V655" s="119"/>
    </row>
    <row r="656" spans="4:22" s="51" customFormat="1" ht="13.5" x14ac:dyDescent="0.4">
      <c r="D656" s="118"/>
      <c r="E656" s="128" t="s">
        <v>481</v>
      </c>
      <c r="F656" s="52"/>
      <c r="G656" s="124"/>
      <c r="H656" s="232"/>
      <c r="I656" s="52">
        <v>6</v>
      </c>
      <c r="L656" s="232"/>
      <c r="M656" s="232"/>
      <c r="P656" s="52">
        <v>0</v>
      </c>
      <c r="Q656" s="232"/>
      <c r="R656" s="177"/>
      <c r="S656" s="177"/>
      <c r="T656" s="177"/>
      <c r="U656" s="177"/>
      <c r="V656" s="119"/>
    </row>
    <row r="657" spans="4:22" s="51" customFormat="1" ht="13.5" x14ac:dyDescent="0.4">
      <c r="D657" s="118"/>
      <c r="E657" s="128" t="s">
        <v>482</v>
      </c>
      <c r="F657" s="52"/>
      <c r="G657" s="124"/>
      <c r="H657" s="232"/>
      <c r="I657" s="124" t="s">
        <v>468</v>
      </c>
      <c r="L657" s="232"/>
      <c r="M657" s="232"/>
      <c r="P657" s="124" t="s">
        <v>572</v>
      </c>
      <c r="Q657" s="232"/>
      <c r="R657" s="177"/>
      <c r="S657" s="177"/>
      <c r="T657" s="177"/>
      <c r="U657" s="177"/>
      <c r="V657" s="119"/>
    </row>
    <row r="658" spans="4:22" s="51" customFormat="1" ht="27" x14ac:dyDescent="0.4">
      <c r="D658" s="118"/>
      <c r="E658" s="124" t="s">
        <v>379</v>
      </c>
      <c r="F658" s="52"/>
      <c r="G658" s="124"/>
      <c r="H658" s="233"/>
      <c r="I658" s="124" t="s">
        <v>637</v>
      </c>
      <c r="L658" s="233"/>
      <c r="M658" s="233"/>
      <c r="P658" s="124" t="s">
        <v>638</v>
      </c>
      <c r="Q658" s="233"/>
      <c r="R658" s="177"/>
      <c r="S658" s="177"/>
      <c r="T658" s="177"/>
      <c r="U658" s="177"/>
      <c r="V658" s="119"/>
    </row>
    <row r="659" spans="4:22" s="51" customFormat="1" ht="14.25" thickBot="1" x14ac:dyDescent="0.45">
      <c r="D659" s="129"/>
      <c r="E659" s="130"/>
      <c r="F659" s="130"/>
      <c r="G659" s="130"/>
      <c r="H659" s="130"/>
      <c r="I659" s="130"/>
      <c r="J659" s="132"/>
      <c r="K659" s="132"/>
      <c r="L659" s="132"/>
      <c r="M659" s="132"/>
      <c r="N659" s="132"/>
      <c r="O659" s="132"/>
      <c r="P659" s="132"/>
      <c r="Q659" s="132"/>
      <c r="R659" s="174"/>
      <c r="S659" s="174"/>
      <c r="T659" s="174"/>
      <c r="U659" s="174"/>
      <c r="V659" s="133"/>
    </row>
    <row r="660" spans="4:22" s="51" customFormat="1" ht="13.5" x14ac:dyDescent="0.4">
      <c r="D660" s="114" t="s">
        <v>474</v>
      </c>
      <c r="E660" s="115"/>
      <c r="F660" s="115"/>
      <c r="G660" s="115"/>
      <c r="H660" s="115"/>
      <c r="I660" s="115"/>
      <c r="J660" s="116"/>
      <c r="K660" s="116"/>
      <c r="L660" s="116"/>
      <c r="M660" s="116"/>
      <c r="N660" s="116"/>
      <c r="O660" s="116"/>
      <c r="P660" s="116"/>
      <c r="Q660" s="116"/>
      <c r="R660" s="173"/>
      <c r="S660" s="173"/>
      <c r="T660" s="173"/>
      <c r="U660" s="173"/>
      <c r="V660" s="117"/>
    </row>
    <row r="661" spans="4:22" s="51" customFormat="1" ht="13.5" x14ac:dyDescent="0.4">
      <c r="D661" s="118">
        <v>27</v>
      </c>
      <c r="E661" s="14" t="s">
        <v>689</v>
      </c>
      <c r="F661" s="14"/>
      <c r="G661" s="14"/>
      <c r="H661" s="52"/>
      <c r="I661" s="52"/>
      <c r="R661" s="24"/>
      <c r="S661" s="24"/>
      <c r="T661" s="24"/>
      <c r="U661" s="24"/>
      <c r="V661" s="119"/>
    </row>
    <row r="662" spans="4:22" s="51" customFormat="1" ht="13.5" x14ac:dyDescent="0.4">
      <c r="D662" s="118"/>
      <c r="E662" s="14"/>
      <c r="F662" s="14"/>
      <c r="G662" s="14"/>
      <c r="H662" s="52"/>
      <c r="I662" s="52"/>
      <c r="R662" s="24"/>
      <c r="S662" s="24"/>
      <c r="T662" s="24"/>
      <c r="U662" s="24"/>
      <c r="V662" s="119"/>
    </row>
    <row r="663" spans="4:22" s="52" customFormat="1" ht="13.5" x14ac:dyDescent="0.4">
      <c r="D663" s="118"/>
      <c r="E663" s="52" t="s">
        <v>568</v>
      </c>
      <c r="H663" s="52" t="str">
        <f>"2個"&amp;H666&amp;"円にミックスマッチ設定"</f>
        <v>2個700円にミックスマッチ設定</v>
      </c>
      <c r="I663" s="52" t="str">
        <f>I665&amp;"円にレジでの売価変更"</f>
        <v>250円にレジでの売価変更</v>
      </c>
      <c r="L663" s="52" t="str">
        <f>"2個"&amp;L666&amp;"円にミックスマッチ設定"</f>
        <v>2個700円にミックスマッチ設定</v>
      </c>
      <c r="M663" s="52" t="str">
        <f>M665&amp;"円にレジでの売価変更"</f>
        <v>325円にレジでの売価変更</v>
      </c>
      <c r="P663" s="52" t="str">
        <f>"2個"&amp;P666&amp;"円にミックスマッチ設定"</f>
        <v>2個700円にミックスマッチ設定</v>
      </c>
      <c r="Q663" s="52" t="str">
        <f>Q665&amp;"円にレジでの売価変更"</f>
        <v>350円にレジでの売価変更</v>
      </c>
      <c r="R663" s="1"/>
      <c r="T663" s="52" t="str">
        <f>"2個"&amp;T666&amp;"円にミックスマッチ設定"</f>
        <v>2個700円にミックスマッチ設定</v>
      </c>
      <c r="U663" s="52" t="str">
        <f>U666&amp;"円にレジでの売価変更"</f>
        <v>750円にレジでの売価変更</v>
      </c>
      <c r="V663" s="121"/>
    </row>
    <row r="664" spans="4:22" s="51" customFormat="1" ht="13.5" x14ac:dyDescent="0.4">
      <c r="D664" s="118"/>
      <c r="E664" s="14"/>
      <c r="G664" s="14"/>
      <c r="H664" s="52"/>
      <c r="K664" s="14"/>
      <c r="L664" s="52"/>
      <c r="P664" s="52"/>
      <c r="R664" s="24"/>
      <c r="T664" s="52"/>
      <c r="V664" s="119"/>
    </row>
    <row r="665" spans="4:22" s="51" customFormat="1" ht="13.5" x14ac:dyDescent="0.4">
      <c r="D665" s="118"/>
      <c r="E665" s="122" t="s">
        <v>574</v>
      </c>
      <c r="F665" s="52"/>
      <c r="G665" s="52"/>
      <c r="H665" s="52">
        <v>350</v>
      </c>
      <c r="I665" s="52">
        <v>250</v>
      </c>
      <c r="K665" s="52"/>
      <c r="L665" s="52">
        <v>350</v>
      </c>
      <c r="M665" s="52">
        <v>325</v>
      </c>
      <c r="P665" s="52">
        <v>350</v>
      </c>
      <c r="Q665" s="52">
        <v>350</v>
      </c>
      <c r="R665" s="1"/>
      <c r="T665" s="52">
        <v>350</v>
      </c>
      <c r="U665" s="52">
        <v>375</v>
      </c>
      <c r="V665" s="119"/>
    </row>
    <row r="666" spans="4:22" s="51" customFormat="1" ht="13.5" x14ac:dyDescent="0.4">
      <c r="D666" s="118"/>
      <c r="E666" s="122" t="s">
        <v>575</v>
      </c>
      <c r="F666" s="52"/>
      <c r="G666" s="52"/>
      <c r="H666" s="52">
        <v>700</v>
      </c>
      <c r="I666" s="52">
        <v>500</v>
      </c>
      <c r="K666" s="52"/>
      <c r="L666" s="52">
        <v>700</v>
      </c>
      <c r="M666" s="52">
        <v>650</v>
      </c>
      <c r="P666" s="52">
        <v>700</v>
      </c>
      <c r="Q666" s="52">
        <v>700</v>
      </c>
      <c r="R666" s="1"/>
      <c r="T666" s="52">
        <v>700</v>
      </c>
      <c r="U666" s="52">
        <v>750</v>
      </c>
      <c r="V666" s="119"/>
    </row>
    <row r="667" spans="4:22" s="51" customFormat="1" ht="13.5" x14ac:dyDescent="0.4">
      <c r="D667" s="118"/>
      <c r="E667" s="52"/>
      <c r="F667" s="52"/>
      <c r="G667" s="52"/>
      <c r="H667" s="52"/>
      <c r="K667" s="52"/>
      <c r="L667" s="52"/>
      <c r="P667" s="52"/>
      <c r="R667" s="24"/>
      <c r="T667" s="52"/>
      <c r="V667" s="119"/>
    </row>
    <row r="668" spans="4:22" s="51" customFormat="1" ht="13.5" x14ac:dyDescent="0.4">
      <c r="D668" s="118"/>
      <c r="E668" s="52"/>
      <c r="F668" s="52"/>
      <c r="G668" s="52"/>
      <c r="K668" s="52"/>
      <c r="O668" s="52"/>
      <c r="R668" s="175"/>
      <c r="S668" s="52"/>
      <c r="T668" s="123" t="s">
        <v>569</v>
      </c>
      <c r="U668" s="247" t="s">
        <v>639</v>
      </c>
      <c r="V668" s="119"/>
    </row>
    <row r="669" spans="4:22" s="51" customFormat="1" ht="13.5" customHeight="1" x14ac:dyDescent="0.4">
      <c r="D669" s="118"/>
      <c r="E669" s="52"/>
      <c r="F669" s="52"/>
      <c r="H669" s="239" t="s">
        <v>578</v>
      </c>
      <c r="L669" s="239" t="s">
        <v>578</v>
      </c>
      <c r="P669" s="239" t="s">
        <v>578</v>
      </c>
      <c r="Q669" s="247" t="s">
        <v>634</v>
      </c>
      <c r="R669" s="180"/>
      <c r="T669" s="252" t="s">
        <v>683</v>
      </c>
      <c r="U669" s="248"/>
      <c r="V669" s="119"/>
    </row>
    <row r="670" spans="4:22" s="51" customFormat="1" ht="13.5" customHeight="1" x14ac:dyDescent="0.4">
      <c r="D670" s="118"/>
      <c r="E670" s="52"/>
      <c r="F670" s="52"/>
      <c r="G670" s="240" t="s">
        <v>570</v>
      </c>
      <c r="H670" s="245"/>
      <c r="I670" s="123" t="s">
        <v>569</v>
      </c>
      <c r="K670" s="240" t="s">
        <v>570</v>
      </c>
      <c r="L670" s="245"/>
      <c r="M670" s="247" t="s">
        <v>640</v>
      </c>
      <c r="O670" s="240" t="s">
        <v>570</v>
      </c>
      <c r="P670" s="245"/>
      <c r="Q670" s="250"/>
      <c r="R670" s="180"/>
      <c r="S670" s="240" t="s">
        <v>570</v>
      </c>
      <c r="T670" s="253"/>
      <c r="U670" s="248"/>
      <c r="V670" s="119"/>
    </row>
    <row r="671" spans="4:22" s="51" customFormat="1" ht="13.5" customHeight="1" x14ac:dyDescent="0.4">
      <c r="D671" s="118"/>
      <c r="E671" s="52"/>
      <c r="F671" s="52"/>
      <c r="G671" s="243"/>
      <c r="H671" s="245"/>
      <c r="I671" s="247" t="s">
        <v>636</v>
      </c>
      <c r="K671" s="243"/>
      <c r="L671" s="245"/>
      <c r="M671" s="255"/>
      <c r="O671" s="243"/>
      <c r="P671" s="245"/>
      <c r="Q671" s="250"/>
      <c r="R671" s="180"/>
      <c r="S671" s="243"/>
      <c r="T671" s="253"/>
      <c r="U671" s="248"/>
      <c r="V671" s="119"/>
    </row>
    <row r="672" spans="4:22" s="51" customFormat="1" ht="13.5" customHeight="1" x14ac:dyDescent="0.4">
      <c r="D672" s="118"/>
      <c r="E672" s="52"/>
      <c r="F672" s="52"/>
      <c r="G672" s="243"/>
      <c r="H672" s="245"/>
      <c r="I672" s="250"/>
      <c r="K672" s="243"/>
      <c r="L672" s="245"/>
      <c r="M672" s="255"/>
      <c r="O672" s="243"/>
      <c r="P672" s="245"/>
      <c r="Q672" s="250"/>
      <c r="R672" s="180"/>
      <c r="S672" s="243"/>
      <c r="T672" s="253"/>
      <c r="U672" s="248"/>
      <c r="V672" s="119"/>
    </row>
    <row r="673" spans="4:22" s="51" customFormat="1" ht="13.5" customHeight="1" x14ac:dyDescent="0.4">
      <c r="D673" s="118"/>
      <c r="E673" s="52"/>
      <c r="F673" s="52"/>
      <c r="G673" s="243"/>
      <c r="H673" s="245"/>
      <c r="I673" s="250"/>
      <c r="K673" s="243"/>
      <c r="L673" s="245"/>
      <c r="M673" s="250"/>
      <c r="O673" s="243"/>
      <c r="P673" s="245"/>
      <c r="Q673" s="250"/>
      <c r="R673" s="180"/>
      <c r="S673" s="243"/>
      <c r="T673" s="253"/>
      <c r="U673" s="248"/>
      <c r="V673" s="119"/>
    </row>
    <row r="674" spans="4:22" s="51" customFormat="1" ht="13.5" customHeight="1" x14ac:dyDescent="0.4">
      <c r="D674" s="118"/>
      <c r="E674" s="52"/>
      <c r="F674" s="52"/>
      <c r="G674" s="243"/>
      <c r="H674" s="245"/>
      <c r="I674" s="250"/>
      <c r="K674" s="243"/>
      <c r="L674" s="245"/>
      <c r="M674" s="250"/>
      <c r="O674" s="243"/>
      <c r="P674" s="245"/>
      <c r="Q674" s="250"/>
      <c r="R674" s="180"/>
      <c r="S674" s="243"/>
      <c r="T674" s="253"/>
      <c r="U674" s="248"/>
      <c r="V674" s="119"/>
    </row>
    <row r="675" spans="4:22" s="51" customFormat="1" ht="13.5" customHeight="1" x14ac:dyDescent="0.4">
      <c r="D675" s="118"/>
      <c r="E675" s="52"/>
      <c r="F675" s="52"/>
      <c r="G675" s="243"/>
      <c r="H675" s="245"/>
      <c r="I675" s="250"/>
      <c r="K675" s="243"/>
      <c r="L675" s="245"/>
      <c r="M675" s="250"/>
      <c r="O675" s="243"/>
      <c r="P675" s="245"/>
      <c r="Q675" s="250"/>
      <c r="R675" s="180"/>
      <c r="S675" s="243"/>
      <c r="T675" s="253"/>
      <c r="U675" s="248"/>
      <c r="V675" s="119"/>
    </row>
    <row r="676" spans="4:22" s="51" customFormat="1" ht="13.5" customHeight="1" x14ac:dyDescent="0.4">
      <c r="D676" s="118"/>
      <c r="E676" s="52"/>
      <c r="F676" s="52"/>
      <c r="G676" s="244"/>
      <c r="H676" s="246"/>
      <c r="I676" s="251"/>
      <c r="K676" s="244"/>
      <c r="L676" s="246"/>
      <c r="M676" s="251"/>
      <c r="O676" s="244"/>
      <c r="P676" s="246"/>
      <c r="Q676" s="251"/>
      <c r="R676" s="180"/>
      <c r="S676" s="244"/>
      <c r="T676" s="254"/>
      <c r="U676" s="249"/>
      <c r="V676" s="119"/>
    </row>
    <row r="677" spans="4:22" s="51" customFormat="1" ht="13.5" x14ac:dyDescent="0.4">
      <c r="D677" s="118"/>
      <c r="E677" s="124" t="s">
        <v>379</v>
      </c>
      <c r="F677" s="52"/>
      <c r="G677" s="124"/>
      <c r="H677" s="155"/>
      <c r="I677" s="155"/>
      <c r="K677" s="124"/>
      <c r="L677" s="155"/>
      <c r="M677" s="155"/>
      <c r="P677" s="155"/>
      <c r="Q677" s="155"/>
      <c r="R677" s="177"/>
      <c r="T677" s="155"/>
      <c r="U677" s="155"/>
      <c r="V677" s="119"/>
    </row>
    <row r="678" spans="4:22" s="51" customFormat="1" ht="13.5" x14ac:dyDescent="0.4">
      <c r="D678" s="118"/>
      <c r="E678" s="124" t="s">
        <v>571</v>
      </c>
      <c r="F678" s="124"/>
      <c r="G678" s="124"/>
      <c r="H678" s="230">
        <v>200</v>
      </c>
      <c r="I678" s="230"/>
      <c r="K678" s="124"/>
      <c r="L678" s="230">
        <v>650</v>
      </c>
      <c r="M678" s="230"/>
      <c r="P678" s="230">
        <v>700</v>
      </c>
      <c r="Q678" s="230"/>
      <c r="R678" s="177"/>
      <c r="T678" s="230">
        <v>700</v>
      </c>
      <c r="U678" s="230"/>
      <c r="V678" s="119"/>
    </row>
    <row r="679" spans="4:22" s="51" customFormat="1" ht="13.5" x14ac:dyDescent="0.4">
      <c r="D679" s="118"/>
      <c r="E679" s="124"/>
      <c r="F679" s="124"/>
      <c r="G679" s="124"/>
      <c r="H679" s="52"/>
      <c r="I679" s="52"/>
      <c r="K679" s="124"/>
      <c r="L679" s="52"/>
      <c r="M679" s="52"/>
      <c r="P679" s="52"/>
      <c r="Q679" s="52"/>
      <c r="R679" s="1"/>
      <c r="T679" s="171"/>
      <c r="U679" s="52"/>
      <c r="V679" s="119"/>
    </row>
    <row r="680" spans="4:22" s="51" customFormat="1" ht="13.5" x14ac:dyDescent="0.4">
      <c r="D680" s="118"/>
      <c r="E680" s="124" t="s">
        <v>479</v>
      </c>
      <c r="F680" s="124"/>
      <c r="G680" s="124"/>
      <c r="H680" s="52"/>
      <c r="I680" s="52"/>
      <c r="K680" s="124"/>
      <c r="L680" s="52"/>
      <c r="M680" s="52"/>
      <c r="P680" s="52"/>
      <c r="Q680" s="52"/>
      <c r="R680" s="1"/>
      <c r="T680" s="52"/>
      <c r="U680" s="52"/>
      <c r="V680" s="119"/>
    </row>
    <row r="681" spans="4:22" s="51" customFormat="1" ht="13.5" x14ac:dyDescent="0.4">
      <c r="D681" s="118"/>
      <c r="E681" s="128" t="s">
        <v>480</v>
      </c>
      <c r="F681" s="52"/>
      <c r="G681" s="124"/>
      <c r="H681" s="231" t="s">
        <v>487</v>
      </c>
      <c r="I681" s="52">
        <v>91220</v>
      </c>
      <c r="K681" s="124"/>
      <c r="L681" s="231" t="s">
        <v>487</v>
      </c>
      <c r="M681" s="231" t="s">
        <v>487</v>
      </c>
      <c r="P681" s="231" t="s">
        <v>487</v>
      </c>
      <c r="Q681" s="231" t="s">
        <v>487</v>
      </c>
      <c r="R681" s="177"/>
      <c r="T681" s="52">
        <v>91316</v>
      </c>
      <c r="U681" s="231" t="s">
        <v>487</v>
      </c>
      <c r="V681" s="119"/>
    </row>
    <row r="682" spans="4:22" s="51" customFormat="1" ht="13.5" x14ac:dyDescent="0.4">
      <c r="D682" s="118"/>
      <c r="E682" s="128" t="s">
        <v>481</v>
      </c>
      <c r="F682" s="52"/>
      <c r="G682" s="124"/>
      <c r="H682" s="232"/>
      <c r="I682" s="52">
        <v>6</v>
      </c>
      <c r="K682" s="124"/>
      <c r="L682" s="232"/>
      <c r="M682" s="232"/>
      <c r="P682" s="232"/>
      <c r="Q682" s="232"/>
      <c r="R682" s="177"/>
      <c r="T682" s="52">
        <v>0</v>
      </c>
      <c r="U682" s="232"/>
      <c r="V682" s="119"/>
    </row>
    <row r="683" spans="4:22" s="51" customFormat="1" ht="13.5" x14ac:dyDescent="0.4">
      <c r="D683" s="118"/>
      <c r="E683" s="128" t="s">
        <v>482</v>
      </c>
      <c r="F683" s="52"/>
      <c r="G683" s="124"/>
      <c r="H683" s="232"/>
      <c r="I683" s="124" t="s">
        <v>468</v>
      </c>
      <c r="K683" s="124"/>
      <c r="L683" s="232"/>
      <c r="M683" s="232"/>
      <c r="P683" s="232"/>
      <c r="Q683" s="232"/>
      <c r="R683" s="177"/>
      <c r="T683" s="124" t="s">
        <v>572</v>
      </c>
      <c r="U683" s="232"/>
      <c r="V683" s="119"/>
    </row>
    <row r="684" spans="4:22" s="51" customFormat="1" ht="40.5" x14ac:dyDescent="0.4">
      <c r="D684" s="118"/>
      <c r="E684" s="124" t="s">
        <v>379</v>
      </c>
      <c r="F684" s="52"/>
      <c r="G684" s="124"/>
      <c r="H684" s="233"/>
      <c r="I684" s="124" t="s">
        <v>637</v>
      </c>
      <c r="K684" s="124"/>
      <c r="L684" s="233"/>
      <c r="M684" s="233"/>
      <c r="P684" s="233"/>
      <c r="Q684" s="233"/>
      <c r="R684" s="177"/>
      <c r="T684" s="124" t="s">
        <v>638</v>
      </c>
      <c r="U684" s="233"/>
      <c r="V684" s="119"/>
    </row>
    <row r="685" spans="4:22" s="51" customFormat="1" ht="14.25" thickBot="1" x14ac:dyDescent="0.45">
      <c r="D685" s="129"/>
      <c r="E685" s="130"/>
      <c r="F685" s="130"/>
      <c r="G685" s="130"/>
      <c r="H685" s="130"/>
      <c r="I685" s="130"/>
      <c r="J685" s="132"/>
      <c r="K685" s="132"/>
      <c r="L685" s="132"/>
      <c r="M685" s="132"/>
      <c r="N685" s="132"/>
      <c r="O685" s="132"/>
      <c r="P685" s="132"/>
      <c r="Q685" s="132"/>
      <c r="R685" s="174"/>
      <c r="S685" s="174"/>
      <c r="T685" s="174"/>
      <c r="U685" s="174"/>
      <c r="V685" s="133"/>
    </row>
    <row r="686" spans="4:22" s="51" customFormat="1" ht="13.5" x14ac:dyDescent="0.4">
      <c r="D686" s="114" t="s">
        <v>474</v>
      </c>
      <c r="E686" s="115"/>
      <c r="F686" s="115"/>
      <c r="G686" s="115"/>
      <c r="H686" s="115"/>
      <c r="I686" s="115"/>
      <c r="J686" s="116"/>
      <c r="K686" s="116"/>
      <c r="L686" s="116"/>
      <c r="M686" s="116"/>
      <c r="N686" s="116"/>
      <c r="O686" s="116"/>
      <c r="P686" s="116"/>
      <c r="Q686" s="116"/>
      <c r="R686" s="173"/>
      <c r="S686" s="173"/>
      <c r="T686" s="173"/>
      <c r="U686" s="173"/>
      <c r="V686" s="117"/>
    </row>
    <row r="687" spans="4:22" s="51" customFormat="1" ht="13.5" x14ac:dyDescent="0.4">
      <c r="D687" s="118">
        <v>28</v>
      </c>
      <c r="E687" s="14" t="s">
        <v>579</v>
      </c>
      <c r="F687" s="14"/>
      <c r="G687" s="14"/>
      <c r="H687" s="52"/>
      <c r="I687" s="52"/>
      <c r="R687" s="24"/>
      <c r="S687" s="24"/>
      <c r="T687" s="24"/>
      <c r="U687" s="24"/>
      <c r="V687" s="119"/>
    </row>
    <row r="688" spans="4:22" s="51" customFormat="1" ht="13.5" x14ac:dyDescent="0.4">
      <c r="D688" s="118"/>
      <c r="E688" s="14"/>
      <c r="F688" s="14"/>
      <c r="G688" s="14"/>
      <c r="H688" s="52"/>
      <c r="I688" s="52"/>
      <c r="R688" s="24"/>
      <c r="S688" s="24"/>
      <c r="T688" s="24"/>
      <c r="U688" s="24"/>
      <c r="V688" s="119"/>
    </row>
    <row r="689" spans="4:22" s="52" customFormat="1" ht="13.5" x14ac:dyDescent="0.4">
      <c r="D689" s="118"/>
      <c r="E689" s="52" t="s">
        <v>475</v>
      </c>
      <c r="H689" s="52" t="str">
        <f>H691&amp;"円の値引シール【1:値引】"</f>
        <v>30円の値引シール【1:値引】</v>
      </c>
      <c r="I689" s="52" t="str">
        <f>I691&amp;"円にレジでの売価変更"</f>
        <v>250円にレジでの売価変更</v>
      </c>
      <c r="L689" s="52" t="str">
        <f>L691&amp;"円の値引シール【1:値引】"</f>
        <v>30円の値引シール【1:値引】</v>
      </c>
      <c r="M689" s="52" t="str">
        <f>M691&amp;"円にレジでの売価変更"</f>
        <v>300円にレジでの売価変更</v>
      </c>
      <c r="N689" s="51"/>
      <c r="P689" s="52" t="str">
        <f>P691&amp;"円の値引シール【1:値引】"</f>
        <v>30円の値引シール【1:値引】</v>
      </c>
      <c r="Q689" s="52" t="str">
        <f>Q691&amp;"円にレジでの売価変更"</f>
        <v>350円にレジでの売価変更</v>
      </c>
      <c r="R689" s="24"/>
      <c r="S689" s="24"/>
      <c r="T689" s="24"/>
      <c r="U689" s="24"/>
      <c r="V689" s="121"/>
    </row>
    <row r="690" spans="4:22" s="51" customFormat="1" ht="13.5" x14ac:dyDescent="0.4">
      <c r="D690" s="118"/>
      <c r="E690" s="122"/>
      <c r="F690" s="122"/>
      <c r="G690" s="14"/>
      <c r="H690" s="52"/>
      <c r="K690" s="14"/>
      <c r="L690" s="52"/>
      <c r="O690" s="14"/>
      <c r="P690" s="52"/>
      <c r="R690" s="24"/>
      <c r="S690" s="24"/>
      <c r="T690" s="24"/>
      <c r="U690" s="24"/>
      <c r="V690" s="119"/>
    </row>
    <row r="691" spans="4:22" s="51" customFormat="1" ht="13.5" x14ac:dyDescent="0.4">
      <c r="D691" s="118"/>
      <c r="E691" s="122" t="s">
        <v>641</v>
      </c>
      <c r="F691" s="122"/>
      <c r="G691" s="52"/>
      <c r="H691" s="52">
        <v>30</v>
      </c>
      <c r="I691" s="52">
        <v>250</v>
      </c>
      <c r="K691" s="52"/>
      <c r="L691" s="52">
        <v>30</v>
      </c>
      <c r="M691" s="52">
        <v>300</v>
      </c>
      <c r="O691" s="52"/>
      <c r="P691" s="52">
        <v>30</v>
      </c>
      <c r="Q691" s="52">
        <v>350</v>
      </c>
      <c r="R691" s="24"/>
      <c r="S691" s="24"/>
      <c r="T691" s="24"/>
      <c r="U691" s="24"/>
      <c r="V691" s="119"/>
    </row>
    <row r="692" spans="4:22" s="51" customFormat="1" ht="13.5" x14ac:dyDescent="0.4">
      <c r="D692" s="118"/>
      <c r="E692" s="52"/>
      <c r="F692" s="52"/>
      <c r="G692" s="52"/>
      <c r="I692" s="52"/>
      <c r="K692" s="52"/>
      <c r="M692" s="52"/>
      <c r="O692" s="52"/>
      <c r="Q692" s="52"/>
      <c r="R692" s="24"/>
      <c r="S692" s="24"/>
      <c r="T692" s="24"/>
      <c r="U692" s="24"/>
      <c r="V692" s="119"/>
    </row>
    <row r="693" spans="4:22" s="51" customFormat="1" ht="13.5" customHeight="1" x14ac:dyDescent="0.4">
      <c r="D693" s="118"/>
      <c r="E693" s="52"/>
      <c r="F693" s="52"/>
      <c r="G693" s="52"/>
      <c r="I693" s="52"/>
      <c r="K693" s="52"/>
      <c r="M693" s="52"/>
      <c r="O693" s="52"/>
      <c r="Q693" s="52"/>
      <c r="R693" s="24"/>
      <c r="S693" s="24"/>
      <c r="T693" s="24"/>
      <c r="U693" s="24"/>
      <c r="V693" s="119"/>
    </row>
    <row r="694" spans="4:22" s="51" customFormat="1" ht="13.5" x14ac:dyDescent="0.4">
      <c r="D694" s="118"/>
      <c r="E694" s="52"/>
      <c r="F694" s="52"/>
      <c r="G694" s="52"/>
      <c r="K694" s="52"/>
      <c r="O694" s="52"/>
      <c r="Q694" s="234" t="s">
        <v>625</v>
      </c>
      <c r="R694" s="24"/>
      <c r="S694" s="24"/>
      <c r="T694" s="24"/>
      <c r="U694" s="24"/>
      <c r="V694" s="119"/>
    </row>
    <row r="695" spans="4:22" s="51" customFormat="1" ht="13.5" x14ac:dyDescent="0.4">
      <c r="D695" s="118"/>
      <c r="E695" s="52"/>
      <c r="F695" s="52"/>
      <c r="G695" s="240" t="s">
        <v>476</v>
      </c>
      <c r="H695" s="239" t="s">
        <v>580</v>
      </c>
      <c r="I695" s="123" t="s">
        <v>477</v>
      </c>
      <c r="K695" s="240" t="s">
        <v>476</v>
      </c>
      <c r="L695" s="239" t="s">
        <v>580</v>
      </c>
      <c r="M695" s="234" t="s">
        <v>624</v>
      </c>
      <c r="O695" s="240" t="s">
        <v>476</v>
      </c>
      <c r="P695" s="239" t="s">
        <v>580</v>
      </c>
      <c r="Q695" s="235"/>
      <c r="R695" s="24"/>
      <c r="S695" s="24"/>
      <c r="T695" s="24"/>
      <c r="U695" s="24"/>
      <c r="V695" s="119"/>
    </row>
    <row r="696" spans="4:22" s="51" customFormat="1" ht="13.5" customHeight="1" x14ac:dyDescent="0.4">
      <c r="D696" s="118"/>
      <c r="E696" s="52"/>
      <c r="F696" s="52"/>
      <c r="G696" s="241"/>
      <c r="H696" s="237"/>
      <c r="I696" s="234" t="s">
        <v>622</v>
      </c>
      <c r="K696" s="241"/>
      <c r="L696" s="237"/>
      <c r="M696" s="235"/>
      <c r="O696" s="241"/>
      <c r="P696" s="237"/>
      <c r="Q696" s="235"/>
      <c r="R696" s="24"/>
      <c r="S696" s="24"/>
      <c r="T696" s="24"/>
      <c r="U696" s="24"/>
      <c r="V696" s="119"/>
    </row>
    <row r="697" spans="4:22" s="51" customFormat="1" ht="13.5" customHeight="1" x14ac:dyDescent="0.4">
      <c r="D697" s="118"/>
      <c r="E697" s="52"/>
      <c r="F697" s="52"/>
      <c r="G697" s="241"/>
      <c r="H697" s="237"/>
      <c r="I697" s="237"/>
      <c r="K697" s="241"/>
      <c r="L697" s="237"/>
      <c r="M697" s="235"/>
      <c r="O697" s="241"/>
      <c r="P697" s="237"/>
      <c r="Q697" s="235"/>
      <c r="R697" s="24"/>
      <c r="S697" s="24"/>
      <c r="T697" s="24"/>
      <c r="U697" s="24"/>
      <c r="V697" s="119"/>
    </row>
    <row r="698" spans="4:22" s="51" customFormat="1" ht="13.5" customHeight="1" x14ac:dyDescent="0.4">
      <c r="D698" s="118"/>
      <c r="E698" s="52"/>
      <c r="F698" s="52"/>
      <c r="G698" s="241"/>
      <c r="H698" s="237"/>
      <c r="I698" s="237"/>
      <c r="K698" s="241"/>
      <c r="L698" s="237"/>
      <c r="M698" s="235"/>
      <c r="O698" s="241"/>
      <c r="P698" s="237"/>
      <c r="Q698" s="235"/>
      <c r="R698" s="24"/>
      <c r="S698" s="24"/>
      <c r="T698" s="24"/>
      <c r="U698" s="24"/>
      <c r="V698" s="119"/>
    </row>
    <row r="699" spans="4:22" s="51" customFormat="1" ht="13.5" customHeight="1" x14ac:dyDescent="0.4">
      <c r="D699" s="118"/>
      <c r="E699" s="52"/>
      <c r="F699" s="52"/>
      <c r="G699" s="241"/>
      <c r="H699" s="237"/>
      <c r="I699" s="237"/>
      <c r="K699" s="241"/>
      <c r="L699" s="237"/>
      <c r="M699" s="235"/>
      <c r="O699" s="241"/>
      <c r="P699" s="237"/>
      <c r="Q699" s="235"/>
      <c r="R699" s="24"/>
      <c r="S699" s="24"/>
      <c r="T699" s="24"/>
      <c r="U699" s="24"/>
      <c r="V699" s="119"/>
    </row>
    <row r="700" spans="4:22" s="51" customFormat="1" ht="13.5" customHeight="1" x14ac:dyDescent="0.4">
      <c r="D700" s="118"/>
      <c r="E700" s="52"/>
      <c r="F700" s="52"/>
      <c r="G700" s="242"/>
      <c r="H700" s="238"/>
      <c r="I700" s="238"/>
      <c r="K700" s="242"/>
      <c r="L700" s="238"/>
      <c r="M700" s="236"/>
      <c r="O700" s="242"/>
      <c r="P700" s="238"/>
      <c r="Q700" s="236"/>
      <c r="R700" s="24"/>
      <c r="S700" s="24"/>
      <c r="T700" s="24"/>
      <c r="U700" s="24"/>
      <c r="V700" s="119"/>
    </row>
    <row r="701" spans="4:22" s="51" customFormat="1" ht="13.5" x14ac:dyDescent="0.4">
      <c r="D701" s="118"/>
      <c r="E701" s="124" t="s">
        <v>379</v>
      </c>
      <c r="F701" s="124"/>
      <c r="G701" s="124"/>
      <c r="H701" s="155"/>
      <c r="I701" s="155">
        <v>50</v>
      </c>
      <c r="K701" s="124"/>
      <c r="L701" s="155"/>
      <c r="M701" s="155"/>
      <c r="O701" s="124"/>
      <c r="P701" s="155"/>
      <c r="Q701" s="155"/>
      <c r="R701" s="24"/>
      <c r="S701" s="24"/>
      <c r="T701" s="24"/>
      <c r="U701" s="24"/>
      <c r="V701" s="119"/>
    </row>
    <row r="702" spans="4:22" s="51" customFormat="1" ht="13.5" x14ac:dyDescent="0.4">
      <c r="D702" s="118"/>
      <c r="E702" s="124" t="s">
        <v>478</v>
      </c>
      <c r="F702" s="124"/>
      <c r="G702" s="124"/>
      <c r="H702" s="230">
        <v>250</v>
      </c>
      <c r="I702" s="230"/>
      <c r="K702" s="124"/>
      <c r="L702" s="230">
        <v>300</v>
      </c>
      <c r="M702" s="230"/>
      <c r="O702" s="124"/>
      <c r="P702" s="230">
        <v>350</v>
      </c>
      <c r="Q702" s="230"/>
      <c r="R702" s="24"/>
      <c r="S702" s="24"/>
      <c r="T702" s="24"/>
      <c r="U702" s="24"/>
      <c r="V702" s="119"/>
    </row>
    <row r="703" spans="4:22" s="51" customFormat="1" ht="13.5" x14ac:dyDescent="0.4">
      <c r="D703" s="118"/>
      <c r="E703" s="124"/>
      <c r="F703" s="124"/>
      <c r="G703" s="124"/>
      <c r="H703" s="52"/>
      <c r="K703" s="124"/>
      <c r="L703" s="52"/>
      <c r="O703" s="124"/>
      <c r="P703" s="52"/>
      <c r="R703" s="24"/>
      <c r="S703" s="24"/>
      <c r="T703" s="24"/>
      <c r="U703" s="24"/>
      <c r="V703" s="119"/>
    </row>
    <row r="704" spans="4:22" s="51" customFormat="1" ht="13.5" x14ac:dyDescent="0.4">
      <c r="D704" s="118"/>
      <c r="E704" s="124" t="s">
        <v>479</v>
      </c>
      <c r="F704" s="124"/>
      <c r="G704" s="124"/>
      <c r="H704" s="52"/>
      <c r="I704" s="52"/>
      <c r="K704" s="124"/>
      <c r="L704" s="52"/>
      <c r="M704" s="52"/>
      <c r="O704" s="124"/>
      <c r="P704" s="52"/>
      <c r="Q704" s="52"/>
      <c r="R704" s="24"/>
      <c r="S704" s="24"/>
      <c r="T704" s="24"/>
      <c r="U704" s="24"/>
      <c r="V704" s="119"/>
    </row>
    <row r="705" spans="4:22" s="51" customFormat="1" ht="13.5" customHeight="1" x14ac:dyDescent="0.4">
      <c r="D705" s="118"/>
      <c r="E705" s="128" t="s">
        <v>480</v>
      </c>
      <c r="F705" s="128"/>
      <c r="G705" s="124"/>
      <c r="H705" s="231" t="s">
        <v>487</v>
      </c>
      <c r="I705" s="52">
        <v>91220</v>
      </c>
      <c r="K705" s="124"/>
      <c r="L705" s="231" t="s">
        <v>487</v>
      </c>
      <c r="M705" s="231" t="s">
        <v>487</v>
      </c>
      <c r="O705" s="124"/>
      <c r="P705" s="231" t="s">
        <v>487</v>
      </c>
      <c r="Q705" s="231" t="s">
        <v>487</v>
      </c>
      <c r="R705" s="24"/>
      <c r="S705" s="24"/>
      <c r="T705" s="24"/>
      <c r="U705" s="24"/>
      <c r="V705" s="119"/>
    </row>
    <row r="706" spans="4:22" s="51" customFormat="1" ht="13.5" customHeight="1" x14ac:dyDescent="0.4">
      <c r="D706" s="118"/>
      <c r="E706" s="128" t="s">
        <v>481</v>
      </c>
      <c r="F706" s="128"/>
      <c r="G706" s="124"/>
      <c r="H706" s="232"/>
      <c r="I706" s="52">
        <v>6</v>
      </c>
      <c r="K706" s="124"/>
      <c r="L706" s="232"/>
      <c r="M706" s="232"/>
      <c r="O706" s="124"/>
      <c r="P706" s="232"/>
      <c r="Q706" s="232"/>
      <c r="R706" s="24"/>
      <c r="S706" s="24"/>
      <c r="T706" s="24"/>
      <c r="U706" s="24"/>
      <c r="V706" s="119"/>
    </row>
    <row r="707" spans="4:22" s="51" customFormat="1" ht="13.5" x14ac:dyDescent="0.4">
      <c r="D707" s="118"/>
      <c r="E707" s="128" t="s">
        <v>482</v>
      </c>
      <c r="F707" s="128"/>
      <c r="G707" s="124"/>
      <c r="H707" s="232"/>
      <c r="I707" s="124" t="s">
        <v>468</v>
      </c>
      <c r="K707" s="124"/>
      <c r="L707" s="232"/>
      <c r="M707" s="232"/>
      <c r="O707" s="124"/>
      <c r="P707" s="232"/>
      <c r="Q707" s="232"/>
      <c r="R707" s="24"/>
      <c r="S707" s="24"/>
      <c r="T707" s="24"/>
      <c r="U707" s="24"/>
      <c r="V707" s="119"/>
    </row>
    <row r="708" spans="4:22" s="51" customFormat="1" ht="27" x14ac:dyDescent="0.4">
      <c r="D708" s="118"/>
      <c r="E708" s="124" t="s">
        <v>379</v>
      </c>
      <c r="F708" s="124"/>
      <c r="G708" s="124"/>
      <c r="H708" s="233"/>
      <c r="I708" s="124" t="s">
        <v>623</v>
      </c>
      <c r="K708" s="124"/>
      <c r="L708" s="233"/>
      <c r="M708" s="233"/>
      <c r="O708" s="124"/>
      <c r="P708" s="233"/>
      <c r="Q708" s="233"/>
      <c r="R708" s="24"/>
      <c r="S708" s="24"/>
      <c r="T708" s="24"/>
      <c r="U708" s="24"/>
      <c r="V708" s="119"/>
    </row>
    <row r="709" spans="4:22" s="51" customFormat="1" ht="27" x14ac:dyDescent="0.4">
      <c r="D709" s="118"/>
      <c r="E709" s="172" t="s">
        <v>581</v>
      </c>
      <c r="F709" s="124"/>
      <c r="G709" s="124"/>
      <c r="H709" s="136"/>
      <c r="I709" s="124"/>
      <c r="R709" s="24"/>
      <c r="S709" s="24"/>
      <c r="T709" s="24"/>
      <c r="U709" s="24"/>
      <c r="V709" s="119"/>
    </row>
    <row r="710" spans="4:22" s="51" customFormat="1" ht="14.25" thickBot="1" x14ac:dyDescent="0.45">
      <c r="D710" s="129"/>
      <c r="E710" s="130"/>
      <c r="F710" s="130"/>
      <c r="G710" s="130"/>
      <c r="H710" s="130"/>
      <c r="I710" s="131"/>
      <c r="J710" s="132"/>
      <c r="K710" s="132"/>
      <c r="L710" s="132"/>
      <c r="M710" s="132"/>
      <c r="N710" s="132"/>
      <c r="O710" s="132"/>
      <c r="P710" s="132"/>
      <c r="Q710" s="132"/>
      <c r="R710" s="174"/>
      <c r="S710" s="174"/>
      <c r="T710" s="174"/>
      <c r="U710" s="174"/>
      <c r="V710" s="133"/>
    </row>
    <row r="711" spans="4:22" s="51" customFormat="1" ht="13.5" x14ac:dyDescent="0.4">
      <c r="D711" s="114" t="s">
        <v>474</v>
      </c>
      <c r="E711" s="115"/>
      <c r="F711" s="115"/>
      <c r="G711" s="115"/>
      <c r="H711" s="115"/>
      <c r="I711" s="115"/>
      <c r="J711" s="116"/>
      <c r="K711" s="116"/>
      <c r="L711" s="116"/>
      <c r="M711" s="116"/>
      <c r="N711" s="116"/>
      <c r="O711" s="116"/>
      <c r="P711" s="116"/>
      <c r="Q711" s="116"/>
      <c r="R711" s="173"/>
      <c r="S711" s="173"/>
      <c r="T711" s="173"/>
      <c r="U711" s="173"/>
      <c r="V711" s="117"/>
    </row>
    <row r="712" spans="4:22" s="51" customFormat="1" ht="13.5" x14ac:dyDescent="0.4">
      <c r="D712" s="118">
        <v>29</v>
      </c>
      <c r="E712" s="14" t="s">
        <v>591</v>
      </c>
      <c r="F712" s="14"/>
      <c r="G712" s="14"/>
      <c r="H712" s="52"/>
      <c r="I712" s="52"/>
      <c r="R712" s="24"/>
      <c r="S712" s="24"/>
      <c r="T712" s="24"/>
      <c r="U712" s="24"/>
      <c r="V712" s="119"/>
    </row>
    <row r="713" spans="4:22" s="51" customFormat="1" ht="13.5" x14ac:dyDescent="0.4">
      <c r="D713" s="118"/>
      <c r="E713" s="14"/>
      <c r="F713" s="14"/>
      <c r="G713" s="14"/>
      <c r="H713" s="52"/>
      <c r="I713" s="52"/>
      <c r="R713" s="24"/>
      <c r="S713" s="24"/>
      <c r="T713" s="24"/>
      <c r="U713" s="24"/>
      <c r="V713" s="119"/>
    </row>
    <row r="714" spans="4:22" s="52" customFormat="1" ht="13.5" x14ac:dyDescent="0.4">
      <c r="D714" s="118"/>
      <c r="E714" s="52" t="s">
        <v>475</v>
      </c>
      <c r="H714" s="52" t="str">
        <f>H716&amp;"%の値引シール【2:割引】"</f>
        <v>10%の値引シール【2:割引】</v>
      </c>
      <c r="I714" s="52" t="str">
        <f>I716&amp;"円にレジでの売価変更"</f>
        <v>250円にレジでの売価変更</v>
      </c>
      <c r="L714" s="52" t="str">
        <f>L716&amp;"%の値引シール【2:割引】"</f>
        <v>10%の値引シール【2:割引】</v>
      </c>
      <c r="M714" s="52" t="str">
        <f>M716&amp;"円にレジでの売価変更"</f>
        <v>300円にレジでの売価変更</v>
      </c>
      <c r="N714" s="51"/>
      <c r="P714" s="52" t="str">
        <f>P716&amp;"%の値引シール【2:割引】"</f>
        <v>10%の値引シール【2:割引】</v>
      </c>
      <c r="Q714" s="52" t="str">
        <f>Q716&amp;"円にレジでの売価変更"</f>
        <v>350円にレジでの売価変更</v>
      </c>
      <c r="R714" s="24"/>
      <c r="S714" s="24"/>
      <c r="T714" s="24"/>
      <c r="U714" s="24"/>
      <c r="V714" s="121"/>
    </row>
    <row r="715" spans="4:22" s="51" customFormat="1" ht="13.5" x14ac:dyDescent="0.4">
      <c r="D715" s="118"/>
      <c r="E715" s="122"/>
      <c r="F715" s="122"/>
      <c r="G715" s="14"/>
      <c r="H715" s="52"/>
      <c r="K715" s="14"/>
      <c r="L715" s="52"/>
      <c r="O715" s="14"/>
      <c r="P715" s="52"/>
      <c r="R715" s="24"/>
      <c r="S715" s="24"/>
      <c r="T715" s="24"/>
      <c r="U715" s="24"/>
      <c r="V715" s="119"/>
    </row>
    <row r="716" spans="4:22" s="51" customFormat="1" ht="13.5" x14ac:dyDescent="0.4">
      <c r="D716" s="118"/>
      <c r="E716" s="122" t="s">
        <v>642</v>
      </c>
      <c r="F716" s="122"/>
      <c r="G716" s="52"/>
      <c r="H716" s="52">
        <v>10</v>
      </c>
      <c r="I716" s="52">
        <v>250</v>
      </c>
      <c r="K716" s="52"/>
      <c r="L716" s="52">
        <v>10</v>
      </c>
      <c r="M716" s="52">
        <v>300</v>
      </c>
      <c r="O716" s="52"/>
      <c r="P716" s="52">
        <v>10</v>
      </c>
      <c r="Q716" s="52">
        <v>350</v>
      </c>
      <c r="R716" s="24"/>
      <c r="S716" s="24"/>
      <c r="T716" s="24"/>
      <c r="U716" s="24"/>
      <c r="V716" s="119"/>
    </row>
    <row r="717" spans="4:22" s="51" customFormat="1" ht="13.5" x14ac:dyDescent="0.4">
      <c r="D717" s="118"/>
      <c r="E717" s="52"/>
      <c r="F717" s="52"/>
      <c r="G717" s="52"/>
      <c r="I717" s="52"/>
      <c r="K717" s="52"/>
      <c r="M717" s="52"/>
      <c r="O717" s="52"/>
      <c r="Q717" s="52"/>
      <c r="R717" s="24"/>
      <c r="S717" s="24"/>
      <c r="T717" s="24"/>
      <c r="U717" s="24"/>
      <c r="V717" s="119"/>
    </row>
    <row r="718" spans="4:22" s="51" customFormat="1" ht="13.5" customHeight="1" x14ac:dyDescent="0.4">
      <c r="D718" s="118"/>
      <c r="E718" s="52"/>
      <c r="F718" s="52"/>
      <c r="G718" s="52"/>
      <c r="I718" s="52"/>
      <c r="K718" s="52"/>
      <c r="M718" s="52"/>
      <c r="O718" s="52"/>
      <c r="Q718" s="52"/>
      <c r="R718" s="24"/>
      <c r="S718" s="24"/>
      <c r="T718" s="24"/>
      <c r="U718" s="24"/>
      <c r="V718" s="119"/>
    </row>
    <row r="719" spans="4:22" s="51" customFormat="1" ht="13.5" customHeight="1" x14ac:dyDescent="0.4">
      <c r="D719" s="118"/>
      <c r="E719" s="52"/>
      <c r="F719" s="52"/>
      <c r="G719" s="52"/>
      <c r="K719" s="52"/>
      <c r="O719" s="52"/>
      <c r="Q719" s="234" t="s">
        <v>625</v>
      </c>
      <c r="R719" s="24"/>
      <c r="S719" s="24"/>
      <c r="T719" s="24"/>
      <c r="U719" s="24"/>
      <c r="V719" s="119"/>
    </row>
    <row r="720" spans="4:22" s="51" customFormat="1" ht="13.5" x14ac:dyDescent="0.4">
      <c r="D720" s="118"/>
      <c r="E720" s="52"/>
      <c r="F720" s="52"/>
      <c r="G720" s="240" t="s">
        <v>476</v>
      </c>
      <c r="H720" s="239" t="s">
        <v>582</v>
      </c>
      <c r="I720" s="123" t="s">
        <v>477</v>
      </c>
      <c r="K720" s="240" t="s">
        <v>476</v>
      </c>
      <c r="L720" s="239" t="s">
        <v>582</v>
      </c>
      <c r="M720" s="234" t="s">
        <v>624</v>
      </c>
      <c r="O720" s="240" t="s">
        <v>476</v>
      </c>
      <c r="P720" s="239" t="s">
        <v>582</v>
      </c>
      <c r="Q720" s="237"/>
      <c r="R720" s="24"/>
      <c r="S720" s="24"/>
      <c r="T720" s="24"/>
      <c r="U720" s="24"/>
      <c r="V720" s="119"/>
    </row>
    <row r="721" spans="4:22" s="51" customFormat="1" ht="13.5" customHeight="1" x14ac:dyDescent="0.4">
      <c r="D721" s="118"/>
      <c r="E721" s="52"/>
      <c r="F721" s="52"/>
      <c r="G721" s="241"/>
      <c r="H721" s="237"/>
      <c r="I721" s="234" t="s">
        <v>622</v>
      </c>
      <c r="K721" s="241"/>
      <c r="L721" s="237"/>
      <c r="M721" s="235"/>
      <c r="O721" s="241"/>
      <c r="P721" s="237"/>
      <c r="Q721" s="237"/>
      <c r="R721" s="24"/>
      <c r="S721" s="24"/>
      <c r="T721" s="24"/>
      <c r="U721" s="24"/>
      <c r="V721" s="119"/>
    </row>
    <row r="722" spans="4:22" s="51" customFormat="1" ht="13.5" customHeight="1" x14ac:dyDescent="0.4">
      <c r="D722" s="118"/>
      <c r="E722" s="52"/>
      <c r="F722" s="52"/>
      <c r="G722" s="241"/>
      <c r="H722" s="237"/>
      <c r="I722" s="237"/>
      <c r="K722" s="241"/>
      <c r="L722" s="237"/>
      <c r="M722" s="235"/>
      <c r="O722" s="241"/>
      <c r="P722" s="237"/>
      <c r="Q722" s="237"/>
      <c r="R722" s="24"/>
      <c r="S722" s="24"/>
      <c r="T722" s="24"/>
      <c r="U722" s="24"/>
      <c r="V722" s="119"/>
    </row>
    <row r="723" spans="4:22" s="51" customFormat="1" ht="13.5" customHeight="1" x14ac:dyDescent="0.4">
      <c r="D723" s="118"/>
      <c r="E723" s="52"/>
      <c r="F723" s="52"/>
      <c r="G723" s="241"/>
      <c r="H723" s="237"/>
      <c r="I723" s="237"/>
      <c r="K723" s="241"/>
      <c r="L723" s="237"/>
      <c r="M723" s="235"/>
      <c r="O723" s="241"/>
      <c r="P723" s="237"/>
      <c r="Q723" s="237"/>
      <c r="R723" s="24"/>
      <c r="S723" s="24"/>
      <c r="T723" s="24"/>
      <c r="U723" s="24"/>
      <c r="V723" s="119"/>
    </row>
    <row r="724" spans="4:22" s="51" customFormat="1" ht="13.5" customHeight="1" x14ac:dyDescent="0.4">
      <c r="D724" s="118"/>
      <c r="E724" s="52"/>
      <c r="F724" s="52"/>
      <c r="G724" s="241"/>
      <c r="H724" s="237"/>
      <c r="I724" s="237"/>
      <c r="K724" s="241"/>
      <c r="L724" s="237"/>
      <c r="M724" s="235"/>
      <c r="O724" s="241"/>
      <c r="P724" s="237"/>
      <c r="Q724" s="237"/>
      <c r="R724" s="24"/>
      <c r="S724" s="24"/>
      <c r="T724" s="24"/>
      <c r="U724" s="24"/>
      <c r="V724" s="119"/>
    </row>
    <row r="725" spans="4:22" s="51" customFormat="1" ht="13.5" customHeight="1" x14ac:dyDescent="0.4">
      <c r="D725" s="118"/>
      <c r="E725" s="52"/>
      <c r="F725" s="52"/>
      <c r="G725" s="242"/>
      <c r="H725" s="238"/>
      <c r="I725" s="238"/>
      <c r="K725" s="242"/>
      <c r="L725" s="238"/>
      <c r="M725" s="236"/>
      <c r="O725" s="242"/>
      <c r="P725" s="238"/>
      <c r="Q725" s="238"/>
      <c r="R725" s="24"/>
      <c r="S725" s="24"/>
      <c r="T725" s="24"/>
      <c r="U725" s="24"/>
      <c r="V725" s="119"/>
    </row>
    <row r="726" spans="4:22" s="51" customFormat="1" ht="13.5" x14ac:dyDescent="0.4">
      <c r="D726" s="118"/>
      <c r="E726" s="124" t="s">
        <v>379</v>
      </c>
      <c r="F726" s="124"/>
      <c r="G726" s="124"/>
      <c r="H726" s="155"/>
      <c r="I726" s="155">
        <v>50</v>
      </c>
      <c r="K726" s="124"/>
      <c r="L726" s="155"/>
      <c r="M726" s="155"/>
      <c r="O726" s="124"/>
      <c r="P726" s="155"/>
      <c r="Q726" s="155"/>
      <c r="R726" s="24"/>
      <c r="S726" s="24"/>
      <c r="T726" s="24"/>
      <c r="U726" s="24"/>
      <c r="V726" s="119"/>
    </row>
    <row r="727" spans="4:22" s="51" customFormat="1" ht="13.5" x14ac:dyDescent="0.4">
      <c r="D727" s="118"/>
      <c r="E727" s="124" t="s">
        <v>478</v>
      </c>
      <c r="F727" s="124"/>
      <c r="G727" s="124"/>
      <c r="H727" s="230">
        <v>250</v>
      </c>
      <c r="I727" s="230"/>
      <c r="K727" s="124"/>
      <c r="L727" s="230">
        <v>300</v>
      </c>
      <c r="M727" s="230"/>
      <c r="O727" s="124"/>
      <c r="P727" s="230">
        <v>350</v>
      </c>
      <c r="Q727" s="230"/>
      <c r="R727" s="24"/>
      <c r="S727" s="24"/>
      <c r="T727" s="24"/>
      <c r="U727" s="24"/>
      <c r="V727" s="119"/>
    </row>
    <row r="728" spans="4:22" s="51" customFormat="1" ht="13.5" x14ac:dyDescent="0.4">
      <c r="D728" s="118"/>
      <c r="E728" s="124"/>
      <c r="F728" s="124"/>
      <c r="G728" s="124"/>
      <c r="H728" s="52"/>
      <c r="K728" s="124"/>
      <c r="L728" s="52"/>
      <c r="O728" s="124"/>
      <c r="P728" s="52"/>
      <c r="R728" s="24"/>
      <c r="S728" s="24"/>
      <c r="T728" s="24"/>
      <c r="U728" s="24"/>
      <c r="V728" s="119"/>
    </row>
    <row r="729" spans="4:22" s="51" customFormat="1" ht="13.5" x14ac:dyDescent="0.4">
      <c r="D729" s="118"/>
      <c r="E729" s="124" t="s">
        <v>479</v>
      </c>
      <c r="F729" s="124"/>
      <c r="G729" s="124"/>
      <c r="H729" s="52"/>
      <c r="I729" s="52"/>
      <c r="K729" s="124"/>
      <c r="L729" s="52"/>
      <c r="M729" s="52"/>
      <c r="O729" s="124"/>
      <c r="P729" s="52"/>
      <c r="Q729" s="52"/>
      <c r="R729" s="24"/>
      <c r="S729" s="24"/>
      <c r="T729" s="24"/>
      <c r="U729" s="24"/>
      <c r="V729" s="119"/>
    </row>
    <row r="730" spans="4:22" s="51" customFormat="1" ht="13.5" customHeight="1" x14ac:dyDescent="0.4">
      <c r="D730" s="118"/>
      <c r="E730" s="128" t="s">
        <v>480</v>
      </c>
      <c r="F730" s="128"/>
      <c r="G730" s="124"/>
      <c r="H730" s="231" t="s">
        <v>487</v>
      </c>
      <c r="I730" s="52">
        <v>91220</v>
      </c>
      <c r="K730" s="124"/>
      <c r="L730" s="231" t="s">
        <v>487</v>
      </c>
      <c r="M730" s="231" t="s">
        <v>487</v>
      </c>
      <c r="O730" s="124"/>
      <c r="P730" s="231" t="s">
        <v>487</v>
      </c>
      <c r="Q730" s="231" t="s">
        <v>487</v>
      </c>
      <c r="R730" s="24"/>
      <c r="S730" s="24"/>
      <c r="T730" s="24"/>
      <c r="U730" s="24"/>
      <c r="V730" s="119"/>
    </row>
    <row r="731" spans="4:22" s="51" customFormat="1" ht="13.5" customHeight="1" x14ac:dyDescent="0.4">
      <c r="D731" s="118"/>
      <c r="E731" s="128" t="s">
        <v>481</v>
      </c>
      <c r="F731" s="128"/>
      <c r="G731" s="124"/>
      <c r="H731" s="232"/>
      <c r="I731" s="52">
        <v>6</v>
      </c>
      <c r="K731" s="124"/>
      <c r="L731" s="232"/>
      <c r="M731" s="232"/>
      <c r="O731" s="124"/>
      <c r="P731" s="232"/>
      <c r="Q731" s="232"/>
      <c r="R731" s="24"/>
      <c r="S731" s="24"/>
      <c r="T731" s="24"/>
      <c r="U731" s="24"/>
      <c r="V731" s="119"/>
    </row>
    <row r="732" spans="4:22" s="51" customFormat="1" ht="13.5" x14ac:dyDescent="0.4">
      <c r="D732" s="118"/>
      <c r="E732" s="128" t="s">
        <v>482</v>
      </c>
      <c r="F732" s="128"/>
      <c r="G732" s="124"/>
      <c r="H732" s="232"/>
      <c r="I732" s="124" t="s">
        <v>468</v>
      </c>
      <c r="K732" s="124"/>
      <c r="L732" s="232"/>
      <c r="M732" s="232"/>
      <c r="O732" s="124"/>
      <c r="P732" s="232"/>
      <c r="Q732" s="232"/>
      <c r="R732" s="24"/>
      <c r="S732" s="24"/>
      <c r="T732" s="24"/>
      <c r="U732" s="24"/>
      <c r="V732" s="119"/>
    </row>
    <row r="733" spans="4:22" s="51" customFormat="1" ht="27" x14ac:dyDescent="0.4">
      <c r="D733" s="118"/>
      <c r="E733" s="124" t="s">
        <v>379</v>
      </c>
      <c r="F733" s="124"/>
      <c r="G733" s="124"/>
      <c r="H733" s="233"/>
      <c r="I733" s="124" t="s">
        <v>623</v>
      </c>
      <c r="K733" s="124"/>
      <c r="L733" s="233"/>
      <c r="M733" s="233"/>
      <c r="O733" s="124"/>
      <c r="P733" s="233"/>
      <c r="Q733" s="233"/>
      <c r="R733" s="24"/>
      <c r="S733" s="24"/>
      <c r="T733" s="24"/>
      <c r="U733" s="24"/>
      <c r="V733" s="119"/>
    </row>
    <row r="734" spans="4:22" s="51" customFormat="1" ht="27" x14ac:dyDescent="0.4">
      <c r="D734" s="118"/>
      <c r="E734" s="172" t="s">
        <v>581</v>
      </c>
      <c r="F734" s="124"/>
      <c r="G734" s="124"/>
      <c r="H734" s="136"/>
      <c r="I734" s="124"/>
      <c r="R734" s="24"/>
      <c r="S734" s="24"/>
      <c r="T734" s="24"/>
      <c r="U734" s="24"/>
      <c r="V734" s="119"/>
    </row>
    <row r="735" spans="4:22" s="51" customFormat="1" ht="14.25" thickBot="1" x14ac:dyDescent="0.45">
      <c r="D735" s="129"/>
      <c r="E735" s="130"/>
      <c r="F735" s="130"/>
      <c r="G735" s="130"/>
      <c r="H735" s="130"/>
      <c r="I735" s="131"/>
      <c r="J735" s="132"/>
      <c r="K735" s="132"/>
      <c r="L735" s="132"/>
      <c r="M735" s="132"/>
      <c r="N735" s="132"/>
      <c r="O735" s="132"/>
      <c r="P735" s="132"/>
      <c r="Q735" s="132"/>
      <c r="R735" s="174"/>
      <c r="S735" s="174"/>
      <c r="T735" s="174"/>
      <c r="U735" s="174"/>
      <c r="V735" s="133"/>
    </row>
    <row r="736" spans="4:22" s="51" customFormat="1" ht="13.5" x14ac:dyDescent="0.4">
      <c r="D736" s="114" t="s">
        <v>474</v>
      </c>
      <c r="E736" s="115"/>
      <c r="F736" s="115"/>
      <c r="G736" s="115"/>
      <c r="H736" s="115"/>
      <c r="I736" s="115"/>
      <c r="J736" s="116"/>
      <c r="K736" s="116"/>
      <c r="L736" s="116"/>
      <c r="M736" s="116"/>
      <c r="N736" s="116"/>
      <c r="O736" s="116"/>
      <c r="P736" s="116"/>
      <c r="Q736" s="116"/>
      <c r="R736" s="173"/>
      <c r="S736" s="173"/>
      <c r="T736" s="173"/>
      <c r="U736" s="173"/>
      <c r="V736" s="117"/>
    </row>
    <row r="737" spans="4:22" s="51" customFormat="1" ht="13.5" x14ac:dyDescent="0.4">
      <c r="D737" s="118">
        <v>30</v>
      </c>
      <c r="E737" s="14" t="s">
        <v>584</v>
      </c>
      <c r="F737" s="14"/>
      <c r="G737" s="14"/>
      <c r="H737" s="52"/>
      <c r="I737" s="52"/>
      <c r="R737" s="24"/>
      <c r="S737" s="24"/>
      <c r="T737" s="24"/>
      <c r="U737" s="24"/>
      <c r="V737" s="119"/>
    </row>
    <row r="738" spans="4:22" s="51" customFormat="1" ht="13.5" x14ac:dyDescent="0.4">
      <c r="D738" s="118"/>
      <c r="E738" s="14"/>
      <c r="F738" s="14"/>
      <c r="G738" s="14"/>
      <c r="H738" s="52"/>
      <c r="I738" s="52"/>
      <c r="R738" s="24"/>
      <c r="S738" s="24"/>
      <c r="T738" s="24"/>
      <c r="U738" s="24"/>
      <c r="V738" s="119"/>
    </row>
    <row r="739" spans="4:22" s="52" customFormat="1" ht="13.5" x14ac:dyDescent="0.4">
      <c r="D739" s="118"/>
      <c r="E739" s="52" t="s">
        <v>475</v>
      </c>
      <c r="H739" s="52" t="str">
        <f>H741&amp;"円の値引シール【3:金額】"</f>
        <v>300円の値引シール【3:金額】</v>
      </c>
      <c r="I739" s="52" t="str">
        <f>I741&amp;"円にレジでの売価変更"</f>
        <v>250円にレジでの売価変更</v>
      </c>
      <c r="L739" s="52" t="str">
        <f>L741&amp;"円の値引シール【3:金額】"</f>
        <v>300円の値引シール【3:金額】</v>
      </c>
      <c r="M739" s="52" t="str">
        <f>M741&amp;"円にレジでの売価変更"</f>
        <v>300円にレジでの売価変更</v>
      </c>
      <c r="N739" s="51"/>
      <c r="P739" s="52" t="str">
        <f>P741&amp;"円の値引シール【3:金額】"</f>
        <v>300円の値引シール【3:金額】</v>
      </c>
      <c r="Q739" s="52" t="str">
        <f>Q741&amp;"円にレジでの売価変更"</f>
        <v>350円にレジでの売価変更</v>
      </c>
      <c r="R739" s="24"/>
      <c r="S739" s="24"/>
      <c r="T739" s="24"/>
      <c r="U739" s="24"/>
      <c r="V739" s="121"/>
    </row>
    <row r="740" spans="4:22" s="51" customFormat="1" ht="13.5" x14ac:dyDescent="0.4">
      <c r="D740" s="118"/>
      <c r="E740" s="122"/>
      <c r="F740" s="122"/>
      <c r="G740" s="14"/>
      <c r="H740" s="52"/>
      <c r="K740" s="14"/>
      <c r="L740" s="52"/>
      <c r="O740" s="14"/>
      <c r="P740" s="52"/>
      <c r="R740" s="24"/>
      <c r="S740" s="24"/>
      <c r="T740" s="24"/>
      <c r="U740" s="24"/>
      <c r="V740" s="119"/>
    </row>
    <row r="741" spans="4:22" s="51" customFormat="1" ht="13.5" x14ac:dyDescent="0.4">
      <c r="D741" s="118"/>
      <c r="E741" s="122" t="s">
        <v>643</v>
      </c>
      <c r="F741" s="122"/>
      <c r="G741" s="52"/>
      <c r="H741" s="52">
        <v>300</v>
      </c>
      <c r="I741" s="52">
        <v>250</v>
      </c>
      <c r="K741" s="52"/>
      <c r="L741" s="52">
        <v>300</v>
      </c>
      <c r="M741" s="52">
        <v>300</v>
      </c>
      <c r="O741" s="52"/>
      <c r="P741" s="52">
        <v>300</v>
      </c>
      <c r="Q741" s="52">
        <v>350</v>
      </c>
      <c r="R741" s="24"/>
      <c r="S741" s="24"/>
      <c r="T741" s="24"/>
      <c r="U741" s="24"/>
      <c r="V741" s="119"/>
    </row>
    <row r="742" spans="4:22" s="51" customFormat="1" ht="13.5" x14ac:dyDescent="0.4">
      <c r="D742" s="118"/>
      <c r="E742" s="52"/>
      <c r="F742" s="52"/>
      <c r="G742" s="52"/>
      <c r="I742" s="52"/>
      <c r="K742" s="52"/>
      <c r="M742" s="52"/>
      <c r="O742" s="52"/>
      <c r="Q742" s="52"/>
      <c r="R742" s="24"/>
      <c r="S742" s="24"/>
      <c r="T742" s="24"/>
      <c r="U742" s="24"/>
      <c r="V742" s="119"/>
    </row>
    <row r="743" spans="4:22" s="51" customFormat="1" ht="13.5" customHeight="1" x14ac:dyDescent="0.4">
      <c r="D743" s="118"/>
      <c r="E743" s="52"/>
      <c r="F743" s="52"/>
      <c r="G743" s="52"/>
      <c r="I743" s="52"/>
      <c r="K743" s="52"/>
      <c r="M743" s="52"/>
      <c r="O743" s="52"/>
      <c r="Q743" s="52"/>
      <c r="R743" s="24"/>
      <c r="S743" s="24"/>
      <c r="T743" s="24"/>
      <c r="U743" s="24"/>
      <c r="V743" s="119"/>
    </row>
    <row r="744" spans="4:22" s="51" customFormat="1" ht="13.5" x14ac:dyDescent="0.4">
      <c r="D744" s="118"/>
      <c r="E744" s="52"/>
      <c r="F744" s="52"/>
      <c r="G744" s="52"/>
      <c r="K744" s="52"/>
      <c r="O744" s="52"/>
      <c r="Q744" s="234" t="s">
        <v>625</v>
      </c>
      <c r="R744" s="24"/>
      <c r="S744" s="24"/>
      <c r="T744" s="24"/>
      <c r="U744" s="24"/>
      <c r="V744" s="119"/>
    </row>
    <row r="745" spans="4:22" s="51" customFormat="1" ht="13.5" x14ac:dyDescent="0.4">
      <c r="D745" s="118"/>
      <c r="E745" s="52"/>
      <c r="F745" s="52"/>
      <c r="G745" s="240" t="s">
        <v>476</v>
      </c>
      <c r="H745" s="239" t="s">
        <v>583</v>
      </c>
      <c r="I745" s="123" t="s">
        <v>477</v>
      </c>
      <c r="K745" s="240" t="s">
        <v>476</v>
      </c>
      <c r="L745" s="239" t="s">
        <v>583</v>
      </c>
      <c r="M745" s="234" t="s">
        <v>624</v>
      </c>
      <c r="O745" s="240" t="s">
        <v>476</v>
      </c>
      <c r="P745" s="239" t="s">
        <v>583</v>
      </c>
      <c r="Q745" s="235"/>
      <c r="R745" s="24"/>
      <c r="S745" s="24"/>
      <c r="T745" s="24"/>
      <c r="U745" s="24"/>
      <c r="V745" s="119"/>
    </row>
    <row r="746" spans="4:22" s="51" customFormat="1" ht="13.5" customHeight="1" x14ac:dyDescent="0.4">
      <c r="D746" s="118"/>
      <c r="E746" s="52"/>
      <c r="F746" s="52"/>
      <c r="G746" s="241"/>
      <c r="H746" s="237"/>
      <c r="I746" s="234" t="s">
        <v>622</v>
      </c>
      <c r="K746" s="241"/>
      <c r="L746" s="237"/>
      <c r="M746" s="235"/>
      <c r="O746" s="241"/>
      <c r="P746" s="237"/>
      <c r="Q746" s="235"/>
      <c r="R746" s="24"/>
      <c r="S746" s="24"/>
      <c r="T746" s="24"/>
      <c r="U746" s="24"/>
      <c r="V746" s="119"/>
    </row>
    <row r="747" spans="4:22" s="51" customFormat="1" ht="13.5" customHeight="1" x14ac:dyDescent="0.4">
      <c r="D747" s="118"/>
      <c r="E747" s="52"/>
      <c r="F747" s="52"/>
      <c r="G747" s="241"/>
      <c r="H747" s="237"/>
      <c r="I747" s="237"/>
      <c r="K747" s="241"/>
      <c r="L747" s="237"/>
      <c r="M747" s="235"/>
      <c r="O747" s="241"/>
      <c r="P747" s="237"/>
      <c r="Q747" s="235"/>
      <c r="R747" s="24"/>
      <c r="S747" s="24"/>
      <c r="T747" s="24"/>
      <c r="U747" s="24"/>
      <c r="V747" s="119"/>
    </row>
    <row r="748" spans="4:22" s="51" customFormat="1" ht="13.5" customHeight="1" x14ac:dyDescent="0.4">
      <c r="D748" s="118"/>
      <c r="E748" s="52"/>
      <c r="F748" s="52"/>
      <c r="G748" s="241"/>
      <c r="H748" s="237"/>
      <c r="I748" s="237"/>
      <c r="K748" s="241"/>
      <c r="L748" s="237"/>
      <c r="M748" s="235"/>
      <c r="O748" s="241"/>
      <c r="P748" s="237"/>
      <c r="Q748" s="235"/>
      <c r="R748" s="24"/>
      <c r="S748" s="24"/>
      <c r="T748" s="24"/>
      <c r="U748" s="24"/>
      <c r="V748" s="119"/>
    </row>
    <row r="749" spans="4:22" s="51" customFormat="1" ht="13.5" customHeight="1" x14ac:dyDescent="0.4">
      <c r="D749" s="118"/>
      <c r="E749" s="52"/>
      <c r="F749" s="52"/>
      <c r="G749" s="241"/>
      <c r="H749" s="237"/>
      <c r="I749" s="237"/>
      <c r="K749" s="241"/>
      <c r="L749" s="237"/>
      <c r="M749" s="235"/>
      <c r="O749" s="241"/>
      <c r="P749" s="237"/>
      <c r="Q749" s="235"/>
      <c r="R749" s="24"/>
      <c r="S749" s="24"/>
      <c r="T749" s="24"/>
      <c r="U749" s="24"/>
      <c r="V749" s="119"/>
    </row>
    <row r="750" spans="4:22" s="51" customFormat="1" ht="13.5" customHeight="1" x14ac:dyDescent="0.4">
      <c r="D750" s="118"/>
      <c r="E750" s="52"/>
      <c r="F750" s="52"/>
      <c r="G750" s="242"/>
      <c r="H750" s="238"/>
      <c r="I750" s="238"/>
      <c r="K750" s="242"/>
      <c r="L750" s="238"/>
      <c r="M750" s="236"/>
      <c r="O750" s="242"/>
      <c r="P750" s="238"/>
      <c r="Q750" s="236"/>
      <c r="R750" s="24"/>
      <c r="S750" s="24"/>
      <c r="T750" s="24"/>
      <c r="U750" s="24"/>
      <c r="V750" s="119"/>
    </row>
    <row r="751" spans="4:22" s="51" customFormat="1" ht="13.5" x14ac:dyDescent="0.4">
      <c r="D751" s="118"/>
      <c r="E751" s="124" t="s">
        <v>379</v>
      </c>
      <c r="F751" s="124"/>
      <c r="G751" s="124"/>
      <c r="H751" s="170"/>
      <c r="I751" s="170">
        <v>50</v>
      </c>
      <c r="K751" s="124"/>
      <c r="L751" s="170"/>
      <c r="M751" s="170"/>
      <c r="O751" s="124"/>
      <c r="P751" s="170"/>
      <c r="Q751" s="170"/>
      <c r="R751" s="24"/>
      <c r="S751" s="24"/>
      <c r="T751" s="24"/>
      <c r="U751" s="24"/>
      <c r="V751" s="119"/>
    </row>
    <row r="752" spans="4:22" s="51" customFormat="1" ht="13.5" x14ac:dyDescent="0.4">
      <c r="D752" s="118"/>
      <c r="E752" s="124" t="s">
        <v>478</v>
      </c>
      <c r="F752" s="124"/>
      <c r="G752" s="124"/>
      <c r="H752" s="230">
        <v>250</v>
      </c>
      <c r="I752" s="230"/>
      <c r="K752" s="124"/>
      <c r="L752" s="230">
        <v>300</v>
      </c>
      <c r="M752" s="230"/>
      <c r="O752" s="124"/>
      <c r="P752" s="230">
        <v>350</v>
      </c>
      <c r="Q752" s="230"/>
      <c r="R752" s="24"/>
      <c r="S752" s="24"/>
      <c r="T752" s="24"/>
      <c r="U752" s="24"/>
      <c r="V752" s="119"/>
    </row>
    <row r="753" spans="4:22" s="51" customFormat="1" ht="13.5" x14ac:dyDescent="0.4">
      <c r="D753" s="118"/>
      <c r="E753" s="124"/>
      <c r="F753" s="124"/>
      <c r="G753" s="124"/>
      <c r="H753" s="52"/>
      <c r="K753" s="124"/>
      <c r="L753" s="52"/>
      <c r="O753" s="124"/>
      <c r="P753" s="52"/>
      <c r="R753" s="24"/>
      <c r="S753" s="24"/>
      <c r="T753" s="24"/>
      <c r="U753" s="24"/>
      <c r="V753" s="119"/>
    </row>
    <row r="754" spans="4:22" s="51" customFormat="1" ht="13.5" x14ac:dyDescent="0.4">
      <c r="D754" s="118"/>
      <c r="E754" s="124" t="s">
        <v>479</v>
      </c>
      <c r="F754" s="124"/>
      <c r="G754" s="124"/>
      <c r="H754" s="52"/>
      <c r="I754" s="52"/>
      <c r="K754" s="124"/>
      <c r="L754" s="52"/>
      <c r="M754" s="52"/>
      <c r="O754" s="124"/>
      <c r="P754" s="52"/>
      <c r="Q754" s="52"/>
      <c r="R754" s="24"/>
      <c r="S754" s="24"/>
      <c r="T754" s="24"/>
      <c r="U754" s="24"/>
      <c r="V754" s="119"/>
    </row>
    <row r="755" spans="4:22" s="51" customFormat="1" ht="13.5" customHeight="1" x14ac:dyDescent="0.4">
      <c r="D755" s="118"/>
      <c r="E755" s="128" t="s">
        <v>480</v>
      </c>
      <c r="F755" s="128"/>
      <c r="G755" s="124"/>
      <c r="H755" s="231" t="s">
        <v>487</v>
      </c>
      <c r="I755" s="52">
        <v>91220</v>
      </c>
      <c r="K755" s="124"/>
      <c r="L755" s="231" t="s">
        <v>487</v>
      </c>
      <c r="M755" s="231" t="s">
        <v>487</v>
      </c>
      <c r="O755" s="124"/>
      <c r="P755" s="231" t="s">
        <v>487</v>
      </c>
      <c r="Q755" s="231" t="s">
        <v>487</v>
      </c>
      <c r="R755" s="24"/>
      <c r="S755" s="24"/>
      <c r="T755" s="24"/>
      <c r="U755" s="24"/>
      <c r="V755" s="119"/>
    </row>
    <row r="756" spans="4:22" s="51" customFormat="1" ht="13.5" customHeight="1" x14ac:dyDescent="0.4">
      <c r="D756" s="118"/>
      <c r="E756" s="128" t="s">
        <v>481</v>
      </c>
      <c r="F756" s="128"/>
      <c r="G756" s="124"/>
      <c r="H756" s="232"/>
      <c r="I756" s="52">
        <v>6</v>
      </c>
      <c r="K756" s="124"/>
      <c r="L756" s="232"/>
      <c r="M756" s="232"/>
      <c r="O756" s="124"/>
      <c r="P756" s="232"/>
      <c r="Q756" s="232"/>
      <c r="R756" s="24"/>
      <c r="S756" s="24"/>
      <c r="T756" s="24"/>
      <c r="U756" s="24"/>
      <c r="V756" s="119"/>
    </row>
    <row r="757" spans="4:22" s="51" customFormat="1" ht="13.5" x14ac:dyDescent="0.4">
      <c r="D757" s="118"/>
      <c r="E757" s="128" t="s">
        <v>482</v>
      </c>
      <c r="F757" s="128"/>
      <c r="G757" s="124"/>
      <c r="H757" s="232"/>
      <c r="I757" s="124" t="s">
        <v>468</v>
      </c>
      <c r="K757" s="124"/>
      <c r="L757" s="232"/>
      <c r="M757" s="232"/>
      <c r="O757" s="124"/>
      <c r="P757" s="232"/>
      <c r="Q757" s="232"/>
      <c r="R757" s="24"/>
      <c r="S757" s="24"/>
      <c r="T757" s="24"/>
      <c r="U757" s="24"/>
      <c r="V757" s="119"/>
    </row>
    <row r="758" spans="4:22" s="51" customFormat="1" ht="27" x14ac:dyDescent="0.4">
      <c r="D758" s="118"/>
      <c r="E758" s="124" t="s">
        <v>379</v>
      </c>
      <c r="F758" s="124"/>
      <c r="G758" s="124"/>
      <c r="H758" s="233"/>
      <c r="I758" s="124" t="s">
        <v>623</v>
      </c>
      <c r="K758" s="124"/>
      <c r="L758" s="233"/>
      <c r="M758" s="233"/>
      <c r="O758" s="124"/>
      <c r="P758" s="233"/>
      <c r="Q758" s="233"/>
      <c r="R758" s="24"/>
      <c r="S758" s="24"/>
      <c r="T758" s="24"/>
      <c r="U758" s="24"/>
      <c r="V758" s="119"/>
    </row>
    <row r="759" spans="4:22" s="51" customFormat="1" ht="27" x14ac:dyDescent="0.4">
      <c r="D759" s="118"/>
      <c r="E759" s="172" t="s">
        <v>581</v>
      </c>
      <c r="F759" s="124"/>
      <c r="G759" s="124"/>
      <c r="H759" s="136"/>
      <c r="I759" s="124"/>
      <c r="R759" s="24"/>
      <c r="S759" s="24"/>
      <c r="T759" s="24"/>
      <c r="U759" s="24"/>
      <c r="V759" s="119"/>
    </row>
    <row r="760" spans="4:22" s="51" customFormat="1" ht="14.25" thickBot="1" x14ac:dyDescent="0.45">
      <c r="D760" s="129"/>
      <c r="E760" s="130"/>
      <c r="F760" s="130"/>
      <c r="G760" s="130"/>
      <c r="H760" s="130"/>
      <c r="I760" s="131"/>
      <c r="J760" s="132"/>
      <c r="K760" s="132"/>
      <c r="L760" s="132"/>
      <c r="M760" s="132"/>
      <c r="N760" s="132"/>
      <c r="O760" s="132"/>
      <c r="P760" s="132"/>
      <c r="Q760" s="132"/>
      <c r="R760" s="174"/>
      <c r="S760" s="174"/>
      <c r="T760" s="174"/>
      <c r="U760" s="174"/>
      <c r="V760" s="133"/>
    </row>
    <row r="761" spans="4:22" s="51" customFormat="1" ht="13.5" x14ac:dyDescent="0.4">
      <c r="D761" s="114" t="s">
        <v>474</v>
      </c>
      <c r="E761" s="115"/>
      <c r="F761" s="115"/>
      <c r="G761" s="115"/>
      <c r="H761" s="115"/>
      <c r="I761" s="115"/>
      <c r="J761" s="116"/>
      <c r="K761" s="116"/>
      <c r="L761" s="116"/>
      <c r="M761" s="116"/>
      <c r="N761" s="116"/>
      <c r="O761" s="116"/>
      <c r="P761" s="116"/>
      <c r="Q761" s="116"/>
      <c r="R761" s="173"/>
      <c r="S761" s="173"/>
      <c r="T761" s="173"/>
      <c r="U761" s="173"/>
      <c r="V761" s="117"/>
    </row>
    <row r="762" spans="4:22" s="51" customFormat="1" ht="13.5" x14ac:dyDescent="0.4">
      <c r="D762" s="118">
        <v>31</v>
      </c>
      <c r="E762" s="14" t="s">
        <v>586</v>
      </c>
      <c r="F762" s="14"/>
      <c r="G762" s="14"/>
      <c r="H762" s="52"/>
      <c r="I762" s="52"/>
      <c r="R762" s="24"/>
      <c r="S762" s="24"/>
      <c r="T762" s="24"/>
      <c r="U762" s="24"/>
      <c r="V762" s="119"/>
    </row>
    <row r="763" spans="4:22" s="51" customFormat="1" ht="13.5" x14ac:dyDescent="0.4">
      <c r="D763" s="118"/>
      <c r="E763" s="14"/>
      <c r="F763" s="14"/>
      <c r="G763" s="14"/>
      <c r="H763" s="52"/>
      <c r="I763" s="52"/>
      <c r="R763" s="24"/>
      <c r="S763" s="24"/>
      <c r="T763" s="24"/>
      <c r="U763" s="24"/>
      <c r="V763" s="119"/>
    </row>
    <row r="764" spans="4:22" s="52" customFormat="1" ht="13.5" x14ac:dyDescent="0.4">
      <c r="D764" s="118"/>
      <c r="E764" s="52" t="s">
        <v>475</v>
      </c>
      <c r="H764" s="52" t="str">
        <f>H766&amp;"円の値引シール【3:金額】"</f>
        <v>250円の値引シール【3:金額】</v>
      </c>
      <c r="I764" s="52" t="str">
        <f>I766&amp;"円にレジでの売価変更"</f>
        <v>250円にレジでの売価変更</v>
      </c>
      <c r="L764" s="52" t="str">
        <f>L766&amp;"円の値引シール【3:金額】"</f>
        <v>250円の値引シール【3:金額】</v>
      </c>
      <c r="M764" s="52" t="str">
        <f>M766&amp;"円にレジでの売価変更"</f>
        <v>300円にレジでの売価変更</v>
      </c>
      <c r="N764" s="51"/>
      <c r="P764" s="52" t="str">
        <f>P766&amp;"円の値引シール【3:金額】"</f>
        <v>250円の値引シール【3:金額】</v>
      </c>
      <c r="Q764" s="52" t="str">
        <f>Q766&amp;"円にレジでの売価変更"</f>
        <v>350円にレジでの売価変更</v>
      </c>
      <c r="R764" s="24"/>
      <c r="S764" s="24"/>
      <c r="T764" s="24"/>
      <c r="U764" s="24"/>
      <c r="V764" s="121"/>
    </row>
    <row r="765" spans="4:22" s="51" customFormat="1" ht="13.5" x14ac:dyDescent="0.4">
      <c r="D765" s="118"/>
      <c r="E765" s="122"/>
      <c r="F765" s="122"/>
      <c r="G765" s="14"/>
      <c r="H765" s="52"/>
      <c r="K765" s="14"/>
      <c r="L765" s="52"/>
      <c r="O765" s="14"/>
      <c r="P765" s="52"/>
      <c r="R765" s="24"/>
      <c r="S765" s="24"/>
      <c r="T765" s="24"/>
      <c r="U765" s="24"/>
      <c r="V765" s="119"/>
    </row>
    <row r="766" spans="4:22" s="51" customFormat="1" ht="13.5" x14ac:dyDescent="0.4">
      <c r="D766" s="118"/>
      <c r="E766" s="122" t="s">
        <v>643</v>
      </c>
      <c r="F766" s="122"/>
      <c r="G766" s="52"/>
      <c r="H766" s="52">
        <v>250</v>
      </c>
      <c r="I766" s="52">
        <v>250</v>
      </c>
      <c r="K766" s="52"/>
      <c r="L766" s="52">
        <v>250</v>
      </c>
      <c r="M766" s="52">
        <v>300</v>
      </c>
      <c r="O766" s="52"/>
      <c r="P766" s="52">
        <v>250</v>
      </c>
      <c r="Q766" s="52">
        <v>350</v>
      </c>
      <c r="R766" s="24"/>
      <c r="S766" s="24"/>
      <c r="T766" s="24"/>
      <c r="U766" s="24"/>
      <c r="V766" s="119"/>
    </row>
    <row r="767" spans="4:22" s="51" customFormat="1" ht="13.5" x14ac:dyDescent="0.4">
      <c r="D767" s="118"/>
      <c r="E767" s="52"/>
      <c r="F767" s="52"/>
      <c r="G767" s="52"/>
      <c r="I767" s="52"/>
      <c r="K767" s="52"/>
      <c r="M767" s="52"/>
      <c r="O767" s="52"/>
      <c r="Q767" s="52"/>
      <c r="R767" s="24"/>
      <c r="S767" s="24"/>
      <c r="T767" s="24"/>
      <c r="U767" s="24"/>
      <c r="V767" s="119"/>
    </row>
    <row r="768" spans="4:22" s="51" customFormat="1" ht="13.5" customHeight="1" x14ac:dyDescent="0.4">
      <c r="D768" s="118"/>
      <c r="E768" s="52"/>
      <c r="F768" s="52"/>
      <c r="G768" s="52"/>
      <c r="I768" s="52"/>
      <c r="K768" s="52"/>
      <c r="M768" s="52"/>
      <c r="O768" s="52"/>
      <c r="Q768" s="52"/>
      <c r="R768" s="24"/>
      <c r="S768" s="24"/>
      <c r="T768" s="24"/>
      <c r="U768" s="24"/>
      <c r="V768" s="119"/>
    </row>
    <row r="769" spans="4:22" s="51" customFormat="1" ht="13.5" x14ac:dyDescent="0.4">
      <c r="D769" s="118"/>
      <c r="E769" s="52"/>
      <c r="F769" s="52"/>
      <c r="G769" s="52"/>
      <c r="K769" s="52"/>
      <c r="O769" s="52"/>
      <c r="Q769" s="234" t="s">
        <v>625</v>
      </c>
      <c r="R769" s="24"/>
      <c r="S769" s="24"/>
      <c r="T769" s="24"/>
      <c r="U769" s="24"/>
      <c r="V769" s="119"/>
    </row>
    <row r="770" spans="4:22" s="51" customFormat="1" ht="13.5" x14ac:dyDescent="0.4">
      <c r="D770" s="118"/>
      <c r="E770" s="52"/>
      <c r="F770" s="52"/>
      <c r="G770" s="240" t="s">
        <v>476</v>
      </c>
      <c r="I770" s="123" t="s">
        <v>477</v>
      </c>
      <c r="K770" s="240" t="s">
        <v>476</v>
      </c>
      <c r="M770" s="234" t="s">
        <v>624</v>
      </c>
      <c r="O770" s="240" t="s">
        <v>476</v>
      </c>
      <c r="Q770" s="235"/>
      <c r="R770" s="24"/>
      <c r="S770" s="24"/>
      <c r="T770" s="24"/>
      <c r="U770" s="24"/>
      <c r="V770" s="119"/>
    </row>
    <row r="771" spans="4:22" s="51" customFormat="1" ht="13.5" customHeight="1" x14ac:dyDescent="0.4">
      <c r="D771" s="118"/>
      <c r="E771" s="52"/>
      <c r="F771" s="52"/>
      <c r="G771" s="241"/>
      <c r="H771" s="239" t="s">
        <v>583</v>
      </c>
      <c r="I771" s="234" t="s">
        <v>622</v>
      </c>
      <c r="K771" s="241"/>
      <c r="L771" s="239" t="s">
        <v>583</v>
      </c>
      <c r="M771" s="235"/>
      <c r="O771" s="241"/>
      <c r="P771" s="239" t="s">
        <v>583</v>
      </c>
      <c r="Q771" s="235"/>
      <c r="R771" s="24"/>
      <c r="S771" s="24"/>
      <c r="T771" s="24"/>
      <c r="U771" s="24"/>
      <c r="V771" s="119"/>
    </row>
    <row r="772" spans="4:22" s="51" customFormat="1" ht="13.5" customHeight="1" x14ac:dyDescent="0.4">
      <c r="D772" s="118"/>
      <c r="E772" s="52"/>
      <c r="F772" s="52"/>
      <c r="G772" s="241"/>
      <c r="H772" s="237"/>
      <c r="I772" s="237"/>
      <c r="K772" s="241"/>
      <c r="L772" s="237"/>
      <c r="M772" s="235"/>
      <c r="O772" s="241"/>
      <c r="P772" s="237"/>
      <c r="Q772" s="235"/>
      <c r="R772" s="24"/>
      <c r="S772" s="24"/>
      <c r="T772" s="24"/>
      <c r="U772" s="24"/>
      <c r="V772" s="119"/>
    </row>
    <row r="773" spans="4:22" s="51" customFormat="1" ht="13.5" customHeight="1" x14ac:dyDescent="0.4">
      <c r="D773" s="118"/>
      <c r="E773" s="52"/>
      <c r="F773" s="52"/>
      <c r="G773" s="241"/>
      <c r="H773" s="237"/>
      <c r="I773" s="237"/>
      <c r="K773" s="241"/>
      <c r="L773" s="237"/>
      <c r="M773" s="235"/>
      <c r="O773" s="241"/>
      <c r="P773" s="237"/>
      <c r="Q773" s="235"/>
      <c r="R773" s="24"/>
      <c r="S773" s="24"/>
      <c r="T773" s="24"/>
      <c r="U773" s="24"/>
      <c r="V773" s="119"/>
    </row>
    <row r="774" spans="4:22" s="51" customFormat="1" ht="13.5" customHeight="1" x14ac:dyDescent="0.4">
      <c r="D774" s="118"/>
      <c r="E774" s="52"/>
      <c r="F774" s="52"/>
      <c r="G774" s="241"/>
      <c r="H774" s="237"/>
      <c r="I774" s="237"/>
      <c r="K774" s="241"/>
      <c r="L774" s="237"/>
      <c r="M774" s="235"/>
      <c r="O774" s="241"/>
      <c r="P774" s="237"/>
      <c r="Q774" s="235"/>
      <c r="R774" s="24"/>
      <c r="S774" s="24"/>
      <c r="T774" s="24"/>
      <c r="U774" s="24"/>
      <c r="V774" s="119"/>
    </row>
    <row r="775" spans="4:22" s="51" customFormat="1" ht="13.5" customHeight="1" x14ac:dyDescent="0.4">
      <c r="D775" s="118"/>
      <c r="E775" s="52"/>
      <c r="F775" s="52"/>
      <c r="G775" s="242"/>
      <c r="H775" s="238"/>
      <c r="I775" s="238"/>
      <c r="K775" s="242"/>
      <c r="L775" s="238"/>
      <c r="M775" s="236"/>
      <c r="O775" s="242"/>
      <c r="P775" s="238"/>
      <c r="Q775" s="236"/>
      <c r="R775" s="24"/>
      <c r="S775" s="24"/>
      <c r="T775" s="24"/>
      <c r="U775" s="24"/>
      <c r="V775" s="119"/>
    </row>
    <row r="776" spans="4:22" s="51" customFormat="1" ht="13.5" x14ac:dyDescent="0.4">
      <c r="D776" s="118"/>
      <c r="E776" s="124" t="s">
        <v>379</v>
      </c>
      <c r="F776" s="124"/>
      <c r="G776" s="124"/>
      <c r="H776" s="170"/>
      <c r="I776" s="170">
        <v>50</v>
      </c>
      <c r="K776" s="124"/>
      <c r="L776" s="170"/>
      <c r="M776" s="170"/>
      <c r="O776" s="124"/>
      <c r="P776" s="170"/>
      <c r="Q776" s="170"/>
      <c r="R776" s="24"/>
      <c r="S776" s="24"/>
      <c r="T776" s="24"/>
      <c r="U776" s="24"/>
      <c r="V776" s="119"/>
    </row>
    <row r="777" spans="4:22" s="51" customFormat="1" ht="13.5" x14ac:dyDescent="0.4">
      <c r="D777" s="118"/>
      <c r="E777" s="124" t="s">
        <v>478</v>
      </c>
      <c r="F777" s="124"/>
      <c r="G777" s="124"/>
      <c r="H777" s="230">
        <v>250</v>
      </c>
      <c r="I777" s="230"/>
      <c r="K777" s="124"/>
      <c r="L777" s="230">
        <v>300</v>
      </c>
      <c r="M777" s="230"/>
      <c r="O777" s="124"/>
      <c r="P777" s="230">
        <v>350</v>
      </c>
      <c r="Q777" s="230"/>
      <c r="R777" s="24"/>
      <c r="S777" s="24"/>
      <c r="T777" s="24"/>
      <c r="U777" s="24"/>
      <c r="V777" s="119"/>
    </row>
    <row r="778" spans="4:22" s="51" customFormat="1" ht="13.5" x14ac:dyDescent="0.4">
      <c r="D778" s="118"/>
      <c r="E778" s="124"/>
      <c r="F778" s="124"/>
      <c r="G778" s="124"/>
      <c r="H778" s="52"/>
      <c r="K778" s="124"/>
      <c r="L778" s="52"/>
      <c r="O778" s="124"/>
      <c r="P778" s="52"/>
      <c r="R778" s="24"/>
      <c r="S778" s="24"/>
      <c r="T778" s="24"/>
      <c r="U778" s="24"/>
      <c r="V778" s="119"/>
    </row>
    <row r="779" spans="4:22" s="51" customFormat="1" ht="13.5" x14ac:dyDescent="0.4">
      <c r="D779" s="118"/>
      <c r="E779" s="124" t="s">
        <v>479</v>
      </c>
      <c r="F779" s="124"/>
      <c r="G779" s="124"/>
      <c r="H779" s="52"/>
      <c r="I779" s="52"/>
      <c r="K779" s="124"/>
      <c r="L779" s="52"/>
      <c r="M779" s="52"/>
      <c r="O779" s="124"/>
      <c r="P779" s="52"/>
      <c r="Q779" s="52"/>
      <c r="R779" s="24"/>
      <c r="S779" s="24"/>
      <c r="T779" s="24"/>
      <c r="U779" s="24"/>
      <c r="V779" s="119"/>
    </row>
    <row r="780" spans="4:22" s="51" customFormat="1" ht="13.5" customHeight="1" x14ac:dyDescent="0.4">
      <c r="D780" s="118"/>
      <c r="E780" s="128" t="s">
        <v>480</v>
      </c>
      <c r="F780" s="128"/>
      <c r="G780" s="124"/>
      <c r="H780" s="231" t="s">
        <v>487</v>
      </c>
      <c r="I780" s="52">
        <v>91220</v>
      </c>
      <c r="K780" s="124"/>
      <c r="L780" s="231" t="s">
        <v>487</v>
      </c>
      <c r="M780" s="231" t="s">
        <v>487</v>
      </c>
      <c r="O780" s="124"/>
      <c r="P780" s="231" t="s">
        <v>487</v>
      </c>
      <c r="Q780" s="231" t="s">
        <v>487</v>
      </c>
      <c r="R780" s="24"/>
      <c r="S780" s="24"/>
      <c r="T780" s="24"/>
      <c r="U780" s="24"/>
      <c r="V780" s="119"/>
    </row>
    <row r="781" spans="4:22" s="51" customFormat="1" ht="13.5" customHeight="1" x14ac:dyDescent="0.4">
      <c r="D781" s="118"/>
      <c r="E781" s="128" t="s">
        <v>481</v>
      </c>
      <c r="F781" s="128"/>
      <c r="G781" s="124"/>
      <c r="H781" s="232"/>
      <c r="I781" s="52">
        <v>6</v>
      </c>
      <c r="K781" s="124"/>
      <c r="L781" s="232"/>
      <c r="M781" s="232"/>
      <c r="O781" s="124"/>
      <c r="P781" s="232"/>
      <c r="Q781" s="232"/>
      <c r="R781" s="24"/>
      <c r="S781" s="24"/>
      <c r="T781" s="24"/>
      <c r="U781" s="24"/>
      <c r="V781" s="119"/>
    </row>
    <row r="782" spans="4:22" s="51" customFormat="1" ht="13.5" x14ac:dyDescent="0.4">
      <c r="D782" s="118"/>
      <c r="E782" s="128" t="s">
        <v>482</v>
      </c>
      <c r="F782" s="128"/>
      <c r="G782" s="124"/>
      <c r="H782" s="232"/>
      <c r="I782" s="124" t="s">
        <v>468</v>
      </c>
      <c r="K782" s="124"/>
      <c r="L782" s="232"/>
      <c r="M782" s="232"/>
      <c r="O782" s="124"/>
      <c r="P782" s="232"/>
      <c r="Q782" s="232"/>
      <c r="R782" s="24"/>
      <c r="S782" s="24"/>
      <c r="T782" s="24"/>
      <c r="U782" s="24"/>
      <c r="V782" s="119"/>
    </row>
    <row r="783" spans="4:22" s="51" customFormat="1" ht="27" x14ac:dyDescent="0.4">
      <c r="D783" s="118"/>
      <c r="E783" s="124" t="s">
        <v>379</v>
      </c>
      <c r="F783" s="124"/>
      <c r="G783" s="124"/>
      <c r="H783" s="233"/>
      <c r="I783" s="124" t="s">
        <v>623</v>
      </c>
      <c r="K783" s="124"/>
      <c r="L783" s="233"/>
      <c r="M783" s="233"/>
      <c r="O783" s="124"/>
      <c r="P783" s="233"/>
      <c r="Q783" s="233"/>
      <c r="R783" s="24"/>
      <c r="S783" s="24"/>
      <c r="T783" s="24"/>
      <c r="U783" s="24"/>
      <c r="V783" s="119"/>
    </row>
    <row r="784" spans="4:22" s="51" customFormat="1" ht="27" x14ac:dyDescent="0.4">
      <c r="D784" s="118"/>
      <c r="E784" s="172" t="s">
        <v>581</v>
      </c>
      <c r="F784" s="124"/>
      <c r="G784" s="124"/>
      <c r="H784" s="136"/>
      <c r="I784" s="124"/>
      <c r="R784" s="24"/>
      <c r="S784" s="24"/>
      <c r="T784" s="24"/>
      <c r="U784" s="24"/>
      <c r="V784" s="119"/>
    </row>
    <row r="785" spans="4:22" s="51" customFormat="1" ht="14.25" thickBot="1" x14ac:dyDescent="0.45">
      <c r="D785" s="129"/>
      <c r="E785" s="130"/>
      <c r="F785" s="130"/>
      <c r="G785" s="130"/>
      <c r="H785" s="130"/>
      <c r="I785" s="131"/>
      <c r="J785" s="132"/>
      <c r="K785" s="132"/>
      <c r="L785" s="132"/>
      <c r="M785" s="132"/>
      <c r="N785" s="132"/>
      <c r="O785" s="132"/>
      <c r="P785" s="132"/>
      <c r="Q785" s="132"/>
      <c r="R785" s="174"/>
      <c r="S785" s="174"/>
      <c r="T785" s="174"/>
      <c r="U785" s="174"/>
      <c r="V785" s="133"/>
    </row>
    <row r="786" spans="4:22" s="51" customFormat="1" ht="13.5" x14ac:dyDescent="0.4">
      <c r="D786" s="114" t="s">
        <v>474</v>
      </c>
      <c r="E786" s="115"/>
      <c r="F786" s="115"/>
      <c r="G786" s="115"/>
      <c r="H786" s="115"/>
      <c r="I786" s="115"/>
      <c r="J786" s="116"/>
      <c r="K786" s="116"/>
      <c r="L786" s="116"/>
      <c r="M786" s="116"/>
      <c r="N786" s="116"/>
      <c r="O786" s="116"/>
      <c r="P786" s="116"/>
      <c r="Q786" s="116"/>
      <c r="R786" s="173"/>
      <c r="S786" s="173"/>
      <c r="T786" s="173"/>
      <c r="U786" s="173"/>
      <c r="V786" s="117"/>
    </row>
    <row r="787" spans="4:22" s="51" customFormat="1" ht="13.5" x14ac:dyDescent="0.4">
      <c r="D787" s="118">
        <v>32</v>
      </c>
      <c r="E787" s="14" t="s">
        <v>589</v>
      </c>
      <c r="F787" s="14"/>
      <c r="G787" s="14"/>
      <c r="H787" s="52"/>
      <c r="I787" s="52"/>
      <c r="R787" s="24"/>
      <c r="S787" s="24"/>
      <c r="T787" s="24"/>
      <c r="U787" s="24"/>
      <c r="V787" s="119"/>
    </row>
    <row r="788" spans="4:22" s="51" customFormat="1" ht="13.5" x14ac:dyDescent="0.4">
      <c r="D788" s="118"/>
      <c r="E788" s="14"/>
      <c r="F788" s="14"/>
      <c r="G788" s="14"/>
      <c r="H788" s="52"/>
      <c r="I788" s="52"/>
      <c r="R788" s="24"/>
      <c r="S788" s="24"/>
      <c r="T788" s="24"/>
      <c r="U788" s="24"/>
      <c r="V788" s="119"/>
    </row>
    <row r="789" spans="4:22" s="52" customFormat="1" ht="13.5" x14ac:dyDescent="0.4">
      <c r="D789" s="118"/>
      <c r="E789" s="52" t="s">
        <v>475</v>
      </c>
      <c r="H789" s="52" t="str">
        <f>H791&amp;"円の値引シール【3:金額】"</f>
        <v>350円の値引シール【3:金額】</v>
      </c>
      <c r="I789" s="52" t="str">
        <f>I791&amp;"円にレジでの売価変更"</f>
        <v>250円にレジでの売価変更</v>
      </c>
      <c r="L789" s="52" t="str">
        <f>L791&amp;"円の値引シール【3:金額】"</f>
        <v>350円の値引シール【3:金額】</v>
      </c>
      <c r="M789" s="52" t="str">
        <f>M791&amp;"円にレジでの売価変更"</f>
        <v>300円にレジでの売価変更</v>
      </c>
      <c r="N789" s="51"/>
      <c r="P789" s="52" t="str">
        <f>P791&amp;"円の値引シール【3:金額】"</f>
        <v>350円の値引シール【3:金額】</v>
      </c>
      <c r="Q789" s="52" t="str">
        <f>Q791&amp;"円にレジでの売価変更"</f>
        <v>350円にレジでの売価変更</v>
      </c>
      <c r="R789" s="24"/>
      <c r="S789" s="24"/>
      <c r="T789" s="24"/>
      <c r="U789" s="24"/>
      <c r="V789" s="121"/>
    </row>
    <row r="790" spans="4:22" s="51" customFormat="1" ht="13.5" x14ac:dyDescent="0.4">
      <c r="D790" s="118"/>
      <c r="E790" s="122"/>
      <c r="F790" s="122"/>
      <c r="G790" s="14"/>
      <c r="H790" s="52"/>
      <c r="K790" s="14"/>
      <c r="L790" s="52"/>
      <c r="O790" s="14"/>
      <c r="P790" s="52"/>
      <c r="R790" s="24"/>
      <c r="S790" s="24"/>
      <c r="T790" s="24"/>
      <c r="U790" s="24"/>
      <c r="V790" s="119"/>
    </row>
    <row r="791" spans="4:22" s="51" customFormat="1" ht="13.5" x14ac:dyDescent="0.4">
      <c r="D791" s="118"/>
      <c r="E791" s="122" t="s">
        <v>643</v>
      </c>
      <c r="F791" s="122"/>
      <c r="G791" s="52"/>
      <c r="H791" s="52">
        <v>350</v>
      </c>
      <c r="I791" s="52">
        <v>250</v>
      </c>
      <c r="K791" s="52"/>
      <c r="L791" s="52">
        <v>350</v>
      </c>
      <c r="M791" s="52">
        <v>300</v>
      </c>
      <c r="O791" s="52"/>
      <c r="P791" s="52">
        <v>350</v>
      </c>
      <c r="Q791" s="52">
        <v>350</v>
      </c>
      <c r="R791" s="24"/>
      <c r="S791" s="24"/>
      <c r="T791" s="24"/>
      <c r="U791" s="24"/>
      <c r="V791" s="119"/>
    </row>
    <row r="792" spans="4:22" s="51" customFormat="1" ht="13.5" x14ac:dyDescent="0.4">
      <c r="D792" s="118"/>
      <c r="E792" s="52"/>
      <c r="F792" s="52"/>
      <c r="G792" s="52"/>
      <c r="I792" s="52"/>
      <c r="K792" s="52"/>
      <c r="M792" s="52"/>
      <c r="O792" s="52"/>
      <c r="Q792" s="52"/>
      <c r="R792" s="24"/>
      <c r="S792" s="24"/>
      <c r="T792" s="24"/>
      <c r="U792" s="24"/>
      <c r="V792" s="119"/>
    </row>
    <row r="793" spans="4:22" s="51" customFormat="1" ht="13.5" customHeight="1" x14ac:dyDescent="0.4">
      <c r="D793" s="118"/>
      <c r="E793" s="52"/>
      <c r="F793" s="52"/>
      <c r="G793" s="52"/>
      <c r="I793" s="52"/>
      <c r="K793" s="52"/>
      <c r="M793" s="52"/>
      <c r="O793" s="52"/>
      <c r="Q793" s="52"/>
      <c r="R793" s="24"/>
      <c r="S793" s="24"/>
      <c r="T793" s="24"/>
      <c r="U793" s="24"/>
      <c r="V793" s="119"/>
    </row>
    <row r="794" spans="4:22" s="51" customFormat="1" ht="13.5" customHeight="1" x14ac:dyDescent="0.4">
      <c r="D794" s="118"/>
      <c r="E794" s="52"/>
      <c r="F794" s="52"/>
      <c r="G794" s="52"/>
      <c r="H794" s="239" t="s">
        <v>583</v>
      </c>
      <c r="K794" s="52"/>
      <c r="L794" s="239" t="s">
        <v>583</v>
      </c>
      <c r="O794" s="52"/>
      <c r="P794" s="239" t="s">
        <v>583</v>
      </c>
      <c r="Q794" s="234" t="s">
        <v>625</v>
      </c>
      <c r="R794" s="24"/>
      <c r="S794" s="24"/>
      <c r="T794" s="24"/>
      <c r="U794" s="24"/>
      <c r="V794" s="119"/>
    </row>
    <row r="795" spans="4:22" s="51" customFormat="1" ht="13.5" customHeight="1" x14ac:dyDescent="0.4">
      <c r="D795" s="118"/>
      <c r="E795" s="52"/>
      <c r="F795" s="52"/>
      <c r="G795" s="240" t="s">
        <v>476</v>
      </c>
      <c r="H795" s="237"/>
      <c r="I795" s="123" t="s">
        <v>477</v>
      </c>
      <c r="K795" s="240" t="s">
        <v>476</v>
      </c>
      <c r="L795" s="237"/>
      <c r="M795" s="234" t="s">
        <v>624</v>
      </c>
      <c r="O795" s="240" t="s">
        <v>476</v>
      </c>
      <c r="P795" s="237"/>
      <c r="Q795" s="237"/>
      <c r="R795" s="24"/>
      <c r="S795" s="24"/>
      <c r="T795" s="24"/>
      <c r="U795" s="24"/>
      <c r="V795" s="119"/>
    </row>
    <row r="796" spans="4:22" s="51" customFormat="1" ht="13.5" customHeight="1" x14ac:dyDescent="0.4">
      <c r="D796" s="118"/>
      <c r="E796" s="52"/>
      <c r="F796" s="52"/>
      <c r="G796" s="241"/>
      <c r="H796" s="237"/>
      <c r="I796" s="234" t="s">
        <v>622</v>
      </c>
      <c r="K796" s="241"/>
      <c r="L796" s="237"/>
      <c r="M796" s="237"/>
      <c r="O796" s="241"/>
      <c r="P796" s="237"/>
      <c r="Q796" s="237"/>
      <c r="R796" s="24"/>
      <c r="S796" s="24"/>
      <c r="T796" s="24"/>
      <c r="U796" s="24"/>
      <c r="V796" s="119"/>
    </row>
    <row r="797" spans="4:22" s="51" customFormat="1" ht="13.5" customHeight="1" x14ac:dyDescent="0.4">
      <c r="D797" s="118"/>
      <c r="E797" s="52"/>
      <c r="F797" s="52"/>
      <c r="G797" s="241"/>
      <c r="H797" s="237"/>
      <c r="I797" s="237"/>
      <c r="K797" s="241"/>
      <c r="L797" s="237"/>
      <c r="M797" s="237"/>
      <c r="O797" s="241"/>
      <c r="P797" s="237"/>
      <c r="Q797" s="237"/>
      <c r="R797" s="24"/>
      <c r="S797" s="24"/>
      <c r="T797" s="24"/>
      <c r="U797" s="24"/>
      <c r="V797" s="119"/>
    </row>
    <row r="798" spans="4:22" s="51" customFormat="1" ht="13.5" customHeight="1" x14ac:dyDescent="0.4">
      <c r="D798" s="118"/>
      <c r="E798" s="52"/>
      <c r="F798" s="52"/>
      <c r="G798" s="241"/>
      <c r="H798" s="237"/>
      <c r="I798" s="237"/>
      <c r="K798" s="241"/>
      <c r="L798" s="237"/>
      <c r="M798" s="237"/>
      <c r="O798" s="241"/>
      <c r="P798" s="237"/>
      <c r="Q798" s="237"/>
      <c r="R798" s="24"/>
      <c r="S798" s="24"/>
      <c r="T798" s="24"/>
      <c r="U798" s="24"/>
      <c r="V798" s="119"/>
    </row>
    <row r="799" spans="4:22" s="51" customFormat="1" ht="13.5" customHeight="1" x14ac:dyDescent="0.4">
      <c r="D799" s="118"/>
      <c r="E799" s="52"/>
      <c r="F799" s="52"/>
      <c r="G799" s="241"/>
      <c r="H799" s="237"/>
      <c r="I799" s="237"/>
      <c r="K799" s="241"/>
      <c r="L799" s="237"/>
      <c r="M799" s="237"/>
      <c r="O799" s="241"/>
      <c r="P799" s="237"/>
      <c r="Q799" s="237"/>
      <c r="R799" s="24"/>
      <c r="S799" s="24"/>
      <c r="T799" s="24"/>
      <c r="U799" s="24"/>
      <c r="V799" s="119"/>
    </row>
    <row r="800" spans="4:22" s="51" customFormat="1" ht="13.5" customHeight="1" x14ac:dyDescent="0.4">
      <c r="D800" s="118"/>
      <c r="E800" s="52"/>
      <c r="F800" s="52"/>
      <c r="G800" s="242"/>
      <c r="H800" s="238"/>
      <c r="I800" s="238"/>
      <c r="K800" s="242"/>
      <c r="L800" s="238"/>
      <c r="M800" s="238"/>
      <c r="O800" s="242"/>
      <c r="P800" s="238"/>
      <c r="Q800" s="238"/>
      <c r="R800" s="24"/>
      <c r="S800" s="24"/>
      <c r="T800" s="24"/>
      <c r="U800" s="24"/>
      <c r="V800" s="119"/>
    </row>
    <row r="801" spans="4:22" s="51" customFormat="1" ht="13.5" x14ac:dyDescent="0.4">
      <c r="D801" s="118"/>
      <c r="E801" s="124" t="s">
        <v>379</v>
      </c>
      <c r="F801" s="124"/>
      <c r="G801" s="124"/>
      <c r="H801" s="170"/>
      <c r="I801" s="170">
        <v>50</v>
      </c>
      <c r="K801" s="124"/>
      <c r="L801" s="170"/>
      <c r="M801" s="170"/>
      <c r="O801" s="124"/>
      <c r="P801" s="170"/>
      <c r="Q801" s="170"/>
      <c r="R801" s="24"/>
      <c r="S801" s="24"/>
      <c r="T801" s="24"/>
      <c r="U801" s="24"/>
      <c r="V801" s="119"/>
    </row>
    <row r="802" spans="4:22" s="51" customFormat="1" ht="13.5" x14ac:dyDescent="0.4">
      <c r="D802" s="118"/>
      <c r="E802" s="124" t="s">
        <v>478</v>
      </c>
      <c r="F802" s="124"/>
      <c r="G802" s="124"/>
      <c r="H802" s="230">
        <v>250</v>
      </c>
      <c r="I802" s="230"/>
      <c r="K802" s="124"/>
      <c r="L802" s="230">
        <v>300</v>
      </c>
      <c r="M802" s="230"/>
      <c r="O802" s="124"/>
      <c r="P802" s="230">
        <v>350</v>
      </c>
      <c r="Q802" s="230"/>
      <c r="R802" s="24"/>
      <c r="S802" s="24"/>
      <c r="T802" s="24"/>
      <c r="U802" s="24"/>
      <c r="V802" s="119"/>
    </row>
    <row r="803" spans="4:22" s="51" customFormat="1" ht="13.5" x14ac:dyDescent="0.4">
      <c r="D803" s="118"/>
      <c r="E803" s="124"/>
      <c r="F803" s="124"/>
      <c r="G803" s="124"/>
      <c r="H803" s="52"/>
      <c r="K803" s="124"/>
      <c r="L803" s="52"/>
      <c r="O803" s="124"/>
      <c r="P803" s="52"/>
      <c r="R803" s="24"/>
      <c r="S803" s="24"/>
      <c r="T803" s="24"/>
      <c r="U803" s="24"/>
      <c r="V803" s="119"/>
    </row>
    <row r="804" spans="4:22" s="51" customFormat="1" ht="13.5" x14ac:dyDescent="0.4">
      <c r="D804" s="118"/>
      <c r="E804" s="124" t="s">
        <v>479</v>
      </c>
      <c r="F804" s="124"/>
      <c r="G804" s="124"/>
      <c r="H804" s="52"/>
      <c r="I804" s="52"/>
      <c r="K804" s="124"/>
      <c r="L804" s="52"/>
      <c r="M804" s="52"/>
      <c r="O804" s="124"/>
      <c r="P804" s="52"/>
      <c r="Q804" s="52"/>
      <c r="R804" s="24"/>
      <c r="S804" s="24"/>
      <c r="T804" s="24"/>
      <c r="U804" s="24"/>
      <c r="V804" s="119"/>
    </row>
    <row r="805" spans="4:22" s="51" customFormat="1" ht="13.5" customHeight="1" x14ac:dyDescent="0.4">
      <c r="D805" s="118"/>
      <c r="E805" s="128" t="s">
        <v>480</v>
      </c>
      <c r="F805" s="128"/>
      <c r="G805" s="124"/>
      <c r="H805" s="231" t="s">
        <v>487</v>
      </c>
      <c r="I805" s="52">
        <v>91220</v>
      </c>
      <c r="K805" s="124"/>
      <c r="L805" s="231" t="s">
        <v>487</v>
      </c>
      <c r="M805" s="231" t="s">
        <v>487</v>
      </c>
      <c r="O805" s="124"/>
      <c r="P805" s="231" t="s">
        <v>487</v>
      </c>
      <c r="Q805" s="231" t="s">
        <v>487</v>
      </c>
      <c r="R805" s="24"/>
      <c r="S805" s="24"/>
      <c r="T805" s="24"/>
      <c r="U805" s="24"/>
      <c r="V805" s="119"/>
    </row>
    <row r="806" spans="4:22" s="51" customFormat="1" ht="13.5" customHeight="1" x14ac:dyDescent="0.4">
      <c r="D806" s="118"/>
      <c r="E806" s="128" t="s">
        <v>481</v>
      </c>
      <c r="F806" s="128"/>
      <c r="G806" s="124"/>
      <c r="H806" s="232"/>
      <c r="I806" s="52">
        <v>6</v>
      </c>
      <c r="K806" s="124"/>
      <c r="L806" s="232"/>
      <c r="M806" s="232"/>
      <c r="O806" s="124"/>
      <c r="P806" s="232"/>
      <c r="Q806" s="232"/>
      <c r="R806" s="24"/>
      <c r="S806" s="24"/>
      <c r="T806" s="24"/>
      <c r="U806" s="24"/>
      <c r="V806" s="119"/>
    </row>
    <row r="807" spans="4:22" s="51" customFormat="1" ht="13.5" x14ac:dyDescent="0.4">
      <c r="D807" s="118"/>
      <c r="E807" s="128" t="s">
        <v>482</v>
      </c>
      <c r="F807" s="128"/>
      <c r="G807" s="124"/>
      <c r="H807" s="232"/>
      <c r="I807" s="124" t="s">
        <v>468</v>
      </c>
      <c r="K807" s="124"/>
      <c r="L807" s="232"/>
      <c r="M807" s="232"/>
      <c r="O807" s="124"/>
      <c r="P807" s="232"/>
      <c r="Q807" s="232"/>
      <c r="R807" s="24"/>
      <c r="S807" s="24"/>
      <c r="T807" s="24"/>
      <c r="U807" s="24"/>
      <c r="V807" s="119"/>
    </row>
    <row r="808" spans="4:22" s="51" customFormat="1" ht="27" x14ac:dyDescent="0.4">
      <c r="D808" s="118"/>
      <c r="E808" s="124" t="s">
        <v>379</v>
      </c>
      <c r="F808" s="124"/>
      <c r="G808" s="124"/>
      <c r="H808" s="233"/>
      <c r="I808" s="124" t="s">
        <v>623</v>
      </c>
      <c r="K808" s="124"/>
      <c r="L808" s="233"/>
      <c r="M808" s="233"/>
      <c r="O808" s="124"/>
      <c r="P808" s="233"/>
      <c r="Q808" s="233"/>
      <c r="R808" s="24"/>
      <c r="S808" s="24"/>
      <c r="T808" s="24"/>
      <c r="U808" s="24"/>
      <c r="V808" s="119"/>
    </row>
    <row r="809" spans="4:22" s="51" customFormat="1" ht="27" x14ac:dyDescent="0.4">
      <c r="D809" s="118"/>
      <c r="E809" s="172" t="s">
        <v>581</v>
      </c>
      <c r="F809" s="124"/>
      <c r="G809" s="124"/>
      <c r="H809" s="136"/>
      <c r="I809" s="124"/>
      <c r="R809" s="24"/>
      <c r="S809" s="24"/>
      <c r="T809" s="24"/>
      <c r="U809" s="24"/>
      <c r="V809" s="119"/>
    </row>
    <row r="810" spans="4:22" s="51" customFormat="1" ht="14.25" thickBot="1" x14ac:dyDescent="0.45">
      <c r="D810" s="129"/>
      <c r="E810" s="130"/>
      <c r="F810" s="130"/>
      <c r="G810" s="130"/>
      <c r="H810" s="130"/>
      <c r="I810" s="131"/>
      <c r="J810" s="132"/>
      <c r="K810" s="132"/>
      <c r="L810" s="132"/>
      <c r="M810" s="132"/>
      <c r="N810" s="132"/>
      <c r="O810" s="132"/>
      <c r="P810" s="132"/>
      <c r="Q810" s="132"/>
      <c r="R810" s="174"/>
      <c r="S810" s="174"/>
      <c r="T810" s="174"/>
      <c r="U810" s="174"/>
      <c r="V810" s="133"/>
    </row>
    <row r="811" spans="4:22" s="51" customFormat="1" ht="13.5" x14ac:dyDescent="0.4">
      <c r="D811" s="114" t="s">
        <v>474</v>
      </c>
      <c r="E811" s="115"/>
      <c r="F811" s="115"/>
      <c r="G811" s="115"/>
      <c r="H811" s="115"/>
      <c r="I811" s="115"/>
      <c r="J811" s="116"/>
      <c r="K811" s="116"/>
      <c r="L811" s="116"/>
      <c r="M811" s="116"/>
      <c r="N811" s="116"/>
      <c r="O811" s="116"/>
      <c r="P811" s="116"/>
      <c r="Q811" s="116"/>
      <c r="R811" s="173"/>
      <c r="S811" s="173"/>
      <c r="T811" s="173"/>
      <c r="U811" s="173"/>
      <c r="V811" s="117"/>
    </row>
    <row r="812" spans="4:22" s="51" customFormat="1" ht="13.5" x14ac:dyDescent="0.4">
      <c r="D812" s="118">
        <v>33</v>
      </c>
      <c r="E812" s="14" t="s">
        <v>592</v>
      </c>
      <c r="F812" s="14"/>
      <c r="G812" s="14"/>
      <c r="H812" s="52"/>
      <c r="I812" s="52"/>
      <c r="R812" s="24"/>
      <c r="S812" s="24"/>
      <c r="T812" s="24"/>
      <c r="U812" s="24"/>
      <c r="V812" s="119"/>
    </row>
    <row r="813" spans="4:22" s="51" customFormat="1" ht="13.5" x14ac:dyDescent="0.4">
      <c r="D813" s="118"/>
      <c r="E813" s="14"/>
      <c r="F813" s="14"/>
      <c r="G813" s="14"/>
      <c r="H813" s="52"/>
      <c r="I813" s="52"/>
      <c r="R813" s="24"/>
      <c r="S813" s="24"/>
      <c r="T813" s="24"/>
      <c r="U813" s="24"/>
      <c r="V813" s="119"/>
    </row>
    <row r="814" spans="4:22" s="52" customFormat="1" ht="13.5" x14ac:dyDescent="0.4">
      <c r="D814" s="118"/>
      <c r="E814" s="52" t="s">
        <v>475</v>
      </c>
      <c r="H814" s="52" t="str">
        <f>H816&amp;"円にレジでの売価変更"</f>
        <v>250円にレジでの売価変更</v>
      </c>
      <c r="I814" s="52" t="str">
        <f>I816&amp;"円のカテゴリ値引"</f>
        <v>50円のカテゴリ値引</v>
      </c>
      <c r="L814" s="52" t="str">
        <f>L816&amp;"円にレジでの売価変更"</f>
        <v>300円にレジでの売価変更</v>
      </c>
      <c r="M814" s="52" t="str">
        <f>M816&amp;"円のカテゴリ値引"</f>
        <v>50円のカテゴリ値引</v>
      </c>
      <c r="N814" s="51"/>
      <c r="P814" s="52" t="str">
        <f>P816&amp;"円にレジでの売価変更"</f>
        <v>350円にレジでの売価変更</v>
      </c>
      <c r="Q814" s="52" t="str">
        <f>Q816&amp;"円のカテゴリ値引"</f>
        <v>50円のカテゴリ値引</v>
      </c>
      <c r="R814" s="24"/>
      <c r="S814" s="24"/>
      <c r="T814" s="24"/>
      <c r="U814" s="24"/>
      <c r="V814" s="121"/>
    </row>
    <row r="815" spans="4:22" s="51" customFormat="1" ht="13.5" x14ac:dyDescent="0.4">
      <c r="D815" s="118"/>
      <c r="E815" s="122"/>
      <c r="F815" s="122"/>
      <c r="G815" s="14"/>
      <c r="I815" s="52"/>
      <c r="K815" s="14"/>
      <c r="M815" s="52"/>
      <c r="O815" s="14"/>
      <c r="Q815" s="52"/>
      <c r="R815" s="24"/>
      <c r="S815" s="24"/>
      <c r="T815" s="24"/>
      <c r="U815" s="24"/>
      <c r="V815" s="119"/>
    </row>
    <row r="816" spans="4:22" s="51" customFormat="1" ht="13.5" x14ac:dyDescent="0.4">
      <c r="D816" s="118"/>
      <c r="E816" s="122" t="s">
        <v>644</v>
      </c>
      <c r="F816" s="122"/>
      <c r="G816" s="52"/>
      <c r="H816" s="52">
        <v>250</v>
      </c>
      <c r="I816" s="52">
        <v>50</v>
      </c>
      <c r="K816" s="52"/>
      <c r="L816" s="52">
        <v>300</v>
      </c>
      <c r="M816" s="52">
        <v>50</v>
      </c>
      <c r="O816" s="52"/>
      <c r="P816" s="52">
        <v>350</v>
      </c>
      <c r="Q816" s="52">
        <v>50</v>
      </c>
      <c r="R816" s="24"/>
      <c r="S816" s="24"/>
      <c r="T816" s="24"/>
      <c r="U816" s="24"/>
      <c r="V816" s="119"/>
    </row>
    <row r="817" spans="4:22" s="51" customFormat="1" ht="13.5" x14ac:dyDescent="0.4">
      <c r="D817" s="118"/>
      <c r="E817" s="52"/>
      <c r="F817" s="52"/>
      <c r="G817" s="52"/>
      <c r="H817" s="52"/>
      <c r="I817" s="52"/>
      <c r="K817" s="52"/>
      <c r="L817" s="52"/>
      <c r="M817" s="52"/>
      <c r="O817" s="52"/>
      <c r="P817" s="52"/>
      <c r="Q817" s="52"/>
      <c r="R817" s="24"/>
      <c r="S817" s="24"/>
      <c r="T817" s="24"/>
      <c r="U817" s="24"/>
      <c r="V817" s="119"/>
    </row>
    <row r="818" spans="4:22" s="51" customFormat="1" ht="13.5" customHeight="1" x14ac:dyDescent="0.4">
      <c r="D818" s="118"/>
      <c r="E818" s="52"/>
      <c r="F818" s="52"/>
      <c r="G818" s="52"/>
      <c r="H818" s="52"/>
      <c r="I818" s="52"/>
      <c r="K818" s="52"/>
      <c r="L818" s="52"/>
      <c r="M818" s="52"/>
      <c r="O818" s="52"/>
      <c r="P818" s="52"/>
      <c r="Q818" s="52"/>
      <c r="R818" s="24"/>
      <c r="S818" s="24"/>
      <c r="T818" s="24"/>
      <c r="U818" s="24"/>
      <c r="V818" s="119"/>
    </row>
    <row r="819" spans="4:22" s="51" customFormat="1" ht="13.5" customHeight="1" x14ac:dyDescent="0.4">
      <c r="D819" s="118"/>
      <c r="E819" s="52"/>
      <c r="F819" s="52"/>
      <c r="G819" s="52"/>
      <c r="K819" s="52"/>
      <c r="O819" s="52"/>
      <c r="P819" s="234" t="s">
        <v>625</v>
      </c>
      <c r="Q819" s="123" t="s">
        <v>477</v>
      </c>
      <c r="R819" s="24"/>
      <c r="S819" s="24"/>
      <c r="T819" s="24"/>
      <c r="U819" s="24"/>
      <c r="V819" s="119"/>
    </row>
    <row r="820" spans="4:22" s="51" customFormat="1" ht="13.5" customHeight="1" x14ac:dyDescent="0.4">
      <c r="D820" s="118"/>
      <c r="E820" s="52"/>
      <c r="F820" s="52"/>
      <c r="G820" s="240" t="s">
        <v>476</v>
      </c>
      <c r="H820" s="123" t="s">
        <v>477</v>
      </c>
      <c r="K820" s="240" t="s">
        <v>476</v>
      </c>
      <c r="L820" s="234" t="s">
        <v>624</v>
      </c>
      <c r="M820" s="123" t="s">
        <v>477</v>
      </c>
      <c r="O820" s="240" t="s">
        <v>476</v>
      </c>
      <c r="P820" s="237"/>
      <c r="Q820" s="275" t="s">
        <v>600</v>
      </c>
      <c r="R820" s="24"/>
      <c r="S820" s="24"/>
      <c r="T820" s="24"/>
      <c r="U820" s="24"/>
      <c r="V820" s="119"/>
    </row>
    <row r="821" spans="4:22" s="51" customFormat="1" ht="13.5" customHeight="1" x14ac:dyDescent="0.4">
      <c r="D821" s="118"/>
      <c r="E821" s="52"/>
      <c r="F821" s="52"/>
      <c r="G821" s="241"/>
      <c r="H821" s="234" t="s">
        <v>622</v>
      </c>
      <c r="I821" s="123" t="s">
        <v>477</v>
      </c>
      <c r="K821" s="241"/>
      <c r="L821" s="237"/>
      <c r="M821" s="275" t="s">
        <v>597</v>
      </c>
      <c r="O821" s="241"/>
      <c r="P821" s="237"/>
      <c r="Q821" s="263"/>
      <c r="R821" s="24"/>
      <c r="S821" s="24"/>
      <c r="T821" s="24"/>
      <c r="U821" s="24"/>
      <c r="V821" s="119"/>
    </row>
    <row r="822" spans="4:22" s="51" customFormat="1" ht="13.5" customHeight="1" x14ac:dyDescent="0.4">
      <c r="D822" s="118"/>
      <c r="E822" s="52"/>
      <c r="F822" s="52"/>
      <c r="G822" s="241"/>
      <c r="H822" s="237"/>
      <c r="I822" s="259" t="s">
        <v>598</v>
      </c>
      <c r="K822" s="241"/>
      <c r="L822" s="237"/>
      <c r="M822" s="263"/>
      <c r="O822" s="241"/>
      <c r="P822" s="237"/>
      <c r="Q822" s="263"/>
      <c r="R822" s="24"/>
      <c r="S822" s="24"/>
      <c r="T822" s="24"/>
      <c r="U822" s="24"/>
      <c r="V822" s="119"/>
    </row>
    <row r="823" spans="4:22" s="51" customFormat="1" ht="13.5" customHeight="1" x14ac:dyDescent="0.4">
      <c r="D823" s="118"/>
      <c r="E823" s="52"/>
      <c r="F823" s="52"/>
      <c r="G823" s="241"/>
      <c r="H823" s="237"/>
      <c r="I823" s="237"/>
      <c r="K823" s="241"/>
      <c r="L823" s="237"/>
      <c r="M823" s="263"/>
      <c r="O823" s="241"/>
      <c r="P823" s="237"/>
      <c r="Q823" s="263"/>
      <c r="R823" s="24"/>
      <c r="S823" s="24"/>
      <c r="T823" s="24"/>
      <c r="U823" s="24"/>
      <c r="V823" s="119"/>
    </row>
    <row r="824" spans="4:22" s="51" customFormat="1" ht="13.5" customHeight="1" x14ac:dyDescent="0.4">
      <c r="D824" s="118"/>
      <c r="E824" s="52"/>
      <c r="F824" s="52"/>
      <c r="G824" s="241"/>
      <c r="H824" s="237"/>
      <c r="I824" s="237"/>
      <c r="K824" s="241"/>
      <c r="L824" s="237"/>
      <c r="M824" s="263"/>
      <c r="O824" s="241"/>
      <c r="P824" s="237"/>
      <c r="Q824" s="263"/>
      <c r="R824" s="24"/>
      <c r="S824" s="24"/>
      <c r="T824" s="24"/>
      <c r="U824" s="24"/>
      <c r="V824" s="119"/>
    </row>
    <row r="825" spans="4:22" s="51" customFormat="1" ht="13.5" customHeight="1" x14ac:dyDescent="0.4">
      <c r="D825" s="118"/>
      <c r="E825" s="52"/>
      <c r="F825" s="52"/>
      <c r="G825" s="242"/>
      <c r="H825" s="238"/>
      <c r="I825" s="238"/>
      <c r="K825" s="242"/>
      <c r="L825" s="238"/>
      <c r="M825" s="263"/>
      <c r="O825" s="242"/>
      <c r="P825" s="238"/>
      <c r="Q825" s="263"/>
      <c r="R825" s="24"/>
      <c r="S825" s="24"/>
      <c r="T825" s="24"/>
      <c r="U825" s="24"/>
      <c r="V825" s="119"/>
    </row>
    <row r="826" spans="4:22" s="51" customFormat="1" ht="13.5" x14ac:dyDescent="0.4">
      <c r="D826" s="118"/>
      <c r="E826" s="124" t="s">
        <v>379</v>
      </c>
      <c r="F826" s="124"/>
      <c r="G826" s="124"/>
      <c r="H826" s="170">
        <v>50</v>
      </c>
      <c r="I826" s="170">
        <v>50</v>
      </c>
      <c r="K826" s="124"/>
      <c r="L826" s="170"/>
      <c r="M826" s="170">
        <v>50</v>
      </c>
      <c r="O826" s="124"/>
      <c r="P826" s="170"/>
      <c r="Q826" s="170">
        <v>50</v>
      </c>
      <c r="R826" s="24"/>
      <c r="S826" s="24"/>
      <c r="T826" s="24"/>
      <c r="U826" s="24"/>
      <c r="V826" s="119"/>
    </row>
    <row r="827" spans="4:22" s="51" customFormat="1" ht="13.5" x14ac:dyDescent="0.4">
      <c r="D827" s="118"/>
      <c r="E827" s="124" t="s">
        <v>478</v>
      </c>
      <c r="F827" s="124"/>
      <c r="G827" s="124"/>
      <c r="H827" s="230">
        <v>200</v>
      </c>
      <c r="I827" s="230"/>
      <c r="K827" s="124"/>
      <c r="L827" s="230">
        <v>250</v>
      </c>
      <c r="M827" s="230"/>
      <c r="O827" s="124"/>
      <c r="P827" s="230">
        <v>350</v>
      </c>
      <c r="Q827" s="230"/>
      <c r="R827" s="24"/>
      <c r="S827" s="24"/>
      <c r="T827" s="24"/>
      <c r="U827" s="24"/>
      <c r="V827" s="119"/>
    </row>
    <row r="828" spans="4:22" s="51" customFormat="1" ht="13.5" x14ac:dyDescent="0.4">
      <c r="D828" s="118"/>
      <c r="E828" s="124"/>
      <c r="F828" s="124"/>
      <c r="G828" s="124"/>
      <c r="H828" s="52"/>
      <c r="K828" s="124"/>
      <c r="L828" s="52"/>
      <c r="O828" s="124"/>
      <c r="P828" s="52"/>
      <c r="R828" s="24"/>
      <c r="S828" s="24"/>
      <c r="T828" s="24"/>
      <c r="U828" s="24"/>
      <c r="V828" s="119"/>
    </row>
    <row r="829" spans="4:22" s="51" customFormat="1" ht="13.5" x14ac:dyDescent="0.4">
      <c r="D829" s="118"/>
      <c r="E829" s="124" t="s">
        <v>479</v>
      </c>
      <c r="F829" s="124"/>
      <c r="G829" s="124"/>
      <c r="H829" s="52"/>
      <c r="I829" s="52"/>
      <c r="K829" s="124"/>
      <c r="L829" s="52"/>
      <c r="M829" s="52"/>
      <c r="O829" s="124"/>
      <c r="P829" s="52"/>
      <c r="Q829" s="52"/>
      <c r="R829" s="24"/>
      <c r="S829" s="24"/>
      <c r="T829" s="24"/>
      <c r="U829" s="24"/>
      <c r="V829" s="119"/>
    </row>
    <row r="830" spans="4:22" s="51" customFormat="1" ht="13.5" customHeight="1" x14ac:dyDescent="0.4">
      <c r="D830" s="118"/>
      <c r="E830" s="128" t="s">
        <v>480</v>
      </c>
      <c r="F830" s="128"/>
      <c r="G830" s="124"/>
      <c r="H830" s="52">
        <v>91220</v>
      </c>
      <c r="I830" s="52">
        <v>91324</v>
      </c>
      <c r="K830" s="124"/>
      <c r="L830" s="231" t="s">
        <v>487</v>
      </c>
      <c r="M830" s="52">
        <v>91324</v>
      </c>
      <c r="O830" s="124"/>
      <c r="P830" s="231" t="s">
        <v>487</v>
      </c>
      <c r="Q830" s="52">
        <v>91324</v>
      </c>
      <c r="R830" s="24"/>
      <c r="S830" s="24"/>
      <c r="T830" s="24"/>
      <c r="U830" s="24"/>
      <c r="V830" s="119"/>
    </row>
    <row r="831" spans="4:22" s="51" customFormat="1" ht="13.5" customHeight="1" x14ac:dyDescent="0.4">
      <c r="D831" s="118"/>
      <c r="E831" s="128" t="s">
        <v>481</v>
      </c>
      <c r="F831" s="128"/>
      <c r="G831" s="124"/>
      <c r="H831" s="52">
        <v>6</v>
      </c>
      <c r="I831" s="52">
        <v>0</v>
      </c>
      <c r="K831" s="124"/>
      <c r="L831" s="232"/>
      <c r="M831" s="52">
        <v>0</v>
      </c>
      <c r="O831" s="124"/>
      <c r="P831" s="232"/>
      <c r="Q831" s="52">
        <v>0</v>
      </c>
      <c r="R831" s="24"/>
      <c r="S831" s="24"/>
      <c r="T831" s="24"/>
      <c r="U831" s="24"/>
      <c r="V831" s="119"/>
    </row>
    <row r="832" spans="4:22" s="51" customFormat="1" ht="13.5" x14ac:dyDescent="0.4">
      <c r="D832" s="118"/>
      <c r="E832" s="128" t="s">
        <v>482</v>
      </c>
      <c r="F832" s="128"/>
      <c r="G832" s="124"/>
      <c r="H832" s="124" t="s">
        <v>468</v>
      </c>
      <c r="I832" s="124" t="s">
        <v>590</v>
      </c>
      <c r="K832" s="124"/>
      <c r="L832" s="232"/>
      <c r="M832" s="124" t="s">
        <v>590</v>
      </c>
      <c r="O832" s="124"/>
      <c r="P832" s="232"/>
      <c r="Q832" s="124" t="s">
        <v>590</v>
      </c>
      <c r="R832" s="24"/>
      <c r="S832" s="24"/>
      <c r="T832" s="24"/>
      <c r="U832" s="24"/>
      <c r="V832" s="119"/>
    </row>
    <row r="833" spans="4:22" s="51" customFormat="1" ht="27" x14ac:dyDescent="0.4">
      <c r="D833" s="118"/>
      <c r="E833" s="124" t="s">
        <v>379</v>
      </c>
      <c r="F833" s="124"/>
      <c r="G833" s="124"/>
      <c r="H833" s="124" t="s">
        <v>623</v>
      </c>
      <c r="I833" s="124" t="s">
        <v>599</v>
      </c>
      <c r="K833" s="124"/>
      <c r="L833" s="233"/>
      <c r="M833" s="124" t="s">
        <v>599</v>
      </c>
      <c r="O833" s="124"/>
      <c r="P833" s="233"/>
      <c r="Q833" s="124" t="s">
        <v>599</v>
      </c>
      <c r="R833" s="24"/>
      <c r="S833" s="24"/>
      <c r="T833" s="24"/>
      <c r="U833" s="24"/>
      <c r="V833" s="119"/>
    </row>
    <row r="834" spans="4:22" s="51" customFormat="1" ht="14.25" thickBot="1" x14ac:dyDescent="0.45">
      <c r="D834" s="129"/>
      <c r="E834" s="130"/>
      <c r="F834" s="130"/>
      <c r="G834" s="130"/>
      <c r="H834" s="130"/>
      <c r="I834" s="131"/>
      <c r="J834" s="132"/>
      <c r="K834" s="132"/>
      <c r="L834" s="132"/>
      <c r="M834" s="132"/>
      <c r="N834" s="132"/>
      <c r="O834" s="132"/>
      <c r="P834" s="132"/>
      <c r="Q834" s="132"/>
      <c r="R834" s="174"/>
      <c r="S834" s="174"/>
      <c r="T834" s="174"/>
      <c r="U834" s="174"/>
      <c r="V834" s="133"/>
    </row>
    <row r="835" spans="4:22" s="51" customFormat="1" ht="13.5" x14ac:dyDescent="0.4">
      <c r="D835" s="114" t="s">
        <v>474</v>
      </c>
      <c r="E835" s="115"/>
      <c r="F835" s="115"/>
      <c r="G835" s="115"/>
      <c r="H835" s="115"/>
      <c r="I835" s="115"/>
      <c r="J835" s="116"/>
      <c r="K835" s="116"/>
      <c r="L835" s="116"/>
      <c r="M835" s="116"/>
      <c r="N835" s="116"/>
      <c r="O835" s="116"/>
      <c r="P835" s="116"/>
      <c r="Q835" s="116"/>
      <c r="R835" s="173"/>
      <c r="S835" s="173"/>
      <c r="T835" s="173"/>
      <c r="U835" s="173"/>
      <c r="V835" s="117"/>
    </row>
    <row r="836" spans="4:22" s="51" customFormat="1" ht="13.5" x14ac:dyDescent="0.4">
      <c r="D836" s="118">
        <v>34</v>
      </c>
      <c r="E836" s="14" t="s">
        <v>601</v>
      </c>
      <c r="F836" s="14"/>
      <c r="G836" s="14"/>
      <c r="H836" s="52"/>
      <c r="I836" s="52"/>
      <c r="R836" s="24"/>
      <c r="S836" s="24"/>
      <c r="T836" s="24"/>
      <c r="U836" s="24"/>
      <c r="V836" s="119"/>
    </row>
    <row r="837" spans="4:22" s="51" customFormat="1" ht="13.5" x14ac:dyDescent="0.4">
      <c r="D837" s="118"/>
      <c r="E837" s="14"/>
      <c r="F837" s="14"/>
      <c r="G837" s="14"/>
      <c r="H837" s="52"/>
      <c r="I837" s="52"/>
      <c r="R837" s="24"/>
      <c r="S837" s="24"/>
      <c r="T837" s="24"/>
      <c r="U837" s="24"/>
      <c r="V837" s="119"/>
    </row>
    <row r="838" spans="4:22" s="52" customFormat="1" ht="13.5" x14ac:dyDescent="0.4">
      <c r="D838" s="118"/>
      <c r="E838" s="52" t="s">
        <v>475</v>
      </c>
      <c r="H838" s="52" t="str">
        <f>H840&amp;"円にレジでの売価変更"</f>
        <v>250円にレジでの売価変更</v>
      </c>
      <c r="I838" s="52" t="str">
        <f>I840&amp;"％のカテゴリ割引"</f>
        <v>10％のカテゴリ割引</v>
      </c>
      <c r="L838" s="52" t="str">
        <f>L840&amp;"円にレジでの売価変更"</f>
        <v>300円にレジでの売価変更</v>
      </c>
      <c r="M838" s="52" t="str">
        <f>M840&amp;"％のカテゴリ割引"</f>
        <v>10％のカテゴリ割引</v>
      </c>
      <c r="N838" s="51"/>
      <c r="P838" s="52" t="str">
        <f>P840&amp;"円にレジでの売価変更"</f>
        <v>350円にレジでの売価変更</v>
      </c>
      <c r="Q838" s="52" t="str">
        <f>Q840&amp;"％のカテゴリ割引"</f>
        <v>10％のカテゴリ割引</v>
      </c>
      <c r="R838" s="24"/>
      <c r="S838" s="24"/>
      <c r="T838" s="24"/>
      <c r="U838" s="24"/>
      <c r="V838" s="121"/>
    </row>
    <row r="839" spans="4:22" s="51" customFormat="1" ht="13.5" x14ac:dyDescent="0.4">
      <c r="D839" s="118"/>
      <c r="E839" s="122"/>
      <c r="F839" s="122"/>
      <c r="G839" s="14"/>
      <c r="I839" s="52"/>
      <c r="K839" s="14"/>
      <c r="M839" s="52"/>
      <c r="O839" s="14"/>
      <c r="Q839" s="52"/>
      <c r="R839" s="24"/>
      <c r="S839" s="24"/>
      <c r="T839" s="24"/>
      <c r="U839" s="24"/>
      <c r="V839" s="119"/>
    </row>
    <row r="840" spans="4:22" s="51" customFormat="1" ht="13.5" x14ac:dyDescent="0.4">
      <c r="D840" s="118"/>
      <c r="E840" s="122" t="s">
        <v>645</v>
      </c>
      <c r="F840" s="122"/>
      <c r="G840" s="52"/>
      <c r="H840" s="52">
        <v>250</v>
      </c>
      <c r="I840" s="52">
        <v>10</v>
      </c>
      <c r="K840" s="52"/>
      <c r="L840" s="52">
        <v>300</v>
      </c>
      <c r="M840" s="52">
        <v>10</v>
      </c>
      <c r="O840" s="52"/>
      <c r="P840" s="52">
        <v>350</v>
      </c>
      <c r="Q840" s="52">
        <v>10</v>
      </c>
      <c r="R840" s="24"/>
      <c r="S840" s="24"/>
      <c r="T840" s="24"/>
      <c r="U840" s="24"/>
      <c r="V840" s="119"/>
    </row>
    <row r="841" spans="4:22" s="51" customFormat="1" ht="13.5" x14ac:dyDescent="0.4">
      <c r="D841" s="118"/>
      <c r="E841" s="52"/>
      <c r="F841" s="52"/>
      <c r="G841" s="52"/>
      <c r="H841" s="52"/>
      <c r="I841" s="52"/>
      <c r="K841" s="52"/>
      <c r="L841" s="52"/>
      <c r="M841" s="52"/>
      <c r="O841" s="52"/>
      <c r="P841" s="52"/>
      <c r="Q841" s="52"/>
      <c r="R841" s="24"/>
      <c r="S841" s="24"/>
      <c r="T841" s="24"/>
      <c r="U841" s="24"/>
      <c r="V841" s="119"/>
    </row>
    <row r="842" spans="4:22" s="51" customFormat="1" ht="13.5" customHeight="1" x14ac:dyDescent="0.4">
      <c r="D842" s="118"/>
      <c r="E842" s="52"/>
      <c r="F842" s="52"/>
      <c r="G842" s="52"/>
      <c r="H842" s="52"/>
      <c r="I842" s="52"/>
      <c r="K842" s="52"/>
      <c r="L842" s="52"/>
      <c r="M842" s="52"/>
      <c r="O842" s="52"/>
      <c r="P842" s="52"/>
      <c r="Q842" s="52"/>
      <c r="R842" s="24"/>
      <c r="S842" s="24"/>
      <c r="T842" s="24"/>
      <c r="U842" s="24"/>
      <c r="V842" s="119"/>
    </row>
    <row r="843" spans="4:22" s="51" customFormat="1" ht="13.5" customHeight="1" x14ac:dyDescent="0.4">
      <c r="D843" s="118"/>
      <c r="E843" s="52"/>
      <c r="F843" s="52"/>
      <c r="G843" s="52"/>
      <c r="K843" s="52"/>
      <c r="O843" s="52"/>
      <c r="P843" s="234" t="s">
        <v>625</v>
      </c>
      <c r="Q843" s="123" t="s">
        <v>605</v>
      </c>
      <c r="R843" s="24"/>
      <c r="S843" s="24"/>
      <c r="T843" s="24"/>
      <c r="U843" s="24"/>
      <c r="V843" s="119"/>
    </row>
    <row r="844" spans="4:22" s="51" customFormat="1" ht="13.5" customHeight="1" x14ac:dyDescent="0.4">
      <c r="D844" s="118"/>
      <c r="E844" s="52"/>
      <c r="F844" s="52"/>
      <c r="G844" s="240" t="s">
        <v>476</v>
      </c>
      <c r="H844" s="123" t="s">
        <v>477</v>
      </c>
      <c r="K844" s="240" t="s">
        <v>476</v>
      </c>
      <c r="L844" s="234" t="s">
        <v>624</v>
      </c>
      <c r="M844" s="123" t="s">
        <v>603</v>
      </c>
      <c r="O844" s="240" t="s">
        <v>476</v>
      </c>
      <c r="P844" s="237"/>
      <c r="Q844" s="275" t="s">
        <v>658</v>
      </c>
      <c r="R844" s="24"/>
      <c r="S844" s="24"/>
      <c r="T844" s="24"/>
      <c r="U844" s="24"/>
      <c r="V844" s="119"/>
    </row>
    <row r="845" spans="4:22" s="51" customFormat="1" ht="13.5" customHeight="1" x14ac:dyDescent="0.4">
      <c r="D845" s="118"/>
      <c r="E845" s="52"/>
      <c r="F845" s="52"/>
      <c r="G845" s="241"/>
      <c r="H845" s="234" t="s">
        <v>622</v>
      </c>
      <c r="I845" s="123" t="s">
        <v>602</v>
      </c>
      <c r="K845" s="241"/>
      <c r="L845" s="237"/>
      <c r="M845" s="275" t="s">
        <v>604</v>
      </c>
      <c r="O845" s="241"/>
      <c r="P845" s="237"/>
      <c r="Q845" s="263"/>
      <c r="R845" s="24"/>
      <c r="S845" s="24"/>
      <c r="T845" s="24"/>
      <c r="U845" s="24"/>
      <c r="V845" s="119"/>
    </row>
    <row r="846" spans="4:22" s="51" customFormat="1" ht="13.5" customHeight="1" x14ac:dyDescent="0.4">
      <c r="D846" s="118"/>
      <c r="E846" s="52"/>
      <c r="F846" s="52"/>
      <c r="G846" s="241"/>
      <c r="H846" s="237"/>
      <c r="I846" s="259" t="s">
        <v>659</v>
      </c>
      <c r="K846" s="241"/>
      <c r="L846" s="237"/>
      <c r="M846" s="263"/>
      <c r="O846" s="241"/>
      <c r="P846" s="237"/>
      <c r="Q846" s="263"/>
      <c r="R846" s="24"/>
      <c r="S846" s="24"/>
      <c r="T846" s="24"/>
      <c r="U846" s="24"/>
      <c r="V846" s="119"/>
    </row>
    <row r="847" spans="4:22" s="51" customFormat="1" ht="13.5" customHeight="1" x14ac:dyDescent="0.4">
      <c r="D847" s="118"/>
      <c r="E847" s="52"/>
      <c r="F847" s="52"/>
      <c r="G847" s="241"/>
      <c r="H847" s="237"/>
      <c r="I847" s="237"/>
      <c r="K847" s="241"/>
      <c r="L847" s="237"/>
      <c r="M847" s="263"/>
      <c r="O847" s="241"/>
      <c r="P847" s="237"/>
      <c r="Q847" s="263"/>
      <c r="R847" s="24"/>
      <c r="S847" s="24"/>
      <c r="T847" s="24"/>
      <c r="U847" s="24"/>
      <c r="V847" s="119"/>
    </row>
    <row r="848" spans="4:22" s="51" customFormat="1" ht="13.5" customHeight="1" x14ac:dyDescent="0.4">
      <c r="D848" s="118"/>
      <c r="E848" s="52"/>
      <c r="F848" s="52"/>
      <c r="G848" s="241"/>
      <c r="H848" s="237"/>
      <c r="I848" s="237"/>
      <c r="K848" s="241"/>
      <c r="L848" s="237"/>
      <c r="M848" s="263"/>
      <c r="O848" s="241"/>
      <c r="P848" s="237"/>
      <c r="Q848" s="263"/>
      <c r="R848" s="24"/>
      <c r="S848" s="24"/>
      <c r="T848" s="24"/>
      <c r="U848" s="24"/>
      <c r="V848" s="119"/>
    </row>
    <row r="849" spans="4:22" s="51" customFormat="1" ht="13.5" customHeight="1" x14ac:dyDescent="0.4">
      <c r="D849" s="118"/>
      <c r="E849" s="52"/>
      <c r="F849" s="52"/>
      <c r="G849" s="242"/>
      <c r="H849" s="238"/>
      <c r="I849" s="238"/>
      <c r="K849" s="242"/>
      <c r="L849" s="238"/>
      <c r="M849" s="263"/>
      <c r="O849" s="242"/>
      <c r="P849" s="238"/>
      <c r="Q849" s="263"/>
      <c r="R849" s="24"/>
      <c r="S849" s="24"/>
      <c r="T849" s="24"/>
      <c r="U849" s="24"/>
      <c r="V849" s="119"/>
    </row>
    <row r="850" spans="4:22" s="51" customFormat="1" ht="13.5" x14ac:dyDescent="0.4">
      <c r="D850" s="118"/>
      <c r="E850" s="124" t="s">
        <v>379</v>
      </c>
      <c r="F850" s="124"/>
      <c r="G850" s="124"/>
      <c r="H850" s="170">
        <v>50</v>
      </c>
      <c r="I850" s="170">
        <v>50</v>
      </c>
      <c r="K850" s="124"/>
      <c r="L850" s="170"/>
      <c r="M850" s="170">
        <v>30</v>
      </c>
      <c r="O850" s="124"/>
      <c r="P850" s="170"/>
      <c r="Q850" s="170">
        <v>50</v>
      </c>
      <c r="R850" s="24"/>
      <c r="S850" s="24"/>
      <c r="T850" s="24"/>
      <c r="U850" s="24"/>
      <c r="V850" s="119"/>
    </row>
    <row r="851" spans="4:22" s="51" customFormat="1" ht="13.5" x14ac:dyDescent="0.4">
      <c r="D851" s="118"/>
      <c r="E851" s="124" t="s">
        <v>478</v>
      </c>
      <c r="F851" s="124"/>
      <c r="G851" s="124"/>
      <c r="H851" s="230">
        <v>225</v>
      </c>
      <c r="I851" s="230"/>
      <c r="K851" s="124"/>
      <c r="L851" s="230">
        <v>270</v>
      </c>
      <c r="M851" s="230"/>
      <c r="O851" s="124"/>
      <c r="P851" s="230">
        <v>315</v>
      </c>
      <c r="Q851" s="230"/>
      <c r="R851" s="24"/>
      <c r="S851" s="24"/>
      <c r="T851" s="24"/>
      <c r="U851" s="24"/>
      <c r="V851" s="119"/>
    </row>
    <row r="852" spans="4:22" s="51" customFormat="1" ht="13.5" x14ac:dyDescent="0.4">
      <c r="D852" s="118"/>
      <c r="E852" s="124"/>
      <c r="F852" s="124"/>
      <c r="G852" s="124"/>
      <c r="H852" s="52"/>
      <c r="K852" s="124"/>
      <c r="L852" s="52"/>
      <c r="O852" s="124"/>
      <c r="P852" s="52"/>
      <c r="R852" s="24"/>
      <c r="S852" s="24"/>
      <c r="T852" s="24"/>
      <c r="U852" s="24"/>
      <c r="V852" s="119"/>
    </row>
    <row r="853" spans="4:22" s="51" customFormat="1" ht="13.5" x14ac:dyDescent="0.4">
      <c r="D853" s="118"/>
      <c r="E853" s="124" t="s">
        <v>479</v>
      </c>
      <c r="F853" s="124"/>
      <c r="G853" s="124"/>
      <c r="H853" s="52"/>
      <c r="I853" s="52"/>
      <c r="K853" s="124"/>
      <c r="L853" s="52"/>
      <c r="M853" s="52"/>
      <c r="O853" s="124"/>
      <c r="P853" s="52"/>
      <c r="Q853" s="52"/>
      <c r="R853" s="24"/>
      <c r="S853" s="24"/>
      <c r="T853" s="24"/>
      <c r="U853" s="24"/>
      <c r="V853" s="119"/>
    </row>
    <row r="854" spans="4:22" s="51" customFormat="1" ht="13.5" customHeight="1" x14ac:dyDescent="0.4">
      <c r="D854" s="118"/>
      <c r="E854" s="128" t="s">
        <v>480</v>
      </c>
      <c r="F854" s="128"/>
      <c r="G854" s="124"/>
      <c r="H854" s="52">
        <v>91220</v>
      </c>
      <c r="I854" s="52">
        <v>91324</v>
      </c>
      <c r="K854" s="124"/>
      <c r="L854" s="231" t="s">
        <v>487</v>
      </c>
      <c r="M854" s="52">
        <v>91324</v>
      </c>
      <c r="O854" s="124"/>
      <c r="P854" s="231" t="s">
        <v>487</v>
      </c>
      <c r="Q854" s="52">
        <v>91324</v>
      </c>
      <c r="R854" s="24"/>
      <c r="S854" s="24"/>
      <c r="T854" s="24"/>
      <c r="U854" s="24"/>
      <c r="V854" s="119"/>
    </row>
    <row r="855" spans="4:22" s="51" customFormat="1" ht="13.5" customHeight="1" x14ac:dyDescent="0.4">
      <c r="D855" s="118"/>
      <c r="E855" s="128" t="s">
        <v>481</v>
      </c>
      <c r="F855" s="128"/>
      <c r="G855" s="124"/>
      <c r="H855" s="52">
        <v>6</v>
      </c>
      <c r="I855" s="52">
        <v>0</v>
      </c>
      <c r="K855" s="124"/>
      <c r="L855" s="232"/>
      <c r="M855" s="52">
        <v>0</v>
      </c>
      <c r="O855" s="124"/>
      <c r="P855" s="232"/>
      <c r="Q855" s="52">
        <v>0</v>
      </c>
      <c r="R855" s="24"/>
      <c r="S855" s="24"/>
      <c r="T855" s="24"/>
      <c r="U855" s="24"/>
      <c r="V855" s="119"/>
    </row>
    <row r="856" spans="4:22" s="51" customFormat="1" ht="13.5" x14ac:dyDescent="0.4">
      <c r="D856" s="118"/>
      <c r="E856" s="128" t="s">
        <v>482</v>
      </c>
      <c r="F856" s="128"/>
      <c r="G856" s="124"/>
      <c r="H856" s="124" t="s">
        <v>468</v>
      </c>
      <c r="I856" s="124" t="s">
        <v>601</v>
      </c>
      <c r="K856" s="124"/>
      <c r="L856" s="232"/>
      <c r="M856" s="124" t="s">
        <v>601</v>
      </c>
      <c r="O856" s="124"/>
      <c r="P856" s="232"/>
      <c r="Q856" s="124" t="s">
        <v>601</v>
      </c>
      <c r="R856" s="24"/>
      <c r="S856" s="24"/>
      <c r="T856" s="24"/>
      <c r="U856" s="24"/>
      <c r="V856" s="119"/>
    </row>
    <row r="857" spans="4:22" s="51" customFormat="1" ht="27" x14ac:dyDescent="0.4">
      <c r="D857" s="118"/>
      <c r="E857" s="124" t="s">
        <v>379</v>
      </c>
      <c r="F857" s="124"/>
      <c r="G857" s="124"/>
      <c r="H857" s="124" t="s">
        <v>623</v>
      </c>
      <c r="I857" s="124" t="s">
        <v>646</v>
      </c>
      <c r="K857" s="124"/>
      <c r="L857" s="233"/>
      <c r="M857" s="124" t="s">
        <v>647</v>
      </c>
      <c r="O857" s="124"/>
      <c r="P857" s="233"/>
      <c r="Q857" s="124" t="s">
        <v>648</v>
      </c>
      <c r="R857" s="24"/>
      <c r="S857" s="24"/>
      <c r="T857" s="24"/>
      <c r="U857" s="24"/>
      <c r="V857" s="119"/>
    </row>
    <row r="858" spans="4:22" s="51" customFormat="1" ht="14.25" thickBot="1" x14ac:dyDescent="0.45">
      <c r="D858" s="129"/>
      <c r="E858" s="130"/>
      <c r="F858" s="130"/>
      <c r="G858" s="130"/>
      <c r="H858" s="130"/>
      <c r="I858" s="131"/>
      <c r="J858" s="132"/>
      <c r="K858" s="132"/>
      <c r="L858" s="132"/>
      <c r="M858" s="132"/>
      <c r="N858" s="132"/>
      <c r="O858" s="132"/>
      <c r="P858" s="132"/>
      <c r="Q858" s="132"/>
      <c r="R858" s="174"/>
      <c r="S858" s="174"/>
      <c r="T858" s="174"/>
      <c r="U858" s="174"/>
      <c r="V858" s="133"/>
    </row>
    <row r="859" spans="4:22" s="51" customFormat="1" ht="13.5" x14ac:dyDescent="0.4">
      <c r="D859" s="114" t="s">
        <v>474</v>
      </c>
      <c r="E859" s="115"/>
      <c r="F859" s="115"/>
      <c r="G859" s="115"/>
      <c r="H859" s="115"/>
      <c r="I859" s="115"/>
      <c r="J859" s="116"/>
      <c r="K859" s="116"/>
      <c r="L859" s="116"/>
      <c r="M859" s="116"/>
      <c r="N859" s="116"/>
      <c r="O859" s="116"/>
      <c r="P859" s="116"/>
      <c r="Q859" s="116"/>
      <c r="R859" s="173"/>
      <c r="S859" s="173"/>
      <c r="T859" s="173"/>
      <c r="U859" s="173"/>
      <c r="V859" s="117"/>
    </row>
    <row r="860" spans="4:22" s="51" customFormat="1" ht="13.5" x14ac:dyDescent="0.4">
      <c r="D860" s="118">
        <v>35</v>
      </c>
      <c r="E860" s="182" t="s">
        <v>657</v>
      </c>
      <c r="F860" s="14"/>
      <c r="G860" s="14"/>
      <c r="H860" s="52"/>
      <c r="I860" s="52"/>
      <c r="R860" s="24"/>
      <c r="S860" s="24"/>
      <c r="T860" s="24"/>
      <c r="U860" s="24"/>
      <c r="V860" s="119"/>
    </row>
    <row r="861" spans="4:22" s="51" customFormat="1" ht="13.5" x14ac:dyDescent="0.4">
      <c r="D861" s="118"/>
      <c r="E861" s="14"/>
      <c r="F861" s="14"/>
      <c r="G861" s="14"/>
      <c r="H861" s="52"/>
      <c r="I861" s="52"/>
      <c r="R861" s="24"/>
      <c r="S861" s="24"/>
      <c r="T861" s="24"/>
      <c r="U861" s="24"/>
      <c r="V861" s="119"/>
    </row>
    <row r="862" spans="4:22" s="52" customFormat="1" ht="13.5" x14ac:dyDescent="0.4">
      <c r="D862" s="118"/>
      <c r="E862" s="52" t="s">
        <v>475</v>
      </c>
      <c r="H862" s="52" t="str">
        <f>H864&amp;"円にレジでの売価変更"</f>
        <v>250円にレジでの売価変更</v>
      </c>
      <c r="I862" s="52" t="str">
        <f>I864&amp;"円の小計値引（マニュアル）"</f>
        <v>50円の小計値引（マニュアル）</v>
      </c>
      <c r="L862" s="52" t="str">
        <f>L864&amp;"円にレジでの売価変更"</f>
        <v>300円にレジでの売価変更</v>
      </c>
      <c r="M862" s="52" t="str">
        <f>M864&amp;"円の小計値引（マニュアル）"</f>
        <v>50円の小計値引（マニュアル）</v>
      </c>
      <c r="N862" s="51"/>
      <c r="P862" s="52" t="str">
        <f>P864&amp;"円にレジでの売価変更"</f>
        <v>350円にレジでの売価変更</v>
      </c>
      <c r="Q862" s="52" t="str">
        <f>Q864&amp;"円の小計値引（マニュアル）"</f>
        <v>50円の小計値引（マニュアル）</v>
      </c>
      <c r="R862" s="24"/>
      <c r="S862" s="24"/>
      <c r="T862" s="24"/>
      <c r="U862" s="24"/>
      <c r="V862" s="121"/>
    </row>
    <row r="863" spans="4:22" s="51" customFormat="1" ht="13.5" x14ac:dyDescent="0.4">
      <c r="D863" s="118"/>
      <c r="E863" s="122"/>
      <c r="F863" s="122"/>
      <c r="G863" s="14"/>
      <c r="I863" s="52"/>
      <c r="K863" s="14"/>
      <c r="M863" s="52"/>
      <c r="O863" s="14"/>
      <c r="Q863" s="52"/>
      <c r="R863" s="24"/>
      <c r="S863" s="24"/>
      <c r="T863" s="24"/>
      <c r="U863" s="24"/>
      <c r="V863" s="119"/>
    </row>
    <row r="864" spans="4:22" s="51" customFormat="1" ht="13.5" x14ac:dyDescent="0.4">
      <c r="D864" s="118"/>
      <c r="E864" s="122" t="s">
        <v>645</v>
      </c>
      <c r="F864" s="122"/>
      <c r="G864" s="52"/>
      <c r="H864" s="52">
        <v>250</v>
      </c>
      <c r="I864" s="52">
        <v>50</v>
      </c>
      <c r="K864" s="52"/>
      <c r="L864" s="52">
        <v>300</v>
      </c>
      <c r="M864" s="52">
        <v>50</v>
      </c>
      <c r="O864" s="52"/>
      <c r="P864" s="52">
        <v>350</v>
      </c>
      <c r="Q864" s="52">
        <v>50</v>
      </c>
      <c r="R864" s="24"/>
      <c r="S864" s="24"/>
      <c r="T864" s="24"/>
      <c r="U864" s="24"/>
      <c r="V864" s="119"/>
    </row>
    <row r="865" spans="4:22" s="51" customFormat="1" ht="13.5" x14ac:dyDescent="0.4">
      <c r="D865" s="118"/>
      <c r="E865" s="52"/>
      <c r="F865" s="52"/>
      <c r="G865" s="52"/>
      <c r="H865" s="52"/>
      <c r="I865" s="52"/>
      <c r="K865" s="52"/>
      <c r="L865" s="52"/>
      <c r="M865" s="52"/>
      <c r="O865" s="52"/>
      <c r="P865" s="52"/>
      <c r="Q865" s="52"/>
      <c r="R865" s="24"/>
      <c r="S865" s="24"/>
      <c r="T865" s="24"/>
      <c r="U865" s="24"/>
      <c r="V865" s="119"/>
    </row>
    <row r="866" spans="4:22" s="51" customFormat="1" ht="13.5" customHeight="1" x14ac:dyDescent="0.4">
      <c r="D866" s="118"/>
      <c r="E866" s="52"/>
      <c r="F866" s="52"/>
      <c r="G866" s="52"/>
      <c r="H866" s="52"/>
      <c r="I866" s="52"/>
      <c r="K866" s="52"/>
      <c r="L866" s="52"/>
      <c r="M866" s="52"/>
      <c r="O866" s="52"/>
      <c r="P866" s="52"/>
      <c r="Q866" s="52"/>
      <c r="R866" s="24"/>
      <c r="S866" s="24"/>
      <c r="T866" s="24"/>
      <c r="U866" s="24"/>
      <c r="V866" s="119"/>
    </row>
    <row r="867" spans="4:22" s="51" customFormat="1" ht="13.5" customHeight="1" x14ac:dyDescent="0.4">
      <c r="D867" s="118"/>
      <c r="E867" s="52"/>
      <c r="F867" s="52"/>
      <c r="G867" s="52"/>
      <c r="K867" s="52"/>
      <c r="O867" s="52"/>
      <c r="P867" s="234" t="s">
        <v>625</v>
      </c>
      <c r="Q867" s="123" t="s">
        <v>477</v>
      </c>
      <c r="R867" s="24"/>
      <c r="S867" s="24"/>
      <c r="T867" s="24"/>
      <c r="U867" s="24"/>
      <c r="V867" s="119"/>
    </row>
    <row r="868" spans="4:22" s="51" customFormat="1" ht="13.5" customHeight="1" x14ac:dyDescent="0.4">
      <c r="D868" s="118"/>
      <c r="E868" s="52"/>
      <c r="F868" s="52"/>
      <c r="G868" s="240" t="s">
        <v>476</v>
      </c>
      <c r="H868" s="123" t="s">
        <v>477</v>
      </c>
      <c r="K868" s="240" t="s">
        <v>476</v>
      </c>
      <c r="L868" s="234" t="s">
        <v>624</v>
      </c>
      <c r="M868" s="123" t="s">
        <v>477</v>
      </c>
      <c r="O868" s="240" t="s">
        <v>476</v>
      </c>
      <c r="P868" s="237"/>
      <c r="Q868" s="275" t="s">
        <v>600</v>
      </c>
      <c r="R868" s="24"/>
      <c r="S868" s="24"/>
      <c r="T868" s="24"/>
      <c r="U868" s="24"/>
      <c r="V868" s="119"/>
    </row>
    <row r="869" spans="4:22" s="51" customFormat="1" ht="13.5" customHeight="1" x14ac:dyDescent="0.4">
      <c r="D869" s="118"/>
      <c r="E869" s="52"/>
      <c r="F869" s="52"/>
      <c r="G869" s="241"/>
      <c r="H869" s="234" t="s">
        <v>622</v>
      </c>
      <c r="I869" s="123" t="s">
        <v>477</v>
      </c>
      <c r="K869" s="241"/>
      <c r="L869" s="237"/>
      <c r="M869" s="275" t="s">
        <v>597</v>
      </c>
      <c r="O869" s="241"/>
      <c r="P869" s="237"/>
      <c r="Q869" s="263"/>
      <c r="R869" s="24"/>
      <c r="S869" s="24"/>
      <c r="T869" s="24"/>
      <c r="U869" s="24"/>
      <c r="V869" s="119"/>
    </row>
    <row r="870" spans="4:22" s="51" customFormat="1" ht="13.5" customHeight="1" x14ac:dyDescent="0.4">
      <c r="D870" s="118"/>
      <c r="E870" s="52"/>
      <c r="F870" s="52"/>
      <c r="G870" s="241"/>
      <c r="H870" s="237"/>
      <c r="I870" s="259" t="s">
        <v>598</v>
      </c>
      <c r="K870" s="241"/>
      <c r="L870" s="237"/>
      <c r="M870" s="263"/>
      <c r="O870" s="241"/>
      <c r="P870" s="237"/>
      <c r="Q870" s="263"/>
      <c r="R870" s="24"/>
      <c r="S870" s="24"/>
      <c r="T870" s="24"/>
      <c r="U870" s="24"/>
      <c r="V870" s="119"/>
    </row>
    <row r="871" spans="4:22" s="51" customFormat="1" ht="13.5" customHeight="1" x14ac:dyDescent="0.4">
      <c r="D871" s="118"/>
      <c r="E871" s="52"/>
      <c r="F871" s="52"/>
      <c r="G871" s="241"/>
      <c r="H871" s="237"/>
      <c r="I871" s="237"/>
      <c r="K871" s="241"/>
      <c r="L871" s="237"/>
      <c r="M871" s="263"/>
      <c r="O871" s="241"/>
      <c r="P871" s="237"/>
      <c r="Q871" s="263"/>
      <c r="R871" s="24"/>
      <c r="S871" s="24"/>
      <c r="T871" s="24"/>
      <c r="U871" s="24"/>
      <c r="V871" s="119"/>
    </row>
    <row r="872" spans="4:22" s="51" customFormat="1" ht="13.5" customHeight="1" x14ac:dyDescent="0.4">
      <c r="D872" s="118"/>
      <c r="E872" s="52"/>
      <c r="F872" s="52"/>
      <c r="G872" s="241"/>
      <c r="H872" s="237"/>
      <c r="I872" s="237"/>
      <c r="K872" s="241"/>
      <c r="L872" s="237"/>
      <c r="M872" s="263"/>
      <c r="O872" s="241"/>
      <c r="P872" s="237"/>
      <c r="Q872" s="263"/>
      <c r="R872" s="24"/>
      <c r="S872" s="24"/>
      <c r="T872" s="24"/>
      <c r="U872" s="24"/>
      <c r="V872" s="119"/>
    </row>
    <row r="873" spans="4:22" s="51" customFormat="1" ht="13.5" customHeight="1" x14ac:dyDescent="0.4">
      <c r="D873" s="118"/>
      <c r="E873" s="52"/>
      <c r="F873" s="52"/>
      <c r="G873" s="242"/>
      <c r="H873" s="238"/>
      <c r="I873" s="238"/>
      <c r="K873" s="242"/>
      <c r="L873" s="238"/>
      <c r="M873" s="263"/>
      <c r="O873" s="242"/>
      <c r="P873" s="238"/>
      <c r="Q873" s="263"/>
      <c r="R873" s="24"/>
      <c r="S873" s="24"/>
      <c r="T873" s="24"/>
      <c r="U873" s="24"/>
      <c r="V873" s="119"/>
    </row>
    <row r="874" spans="4:22" s="51" customFormat="1" ht="13.5" x14ac:dyDescent="0.4">
      <c r="D874" s="118"/>
      <c r="E874" s="124" t="s">
        <v>379</v>
      </c>
      <c r="F874" s="124"/>
      <c r="G874" s="124"/>
      <c r="H874" s="170">
        <v>50</v>
      </c>
      <c r="I874" s="170">
        <v>50</v>
      </c>
      <c r="K874" s="124"/>
      <c r="L874" s="170"/>
      <c r="M874" s="170">
        <v>30</v>
      </c>
      <c r="O874" s="124"/>
      <c r="P874" s="170"/>
      <c r="Q874" s="170">
        <v>50</v>
      </c>
      <c r="R874" s="24"/>
      <c r="S874" s="24"/>
      <c r="T874" s="24"/>
      <c r="U874" s="24"/>
      <c r="V874" s="119"/>
    </row>
    <row r="875" spans="4:22" s="51" customFormat="1" ht="13.5" x14ac:dyDescent="0.4">
      <c r="D875" s="118"/>
      <c r="E875" s="124" t="s">
        <v>478</v>
      </c>
      <c r="F875" s="124"/>
      <c r="G875" s="124"/>
      <c r="H875" s="230">
        <v>200</v>
      </c>
      <c r="I875" s="230"/>
      <c r="K875" s="124"/>
      <c r="L875" s="230">
        <v>250</v>
      </c>
      <c r="M875" s="230"/>
      <c r="O875" s="124"/>
      <c r="P875" s="230">
        <v>300</v>
      </c>
      <c r="Q875" s="230"/>
      <c r="R875" s="24"/>
      <c r="S875" s="24"/>
      <c r="T875" s="24"/>
      <c r="U875" s="24"/>
      <c r="V875" s="119"/>
    </row>
    <row r="876" spans="4:22" s="51" customFormat="1" ht="13.5" x14ac:dyDescent="0.4">
      <c r="D876" s="118"/>
      <c r="E876" s="124"/>
      <c r="F876" s="124"/>
      <c r="G876" s="124"/>
      <c r="H876" s="52"/>
      <c r="K876" s="124"/>
      <c r="L876" s="52"/>
      <c r="O876" s="124"/>
      <c r="P876" s="52"/>
      <c r="R876" s="24"/>
      <c r="S876" s="24"/>
      <c r="T876" s="24"/>
      <c r="U876" s="24"/>
      <c r="V876" s="119"/>
    </row>
    <row r="877" spans="4:22" s="51" customFormat="1" ht="13.5" x14ac:dyDescent="0.4">
      <c r="D877" s="118"/>
      <c r="E877" s="124" t="s">
        <v>479</v>
      </c>
      <c r="F877" s="124"/>
      <c r="G877" s="124"/>
      <c r="H877" s="52"/>
      <c r="I877" s="52"/>
      <c r="K877" s="124"/>
      <c r="L877" s="52"/>
      <c r="M877" s="52"/>
      <c r="O877" s="124"/>
      <c r="P877" s="52"/>
      <c r="Q877" s="52"/>
      <c r="R877" s="24"/>
      <c r="S877" s="24"/>
      <c r="T877" s="24"/>
      <c r="U877" s="24"/>
      <c r="V877" s="119"/>
    </row>
    <row r="878" spans="4:22" s="51" customFormat="1" ht="13.5" customHeight="1" x14ac:dyDescent="0.4">
      <c r="D878" s="118"/>
      <c r="E878" s="128" t="s">
        <v>480</v>
      </c>
      <c r="F878" s="128"/>
      <c r="G878" s="124"/>
      <c r="H878" s="52">
        <v>91220</v>
      </c>
      <c r="I878" s="52">
        <v>91440</v>
      </c>
      <c r="K878" s="124"/>
      <c r="L878" s="231" t="s">
        <v>487</v>
      </c>
      <c r="M878" s="52">
        <v>91440</v>
      </c>
      <c r="O878" s="124"/>
      <c r="P878" s="231" t="s">
        <v>487</v>
      </c>
      <c r="Q878" s="52">
        <v>91440</v>
      </c>
      <c r="R878" s="24"/>
      <c r="S878" s="24"/>
      <c r="T878" s="24"/>
      <c r="U878" s="24"/>
      <c r="V878" s="119"/>
    </row>
    <row r="879" spans="4:22" s="51" customFormat="1" ht="13.5" customHeight="1" x14ac:dyDescent="0.4">
      <c r="D879" s="118"/>
      <c r="E879" s="128" t="s">
        <v>481</v>
      </c>
      <c r="F879" s="128"/>
      <c r="G879" s="124"/>
      <c r="H879" s="52">
        <v>6</v>
      </c>
      <c r="I879" s="52">
        <v>14</v>
      </c>
      <c r="K879" s="124"/>
      <c r="L879" s="232"/>
      <c r="M879" s="52">
        <v>14</v>
      </c>
      <c r="O879" s="124"/>
      <c r="P879" s="232"/>
      <c r="Q879" s="52">
        <v>14</v>
      </c>
      <c r="R879" s="24"/>
      <c r="S879" s="24"/>
      <c r="T879" s="24"/>
      <c r="U879" s="24"/>
      <c r="V879" s="119"/>
    </row>
    <row r="880" spans="4:22" s="51" customFormat="1" ht="13.5" x14ac:dyDescent="0.4">
      <c r="D880" s="118"/>
      <c r="E880" s="128" t="s">
        <v>482</v>
      </c>
      <c r="F880" s="128"/>
      <c r="G880" s="124"/>
      <c r="H880" s="124" t="s">
        <v>468</v>
      </c>
      <c r="I880" s="124" t="s">
        <v>654</v>
      </c>
      <c r="K880" s="124"/>
      <c r="L880" s="232"/>
      <c r="M880" s="124" t="s">
        <v>654</v>
      </c>
      <c r="O880" s="124"/>
      <c r="P880" s="232"/>
      <c r="Q880" s="124" t="s">
        <v>654</v>
      </c>
      <c r="R880" s="24"/>
      <c r="S880" s="24"/>
      <c r="T880" s="24"/>
      <c r="U880" s="24"/>
      <c r="V880" s="119"/>
    </row>
    <row r="881" spans="4:22" s="51" customFormat="1" ht="27" x14ac:dyDescent="0.4">
      <c r="D881" s="118"/>
      <c r="E881" s="124" t="s">
        <v>379</v>
      </c>
      <c r="F881" s="124"/>
      <c r="G881" s="124"/>
      <c r="H881" s="124" t="s">
        <v>623</v>
      </c>
      <c r="I881" s="124" t="s">
        <v>655</v>
      </c>
      <c r="K881" s="124"/>
      <c r="L881" s="233"/>
      <c r="M881" s="124" t="s">
        <v>655</v>
      </c>
      <c r="O881" s="124"/>
      <c r="P881" s="233"/>
      <c r="Q881" s="124" t="s">
        <v>655</v>
      </c>
      <c r="R881" s="24"/>
      <c r="S881" s="24"/>
      <c r="T881" s="24"/>
      <c r="U881" s="24"/>
      <c r="V881" s="119"/>
    </row>
    <row r="882" spans="4:22" s="51" customFormat="1" ht="14.25" thickBot="1" x14ac:dyDescent="0.45">
      <c r="D882" s="129"/>
      <c r="E882" s="130"/>
      <c r="F882" s="130"/>
      <c r="G882" s="130"/>
      <c r="H882" s="130"/>
      <c r="I882" s="131"/>
      <c r="J882" s="132"/>
      <c r="K882" s="132"/>
      <c r="L882" s="132"/>
      <c r="M882" s="132"/>
      <c r="N882" s="132"/>
      <c r="O882" s="132"/>
      <c r="P882" s="132"/>
      <c r="Q882" s="132"/>
      <c r="R882" s="174"/>
      <c r="S882" s="174"/>
      <c r="T882" s="174"/>
      <c r="U882" s="174"/>
      <c r="V882" s="133"/>
    </row>
    <row r="883" spans="4:22" s="51" customFormat="1" ht="13.5" x14ac:dyDescent="0.4">
      <c r="D883" s="114" t="s">
        <v>474</v>
      </c>
      <c r="E883" s="115"/>
      <c r="F883" s="115"/>
      <c r="G883" s="115"/>
      <c r="H883" s="115"/>
      <c r="I883" s="115"/>
      <c r="J883" s="116"/>
      <c r="K883" s="116"/>
      <c r="L883" s="116"/>
      <c r="M883" s="116"/>
      <c r="N883" s="116"/>
      <c r="O883" s="116"/>
      <c r="P883" s="116"/>
      <c r="Q883" s="116"/>
      <c r="R883" s="173"/>
      <c r="S883" s="173"/>
      <c r="T883" s="173"/>
      <c r="U883" s="173"/>
      <c r="V883" s="117"/>
    </row>
    <row r="884" spans="4:22" s="51" customFormat="1" ht="13.5" x14ac:dyDescent="0.4">
      <c r="D884" s="118">
        <v>36</v>
      </c>
      <c r="E884" s="182" t="s">
        <v>664</v>
      </c>
      <c r="F884" s="14"/>
      <c r="G884" s="14"/>
      <c r="H884" s="52"/>
      <c r="I884" s="52"/>
      <c r="R884" s="24"/>
      <c r="S884" s="24"/>
      <c r="T884" s="24"/>
      <c r="U884" s="24"/>
      <c r="V884" s="119"/>
    </row>
    <row r="885" spans="4:22" s="51" customFormat="1" ht="13.5" x14ac:dyDescent="0.4">
      <c r="D885" s="118"/>
      <c r="E885" s="14"/>
      <c r="F885" s="14"/>
      <c r="G885" s="14"/>
      <c r="H885" s="52"/>
      <c r="I885" s="52"/>
      <c r="R885" s="24"/>
      <c r="S885" s="24"/>
      <c r="T885" s="24"/>
      <c r="U885" s="24"/>
      <c r="V885" s="119"/>
    </row>
    <row r="886" spans="4:22" s="52" customFormat="1" ht="13.5" x14ac:dyDescent="0.4">
      <c r="D886" s="118"/>
      <c r="E886" s="52" t="s">
        <v>475</v>
      </c>
      <c r="H886" s="52" t="str">
        <f>H888&amp;"円にレジでの売価変更"</f>
        <v>250円にレジでの売価変更</v>
      </c>
      <c r="I886" s="52" t="str">
        <f>I888&amp;"%の小計割引（マニュアル）"</f>
        <v>10%の小計割引（マニュアル）</v>
      </c>
      <c r="L886" s="52" t="str">
        <f>L888&amp;"円にレジでの売価変更"</f>
        <v>300円にレジでの売価変更</v>
      </c>
      <c r="M886" s="52" t="str">
        <f>M888&amp;"%の小計割引（マニュアル）"</f>
        <v>10%の小計割引（マニュアル）</v>
      </c>
      <c r="N886" s="51"/>
      <c r="P886" s="52" t="str">
        <f>P888&amp;"円にレジでの売価変更"</f>
        <v>350円にレジでの売価変更</v>
      </c>
      <c r="Q886" s="52" t="str">
        <f>Q888&amp;"%の小計割引（マニュアル）"</f>
        <v>10%の小計割引（マニュアル）</v>
      </c>
      <c r="R886" s="24"/>
      <c r="S886" s="24"/>
      <c r="T886" s="24"/>
      <c r="U886" s="24"/>
      <c r="V886" s="121"/>
    </row>
    <row r="887" spans="4:22" s="51" customFormat="1" ht="13.5" x14ac:dyDescent="0.4">
      <c r="D887" s="118"/>
      <c r="E887" s="122"/>
      <c r="F887" s="122"/>
      <c r="G887" s="14"/>
      <c r="I887" s="52"/>
      <c r="K887" s="14"/>
      <c r="M887" s="52"/>
      <c r="O887" s="14"/>
      <c r="Q887" s="52"/>
      <c r="R887" s="24"/>
      <c r="S887" s="24"/>
      <c r="T887" s="24"/>
      <c r="U887" s="24"/>
      <c r="V887" s="119"/>
    </row>
    <row r="888" spans="4:22" s="51" customFormat="1" ht="13.5" x14ac:dyDescent="0.4">
      <c r="D888" s="118"/>
      <c r="E888" s="122" t="s">
        <v>645</v>
      </c>
      <c r="F888" s="122"/>
      <c r="G888" s="52"/>
      <c r="H888" s="52">
        <v>250</v>
      </c>
      <c r="I888" s="52">
        <v>10</v>
      </c>
      <c r="K888" s="52"/>
      <c r="L888" s="52">
        <v>300</v>
      </c>
      <c r="M888" s="52">
        <v>10</v>
      </c>
      <c r="O888" s="52"/>
      <c r="P888" s="52">
        <v>350</v>
      </c>
      <c r="Q888" s="52">
        <v>10</v>
      </c>
      <c r="R888" s="24"/>
      <c r="S888" s="24"/>
      <c r="T888" s="24"/>
      <c r="U888" s="24"/>
      <c r="V888" s="119"/>
    </row>
    <row r="889" spans="4:22" s="51" customFormat="1" ht="13.5" x14ac:dyDescent="0.4">
      <c r="D889" s="118"/>
      <c r="E889" s="52"/>
      <c r="F889" s="52"/>
      <c r="G889" s="52"/>
      <c r="H889" s="52"/>
      <c r="I889" s="52"/>
      <c r="K889" s="52"/>
      <c r="L889" s="52"/>
      <c r="M889" s="52"/>
      <c r="O889" s="52"/>
      <c r="P889" s="52"/>
      <c r="Q889" s="52"/>
      <c r="R889" s="24"/>
      <c r="S889" s="24"/>
      <c r="T889" s="24"/>
      <c r="U889" s="24"/>
      <c r="V889" s="119"/>
    </row>
    <row r="890" spans="4:22" s="51" customFormat="1" ht="13.5" customHeight="1" x14ac:dyDescent="0.4">
      <c r="D890" s="118"/>
      <c r="E890" s="52"/>
      <c r="F890" s="52"/>
      <c r="G890" s="52"/>
      <c r="H890" s="52"/>
      <c r="I890" s="52"/>
      <c r="K890" s="52"/>
      <c r="L890" s="52"/>
      <c r="M890" s="52"/>
      <c r="O890" s="52"/>
      <c r="P890" s="52"/>
      <c r="Q890" s="52"/>
      <c r="R890" s="24"/>
      <c r="S890" s="24"/>
      <c r="T890" s="24"/>
      <c r="U890" s="24"/>
      <c r="V890" s="119"/>
    </row>
    <row r="891" spans="4:22" s="51" customFormat="1" ht="13.5" customHeight="1" x14ac:dyDescent="0.4">
      <c r="D891" s="118"/>
      <c r="E891" s="52"/>
      <c r="F891" s="52"/>
      <c r="G891" s="52"/>
      <c r="K891" s="52"/>
      <c r="O891" s="52"/>
      <c r="P891" s="234" t="s">
        <v>625</v>
      </c>
      <c r="Q891" s="123" t="s">
        <v>605</v>
      </c>
      <c r="R891" s="24"/>
      <c r="S891" s="24"/>
      <c r="T891" s="24"/>
      <c r="U891" s="24"/>
      <c r="V891" s="119"/>
    </row>
    <row r="892" spans="4:22" s="51" customFormat="1" ht="13.5" customHeight="1" x14ac:dyDescent="0.4">
      <c r="D892" s="118"/>
      <c r="E892" s="52"/>
      <c r="F892" s="52"/>
      <c r="G892" s="240" t="s">
        <v>476</v>
      </c>
      <c r="H892" s="123" t="s">
        <v>477</v>
      </c>
      <c r="K892" s="240" t="s">
        <v>476</v>
      </c>
      <c r="L892" s="234" t="s">
        <v>624</v>
      </c>
      <c r="M892" s="123" t="s">
        <v>603</v>
      </c>
      <c r="O892" s="240" t="s">
        <v>476</v>
      </c>
      <c r="P892" s="237"/>
      <c r="Q892" s="275" t="s">
        <v>658</v>
      </c>
      <c r="R892" s="24"/>
      <c r="S892" s="24"/>
      <c r="T892" s="24"/>
      <c r="U892" s="24"/>
      <c r="V892" s="119"/>
    </row>
    <row r="893" spans="4:22" s="51" customFormat="1" ht="13.5" customHeight="1" x14ac:dyDescent="0.4">
      <c r="D893" s="118"/>
      <c r="E893" s="52"/>
      <c r="F893" s="52"/>
      <c r="G893" s="241"/>
      <c r="H893" s="234" t="s">
        <v>622</v>
      </c>
      <c r="I893" s="123" t="s">
        <v>602</v>
      </c>
      <c r="K893" s="241"/>
      <c r="L893" s="237"/>
      <c r="M893" s="275" t="s">
        <v>604</v>
      </c>
      <c r="O893" s="241"/>
      <c r="P893" s="237"/>
      <c r="Q893" s="263"/>
      <c r="R893" s="24"/>
      <c r="S893" s="24"/>
      <c r="T893" s="24"/>
      <c r="U893" s="24"/>
      <c r="V893" s="119"/>
    </row>
    <row r="894" spans="4:22" s="51" customFormat="1" ht="13.5" customHeight="1" x14ac:dyDescent="0.4">
      <c r="D894" s="118"/>
      <c r="E894" s="52"/>
      <c r="F894" s="52"/>
      <c r="G894" s="241"/>
      <c r="H894" s="237"/>
      <c r="I894" s="259" t="s">
        <v>659</v>
      </c>
      <c r="K894" s="241"/>
      <c r="L894" s="237"/>
      <c r="M894" s="263"/>
      <c r="O894" s="241"/>
      <c r="P894" s="237"/>
      <c r="Q894" s="263"/>
      <c r="R894" s="24"/>
      <c r="S894" s="24"/>
      <c r="T894" s="24"/>
      <c r="U894" s="24"/>
      <c r="V894" s="119"/>
    </row>
    <row r="895" spans="4:22" s="51" customFormat="1" ht="13.5" customHeight="1" x14ac:dyDescent="0.4">
      <c r="D895" s="118"/>
      <c r="E895" s="52"/>
      <c r="F895" s="52"/>
      <c r="G895" s="241"/>
      <c r="H895" s="237"/>
      <c r="I895" s="237"/>
      <c r="K895" s="241"/>
      <c r="L895" s="237"/>
      <c r="M895" s="263"/>
      <c r="O895" s="241"/>
      <c r="P895" s="237"/>
      <c r="Q895" s="263"/>
      <c r="R895" s="24"/>
      <c r="S895" s="24"/>
      <c r="T895" s="24"/>
      <c r="U895" s="24"/>
      <c r="V895" s="119"/>
    </row>
    <row r="896" spans="4:22" s="51" customFormat="1" ht="13.5" customHeight="1" x14ac:dyDescent="0.4">
      <c r="D896" s="118"/>
      <c r="E896" s="52"/>
      <c r="F896" s="52"/>
      <c r="G896" s="241"/>
      <c r="H896" s="237"/>
      <c r="I896" s="237"/>
      <c r="K896" s="241"/>
      <c r="L896" s="237"/>
      <c r="M896" s="263"/>
      <c r="O896" s="241"/>
      <c r="P896" s="237"/>
      <c r="Q896" s="263"/>
      <c r="R896" s="24"/>
      <c r="S896" s="24"/>
      <c r="T896" s="24"/>
      <c r="U896" s="24"/>
      <c r="V896" s="119"/>
    </row>
    <row r="897" spans="4:22" s="51" customFormat="1" ht="13.5" customHeight="1" x14ac:dyDescent="0.4">
      <c r="D897" s="118"/>
      <c r="E897" s="52"/>
      <c r="F897" s="52"/>
      <c r="G897" s="242"/>
      <c r="H897" s="238"/>
      <c r="I897" s="238"/>
      <c r="K897" s="242"/>
      <c r="L897" s="238"/>
      <c r="M897" s="263"/>
      <c r="O897" s="242"/>
      <c r="P897" s="238"/>
      <c r="Q897" s="263"/>
      <c r="R897" s="24"/>
      <c r="S897" s="24"/>
      <c r="T897" s="24"/>
      <c r="U897" s="24"/>
      <c r="V897" s="119"/>
    </row>
    <row r="898" spans="4:22" s="51" customFormat="1" ht="13.5" x14ac:dyDescent="0.4">
      <c r="D898" s="118"/>
      <c r="E898" s="124" t="s">
        <v>379</v>
      </c>
      <c r="F898" s="124"/>
      <c r="G898" s="124"/>
      <c r="H898" s="170">
        <v>50</v>
      </c>
      <c r="I898" s="170">
        <v>25</v>
      </c>
      <c r="K898" s="124"/>
      <c r="L898" s="170"/>
      <c r="M898" s="170">
        <v>30</v>
      </c>
      <c r="O898" s="124"/>
      <c r="P898" s="170"/>
      <c r="Q898" s="170">
        <v>50</v>
      </c>
      <c r="R898" s="24"/>
      <c r="S898" s="24"/>
      <c r="T898" s="24"/>
      <c r="U898" s="24"/>
      <c r="V898" s="119"/>
    </row>
    <row r="899" spans="4:22" s="51" customFormat="1" ht="13.5" x14ac:dyDescent="0.4">
      <c r="D899" s="118"/>
      <c r="E899" s="124" t="s">
        <v>478</v>
      </c>
      <c r="F899" s="124"/>
      <c r="G899" s="124"/>
      <c r="H899" s="230">
        <v>225</v>
      </c>
      <c r="I899" s="230"/>
      <c r="K899" s="124"/>
      <c r="L899" s="230">
        <v>270</v>
      </c>
      <c r="M899" s="230"/>
      <c r="O899" s="124"/>
      <c r="P899" s="230">
        <v>300</v>
      </c>
      <c r="Q899" s="230"/>
      <c r="R899" s="24"/>
      <c r="S899" s="24"/>
      <c r="T899" s="24"/>
      <c r="U899" s="24"/>
      <c r="V899" s="119"/>
    </row>
    <row r="900" spans="4:22" s="51" customFormat="1" ht="13.5" x14ac:dyDescent="0.4">
      <c r="D900" s="118"/>
      <c r="E900" s="124"/>
      <c r="F900" s="124"/>
      <c r="G900" s="124"/>
      <c r="H900" s="52"/>
      <c r="K900" s="124"/>
      <c r="L900" s="52"/>
      <c r="O900" s="124"/>
      <c r="P900" s="52"/>
      <c r="R900" s="24"/>
      <c r="S900" s="24"/>
      <c r="T900" s="24"/>
      <c r="U900" s="24"/>
      <c r="V900" s="119"/>
    </row>
    <row r="901" spans="4:22" s="51" customFormat="1" ht="13.5" x14ac:dyDescent="0.4">
      <c r="D901" s="118"/>
      <c r="E901" s="124" t="s">
        <v>479</v>
      </c>
      <c r="F901" s="124"/>
      <c r="G901" s="124"/>
      <c r="H901" s="52"/>
      <c r="I901" s="52"/>
      <c r="K901" s="124"/>
      <c r="L901" s="52"/>
      <c r="M901" s="52"/>
      <c r="O901" s="124"/>
      <c r="P901" s="52"/>
      <c r="Q901" s="52"/>
      <c r="R901" s="24"/>
      <c r="S901" s="24"/>
      <c r="T901" s="24"/>
      <c r="U901" s="24"/>
      <c r="V901" s="119"/>
    </row>
    <row r="902" spans="4:22" s="51" customFormat="1" ht="13.5" customHeight="1" x14ac:dyDescent="0.4">
      <c r="D902" s="118"/>
      <c r="E902" s="128" t="s">
        <v>480</v>
      </c>
      <c r="F902" s="128"/>
      <c r="G902" s="124"/>
      <c r="H902" s="52">
        <v>91220</v>
      </c>
      <c r="I902" s="52">
        <v>91440</v>
      </c>
      <c r="K902" s="124"/>
      <c r="L902" s="231" t="s">
        <v>487</v>
      </c>
      <c r="M902" s="52">
        <v>91440</v>
      </c>
      <c r="O902" s="124"/>
      <c r="P902" s="231" t="s">
        <v>487</v>
      </c>
      <c r="Q902" s="52">
        <v>91440</v>
      </c>
      <c r="R902" s="24"/>
      <c r="S902" s="24"/>
      <c r="T902" s="24"/>
      <c r="U902" s="24"/>
      <c r="V902" s="119"/>
    </row>
    <row r="903" spans="4:22" s="51" customFormat="1" ht="13.5" customHeight="1" x14ac:dyDescent="0.4">
      <c r="D903" s="118"/>
      <c r="E903" s="128" t="s">
        <v>481</v>
      </c>
      <c r="F903" s="128"/>
      <c r="G903" s="124"/>
      <c r="H903" s="52">
        <v>6</v>
      </c>
      <c r="I903" s="52">
        <v>14</v>
      </c>
      <c r="K903" s="124"/>
      <c r="L903" s="232"/>
      <c r="M903" s="52">
        <v>14</v>
      </c>
      <c r="O903" s="124"/>
      <c r="P903" s="232"/>
      <c r="Q903" s="52">
        <v>14</v>
      </c>
      <c r="R903" s="24"/>
      <c r="S903" s="24"/>
      <c r="T903" s="24"/>
      <c r="U903" s="24"/>
      <c r="V903" s="119"/>
    </row>
    <row r="904" spans="4:22" s="51" customFormat="1" ht="13.5" x14ac:dyDescent="0.4">
      <c r="D904" s="118"/>
      <c r="E904" s="128" t="s">
        <v>482</v>
      </c>
      <c r="F904" s="128"/>
      <c r="G904" s="124"/>
      <c r="H904" s="124" t="s">
        <v>468</v>
      </c>
      <c r="I904" s="124" t="s">
        <v>654</v>
      </c>
      <c r="K904" s="124"/>
      <c r="L904" s="232"/>
      <c r="M904" s="124" t="s">
        <v>654</v>
      </c>
      <c r="O904" s="124"/>
      <c r="P904" s="232"/>
      <c r="Q904" s="124" t="s">
        <v>654</v>
      </c>
      <c r="R904" s="24"/>
      <c r="S904" s="24"/>
      <c r="T904" s="24"/>
      <c r="U904" s="24"/>
      <c r="V904" s="119"/>
    </row>
    <row r="905" spans="4:22" s="51" customFormat="1" ht="27" x14ac:dyDescent="0.4">
      <c r="D905" s="118"/>
      <c r="E905" s="124" t="s">
        <v>379</v>
      </c>
      <c r="F905" s="124"/>
      <c r="G905" s="124"/>
      <c r="H905" s="124" t="s">
        <v>623</v>
      </c>
      <c r="I905" s="124" t="s">
        <v>666</v>
      </c>
      <c r="K905" s="124"/>
      <c r="L905" s="233"/>
      <c r="M905" s="124" t="s">
        <v>665</v>
      </c>
      <c r="O905" s="124"/>
      <c r="P905" s="233"/>
      <c r="Q905" s="124" t="s">
        <v>667</v>
      </c>
      <c r="R905" s="24"/>
      <c r="S905" s="24"/>
      <c r="T905" s="24"/>
      <c r="U905" s="24"/>
      <c r="V905" s="119"/>
    </row>
    <row r="906" spans="4:22" s="51" customFormat="1" ht="14.25" thickBot="1" x14ac:dyDescent="0.45">
      <c r="D906" s="129"/>
      <c r="E906" s="130"/>
      <c r="F906" s="130"/>
      <c r="G906" s="130"/>
      <c r="H906" s="130"/>
      <c r="I906" s="131"/>
      <c r="J906" s="132"/>
      <c r="K906" s="132"/>
      <c r="L906" s="132"/>
      <c r="M906" s="132"/>
      <c r="N906" s="132"/>
      <c r="O906" s="132"/>
      <c r="P906" s="132"/>
      <c r="Q906" s="132"/>
      <c r="R906" s="174"/>
      <c r="S906" s="174"/>
      <c r="T906" s="174"/>
      <c r="U906" s="174"/>
      <c r="V906" s="133"/>
    </row>
    <row r="907" spans="4:22" s="51" customFormat="1" ht="13.5" x14ac:dyDescent="0.4">
      <c r="D907" s="114" t="s">
        <v>474</v>
      </c>
      <c r="E907" s="115"/>
      <c r="F907" s="115"/>
      <c r="G907" s="115"/>
      <c r="H907" s="115"/>
      <c r="I907" s="115"/>
      <c r="J907" s="116"/>
      <c r="K907" s="116"/>
      <c r="L907" s="116"/>
      <c r="M907" s="116"/>
      <c r="N907" s="116"/>
      <c r="O907" s="116"/>
      <c r="P907" s="116"/>
      <c r="Q907" s="116"/>
      <c r="R907" s="173"/>
      <c r="S907" s="173"/>
      <c r="T907" s="173"/>
      <c r="U907" s="173"/>
      <c r="V907" s="117"/>
    </row>
    <row r="908" spans="4:22" s="51" customFormat="1" ht="13.5" x14ac:dyDescent="0.4">
      <c r="D908" s="118">
        <v>37</v>
      </c>
      <c r="E908" s="182" t="s">
        <v>669</v>
      </c>
      <c r="F908" s="14"/>
      <c r="G908" s="14"/>
      <c r="H908" s="52"/>
      <c r="I908" s="52"/>
      <c r="R908" s="24"/>
      <c r="S908" s="24"/>
      <c r="T908" s="24"/>
      <c r="U908" s="24"/>
      <c r="V908" s="119"/>
    </row>
    <row r="909" spans="4:22" s="51" customFormat="1" ht="13.5" x14ac:dyDescent="0.4">
      <c r="D909" s="118"/>
      <c r="E909" s="14"/>
      <c r="F909" s="14"/>
      <c r="G909" s="14"/>
      <c r="H909" s="52"/>
      <c r="I909" s="52"/>
      <c r="R909" s="24"/>
      <c r="S909" s="24"/>
      <c r="T909" s="24"/>
      <c r="U909" s="24"/>
      <c r="V909" s="119"/>
    </row>
    <row r="910" spans="4:22" s="52" customFormat="1" ht="13.5" x14ac:dyDescent="0.4">
      <c r="D910" s="118"/>
      <c r="E910" s="52" t="s">
        <v>475</v>
      </c>
      <c r="H910" s="52" t="str">
        <f>H912&amp;"円にレジでの売価変更"</f>
        <v>250円にレジでの売価変更</v>
      </c>
      <c r="I910" s="52" t="str">
        <f>I912&amp;"%の朝割り（自動）"</f>
        <v>10%の朝割り（自動）</v>
      </c>
      <c r="L910" s="52" t="str">
        <f>L912&amp;"円にレジでの売価変更"</f>
        <v>300円にレジでの売価変更</v>
      </c>
      <c r="M910" s="52" t="str">
        <f>M912&amp;"%の朝割り（自動）"</f>
        <v>10%の朝割り（自動）</v>
      </c>
      <c r="N910" s="51"/>
      <c r="P910" s="52" t="str">
        <f>P912&amp;"円にレジでの売価変更"</f>
        <v>350円にレジでの売価変更</v>
      </c>
      <c r="Q910" s="52" t="str">
        <f>Q912&amp;"%の朝割り（自動）"</f>
        <v>10%の朝割り（自動）</v>
      </c>
      <c r="R910" s="24"/>
      <c r="S910" s="24"/>
      <c r="T910" s="24"/>
      <c r="U910" s="24"/>
      <c r="V910" s="121"/>
    </row>
    <row r="911" spans="4:22" s="51" customFormat="1" ht="13.5" x14ac:dyDescent="0.4">
      <c r="D911" s="118"/>
      <c r="E911" s="122"/>
      <c r="F911" s="122"/>
      <c r="G911" s="14"/>
      <c r="I911" s="52"/>
      <c r="K911" s="14"/>
      <c r="M911" s="52"/>
      <c r="O911" s="14"/>
      <c r="Q911" s="52"/>
      <c r="R911" s="24"/>
      <c r="S911" s="24"/>
      <c r="T911" s="24"/>
      <c r="U911" s="24"/>
      <c r="V911" s="119"/>
    </row>
    <row r="912" spans="4:22" s="51" customFormat="1" ht="13.5" x14ac:dyDescent="0.4">
      <c r="D912" s="118"/>
      <c r="E912" s="122" t="s">
        <v>645</v>
      </c>
      <c r="F912" s="122"/>
      <c r="G912" s="52"/>
      <c r="H912" s="52">
        <v>250</v>
      </c>
      <c r="I912" s="52">
        <v>10</v>
      </c>
      <c r="K912" s="52"/>
      <c r="L912" s="52">
        <v>300</v>
      </c>
      <c r="M912" s="52">
        <v>10</v>
      </c>
      <c r="O912" s="52"/>
      <c r="P912" s="52">
        <v>350</v>
      </c>
      <c r="Q912" s="52">
        <v>10</v>
      </c>
      <c r="R912" s="24"/>
      <c r="S912" s="24"/>
      <c r="T912" s="24"/>
      <c r="U912" s="24"/>
      <c r="V912" s="119"/>
    </row>
    <row r="913" spans="4:22" s="51" customFormat="1" ht="13.5" x14ac:dyDescent="0.4">
      <c r="D913" s="118"/>
      <c r="E913" s="52"/>
      <c r="F913" s="52"/>
      <c r="G913" s="52"/>
      <c r="H913" s="52"/>
      <c r="I913" s="52"/>
      <c r="K913" s="52"/>
      <c r="L913" s="52"/>
      <c r="M913" s="52"/>
      <c r="O913" s="52"/>
      <c r="P913" s="52"/>
      <c r="Q913" s="52"/>
      <c r="R913" s="24"/>
      <c r="S913" s="24"/>
      <c r="T913" s="24"/>
      <c r="U913" s="24"/>
      <c r="V913" s="119"/>
    </row>
    <row r="914" spans="4:22" s="51" customFormat="1" ht="13.5" customHeight="1" x14ac:dyDescent="0.4">
      <c r="D914" s="118"/>
      <c r="E914" s="52"/>
      <c r="F914" s="52"/>
      <c r="G914" s="52"/>
      <c r="H914" s="52"/>
      <c r="I914" s="52"/>
      <c r="K914" s="52"/>
      <c r="L914" s="52"/>
      <c r="M914" s="52"/>
      <c r="O914" s="52"/>
      <c r="P914" s="52"/>
      <c r="Q914" s="52"/>
      <c r="R914" s="24"/>
      <c r="S914" s="24"/>
      <c r="T914" s="24"/>
      <c r="U914" s="24"/>
      <c r="V914" s="119"/>
    </row>
    <row r="915" spans="4:22" s="51" customFormat="1" ht="13.5" customHeight="1" x14ac:dyDescent="0.4">
      <c r="D915" s="118"/>
      <c r="E915" s="52"/>
      <c r="F915" s="52"/>
      <c r="G915" s="52"/>
      <c r="K915" s="52"/>
      <c r="O915" s="52"/>
      <c r="P915" s="234" t="s">
        <v>625</v>
      </c>
      <c r="Q915" s="123" t="s">
        <v>605</v>
      </c>
      <c r="R915" s="24"/>
      <c r="S915" s="24"/>
      <c r="T915" s="24"/>
      <c r="U915" s="24"/>
      <c r="V915" s="119"/>
    </row>
    <row r="916" spans="4:22" s="51" customFormat="1" ht="13.5" customHeight="1" x14ac:dyDescent="0.4">
      <c r="D916" s="118"/>
      <c r="E916" s="52"/>
      <c r="F916" s="52"/>
      <c r="G916" s="240" t="s">
        <v>476</v>
      </c>
      <c r="H916" s="123" t="s">
        <v>477</v>
      </c>
      <c r="K916" s="240" t="s">
        <v>476</v>
      </c>
      <c r="L916" s="234" t="s">
        <v>624</v>
      </c>
      <c r="M916" s="123" t="s">
        <v>603</v>
      </c>
      <c r="O916" s="240" t="s">
        <v>476</v>
      </c>
      <c r="P916" s="237"/>
      <c r="Q916" s="275" t="s">
        <v>658</v>
      </c>
      <c r="R916" s="24"/>
      <c r="S916" s="24"/>
      <c r="T916" s="24"/>
      <c r="U916" s="24"/>
      <c r="V916" s="119"/>
    </row>
    <row r="917" spans="4:22" s="51" customFormat="1" ht="13.5" customHeight="1" x14ac:dyDescent="0.4">
      <c r="D917" s="118"/>
      <c r="E917" s="52"/>
      <c r="F917" s="52"/>
      <c r="G917" s="241"/>
      <c r="H917" s="234" t="s">
        <v>622</v>
      </c>
      <c r="I917" s="123" t="s">
        <v>602</v>
      </c>
      <c r="K917" s="241"/>
      <c r="L917" s="237"/>
      <c r="M917" s="275" t="s">
        <v>604</v>
      </c>
      <c r="O917" s="241"/>
      <c r="P917" s="237"/>
      <c r="Q917" s="263"/>
      <c r="R917" s="24"/>
      <c r="S917" s="24"/>
      <c r="T917" s="24"/>
      <c r="U917" s="24"/>
      <c r="V917" s="119"/>
    </row>
    <row r="918" spans="4:22" s="51" customFormat="1" ht="13.5" customHeight="1" x14ac:dyDescent="0.4">
      <c r="D918" s="118"/>
      <c r="E918" s="52"/>
      <c r="F918" s="52"/>
      <c r="G918" s="241"/>
      <c r="H918" s="237"/>
      <c r="I918" s="259" t="s">
        <v>659</v>
      </c>
      <c r="K918" s="241"/>
      <c r="L918" s="237"/>
      <c r="M918" s="263"/>
      <c r="O918" s="241"/>
      <c r="P918" s="237"/>
      <c r="Q918" s="263"/>
      <c r="R918" s="24"/>
      <c r="S918" s="24"/>
      <c r="T918" s="24"/>
      <c r="U918" s="24"/>
      <c r="V918" s="119"/>
    </row>
    <row r="919" spans="4:22" s="51" customFormat="1" ht="13.5" customHeight="1" x14ac:dyDescent="0.4">
      <c r="D919" s="118"/>
      <c r="E919" s="52"/>
      <c r="F919" s="52"/>
      <c r="G919" s="241"/>
      <c r="H919" s="237"/>
      <c r="I919" s="237"/>
      <c r="K919" s="241"/>
      <c r="L919" s="237"/>
      <c r="M919" s="263"/>
      <c r="O919" s="241"/>
      <c r="P919" s="237"/>
      <c r="Q919" s="263"/>
      <c r="R919" s="24"/>
      <c r="S919" s="24"/>
      <c r="T919" s="24"/>
      <c r="U919" s="24"/>
      <c r="V919" s="119"/>
    </row>
    <row r="920" spans="4:22" s="51" customFormat="1" ht="13.5" customHeight="1" x14ac:dyDescent="0.4">
      <c r="D920" s="118"/>
      <c r="E920" s="52"/>
      <c r="F920" s="52"/>
      <c r="G920" s="241"/>
      <c r="H920" s="237"/>
      <c r="I920" s="237"/>
      <c r="K920" s="241"/>
      <c r="L920" s="237"/>
      <c r="M920" s="263"/>
      <c r="O920" s="241"/>
      <c r="P920" s="237"/>
      <c r="Q920" s="263"/>
      <c r="R920" s="24"/>
      <c r="S920" s="24"/>
      <c r="T920" s="24"/>
      <c r="U920" s="24"/>
      <c r="V920" s="119"/>
    </row>
    <row r="921" spans="4:22" s="51" customFormat="1" ht="13.5" customHeight="1" x14ac:dyDescent="0.4">
      <c r="D921" s="118"/>
      <c r="E921" s="52"/>
      <c r="F921" s="52"/>
      <c r="G921" s="242"/>
      <c r="H921" s="238"/>
      <c r="I921" s="238"/>
      <c r="K921" s="242"/>
      <c r="L921" s="238"/>
      <c r="M921" s="263"/>
      <c r="O921" s="242"/>
      <c r="P921" s="238"/>
      <c r="Q921" s="263"/>
      <c r="R921" s="24"/>
      <c r="S921" s="24"/>
      <c r="T921" s="24"/>
      <c r="U921" s="24"/>
      <c r="V921" s="119"/>
    </row>
    <row r="922" spans="4:22" s="51" customFormat="1" ht="13.5" x14ac:dyDescent="0.4">
      <c r="D922" s="118"/>
      <c r="E922" s="124" t="s">
        <v>379</v>
      </c>
      <c r="F922" s="124"/>
      <c r="G922" s="124"/>
      <c r="H922" s="170">
        <v>50</v>
      </c>
      <c r="I922" s="170">
        <v>25</v>
      </c>
      <c r="K922" s="124"/>
      <c r="L922" s="170"/>
      <c r="M922" s="170">
        <v>30</v>
      </c>
      <c r="O922" s="124"/>
      <c r="P922" s="170"/>
      <c r="Q922" s="170">
        <v>50</v>
      </c>
      <c r="R922" s="24"/>
      <c r="S922" s="24"/>
      <c r="T922" s="24"/>
      <c r="U922" s="24"/>
      <c r="V922" s="119"/>
    </row>
    <row r="923" spans="4:22" s="51" customFormat="1" ht="13.5" x14ac:dyDescent="0.4">
      <c r="D923" s="118"/>
      <c r="E923" s="124" t="s">
        <v>478</v>
      </c>
      <c r="F923" s="124"/>
      <c r="G923" s="124"/>
      <c r="H923" s="230">
        <v>225</v>
      </c>
      <c r="I923" s="230"/>
      <c r="K923" s="124"/>
      <c r="L923" s="230">
        <v>270</v>
      </c>
      <c r="M923" s="230"/>
      <c r="O923" s="124"/>
      <c r="P923" s="230">
        <v>300</v>
      </c>
      <c r="Q923" s="230"/>
      <c r="R923" s="24"/>
      <c r="S923" s="24"/>
      <c r="T923" s="24"/>
      <c r="U923" s="24"/>
      <c r="V923" s="119"/>
    </row>
    <row r="924" spans="4:22" s="51" customFormat="1" ht="13.5" x14ac:dyDescent="0.4">
      <c r="D924" s="118"/>
      <c r="E924" s="124"/>
      <c r="F924" s="124"/>
      <c r="G924" s="124"/>
      <c r="H924" s="52"/>
      <c r="K924" s="124"/>
      <c r="L924" s="52"/>
      <c r="O924" s="124"/>
      <c r="P924" s="52"/>
      <c r="R924" s="24"/>
      <c r="S924" s="24"/>
      <c r="T924" s="24"/>
      <c r="U924" s="24"/>
      <c r="V924" s="119"/>
    </row>
    <row r="925" spans="4:22" s="51" customFormat="1" ht="13.5" x14ac:dyDescent="0.4">
      <c r="D925" s="118"/>
      <c r="E925" s="124" t="s">
        <v>479</v>
      </c>
      <c r="F925" s="124"/>
      <c r="G925" s="124"/>
      <c r="H925" s="52"/>
      <c r="I925" s="52"/>
      <c r="K925" s="124"/>
      <c r="L925" s="52"/>
      <c r="M925" s="52"/>
      <c r="O925" s="124"/>
      <c r="P925" s="52"/>
      <c r="Q925" s="52"/>
      <c r="R925" s="24"/>
      <c r="S925" s="24"/>
      <c r="T925" s="24"/>
      <c r="U925" s="24"/>
      <c r="V925" s="119"/>
    </row>
    <row r="926" spans="4:22" s="51" customFormat="1" ht="13.5" customHeight="1" x14ac:dyDescent="0.4">
      <c r="D926" s="118"/>
      <c r="E926" s="128" t="s">
        <v>480</v>
      </c>
      <c r="F926" s="128"/>
      <c r="G926" s="124"/>
      <c r="H926" s="52">
        <v>91220</v>
      </c>
      <c r="I926" s="52">
        <v>91440</v>
      </c>
      <c r="K926" s="124"/>
      <c r="L926" s="231" t="s">
        <v>487</v>
      </c>
      <c r="M926" s="52">
        <v>91440</v>
      </c>
      <c r="O926" s="124"/>
      <c r="P926" s="231" t="s">
        <v>487</v>
      </c>
      <c r="Q926" s="52">
        <v>91440</v>
      </c>
      <c r="R926" s="24"/>
      <c r="S926" s="24"/>
      <c r="T926" s="24"/>
      <c r="U926" s="24"/>
      <c r="V926" s="119"/>
    </row>
    <row r="927" spans="4:22" s="51" customFormat="1" ht="13.5" customHeight="1" x14ac:dyDescent="0.4">
      <c r="D927" s="118"/>
      <c r="E927" s="128" t="s">
        <v>481</v>
      </c>
      <c r="F927" s="128"/>
      <c r="G927" s="124"/>
      <c r="H927" s="52">
        <v>6</v>
      </c>
      <c r="I927" s="52">
        <v>14</v>
      </c>
      <c r="K927" s="124"/>
      <c r="L927" s="232"/>
      <c r="M927" s="52">
        <v>14</v>
      </c>
      <c r="O927" s="124"/>
      <c r="P927" s="232"/>
      <c r="Q927" s="52">
        <v>14</v>
      </c>
      <c r="R927" s="24"/>
      <c r="S927" s="24"/>
      <c r="T927" s="24"/>
      <c r="U927" s="24"/>
      <c r="V927" s="119"/>
    </row>
    <row r="928" spans="4:22" s="51" customFormat="1" ht="13.5" x14ac:dyDescent="0.4">
      <c r="D928" s="118"/>
      <c r="E928" s="128" t="s">
        <v>482</v>
      </c>
      <c r="F928" s="128"/>
      <c r="G928" s="124"/>
      <c r="H928" s="124" t="s">
        <v>468</v>
      </c>
      <c r="I928" s="124" t="s">
        <v>654</v>
      </c>
      <c r="K928" s="124"/>
      <c r="L928" s="232"/>
      <c r="M928" s="124" t="s">
        <v>654</v>
      </c>
      <c r="O928" s="124"/>
      <c r="P928" s="232"/>
      <c r="Q928" s="124" t="s">
        <v>654</v>
      </c>
      <c r="R928" s="24"/>
      <c r="S928" s="24"/>
      <c r="T928" s="24"/>
      <c r="U928" s="24"/>
      <c r="V928" s="119"/>
    </row>
    <row r="929" spans="4:22" s="51" customFormat="1" ht="27" x14ac:dyDescent="0.4">
      <c r="D929" s="118"/>
      <c r="E929" s="124" t="s">
        <v>379</v>
      </c>
      <c r="F929" s="124"/>
      <c r="G929" s="124"/>
      <c r="H929" s="124" t="s">
        <v>623</v>
      </c>
      <c r="I929" s="124" t="s">
        <v>670</v>
      </c>
      <c r="K929" s="124"/>
      <c r="L929" s="233"/>
      <c r="M929" s="124" t="s">
        <v>671</v>
      </c>
      <c r="O929" s="124"/>
      <c r="P929" s="233"/>
      <c r="Q929" s="124" t="s">
        <v>672</v>
      </c>
      <c r="R929" s="24"/>
      <c r="S929" s="24"/>
      <c r="T929" s="24"/>
      <c r="U929" s="24"/>
      <c r="V929" s="119"/>
    </row>
    <row r="930" spans="4:22" s="51" customFormat="1" ht="14.25" thickBot="1" x14ac:dyDescent="0.45">
      <c r="D930" s="129"/>
      <c r="E930" s="130"/>
      <c r="F930" s="130"/>
      <c r="G930" s="130"/>
      <c r="H930" s="130"/>
      <c r="I930" s="131"/>
      <c r="J930" s="132"/>
      <c r="K930" s="132"/>
      <c r="L930" s="132"/>
      <c r="M930" s="132"/>
      <c r="N930" s="132"/>
      <c r="O930" s="132"/>
      <c r="P930" s="132"/>
      <c r="Q930" s="132"/>
      <c r="R930" s="174"/>
      <c r="S930" s="174"/>
      <c r="T930" s="174"/>
      <c r="U930" s="174"/>
      <c r="V930" s="133"/>
    </row>
    <row r="931" spans="4:22" s="51" customFormat="1" ht="13.5" x14ac:dyDescent="0.4">
      <c r="D931" s="114" t="s">
        <v>474</v>
      </c>
      <c r="E931" s="115"/>
      <c r="F931" s="115"/>
      <c r="G931" s="115"/>
      <c r="H931" s="115"/>
      <c r="I931" s="115"/>
      <c r="J931" s="116"/>
      <c r="K931" s="116"/>
      <c r="L931" s="116"/>
      <c r="M931" s="116"/>
      <c r="N931" s="116"/>
      <c r="O931" s="116"/>
      <c r="P931" s="116"/>
      <c r="Q931" s="116"/>
      <c r="R931" s="173"/>
      <c r="S931" s="173"/>
      <c r="T931" s="173"/>
      <c r="U931" s="173"/>
      <c r="V931" s="117"/>
    </row>
    <row r="932" spans="4:22" s="51" customFormat="1" ht="13.5" x14ac:dyDescent="0.4">
      <c r="D932" s="118">
        <v>38</v>
      </c>
      <c r="E932" s="182" t="s">
        <v>673</v>
      </c>
      <c r="F932" s="14"/>
      <c r="G932" s="14"/>
      <c r="H932" s="52"/>
      <c r="I932" s="52"/>
      <c r="R932" s="24"/>
      <c r="S932" s="24"/>
      <c r="T932" s="24"/>
      <c r="U932" s="24"/>
      <c r="V932" s="119"/>
    </row>
    <row r="933" spans="4:22" s="51" customFormat="1" ht="13.5" x14ac:dyDescent="0.4">
      <c r="D933" s="118"/>
      <c r="E933" s="14"/>
      <c r="F933" s="14"/>
      <c r="G933" s="14"/>
      <c r="H933" s="52"/>
      <c r="I933" s="52"/>
      <c r="R933" s="24"/>
      <c r="S933" s="24"/>
      <c r="T933" s="24"/>
      <c r="U933" s="24"/>
      <c r="V933" s="119"/>
    </row>
    <row r="934" spans="4:22" s="52" customFormat="1" ht="13.5" x14ac:dyDescent="0.4">
      <c r="D934" s="118"/>
      <c r="E934" s="52" t="s">
        <v>475</v>
      </c>
      <c r="H934" s="52" t="str">
        <f>H936&amp;"円にレジでの売価変更"</f>
        <v>250円にレジでの売価変更</v>
      </c>
      <c r="I934" s="52" t="str">
        <f>I936&amp;"%のメガ割（自動）"</f>
        <v>10%のメガ割（自動）</v>
      </c>
      <c r="L934" s="52" t="str">
        <f>L936&amp;"円にレジでの売価変更"</f>
        <v>300円にレジでの売価変更</v>
      </c>
      <c r="M934" s="52" t="str">
        <f>M936&amp;"%のメガ割（自動）"</f>
        <v>10%のメガ割（自動）</v>
      </c>
      <c r="N934" s="51"/>
      <c r="P934" s="52" t="str">
        <f>P936&amp;"円にレジでの売価変更"</f>
        <v>350円にレジでの売価変更</v>
      </c>
      <c r="Q934" s="52" t="str">
        <f>Q936&amp;"%のメガ割（自動）"</f>
        <v>10%のメガ割（自動）</v>
      </c>
      <c r="R934" s="24"/>
      <c r="S934" s="24"/>
      <c r="T934" s="24"/>
      <c r="U934" s="24"/>
      <c r="V934" s="121"/>
    </row>
    <row r="935" spans="4:22" s="51" customFormat="1" ht="13.5" x14ac:dyDescent="0.4">
      <c r="D935" s="118"/>
      <c r="E935" s="122"/>
      <c r="F935" s="122"/>
      <c r="G935" s="14"/>
      <c r="I935" s="52"/>
      <c r="K935" s="14"/>
      <c r="M935" s="52"/>
      <c r="O935" s="14"/>
      <c r="Q935" s="52"/>
      <c r="R935" s="24"/>
      <c r="S935" s="24"/>
      <c r="T935" s="24"/>
      <c r="U935" s="24"/>
      <c r="V935" s="119"/>
    </row>
    <row r="936" spans="4:22" s="51" customFormat="1" ht="13.5" x14ac:dyDescent="0.4">
      <c r="D936" s="118"/>
      <c r="E936" s="122" t="s">
        <v>645</v>
      </c>
      <c r="F936" s="122"/>
      <c r="G936" s="52"/>
      <c r="H936" s="52">
        <v>250</v>
      </c>
      <c r="I936" s="52">
        <v>10</v>
      </c>
      <c r="K936" s="52"/>
      <c r="L936" s="52">
        <v>300</v>
      </c>
      <c r="M936" s="52">
        <v>10</v>
      </c>
      <c r="O936" s="52"/>
      <c r="P936" s="52">
        <v>350</v>
      </c>
      <c r="Q936" s="52">
        <v>10</v>
      </c>
      <c r="R936" s="24"/>
      <c r="S936" s="24"/>
      <c r="T936" s="24"/>
      <c r="U936" s="24"/>
      <c r="V936" s="119"/>
    </row>
    <row r="937" spans="4:22" s="51" customFormat="1" ht="13.5" x14ac:dyDescent="0.4">
      <c r="D937" s="118"/>
      <c r="E937" s="52"/>
      <c r="F937" s="52"/>
      <c r="G937" s="52"/>
      <c r="H937" s="52"/>
      <c r="I937" s="52"/>
      <c r="K937" s="52"/>
      <c r="L937" s="52"/>
      <c r="M937" s="52"/>
      <c r="O937" s="52"/>
      <c r="P937" s="52"/>
      <c r="Q937" s="52"/>
      <c r="R937" s="24"/>
      <c r="S937" s="24"/>
      <c r="T937" s="24"/>
      <c r="U937" s="24"/>
      <c r="V937" s="119"/>
    </row>
    <row r="938" spans="4:22" s="51" customFormat="1" ht="13.5" customHeight="1" x14ac:dyDescent="0.4">
      <c r="D938" s="118"/>
      <c r="E938" s="52"/>
      <c r="F938" s="52"/>
      <c r="G938" s="52"/>
      <c r="H938" s="52"/>
      <c r="I938" s="52"/>
      <c r="K938" s="52"/>
      <c r="L938" s="52"/>
      <c r="M938" s="52"/>
      <c r="O938" s="52"/>
      <c r="P938" s="52"/>
      <c r="Q938" s="52"/>
      <c r="R938" s="24"/>
      <c r="S938" s="24"/>
      <c r="T938" s="24"/>
      <c r="U938" s="24"/>
      <c r="V938" s="119"/>
    </row>
    <row r="939" spans="4:22" s="51" customFormat="1" ht="13.5" customHeight="1" x14ac:dyDescent="0.4">
      <c r="D939" s="118"/>
      <c r="E939" s="52"/>
      <c r="F939" s="52"/>
      <c r="G939" s="52"/>
      <c r="K939" s="52"/>
      <c r="O939" s="52"/>
      <c r="P939" s="234" t="s">
        <v>625</v>
      </c>
      <c r="Q939" s="123" t="s">
        <v>605</v>
      </c>
      <c r="R939" s="24"/>
      <c r="S939" s="24"/>
      <c r="T939" s="24"/>
      <c r="U939" s="24"/>
      <c r="V939" s="119"/>
    </row>
    <row r="940" spans="4:22" s="51" customFormat="1" ht="13.5" customHeight="1" x14ac:dyDescent="0.4">
      <c r="D940" s="118"/>
      <c r="E940" s="52"/>
      <c r="F940" s="52"/>
      <c r="G940" s="240" t="s">
        <v>476</v>
      </c>
      <c r="H940" s="123" t="s">
        <v>477</v>
      </c>
      <c r="K940" s="240" t="s">
        <v>476</v>
      </c>
      <c r="L940" s="234" t="s">
        <v>624</v>
      </c>
      <c r="M940" s="123" t="s">
        <v>603</v>
      </c>
      <c r="O940" s="240" t="s">
        <v>476</v>
      </c>
      <c r="P940" s="237"/>
      <c r="Q940" s="275" t="s">
        <v>658</v>
      </c>
      <c r="R940" s="24"/>
      <c r="S940" s="24"/>
      <c r="T940" s="24"/>
      <c r="U940" s="24"/>
      <c r="V940" s="119"/>
    </row>
    <row r="941" spans="4:22" s="51" customFormat="1" ht="13.5" customHeight="1" x14ac:dyDescent="0.4">
      <c r="D941" s="118"/>
      <c r="E941" s="52"/>
      <c r="F941" s="52"/>
      <c r="G941" s="241"/>
      <c r="H941" s="234" t="s">
        <v>622</v>
      </c>
      <c r="I941" s="123" t="s">
        <v>602</v>
      </c>
      <c r="K941" s="241"/>
      <c r="L941" s="237"/>
      <c r="M941" s="275" t="s">
        <v>604</v>
      </c>
      <c r="O941" s="241"/>
      <c r="P941" s="237"/>
      <c r="Q941" s="263"/>
      <c r="R941" s="24"/>
      <c r="S941" s="24"/>
      <c r="T941" s="24"/>
      <c r="U941" s="24"/>
      <c r="V941" s="119"/>
    </row>
    <row r="942" spans="4:22" s="51" customFormat="1" ht="13.5" customHeight="1" x14ac:dyDescent="0.4">
      <c r="D942" s="118"/>
      <c r="E942" s="52"/>
      <c r="F942" s="52"/>
      <c r="G942" s="241"/>
      <c r="H942" s="237"/>
      <c r="I942" s="259" t="s">
        <v>659</v>
      </c>
      <c r="K942" s="241"/>
      <c r="L942" s="237"/>
      <c r="M942" s="263"/>
      <c r="O942" s="241"/>
      <c r="P942" s="237"/>
      <c r="Q942" s="263"/>
      <c r="R942" s="24"/>
      <c r="S942" s="24"/>
      <c r="T942" s="24"/>
      <c r="U942" s="24"/>
      <c r="V942" s="119"/>
    </row>
    <row r="943" spans="4:22" s="51" customFormat="1" ht="13.5" customHeight="1" x14ac:dyDescent="0.4">
      <c r="D943" s="118"/>
      <c r="E943" s="52"/>
      <c r="F943" s="52"/>
      <c r="G943" s="241"/>
      <c r="H943" s="237"/>
      <c r="I943" s="237"/>
      <c r="K943" s="241"/>
      <c r="L943" s="237"/>
      <c r="M943" s="263"/>
      <c r="O943" s="241"/>
      <c r="P943" s="237"/>
      <c r="Q943" s="263"/>
      <c r="R943" s="24"/>
      <c r="S943" s="24"/>
      <c r="T943" s="24"/>
      <c r="U943" s="24"/>
      <c r="V943" s="119"/>
    </row>
    <row r="944" spans="4:22" s="51" customFormat="1" ht="13.5" customHeight="1" x14ac:dyDescent="0.4">
      <c r="D944" s="118"/>
      <c r="E944" s="52"/>
      <c r="F944" s="52"/>
      <c r="G944" s="241"/>
      <c r="H944" s="237"/>
      <c r="I944" s="237"/>
      <c r="K944" s="241"/>
      <c r="L944" s="237"/>
      <c r="M944" s="263"/>
      <c r="O944" s="241"/>
      <c r="P944" s="237"/>
      <c r="Q944" s="263"/>
      <c r="R944" s="24"/>
      <c r="S944" s="24"/>
      <c r="T944" s="24"/>
      <c r="U944" s="24"/>
      <c r="V944" s="119"/>
    </row>
    <row r="945" spans="4:22" s="51" customFormat="1" ht="13.5" customHeight="1" x14ac:dyDescent="0.4">
      <c r="D945" s="118"/>
      <c r="E945" s="52"/>
      <c r="F945" s="52"/>
      <c r="G945" s="242"/>
      <c r="H945" s="238"/>
      <c r="I945" s="238"/>
      <c r="K945" s="242"/>
      <c r="L945" s="238"/>
      <c r="M945" s="263"/>
      <c r="O945" s="242"/>
      <c r="P945" s="238"/>
      <c r="Q945" s="263"/>
      <c r="R945" s="24"/>
      <c r="S945" s="24"/>
      <c r="T945" s="24"/>
      <c r="U945" s="24"/>
      <c r="V945" s="119"/>
    </row>
    <row r="946" spans="4:22" s="51" customFormat="1" ht="13.5" x14ac:dyDescent="0.4">
      <c r="D946" s="118"/>
      <c r="E946" s="124" t="s">
        <v>379</v>
      </c>
      <c r="F946" s="124"/>
      <c r="G946" s="124"/>
      <c r="H946" s="170">
        <v>50</v>
      </c>
      <c r="I946" s="170">
        <v>25</v>
      </c>
      <c r="K946" s="124"/>
      <c r="L946" s="170"/>
      <c r="M946" s="170">
        <v>30</v>
      </c>
      <c r="O946" s="124"/>
      <c r="P946" s="170"/>
      <c r="Q946" s="170">
        <v>50</v>
      </c>
      <c r="R946" s="24"/>
      <c r="S946" s="24"/>
      <c r="T946" s="24"/>
      <c r="U946" s="24"/>
      <c r="V946" s="119"/>
    </row>
    <row r="947" spans="4:22" s="51" customFormat="1" ht="13.5" x14ac:dyDescent="0.4">
      <c r="D947" s="118"/>
      <c r="E947" s="124" t="s">
        <v>478</v>
      </c>
      <c r="F947" s="124"/>
      <c r="G947" s="124"/>
      <c r="H947" s="230">
        <v>225</v>
      </c>
      <c r="I947" s="230"/>
      <c r="K947" s="124"/>
      <c r="L947" s="230">
        <v>270</v>
      </c>
      <c r="M947" s="230"/>
      <c r="O947" s="124"/>
      <c r="P947" s="230">
        <v>300</v>
      </c>
      <c r="Q947" s="230"/>
      <c r="R947" s="24"/>
      <c r="S947" s="24"/>
      <c r="T947" s="24"/>
      <c r="U947" s="24"/>
      <c r="V947" s="119"/>
    </row>
    <row r="948" spans="4:22" s="51" customFormat="1" ht="13.5" x14ac:dyDescent="0.4">
      <c r="D948" s="118"/>
      <c r="E948" s="124"/>
      <c r="F948" s="124"/>
      <c r="G948" s="124"/>
      <c r="H948" s="52"/>
      <c r="K948" s="124"/>
      <c r="L948" s="52"/>
      <c r="O948" s="124"/>
      <c r="P948" s="52"/>
      <c r="R948" s="24"/>
      <c r="S948" s="24"/>
      <c r="T948" s="24"/>
      <c r="U948" s="24"/>
      <c r="V948" s="119"/>
    </row>
    <row r="949" spans="4:22" s="51" customFormat="1" ht="13.5" x14ac:dyDescent="0.4">
      <c r="D949" s="118"/>
      <c r="E949" s="124" t="s">
        <v>479</v>
      </c>
      <c r="F949" s="124"/>
      <c r="G949" s="124"/>
      <c r="H949" s="52"/>
      <c r="I949" s="52"/>
      <c r="K949" s="124"/>
      <c r="L949" s="52"/>
      <c r="M949" s="52"/>
      <c r="O949" s="124"/>
      <c r="P949" s="52"/>
      <c r="Q949" s="52"/>
      <c r="R949" s="24"/>
      <c r="S949" s="24"/>
      <c r="T949" s="24"/>
      <c r="U949" s="24"/>
      <c r="V949" s="119"/>
    </row>
    <row r="950" spans="4:22" s="51" customFormat="1" ht="13.5" customHeight="1" x14ac:dyDescent="0.4">
      <c r="D950" s="118"/>
      <c r="E950" s="128" t="s">
        <v>480</v>
      </c>
      <c r="F950" s="128"/>
      <c r="G950" s="124"/>
      <c r="H950" s="52">
        <v>91220</v>
      </c>
      <c r="I950" s="52">
        <v>91440</v>
      </c>
      <c r="K950" s="124"/>
      <c r="L950" s="231" t="s">
        <v>487</v>
      </c>
      <c r="M950" s="52">
        <v>91440</v>
      </c>
      <c r="O950" s="124"/>
      <c r="P950" s="231" t="s">
        <v>487</v>
      </c>
      <c r="Q950" s="52">
        <v>91440</v>
      </c>
      <c r="R950" s="24"/>
      <c r="S950" s="24"/>
      <c r="T950" s="24"/>
      <c r="U950" s="24"/>
      <c r="V950" s="119"/>
    </row>
    <row r="951" spans="4:22" s="51" customFormat="1" ht="13.5" customHeight="1" x14ac:dyDescent="0.4">
      <c r="D951" s="118"/>
      <c r="E951" s="128" t="s">
        <v>481</v>
      </c>
      <c r="F951" s="128"/>
      <c r="G951" s="124"/>
      <c r="H951" s="52">
        <v>6</v>
      </c>
      <c r="I951" s="52">
        <v>14</v>
      </c>
      <c r="K951" s="124"/>
      <c r="L951" s="232"/>
      <c r="M951" s="52">
        <v>14</v>
      </c>
      <c r="O951" s="124"/>
      <c r="P951" s="232"/>
      <c r="Q951" s="52">
        <v>14</v>
      </c>
      <c r="R951" s="24"/>
      <c r="S951" s="24"/>
      <c r="T951" s="24"/>
      <c r="U951" s="24"/>
      <c r="V951" s="119"/>
    </row>
    <row r="952" spans="4:22" s="51" customFormat="1" ht="13.5" x14ac:dyDescent="0.4">
      <c r="D952" s="118"/>
      <c r="E952" s="128" t="s">
        <v>482</v>
      </c>
      <c r="F952" s="128"/>
      <c r="G952" s="124"/>
      <c r="H952" s="124" t="s">
        <v>468</v>
      </c>
      <c r="I952" s="124" t="s">
        <v>664</v>
      </c>
      <c r="K952" s="124"/>
      <c r="L952" s="232"/>
      <c r="M952" s="124" t="s">
        <v>664</v>
      </c>
      <c r="O952" s="124"/>
      <c r="P952" s="232"/>
      <c r="Q952" s="124" t="s">
        <v>664</v>
      </c>
      <c r="R952" s="24"/>
      <c r="S952" s="24"/>
      <c r="T952" s="24"/>
      <c r="U952" s="24"/>
      <c r="V952" s="119"/>
    </row>
    <row r="953" spans="4:22" s="51" customFormat="1" ht="27" x14ac:dyDescent="0.4">
      <c r="D953" s="118"/>
      <c r="E953" s="124" t="s">
        <v>379</v>
      </c>
      <c r="F953" s="124"/>
      <c r="G953" s="124"/>
      <c r="H953" s="124" t="s">
        <v>623</v>
      </c>
      <c r="I953" s="124" t="s">
        <v>674</v>
      </c>
      <c r="K953" s="124"/>
      <c r="L953" s="233"/>
      <c r="M953" s="124" t="s">
        <v>675</v>
      </c>
      <c r="O953" s="124"/>
      <c r="P953" s="233"/>
      <c r="Q953" s="124" t="s">
        <v>676</v>
      </c>
      <c r="R953" s="24"/>
      <c r="S953" s="24"/>
      <c r="T953" s="24"/>
      <c r="U953" s="24"/>
      <c r="V953" s="119"/>
    </row>
    <row r="954" spans="4:22" s="51" customFormat="1" ht="14.25" thickBot="1" x14ac:dyDescent="0.45">
      <c r="D954" s="129"/>
      <c r="E954" s="130"/>
      <c r="F954" s="130"/>
      <c r="G954" s="130"/>
      <c r="H954" s="130"/>
      <c r="I954" s="131"/>
      <c r="J954" s="132"/>
      <c r="K954" s="132"/>
      <c r="L954" s="132"/>
      <c r="M954" s="132"/>
      <c r="N954" s="132"/>
      <c r="O954" s="132"/>
      <c r="P954" s="132"/>
      <c r="Q954" s="132"/>
      <c r="R954" s="174"/>
      <c r="S954" s="174"/>
      <c r="T954" s="174"/>
      <c r="U954" s="174"/>
      <c r="V954" s="133"/>
    </row>
    <row r="955" spans="4:22" s="51" customFormat="1" ht="13.5" x14ac:dyDescent="0.4">
      <c r="D955" s="114" t="s">
        <v>474</v>
      </c>
      <c r="E955" s="115"/>
      <c r="F955" s="115"/>
      <c r="G955" s="115"/>
      <c r="H955" s="115"/>
      <c r="I955" s="115"/>
      <c r="J955" s="116"/>
      <c r="K955" s="116"/>
      <c r="L955" s="116"/>
      <c r="M955" s="116"/>
      <c r="N955" s="116"/>
      <c r="O955" s="116"/>
      <c r="P955" s="116"/>
      <c r="Q955" s="116"/>
      <c r="R955" s="173"/>
      <c r="S955" s="173"/>
      <c r="T955" s="173"/>
      <c r="U955" s="173"/>
      <c r="V955" s="117"/>
    </row>
    <row r="956" spans="4:22" s="51" customFormat="1" ht="13.5" x14ac:dyDescent="0.4">
      <c r="D956" s="118">
        <v>39</v>
      </c>
      <c r="E956" s="182" t="s">
        <v>677</v>
      </c>
      <c r="F956" s="14"/>
      <c r="G956" s="14"/>
      <c r="H956" s="52"/>
      <c r="I956" s="52"/>
      <c r="R956" s="24"/>
      <c r="S956" s="24"/>
      <c r="T956" s="24"/>
      <c r="U956" s="24"/>
      <c r="V956" s="119"/>
    </row>
    <row r="957" spans="4:22" s="51" customFormat="1" ht="13.5" x14ac:dyDescent="0.4">
      <c r="D957" s="118"/>
      <c r="E957" s="14"/>
      <c r="F957" s="14"/>
      <c r="G957" s="14"/>
      <c r="H957" s="52"/>
      <c r="I957" s="52"/>
      <c r="R957" s="24"/>
      <c r="S957" s="24"/>
      <c r="T957" s="24"/>
      <c r="U957" s="24"/>
      <c r="V957" s="119"/>
    </row>
    <row r="958" spans="4:22" s="52" customFormat="1" ht="13.5" x14ac:dyDescent="0.4">
      <c r="D958" s="118"/>
      <c r="E958" s="52" t="s">
        <v>475</v>
      </c>
      <c r="H958" s="52" t="str">
        <f>H960&amp;"円にレジでの売価変更"</f>
        <v>250円にレジでの売価変更</v>
      </c>
      <c r="I958" s="52" t="str">
        <f>I960&amp;"%のクレジット割（自動）"</f>
        <v>10%のクレジット割（自動）</v>
      </c>
      <c r="L958" s="52" t="str">
        <f>L960&amp;"円にレジでの売価変更"</f>
        <v>300円にレジでの売価変更</v>
      </c>
      <c r="M958" s="52" t="str">
        <f>M960&amp;"%のクレジット割（自動）"</f>
        <v>10%のクレジット割（自動）</v>
      </c>
      <c r="N958" s="51"/>
      <c r="P958" s="52" t="str">
        <f>P960&amp;"円にレジでの売価変更"</f>
        <v>350円にレジでの売価変更</v>
      </c>
      <c r="Q958" s="52" t="str">
        <f>Q960&amp;"%のクレジット割（自動）"</f>
        <v>10%のクレジット割（自動）</v>
      </c>
      <c r="R958" s="24"/>
      <c r="S958" s="24"/>
      <c r="T958" s="24"/>
      <c r="U958" s="24"/>
      <c r="V958" s="121"/>
    </row>
    <row r="959" spans="4:22" s="51" customFormat="1" ht="13.5" x14ac:dyDescent="0.4">
      <c r="D959" s="118"/>
      <c r="E959" s="122"/>
      <c r="F959" s="122"/>
      <c r="G959" s="14"/>
      <c r="I959" s="52"/>
      <c r="K959" s="14"/>
      <c r="M959" s="52"/>
      <c r="O959" s="14"/>
      <c r="Q959" s="52"/>
      <c r="R959" s="24"/>
      <c r="S959" s="24"/>
      <c r="T959" s="24"/>
      <c r="U959" s="24"/>
      <c r="V959" s="119"/>
    </row>
    <row r="960" spans="4:22" s="51" customFormat="1" ht="13.5" x14ac:dyDescent="0.4">
      <c r="D960" s="118"/>
      <c r="E960" s="122" t="s">
        <v>645</v>
      </c>
      <c r="F960" s="122"/>
      <c r="G960" s="52"/>
      <c r="H960" s="52">
        <v>250</v>
      </c>
      <c r="I960" s="52">
        <v>10</v>
      </c>
      <c r="K960" s="52"/>
      <c r="L960" s="52">
        <v>300</v>
      </c>
      <c r="M960" s="52">
        <v>10</v>
      </c>
      <c r="O960" s="52"/>
      <c r="P960" s="52">
        <v>350</v>
      </c>
      <c r="Q960" s="52">
        <v>10</v>
      </c>
      <c r="R960" s="24"/>
      <c r="S960" s="24"/>
      <c r="T960" s="24"/>
      <c r="U960" s="24"/>
      <c r="V960" s="119"/>
    </row>
    <row r="961" spans="4:22" s="51" customFormat="1" ht="13.5" x14ac:dyDescent="0.4">
      <c r="D961" s="118"/>
      <c r="E961" s="52"/>
      <c r="F961" s="52"/>
      <c r="G961" s="52"/>
      <c r="H961" s="52"/>
      <c r="I961" s="52"/>
      <c r="K961" s="52"/>
      <c r="L961" s="52"/>
      <c r="M961" s="52"/>
      <c r="O961" s="52"/>
      <c r="P961" s="52"/>
      <c r="Q961" s="52"/>
      <c r="R961" s="24"/>
      <c r="S961" s="24"/>
      <c r="T961" s="24"/>
      <c r="U961" s="24"/>
      <c r="V961" s="119"/>
    </row>
    <row r="962" spans="4:22" s="51" customFormat="1" ht="13.5" customHeight="1" x14ac:dyDescent="0.4">
      <c r="D962" s="118"/>
      <c r="E962" s="52"/>
      <c r="F962" s="52"/>
      <c r="G962" s="52"/>
      <c r="H962" s="52"/>
      <c r="I962" s="52"/>
      <c r="K962" s="52"/>
      <c r="L962" s="52"/>
      <c r="M962" s="52"/>
      <c r="O962" s="52"/>
      <c r="P962" s="52"/>
      <c r="Q962" s="52"/>
      <c r="R962" s="24"/>
      <c r="S962" s="24"/>
      <c r="T962" s="24"/>
      <c r="U962" s="24"/>
      <c r="V962" s="119"/>
    </row>
    <row r="963" spans="4:22" s="51" customFormat="1" ht="13.5" customHeight="1" x14ac:dyDescent="0.4">
      <c r="D963" s="118"/>
      <c r="E963" s="52"/>
      <c r="F963" s="52"/>
      <c r="G963" s="52"/>
      <c r="K963" s="52"/>
      <c r="O963" s="52"/>
      <c r="P963" s="234" t="s">
        <v>625</v>
      </c>
      <c r="Q963" s="123" t="s">
        <v>605</v>
      </c>
      <c r="R963" s="24"/>
      <c r="S963" s="24"/>
      <c r="T963" s="24"/>
      <c r="U963" s="24"/>
      <c r="V963" s="119"/>
    </row>
    <row r="964" spans="4:22" s="51" customFormat="1" ht="13.5" customHeight="1" x14ac:dyDescent="0.4">
      <c r="D964" s="118"/>
      <c r="E964" s="52"/>
      <c r="F964" s="52"/>
      <c r="G964" s="240" t="s">
        <v>476</v>
      </c>
      <c r="H964" s="123" t="s">
        <v>477</v>
      </c>
      <c r="K964" s="240" t="s">
        <v>476</v>
      </c>
      <c r="L964" s="234" t="s">
        <v>624</v>
      </c>
      <c r="M964" s="123" t="s">
        <v>603</v>
      </c>
      <c r="O964" s="240" t="s">
        <v>476</v>
      </c>
      <c r="P964" s="237"/>
      <c r="Q964" s="275" t="s">
        <v>658</v>
      </c>
      <c r="R964" s="24"/>
      <c r="S964" s="24"/>
      <c r="T964" s="24"/>
      <c r="U964" s="24"/>
      <c r="V964" s="119"/>
    </row>
    <row r="965" spans="4:22" s="51" customFormat="1" ht="13.5" customHeight="1" x14ac:dyDescent="0.4">
      <c r="D965" s="118"/>
      <c r="E965" s="52"/>
      <c r="F965" s="52"/>
      <c r="G965" s="241"/>
      <c r="H965" s="234" t="s">
        <v>622</v>
      </c>
      <c r="I965" s="123" t="s">
        <v>602</v>
      </c>
      <c r="K965" s="241"/>
      <c r="L965" s="237"/>
      <c r="M965" s="275" t="s">
        <v>604</v>
      </c>
      <c r="O965" s="241"/>
      <c r="P965" s="237"/>
      <c r="Q965" s="263"/>
      <c r="R965" s="24"/>
      <c r="S965" s="24"/>
      <c r="T965" s="24"/>
      <c r="U965" s="24"/>
      <c r="V965" s="119"/>
    </row>
    <row r="966" spans="4:22" s="51" customFormat="1" ht="13.5" customHeight="1" x14ac:dyDescent="0.4">
      <c r="D966" s="118"/>
      <c r="E966" s="52"/>
      <c r="F966" s="52"/>
      <c r="G966" s="241"/>
      <c r="H966" s="237"/>
      <c r="I966" s="259" t="s">
        <v>659</v>
      </c>
      <c r="K966" s="241"/>
      <c r="L966" s="237"/>
      <c r="M966" s="263"/>
      <c r="O966" s="241"/>
      <c r="P966" s="237"/>
      <c r="Q966" s="263"/>
      <c r="R966" s="24"/>
      <c r="S966" s="24"/>
      <c r="T966" s="24"/>
      <c r="U966" s="24"/>
      <c r="V966" s="119"/>
    </row>
    <row r="967" spans="4:22" s="51" customFormat="1" ht="13.5" customHeight="1" x14ac:dyDescent="0.4">
      <c r="D967" s="118"/>
      <c r="E967" s="52"/>
      <c r="F967" s="52"/>
      <c r="G967" s="241"/>
      <c r="H967" s="237"/>
      <c r="I967" s="237"/>
      <c r="K967" s="241"/>
      <c r="L967" s="237"/>
      <c r="M967" s="263"/>
      <c r="O967" s="241"/>
      <c r="P967" s="237"/>
      <c r="Q967" s="263"/>
      <c r="R967" s="24"/>
      <c r="S967" s="24"/>
      <c r="T967" s="24"/>
      <c r="U967" s="24"/>
      <c r="V967" s="119"/>
    </row>
    <row r="968" spans="4:22" s="51" customFormat="1" ht="13.5" customHeight="1" x14ac:dyDescent="0.4">
      <c r="D968" s="118"/>
      <c r="E968" s="52"/>
      <c r="F968" s="52"/>
      <c r="G968" s="241"/>
      <c r="H968" s="237"/>
      <c r="I968" s="237"/>
      <c r="K968" s="241"/>
      <c r="L968" s="237"/>
      <c r="M968" s="263"/>
      <c r="O968" s="241"/>
      <c r="P968" s="237"/>
      <c r="Q968" s="263"/>
      <c r="R968" s="24"/>
      <c r="S968" s="24"/>
      <c r="T968" s="24"/>
      <c r="U968" s="24"/>
      <c r="V968" s="119"/>
    </row>
    <row r="969" spans="4:22" s="51" customFormat="1" ht="13.5" customHeight="1" x14ac:dyDescent="0.4">
      <c r="D969" s="118"/>
      <c r="E969" s="52"/>
      <c r="F969" s="52"/>
      <c r="G969" s="242"/>
      <c r="H969" s="238"/>
      <c r="I969" s="238"/>
      <c r="K969" s="242"/>
      <c r="L969" s="238"/>
      <c r="M969" s="263"/>
      <c r="O969" s="242"/>
      <c r="P969" s="238"/>
      <c r="Q969" s="263"/>
      <c r="R969" s="24"/>
      <c r="S969" s="24"/>
      <c r="T969" s="24"/>
      <c r="U969" s="24"/>
      <c r="V969" s="119"/>
    </row>
    <row r="970" spans="4:22" s="51" customFormat="1" ht="13.5" x14ac:dyDescent="0.4">
      <c r="D970" s="118"/>
      <c r="E970" s="124" t="s">
        <v>379</v>
      </c>
      <c r="F970" s="124"/>
      <c r="G970" s="124"/>
      <c r="H970" s="170">
        <v>50</v>
      </c>
      <c r="I970" s="170">
        <v>25</v>
      </c>
      <c r="K970" s="124"/>
      <c r="L970" s="170"/>
      <c r="M970" s="170">
        <v>30</v>
      </c>
      <c r="O970" s="124"/>
      <c r="P970" s="170"/>
      <c r="Q970" s="170">
        <v>50</v>
      </c>
      <c r="R970" s="24"/>
      <c r="S970" s="24"/>
      <c r="T970" s="24"/>
      <c r="U970" s="24"/>
      <c r="V970" s="119"/>
    </row>
    <row r="971" spans="4:22" s="51" customFormat="1" ht="13.5" x14ac:dyDescent="0.4">
      <c r="D971" s="118"/>
      <c r="E971" s="124" t="s">
        <v>478</v>
      </c>
      <c r="F971" s="124"/>
      <c r="G971" s="124"/>
      <c r="H971" s="230">
        <v>225</v>
      </c>
      <c r="I971" s="230"/>
      <c r="K971" s="124"/>
      <c r="L971" s="230">
        <v>270</v>
      </c>
      <c r="M971" s="230"/>
      <c r="O971" s="124"/>
      <c r="P971" s="230">
        <v>300</v>
      </c>
      <c r="Q971" s="230"/>
      <c r="R971" s="24"/>
      <c r="S971" s="24"/>
      <c r="T971" s="24"/>
      <c r="U971" s="24"/>
      <c r="V971" s="119"/>
    </row>
    <row r="972" spans="4:22" s="51" customFormat="1" ht="13.5" x14ac:dyDescent="0.4">
      <c r="D972" s="118"/>
      <c r="E972" s="124"/>
      <c r="F972" s="124"/>
      <c r="G972" s="124"/>
      <c r="H972" s="52"/>
      <c r="K972" s="124"/>
      <c r="L972" s="52"/>
      <c r="O972" s="124"/>
      <c r="P972" s="52"/>
      <c r="R972" s="24"/>
      <c r="S972" s="24"/>
      <c r="T972" s="24"/>
      <c r="U972" s="24"/>
      <c r="V972" s="119"/>
    </row>
    <row r="973" spans="4:22" s="51" customFormat="1" ht="13.5" x14ac:dyDescent="0.4">
      <c r="D973" s="118"/>
      <c r="E973" s="124" t="s">
        <v>479</v>
      </c>
      <c r="F973" s="124"/>
      <c r="G973" s="124"/>
      <c r="H973" s="52"/>
      <c r="I973" s="52"/>
      <c r="K973" s="124"/>
      <c r="L973" s="52"/>
      <c r="M973" s="52"/>
      <c r="O973" s="124"/>
      <c r="P973" s="52"/>
      <c r="Q973" s="52"/>
      <c r="R973" s="24"/>
      <c r="S973" s="24"/>
      <c r="T973" s="24"/>
      <c r="U973" s="24"/>
      <c r="V973" s="119"/>
    </row>
    <row r="974" spans="4:22" s="51" customFormat="1" ht="13.5" customHeight="1" x14ac:dyDescent="0.4">
      <c r="D974" s="118"/>
      <c r="E974" s="128" t="s">
        <v>480</v>
      </c>
      <c r="F974" s="128"/>
      <c r="G974" s="124"/>
      <c r="H974" s="52">
        <v>91220</v>
      </c>
      <c r="I974" s="52">
        <v>91440</v>
      </c>
      <c r="K974" s="124"/>
      <c r="L974" s="231" t="s">
        <v>487</v>
      </c>
      <c r="M974" s="52">
        <v>91440</v>
      </c>
      <c r="O974" s="124"/>
      <c r="P974" s="231" t="s">
        <v>487</v>
      </c>
      <c r="Q974" s="52">
        <v>91440</v>
      </c>
      <c r="R974" s="24"/>
      <c r="S974" s="24"/>
      <c r="T974" s="24"/>
      <c r="U974" s="24"/>
      <c r="V974" s="119"/>
    </row>
    <row r="975" spans="4:22" s="51" customFormat="1" ht="13.5" customHeight="1" x14ac:dyDescent="0.4">
      <c r="D975" s="118"/>
      <c r="E975" s="128" t="s">
        <v>481</v>
      </c>
      <c r="F975" s="128"/>
      <c r="G975" s="124"/>
      <c r="H975" s="52">
        <v>6</v>
      </c>
      <c r="I975" s="52">
        <v>14</v>
      </c>
      <c r="K975" s="124"/>
      <c r="L975" s="232"/>
      <c r="M975" s="52">
        <v>14</v>
      </c>
      <c r="O975" s="124"/>
      <c r="P975" s="232"/>
      <c r="Q975" s="52">
        <v>14</v>
      </c>
      <c r="R975" s="24"/>
      <c r="S975" s="24"/>
      <c r="T975" s="24"/>
      <c r="U975" s="24"/>
      <c r="V975" s="119"/>
    </row>
    <row r="976" spans="4:22" s="51" customFormat="1" ht="13.5" x14ac:dyDescent="0.4">
      <c r="D976" s="118"/>
      <c r="E976" s="128" t="s">
        <v>482</v>
      </c>
      <c r="F976" s="128"/>
      <c r="G976" s="124"/>
      <c r="H976" s="124" t="s">
        <v>468</v>
      </c>
      <c r="I976" s="124" t="s">
        <v>664</v>
      </c>
      <c r="K976" s="124"/>
      <c r="L976" s="232"/>
      <c r="M976" s="124" t="s">
        <v>664</v>
      </c>
      <c r="O976" s="124"/>
      <c r="P976" s="232"/>
      <c r="Q976" s="124" t="s">
        <v>664</v>
      </c>
      <c r="R976" s="24"/>
      <c r="S976" s="24"/>
      <c r="T976" s="24"/>
      <c r="U976" s="24"/>
      <c r="V976" s="119"/>
    </row>
    <row r="977" spans="4:22" s="51" customFormat="1" ht="27" x14ac:dyDescent="0.4">
      <c r="D977" s="118"/>
      <c r="E977" s="124" t="s">
        <v>379</v>
      </c>
      <c r="F977" s="124"/>
      <c r="G977" s="124"/>
      <c r="H977" s="124" t="s">
        <v>623</v>
      </c>
      <c r="I977" s="124" t="s">
        <v>678</v>
      </c>
      <c r="K977" s="124"/>
      <c r="L977" s="233"/>
      <c r="M977" s="124" t="s">
        <v>679</v>
      </c>
      <c r="O977" s="124"/>
      <c r="P977" s="233"/>
      <c r="Q977" s="124" t="s">
        <v>680</v>
      </c>
      <c r="R977" s="24"/>
      <c r="S977" s="24"/>
      <c r="T977" s="24"/>
      <c r="U977" s="24"/>
      <c r="V977" s="119"/>
    </row>
    <row r="978" spans="4:22" s="51" customFormat="1" ht="14.25" thickBot="1" x14ac:dyDescent="0.45">
      <c r="D978" s="129"/>
      <c r="E978" s="130"/>
      <c r="F978" s="130"/>
      <c r="G978" s="130"/>
      <c r="H978" s="130"/>
      <c r="I978" s="131"/>
      <c r="J978" s="132"/>
      <c r="K978" s="132"/>
      <c r="L978" s="132"/>
      <c r="M978" s="132"/>
      <c r="N978" s="132"/>
      <c r="O978" s="132"/>
      <c r="P978" s="132"/>
      <c r="Q978" s="132"/>
      <c r="R978" s="174"/>
      <c r="S978" s="174"/>
      <c r="T978" s="174"/>
      <c r="U978" s="174"/>
      <c r="V978" s="133"/>
    </row>
  </sheetData>
  <mergeCells count="406">
    <mergeCell ref="Q594:Q600"/>
    <mergeCell ref="I595:I600"/>
    <mergeCell ref="K595:K600"/>
    <mergeCell ref="M595:M600"/>
    <mergeCell ref="O595:O600"/>
    <mergeCell ref="H596:H600"/>
    <mergeCell ref="L596:L600"/>
    <mergeCell ref="P596:P600"/>
    <mergeCell ref="H602:I602"/>
    <mergeCell ref="L602:M602"/>
    <mergeCell ref="P602:Q602"/>
    <mergeCell ref="G544:G549"/>
    <mergeCell ref="H545:H549"/>
    <mergeCell ref="I546:I549"/>
    <mergeCell ref="H551:I551"/>
    <mergeCell ref="G569:G574"/>
    <mergeCell ref="H570:H574"/>
    <mergeCell ref="I570:I574"/>
    <mergeCell ref="H576:I576"/>
    <mergeCell ref="G594:G600"/>
    <mergeCell ref="Q520:Q524"/>
    <mergeCell ref="H526:I526"/>
    <mergeCell ref="L526:M526"/>
    <mergeCell ref="P526:Q526"/>
    <mergeCell ref="H529:H532"/>
    <mergeCell ref="I529:I532"/>
    <mergeCell ref="L529:L532"/>
    <mergeCell ref="M529:M532"/>
    <mergeCell ref="P529:P532"/>
    <mergeCell ref="H493:H499"/>
    <mergeCell ref="I493:I499"/>
    <mergeCell ref="G494:G499"/>
    <mergeCell ref="H501:I501"/>
    <mergeCell ref="H504:H507"/>
    <mergeCell ref="I504:I507"/>
    <mergeCell ref="H518:H524"/>
    <mergeCell ref="L518:L524"/>
    <mergeCell ref="P518:P524"/>
    <mergeCell ref="G519:G524"/>
    <mergeCell ref="I519:I524"/>
    <mergeCell ref="K519:K524"/>
    <mergeCell ref="M519:M524"/>
    <mergeCell ref="O519:O524"/>
    <mergeCell ref="H450:I450"/>
    <mergeCell ref="L450:M450"/>
    <mergeCell ref="P450:Q450"/>
    <mergeCell ref="I467:I474"/>
    <mergeCell ref="H468:H474"/>
    <mergeCell ref="G469:G474"/>
    <mergeCell ref="H476:I476"/>
    <mergeCell ref="H479:H482"/>
    <mergeCell ref="I479:I482"/>
    <mergeCell ref="G417:G422"/>
    <mergeCell ref="H418:H422"/>
    <mergeCell ref="I418:I422"/>
    <mergeCell ref="H424:I424"/>
    <mergeCell ref="G442:G448"/>
    <mergeCell ref="Q442:Q448"/>
    <mergeCell ref="I443:I448"/>
    <mergeCell ref="K443:K448"/>
    <mergeCell ref="M443:M448"/>
    <mergeCell ref="O443:O448"/>
    <mergeCell ref="H444:H448"/>
    <mergeCell ref="L444:L448"/>
    <mergeCell ref="P444:P448"/>
    <mergeCell ref="I366:I372"/>
    <mergeCell ref="G367:G372"/>
    <mergeCell ref="H367:H372"/>
    <mergeCell ref="H374:I374"/>
    <mergeCell ref="I377:I380"/>
    <mergeCell ref="G392:G397"/>
    <mergeCell ref="H393:H397"/>
    <mergeCell ref="I394:I397"/>
    <mergeCell ref="H399:I399"/>
    <mergeCell ref="G317:G322"/>
    <mergeCell ref="H317:H322"/>
    <mergeCell ref="I318:I322"/>
    <mergeCell ref="H324:I324"/>
    <mergeCell ref="G342:G347"/>
    <mergeCell ref="H342:H347"/>
    <mergeCell ref="I342:I347"/>
    <mergeCell ref="H349:I349"/>
    <mergeCell ref="I352:I355"/>
    <mergeCell ref="Q290:Q296"/>
    <mergeCell ref="I291:I296"/>
    <mergeCell ref="K291:K296"/>
    <mergeCell ref="M291:M296"/>
    <mergeCell ref="O291:O296"/>
    <mergeCell ref="H292:H296"/>
    <mergeCell ref="L292:L296"/>
    <mergeCell ref="P292:P296"/>
    <mergeCell ref="H298:I298"/>
    <mergeCell ref="L298:M298"/>
    <mergeCell ref="P298:Q298"/>
    <mergeCell ref="G240:G245"/>
    <mergeCell ref="H241:H245"/>
    <mergeCell ref="I242:I245"/>
    <mergeCell ref="H247:I247"/>
    <mergeCell ref="G265:G270"/>
    <mergeCell ref="H266:H270"/>
    <mergeCell ref="I266:I270"/>
    <mergeCell ref="H272:I272"/>
    <mergeCell ref="G290:G296"/>
    <mergeCell ref="H971:I971"/>
    <mergeCell ref="L971:M971"/>
    <mergeCell ref="P971:Q971"/>
    <mergeCell ref="L974:L977"/>
    <mergeCell ref="P974:P977"/>
    <mergeCell ref="H947:I947"/>
    <mergeCell ref="L947:M947"/>
    <mergeCell ref="P947:Q947"/>
    <mergeCell ref="L950:L953"/>
    <mergeCell ref="P950:P953"/>
    <mergeCell ref="P963:P969"/>
    <mergeCell ref="G964:G969"/>
    <mergeCell ref="K964:K969"/>
    <mergeCell ref="L964:L969"/>
    <mergeCell ref="O964:O969"/>
    <mergeCell ref="Q964:Q969"/>
    <mergeCell ref="H965:H969"/>
    <mergeCell ref="M965:M969"/>
    <mergeCell ref="I966:I969"/>
    <mergeCell ref="H923:I923"/>
    <mergeCell ref="L923:M923"/>
    <mergeCell ref="P923:Q923"/>
    <mergeCell ref="L926:L929"/>
    <mergeCell ref="P926:P929"/>
    <mergeCell ref="P939:P945"/>
    <mergeCell ref="G940:G945"/>
    <mergeCell ref="K940:K945"/>
    <mergeCell ref="L940:L945"/>
    <mergeCell ref="O940:O945"/>
    <mergeCell ref="Q940:Q945"/>
    <mergeCell ref="H941:H945"/>
    <mergeCell ref="M941:M945"/>
    <mergeCell ref="I942:I945"/>
    <mergeCell ref="P915:P921"/>
    <mergeCell ref="G916:G921"/>
    <mergeCell ref="K916:K921"/>
    <mergeCell ref="L916:L921"/>
    <mergeCell ref="O916:O921"/>
    <mergeCell ref="Q916:Q921"/>
    <mergeCell ref="H917:H921"/>
    <mergeCell ref="M917:M921"/>
    <mergeCell ref="I918:I921"/>
    <mergeCell ref="H899:I899"/>
    <mergeCell ref="L899:M899"/>
    <mergeCell ref="P899:Q899"/>
    <mergeCell ref="L902:L905"/>
    <mergeCell ref="P902:P905"/>
    <mergeCell ref="H875:I875"/>
    <mergeCell ref="L875:M875"/>
    <mergeCell ref="P875:Q875"/>
    <mergeCell ref="L878:L881"/>
    <mergeCell ref="P878:P881"/>
    <mergeCell ref="P891:P897"/>
    <mergeCell ref="G892:G897"/>
    <mergeCell ref="K892:K897"/>
    <mergeCell ref="L892:L897"/>
    <mergeCell ref="O892:O897"/>
    <mergeCell ref="Q892:Q897"/>
    <mergeCell ref="H893:H897"/>
    <mergeCell ref="M893:M897"/>
    <mergeCell ref="I894:I897"/>
    <mergeCell ref="P867:P873"/>
    <mergeCell ref="G868:G873"/>
    <mergeCell ref="K868:K873"/>
    <mergeCell ref="L868:L873"/>
    <mergeCell ref="O868:O873"/>
    <mergeCell ref="Q868:Q873"/>
    <mergeCell ref="H869:H873"/>
    <mergeCell ref="M869:M873"/>
    <mergeCell ref="I870:I873"/>
    <mergeCell ref="H851:I851"/>
    <mergeCell ref="L851:M851"/>
    <mergeCell ref="P851:Q851"/>
    <mergeCell ref="L854:L857"/>
    <mergeCell ref="P854:P857"/>
    <mergeCell ref="P843:P849"/>
    <mergeCell ref="G844:G849"/>
    <mergeCell ref="K844:K849"/>
    <mergeCell ref="L844:L849"/>
    <mergeCell ref="O844:O849"/>
    <mergeCell ref="Q844:Q849"/>
    <mergeCell ref="H845:H849"/>
    <mergeCell ref="M845:M849"/>
    <mergeCell ref="I846:I849"/>
    <mergeCell ref="G820:G825"/>
    <mergeCell ref="K820:K825"/>
    <mergeCell ref="O820:O825"/>
    <mergeCell ref="H827:I827"/>
    <mergeCell ref="L827:M827"/>
    <mergeCell ref="P827:Q827"/>
    <mergeCell ref="L830:L833"/>
    <mergeCell ref="P830:P833"/>
    <mergeCell ref="H821:H825"/>
    <mergeCell ref="I822:I825"/>
    <mergeCell ref="L820:L825"/>
    <mergeCell ref="M821:M825"/>
    <mergeCell ref="P819:P825"/>
    <mergeCell ref="Q820:Q825"/>
    <mergeCell ref="H805:H808"/>
    <mergeCell ref="L805:L808"/>
    <mergeCell ref="M805:M808"/>
    <mergeCell ref="P805:P808"/>
    <mergeCell ref="Q805:Q808"/>
    <mergeCell ref="H794:H800"/>
    <mergeCell ref="L794:L800"/>
    <mergeCell ref="P794:P800"/>
    <mergeCell ref="G795:G800"/>
    <mergeCell ref="K795:K800"/>
    <mergeCell ref="M795:M800"/>
    <mergeCell ref="O795:O800"/>
    <mergeCell ref="I796:I800"/>
    <mergeCell ref="H802:I802"/>
    <mergeCell ref="L802:M802"/>
    <mergeCell ref="P802:Q802"/>
    <mergeCell ref="H780:H783"/>
    <mergeCell ref="L780:L783"/>
    <mergeCell ref="M780:M783"/>
    <mergeCell ref="P780:P783"/>
    <mergeCell ref="Q780:Q783"/>
    <mergeCell ref="H771:H775"/>
    <mergeCell ref="L771:L775"/>
    <mergeCell ref="P771:P775"/>
    <mergeCell ref="Q794:Q800"/>
    <mergeCell ref="G770:G775"/>
    <mergeCell ref="K770:K775"/>
    <mergeCell ref="M770:M775"/>
    <mergeCell ref="O770:O775"/>
    <mergeCell ref="I771:I775"/>
    <mergeCell ref="H777:I777"/>
    <mergeCell ref="L777:M777"/>
    <mergeCell ref="P777:Q777"/>
    <mergeCell ref="H752:I752"/>
    <mergeCell ref="L752:M752"/>
    <mergeCell ref="P752:Q752"/>
    <mergeCell ref="H755:H758"/>
    <mergeCell ref="L755:L758"/>
    <mergeCell ref="M755:M758"/>
    <mergeCell ref="P755:P758"/>
    <mergeCell ref="Q755:Q758"/>
    <mergeCell ref="Q769:Q775"/>
    <mergeCell ref="P146:Q146"/>
    <mergeCell ref="H197:I197"/>
    <mergeCell ref="H200:H203"/>
    <mergeCell ref="I200:I203"/>
    <mergeCell ref="Q744:Q750"/>
    <mergeCell ref="G745:G750"/>
    <mergeCell ref="H745:H750"/>
    <mergeCell ref="K745:K750"/>
    <mergeCell ref="L745:L750"/>
    <mergeCell ref="M745:M750"/>
    <mergeCell ref="O745:O750"/>
    <mergeCell ref="P745:P750"/>
    <mergeCell ref="I746:I750"/>
    <mergeCell ref="G165:G170"/>
    <mergeCell ref="G190:G195"/>
    <mergeCell ref="H164:H170"/>
    <mergeCell ref="I163:I170"/>
    <mergeCell ref="H175:H178"/>
    <mergeCell ref="I175:I178"/>
    <mergeCell ref="H189:H195"/>
    <mergeCell ref="H172:I172"/>
    <mergeCell ref="I189:I195"/>
    <mergeCell ref="H652:I652"/>
    <mergeCell ref="L652:M652"/>
    <mergeCell ref="Q138:Q144"/>
    <mergeCell ref="M225:M228"/>
    <mergeCell ref="H214:H220"/>
    <mergeCell ref="I215:I220"/>
    <mergeCell ref="G215:G220"/>
    <mergeCell ref="H225:H228"/>
    <mergeCell ref="I225:I228"/>
    <mergeCell ref="L225:L228"/>
    <mergeCell ref="Q216:Q220"/>
    <mergeCell ref="P222:Q222"/>
    <mergeCell ref="L222:M222"/>
    <mergeCell ref="P214:P220"/>
    <mergeCell ref="O215:O220"/>
    <mergeCell ref="K215:K220"/>
    <mergeCell ref="M215:M220"/>
    <mergeCell ref="L214:L220"/>
    <mergeCell ref="H222:I222"/>
    <mergeCell ref="P140:P144"/>
    <mergeCell ref="L140:L144"/>
    <mergeCell ref="O139:O144"/>
    <mergeCell ref="M139:M144"/>
    <mergeCell ref="K139:K144"/>
    <mergeCell ref="H146:I146"/>
    <mergeCell ref="L146:M146"/>
    <mergeCell ref="H70:I70"/>
    <mergeCell ref="I73:I76"/>
    <mergeCell ref="I62:I68"/>
    <mergeCell ref="G63:G68"/>
    <mergeCell ref="H63:H68"/>
    <mergeCell ref="G138:G144"/>
    <mergeCell ref="I139:I144"/>
    <mergeCell ref="H140:H144"/>
    <mergeCell ref="H120:I120"/>
    <mergeCell ref="G113:G118"/>
    <mergeCell ref="H114:H118"/>
    <mergeCell ref="I114:I118"/>
    <mergeCell ref="H95:I95"/>
    <mergeCell ref="H89:H93"/>
    <mergeCell ref="I90:I93"/>
    <mergeCell ref="G88:G93"/>
    <mergeCell ref="G13:G18"/>
    <mergeCell ref="H13:H18"/>
    <mergeCell ref="I14:I18"/>
    <mergeCell ref="H20:I20"/>
    <mergeCell ref="H45:I45"/>
    <mergeCell ref="I48:I51"/>
    <mergeCell ref="G38:G43"/>
    <mergeCell ref="H38:H43"/>
    <mergeCell ref="I38:I43"/>
    <mergeCell ref="T621:T625"/>
    <mergeCell ref="U630:U633"/>
    <mergeCell ref="H627:I627"/>
    <mergeCell ref="P627:Q627"/>
    <mergeCell ref="T627:U627"/>
    <mergeCell ref="H621:H625"/>
    <mergeCell ref="U619:U625"/>
    <mergeCell ref="O620:O625"/>
    <mergeCell ref="Q620:Q625"/>
    <mergeCell ref="S620:S625"/>
    <mergeCell ref="P621:P625"/>
    <mergeCell ref="K620:K625"/>
    <mergeCell ref="L621:L625"/>
    <mergeCell ref="M621:M625"/>
    <mergeCell ref="L627:M627"/>
    <mergeCell ref="I622:I625"/>
    <mergeCell ref="I620:I621"/>
    <mergeCell ref="H645:H650"/>
    <mergeCell ref="P645:P650"/>
    <mergeCell ref="T678:U678"/>
    <mergeCell ref="H681:H684"/>
    <mergeCell ref="P681:P684"/>
    <mergeCell ref="Q681:Q684"/>
    <mergeCell ref="U681:U684"/>
    <mergeCell ref="L678:M678"/>
    <mergeCell ref="L681:L684"/>
    <mergeCell ref="M681:M684"/>
    <mergeCell ref="U668:U676"/>
    <mergeCell ref="H669:H676"/>
    <mergeCell ref="Q669:Q676"/>
    <mergeCell ref="T669:T676"/>
    <mergeCell ref="L669:L676"/>
    <mergeCell ref="K670:K676"/>
    <mergeCell ref="M670:M676"/>
    <mergeCell ref="I671:I676"/>
    <mergeCell ref="S670:S676"/>
    <mergeCell ref="P669:P676"/>
    <mergeCell ref="H678:I678"/>
    <mergeCell ref="P678:Q678"/>
    <mergeCell ref="G695:G700"/>
    <mergeCell ref="L695:L700"/>
    <mergeCell ref="L702:M702"/>
    <mergeCell ref="O695:O700"/>
    <mergeCell ref="P695:P700"/>
    <mergeCell ref="P702:Q702"/>
    <mergeCell ref="M695:M700"/>
    <mergeCell ref="P225:P228"/>
    <mergeCell ref="G670:G676"/>
    <mergeCell ref="O670:O676"/>
    <mergeCell ref="G645:G650"/>
    <mergeCell ref="L645:L650"/>
    <mergeCell ref="Q630:Q633"/>
    <mergeCell ref="G620:G625"/>
    <mergeCell ref="P652:Q652"/>
    <mergeCell ref="M655:M658"/>
    <mergeCell ref="Q655:Q658"/>
    <mergeCell ref="L655:L658"/>
    <mergeCell ref="H655:H658"/>
    <mergeCell ref="Q644:Q650"/>
    <mergeCell ref="K645:K650"/>
    <mergeCell ref="M645:M650"/>
    <mergeCell ref="O645:O650"/>
    <mergeCell ref="I646:I650"/>
    <mergeCell ref="G720:G725"/>
    <mergeCell ref="H720:H725"/>
    <mergeCell ref="K720:K725"/>
    <mergeCell ref="L720:L725"/>
    <mergeCell ref="M720:M725"/>
    <mergeCell ref="O720:O725"/>
    <mergeCell ref="P720:P725"/>
    <mergeCell ref="I721:I725"/>
    <mergeCell ref="Q705:Q708"/>
    <mergeCell ref="H705:H708"/>
    <mergeCell ref="L705:L708"/>
    <mergeCell ref="P705:P708"/>
    <mergeCell ref="M705:M708"/>
    <mergeCell ref="H727:I727"/>
    <mergeCell ref="L727:M727"/>
    <mergeCell ref="P727:Q727"/>
    <mergeCell ref="H730:H733"/>
    <mergeCell ref="L730:L733"/>
    <mergeCell ref="M730:M733"/>
    <mergeCell ref="P730:P733"/>
    <mergeCell ref="Q730:Q733"/>
    <mergeCell ref="Q694:Q700"/>
    <mergeCell ref="Q719:Q725"/>
    <mergeCell ref="H702:I702"/>
    <mergeCell ref="I696:I700"/>
    <mergeCell ref="H695:H700"/>
    <mergeCell ref="K695:K700"/>
  </mergeCells>
  <phoneticPr fontId="14"/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C114"/>
  <sheetViews>
    <sheetView zoomScale="85" zoomScaleNormal="85" workbookViewId="0">
      <pane xSplit="8" ySplit="1" topLeftCell="P2" activePane="bottomRight" state="frozen"/>
      <selection pane="topRight" activeCell="H1" sqref="H1"/>
      <selection pane="bottomLeft" activeCell="A2" sqref="A2"/>
      <selection pane="bottomRight" activeCell="P13" sqref="P13"/>
    </sheetView>
  </sheetViews>
  <sheetFormatPr defaultColWidth="79.75" defaultRowHeight="18.75" outlineLevelCol="1" x14ac:dyDescent="0.4"/>
  <cols>
    <col min="1" max="1" width="22" style="6" bestFit="1" customWidth="1"/>
    <col min="2" max="2" width="5.25" style="6" bestFit="1" customWidth="1"/>
    <col min="3" max="3" width="9" style="6" hidden="1" customWidth="1" outlineLevel="1"/>
    <col min="4" max="4" width="18.125" style="6" hidden="1" customWidth="1" outlineLevel="1"/>
    <col min="5" max="5" width="6.25" style="6" hidden="1" customWidth="1" outlineLevel="1"/>
    <col min="6" max="6" width="25.125" style="6" customWidth="1" collapsed="1"/>
    <col min="7" max="7" width="10.875" style="6" customWidth="1"/>
    <col min="8" max="8" width="54.875" style="6" hidden="1" customWidth="1" outlineLevel="1"/>
    <col min="9" max="9" width="35.25" style="6" hidden="1" customWidth="1" outlineLevel="1"/>
    <col min="10" max="10" width="15" style="6" bestFit="1" customWidth="1" collapsed="1"/>
    <col min="11" max="11" width="9" style="6" bestFit="1" customWidth="1"/>
    <col min="12" max="12" width="24.625" style="6" bestFit="1" customWidth="1"/>
    <col min="13" max="13" width="10" style="141" bestFit="1" customWidth="1"/>
    <col min="14" max="14" width="5.5" style="105" bestFit="1" customWidth="1"/>
    <col min="15" max="15" width="15" style="6" bestFit="1" customWidth="1"/>
    <col min="16" max="16" width="11.625" style="6" bestFit="1" customWidth="1"/>
    <col min="17" max="17" width="18.125" style="6" bestFit="1" customWidth="1"/>
    <col min="18" max="18" width="11.75" style="6" bestFit="1" customWidth="1"/>
    <col min="19" max="19" width="9" style="6" bestFit="1" customWidth="1"/>
    <col min="20" max="20" width="11" style="6" hidden="1" customWidth="1" outlineLevel="1"/>
    <col min="21" max="22" width="13" style="6" hidden="1" customWidth="1" outlineLevel="1"/>
    <col min="23" max="23" width="9.875" style="6" hidden="1" customWidth="1" outlineLevel="1"/>
    <col min="24" max="24" width="9.875" style="6" bestFit="1" customWidth="1" collapsed="1"/>
    <col min="25" max="25" width="9" style="6" bestFit="1" customWidth="1"/>
    <col min="26" max="26" width="7.125" style="6" bestFit="1" customWidth="1"/>
    <col min="27" max="27" width="9" style="6" bestFit="1" customWidth="1"/>
    <col min="28" max="28" width="25.625" style="6" bestFit="1" customWidth="1"/>
    <col min="29" max="29" width="10.875" style="6" bestFit="1" customWidth="1"/>
    <col min="30" max="16384" width="79.75" style="6"/>
  </cols>
  <sheetData>
    <row r="1" spans="1:29" x14ac:dyDescent="0.15">
      <c r="B1" s="5" t="s">
        <v>251</v>
      </c>
      <c r="C1" s="5" t="s">
        <v>252</v>
      </c>
      <c r="D1" s="5" t="s">
        <v>253</v>
      </c>
      <c r="E1" s="5" t="s">
        <v>254</v>
      </c>
      <c r="F1" s="5" t="s">
        <v>255</v>
      </c>
      <c r="G1" s="5" t="s">
        <v>256</v>
      </c>
      <c r="H1" s="5" t="s">
        <v>257</v>
      </c>
      <c r="I1" s="5" t="s">
        <v>258</v>
      </c>
      <c r="J1" s="5" t="s">
        <v>259</v>
      </c>
      <c r="K1" s="5" t="s">
        <v>260</v>
      </c>
      <c r="L1" s="5" t="s">
        <v>467</v>
      </c>
      <c r="M1" s="5" t="s">
        <v>261</v>
      </c>
      <c r="N1" s="5"/>
      <c r="O1" s="5" t="s">
        <v>262</v>
      </c>
      <c r="P1" s="5" t="s">
        <v>250</v>
      </c>
      <c r="Q1" s="5" t="s">
        <v>263</v>
      </c>
      <c r="R1" s="5" t="s">
        <v>264</v>
      </c>
      <c r="S1" s="5" t="s">
        <v>265</v>
      </c>
      <c r="T1" s="5" t="s">
        <v>266</v>
      </c>
      <c r="U1" s="5" t="s">
        <v>267</v>
      </c>
      <c r="V1" s="5" t="s">
        <v>268</v>
      </c>
      <c r="W1" s="5" t="s">
        <v>269</v>
      </c>
      <c r="X1" s="5" t="s">
        <v>270</v>
      </c>
      <c r="Y1" s="5" t="s">
        <v>271</v>
      </c>
      <c r="Z1" s="5" t="s">
        <v>272</v>
      </c>
      <c r="AA1" s="5" t="s">
        <v>273</v>
      </c>
      <c r="AB1" s="5" t="s">
        <v>274</v>
      </c>
      <c r="AC1" s="5" t="s">
        <v>275</v>
      </c>
    </row>
    <row r="2" spans="1:29" x14ac:dyDescent="0.15">
      <c r="A2" s="142" t="s">
        <v>385</v>
      </c>
      <c r="B2" s="3">
        <v>1</v>
      </c>
      <c r="C2" s="4" t="s">
        <v>3</v>
      </c>
      <c r="D2" s="4" t="s">
        <v>3</v>
      </c>
      <c r="E2" s="4" t="s">
        <v>8</v>
      </c>
      <c r="F2" s="4" t="s">
        <v>5</v>
      </c>
      <c r="G2" s="4" t="s">
        <v>276</v>
      </c>
      <c r="H2" s="4" t="s">
        <v>189</v>
      </c>
      <c r="I2" s="4" t="s">
        <v>164</v>
      </c>
      <c r="J2" s="4" t="s">
        <v>165</v>
      </c>
      <c r="K2" s="4" t="s">
        <v>277</v>
      </c>
      <c r="L2" s="4" t="s">
        <v>279</v>
      </c>
      <c r="M2" s="140" t="s">
        <v>278</v>
      </c>
      <c r="N2" s="4">
        <f>L2-M2</f>
        <v>50</v>
      </c>
      <c r="O2" s="4" t="s">
        <v>276</v>
      </c>
      <c r="P2" s="4" t="s">
        <v>276</v>
      </c>
      <c r="Q2" s="4" t="s">
        <v>276</v>
      </c>
      <c r="R2" s="4" t="s">
        <v>276</v>
      </c>
      <c r="S2" s="4" t="s">
        <v>279</v>
      </c>
      <c r="T2" s="4" t="s">
        <v>280</v>
      </c>
      <c r="U2" s="4" t="s">
        <v>281</v>
      </c>
      <c r="V2" s="4" t="s">
        <v>281</v>
      </c>
      <c r="W2" s="4" t="s">
        <v>282</v>
      </c>
      <c r="X2" s="4" t="s">
        <v>283</v>
      </c>
      <c r="Y2" s="4" t="s">
        <v>281</v>
      </c>
      <c r="Z2" s="4" t="s">
        <v>284</v>
      </c>
      <c r="AA2" s="4" t="s">
        <v>280</v>
      </c>
      <c r="AB2" s="4" t="s">
        <v>285</v>
      </c>
      <c r="AC2" s="4" t="s">
        <v>286</v>
      </c>
    </row>
    <row r="3" spans="1:29" x14ac:dyDescent="0.15">
      <c r="A3" s="6" t="s">
        <v>386</v>
      </c>
      <c r="B3" s="3">
        <v>2</v>
      </c>
      <c r="C3" s="4" t="s">
        <v>3</v>
      </c>
      <c r="D3" s="4" t="s">
        <v>2</v>
      </c>
      <c r="E3" s="4" t="s">
        <v>8</v>
      </c>
      <c r="F3" s="4" t="s">
        <v>5</v>
      </c>
      <c r="G3" s="4" t="s">
        <v>276</v>
      </c>
      <c r="H3" s="4" t="s">
        <v>190</v>
      </c>
      <c r="I3" s="4" t="s">
        <v>166</v>
      </c>
      <c r="J3" s="4" t="s">
        <v>167</v>
      </c>
      <c r="K3" s="4" t="s">
        <v>277</v>
      </c>
      <c r="L3" s="4" t="s">
        <v>279</v>
      </c>
      <c r="M3" s="140" t="s">
        <v>279</v>
      </c>
      <c r="N3" s="4">
        <f t="shared" ref="N3:N43" si="0">L3-M3</f>
        <v>0</v>
      </c>
      <c r="O3" s="4" t="s">
        <v>276</v>
      </c>
      <c r="P3" s="4" t="s">
        <v>276</v>
      </c>
      <c r="Q3" s="4" t="s">
        <v>276</v>
      </c>
      <c r="R3" s="4" t="s">
        <v>276</v>
      </c>
      <c r="S3" s="4" t="s">
        <v>279</v>
      </c>
      <c r="T3" s="4" t="s">
        <v>280</v>
      </c>
      <c r="U3" s="4" t="s">
        <v>281</v>
      </c>
      <c r="V3" s="4" t="s">
        <v>281</v>
      </c>
      <c r="W3" s="4" t="s">
        <v>282</v>
      </c>
      <c r="X3" s="4" t="s">
        <v>283</v>
      </c>
      <c r="Y3" s="4" t="s">
        <v>281</v>
      </c>
      <c r="Z3" s="4" t="s">
        <v>284</v>
      </c>
      <c r="AA3" s="4" t="s">
        <v>280</v>
      </c>
      <c r="AB3" s="4" t="s">
        <v>285</v>
      </c>
      <c r="AC3" s="4" t="s">
        <v>286</v>
      </c>
    </row>
    <row r="4" spans="1:29" x14ac:dyDescent="0.15">
      <c r="A4" s="6" t="s">
        <v>387</v>
      </c>
      <c r="B4" s="3">
        <v>3</v>
      </c>
      <c r="C4" s="4" t="s">
        <v>3</v>
      </c>
      <c r="D4" s="4" t="s">
        <v>0</v>
      </c>
      <c r="E4" s="4" t="s">
        <v>8</v>
      </c>
      <c r="F4" s="4" t="s">
        <v>5</v>
      </c>
      <c r="G4" s="4" t="s">
        <v>276</v>
      </c>
      <c r="H4" s="4" t="s">
        <v>191</v>
      </c>
      <c r="I4" s="4" t="s">
        <v>168</v>
      </c>
      <c r="J4" s="4" t="s">
        <v>169</v>
      </c>
      <c r="K4" s="4" t="s">
        <v>277</v>
      </c>
      <c r="L4" s="4" t="s">
        <v>278</v>
      </c>
      <c r="M4" s="140" t="s">
        <v>279</v>
      </c>
      <c r="N4" s="4">
        <f t="shared" si="0"/>
        <v>-50</v>
      </c>
      <c r="O4" s="4" t="s">
        <v>276</v>
      </c>
      <c r="P4" s="4" t="s">
        <v>276</v>
      </c>
      <c r="Q4" s="4" t="s">
        <v>276</v>
      </c>
      <c r="R4" s="4" t="s">
        <v>276</v>
      </c>
      <c r="S4" s="4" t="s">
        <v>278</v>
      </c>
      <c r="T4" s="4" t="s">
        <v>280</v>
      </c>
      <c r="U4" s="4" t="s">
        <v>284</v>
      </c>
      <c r="V4" s="4" t="s">
        <v>280</v>
      </c>
      <c r="W4" s="4" t="s">
        <v>276</v>
      </c>
      <c r="X4" s="4" t="s">
        <v>287</v>
      </c>
      <c r="Y4" s="4" t="s">
        <v>288</v>
      </c>
      <c r="Z4" s="4" t="s">
        <v>284</v>
      </c>
      <c r="AA4" s="4" t="s">
        <v>280</v>
      </c>
      <c r="AB4" s="4" t="s">
        <v>289</v>
      </c>
      <c r="AC4" s="4" t="s">
        <v>373</v>
      </c>
    </row>
    <row r="5" spans="1:29" x14ac:dyDescent="0.15">
      <c r="A5" s="6" t="s">
        <v>387</v>
      </c>
      <c r="B5" s="3">
        <v>3</v>
      </c>
      <c r="C5" s="4" t="s">
        <v>3</v>
      </c>
      <c r="D5" s="4" t="s">
        <v>0</v>
      </c>
      <c r="E5" s="4" t="s">
        <v>8</v>
      </c>
      <c r="F5" s="4" t="s">
        <v>5</v>
      </c>
      <c r="G5" s="4" t="s">
        <v>276</v>
      </c>
      <c r="H5" s="4" t="s">
        <v>191</v>
      </c>
      <c r="I5" s="4" t="s">
        <v>168</v>
      </c>
      <c r="J5" s="4" t="s">
        <v>169</v>
      </c>
      <c r="K5" s="4" t="s">
        <v>277</v>
      </c>
      <c r="L5" s="4" t="s">
        <v>278</v>
      </c>
      <c r="M5" s="140" t="s">
        <v>279</v>
      </c>
      <c r="N5" s="4">
        <f t="shared" si="0"/>
        <v>-50</v>
      </c>
      <c r="O5" s="4" t="s">
        <v>276</v>
      </c>
      <c r="P5" s="4" t="s">
        <v>276</v>
      </c>
      <c r="Q5" s="4" t="s">
        <v>276</v>
      </c>
      <c r="R5" s="4" t="s">
        <v>276</v>
      </c>
      <c r="S5" s="4" t="s">
        <v>278</v>
      </c>
      <c r="T5" s="4" t="s">
        <v>280</v>
      </c>
      <c r="U5" s="4" t="s">
        <v>284</v>
      </c>
      <c r="V5" s="4" t="s">
        <v>280</v>
      </c>
      <c r="W5" s="4" t="s">
        <v>282</v>
      </c>
      <c r="X5" s="4" t="s">
        <v>283</v>
      </c>
      <c r="Y5" s="4" t="s">
        <v>281</v>
      </c>
      <c r="Z5" s="4" t="s">
        <v>284</v>
      </c>
      <c r="AA5" s="4" t="s">
        <v>280</v>
      </c>
      <c r="AB5" s="4" t="s">
        <v>285</v>
      </c>
      <c r="AC5" s="4" t="s">
        <v>286</v>
      </c>
    </row>
    <row r="6" spans="1:29" x14ac:dyDescent="0.15">
      <c r="A6" s="142" t="s">
        <v>387</v>
      </c>
      <c r="B6" s="3">
        <v>4</v>
      </c>
      <c r="C6" s="4" t="s">
        <v>3</v>
      </c>
      <c r="D6" s="4" t="s">
        <v>0</v>
      </c>
      <c r="E6" s="4" t="s">
        <v>8</v>
      </c>
      <c r="F6" s="4" t="s">
        <v>5</v>
      </c>
      <c r="G6" s="4" t="s">
        <v>276</v>
      </c>
      <c r="H6" s="4" t="s">
        <v>192</v>
      </c>
      <c r="I6" s="4" t="s">
        <v>170</v>
      </c>
      <c r="J6" s="4" t="s">
        <v>171</v>
      </c>
      <c r="K6" s="4" t="s">
        <v>277</v>
      </c>
      <c r="L6" s="4" t="s">
        <v>279</v>
      </c>
      <c r="M6" s="140" t="s">
        <v>277</v>
      </c>
      <c r="N6" s="4">
        <f t="shared" si="0"/>
        <v>-50</v>
      </c>
      <c r="O6" s="4" t="s">
        <v>276</v>
      </c>
      <c r="P6" s="4" t="s">
        <v>276</v>
      </c>
      <c r="Q6" s="4" t="s">
        <v>276</v>
      </c>
      <c r="R6" s="4" t="s">
        <v>276</v>
      </c>
      <c r="S6" s="4" t="s">
        <v>279</v>
      </c>
      <c r="T6" s="4" t="s">
        <v>280</v>
      </c>
      <c r="U6" s="4" t="s">
        <v>284</v>
      </c>
      <c r="V6" s="4" t="s">
        <v>280</v>
      </c>
      <c r="W6" s="4" t="s">
        <v>282</v>
      </c>
      <c r="X6" s="4" t="s">
        <v>283</v>
      </c>
      <c r="Y6" s="4" t="s">
        <v>281</v>
      </c>
      <c r="Z6" s="4" t="s">
        <v>281</v>
      </c>
      <c r="AA6" s="4" t="s">
        <v>280</v>
      </c>
      <c r="AB6" s="4" t="s">
        <v>285</v>
      </c>
      <c r="AC6" s="4" t="s">
        <v>286</v>
      </c>
    </row>
    <row r="7" spans="1:29" x14ac:dyDescent="0.15">
      <c r="A7" s="142" t="s">
        <v>387</v>
      </c>
      <c r="B7" s="3">
        <v>4</v>
      </c>
      <c r="C7" s="4" t="s">
        <v>3</v>
      </c>
      <c r="D7" s="4" t="s">
        <v>0</v>
      </c>
      <c r="E7" s="4" t="s">
        <v>8</v>
      </c>
      <c r="F7" s="4" t="s">
        <v>5</v>
      </c>
      <c r="G7" s="4" t="s">
        <v>276</v>
      </c>
      <c r="H7" s="4" t="s">
        <v>192</v>
      </c>
      <c r="I7" s="4" t="s">
        <v>170</v>
      </c>
      <c r="J7" s="4" t="s">
        <v>171</v>
      </c>
      <c r="K7" s="4" t="s">
        <v>277</v>
      </c>
      <c r="L7" s="4" t="s">
        <v>279</v>
      </c>
      <c r="M7" s="140" t="s">
        <v>277</v>
      </c>
      <c r="N7" s="4">
        <f t="shared" si="0"/>
        <v>-50</v>
      </c>
      <c r="O7" s="4" t="s">
        <v>276</v>
      </c>
      <c r="P7" s="4" t="s">
        <v>276</v>
      </c>
      <c r="Q7" s="4" t="s">
        <v>276</v>
      </c>
      <c r="R7" s="4" t="s">
        <v>276</v>
      </c>
      <c r="S7" s="4" t="s">
        <v>279</v>
      </c>
      <c r="T7" s="4" t="s">
        <v>280</v>
      </c>
      <c r="U7" s="4" t="s">
        <v>284</v>
      </c>
      <c r="V7" s="4" t="s">
        <v>280</v>
      </c>
      <c r="W7" s="4" t="s">
        <v>276</v>
      </c>
      <c r="X7" s="4" t="s">
        <v>287</v>
      </c>
      <c r="Y7" s="4" t="s">
        <v>288</v>
      </c>
      <c r="Z7" s="4" t="s">
        <v>284</v>
      </c>
      <c r="AA7" s="4" t="s">
        <v>280</v>
      </c>
      <c r="AB7" s="4" t="s">
        <v>289</v>
      </c>
      <c r="AC7" s="4" t="s">
        <v>290</v>
      </c>
    </row>
    <row r="8" spans="1:29" x14ac:dyDescent="0.15">
      <c r="A8" s="6" t="s">
        <v>388</v>
      </c>
      <c r="B8" s="3">
        <v>5</v>
      </c>
      <c r="C8" s="4" t="s">
        <v>3</v>
      </c>
      <c r="D8" s="4" t="s">
        <v>0</v>
      </c>
      <c r="E8" s="4" t="s">
        <v>8</v>
      </c>
      <c r="F8" s="4" t="s">
        <v>5</v>
      </c>
      <c r="G8" s="4" t="s">
        <v>276</v>
      </c>
      <c r="H8" s="4" t="s">
        <v>193</v>
      </c>
      <c r="I8" s="4" t="s">
        <v>172</v>
      </c>
      <c r="J8" s="4" t="s">
        <v>173</v>
      </c>
      <c r="K8" s="4" t="s">
        <v>277</v>
      </c>
      <c r="L8" s="4" t="s">
        <v>279</v>
      </c>
      <c r="M8" s="140" t="s">
        <v>291</v>
      </c>
      <c r="N8" s="4">
        <f t="shared" si="0"/>
        <v>-100</v>
      </c>
      <c r="O8" s="4" t="s">
        <v>276</v>
      </c>
      <c r="P8" s="4" t="s">
        <v>276</v>
      </c>
      <c r="Q8" s="4" t="s">
        <v>276</v>
      </c>
      <c r="R8" s="4" t="s">
        <v>276</v>
      </c>
      <c r="S8" s="4" t="s">
        <v>279</v>
      </c>
      <c r="T8" s="4" t="s">
        <v>280</v>
      </c>
      <c r="U8" s="4" t="s">
        <v>284</v>
      </c>
      <c r="V8" s="4" t="s">
        <v>280</v>
      </c>
      <c r="W8" s="4" t="s">
        <v>276</v>
      </c>
      <c r="X8" s="4" t="s">
        <v>287</v>
      </c>
      <c r="Y8" s="4" t="s">
        <v>288</v>
      </c>
      <c r="Z8" s="4" t="s">
        <v>284</v>
      </c>
      <c r="AA8" s="4" t="s">
        <v>280</v>
      </c>
      <c r="AB8" s="4" t="s">
        <v>289</v>
      </c>
      <c r="AC8" s="4" t="s">
        <v>290</v>
      </c>
    </row>
    <row r="9" spans="1:29" x14ac:dyDescent="0.15">
      <c r="A9" s="6" t="s">
        <v>386</v>
      </c>
      <c r="B9" s="3">
        <v>6</v>
      </c>
      <c r="C9" s="4" t="s">
        <v>2</v>
      </c>
      <c r="D9" s="4" t="s">
        <v>3</v>
      </c>
      <c r="E9" s="4" t="s">
        <v>8</v>
      </c>
      <c r="F9" s="4" t="s">
        <v>5</v>
      </c>
      <c r="G9" s="4" t="s">
        <v>276</v>
      </c>
      <c r="H9" s="4" t="s">
        <v>194</v>
      </c>
      <c r="I9" s="4" t="s">
        <v>174</v>
      </c>
      <c r="J9" s="4" t="s">
        <v>175</v>
      </c>
      <c r="K9" s="4" t="s">
        <v>277</v>
      </c>
      <c r="L9" s="4" t="s">
        <v>277</v>
      </c>
      <c r="M9" s="140" t="s">
        <v>279</v>
      </c>
      <c r="N9" s="4">
        <f t="shared" si="0"/>
        <v>50</v>
      </c>
      <c r="O9" s="4" t="s">
        <v>276</v>
      </c>
      <c r="P9" s="4" t="s">
        <v>276</v>
      </c>
      <c r="Q9" s="4" t="s">
        <v>276</v>
      </c>
      <c r="R9" s="4" t="s">
        <v>276</v>
      </c>
      <c r="S9" s="4" t="s">
        <v>279</v>
      </c>
      <c r="T9" s="4" t="s">
        <v>280</v>
      </c>
      <c r="U9" s="4" t="s">
        <v>281</v>
      </c>
      <c r="V9" s="4" t="s">
        <v>281</v>
      </c>
      <c r="W9" s="4" t="s">
        <v>282</v>
      </c>
      <c r="X9" s="4" t="s">
        <v>283</v>
      </c>
      <c r="Y9" s="4" t="s">
        <v>281</v>
      </c>
      <c r="Z9" s="4" t="s">
        <v>284</v>
      </c>
      <c r="AA9" s="4" t="s">
        <v>280</v>
      </c>
      <c r="AB9" s="4" t="s">
        <v>285</v>
      </c>
      <c r="AC9" s="4" t="s">
        <v>286</v>
      </c>
    </row>
    <row r="10" spans="1:29" x14ac:dyDescent="0.15">
      <c r="A10" s="142" t="s">
        <v>386</v>
      </c>
      <c r="B10" s="3">
        <v>7</v>
      </c>
      <c r="C10" s="4" t="s">
        <v>2</v>
      </c>
      <c r="D10" s="4" t="s">
        <v>2</v>
      </c>
      <c r="E10" s="4" t="s">
        <v>8</v>
      </c>
      <c r="F10" s="4" t="s">
        <v>5</v>
      </c>
      <c r="G10" s="4" t="s">
        <v>276</v>
      </c>
      <c r="H10" s="4" t="s">
        <v>195</v>
      </c>
      <c r="I10" s="4" t="s">
        <v>176</v>
      </c>
      <c r="J10" s="4" t="s">
        <v>177</v>
      </c>
      <c r="K10" s="4" t="s">
        <v>277</v>
      </c>
      <c r="L10" s="4" t="s">
        <v>277</v>
      </c>
      <c r="M10" s="140" t="s">
        <v>277</v>
      </c>
      <c r="N10" s="4">
        <f t="shared" si="0"/>
        <v>0</v>
      </c>
      <c r="O10" s="4" t="s">
        <v>276</v>
      </c>
      <c r="P10" s="4" t="s">
        <v>276</v>
      </c>
      <c r="Q10" s="4" t="s">
        <v>276</v>
      </c>
      <c r="R10" s="4" t="s">
        <v>276</v>
      </c>
      <c r="S10" s="4" t="s">
        <v>279</v>
      </c>
      <c r="T10" s="4" t="s">
        <v>280</v>
      </c>
      <c r="U10" s="4" t="s">
        <v>284</v>
      </c>
      <c r="V10" s="4" t="s">
        <v>280</v>
      </c>
      <c r="W10" s="4" t="s">
        <v>276</v>
      </c>
      <c r="X10" s="4" t="s">
        <v>287</v>
      </c>
      <c r="Y10" s="4" t="s">
        <v>288</v>
      </c>
      <c r="Z10" s="4" t="s">
        <v>284</v>
      </c>
      <c r="AA10" s="4" t="s">
        <v>280</v>
      </c>
      <c r="AB10" s="4" t="s">
        <v>289</v>
      </c>
      <c r="AC10" s="4" t="s">
        <v>290</v>
      </c>
    </row>
    <row r="11" spans="1:29" x14ac:dyDescent="0.15">
      <c r="A11" s="6" t="s">
        <v>389</v>
      </c>
      <c r="B11" s="3">
        <v>8</v>
      </c>
      <c r="C11" s="4" t="s">
        <v>2</v>
      </c>
      <c r="D11" s="4" t="s">
        <v>0</v>
      </c>
      <c r="E11" s="4" t="s">
        <v>8</v>
      </c>
      <c r="F11" s="4" t="s">
        <v>5</v>
      </c>
      <c r="G11" s="4" t="s">
        <v>276</v>
      </c>
      <c r="H11" s="4" t="s">
        <v>196</v>
      </c>
      <c r="I11" s="4" t="s">
        <v>178</v>
      </c>
      <c r="J11" s="4" t="s">
        <v>179</v>
      </c>
      <c r="K11" s="4" t="s">
        <v>277</v>
      </c>
      <c r="L11" s="4" t="s">
        <v>277</v>
      </c>
      <c r="M11" s="140" t="s">
        <v>291</v>
      </c>
      <c r="N11" s="4">
        <f t="shared" si="0"/>
        <v>-50</v>
      </c>
      <c r="O11" s="4" t="s">
        <v>276</v>
      </c>
      <c r="P11" s="4" t="s">
        <v>276</v>
      </c>
      <c r="Q11" s="4" t="s">
        <v>276</v>
      </c>
      <c r="R11" s="4" t="s">
        <v>276</v>
      </c>
      <c r="S11" s="4" t="s">
        <v>277</v>
      </c>
      <c r="T11" s="4" t="s">
        <v>280</v>
      </c>
      <c r="U11" s="4" t="s">
        <v>281</v>
      </c>
      <c r="V11" s="4" t="s">
        <v>281</v>
      </c>
      <c r="W11" s="4" t="s">
        <v>276</v>
      </c>
      <c r="X11" s="4" t="s">
        <v>276</v>
      </c>
      <c r="Y11" s="4" t="s">
        <v>276</v>
      </c>
      <c r="Z11" s="4" t="s">
        <v>276</v>
      </c>
      <c r="AA11" s="4" t="s">
        <v>276</v>
      </c>
      <c r="AB11" s="4" t="s">
        <v>276</v>
      </c>
      <c r="AC11" s="4" t="s">
        <v>276</v>
      </c>
    </row>
    <row r="12" spans="1:29" x14ac:dyDescent="0.15">
      <c r="A12" s="6" t="s">
        <v>390</v>
      </c>
      <c r="B12" s="3">
        <v>9</v>
      </c>
      <c r="C12" s="4" t="s">
        <v>0</v>
      </c>
      <c r="D12" s="4" t="s">
        <v>3</v>
      </c>
      <c r="E12" s="4" t="s">
        <v>8</v>
      </c>
      <c r="F12" s="4" t="s">
        <v>5</v>
      </c>
      <c r="G12" s="4" t="s">
        <v>276</v>
      </c>
      <c r="H12" s="4" t="s">
        <v>197</v>
      </c>
      <c r="I12" s="4" t="s">
        <v>180</v>
      </c>
      <c r="J12" s="4" t="s">
        <v>181</v>
      </c>
      <c r="K12" s="4" t="s">
        <v>277</v>
      </c>
      <c r="L12" s="4" t="s">
        <v>291</v>
      </c>
      <c r="M12" s="140" t="s">
        <v>279</v>
      </c>
      <c r="N12" s="4">
        <f t="shared" si="0"/>
        <v>100</v>
      </c>
      <c r="O12" s="4" t="s">
        <v>276</v>
      </c>
      <c r="P12" s="4" t="s">
        <v>276</v>
      </c>
      <c r="Q12" s="4" t="s">
        <v>276</v>
      </c>
      <c r="R12" s="4" t="s">
        <v>276</v>
      </c>
      <c r="S12" s="4" t="s">
        <v>291</v>
      </c>
      <c r="T12" s="4" t="s">
        <v>280</v>
      </c>
      <c r="U12" s="4" t="s">
        <v>281</v>
      </c>
      <c r="V12" s="4" t="s">
        <v>281</v>
      </c>
      <c r="W12" s="4" t="s">
        <v>282</v>
      </c>
      <c r="X12" s="4" t="s">
        <v>283</v>
      </c>
      <c r="Y12" s="4" t="s">
        <v>281</v>
      </c>
      <c r="Z12" s="4" t="s">
        <v>292</v>
      </c>
      <c r="AA12" s="4" t="s">
        <v>280</v>
      </c>
      <c r="AB12" s="4" t="s">
        <v>285</v>
      </c>
      <c r="AC12" s="4" t="s">
        <v>286</v>
      </c>
    </row>
    <row r="13" spans="1:29" x14ac:dyDescent="0.15">
      <c r="A13" s="142" t="s">
        <v>390</v>
      </c>
      <c r="B13" s="3">
        <v>10</v>
      </c>
      <c r="C13" s="4" t="s">
        <v>0</v>
      </c>
      <c r="D13" s="4" t="s">
        <v>3</v>
      </c>
      <c r="E13" s="4" t="s">
        <v>8</v>
      </c>
      <c r="F13" s="4" t="s">
        <v>5</v>
      </c>
      <c r="G13" s="4" t="s">
        <v>276</v>
      </c>
      <c r="H13" s="4" t="s">
        <v>198</v>
      </c>
      <c r="I13" s="4" t="s">
        <v>182</v>
      </c>
      <c r="J13" s="4" t="s">
        <v>183</v>
      </c>
      <c r="K13" s="4" t="s">
        <v>277</v>
      </c>
      <c r="L13" s="4" t="s">
        <v>291</v>
      </c>
      <c r="M13" s="140" t="s">
        <v>277</v>
      </c>
      <c r="N13" s="4">
        <f t="shared" si="0"/>
        <v>50</v>
      </c>
      <c r="O13" s="4" t="s">
        <v>276</v>
      </c>
      <c r="P13" s="4" t="s">
        <v>276</v>
      </c>
      <c r="Q13" s="4" t="s">
        <v>276</v>
      </c>
      <c r="R13" s="4" t="s">
        <v>276</v>
      </c>
      <c r="S13" s="4" t="s">
        <v>291</v>
      </c>
      <c r="T13" s="4" t="s">
        <v>280</v>
      </c>
      <c r="U13" s="4" t="s">
        <v>281</v>
      </c>
      <c r="V13" s="4" t="s">
        <v>281</v>
      </c>
      <c r="W13" s="4" t="s">
        <v>282</v>
      </c>
      <c r="X13" s="4" t="s">
        <v>283</v>
      </c>
      <c r="Y13" s="4" t="s">
        <v>281</v>
      </c>
      <c r="Z13" s="4" t="s">
        <v>292</v>
      </c>
      <c r="AA13" s="4" t="s">
        <v>280</v>
      </c>
      <c r="AB13" s="4" t="s">
        <v>285</v>
      </c>
      <c r="AC13" s="4" t="s">
        <v>286</v>
      </c>
    </row>
    <row r="14" spans="1:29" x14ac:dyDescent="0.15">
      <c r="A14" s="6" t="s">
        <v>389</v>
      </c>
      <c r="B14" s="3">
        <v>11</v>
      </c>
      <c r="C14" s="4" t="s">
        <v>0</v>
      </c>
      <c r="D14" s="4" t="s">
        <v>3</v>
      </c>
      <c r="E14" s="4" t="s">
        <v>8</v>
      </c>
      <c r="F14" s="4" t="s">
        <v>486</v>
      </c>
      <c r="G14" s="4" t="s">
        <v>276</v>
      </c>
      <c r="H14" s="4" t="s">
        <v>199</v>
      </c>
      <c r="I14" s="4" t="s">
        <v>184</v>
      </c>
      <c r="J14" s="4" t="s">
        <v>185</v>
      </c>
      <c r="K14" s="4" t="s">
        <v>277</v>
      </c>
      <c r="L14" s="4" t="s">
        <v>293</v>
      </c>
      <c r="M14" s="140" t="s">
        <v>291</v>
      </c>
      <c r="N14" s="4">
        <f t="shared" si="0"/>
        <v>50</v>
      </c>
      <c r="O14" s="4" t="s">
        <v>276</v>
      </c>
      <c r="P14" s="4" t="s">
        <v>276</v>
      </c>
      <c r="Q14" s="4" t="s">
        <v>276</v>
      </c>
      <c r="R14" s="4" t="s">
        <v>276</v>
      </c>
      <c r="S14" s="4" t="s">
        <v>293</v>
      </c>
      <c r="T14" s="4" t="s">
        <v>280</v>
      </c>
      <c r="U14" s="4" t="s">
        <v>281</v>
      </c>
      <c r="V14" s="4" t="s">
        <v>281</v>
      </c>
      <c r="W14" s="4" t="s">
        <v>276</v>
      </c>
      <c r="X14" s="4" t="s">
        <v>276</v>
      </c>
      <c r="Y14" s="4" t="s">
        <v>276</v>
      </c>
      <c r="Z14" s="4" t="s">
        <v>276</v>
      </c>
      <c r="AA14" s="4" t="s">
        <v>276</v>
      </c>
      <c r="AB14" s="4" t="s">
        <v>276</v>
      </c>
      <c r="AC14" s="4" t="s">
        <v>276</v>
      </c>
    </row>
    <row r="15" spans="1:29" x14ac:dyDescent="0.15">
      <c r="A15" s="6" t="s">
        <v>390</v>
      </c>
      <c r="B15" s="3">
        <v>12</v>
      </c>
      <c r="C15" s="4" t="s">
        <v>0</v>
      </c>
      <c r="D15" s="4" t="s">
        <v>2</v>
      </c>
      <c r="E15" s="4" t="s">
        <v>8</v>
      </c>
      <c r="F15" s="4" t="s">
        <v>5</v>
      </c>
      <c r="G15" s="4" t="s">
        <v>276</v>
      </c>
      <c r="H15" s="4" t="s">
        <v>200</v>
      </c>
      <c r="I15" s="4" t="s">
        <v>186</v>
      </c>
      <c r="J15" s="4" t="s">
        <v>187</v>
      </c>
      <c r="K15" s="4" t="s">
        <v>277</v>
      </c>
      <c r="L15" s="4" t="s">
        <v>291</v>
      </c>
      <c r="M15" s="140" t="s">
        <v>291</v>
      </c>
      <c r="N15" s="4">
        <f t="shared" si="0"/>
        <v>0</v>
      </c>
      <c r="O15" s="4" t="s">
        <v>276</v>
      </c>
      <c r="P15" s="4" t="s">
        <v>276</v>
      </c>
      <c r="Q15" s="4" t="s">
        <v>276</v>
      </c>
      <c r="R15" s="4" t="s">
        <v>276</v>
      </c>
      <c r="S15" s="4" t="s">
        <v>291</v>
      </c>
      <c r="T15" s="4" t="s">
        <v>280</v>
      </c>
      <c r="U15" s="4" t="s">
        <v>281</v>
      </c>
      <c r="V15" s="4" t="s">
        <v>281</v>
      </c>
      <c r="W15" s="4" t="s">
        <v>282</v>
      </c>
      <c r="X15" s="4" t="s">
        <v>283</v>
      </c>
      <c r="Y15" s="4" t="s">
        <v>281</v>
      </c>
      <c r="Z15" s="4" t="s">
        <v>292</v>
      </c>
      <c r="AA15" s="4" t="s">
        <v>280</v>
      </c>
      <c r="AB15" s="4" t="s">
        <v>285</v>
      </c>
      <c r="AC15" s="4" t="s">
        <v>286</v>
      </c>
    </row>
    <row r="16" spans="1:29" x14ac:dyDescent="0.15">
      <c r="A16" s="6" t="s">
        <v>390</v>
      </c>
      <c r="B16" s="3">
        <v>13</v>
      </c>
      <c r="C16" s="4" t="s">
        <v>0</v>
      </c>
      <c r="D16" s="4" t="s">
        <v>0</v>
      </c>
      <c r="E16" s="4" t="s">
        <v>8</v>
      </c>
      <c r="F16" s="4" t="s">
        <v>5</v>
      </c>
      <c r="G16" s="4" t="s">
        <v>276</v>
      </c>
      <c r="H16" s="4" t="s">
        <v>201</v>
      </c>
      <c r="I16" s="4" t="s">
        <v>9</v>
      </c>
      <c r="J16" s="4" t="s">
        <v>10</v>
      </c>
      <c r="K16" s="4" t="s">
        <v>277</v>
      </c>
      <c r="L16" s="4" t="s">
        <v>291</v>
      </c>
      <c r="M16" s="140">
        <v>600</v>
      </c>
      <c r="N16" s="4">
        <f t="shared" si="0"/>
        <v>-50</v>
      </c>
      <c r="O16" s="4" t="s">
        <v>276</v>
      </c>
      <c r="P16" s="4" t="s">
        <v>276</v>
      </c>
      <c r="Q16" s="4" t="s">
        <v>276</v>
      </c>
      <c r="R16" s="4" t="s">
        <v>276</v>
      </c>
      <c r="S16" s="4" t="s">
        <v>291</v>
      </c>
      <c r="T16" s="4" t="s">
        <v>280</v>
      </c>
      <c r="U16" s="4" t="s">
        <v>281</v>
      </c>
      <c r="V16" s="4" t="s">
        <v>281</v>
      </c>
      <c r="W16" s="4" t="s">
        <v>282</v>
      </c>
      <c r="X16" s="4" t="s">
        <v>283</v>
      </c>
      <c r="Y16" s="4" t="s">
        <v>281</v>
      </c>
      <c r="Z16" s="4" t="s">
        <v>292</v>
      </c>
      <c r="AA16" s="4" t="s">
        <v>280</v>
      </c>
      <c r="AB16" s="4" t="s">
        <v>285</v>
      </c>
      <c r="AC16" s="4" t="s">
        <v>286</v>
      </c>
    </row>
    <row r="17" spans="1:29" x14ac:dyDescent="0.15">
      <c r="A17" s="6" t="s">
        <v>386</v>
      </c>
      <c r="B17" s="3">
        <v>14</v>
      </c>
      <c r="C17" s="4" t="s">
        <v>3</v>
      </c>
      <c r="D17" s="4" t="s">
        <v>3</v>
      </c>
      <c r="E17" s="4" t="s">
        <v>8</v>
      </c>
      <c r="F17" s="4" t="s">
        <v>294</v>
      </c>
      <c r="G17" s="4" t="s">
        <v>276</v>
      </c>
      <c r="H17" s="4" t="s">
        <v>189</v>
      </c>
      <c r="I17" s="4" t="s">
        <v>11</v>
      </c>
      <c r="J17" s="4" t="s">
        <v>12</v>
      </c>
      <c r="K17" s="4" t="s">
        <v>277</v>
      </c>
      <c r="L17" s="4" t="s">
        <v>279</v>
      </c>
      <c r="M17" s="4" t="s">
        <v>295</v>
      </c>
      <c r="N17" s="4">
        <f t="shared" si="0"/>
        <v>440</v>
      </c>
      <c r="O17" s="4" t="s">
        <v>276</v>
      </c>
      <c r="P17" s="4" t="s">
        <v>276</v>
      </c>
      <c r="Q17" s="4" t="s">
        <v>276</v>
      </c>
      <c r="R17" s="4" t="s">
        <v>276</v>
      </c>
      <c r="S17" s="4" t="s">
        <v>296</v>
      </c>
      <c r="T17" s="4" t="s">
        <v>280</v>
      </c>
      <c r="U17" s="4" t="s">
        <v>281</v>
      </c>
      <c r="V17" s="4" t="s">
        <v>281</v>
      </c>
      <c r="W17" s="4" t="s">
        <v>282</v>
      </c>
      <c r="X17" s="4" t="s">
        <v>283</v>
      </c>
      <c r="Y17" s="4" t="s">
        <v>281</v>
      </c>
      <c r="Z17" s="4" t="s">
        <v>297</v>
      </c>
      <c r="AA17" s="4" t="s">
        <v>280</v>
      </c>
      <c r="AB17" s="4" t="s">
        <v>285</v>
      </c>
      <c r="AC17" s="4" t="s">
        <v>286</v>
      </c>
    </row>
    <row r="18" spans="1:29" x14ac:dyDescent="0.15">
      <c r="A18" s="6" t="s">
        <v>390</v>
      </c>
      <c r="B18" s="3">
        <v>15</v>
      </c>
      <c r="C18" s="4" t="s">
        <v>2</v>
      </c>
      <c r="D18" s="4" t="s">
        <v>3</v>
      </c>
      <c r="E18" s="4" t="s">
        <v>8</v>
      </c>
      <c r="F18" s="4" t="s">
        <v>294</v>
      </c>
      <c r="G18" s="4" t="s">
        <v>276</v>
      </c>
      <c r="H18" s="4" t="s">
        <v>202</v>
      </c>
      <c r="I18" s="4" t="s">
        <v>13</v>
      </c>
      <c r="J18" s="4" t="s">
        <v>14</v>
      </c>
      <c r="K18" s="4" t="s">
        <v>277</v>
      </c>
      <c r="L18" s="4" t="s">
        <v>277</v>
      </c>
      <c r="M18" s="4" t="s">
        <v>295</v>
      </c>
      <c r="N18" s="4">
        <f t="shared" si="0"/>
        <v>490</v>
      </c>
      <c r="O18" s="4" t="s">
        <v>276</v>
      </c>
      <c r="P18" s="4" t="s">
        <v>276</v>
      </c>
      <c r="Q18" s="4" t="s">
        <v>276</v>
      </c>
      <c r="R18" s="4" t="s">
        <v>276</v>
      </c>
      <c r="S18" s="4" t="s">
        <v>277</v>
      </c>
      <c r="T18" s="4" t="s">
        <v>280</v>
      </c>
      <c r="U18" s="4" t="s">
        <v>281</v>
      </c>
      <c r="V18" s="4" t="s">
        <v>281</v>
      </c>
      <c r="W18" s="4" t="s">
        <v>282</v>
      </c>
      <c r="X18" s="4" t="s">
        <v>283</v>
      </c>
      <c r="Y18" s="4" t="s">
        <v>281</v>
      </c>
      <c r="Z18" s="4" t="s">
        <v>281</v>
      </c>
      <c r="AA18" s="4" t="s">
        <v>280</v>
      </c>
      <c r="AB18" s="4" t="s">
        <v>285</v>
      </c>
      <c r="AC18" s="4" t="s">
        <v>286</v>
      </c>
    </row>
    <row r="19" spans="1:29" x14ac:dyDescent="0.15">
      <c r="A19" s="6" t="s">
        <v>390</v>
      </c>
      <c r="B19" s="3">
        <v>16</v>
      </c>
      <c r="C19" s="4" t="s">
        <v>0</v>
      </c>
      <c r="D19" s="4" t="s">
        <v>3</v>
      </c>
      <c r="E19" s="4" t="s">
        <v>8</v>
      </c>
      <c r="F19" s="4" t="s">
        <v>294</v>
      </c>
      <c r="G19" s="4" t="s">
        <v>276</v>
      </c>
      <c r="H19" s="4" t="s">
        <v>197</v>
      </c>
      <c r="I19" s="4" t="s">
        <v>15</v>
      </c>
      <c r="J19" s="4" t="s">
        <v>16</v>
      </c>
      <c r="K19" s="4" t="s">
        <v>277</v>
      </c>
      <c r="L19" s="4" t="s">
        <v>291</v>
      </c>
      <c r="M19" s="4" t="s">
        <v>295</v>
      </c>
      <c r="N19" s="4">
        <f t="shared" si="0"/>
        <v>540</v>
      </c>
      <c r="O19" s="4" t="s">
        <v>276</v>
      </c>
      <c r="P19" s="4" t="s">
        <v>276</v>
      </c>
      <c r="Q19" s="4" t="s">
        <v>276</v>
      </c>
      <c r="R19" s="4" t="s">
        <v>276</v>
      </c>
      <c r="S19" s="4" t="s">
        <v>291</v>
      </c>
      <c r="T19" s="4" t="s">
        <v>280</v>
      </c>
      <c r="U19" s="4" t="s">
        <v>281</v>
      </c>
      <c r="V19" s="4" t="s">
        <v>281</v>
      </c>
      <c r="W19" s="4" t="s">
        <v>282</v>
      </c>
      <c r="X19" s="4" t="s">
        <v>283</v>
      </c>
      <c r="Y19" s="4" t="s">
        <v>281</v>
      </c>
      <c r="Z19" s="4" t="s">
        <v>292</v>
      </c>
      <c r="AA19" s="4" t="s">
        <v>280</v>
      </c>
      <c r="AB19" s="4" t="s">
        <v>285</v>
      </c>
      <c r="AC19" s="4" t="s">
        <v>286</v>
      </c>
    </row>
    <row r="20" spans="1:29" x14ac:dyDescent="0.15">
      <c r="A20" s="6" t="s">
        <v>386</v>
      </c>
      <c r="B20" s="3">
        <v>17</v>
      </c>
      <c r="C20" s="4" t="s">
        <v>3</v>
      </c>
      <c r="D20" s="4" t="s">
        <v>3</v>
      </c>
      <c r="E20" s="4" t="s">
        <v>8</v>
      </c>
      <c r="F20" s="4" t="s">
        <v>298</v>
      </c>
      <c r="G20" s="4" t="s">
        <v>276</v>
      </c>
      <c r="H20" s="4" t="s">
        <v>189</v>
      </c>
      <c r="I20" s="4" t="s">
        <v>17</v>
      </c>
      <c r="J20" s="4" t="s">
        <v>18</v>
      </c>
      <c r="K20" s="4" t="s">
        <v>277</v>
      </c>
      <c r="L20" s="4" t="s">
        <v>279</v>
      </c>
      <c r="M20" s="4" t="s">
        <v>284</v>
      </c>
      <c r="N20" s="4">
        <f t="shared" si="0"/>
        <v>400</v>
      </c>
      <c r="O20" s="4" t="s">
        <v>276</v>
      </c>
      <c r="P20" s="4" t="s">
        <v>276</v>
      </c>
      <c r="Q20" s="4" t="s">
        <v>276</v>
      </c>
      <c r="R20" s="4" t="s">
        <v>276</v>
      </c>
      <c r="S20" s="4" t="s">
        <v>279</v>
      </c>
      <c r="T20" s="4" t="s">
        <v>280</v>
      </c>
      <c r="U20" s="4" t="s">
        <v>281</v>
      </c>
      <c r="V20" s="4" t="s">
        <v>281</v>
      </c>
      <c r="W20" s="4" t="s">
        <v>282</v>
      </c>
      <c r="X20" s="4" t="s">
        <v>283</v>
      </c>
      <c r="Y20" s="4" t="s">
        <v>281</v>
      </c>
      <c r="Z20" s="4" t="s">
        <v>284</v>
      </c>
      <c r="AA20" s="4" t="s">
        <v>280</v>
      </c>
      <c r="AB20" s="4" t="s">
        <v>285</v>
      </c>
      <c r="AC20" s="4" t="s">
        <v>286</v>
      </c>
    </row>
    <row r="21" spans="1:29" x14ac:dyDescent="0.15">
      <c r="A21" s="6" t="s">
        <v>390</v>
      </c>
      <c r="B21" s="3">
        <v>18</v>
      </c>
      <c r="C21" s="4" t="s">
        <v>2</v>
      </c>
      <c r="D21" s="4" t="s">
        <v>3</v>
      </c>
      <c r="E21" s="4" t="s">
        <v>8</v>
      </c>
      <c r="F21" s="4" t="s">
        <v>298</v>
      </c>
      <c r="G21" s="4" t="s">
        <v>276</v>
      </c>
      <c r="H21" s="4" t="s">
        <v>202</v>
      </c>
      <c r="I21" s="4" t="s">
        <v>19</v>
      </c>
      <c r="J21" s="4" t="s">
        <v>20</v>
      </c>
      <c r="K21" s="4" t="s">
        <v>277</v>
      </c>
      <c r="L21" s="4" t="s">
        <v>277</v>
      </c>
      <c r="M21" s="4" t="s">
        <v>284</v>
      </c>
      <c r="N21" s="4">
        <f t="shared" si="0"/>
        <v>450</v>
      </c>
      <c r="O21" s="4" t="s">
        <v>276</v>
      </c>
      <c r="P21" s="4" t="s">
        <v>276</v>
      </c>
      <c r="Q21" s="4" t="s">
        <v>276</v>
      </c>
      <c r="R21" s="4" t="s">
        <v>276</v>
      </c>
      <c r="S21" s="4" t="s">
        <v>277</v>
      </c>
      <c r="T21" s="4" t="s">
        <v>280</v>
      </c>
      <c r="U21" s="4" t="s">
        <v>281</v>
      </c>
      <c r="V21" s="4" t="s">
        <v>281</v>
      </c>
      <c r="W21" s="4" t="s">
        <v>282</v>
      </c>
      <c r="X21" s="4" t="s">
        <v>283</v>
      </c>
      <c r="Y21" s="4" t="s">
        <v>281</v>
      </c>
      <c r="Z21" s="4" t="s">
        <v>281</v>
      </c>
      <c r="AA21" s="4" t="s">
        <v>280</v>
      </c>
      <c r="AB21" s="4" t="s">
        <v>285</v>
      </c>
      <c r="AC21" s="4" t="s">
        <v>286</v>
      </c>
    </row>
    <row r="22" spans="1:29" x14ac:dyDescent="0.15">
      <c r="A22" s="6" t="s">
        <v>390</v>
      </c>
      <c r="B22" s="3">
        <v>19</v>
      </c>
      <c r="C22" s="4" t="s">
        <v>0</v>
      </c>
      <c r="D22" s="4" t="s">
        <v>3</v>
      </c>
      <c r="E22" s="4" t="s">
        <v>8</v>
      </c>
      <c r="F22" s="4" t="s">
        <v>298</v>
      </c>
      <c r="G22" s="4" t="s">
        <v>276</v>
      </c>
      <c r="H22" s="4" t="s">
        <v>197</v>
      </c>
      <c r="I22" s="4" t="s">
        <v>21</v>
      </c>
      <c r="J22" s="4" t="s">
        <v>22</v>
      </c>
      <c r="K22" s="4" t="s">
        <v>277</v>
      </c>
      <c r="L22" s="4" t="s">
        <v>291</v>
      </c>
      <c r="M22" s="4" t="s">
        <v>284</v>
      </c>
      <c r="N22" s="4">
        <f t="shared" si="0"/>
        <v>500</v>
      </c>
      <c r="O22" s="4" t="s">
        <v>276</v>
      </c>
      <c r="P22" s="4" t="s">
        <v>276</v>
      </c>
      <c r="Q22" s="4" t="s">
        <v>276</v>
      </c>
      <c r="R22" s="4" t="s">
        <v>276</v>
      </c>
      <c r="S22" s="4" t="s">
        <v>291</v>
      </c>
      <c r="T22" s="4" t="s">
        <v>280</v>
      </c>
      <c r="U22" s="4" t="s">
        <v>281</v>
      </c>
      <c r="V22" s="4" t="s">
        <v>281</v>
      </c>
      <c r="W22" s="4" t="s">
        <v>282</v>
      </c>
      <c r="X22" s="4" t="s">
        <v>283</v>
      </c>
      <c r="Y22" s="4" t="s">
        <v>281</v>
      </c>
      <c r="Z22" s="4" t="s">
        <v>292</v>
      </c>
      <c r="AA22" s="4" t="s">
        <v>280</v>
      </c>
      <c r="AB22" s="4" t="s">
        <v>285</v>
      </c>
      <c r="AC22" s="4" t="s">
        <v>286</v>
      </c>
    </row>
    <row r="23" spans="1:29" x14ac:dyDescent="0.15">
      <c r="A23" s="6" t="s">
        <v>395</v>
      </c>
      <c r="B23" s="3">
        <v>20</v>
      </c>
      <c r="C23" s="4" t="s">
        <v>3</v>
      </c>
      <c r="D23" s="4" t="s">
        <v>3</v>
      </c>
      <c r="E23" s="4" t="s">
        <v>8</v>
      </c>
      <c r="F23" s="4" t="s">
        <v>4</v>
      </c>
      <c r="G23" s="4" t="s">
        <v>276</v>
      </c>
      <c r="H23" s="4" t="s">
        <v>189</v>
      </c>
      <c r="I23" s="4" t="s">
        <v>23</v>
      </c>
      <c r="J23" s="4" t="s">
        <v>24</v>
      </c>
      <c r="K23" s="4" t="s">
        <v>277</v>
      </c>
      <c r="L23" s="4" t="s">
        <v>279</v>
      </c>
      <c r="M23" s="4" t="s">
        <v>278</v>
      </c>
      <c r="N23" s="4">
        <f t="shared" si="0"/>
        <v>50</v>
      </c>
      <c r="O23" s="4" t="s">
        <v>276</v>
      </c>
      <c r="P23" s="4" t="s">
        <v>276</v>
      </c>
      <c r="Q23" s="4" t="s">
        <v>276</v>
      </c>
      <c r="R23" s="4" t="s">
        <v>276</v>
      </c>
      <c r="S23" s="4" t="s">
        <v>279</v>
      </c>
      <c r="T23" s="4" t="s">
        <v>280</v>
      </c>
      <c r="U23" s="4" t="s">
        <v>281</v>
      </c>
      <c r="V23" s="4" t="s">
        <v>281</v>
      </c>
      <c r="W23" s="4" t="s">
        <v>299</v>
      </c>
      <c r="X23" s="4" t="s">
        <v>300</v>
      </c>
      <c r="Y23" s="4" t="s">
        <v>281</v>
      </c>
      <c r="Z23" s="4" t="s">
        <v>284</v>
      </c>
      <c r="AA23" s="4" t="s">
        <v>280</v>
      </c>
      <c r="AB23" s="4" t="s">
        <v>261</v>
      </c>
      <c r="AC23" s="4" t="s">
        <v>286</v>
      </c>
    </row>
    <row r="24" spans="1:29" x14ac:dyDescent="0.15">
      <c r="A24" s="6" t="s">
        <v>392</v>
      </c>
      <c r="B24" s="3">
        <v>21</v>
      </c>
      <c r="C24" s="4" t="s">
        <v>3</v>
      </c>
      <c r="D24" s="4" t="s">
        <v>2</v>
      </c>
      <c r="E24" s="4" t="s">
        <v>8</v>
      </c>
      <c r="F24" s="4" t="s">
        <v>4</v>
      </c>
      <c r="G24" s="4" t="s">
        <v>276</v>
      </c>
      <c r="H24" s="4" t="s">
        <v>190</v>
      </c>
      <c r="I24" s="4" t="s">
        <v>25</v>
      </c>
      <c r="J24" s="4" t="s">
        <v>26</v>
      </c>
      <c r="K24" s="4" t="s">
        <v>277</v>
      </c>
      <c r="L24" s="4" t="s">
        <v>279</v>
      </c>
      <c r="M24" s="4" t="s">
        <v>279</v>
      </c>
      <c r="N24" s="4">
        <f t="shared" si="0"/>
        <v>0</v>
      </c>
      <c r="O24" s="4" t="s">
        <v>276</v>
      </c>
      <c r="P24" s="4" t="s">
        <v>276</v>
      </c>
      <c r="Q24" s="4" t="s">
        <v>276</v>
      </c>
      <c r="R24" s="4" t="s">
        <v>276</v>
      </c>
      <c r="S24" s="4" t="s">
        <v>279</v>
      </c>
      <c r="T24" s="4" t="s">
        <v>280</v>
      </c>
      <c r="U24" s="4" t="s">
        <v>281</v>
      </c>
      <c r="V24" s="4" t="s">
        <v>281</v>
      </c>
      <c r="W24" s="4" t="s">
        <v>299</v>
      </c>
      <c r="X24" s="4" t="s">
        <v>300</v>
      </c>
      <c r="Y24" s="4" t="s">
        <v>281</v>
      </c>
      <c r="Z24" s="4" t="s">
        <v>284</v>
      </c>
      <c r="AA24" s="4" t="s">
        <v>280</v>
      </c>
      <c r="AB24" s="4" t="s">
        <v>261</v>
      </c>
      <c r="AC24" s="4" t="s">
        <v>286</v>
      </c>
    </row>
    <row r="25" spans="1:29" x14ac:dyDescent="0.15">
      <c r="A25" s="6" t="s">
        <v>391</v>
      </c>
      <c r="B25" s="3">
        <v>22</v>
      </c>
      <c r="C25" s="4" t="s">
        <v>3</v>
      </c>
      <c r="D25" s="4" t="s">
        <v>0</v>
      </c>
      <c r="E25" s="4" t="s">
        <v>8</v>
      </c>
      <c r="F25" s="4" t="s">
        <v>4</v>
      </c>
      <c r="G25" s="4" t="s">
        <v>276</v>
      </c>
      <c r="H25" s="4" t="s">
        <v>191</v>
      </c>
      <c r="I25" s="4" t="s">
        <v>27</v>
      </c>
      <c r="J25" s="4" t="s">
        <v>28</v>
      </c>
      <c r="K25" s="4" t="s">
        <v>277</v>
      </c>
      <c r="L25" s="4" t="s">
        <v>278</v>
      </c>
      <c r="M25" s="4" t="s">
        <v>279</v>
      </c>
      <c r="N25" s="4">
        <f t="shared" si="0"/>
        <v>-50</v>
      </c>
      <c r="O25" s="4" t="s">
        <v>276</v>
      </c>
      <c r="P25" s="4" t="s">
        <v>276</v>
      </c>
      <c r="Q25" s="4" t="s">
        <v>276</v>
      </c>
      <c r="R25" s="4" t="s">
        <v>276</v>
      </c>
      <c r="S25" s="4" t="s">
        <v>278</v>
      </c>
      <c r="T25" s="4" t="s">
        <v>280</v>
      </c>
      <c r="U25" s="4" t="s">
        <v>284</v>
      </c>
      <c r="V25" s="4" t="s">
        <v>280</v>
      </c>
      <c r="W25" s="4" t="s">
        <v>276</v>
      </c>
      <c r="X25" s="4" t="s">
        <v>287</v>
      </c>
      <c r="Y25" s="4" t="s">
        <v>288</v>
      </c>
      <c r="Z25" s="4" t="s">
        <v>284</v>
      </c>
      <c r="AA25" s="4" t="s">
        <v>280</v>
      </c>
      <c r="AB25" s="4" t="s">
        <v>289</v>
      </c>
      <c r="AC25" s="4" t="s">
        <v>290</v>
      </c>
    </row>
    <row r="26" spans="1:29" x14ac:dyDescent="0.15">
      <c r="A26" s="6" t="s">
        <v>391</v>
      </c>
      <c r="B26" s="3">
        <v>22</v>
      </c>
      <c r="C26" s="4" t="s">
        <v>3</v>
      </c>
      <c r="D26" s="4" t="s">
        <v>0</v>
      </c>
      <c r="E26" s="4" t="s">
        <v>8</v>
      </c>
      <c r="F26" s="4" t="s">
        <v>4</v>
      </c>
      <c r="G26" s="4" t="s">
        <v>276</v>
      </c>
      <c r="H26" s="4" t="s">
        <v>191</v>
      </c>
      <c r="I26" s="4" t="s">
        <v>27</v>
      </c>
      <c r="J26" s="4" t="s">
        <v>28</v>
      </c>
      <c r="K26" s="4" t="s">
        <v>277</v>
      </c>
      <c r="L26" s="4" t="s">
        <v>278</v>
      </c>
      <c r="M26" s="4" t="s">
        <v>279</v>
      </c>
      <c r="N26" s="4">
        <f t="shared" si="0"/>
        <v>-50</v>
      </c>
      <c r="O26" s="4" t="s">
        <v>276</v>
      </c>
      <c r="P26" s="4" t="s">
        <v>276</v>
      </c>
      <c r="Q26" s="4" t="s">
        <v>276</v>
      </c>
      <c r="R26" s="4" t="s">
        <v>276</v>
      </c>
      <c r="S26" s="4" t="s">
        <v>278</v>
      </c>
      <c r="T26" s="4" t="s">
        <v>280</v>
      </c>
      <c r="U26" s="4" t="s">
        <v>284</v>
      </c>
      <c r="V26" s="4" t="s">
        <v>280</v>
      </c>
      <c r="W26" s="4" t="s">
        <v>299</v>
      </c>
      <c r="X26" s="4" t="s">
        <v>300</v>
      </c>
      <c r="Y26" s="4" t="s">
        <v>281</v>
      </c>
      <c r="Z26" s="4" t="s">
        <v>284</v>
      </c>
      <c r="AA26" s="4" t="s">
        <v>280</v>
      </c>
      <c r="AB26" s="4" t="s">
        <v>261</v>
      </c>
      <c r="AC26" s="4" t="s">
        <v>286</v>
      </c>
    </row>
    <row r="27" spans="1:29" x14ac:dyDescent="0.15">
      <c r="A27" s="6" t="s">
        <v>391</v>
      </c>
      <c r="B27" s="3">
        <v>23</v>
      </c>
      <c r="C27" s="4" t="s">
        <v>3</v>
      </c>
      <c r="D27" s="4" t="s">
        <v>0</v>
      </c>
      <c r="E27" s="4" t="s">
        <v>8</v>
      </c>
      <c r="F27" s="4" t="s">
        <v>4</v>
      </c>
      <c r="G27" s="4" t="s">
        <v>276</v>
      </c>
      <c r="H27" s="4" t="s">
        <v>192</v>
      </c>
      <c r="I27" s="4" t="s">
        <v>29</v>
      </c>
      <c r="J27" s="4" t="s">
        <v>30</v>
      </c>
      <c r="K27" s="4" t="s">
        <v>277</v>
      </c>
      <c r="L27" s="4" t="s">
        <v>279</v>
      </c>
      <c r="M27" s="4" t="s">
        <v>277</v>
      </c>
      <c r="N27" s="4">
        <f t="shared" si="0"/>
        <v>-50</v>
      </c>
      <c r="O27" s="4" t="s">
        <v>276</v>
      </c>
      <c r="P27" s="4" t="s">
        <v>276</v>
      </c>
      <c r="Q27" s="4" t="s">
        <v>276</v>
      </c>
      <c r="R27" s="4" t="s">
        <v>276</v>
      </c>
      <c r="S27" s="4" t="s">
        <v>279</v>
      </c>
      <c r="T27" s="4" t="s">
        <v>280</v>
      </c>
      <c r="U27" s="4" t="s">
        <v>284</v>
      </c>
      <c r="V27" s="4" t="s">
        <v>280</v>
      </c>
      <c r="W27" s="4" t="s">
        <v>299</v>
      </c>
      <c r="X27" s="4" t="s">
        <v>300</v>
      </c>
      <c r="Y27" s="4" t="s">
        <v>281</v>
      </c>
      <c r="Z27" s="4" t="s">
        <v>281</v>
      </c>
      <c r="AA27" s="4" t="s">
        <v>280</v>
      </c>
      <c r="AB27" s="4" t="s">
        <v>261</v>
      </c>
      <c r="AC27" s="4" t="s">
        <v>286</v>
      </c>
    </row>
    <row r="28" spans="1:29" x14ac:dyDescent="0.15">
      <c r="A28" s="6" t="s">
        <v>391</v>
      </c>
      <c r="B28" s="3">
        <v>23</v>
      </c>
      <c r="C28" s="4" t="s">
        <v>3</v>
      </c>
      <c r="D28" s="4" t="s">
        <v>0</v>
      </c>
      <c r="E28" s="4" t="s">
        <v>8</v>
      </c>
      <c r="F28" s="4" t="s">
        <v>4</v>
      </c>
      <c r="G28" s="4" t="s">
        <v>276</v>
      </c>
      <c r="H28" s="4" t="s">
        <v>192</v>
      </c>
      <c r="I28" s="4" t="s">
        <v>29</v>
      </c>
      <c r="J28" s="4" t="s">
        <v>30</v>
      </c>
      <c r="K28" s="4" t="s">
        <v>277</v>
      </c>
      <c r="L28" s="4" t="s">
        <v>279</v>
      </c>
      <c r="M28" s="4" t="s">
        <v>277</v>
      </c>
      <c r="N28" s="4">
        <f t="shared" si="0"/>
        <v>-50</v>
      </c>
      <c r="O28" s="4" t="s">
        <v>276</v>
      </c>
      <c r="P28" s="4" t="s">
        <v>276</v>
      </c>
      <c r="Q28" s="4" t="s">
        <v>276</v>
      </c>
      <c r="R28" s="4" t="s">
        <v>276</v>
      </c>
      <c r="S28" s="4" t="s">
        <v>279</v>
      </c>
      <c r="T28" s="4" t="s">
        <v>280</v>
      </c>
      <c r="U28" s="4" t="s">
        <v>284</v>
      </c>
      <c r="V28" s="4" t="s">
        <v>280</v>
      </c>
      <c r="W28" s="4" t="s">
        <v>276</v>
      </c>
      <c r="X28" s="4" t="s">
        <v>287</v>
      </c>
      <c r="Y28" s="4" t="s">
        <v>288</v>
      </c>
      <c r="Z28" s="4" t="s">
        <v>284</v>
      </c>
      <c r="AA28" s="4" t="s">
        <v>280</v>
      </c>
      <c r="AB28" s="4" t="s">
        <v>289</v>
      </c>
      <c r="AC28" s="4" t="s">
        <v>290</v>
      </c>
    </row>
    <row r="29" spans="1:29" x14ac:dyDescent="0.15">
      <c r="A29" s="6" t="s">
        <v>393</v>
      </c>
      <c r="B29" s="3">
        <v>24</v>
      </c>
      <c r="C29" s="4" t="s">
        <v>3</v>
      </c>
      <c r="D29" s="4" t="s">
        <v>0</v>
      </c>
      <c r="E29" s="4" t="s">
        <v>8</v>
      </c>
      <c r="F29" s="4" t="s">
        <v>4</v>
      </c>
      <c r="G29" s="4" t="s">
        <v>276</v>
      </c>
      <c r="H29" s="4" t="s">
        <v>193</v>
      </c>
      <c r="I29" s="4" t="s">
        <v>31</v>
      </c>
      <c r="J29" s="4" t="s">
        <v>32</v>
      </c>
      <c r="K29" s="4" t="s">
        <v>277</v>
      </c>
      <c r="L29" s="4" t="s">
        <v>279</v>
      </c>
      <c r="M29" s="4" t="s">
        <v>291</v>
      </c>
      <c r="N29" s="4">
        <f t="shared" si="0"/>
        <v>-100</v>
      </c>
      <c r="O29" s="4" t="s">
        <v>276</v>
      </c>
      <c r="P29" s="4" t="s">
        <v>276</v>
      </c>
      <c r="Q29" s="4" t="s">
        <v>276</v>
      </c>
      <c r="R29" s="4" t="s">
        <v>276</v>
      </c>
      <c r="S29" s="4" t="s">
        <v>279</v>
      </c>
      <c r="T29" s="4" t="s">
        <v>280</v>
      </c>
      <c r="U29" s="4" t="s">
        <v>284</v>
      </c>
      <c r="V29" s="4" t="s">
        <v>280</v>
      </c>
      <c r="W29" s="4" t="s">
        <v>276</v>
      </c>
      <c r="X29" s="4" t="s">
        <v>287</v>
      </c>
      <c r="Y29" s="4" t="s">
        <v>288</v>
      </c>
      <c r="Z29" s="4" t="s">
        <v>284</v>
      </c>
      <c r="AA29" s="4" t="s">
        <v>280</v>
      </c>
      <c r="AB29" s="4" t="s">
        <v>289</v>
      </c>
      <c r="AC29" s="4" t="s">
        <v>290</v>
      </c>
    </row>
    <row r="30" spans="1:29" x14ac:dyDescent="0.15">
      <c r="A30" s="6" t="s">
        <v>392</v>
      </c>
      <c r="B30" s="3">
        <v>25</v>
      </c>
      <c r="C30" s="4" t="s">
        <v>2</v>
      </c>
      <c r="D30" s="4" t="s">
        <v>3</v>
      </c>
      <c r="E30" s="4" t="s">
        <v>8</v>
      </c>
      <c r="F30" s="4" t="s">
        <v>4</v>
      </c>
      <c r="G30" s="4" t="s">
        <v>276</v>
      </c>
      <c r="H30" s="4" t="s">
        <v>194</v>
      </c>
      <c r="I30" s="4" t="s">
        <v>33</v>
      </c>
      <c r="J30" s="4" t="s">
        <v>34</v>
      </c>
      <c r="K30" s="4" t="s">
        <v>277</v>
      </c>
      <c r="L30" s="4">
        <v>500</v>
      </c>
      <c r="M30" s="4" t="s">
        <v>279</v>
      </c>
      <c r="N30" s="4">
        <f t="shared" si="0"/>
        <v>50</v>
      </c>
      <c r="O30" s="4" t="s">
        <v>276</v>
      </c>
      <c r="P30" s="4" t="s">
        <v>276</v>
      </c>
      <c r="Q30" s="4" t="s">
        <v>276</v>
      </c>
      <c r="R30" s="4" t="s">
        <v>276</v>
      </c>
      <c r="S30" s="4" t="s">
        <v>279</v>
      </c>
      <c r="T30" s="4" t="s">
        <v>280</v>
      </c>
      <c r="U30" s="4" t="s">
        <v>281</v>
      </c>
      <c r="V30" s="4" t="s">
        <v>281</v>
      </c>
      <c r="W30" s="4" t="s">
        <v>299</v>
      </c>
      <c r="X30" s="4" t="s">
        <v>300</v>
      </c>
      <c r="Y30" s="4" t="s">
        <v>281</v>
      </c>
      <c r="Z30" s="4" t="s">
        <v>284</v>
      </c>
      <c r="AA30" s="4" t="s">
        <v>280</v>
      </c>
      <c r="AB30" s="4" t="s">
        <v>261</v>
      </c>
      <c r="AC30" s="4" t="s">
        <v>286</v>
      </c>
    </row>
    <row r="31" spans="1:29" x14ac:dyDescent="0.15">
      <c r="A31" s="6" t="s">
        <v>392</v>
      </c>
      <c r="B31" s="3">
        <v>26</v>
      </c>
      <c r="C31" s="4" t="s">
        <v>2</v>
      </c>
      <c r="D31" s="4" t="s">
        <v>2</v>
      </c>
      <c r="E31" s="4" t="s">
        <v>8</v>
      </c>
      <c r="F31" s="4" t="s">
        <v>4</v>
      </c>
      <c r="G31" s="4" t="s">
        <v>276</v>
      </c>
      <c r="H31" s="4" t="s">
        <v>195</v>
      </c>
      <c r="I31" s="4" t="s">
        <v>35</v>
      </c>
      <c r="J31" s="4" t="s">
        <v>36</v>
      </c>
      <c r="K31" s="4" t="s">
        <v>277</v>
      </c>
      <c r="L31" s="4">
        <v>500</v>
      </c>
      <c r="M31" s="4">
        <v>500</v>
      </c>
      <c r="N31" s="4">
        <f t="shared" si="0"/>
        <v>0</v>
      </c>
      <c r="O31" s="4" t="s">
        <v>276</v>
      </c>
      <c r="P31" s="4" t="s">
        <v>276</v>
      </c>
      <c r="Q31" s="4" t="s">
        <v>276</v>
      </c>
      <c r="R31" s="4" t="s">
        <v>276</v>
      </c>
      <c r="S31" s="4" t="s">
        <v>279</v>
      </c>
      <c r="T31" s="4" t="s">
        <v>280</v>
      </c>
      <c r="U31" s="4" t="s">
        <v>281</v>
      </c>
      <c r="V31" s="4" t="s">
        <v>281</v>
      </c>
      <c r="W31" s="4" t="s">
        <v>299</v>
      </c>
      <c r="X31" s="4" t="s">
        <v>300</v>
      </c>
      <c r="Y31" s="4" t="s">
        <v>281</v>
      </c>
      <c r="Z31" s="4" t="s">
        <v>284</v>
      </c>
      <c r="AA31" s="4" t="s">
        <v>280</v>
      </c>
      <c r="AB31" s="4" t="s">
        <v>261</v>
      </c>
      <c r="AC31" s="4" t="s">
        <v>286</v>
      </c>
    </row>
    <row r="32" spans="1:29" x14ac:dyDescent="0.15">
      <c r="A32" s="6" t="s">
        <v>394</v>
      </c>
      <c r="B32" s="3">
        <v>27</v>
      </c>
      <c r="C32" s="4" t="s">
        <v>2</v>
      </c>
      <c r="D32" s="4" t="s">
        <v>0</v>
      </c>
      <c r="E32" s="4" t="s">
        <v>8</v>
      </c>
      <c r="F32" s="4" t="s">
        <v>4</v>
      </c>
      <c r="G32" s="4" t="s">
        <v>276</v>
      </c>
      <c r="H32" s="4" t="s">
        <v>196</v>
      </c>
      <c r="I32" s="4" t="s">
        <v>37</v>
      </c>
      <c r="J32" s="4" t="s">
        <v>38</v>
      </c>
      <c r="K32" s="4" t="s">
        <v>277</v>
      </c>
      <c r="L32" s="4" t="s">
        <v>277</v>
      </c>
      <c r="M32" s="4" t="s">
        <v>291</v>
      </c>
      <c r="N32" s="4">
        <f t="shared" si="0"/>
        <v>-50</v>
      </c>
      <c r="O32" s="4" t="s">
        <v>276</v>
      </c>
      <c r="P32" s="4" t="s">
        <v>276</v>
      </c>
      <c r="Q32" s="4" t="s">
        <v>276</v>
      </c>
      <c r="R32" s="4" t="s">
        <v>276</v>
      </c>
      <c r="S32" s="4" t="s">
        <v>277</v>
      </c>
      <c r="T32" s="4" t="s">
        <v>280</v>
      </c>
      <c r="U32" s="4" t="s">
        <v>281</v>
      </c>
      <c r="V32" s="4" t="s">
        <v>281</v>
      </c>
      <c r="W32" s="4" t="s">
        <v>276</v>
      </c>
      <c r="X32" s="4" t="s">
        <v>276</v>
      </c>
      <c r="Y32" s="4" t="s">
        <v>276</v>
      </c>
      <c r="Z32" s="4" t="s">
        <v>276</v>
      </c>
      <c r="AA32" s="4" t="s">
        <v>276</v>
      </c>
      <c r="AB32" s="4" t="s">
        <v>276</v>
      </c>
      <c r="AC32" s="4" t="s">
        <v>276</v>
      </c>
    </row>
    <row r="33" spans="1:29" x14ac:dyDescent="0.15">
      <c r="A33" s="6" t="s">
        <v>395</v>
      </c>
      <c r="B33" s="3">
        <v>28</v>
      </c>
      <c r="C33" s="4" t="s">
        <v>0</v>
      </c>
      <c r="D33" s="4" t="s">
        <v>3</v>
      </c>
      <c r="E33" s="4" t="s">
        <v>8</v>
      </c>
      <c r="F33" s="4" t="s">
        <v>4</v>
      </c>
      <c r="G33" s="4" t="s">
        <v>276</v>
      </c>
      <c r="H33" s="4" t="s">
        <v>197</v>
      </c>
      <c r="I33" s="4" t="s">
        <v>39</v>
      </c>
      <c r="J33" s="4" t="s">
        <v>40</v>
      </c>
      <c r="K33" s="4" t="s">
        <v>277</v>
      </c>
      <c r="L33" s="4" t="s">
        <v>291</v>
      </c>
      <c r="M33" s="4" t="s">
        <v>279</v>
      </c>
      <c r="N33" s="4">
        <f t="shared" si="0"/>
        <v>100</v>
      </c>
      <c r="O33" s="4" t="s">
        <v>276</v>
      </c>
      <c r="P33" s="4" t="s">
        <v>276</v>
      </c>
      <c r="Q33" s="4" t="s">
        <v>276</v>
      </c>
      <c r="R33" s="4" t="s">
        <v>276</v>
      </c>
      <c r="S33" s="4" t="s">
        <v>291</v>
      </c>
      <c r="T33" s="4" t="s">
        <v>280</v>
      </c>
      <c r="U33" s="4" t="s">
        <v>281</v>
      </c>
      <c r="V33" s="4" t="s">
        <v>281</v>
      </c>
      <c r="W33" s="4" t="s">
        <v>299</v>
      </c>
      <c r="X33" s="4">
        <v>91141</v>
      </c>
      <c r="Y33" s="4" t="s">
        <v>281</v>
      </c>
      <c r="Z33" s="4" t="s">
        <v>292</v>
      </c>
      <c r="AA33" s="4" t="s">
        <v>280</v>
      </c>
      <c r="AB33" s="4" t="s">
        <v>381</v>
      </c>
      <c r="AC33" s="4" t="s">
        <v>286</v>
      </c>
    </row>
    <row r="34" spans="1:29" x14ac:dyDescent="0.15">
      <c r="A34" s="6" t="s">
        <v>395</v>
      </c>
      <c r="B34" s="3">
        <v>29</v>
      </c>
      <c r="C34" s="4" t="s">
        <v>0</v>
      </c>
      <c r="D34" s="4" t="s">
        <v>3</v>
      </c>
      <c r="E34" s="4" t="s">
        <v>8</v>
      </c>
      <c r="F34" s="4" t="s">
        <v>4</v>
      </c>
      <c r="G34" s="4" t="s">
        <v>276</v>
      </c>
      <c r="H34" s="4" t="s">
        <v>198</v>
      </c>
      <c r="I34" s="4" t="s">
        <v>41</v>
      </c>
      <c r="J34" s="4" t="s">
        <v>42</v>
      </c>
      <c r="K34" s="4" t="s">
        <v>277</v>
      </c>
      <c r="L34" s="4" t="s">
        <v>291</v>
      </c>
      <c r="M34" s="4" t="s">
        <v>277</v>
      </c>
      <c r="N34" s="4">
        <f t="shared" si="0"/>
        <v>50</v>
      </c>
      <c r="O34" s="4" t="s">
        <v>276</v>
      </c>
      <c r="P34" s="4" t="s">
        <v>276</v>
      </c>
      <c r="Q34" s="4" t="s">
        <v>276</v>
      </c>
      <c r="R34" s="4" t="s">
        <v>276</v>
      </c>
      <c r="S34" s="4" t="s">
        <v>291</v>
      </c>
      <c r="T34" s="4" t="s">
        <v>280</v>
      </c>
      <c r="U34" s="4" t="s">
        <v>281</v>
      </c>
      <c r="V34" s="4" t="s">
        <v>281</v>
      </c>
      <c r="W34" s="4" t="s">
        <v>299</v>
      </c>
      <c r="X34" s="4" t="s">
        <v>300</v>
      </c>
      <c r="Y34" s="4" t="s">
        <v>281</v>
      </c>
      <c r="Z34" s="4" t="s">
        <v>292</v>
      </c>
      <c r="AA34" s="4" t="s">
        <v>280</v>
      </c>
      <c r="AB34" s="4" t="s">
        <v>261</v>
      </c>
      <c r="AC34" s="4" t="s">
        <v>286</v>
      </c>
    </row>
    <row r="35" spans="1:29" x14ac:dyDescent="0.15">
      <c r="A35" s="6" t="s">
        <v>396</v>
      </c>
      <c r="B35" s="3">
        <v>30</v>
      </c>
      <c r="C35" s="4" t="s">
        <v>0</v>
      </c>
      <c r="D35" s="4" t="s">
        <v>3</v>
      </c>
      <c r="E35" s="4" t="s">
        <v>8</v>
      </c>
      <c r="F35" s="4" t="s">
        <v>4</v>
      </c>
      <c r="G35" s="4" t="s">
        <v>276</v>
      </c>
      <c r="H35" s="4" t="s">
        <v>199</v>
      </c>
      <c r="I35" s="4" t="s">
        <v>43</v>
      </c>
      <c r="J35" s="4" t="s">
        <v>44</v>
      </c>
      <c r="K35" s="4" t="s">
        <v>277</v>
      </c>
      <c r="L35" s="4" t="s">
        <v>293</v>
      </c>
      <c r="M35" s="4" t="s">
        <v>291</v>
      </c>
      <c r="N35" s="4">
        <f t="shared" si="0"/>
        <v>50</v>
      </c>
      <c r="O35" s="4" t="s">
        <v>276</v>
      </c>
      <c r="P35" s="4" t="s">
        <v>276</v>
      </c>
      <c r="Q35" s="4" t="s">
        <v>276</v>
      </c>
      <c r="R35" s="4" t="s">
        <v>276</v>
      </c>
      <c r="S35" s="4" t="s">
        <v>293</v>
      </c>
      <c r="T35" s="4" t="s">
        <v>280</v>
      </c>
      <c r="U35" s="4" t="s">
        <v>281</v>
      </c>
      <c r="V35" s="4" t="s">
        <v>281</v>
      </c>
      <c r="W35" s="4" t="s">
        <v>276</v>
      </c>
      <c r="X35" s="4" t="s">
        <v>276</v>
      </c>
      <c r="Y35" s="4" t="s">
        <v>276</v>
      </c>
      <c r="Z35" s="4" t="s">
        <v>276</v>
      </c>
      <c r="AA35" s="4" t="s">
        <v>276</v>
      </c>
      <c r="AB35" s="4" t="s">
        <v>276</v>
      </c>
      <c r="AC35" s="4" t="s">
        <v>276</v>
      </c>
    </row>
    <row r="36" spans="1:29" x14ac:dyDescent="0.15">
      <c r="A36" s="6" t="s">
        <v>395</v>
      </c>
      <c r="B36" s="3">
        <v>31</v>
      </c>
      <c r="C36" s="4" t="s">
        <v>0</v>
      </c>
      <c r="D36" s="4" t="s">
        <v>2</v>
      </c>
      <c r="E36" s="4" t="s">
        <v>8</v>
      </c>
      <c r="F36" s="4" t="s">
        <v>4</v>
      </c>
      <c r="G36" s="4" t="s">
        <v>276</v>
      </c>
      <c r="H36" s="4" t="s">
        <v>200</v>
      </c>
      <c r="I36" s="4" t="s">
        <v>45</v>
      </c>
      <c r="J36" s="4" t="s">
        <v>46</v>
      </c>
      <c r="K36" s="4" t="s">
        <v>277</v>
      </c>
      <c r="L36" s="4" t="s">
        <v>291</v>
      </c>
      <c r="M36" s="4" t="s">
        <v>279</v>
      </c>
      <c r="N36" s="4">
        <f t="shared" si="0"/>
        <v>100</v>
      </c>
      <c r="O36" s="4" t="s">
        <v>276</v>
      </c>
      <c r="P36" s="4" t="s">
        <v>276</v>
      </c>
      <c r="Q36" s="4" t="s">
        <v>276</v>
      </c>
      <c r="R36" s="4" t="s">
        <v>276</v>
      </c>
      <c r="S36" s="4" t="s">
        <v>291</v>
      </c>
      <c r="T36" s="4" t="s">
        <v>280</v>
      </c>
      <c r="U36" s="4" t="s">
        <v>281</v>
      </c>
      <c r="V36" s="4" t="s">
        <v>281</v>
      </c>
      <c r="W36" s="4" t="s">
        <v>299</v>
      </c>
      <c r="X36" s="4" t="s">
        <v>300</v>
      </c>
      <c r="Y36" s="4" t="s">
        <v>281</v>
      </c>
      <c r="Z36" s="4" t="s">
        <v>292</v>
      </c>
      <c r="AA36" s="4" t="s">
        <v>280</v>
      </c>
      <c r="AB36" s="4" t="s">
        <v>261</v>
      </c>
      <c r="AC36" s="4" t="s">
        <v>286</v>
      </c>
    </row>
    <row r="37" spans="1:29" x14ac:dyDescent="0.15">
      <c r="A37" s="6" t="s">
        <v>395</v>
      </c>
      <c r="B37" s="3">
        <v>32</v>
      </c>
      <c r="C37" s="4" t="s">
        <v>0</v>
      </c>
      <c r="D37" s="4" t="s">
        <v>0</v>
      </c>
      <c r="E37" s="4" t="s">
        <v>8</v>
      </c>
      <c r="F37" s="4" t="s">
        <v>4</v>
      </c>
      <c r="G37" s="4" t="s">
        <v>276</v>
      </c>
      <c r="H37" s="4" t="s">
        <v>201</v>
      </c>
      <c r="I37" s="4" t="s">
        <v>47</v>
      </c>
      <c r="J37" s="4" t="s">
        <v>48</v>
      </c>
      <c r="K37" s="4" t="s">
        <v>277</v>
      </c>
      <c r="L37" s="4" t="s">
        <v>291</v>
      </c>
      <c r="M37" s="4" t="s">
        <v>279</v>
      </c>
      <c r="N37" s="4">
        <f t="shared" si="0"/>
        <v>100</v>
      </c>
      <c r="O37" s="4" t="s">
        <v>276</v>
      </c>
      <c r="P37" s="4" t="s">
        <v>276</v>
      </c>
      <c r="Q37" s="4" t="s">
        <v>276</v>
      </c>
      <c r="R37" s="4" t="s">
        <v>276</v>
      </c>
      <c r="S37" s="4" t="s">
        <v>291</v>
      </c>
      <c r="T37" s="4" t="s">
        <v>280</v>
      </c>
      <c r="U37" s="4" t="s">
        <v>281</v>
      </c>
      <c r="V37" s="4" t="s">
        <v>281</v>
      </c>
      <c r="W37" s="4" t="s">
        <v>299</v>
      </c>
      <c r="X37" s="4" t="s">
        <v>300</v>
      </c>
      <c r="Y37" s="4" t="s">
        <v>281</v>
      </c>
      <c r="Z37" s="4" t="s">
        <v>292</v>
      </c>
      <c r="AA37" s="4" t="s">
        <v>280</v>
      </c>
      <c r="AB37" s="4" t="s">
        <v>261</v>
      </c>
      <c r="AC37" s="4" t="s">
        <v>286</v>
      </c>
    </row>
    <row r="38" spans="1:29" x14ac:dyDescent="0.15">
      <c r="A38" s="6" t="s">
        <v>392</v>
      </c>
      <c r="B38" s="3">
        <v>33</v>
      </c>
      <c r="C38" s="4" t="s">
        <v>3</v>
      </c>
      <c r="D38" s="4" t="s">
        <v>3</v>
      </c>
      <c r="E38" s="4" t="s">
        <v>8</v>
      </c>
      <c r="F38" s="4" t="s">
        <v>301</v>
      </c>
      <c r="G38" s="4" t="s">
        <v>276</v>
      </c>
      <c r="H38" s="4" t="s">
        <v>189</v>
      </c>
      <c r="I38" s="4" t="s">
        <v>49</v>
      </c>
      <c r="J38" s="4" t="s">
        <v>50</v>
      </c>
      <c r="K38" s="4" t="s">
        <v>277</v>
      </c>
      <c r="L38" s="4" t="s">
        <v>279</v>
      </c>
      <c r="M38" s="4" t="s">
        <v>295</v>
      </c>
      <c r="N38" s="4">
        <f t="shared" si="0"/>
        <v>440</v>
      </c>
      <c r="O38" s="4" t="s">
        <v>276</v>
      </c>
      <c r="P38" s="4" t="s">
        <v>276</v>
      </c>
      <c r="Q38" s="4" t="s">
        <v>276</v>
      </c>
      <c r="R38" s="4" t="s">
        <v>276</v>
      </c>
      <c r="S38" s="4" t="s">
        <v>279</v>
      </c>
      <c r="T38" s="4" t="s">
        <v>280</v>
      </c>
      <c r="U38" s="4" t="s">
        <v>281</v>
      </c>
      <c r="V38" s="4" t="s">
        <v>281</v>
      </c>
      <c r="W38" s="4" t="s">
        <v>299</v>
      </c>
      <c r="X38" s="4" t="s">
        <v>300</v>
      </c>
      <c r="Y38" s="4" t="s">
        <v>281</v>
      </c>
      <c r="Z38" s="4" t="s">
        <v>284</v>
      </c>
      <c r="AA38" s="4" t="s">
        <v>280</v>
      </c>
      <c r="AB38" s="4" t="s">
        <v>261</v>
      </c>
      <c r="AC38" s="4" t="s">
        <v>286</v>
      </c>
    </row>
    <row r="39" spans="1:29" x14ac:dyDescent="0.15">
      <c r="A39" s="6" t="s">
        <v>395</v>
      </c>
      <c r="B39" s="3">
        <v>34</v>
      </c>
      <c r="C39" s="4" t="s">
        <v>2</v>
      </c>
      <c r="D39" s="4" t="s">
        <v>3</v>
      </c>
      <c r="E39" s="4" t="s">
        <v>8</v>
      </c>
      <c r="F39" s="4" t="s">
        <v>301</v>
      </c>
      <c r="G39" s="4" t="s">
        <v>276</v>
      </c>
      <c r="H39" s="4" t="s">
        <v>202</v>
      </c>
      <c r="I39" s="4" t="s">
        <v>51</v>
      </c>
      <c r="J39" s="4" t="s">
        <v>52</v>
      </c>
      <c r="K39" s="4" t="s">
        <v>277</v>
      </c>
      <c r="L39" s="4" t="s">
        <v>277</v>
      </c>
      <c r="M39" s="4" t="s">
        <v>295</v>
      </c>
      <c r="N39" s="4">
        <f t="shared" si="0"/>
        <v>490</v>
      </c>
      <c r="O39" s="4" t="s">
        <v>276</v>
      </c>
      <c r="P39" s="4" t="s">
        <v>276</v>
      </c>
      <c r="Q39" s="4" t="s">
        <v>276</v>
      </c>
      <c r="R39" s="4" t="s">
        <v>276</v>
      </c>
      <c r="S39" s="4" t="s">
        <v>277</v>
      </c>
      <c r="T39" s="4" t="s">
        <v>280</v>
      </c>
      <c r="U39" s="4" t="s">
        <v>281</v>
      </c>
      <c r="V39" s="4" t="s">
        <v>281</v>
      </c>
      <c r="W39" s="4" t="s">
        <v>299</v>
      </c>
      <c r="X39" s="4" t="s">
        <v>300</v>
      </c>
      <c r="Y39" s="4" t="s">
        <v>281</v>
      </c>
      <c r="Z39" s="4" t="s">
        <v>281</v>
      </c>
      <c r="AA39" s="4" t="s">
        <v>280</v>
      </c>
      <c r="AB39" s="4" t="s">
        <v>261</v>
      </c>
      <c r="AC39" s="4" t="s">
        <v>286</v>
      </c>
    </row>
    <row r="40" spans="1:29" x14ac:dyDescent="0.15">
      <c r="A40" s="6" t="s">
        <v>395</v>
      </c>
      <c r="B40" s="3">
        <v>35</v>
      </c>
      <c r="C40" s="4" t="s">
        <v>0</v>
      </c>
      <c r="D40" s="4" t="s">
        <v>3</v>
      </c>
      <c r="E40" s="4" t="s">
        <v>8</v>
      </c>
      <c r="F40" s="4" t="s">
        <v>301</v>
      </c>
      <c r="G40" s="4" t="s">
        <v>276</v>
      </c>
      <c r="H40" s="4" t="s">
        <v>197</v>
      </c>
      <c r="I40" s="4" t="s">
        <v>53</v>
      </c>
      <c r="J40" s="4" t="s">
        <v>54</v>
      </c>
      <c r="K40" s="4" t="s">
        <v>277</v>
      </c>
      <c r="L40" s="4" t="s">
        <v>291</v>
      </c>
      <c r="M40" s="4" t="s">
        <v>295</v>
      </c>
      <c r="N40" s="4">
        <f t="shared" si="0"/>
        <v>540</v>
      </c>
      <c r="O40" s="4" t="s">
        <v>276</v>
      </c>
      <c r="P40" s="4" t="s">
        <v>276</v>
      </c>
      <c r="Q40" s="4" t="s">
        <v>276</v>
      </c>
      <c r="R40" s="4" t="s">
        <v>276</v>
      </c>
      <c r="S40" s="4" t="s">
        <v>291</v>
      </c>
      <c r="T40" s="4" t="s">
        <v>280</v>
      </c>
      <c r="U40" s="4" t="s">
        <v>281</v>
      </c>
      <c r="V40" s="4" t="s">
        <v>281</v>
      </c>
      <c r="W40" s="4" t="s">
        <v>299</v>
      </c>
      <c r="X40" s="4" t="s">
        <v>300</v>
      </c>
      <c r="Y40" s="4" t="s">
        <v>281</v>
      </c>
      <c r="Z40" s="4" t="s">
        <v>292</v>
      </c>
      <c r="AA40" s="4" t="s">
        <v>280</v>
      </c>
      <c r="AB40" s="4" t="s">
        <v>261</v>
      </c>
      <c r="AC40" s="4" t="s">
        <v>286</v>
      </c>
    </row>
    <row r="41" spans="1:29" x14ac:dyDescent="0.15">
      <c r="A41" s="6" t="s">
        <v>392</v>
      </c>
      <c r="B41" s="3">
        <v>36</v>
      </c>
      <c r="C41" s="4" t="s">
        <v>3</v>
      </c>
      <c r="D41" s="4" t="s">
        <v>3</v>
      </c>
      <c r="E41" s="4" t="s">
        <v>8</v>
      </c>
      <c r="F41" s="4" t="s">
        <v>188</v>
      </c>
      <c r="G41" s="4" t="s">
        <v>276</v>
      </c>
      <c r="H41" s="4" t="s">
        <v>189</v>
      </c>
      <c r="I41" s="4" t="s">
        <v>55</v>
      </c>
      <c r="J41" s="4" t="s">
        <v>56</v>
      </c>
      <c r="K41" s="4" t="s">
        <v>277</v>
      </c>
      <c r="L41" s="4" t="s">
        <v>279</v>
      </c>
      <c r="M41" s="4" t="s">
        <v>284</v>
      </c>
      <c r="N41" s="4">
        <f t="shared" si="0"/>
        <v>400</v>
      </c>
      <c r="O41" s="4" t="s">
        <v>276</v>
      </c>
      <c r="P41" s="4" t="s">
        <v>276</v>
      </c>
      <c r="Q41" s="4" t="s">
        <v>276</v>
      </c>
      <c r="R41" s="4" t="s">
        <v>276</v>
      </c>
      <c r="S41" s="4" t="s">
        <v>279</v>
      </c>
      <c r="T41" s="4" t="s">
        <v>280</v>
      </c>
      <c r="U41" s="4" t="s">
        <v>281</v>
      </c>
      <c r="V41" s="4" t="s">
        <v>281</v>
      </c>
      <c r="W41" s="4" t="s">
        <v>299</v>
      </c>
      <c r="X41" s="4" t="s">
        <v>300</v>
      </c>
      <c r="Y41" s="4" t="s">
        <v>281</v>
      </c>
      <c r="Z41" s="4" t="s">
        <v>284</v>
      </c>
      <c r="AA41" s="4" t="s">
        <v>280</v>
      </c>
      <c r="AB41" s="4" t="s">
        <v>261</v>
      </c>
      <c r="AC41" s="4" t="s">
        <v>286</v>
      </c>
    </row>
    <row r="42" spans="1:29" x14ac:dyDescent="0.15">
      <c r="A42" s="6" t="s">
        <v>395</v>
      </c>
      <c r="B42" s="3">
        <v>37</v>
      </c>
      <c r="C42" s="4" t="s">
        <v>2</v>
      </c>
      <c r="D42" s="4" t="s">
        <v>3</v>
      </c>
      <c r="E42" s="4" t="s">
        <v>8</v>
      </c>
      <c r="F42" s="4" t="s">
        <v>188</v>
      </c>
      <c r="G42" s="4" t="s">
        <v>276</v>
      </c>
      <c r="H42" s="4" t="s">
        <v>202</v>
      </c>
      <c r="I42" s="4" t="s">
        <v>57</v>
      </c>
      <c r="J42" s="4" t="s">
        <v>58</v>
      </c>
      <c r="K42" s="4" t="s">
        <v>277</v>
      </c>
      <c r="L42" s="4" t="s">
        <v>277</v>
      </c>
      <c r="M42" s="4" t="s">
        <v>284</v>
      </c>
      <c r="N42" s="4">
        <f t="shared" si="0"/>
        <v>450</v>
      </c>
      <c r="O42" s="4" t="s">
        <v>276</v>
      </c>
      <c r="P42" s="4" t="s">
        <v>276</v>
      </c>
      <c r="Q42" s="4" t="s">
        <v>276</v>
      </c>
      <c r="R42" s="4" t="s">
        <v>276</v>
      </c>
      <c r="S42" s="4" t="s">
        <v>277</v>
      </c>
      <c r="T42" s="4" t="s">
        <v>280</v>
      </c>
      <c r="U42" s="4" t="s">
        <v>281</v>
      </c>
      <c r="V42" s="4" t="s">
        <v>281</v>
      </c>
      <c r="W42" s="4" t="s">
        <v>299</v>
      </c>
      <c r="X42" s="4" t="s">
        <v>300</v>
      </c>
      <c r="Y42" s="4" t="s">
        <v>281</v>
      </c>
      <c r="Z42" s="4" t="s">
        <v>281</v>
      </c>
      <c r="AA42" s="4" t="s">
        <v>280</v>
      </c>
      <c r="AB42" s="4" t="s">
        <v>261</v>
      </c>
      <c r="AC42" s="4" t="s">
        <v>286</v>
      </c>
    </row>
    <row r="43" spans="1:29" x14ac:dyDescent="0.15">
      <c r="A43" s="6" t="s">
        <v>395</v>
      </c>
      <c r="B43" s="3">
        <v>38</v>
      </c>
      <c r="C43" s="4" t="s">
        <v>0</v>
      </c>
      <c r="D43" s="4" t="s">
        <v>3</v>
      </c>
      <c r="E43" s="4" t="s">
        <v>8</v>
      </c>
      <c r="F43" s="4" t="s">
        <v>188</v>
      </c>
      <c r="G43" s="4" t="s">
        <v>276</v>
      </c>
      <c r="H43" s="4" t="s">
        <v>197</v>
      </c>
      <c r="I43" s="4" t="s">
        <v>59</v>
      </c>
      <c r="J43" s="4" t="s">
        <v>60</v>
      </c>
      <c r="K43" s="4" t="s">
        <v>277</v>
      </c>
      <c r="L43" s="4" t="s">
        <v>291</v>
      </c>
      <c r="M43" s="4" t="s">
        <v>284</v>
      </c>
      <c r="N43" s="4">
        <f t="shared" si="0"/>
        <v>500</v>
      </c>
      <c r="O43" s="4" t="s">
        <v>276</v>
      </c>
      <c r="P43" s="4" t="s">
        <v>276</v>
      </c>
      <c r="Q43" s="4" t="s">
        <v>276</v>
      </c>
      <c r="R43" s="4" t="s">
        <v>276</v>
      </c>
      <c r="S43" s="4" t="s">
        <v>291</v>
      </c>
      <c r="T43" s="4" t="s">
        <v>280</v>
      </c>
      <c r="U43" s="4" t="s">
        <v>281</v>
      </c>
      <c r="V43" s="4" t="s">
        <v>281</v>
      </c>
      <c r="W43" s="4" t="s">
        <v>299</v>
      </c>
      <c r="X43" s="4" t="s">
        <v>300</v>
      </c>
      <c r="Y43" s="4" t="s">
        <v>281</v>
      </c>
      <c r="Z43" s="4" t="s">
        <v>292</v>
      </c>
      <c r="AA43" s="4" t="s">
        <v>280</v>
      </c>
      <c r="AB43" s="4" t="s">
        <v>261</v>
      </c>
      <c r="AC43" s="4" t="s">
        <v>286</v>
      </c>
    </row>
    <row r="44" spans="1:29" x14ac:dyDescent="0.15">
      <c r="A44" s="6" t="s">
        <v>409</v>
      </c>
      <c r="B44" s="3">
        <v>39</v>
      </c>
      <c r="C44" s="4" t="s">
        <v>3</v>
      </c>
      <c r="D44" s="4" t="s">
        <v>3</v>
      </c>
      <c r="E44" s="4" t="s">
        <v>8</v>
      </c>
      <c r="F44" s="4" t="s">
        <v>1</v>
      </c>
      <c r="G44" s="4" t="s">
        <v>276</v>
      </c>
      <c r="H44" s="4" t="s">
        <v>302</v>
      </c>
      <c r="I44" s="4" t="s">
        <v>61</v>
      </c>
      <c r="J44" s="4" t="s">
        <v>62</v>
      </c>
      <c r="K44" s="4" t="s">
        <v>277</v>
      </c>
      <c r="L44" s="4" t="s">
        <v>279</v>
      </c>
      <c r="M44" s="4" t="s">
        <v>276</v>
      </c>
      <c r="N44" s="4"/>
      <c r="O44" s="4" t="s">
        <v>278</v>
      </c>
      <c r="P44" s="4" t="s">
        <v>276</v>
      </c>
      <c r="Q44" s="4" t="s">
        <v>276</v>
      </c>
      <c r="R44" s="4" t="s">
        <v>276</v>
      </c>
      <c r="S44" s="4" t="s">
        <v>303</v>
      </c>
      <c r="T44" s="4" t="s">
        <v>304</v>
      </c>
      <c r="U44" s="4" t="s">
        <v>305</v>
      </c>
      <c r="V44" s="4" t="s">
        <v>304</v>
      </c>
      <c r="W44" s="4" t="s">
        <v>306</v>
      </c>
      <c r="X44" s="4">
        <v>91316</v>
      </c>
      <c r="Y44" s="4" t="s">
        <v>281</v>
      </c>
      <c r="Z44" s="4" t="s">
        <v>308</v>
      </c>
      <c r="AA44" s="4" t="s">
        <v>304</v>
      </c>
      <c r="AB44" s="4" t="s">
        <v>309</v>
      </c>
      <c r="AC44" s="4" t="s">
        <v>286</v>
      </c>
    </row>
    <row r="45" spans="1:29" x14ac:dyDescent="0.15">
      <c r="A45" s="6" t="s">
        <v>409</v>
      </c>
      <c r="B45" s="3">
        <v>39</v>
      </c>
      <c r="C45" s="4" t="s">
        <v>3</v>
      </c>
      <c r="D45" s="4" t="s">
        <v>3</v>
      </c>
      <c r="E45" s="4" t="s">
        <v>8</v>
      </c>
      <c r="F45" s="4" t="s">
        <v>1</v>
      </c>
      <c r="G45" s="4" t="s">
        <v>276</v>
      </c>
      <c r="H45" s="4" t="s">
        <v>302</v>
      </c>
      <c r="I45" s="4" t="s">
        <v>61</v>
      </c>
      <c r="J45" s="4" t="s">
        <v>62</v>
      </c>
      <c r="K45" s="4" t="s">
        <v>277</v>
      </c>
      <c r="L45" s="4" t="s">
        <v>279</v>
      </c>
      <c r="M45" s="4" t="s">
        <v>276</v>
      </c>
      <c r="N45" s="4"/>
      <c r="O45" s="4" t="s">
        <v>278</v>
      </c>
      <c r="P45" s="4" t="s">
        <v>276</v>
      </c>
      <c r="Q45" s="4" t="s">
        <v>276</v>
      </c>
      <c r="R45" s="4" t="s">
        <v>276</v>
      </c>
      <c r="S45" s="4" t="s">
        <v>303</v>
      </c>
      <c r="T45" s="4" t="s">
        <v>304</v>
      </c>
      <c r="U45" s="4" t="s">
        <v>305</v>
      </c>
      <c r="V45" s="4" t="s">
        <v>304</v>
      </c>
      <c r="W45" s="4" t="s">
        <v>276</v>
      </c>
      <c r="X45" s="4" t="s">
        <v>287</v>
      </c>
      <c r="Y45" s="4" t="s">
        <v>288</v>
      </c>
      <c r="Z45" s="4" t="s">
        <v>305</v>
      </c>
      <c r="AA45" s="4" t="s">
        <v>304</v>
      </c>
      <c r="AB45" s="4" t="s">
        <v>289</v>
      </c>
      <c r="AC45" s="4" t="s">
        <v>290</v>
      </c>
    </row>
    <row r="46" spans="1:29" x14ac:dyDescent="0.15">
      <c r="A46" s="6" t="s">
        <v>409</v>
      </c>
      <c r="B46" s="3">
        <v>40</v>
      </c>
      <c r="C46" s="4" t="s">
        <v>3</v>
      </c>
      <c r="D46" s="4" t="s">
        <v>2</v>
      </c>
      <c r="E46" s="4" t="s">
        <v>8</v>
      </c>
      <c r="F46" s="4" t="s">
        <v>1</v>
      </c>
      <c r="G46" s="4" t="s">
        <v>276</v>
      </c>
      <c r="H46" s="4" t="s">
        <v>310</v>
      </c>
      <c r="I46" s="4" t="s">
        <v>63</v>
      </c>
      <c r="J46" s="4" t="s">
        <v>64</v>
      </c>
      <c r="K46" s="4" t="s">
        <v>277</v>
      </c>
      <c r="L46" s="4" t="s">
        <v>279</v>
      </c>
      <c r="M46" s="4" t="s">
        <v>276</v>
      </c>
      <c r="N46" s="4"/>
      <c r="O46" s="4" t="s">
        <v>279</v>
      </c>
      <c r="P46" s="4" t="s">
        <v>276</v>
      </c>
      <c r="Q46" s="4" t="s">
        <v>276</v>
      </c>
      <c r="R46" s="4" t="s">
        <v>276</v>
      </c>
      <c r="S46" s="4" t="s">
        <v>311</v>
      </c>
      <c r="T46" s="4" t="s">
        <v>304</v>
      </c>
      <c r="U46" s="4" t="s">
        <v>305</v>
      </c>
      <c r="V46" s="4" t="s">
        <v>304</v>
      </c>
      <c r="W46" s="4" t="s">
        <v>276</v>
      </c>
      <c r="X46" s="4" t="s">
        <v>287</v>
      </c>
      <c r="Y46" s="4" t="s">
        <v>288</v>
      </c>
      <c r="Z46" s="4" t="s">
        <v>305</v>
      </c>
      <c r="AA46" s="4" t="s">
        <v>304</v>
      </c>
      <c r="AB46" s="4" t="s">
        <v>289</v>
      </c>
      <c r="AC46" s="4" t="s">
        <v>290</v>
      </c>
    </row>
    <row r="47" spans="1:29" x14ac:dyDescent="0.15">
      <c r="A47" s="6" t="s">
        <v>409</v>
      </c>
      <c r="B47" s="3">
        <v>40</v>
      </c>
      <c r="C47" s="4" t="s">
        <v>3</v>
      </c>
      <c r="D47" s="4" t="s">
        <v>2</v>
      </c>
      <c r="E47" s="4" t="s">
        <v>8</v>
      </c>
      <c r="F47" s="4" t="s">
        <v>1</v>
      </c>
      <c r="G47" s="4" t="s">
        <v>276</v>
      </c>
      <c r="H47" s="4" t="s">
        <v>310</v>
      </c>
      <c r="I47" s="4" t="s">
        <v>63</v>
      </c>
      <c r="J47" s="4" t="s">
        <v>64</v>
      </c>
      <c r="K47" s="4" t="s">
        <v>277</v>
      </c>
      <c r="L47" s="4" t="s">
        <v>279</v>
      </c>
      <c r="M47" s="4" t="s">
        <v>276</v>
      </c>
      <c r="N47" s="4"/>
      <c r="O47" s="4" t="s">
        <v>279</v>
      </c>
      <c r="P47" s="4" t="s">
        <v>276</v>
      </c>
      <c r="Q47" s="4" t="s">
        <v>276</v>
      </c>
      <c r="R47" s="4" t="s">
        <v>276</v>
      </c>
      <c r="S47" s="4" t="s">
        <v>311</v>
      </c>
      <c r="T47" s="4" t="s">
        <v>304</v>
      </c>
      <c r="U47" s="4" t="s">
        <v>305</v>
      </c>
      <c r="V47" s="4" t="s">
        <v>304</v>
      </c>
      <c r="W47" s="4" t="s">
        <v>312</v>
      </c>
      <c r="X47" s="4" t="s">
        <v>307</v>
      </c>
      <c r="Y47" s="4" t="s">
        <v>281</v>
      </c>
      <c r="Z47" s="4" t="s">
        <v>305</v>
      </c>
      <c r="AA47" s="4" t="s">
        <v>304</v>
      </c>
      <c r="AB47" s="4" t="s">
        <v>309</v>
      </c>
      <c r="AC47" s="4" t="s">
        <v>286</v>
      </c>
    </row>
    <row r="48" spans="1:29" x14ac:dyDescent="0.15">
      <c r="A48" s="6" t="s">
        <v>409</v>
      </c>
      <c r="B48" s="3">
        <v>41</v>
      </c>
      <c r="C48" s="4" t="s">
        <v>3</v>
      </c>
      <c r="D48" s="4" t="s">
        <v>0</v>
      </c>
      <c r="E48" s="4" t="s">
        <v>8</v>
      </c>
      <c r="F48" s="4" t="s">
        <v>1</v>
      </c>
      <c r="G48" s="4" t="s">
        <v>276</v>
      </c>
      <c r="H48" s="4" t="s">
        <v>203</v>
      </c>
      <c r="I48" s="4" t="s">
        <v>65</v>
      </c>
      <c r="J48" s="4" t="s">
        <v>66</v>
      </c>
      <c r="K48" s="4" t="s">
        <v>277</v>
      </c>
      <c r="L48" s="4" t="s">
        <v>278</v>
      </c>
      <c r="M48" s="4" t="s">
        <v>276</v>
      </c>
      <c r="N48" s="4"/>
      <c r="O48" s="4" t="s">
        <v>279</v>
      </c>
      <c r="P48" s="4" t="s">
        <v>276</v>
      </c>
      <c r="Q48" s="4" t="s">
        <v>276</v>
      </c>
      <c r="R48" s="4" t="s">
        <v>276</v>
      </c>
      <c r="S48" s="4" t="s">
        <v>313</v>
      </c>
      <c r="T48" s="4" t="s">
        <v>304</v>
      </c>
      <c r="U48" s="4" t="s">
        <v>281</v>
      </c>
      <c r="V48" s="4" t="s">
        <v>281</v>
      </c>
      <c r="W48" s="4" t="s">
        <v>312</v>
      </c>
      <c r="X48" s="4" t="s">
        <v>307</v>
      </c>
      <c r="Y48" s="4" t="s">
        <v>281</v>
      </c>
      <c r="Z48" s="4" t="s">
        <v>314</v>
      </c>
      <c r="AA48" s="4" t="s">
        <v>304</v>
      </c>
      <c r="AB48" s="4" t="s">
        <v>309</v>
      </c>
      <c r="AC48" s="4" t="s">
        <v>286</v>
      </c>
    </row>
    <row r="49" spans="1:29" x14ac:dyDescent="0.15">
      <c r="A49" s="20" t="s">
        <v>410</v>
      </c>
      <c r="B49" s="3">
        <v>42</v>
      </c>
      <c r="C49" s="4" t="s">
        <v>3</v>
      </c>
      <c r="D49" s="4" t="s">
        <v>0</v>
      </c>
      <c r="E49" s="4" t="s">
        <v>8</v>
      </c>
      <c r="F49" s="4" t="s">
        <v>1</v>
      </c>
      <c r="G49" s="4" t="s">
        <v>276</v>
      </c>
      <c r="H49" s="4" t="s">
        <v>204</v>
      </c>
      <c r="I49" s="4" t="s">
        <v>73</v>
      </c>
      <c r="J49" s="4" t="s">
        <v>74</v>
      </c>
      <c r="K49" s="4" t="s">
        <v>277</v>
      </c>
      <c r="L49" s="4" t="s">
        <v>279</v>
      </c>
      <c r="M49" s="4" t="s">
        <v>276</v>
      </c>
      <c r="N49" s="4"/>
      <c r="O49" s="4" t="s">
        <v>277</v>
      </c>
      <c r="P49" s="4" t="s">
        <v>276</v>
      </c>
      <c r="Q49" s="4" t="s">
        <v>276</v>
      </c>
      <c r="R49" s="4" t="s">
        <v>276</v>
      </c>
      <c r="S49" s="4" t="s">
        <v>313</v>
      </c>
      <c r="T49" s="4" t="s">
        <v>304</v>
      </c>
      <c r="U49" s="4" t="s">
        <v>305</v>
      </c>
      <c r="V49" s="4" t="s">
        <v>304</v>
      </c>
      <c r="W49" s="4" t="s">
        <v>276</v>
      </c>
      <c r="X49" s="4" t="s">
        <v>287</v>
      </c>
      <c r="Y49" s="4" t="s">
        <v>288</v>
      </c>
      <c r="Z49" s="4" t="s">
        <v>305</v>
      </c>
      <c r="AA49" s="4" t="s">
        <v>304</v>
      </c>
      <c r="AB49" s="4" t="s">
        <v>289</v>
      </c>
      <c r="AC49" s="4" t="s">
        <v>290</v>
      </c>
    </row>
    <row r="50" spans="1:29" x14ac:dyDescent="0.15">
      <c r="A50" s="20" t="s">
        <v>411</v>
      </c>
      <c r="B50" s="3">
        <v>43</v>
      </c>
      <c r="C50" s="4" t="s">
        <v>3</v>
      </c>
      <c r="D50" s="4" t="s">
        <v>0</v>
      </c>
      <c r="E50" s="4" t="s">
        <v>8</v>
      </c>
      <c r="F50" s="4" t="s">
        <v>1</v>
      </c>
      <c r="G50" s="4" t="s">
        <v>276</v>
      </c>
      <c r="H50" s="4" t="s">
        <v>383</v>
      </c>
      <c r="I50" s="4" t="s">
        <v>69</v>
      </c>
      <c r="J50" s="4" t="s">
        <v>70</v>
      </c>
      <c r="K50" s="4" t="s">
        <v>277</v>
      </c>
      <c r="L50" s="4" t="s">
        <v>279</v>
      </c>
      <c r="M50" s="4" t="s">
        <v>276</v>
      </c>
      <c r="N50" s="4"/>
      <c r="O50" s="4" t="s">
        <v>291</v>
      </c>
      <c r="P50" s="4" t="s">
        <v>276</v>
      </c>
      <c r="Q50" s="4" t="s">
        <v>276</v>
      </c>
      <c r="R50" s="4" t="s">
        <v>276</v>
      </c>
      <c r="S50" s="4" t="s">
        <v>313</v>
      </c>
      <c r="T50" s="4" t="s">
        <v>304</v>
      </c>
      <c r="U50" s="4" t="s">
        <v>305</v>
      </c>
      <c r="V50" s="4" t="s">
        <v>304</v>
      </c>
      <c r="W50" s="4" t="s">
        <v>276</v>
      </c>
      <c r="X50" s="4" t="s">
        <v>287</v>
      </c>
      <c r="Y50" s="4" t="s">
        <v>288</v>
      </c>
      <c r="Z50" s="4" t="s">
        <v>305</v>
      </c>
      <c r="AA50" s="4" t="s">
        <v>304</v>
      </c>
      <c r="AB50" s="4" t="s">
        <v>289</v>
      </c>
      <c r="AC50" s="4" t="s">
        <v>290</v>
      </c>
    </row>
    <row r="51" spans="1:29" x14ac:dyDescent="0.15">
      <c r="A51" s="6" t="s">
        <v>412</v>
      </c>
      <c r="B51" s="3">
        <v>44</v>
      </c>
      <c r="C51" s="4" t="s">
        <v>2</v>
      </c>
      <c r="D51" s="4" t="s">
        <v>3</v>
      </c>
      <c r="E51" s="4" t="s">
        <v>8</v>
      </c>
      <c r="F51" s="4" t="s">
        <v>1</v>
      </c>
      <c r="G51" s="4" t="s">
        <v>276</v>
      </c>
      <c r="H51" s="4" t="s">
        <v>315</v>
      </c>
      <c r="I51" s="4" t="s">
        <v>75</v>
      </c>
      <c r="J51" s="4" t="s">
        <v>76</v>
      </c>
      <c r="K51" s="4" t="s">
        <v>277</v>
      </c>
      <c r="L51" s="4" t="s">
        <v>277</v>
      </c>
      <c r="M51" s="4" t="s">
        <v>276</v>
      </c>
      <c r="N51" s="4"/>
      <c r="O51" s="4" t="s">
        <v>279</v>
      </c>
      <c r="P51" s="4" t="s">
        <v>276</v>
      </c>
      <c r="Q51" s="4" t="s">
        <v>276</v>
      </c>
      <c r="R51" s="4" t="s">
        <v>276</v>
      </c>
      <c r="S51" s="4" t="s">
        <v>313</v>
      </c>
      <c r="T51" s="4" t="s">
        <v>304</v>
      </c>
      <c r="U51" s="4" t="s">
        <v>281</v>
      </c>
      <c r="V51" s="4" t="s">
        <v>281</v>
      </c>
      <c r="W51" s="4" t="s">
        <v>312</v>
      </c>
      <c r="X51" s="4" t="s">
        <v>307</v>
      </c>
      <c r="Y51" s="4" t="s">
        <v>281</v>
      </c>
      <c r="Z51" s="4" t="s">
        <v>305</v>
      </c>
      <c r="AA51" s="4" t="s">
        <v>304</v>
      </c>
      <c r="AB51" s="4" t="s">
        <v>309</v>
      </c>
      <c r="AC51" s="4" t="s">
        <v>286</v>
      </c>
    </row>
    <row r="52" spans="1:29" x14ac:dyDescent="0.15">
      <c r="A52" s="6" t="s">
        <v>413</v>
      </c>
      <c r="B52" s="3">
        <v>45</v>
      </c>
      <c r="C52" s="4" t="s">
        <v>2</v>
      </c>
      <c r="D52" s="4" t="s">
        <v>2</v>
      </c>
      <c r="E52" s="4" t="s">
        <v>8</v>
      </c>
      <c r="F52" s="4" t="s">
        <v>1</v>
      </c>
      <c r="G52" s="4" t="s">
        <v>276</v>
      </c>
      <c r="H52" s="4" t="s">
        <v>205</v>
      </c>
      <c r="I52" s="4" t="s">
        <v>71</v>
      </c>
      <c r="J52" s="4" t="s">
        <v>72</v>
      </c>
      <c r="K52" s="4" t="s">
        <v>277</v>
      </c>
      <c r="L52" s="4" t="s">
        <v>277</v>
      </c>
      <c r="M52" s="4" t="s">
        <v>276</v>
      </c>
      <c r="N52" s="4"/>
      <c r="O52" s="4" t="s">
        <v>277</v>
      </c>
      <c r="P52" s="4" t="s">
        <v>276</v>
      </c>
      <c r="Q52" s="4" t="s">
        <v>276</v>
      </c>
      <c r="R52" s="4" t="s">
        <v>276</v>
      </c>
      <c r="S52" s="4" t="s">
        <v>316</v>
      </c>
      <c r="T52" s="4" t="s">
        <v>304</v>
      </c>
      <c r="U52" s="4" t="s">
        <v>281</v>
      </c>
      <c r="V52" s="4" t="s">
        <v>281</v>
      </c>
      <c r="W52" s="4" t="s">
        <v>276</v>
      </c>
      <c r="X52" s="4" t="s">
        <v>276</v>
      </c>
      <c r="Y52" s="4" t="s">
        <v>276</v>
      </c>
      <c r="Z52" s="4" t="s">
        <v>276</v>
      </c>
      <c r="AA52" s="4" t="s">
        <v>276</v>
      </c>
      <c r="AB52" s="4" t="s">
        <v>276</v>
      </c>
      <c r="AC52" s="4" t="s">
        <v>276</v>
      </c>
    </row>
    <row r="53" spans="1:29" x14ac:dyDescent="0.15">
      <c r="A53" s="6" t="s">
        <v>414</v>
      </c>
      <c r="B53" s="3">
        <v>46</v>
      </c>
      <c r="C53" s="4" t="s">
        <v>2</v>
      </c>
      <c r="D53" s="4" t="s">
        <v>0</v>
      </c>
      <c r="E53" s="4" t="s">
        <v>8</v>
      </c>
      <c r="F53" s="4" t="s">
        <v>1</v>
      </c>
      <c r="G53" s="4" t="s">
        <v>276</v>
      </c>
      <c r="H53" s="4" t="s">
        <v>384</v>
      </c>
      <c r="I53" s="4" t="s">
        <v>67</v>
      </c>
      <c r="J53" s="4" t="s">
        <v>68</v>
      </c>
      <c r="K53" s="4" t="s">
        <v>277</v>
      </c>
      <c r="L53" s="4" t="s">
        <v>277</v>
      </c>
      <c r="M53" s="4" t="s">
        <v>276</v>
      </c>
      <c r="N53" s="4"/>
      <c r="O53" s="4" t="s">
        <v>291</v>
      </c>
      <c r="P53" s="4" t="s">
        <v>276</v>
      </c>
      <c r="Q53" s="4" t="s">
        <v>276</v>
      </c>
      <c r="R53" s="4" t="s">
        <v>276</v>
      </c>
      <c r="S53" s="4" t="s">
        <v>316</v>
      </c>
      <c r="T53" s="4" t="s">
        <v>304</v>
      </c>
      <c r="U53" s="4" t="s">
        <v>281</v>
      </c>
      <c r="V53" s="4" t="s">
        <v>281</v>
      </c>
      <c r="W53" s="4" t="s">
        <v>276</v>
      </c>
      <c r="X53" s="4" t="s">
        <v>276</v>
      </c>
      <c r="Y53" s="4" t="s">
        <v>276</v>
      </c>
      <c r="Z53" s="4" t="s">
        <v>276</v>
      </c>
      <c r="AA53" s="4" t="s">
        <v>276</v>
      </c>
      <c r="AB53" s="4" t="s">
        <v>276</v>
      </c>
      <c r="AC53" s="4" t="s">
        <v>276</v>
      </c>
    </row>
    <row r="54" spans="1:29" x14ac:dyDescent="0.15">
      <c r="A54" s="6" t="s">
        <v>415</v>
      </c>
      <c r="B54" s="3">
        <v>47</v>
      </c>
      <c r="C54" s="4" t="s">
        <v>0</v>
      </c>
      <c r="D54" s="4" t="s">
        <v>3</v>
      </c>
      <c r="E54" s="4" t="s">
        <v>8</v>
      </c>
      <c r="F54" s="4" t="s">
        <v>1</v>
      </c>
      <c r="G54" s="4" t="s">
        <v>276</v>
      </c>
      <c r="H54" s="4" t="s">
        <v>317</v>
      </c>
      <c r="I54" s="4" t="s">
        <v>81</v>
      </c>
      <c r="J54" s="4" t="s">
        <v>82</v>
      </c>
      <c r="K54" s="4" t="s">
        <v>277</v>
      </c>
      <c r="L54" s="4" t="s">
        <v>291</v>
      </c>
      <c r="M54" s="4" t="s">
        <v>276</v>
      </c>
      <c r="N54" s="4"/>
      <c r="O54" s="4" t="s">
        <v>279</v>
      </c>
      <c r="P54" s="4" t="s">
        <v>276</v>
      </c>
      <c r="Q54" s="4" t="s">
        <v>276</v>
      </c>
      <c r="R54" s="4" t="s">
        <v>276</v>
      </c>
      <c r="S54" s="4" t="s">
        <v>313</v>
      </c>
      <c r="T54" s="4" t="s">
        <v>304</v>
      </c>
      <c r="U54" s="4" t="s">
        <v>281</v>
      </c>
      <c r="V54" s="4" t="s">
        <v>281</v>
      </c>
      <c r="W54" s="4" t="s">
        <v>312</v>
      </c>
      <c r="X54" s="4" t="s">
        <v>307</v>
      </c>
      <c r="Y54" s="4" t="s">
        <v>281</v>
      </c>
      <c r="Z54" s="4" t="s">
        <v>308</v>
      </c>
      <c r="AA54" s="4" t="s">
        <v>304</v>
      </c>
      <c r="AB54" s="4" t="s">
        <v>309</v>
      </c>
      <c r="AC54" s="4" t="s">
        <v>286</v>
      </c>
    </row>
    <row r="55" spans="1:29" x14ac:dyDescent="0.15">
      <c r="A55" s="6" t="s">
        <v>416</v>
      </c>
      <c r="B55" s="3">
        <v>48</v>
      </c>
      <c r="C55" s="4" t="s">
        <v>0</v>
      </c>
      <c r="D55" s="4" t="s">
        <v>3</v>
      </c>
      <c r="E55" s="4" t="s">
        <v>8</v>
      </c>
      <c r="F55" s="4" t="s">
        <v>1</v>
      </c>
      <c r="G55" s="4" t="s">
        <v>276</v>
      </c>
      <c r="H55" s="4" t="s">
        <v>318</v>
      </c>
      <c r="I55" s="4" t="s">
        <v>89</v>
      </c>
      <c r="J55" s="4" t="s">
        <v>90</v>
      </c>
      <c r="K55" s="4" t="s">
        <v>277</v>
      </c>
      <c r="L55" s="4" t="s">
        <v>291</v>
      </c>
      <c r="M55" s="4" t="s">
        <v>276</v>
      </c>
      <c r="N55" s="4"/>
      <c r="O55" s="4" t="s">
        <v>277</v>
      </c>
      <c r="P55" s="4" t="s">
        <v>276</v>
      </c>
      <c r="Q55" s="4" t="s">
        <v>276</v>
      </c>
      <c r="R55" s="4" t="s">
        <v>276</v>
      </c>
      <c r="S55" s="4" t="s">
        <v>316</v>
      </c>
      <c r="T55" s="4" t="s">
        <v>304</v>
      </c>
      <c r="U55" s="4" t="s">
        <v>281</v>
      </c>
      <c r="V55" s="4" t="s">
        <v>281</v>
      </c>
      <c r="W55" s="4" t="s">
        <v>319</v>
      </c>
      <c r="X55" s="4" t="s">
        <v>307</v>
      </c>
      <c r="Y55" s="4" t="s">
        <v>281</v>
      </c>
      <c r="Z55" s="4" t="s">
        <v>305</v>
      </c>
      <c r="AA55" s="4" t="s">
        <v>304</v>
      </c>
      <c r="AB55" s="4" t="s">
        <v>309</v>
      </c>
      <c r="AC55" s="4" t="s">
        <v>286</v>
      </c>
    </row>
    <row r="56" spans="1:29" x14ac:dyDescent="0.15">
      <c r="A56" s="6" t="s">
        <v>417</v>
      </c>
      <c r="B56" s="3">
        <v>49</v>
      </c>
      <c r="C56" s="4" t="s">
        <v>0</v>
      </c>
      <c r="D56" s="4" t="s">
        <v>3</v>
      </c>
      <c r="E56" s="4" t="s">
        <v>8</v>
      </c>
      <c r="F56" s="4" t="s">
        <v>1</v>
      </c>
      <c r="G56" s="4" t="s">
        <v>276</v>
      </c>
      <c r="H56" s="4" t="s">
        <v>206</v>
      </c>
      <c r="I56" s="4" t="s">
        <v>79</v>
      </c>
      <c r="J56" s="4" t="s">
        <v>80</v>
      </c>
      <c r="K56" s="4" t="s">
        <v>277</v>
      </c>
      <c r="L56" s="4" t="s">
        <v>293</v>
      </c>
      <c r="M56" s="4" t="s">
        <v>276</v>
      </c>
      <c r="N56" s="4"/>
      <c r="O56" s="4" t="s">
        <v>291</v>
      </c>
      <c r="P56" s="4" t="s">
        <v>276</v>
      </c>
      <c r="Q56" s="4" t="s">
        <v>276</v>
      </c>
      <c r="R56" s="4" t="s">
        <v>276</v>
      </c>
      <c r="S56" s="4" t="s">
        <v>320</v>
      </c>
      <c r="T56" s="4" t="s">
        <v>304</v>
      </c>
      <c r="U56" s="4" t="s">
        <v>281</v>
      </c>
      <c r="V56" s="4" t="s">
        <v>281</v>
      </c>
      <c r="W56" s="4" t="s">
        <v>321</v>
      </c>
      <c r="X56" s="4" t="s">
        <v>307</v>
      </c>
      <c r="Y56" s="4" t="s">
        <v>281</v>
      </c>
      <c r="Z56" s="4" t="s">
        <v>305</v>
      </c>
      <c r="AA56" s="4" t="s">
        <v>304</v>
      </c>
      <c r="AB56" s="4" t="s">
        <v>309</v>
      </c>
      <c r="AC56" s="4" t="s">
        <v>286</v>
      </c>
    </row>
    <row r="57" spans="1:29" x14ac:dyDescent="0.15">
      <c r="A57" s="6" t="s">
        <v>418</v>
      </c>
      <c r="B57" s="3">
        <v>50</v>
      </c>
      <c r="C57" s="4" t="s">
        <v>0</v>
      </c>
      <c r="D57" s="4" t="s">
        <v>2</v>
      </c>
      <c r="E57" s="4" t="s">
        <v>8</v>
      </c>
      <c r="F57" s="4" t="s">
        <v>1</v>
      </c>
      <c r="G57" s="4" t="s">
        <v>276</v>
      </c>
      <c r="H57" s="4" t="s">
        <v>207</v>
      </c>
      <c r="I57" s="4" t="s">
        <v>77</v>
      </c>
      <c r="J57" s="4" t="s">
        <v>78</v>
      </c>
      <c r="K57" s="4" t="s">
        <v>277</v>
      </c>
      <c r="L57" s="4" t="s">
        <v>291</v>
      </c>
      <c r="M57" s="4" t="s">
        <v>276</v>
      </c>
      <c r="N57" s="4"/>
      <c r="O57" s="4" t="s">
        <v>291</v>
      </c>
      <c r="P57" s="4" t="s">
        <v>276</v>
      </c>
      <c r="Q57" s="4" t="s">
        <v>276</v>
      </c>
      <c r="R57" s="4" t="s">
        <v>276</v>
      </c>
      <c r="S57" s="4" t="s">
        <v>320</v>
      </c>
      <c r="T57" s="4" t="s">
        <v>304</v>
      </c>
      <c r="U57" s="4" t="s">
        <v>281</v>
      </c>
      <c r="V57" s="4" t="s">
        <v>281</v>
      </c>
      <c r="W57" s="4" t="s">
        <v>276</v>
      </c>
      <c r="X57" s="4" t="s">
        <v>276</v>
      </c>
      <c r="Y57" s="4" t="s">
        <v>276</v>
      </c>
      <c r="Z57" s="4" t="s">
        <v>276</v>
      </c>
      <c r="AA57" s="4" t="s">
        <v>276</v>
      </c>
      <c r="AB57" s="4" t="s">
        <v>276</v>
      </c>
      <c r="AC57" s="4" t="s">
        <v>276</v>
      </c>
    </row>
    <row r="58" spans="1:29" x14ac:dyDescent="0.15">
      <c r="A58" s="6" t="s">
        <v>418</v>
      </c>
      <c r="B58" s="3">
        <v>51</v>
      </c>
      <c r="C58" s="4" t="s">
        <v>0</v>
      </c>
      <c r="D58" s="4" t="s">
        <v>0</v>
      </c>
      <c r="E58" s="4" t="s">
        <v>8</v>
      </c>
      <c r="F58" s="4" t="s">
        <v>1</v>
      </c>
      <c r="G58" s="4" t="s">
        <v>276</v>
      </c>
      <c r="H58" s="4" t="s">
        <v>208</v>
      </c>
      <c r="I58" s="4" t="s">
        <v>83</v>
      </c>
      <c r="J58" s="4" t="s">
        <v>84</v>
      </c>
      <c r="K58" s="4" t="s">
        <v>277</v>
      </c>
      <c r="L58" s="4" t="s">
        <v>291</v>
      </c>
      <c r="M58" s="4" t="s">
        <v>276</v>
      </c>
      <c r="N58" s="4"/>
      <c r="O58" s="4" t="s">
        <v>293</v>
      </c>
      <c r="P58" s="4" t="s">
        <v>276</v>
      </c>
      <c r="Q58" s="4" t="s">
        <v>276</v>
      </c>
      <c r="R58" s="4" t="s">
        <v>276</v>
      </c>
      <c r="S58" s="4" t="s">
        <v>320</v>
      </c>
      <c r="T58" s="4" t="s">
        <v>304</v>
      </c>
      <c r="U58" s="4" t="s">
        <v>281</v>
      </c>
      <c r="V58" s="4" t="s">
        <v>281</v>
      </c>
      <c r="W58" s="4" t="s">
        <v>276</v>
      </c>
      <c r="X58" s="4" t="s">
        <v>276</v>
      </c>
      <c r="Y58" s="4" t="s">
        <v>276</v>
      </c>
      <c r="Z58" s="4" t="s">
        <v>276</v>
      </c>
      <c r="AA58" s="4" t="s">
        <v>276</v>
      </c>
      <c r="AB58" s="4" t="s">
        <v>276</v>
      </c>
      <c r="AC58" s="4" t="s">
        <v>276</v>
      </c>
    </row>
    <row r="59" spans="1:29" x14ac:dyDescent="0.15">
      <c r="A59" s="6" t="s">
        <v>401</v>
      </c>
      <c r="B59" s="3">
        <v>52</v>
      </c>
      <c r="C59" s="4" t="s">
        <v>3</v>
      </c>
      <c r="D59" s="4" t="s">
        <v>3</v>
      </c>
      <c r="E59" s="4" t="s">
        <v>8</v>
      </c>
      <c r="F59" s="4" t="s">
        <v>397</v>
      </c>
      <c r="G59" s="4" t="s">
        <v>276</v>
      </c>
      <c r="H59" s="4" t="s">
        <v>323</v>
      </c>
      <c r="I59" s="4" t="s">
        <v>240</v>
      </c>
      <c r="J59" s="4" t="s">
        <v>241</v>
      </c>
      <c r="K59" s="4" t="s">
        <v>277</v>
      </c>
      <c r="L59" s="4" t="s">
        <v>279</v>
      </c>
      <c r="M59" s="4" t="s">
        <v>276</v>
      </c>
      <c r="N59" s="4"/>
      <c r="O59" s="4" t="s">
        <v>276</v>
      </c>
      <c r="P59" s="4" t="s">
        <v>284</v>
      </c>
      <c r="Q59" s="4" t="s">
        <v>276</v>
      </c>
      <c r="R59" s="4" t="s">
        <v>276</v>
      </c>
      <c r="S59" s="4" t="s">
        <v>279</v>
      </c>
      <c r="T59" s="4" t="s">
        <v>280</v>
      </c>
      <c r="U59" s="4" t="s">
        <v>284</v>
      </c>
      <c r="V59" s="4" t="s">
        <v>280</v>
      </c>
      <c r="W59" s="4" t="s">
        <v>276</v>
      </c>
      <c r="X59" s="4" t="s">
        <v>287</v>
      </c>
      <c r="Y59" s="4" t="s">
        <v>288</v>
      </c>
      <c r="Z59" s="4" t="s">
        <v>284</v>
      </c>
      <c r="AA59" s="4" t="s">
        <v>280</v>
      </c>
      <c r="AB59" s="4" t="s">
        <v>398</v>
      </c>
      <c r="AC59" s="4" t="s">
        <v>426</v>
      </c>
    </row>
    <row r="60" spans="1:29" x14ac:dyDescent="0.15">
      <c r="A60" s="6" t="s">
        <v>402</v>
      </c>
      <c r="B60" s="3">
        <v>53</v>
      </c>
      <c r="C60" s="4" t="s">
        <v>2</v>
      </c>
      <c r="D60" s="4" t="s">
        <v>3</v>
      </c>
      <c r="E60" s="4" t="s">
        <v>8</v>
      </c>
      <c r="F60" s="4" t="s">
        <v>322</v>
      </c>
      <c r="G60" s="4" t="s">
        <v>276</v>
      </c>
      <c r="H60" s="4" t="s">
        <v>324</v>
      </c>
      <c r="I60" s="4" t="s">
        <v>87</v>
      </c>
      <c r="J60" s="4" t="s">
        <v>88</v>
      </c>
      <c r="K60" s="4" t="s">
        <v>277</v>
      </c>
      <c r="L60" s="4" t="s">
        <v>277</v>
      </c>
      <c r="M60" s="4" t="s">
        <v>276</v>
      </c>
      <c r="N60" s="4"/>
      <c r="O60" s="4" t="s">
        <v>276</v>
      </c>
      <c r="P60" s="4" t="s">
        <v>284</v>
      </c>
      <c r="Q60" s="4" t="s">
        <v>276</v>
      </c>
      <c r="R60" s="4" t="s">
        <v>276</v>
      </c>
      <c r="S60" s="4" t="s">
        <v>277</v>
      </c>
      <c r="T60" s="4" t="s">
        <v>280</v>
      </c>
      <c r="U60" s="4" t="s">
        <v>281</v>
      </c>
      <c r="V60" s="4" t="s">
        <v>281</v>
      </c>
      <c r="W60" s="4" t="s">
        <v>276</v>
      </c>
      <c r="X60" s="4" t="s">
        <v>276</v>
      </c>
      <c r="Y60" s="4" t="s">
        <v>276</v>
      </c>
      <c r="Z60" s="4" t="s">
        <v>276</v>
      </c>
      <c r="AA60" s="4" t="s">
        <v>276</v>
      </c>
      <c r="AB60" s="4" t="s">
        <v>276</v>
      </c>
      <c r="AC60" s="4" t="s">
        <v>276</v>
      </c>
    </row>
    <row r="61" spans="1:29" x14ac:dyDescent="0.15">
      <c r="A61" s="6" t="s">
        <v>402</v>
      </c>
      <c r="B61" s="3">
        <v>54</v>
      </c>
      <c r="C61" s="4" t="s">
        <v>0</v>
      </c>
      <c r="D61" s="4" t="s">
        <v>3</v>
      </c>
      <c r="E61" s="4" t="s">
        <v>8</v>
      </c>
      <c r="F61" s="4" t="s">
        <v>322</v>
      </c>
      <c r="G61" s="4" t="s">
        <v>276</v>
      </c>
      <c r="H61" s="4" t="s">
        <v>217</v>
      </c>
      <c r="I61" s="4" t="s">
        <v>85</v>
      </c>
      <c r="J61" s="4" t="s">
        <v>86</v>
      </c>
      <c r="K61" s="4" t="s">
        <v>277</v>
      </c>
      <c r="L61" s="4" t="s">
        <v>291</v>
      </c>
      <c r="M61" s="4" t="s">
        <v>276</v>
      </c>
      <c r="N61" s="4"/>
      <c r="O61" s="4" t="s">
        <v>276</v>
      </c>
      <c r="P61" s="4" t="s">
        <v>305</v>
      </c>
      <c r="Q61" s="4" t="s">
        <v>276</v>
      </c>
      <c r="R61" s="4" t="s">
        <v>276</v>
      </c>
      <c r="S61" s="4" t="s">
        <v>291</v>
      </c>
      <c r="T61" s="4" t="s">
        <v>280</v>
      </c>
      <c r="U61" s="4" t="s">
        <v>281</v>
      </c>
      <c r="V61" s="4" t="s">
        <v>281</v>
      </c>
      <c r="W61" s="4" t="s">
        <v>276</v>
      </c>
      <c r="X61" s="4" t="s">
        <v>276</v>
      </c>
      <c r="Y61" s="4" t="s">
        <v>276</v>
      </c>
      <c r="Z61" s="4" t="s">
        <v>276</v>
      </c>
      <c r="AA61" s="4" t="s">
        <v>276</v>
      </c>
      <c r="AB61" s="4" t="s">
        <v>276</v>
      </c>
      <c r="AC61" s="4" t="s">
        <v>276</v>
      </c>
    </row>
    <row r="62" spans="1:29" x14ac:dyDescent="0.15">
      <c r="A62" s="6" t="s">
        <v>402</v>
      </c>
      <c r="B62" s="3">
        <v>55</v>
      </c>
      <c r="C62" s="4" t="s">
        <v>0</v>
      </c>
      <c r="D62" s="4" t="s">
        <v>3</v>
      </c>
      <c r="E62" s="4" t="s">
        <v>8</v>
      </c>
      <c r="F62" s="4" t="s">
        <v>322</v>
      </c>
      <c r="G62" s="4" t="s">
        <v>276</v>
      </c>
      <c r="H62" s="4" t="s">
        <v>218</v>
      </c>
      <c r="I62" s="4" t="s">
        <v>242</v>
      </c>
      <c r="J62" s="4" t="s">
        <v>243</v>
      </c>
      <c r="K62" s="4" t="s">
        <v>277</v>
      </c>
      <c r="L62" s="4" t="s">
        <v>291</v>
      </c>
      <c r="M62" s="4" t="s">
        <v>276</v>
      </c>
      <c r="N62" s="4"/>
      <c r="O62" s="4" t="s">
        <v>276</v>
      </c>
      <c r="P62" s="4" t="s">
        <v>284</v>
      </c>
      <c r="Q62" s="4" t="s">
        <v>276</v>
      </c>
      <c r="R62" s="4" t="s">
        <v>276</v>
      </c>
      <c r="S62" s="4" t="s">
        <v>325</v>
      </c>
      <c r="T62" s="4" t="s">
        <v>280</v>
      </c>
      <c r="U62" s="4" t="s">
        <v>281</v>
      </c>
      <c r="V62" s="4" t="s">
        <v>281</v>
      </c>
      <c r="W62" s="4" t="s">
        <v>276</v>
      </c>
      <c r="X62" s="4" t="s">
        <v>276</v>
      </c>
      <c r="Y62" s="4" t="s">
        <v>276</v>
      </c>
      <c r="Z62" s="4" t="s">
        <v>276</v>
      </c>
      <c r="AA62" s="4" t="s">
        <v>276</v>
      </c>
      <c r="AB62" s="4" t="s">
        <v>276</v>
      </c>
      <c r="AC62" s="4" t="s">
        <v>276</v>
      </c>
    </row>
    <row r="63" spans="1:29" x14ac:dyDescent="0.15">
      <c r="A63" s="6" t="s">
        <v>402</v>
      </c>
      <c r="B63" s="3">
        <v>56</v>
      </c>
      <c r="C63" s="4" t="s">
        <v>0</v>
      </c>
      <c r="D63" s="4" t="s">
        <v>3</v>
      </c>
      <c r="E63" s="4" t="s">
        <v>8</v>
      </c>
      <c r="F63" s="4" t="s">
        <v>322</v>
      </c>
      <c r="G63" s="4" t="s">
        <v>276</v>
      </c>
      <c r="H63" s="4" t="s">
        <v>219</v>
      </c>
      <c r="I63" s="4" t="s">
        <v>91</v>
      </c>
      <c r="J63" s="4" t="s">
        <v>92</v>
      </c>
      <c r="K63" s="4" t="s">
        <v>277</v>
      </c>
      <c r="L63" s="4" t="s">
        <v>291</v>
      </c>
      <c r="M63" s="4" t="s">
        <v>276</v>
      </c>
      <c r="N63" s="4"/>
      <c r="O63" s="4" t="s">
        <v>276</v>
      </c>
      <c r="P63" s="4" t="s">
        <v>284</v>
      </c>
      <c r="Q63" s="4" t="s">
        <v>276</v>
      </c>
      <c r="R63" s="4" t="s">
        <v>276</v>
      </c>
      <c r="S63" s="4" t="s">
        <v>291</v>
      </c>
      <c r="T63" s="4" t="s">
        <v>280</v>
      </c>
      <c r="U63" s="4" t="s">
        <v>281</v>
      </c>
      <c r="V63" s="4" t="s">
        <v>281</v>
      </c>
      <c r="W63" s="4" t="s">
        <v>276</v>
      </c>
      <c r="X63" s="4" t="s">
        <v>276</v>
      </c>
      <c r="Y63" s="4" t="s">
        <v>276</v>
      </c>
      <c r="Z63" s="4" t="s">
        <v>276</v>
      </c>
      <c r="AA63" s="4" t="s">
        <v>276</v>
      </c>
      <c r="AB63" s="4" t="s">
        <v>276</v>
      </c>
      <c r="AC63" s="4" t="s">
        <v>276</v>
      </c>
    </row>
    <row r="64" spans="1:29" x14ac:dyDescent="0.15">
      <c r="A64" s="6" t="s">
        <v>401</v>
      </c>
      <c r="B64" s="3">
        <v>57</v>
      </c>
      <c r="C64" s="4" t="s">
        <v>3</v>
      </c>
      <c r="D64" s="4" t="s">
        <v>3</v>
      </c>
      <c r="E64" s="4" t="s">
        <v>8</v>
      </c>
      <c r="F64" s="4" t="s">
        <v>326</v>
      </c>
      <c r="G64" s="4" t="s">
        <v>276</v>
      </c>
      <c r="H64" s="4" t="s">
        <v>327</v>
      </c>
      <c r="I64" s="4" t="s">
        <v>93</v>
      </c>
      <c r="J64" s="4" t="s">
        <v>94</v>
      </c>
      <c r="K64" s="4" t="s">
        <v>277</v>
      </c>
      <c r="L64" s="4" t="s">
        <v>279</v>
      </c>
      <c r="M64" s="4" t="s">
        <v>276</v>
      </c>
      <c r="N64" s="4"/>
      <c r="O64" s="4" t="s">
        <v>276</v>
      </c>
      <c r="P64" s="4" t="s">
        <v>295</v>
      </c>
      <c r="Q64" s="4" t="s">
        <v>276</v>
      </c>
      <c r="R64" s="4" t="s">
        <v>276</v>
      </c>
      <c r="S64" s="4" t="s">
        <v>279</v>
      </c>
      <c r="T64" s="4" t="s">
        <v>280</v>
      </c>
      <c r="U64" s="4" t="s">
        <v>284</v>
      </c>
      <c r="V64" s="4" t="s">
        <v>280</v>
      </c>
      <c r="W64" s="4" t="s">
        <v>276</v>
      </c>
      <c r="X64" s="4" t="s">
        <v>287</v>
      </c>
      <c r="Y64" s="4" t="s">
        <v>288</v>
      </c>
      <c r="Z64" s="4" t="s">
        <v>284</v>
      </c>
      <c r="AA64" s="4" t="s">
        <v>280</v>
      </c>
      <c r="AB64" s="4" t="s">
        <v>289</v>
      </c>
      <c r="AC64" s="4" t="s">
        <v>290</v>
      </c>
    </row>
    <row r="65" spans="1:29" x14ac:dyDescent="0.15">
      <c r="A65" s="6" t="s">
        <v>402</v>
      </c>
      <c r="B65" s="3">
        <v>58</v>
      </c>
      <c r="C65" s="4" t="s">
        <v>2</v>
      </c>
      <c r="D65" s="4" t="s">
        <v>3</v>
      </c>
      <c r="E65" s="4" t="s">
        <v>8</v>
      </c>
      <c r="F65" s="4" t="s">
        <v>326</v>
      </c>
      <c r="G65" s="4" t="s">
        <v>276</v>
      </c>
      <c r="H65" s="4" t="s">
        <v>328</v>
      </c>
      <c r="I65" s="4" t="s">
        <v>95</v>
      </c>
      <c r="J65" s="4" t="s">
        <v>96</v>
      </c>
      <c r="K65" s="4" t="s">
        <v>277</v>
      </c>
      <c r="L65" s="4" t="s">
        <v>277</v>
      </c>
      <c r="M65" s="4" t="s">
        <v>276</v>
      </c>
      <c r="N65" s="4"/>
      <c r="O65" s="4" t="s">
        <v>276</v>
      </c>
      <c r="P65" s="4" t="s">
        <v>295</v>
      </c>
      <c r="Q65" s="4" t="s">
        <v>276</v>
      </c>
      <c r="R65" s="4" t="s">
        <v>276</v>
      </c>
      <c r="S65" s="4" t="s">
        <v>277</v>
      </c>
      <c r="T65" s="4" t="s">
        <v>280</v>
      </c>
      <c r="U65" s="4" t="s">
        <v>281</v>
      </c>
      <c r="V65" s="4" t="s">
        <v>281</v>
      </c>
      <c r="W65" s="4" t="s">
        <v>276</v>
      </c>
      <c r="X65" s="4" t="s">
        <v>276</v>
      </c>
      <c r="Y65" s="4" t="s">
        <v>276</v>
      </c>
      <c r="Z65" s="4" t="s">
        <v>276</v>
      </c>
      <c r="AA65" s="4" t="s">
        <v>276</v>
      </c>
      <c r="AB65" s="4" t="s">
        <v>276</v>
      </c>
      <c r="AC65" s="4" t="s">
        <v>276</v>
      </c>
    </row>
    <row r="66" spans="1:29" x14ac:dyDescent="0.15">
      <c r="A66" s="6" t="s">
        <v>402</v>
      </c>
      <c r="B66" s="3">
        <v>59</v>
      </c>
      <c r="C66" s="4" t="s">
        <v>0</v>
      </c>
      <c r="D66" s="4" t="s">
        <v>3</v>
      </c>
      <c r="E66" s="4" t="s">
        <v>8</v>
      </c>
      <c r="F66" s="4" t="s">
        <v>326</v>
      </c>
      <c r="G66" s="4" t="s">
        <v>276</v>
      </c>
      <c r="H66" s="4" t="s">
        <v>220</v>
      </c>
      <c r="I66" s="4" t="s">
        <v>244</v>
      </c>
      <c r="J66" s="4" t="s">
        <v>245</v>
      </c>
      <c r="K66" s="4" t="s">
        <v>277</v>
      </c>
      <c r="L66" s="4" t="s">
        <v>291</v>
      </c>
      <c r="M66" s="4" t="s">
        <v>276</v>
      </c>
      <c r="N66" s="4"/>
      <c r="O66" s="4" t="s">
        <v>276</v>
      </c>
      <c r="P66" s="4" t="s">
        <v>295</v>
      </c>
      <c r="Q66" s="4" t="s">
        <v>276</v>
      </c>
      <c r="R66" s="4" t="s">
        <v>276</v>
      </c>
      <c r="S66" s="4" t="s">
        <v>291</v>
      </c>
      <c r="T66" s="4" t="s">
        <v>280</v>
      </c>
      <c r="U66" s="4" t="s">
        <v>281</v>
      </c>
      <c r="V66" s="4" t="s">
        <v>281</v>
      </c>
      <c r="W66" s="4" t="s">
        <v>276</v>
      </c>
      <c r="X66" s="4" t="s">
        <v>276</v>
      </c>
      <c r="Y66" s="4" t="s">
        <v>276</v>
      </c>
      <c r="Z66" s="4" t="s">
        <v>276</v>
      </c>
      <c r="AA66" s="4" t="s">
        <v>276</v>
      </c>
      <c r="AB66" s="4" t="s">
        <v>276</v>
      </c>
      <c r="AC66" s="4" t="s">
        <v>276</v>
      </c>
    </row>
    <row r="67" spans="1:29" x14ac:dyDescent="0.15">
      <c r="A67" s="6" t="s">
        <v>402</v>
      </c>
      <c r="B67" s="3">
        <v>60</v>
      </c>
      <c r="C67" s="4" t="s">
        <v>0</v>
      </c>
      <c r="D67" s="4" t="s">
        <v>3</v>
      </c>
      <c r="E67" s="4" t="s">
        <v>8</v>
      </c>
      <c r="F67" s="4" t="s">
        <v>326</v>
      </c>
      <c r="G67" s="4" t="s">
        <v>276</v>
      </c>
      <c r="H67" s="4" t="s">
        <v>221</v>
      </c>
      <c r="I67" s="4" t="s">
        <v>97</v>
      </c>
      <c r="J67" s="4" t="s">
        <v>98</v>
      </c>
      <c r="K67" s="4" t="s">
        <v>277</v>
      </c>
      <c r="L67" s="4" t="s">
        <v>291</v>
      </c>
      <c r="M67" s="4" t="s">
        <v>276</v>
      </c>
      <c r="N67" s="4"/>
      <c r="O67" s="4" t="s">
        <v>276</v>
      </c>
      <c r="P67" s="4" t="s">
        <v>295</v>
      </c>
      <c r="Q67" s="4" t="s">
        <v>276</v>
      </c>
      <c r="R67" s="4" t="s">
        <v>276</v>
      </c>
      <c r="S67" s="4" t="s">
        <v>291</v>
      </c>
      <c r="T67" s="4" t="s">
        <v>280</v>
      </c>
      <c r="U67" s="4" t="s">
        <v>281</v>
      </c>
      <c r="V67" s="4" t="s">
        <v>281</v>
      </c>
      <c r="W67" s="4" t="s">
        <v>276</v>
      </c>
      <c r="X67" s="4" t="s">
        <v>276</v>
      </c>
      <c r="Y67" s="4" t="s">
        <v>276</v>
      </c>
      <c r="Z67" s="4" t="s">
        <v>276</v>
      </c>
      <c r="AA67" s="4" t="s">
        <v>276</v>
      </c>
      <c r="AB67" s="4" t="s">
        <v>276</v>
      </c>
      <c r="AC67" s="4" t="s">
        <v>276</v>
      </c>
    </row>
    <row r="68" spans="1:29" x14ac:dyDescent="0.15">
      <c r="A68" s="6" t="s">
        <v>402</v>
      </c>
      <c r="B68" s="3">
        <v>61</v>
      </c>
      <c r="C68" s="4" t="s">
        <v>0</v>
      </c>
      <c r="D68" s="4" t="s">
        <v>3</v>
      </c>
      <c r="E68" s="4" t="s">
        <v>8</v>
      </c>
      <c r="F68" s="4" t="s">
        <v>400</v>
      </c>
      <c r="G68" s="4" t="s">
        <v>276</v>
      </c>
      <c r="H68" s="4" t="s">
        <v>222</v>
      </c>
      <c r="I68" s="4" t="s">
        <v>99</v>
      </c>
      <c r="J68" s="4" t="s">
        <v>100</v>
      </c>
      <c r="K68" s="4" t="s">
        <v>277</v>
      </c>
      <c r="L68" s="4" t="s">
        <v>291</v>
      </c>
      <c r="M68" s="4" t="s">
        <v>276</v>
      </c>
      <c r="N68" s="4"/>
      <c r="O68" s="4" t="s">
        <v>276</v>
      </c>
      <c r="P68" s="4" t="s">
        <v>295</v>
      </c>
      <c r="Q68" s="4" t="s">
        <v>276</v>
      </c>
      <c r="R68" s="4" t="s">
        <v>276</v>
      </c>
      <c r="S68" s="4" t="s">
        <v>291</v>
      </c>
      <c r="T68" s="4" t="s">
        <v>280</v>
      </c>
      <c r="U68" s="4" t="s">
        <v>281</v>
      </c>
      <c r="V68" s="4" t="s">
        <v>281</v>
      </c>
      <c r="W68" s="4" t="s">
        <v>276</v>
      </c>
      <c r="X68" s="4" t="s">
        <v>276</v>
      </c>
      <c r="Y68" s="4" t="s">
        <v>276</v>
      </c>
      <c r="Z68" s="4" t="s">
        <v>276</v>
      </c>
      <c r="AA68" s="4" t="s">
        <v>276</v>
      </c>
      <c r="AB68" s="4" t="s">
        <v>276</v>
      </c>
      <c r="AC68" s="4" t="s">
        <v>276</v>
      </c>
    </row>
    <row r="69" spans="1:29" x14ac:dyDescent="0.15">
      <c r="A69" s="6" t="s">
        <v>401</v>
      </c>
      <c r="B69" s="3">
        <v>62</v>
      </c>
      <c r="C69" s="4" t="s">
        <v>3</v>
      </c>
      <c r="D69" s="4" t="s">
        <v>3</v>
      </c>
      <c r="E69" s="4" t="s">
        <v>8</v>
      </c>
      <c r="F69" s="4" t="s">
        <v>399</v>
      </c>
      <c r="G69" s="4" t="s">
        <v>276</v>
      </c>
      <c r="H69" s="4" t="s">
        <v>223</v>
      </c>
      <c r="I69" s="4" t="s">
        <v>101</v>
      </c>
      <c r="J69" s="4" t="s">
        <v>102</v>
      </c>
      <c r="K69" s="4" t="s">
        <v>277</v>
      </c>
      <c r="L69" s="4" t="s">
        <v>279</v>
      </c>
      <c r="M69" s="4" t="s">
        <v>276</v>
      </c>
      <c r="N69" s="4"/>
      <c r="O69" s="4" t="s">
        <v>276</v>
      </c>
      <c r="P69" s="4" t="s">
        <v>278</v>
      </c>
      <c r="Q69" s="4" t="s">
        <v>276</v>
      </c>
      <c r="R69" s="4" t="s">
        <v>276</v>
      </c>
      <c r="S69" s="4" t="s">
        <v>279</v>
      </c>
      <c r="T69" s="4" t="s">
        <v>280</v>
      </c>
      <c r="U69" s="4" t="s">
        <v>284</v>
      </c>
      <c r="V69" s="4" t="s">
        <v>280</v>
      </c>
      <c r="W69" s="4" t="s">
        <v>276</v>
      </c>
      <c r="X69" s="4" t="s">
        <v>287</v>
      </c>
      <c r="Y69" s="4" t="s">
        <v>288</v>
      </c>
      <c r="Z69" s="4" t="s">
        <v>284</v>
      </c>
      <c r="AA69" s="4" t="s">
        <v>280</v>
      </c>
      <c r="AB69" s="4" t="s">
        <v>289</v>
      </c>
      <c r="AC69" s="4" t="s">
        <v>290</v>
      </c>
    </row>
    <row r="70" spans="1:29" x14ac:dyDescent="0.15">
      <c r="A70" s="6" t="s">
        <v>401</v>
      </c>
      <c r="B70" s="3">
        <v>63</v>
      </c>
      <c r="C70" s="4" t="s">
        <v>3</v>
      </c>
      <c r="D70" s="4" t="s">
        <v>2</v>
      </c>
      <c r="E70" s="4" t="s">
        <v>8</v>
      </c>
      <c r="F70" s="4" t="s">
        <v>6</v>
      </c>
      <c r="G70" s="4" t="s">
        <v>276</v>
      </c>
      <c r="H70" s="4" t="s">
        <v>224</v>
      </c>
      <c r="I70" s="4" t="s">
        <v>79</v>
      </c>
      <c r="J70" s="4" t="s">
        <v>103</v>
      </c>
      <c r="K70" s="4" t="s">
        <v>277</v>
      </c>
      <c r="L70" s="4" t="s">
        <v>278</v>
      </c>
      <c r="M70" s="4" t="s">
        <v>276</v>
      </c>
      <c r="N70" s="4"/>
      <c r="O70" s="4" t="s">
        <v>276</v>
      </c>
      <c r="P70" s="4" t="s">
        <v>278</v>
      </c>
      <c r="Q70" s="4" t="s">
        <v>276</v>
      </c>
      <c r="R70" s="4" t="s">
        <v>276</v>
      </c>
      <c r="S70" s="4" t="s">
        <v>278</v>
      </c>
      <c r="T70" s="4" t="s">
        <v>280</v>
      </c>
      <c r="U70" s="4" t="s">
        <v>305</v>
      </c>
      <c r="V70" s="4" t="s">
        <v>280</v>
      </c>
      <c r="W70" s="4" t="s">
        <v>276</v>
      </c>
      <c r="X70" s="4" t="s">
        <v>287</v>
      </c>
      <c r="Y70" s="4" t="s">
        <v>288</v>
      </c>
      <c r="Z70" s="4" t="s">
        <v>305</v>
      </c>
      <c r="AA70" s="4" t="s">
        <v>280</v>
      </c>
      <c r="AB70" s="4" t="s">
        <v>289</v>
      </c>
      <c r="AC70" s="4" t="s">
        <v>290</v>
      </c>
    </row>
    <row r="71" spans="1:29" x14ac:dyDescent="0.15">
      <c r="A71" s="6" t="s">
        <v>401</v>
      </c>
      <c r="B71" s="3">
        <v>64</v>
      </c>
      <c r="C71" s="4" t="s">
        <v>3</v>
      </c>
      <c r="D71" s="4" t="s">
        <v>0</v>
      </c>
      <c r="E71" s="4" t="s">
        <v>8</v>
      </c>
      <c r="F71" s="4" t="s">
        <v>6</v>
      </c>
      <c r="G71" s="4" t="s">
        <v>276</v>
      </c>
      <c r="H71" s="4" t="s">
        <v>225</v>
      </c>
      <c r="I71" s="4" t="s">
        <v>104</v>
      </c>
      <c r="J71" s="4" t="s">
        <v>105</v>
      </c>
      <c r="K71" s="4" t="s">
        <v>277</v>
      </c>
      <c r="L71" s="4" t="s">
        <v>329</v>
      </c>
      <c r="M71" s="4" t="s">
        <v>276</v>
      </c>
      <c r="N71" s="4"/>
      <c r="O71" s="4" t="s">
        <v>276</v>
      </c>
      <c r="P71" s="4" t="s">
        <v>278</v>
      </c>
      <c r="Q71" s="4" t="s">
        <v>276</v>
      </c>
      <c r="R71" s="4" t="s">
        <v>276</v>
      </c>
      <c r="S71" s="4" t="s">
        <v>329</v>
      </c>
      <c r="T71" s="4" t="s">
        <v>280</v>
      </c>
      <c r="U71" s="4" t="s">
        <v>330</v>
      </c>
      <c r="V71" s="4" t="s">
        <v>280</v>
      </c>
      <c r="W71" s="4" t="s">
        <v>276</v>
      </c>
      <c r="X71" s="4" t="s">
        <v>287</v>
      </c>
      <c r="Y71" s="4" t="s">
        <v>288</v>
      </c>
      <c r="Z71" s="4" t="s">
        <v>330</v>
      </c>
      <c r="AA71" s="4" t="s">
        <v>280</v>
      </c>
      <c r="AB71" s="4" t="s">
        <v>289</v>
      </c>
      <c r="AC71" s="4" t="s">
        <v>290</v>
      </c>
    </row>
    <row r="72" spans="1:29" x14ac:dyDescent="0.15">
      <c r="A72" s="6" t="s">
        <v>402</v>
      </c>
      <c r="B72" s="3">
        <v>65</v>
      </c>
      <c r="C72" s="4" t="s">
        <v>2</v>
      </c>
      <c r="D72" s="4" t="s">
        <v>3</v>
      </c>
      <c r="E72" s="4" t="s">
        <v>8</v>
      </c>
      <c r="F72" s="4" t="s">
        <v>6</v>
      </c>
      <c r="G72" s="4" t="s">
        <v>276</v>
      </c>
      <c r="H72" s="4" t="s">
        <v>226</v>
      </c>
      <c r="I72" s="4" t="s">
        <v>106</v>
      </c>
      <c r="J72" s="4" t="s">
        <v>107</v>
      </c>
      <c r="K72" s="4" t="s">
        <v>277</v>
      </c>
      <c r="L72" s="4" t="s">
        <v>277</v>
      </c>
      <c r="M72" s="4" t="s">
        <v>276</v>
      </c>
      <c r="N72" s="4"/>
      <c r="O72" s="4" t="s">
        <v>276</v>
      </c>
      <c r="P72" s="4" t="s">
        <v>279</v>
      </c>
      <c r="Q72" s="4" t="s">
        <v>276</v>
      </c>
      <c r="R72" s="4" t="s">
        <v>276</v>
      </c>
      <c r="S72" s="4" t="s">
        <v>277</v>
      </c>
      <c r="T72" s="4" t="s">
        <v>280</v>
      </c>
      <c r="U72" s="4" t="s">
        <v>281</v>
      </c>
      <c r="V72" s="4" t="s">
        <v>281</v>
      </c>
      <c r="W72" s="4" t="s">
        <v>276</v>
      </c>
      <c r="X72" s="4" t="s">
        <v>276</v>
      </c>
      <c r="Y72" s="4" t="s">
        <v>276</v>
      </c>
      <c r="Z72" s="4" t="s">
        <v>276</v>
      </c>
      <c r="AA72" s="4" t="s">
        <v>276</v>
      </c>
      <c r="AB72" s="4" t="s">
        <v>276</v>
      </c>
      <c r="AC72" s="4" t="s">
        <v>276</v>
      </c>
    </row>
    <row r="73" spans="1:29" x14ac:dyDescent="0.15">
      <c r="A73" s="6" t="s">
        <v>402</v>
      </c>
      <c r="B73" s="3">
        <v>66</v>
      </c>
      <c r="C73" s="4" t="s">
        <v>2</v>
      </c>
      <c r="D73" s="4" t="s">
        <v>2</v>
      </c>
      <c r="E73" s="4" t="s">
        <v>8</v>
      </c>
      <c r="F73" s="4" t="s">
        <v>6</v>
      </c>
      <c r="G73" s="4" t="s">
        <v>276</v>
      </c>
      <c r="H73" s="4" t="s">
        <v>227</v>
      </c>
      <c r="I73" s="4" t="s">
        <v>108</v>
      </c>
      <c r="J73" s="4" t="s">
        <v>109</v>
      </c>
      <c r="K73" s="4" t="s">
        <v>277</v>
      </c>
      <c r="L73" s="4" t="s">
        <v>277</v>
      </c>
      <c r="M73" s="4" t="s">
        <v>276</v>
      </c>
      <c r="N73" s="4"/>
      <c r="O73" s="4" t="s">
        <v>276</v>
      </c>
      <c r="P73" s="4" t="s">
        <v>277</v>
      </c>
      <c r="Q73" s="4" t="s">
        <v>276</v>
      </c>
      <c r="R73" s="4" t="s">
        <v>276</v>
      </c>
      <c r="S73" s="4" t="s">
        <v>277</v>
      </c>
      <c r="T73" s="4" t="s">
        <v>280</v>
      </c>
      <c r="U73" s="4" t="s">
        <v>281</v>
      </c>
      <c r="V73" s="4" t="s">
        <v>281</v>
      </c>
      <c r="W73" s="4" t="s">
        <v>276</v>
      </c>
      <c r="X73" s="4" t="s">
        <v>276</v>
      </c>
      <c r="Y73" s="4" t="s">
        <v>276</v>
      </c>
      <c r="Z73" s="4" t="s">
        <v>276</v>
      </c>
      <c r="AA73" s="4" t="s">
        <v>276</v>
      </c>
      <c r="AB73" s="4" t="s">
        <v>276</v>
      </c>
      <c r="AC73" s="4" t="s">
        <v>276</v>
      </c>
    </row>
    <row r="74" spans="1:29" x14ac:dyDescent="0.15">
      <c r="A74" s="6" t="s">
        <v>402</v>
      </c>
      <c r="B74" s="3">
        <v>67</v>
      </c>
      <c r="C74" s="4" t="s">
        <v>2</v>
      </c>
      <c r="D74" s="4" t="s">
        <v>0</v>
      </c>
      <c r="E74" s="4" t="s">
        <v>8</v>
      </c>
      <c r="F74" s="4" t="s">
        <v>6</v>
      </c>
      <c r="G74" s="4" t="s">
        <v>276</v>
      </c>
      <c r="H74" s="4" t="s">
        <v>226</v>
      </c>
      <c r="I74" s="4" t="s">
        <v>110</v>
      </c>
      <c r="J74" s="4" t="s">
        <v>111</v>
      </c>
      <c r="K74" s="4" t="s">
        <v>277</v>
      </c>
      <c r="L74" s="4" t="s">
        <v>277</v>
      </c>
      <c r="M74" s="4" t="s">
        <v>276</v>
      </c>
      <c r="N74" s="4"/>
      <c r="O74" s="4" t="s">
        <v>276</v>
      </c>
      <c r="P74" s="4" t="s">
        <v>291</v>
      </c>
      <c r="Q74" s="4" t="s">
        <v>276</v>
      </c>
      <c r="R74" s="4" t="s">
        <v>276</v>
      </c>
      <c r="S74" s="4" t="s">
        <v>277</v>
      </c>
      <c r="T74" s="4" t="s">
        <v>280</v>
      </c>
      <c r="U74" s="4" t="s">
        <v>281</v>
      </c>
      <c r="V74" s="4" t="s">
        <v>281</v>
      </c>
      <c r="W74" s="4" t="s">
        <v>276</v>
      </c>
      <c r="X74" s="4" t="s">
        <v>276</v>
      </c>
      <c r="Y74" s="4" t="s">
        <v>276</v>
      </c>
      <c r="Z74" s="4" t="s">
        <v>276</v>
      </c>
      <c r="AA74" s="4" t="s">
        <v>276</v>
      </c>
      <c r="AB74" s="4" t="s">
        <v>276</v>
      </c>
      <c r="AC74" s="4" t="s">
        <v>276</v>
      </c>
    </row>
    <row r="75" spans="1:29" x14ac:dyDescent="0.15">
      <c r="A75" s="6" t="s">
        <v>402</v>
      </c>
      <c r="B75" s="3">
        <v>68</v>
      </c>
      <c r="C75" s="4" t="s">
        <v>0</v>
      </c>
      <c r="D75" s="4" t="s">
        <v>3</v>
      </c>
      <c r="E75" s="4" t="s">
        <v>8</v>
      </c>
      <c r="F75" s="4" t="s">
        <v>6</v>
      </c>
      <c r="G75" s="4" t="s">
        <v>276</v>
      </c>
      <c r="H75" s="4" t="s">
        <v>228</v>
      </c>
      <c r="I75" s="4" t="s">
        <v>246</v>
      </c>
      <c r="J75" s="4" t="s">
        <v>247</v>
      </c>
      <c r="K75" s="4" t="s">
        <v>277</v>
      </c>
      <c r="L75" s="4" t="s">
        <v>291</v>
      </c>
      <c r="M75" s="4" t="s">
        <v>276</v>
      </c>
      <c r="N75" s="4"/>
      <c r="O75" s="4" t="s">
        <v>276</v>
      </c>
      <c r="P75" s="4" t="s">
        <v>279</v>
      </c>
      <c r="Q75" s="4" t="s">
        <v>276</v>
      </c>
      <c r="R75" s="4" t="s">
        <v>276</v>
      </c>
      <c r="S75" s="4" t="s">
        <v>291</v>
      </c>
      <c r="T75" s="4" t="s">
        <v>280</v>
      </c>
      <c r="U75" s="4" t="s">
        <v>281</v>
      </c>
      <c r="V75" s="4" t="s">
        <v>281</v>
      </c>
      <c r="W75" s="4" t="s">
        <v>276</v>
      </c>
      <c r="X75" s="4" t="s">
        <v>276</v>
      </c>
      <c r="Y75" s="4" t="s">
        <v>276</v>
      </c>
      <c r="Z75" s="4" t="s">
        <v>276</v>
      </c>
      <c r="AA75" s="4" t="s">
        <v>276</v>
      </c>
      <c r="AB75" s="4" t="s">
        <v>276</v>
      </c>
      <c r="AC75" s="4" t="s">
        <v>276</v>
      </c>
    </row>
    <row r="76" spans="1:29" x14ac:dyDescent="0.15">
      <c r="A76" s="6" t="s">
        <v>402</v>
      </c>
      <c r="B76" s="3">
        <v>69</v>
      </c>
      <c r="C76" s="4" t="s">
        <v>0</v>
      </c>
      <c r="D76" s="4" t="s">
        <v>3</v>
      </c>
      <c r="E76" s="4" t="s">
        <v>8</v>
      </c>
      <c r="F76" s="4" t="s">
        <v>6</v>
      </c>
      <c r="G76" s="4" t="s">
        <v>276</v>
      </c>
      <c r="H76" s="4" t="s">
        <v>229</v>
      </c>
      <c r="I76" s="4" t="s">
        <v>112</v>
      </c>
      <c r="J76" s="4" t="s">
        <v>113</v>
      </c>
      <c r="K76" s="4" t="s">
        <v>277</v>
      </c>
      <c r="L76" s="4" t="s">
        <v>291</v>
      </c>
      <c r="M76" s="4" t="s">
        <v>276</v>
      </c>
      <c r="N76" s="4"/>
      <c r="O76" s="4" t="s">
        <v>276</v>
      </c>
      <c r="P76" s="4" t="s">
        <v>277</v>
      </c>
      <c r="Q76" s="4" t="s">
        <v>276</v>
      </c>
      <c r="R76" s="4" t="s">
        <v>276</v>
      </c>
      <c r="S76" s="4" t="s">
        <v>291</v>
      </c>
      <c r="T76" s="4" t="s">
        <v>280</v>
      </c>
      <c r="U76" s="4" t="s">
        <v>281</v>
      </c>
      <c r="V76" s="4" t="s">
        <v>281</v>
      </c>
      <c r="W76" s="4" t="s">
        <v>276</v>
      </c>
      <c r="X76" s="4" t="s">
        <v>276</v>
      </c>
      <c r="Y76" s="4" t="s">
        <v>276</v>
      </c>
      <c r="Z76" s="4" t="s">
        <v>276</v>
      </c>
      <c r="AA76" s="4" t="s">
        <v>276</v>
      </c>
      <c r="AB76" s="4" t="s">
        <v>276</v>
      </c>
      <c r="AC76" s="4" t="s">
        <v>276</v>
      </c>
    </row>
    <row r="77" spans="1:29" x14ac:dyDescent="0.15">
      <c r="A77" s="6" t="s">
        <v>402</v>
      </c>
      <c r="B77" s="3">
        <v>70</v>
      </c>
      <c r="C77" s="4" t="s">
        <v>0</v>
      </c>
      <c r="D77" s="4" t="s">
        <v>3</v>
      </c>
      <c r="E77" s="4" t="s">
        <v>8</v>
      </c>
      <c r="F77" s="4" t="s">
        <v>6</v>
      </c>
      <c r="G77" s="4" t="s">
        <v>276</v>
      </c>
      <c r="H77" s="4" t="s">
        <v>230</v>
      </c>
      <c r="I77" s="4" t="s">
        <v>114</v>
      </c>
      <c r="J77" s="4" t="s">
        <v>115</v>
      </c>
      <c r="K77" s="4" t="s">
        <v>277</v>
      </c>
      <c r="L77" s="4" t="s">
        <v>293</v>
      </c>
      <c r="M77" s="4" t="s">
        <v>276</v>
      </c>
      <c r="N77" s="4"/>
      <c r="O77" s="4" t="s">
        <v>276</v>
      </c>
      <c r="P77" s="4" t="s">
        <v>291</v>
      </c>
      <c r="Q77" s="4" t="s">
        <v>276</v>
      </c>
      <c r="R77" s="4" t="s">
        <v>276</v>
      </c>
      <c r="S77" s="4" t="s">
        <v>293</v>
      </c>
      <c r="T77" s="4" t="s">
        <v>280</v>
      </c>
      <c r="U77" s="4" t="s">
        <v>281</v>
      </c>
      <c r="V77" s="4" t="s">
        <v>281</v>
      </c>
      <c r="W77" s="4" t="s">
        <v>276</v>
      </c>
      <c r="X77" s="4" t="s">
        <v>276</v>
      </c>
      <c r="Y77" s="4" t="s">
        <v>276</v>
      </c>
      <c r="Z77" s="4" t="s">
        <v>276</v>
      </c>
      <c r="AA77" s="4" t="s">
        <v>276</v>
      </c>
      <c r="AB77" s="4" t="s">
        <v>276</v>
      </c>
      <c r="AC77" s="4" t="s">
        <v>276</v>
      </c>
    </row>
    <row r="78" spans="1:29" x14ac:dyDescent="0.15">
      <c r="A78" s="6" t="s">
        <v>402</v>
      </c>
      <c r="B78" s="3">
        <v>71</v>
      </c>
      <c r="C78" s="4" t="s">
        <v>0</v>
      </c>
      <c r="D78" s="4" t="s">
        <v>2</v>
      </c>
      <c r="E78" s="4" t="s">
        <v>8</v>
      </c>
      <c r="F78" s="4" t="s">
        <v>6</v>
      </c>
      <c r="G78" s="4" t="s">
        <v>276</v>
      </c>
      <c r="H78" s="4" t="s">
        <v>229</v>
      </c>
      <c r="I78" s="4" t="s">
        <v>248</v>
      </c>
      <c r="J78" s="4" t="s">
        <v>249</v>
      </c>
      <c r="K78" s="4" t="s">
        <v>277</v>
      </c>
      <c r="L78" s="4" t="s">
        <v>291</v>
      </c>
      <c r="M78" s="4" t="s">
        <v>276</v>
      </c>
      <c r="N78" s="4"/>
      <c r="O78" s="4" t="s">
        <v>276</v>
      </c>
      <c r="P78" s="4" t="s">
        <v>277</v>
      </c>
      <c r="Q78" s="4" t="s">
        <v>276</v>
      </c>
      <c r="R78" s="4" t="s">
        <v>276</v>
      </c>
      <c r="S78" s="4" t="s">
        <v>291</v>
      </c>
      <c r="T78" s="4" t="s">
        <v>280</v>
      </c>
      <c r="U78" s="4" t="s">
        <v>281</v>
      </c>
      <c r="V78" s="4" t="s">
        <v>281</v>
      </c>
      <c r="W78" s="4" t="s">
        <v>276</v>
      </c>
      <c r="X78" s="4" t="s">
        <v>276</v>
      </c>
      <c r="Y78" s="4" t="s">
        <v>276</v>
      </c>
      <c r="Z78" s="4" t="s">
        <v>276</v>
      </c>
      <c r="AA78" s="4" t="s">
        <v>276</v>
      </c>
      <c r="AB78" s="4" t="s">
        <v>276</v>
      </c>
      <c r="AC78" s="4" t="s">
        <v>276</v>
      </c>
    </row>
    <row r="79" spans="1:29" x14ac:dyDescent="0.15">
      <c r="A79" s="6" t="s">
        <v>402</v>
      </c>
      <c r="B79" s="3">
        <v>72</v>
      </c>
      <c r="C79" s="4" t="s">
        <v>0</v>
      </c>
      <c r="D79" s="4" t="s">
        <v>0</v>
      </c>
      <c r="E79" s="4" t="s">
        <v>8</v>
      </c>
      <c r="F79" s="4" t="s">
        <v>6</v>
      </c>
      <c r="G79" s="4" t="s">
        <v>276</v>
      </c>
      <c r="H79" s="4" t="s">
        <v>231</v>
      </c>
      <c r="I79" s="4" t="s">
        <v>116</v>
      </c>
      <c r="J79" s="4" t="s">
        <v>117</v>
      </c>
      <c r="K79" s="4" t="s">
        <v>277</v>
      </c>
      <c r="L79" s="4" t="s">
        <v>291</v>
      </c>
      <c r="M79" s="4" t="s">
        <v>276</v>
      </c>
      <c r="N79" s="4"/>
      <c r="O79" s="4" t="s">
        <v>276</v>
      </c>
      <c r="P79" s="4" t="s">
        <v>293</v>
      </c>
      <c r="Q79" s="4" t="s">
        <v>276</v>
      </c>
      <c r="R79" s="4" t="s">
        <v>276</v>
      </c>
      <c r="S79" s="4" t="s">
        <v>291</v>
      </c>
      <c r="T79" s="4" t="s">
        <v>280</v>
      </c>
      <c r="U79" s="4" t="s">
        <v>281</v>
      </c>
      <c r="V79" s="4" t="s">
        <v>281</v>
      </c>
      <c r="W79" s="4" t="s">
        <v>276</v>
      </c>
      <c r="X79" s="4" t="s">
        <v>276</v>
      </c>
      <c r="Y79" s="4" t="s">
        <v>276</v>
      </c>
      <c r="Z79" s="4" t="s">
        <v>276</v>
      </c>
      <c r="AA79" s="4" t="s">
        <v>276</v>
      </c>
      <c r="AB79" s="4" t="s">
        <v>276</v>
      </c>
      <c r="AC79" s="4" t="s">
        <v>276</v>
      </c>
    </row>
    <row r="80" spans="1:29" x14ac:dyDescent="0.15">
      <c r="B80" s="3">
        <v>73</v>
      </c>
      <c r="C80" s="4" t="s">
        <v>3</v>
      </c>
      <c r="D80" s="4" t="s">
        <v>3</v>
      </c>
      <c r="E80" s="4" t="s">
        <v>8</v>
      </c>
      <c r="F80" s="4" t="s">
        <v>403</v>
      </c>
      <c r="G80" s="4" t="s">
        <v>276</v>
      </c>
      <c r="H80" s="4" t="s">
        <v>332</v>
      </c>
      <c r="I80" s="4" t="s">
        <v>120</v>
      </c>
      <c r="J80" s="4" t="s">
        <v>121</v>
      </c>
      <c r="K80" s="4" t="s">
        <v>277</v>
      </c>
      <c r="L80" s="4" t="s">
        <v>279</v>
      </c>
      <c r="M80" s="4" t="s">
        <v>276</v>
      </c>
      <c r="N80" s="4"/>
      <c r="O80" s="4" t="s">
        <v>276</v>
      </c>
      <c r="P80" s="4" t="s">
        <v>276</v>
      </c>
      <c r="Q80" s="4" t="s">
        <v>284</v>
      </c>
      <c r="R80" s="4" t="s">
        <v>276</v>
      </c>
      <c r="S80" s="4" t="s">
        <v>278</v>
      </c>
      <c r="T80" s="4" t="s">
        <v>280</v>
      </c>
      <c r="U80" s="4" t="s">
        <v>305</v>
      </c>
      <c r="V80" s="4" t="s">
        <v>280</v>
      </c>
      <c r="W80" s="4" t="s">
        <v>276</v>
      </c>
      <c r="X80" s="4" t="s">
        <v>333</v>
      </c>
      <c r="Y80" s="4" t="s">
        <v>281</v>
      </c>
      <c r="Z80" s="4" t="s">
        <v>284</v>
      </c>
      <c r="AA80" s="4" t="s">
        <v>280</v>
      </c>
      <c r="AB80" s="4" t="s">
        <v>334</v>
      </c>
      <c r="AC80" s="4" t="s">
        <v>286</v>
      </c>
    </row>
    <row r="81" spans="2:29" x14ac:dyDescent="0.15">
      <c r="B81" s="3">
        <v>73</v>
      </c>
      <c r="C81" s="4" t="s">
        <v>3</v>
      </c>
      <c r="D81" s="4" t="s">
        <v>3</v>
      </c>
      <c r="E81" s="4" t="s">
        <v>8</v>
      </c>
      <c r="F81" s="4" t="s">
        <v>331</v>
      </c>
      <c r="G81" s="4" t="s">
        <v>276</v>
      </c>
      <c r="H81" s="4" t="s">
        <v>332</v>
      </c>
      <c r="I81" s="4" t="s">
        <v>120</v>
      </c>
      <c r="J81" s="4" t="s">
        <v>121</v>
      </c>
      <c r="K81" s="4" t="s">
        <v>277</v>
      </c>
      <c r="L81" s="4" t="s">
        <v>279</v>
      </c>
      <c r="M81" s="4" t="s">
        <v>276</v>
      </c>
      <c r="N81" s="4"/>
      <c r="O81" s="4" t="s">
        <v>276</v>
      </c>
      <c r="P81" s="4" t="s">
        <v>276</v>
      </c>
      <c r="Q81" s="4" t="s">
        <v>284</v>
      </c>
      <c r="R81" s="4" t="s">
        <v>276</v>
      </c>
      <c r="S81" s="4" t="s">
        <v>278</v>
      </c>
      <c r="T81" s="4" t="s">
        <v>280</v>
      </c>
      <c r="U81" s="4" t="s">
        <v>305</v>
      </c>
      <c r="V81" s="4" t="s">
        <v>280</v>
      </c>
      <c r="W81" s="4" t="s">
        <v>276</v>
      </c>
      <c r="X81" s="4" t="s">
        <v>287</v>
      </c>
      <c r="Y81" s="4" t="s">
        <v>288</v>
      </c>
      <c r="Z81" s="4" t="s">
        <v>284</v>
      </c>
      <c r="AA81" s="4" t="s">
        <v>280</v>
      </c>
      <c r="AB81" s="4" t="s">
        <v>289</v>
      </c>
      <c r="AC81" s="4" t="s">
        <v>290</v>
      </c>
    </row>
    <row r="82" spans="2:29" x14ac:dyDescent="0.15">
      <c r="B82" s="3">
        <v>74</v>
      </c>
      <c r="C82" s="4" t="s">
        <v>2</v>
      </c>
      <c r="D82" s="4" t="s">
        <v>3</v>
      </c>
      <c r="E82" s="4" t="s">
        <v>8</v>
      </c>
      <c r="F82" s="4" t="s">
        <v>331</v>
      </c>
      <c r="G82" s="4" t="s">
        <v>276</v>
      </c>
      <c r="H82" s="4" t="s">
        <v>335</v>
      </c>
      <c r="I82" s="4" t="s">
        <v>118</v>
      </c>
      <c r="J82" s="4" t="s">
        <v>119</v>
      </c>
      <c r="K82" s="4" t="s">
        <v>277</v>
      </c>
      <c r="L82" s="4" t="s">
        <v>277</v>
      </c>
      <c r="M82" s="4" t="s">
        <v>276</v>
      </c>
      <c r="N82" s="4"/>
      <c r="O82" s="4" t="s">
        <v>276</v>
      </c>
      <c r="P82" s="4" t="s">
        <v>276</v>
      </c>
      <c r="Q82" s="4" t="s">
        <v>284</v>
      </c>
      <c r="R82" s="4" t="s">
        <v>276</v>
      </c>
      <c r="S82" s="4" t="s">
        <v>279</v>
      </c>
      <c r="T82" s="4" t="s">
        <v>280</v>
      </c>
      <c r="U82" s="4" t="s">
        <v>284</v>
      </c>
      <c r="V82" s="4" t="s">
        <v>280</v>
      </c>
      <c r="W82" s="4" t="s">
        <v>276</v>
      </c>
      <c r="X82" s="4" t="s">
        <v>333</v>
      </c>
      <c r="Y82" s="4" t="s">
        <v>281</v>
      </c>
      <c r="Z82" s="4" t="s">
        <v>284</v>
      </c>
      <c r="AA82" s="4" t="s">
        <v>280</v>
      </c>
      <c r="AB82" s="4" t="s">
        <v>334</v>
      </c>
      <c r="AC82" s="4" t="s">
        <v>286</v>
      </c>
    </row>
    <row r="83" spans="2:29" x14ac:dyDescent="0.15">
      <c r="B83" s="3">
        <v>75</v>
      </c>
      <c r="C83" s="4" t="s">
        <v>0</v>
      </c>
      <c r="D83" s="4" t="s">
        <v>3</v>
      </c>
      <c r="E83" s="4" t="s">
        <v>8</v>
      </c>
      <c r="F83" s="4" t="s">
        <v>331</v>
      </c>
      <c r="G83" s="4" t="s">
        <v>276</v>
      </c>
      <c r="H83" s="4" t="s">
        <v>232</v>
      </c>
      <c r="I83" s="4" t="s">
        <v>122</v>
      </c>
      <c r="J83" s="4" t="s">
        <v>123</v>
      </c>
      <c r="K83" s="4" t="s">
        <v>277</v>
      </c>
      <c r="L83" s="4" t="s">
        <v>291</v>
      </c>
      <c r="M83" s="4" t="s">
        <v>276</v>
      </c>
      <c r="N83" s="4"/>
      <c r="O83" s="4" t="s">
        <v>276</v>
      </c>
      <c r="P83" s="4" t="s">
        <v>276</v>
      </c>
      <c r="Q83" s="4" t="s">
        <v>284</v>
      </c>
      <c r="R83" s="4" t="s">
        <v>276</v>
      </c>
      <c r="S83" s="4" t="s">
        <v>277</v>
      </c>
      <c r="T83" s="4" t="s">
        <v>280</v>
      </c>
      <c r="U83" s="4" t="s">
        <v>284</v>
      </c>
      <c r="V83" s="4" t="s">
        <v>280</v>
      </c>
      <c r="W83" s="4" t="s">
        <v>276</v>
      </c>
      <c r="X83" s="4" t="s">
        <v>333</v>
      </c>
      <c r="Y83" s="4" t="s">
        <v>281</v>
      </c>
      <c r="Z83" s="4" t="s">
        <v>284</v>
      </c>
      <c r="AA83" s="4" t="s">
        <v>280</v>
      </c>
      <c r="AB83" s="4" t="s">
        <v>334</v>
      </c>
      <c r="AC83" s="4" t="s">
        <v>286</v>
      </c>
    </row>
    <row r="84" spans="2:29" x14ac:dyDescent="0.15">
      <c r="B84" s="3">
        <v>76</v>
      </c>
      <c r="C84" s="4" t="s">
        <v>0</v>
      </c>
      <c r="D84" s="4" t="s">
        <v>3</v>
      </c>
      <c r="E84" s="4" t="s">
        <v>8</v>
      </c>
      <c r="F84" s="4" t="s">
        <v>331</v>
      </c>
      <c r="G84" s="4" t="s">
        <v>276</v>
      </c>
      <c r="H84" s="4" t="s">
        <v>233</v>
      </c>
      <c r="I84" s="4" t="s">
        <v>124</v>
      </c>
      <c r="J84" s="4" t="s">
        <v>125</v>
      </c>
      <c r="K84" s="4" t="s">
        <v>277</v>
      </c>
      <c r="L84" s="4" t="s">
        <v>291</v>
      </c>
      <c r="M84" s="4" t="s">
        <v>276</v>
      </c>
      <c r="N84" s="4"/>
      <c r="O84" s="4" t="s">
        <v>276</v>
      </c>
      <c r="P84" s="4" t="s">
        <v>276</v>
      </c>
      <c r="Q84" s="4" t="s">
        <v>284</v>
      </c>
      <c r="R84" s="4" t="s">
        <v>276</v>
      </c>
      <c r="S84" s="4" t="s">
        <v>277</v>
      </c>
      <c r="T84" s="4" t="s">
        <v>280</v>
      </c>
      <c r="U84" s="4" t="s">
        <v>284</v>
      </c>
      <c r="V84" s="4" t="s">
        <v>280</v>
      </c>
      <c r="W84" s="4" t="s">
        <v>276</v>
      </c>
      <c r="X84" s="4" t="s">
        <v>333</v>
      </c>
      <c r="Y84" s="4" t="s">
        <v>281</v>
      </c>
      <c r="Z84" s="4" t="s">
        <v>284</v>
      </c>
      <c r="AA84" s="4" t="s">
        <v>280</v>
      </c>
      <c r="AB84" s="4" t="s">
        <v>334</v>
      </c>
      <c r="AC84" s="4" t="s">
        <v>286</v>
      </c>
    </row>
    <row r="85" spans="2:29" x14ac:dyDescent="0.15">
      <c r="B85" s="3">
        <v>77</v>
      </c>
      <c r="C85" s="4" t="s">
        <v>0</v>
      </c>
      <c r="D85" s="4" t="s">
        <v>3</v>
      </c>
      <c r="E85" s="4" t="s">
        <v>8</v>
      </c>
      <c r="F85" s="4" t="s">
        <v>331</v>
      </c>
      <c r="G85" s="4" t="s">
        <v>276</v>
      </c>
      <c r="H85" s="4" t="s">
        <v>234</v>
      </c>
      <c r="I85" s="4" t="s">
        <v>126</v>
      </c>
      <c r="J85" s="4" t="s">
        <v>127</v>
      </c>
      <c r="K85" s="4" t="s">
        <v>277</v>
      </c>
      <c r="L85" s="4" t="s">
        <v>291</v>
      </c>
      <c r="M85" s="4" t="s">
        <v>276</v>
      </c>
      <c r="N85" s="4"/>
      <c r="O85" s="4" t="s">
        <v>276</v>
      </c>
      <c r="P85" s="4" t="s">
        <v>276</v>
      </c>
      <c r="Q85" s="4" t="s">
        <v>284</v>
      </c>
      <c r="R85" s="4" t="s">
        <v>276</v>
      </c>
      <c r="S85" s="4" t="s">
        <v>277</v>
      </c>
      <c r="T85" s="4" t="s">
        <v>280</v>
      </c>
      <c r="U85" s="4" t="s">
        <v>284</v>
      </c>
      <c r="V85" s="4" t="s">
        <v>280</v>
      </c>
      <c r="W85" s="4" t="s">
        <v>276</v>
      </c>
      <c r="X85" s="4" t="s">
        <v>333</v>
      </c>
      <c r="Y85" s="4" t="s">
        <v>281</v>
      </c>
      <c r="Z85" s="4" t="s">
        <v>284</v>
      </c>
      <c r="AA85" s="4" t="s">
        <v>280</v>
      </c>
      <c r="AB85" s="4" t="s">
        <v>334</v>
      </c>
      <c r="AC85" s="4" t="s">
        <v>286</v>
      </c>
    </row>
    <row r="86" spans="2:29" x14ac:dyDescent="0.15">
      <c r="B86" s="3">
        <v>78</v>
      </c>
      <c r="C86" s="4" t="s">
        <v>3</v>
      </c>
      <c r="D86" s="4" t="s">
        <v>3</v>
      </c>
      <c r="E86" s="4" t="s">
        <v>8</v>
      </c>
      <c r="F86" s="4" t="s">
        <v>336</v>
      </c>
      <c r="G86" s="4" t="s">
        <v>276</v>
      </c>
      <c r="H86" s="4" t="s">
        <v>327</v>
      </c>
      <c r="I86" s="4" t="s">
        <v>128</v>
      </c>
      <c r="J86" s="4" t="s">
        <v>129</v>
      </c>
      <c r="K86" s="4" t="s">
        <v>277</v>
      </c>
      <c r="L86" s="4" t="s">
        <v>279</v>
      </c>
      <c r="M86" s="4" t="s">
        <v>276</v>
      </c>
      <c r="N86" s="4"/>
      <c r="O86" s="4" t="s">
        <v>276</v>
      </c>
      <c r="P86" s="4" t="s">
        <v>276</v>
      </c>
      <c r="Q86" s="4" t="s">
        <v>295</v>
      </c>
      <c r="R86" s="4" t="s">
        <v>276</v>
      </c>
      <c r="S86" s="4" t="s">
        <v>337</v>
      </c>
      <c r="T86" s="4" t="s">
        <v>280</v>
      </c>
      <c r="U86" s="4" t="s">
        <v>338</v>
      </c>
      <c r="V86" s="4" t="s">
        <v>280</v>
      </c>
      <c r="W86" s="4" t="s">
        <v>276</v>
      </c>
      <c r="X86" s="4" t="s">
        <v>333</v>
      </c>
      <c r="Y86" s="4" t="s">
        <v>281</v>
      </c>
      <c r="Z86" s="4" t="s">
        <v>339</v>
      </c>
      <c r="AA86" s="4" t="s">
        <v>280</v>
      </c>
      <c r="AB86" s="4" t="s">
        <v>590</v>
      </c>
      <c r="AC86" s="4" t="s">
        <v>286</v>
      </c>
    </row>
    <row r="87" spans="2:29" x14ac:dyDescent="0.15">
      <c r="B87" s="3">
        <v>78</v>
      </c>
      <c r="C87" s="4" t="s">
        <v>3</v>
      </c>
      <c r="D87" s="4" t="s">
        <v>3</v>
      </c>
      <c r="E87" s="4" t="s">
        <v>8</v>
      </c>
      <c r="F87" s="4" t="s">
        <v>336</v>
      </c>
      <c r="G87" s="4" t="s">
        <v>276</v>
      </c>
      <c r="H87" s="4" t="s">
        <v>327</v>
      </c>
      <c r="I87" s="4" t="s">
        <v>128</v>
      </c>
      <c r="J87" s="4" t="s">
        <v>129</v>
      </c>
      <c r="K87" s="4" t="s">
        <v>277</v>
      </c>
      <c r="L87" s="4" t="s">
        <v>279</v>
      </c>
      <c r="M87" s="4" t="s">
        <v>276</v>
      </c>
      <c r="N87" s="4"/>
      <c r="O87" s="4" t="s">
        <v>276</v>
      </c>
      <c r="P87" s="4" t="s">
        <v>276</v>
      </c>
      <c r="Q87" s="4" t="s">
        <v>295</v>
      </c>
      <c r="R87" s="4" t="s">
        <v>276</v>
      </c>
      <c r="S87" s="4" t="s">
        <v>337</v>
      </c>
      <c r="T87" s="4" t="s">
        <v>280</v>
      </c>
      <c r="U87" s="4" t="s">
        <v>338</v>
      </c>
      <c r="V87" s="4" t="s">
        <v>280</v>
      </c>
      <c r="W87" s="4" t="s">
        <v>276</v>
      </c>
      <c r="X87" s="4" t="s">
        <v>287</v>
      </c>
      <c r="Y87" s="4" t="s">
        <v>288</v>
      </c>
      <c r="Z87" s="4" t="s">
        <v>284</v>
      </c>
      <c r="AA87" s="4" t="s">
        <v>280</v>
      </c>
      <c r="AB87" s="4" t="s">
        <v>289</v>
      </c>
      <c r="AC87" s="4" t="s">
        <v>290</v>
      </c>
    </row>
    <row r="88" spans="2:29" x14ac:dyDescent="0.15">
      <c r="B88" s="3">
        <v>79</v>
      </c>
      <c r="C88" s="4" t="s">
        <v>2</v>
      </c>
      <c r="D88" s="4" t="s">
        <v>3</v>
      </c>
      <c r="E88" s="4" t="s">
        <v>8</v>
      </c>
      <c r="F88" s="4" t="s">
        <v>336</v>
      </c>
      <c r="G88" s="4" t="s">
        <v>276</v>
      </c>
      <c r="H88" s="4" t="s">
        <v>328</v>
      </c>
      <c r="I88" s="4" t="s">
        <v>130</v>
      </c>
      <c r="J88" s="4" t="s">
        <v>131</v>
      </c>
      <c r="K88" s="4" t="s">
        <v>277</v>
      </c>
      <c r="L88" s="4" t="s">
        <v>277</v>
      </c>
      <c r="M88" s="4" t="s">
        <v>276</v>
      </c>
      <c r="N88" s="4"/>
      <c r="O88" s="4" t="s">
        <v>276</v>
      </c>
      <c r="P88" s="4" t="s">
        <v>276</v>
      </c>
      <c r="Q88" s="4" t="s">
        <v>295</v>
      </c>
      <c r="R88" s="4" t="s">
        <v>276</v>
      </c>
      <c r="S88" s="4" t="s">
        <v>279</v>
      </c>
      <c r="T88" s="4" t="s">
        <v>280</v>
      </c>
      <c r="U88" s="4" t="s">
        <v>284</v>
      </c>
      <c r="V88" s="4" t="s">
        <v>280</v>
      </c>
      <c r="W88" s="4" t="s">
        <v>276</v>
      </c>
      <c r="X88" s="4" t="s">
        <v>333</v>
      </c>
      <c r="Y88" s="4" t="s">
        <v>281</v>
      </c>
      <c r="Z88" s="4" t="s">
        <v>284</v>
      </c>
      <c r="AA88" s="4" t="s">
        <v>280</v>
      </c>
      <c r="AB88" s="4" t="s">
        <v>590</v>
      </c>
      <c r="AC88" s="4" t="s">
        <v>286</v>
      </c>
    </row>
    <row r="89" spans="2:29" x14ac:dyDescent="0.15">
      <c r="B89" s="3">
        <v>80</v>
      </c>
      <c r="C89" s="4" t="s">
        <v>0</v>
      </c>
      <c r="D89" s="4" t="s">
        <v>3</v>
      </c>
      <c r="E89" s="4" t="s">
        <v>8</v>
      </c>
      <c r="F89" s="4" t="s">
        <v>336</v>
      </c>
      <c r="G89" s="4" t="s">
        <v>276</v>
      </c>
      <c r="H89" s="4" t="s">
        <v>220</v>
      </c>
      <c r="I89" s="4" t="s">
        <v>132</v>
      </c>
      <c r="J89" s="4" t="s">
        <v>133</v>
      </c>
      <c r="K89" s="4" t="s">
        <v>277</v>
      </c>
      <c r="L89" s="4" t="s">
        <v>291</v>
      </c>
      <c r="M89" s="4" t="s">
        <v>276</v>
      </c>
      <c r="N89" s="4"/>
      <c r="O89" s="4" t="s">
        <v>276</v>
      </c>
      <c r="P89" s="4" t="s">
        <v>276</v>
      </c>
      <c r="Q89" s="4" t="s">
        <v>295</v>
      </c>
      <c r="R89" s="4" t="s">
        <v>276</v>
      </c>
      <c r="S89" s="4" t="s">
        <v>340</v>
      </c>
      <c r="T89" s="4" t="s">
        <v>280</v>
      </c>
      <c r="U89" s="4" t="s">
        <v>341</v>
      </c>
      <c r="V89" s="4" t="s">
        <v>280</v>
      </c>
      <c r="W89" s="4" t="s">
        <v>276</v>
      </c>
      <c r="X89" s="4" t="s">
        <v>333</v>
      </c>
      <c r="Y89" s="4" t="s">
        <v>281</v>
      </c>
      <c r="Z89" s="4" t="s">
        <v>341</v>
      </c>
      <c r="AA89" s="4" t="s">
        <v>280</v>
      </c>
      <c r="AB89" s="4" t="s">
        <v>590</v>
      </c>
      <c r="AC89" s="4" t="s">
        <v>286</v>
      </c>
    </row>
    <row r="90" spans="2:29" x14ac:dyDescent="0.15">
      <c r="B90" s="3">
        <v>81</v>
      </c>
      <c r="C90" s="4" t="s">
        <v>0</v>
      </c>
      <c r="D90" s="4" t="s">
        <v>3</v>
      </c>
      <c r="E90" s="4" t="s">
        <v>8</v>
      </c>
      <c r="F90" s="4" t="s">
        <v>336</v>
      </c>
      <c r="G90" s="4" t="s">
        <v>276</v>
      </c>
      <c r="H90" s="4" t="s">
        <v>221</v>
      </c>
      <c r="I90" s="4" t="s">
        <v>134</v>
      </c>
      <c r="J90" s="4" t="s">
        <v>135</v>
      </c>
      <c r="K90" s="4" t="s">
        <v>277</v>
      </c>
      <c r="L90" s="4" t="s">
        <v>291</v>
      </c>
      <c r="M90" s="4" t="s">
        <v>276</v>
      </c>
      <c r="N90" s="4"/>
      <c r="O90" s="4" t="s">
        <v>276</v>
      </c>
      <c r="P90" s="4" t="s">
        <v>276</v>
      </c>
      <c r="Q90" s="4" t="s">
        <v>295</v>
      </c>
      <c r="R90" s="4" t="s">
        <v>276</v>
      </c>
      <c r="S90" s="4" t="s">
        <v>340</v>
      </c>
      <c r="T90" s="4" t="s">
        <v>280</v>
      </c>
      <c r="U90" s="4" t="s">
        <v>341</v>
      </c>
      <c r="V90" s="4" t="s">
        <v>280</v>
      </c>
      <c r="W90" s="4" t="s">
        <v>276</v>
      </c>
      <c r="X90" s="4" t="s">
        <v>333</v>
      </c>
      <c r="Y90" s="4" t="s">
        <v>281</v>
      </c>
      <c r="Z90" s="4" t="s">
        <v>341</v>
      </c>
      <c r="AA90" s="4" t="s">
        <v>280</v>
      </c>
      <c r="AB90" s="4" t="s">
        <v>590</v>
      </c>
      <c r="AC90" s="4" t="s">
        <v>286</v>
      </c>
    </row>
    <row r="91" spans="2:29" x14ac:dyDescent="0.15">
      <c r="B91" s="3">
        <v>82</v>
      </c>
      <c r="C91" s="4" t="s">
        <v>0</v>
      </c>
      <c r="D91" s="4" t="s">
        <v>3</v>
      </c>
      <c r="E91" s="4" t="s">
        <v>8</v>
      </c>
      <c r="F91" s="4" t="s">
        <v>336</v>
      </c>
      <c r="G91" s="4" t="s">
        <v>276</v>
      </c>
      <c r="H91" s="4" t="s">
        <v>222</v>
      </c>
      <c r="I91" s="4" t="s">
        <v>136</v>
      </c>
      <c r="J91" s="4" t="s">
        <v>137</v>
      </c>
      <c r="K91" s="4" t="s">
        <v>277</v>
      </c>
      <c r="L91" s="4" t="s">
        <v>291</v>
      </c>
      <c r="M91" s="4" t="s">
        <v>276</v>
      </c>
      <c r="N91" s="4"/>
      <c r="O91" s="4" t="s">
        <v>276</v>
      </c>
      <c r="P91" s="4" t="s">
        <v>276</v>
      </c>
      <c r="Q91" s="4" t="s">
        <v>295</v>
      </c>
      <c r="R91" s="4" t="s">
        <v>276</v>
      </c>
      <c r="S91" s="4" t="s">
        <v>340</v>
      </c>
      <c r="T91" s="4" t="s">
        <v>280</v>
      </c>
      <c r="U91" s="4" t="s">
        <v>341</v>
      </c>
      <c r="V91" s="4" t="s">
        <v>280</v>
      </c>
      <c r="W91" s="4" t="s">
        <v>276</v>
      </c>
      <c r="X91" s="4" t="s">
        <v>333</v>
      </c>
      <c r="Y91" s="4" t="s">
        <v>281</v>
      </c>
      <c r="Z91" s="4" t="s">
        <v>341</v>
      </c>
      <c r="AA91" s="4" t="s">
        <v>280</v>
      </c>
      <c r="AB91" s="4" t="s">
        <v>590</v>
      </c>
      <c r="AC91" s="4" t="s">
        <v>286</v>
      </c>
    </row>
    <row r="92" spans="2:29" x14ac:dyDescent="0.15">
      <c r="B92" s="3">
        <v>83</v>
      </c>
      <c r="C92" s="4" t="s">
        <v>3</v>
      </c>
      <c r="D92" s="4" t="s">
        <v>3</v>
      </c>
      <c r="E92" s="4" t="s">
        <v>8</v>
      </c>
      <c r="F92" s="4" t="s">
        <v>404</v>
      </c>
      <c r="G92" s="4" t="s">
        <v>284</v>
      </c>
      <c r="H92" s="4" t="s">
        <v>343</v>
      </c>
      <c r="I92" s="4" t="s">
        <v>140</v>
      </c>
      <c r="J92" s="4" t="s">
        <v>141</v>
      </c>
      <c r="K92" s="4" t="s">
        <v>277</v>
      </c>
      <c r="L92" s="4" t="s">
        <v>279</v>
      </c>
      <c r="M92" s="4" t="s">
        <v>276</v>
      </c>
      <c r="N92" s="4"/>
      <c r="O92" s="4" t="s">
        <v>276</v>
      </c>
      <c r="P92" s="4" t="s">
        <v>276</v>
      </c>
      <c r="Q92" s="4" t="s">
        <v>276</v>
      </c>
      <c r="R92" s="4" t="s">
        <v>276</v>
      </c>
      <c r="S92" s="4" t="s">
        <v>278</v>
      </c>
      <c r="T92" s="4" t="s">
        <v>280</v>
      </c>
      <c r="U92" s="4" t="s">
        <v>305</v>
      </c>
      <c r="V92" s="4" t="s">
        <v>280</v>
      </c>
      <c r="W92" s="4" t="s">
        <v>276</v>
      </c>
      <c r="X92" s="4" t="s">
        <v>344</v>
      </c>
      <c r="Y92" s="4" t="s">
        <v>345</v>
      </c>
      <c r="Z92" s="4" t="s">
        <v>284</v>
      </c>
      <c r="AA92" s="4" t="s">
        <v>281</v>
      </c>
      <c r="AB92" s="4" t="s">
        <v>346</v>
      </c>
      <c r="AC92" s="4" t="s">
        <v>347</v>
      </c>
    </row>
    <row r="93" spans="2:29" x14ac:dyDescent="0.15">
      <c r="B93" s="3">
        <v>83</v>
      </c>
      <c r="C93" s="4" t="s">
        <v>3</v>
      </c>
      <c r="D93" s="4" t="s">
        <v>3</v>
      </c>
      <c r="E93" s="4" t="s">
        <v>8</v>
      </c>
      <c r="F93" s="4" t="s">
        <v>342</v>
      </c>
      <c r="G93" s="4" t="s">
        <v>284</v>
      </c>
      <c r="H93" s="4" t="s">
        <v>343</v>
      </c>
      <c r="I93" s="4" t="s">
        <v>140</v>
      </c>
      <c r="J93" s="4" t="s">
        <v>141</v>
      </c>
      <c r="K93" s="4" t="s">
        <v>277</v>
      </c>
      <c r="L93" s="4" t="s">
        <v>279</v>
      </c>
      <c r="M93" s="4" t="s">
        <v>276</v>
      </c>
      <c r="N93" s="4"/>
      <c r="O93" s="4" t="s">
        <v>276</v>
      </c>
      <c r="P93" s="4" t="s">
        <v>276</v>
      </c>
      <c r="Q93" s="4" t="s">
        <v>276</v>
      </c>
      <c r="R93" s="4" t="s">
        <v>276</v>
      </c>
      <c r="S93" s="4" t="s">
        <v>278</v>
      </c>
      <c r="T93" s="4" t="s">
        <v>280</v>
      </c>
      <c r="U93" s="4" t="s">
        <v>305</v>
      </c>
      <c r="V93" s="4" t="s">
        <v>280</v>
      </c>
      <c r="W93" s="4" t="s">
        <v>276</v>
      </c>
      <c r="X93" s="4" t="s">
        <v>287</v>
      </c>
      <c r="Y93" s="4" t="s">
        <v>288</v>
      </c>
      <c r="Z93" s="4" t="s">
        <v>284</v>
      </c>
      <c r="AA93" s="4" t="s">
        <v>280</v>
      </c>
      <c r="AB93" s="4" t="s">
        <v>289</v>
      </c>
      <c r="AC93" s="4" t="s">
        <v>290</v>
      </c>
    </row>
    <row r="94" spans="2:29" x14ac:dyDescent="0.15">
      <c r="B94" s="3">
        <v>84</v>
      </c>
      <c r="C94" s="4" t="s">
        <v>2</v>
      </c>
      <c r="D94" s="4" t="s">
        <v>3</v>
      </c>
      <c r="E94" s="4" t="s">
        <v>8</v>
      </c>
      <c r="F94" s="4" t="s">
        <v>342</v>
      </c>
      <c r="G94" s="4" t="s">
        <v>284</v>
      </c>
      <c r="H94" s="4" t="s">
        <v>348</v>
      </c>
      <c r="I94" s="4" t="s">
        <v>142</v>
      </c>
      <c r="J94" s="4" t="s">
        <v>143</v>
      </c>
      <c r="K94" s="4" t="s">
        <v>277</v>
      </c>
      <c r="L94" s="4" t="s">
        <v>277</v>
      </c>
      <c r="M94" s="4" t="s">
        <v>276</v>
      </c>
      <c r="N94" s="4"/>
      <c r="O94" s="4" t="s">
        <v>276</v>
      </c>
      <c r="P94" s="4" t="s">
        <v>276</v>
      </c>
      <c r="Q94" s="4" t="s">
        <v>276</v>
      </c>
      <c r="R94" s="4" t="s">
        <v>276</v>
      </c>
      <c r="S94" s="4" t="s">
        <v>279</v>
      </c>
      <c r="T94" s="4" t="s">
        <v>280</v>
      </c>
      <c r="U94" s="4" t="s">
        <v>284</v>
      </c>
      <c r="V94" s="4" t="s">
        <v>280</v>
      </c>
      <c r="W94" s="4" t="s">
        <v>276</v>
      </c>
      <c r="X94" s="4" t="s">
        <v>344</v>
      </c>
      <c r="Y94" s="4" t="s">
        <v>345</v>
      </c>
      <c r="Z94" s="4" t="s">
        <v>284</v>
      </c>
      <c r="AA94" s="4" t="s">
        <v>281</v>
      </c>
      <c r="AB94" s="4" t="s">
        <v>346</v>
      </c>
      <c r="AC94" s="4" t="s">
        <v>347</v>
      </c>
    </row>
    <row r="95" spans="2:29" x14ac:dyDescent="0.15">
      <c r="B95" s="3">
        <v>85</v>
      </c>
      <c r="C95" s="4" t="s">
        <v>0</v>
      </c>
      <c r="D95" s="4" t="s">
        <v>3</v>
      </c>
      <c r="E95" s="4" t="s">
        <v>8</v>
      </c>
      <c r="F95" s="4" t="s">
        <v>342</v>
      </c>
      <c r="G95" s="4" t="s">
        <v>284</v>
      </c>
      <c r="H95" s="4" t="s">
        <v>235</v>
      </c>
      <c r="I95" s="4" t="s">
        <v>138</v>
      </c>
      <c r="J95" s="4" t="s">
        <v>139</v>
      </c>
      <c r="K95" s="4" t="s">
        <v>277</v>
      </c>
      <c r="L95" s="4" t="s">
        <v>291</v>
      </c>
      <c r="M95" s="4" t="s">
        <v>276</v>
      </c>
      <c r="N95" s="4"/>
      <c r="O95" s="4" t="s">
        <v>276</v>
      </c>
      <c r="P95" s="4" t="s">
        <v>276</v>
      </c>
      <c r="Q95" s="4" t="s">
        <v>276</v>
      </c>
      <c r="R95" s="4" t="s">
        <v>276</v>
      </c>
      <c r="S95" s="4" t="s">
        <v>277</v>
      </c>
      <c r="T95" s="4" t="s">
        <v>280</v>
      </c>
      <c r="U95" s="4" t="s">
        <v>284</v>
      </c>
      <c r="V95" s="4" t="s">
        <v>280</v>
      </c>
      <c r="W95" s="4" t="s">
        <v>276</v>
      </c>
      <c r="X95" s="4" t="s">
        <v>344</v>
      </c>
      <c r="Y95" s="4" t="s">
        <v>345</v>
      </c>
      <c r="Z95" s="4" t="s">
        <v>284</v>
      </c>
      <c r="AA95" s="4" t="s">
        <v>281</v>
      </c>
      <c r="AB95" s="4" t="s">
        <v>346</v>
      </c>
      <c r="AC95" s="4" t="s">
        <v>347</v>
      </c>
    </row>
    <row r="96" spans="2:29" x14ac:dyDescent="0.15">
      <c r="B96" s="3">
        <v>86</v>
      </c>
      <c r="C96" s="4" t="s">
        <v>0</v>
      </c>
      <c r="D96" s="4" t="s">
        <v>3</v>
      </c>
      <c r="E96" s="4" t="s">
        <v>8</v>
      </c>
      <c r="F96" s="4" t="s">
        <v>342</v>
      </c>
      <c r="G96" s="4" t="s">
        <v>305</v>
      </c>
      <c r="H96" s="4" t="s">
        <v>235</v>
      </c>
      <c r="I96" s="4" t="s">
        <v>144</v>
      </c>
      <c r="J96" s="4" t="s">
        <v>145</v>
      </c>
      <c r="K96" s="4" t="s">
        <v>277</v>
      </c>
      <c r="L96" s="4" t="s">
        <v>291</v>
      </c>
      <c r="M96" s="4" t="s">
        <v>276</v>
      </c>
      <c r="N96" s="4"/>
      <c r="O96" s="4" t="s">
        <v>276</v>
      </c>
      <c r="P96" s="4" t="s">
        <v>276</v>
      </c>
      <c r="Q96" s="4" t="s">
        <v>276</v>
      </c>
      <c r="R96" s="4" t="s">
        <v>276</v>
      </c>
      <c r="S96" s="4" t="s">
        <v>279</v>
      </c>
      <c r="T96" s="4" t="s">
        <v>280</v>
      </c>
      <c r="U96" s="4" t="s">
        <v>305</v>
      </c>
      <c r="V96" s="4" t="s">
        <v>280</v>
      </c>
      <c r="W96" s="4" t="s">
        <v>276</v>
      </c>
      <c r="X96" s="4" t="s">
        <v>344</v>
      </c>
      <c r="Y96" s="4" t="s">
        <v>345</v>
      </c>
      <c r="Z96" s="4" t="s">
        <v>305</v>
      </c>
      <c r="AA96" s="4" t="s">
        <v>281</v>
      </c>
      <c r="AB96" s="4" t="s">
        <v>346</v>
      </c>
      <c r="AC96" s="4" t="s">
        <v>347</v>
      </c>
    </row>
    <row r="97" spans="2:29" x14ac:dyDescent="0.15">
      <c r="B97" s="3">
        <v>87</v>
      </c>
      <c r="C97" s="4" t="s">
        <v>3</v>
      </c>
      <c r="D97" s="4" t="s">
        <v>3</v>
      </c>
      <c r="E97" s="4" t="s">
        <v>8</v>
      </c>
      <c r="F97" s="4" t="s">
        <v>349</v>
      </c>
      <c r="G97" s="4" t="s">
        <v>295</v>
      </c>
      <c r="H97" s="4" t="s">
        <v>350</v>
      </c>
      <c r="I97" s="4" t="s">
        <v>146</v>
      </c>
      <c r="J97" s="4" t="s">
        <v>147</v>
      </c>
      <c r="K97" s="4" t="s">
        <v>277</v>
      </c>
      <c r="L97" s="4" t="s">
        <v>279</v>
      </c>
      <c r="M97" s="4" t="s">
        <v>276</v>
      </c>
      <c r="N97" s="4"/>
      <c r="O97" s="4" t="s">
        <v>276</v>
      </c>
      <c r="P97" s="4" t="s">
        <v>276</v>
      </c>
      <c r="Q97" s="4" t="s">
        <v>276</v>
      </c>
      <c r="R97" s="4" t="s">
        <v>276</v>
      </c>
      <c r="S97" s="4" t="s">
        <v>337</v>
      </c>
      <c r="T97" s="4" t="s">
        <v>280</v>
      </c>
      <c r="U97" s="4" t="s">
        <v>338</v>
      </c>
      <c r="V97" s="4" t="s">
        <v>280</v>
      </c>
      <c r="W97" s="4" t="s">
        <v>276</v>
      </c>
      <c r="X97" s="4" t="s">
        <v>287</v>
      </c>
      <c r="Y97" s="4" t="s">
        <v>288</v>
      </c>
      <c r="Z97" s="4" t="s">
        <v>284</v>
      </c>
      <c r="AA97" s="4" t="s">
        <v>280</v>
      </c>
      <c r="AB97" s="4" t="s">
        <v>289</v>
      </c>
      <c r="AC97" s="4" t="s">
        <v>290</v>
      </c>
    </row>
    <row r="98" spans="2:29" x14ac:dyDescent="0.15">
      <c r="B98" s="3">
        <v>87</v>
      </c>
      <c r="C98" s="4" t="s">
        <v>3</v>
      </c>
      <c r="D98" s="4" t="s">
        <v>3</v>
      </c>
      <c r="E98" s="4" t="s">
        <v>8</v>
      </c>
      <c r="F98" s="4" t="s">
        <v>349</v>
      </c>
      <c r="G98" s="4" t="s">
        <v>295</v>
      </c>
      <c r="H98" s="4" t="s">
        <v>350</v>
      </c>
      <c r="I98" s="4" t="s">
        <v>146</v>
      </c>
      <c r="J98" s="4" t="s">
        <v>147</v>
      </c>
      <c r="K98" s="4" t="s">
        <v>277</v>
      </c>
      <c r="L98" s="4" t="s">
        <v>279</v>
      </c>
      <c r="M98" s="4" t="s">
        <v>276</v>
      </c>
      <c r="N98" s="4"/>
      <c r="O98" s="4" t="s">
        <v>276</v>
      </c>
      <c r="P98" s="4" t="s">
        <v>276</v>
      </c>
      <c r="Q98" s="4" t="s">
        <v>276</v>
      </c>
      <c r="R98" s="4" t="s">
        <v>276</v>
      </c>
      <c r="S98" s="4" t="s">
        <v>337</v>
      </c>
      <c r="T98" s="4" t="s">
        <v>280</v>
      </c>
      <c r="U98" s="4" t="s">
        <v>338</v>
      </c>
      <c r="V98" s="4" t="s">
        <v>280</v>
      </c>
      <c r="W98" s="4" t="s">
        <v>276</v>
      </c>
      <c r="X98" s="4" t="s">
        <v>344</v>
      </c>
      <c r="Y98" s="4" t="s">
        <v>345</v>
      </c>
      <c r="Z98" s="4" t="s">
        <v>339</v>
      </c>
      <c r="AA98" s="4" t="s">
        <v>281</v>
      </c>
      <c r="AB98" s="4" t="s">
        <v>346</v>
      </c>
      <c r="AC98" s="4" t="s">
        <v>347</v>
      </c>
    </row>
    <row r="99" spans="2:29" x14ac:dyDescent="0.15">
      <c r="B99" s="3">
        <v>88</v>
      </c>
      <c r="C99" s="4" t="s">
        <v>2</v>
      </c>
      <c r="D99" s="4" t="s">
        <v>3</v>
      </c>
      <c r="E99" s="4" t="s">
        <v>8</v>
      </c>
      <c r="F99" s="4" t="s">
        <v>349</v>
      </c>
      <c r="G99" s="4" t="s">
        <v>295</v>
      </c>
      <c r="H99" s="4" t="s">
        <v>351</v>
      </c>
      <c r="I99" s="4" t="s">
        <v>150</v>
      </c>
      <c r="J99" s="4" t="s">
        <v>151</v>
      </c>
      <c r="K99" s="4" t="s">
        <v>277</v>
      </c>
      <c r="L99" s="4" t="s">
        <v>277</v>
      </c>
      <c r="M99" s="4" t="s">
        <v>276</v>
      </c>
      <c r="N99" s="4"/>
      <c r="O99" s="4" t="s">
        <v>276</v>
      </c>
      <c r="P99" s="4" t="s">
        <v>276</v>
      </c>
      <c r="Q99" s="4" t="s">
        <v>276</v>
      </c>
      <c r="R99" s="4" t="s">
        <v>276</v>
      </c>
      <c r="S99" s="4" t="s">
        <v>279</v>
      </c>
      <c r="T99" s="4" t="s">
        <v>280</v>
      </c>
      <c r="U99" s="4" t="s">
        <v>284</v>
      </c>
      <c r="V99" s="4" t="s">
        <v>280</v>
      </c>
      <c r="W99" s="4" t="s">
        <v>276</v>
      </c>
      <c r="X99" s="4" t="s">
        <v>344</v>
      </c>
      <c r="Y99" s="4" t="s">
        <v>345</v>
      </c>
      <c r="Z99" s="4" t="s">
        <v>284</v>
      </c>
      <c r="AA99" s="4" t="s">
        <v>281</v>
      </c>
      <c r="AB99" s="4" t="s">
        <v>346</v>
      </c>
      <c r="AC99" s="4" t="s">
        <v>347</v>
      </c>
    </row>
    <row r="100" spans="2:29" x14ac:dyDescent="0.15">
      <c r="B100" s="3">
        <v>89</v>
      </c>
      <c r="C100" s="4" t="s">
        <v>0</v>
      </c>
      <c r="D100" s="4" t="s">
        <v>3</v>
      </c>
      <c r="E100" s="4" t="s">
        <v>8</v>
      </c>
      <c r="F100" s="4" t="s">
        <v>349</v>
      </c>
      <c r="G100" s="4" t="s">
        <v>295</v>
      </c>
      <c r="H100" s="4" t="s">
        <v>236</v>
      </c>
      <c r="I100" s="4" t="s">
        <v>154</v>
      </c>
      <c r="J100" s="4" t="s">
        <v>155</v>
      </c>
      <c r="K100" s="4" t="s">
        <v>277</v>
      </c>
      <c r="L100" s="4" t="s">
        <v>291</v>
      </c>
      <c r="M100" s="4" t="s">
        <v>276</v>
      </c>
      <c r="N100" s="4"/>
      <c r="O100" s="4" t="s">
        <v>276</v>
      </c>
      <c r="P100" s="4" t="s">
        <v>276</v>
      </c>
      <c r="Q100" s="4" t="s">
        <v>276</v>
      </c>
      <c r="R100" s="4" t="s">
        <v>276</v>
      </c>
      <c r="S100" s="4" t="s">
        <v>340</v>
      </c>
      <c r="T100" s="4" t="s">
        <v>280</v>
      </c>
      <c r="U100" s="4" t="s">
        <v>341</v>
      </c>
      <c r="V100" s="4" t="s">
        <v>280</v>
      </c>
      <c r="W100" s="4" t="s">
        <v>276</v>
      </c>
      <c r="X100" s="4" t="s">
        <v>344</v>
      </c>
      <c r="Y100" s="4" t="s">
        <v>345</v>
      </c>
      <c r="Z100" s="4" t="s">
        <v>341</v>
      </c>
      <c r="AA100" s="4" t="s">
        <v>281</v>
      </c>
      <c r="AB100" s="4" t="s">
        <v>346</v>
      </c>
      <c r="AC100" s="4" t="s">
        <v>347</v>
      </c>
    </row>
    <row r="101" spans="2:29" x14ac:dyDescent="0.15">
      <c r="B101" s="3">
        <v>90</v>
      </c>
      <c r="C101" s="4" t="s">
        <v>0</v>
      </c>
      <c r="D101" s="4" t="s">
        <v>3</v>
      </c>
      <c r="E101" s="4" t="s">
        <v>8</v>
      </c>
      <c r="F101" s="4" t="s">
        <v>405</v>
      </c>
      <c r="G101" s="4" t="s">
        <v>352</v>
      </c>
      <c r="H101" s="4" t="s">
        <v>236</v>
      </c>
      <c r="I101" s="4" t="s">
        <v>152</v>
      </c>
      <c r="J101" s="4" t="s">
        <v>153</v>
      </c>
      <c r="K101" s="4" t="s">
        <v>277</v>
      </c>
      <c r="L101" s="4" t="s">
        <v>291</v>
      </c>
      <c r="M101" s="4" t="s">
        <v>276</v>
      </c>
      <c r="N101" s="4"/>
      <c r="O101" s="4" t="s">
        <v>276</v>
      </c>
      <c r="P101" s="4" t="s">
        <v>276</v>
      </c>
      <c r="Q101" s="4" t="s">
        <v>276</v>
      </c>
      <c r="R101" s="4" t="s">
        <v>276</v>
      </c>
      <c r="S101" s="4" t="s">
        <v>353</v>
      </c>
      <c r="T101" s="4" t="s">
        <v>280</v>
      </c>
      <c r="U101" s="4" t="s">
        <v>354</v>
      </c>
      <c r="V101" s="4" t="s">
        <v>280</v>
      </c>
      <c r="W101" s="4" t="s">
        <v>276</v>
      </c>
      <c r="X101" s="4" t="s">
        <v>344</v>
      </c>
      <c r="Y101" s="4" t="s">
        <v>345</v>
      </c>
      <c r="Z101" s="4" t="s">
        <v>354</v>
      </c>
      <c r="AA101" s="4" t="s">
        <v>281</v>
      </c>
      <c r="AB101" s="4" t="s">
        <v>346</v>
      </c>
      <c r="AC101" s="4" t="s">
        <v>347</v>
      </c>
    </row>
    <row r="102" spans="2:29" x14ac:dyDescent="0.15">
      <c r="B102" s="3">
        <v>91</v>
      </c>
      <c r="C102" s="4" t="s">
        <v>3</v>
      </c>
      <c r="D102" s="4" t="s">
        <v>3</v>
      </c>
      <c r="E102" s="4" t="s">
        <v>8</v>
      </c>
      <c r="F102" s="4" t="s">
        <v>406</v>
      </c>
      <c r="G102" s="4" t="s">
        <v>276</v>
      </c>
      <c r="H102" s="4" t="s">
        <v>355</v>
      </c>
      <c r="I102" s="4" t="s">
        <v>148</v>
      </c>
      <c r="J102" s="4" t="s">
        <v>149</v>
      </c>
      <c r="K102" s="4" t="s">
        <v>277</v>
      </c>
      <c r="L102" s="4" t="s">
        <v>279</v>
      </c>
      <c r="M102" s="4" t="s">
        <v>276</v>
      </c>
      <c r="N102" s="4"/>
      <c r="O102" s="4" t="s">
        <v>276</v>
      </c>
      <c r="P102" s="4" t="s">
        <v>276</v>
      </c>
      <c r="Q102" s="4" t="s">
        <v>276</v>
      </c>
      <c r="R102" s="4" t="s">
        <v>295</v>
      </c>
      <c r="S102" s="4" t="s">
        <v>337</v>
      </c>
      <c r="T102" s="4" t="s">
        <v>280</v>
      </c>
      <c r="U102" s="4" t="s">
        <v>338</v>
      </c>
      <c r="V102" s="4" t="s">
        <v>280</v>
      </c>
      <c r="W102" s="4" t="s">
        <v>276</v>
      </c>
      <c r="X102" s="4" t="s">
        <v>287</v>
      </c>
      <c r="Y102" s="4" t="s">
        <v>288</v>
      </c>
      <c r="Z102" s="4" t="s">
        <v>284</v>
      </c>
      <c r="AA102" s="4" t="s">
        <v>280</v>
      </c>
      <c r="AB102" s="4" t="s">
        <v>289</v>
      </c>
      <c r="AC102" s="4" t="s">
        <v>290</v>
      </c>
    </row>
    <row r="103" spans="2:29" x14ac:dyDescent="0.15">
      <c r="B103" s="3">
        <v>91</v>
      </c>
      <c r="C103" s="4" t="s">
        <v>3</v>
      </c>
      <c r="D103" s="4" t="s">
        <v>3</v>
      </c>
      <c r="E103" s="4" t="s">
        <v>8</v>
      </c>
      <c r="F103" s="4" t="s">
        <v>7</v>
      </c>
      <c r="G103" s="4" t="s">
        <v>276</v>
      </c>
      <c r="H103" s="4" t="s">
        <v>355</v>
      </c>
      <c r="I103" s="4" t="s">
        <v>148</v>
      </c>
      <c r="J103" s="4" t="s">
        <v>149</v>
      </c>
      <c r="K103" s="4" t="s">
        <v>277</v>
      </c>
      <c r="L103" s="4" t="s">
        <v>279</v>
      </c>
      <c r="M103" s="4" t="s">
        <v>276</v>
      </c>
      <c r="N103" s="4"/>
      <c r="O103" s="4" t="s">
        <v>276</v>
      </c>
      <c r="P103" s="4" t="s">
        <v>276</v>
      </c>
      <c r="Q103" s="4" t="s">
        <v>276</v>
      </c>
      <c r="R103" s="4" t="s">
        <v>295</v>
      </c>
      <c r="S103" s="4" t="s">
        <v>337</v>
      </c>
      <c r="T103" s="4" t="s">
        <v>280</v>
      </c>
      <c r="U103" s="4" t="s">
        <v>338</v>
      </c>
      <c r="V103" s="4" t="s">
        <v>280</v>
      </c>
      <c r="W103" s="4" t="s">
        <v>276</v>
      </c>
      <c r="X103" s="4" t="s">
        <v>344</v>
      </c>
      <c r="Y103" s="4" t="s">
        <v>345</v>
      </c>
      <c r="Z103" s="4" t="s">
        <v>339</v>
      </c>
      <c r="AA103" s="4" t="s">
        <v>281</v>
      </c>
      <c r="AB103" s="4" t="s">
        <v>346</v>
      </c>
      <c r="AC103" s="4" t="s">
        <v>347</v>
      </c>
    </row>
    <row r="104" spans="2:29" x14ac:dyDescent="0.15">
      <c r="B104" s="3">
        <v>92</v>
      </c>
      <c r="C104" s="4" t="s">
        <v>2</v>
      </c>
      <c r="D104" s="4" t="s">
        <v>3</v>
      </c>
      <c r="E104" s="4" t="s">
        <v>8</v>
      </c>
      <c r="F104" s="4" t="s">
        <v>7</v>
      </c>
      <c r="G104" s="4" t="s">
        <v>276</v>
      </c>
      <c r="H104" s="4" t="s">
        <v>356</v>
      </c>
      <c r="I104" s="4" t="s">
        <v>156</v>
      </c>
      <c r="J104" s="4" t="s">
        <v>157</v>
      </c>
      <c r="K104" s="4" t="s">
        <v>277</v>
      </c>
      <c r="L104" s="4" t="s">
        <v>277</v>
      </c>
      <c r="M104" s="4" t="s">
        <v>276</v>
      </c>
      <c r="N104" s="4"/>
      <c r="O104" s="4" t="s">
        <v>276</v>
      </c>
      <c r="P104" s="4" t="s">
        <v>276</v>
      </c>
      <c r="Q104" s="4" t="s">
        <v>276</v>
      </c>
      <c r="R104" s="4" t="s">
        <v>295</v>
      </c>
      <c r="S104" s="4" t="s">
        <v>279</v>
      </c>
      <c r="T104" s="4" t="s">
        <v>280</v>
      </c>
      <c r="U104" s="4" t="s">
        <v>284</v>
      </c>
      <c r="V104" s="4" t="s">
        <v>280</v>
      </c>
      <c r="W104" s="4" t="s">
        <v>276</v>
      </c>
      <c r="X104" s="4" t="s">
        <v>344</v>
      </c>
      <c r="Y104" s="4" t="s">
        <v>345</v>
      </c>
      <c r="Z104" s="4" t="s">
        <v>284</v>
      </c>
      <c r="AA104" s="4" t="s">
        <v>281</v>
      </c>
      <c r="AB104" s="4" t="s">
        <v>346</v>
      </c>
      <c r="AC104" s="4" t="s">
        <v>347</v>
      </c>
    </row>
    <row r="105" spans="2:29" x14ac:dyDescent="0.15">
      <c r="B105" s="3">
        <v>93</v>
      </c>
      <c r="C105" s="4" t="s">
        <v>0</v>
      </c>
      <c r="D105" s="4" t="s">
        <v>3</v>
      </c>
      <c r="E105" s="4" t="s">
        <v>8</v>
      </c>
      <c r="F105" s="4" t="s">
        <v>7</v>
      </c>
      <c r="G105" s="4" t="s">
        <v>276</v>
      </c>
      <c r="H105" s="4" t="s">
        <v>237</v>
      </c>
      <c r="I105" s="4" t="s">
        <v>158</v>
      </c>
      <c r="J105" s="4" t="s">
        <v>159</v>
      </c>
      <c r="K105" s="4" t="s">
        <v>277</v>
      </c>
      <c r="L105" s="4" t="s">
        <v>291</v>
      </c>
      <c r="M105" s="4" t="s">
        <v>276</v>
      </c>
      <c r="N105" s="4"/>
      <c r="O105" s="4" t="s">
        <v>276</v>
      </c>
      <c r="P105" s="4" t="s">
        <v>276</v>
      </c>
      <c r="Q105" s="4" t="s">
        <v>276</v>
      </c>
      <c r="R105" s="4" t="s">
        <v>295</v>
      </c>
      <c r="S105" s="4" t="s">
        <v>340</v>
      </c>
      <c r="T105" s="4" t="s">
        <v>280</v>
      </c>
      <c r="U105" s="4" t="s">
        <v>341</v>
      </c>
      <c r="V105" s="4" t="s">
        <v>280</v>
      </c>
      <c r="W105" s="4" t="s">
        <v>276</v>
      </c>
      <c r="X105" s="4" t="s">
        <v>344</v>
      </c>
      <c r="Y105" s="4" t="s">
        <v>345</v>
      </c>
      <c r="Z105" s="4" t="s">
        <v>341</v>
      </c>
      <c r="AA105" s="4" t="s">
        <v>281</v>
      </c>
      <c r="AB105" s="4" t="s">
        <v>346</v>
      </c>
      <c r="AC105" s="4" t="s">
        <v>347</v>
      </c>
    </row>
    <row r="106" spans="2:29" x14ac:dyDescent="0.15">
      <c r="B106" s="3">
        <v>94</v>
      </c>
      <c r="C106" s="4" t="s">
        <v>3</v>
      </c>
      <c r="D106" s="4" t="s">
        <v>3</v>
      </c>
      <c r="E106" s="4" t="s">
        <v>8</v>
      </c>
      <c r="F106" s="4" t="s">
        <v>407</v>
      </c>
      <c r="G106" s="4" t="s">
        <v>276</v>
      </c>
      <c r="H106" s="4" t="s">
        <v>358</v>
      </c>
      <c r="I106" s="4" t="s">
        <v>160</v>
      </c>
      <c r="J106" s="4" t="s">
        <v>161</v>
      </c>
      <c r="K106" s="4" t="s">
        <v>277</v>
      </c>
      <c r="L106" s="4" t="s">
        <v>279</v>
      </c>
      <c r="M106" s="4" t="s">
        <v>276</v>
      </c>
      <c r="N106" s="4"/>
      <c r="O106" s="4" t="s">
        <v>276</v>
      </c>
      <c r="P106" s="4" t="s">
        <v>276</v>
      </c>
      <c r="Q106" s="4" t="s">
        <v>276</v>
      </c>
      <c r="R106" s="4" t="s">
        <v>352</v>
      </c>
      <c r="S106" s="4" t="s">
        <v>337</v>
      </c>
      <c r="T106" s="4" t="s">
        <v>280</v>
      </c>
      <c r="U106" s="4" t="s">
        <v>338</v>
      </c>
      <c r="V106" s="4" t="s">
        <v>280</v>
      </c>
      <c r="W106" s="4" t="s">
        <v>276</v>
      </c>
      <c r="X106" s="4" t="s">
        <v>344</v>
      </c>
      <c r="Y106" s="4" t="s">
        <v>345</v>
      </c>
      <c r="Z106" s="4" t="s">
        <v>339</v>
      </c>
      <c r="AA106" s="4" t="s">
        <v>281</v>
      </c>
      <c r="AB106" s="4" t="s">
        <v>346</v>
      </c>
      <c r="AC106" s="4" t="s">
        <v>347</v>
      </c>
    </row>
    <row r="107" spans="2:29" x14ac:dyDescent="0.15">
      <c r="B107" s="3">
        <v>94</v>
      </c>
      <c r="C107" s="4" t="s">
        <v>3</v>
      </c>
      <c r="D107" s="4" t="s">
        <v>3</v>
      </c>
      <c r="E107" s="4" t="s">
        <v>8</v>
      </c>
      <c r="F107" s="4" t="s">
        <v>357</v>
      </c>
      <c r="G107" s="4" t="s">
        <v>276</v>
      </c>
      <c r="H107" s="4" t="s">
        <v>358</v>
      </c>
      <c r="I107" s="4" t="s">
        <v>160</v>
      </c>
      <c r="J107" s="4" t="s">
        <v>161</v>
      </c>
      <c r="K107" s="4" t="s">
        <v>277</v>
      </c>
      <c r="L107" s="4" t="s">
        <v>279</v>
      </c>
      <c r="M107" s="4" t="s">
        <v>276</v>
      </c>
      <c r="N107" s="4"/>
      <c r="O107" s="4" t="s">
        <v>276</v>
      </c>
      <c r="P107" s="4" t="s">
        <v>276</v>
      </c>
      <c r="Q107" s="4" t="s">
        <v>276</v>
      </c>
      <c r="R107" s="4" t="s">
        <v>352</v>
      </c>
      <c r="S107" s="4" t="s">
        <v>337</v>
      </c>
      <c r="T107" s="4" t="s">
        <v>280</v>
      </c>
      <c r="U107" s="4" t="s">
        <v>338</v>
      </c>
      <c r="V107" s="4" t="s">
        <v>280</v>
      </c>
      <c r="W107" s="4" t="s">
        <v>276</v>
      </c>
      <c r="X107" s="4" t="s">
        <v>287</v>
      </c>
      <c r="Y107" s="4" t="s">
        <v>288</v>
      </c>
      <c r="Z107" s="4" t="s">
        <v>284</v>
      </c>
      <c r="AA107" s="4" t="s">
        <v>280</v>
      </c>
      <c r="AB107" s="4" t="s">
        <v>289</v>
      </c>
      <c r="AC107" s="4" t="s">
        <v>290</v>
      </c>
    </row>
    <row r="108" spans="2:29" x14ac:dyDescent="0.15">
      <c r="B108" s="3">
        <v>95</v>
      </c>
      <c r="C108" s="4" t="s">
        <v>2</v>
      </c>
      <c r="D108" s="4" t="s">
        <v>3</v>
      </c>
      <c r="E108" s="4" t="s">
        <v>8</v>
      </c>
      <c r="F108" s="4" t="s">
        <v>357</v>
      </c>
      <c r="G108" s="4" t="s">
        <v>276</v>
      </c>
      <c r="H108" s="4" t="s">
        <v>359</v>
      </c>
      <c r="I108" s="4" t="s">
        <v>162</v>
      </c>
      <c r="J108" s="4" t="s">
        <v>163</v>
      </c>
      <c r="K108" s="4" t="s">
        <v>277</v>
      </c>
      <c r="L108" s="4" t="s">
        <v>277</v>
      </c>
      <c r="M108" s="4" t="s">
        <v>276</v>
      </c>
      <c r="N108" s="4"/>
      <c r="O108" s="4" t="s">
        <v>276</v>
      </c>
      <c r="P108" s="4" t="s">
        <v>276</v>
      </c>
      <c r="Q108" s="4" t="s">
        <v>276</v>
      </c>
      <c r="R108" s="4" t="s">
        <v>352</v>
      </c>
      <c r="S108" s="4" t="s">
        <v>279</v>
      </c>
      <c r="T108" s="4" t="s">
        <v>280</v>
      </c>
      <c r="U108" s="4" t="s">
        <v>284</v>
      </c>
      <c r="V108" s="4" t="s">
        <v>280</v>
      </c>
      <c r="W108" s="4" t="s">
        <v>276</v>
      </c>
      <c r="X108" s="4" t="s">
        <v>344</v>
      </c>
      <c r="Y108" s="4" t="s">
        <v>345</v>
      </c>
      <c r="Z108" s="4" t="s">
        <v>284</v>
      </c>
      <c r="AA108" s="4" t="s">
        <v>281</v>
      </c>
      <c r="AB108" s="4" t="s">
        <v>346</v>
      </c>
      <c r="AC108" s="4" t="s">
        <v>347</v>
      </c>
    </row>
    <row r="109" spans="2:29" x14ac:dyDescent="0.15">
      <c r="B109" s="3">
        <v>96</v>
      </c>
      <c r="C109" s="4" t="s">
        <v>0</v>
      </c>
      <c r="D109" s="4" t="s">
        <v>3</v>
      </c>
      <c r="E109" s="4" t="s">
        <v>8</v>
      </c>
      <c r="F109" s="4" t="s">
        <v>357</v>
      </c>
      <c r="G109" s="4" t="s">
        <v>276</v>
      </c>
      <c r="H109" s="4" t="s">
        <v>238</v>
      </c>
      <c r="I109" s="4" t="s">
        <v>209</v>
      </c>
      <c r="J109" s="4" t="s">
        <v>210</v>
      </c>
      <c r="K109" s="4" t="s">
        <v>277</v>
      </c>
      <c r="L109" s="4" t="s">
        <v>291</v>
      </c>
      <c r="M109" s="4" t="s">
        <v>276</v>
      </c>
      <c r="N109" s="4"/>
      <c r="O109" s="4" t="s">
        <v>276</v>
      </c>
      <c r="P109" s="4" t="s">
        <v>276</v>
      </c>
      <c r="Q109" s="4" t="s">
        <v>276</v>
      </c>
      <c r="R109" s="4" t="s">
        <v>352</v>
      </c>
      <c r="S109" s="4" t="s">
        <v>340</v>
      </c>
      <c r="T109" s="4" t="s">
        <v>280</v>
      </c>
      <c r="U109" s="4" t="s">
        <v>341</v>
      </c>
      <c r="V109" s="4" t="s">
        <v>280</v>
      </c>
      <c r="W109" s="4" t="s">
        <v>276</v>
      </c>
      <c r="X109" s="4" t="s">
        <v>344</v>
      </c>
      <c r="Y109" s="4" t="s">
        <v>345</v>
      </c>
      <c r="Z109" s="4" t="s">
        <v>341</v>
      </c>
      <c r="AA109" s="4" t="s">
        <v>281</v>
      </c>
      <c r="AB109" s="4" t="s">
        <v>346</v>
      </c>
      <c r="AC109" s="4" t="s">
        <v>347</v>
      </c>
    </row>
    <row r="110" spans="2:29" x14ac:dyDescent="0.15">
      <c r="B110" s="3">
        <v>97</v>
      </c>
      <c r="C110" s="4" t="s">
        <v>3</v>
      </c>
      <c r="D110" s="4" t="s">
        <v>3</v>
      </c>
      <c r="E110" s="4" t="s">
        <v>8</v>
      </c>
      <c r="F110" s="4" t="s">
        <v>408</v>
      </c>
      <c r="G110" s="4" t="s">
        <v>276</v>
      </c>
      <c r="H110" s="4" t="s">
        <v>361</v>
      </c>
      <c r="I110" s="4" t="s">
        <v>211</v>
      </c>
      <c r="J110" s="4" t="s">
        <v>212</v>
      </c>
      <c r="K110" s="4" t="s">
        <v>277</v>
      </c>
      <c r="L110" s="4" t="s">
        <v>279</v>
      </c>
      <c r="M110" s="4" t="s">
        <v>276</v>
      </c>
      <c r="N110" s="4"/>
      <c r="O110" s="4" t="s">
        <v>276</v>
      </c>
      <c r="P110" s="4" t="s">
        <v>276</v>
      </c>
      <c r="Q110" s="4" t="s">
        <v>276</v>
      </c>
      <c r="R110" s="4" t="s">
        <v>362</v>
      </c>
      <c r="S110" s="4" t="s">
        <v>363</v>
      </c>
      <c r="T110" s="4" t="s">
        <v>280</v>
      </c>
      <c r="U110" s="4" t="s">
        <v>364</v>
      </c>
      <c r="V110" s="4" t="s">
        <v>280</v>
      </c>
      <c r="W110" s="4" t="s">
        <v>276</v>
      </c>
      <c r="X110" s="4" t="s">
        <v>344</v>
      </c>
      <c r="Y110" s="4" t="s">
        <v>345</v>
      </c>
      <c r="Z110" s="4" t="s">
        <v>365</v>
      </c>
      <c r="AA110" s="4" t="s">
        <v>281</v>
      </c>
      <c r="AB110" s="4" t="s">
        <v>346</v>
      </c>
      <c r="AC110" s="4" t="s">
        <v>347</v>
      </c>
    </row>
    <row r="111" spans="2:29" x14ac:dyDescent="0.15">
      <c r="B111" s="3">
        <v>97</v>
      </c>
      <c r="C111" s="4" t="s">
        <v>3</v>
      </c>
      <c r="D111" s="4" t="s">
        <v>3</v>
      </c>
      <c r="E111" s="4" t="s">
        <v>8</v>
      </c>
      <c r="F111" s="4" t="s">
        <v>360</v>
      </c>
      <c r="G111" s="4" t="s">
        <v>276</v>
      </c>
      <c r="H111" s="4" t="s">
        <v>361</v>
      </c>
      <c r="I111" s="4" t="s">
        <v>211</v>
      </c>
      <c r="J111" s="4" t="s">
        <v>212</v>
      </c>
      <c r="K111" s="4" t="s">
        <v>277</v>
      </c>
      <c r="L111" s="4" t="s">
        <v>279</v>
      </c>
      <c r="M111" s="4" t="s">
        <v>276</v>
      </c>
      <c r="N111" s="4"/>
      <c r="O111" s="4" t="s">
        <v>276</v>
      </c>
      <c r="P111" s="4" t="s">
        <v>276</v>
      </c>
      <c r="Q111" s="4" t="s">
        <v>276</v>
      </c>
      <c r="R111" s="4" t="s">
        <v>362</v>
      </c>
      <c r="S111" s="4" t="s">
        <v>363</v>
      </c>
      <c r="T111" s="4" t="s">
        <v>280</v>
      </c>
      <c r="U111" s="4" t="s">
        <v>364</v>
      </c>
      <c r="V111" s="4" t="s">
        <v>280</v>
      </c>
      <c r="W111" s="4" t="s">
        <v>276</v>
      </c>
      <c r="X111" s="4" t="s">
        <v>287</v>
      </c>
      <c r="Y111" s="4" t="s">
        <v>288</v>
      </c>
      <c r="Z111" s="4" t="s">
        <v>284</v>
      </c>
      <c r="AA111" s="4" t="s">
        <v>280</v>
      </c>
      <c r="AB111" s="4" t="s">
        <v>289</v>
      </c>
      <c r="AC111" s="4" t="s">
        <v>290</v>
      </c>
    </row>
    <row r="112" spans="2:29" x14ac:dyDescent="0.15">
      <c r="B112" s="3">
        <v>98</v>
      </c>
      <c r="C112" s="4" t="s">
        <v>2</v>
      </c>
      <c r="D112" s="4" t="s">
        <v>3</v>
      </c>
      <c r="E112" s="4" t="s">
        <v>8</v>
      </c>
      <c r="F112" s="4" t="s">
        <v>360</v>
      </c>
      <c r="G112" s="4" t="s">
        <v>276</v>
      </c>
      <c r="H112" s="4" t="s">
        <v>366</v>
      </c>
      <c r="I112" s="4" t="s">
        <v>213</v>
      </c>
      <c r="J112" s="4" t="s">
        <v>214</v>
      </c>
      <c r="K112" s="4" t="s">
        <v>277</v>
      </c>
      <c r="L112" s="4" t="s">
        <v>277</v>
      </c>
      <c r="M112" s="4" t="s">
        <v>276</v>
      </c>
      <c r="N112" s="4"/>
      <c r="O112" s="4" t="s">
        <v>276</v>
      </c>
      <c r="P112" s="4" t="s">
        <v>276</v>
      </c>
      <c r="Q112" s="4" t="s">
        <v>276</v>
      </c>
      <c r="R112" s="4" t="s">
        <v>362</v>
      </c>
      <c r="S112" s="4" t="s">
        <v>367</v>
      </c>
      <c r="T112" s="4" t="s">
        <v>280</v>
      </c>
      <c r="U112" s="4" t="s">
        <v>368</v>
      </c>
      <c r="V112" s="4" t="s">
        <v>280</v>
      </c>
      <c r="W112" s="4" t="s">
        <v>276</v>
      </c>
      <c r="X112" s="4" t="s">
        <v>344</v>
      </c>
      <c r="Y112" s="4" t="s">
        <v>345</v>
      </c>
      <c r="Z112" s="4" t="s">
        <v>368</v>
      </c>
      <c r="AA112" s="4" t="s">
        <v>281</v>
      </c>
      <c r="AB112" s="4" t="s">
        <v>346</v>
      </c>
      <c r="AC112" s="4" t="s">
        <v>347</v>
      </c>
    </row>
    <row r="113" spans="2:29" x14ac:dyDescent="0.15">
      <c r="B113" s="3">
        <v>99</v>
      </c>
      <c r="C113" s="4" t="s">
        <v>0</v>
      </c>
      <c r="D113" s="4" t="s">
        <v>3</v>
      </c>
      <c r="E113" s="4" t="s">
        <v>8</v>
      </c>
      <c r="F113" s="4" t="s">
        <v>360</v>
      </c>
      <c r="G113" s="4" t="s">
        <v>276</v>
      </c>
      <c r="H113" s="4" t="s">
        <v>239</v>
      </c>
      <c r="I113" s="4" t="s">
        <v>215</v>
      </c>
      <c r="J113" s="4" t="s">
        <v>216</v>
      </c>
      <c r="K113" s="4" t="s">
        <v>277</v>
      </c>
      <c r="L113" s="4" t="s">
        <v>291</v>
      </c>
      <c r="M113" s="4" t="s">
        <v>276</v>
      </c>
      <c r="N113" s="4"/>
      <c r="O113" s="4" t="s">
        <v>276</v>
      </c>
      <c r="P113" s="4" t="s">
        <v>276</v>
      </c>
      <c r="Q113" s="4" t="s">
        <v>276</v>
      </c>
      <c r="R113" s="4" t="s">
        <v>362</v>
      </c>
      <c r="S113" s="4" t="s">
        <v>369</v>
      </c>
      <c r="T113" s="4" t="s">
        <v>280</v>
      </c>
      <c r="U113" s="4" t="s">
        <v>370</v>
      </c>
      <c r="V113" s="4" t="s">
        <v>280</v>
      </c>
      <c r="W113" s="4" t="s">
        <v>276</v>
      </c>
      <c r="X113" s="4" t="s">
        <v>344</v>
      </c>
      <c r="Y113" s="4" t="s">
        <v>345</v>
      </c>
      <c r="Z113" s="4" t="s">
        <v>370</v>
      </c>
      <c r="AA113" s="4" t="s">
        <v>281</v>
      </c>
      <c r="AB113" s="4" t="s">
        <v>346</v>
      </c>
      <c r="AC113" s="4" t="s">
        <v>347</v>
      </c>
    </row>
    <row r="114" spans="2:29" x14ac:dyDescent="0.4">
      <c r="M114" s="6"/>
    </row>
  </sheetData>
  <autoFilter ref="A1:AC1" xr:uid="{1E37B352-8635-4567-93E1-A027C01235FD}"/>
  <phoneticPr fontId="6"/>
  <pageMargins left="0.7" right="0.7" top="0.75" bottom="0.75" header="0.3" footer="0.3"/>
  <pageSetup paperSize="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FEE139-349A-4B85-8F40-9C4CA6FB5E99}">
  <dimension ref="A1:N80"/>
  <sheetViews>
    <sheetView topLeftCell="A58" workbookViewId="0"/>
  </sheetViews>
  <sheetFormatPr defaultRowHeight="18.75" x14ac:dyDescent="0.4"/>
  <cols>
    <col min="1" max="3" width="3.625" style="7" customWidth="1"/>
    <col min="4" max="4" width="4.375" style="7" customWidth="1"/>
    <col min="5" max="5" width="13.25" style="9" customWidth="1"/>
    <col min="6" max="6" width="11.5" style="9" customWidth="1"/>
    <col min="7" max="7" width="11" style="9" bestFit="1" customWidth="1"/>
    <col min="8" max="8" width="4.5" style="7" customWidth="1"/>
    <col min="9" max="9" width="11.5" style="7" customWidth="1"/>
    <col min="10" max="10" width="11" style="7" bestFit="1" customWidth="1"/>
    <col min="11" max="11" width="4.5" style="7" customWidth="1"/>
    <col min="12" max="12" width="11.5" style="7" customWidth="1"/>
    <col min="13" max="13" width="11" style="7" bestFit="1" customWidth="1"/>
    <col min="14" max="14" width="3" style="7" customWidth="1"/>
    <col min="15" max="16384" width="9" style="7"/>
  </cols>
  <sheetData>
    <row r="1" spans="1:14" x14ac:dyDescent="0.4">
      <c r="A1" s="8" t="s">
        <v>466</v>
      </c>
    </row>
    <row r="2" spans="1:14" x14ac:dyDescent="0.4">
      <c r="A2" s="8"/>
    </row>
    <row r="3" spans="1:14" x14ac:dyDescent="0.4">
      <c r="B3" s="7" t="s">
        <v>377</v>
      </c>
    </row>
    <row r="4" spans="1:14" x14ac:dyDescent="0.4">
      <c r="C4" s="7" t="s">
        <v>471</v>
      </c>
    </row>
    <row r="5" spans="1:14" ht="19.5" thickBot="1" x14ac:dyDescent="0.45"/>
    <row r="6" spans="1:14" s="50" customFormat="1" x14ac:dyDescent="0.4">
      <c r="D6" s="10"/>
      <c r="E6" s="11"/>
      <c r="F6" s="11"/>
      <c r="G6" s="11"/>
      <c r="H6" s="100"/>
      <c r="I6" s="100"/>
      <c r="J6" s="100"/>
      <c r="K6" s="100"/>
      <c r="L6" s="100"/>
      <c r="M6" s="100"/>
      <c r="N6" s="12"/>
    </row>
    <row r="7" spans="1:14" s="50" customFormat="1" x14ac:dyDescent="0.4">
      <c r="D7" s="13">
        <v>1</v>
      </c>
      <c r="E7" s="14" t="s">
        <v>322</v>
      </c>
      <c r="F7" s="9"/>
      <c r="G7" s="9"/>
      <c r="N7" s="15"/>
    </row>
    <row r="8" spans="1:14" s="50" customFormat="1" x14ac:dyDescent="0.4">
      <c r="D8" s="13"/>
      <c r="E8" s="9" t="s">
        <v>378</v>
      </c>
      <c r="F8" s="9">
        <v>250</v>
      </c>
      <c r="G8" s="9">
        <v>50</v>
      </c>
      <c r="I8" s="9">
        <v>300</v>
      </c>
      <c r="J8" s="9">
        <v>50</v>
      </c>
      <c r="L8" s="9">
        <v>350</v>
      </c>
      <c r="M8" s="9">
        <v>50</v>
      </c>
      <c r="N8" s="15"/>
    </row>
    <row r="9" spans="1:14" s="50" customFormat="1" x14ac:dyDescent="0.4">
      <c r="D9" s="13"/>
      <c r="E9" s="9"/>
      <c r="F9" s="9"/>
      <c r="G9" s="9"/>
      <c r="I9" s="9"/>
      <c r="L9" s="9"/>
      <c r="N9" s="15"/>
    </row>
    <row r="10" spans="1:14" s="50" customFormat="1" ht="18.75" customHeight="1" x14ac:dyDescent="0.4">
      <c r="D10" s="13"/>
      <c r="E10" s="9"/>
      <c r="F10" s="9"/>
      <c r="G10" s="9"/>
      <c r="L10" s="276" t="s">
        <v>444</v>
      </c>
      <c r="N10" s="15"/>
    </row>
    <row r="11" spans="1:14" s="50" customFormat="1" ht="18.75" customHeight="1" x14ac:dyDescent="0.4">
      <c r="D11" s="13"/>
      <c r="E11" s="9"/>
      <c r="F11" s="9"/>
      <c r="G11" s="9"/>
      <c r="I11" s="278" t="s">
        <v>444</v>
      </c>
      <c r="J11" s="9"/>
      <c r="L11" s="277"/>
      <c r="M11" s="9"/>
      <c r="N11" s="15"/>
    </row>
    <row r="12" spans="1:14" s="50" customFormat="1" x14ac:dyDescent="0.4">
      <c r="D12" s="13"/>
      <c r="E12" s="9"/>
      <c r="F12" s="278" t="s">
        <v>444</v>
      </c>
      <c r="G12" s="9"/>
      <c r="I12" s="260"/>
      <c r="J12" s="9"/>
      <c r="L12" s="277"/>
      <c r="M12" s="9"/>
      <c r="N12" s="15"/>
    </row>
    <row r="13" spans="1:14" s="50" customFormat="1" ht="18.75" customHeight="1" x14ac:dyDescent="0.4">
      <c r="D13" s="13"/>
      <c r="E13" s="9"/>
      <c r="F13" s="253"/>
      <c r="G13" s="9"/>
      <c r="I13" s="260"/>
      <c r="J13" s="9"/>
      <c r="L13" s="277"/>
      <c r="M13" s="9"/>
      <c r="N13" s="15"/>
    </row>
    <row r="14" spans="1:14" s="50" customFormat="1" ht="18.75" customHeight="1" x14ac:dyDescent="0.4">
      <c r="D14" s="13"/>
      <c r="E14" s="9"/>
      <c r="F14" s="253"/>
      <c r="G14" s="9"/>
      <c r="I14" s="260"/>
      <c r="J14" s="9"/>
      <c r="L14" s="277"/>
      <c r="M14" s="9"/>
      <c r="N14" s="15"/>
    </row>
    <row r="15" spans="1:14" s="50" customFormat="1" x14ac:dyDescent="0.4">
      <c r="D15" s="13"/>
      <c r="E15" s="9"/>
      <c r="F15" s="253"/>
      <c r="G15" s="9"/>
      <c r="I15" s="260"/>
      <c r="J15" s="9"/>
      <c r="L15" s="277"/>
      <c r="M15" s="9"/>
      <c r="N15" s="15"/>
    </row>
    <row r="16" spans="1:14" s="50" customFormat="1" ht="37.5" x14ac:dyDescent="0.4">
      <c r="D16" s="13"/>
      <c r="E16" s="9"/>
      <c r="F16" s="254"/>
      <c r="G16" s="48" t="s">
        <v>431</v>
      </c>
      <c r="I16" s="261"/>
      <c r="J16" s="48" t="s">
        <v>431</v>
      </c>
      <c r="L16" s="277"/>
      <c r="M16" s="48" t="s">
        <v>431</v>
      </c>
      <c r="N16" s="15"/>
    </row>
    <row r="17" spans="4:14" s="50" customFormat="1" x14ac:dyDescent="0.4">
      <c r="D17" s="13"/>
      <c r="E17" s="16" t="s">
        <v>379</v>
      </c>
      <c r="F17" s="9">
        <v>50</v>
      </c>
      <c r="G17" s="9">
        <v>50</v>
      </c>
      <c r="I17" s="102">
        <v>0</v>
      </c>
      <c r="J17" s="9">
        <v>50</v>
      </c>
      <c r="L17" s="102">
        <v>-50</v>
      </c>
      <c r="M17" s="9">
        <v>50</v>
      </c>
      <c r="N17" s="15"/>
    </row>
    <row r="18" spans="4:14" s="50" customFormat="1" x14ac:dyDescent="0.4">
      <c r="D18" s="13"/>
      <c r="E18" s="16" t="s">
        <v>434</v>
      </c>
      <c r="F18" s="9">
        <v>250</v>
      </c>
      <c r="G18" s="9"/>
      <c r="I18" s="103">
        <v>300</v>
      </c>
      <c r="J18" s="9"/>
      <c r="L18" s="103">
        <v>300</v>
      </c>
      <c r="M18" s="9"/>
      <c r="N18" s="15"/>
    </row>
    <row r="19" spans="4:14" s="50" customFormat="1" x14ac:dyDescent="0.4">
      <c r="D19" s="13"/>
      <c r="E19" s="16" t="s">
        <v>419</v>
      </c>
      <c r="F19" s="9"/>
      <c r="G19" s="9"/>
      <c r="I19" s="9"/>
      <c r="L19" s="9"/>
      <c r="N19" s="15"/>
    </row>
    <row r="20" spans="4:14" s="50" customFormat="1" x14ac:dyDescent="0.4">
      <c r="D20" s="13"/>
      <c r="E20" s="43" t="s">
        <v>420</v>
      </c>
      <c r="F20" s="41" t="s">
        <v>472</v>
      </c>
      <c r="G20" s="9"/>
      <c r="I20" s="9"/>
      <c r="K20" s="41" t="s">
        <v>437</v>
      </c>
      <c r="L20" s="9"/>
      <c r="N20" s="15"/>
    </row>
    <row r="21" spans="4:14" s="50" customFormat="1" x14ac:dyDescent="0.4">
      <c r="D21" s="13"/>
      <c r="E21" s="43"/>
      <c r="F21" s="104" t="s">
        <v>442</v>
      </c>
      <c r="G21" s="9"/>
      <c r="I21" s="9"/>
      <c r="K21" s="41"/>
      <c r="L21" s="9"/>
      <c r="N21" s="15"/>
    </row>
    <row r="22" spans="4:14" s="50" customFormat="1" x14ac:dyDescent="0.4">
      <c r="D22" s="13"/>
      <c r="E22" s="43" t="s">
        <v>422</v>
      </c>
      <c r="F22" s="41" t="s">
        <v>436</v>
      </c>
      <c r="G22" s="9"/>
      <c r="I22" s="9"/>
      <c r="J22" s="9"/>
      <c r="K22" s="50" t="s">
        <v>437</v>
      </c>
      <c r="N22" s="15"/>
    </row>
    <row r="23" spans="4:14" s="50" customFormat="1" x14ac:dyDescent="0.4">
      <c r="D23" s="13"/>
      <c r="E23" s="16"/>
      <c r="F23" s="41"/>
      <c r="G23" s="9"/>
      <c r="I23" s="9"/>
      <c r="L23" s="9"/>
      <c r="N23" s="15"/>
    </row>
    <row r="24" spans="4:14" s="50" customFormat="1" ht="19.5" thickBot="1" x14ac:dyDescent="0.45">
      <c r="D24" s="17"/>
      <c r="E24" s="18"/>
      <c r="F24" s="18"/>
      <c r="G24" s="18"/>
      <c r="H24" s="101"/>
      <c r="I24" s="101"/>
      <c r="J24" s="101"/>
      <c r="K24" s="101"/>
      <c r="L24" s="101"/>
      <c r="M24" s="101"/>
      <c r="N24" s="19"/>
    </row>
    <row r="25" spans="4:14" x14ac:dyDescent="0.4">
      <c r="D25" s="10"/>
      <c r="E25" s="11"/>
      <c r="F25" s="11"/>
      <c r="G25" s="11"/>
      <c r="H25" s="100"/>
      <c r="I25" s="100"/>
      <c r="J25" s="100"/>
      <c r="K25" s="100"/>
      <c r="L25" s="100"/>
      <c r="M25" s="100"/>
      <c r="N25" s="12"/>
    </row>
    <row r="26" spans="4:14" x14ac:dyDescent="0.4">
      <c r="D26" s="13">
        <v>1</v>
      </c>
      <c r="E26" s="14" t="s">
        <v>429</v>
      </c>
      <c r="N26" s="15"/>
    </row>
    <row r="27" spans="4:14" x14ac:dyDescent="0.4">
      <c r="D27" s="13"/>
      <c r="E27" s="9" t="s">
        <v>378</v>
      </c>
      <c r="F27" s="9">
        <v>200</v>
      </c>
      <c r="G27" s="9">
        <v>50</v>
      </c>
      <c r="I27" s="9">
        <v>300</v>
      </c>
      <c r="J27" s="9">
        <v>50</v>
      </c>
      <c r="L27" s="9">
        <v>350</v>
      </c>
      <c r="M27" s="9">
        <v>50</v>
      </c>
      <c r="N27" s="15"/>
    </row>
    <row r="28" spans="4:14" x14ac:dyDescent="0.4">
      <c r="D28" s="13"/>
      <c r="I28" s="9"/>
      <c r="J28" s="9"/>
      <c r="L28" s="9"/>
      <c r="M28" s="9"/>
      <c r="N28" s="15"/>
    </row>
    <row r="29" spans="4:14" x14ac:dyDescent="0.4">
      <c r="D29" s="13"/>
      <c r="I29" s="9"/>
      <c r="J29" s="9"/>
      <c r="L29" s="276" t="s">
        <v>430</v>
      </c>
      <c r="M29" s="9"/>
      <c r="N29" s="15"/>
    </row>
    <row r="30" spans="4:14" ht="18.75" customHeight="1" x14ac:dyDescent="0.4">
      <c r="D30" s="13"/>
      <c r="I30" s="276" t="s">
        <v>430</v>
      </c>
      <c r="J30" s="9"/>
      <c r="L30" s="277"/>
      <c r="M30" s="9"/>
      <c r="N30" s="15"/>
    </row>
    <row r="31" spans="4:14" ht="18.75" customHeight="1" x14ac:dyDescent="0.4">
      <c r="D31" s="13"/>
      <c r="I31" s="277"/>
      <c r="J31" s="9"/>
      <c r="L31" s="277"/>
      <c r="M31" s="9"/>
      <c r="N31" s="15"/>
    </row>
    <row r="32" spans="4:14" ht="18.75" customHeight="1" x14ac:dyDescent="0.4">
      <c r="D32" s="13"/>
      <c r="F32" s="276" t="s">
        <v>430</v>
      </c>
      <c r="I32" s="277"/>
      <c r="J32" s="9"/>
      <c r="L32" s="277"/>
      <c r="M32" s="9"/>
      <c r="N32" s="15"/>
    </row>
    <row r="33" spans="4:14" x14ac:dyDescent="0.4">
      <c r="D33" s="13"/>
      <c r="F33" s="279"/>
      <c r="I33" s="277"/>
      <c r="J33" s="9"/>
      <c r="L33" s="277"/>
      <c r="M33" s="9"/>
      <c r="N33" s="15"/>
    </row>
    <row r="34" spans="4:14" x14ac:dyDescent="0.4">
      <c r="D34" s="13"/>
      <c r="F34" s="279"/>
      <c r="I34" s="277"/>
      <c r="J34" s="9"/>
      <c r="L34" s="277"/>
      <c r="M34" s="9"/>
      <c r="N34" s="15"/>
    </row>
    <row r="35" spans="4:14" ht="37.5" x14ac:dyDescent="0.4">
      <c r="D35" s="13"/>
      <c r="F35" s="279"/>
      <c r="G35" s="42" t="s">
        <v>431</v>
      </c>
      <c r="I35" s="277"/>
      <c r="J35" s="42" t="s">
        <v>432</v>
      </c>
      <c r="L35" s="277"/>
      <c r="M35" s="42" t="s">
        <v>432</v>
      </c>
      <c r="N35" s="15"/>
    </row>
    <row r="36" spans="4:14" x14ac:dyDescent="0.4">
      <c r="D36" s="13"/>
      <c r="E36" s="16" t="s">
        <v>379</v>
      </c>
      <c r="F36" s="9">
        <v>100</v>
      </c>
      <c r="G36" s="9">
        <v>50</v>
      </c>
      <c r="I36" s="9">
        <v>0</v>
      </c>
      <c r="J36" s="9">
        <v>50</v>
      </c>
      <c r="L36" s="9" t="s">
        <v>433</v>
      </c>
      <c r="M36" s="9">
        <v>50</v>
      </c>
      <c r="N36" s="15"/>
    </row>
    <row r="37" spans="4:14" x14ac:dyDescent="0.4">
      <c r="D37" s="13"/>
      <c r="E37" s="16" t="s">
        <v>434</v>
      </c>
      <c r="F37" s="9">
        <v>200</v>
      </c>
      <c r="I37" s="9">
        <v>300</v>
      </c>
      <c r="J37" s="9"/>
      <c r="L37" s="9">
        <v>300</v>
      </c>
      <c r="M37" s="9"/>
      <c r="N37" s="15"/>
    </row>
    <row r="38" spans="4:14" x14ac:dyDescent="0.4">
      <c r="D38" s="13"/>
      <c r="E38" s="16" t="s">
        <v>419</v>
      </c>
      <c r="I38" s="9"/>
      <c r="J38" s="9"/>
      <c r="L38" s="9"/>
      <c r="M38" s="9"/>
      <c r="N38" s="15"/>
    </row>
    <row r="39" spans="4:14" x14ac:dyDescent="0.4">
      <c r="D39" s="13"/>
      <c r="E39" s="43" t="s">
        <v>420</v>
      </c>
      <c r="F39" s="41" t="s">
        <v>473</v>
      </c>
      <c r="I39" s="9"/>
      <c r="J39" s="9"/>
      <c r="K39" s="41" t="s">
        <v>421</v>
      </c>
      <c r="N39" s="15"/>
    </row>
    <row r="40" spans="4:14" x14ac:dyDescent="0.4">
      <c r="D40" s="13"/>
      <c r="E40" s="43"/>
      <c r="F40" s="7" t="s">
        <v>435</v>
      </c>
      <c r="I40" s="9"/>
      <c r="J40" s="9"/>
      <c r="N40" s="15"/>
    </row>
    <row r="41" spans="4:14" x14ac:dyDescent="0.4">
      <c r="D41" s="13"/>
      <c r="E41" s="43" t="s">
        <v>422</v>
      </c>
      <c r="F41" s="41" t="s">
        <v>436</v>
      </c>
      <c r="I41" s="9"/>
      <c r="J41" s="9"/>
      <c r="K41" s="7" t="s">
        <v>437</v>
      </c>
      <c r="N41" s="15"/>
    </row>
    <row r="42" spans="4:14" x14ac:dyDescent="0.4">
      <c r="D42" s="13"/>
      <c r="E42" s="43"/>
      <c r="F42" s="41" t="s">
        <v>438</v>
      </c>
      <c r="I42" s="9"/>
      <c r="J42" s="9"/>
      <c r="N42" s="15"/>
    </row>
    <row r="43" spans="4:14" ht="19.5" thickBot="1" x14ac:dyDescent="0.45">
      <c r="D43" s="17"/>
      <c r="E43" s="18"/>
      <c r="F43" s="18"/>
      <c r="G43" s="18"/>
      <c r="H43" s="101"/>
      <c r="I43" s="101"/>
      <c r="J43" s="101"/>
      <c r="K43" s="101"/>
      <c r="L43" s="101"/>
      <c r="M43" s="101"/>
      <c r="N43" s="19"/>
    </row>
    <row r="44" spans="4:14" x14ac:dyDescent="0.4">
      <c r="D44" s="10"/>
      <c r="E44" s="11"/>
      <c r="F44" s="11"/>
      <c r="G44" s="11"/>
      <c r="H44" s="100"/>
      <c r="I44" s="100"/>
      <c r="J44" s="100"/>
      <c r="K44" s="100"/>
      <c r="L44" s="100"/>
      <c r="M44" s="100"/>
      <c r="N44" s="12"/>
    </row>
    <row r="45" spans="4:14" x14ac:dyDescent="0.4">
      <c r="D45" s="13">
        <v>2</v>
      </c>
      <c r="E45" s="14" t="s">
        <v>439</v>
      </c>
      <c r="N45" s="15"/>
    </row>
    <row r="46" spans="4:14" x14ac:dyDescent="0.4">
      <c r="D46" s="13"/>
      <c r="E46" s="9" t="s">
        <v>378</v>
      </c>
      <c r="F46" s="9">
        <v>200</v>
      </c>
      <c r="G46" s="9">
        <v>50</v>
      </c>
      <c r="I46" s="9">
        <v>300</v>
      </c>
      <c r="J46" s="9">
        <v>50</v>
      </c>
      <c r="L46" s="9">
        <v>350</v>
      </c>
      <c r="M46" s="9">
        <v>50</v>
      </c>
      <c r="N46" s="15"/>
    </row>
    <row r="47" spans="4:14" x14ac:dyDescent="0.4">
      <c r="D47" s="13"/>
      <c r="I47" s="9"/>
      <c r="J47" s="9"/>
      <c r="L47" s="9"/>
      <c r="M47" s="9"/>
      <c r="N47" s="15"/>
    </row>
    <row r="48" spans="4:14" x14ac:dyDescent="0.4">
      <c r="D48" s="13"/>
      <c r="I48" s="9"/>
      <c r="J48" s="9"/>
      <c r="L48" s="276" t="s">
        <v>440</v>
      </c>
      <c r="M48" s="9"/>
      <c r="N48" s="15"/>
    </row>
    <row r="49" spans="4:14" ht="18.75" customHeight="1" x14ac:dyDescent="0.4">
      <c r="D49" s="13"/>
      <c r="I49" s="276" t="s">
        <v>440</v>
      </c>
      <c r="J49" s="9"/>
      <c r="L49" s="277"/>
      <c r="M49" s="9"/>
      <c r="N49" s="15"/>
    </row>
    <row r="50" spans="4:14" ht="18.75" customHeight="1" x14ac:dyDescent="0.4">
      <c r="D50" s="13"/>
      <c r="I50" s="277"/>
      <c r="J50" s="9"/>
      <c r="L50" s="277"/>
      <c r="M50" s="9"/>
      <c r="N50" s="15"/>
    </row>
    <row r="51" spans="4:14" ht="18.75" customHeight="1" x14ac:dyDescent="0.4">
      <c r="D51" s="13"/>
      <c r="F51" s="276" t="s">
        <v>440</v>
      </c>
      <c r="I51" s="277"/>
      <c r="J51" s="9"/>
      <c r="L51" s="277"/>
      <c r="M51" s="9"/>
      <c r="N51" s="15"/>
    </row>
    <row r="52" spans="4:14" x14ac:dyDescent="0.4">
      <c r="D52" s="13"/>
      <c r="F52" s="279"/>
      <c r="I52" s="277"/>
      <c r="J52" s="9"/>
      <c r="L52" s="277"/>
      <c r="M52" s="9"/>
      <c r="N52" s="15"/>
    </row>
    <row r="53" spans="4:14" x14ac:dyDescent="0.4">
      <c r="D53" s="13"/>
      <c r="F53" s="279"/>
      <c r="I53" s="277"/>
      <c r="J53" s="9"/>
      <c r="L53" s="277"/>
      <c r="M53" s="9"/>
      <c r="N53" s="15"/>
    </row>
    <row r="54" spans="4:14" ht="37.5" x14ac:dyDescent="0.4">
      <c r="D54" s="13"/>
      <c r="F54" s="279"/>
      <c r="G54" s="42" t="s">
        <v>431</v>
      </c>
      <c r="I54" s="277"/>
      <c r="J54" s="42" t="s">
        <v>431</v>
      </c>
      <c r="L54" s="277"/>
      <c r="M54" s="42" t="s">
        <v>431</v>
      </c>
      <c r="N54" s="15"/>
    </row>
    <row r="55" spans="4:14" x14ac:dyDescent="0.4">
      <c r="D55" s="13"/>
      <c r="E55" s="16" t="s">
        <v>379</v>
      </c>
      <c r="F55" s="9">
        <v>100</v>
      </c>
      <c r="G55" s="9">
        <v>50</v>
      </c>
      <c r="I55" s="9"/>
      <c r="J55" s="9">
        <v>50</v>
      </c>
      <c r="L55" s="9"/>
      <c r="M55" s="9">
        <v>50</v>
      </c>
      <c r="N55" s="15"/>
    </row>
    <row r="56" spans="4:14" x14ac:dyDescent="0.4">
      <c r="D56" s="13"/>
      <c r="E56" s="16" t="s">
        <v>419</v>
      </c>
      <c r="I56" s="9"/>
      <c r="J56" s="9"/>
      <c r="L56" s="9"/>
      <c r="M56" s="9"/>
      <c r="N56" s="15"/>
    </row>
    <row r="57" spans="4:14" x14ac:dyDescent="0.4">
      <c r="D57" s="13"/>
      <c r="E57" s="43" t="s">
        <v>420</v>
      </c>
      <c r="F57" s="41" t="s">
        <v>690</v>
      </c>
      <c r="I57" s="9"/>
      <c r="J57" s="9"/>
      <c r="K57" s="41" t="s">
        <v>441</v>
      </c>
      <c r="N57" s="15"/>
    </row>
    <row r="58" spans="4:14" x14ac:dyDescent="0.4">
      <c r="D58" s="13"/>
      <c r="E58" s="43"/>
      <c r="F58" s="7" t="s">
        <v>442</v>
      </c>
      <c r="I58" s="9"/>
      <c r="J58" s="9"/>
      <c r="N58" s="15"/>
    </row>
    <row r="59" spans="4:14" x14ac:dyDescent="0.4">
      <c r="D59" s="13"/>
      <c r="E59" s="43" t="s">
        <v>422</v>
      </c>
      <c r="F59" s="41" t="s">
        <v>436</v>
      </c>
      <c r="I59" s="9"/>
      <c r="J59" s="9"/>
      <c r="K59" s="7" t="s">
        <v>437</v>
      </c>
      <c r="N59" s="15"/>
    </row>
    <row r="60" spans="4:14" ht="19.5" thickBot="1" x14ac:dyDescent="0.45">
      <c r="D60" s="17"/>
      <c r="E60" s="18"/>
      <c r="F60" s="18"/>
      <c r="G60" s="18"/>
      <c r="H60" s="101"/>
      <c r="I60" s="101"/>
      <c r="J60" s="101"/>
      <c r="K60" s="101"/>
      <c r="L60" s="101"/>
      <c r="M60" s="101"/>
      <c r="N60" s="19"/>
    </row>
    <row r="61" spans="4:14" x14ac:dyDescent="0.4">
      <c r="D61" s="10"/>
      <c r="E61" s="11"/>
      <c r="F61" s="11"/>
      <c r="G61" s="11"/>
      <c r="H61" s="100"/>
      <c r="I61" s="100"/>
      <c r="J61" s="100"/>
      <c r="K61" s="100"/>
      <c r="L61" s="100"/>
      <c r="M61" s="100"/>
      <c r="N61" s="12"/>
    </row>
    <row r="62" spans="4:14" x14ac:dyDescent="0.4">
      <c r="D62" s="13">
        <v>5</v>
      </c>
      <c r="E62" s="14" t="s">
        <v>443</v>
      </c>
      <c r="N62" s="15"/>
    </row>
    <row r="63" spans="4:14" x14ac:dyDescent="0.4">
      <c r="D63" s="13"/>
      <c r="E63" s="9" t="s">
        <v>378</v>
      </c>
      <c r="F63" s="9">
        <v>250</v>
      </c>
      <c r="G63" s="9">
        <v>50</v>
      </c>
      <c r="I63" s="9">
        <v>300</v>
      </c>
      <c r="J63" s="9">
        <v>50</v>
      </c>
      <c r="L63" s="9">
        <v>350</v>
      </c>
      <c r="M63" s="9">
        <v>50</v>
      </c>
      <c r="N63" s="15"/>
    </row>
    <row r="64" spans="4:14" x14ac:dyDescent="0.4">
      <c r="D64" s="13"/>
      <c r="I64" s="9"/>
      <c r="L64" s="9"/>
      <c r="N64" s="15"/>
    </row>
    <row r="65" spans="4:14" ht="18.75" customHeight="1" x14ac:dyDescent="0.4">
      <c r="D65" s="13"/>
      <c r="L65" s="276" t="s">
        <v>444</v>
      </c>
      <c r="N65" s="15"/>
    </row>
    <row r="66" spans="4:14" ht="18.75" customHeight="1" x14ac:dyDescent="0.4">
      <c r="D66" s="13"/>
      <c r="I66" s="278" t="s">
        <v>444</v>
      </c>
      <c r="J66" s="9"/>
      <c r="L66" s="277"/>
      <c r="M66" s="9"/>
      <c r="N66" s="15"/>
    </row>
    <row r="67" spans="4:14" x14ac:dyDescent="0.4">
      <c r="D67" s="13"/>
      <c r="F67" s="278" t="s">
        <v>444</v>
      </c>
      <c r="I67" s="260"/>
      <c r="J67" s="9"/>
      <c r="L67" s="277"/>
      <c r="M67" s="9"/>
      <c r="N67" s="15"/>
    </row>
    <row r="68" spans="4:14" ht="18.75" customHeight="1" x14ac:dyDescent="0.4">
      <c r="D68" s="13"/>
      <c r="F68" s="253"/>
      <c r="I68" s="260"/>
      <c r="J68" s="9"/>
      <c r="L68" s="277"/>
      <c r="M68" s="9"/>
      <c r="N68" s="15"/>
    </row>
    <row r="69" spans="4:14" ht="18.75" customHeight="1" x14ac:dyDescent="0.4">
      <c r="D69" s="13"/>
      <c r="F69" s="253"/>
      <c r="I69" s="260"/>
      <c r="J69" s="9"/>
      <c r="L69" s="277"/>
      <c r="M69" s="9"/>
      <c r="N69" s="15"/>
    </row>
    <row r="70" spans="4:14" x14ac:dyDescent="0.4">
      <c r="D70" s="13"/>
      <c r="F70" s="253"/>
      <c r="I70" s="260"/>
      <c r="J70" s="9"/>
      <c r="L70" s="277"/>
      <c r="M70" s="9"/>
      <c r="N70" s="15"/>
    </row>
    <row r="71" spans="4:14" ht="37.5" x14ac:dyDescent="0.4">
      <c r="D71" s="13"/>
      <c r="F71" s="254"/>
      <c r="G71" s="42" t="s">
        <v>431</v>
      </c>
      <c r="I71" s="261"/>
      <c r="J71" s="42" t="s">
        <v>431</v>
      </c>
      <c r="L71" s="277"/>
      <c r="M71" s="42" t="s">
        <v>431</v>
      </c>
      <c r="N71" s="15"/>
    </row>
    <row r="72" spans="4:14" x14ac:dyDescent="0.4">
      <c r="D72" s="13"/>
      <c r="E72" s="16" t="s">
        <v>379</v>
      </c>
      <c r="F72" s="9">
        <v>50</v>
      </c>
      <c r="G72" s="9">
        <v>50</v>
      </c>
      <c r="I72" s="102">
        <v>0</v>
      </c>
      <c r="J72" s="9">
        <v>50</v>
      </c>
      <c r="L72" s="102">
        <v>-50</v>
      </c>
      <c r="M72" s="9">
        <v>50</v>
      </c>
      <c r="N72" s="15"/>
    </row>
    <row r="73" spans="4:14" x14ac:dyDescent="0.4">
      <c r="D73" s="13"/>
      <c r="E73" s="16" t="s">
        <v>445</v>
      </c>
      <c r="F73" s="9">
        <v>250</v>
      </c>
      <c r="I73" s="103">
        <v>300</v>
      </c>
      <c r="J73" s="9"/>
      <c r="L73" s="103">
        <v>300</v>
      </c>
      <c r="M73" s="9"/>
      <c r="N73" s="15"/>
    </row>
    <row r="74" spans="4:14" x14ac:dyDescent="0.4">
      <c r="D74" s="13"/>
      <c r="E74" s="16" t="s">
        <v>419</v>
      </c>
      <c r="I74" s="9"/>
      <c r="L74" s="9"/>
      <c r="N74" s="15"/>
    </row>
    <row r="75" spans="4:14" x14ac:dyDescent="0.4">
      <c r="D75" s="13"/>
      <c r="E75" s="43" t="s">
        <v>420</v>
      </c>
      <c r="F75" s="41" t="s">
        <v>472</v>
      </c>
      <c r="I75" s="9"/>
      <c r="K75" s="41" t="s">
        <v>437</v>
      </c>
      <c r="L75" s="9"/>
      <c r="N75" s="15"/>
    </row>
    <row r="76" spans="4:14" x14ac:dyDescent="0.4">
      <c r="D76" s="13"/>
      <c r="E76" s="43"/>
      <c r="F76" s="104" t="s">
        <v>442</v>
      </c>
      <c r="I76" s="9"/>
      <c r="K76" s="41"/>
      <c r="L76" s="9"/>
      <c r="N76" s="15"/>
    </row>
    <row r="77" spans="4:14" x14ac:dyDescent="0.4">
      <c r="D77" s="13"/>
      <c r="E77" s="43" t="s">
        <v>422</v>
      </c>
      <c r="F77" s="41" t="s">
        <v>436</v>
      </c>
      <c r="I77" s="9"/>
      <c r="J77" s="9"/>
      <c r="K77" s="7" t="s">
        <v>437</v>
      </c>
      <c r="N77" s="15"/>
    </row>
    <row r="78" spans="4:14" x14ac:dyDescent="0.4">
      <c r="D78" s="13"/>
      <c r="E78" s="16"/>
      <c r="F78" s="41"/>
      <c r="I78" s="9"/>
      <c r="L78" s="9"/>
      <c r="N78" s="15"/>
    </row>
    <row r="79" spans="4:14" ht="19.5" thickBot="1" x14ac:dyDescent="0.45">
      <c r="D79" s="17"/>
      <c r="E79" s="18"/>
      <c r="F79" s="18"/>
      <c r="G79" s="18"/>
      <c r="H79" s="101"/>
      <c r="I79" s="101"/>
      <c r="J79" s="101"/>
      <c r="K79" s="101"/>
      <c r="L79" s="101"/>
      <c r="M79" s="101"/>
      <c r="N79" s="19"/>
    </row>
    <row r="80" spans="4:14" x14ac:dyDescent="0.4">
      <c r="D80" s="41" t="s">
        <v>446</v>
      </c>
    </row>
  </sheetData>
  <mergeCells count="12">
    <mergeCell ref="L10:L16"/>
    <mergeCell ref="I11:I16"/>
    <mergeCell ref="F12:F16"/>
    <mergeCell ref="L65:L71"/>
    <mergeCell ref="I66:I71"/>
    <mergeCell ref="F67:F71"/>
    <mergeCell ref="L29:L35"/>
    <mergeCell ref="I30:I35"/>
    <mergeCell ref="F32:F35"/>
    <mergeCell ref="L48:L54"/>
    <mergeCell ref="I49:I54"/>
    <mergeCell ref="F51:F54"/>
  </mergeCells>
  <phoneticPr fontId="14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E39ECE-707B-49E6-97A9-BF41CB32A974}">
  <dimension ref="A1:J14"/>
  <sheetViews>
    <sheetView workbookViewId="0">
      <selection activeCell="A2" sqref="A2:E14"/>
    </sheetView>
  </sheetViews>
  <sheetFormatPr defaultRowHeight="18.75" x14ac:dyDescent="0.4"/>
  <cols>
    <col min="2" max="3" width="48.25" customWidth="1"/>
    <col min="4" max="4" width="9.25" bestFit="1" customWidth="1"/>
    <col min="5" max="5" width="24.625" style="9" bestFit="1" customWidth="1"/>
    <col min="6" max="6" width="36.125" bestFit="1" customWidth="1"/>
    <col min="7" max="7" width="15" bestFit="1" customWidth="1"/>
    <col min="8" max="8" width="5.25" bestFit="1" customWidth="1"/>
  </cols>
  <sheetData>
    <row r="1" spans="1:10" s="110" customFormat="1" x14ac:dyDescent="0.15">
      <c r="B1" s="5" t="s">
        <v>258</v>
      </c>
      <c r="C1" s="5" t="s">
        <v>259</v>
      </c>
      <c r="D1" s="143" t="s">
        <v>489</v>
      </c>
      <c r="E1" s="5" t="s">
        <v>556</v>
      </c>
      <c r="F1" s="147" t="s">
        <v>258</v>
      </c>
      <c r="G1" s="147" t="s">
        <v>259</v>
      </c>
      <c r="H1" s="147" t="s">
        <v>529</v>
      </c>
    </row>
    <row r="2" spans="1:10" x14ac:dyDescent="0.15">
      <c r="A2">
        <v>1</v>
      </c>
      <c r="B2" s="148" t="s">
        <v>530</v>
      </c>
      <c r="C2" s="148" t="s">
        <v>531</v>
      </c>
      <c r="D2" s="140">
        <v>300</v>
      </c>
      <c r="E2" s="140">
        <v>250</v>
      </c>
      <c r="I2">
        <v>1190</v>
      </c>
      <c r="J2">
        <v>1192</v>
      </c>
    </row>
    <row r="3" spans="1:10" x14ac:dyDescent="0.15">
      <c r="A3">
        <v>2</v>
      </c>
      <c r="B3" s="148" t="s">
        <v>532</v>
      </c>
      <c r="C3" s="148" t="s">
        <v>533</v>
      </c>
      <c r="D3" s="140">
        <v>300</v>
      </c>
      <c r="E3" s="140">
        <v>300</v>
      </c>
    </row>
    <row r="4" spans="1:10" x14ac:dyDescent="0.15">
      <c r="A4" s="110">
        <v>3</v>
      </c>
      <c r="B4" s="148" t="s">
        <v>534</v>
      </c>
      <c r="C4" s="148" t="s">
        <v>535</v>
      </c>
      <c r="D4" s="140">
        <v>300</v>
      </c>
      <c r="E4" s="140">
        <v>350</v>
      </c>
    </row>
    <row r="5" spans="1:10" x14ac:dyDescent="0.15">
      <c r="A5" s="110">
        <v>4</v>
      </c>
      <c r="B5" s="148" t="s">
        <v>536</v>
      </c>
      <c r="C5" s="148" t="s">
        <v>537</v>
      </c>
      <c r="D5" s="140">
        <v>250</v>
      </c>
      <c r="E5" s="140">
        <v>200</v>
      </c>
    </row>
    <row r="6" spans="1:10" x14ac:dyDescent="0.15">
      <c r="A6" s="110">
        <v>5</v>
      </c>
      <c r="B6" s="148" t="s">
        <v>538</v>
      </c>
      <c r="C6" s="148" t="s">
        <v>539</v>
      </c>
      <c r="D6" s="140">
        <v>250</v>
      </c>
      <c r="E6" s="140">
        <v>250</v>
      </c>
    </row>
    <row r="7" spans="1:10" x14ac:dyDescent="0.15">
      <c r="A7" s="110">
        <v>6</v>
      </c>
      <c r="B7" s="148" t="s">
        <v>540</v>
      </c>
      <c r="C7" s="148" t="s">
        <v>541</v>
      </c>
      <c r="D7" s="140">
        <v>250</v>
      </c>
      <c r="E7" s="140">
        <v>280</v>
      </c>
    </row>
    <row r="8" spans="1:10" x14ac:dyDescent="0.15">
      <c r="A8" s="110">
        <v>7</v>
      </c>
      <c r="B8" s="148" t="s">
        <v>542</v>
      </c>
      <c r="C8" s="148" t="s">
        <v>543</v>
      </c>
      <c r="D8" s="140">
        <v>250</v>
      </c>
      <c r="E8" s="140">
        <v>300</v>
      </c>
    </row>
    <row r="9" spans="1:10" x14ac:dyDescent="0.15">
      <c r="A9" s="110">
        <v>8</v>
      </c>
      <c r="B9" s="148" t="s">
        <v>544</v>
      </c>
      <c r="C9" s="148" t="s">
        <v>545</v>
      </c>
      <c r="D9" s="140">
        <v>250</v>
      </c>
      <c r="E9" s="140">
        <v>350</v>
      </c>
    </row>
    <row r="10" spans="1:10" x14ac:dyDescent="0.15">
      <c r="A10" s="110">
        <v>9</v>
      </c>
      <c r="B10" s="148" t="s">
        <v>546</v>
      </c>
      <c r="C10" s="148" t="s">
        <v>547</v>
      </c>
      <c r="D10" s="140">
        <v>350</v>
      </c>
      <c r="E10" s="140">
        <v>400</v>
      </c>
    </row>
    <row r="11" spans="1:10" x14ac:dyDescent="0.15">
      <c r="A11" s="110">
        <v>10</v>
      </c>
      <c r="B11" s="148" t="s">
        <v>548</v>
      </c>
      <c r="C11" s="148" t="s">
        <v>549</v>
      </c>
      <c r="D11" s="140">
        <v>350</v>
      </c>
      <c r="E11" s="140">
        <v>350</v>
      </c>
    </row>
    <row r="12" spans="1:10" x14ac:dyDescent="0.15">
      <c r="A12" s="110">
        <v>11</v>
      </c>
      <c r="B12" s="148" t="s">
        <v>550</v>
      </c>
      <c r="C12" s="148" t="s">
        <v>551</v>
      </c>
      <c r="D12" s="140">
        <v>350</v>
      </c>
      <c r="E12" s="140">
        <v>330</v>
      </c>
    </row>
    <row r="13" spans="1:10" x14ac:dyDescent="0.15">
      <c r="A13" s="110">
        <v>12</v>
      </c>
      <c r="B13" s="148" t="s">
        <v>552</v>
      </c>
      <c r="C13" s="148" t="s">
        <v>553</v>
      </c>
      <c r="D13" s="140">
        <v>350</v>
      </c>
      <c r="E13" s="140">
        <v>300</v>
      </c>
    </row>
    <row r="14" spans="1:10" x14ac:dyDescent="0.15">
      <c r="A14" s="110">
        <v>13</v>
      </c>
      <c r="B14" s="148" t="s">
        <v>554</v>
      </c>
      <c r="C14" s="148" t="s">
        <v>555</v>
      </c>
      <c r="D14" s="140">
        <v>350</v>
      </c>
      <c r="E14" s="140">
        <v>250</v>
      </c>
    </row>
  </sheetData>
  <autoFilter ref="B1:E14" xr:uid="{65831C7A-2A0F-42CC-93B5-D5DABA1E31E7}"/>
  <phoneticPr fontId="14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9836E4-D89D-43F6-BC02-1F0B49BE97F8}">
  <dimension ref="A1:M16"/>
  <sheetViews>
    <sheetView workbookViewId="0">
      <selection activeCell="A2" sqref="A2:XFD3"/>
    </sheetView>
  </sheetViews>
  <sheetFormatPr defaultColWidth="36.375" defaultRowHeight="18.75" x14ac:dyDescent="0.4"/>
  <cols>
    <col min="1" max="1" width="5.25" style="109" bestFit="1" customWidth="1"/>
    <col min="2" max="2" width="36.375" style="109"/>
    <col min="3" max="3" width="15" style="109" bestFit="1" customWidth="1"/>
    <col min="4" max="4" width="5.25" style="109" bestFit="1" customWidth="1"/>
    <col min="5" max="5" width="20.625" style="109" bestFit="1" customWidth="1"/>
    <col min="6" max="7" width="9.875" style="109" bestFit="1" customWidth="1"/>
    <col min="8" max="8" width="9" style="109" bestFit="1" customWidth="1"/>
    <col min="9" max="9" width="7.125" style="109" bestFit="1" customWidth="1"/>
    <col min="10" max="10" width="9" style="109" bestFit="1" customWidth="1"/>
    <col min="11" max="11" width="16.125" style="109" bestFit="1" customWidth="1"/>
    <col min="12" max="16384" width="36.375" style="109"/>
  </cols>
  <sheetData>
    <row r="1" spans="1:13" x14ac:dyDescent="0.15">
      <c r="A1" s="151" t="s">
        <v>251</v>
      </c>
      <c r="B1" s="151" t="s">
        <v>258</v>
      </c>
      <c r="C1" s="151" t="s">
        <v>259</v>
      </c>
      <c r="D1" s="151" t="s">
        <v>261</v>
      </c>
      <c r="E1" s="151" t="s">
        <v>467</v>
      </c>
      <c r="F1" s="151" t="s">
        <v>269</v>
      </c>
      <c r="G1" s="151" t="s">
        <v>270</v>
      </c>
      <c r="H1" s="151" t="s">
        <v>271</v>
      </c>
      <c r="I1" s="151" t="s">
        <v>272</v>
      </c>
      <c r="J1" s="151" t="s">
        <v>273</v>
      </c>
      <c r="K1" s="151" t="s">
        <v>274</v>
      </c>
      <c r="L1" s="151" t="s">
        <v>265</v>
      </c>
      <c r="M1" s="151" t="s">
        <v>267</v>
      </c>
    </row>
    <row r="2" spans="1:13" x14ac:dyDescent="0.15">
      <c r="A2" s="152">
        <v>1</v>
      </c>
      <c r="B2" s="153" t="s">
        <v>530</v>
      </c>
      <c r="C2" s="153" t="s">
        <v>531</v>
      </c>
      <c r="D2" s="153" t="s">
        <v>560</v>
      </c>
      <c r="E2" s="153" t="s">
        <v>561</v>
      </c>
      <c r="F2" s="153" t="s">
        <v>276</v>
      </c>
      <c r="G2" s="153" t="s">
        <v>287</v>
      </c>
      <c r="H2" s="153" t="s">
        <v>288</v>
      </c>
      <c r="I2" s="153" t="s">
        <v>284</v>
      </c>
      <c r="J2" s="153" t="s">
        <v>280</v>
      </c>
      <c r="K2" s="153" t="s">
        <v>289</v>
      </c>
      <c r="L2" s="153" t="s">
        <v>561</v>
      </c>
      <c r="M2" s="153" t="s">
        <v>284</v>
      </c>
    </row>
    <row r="3" spans="1:13" x14ac:dyDescent="0.15">
      <c r="A3" s="152">
        <v>1</v>
      </c>
      <c r="B3" s="153" t="s">
        <v>530</v>
      </c>
      <c r="C3" s="153" t="s">
        <v>531</v>
      </c>
      <c r="D3" s="153" t="s">
        <v>560</v>
      </c>
      <c r="E3" s="153" t="s">
        <v>561</v>
      </c>
      <c r="F3" s="153" t="s">
        <v>282</v>
      </c>
      <c r="G3" s="153" t="s">
        <v>300</v>
      </c>
      <c r="H3" s="153" t="s">
        <v>281</v>
      </c>
      <c r="I3" s="153" t="s">
        <v>281</v>
      </c>
      <c r="J3" s="153" t="s">
        <v>280</v>
      </c>
      <c r="K3" s="153" t="s">
        <v>261</v>
      </c>
      <c r="L3" s="153" t="s">
        <v>561</v>
      </c>
      <c r="M3" s="153" t="s">
        <v>284</v>
      </c>
    </row>
    <row r="4" spans="1:13" x14ac:dyDescent="0.15">
      <c r="A4" s="152">
        <v>2</v>
      </c>
      <c r="B4" s="153" t="s">
        <v>532</v>
      </c>
      <c r="C4" s="153" t="s">
        <v>533</v>
      </c>
      <c r="D4" s="153" t="s">
        <v>560</v>
      </c>
      <c r="E4" s="153" t="s">
        <v>560</v>
      </c>
      <c r="F4" s="153" t="s">
        <v>282</v>
      </c>
      <c r="G4" s="153" t="s">
        <v>300</v>
      </c>
      <c r="H4" s="153" t="s">
        <v>281</v>
      </c>
      <c r="I4" s="153" t="s">
        <v>281</v>
      </c>
      <c r="J4" s="153" t="s">
        <v>280</v>
      </c>
      <c r="K4" s="153" t="s">
        <v>261</v>
      </c>
      <c r="L4" s="153" t="s">
        <v>560</v>
      </c>
      <c r="M4" s="153" t="s">
        <v>281</v>
      </c>
    </row>
    <row r="5" spans="1:13" x14ac:dyDescent="0.15">
      <c r="A5" s="152">
        <v>3</v>
      </c>
      <c r="B5" s="153" t="s">
        <v>534</v>
      </c>
      <c r="C5" s="153" t="s">
        <v>535</v>
      </c>
      <c r="D5" s="153" t="s">
        <v>560</v>
      </c>
      <c r="E5" s="153" t="s">
        <v>329</v>
      </c>
      <c r="F5" s="153" t="s">
        <v>282</v>
      </c>
      <c r="G5" s="153" t="s">
        <v>300</v>
      </c>
      <c r="H5" s="153" t="s">
        <v>281</v>
      </c>
      <c r="I5" s="153" t="s">
        <v>292</v>
      </c>
      <c r="J5" s="153" t="s">
        <v>280</v>
      </c>
      <c r="K5" s="153" t="s">
        <v>261</v>
      </c>
      <c r="L5" s="153" t="s">
        <v>329</v>
      </c>
      <c r="M5" s="153" t="s">
        <v>281</v>
      </c>
    </row>
    <row r="6" spans="1:13" x14ac:dyDescent="0.15">
      <c r="A6" s="152">
        <v>4</v>
      </c>
      <c r="B6" s="153" t="s">
        <v>536</v>
      </c>
      <c r="C6" s="153" t="s">
        <v>537</v>
      </c>
      <c r="D6" s="153" t="s">
        <v>561</v>
      </c>
      <c r="E6" s="153" t="s">
        <v>308</v>
      </c>
      <c r="F6" s="153" t="s">
        <v>276</v>
      </c>
      <c r="G6" s="153" t="s">
        <v>287</v>
      </c>
      <c r="H6" s="153" t="s">
        <v>288</v>
      </c>
      <c r="I6" s="153" t="s">
        <v>284</v>
      </c>
      <c r="J6" s="153" t="s">
        <v>280</v>
      </c>
      <c r="K6" s="153" t="s">
        <v>289</v>
      </c>
      <c r="L6" s="153" t="s">
        <v>308</v>
      </c>
      <c r="M6" s="153" t="s">
        <v>284</v>
      </c>
    </row>
    <row r="7" spans="1:13" x14ac:dyDescent="0.15">
      <c r="A7" s="152">
        <v>4</v>
      </c>
      <c r="B7" s="153" t="s">
        <v>536</v>
      </c>
      <c r="C7" s="153" t="s">
        <v>537</v>
      </c>
      <c r="D7" s="153" t="s">
        <v>561</v>
      </c>
      <c r="E7" s="153" t="s">
        <v>308</v>
      </c>
      <c r="F7" s="153" t="s">
        <v>282</v>
      </c>
      <c r="G7" s="153" t="s">
        <v>300</v>
      </c>
      <c r="H7" s="153" t="s">
        <v>281</v>
      </c>
      <c r="I7" s="153" t="s">
        <v>284</v>
      </c>
      <c r="J7" s="153" t="s">
        <v>280</v>
      </c>
      <c r="K7" s="153" t="s">
        <v>261</v>
      </c>
      <c r="L7" s="153" t="s">
        <v>308</v>
      </c>
      <c r="M7" s="153" t="s">
        <v>284</v>
      </c>
    </row>
    <row r="8" spans="1:13" x14ac:dyDescent="0.15">
      <c r="A8" s="152">
        <v>5</v>
      </c>
      <c r="B8" s="153" t="s">
        <v>538</v>
      </c>
      <c r="C8" s="153" t="s">
        <v>539</v>
      </c>
      <c r="D8" s="153" t="s">
        <v>561</v>
      </c>
      <c r="E8" s="153" t="s">
        <v>561</v>
      </c>
      <c r="F8" s="153" t="s">
        <v>282</v>
      </c>
      <c r="G8" s="153" t="s">
        <v>300</v>
      </c>
      <c r="H8" s="153" t="s">
        <v>281</v>
      </c>
      <c r="I8" s="153" t="s">
        <v>284</v>
      </c>
      <c r="J8" s="153" t="s">
        <v>280</v>
      </c>
      <c r="K8" s="153" t="s">
        <v>261</v>
      </c>
      <c r="L8" s="153" t="s">
        <v>561</v>
      </c>
      <c r="M8" s="153" t="s">
        <v>281</v>
      </c>
    </row>
    <row r="9" spans="1:13" x14ac:dyDescent="0.15">
      <c r="A9" s="152">
        <v>6</v>
      </c>
      <c r="B9" s="153" t="s">
        <v>540</v>
      </c>
      <c r="C9" s="153" t="s">
        <v>541</v>
      </c>
      <c r="D9" s="153" t="s">
        <v>561</v>
      </c>
      <c r="E9" s="153" t="s">
        <v>562</v>
      </c>
      <c r="F9" s="153" t="s">
        <v>282</v>
      </c>
      <c r="G9" s="153" t="s">
        <v>300</v>
      </c>
      <c r="H9" s="153" t="s">
        <v>281</v>
      </c>
      <c r="I9" s="153" t="s">
        <v>352</v>
      </c>
      <c r="J9" s="153" t="s">
        <v>280</v>
      </c>
      <c r="K9" s="153" t="s">
        <v>261</v>
      </c>
      <c r="L9" s="153" t="s">
        <v>562</v>
      </c>
      <c r="M9" s="153" t="s">
        <v>281</v>
      </c>
    </row>
    <row r="10" spans="1:13" x14ac:dyDescent="0.15">
      <c r="A10" s="152">
        <v>7</v>
      </c>
      <c r="B10" s="153" t="s">
        <v>542</v>
      </c>
      <c r="C10" s="153" t="s">
        <v>543</v>
      </c>
      <c r="D10" s="153" t="s">
        <v>561</v>
      </c>
      <c r="E10" s="153" t="s">
        <v>560</v>
      </c>
      <c r="F10" s="153" t="s">
        <v>282</v>
      </c>
      <c r="G10" s="153" t="s">
        <v>300</v>
      </c>
      <c r="H10" s="153" t="s">
        <v>281</v>
      </c>
      <c r="I10" s="153" t="s">
        <v>281</v>
      </c>
      <c r="J10" s="153" t="s">
        <v>280</v>
      </c>
      <c r="K10" s="153" t="s">
        <v>261</v>
      </c>
      <c r="L10" s="153" t="s">
        <v>560</v>
      </c>
      <c r="M10" s="153" t="s">
        <v>281</v>
      </c>
    </row>
    <row r="11" spans="1:13" x14ac:dyDescent="0.15">
      <c r="A11" s="152">
        <v>8</v>
      </c>
      <c r="B11" s="153" t="s">
        <v>544</v>
      </c>
      <c r="C11" s="153" t="s">
        <v>545</v>
      </c>
      <c r="D11" s="153" t="s">
        <v>561</v>
      </c>
      <c r="E11" s="153" t="s">
        <v>329</v>
      </c>
      <c r="F11" s="153" t="s">
        <v>282</v>
      </c>
      <c r="G11" s="153" t="s">
        <v>300</v>
      </c>
      <c r="H11" s="153" t="s">
        <v>281</v>
      </c>
      <c r="I11" s="153" t="s">
        <v>292</v>
      </c>
      <c r="J11" s="153" t="s">
        <v>280</v>
      </c>
      <c r="K11" s="153" t="s">
        <v>261</v>
      </c>
      <c r="L11" s="153" t="s">
        <v>329</v>
      </c>
      <c r="M11" s="153" t="s">
        <v>281</v>
      </c>
    </row>
    <row r="12" spans="1:13" x14ac:dyDescent="0.15">
      <c r="A12" s="152">
        <v>9</v>
      </c>
      <c r="B12" s="153" t="s">
        <v>546</v>
      </c>
      <c r="C12" s="153" t="s">
        <v>547</v>
      </c>
      <c r="D12" s="153" t="s">
        <v>329</v>
      </c>
      <c r="E12" s="153" t="s">
        <v>278</v>
      </c>
      <c r="F12" s="153" t="s">
        <v>276</v>
      </c>
      <c r="G12" s="153" t="s">
        <v>276</v>
      </c>
      <c r="H12" s="153" t="s">
        <v>276</v>
      </c>
      <c r="I12" s="153" t="s">
        <v>276</v>
      </c>
      <c r="J12" s="153" t="s">
        <v>276</v>
      </c>
      <c r="K12" s="153" t="s">
        <v>276</v>
      </c>
      <c r="L12" s="153" t="s">
        <v>278</v>
      </c>
      <c r="M12" s="153" t="s">
        <v>281</v>
      </c>
    </row>
    <row r="13" spans="1:13" x14ac:dyDescent="0.15">
      <c r="A13" s="152">
        <v>10</v>
      </c>
      <c r="B13" s="153" t="s">
        <v>548</v>
      </c>
      <c r="C13" s="153" t="s">
        <v>549</v>
      </c>
      <c r="D13" s="153" t="s">
        <v>329</v>
      </c>
      <c r="E13" s="153" t="s">
        <v>329</v>
      </c>
      <c r="F13" s="153" t="s">
        <v>276</v>
      </c>
      <c r="G13" s="153" t="s">
        <v>276</v>
      </c>
      <c r="H13" s="153" t="s">
        <v>276</v>
      </c>
      <c r="I13" s="153" t="s">
        <v>276</v>
      </c>
      <c r="J13" s="153" t="s">
        <v>276</v>
      </c>
      <c r="K13" s="153" t="s">
        <v>276</v>
      </c>
      <c r="L13" s="153" t="s">
        <v>329</v>
      </c>
      <c r="M13" s="153" t="s">
        <v>281</v>
      </c>
    </row>
    <row r="14" spans="1:13" ht="27" x14ac:dyDescent="0.15">
      <c r="A14" s="152">
        <v>11</v>
      </c>
      <c r="B14" s="153" t="s">
        <v>550</v>
      </c>
      <c r="C14" s="153" t="s">
        <v>551</v>
      </c>
      <c r="D14" s="153" t="s">
        <v>329</v>
      </c>
      <c r="E14" s="153" t="s">
        <v>563</v>
      </c>
      <c r="F14" s="153" t="s">
        <v>276</v>
      </c>
      <c r="G14" s="153" t="s">
        <v>276</v>
      </c>
      <c r="H14" s="153" t="s">
        <v>276</v>
      </c>
      <c r="I14" s="153" t="s">
        <v>276</v>
      </c>
      <c r="J14" s="153" t="s">
        <v>276</v>
      </c>
      <c r="K14" s="153" t="s">
        <v>276</v>
      </c>
      <c r="L14" s="153" t="s">
        <v>563</v>
      </c>
      <c r="M14" s="153" t="s">
        <v>281</v>
      </c>
    </row>
    <row r="15" spans="1:13" x14ac:dyDescent="0.15">
      <c r="A15" s="152">
        <v>12</v>
      </c>
      <c r="B15" s="153" t="s">
        <v>552</v>
      </c>
      <c r="C15" s="153" t="s">
        <v>553</v>
      </c>
      <c r="D15" s="153" t="s">
        <v>329</v>
      </c>
      <c r="E15" s="153" t="s">
        <v>560</v>
      </c>
      <c r="F15" s="153" t="s">
        <v>276</v>
      </c>
      <c r="G15" s="153" t="s">
        <v>276</v>
      </c>
      <c r="H15" s="153" t="s">
        <v>276</v>
      </c>
      <c r="I15" s="153" t="s">
        <v>276</v>
      </c>
      <c r="J15" s="153" t="s">
        <v>276</v>
      </c>
      <c r="K15" s="153" t="s">
        <v>276</v>
      </c>
      <c r="L15" s="153" t="s">
        <v>560</v>
      </c>
      <c r="M15" s="153" t="s">
        <v>281</v>
      </c>
    </row>
    <row r="16" spans="1:13" x14ac:dyDescent="0.15">
      <c r="A16" s="152">
        <v>13</v>
      </c>
      <c r="B16" s="153" t="s">
        <v>554</v>
      </c>
      <c r="C16" s="153" t="s">
        <v>555</v>
      </c>
      <c r="D16" s="153" t="s">
        <v>329</v>
      </c>
      <c r="E16" s="153" t="s">
        <v>561</v>
      </c>
      <c r="F16" s="153" t="s">
        <v>276</v>
      </c>
      <c r="G16" s="153" t="s">
        <v>287</v>
      </c>
      <c r="H16" s="153" t="s">
        <v>288</v>
      </c>
      <c r="I16" s="153" t="s">
        <v>284</v>
      </c>
      <c r="J16" s="153" t="s">
        <v>280</v>
      </c>
      <c r="K16" s="153" t="s">
        <v>289</v>
      </c>
      <c r="L16" s="153" t="s">
        <v>561</v>
      </c>
      <c r="M16" s="153" t="s">
        <v>284</v>
      </c>
    </row>
  </sheetData>
  <phoneticPr fontId="14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E6589B-02BE-4BA3-BAAE-AA4A259EA381}">
  <dimension ref="B3:P27"/>
  <sheetViews>
    <sheetView workbookViewId="0">
      <selection activeCell="M7" sqref="M7"/>
    </sheetView>
  </sheetViews>
  <sheetFormatPr defaultRowHeight="18.75" x14ac:dyDescent="0.4"/>
  <cols>
    <col min="1" max="1" width="9" style="149"/>
    <col min="2" max="2" width="9.5" style="149" bestFit="1" customWidth="1"/>
    <col min="3" max="3" width="6.5" style="149" bestFit="1" customWidth="1"/>
    <col min="4" max="4" width="20.5" style="149" bestFit="1" customWidth="1"/>
    <col min="5" max="5" width="6.75" style="149" customWidth="1"/>
    <col min="6" max="6" width="6.5" style="149" bestFit="1" customWidth="1"/>
    <col min="7" max="7" width="20.5" style="149" bestFit="1" customWidth="1"/>
    <col min="8" max="8" width="6.125" style="149" customWidth="1"/>
    <col min="9" max="9" width="6.5" style="149" bestFit="1" customWidth="1"/>
    <col min="10" max="10" width="20.5" style="149" bestFit="1" customWidth="1"/>
    <col min="11" max="11" width="5.375" style="149" customWidth="1"/>
    <col min="12" max="12" width="6.5" style="149" bestFit="1" customWidth="1"/>
    <col min="13" max="13" width="20.5" style="149" bestFit="1" customWidth="1"/>
    <col min="14" max="14" width="36.875" style="149" customWidth="1"/>
    <col min="15" max="15" width="6.5" style="149" bestFit="1" customWidth="1"/>
    <col min="16" max="16" width="20.5" style="149" bestFit="1" customWidth="1"/>
    <col min="17" max="257" width="9" style="149"/>
    <col min="258" max="258" width="7.5" style="149" bestFit="1" customWidth="1"/>
    <col min="259" max="259" width="15.75" style="149" customWidth="1"/>
    <col min="260" max="260" width="13.875" style="149" bestFit="1" customWidth="1"/>
    <col min="261" max="261" width="9" style="149"/>
    <col min="262" max="262" width="14.5" style="149" customWidth="1"/>
    <col min="263" max="513" width="9" style="149"/>
    <col min="514" max="514" width="7.5" style="149" bestFit="1" customWidth="1"/>
    <col min="515" max="515" width="15.75" style="149" customWidth="1"/>
    <col min="516" max="516" width="13.875" style="149" bestFit="1" customWidth="1"/>
    <col min="517" max="517" width="9" style="149"/>
    <col min="518" max="518" width="14.5" style="149" customWidth="1"/>
    <col min="519" max="769" width="9" style="149"/>
    <col min="770" max="770" width="7.5" style="149" bestFit="1" customWidth="1"/>
    <col min="771" max="771" width="15.75" style="149" customWidth="1"/>
    <col min="772" max="772" width="13.875" style="149" bestFit="1" customWidth="1"/>
    <col min="773" max="773" width="9" style="149"/>
    <col min="774" max="774" width="14.5" style="149" customWidth="1"/>
    <col min="775" max="1025" width="9" style="149"/>
    <col min="1026" max="1026" width="7.5" style="149" bestFit="1" customWidth="1"/>
    <col min="1027" max="1027" width="15.75" style="149" customWidth="1"/>
    <col min="1028" max="1028" width="13.875" style="149" bestFit="1" customWidth="1"/>
    <col min="1029" max="1029" width="9" style="149"/>
    <col min="1030" max="1030" width="14.5" style="149" customWidth="1"/>
    <col min="1031" max="1281" width="9" style="149"/>
    <col min="1282" max="1282" width="7.5" style="149" bestFit="1" customWidth="1"/>
    <col min="1283" max="1283" width="15.75" style="149" customWidth="1"/>
    <col min="1284" max="1284" width="13.875" style="149" bestFit="1" customWidth="1"/>
    <col min="1285" max="1285" width="9" style="149"/>
    <col min="1286" max="1286" width="14.5" style="149" customWidth="1"/>
    <col min="1287" max="1537" width="9" style="149"/>
    <col min="1538" max="1538" width="7.5" style="149" bestFit="1" customWidth="1"/>
    <col min="1539" max="1539" width="15.75" style="149" customWidth="1"/>
    <col min="1540" max="1540" width="13.875" style="149" bestFit="1" customWidth="1"/>
    <col min="1541" max="1541" width="9" style="149"/>
    <col min="1542" max="1542" width="14.5" style="149" customWidth="1"/>
    <col min="1543" max="1793" width="9" style="149"/>
    <col min="1794" max="1794" width="7.5" style="149" bestFit="1" customWidth="1"/>
    <col min="1795" max="1795" width="15.75" style="149" customWidth="1"/>
    <col min="1796" max="1796" width="13.875" style="149" bestFit="1" customWidth="1"/>
    <col min="1797" max="1797" width="9" style="149"/>
    <col min="1798" max="1798" width="14.5" style="149" customWidth="1"/>
    <col min="1799" max="2049" width="9" style="149"/>
    <col min="2050" max="2050" width="7.5" style="149" bestFit="1" customWidth="1"/>
    <col min="2051" max="2051" width="15.75" style="149" customWidth="1"/>
    <col min="2052" max="2052" width="13.875" style="149" bestFit="1" customWidth="1"/>
    <col min="2053" max="2053" width="9" style="149"/>
    <col min="2054" max="2054" width="14.5" style="149" customWidth="1"/>
    <col min="2055" max="2305" width="9" style="149"/>
    <col min="2306" max="2306" width="7.5" style="149" bestFit="1" customWidth="1"/>
    <col min="2307" max="2307" width="15.75" style="149" customWidth="1"/>
    <col min="2308" max="2308" width="13.875" style="149" bestFit="1" customWidth="1"/>
    <col min="2309" max="2309" width="9" style="149"/>
    <col min="2310" max="2310" width="14.5" style="149" customWidth="1"/>
    <col min="2311" max="2561" width="9" style="149"/>
    <col min="2562" max="2562" width="7.5" style="149" bestFit="1" customWidth="1"/>
    <col min="2563" max="2563" width="15.75" style="149" customWidth="1"/>
    <col min="2564" max="2564" width="13.875" style="149" bestFit="1" customWidth="1"/>
    <col min="2565" max="2565" width="9" style="149"/>
    <col min="2566" max="2566" width="14.5" style="149" customWidth="1"/>
    <col min="2567" max="2817" width="9" style="149"/>
    <col min="2818" max="2818" width="7.5" style="149" bestFit="1" customWidth="1"/>
    <col min="2819" max="2819" width="15.75" style="149" customWidth="1"/>
    <col min="2820" max="2820" width="13.875" style="149" bestFit="1" customWidth="1"/>
    <col min="2821" max="2821" width="9" style="149"/>
    <col min="2822" max="2822" width="14.5" style="149" customWidth="1"/>
    <col min="2823" max="3073" width="9" style="149"/>
    <col min="3074" max="3074" width="7.5" style="149" bestFit="1" customWidth="1"/>
    <col min="3075" max="3075" width="15.75" style="149" customWidth="1"/>
    <col min="3076" max="3076" width="13.875" style="149" bestFit="1" customWidth="1"/>
    <col min="3077" max="3077" width="9" style="149"/>
    <col min="3078" max="3078" width="14.5" style="149" customWidth="1"/>
    <col min="3079" max="3329" width="9" style="149"/>
    <col min="3330" max="3330" width="7.5" style="149" bestFit="1" customWidth="1"/>
    <col min="3331" max="3331" width="15.75" style="149" customWidth="1"/>
    <col min="3332" max="3332" width="13.875" style="149" bestFit="1" customWidth="1"/>
    <col min="3333" max="3333" width="9" style="149"/>
    <col min="3334" max="3334" width="14.5" style="149" customWidth="1"/>
    <col min="3335" max="3585" width="9" style="149"/>
    <col min="3586" max="3586" width="7.5" style="149" bestFit="1" customWidth="1"/>
    <col min="3587" max="3587" width="15.75" style="149" customWidth="1"/>
    <col min="3588" max="3588" width="13.875" style="149" bestFit="1" customWidth="1"/>
    <col min="3589" max="3589" width="9" style="149"/>
    <col min="3590" max="3590" width="14.5" style="149" customWidth="1"/>
    <col min="3591" max="3841" width="9" style="149"/>
    <col min="3842" max="3842" width="7.5" style="149" bestFit="1" customWidth="1"/>
    <col min="3843" max="3843" width="15.75" style="149" customWidth="1"/>
    <col min="3844" max="3844" width="13.875" style="149" bestFit="1" customWidth="1"/>
    <col min="3845" max="3845" width="9" style="149"/>
    <col min="3846" max="3846" width="14.5" style="149" customWidth="1"/>
    <col min="3847" max="4097" width="9" style="149"/>
    <col min="4098" max="4098" width="7.5" style="149" bestFit="1" customWidth="1"/>
    <col min="4099" max="4099" width="15.75" style="149" customWidth="1"/>
    <col min="4100" max="4100" width="13.875" style="149" bestFit="1" customWidth="1"/>
    <col min="4101" max="4101" width="9" style="149"/>
    <col min="4102" max="4102" width="14.5" style="149" customWidth="1"/>
    <col min="4103" max="4353" width="9" style="149"/>
    <col min="4354" max="4354" width="7.5" style="149" bestFit="1" customWidth="1"/>
    <col min="4355" max="4355" width="15.75" style="149" customWidth="1"/>
    <col min="4356" max="4356" width="13.875" style="149" bestFit="1" customWidth="1"/>
    <col min="4357" max="4357" width="9" style="149"/>
    <col min="4358" max="4358" width="14.5" style="149" customWidth="1"/>
    <col min="4359" max="4609" width="9" style="149"/>
    <col min="4610" max="4610" width="7.5" style="149" bestFit="1" customWidth="1"/>
    <col min="4611" max="4611" width="15.75" style="149" customWidth="1"/>
    <col min="4612" max="4612" width="13.875" style="149" bestFit="1" customWidth="1"/>
    <col min="4613" max="4613" width="9" style="149"/>
    <col min="4614" max="4614" width="14.5" style="149" customWidth="1"/>
    <col min="4615" max="4865" width="9" style="149"/>
    <col min="4866" max="4866" width="7.5" style="149" bestFit="1" customWidth="1"/>
    <col min="4867" max="4867" width="15.75" style="149" customWidth="1"/>
    <col min="4868" max="4868" width="13.875" style="149" bestFit="1" customWidth="1"/>
    <col min="4869" max="4869" width="9" style="149"/>
    <col min="4870" max="4870" width="14.5" style="149" customWidth="1"/>
    <col min="4871" max="5121" width="9" style="149"/>
    <col min="5122" max="5122" width="7.5" style="149" bestFit="1" customWidth="1"/>
    <col min="5123" max="5123" width="15.75" style="149" customWidth="1"/>
    <col min="5124" max="5124" width="13.875" style="149" bestFit="1" customWidth="1"/>
    <col min="5125" max="5125" width="9" style="149"/>
    <col min="5126" max="5126" width="14.5" style="149" customWidth="1"/>
    <col min="5127" max="5377" width="9" style="149"/>
    <col min="5378" max="5378" width="7.5" style="149" bestFit="1" customWidth="1"/>
    <col min="5379" max="5379" width="15.75" style="149" customWidth="1"/>
    <col min="5380" max="5380" width="13.875" style="149" bestFit="1" customWidth="1"/>
    <col min="5381" max="5381" width="9" style="149"/>
    <col min="5382" max="5382" width="14.5" style="149" customWidth="1"/>
    <col min="5383" max="5633" width="9" style="149"/>
    <col min="5634" max="5634" width="7.5" style="149" bestFit="1" customWidth="1"/>
    <col min="5635" max="5635" width="15.75" style="149" customWidth="1"/>
    <col min="5636" max="5636" width="13.875" style="149" bestFit="1" customWidth="1"/>
    <col min="5637" max="5637" width="9" style="149"/>
    <col min="5638" max="5638" width="14.5" style="149" customWidth="1"/>
    <col min="5639" max="5889" width="9" style="149"/>
    <col min="5890" max="5890" width="7.5" style="149" bestFit="1" customWidth="1"/>
    <col min="5891" max="5891" width="15.75" style="149" customWidth="1"/>
    <col min="5892" max="5892" width="13.875" style="149" bestFit="1" customWidth="1"/>
    <col min="5893" max="5893" width="9" style="149"/>
    <col min="5894" max="5894" width="14.5" style="149" customWidth="1"/>
    <col min="5895" max="6145" width="9" style="149"/>
    <col min="6146" max="6146" width="7.5" style="149" bestFit="1" customWidth="1"/>
    <col min="6147" max="6147" width="15.75" style="149" customWidth="1"/>
    <col min="6148" max="6148" width="13.875" style="149" bestFit="1" customWidth="1"/>
    <col min="6149" max="6149" width="9" style="149"/>
    <col min="6150" max="6150" width="14.5" style="149" customWidth="1"/>
    <col min="6151" max="6401" width="9" style="149"/>
    <col min="6402" max="6402" width="7.5" style="149" bestFit="1" customWidth="1"/>
    <col min="6403" max="6403" width="15.75" style="149" customWidth="1"/>
    <col min="6404" max="6404" width="13.875" style="149" bestFit="1" customWidth="1"/>
    <col min="6405" max="6405" width="9" style="149"/>
    <col min="6406" max="6406" width="14.5" style="149" customWidth="1"/>
    <col min="6407" max="6657" width="9" style="149"/>
    <col min="6658" max="6658" width="7.5" style="149" bestFit="1" customWidth="1"/>
    <col min="6659" max="6659" width="15.75" style="149" customWidth="1"/>
    <col min="6660" max="6660" width="13.875" style="149" bestFit="1" customWidth="1"/>
    <col min="6661" max="6661" width="9" style="149"/>
    <col min="6662" max="6662" width="14.5" style="149" customWidth="1"/>
    <col min="6663" max="6913" width="9" style="149"/>
    <col min="6914" max="6914" width="7.5" style="149" bestFit="1" customWidth="1"/>
    <col min="6915" max="6915" width="15.75" style="149" customWidth="1"/>
    <col min="6916" max="6916" width="13.875" style="149" bestFit="1" customWidth="1"/>
    <col min="6917" max="6917" width="9" style="149"/>
    <col min="6918" max="6918" width="14.5" style="149" customWidth="1"/>
    <col min="6919" max="7169" width="9" style="149"/>
    <col min="7170" max="7170" width="7.5" style="149" bestFit="1" customWidth="1"/>
    <col min="7171" max="7171" width="15.75" style="149" customWidth="1"/>
    <col min="7172" max="7172" width="13.875" style="149" bestFit="1" customWidth="1"/>
    <col min="7173" max="7173" width="9" style="149"/>
    <col min="7174" max="7174" width="14.5" style="149" customWidth="1"/>
    <col min="7175" max="7425" width="9" style="149"/>
    <col min="7426" max="7426" width="7.5" style="149" bestFit="1" customWidth="1"/>
    <col min="7427" max="7427" width="15.75" style="149" customWidth="1"/>
    <col min="7428" max="7428" width="13.875" style="149" bestFit="1" customWidth="1"/>
    <col min="7429" max="7429" width="9" style="149"/>
    <col min="7430" max="7430" width="14.5" style="149" customWidth="1"/>
    <col min="7431" max="7681" width="9" style="149"/>
    <col min="7682" max="7682" width="7.5" style="149" bestFit="1" customWidth="1"/>
    <col min="7683" max="7683" width="15.75" style="149" customWidth="1"/>
    <col min="7684" max="7684" width="13.875" style="149" bestFit="1" customWidth="1"/>
    <col min="7685" max="7685" width="9" style="149"/>
    <col min="7686" max="7686" width="14.5" style="149" customWidth="1"/>
    <col min="7687" max="7937" width="9" style="149"/>
    <col min="7938" max="7938" width="7.5" style="149" bestFit="1" customWidth="1"/>
    <col min="7939" max="7939" width="15.75" style="149" customWidth="1"/>
    <col min="7940" max="7940" width="13.875" style="149" bestFit="1" customWidth="1"/>
    <col min="7941" max="7941" width="9" style="149"/>
    <col min="7942" max="7942" width="14.5" style="149" customWidth="1"/>
    <col min="7943" max="8193" width="9" style="149"/>
    <col min="8194" max="8194" width="7.5" style="149" bestFit="1" customWidth="1"/>
    <col min="8195" max="8195" width="15.75" style="149" customWidth="1"/>
    <col min="8196" max="8196" width="13.875" style="149" bestFit="1" customWidth="1"/>
    <col min="8197" max="8197" width="9" style="149"/>
    <col min="8198" max="8198" width="14.5" style="149" customWidth="1"/>
    <col min="8199" max="8449" width="9" style="149"/>
    <col min="8450" max="8450" width="7.5" style="149" bestFit="1" customWidth="1"/>
    <col min="8451" max="8451" width="15.75" style="149" customWidth="1"/>
    <col min="8452" max="8452" width="13.875" style="149" bestFit="1" customWidth="1"/>
    <col min="8453" max="8453" width="9" style="149"/>
    <col min="8454" max="8454" width="14.5" style="149" customWidth="1"/>
    <col min="8455" max="8705" width="9" style="149"/>
    <col min="8706" max="8706" width="7.5" style="149" bestFit="1" customWidth="1"/>
    <col min="8707" max="8707" width="15.75" style="149" customWidth="1"/>
    <col min="8708" max="8708" width="13.875" style="149" bestFit="1" customWidth="1"/>
    <col min="8709" max="8709" width="9" style="149"/>
    <col min="8710" max="8710" width="14.5" style="149" customWidth="1"/>
    <col min="8711" max="8961" width="9" style="149"/>
    <col min="8962" max="8962" width="7.5" style="149" bestFit="1" customWidth="1"/>
    <col min="8963" max="8963" width="15.75" style="149" customWidth="1"/>
    <col min="8964" max="8964" width="13.875" style="149" bestFit="1" customWidth="1"/>
    <col min="8965" max="8965" width="9" style="149"/>
    <col min="8966" max="8966" width="14.5" style="149" customWidth="1"/>
    <col min="8967" max="9217" width="9" style="149"/>
    <col min="9218" max="9218" width="7.5" style="149" bestFit="1" customWidth="1"/>
    <col min="9219" max="9219" width="15.75" style="149" customWidth="1"/>
    <col min="9220" max="9220" width="13.875" style="149" bestFit="1" customWidth="1"/>
    <col min="9221" max="9221" width="9" style="149"/>
    <col min="9222" max="9222" width="14.5" style="149" customWidth="1"/>
    <col min="9223" max="9473" width="9" style="149"/>
    <col min="9474" max="9474" width="7.5" style="149" bestFit="1" customWidth="1"/>
    <col min="9475" max="9475" width="15.75" style="149" customWidth="1"/>
    <col min="9476" max="9476" width="13.875" style="149" bestFit="1" customWidth="1"/>
    <col min="9477" max="9477" width="9" style="149"/>
    <col min="9478" max="9478" width="14.5" style="149" customWidth="1"/>
    <col min="9479" max="9729" width="9" style="149"/>
    <col min="9730" max="9730" width="7.5" style="149" bestFit="1" customWidth="1"/>
    <col min="9731" max="9731" width="15.75" style="149" customWidth="1"/>
    <col min="9732" max="9732" width="13.875" style="149" bestFit="1" customWidth="1"/>
    <col min="9733" max="9733" width="9" style="149"/>
    <col min="9734" max="9734" width="14.5" style="149" customWidth="1"/>
    <col min="9735" max="9985" width="9" style="149"/>
    <col min="9986" max="9986" width="7.5" style="149" bestFit="1" customWidth="1"/>
    <col min="9987" max="9987" width="15.75" style="149" customWidth="1"/>
    <col min="9988" max="9988" width="13.875" style="149" bestFit="1" customWidth="1"/>
    <col min="9989" max="9989" width="9" style="149"/>
    <col min="9990" max="9990" width="14.5" style="149" customWidth="1"/>
    <col min="9991" max="10241" width="9" style="149"/>
    <col min="10242" max="10242" width="7.5" style="149" bestFit="1" customWidth="1"/>
    <col min="10243" max="10243" width="15.75" style="149" customWidth="1"/>
    <col min="10244" max="10244" width="13.875" style="149" bestFit="1" customWidth="1"/>
    <col min="10245" max="10245" width="9" style="149"/>
    <col min="10246" max="10246" width="14.5" style="149" customWidth="1"/>
    <col min="10247" max="10497" width="9" style="149"/>
    <col min="10498" max="10498" width="7.5" style="149" bestFit="1" customWidth="1"/>
    <col min="10499" max="10499" width="15.75" style="149" customWidth="1"/>
    <col min="10500" max="10500" width="13.875" style="149" bestFit="1" customWidth="1"/>
    <col min="10501" max="10501" width="9" style="149"/>
    <col min="10502" max="10502" width="14.5" style="149" customWidth="1"/>
    <col min="10503" max="10753" width="9" style="149"/>
    <col min="10754" max="10754" width="7.5" style="149" bestFit="1" customWidth="1"/>
    <col min="10755" max="10755" width="15.75" style="149" customWidth="1"/>
    <col min="10756" max="10756" width="13.875" style="149" bestFit="1" customWidth="1"/>
    <col min="10757" max="10757" width="9" style="149"/>
    <col min="10758" max="10758" width="14.5" style="149" customWidth="1"/>
    <col min="10759" max="11009" width="9" style="149"/>
    <col min="11010" max="11010" width="7.5" style="149" bestFit="1" customWidth="1"/>
    <col min="11011" max="11011" width="15.75" style="149" customWidth="1"/>
    <col min="11012" max="11012" width="13.875" style="149" bestFit="1" customWidth="1"/>
    <col min="11013" max="11013" width="9" style="149"/>
    <col min="11014" max="11014" width="14.5" style="149" customWidth="1"/>
    <col min="11015" max="11265" width="9" style="149"/>
    <col min="11266" max="11266" width="7.5" style="149" bestFit="1" customWidth="1"/>
    <col min="11267" max="11267" width="15.75" style="149" customWidth="1"/>
    <col min="11268" max="11268" width="13.875" style="149" bestFit="1" customWidth="1"/>
    <col min="11269" max="11269" width="9" style="149"/>
    <col min="11270" max="11270" width="14.5" style="149" customWidth="1"/>
    <col min="11271" max="11521" width="9" style="149"/>
    <col min="11522" max="11522" width="7.5" style="149" bestFit="1" customWidth="1"/>
    <col min="11523" max="11523" width="15.75" style="149" customWidth="1"/>
    <col min="11524" max="11524" width="13.875" style="149" bestFit="1" customWidth="1"/>
    <col min="11525" max="11525" width="9" style="149"/>
    <col min="11526" max="11526" width="14.5" style="149" customWidth="1"/>
    <col min="11527" max="11777" width="9" style="149"/>
    <col min="11778" max="11778" width="7.5" style="149" bestFit="1" customWidth="1"/>
    <col min="11779" max="11779" width="15.75" style="149" customWidth="1"/>
    <col min="11780" max="11780" width="13.875" style="149" bestFit="1" customWidth="1"/>
    <col min="11781" max="11781" width="9" style="149"/>
    <col min="11782" max="11782" width="14.5" style="149" customWidth="1"/>
    <col min="11783" max="12033" width="9" style="149"/>
    <col min="12034" max="12034" width="7.5" style="149" bestFit="1" customWidth="1"/>
    <col min="12035" max="12035" width="15.75" style="149" customWidth="1"/>
    <col min="12036" max="12036" width="13.875" style="149" bestFit="1" customWidth="1"/>
    <col min="12037" max="12037" width="9" style="149"/>
    <col min="12038" max="12038" width="14.5" style="149" customWidth="1"/>
    <col min="12039" max="12289" width="9" style="149"/>
    <col min="12290" max="12290" width="7.5" style="149" bestFit="1" customWidth="1"/>
    <col min="12291" max="12291" width="15.75" style="149" customWidth="1"/>
    <col min="12292" max="12292" width="13.875" style="149" bestFit="1" customWidth="1"/>
    <col min="12293" max="12293" width="9" style="149"/>
    <col min="12294" max="12294" width="14.5" style="149" customWidth="1"/>
    <col min="12295" max="12545" width="9" style="149"/>
    <col min="12546" max="12546" width="7.5" style="149" bestFit="1" customWidth="1"/>
    <col min="12547" max="12547" width="15.75" style="149" customWidth="1"/>
    <col min="12548" max="12548" width="13.875" style="149" bestFit="1" customWidth="1"/>
    <col min="12549" max="12549" width="9" style="149"/>
    <col min="12550" max="12550" width="14.5" style="149" customWidth="1"/>
    <col min="12551" max="12801" width="9" style="149"/>
    <col min="12802" max="12802" width="7.5" style="149" bestFit="1" customWidth="1"/>
    <col min="12803" max="12803" width="15.75" style="149" customWidth="1"/>
    <col min="12804" max="12804" width="13.875" style="149" bestFit="1" customWidth="1"/>
    <col min="12805" max="12805" width="9" style="149"/>
    <col min="12806" max="12806" width="14.5" style="149" customWidth="1"/>
    <col min="12807" max="13057" width="9" style="149"/>
    <col min="13058" max="13058" width="7.5" style="149" bestFit="1" customWidth="1"/>
    <col min="13059" max="13059" width="15.75" style="149" customWidth="1"/>
    <col min="13060" max="13060" width="13.875" style="149" bestFit="1" customWidth="1"/>
    <col min="13061" max="13061" width="9" style="149"/>
    <col min="13062" max="13062" width="14.5" style="149" customWidth="1"/>
    <col min="13063" max="13313" width="9" style="149"/>
    <col min="13314" max="13314" width="7.5" style="149" bestFit="1" customWidth="1"/>
    <col min="13315" max="13315" width="15.75" style="149" customWidth="1"/>
    <col min="13316" max="13316" width="13.875" style="149" bestFit="1" customWidth="1"/>
    <col min="13317" max="13317" width="9" style="149"/>
    <col min="13318" max="13318" width="14.5" style="149" customWidth="1"/>
    <col min="13319" max="13569" width="9" style="149"/>
    <col min="13570" max="13570" width="7.5" style="149" bestFit="1" customWidth="1"/>
    <col min="13571" max="13571" width="15.75" style="149" customWidth="1"/>
    <col min="13572" max="13572" width="13.875" style="149" bestFit="1" customWidth="1"/>
    <col min="13573" max="13573" width="9" style="149"/>
    <col min="13574" max="13574" width="14.5" style="149" customWidth="1"/>
    <col min="13575" max="13825" width="9" style="149"/>
    <col min="13826" max="13826" width="7.5" style="149" bestFit="1" customWidth="1"/>
    <col min="13827" max="13827" width="15.75" style="149" customWidth="1"/>
    <col min="13828" max="13828" width="13.875" style="149" bestFit="1" customWidth="1"/>
    <col min="13829" max="13829" width="9" style="149"/>
    <col min="13830" max="13830" width="14.5" style="149" customWidth="1"/>
    <col min="13831" max="14081" width="9" style="149"/>
    <col min="14082" max="14082" width="7.5" style="149" bestFit="1" customWidth="1"/>
    <col min="14083" max="14083" width="15.75" style="149" customWidth="1"/>
    <col min="14084" max="14084" width="13.875" style="149" bestFit="1" customWidth="1"/>
    <col min="14085" max="14085" width="9" style="149"/>
    <col min="14086" max="14086" width="14.5" style="149" customWidth="1"/>
    <col min="14087" max="14337" width="9" style="149"/>
    <col min="14338" max="14338" width="7.5" style="149" bestFit="1" customWidth="1"/>
    <col min="14339" max="14339" width="15.75" style="149" customWidth="1"/>
    <col min="14340" max="14340" width="13.875" style="149" bestFit="1" customWidth="1"/>
    <col min="14341" max="14341" width="9" style="149"/>
    <col min="14342" max="14342" width="14.5" style="149" customWidth="1"/>
    <col min="14343" max="14593" width="9" style="149"/>
    <col min="14594" max="14594" width="7.5" style="149" bestFit="1" customWidth="1"/>
    <col min="14595" max="14595" width="15.75" style="149" customWidth="1"/>
    <col min="14596" max="14596" width="13.875" style="149" bestFit="1" customWidth="1"/>
    <col min="14597" max="14597" width="9" style="149"/>
    <col min="14598" max="14598" width="14.5" style="149" customWidth="1"/>
    <col min="14599" max="14849" width="9" style="149"/>
    <col min="14850" max="14850" width="7.5" style="149" bestFit="1" customWidth="1"/>
    <col min="14851" max="14851" width="15.75" style="149" customWidth="1"/>
    <col min="14852" max="14852" width="13.875" style="149" bestFit="1" customWidth="1"/>
    <col min="14853" max="14853" width="9" style="149"/>
    <col min="14854" max="14854" width="14.5" style="149" customWidth="1"/>
    <col min="14855" max="15105" width="9" style="149"/>
    <col min="15106" max="15106" width="7.5" style="149" bestFit="1" customWidth="1"/>
    <col min="15107" max="15107" width="15.75" style="149" customWidth="1"/>
    <col min="15108" max="15108" width="13.875" style="149" bestFit="1" customWidth="1"/>
    <col min="15109" max="15109" width="9" style="149"/>
    <col min="15110" max="15110" width="14.5" style="149" customWidth="1"/>
    <col min="15111" max="15361" width="9" style="149"/>
    <col min="15362" max="15362" width="7.5" style="149" bestFit="1" customWidth="1"/>
    <col min="15363" max="15363" width="15.75" style="149" customWidth="1"/>
    <col min="15364" max="15364" width="13.875" style="149" bestFit="1" customWidth="1"/>
    <col min="15365" max="15365" width="9" style="149"/>
    <col min="15366" max="15366" width="14.5" style="149" customWidth="1"/>
    <col min="15367" max="15617" width="9" style="149"/>
    <col min="15618" max="15618" width="7.5" style="149" bestFit="1" customWidth="1"/>
    <col min="15619" max="15619" width="15.75" style="149" customWidth="1"/>
    <col min="15620" max="15620" width="13.875" style="149" bestFit="1" customWidth="1"/>
    <col min="15621" max="15621" width="9" style="149"/>
    <col min="15622" max="15622" width="14.5" style="149" customWidth="1"/>
    <col min="15623" max="15873" width="9" style="149"/>
    <col min="15874" max="15874" width="7.5" style="149" bestFit="1" customWidth="1"/>
    <col min="15875" max="15875" width="15.75" style="149" customWidth="1"/>
    <col min="15876" max="15876" width="13.875" style="149" bestFit="1" customWidth="1"/>
    <col min="15877" max="15877" width="9" style="149"/>
    <col min="15878" max="15878" width="14.5" style="149" customWidth="1"/>
    <col min="15879" max="16129" width="9" style="149"/>
    <col min="16130" max="16130" width="7.5" style="149" bestFit="1" customWidth="1"/>
    <col min="16131" max="16131" width="15.75" style="149" customWidth="1"/>
    <col min="16132" max="16132" width="13.875" style="149" bestFit="1" customWidth="1"/>
    <col min="16133" max="16133" width="9" style="149"/>
    <col min="16134" max="16134" width="14.5" style="149" customWidth="1"/>
    <col min="16135" max="16384" width="9" style="149"/>
  </cols>
  <sheetData>
    <row r="3" spans="2:16" x14ac:dyDescent="0.4">
      <c r="J3" s="285" t="s">
        <v>625</v>
      </c>
    </row>
    <row r="4" spans="2:16" x14ac:dyDescent="0.4">
      <c r="B4" s="280" t="s">
        <v>476</v>
      </c>
      <c r="C4" s="291" t="s">
        <v>557</v>
      </c>
      <c r="F4" s="291" t="s">
        <v>557</v>
      </c>
      <c r="G4" s="285" t="s">
        <v>624</v>
      </c>
      <c r="I4" s="291" t="s">
        <v>557</v>
      </c>
      <c r="J4" s="286"/>
    </row>
    <row r="5" spans="2:16" x14ac:dyDescent="0.4">
      <c r="B5" s="281"/>
      <c r="C5" s="288"/>
      <c r="D5" s="287" t="s">
        <v>622</v>
      </c>
      <c r="F5" s="288"/>
      <c r="G5" s="286"/>
      <c r="I5" s="288"/>
      <c r="J5" s="286"/>
    </row>
    <row r="6" spans="2:16" x14ac:dyDescent="0.4">
      <c r="B6" s="281"/>
      <c r="C6" s="288"/>
      <c r="D6" s="288"/>
      <c r="F6" s="288"/>
      <c r="G6" s="286"/>
      <c r="I6" s="288"/>
      <c r="J6" s="286"/>
    </row>
    <row r="7" spans="2:16" x14ac:dyDescent="0.4">
      <c r="B7" s="281"/>
      <c r="C7" s="288"/>
      <c r="D7" s="288"/>
      <c r="F7" s="288"/>
      <c r="G7" s="286"/>
      <c r="I7" s="288"/>
      <c r="J7" s="286"/>
    </row>
    <row r="8" spans="2:16" x14ac:dyDescent="0.4">
      <c r="B8" s="281"/>
      <c r="C8" s="288"/>
      <c r="D8" s="288"/>
      <c r="F8" s="288"/>
      <c r="G8" s="286"/>
      <c r="I8" s="288"/>
      <c r="J8" s="286"/>
    </row>
    <row r="9" spans="2:16" x14ac:dyDescent="0.4">
      <c r="B9" s="282"/>
      <c r="C9" s="289"/>
      <c r="D9" s="289"/>
      <c r="F9" s="289"/>
      <c r="G9" s="286"/>
      <c r="I9" s="289"/>
      <c r="J9" s="286"/>
    </row>
    <row r="11" spans="2:16" ht="18.75" customHeight="1" x14ac:dyDescent="0.4">
      <c r="P11" s="285" t="s">
        <v>625</v>
      </c>
    </row>
    <row r="12" spans="2:16" ht="18.75" customHeight="1" x14ac:dyDescent="0.4">
      <c r="B12" s="280" t="s">
        <v>476</v>
      </c>
      <c r="J12" s="283" t="s">
        <v>629</v>
      </c>
      <c r="M12" s="285" t="s">
        <v>624</v>
      </c>
      <c r="P12" s="286"/>
    </row>
    <row r="13" spans="2:16" ht="18.75" customHeight="1" x14ac:dyDescent="0.4">
      <c r="B13" s="281"/>
      <c r="C13" s="290" t="s">
        <v>558</v>
      </c>
      <c r="F13" s="290" t="s">
        <v>558</v>
      </c>
      <c r="G13" s="285" t="s">
        <v>622</v>
      </c>
      <c r="I13" s="290" t="s">
        <v>558</v>
      </c>
      <c r="J13" s="284"/>
      <c r="L13" s="290" t="s">
        <v>558</v>
      </c>
      <c r="M13" s="286"/>
      <c r="O13" s="290" t="s">
        <v>558</v>
      </c>
      <c r="P13" s="286"/>
    </row>
    <row r="14" spans="2:16" x14ac:dyDescent="0.4">
      <c r="B14" s="281"/>
      <c r="C14" s="286"/>
      <c r="D14" s="285" t="s">
        <v>627</v>
      </c>
      <c r="F14" s="286"/>
      <c r="G14" s="286"/>
      <c r="I14" s="286"/>
      <c r="J14" s="284"/>
      <c r="L14" s="286"/>
      <c r="M14" s="286"/>
      <c r="O14" s="286"/>
      <c r="P14" s="286"/>
    </row>
    <row r="15" spans="2:16" x14ac:dyDescent="0.4">
      <c r="B15" s="281"/>
      <c r="C15" s="286"/>
      <c r="D15" s="286"/>
      <c r="F15" s="286"/>
      <c r="G15" s="286"/>
      <c r="I15" s="286"/>
      <c r="J15" s="284"/>
      <c r="L15" s="286"/>
      <c r="M15" s="286"/>
      <c r="O15" s="286"/>
      <c r="P15" s="286"/>
    </row>
    <row r="16" spans="2:16" x14ac:dyDescent="0.4">
      <c r="B16" s="281"/>
      <c r="C16" s="286"/>
      <c r="D16" s="286"/>
      <c r="F16" s="286"/>
      <c r="G16" s="286"/>
      <c r="I16" s="286"/>
      <c r="J16" s="284"/>
      <c r="L16" s="286"/>
      <c r="M16" s="286"/>
      <c r="O16" s="286"/>
      <c r="P16" s="286"/>
    </row>
    <row r="17" spans="2:16" x14ac:dyDescent="0.4">
      <c r="B17" s="282"/>
      <c r="C17" s="286"/>
      <c r="D17" s="286"/>
      <c r="F17" s="286"/>
      <c r="G17" s="286"/>
      <c r="I17" s="286"/>
      <c r="J17" s="284"/>
      <c r="L17" s="286"/>
      <c r="M17" s="286"/>
      <c r="O17" s="286"/>
      <c r="P17" s="286"/>
    </row>
    <row r="20" spans="2:16" ht="18.75" customHeight="1" x14ac:dyDescent="0.4">
      <c r="D20" s="287" t="s">
        <v>632</v>
      </c>
    </row>
    <row r="21" spans="2:16" ht="18.75" customHeight="1" x14ac:dyDescent="0.4">
      <c r="C21" s="290" t="s">
        <v>559</v>
      </c>
      <c r="D21" s="288"/>
      <c r="F21" s="290" t="s">
        <v>559</v>
      </c>
      <c r="G21" s="285" t="s">
        <v>625</v>
      </c>
      <c r="I21" s="290" t="s">
        <v>559</v>
      </c>
      <c r="L21" s="290" t="s">
        <v>559</v>
      </c>
      <c r="O21" s="290" t="s">
        <v>559</v>
      </c>
    </row>
    <row r="22" spans="2:16" ht="18.75" customHeight="1" x14ac:dyDescent="0.4">
      <c r="B22" s="280" t="s">
        <v>476</v>
      </c>
      <c r="C22" s="286"/>
      <c r="D22" s="288"/>
      <c r="F22" s="286"/>
      <c r="G22" s="286"/>
      <c r="I22" s="286"/>
      <c r="J22" s="283" t="s">
        <v>633</v>
      </c>
      <c r="L22" s="286"/>
      <c r="M22" s="285" t="s">
        <v>624</v>
      </c>
      <c r="O22" s="286"/>
    </row>
    <row r="23" spans="2:16" ht="18.75" customHeight="1" x14ac:dyDescent="0.4">
      <c r="B23" s="281"/>
      <c r="C23" s="286"/>
      <c r="D23" s="288"/>
      <c r="F23" s="286"/>
      <c r="G23" s="286"/>
      <c r="I23" s="286"/>
      <c r="J23" s="284"/>
      <c r="L23" s="286"/>
      <c r="M23" s="286"/>
      <c r="O23" s="286"/>
      <c r="P23" s="285" t="s">
        <v>622</v>
      </c>
    </row>
    <row r="24" spans="2:16" x14ac:dyDescent="0.4">
      <c r="B24" s="281"/>
      <c r="C24" s="286"/>
      <c r="D24" s="288"/>
      <c r="F24" s="286"/>
      <c r="G24" s="286"/>
      <c r="I24" s="286"/>
      <c r="J24" s="284"/>
      <c r="L24" s="286"/>
      <c r="M24" s="286"/>
      <c r="O24" s="286"/>
      <c r="P24" s="286"/>
    </row>
    <row r="25" spans="2:16" x14ac:dyDescent="0.4">
      <c r="B25" s="281"/>
      <c r="C25" s="286"/>
      <c r="D25" s="288"/>
      <c r="F25" s="286"/>
      <c r="G25" s="286"/>
      <c r="I25" s="286"/>
      <c r="J25" s="284"/>
      <c r="L25" s="286"/>
      <c r="M25" s="286"/>
      <c r="O25" s="286"/>
      <c r="P25" s="286"/>
    </row>
    <row r="26" spans="2:16" x14ac:dyDescent="0.4">
      <c r="B26" s="281"/>
      <c r="C26" s="286"/>
      <c r="D26" s="288"/>
      <c r="F26" s="286"/>
      <c r="G26" s="286"/>
      <c r="I26" s="286"/>
      <c r="J26" s="284"/>
      <c r="L26" s="286"/>
      <c r="M26" s="286"/>
      <c r="O26" s="286"/>
      <c r="P26" s="286"/>
    </row>
    <row r="27" spans="2:16" x14ac:dyDescent="0.4">
      <c r="B27" s="282"/>
      <c r="C27" s="286"/>
      <c r="D27" s="289"/>
      <c r="F27" s="286"/>
      <c r="G27" s="286"/>
      <c r="I27" s="286"/>
      <c r="J27" s="284"/>
      <c r="L27" s="286"/>
      <c r="M27" s="286"/>
      <c r="O27" s="286"/>
      <c r="P27" s="286"/>
    </row>
  </sheetData>
  <mergeCells count="29">
    <mergeCell ref="J3:J9"/>
    <mergeCell ref="B4:B9"/>
    <mergeCell ref="C4:C9"/>
    <mergeCell ref="F4:F9"/>
    <mergeCell ref="G4:G9"/>
    <mergeCell ref="I4:I9"/>
    <mergeCell ref="D5:D9"/>
    <mergeCell ref="M12:M17"/>
    <mergeCell ref="C13:C17"/>
    <mergeCell ref="F13:F17"/>
    <mergeCell ref="G13:G17"/>
    <mergeCell ref="I13:I17"/>
    <mergeCell ref="L13:L17"/>
    <mergeCell ref="B22:B27"/>
    <mergeCell ref="J22:J27"/>
    <mergeCell ref="M22:M27"/>
    <mergeCell ref="P23:P27"/>
    <mergeCell ref="D14:D17"/>
    <mergeCell ref="D20:D27"/>
    <mergeCell ref="C21:C27"/>
    <mergeCell ref="F21:F27"/>
    <mergeCell ref="G21:G27"/>
    <mergeCell ref="I21:I27"/>
    <mergeCell ref="P11:P17"/>
    <mergeCell ref="O13:O17"/>
    <mergeCell ref="L21:L27"/>
    <mergeCell ref="O21:O27"/>
    <mergeCell ref="B12:B17"/>
    <mergeCell ref="J12:J17"/>
  </mergeCells>
  <phoneticPr fontId="14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B6E5FA-2886-4BF8-A762-CE9E27224D51}">
  <dimension ref="A1:I30"/>
  <sheetViews>
    <sheetView zoomScaleNormal="100" workbookViewId="0">
      <selection activeCell="B9" sqref="B9"/>
    </sheetView>
  </sheetViews>
  <sheetFormatPr defaultRowHeight="13.5" x14ac:dyDescent="0.4"/>
  <cols>
    <col min="1" max="1" width="13.875" style="52" bestFit="1" customWidth="1"/>
    <col min="2" max="2" width="45" style="51" bestFit="1" customWidth="1"/>
    <col min="3" max="4" width="45" style="51" customWidth="1"/>
    <col min="5" max="5" width="60.5" style="51" bestFit="1" customWidth="1"/>
    <col min="6" max="6" width="11.625" style="51" bestFit="1" customWidth="1"/>
    <col min="7" max="7" width="9.5" style="51" bestFit="1" customWidth="1"/>
    <col min="8" max="8" width="27.25" style="51" bestFit="1" customWidth="1"/>
    <col min="9" max="9" width="51.625" style="51" bestFit="1" customWidth="1"/>
    <col min="10" max="16384" width="9" style="51"/>
  </cols>
  <sheetData>
    <row r="1" spans="1:9" ht="24" x14ac:dyDescent="0.4">
      <c r="A1" s="292" t="s">
        <v>470</v>
      </c>
      <c r="B1" s="293"/>
      <c r="C1" s="293"/>
      <c r="D1" s="293"/>
      <c r="E1" s="293"/>
      <c r="F1" s="293"/>
      <c r="G1" s="293"/>
      <c r="H1" s="293"/>
      <c r="I1" s="294"/>
    </row>
    <row r="2" spans="1:9" ht="14.25" thickBot="1" x14ac:dyDescent="0.45">
      <c r="B2" s="51">
        <v>450</v>
      </c>
      <c r="E2" s="51">
        <v>15</v>
      </c>
      <c r="F2" s="51">
        <f>B2/100*E2</f>
        <v>67.5</v>
      </c>
    </row>
    <row r="3" spans="1:9" s="52" customFormat="1" ht="14.25" thickBot="1" x14ac:dyDescent="0.2">
      <c r="A3" s="53" t="s">
        <v>424</v>
      </c>
      <c r="B3" s="49" t="s">
        <v>423</v>
      </c>
      <c r="C3" s="49"/>
      <c r="D3" s="49"/>
      <c r="E3" s="54" t="s">
        <v>371</v>
      </c>
      <c r="F3" s="55" t="s">
        <v>270</v>
      </c>
      <c r="G3" s="55" t="s">
        <v>271</v>
      </c>
      <c r="H3" s="54" t="s">
        <v>274</v>
      </c>
      <c r="I3" s="56" t="s">
        <v>372</v>
      </c>
    </row>
    <row r="4" spans="1:9" ht="29.25" customHeight="1" thickBot="1" x14ac:dyDescent="0.2">
      <c r="A4" s="85">
        <v>1</v>
      </c>
      <c r="B4" s="86" t="s">
        <v>447</v>
      </c>
      <c r="C4" s="86"/>
      <c r="D4" s="86"/>
      <c r="E4" s="86" t="s">
        <v>612</v>
      </c>
      <c r="F4" s="87">
        <v>91220</v>
      </c>
      <c r="G4" s="88">
        <v>6</v>
      </c>
      <c r="H4" s="89" t="s">
        <v>468</v>
      </c>
      <c r="I4" s="82" t="s">
        <v>448</v>
      </c>
    </row>
    <row r="5" spans="1:9" ht="29.25" customHeight="1" thickBot="1" x14ac:dyDescent="0.2">
      <c r="A5" s="79">
        <v>2</v>
      </c>
      <c r="B5" s="81" t="s">
        <v>449</v>
      </c>
      <c r="C5" s="81"/>
      <c r="D5" s="81"/>
      <c r="E5" s="81"/>
      <c r="F5" s="83"/>
      <c r="G5" s="63"/>
      <c r="H5" s="80"/>
      <c r="I5" s="84" t="s">
        <v>427</v>
      </c>
    </row>
    <row r="6" spans="1:9" ht="29.25" customHeight="1" thickBot="1" x14ac:dyDescent="0.2">
      <c r="A6" s="85">
        <v>3</v>
      </c>
      <c r="B6" s="86" t="s">
        <v>450</v>
      </c>
      <c r="C6" s="86"/>
      <c r="D6" s="86"/>
      <c r="E6" s="86" t="s">
        <v>612</v>
      </c>
      <c r="F6" s="87">
        <v>91220</v>
      </c>
      <c r="G6" s="88">
        <v>6</v>
      </c>
      <c r="H6" s="89" t="s">
        <v>468</v>
      </c>
      <c r="I6" s="82" t="s">
        <v>448</v>
      </c>
    </row>
    <row r="7" spans="1:9" ht="29.25" customHeight="1" thickBot="1" x14ac:dyDescent="0.2">
      <c r="A7" s="79">
        <v>4</v>
      </c>
      <c r="B7" s="81" t="s">
        <v>451</v>
      </c>
      <c r="C7" s="81"/>
      <c r="D7" s="81"/>
      <c r="E7" s="81"/>
      <c r="F7" s="83"/>
      <c r="G7" s="63"/>
      <c r="H7" s="80"/>
      <c r="I7" s="84" t="s">
        <v>427</v>
      </c>
    </row>
    <row r="8" spans="1:9" ht="29.25" customHeight="1" thickBot="1" x14ac:dyDescent="0.2">
      <c r="A8" s="85">
        <v>5</v>
      </c>
      <c r="B8" s="86" t="s">
        <v>452</v>
      </c>
      <c r="C8" s="86"/>
      <c r="D8" s="86"/>
      <c r="E8" s="86" t="s">
        <v>612</v>
      </c>
      <c r="F8" s="87">
        <v>91220</v>
      </c>
      <c r="G8" s="88">
        <v>6</v>
      </c>
      <c r="H8" s="89" t="s">
        <v>468</v>
      </c>
      <c r="I8" s="82" t="s">
        <v>448</v>
      </c>
    </row>
    <row r="9" spans="1:9" ht="29.25" customHeight="1" thickBot="1" x14ac:dyDescent="0.2">
      <c r="A9" s="92">
        <v>6</v>
      </c>
      <c r="B9" s="93" t="s">
        <v>453</v>
      </c>
      <c r="C9" s="93"/>
      <c r="D9" s="93"/>
      <c r="E9" s="93"/>
      <c r="F9" s="73"/>
      <c r="G9" s="94"/>
      <c r="H9" s="95"/>
      <c r="I9" s="90" t="s">
        <v>427</v>
      </c>
    </row>
    <row r="10" spans="1:9" ht="29.25" customHeight="1" x14ac:dyDescent="0.15">
      <c r="A10" s="295">
        <v>7</v>
      </c>
      <c r="B10" s="297" t="s">
        <v>454</v>
      </c>
      <c r="C10" s="106"/>
      <c r="D10" s="106"/>
      <c r="E10" s="65" t="s">
        <v>609</v>
      </c>
      <c r="F10" s="58">
        <v>91220</v>
      </c>
      <c r="G10" s="58">
        <v>6</v>
      </c>
      <c r="H10" s="65" t="s">
        <v>468</v>
      </c>
      <c r="I10" s="66"/>
    </row>
    <row r="11" spans="1:9" ht="29.25" customHeight="1" thickBot="1" x14ac:dyDescent="0.2">
      <c r="A11" s="296"/>
      <c r="B11" s="298"/>
      <c r="C11" s="107"/>
      <c r="D11" s="107"/>
      <c r="E11" s="62" t="s">
        <v>425</v>
      </c>
      <c r="F11" s="61">
        <v>91324</v>
      </c>
      <c r="G11" s="61">
        <v>0</v>
      </c>
      <c r="H11" s="62" t="s">
        <v>590</v>
      </c>
      <c r="I11" s="77"/>
    </row>
    <row r="12" spans="1:9" ht="29.25" customHeight="1" thickBot="1" x14ac:dyDescent="0.2">
      <c r="A12" s="92">
        <v>8</v>
      </c>
      <c r="B12" s="71" t="s">
        <v>455</v>
      </c>
      <c r="C12" s="71"/>
      <c r="D12" s="71"/>
      <c r="E12" s="72" t="s">
        <v>425</v>
      </c>
      <c r="F12" s="73">
        <v>91324</v>
      </c>
      <c r="G12" s="73">
        <v>0</v>
      </c>
      <c r="H12" s="72" t="s">
        <v>590</v>
      </c>
      <c r="I12" s="74"/>
    </row>
    <row r="13" spans="1:9" ht="29.25" customHeight="1" x14ac:dyDescent="0.15">
      <c r="A13" s="295">
        <v>9</v>
      </c>
      <c r="B13" s="297" t="s">
        <v>456</v>
      </c>
      <c r="C13" s="106"/>
      <c r="D13" s="106"/>
      <c r="E13" s="65" t="s">
        <v>609</v>
      </c>
      <c r="F13" s="58">
        <v>91220</v>
      </c>
      <c r="G13" s="58">
        <v>6</v>
      </c>
      <c r="H13" s="65" t="s">
        <v>428</v>
      </c>
      <c r="I13" s="66"/>
    </row>
    <row r="14" spans="1:9" ht="29.25" customHeight="1" thickBot="1" x14ac:dyDescent="0.2">
      <c r="A14" s="296"/>
      <c r="B14" s="298"/>
      <c r="C14" s="107"/>
      <c r="D14" s="107"/>
      <c r="E14" s="62" t="s">
        <v>614</v>
      </c>
      <c r="F14" s="61">
        <v>91324</v>
      </c>
      <c r="G14" s="61">
        <v>0</v>
      </c>
      <c r="H14" s="62" t="s">
        <v>590</v>
      </c>
      <c r="I14" s="77"/>
    </row>
    <row r="15" spans="1:9" ht="29.25" customHeight="1" thickBot="1" x14ac:dyDescent="0.2">
      <c r="A15" s="92">
        <v>10</v>
      </c>
      <c r="B15" s="71" t="s">
        <v>457</v>
      </c>
      <c r="C15" s="71"/>
      <c r="D15" s="71"/>
      <c r="E15" s="72" t="s">
        <v>614</v>
      </c>
      <c r="F15" s="73">
        <v>91324</v>
      </c>
      <c r="G15" s="73">
        <v>0</v>
      </c>
      <c r="H15" s="72" t="s">
        <v>590</v>
      </c>
      <c r="I15" s="74"/>
    </row>
    <row r="16" spans="1:9" ht="29.25" customHeight="1" x14ac:dyDescent="0.15">
      <c r="A16" s="295">
        <v>11</v>
      </c>
      <c r="B16" s="297" t="s">
        <v>606</v>
      </c>
      <c r="C16" s="106"/>
      <c r="D16" s="106"/>
      <c r="E16" s="57" t="s">
        <v>612</v>
      </c>
      <c r="F16" s="58">
        <v>91220</v>
      </c>
      <c r="G16" s="59">
        <v>6</v>
      </c>
      <c r="H16" s="60" t="s">
        <v>468</v>
      </c>
      <c r="I16" s="66"/>
    </row>
    <row r="17" spans="1:9" ht="29.25" customHeight="1" thickBot="1" x14ac:dyDescent="0.2">
      <c r="A17" s="299"/>
      <c r="B17" s="300"/>
      <c r="C17" s="108"/>
      <c r="D17" s="108"/>
      <c r="E17" s="75" t="s">
        <v>607</v>
      </c>
      <c r="F17" s="76">
        <v>91400</v>
      </c>
      <c r="G17" s="76">
        <v>14</v>
      </c>
      <c r="H17" s="75" t="s">
        <v>596</v>
      </c>
      <c r="I17" s="64"/>
    </row>
    <row r="18" spans="1:9" ht="29.25" customHeight="1" thickBot="1" x14ac:dyDescent="0.2">
      <c r="A18" s="70">
        <v>12</v>
      </c>
      <c r="B18" s="96" t="s">
        <v>608</v>
      </c>
      <c r="C18" s="96"/>
      <c r="D18" s="96"/>
      <c r="E18" s="67" t="s">
        <v>607</v>
      </c>
      <c r="F18" s="68">
        <v>91400</v>
      </c>
      <c r="G18" s="68">
        <v>14</v>
      </c>
      <c r="H18" s="67" t="s">
        <v>596</v>
      </c>
      <c r="I18" s="69"/>
    </row>
    <row r="19" spans="1:9" ht="29.25" customHeight="1" x14ac:dyDescent="0.15">
      <c r="A19" s="295">
        <v>13</v>
      </c>
      <c r="B19" s="297" t="s">
        <v>458</v>
      </c>
      <c r="C19" s="106"/>
      <c r="D19" s="106"/>
      <c r="E19" s="65" t="s">
        <v>609</v>
      </c>
      <c r="F19" s="58">
        <v>91220</v>
      </c>
      <c r="G19" s="58">
        <v>6</v>
      </c>
      <c r="H19" s="65" t="s">
        <v>468</v>
      </c>
      <c r="I19" s="66"/>
    </row>
    <row r="20" spans="1:9" ht="29.25" customHeight="1" thickBot="1" x14ac:dyDescent="0.2">
      <c r="A20" s="296"/>
      <c r="B20" s="298"/>
      <c r="C20" s="107"/>
      <c r="D20" s="107"/>
      <c r="E20" s="62" t="s">
        <v>649</v>
      </c>
      <c r="F20" s="61">
        <v>91400</v>
      </c>
      <c r="G20" s="61">
        <v>14</v>
      </c>
      <c r="H20" s="62" t="s">
        <v>596</v>
      </c>
      <c r="I20" s="77"/>
    </row>
    <row r="21" spans="1:9" ht="29.25" customHeight="1" thickBot="1" x14ac:dyDescent="0.2">
      <c r="A21" s="78">
        <v>14</v>
      </c>
      <c r="B21" s="91" t="s">
        <v>459</v>
      </c>
      <c r="C21" s="71"/>
      <c r="D21" s="71"/>
      <c r="E21" s="62" t="s">
        <v>649</v>
      </c>
      <c r="F21" s="61">
        <v>91400</v>
      </c>
      <c r="G21" s="61">
        <v>14</v>
      </c>
      <c r="H21" s="62" t="s">
        <v>596</v>
      </c>
      <c r="I21" s="66"/>
    </row>
    <row r="22" spans="1:9" ht="29.25" customHeight="1" x14ac:dyDescent="0.15">
      <c r="A22" s="295">
        <v>15</v>
      </c>
      <c r="B22" s="297" t="s">
        <v>460</v>
      </c>
      <c r="C22" s="106"/>
      <c r="D22" s="106"/>
      <c r="E22" s="65" t="s">
        <v>609</v>
      </c>
      <c r="F22" s="58">
        <v>91220</v>
      </c>
      <c r="G22" s="58">
        <v>6</v>
      </c>
      <c r="H22" s="65" t="s">
        <v>468</v>
      </c>
      <c r="I22" s="66"/>
    </row>
    <row r="23" spans="1:9" ht="29.25" customHeight="1" thickBot="1" x14ac:dyDescent="0.2">
      <c r="A23" s="296"/>
      <c r="B23" s="298"/>
      <c r="C23" s="107"/>
      <c r="D23" s="107"/>
      <c r="E23" s="62" t="s">
        <v>615</v>
      </c>
      <c r="F23" s="61">
        <v>91400</v>
      </c>
      <c r="G23" s="61">
        <v>14</v>
      </c>
      <c r="H23" s="62" t="s">
        <v>596</v>
      </c>
      <c r="I23" s="77"/>
    </row>
    <row r="24" spans="1:9" ht="29.25" customHeight="1" thickBot="1" x14ac:dyDescent="0.2">
      <c r="A24" s="78">
        <v>16</v>
      </c>
      <c r="B24" s="91" t="s">
        <v>461</v>
      </c>
      <c r="C24" s="71"/>
      <c r="D24" s="71"/>
      <c r="E24" s="62" t="s">
        <v>616</v>
      </c>
      <c r="F24" s="61">
        <v>91400</v>
      </c>
      <c r="G24" s="61">
        <v>14</v>
      </c>
      <c r="H24" s="62" t="s">
        <v>596</v>
      </c>
      <c r="I24" s="66"/>
    </row>
    <row r="25" spans="1:9" ht="29.25" customHeight="1" x14ac:dyDescent="0.15">
      <c r="A25" s="295">
        <v>17</v>
      </c>
      <c r="B25" s="297" t="s">
        <v>462</v>
      </c>
      <c r="C25" s="106"/>
      <c r="D25" s="106"/>
      <c r="E25" s="65" t="s">
        <v>609</v>
      </c>
      <c r="F25" s="58">
        <v>91220</v>
      </c>
      <c r="G25" s="58">
        <v>6</v>
      </c>
      <c r="H25" s="65" t="s">
        <v>468</v>
      </c>
      <c r="I25" s="66"/>
    </row>
    <row r="26" spans="1:9" ht="29.25" customHeight="1" thickBot="1" x14ac:dyDescent="0.2">
      <c r="A26" s="296"/>
      <c r="B26" s="298"/>
      <c r="C26" s="107"/>
      <c r="D26" s="107"/>
      <c r="E26" s="62" t="s">
        <v>617</v>
      </c>
      <c r="F26" s="61">
        <v>91400</v>
      </c>
      <c r="G26" s="61">
        <v>14</v>
      </c>
      <c r="H26" s="62" t="s">
        <v>596</v>
      </c>
      <c r="I26" s="77"/>
    </row>
    <row r="27" spans="1:9" ht="29.25" customHeight="1" thickBot="1" x14ac:dyDescent="0.2">
      <c r="A27" s="78">
        <v>18</v>
      </c>
      <c r="B27" s="91" t="s">
        <v>463</v>
      </c>
      <c r="C27" s="71"/>
      <c r="D27" s="71"/>
      <c r="E27" s="62" t="s">
        <v>618</v>
      </c>
      <c r="F27" s="61">
        <v>91400</v>
      </c>
      <c r="G27" s="61">
        <v>14</v>
      </c>
      <c r="H27" s="62" t="s">
        <v>596</v>
      </c>
      <c r="I27" s="66"/>
    </row>
    <row r="28" spans="1:9" ht="29.25" customHeight="1" x14ac:dyDescent="0.15">
      <c r="A28" s="295">
        <v>19</v>
      </c>
      <c r="B28" s="297" t="s">
        <v>464</v>
      </c>
      <c r="C28" s="106"/>
      <c r="D28" s="106"/>
      <c r="E28" s="65" t="s">
        <v>609</v>
      </c>
      <c r="F28" s="58">
        <v>91220</v>
      </c>
      <c r="G28" s="58">
        <v>6</v>
      </c>
      <c r="H28" s="65" t="s">
        <v>468</v>
      </c>
      <c r="I28" s="66"/>
    </row>
    <row r="29" spans="1:9" ht="29.25" customHeight="1" thickBot="1" x14ac:dyDescent="0.2">
      <c r="A29" s="299"/>
      <c r="B29" s="300"/>
      <c r="C29" s="108"/>
      <c r="D29" s="108"/>
      <c r="E29" s="75" t="s">
        <v>619</v>
      </c>
      <c r="F29" s="76">
        <v>91400</v>
      </c>
      <c r="G29" s="76">
        <v>14</v>
      </c>
      <c r="H29" s="75" t="s">
        <v>596</v>
      </c>
      <c r="I29" s="64"/>
    </row>
    <row r="30" spans="1:9" ht="29.25" customHeight="1" thickBot="1" x14ac:dyDescent="0.2">
      <c r="A30" s="85">
        <v>20</v>
      </c>
      <c r="B30" s="97" t="s">
        <v>465</v>
      </c>
      <c r="C30" s="97"/>
      <c r="D30" s="97"/>
      <c r="E30" s="98" t="s">
        <v>618</v>
      </c>
      <c r="F30" s="87">
        <v>91400</v>
      </c>
      <c r="G30" s="87">
        <v>14</v>
      </c>
      <c r="H30" s="98" t="s">
        <v>596</v>
      </c>
      <c r="I30" s="99"/>
    </row>
  </sheetData>
  <mergeCells count="15">
    <mergeCell ref="A25:A26"/>
    <mergeCell ref="B25:B26"/>
    <mergeCell ref="A28:A29"/>
    <mergeCell ref="B28:B29"/>
    <mergeCell ref="A22:A23"/>
    <mergeCell ref="B22:B23"/>
    <mergeCell ref="A1:I1"/>
    <mergeCell ref="A19:A20"/>
    <mergeCell ref="B19:B20"/>
    <mergeCell ref="A10:A11"/>
    <mergeCell ref="B10:B11"/>
    <mergeCell ref="A13:A14"/>
    <mergeCell ref="B13:B14"/>
    <mergeCell ref="A16:A17"/>
    <mergeCell ref="B16:B17"/>
  </mergeCells>
  <phoneticPr fontId="14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4B7208-E255-4C45-B0A8-4D0B13253B15}">
  <sheetPr filterMode="1"/>
  <dimension ref="A1:AB114"/>
  <sheetViews>
    <sheetView zoomScale="85" zoomScaleNormal="85" workbookViewId="0">
      <pane xSplit="8" ySplit="1" topLeftCell="I44" activePane="bottomRight" state="frozen"/>
      <selection pane="topRight" activeCell="H1" sqref="H1"/>
      <selection pane="bottomLeft" activeCell="A2" sqref="A2"/>
      <selection pane="bottomRight" activeCell="L48" sqref="A1:AB114"/>
    </sheetView>
  </sheetViews>
  <sheetFormatPr defaultColWidth="79.75" defaultRowHeight="18.75" outlineLevelCol="1" x14ac:dyDescent="0.4"/>
  <cols>
    <col min="1" max="1" width="22" style="110" bestFit="1" customWidth="1"/>
    <col min="2" max="2" width="5.25" style="110" bestFit="1" customWidth="1"/>
    <col min="3" max="3" width="9" style="110" hidden="1" customWidth="1" outlineLevel="1"/>
    <col min="4" max="4" width="18.125" style="110" hidden="1" customWidth="1" outlineLevel="1"/>
    <col min="5" max="5" width="6.25" style="110" hidden="1" customWidth="1" outlineLevel="1"/>
    <col min="6" max="6" width="25.125" style="110" customWidth="1" collapsed="1"/>
    <col min="7" max="7" width="10.875" style="110" customWidth="1"/>
    <col min="8" max="8" width="54.875" style="110" hidden="1" customWidth="1" outlineLevel="1"/>
    <col min="9" max="9" width="35.25" style="110" hidden="1" customWidth="1" outlineLevel="1"/>
    <col min="10" max="10" width="15" style="110" bestFit="1" customWidth="1" collapsed="1"/>
    <col min="11" max="11" width="9" style="110" bestFit="1" customWidth="1"/>
    <col min="12" max="12" width="26.375" style="110" customWidth="1"/>
    <col min="13" max="13" width="10" style="110" bestFit="1" customWidth="1"/>
    <col min="14" max="14" width="15" style="110" bestFit="1" customWidth="1"/>
    <col min="15" max="15" width="11.625" style="110" bestFit="1" customWidth="1"/>
    <col min="16" max="16" width="18.125" style="110" bestFit="1" customWidth="1"/>
    <col min="17" max="17" width="11.75" style="110" bestFit="1" customWidth="1"/>
    <col min="18" max="18" width="9" style="110" bestFit="1" customWidth="1"/>
    <col min="19" max="19" width="11" style="110" hidden="1" customWidth="1" outlineLevel="1"/>
    <col min="20" max="21" width="13" style="110" hidden="1" customWidth="1" outlineLevel="1"/>
    <col min="22" max="22" width="9.875" style="110" hidden="1" customWidth="1" outlineLevel="1"/>
    <col min="23" max="23" width="9.875" style="110" bestFit="1" customWidth="1" collapsed="1"/>
    <col min="24" max="24" width="9" style="110" bestFit="1" customWidth="1"/>
    <col min="25" max="25" width="7.125" style="110" bestFit="1" customWidth="1"/>
    <col min="26" max="26" width="9" style="110" bestFit="1" customWidth="1"/>
    <col min="27" max="27" width="25.625" style="110" bestFit="1" customWidth="1"/>
    <col min="28" max="28" width="10.875" style="110" bestFit="1" customWidth="1"/>
    <col min="29" max="16384" width="79.75" style="110"/>
  </cols>
  <sheetData>
    <row r="1" spans="1:28" x14ac:dyDescent="0.15">
      <c r="B1" s="144" t="s">
        <v>251</v>
      </c>
      <c r="C1" s="144" t="s">
        <v>252</v>
      </c>
      <c r="D1" s="144" t="s">
        <v>253</v>
      </c>
      <c r="E1" s="144" t="s">
        <v>254</v>
      </c>
      <c r="F1" s="144" t="s">
        <v>255</v>
      </c>
      <c r="G1" s="144" t="s">
        <v>256</v>
      </c>
      <c r="H1" s="144" t="s">
        <v>257</v>
      </c>
      <c r="I1" s="144" t="s">
        <v>258</v>
      </c>
      <c r="J1" s="144" t="s">
        <v>259</v>
      </c>
      <c r="K1" s="144" t="s">
        <v>260</v>
      </c>
      <c r="L1" s="144" t="s">
        <v>490</v>
      </c>
      <c r="M1" s="144" t="s">
        <v>261</v>
      </c>
      <c r="N1" s="144" t="s">
        <v>262</v>
      </c>
      <c r="O1" s="144" t="s">
        <v>250</v>
      </c>
      <c r="P1" s="144" t="s">
        <v>263</v>
      </c>
      <c r="Q1" s="144" t="s">
        <v>264</v>
      </c>
      <c r="R1" s="144" t="s">
        <v>265</v>
      </c>
      <c r="S1" s="144" t="s">
        <v>266</v>
      </c>
      <c r="T1" s="144" t="s">
        <v>267</v>
      </c>
      <c r="U1" s="144" t="s">
        <v>268</v>
      </c>
      <c r="V1" s="144" t="s">
        <v>269</v>
      </c>
      <c r="W1" s="144" t="s">
        <v>270</v>
      </c>
      <c r="X1" s="144" t="s">
        <v>271</v>
      </c>
      <c r="Y1" s="144" t="s">
        <v>272</v>
      </c>
      <c r="Z1" s="144" t="s">
        <v>273</v>
      </c>
      <c r="AA1" s="144" t="s">
        <v>274</v>
      </c>
      <c r="AB1" s="144" t="s">
        <v>275</v>
      </c>
    </row>
    <row r="2" spans="1:28" hidden="1" x14ac:dyDescent="0.15">
      <c r="A2" s="110" t="s">
        <v>491</v>
      </c>
      <c r="B2" s="145">
        <v>1</v>
      </c>
      <c r="C2" s="146" t="s">
        <v>3</v>
      </c>
      <c r="D2" s="146" t="s">
        <v>3</v>
      </c>
      <c r="E2" s="146" t="s">
        <v>8</v>
      </c>
      <c r="F2" s="146" t="s">
        <v>5</v>
      </c>
      <c r="G2" s="146" t="s">
        <v>276</v>
      </c>
      <c r="H2" s="146" t="s">
        <v>189</v>
      </c>
      <c r="I2" s="146" t="s">
        <v>164</v>
      </c>
      <c r="J2" s="146" t="s">
        <v>165</v>
      </c>
      <c r="K2" s="146" t="s">
        <v>277</v>
      </c>
      <c r="L2" s="146" t="s">
        <v>279</v>
      </c>
      <c r="M2" s="146" t="s">
        <v>278</v>
      </c>
      <c r="N2" s="146" t="s">
        <v>276</v>
      </c>
      <c r="O2" s="146" t="s">
        <v>276</v>
      </c>
      <c r="P2" s="146" t="s">
        <v>276</v>
      </c>
      <c r="Q2" s="146" t="s">
        <v>276</v>
      </c>
      <c r="R2" s="146" t="s">
        <v>279</v>
      </c>
      <c r="S2" s="146" t="s">
        <v>280</v>
      </c>
      <c r="T2" s="146" t="s">
        <v>281</v>
      </c>
      <c r="U2" s="146" t="s">
        <v>281</v>
      </c>
      <c r="V2" s="146" t="s">
        <v>282</v>
      </c>
      <c r="W2" s="146" t="s">
        <v>283</v>
      </c>
      <c r="X2" s="146" t="s">
        <v>281</v>
      </c>
      <c r="Y2" s="146" t="s">
        <v>284</v>
      </c>
      <c r="Z2" s="146" t="s">
        <v>280</v>
      </c>
      <c r="AA2" s="146" t="s">
        <v>285</v>
      </c>
      <c r="AB2" s="146" t="s">
        <v>286</v>
      </c>
    </row>
    <row r="3" spans="1:28" hidden="1" x14ac:dyDescent="0.15">
      <c r="A3" s="110" t="s">
        <v>492</v>
      </c>
      <c r="B3" s="145">
        <v>2</v>
      </c>
      <c r="C3" s="146" t="s">
        <v>3</v>
      </c>
      <c r="D3" s="146" t="s">
        <v>2</v>
      </c>
      <c r="E3" s="146" t="s">
        <v>8</v>
      </c>
      <c r="F3" s="146" t="s">
        <v>5</v>
      </c>
      <c r="G3" s="146" t="s">
        <v>276</v>
      </c>
      <c r="H3" s="146" t="s">
        <v>190</v>
      </c>
      <c r="I3" s="146" t="s">
        <v>166</v>
      </c>
      <c r="J3" s="146" t="s">
        <v>167</v>
      </c>
      <c r="K3" s="146" t="s">
        <v>277</v>
      </c>
      <c r="L3" s="146" t="s">
        <v>279</v>
      </c>
      <c r="M3" s="146" t="s">
        <v>279</v>
      </c>
      <c r="N3" s="146" t="s">
        <v>276</v>
      </c>
      <c r="O3" s="146" t="s">
        <v>276</v>
      </c>
      <c r="P3" s="146" t="s">
        <v>276</v>
      </c>
      <c r="Q3" s="146" t="s">
        <v>276</v>
      </c>
      <c r="R3" s="146" t="s">
        <v>279</v>
      </c>
      <c r="S3" s="146" t="s">
        <v>280</v>
      </c>
      <c r="T3" s="146" t="s">
        <v>281</v>
      </c>
      <c r="U3" s="146" t="s">
        <v>281</v>
      </c>
      <c r="V3" s="146" t="s">
        <v>282</v>
      </c>
      <c r="W3" s="146" t="s">
        <v>283</v>
      </c>
      <c r="X3" s="146" t="s">
        <v>281</v>
      </c>
      <c r="Y3" s="146" t="s">
        <v>284</v>
      </c>
      <c r="Z3" s="146" t="s">
        <v>280</v>
      </c>
      <c r="AA3" s="146" t="s">
        <v>285</v>
      </c>
      <c r="AB3" s="146" t="s">
        <v>286</v>
      </c>
    </row>
    <row r="4" spans="1:28" hidden="1" x14ac:dyDescent="0.15">
      <c r="A4" s="110" t="s">
        <v>493</v>
      </c>
      <c r="B4" s="145">
        <v>3</v>
      </c>
      <c r="C4" s="146" t="s">
        <v>3</v>
      </c>
      <c r="D4" s="146" t="s">
        <v>0</v>
      </c>
      <c r="E4" s="146" t="s">
        <v>8</v>
      </c>
      <c r="F4" s="146" t="s">
        <v>5</v>
      </c>
      <c r="G4" s="146" t="s">
        <v>276</v>
      </c>
      <c r="H4" s="146" t="s">
        <v>191</v>
      </c>
      <c r="I4" s="146" t="s">
        <v>168</v>
      </c>
      <c r="J4" s="146" t="s">
        <v>169</v>
      </c>
      <c r="K4" s="146" t="s">
        <v>277</v>
      </c>
      <c r="L4" s="146" t="s">
        <v>278</v>
      </c>
      <c r="M4" s="146" t="s">
        <v>279</v>
      </c>
      <c r="N4" s="146" t="s">
        <v>276</v>
      </c>
      <c r="O4" s="146" t="s">
        <v>276</v>
      </c>
      <c r="P4" s="146" t="s">
        <v>276</v>
      </c>
      <c r="Q4" s="146" t="s">
        <v>276</v>
      </c>
      <c r="R4" s="146" t="s">
        <v>278</v>
      </c>
      <c r="S4" s="146" t="s">
        <v>280</v>
      </c>
      <c r="T4" s="146" t="s">
        <v>284</v>
      </c>
      <c r="U4" s="146" t="s">
        <v>280</v>
      </c>
      <c r="V4" s="146" t="s">
        <v>276</v>
      </c>
      <c r="W4" s="146" t="s">
        <v>287</v>
      </c>
      <c r="X4" s="146" t="s">
        <v>288</v>
      </c>
      <c r="Y4" s="146" t="s">
        <v>284</v>
      </c>
      <c r="Z4" s="146" t="s">
        <v>280</v>
      </c>
      <c r="AA4" s="146" t="s">
        <v>289</v>
      </c>
      <c r="AB4" s="146" t="s">
        <v>494</v>
      </c>
    </row>
    <row r="5" spans="1:28" hidden="1" x14ac:dyDescent="0.15">
      <c r="A5" s="110" t="s">
        <v>493</v>
      </c>
      <c r="B5" s="145">
        <v>3</v>
      </c>
      <c r="C5" s="146" t="s">
        <v>3</v>
      </c>
      <c r="D5" s="146" t="s">
        <v>0</v>
      </c>
      <c r="E5" s="146" t="s">
        <v>8</v>
      </c>
      <c r="F5" s="146" t="s">
        <v>5</v>
      </c>
      <c r="G5" s="146" t="s">
        <v>276</v>
      </c>
      <c r="H5" s="146" t="s">
        <v>191</v>
      </c>
      <c r="I5" s="146" t="s">
        <v>168</v>
      </c>
      <c r="J5" s="146" t="s">
        <v>169</v>
      </c>
      <c r="K5" s="146" t="s">
        <v>277</v>
      </c>
      <c r="L5" s="146" t="s">
        <v>278</v>
      </c>
      <c r="M5" s="146" t="s">
        <v>279</v>
      </c>
      <c r="N5" s="146" t="s">
        <v>276</v>
      </c>
      <c r="O5" s="146" t="s">
        <v>276</v>
      </c>
      <c r="P5" s="146" t="s">
        <v>276</v>
      </c>
      <c r="Q5" s="146" t="s">
        <v>276</v>
      </c>
      <c r="R5" s="146" t="s">
        <v>278</v>
      </c>
      <c r="S5" s="146" t="s">
        <v>280</v>
      </c>
      <c r="T5" s="146" t="s">
        <v>284</v>
      </c>
      <c r="U5" s="146" t="s">
        <v>280</v>
      </c>
      <c r="V5" s="146" t="s">
        <v>282</v>
      </c>
      <c r="W5" s="146" t="s">
        <v>283</v>
      </c>
      <c r="X5" s="146" t="s">
        <v>281</v>
      </c>
      <c r="Y5" s="146" t="s">
        <v>284</v>
      </c>
      <c r="Z5" s="146" t="s">
        <v>280</v>
      </c>
      <c r="AA5" s="146" t="s">
        <v>285</v>
      </c>
      <c r="AB5" s="146" t="s">
        <v>286</v>
      </c>
    </row>
    <row r="6" spans="1:28" hidden="1" x14ac:dyDescent="0.15">
      <c r="A6" s="110" t="s">
        <v>493</v>
      </c>
      <c r="B6" s="145">
        <v>4</v>
      </c>
      <c r="C6" s="146" t="s">
        <v>3</v>
      </c>
      <c r="D6" s="146" t="s">
        <v>0</v>
      </c>
      <c r="E6" s="146" t="s">
        <v>8</v>
      </c>
      <c r="F6" s="146" t="s">
        <v>5</v>
      </c>
      <c r="G6" s="146" t="s">
        <v>276</v>
      </c>
      <c r="H6" s="146" t="s">
        <v>192</v>
      </c>
      <c r="I6" s="146" t="s">
        <v>170</v>
      </c>
      <c r="J6" s="146" t="s">
        <v>171</v>
      </c>
      <c r="K6" s="146" t="s">
        <v>277</v>
      </c>
      <c r="L6" s="146" t="s">
        <v>279</v>
      </c>
      <c r="M6" s="146" t="s">
        <v>277</v>
      </c>
      <c r="N6" s="146" t="s">
        <v>276</v>
      </c>
      <c r="O6" s="146" t="s">
        <v>276</v>
      </c>
      <c r="P6" s="146" t="s">
        <v>276</v>
      </c>
      <c r="Q6" s="146" t="s">
        <v>276</v>
      </c>
      <c r="R6" s="146" t="s">
        <v>279</v>
      </c>
      <c r="S6" s="146" t="s">
        <v>280</v>
      </c>
      <c r="T6" s="146" t="s">
        <v>284</v>
      </c>
      <c r="U6" s="146" t="s">
        <v>280</v>
      </c>
      <c r="V6" s="146" t="s">
        <v>282</v>
      </c>
      <c r="W6" s="146" t="s">
        <v>283</v>
      </c>
      <c r="X6" s="146" t="s">
        <v>281</v>
      </c>
      <c r="Y6" s="146" t="s">
        <v>281</v>
      </c>
      <c r="Z6" s="146" t="s">
        <v>280</v>
      </c>
      <c r="AA6" s="146" t="s">
        <v>285</v>
      </c>
      <c r="AB6" s="146" t="s">
        <v>286</v>
      </c>
    </row>
    <row r="7" spans="1:28" hidden="1" x14ac:dyDescent="0.15">
      <c r="A7" s="110" t="s">
        <v>493</v>
      </c>
      <c r="B7" s="145">
        <v>4</v>
      </c>
      <c r="C7" s="146" t="s">
        <v>3</v>
      </c>
      <c r="D7" s="146" t="s">
        <v>0</v>
      </c>
      <c r="E7" s="146" t="s">
        <v>8</v>
      </c>
      <c r="F7" s="146" t="s">
        <v>5</v>
      </c>
      <c r="G7" s="146" t="s">
        <v>276</v>
      </c>
      <c r="H7" s="146" t="s">
        <v>192</v>
      </c>
      <c r="I7" s="146" t="s">
        <v>170</v>
      </c>
      <c r="J7" s="146" t="s">
        <v>171</v>
      </c>
      <c r="K7" s="146" t="s">
        <v>277</v>
      </c>
      <c r="L7" s="146" t="s">
        <v>279</v>
      </c>
      <c r="M7" s="146" t="s">
        <v>277</v>
      </c>
      <c r="N7" s="146" t="s">
        <v>276</v>
      </c>
      <c r="O7" s="146" t="s">
        <v>276</v>
      </c>
      <c r="P7" s="146" t="s">
        <v>276</v>
      </c>
      <c r="Q7" s="146" t="s">
        <v>276</v>
      </c>
      <c r="R7" s="146" t="s">
        <v>279</v>
      </c>
      <c r="S7" s="146" t="s">
        <v>280</v>
      </c>
      <c r="T7" s="146" t="s">
        <v>284</v>
      </c>
      <c r="U7" s="146" t="s">
        <v>280</v>
      </c>
      <c r="V7" s="146" t="s">
        <v>276</v>
      </c>
      <c r="W7" s="146" t="s">
        <v>287</v>
      </c>
      <c r="X7" s="146" t="s">
        <v>288</v>
      </c>
      <c r="Y7" s="146" t="s">
        <v>284</v>
      </c>
      <c r="Z7" s="146" t="s">
        <v>280</v>
      </c>
      <c r="AA7" s="146" t="s">
        <v>289</v>
      </c>
      <c r="AB7" s="146" t="s">
        <v>290</v>
      </c>
    </row>
    <row r="8" spans="1:28" hidden="1" x14ac:dyDescent="0.15">
      <c r="A8" s="110" t="s">
        <v>495</v>
      </c>
      <c r="B8" s="145">
        <v>5</v>
      </c>
      <c r="C8" s="146" t="s">
        <v>3</v>
      </c>
      <c r="D8" s="146" t="s">
        <v>0</v>
      </c>
      <c r="E8" s="146" t="s">
        <v>8</v>
      </c>
      <c r="F8" s="146" t="s">
        <v>5</v>
      </c>
      <c r="G8" s="146" t="s">
        <v>276</v>
      </c>
      <c r="H8" s="146" t="s">
        <v>193</v>
      </c>
      <c r="I8" s="146" t="s">
        <v>172</v>
      </c>
      <c r="J8" s="146" t="s">
        <v>173</v>
      </c>
      <c r="K8" s="146" t="s">
        <v>277</v>
      </c>
      <c r="L8" s="146" t="s">
        <v>279</v>
      </c>
      <c r="M8" s="146" t="s">
        <v>291</v>
      </c>
      <c r="N8" s="146" t="s">
        <v>276</v>
      </c>
      <c r="O8" s="146" t="s">
        <v>276</v>
      </c>
      <c r="P8" s="146" t="s">
        <v>276</v>
      </c>
      <c r="Q8" s="146" t="s">
        <v>276</v>
      </c>
      <c r="R8" s="146" t="s">
        <v>279</v>
      </c>
      <c r="S8" s="146" t="s">
        <v>280</v>
      </c>
      <c r="T8" s="146" t="s">
        <v>284</v>
      </c>
      <c r="U8" s="146" t="s">
        <v>280</v>
      </c>
      <c r="V8" s="146" t="s">
        <v>276</v>
      </c>
      <c r="W8" s="146" t="s">
        <v>287</v>
      </c>
      <c r="X8" s="146" t="s">
        <v>288</v>
      </c>
      <c r="Y8" s="146" t="s">
        <v>284</v>
      </c>
      <c r="Z8" s="146" t="s">
        <v>280</v>
      </c>
      <c r="AA8" s="146" t="s">
        <v>289</v>
      </c>
      <c r="AB8" s="146" t="s">
        <v>290</v>
      </c>
    </row>
    <row r="9" spans="1:28" hidden="1" x14ac:dyDescent="0.15">
      <c r="A9" s="110" t="s">
        <v>492</v>
      </c>
      <c r="B9" s="145">
        <v>6</v>
      </c>
      <c r="C9" s="146" t="s">
        <v>2</v>
      </c>
      <c r="D9" s="146" t="s">
        <v>3</v>
      </c>
      <c r="E9" s="146" t="s">
        <v>8</v>
      </c>
      <c r="F9" s="146" t="s">
        <v>5</v>
      </c>
      <c r="G9" s="146" t="s">
        <v>276</v>
      </c>
      <c r="H9" s="146" t="s">
        <v>194</v>
      </c>
      <c r="I9" s="146" t="s">
        <v>174</v>
      </c>
      <c r="J9" s="146" t="s">
        <v>175</v>
      </c>
      <c r="K9" s="146" t="s">
        <v>277</v>
      </c>
      <c r="L9" s="146" t="s">
        <v>279</v>
      </c>
      <c r="M9" s="146" t="s">
        <v>279</v>
      </c>
      <c r="N9" s="146" t="s">
        <v>276</v>
      </c>
      <c r="O9" s="146" t="s">
        <v>276</v>
      </c>
      <c r="P9" s="146" t="s">
        <v>276</v>
      </c>
      <c r="Q9" s="146" t="s">
        <v>276</v>
      </c>
      <c r="R9" s="146" t="s">
        <v>279</v>
      </c>
      <c r="S9" s="146" t="s">
        <v>280</v>
      </c>
      <c r="T9" s="146" t="s">
        <v>281</v>
      </c>
      <c r="U9" s="146" t="s">
        <v>281</v>
      </c>
      <c r="V9" s="146" t="s">
        <v>282</v>
      </c>
      <c r="W9" s="146" t="s">
        <v>283</v>
      </c>
      <c r="X9" s="146" t="s">
        <v>281</v>
      </c>
      <c r="Y9" s="146" t="s">
        <v>284</v>
      </c>
      <c r="Z9" s="146" t="s">
        <v>280</v>
      </c>
      <c r="AA9" s="146" t="s">
        <v>285</v>
      </c>
      <c r="AB9" s="146" t="s">
        <v>286</v>
      </c>
    </row>
    <row r="10" spans="1:28" hidden="1" x14ac:dyDescent="0.15">
      <c r="A10" s="110" t="s">
        <v>492</v>
      </c>
      <c r="B10" s="145">
        <v>7</v>
      </c>
      <c r="C10" s="146" t="s">
        <v>2</v>
      </c>
      <c r="D10" s="146" t="s">
        <v>2</v>
      </c>
      <c r="E10" s="146" t="s">
        <v>8</v>
      </c>
      <c r="F10" s="146" t="s">
        <v>5</v>
      </c>
      <c r="G10" s="146" t="s">
        <v>276</v>
      </c>
      <c r="H10" s="146" t="s">
        <v>195</v>
      </c>
      <c r="I10" s="146" t="s">
        <v>176</v>
      </c>
      <c r="J10" s="146" t="s">
        <v>177</v>
      </c>
      <c r="K10" s="146" t="s">
        <v>277</v>
      </c>
      <c r="L10" s="146" t="s">
        <v>279</v>
      </c>
      <c r="M10" s="146" t="s">
        <v>279</v>
      </c>
      <c r="N10" s="146" t="s">
        <v>276</v>
      </c>
      <c r="O10" s="146" t="s">
        <v>276</v>
      </c>
      <c r="P10" s="146" t="s">
        <v>276</v>
      </c>
      <c r="Q10" s="146" t="s">
        <v>276</v>
      </c>
      <c r="R10" s="146" t="s">
        <v>279</v>
      </c>
      <c r="S10" s="146" t="s">
        <v>280</v>
      </c>
      <c r="T10" s="146" t="s">
        <v>284</v>
      </c>
      <c r="U10" s="146" t="s">
        <v>280</v>
      </c>
      <c r="V10" s="146" t="s">
        <v>276</v>
      </c>
      <c r="W10" s="146" t="s">
        <v>287</v>
      </c>
      <c r="X10" s="146" t="s">
        <v>288</v>
      </c>
      <c r="Y10" s="146" t="s">
        <v>284</v>
      </c>
      <c r="Z10" s="146" t="s">
        <v>280</v>
      </c>
      <c r="AA10" s="146" t="s">
        <v>289</v>
      </c>
      <c r="AB10" s="146" t="s">
        <v>290</v>
      </c>
    </row>
    <row r="11" spans="1:28" hidden="1" x14ac:dyDescent="0.15">
      <c r="A11" s="110" t="s">
        <v>496</v>
      </c>
      <c r="B11" s="145">
        <v>8</v>
      </c>
      <c r="C11" s="146" t="s">
        <v>2</v>
      </c>
      <c r="D11" s="146" t="s">
        <v>0</v>
      </c>
      <c r="E11" s="146" t="s">
        <v>8</v>
      </c>
      <c r="F11" s="146" t="s">
        <v>5</v>
      </c>
      <c r="G11" s="146" t="s">
        <v>276</v>
      </c>
      <c r="H11" s="146" t="s">
        <v>196</v>
      </c>
      <c r="I11" s="146" t="s">
        <v>178</v>
      </c>
      <c r="J11" s="146" t="s">
        <v>179</v>
      </c>
      <c r="K11" s="146" t="s">
        <v>277</v>
      </c>
      <c r="L11" s="146" t="s">
        <v>277</v>
      </c>
      <c r="M11" s="146" t="s">
        <v>291</v>
      </c>
      <c r="N11" s="146" t="s">
        <v>276</v>
      </c>
      <c r="O11" s="146" t="s">
        <v>276</v>
      </c>
      <c r="P11" s="146" t="s">
        <v>276</v>
      </c>
      <c r="Q11" s="146" t="s">
        <v>276</v>
      </c>
      <c r="R11" s="146" t="s">
        <v>277</v>
      </c>
      <c r="S11" s="146" t="s">
        <v>280</v>
      </c>
      <c r="T11" s="146" t="s">
        <v>281</v>
      </c>
      <c r="U11" s="146" t="s">
        <v>281</v>
      </c>
      <c r="V11" s="146" t="s">
        <v>276</v>
      </c>
      <c r="W11" s="146" t="s">
        <v>276</v>
      </c>
      <c r="X11" s="146" t="s">
        <v>276</v>
      </c>
      <c r="Y11" s="146" t="s">
        <v>276</v>
      </c>
      <c r="Z11" s="146" t="s">
        <v>276</v>
      </c>
      <c r="AA11" s="146" t="s">
        <v>276</v>
      </c>
      <c r="AB11" s="146" t="s">
        <v>276</v>
      </c>
    </row>
    <row r="12" spans="1:28" hidden="1" x14ac:dyDescent="0.15">
      <c r="A12" s="110" t="s">
        <v>497</v>
      </c>
      <c r="B12" s="145">
        <v>9</v>
      </c>
      <c r="C12" s="146" t="s">
        <v>0</v>
      </c>
      <c r="D12" s="146" t="s">
        <v>3</v>
      </c>
      <c r="E12" s="146" t="s">
        <v>8</v>
      </c>
      <c r="F12" s="146" t="s">
        <v>5</v>
      </c>
      <c r="G12" s="146" t="s">
        <v>276</v>
      </c>
      <c r="H12" s="146" t="s">
        <v>197</v>
      </c>
      <c r="I12" s="146" t="s">
        <v>180</v>
      </c>
      <c r="J12" s="146" t="s">
        <v>181</v>
      </c>
      <c r="K12" s="146" t="s">
        <v>277</v>
      </c>
      <c r="L12" s="146" t="s">
        <v>291</v>
      </c>
      <c r="M12" s="146" t="s">
        <v>279</v>
      </c>
      <c r="N12" s="146" t="s">
        <v>276</v>
      </c>
      <c r="O12" s="146" t="s">
        <v>276</v>
      </c>
      <c r="P12" s="146" t="s">
        <v>276</v>
      </c>
      <c r="Q12" s="146" t="s">
        <v>276</v>
      </c>
      <c r="R12" s="146" t="s">
        <v>291</v>
      </c>
      <c r="S12" s="146" t="s">
        <v>280</v>
      </c>
      <c r="T12" s="146" t="s">
        <v>281</v>
      </c>
      <c r="U12" s="146" t="s">
        <v>281</v>
      </c>
      <c r="V12" s="146" t="s">
        <v>282</v>
      </c>
      <c r="W12" s="146" t="s">
        <v>283</v>
      </c>
      <c r="X12" s="146" t="s">
        <v>281</v>
      </c>
      <c r="Y12" s="146" t="s">
        <v>292</v>
      </c>
      <c r="Z12" s="146" t="s">
        <v>280</v>
      </c>
      <c r="AA12" s="146" t="s">
        <v>285</v>
      </c>
      <c r="AB12" s="146" t="s">
        <v>286</v>
      </c>
    </row>
    <row r="13" spans="1:28" hidden="1" x14ac:dyDescent="0.15">
      <c r="A13" s="110" t="s">
        <v>497</v>
      </c>
      <c r="B13" s="145">
        <v>10</v>
      </c>
      <c r="C13" s="146" t="s">
        <v>0</v>
      </c>
      <c r="D13" s="146" t="s">
        <v>3</v>
      </c>
      <c r="E13" s="146" t="s">
        <v>8</v>
      </c>
      <c r="F13" s="146" t="s">
        <v>5</v>
      </c>
      <c r="G13" s="146" t="s">
        <v>276</v>
      </c>
      <c r="H13" s="146" t="s">
        <v>198</v>
      </c>
      <c r="I13" s="146" t="s">
        <v>182</v>
      </c>
      <c r="J13" s="146" t="s">
        <v>183</v>
      </c>
      <c r="K13" s="146" t="s">
        <v>277</v>
      </c>
      <c r="L13" s="146" t="s">
        <v>291</v>
      </c>
      <c r="M13" s="146" t="s">
        <v>277</v>
      </c>
      <c r="N13" s="146" t="s">
        <v>276</v>
      </c>
      <c r="O13" s="146" t="s">
        <v>276</v>
      </c>
      <c r="P13" s="146" t="s">
        <v>276</v>
      </c>
      <c r="Q13" s="146" t="s">
        <v>276</v>
      </c>
      <c r="R13" s="146" t="s">
        <v>291</v>
      </c>
      <c r="S13" s="146" t="s">
        <v>280</v>
      </c>
      <c r="T13" s="146" t="s">
        <v>281</v>
      </c>
      <c r="U13" s="146" t="s">
        <v>281</v>
      </c>
      <c r="V13" s="146" t="s">
        <v>282</v>
      </c>
      <c r="W13" s="146" t="s">
        <v>283</v>
      </c>
      <c r="X13" s="146" t="s">
        <v>281</v>
      </c>
      <c r="Y13" s="146" t="s">
        <v>292</v>
      </c>
      <c r="Z13" s="146" t="s">
        <v>280</v>
      </c>
      <c r="AA13" s="146" t="s">
        <v>285</v>
      </c>
      <c r="AB13" s="146" t="s">
        <v>286</v>
      </c>
    </row>
    <row r="14" spans="1:28" hidden="1" x14ac:dyDescent="0.15">
      <c r="A14" s="110" t="s">
        <v>496</v>
      </c>
      <c r="B14" s="145">
        <v>11</v>
      </c>
      <c r="C14" s="146" t="s">
        <v>0</v>
      </c>
      <c r="D14" s="146" t="s">
        <v>3</v>
      </c>
      <c r="E14" s="146" t="s">
        <v>8</v>
      </c>
      <c r="F14" s="146" t="s">
        <v>5</v>
      </c>
      <c r="G14" s="146" t="s">
        <v>276</v>
      </c>
      <c r="H14" s="146" t="s">
        <v>199</v>
      </c>
      <c r="I14" s="146" t="s">
        <v>184</v>
      </c>
      <c r="J14" s="146" t="s">
        <v>185</v>
      </c>
      <c r="K14" s="146" t="s">
        <v>277</v>
      </c>
      <c r="L14" s="146" t="s">
        <v>293</v>
      </c>
      <c r="M14" s="146" t="s">
        <v>291</v>
      </c>
      <c r="N14" s="146" t="s">
        <v>276</v>
      </c>
      <c r="O14" s="146" t="s">
        <v>276</v>
      </c>
      <c r="P14" s="146" t="s">
        <v>276</v>
      </c>
      <c r="Q14" s="146" t="s">
        <v>276</v>
      </c>
      <c r="R14" s="146" t="s">
        <v>293</v>
      </c>
      <c r="S14" s="146" t="s">
        <v>280</v>
      </c>
      <c r="T14" s="146" t="s">
        <v>281</v>
      </c>
      <c r="U14" s="146" t="s">
        <v>281</v>
      </c>
      <c r="V14" s="146" t="s">
        <v>276</v>
      </c>
      <c r="W14" s="146" t="s">
        <v>276</v>
      </c>
      <c r="X14" s="146" t="s">
        <v>276</v>
      </c>
      <c r="Y14" s="146" t="s">
        <v>276</v>
      </c>
      <c r="Z14" s="146" t="s">
        <v>276</v>
      </c>
      <c r="AA14" s="146" t="s">
        <v>276</v>
      </c>
      <c r="AB14" s="146" t="s">
        <v>276</v>
      </c>
    </row>
    <row r="15" spans="1:28" hidden="1" x14ac:dyDescent="0.15">
      <c r="A15" s="110" t="s">
        <v>497</v>
      </c>
      <c r="B15" s="145">
        <v>12</v>
      </c>
      <c r="C15" s="146" t="s">
        <v>0</v>
      </c>
      <c r="D15" s="146" t="s">
        <v>2</v>
      </c>
      <c r="E15" s="146" t="s">
        <v>8</v>
      </c>
      <c r="F15" s="146" t="s">
        <v>5</v>
      </c>
      <c r="G15" s="146" t="s">
        <v>276</v>
      </c>
      <c r="H15" s="146" t="s">
        <v>200</v>
      </c>
      <c r="I15" s="146" t="s">
        <v>186</v>
      </c>
      <c r="J15" s="146" t="s">
        <v>187</v>
      </c>
      <c r="K15" s="146" t="s">
        <v>277</v>
      </c>
      <c r="L15" s="146" t="s">
        <v>291</v>
      </c>
      <c r="M15" s="146" t="s">
        <v>279</v>
      </c>
      <c r="N15" s="146" t="s">
        <v>276</v>
      </c>
      <c r="O15" s="146" t="s">
        <v>276</v>
      </c>
      <c r="P15" s="146" t="s">
        <v>276</v>
      </c>
      <c r="Q15" s="146" t="s">
        <v>276</v>
      </c>
      <c r="R15" s="146" t="s">
        <v>291</v>
      </c>
      <c r="S15" s="146" t="s">
        <v>280</v>
      </c>
      <c r="T15" s="146" t="s">
        <v>281</v>
      </c>
      <c r="U15" s="146" t="s">
        <v>281</v>
      </c>
      <c r="V15" s="146" t="s">
        <v>282</v>
      </c>
      <c r="W15" s="146" t="s">
        <v>283</v>
      </c>
      <c r="X15" s="146" t="s">
        <v>281</v>
      </c>
      <c r="Y15" s="146" t="s">
        <v>292</v>
      </c>
      <c r="Z15" s="146" t="s">
        <v>280</v>
      </c>
      <c r="AA15" s="146" t="s">
        <v>285</v>
      </c>
      <c r="AB15" s="146" t="s">
        <v>286</v>
      </c>
    </row>
    <row r="16" spans="1:28" hidden="1" x14ac:dyDescent="0.15">
      <c r="A16" s="110" t="s">
        <v>497</v>
      </c>
      <c r="B16" s="145">
        <v>13</v>
      </c>
      <c r="C16" s="146" t="s">
        <v>0</v>
      </c>
      <c r="D16" s="146" t="s">
        <v>0</v>
      </c>
      <c r="E16" s="146" t="s">
        <v>8</v>
      </c>
      <c r="F16" s="146" t="s">
        <v>5</v>
      </c>
      <c r="G16" s="146" t="s">
        <v>276</v>
      </c>
      <c r="H16" s="146" t="s">
        <v>201</v>
      </c>
      <c r="I16" s="146" t="s">
        <v>9</v>
      </c>
      <c r="J16" s="146" t="s">
        <v>10</v>
      </c>
      <c r="K16" s="146" t="s">
        <v>277</v>
      </c>
      <c r="L16" s="146" t="s">
        <v>291</v>
      </c>
      <c r="M16" s="146" t="s">
        <v>279</v>
      </c>
      <c r="N16" s="146" t="s">
        <v>276</v>
      </c>
      <c r="O16" s="146" t="s">
        <v>276</v>
      </c>
      <c r="P16" s="146" t="s">
        <v>276</v>
      </c>
      <c r="Q16" s="146" t="s">
        <v>276</v>
      </c>
      <c r="R16" s="146" t="s">
        <v>291</v>
      </c>
      <c r="S16" s="146" t="s">
        <v>280</v>
      </c>
      <c r="T16" s="146" t="s">
        <v>281</v>
      </c>
      <c r="U16" s="146" t="s">
        <v>281</v>
      </c>
      <c r="V16" s="146" t="s">
        <v>282</v>
      </c>
      <c r="W16" s="146" t="s">
        <v>283</v>
      </c>
      <c r="X16" s="146" t="s">
        <v>281</v>
      </c>
      <c r="Y16" s="146" t="s">
        <v>292</v>
      </c>
      <c r="Z16" s="146" t="s">
        <v>280</v>
      </c>
      <c r="AA16" s="146" t="s">
        <v>285</v>
      </c>
      <c r="AB16" s="146" t="s">
        <v>286</v>
      </c>
    </row>
    <row r="17" spans="1:28" hidden="1" x14ac:dyDescent="0.15">
      <c r="A17" s="110" t="s">
        <v>492</v>
      </c>
      <c r="B17" s="145">
        <v>14</v>
      </c>
      <c r="C17" s="146" t="s">
        <v>3</v>
      </c>
      <c r="D17" s="146" t="s">
        <v>3</v>
      </c>
      <c r="E17" s="146" t="s">
        <v>8</v>
      </c>
      <c r="F17" s="146" t="s">
        <v>294</v>
      </c>
      <c r="G17" s="146" t="s">
        <v>276</v>
      </c>
      <c r="H17" s="146" t="s">
        <v>189</v>
      </c>
      <c r="I17" s="146" t="s">
        <v>11</v>
      </c>
      <c r="J17" s="146" t="s">
        <v>12</v>
      </c>
      <c r="K17" s="146" t="s">
        <v>277</v>
      </c>
      <c r="L17" s="146" t="s">
        <v>279</v>
      </c>
      <c r="M17" s="146" t="s">
        <v>295</v>
      </c>
      <c r="N17" s="146" t="s">
        <v>276</v>
      </c>
      <c r="O17" s="146" t="s">
        <v>276</v>
      </c>
      <c r="P17" s="146" t="s">
        <v>276</v>
      </c>
      <c r="Q17" s="146" t="s">
        <v>276</v>
      </c>
      <c r="R17" s="146" t="s">
        <v>296</v>
      </c>
      <c r="S17" s="146" t="s">
        <v>280</v>
      </c>
      <c r="T17" s="146" t="s">
        <v>281</v>
      </c>
      <c r="U17" s="146" t="s">
        <v>281</v>
      </c>
      <c r="V17" s="146" t="s">
        <v>282</v>
      </c>
      <c r="W17" s="146" t="s">
        <v>283</v>
      </c>
      <c r="X17" s="146" t="s">
        <v>281</v>
      </c>
      <c r="Y17" s="146" t="s">
        <v>297</v>
      </c>
      <c r="Z17" s="146" t="s">
        <v>280</v>
      </c>
      <c r="AA17" s="146" t="s">
        <v>285</v>
      </c>
      <c r="AB17" s="146" t="s">
        <v>286</v>
      </c>
    </row>
    <row r="18" spans="1:28" hidden="1" x14ac:dyDescent="0.15">
      <c r="A18" s="110" t="s">
        <v>497</v>
      </c>
      <c r="B18" s="145">
        <v>15</v>
      </c>
      <c r="C18" s="146" t="s">
        <v>2</v>
      </c>
      <c r="D18" s="146" t="s">
        <v>3</v>
      </c>
      <c r="E18" s="146" t="s">
        <v>8</v>
      </c>
      <c r="F18" s="146" t="s">
        <v>294</v>
      </c>
      <c r="G18" s="146" t="s">
        <v>276</v>
      </c>
      <c r="H18" s="146" t="s">
        <v>202</v>
      </c>
      <c r="I18" s="146" t="s">
        <v>13</v>
      </c>
      <c r="J18" s="146" t="s">
        <v>14</v>
      </c>
      <c r="K18" s="146" t="s">
        <v>277</v>
      </c>
      <c r="L18" s="146" t="s">
        <v>277</v>
      </c>
      <c r="M18" s="146" t="s">
        <v>295</v>
      </c>
      <c r="N18" s="146" t="s">
        <v>276</v>
      </c>
      <c r="O18" s="146" t="s">
        <v>276</v>
      </c>
      <c r="P18" s="146" t="s">
        <v>276</v>
      </c>
      <c r="Q18" s="146" t="s">
        <v>276</v>
      </c>
      <c r="R18" s="146" t="s">
        <v>277</v>
      </c>
      <c r="S18" s="146" t="s">
        <v>280</v>
      </c>
      <c r="T18" s="146" t="s">
        <v>281</v>
      </c>
      <c r="U18" s="146" t="s">
        <v>281</v>
      </c>
      <c r="V18" s="146" t="s">
        <v>282</v>
      </c>
      <c r="W18" s="146" t="s">
        <v>283</v>
      </c>
      <c r="X18" s="146" t="s">
        <v>281</v>
      </c>
      <c r="Y18" s="146" t="s">
        <v>281</v>
      </c>
      <c r="Z18" s="146" t="s">
        <v>280</v>
      </c>
      <c r="AA18" s="146" t="s">
        <v>285</v>
      </c>
      <c r="AB18" s="146" t="s">
        <v>286</v>
      </c>
    </row>
    <row r="19" spans="1:28" hidden="1" x14ac:dyDescent="0.15">
      <c r="A19" s="110" t="s">
        <v>497</v>
      </c>
      <c r="B19" s="145">
        <v>16</v>
      </c>
      <c r="C19" s="146" t="s">
        <v>0</v>
      </c>
      <c r="D19" s="146" t="s">
        <v>3</v>
      </c>
      <c r="E19" s="146" t="s">
        <v>8</v>
      </c>
      <c r="F19" s="146" t="s">
        <v>294</v>
      </c>
      <c r="G19" s="146" t="s">
        <v>276</v>
      </c>
      <c r="H19" s="146" t="s">
        <v>197</v>
      </c>
      <c r="I19" s="146" t="s">
        <v>15</v>
      </c>
      <c r="J19" s="146" t="s">
        <v>16</v>
      </c>
      <c r="K19" s="146" t="s">
        <v>277</v>
      </c>
      <c r="L19" s="146" t="s">
        <v>291</v>
      </c>
      <c r="M19" s="146" t="s">
        <v>295</v>
      </c>
      <c r="N19" s="146" t="s">
        <v>276</v>
      </c>
      <c r="O19" s="146" t="s">
        <v>276</v>
      </c>
      <c r="P19" s="146" t="s">
        <v>276</v>
      </c>
      <c r="Q19" s="146" t="s">
        <v>276</v>
      </c>
      <c r="R19" s="146" t="s">
        <v>291</v>
      </c>
      <c r="S19" s="146" t="s">
        <v>280</v>
      </c>
      <c r="T19" s="146" t="s">
        <v>281</v>
      </c>
      <c r="U19" s="146" t="s">
        <v>281</v>
      </c>
      <c r="V19" s="146" t="s">
        <v>282</v>
      </c>
      <c r="W19" s="146" t="s">
        <v>283</v>
      </c>
      <c r="X19" s="146" t="s">
        <v>281</v>
      </c>
      <c r="Y19" s="146" t="s">
        <v>292</v>
      </c>
      <c r="Z19" s="146" t="s">
        <v>280</v>
      </c>
      <c r="AA19" s="146" t="s">
        <v>285</v>
      </c>
      <c r="AB19" s="146" t="s">
        <v>286</v>
      </c>
    </row>
    <row r="20" spans="1:28" hidden="1" x14ac:dyDescent="0.15">
      <c r="A20" s="110" t="s">
        <v>492</v>
      </c>
      <c r="B20" s="145">
        <v>17</v>
      </c>
      <c r="C20" s="146" t="s">
        <v>3</v>
      </c>
      <c r="D20" s="146" t="s">
        <v>3</v>
      </c>
      <c r="E20" s="146" t="s">
        <v>8</v>
      </c>
      <c r="F20" s="146" t="s">
        <v>298</v>
      </c>
      <c r="G20" s="146" t="s">
        <v>276</v>
      </c>
      <c r="H20" s="146" t="s">
        <v>189</v>
      </c>
      <c r="I20" s="146" t="s">
        <v>17</v>
      </c>
      <c r="J20" s="146" t="s">
        <v>18</v>
      </c>
      <c r="K20" s="146" t="s">
        <v>277</v>
      </c>
      <c r="L20" s="146" t="s">
        <v>279</v>
      </c>
      <c r="M20" s="146" t="s">
        <v>284</v>
      </c>
      <c r="N20" s="146" t="s">
        <v>276</v>
      </c>
      <c r="O20" s="146" t="s">
        <v>276</v>
      </c>
      <c r="P20" s="146" t="s">
        <v>276</v>
      </c>
      <c r="Q20" s="146" t="s">
        <v>276</v>
      </c>
      <c r="R20" s="146" t="s">
        <v>279</v>
      </c>
      <c r="S20" s="146" t="s">
        <v>280</v>
      </c>
      <c r="T20" s="146" t="s">
        <v>281</v>
      </c>
      <c r="U20" s="146" t="s">
        <v>281</v>
      </c>
      <c r="V20" s="146" t="s">
        <v>282</v>
      </c>
      <c r="W20" s="146" t="s">
        <v>283</v>
      </c>
      <c r="X20" s="146" t="s">
        <v>281</v>
      </c>
      <c r="Y20" s="146" t="s">
        <v>284</v>
      </c>
      <c r="Z20" s="146" t="s">
        <v>280</v>
      </c>
      <c r="AA20" s="146" t="s">
        <v>285</v>
      </c>
      <c r="AB20" s="146" t="s">
        <v>286</v>
      </c>
    </row>
    <row r="21" spans="1:28" hidden="1" x14ac:dyDescent="0.15">
      <c r="A21" s="110" t="s">
        <v>497</v>
      </c>
      <c r="B21" s="145">
        <v>18</v>
      </c>
      <c r="C21" s="146" t="s">
        <v>2</v>
      </c>
      <c r="D21" s="146" t="s">
        <v>3</v>
      </c>
      <c r="E21" s="146" t="s">
        <v>8</v>
      </c>
      <c r="F21" s="146" t="s">
        <v>298</v>
      </c>
      <c r="G21" s="146" t="s">
        <v>276</v>
      </c>
      <c r="H21" s="146" t="s">
        <v>202</v>
      </c>
      <c r="I21" s="146" t="s">
        <v>19</v>
      </c>
      <c r="J21" s="146" t="s">
        <v>20</v>
      </c>
      <c r="K21" s="146" t="s">
        <v>277</v>
      </c>
      <c r="L21" s="146" t="s">
        <v>277</v>
      </c>
      <c r="M21" s="146" t="s">
        <v>284</v>
      </c>
      <c r="N21" s="146" t="s">
        <v>276</v>
      </c>
      <c r="O21" s="146" t="s">
        <v>276</v>
      </c>
      <c r="P21" s="146" t="s">
        <v>276</v>
      </c>
      <c r="Q21" s="146" t="s">
        <v>276</v>
      </c>
      <c r="R21" s="146" t="s">
        <v>277</v>
      </c>
      <c r="S21" s="146" t="s">
        <v>280</v>
      </c>
      <c r="T21" s="146" t="s">
        <v>281</v>
      </c>
      <c r="U21" s="146" t="s">
        <v>281</v>
      </c>
      <c r="V21" s="146" t="s">
        <v>282</v>
      </c>
      <c r="W21" s="146" t="s">
        <v>283</v>
      </c>
      <c r="X21" s="146" t="s">
        <v>281</v>
      </c>
      <c r="Y21" s="146" t="s">
        <v>281</v>
      </c>
      <c r="Z21" s="146" t="s">
        <v>280</v>
      </c>
      <c r="AA21" s="146" t="s">
        <v>285</v>
      </c>
      <c r="AB21" s="146" t="s">
        <v>286</v>
      </c>
    </row>
    <row r="22" spans="1:28" hidden="1" x14ac:dyDescent="0.15">
      <c r="A22" s="110" t="s">
        <v>497</v>
      </c>
      <c r="B22" s="145">
        <v>19</v>
      </c>
      <c r="C22" s="146" t="s">
        <v>0</v>
      </c>
      <c r="D22" s="146" t="s">
        <v>3</v>
      </c>
      <c r="E22" s="146" t="s">
        <v>8</v>
      </c>
      <c r="F22" s="146" t="s">
        <v>298</v>
      </c>
      <c r="G22" s="146" t="s">
        <v>276</v>
      </c>
      <c r="H22" s="146" t="s">
        <v>197</v>
      </c>
      <c r="I22" s="146" t="s">
        <v>21</v>
      </c>
      <c r="J22" s="146" t="s">
        <v>22</v>
      </c>
      <c r="K22" s="146" t="s">
        <v>277</v>
      </c>
      <c r="L22" s="146" t="s">
        <v>291</v>
      </c>
      <c r="M22" s="146" t="s">
        <v>284</v>
      </c>
      <c r="N22" s="146" t="s">
        <v>276</v>
      </c>
      <c r="O22" s="146" t="s">
        <v>276</v>
      </c>
      <c r="P22" s="146" t="s">
        <v>276</v>
      </c>
      <c r="Q22" s="146" t="s">
        <v>276</v>
      </c>
      <c r="R22" s="146" t="s">
        <v>291</v>
      </c>
      <c r="S22" s="146" t="s">
        <v>280</v>
      </c>
      <c r="T22" s="146" t="s">
        <v>281</v>
      </c>
      <c r="U22" s="146" t="s">
        <v>281</v>
      </c>
      <c r="V22" s="146" t="s">
        <v>282</v>
      </c>
      <c r="W22" s="146" t="s">
        <v>283</v>
      </c>
      <c r="X22" s="146" t="s">
        <v>281</v>
      </c>
      <c r="Y22" s="146" t="s">
        <v>292</v>
      </c>
      <c r="Z22" s="146" t="s">
        <v>280</v>
      </c>
      <c r="AA22" s="146" t="s">
        <v>285</v>
      </c>
      <c r="AB22" s="146" t="s">
        <v>286</v>
      </c>
    </row>
    <row r="23" spans="1:28" hidden="1" x14ac:dyDescent="0.15">
      <c r="A23" s="110" t="s">
        <v>498</v>
      </c>
      <c r="B23" s="145">
        <v>20</v>
      </c>
      <c r="C23" s="146" t="s">
        <v>3</v>
      </c>
      <c r="D23" s="146" t="s">
        <v>3</v>
      </c>
      <c r="E23" s="146" t="s">
        <v>8</v>
      </c>
      <c r="F23" s="146" t="s">
        <v>4</v>
      </c>
      <c r="G23" s="146" t="s">
        <v>276</v>
      </c>
      <c r="H23" s="146" t="s">
        <v>189</v>
      </c>
      <c r="I23" s="146" t="s">
        <v>23</v>
      </c>
      <c r="J23" s="146" t="s">
        <v>24</v>
      </c>
      <c r="K23" s="146" t="s">
        <v>277</v>
      </c>
      <c r="L23" s="146" t="s">
        <v>279</v>
      </c>
      <c r="M23" s="146" t="s">
        <v>278</v>
      </c>
      <c r="N23" s="146" t="s">
        <v>276</v>
      </c>
      <c r="O23" s="146" t="s">
        <v>276</v>
      </c>
      <c r="P23" s="146" t="s">
        <v>276</v>
      </c>
      <c r="Q23" s="146" t="s">
        <v>276</v>
      </c>
      <c r="R23" s="146" t="s">
        <v>279</v>
      </c>
      <c r="S23" s="146" t="s">
        <v>280</v>
      </c>
      <c r="T23" s="146" t="s">
        <v>281</v>
      </c>
      <c r="U23" s="146" t="s">
        <v>281</v>
      </c>
      <c r="V23" s="146" t="s">
        <v>299</v>
      </c>
      <c r="W23" s="146" t="s">
        <v>300</v>
      </c>
      <c r="X23" s="146" t="s">
        <v>281</v>
      </c>
      <c r="Y23" s="146" t="s">
        <v>284</v>
      </c>
      <c r="Z23" s="146" t="s">
        <v>280</v>
      </c>
      <c r="AA23" s="146" t="s">
        <v>261</v>
      </c>
      <c r="AB23" s="146" t="s">
        <v>286</v>
      </c>
    </row>
    <row r="24" spans="1:28" hidden="1" x14ac:dyDescent="0.15">
      <c r="A24" s="110" t="s">
        <v>499</v>
      </c>
      <c r="B24" s="145">
        <v>21</v>
      </c>
      <c r="C24" s="146" t="s">
        <v>3</v>
      </c>
      <c r="D24" s="146" t="s">
        <v>2</v>
      </c>
      <c r="E24" s="146" t="s">
        <v>8</v>
      </c>
      <c r="F24" s="146" t="s">
        <v>4</v>
      </c>
      <c r="G24" s="146" t="s">
        <v>276</v>
      </c>
      <c r="H24" s="146" t="s">
        <v>190</v>
      </c>
      <c r="I24" s="146" t="s">
        <v>25</v>
      </c>
      <c r="J24" s="146" t="s">
        <v>26</v>
      </c>
      <c r="K24" s="146" t="s">
        <v>277</v>
      </c>
      <c r="L24" s="146" t="s">
        <v>279</v>
      </c>
      <c r="M24" s="146" t="s">
        <v>279</v>
      </c>
      <c r="N24" s="146" t="s">
        <v>276</v>
      </c>
      <c r="O24" s="146" t="s">
        <v>276</v>
      </c>
      <c r="P24" s="146" t="s">
        <v>276</v>
      </c>
      <c r="Q24" s="146" t="s">
        <v>276</v>
      </c>
      <c r="R24" s="146" t="s">
        <v>279</v>
      </c>
      <c r="S24" s="146" t="s">
        <v>280</v>
      </c>
      <c r="T24" s="146" t="s">
        <v>281</v>
      </c>
      <c r="U24" s="146" t="s">
        <v>281</v>
      </c>
      <c r="V24" s="146" t="s">
        <v>299</v>
      </c>
      <c r="W24" s="146" t="s">
        <v>300</v>
      </c>
      <c r="X24" s="146" t="s">
        <v>281</v>
      </c>
      <c r="Y24" s="146" t="s">
        <v>284</v>
      </c>
      <c r="Z24" s="146" t="s">
        <v>280</v>
      </c>
      <c r="AA24" s="146" t="s">
        <v>261</v>
      </c>
      <c r="AB24" s="146" t="s">
        <v>286</v>
      </c>
    </row>
    <row r="25" spans="1:28" hidden="1" x14ac:dyDescent="0.15">
      <c r="A25" s="110" t="s">
        <v>500</v>
      </c>
      <c r="B25" s="145">
        <v>22</v>
      </c>
      <c r="C25" s="146" t="s">
        <v>3</v>
      </c>
      <c r="D25" s="146" t="s">
        <v>0</v>
      </c>
      <c r="E25" s="146" t="s">
        <v>8</v>
      </c>
      <c r="F25" s="146" t="s">
        <v>4</v>
      </c>
      <c r="G25" s="146" t="s">
        <v>276</v>
      </c>
      <c r="H25" s="146" t="s">
        <v>191</v>
      </c>
      <c r="I25" s="146" t="s">
        <v>27</v>
      </c>
      <c r="J25" s="146" t="s">
        <v>28</v>
      </c>
      <c r="K25" s="146" t="s">
        <v>277</v>
      </c>
      <c r="L25" s="146" t="s">
        <v>278</v>
      </c>
      <c r="M25" s="146" t="s">
        <v>279</v>
      </c>
      <c r="N25" s="146" t="s">
        <v>276</v>
      </c>
      <c r="O25" s="146" t="s">
        <v>276</v>
      </c>
      <c r="P25" s="146" t="s">
        <v>276</v>
      </c>
      <c r="Q25" s="146" t="s">
        <v>276</v>
      </c>
      <c r="R25" s="146" t="s">
        <v>278</v>
      </c>
      <c r="S25" s="146" t="s">
        <v>280</v>
      </c>
      <c r="T25" s="146" t="s">
        <v>284</v>
      </c>
      <c r="U25" s="146" t="s">
        <v>280</v>
      </c>
      <c r="V25" s="146" t="s">
        <v>276</v>
      </c>
      <c r="W25" s="146" t="s">
        <v>287</v>
      </c>
      <c r="X25" s="146" t="s">
        <v>288</v>
      </c>
      <c r="Y25" s="146" t="s">
        <v>284</v>
      </c>
      <c r="Z25" s="146" t="s">
        <v>280</v>
      </c>
      <c r="AA25" s="146" t="s">
        <v>289</v>
      </c>
      <c r="AB25" s="146" t="s">
        <v>290</v>
      </c>
    </row>
    <row r="26" spans="1:28" hidden="1" x14ac:dyDescent="0.15">
      <c r="A26" s="110" t="s">
        <v>500</v>
      </c>
      <c r="B26" s="145">
        <v>22</v>
      </c>
      <c r="C26" s="146" t="s">
        <v>3</v>
      </c>
      <c r="D26" s="146" t="s">
        <v>0</v>
      </c>
      <c r="E26" s="146" t="s">
        <v>8</v>
      </c>
      <c r="F26" s="146" t="s">
        <v>4</v>
      </c>
      <c r="G26" s="146" t="s">
        <v>276</v>
      </c>
      <c r="H26" s="146" t="s">
        <v>191</v>
      </c>
      <c r="I26" s="146" t="s">
        <v>27</v>
      </c>
      <c r="J26" s="146" t="s">
        <v>28</v>
      </c>
      <c r="K26" s="146" t="s">
        <v>277</v>
      </c>
      <c r="L26" s="146" t="s">
        <v>278</v>
      </c>
      <c r="M26" s="146" t="s">
        <v>279</v>
      </c>
      <c r="N26" s="146" t="s">
        <v>276</v>
      </c>
      <c r="O26" s="146" t="s">
        <v>276</v>
      </c>
      <c r="P26" s="146" t="s">
        <v>276</v>
      </c>
      <c r="Q26" s="146" t="s">
        <v>276</v>
      </c>
      <c r="R26" s="146" t="s">
        <v>278</v>
      </c>
      <c r="S26" s="146" t="s">
        <v>280</v>
      </c>
      <c r="T26" s="146" t="s">
        <v>284</v>
      </c>
      <c r="U26" s="146" t="s">
        <v>280</v>
      </c>
      <c r="V26" s="146" t="s">
        <v>299</v>
      </c>
      <c r="W26" s="146" t="s">
        <v>300</v>
      </c>
      <c r="X26" s="146" t="s">
        <v>281</v>
      </c>
      <c r="Y26" s="146" t="s">
        <v>284</v>
      </c>
      <c r="Z26" s="146" t="s">
        <v>280</v>
      </c>
      <c r="AA26" s="146" t="s">
        <v>261</v>
      </c>
      <c r="AB26" s="146" t="s">
        <v>286</v>
      </c>
    </row>
    <row r="27" spans="1:28" hidden="1" x14ac:dyDescent="0.15">
      <c r="A27" s="110" t="s">
        <v>500</v>
      </c>
      <c r="B27" s="145">
        <v>23</v>
      </c>
      <c r="C27" s="146" t="s">
        <v>3</v>
      </c>
      <c r="D27" s="146" t="s">
        <v>0</v>
      </c>
      <c r="E27" s="146" t="s">
        <v>8</v>
      </c>
      <c r="F27" s="146" t="s">
        <v>4</v>
      </c>
      <c r="G27" s="146" t="s">
        <v>276</v>
      </c>
      <c r="H27" s="146" t="s">
        <v>192</v>
      </c>
      <c r="I27" s="146" t="s">
        <v>29</v>
      </c>
      <c r="J27" s="146" t="s">
        <v>30</v>
      </c>
      <c r="K27" s="146" t="s">
        <v>277</v>
      </c>
      <c r="L27" s="146" t="s">
        <v>279</v>
      </c>
      <c r="M27" s="146" t="s">
        <v>277</v>
      </c>
      <c r="N27" s="146" t="s">
        <v>276</v>
      </c>
      <c r="O27" s="146" t="s">
        <v>276</v>
      </c>
      <c r="P27" s="146" t="s">
        <v>276</v>
      </c>
      <c r="Q27" s="146" t="s">
        <v>276</v>
      </c>
      <c r="R27" s="146" t="s">
        <v>279</v>
      </c>
      <c r="S27" s="146" t="s">
        <v>280</v>
      </c>
      <c r="T27" s="146" t="s">
        <v>284</v>
      </c>
      <c r="U27" s="146" t="s">
        <v>280</v>
      </c>
      <c r="V27" s="146" t="s">
        <v>299</v>
      </c>
      <c r="W27" s="146" t="s">
        <v>300</v>
      </c>
      <c r="X27" s="146" t="s">
        <v>281</v>
      </c>
      <c r="Y27" s="146" t="s">
        <v>281</v>
      </c>
      <c r="Z27" s="146" t="s">
        <v>280</v>
      </c>
      <c r="AA27" s="146" t="s">
        <v>261</v>
      </c>
      <c r="AB27" s="146" t="s">
        <v>286</v>
      </c>
    </row>
    <row r="28" spans="1:28" hidden="1" x14ac:dyDescent="0.15">
      <c r="A28" s="110" t="s">
        <v>500</v>
      </c>
      <c r="B28" s="145">
        <v>23</v>
      </c>
      <c r="C28" s="146" t="s">
        <v>3</v>
      </c>
      <c r="D28" s="146" t="s">
        <v>0</v>
      </c>
      <c r="E28" s="146" t="s">
        <v>8</v>
      </c>
      <c r="F28" s="146" t="s">
        <v>4</v>
      </c>
      <c r="G28" s="146" t="s">
        <v>276</v>
      </c>
      <c r="H28" s="146" t="s">
        <v>192</v>
      </c>
      <c r="I28" s="146" t="s">
        <v>29</v>
      </c>
      <c r="J28" s="146" t="s">
        <v>30</v>
      </c>
      <c r="K28" s="146" t="s">
        <v>277</v>
      </c>
      <c r="L28" s="146" t="s">
        <v>279</v>
      </c>
      <c r="M28" s="146" t="s">
        <v>277</v>
      </c>
      <c r="N28" s="146" t="s">
        <v>276</v>
      </c>
      <c r="O28" s="146" t="s">
        <v>276</v>
      </c>
      <c r="P28" s="146" t="s">
        <v>276</v>
      </c>
      <c r="Q28" s="146" t="s">
        <v>276</v>
      </c>
      <c r="R28" s="146" t="s">
        <v>279</v>
      </c>
      <c r="S28" s="146" t="s">
        <v>280</v>
      </c>
      <c r="T28" s="146" t="s">
        <v>284</v>
      </c>
      <c r="U28" s="146" t="s">
        <v>280</v>
      </c>
      <c r="V28" s="146" t="s">
        <v>276</v>
      </c>
      <c r="W28" s="146" t="s">
        <v>287</v>
      </c>
      <c r="X28" s="146" t="s">
        <v>288</v>
      </c>
      <c r="Y28" s="146" t="s">
        <v>284</v>
      </c>
      <c r="Z28" s="146" t="s">
        <v>280</v>
      </c>
      <c r="AA28" s="146" t="s">
        <v>289</v>
      </c>
      <c r="AB28" s="146" t="s">
        <v>290</v>
      </c>
    </row>
    <row r="29" spans="1:28" hidden="1" x14ac:dyDescent="0.15">
      <c r="A29" s="110" t="s">
        <v>501</v>
      </c>
      <c r="B29" s="145">
        <v>24</v>
      </c>
      <c r="C29" s="146" t="s">
        <v>3</v>
      </c>
      <c r="D29" s="146" t="s">
        <v>0</v>
      </c>
      <c r="E29" s="146" t="s">
        <v>8</v>
      </c>
      <c r="F29" s="146" t="s">
        <v>4</v>
      </c>
      <c r="G29" s="146" t="s">
        <v>276</v>
      </c>
      <c r="H29" s="146" t="s">
        <v>193</v>
      </c>
      <c r="I29" s="146" t="s">
        <v>31</v>
      </c>
      <c r="J29" s="146" t="s">
        <v>32</v>
      </c>
      <c r="K29" s="146" t="s">
        <v>277</v>
      </c>
      <c r="L29" s="146" t="s">
        <v>279</v>
      </c>
      <c r="M29" s="146" t="s">
        <v>291</v>
      </c>
      <c r="N29" s="146" t="s">
        <v>276</v>
      </c>
      <c r="O29" s="146" t="s">
        <v>276</v>
      </c>
      <c r="P29" s="146" t="s">
        <v>276</v>
      </c>
      <c r="Q29" s="146" t="s">
        <v>276</v>
      </c>
      <c r="R29" s="146" t="s">
        <v>279</v>
      </c>
      <c r="S29" s="146" t="s">
        <v>280</v>
      </c>
      <c r="T29" s="146" t="s">
        <v>284</v>
      </c>
      <c r="U29" s="146" t="s">
        <v>280</v>
      </c>
      <c r="V29" s="146" t="s">
        <v>276</v>
      </c>
      <c r="W29" s="146" t="s">
        <v>287</v>
      </c>
      <c r="X29" s="146" t="s">
        <v>288</v>
      </c>
      <c r="Y29" s="146" t="s">
        <v>284</v>
      </c>
      <c r="Z29" s="146" t="s">
        <v>280</v>
      </c>
      <c r="AA29" s="146" t="s">
        <v>289</v>
      </c>
      <c r="AB29" s="146" t="s">
        <v>290</v>
      </c>
    </row>
    <row r="30" spans="1:28" hidden="1" x14ac:dyDescent="0.15">
      <c r="A30" s="110" t="s">
        <v>499</v>
      </c>
      <c r="B30" s="145">
        <v>25</v>
      </c>
      <c r="C30" s="146" t="s">
        <v>2</v>
      </c>
      <c r="D30" s="146" t="s">
        <v>3</v>
      </c>
      <c r="E30" s="146" t="s">
        <v>8</v>
      </c>
      <c r="F30" s="146" t="s">
        <v>4</v>
      </c>
      <c r="G30" s="146" t="s">
        <v>276</v>
      </c>
      <c r="H30" s="146" t="s">
        <v>194</v>
      </c>
      <c r="I30" s="146" t="s">
        <v>33</v>
      </c>
      <c r="J30" s="146" t="s">
        <v>34</v>
      </c>
      <c r="K30" s="146" t="s">
        <v>277</v>
      </c>
      <c r="L30" s="146" t="s">
        <v>279</v>
      </c>
      <c r="M30" s="146" t="s">
        <v>279</v>
      </c>
      <c r="N30" s="146" t="s">
        <v>276</v>
      </c>
      <c r="O30" s="146" t="s">
        <v>276</v>
      </c>
      <c r="P30" s="146" t="s">
        <v>276</v>
      </c>
      <c r="Q30" s="146" t="s">
        <v>276</v>
      </c>
      <c r="R30" s="146" t="s">
        <v>279</v>
      </c>
      <c r="S30" s="146" t="s">
        <v>280</v>
      </c>
      <c r="T30" s="146" t="s">
        <v>281</v>
      </c>
      <c r="U30" s="146" t="s">
        <v>281</v>
      </c>
      <c r="V30" s="146" t="s">
        <v>299</v>
      </c>
      <c r="W30" s="146" t="s">
        <v>300</v>
      </c>
      <c r="X30" s="146" t="s">
        <v>281</v>
      </c>
      <c r="Y30" s="146" t="s">
        <v>284</v>
      </c>
      <c r="Z30" s="146" t="s">
        <v>280</v>
      </c>
      <c r="AA30" s="146" t="s">
        <v>261</v>
      </c>
      <c r="AB30" s="146" t="s">
        <v>286</v>
      </c>
    </row>
    <row r="31" spans="1:28" hidden="1" x14ac:dyDescent="0.15">
      <c r="A31" s="110" t="s">
        <v>499</v>
      </c>
      <c r="B31" s="145">
        <v>26</v>
      </c>
      <c r="C31" s="146" t="s">
        <v>2</v>
      </c>
      <c r="D31" s="146" t="s">
        <v>2</v>
      </c>
      <c r="E31" s="146" t="s">
        <v>8</v>
      </c>
      <c r="F31" s="146" t="s">
        <v>4</v>
      </c>
      <c r="G31" s="146" t="s">
        <v>276</v>
      </c>
      <c r="H31" s="146" t="s">
        <v>195</v>
      </c>
      <c r="I31" s="146" t="s">
        <v>35</v>
      </c>
      <c r="J31" s="146" t="s">
        <v>36</v>
      </c>
      <c r="K31" s="146" t="s">
        <v>277</v>
      </c>
      <c r="L31" s="146" t="s">
        <v>279</v>
      </c>
      <c r="M31" s="146" t="s">
        <v>279</v>
      </c>
      <c r="N31" s="146" t="s">
        <v>276</v>
      </c>
      <c r="O31" s="146" t="s">
        <v>276</v>
      </c>
      <c r="P31" s="146" t="s">
        <v>276</v>
      </c>
      <c r="Q31" s="146" t="s">
        <v>276</v>
      </c>
      <c r="R31" s="146" t="s">
        <v>279</v>
      </c>
      <c r="S31" s="146" t="s">
        <v>280</v>
      </c>
      <c r="T31" s="146" t="s">
        <v>281</v>
      </c>
      <c r="U31" s="146" t="s">
        <v>281</v>
      </c>
      <c r="V31" s="146" t="s">
        <v>299</v>
      </c>
      <c r="W31" s="146" t="s">
        <v>300</v>
      </c>
      <c r="X31" s="146" t="s">
        <v>281</v>
      </c>
      <c r="Y31" s="146" t="s">
        <v>284</v>
      </c>
      <c r="Z31" s="146" t="s">
        <v>280</v>
      </c>
      <c r="AA31" s="146" t="s">
        <v>261</v>
      </c>
      <c r="AB31" s="146" t="s">
        <v>286</v>
      </c>
    </row>
    <row r="32" spans="1:28" hidden="1" x14ac:dyDescent="0.15">
      <c r="A32" s="110" t="s">
        <v>502</v>
      </c>
      <c r="B32" s="145">
        <v>27</v>
      </c>
      <c r="C32" s="146" t="s">
        <v>2</v>
      </c>
      <c r="D32" s="146" t="s">
        <v>0</v>
      </c>
      <c r="E32" s="146" t="s">
        <v>8</v>
      </c>
      <c r="F32" s="146" t="s">
        <v>4</v>
      </c>
      <c r="G32" s="146" t="s">
        <v>276</v>
      </c>
      <c r="H32" s="146" t="s">
        <v>196</v>
      </c>
      <c r="I32" s="146" t="s">
        <v>37</v>
      </c>
      <c r="J32" s="146" t="s">
        <v>38</v>
      </c>
      <c r="K32" s="146" t="s">
        <v>277</v>
      </c>
      <c r="L32" s="146" t="s">
        <v>277</v>
      </c>
      <c r="M32" s="146" t="s">
        <v>291</v>
      </c>
      <c r="N32" s="146" t="s">
        <v>276</v>
      </c>
      <c r="O32" s="146" t="s">
        <v>276</v>
      </c>
      <c r="P32" s="146" t="s">
        <v>276</v>
      </c>
      <c r="Q32" s="146" t="s">
        <v>276</v>
      </c>
      <c r="R32" s="146" t="s">
        <v>277</v>
      </c>
      <c r="S32" s="146" t="s">
        <v>280</v>
      </c>
      <c r="T32" s="146" t="s">
        <v>281</v>
      </c>
      <c r="U32" s="146" t="s">
        <v>281</v>
      </c>
      <c r="V32" s="146" t="s">
        <v>276</v>
      </c>
      <c r="W32" s="146" t="s">
        <v>276</v>
      </c>
      <c r="X32" s="146" t="s">
        <v>276</v>
      </c>
      <c r="Y32" s="146" t="s">
        <v>276</v>
      </c>
      <c r="Z32" s="146" t="s">
        <v>276</v>
      </c>
      <c r="AA32" s="146" t="s">
        <v>276</v>
      </c>
      <c r="AB32" s="146" t="s">
        <v>276</v>
      </c>
    </row>
    <row r="33" spans="1:28" hidden="1" x14ac:dyDescent="0.15">
      <c r="A33" s="110" t="s">
        <v>498</v>
      </c>
      <c r="B33" s="145">
        <v>28</v>
      </c>
      <c r="C33" s="146" t="s">
        <v>0</v>
      </c>
      <c r="D33" s="146" t="s">
        <v>3</v>
      </c>
      <c r="E33" s="146" t="s">
        <v>8</v>
      </c>
      <c r="F33" s="146" t="s">
        <v>4</v>
      </c>
      <c r="G33" s="146" t="s">
        <v>276</v>
      </c>
      <c r="H33" s="146" t="s">
        <v>197</v>
      </c>
      <c r="I33" s="146" t="s">
        <v>39</v>
      </c>
      <c r="J33" s="146" t="s">
        <v>40</v>
      </c>
      <c r="K33" s="146" t="s">
        <v>277</v>
      </c>
      <c r="L33" s="146" t="s">
        <v>291</v>
      </c>
      <c r="M33" s="146" t="s">
        <v>279</v>
      </c>
      <c r="N33" s="146" t="s">
        <v>276</v>
      </c>
      <c r="O33" s="146" t="s">
        <v>276</v>
      </c>
      <c r="P33" s="146" t="s">
        <v>276</v>
      </c>
      <c r="Q33" s="146" t="s">
        <v>276</v>
      </c>
      <c r="R33" s="146" t="s">
        <v>291</v>
      </c>
      <c r="S33" s="146" t="s">
        <v>280</v>
      </c>
      <c r="T33" s="146" t="s">
        <v>281</v>
      </c>
      <c r="U33" s="146" t="s">
        <v>281</v>
      </c>
      <c r="V33" s="146" t="s">
        <v>299</v>
      </c>
      <c r="W33" s="146">
        <v>91141</v>
      </c>
      <c r="X33" s="146" t="s">
        <v>281</v>
      </c>
      <c r="Y33" s="146" t="s">
        <v>292</v>
      </c>
      <c r="Z33" s="146" t="s">
        <v>280</v>
      </c>
      <c r="AA33" s="146" t="s">
        <v>503</v>
      </c>
      <c r="AB33" s="146" t="s">
        <v>286</v>
      </c>
    </row>
    <row r="34" spans="1:28" hidden="1" x14ac:dyDescent="0.15">
      <c r="A34" s="110" t="s">
        <v>498</v>
      </c>
      <c r="B34" s="145">
        <v>29</v>
      </c>
      <c r="C34" s="146" t="s">
        <v>0</v>
      </c>
      <c r="D34" s="146" t="s">
        <v>3</v>
      </c>
      <c r="E34" s="146" t="s">
        <v>8</v>
      </c>
      <c r="F34" s="146" t="s">
        <v>4</v>
      </c>
      <c r="G34" s="146" t="s">
        <v>276</v>
      </c>
      <c r="H34" s="146" t="s">
        <v>198</v>
      </c>
      <c r="I34" s="146" t="s">
        <v>41</v>
      </c>
      <c r="J34" s="146" t="s">
        <v>42</v>
      </c>
      <c r="K34" s="146" t="s">
        <v>277</v>
      </c>
      <c r="L34" s="146" t="s">
        <v>291</v>
      </c>
      <c r="M34" s="146" t="s">
        <v>277</v>
      </c>
      <c r="N34" s="146" t="s">
        <v>276</v>
      </c>
      <c r="O34" s="146" t="s">
        <v>276</v>
      </c>
      <c r="P34" s="146" t="s">
        <v>276</v>
      </c>
      <c r="Q34" s="146" t="s">
        <v>276</v>
      </c>
      <c r="R34" s="146" t="s">
        <v>291</v>
      </c>
      <c r="S34" s="146" t="s">
        <v>280</v>
      </c>
      <c r="T34" s="146" t="s">
        <v>281</v>
      </c>
      <c r="U34" s="146" t="s">
        <v>281</v>
      </c>
      <c r="V34" s="146" t="s">
        <v>299</v>
      </c>
      <c r="W34" s="146" t="s">
        <v>300</v>
      </c>
      <c r="X34" s="146" t="s">
        <v>281</v>
      </c>
      <c r="Y34" s="146" t="s">
        <v>292</v>
      </c>
      <c r="Z34" s="146" t="s">
        <v>280</v>
      </c>
      <c r="AA34" s="146" t="s">
        <v>261</v>
      </c>
      <c r="AB34" s="146" t="s">
        <v>286</v>
      </c>
    </row>
    <row r="35" spans="1:28" hidden="1" x14ac:dyDescent="0.15">
      <c r="A35" s="110" t="s">
        <v>504</v>
      </c>
      <c r="B35" s="145">
        <v>30</v>
      </c>
      <c r="C35" s="146" t="s">
        <v>0</v>
      </c>
      <c r="D35" s="146" t="s">
        <v>3</v>
      </c>
      <c r="E35" s="146" t="s">
        <v>8</v>
      </c>
      <c r="F35" s="146" t="s">
        <v>4</v>
      </c>
      <c r="G35" s="146" t="s">
        <v>276</v>
      </c>
      <c r="H35" s="146" t="s">
        <v>199</v>
      </c>
      <c r="I35" s="146" t="s">
        <v>43</v>
      </c>
      <c r="J35" s="146" t="s">
        <v>44</v>
      </c>
      <c r="K35" s="146" t="s">
        <v>277</v>
      </c>
      <c r="L35" s="146" t="s">
        <v>293</v>
      </c>
      <c r="M35" s="146" t="s">
        <v>291</v>
      </c>
      <c r="N35" s="146" t="s">
        <v>276</v>
      </c>
      <c r="O35" s="146" t="s">
        <v>276</v>
      </c>
      <c r="P35" s="146" t="s">
        <v>276</v>
      </c>
      <c r="Q35" s="146" t="s">
        <v>276</v>
      </c>
      <c r="R35" s="146" t="s">
        <v>293</v>
      </c>
      <c r="S35" s="146" t="s">
        <v>280</v>
      </c>
      <c r="T35" s="146" t="s">
        <v>281</v>
      </c>
      <c r="U35" s="146" t="s">
        <v>281</v>
      </c>
      <c r="V35" s="146" t="s">
        <v>276</v>
      </c>
      <c r="W35" s="146" t="s">
        <v>276</v>
      </c>
      <c r="X35" s="146" t="s">
        <v>276</v>
      </c>
      <c r="Y35" s="146" t="s">
        <v>276</v>
      </c>
      <c r="Z35" s="146" t="s">
        <v>276</v>
      </c>
      <c r="AA35" s="146" t="s">
        <v>276</v>
      </c>
      <c r="AB35" s="146" t="s">
        <v>276</v>
      </c>
    </row>
    <row r="36" spans="1:28" hidden="1" x14ac:dyDescent="0.15">
      <c r="A36" s="110" t="s">
        <v>498</v>
      </c>
      <c r="B36" s="145">
        <v>31</v>
      </c>
      <c r="C36" s="146" t="s">
        <v>0</v>
      </c>
      <c r="D36" s="146" t="s">
        <v>2</v>
      </c>
      <c r="E36" s="146" t="s">
        <v>8</v>
      </c>
      <c r="F36" s="146" t="s">
        <v>4</v>
      </c>
      <c r="G36" s="146" t="s">
        <v>276</v>
      </c>
      <c r="H36" s="146" t="s">
        <v>200</v>
      </c>
      <c r="I36" s="146" t="s">
        <v>45</v>
      </c>
      <c r="J36" s="146" t="s">
        <v>46</v>
      </c>
      <c r="K36" s="146" t="s">
        <v>277</v>
      </c>
      <c r="L36" s="146" t="s">
        <v>291</v>
      </c>
      <c r="M36" s="146" t="s">
        <v>279</v>
      </c>
      <c r="N36" s="146" t="s">
        <v>276</v>
      </c>
      <c r="O36" s="146" t="s">
        <v>276</v>
      </c>
      <c r="P36" s="146" t="s">
        <v>276</v>
      </c>
      <c r="Q36" s="146" t="s">
        <v>276</v>
      </c>
      <c r="R36" s="146" t="s">
        <v>291</v>
      </c>
      <c r="S36" s="146" t="s">
        <v>280</v>
      </c>
      <c r="T36" s="146" t="s">
        <v>281</v>
      </c>
      <c r="U36" s="146" t="s">
        <v>281</v>
      </c>
      <c r="V36" s="146" t="s">
        <v>299</v>
      </c>
      <c r="W36" s="146" t="s">
        <v>300</v>
      </c>
      <c r="X36" s="146" t="s">
        <v>281</v>
      </c>
      <c r="Y36" s="146" t="s">
        <v>292</v>
      </c>
      <c r="Z36" s="146" t="s">
        <v>280</v>
      </c>
      <c r="AA36" s="146" t="s">
        <v>261</v>
      </c>
      <c r="AB36" s="146" t="s">
        <v>286</v>
      </c>
    </row>
    <row r="37" spans="1:28" hidden="1" x14ac:dyDescent="0.15">
      <c r="A37" s="110" t="s">
        <v>498</v>
      </c>
      <c r="B37" s="145">
        <v>32</v>
      </c>
      <c r="C37" s="146" t="s">
        <v>0</v>
      </c>
      <c r="D37" s="146" t="s">
        <v>0</v>
      </c>
      <c r="E37" s="146" t="s">
        <v>8</v>
      </c>
      <c r="F37" s="146" t="s">
        <v>4</v>
      </c>
      <c r="G37" s="146" t="s">
        <v>276</v>
      </c>
      <c r="H37" s="146" t="s">
        <v>201</v>
      </c>
      <c r="I37" s="146" t="s">
        <v>47</v>
      </c>
      <c r="J37" s="146" t="s">
        <v>48</v>
      </c>
      <c r="K37" s="146" t="s">
        <v>277</v>
      </c>
      <c r="L37" s="146" t="s">
        <v>291</v>
      </c>
      <c r="M37" s="146" t="s">
        <v>279</v>
      </c>
      <c r="N37" s="146" t="s">
        <v>276</v>
      </c>
      <c r="O37" s="146" t="s">
        <v>276</v>
      </c>
      <c r="P37" s="146" t="s">
        <v>276</v>
      </c>
      <c r="Q37" s="146" t="s">
        <v>276</v>
      </c>
      <c r="R37" s="146" t="s">
        <v>291</v>
      </c>
      <c r="S37" s="146" t="s">
        <v>280</v>
      </c>
      <c r="T37" s="146" t="s">
        <v>281</v>
      </c>
      <c r="U37" s="146" t="s">
        <v>281</v>
      </c>
      <c r="V37" s="146" t="s">
        <v>299</v>
      </c>
      <c r="W37" s="146" t="s">
        <v>300</v>
      </c>
      <c r="X37" s="146" t="s">
        <v>281</v>
      </c>
      <c r="Y37" s="146" t="s">
        <v>292</v>
      </c>
      <c r="Z37" s="146" t="s">
        <v>280</v>
      </c>
      <c r="AA37" s="146" t="s">
        <v>261</v>
      </c>
      <c r="AB37" s="146" t="s">
        <v>286</v>
      </c>
    </row>
    <row r="38" spans="1:28" hidden="1" x14ac:dyDescent="0.15">
      <c r="A38" s="110" t="s">
        <v>499</v>
      </c>
      <c r="B38" s="145">
        <v>33</v>
      </c>
      <c r="C38" s="146" t="s">
        <v>3</v>
      </c>
      <c r="D38" s="146" t="s">
        <v>3</v>
      </c>
      <c r="E38" s="146" t="s">
        <v>8</v>
      </c>
      <c r="F38" s="146" t="s">
        <v>301</v>
      </c>
      <c r="G38" s="146" t="s">
        <v>276</v>
      </c>
      <c r="H38" s="146" t="s">
        <v>189</v>
      </c>
      <c r="I38" s="146" t="s">
        <v>49</v>
      </c>
      <c r="J38" s="146" t="s">
        <v>50</v>
      </c>
      <c r="K38" s="146" t="s">
        <v>277</v>
      </c>
      <c r="L38" s="146" t="s">
        <v>279</v>
      </c>
      <c r="M38" s="146" t="s">
        <v>295</v>
      </c>
      <c r="N38" s="146" t="s">
        <v>276</v>
      </c>
      <c r="O38" s="146" t="s">
        <v>276</v>
      </c>
      <c r="P38" s="146" t="s">
        <v>276</v>
      </c>
      <c r="Q38" s="146" t="s">
        <v>276</v>
      </c>
      <c r="R38" s="146" t="s">
        <v>279</v>
      </c>
      <c r="S38" s="146" t="s">
        <v>280</v>
      </c>
      <c r="T38" s="146" t="s">
        <v>281</v>
      </c>
      <c r="U38" s="146" t="s">
        <v>281</v>
      </c>
      <c r="V38" s="146" t="s">
        <v>299</v>
      </c>
      <c r="W38" s="146" t="s">
        <v>300</v>
      </c>
      <c r="X38" s="146" t="s">
        <v>281</v>
      </c>
      <c r="Y38" s="146" t="s">
        <v>284</v>
      </c>
      <c r="Z38" s="146" t="s">
        <v>280</v>
      </c>
      <c r="AA38" s="146" t="s">
        <v>261</v>
      </c>
      <c r="AB38" s="146" t="s">
        <v>286</v>
      </c>
    </row>
    <row r="39" spans="1:28" hidden="1" x14ac:dyDescent="0.15">
      <c r="A39" s="110" t="s">
        <v>498</v>
      </c>
      <c r="B39" s="145">
        <v>34</v>
      </c>
      <c r="C39" s="146" t="s">
        <v>2</v>
      </c>
      <c r="D39" s="146" t="s">
        <v>3</v>
      </c>
      <c r="E39" s="146" t="s">
        <v>8</v>
      </c>
      <c r="F39" s="146" t="s">
        <v>301</v>
      </c>
      <c r="G39" s="146" t="s">
        <v>276</v>
      </c>
      <c r="H39" s="146" t="s">
        <v>202</v>
      </c>
      <c r="I39" s="146" t="s">
        <v>51</v>
      </c>
      <c r="J39" s="146" t="s">
        <v>52</v>
      </c>
      <c r="K39" s="146" t="s">
        <v>277</v>
      </c>
      <c r="L39" s="146" t="s">
        <v>277</v>
      </c>
      <c r="M39" s="146" t="s">
        <v>295</v>
      </c>
      <c r="N39" s="146" t="s">
        <v>276</v>
      </c>
      <c r="O39" s="146" t="s">
        <v>276</v>
      </c>
      <c r="P39" s="146" t="s">
        <v>276</v>
      </c>
      <c r="Q39" s="146" t="s">
        <v>276</v>
      </c>
      <c r="R39" s="146" t="s">
        <v>277</v>
      </c>
      <c r="S39" s="146" t="s">
        <v>280</v>
      </c>
      <c r="T39" s="146" t="s">
        <v>281</v>
      </c>
      <c r="U39" s="146" t="s">
        <v>281</v>
      </c>
      <c r="V39" s="146" t="s">
        <v>299</v>
      </c>
      <c r="W39" s="146" t="s">
        <v>300</v>
      </c>
      <c r="X39" s="146" t="s">
        <v>281</v>
      </c>
      <c r="Y39" s="146" t="s">
        <v>281</v>
      </c>
      <c r="Z39" s="146" t="s">
        <v>280</v>
      </c>
      <c r="AA39" s="146" t="s">
        <v>261</v>
      </c>
      <c r="AB39" s="146" t="s">
        <v>286</v>
      </c>
    </row>
    <row r="40" spans="1:28" hidden="1" x14ac:dyDescent="0.15">
      <c r="A40" s="110" t="s">
        <v>498</v>
      </c>
      <c r="B40" s="145">
        <v>35</v>
      </c>
      <c r="C40" s="146" t="s">
        <v>0</v>
      </c>
      <c r="D40" s="146" t="s">
        <v>3</v>
      </c>
      <c r="E40" s="146" t="s">
        <v>8</v>
      </c>
      <c r="F40" s="146" t="s">
        <v>301</v>
      </c>
      <c r="G40" s="146" t="s">
        <v>276</v>
      </c>
      <c r="H40" s="146" t="s">
        <v>197</v>
      </c>
      <c r="I40" s="146" t="s">
        <v>53</v>
      </c>
      <c r="J40" s="146" t="s">
        <v>54</v>
      </c>
      <c r="K40" s="146" t="s">
        <v>277</v>
      </c>
      <c r="L40" s="146" t="s">
        <v>291</v>
      </c>
      <c r="M40" s="146" t="s">
        <v>295</v>
      </c>
      <c r="N40" s="146" t="s">
        <v>276</v>
      </c>
      <c r="O40" s="146" t="s">
        <v>276</v>
      </c>
      <c r="P40" s="146" t="s">
        <v>276</v>
      </c>
      <c r="Q40" s="146" t="s">
        <v>276</v>
      </c>
      <c r="R40" s="146" t="s">
        <v>291</v>
      </c>
      <c r="S40" s="146" t="s">
        <v>280</v>
      </c>
      <c r="T40" s="146" t="s">
        <v>281</v>
      </c>
      <c r="U40" s="146" t="s">
        <v>281</v>
      </c>
      <c r="V40" s="146" t="s">
        <v>299</v>
      </c>
      <c r="W40" s="146" t="s">
        <v>300</v>
      </c>
      <c r="X40" s="146" t="s">
        <v>281</v>
      </c>
      <c r="Y40" s="146" t="s">
        <v>292</v>
      </c>
      <c r="Z40" s="146" t="s">
        <v>280</v>
      </c>
      <c r="AA40" s="146" t="s">
        <v>261</v>
      </c>
      <c r="AB40" s="146" t="s">
        <v>286</v>
      </c>
    </row>
    <row r="41" spans="1:28" hidden="1" x14ac:dyDescent="0.15">
      <c r="A41" s="110" t="s">
        <v>499</v>
      </c>
      <c r="B41" s="145">
        <v>36</v>
      </c>
      <c r="C41" s="146" t="s">
        <v>3</v>
      </c>
      <c r="D41" s="146" t="s">
        <v>3</v>
      </c>
      <c r="E41" s="146" t="s">
        <v>8</v>
      </c>
      <c r="F41" s="146" t="s">
        <v>188</v>
      </c>
      <c r="G41" s="146" t="s">
        <v>276</v>
      </c>
      <c r="H41" s="146" t="s">
        <v>189</v>
      </c>
      <c r="I41" s="146" t="s">
        <v>55</v>
      </c>
      <c r="J41" s="146" t="s">
        <v>56</v>
      </c>
      <c r="K41" s="146" t="s">
        <v>277</v>
      </c>
      <c r="L41" s="146" t="s">
        <v>279</v>
      </c>
      <c r="M41" s="146" t="s">
        <v>284</v>
      </c>
      <c r="N41" s="146" t="s">
        <v>276</v>
      </c>
      <c r="O41" s="146" t="s">
        <v>276</v>
      </c>
      <c r="P41" s="146" t="s">
        <v>276</v>
      </c>
      <c r="Q41" s="146" t="s">
        <v>276</v>
      </c>
      <c r="R41" s="146" t="s">
        <v>279</v>
      </c>
      <c r="S41" s="146" t="s">
        <v>280</v>
      </c>
      <c r="T41" s="146" t="s">
        <v>281</v>
      </c>
      <c r="U41" s="146" t="s">
        <v>281</v>
      </c>
      <c r="V41" s="146" t="s">
        <v>299</v>
      </c>
      <c r="W41" s="146" t="s">
        <v>300</v>
      </c>
      <c r="X41" s="146" t="s">
        <v>281</v>
      </c>
      <c r="Y41" s="146" t="s">
        <v>284</v>
      </c>
      <c r="Z41" s="146" t="s">
        <v>280</v>
      </c>
      <c r="AA41" s="146" t="s">
        <v>261</v>
      </c>
      <c r="AB41" s="146" t="s">
        <v>286</v>
      </c>
    </row>
    <row r="42" spans="1:28" hidden="1" x14ac:dyDescent="0.15">
      <c r="A42" s="110" t="s">
        <v>498</v>
      </c>
      <c r="B42" s="145">
        <v>37</v>
      </c>
      <c r="C42" s="146" t="s">
        <v>2</v>
      </c>
      <c r="D42" s="146" t="s">
        <v>3</v>
      </c>
      <c r="E42" s="146" t="s">
        <v>8</v>
      </c>
      <c r="F42" s="146" t="s">
        <v>188</v>
      </c>
      <c r="G42" s="146" t="s">
        <v>276</v>
      </c>
      <c r="H42" s="146" t="s">
        <v>202</v>
      </c>
      <c r="I42" s="146" t="s">
        <v>57</v>
      </c>
      <c r="J42" s="146" t="s">
        <v>58</v>
      </c>
      <c r="K42" s="146" t="s">
        <v>277</v>
      </c>
      <c r="L42" s="146" t="s">
        <v>277</v>
      </c>
      <c r="M42" s="146" t="s">
        <v>284</v>
      </c>
      <c r="N42" s="146" t="s">
        <v>276</v>
      </c>
      <c r="O42" s="146" t="s">
        <v>276</v>
      </c>
      <c r="P42" s="146" t="s">
        <v>276</v>
      </c>
      <c r="Q42" s="146" t="s">
        <v>276</v>
      </c>
      <c r="R42" s="146" t="s">
        <v>277</v>
      </c>
      <c r="S42" s="146" t="s">
        <v>280</v>
      </c>
      <c r="T42" s="146" t="s">
        <v>281</v>
      </c>
      <c r="U42" s="146" t="s">
        <v>281</v>
      </c>
      <c r="V42" s="146" t="s">
        <v>299</v>
      </c>
      <c r="W42" s="146" t="s">
        <v>300</v>
      </c>
      <c r="X42" s="146" t="s">
        <v>281</v>
      </c>
      <c r="Y42" s="146" t="s">
        <v>281</v>
      </c>
      <c r="Z42" s="146" t="s">
        <v>280</v>
      </c>
      <c r="AA42" s="146" t="s">
        <v>261</v>
      </c>
      <c r="AB42" s="146" t="s">
        <v>286</v>
      </c>
    </row>
    <row r="43" spans="1:28" hidden="1" x14ac:dyDescent="0.15">
      <c r="A43" s="110" t="s">
        <v>498</v>
      </c>
      <c r="B43" s="145">
        <v>38</v>
      </c>
      <c r="C43" s="146" t="s">
        <v>0</v>
      </c>
      <c r="D43" s="146" t="s">
        <v>3</v>
      </c>
      <c r="E43" s="146" t="s">
        <v>8</v>
      </c>
      <c r="F43" s="146" t="s">
        <v>188</v>
      </c>
      <c r="G43" s="146" t="s">
        <v>276</v>
      </c>
      <c r="H43" s="146" t="s">
        <v>197</v>
      </c>
      <c r="I43" s="146" t="s">
        <v>59</v>
      </c>
      <c r="J43" s="146" t="s">
        <v>60</v>
      </c>
      <c r="K43" s="146" t="s">
        <v>277</v>
      </c>
      <c r="L43" s="146" t="s">
        <v>291</v>
      </c>
      <c r="M43" s="146" t="s">
        <v>284</v>
      </c>
      <c r="N43" s="146" t="s">
        <v>276</v>
      </c>
      <c r="O43" s="146" t="s">
        <v>276</v>
      </c>
      <c r="P43" s="146" t="s">
        <v>276</v>
      </c>
      <c r="Q43" s="146" t="s">
        <v>276</v>
      </c>
      <c r="R43" s="146" t="s">
        <v>291</v>
      </c>
      <c r="S43" s="146" t="s">
        <v>280</v>
      </c>
      <c r="T43" s="146" t="s">
        <v>281</v>
      </c>
      <c r="U43" s="146" t="s">
        <v>281</v>
      </c>
      <c r="V43" s="146" t="s">
        <v>299</v>
      </c>
      <c r="W43" s="146" t="s">
        <v>300</v>
      </c>
      <c r="X43" s="146" t="s">
        <v>281</v>
      </c>
      <c r="Y43" s="146" t="s">
        <v>292</v>
      </c>
      <c r="Z43" s="146" t="s">
        <v>280</v>
      </c>
      <c r="AA43" s="146" t="s">
        <v>261</v>
      </c>
      <c r="AB43" s="146" t="s">
        <v>286</v>
      </c>
    </row>
    <row r="44" spans="1:28" x14ac:dyDescent="0.15">
      <c r="A44" s="110" t="s">
        <v>505</v>
      </c>
      <c r="B44" s="145">
        <v>39</v>
      </c>
      <c r="C44" s="146" t="s">
        <v>3</v>
      </c>
      <c r="D44" s="146" t="s">
        <v>3</v>
      </c>
      <c r="E44" s="146" t="s">
        <v>8</v>
      </c>
      <c r="F44" s="146" t="s">
        <v>1</v>
      </c>
      <c r="G44" s="146" t="s">
        <v>276</v>
      </c>
      <c r="H44" s="146" t="s">
        <v>302</v>
      </c>
      <c r="I44" s="146" t="s">
        <v>61</v>
      </c>
      <c r="J44" s="146" t="s">
        <v>62</v>
      </c>
      <c r="K44" s="146" t="s">
        <v>277</v>
      </c>
      <c r="L44" s="146" t="s">
        <v>279</v>
      </c>
      <c r="M44" s="146" t="s">
        <v>276</v>
      </c>
      <c r="N44" s="146" t="s">
        <v>278</v>
      </c>
      <c r="O44" s="146" t="s">
        <v>276</v>
      </c>
      <c r="P44" s="146" t="s">
        <v>276</v>
      </c>
      <c r="Q44" s="146" t="s">
        <v>276</v>
      </c>
      <c r="R44" s="146" t="s">
        <v>303</v>
      </c>
      <c r="S44" s="146" t="s">
        <v>304</v>
      </c>
      <c r="T44" s="146" t="s">
        <v>305</v>
      </c>
      <c r="U44" s="146" t="s">
        <v>304</v>
      </c>
      <c r="V44" s="146" t="s">
        <v>306</v>
      </c>
      <c r="W44" s="146">
        <v>91316</v>
      </c>
      <c r="X44" s="146" t="s">
        <v>281</v>
      </c>
      <c r="Y44" s="146" t="s">
        <v>308</v>
      </c>
      <c r="Z44" s="146" t="s">
        <v>304</v>
      </c>
      <c r="AA44" s="146" t="s">
        <v>309</v>
      </c>
      <c r="AB44" s="146" t="s">
        <v>286</v>
      </c>
    </row>
    <row r="45" spans="1:28" x14ac:dyDescent="0.15">
      <c r="A45" s="110" t="s">
        <v>505</v>
      </c>
      <c r="B45" s="145">
        <v>39</v>
      </c>
      <c r="C45" s="146" t="s">
        <v>3</v>
      </c>
      <c r="D45" s="146" t="s">
        <v>3</v>
      </c>
      <c r="E45" s="146" t="s">
        <v>8</v>
      </c>
      <c r="F45" s="146" t="s">
        <v>1</v>
      </c>
      <c r="G45" s="146" t="s">
        <v>276</v>
      </c>
      <c r="H45" s="146" t="s">
        <v>302</v>
      </c>
      <c r="I45" s="146" t="s">
        <v>61</v>
      </c>
      <c r="J45" s="146" t="s">
        <v>62</v>
      </c>
      <c r="K45" s="146" t="s">
        <v>277</v>
      </c>
      <c r="L45" s="146" t="s">
        <v>279</v>
      </c>
      <c r="M45" s="146" t="s">
        <v>276</v>
      </c>
      <c r="N45" s="146" t="s">
        <v>278</v>
      </c>
      <c r="O45" s="146" t="s">
        <v>276</v>
      </c>
      <c r="P45" s="146" t="s">
        <v>276</v>
      </c>
      <c r="Q45" s="146" t="s">
        <v>276</v>
      </c>
      <c r="R45" s="146" t="s">
        <v>303</v>
      </c>
      <c r="S45" s="146" t="s">
        <v>304</v>
      </c>
      <c r="T45" s="146" t="s">
        <v>305</v>
      </c>
      <c r="U45" s="146" t="s">
        <v>304</v>
      </c>
      <c r="V45" s="146" t="s">
        <v>276</v>
      </c>
      <c r="W45" s="146" t="s">
        <v>287</v>
      </c>
      <c r="X45" s="146" t="s">
        <v>288</v>
      </c>
      <c r="Y45" s="146" t="s">
        <v>305</v>
      </c>
      <c r="Z45" s="146" t="s">
        <v>304</v>
      </c>
      <c r="AA45" s="146" t="s">
        <v>289</v>
      </c>
      <c r="AB45" s="146" t="s">
        <v>290</v>
      </c>
    </row>
    <row r="46" spans="1:28" x14ac:dyDescent="0.15">
      <c r="A46" s="110" t="s">
        <v>505</v>
      </c>
      <c r="B46" s="145">
        <v>40</v>
      </c>
      <c r="C46" s="146" t="s">
        <v>3</v>
      </c>
      <c r="D46" s="146" t="s">
        <v>2</v>
      </c>
      <c r="E46" s="146" t="s">
        <v>8</v>
      </c>
      <c r="F46" s="146" t="s">
        <v>1</v>
      </c>
      <c r="G46" s="146" t="s">
        <v>276</v>
      </c>
      <c r="H46" s="146" t="s">
        <v>310</v>
      </c>
      <c r="I46" s="146" t="s">
        <v>63</v>
      </c>
      <c r="J46" s="146" t="s">
        <v>64</v>
      </c>
      <c r="K46" s="146" t="s">
        <v>277</v>
      </c>
      <c r="L46" s="146" t="s">
        <v>279</v>
      </c>
      <c r="M46" s="146" t="s">
        <v>276</v>
      </c>
      <c r="N46" s="146" t="s">
        <v>279</v>
      </c>
      <c r="O46" s="146" t="s">
        <v>276</v>
      </c>
      <c r="P46" s="146" t="s">
        <v>276</v>
      </c>
      <c r="Q46" s="146" t="s">
        <v>276</v>
      </c>
      <c r="R46" s="146" t="s">
        <v>311</v>
      </c>
      <c r="S46" s="146" t="s">
        <v>304</v>
      </c>
      <c r="T46" s="146" t="s">
        <v>305</v>
      </c>
      <c r="U46" s="146" t="s">
        <v>304</v>
      </c>
      <c r="V46" s="146" t="s">
        <v>276</v>
      </c>
      <c r="W46" s="146" t="s">
        <v>287</v>
      </c>
      <c r="X46" s="146" t="s">
        <v>288</v>
      </c>
      <c r="Y46" s="146" t="s">
        <v>305</v>
      </c>
      <c r="Z46" s="146" t="s">
        <v>304</v>
      </c>
      <c r="AA46" s="146" t="s">
        <v>289</v>
      </c>
      <c r="AB46" s="146" t="s">
        <v>290</v>
      </c>
    </row>
    <row r="47" spans="1:28" x14ac:dyDescent="0.15">
      <c r="A47" s="110" t="s">
        <v>505</v>
      </c>
      <c r="B47" s="145">
        <v>40</v>
      </c>
      <c r="C47" s="146" t="s">
        <v>3</v>
      </c>
      <c r="D47" s="146" t="s">
        <v>2</v>
      </c>
      <c r="E47" s="146" t="s">
        <v>8</v>
      </c>
      <c r="F47" s="146" t="s">
        <v>1</v>
      </c>
      <c r="G47" s="146" t="s">
        <v>276</v>
      </c>
      <c r="H47" s="146" t="s">
        <v>310</v>
      </c>
      <c r="I47" s="146" t="s">
        <v>63</v>
      </c>
      <c r="J47" s="146" t="s">
        <v>64</v>
      </c>
      <c r="K47" s="146" t="s">
        <v>277</v>
      </c>
      <c r="L47" s="146" t="s">
        <v>279</v>
      </c>
      <c r="M47" s="146" t="s">
        <v>276</v>
      </c>
      <c r="N47" s="146" t="s">
        <v>279</v>
      </c>
      <c r="O47" s="146" t="s">
        <v>276</v>
      </c>
      <c r="P47" s="146" t="s">
        <v>276</v>
      </c>
      <c r="Q47" s="146" t="s">
        <v>276</v>
      </c>
      <c r="R47" s="146" t="s">
        <v>311</v>
      </c>
      <c r="S47" s="146" t="s">
        <v>304</v>
      </c>
      <c r="T47" s="146" t="s">
        <v>305</v>
      </c>
      <c r="U47" s="146" t="s">
        <v>304</v>
      </c>
      <c r="V47" s="146" t="s">
        <v>312</v>
      </c>
      <c r="W47" s="146" t="s">
        <v>307</v>
      </c>
      <c r="X47" s="146" t="s">
        <v>281</v>
      </c>
      <c r="Y47" s="146" t="s">
        <v>305</v>
      </c>
      <c r="Z47" s="146" t="s">
        <v>304</v>
      </c>
      <c r="AA47" s="146" t="s">
        <v>309</v>
      </c>
      <c r="AB47" s="146" t="s">
        <v>286</v>
      </c>
    </row>
    <row r="48" spans="1:28" x14ac:dyDescent="0.15">
      <c r="A48" s="110" t="s">
        <v>505</v>
      </c>
      <c r="B48" s="145">
        <v>41</v>
      </c>
      <c r="C48" s="146" t="s">
        <v>3</v>
      </c>
      <c r="D48" s="146" t="s">
        <v>0</v>
      </c>
      <c r="E48" s="146" t="s">
        <v>8</v>
      </c>
      <c r="F48" s="146" t="s">
        <v>1</v>
      </c>
      <c r="G48" s="146" t="s">
        <v>276</v>
      </c>
      <c r="H48" s="146" t="s">
        <v>203</v>
      </c>
      <c r="I48" s="146" t="s">
        <v>65</v>
      </c>
      <c r="J48" s="146" t="s">
        <v>66</v>
      </c>
      <c r="K48" s="146" t="s">
        <v>277</v>
      </c>
      <c r="L48" s="146" t="s">
        <v>278</v>
      </c>
      <c r="M48" s="146" t="s">
        <v>276</v>
      </c>
      <c r="N48" s="146" t="s">
        <v>279</v>
      </c>
      <c r="O48" s="146" t="s">
        <v>276</v>
      </c>
      <c r="P48" s="146" t="s">
        <v>276</v>
      </c>
      <c r="Q48" s="146" t="s">
        <v>276</v>
      </c>
      <c r="R48" s="146" t="s">
        <v>313</v>
      </c>
      <c r="S48" s="146" t="s">
        <v>304</v>
      </c>
      <c r="T48" s="146" t="s">
        <v>281</v>
      </c>
      <c r="U48" s="146" t="s">
        <v>281</v>
      </c>
      <c r="V48" s="146" t="s">
        <v>312</v>
      </c>
      <c r="W48" s="146" t="s">
        <v>307</v>
      </c>
      <c r="X48" s="146" t="s">
        <v>281</v>
      </c>
      <c r="Y48" s="146" t="s">
        <v>314</v>
      </c>
      <c r="Z48" s="146" t="s">
        <v>304</v>
      </c>
      <c r="AA48" s="146" t="s">
        <v>309</v>
      </c>
      <c r="AB48" s="146" t="s">
        <v>286</v>
      </c>
    </row>
    <row r="49" spans="1:28" hidden="1" x14ac:dyDescent="0.15">
      <c r="A49" s="110" t="s">
        <v>506</v>
      </c>
      <c r="B49" s="145">
        <v>42</v>
      </c>
      <c r="C49" s="146" t="s">
        <v>3</v>
      </c>
      <c r="D49" s="146" t="s">
        <v>0</v>
      </c>
      <c r="E49" s="146" t="s">
        <v>8</v>
      </c>
      <c r="F49" s="146" t="s">
        <v>1</v>
      </c>
      <c r="G49" s="146" t="s">
        <v>276</v>
      </c>
      <c r="H49" s="146" t="s">
        <v>204</v>
      </c>
      <c r="I49" s="146" t="s">
        <v>73</v>
      </c>
      <c r="J49" s="146" t="s">
        <v>74</v>
      </c>
      <c r="K49" s="146" t="s">
        <v>277</v>
      </c>
      <c r="L49" s="146" t="s">
        <v>279</v>
      </c>
      <c r="M49" s="146" t="s">
        <v>276</v>
      </c>
      <c r="N49" s="146" t="s">
        <v>277</v>
      </c>
      <c r="O49" s="146" t="s">
        <v>276</v>
      </c>
      <c r="P49" s="146" t="s">
        <v>276</v>
      </c>
      <c r="Q49" s="146" t="s">
        <v>276</v>
      </c>
      <c r="R49" s="146" t="s">
        <v>313</v>
      </c>
      <c r="S49" s="146" t="s">
        <v>304</v>
      </c>
      <c r="T49" s="146" t="s">
        <v>305</v>
      </c>
      <c r="U49" s="146" t="s">
        <v>304</v>
      </c>
      <c r="V49" s="146" t="s">
        <v>276</v>
      </c>
      <c r="W49" s="146" t="s">
        <v>287</v>
      </c>
      <c r="X49" s="146" t="s">
        <v>288</v>
      </c>
      <c r="Y49" s="146" t="s">
        <v>305</v>
      </c>
      <c r="Z49" s="146" t="s">
        <v>304</v>
      </c>
      <c r="AA49" s="146" t="s">
        <v>289</v>
      </c>
      <c r="AB49" s="146" t="s">
        <v>290</v>
      </c>
    </row>
    <row r="50" spans="1:28" hidden="1" x14ac:dyDescent="0.15">
      <c r="A50" s="110" t="s">
        <v>507</v>
      </c>
      <c r="B50" s="145">
        <v>43</v>
      </c>
      <c r="C50" s="146" t="s">
        <v>3</v>
      </c>
      <c r="D50" s="146" t="s">
        <v>0</v>
      </c>
      <c r="E50" s="146" t="s">
        <v>8</v>
      </c>
      <c r="F50" s="146" t="s">
        <v>1</v>
      </c>
      <c r="G50" s="146" t="s">
        <v>276</v>
      </c>
      <c r="H50" s="146" t="s">
        <v>508</v>
      </c>
      <c r="I50" s="146" t="s">
        <v>69</v>
      </c>
      <c r="J50" s="146" t="s">
        <v>70</v>
      </c>
      <c r="K50" s="146" t="s">
        <v>277</v>
      </c>
      <c r="L50" s="146" t="s">
        <v>279</v>
      </c>
      <c r="M50" s="146" t="s">
        <v>276</v>
      </c>
      <c r="N50" s="146" t="s">
        <v>291</v>
      </c>
      <c r="O50" s="146" t="s">
        <v>276</v>
      </c>
      <c r="P50" s="146" t="s">
        <v>276</v>
      </c>
      <c r="Q50" s="146" t="s">
        <v>276</v>
      </c>
      <c r="R50" s="146" t="s">
        <v>313</v>
      </c>
      <c r="S50" s="146" t="s">
        <v>304</v>
      </c>
      <c r="T50" s="146" t="s">
        <v>305</v>
      </c>
      <c r="U50" s="146" t="s">
        <v>304</v>
      </c>
      <c r="V50" s="146" t="s">
        <v>276</v>
      </c>
      <c r="W50" s="146" t="s">
        <v>287</v>
      </c>
      <c r="X50" s="146" t="s">
        <v>288</v>
      </c>
      <c r="Y50" s="146" t="s">
        <v>305</v>
      </c>
      <c r="Z50" s="146" t="s">
        <v>304</v>
      </c>
      <c r="AA50" s="146" t="s">
        <v>289</v>
      </c>
      <c r="AB50" s="146" t="s">
        <v>290</v>
      </c>
    </row>
    <row r="51" spans="1:28" hidden="1" x14ac:dyDescent="0.15">
      <c r="A51" s="110" t="s">
        <v>509</v>
      </c>
      <c r="B51" s="145">
        <v>44</v>
      </c>
      <c r="C51" s="146" t="s">
        <v>2</v>
      </c>
      <c r="D51" s="146" t="s">
        <v>3</v>
      </c>
      <c r="E51" s="146" t="s">
        <v>8</v>
      </c>
      <c r="F51" s="146" t="s">
        <v>1</v>
      </c>
      <c r="G51" s="146" t="s">
        <v>276</v>
      </c>
      <c r="H51" s="146" t="s">
        <v>315</v>
      </c>
      <c r="I51" s="146" t="s">
        <v>75</v>
      </c>
      <c r="J51" s="146" t="s">
        <v>76</v>
      </c>
      <c r="K51" s="146" t="s">
        <v>277</v>
      </c>
      <c r="L51" s="146" t="s">
        <v>277</v>
      </c>
      <c r="M51" s="146" t="s">
        <v>276</v>
      </c>
      <c r="N51" s="146" t="s">
        <v>279</v>
      </c>
      <c r="O51" s="146" t="s">
        <v>276</v>
      </c>
      <c r="P51" s="146" t="s">
        <v>276</v>
      </c>
      <c r="Q51" s="146" t="s">
        <v>276</v>
      </c>
      <c r="R51" s="146" t="s">
        <v>313</v>
      </c>
      <c r="S51" s="146" t="s">
        <v>304</v>
      </c>
      <c r="T51" s="146" t="s">
        <v>281</v>
      </c>
      <c r="U51" s="146" t="s">
        <v>281</v>
      </c>
      <c r="V51" s="146" t="s">
        <v>312</v>
      </c>
      <c r="W51" s="146" t="s">
        <v>307</v>
      </c>
      <c r="X51" s="146" t="s">
        <v>281</v>
      </c>
      <c r="Y51" s="146" t="s">
        <v>305</v>
      </c>
      <c r="Z51" s="146" t="s">
        <v>304</v>
      </c>
      <c r="AA51" s="146" t="s">
        <v>309</v>
      </c>
      <c r="AB51" s="146" t="s">
        <v>286</v>
      </c>
    </row>
    <row r="52" spans="1:28" hidden="1" x14ac:dyDescent="0.15">
      <c r="A52" s="110" t="s">
        <v>510</v>
      </c>
      <c r="B52" s="145">
        <v>45</v>
      </c>
      <c r="C52" s="146" t="s">
        <v>2</v>
      </c>
      <c r="D52" s="146" t="s">
        <v>2</v>
      </c>
      <c r="E52" s="146" t="s">
        <v>8</v>
      </c>
      <c r="F52" s="146" t="s">
        <v>1</v>
      </c>
      <c r="G52" s="146" t="s">
        <v>276</v>
      </c>
      <c r="H52" s="146" t="s">
        <v>205</v>
      </c>
      <c r="I52" s="146" t="s">
        <v>71</v>
      </c>
      <c r="J52" s="146" t="s">
        <v>72</v>
      </c>
      <c r="K52" s="146" t="s">
        <v>277</v>
      </c>
      <c r="L52" s="146" t="s">
        <v>277</v>
      </c>
      <c r="M52" s="146" t="s">
        <v>276</v>
      </c>
      <c r="N52" s="146" t="s">
        <v>277</v>
      </c>
      <c r="O52" s="146" t="s">
        <v>276</v>
      </c>
      <c r="P52" s="146" t="s">
        <v>276</v>
      </c>
      <c r="Q52" s="146" t="s">
        <v>276</v>
      </c>
      <c r="R52" s="146" t="s">
        <v>316</v>
      </c>
      <c r="S52" s="146" t="s">
        <v>304</v>
      </c>
      <c r="T52" s="146" t="s">
        <v>281</v>
      </c>
      <c r="U52" s="146" t="s">
        <v>281</v>
      </c>
      <c r="V52" s="146" t="s">
        <v>276</v>
      </c>
      <c r="W52" s="146" t="s">
        <v>276</v>
      </c>
      <c r="X52" s="146" t="s">
        <v>276</v>
      </c>
      <c r="Y52" s="146" t="s">
        <v>276</v>
      </c>
      <c r="Z52" s="146" t="s">
        <v>276</v>
      </c>
      <c r="AA52" s="146" t="s">
        <v>276</v>
      </c>
      <c r="AB52" s="146" t="s">
        <v>276</v>
      </c>
    </row>
    <row r="53" spans="1:28" hidden="1" x14ac:dyDescent="0.15">
      <c r="A53" s="110" t="s">
        <v>511</v>
      </c>
      <c r="B53" s="145">
        <v>46</v>
      </c>
      <c r="C53" s="146" t="s">
        <v>2</v>
      </c>
      <c r="D53" s="146" t="s">
        <v>0</v>
      </c>
      <c r="E53" s="146" t="s">
        <v>8</v>
      </c>
      <c r="F53" s="146" t="s">
        <v>1</v>
      </c>
      <c r="G53" s="146" t="s">
        <v>276</v>
      </c>
      <c r="H53" s="146" t="s">
        <v>512</v>
      </c>
      <c r="I53" s="146" t="s">
        <v>67</v>
      </c>
      <c r="J53" s="146" t="s">
        <v>68</v>
      </c>
      <c r="K53" s="146" t="s">
        <v>277</v>
      </c>
      <c r="L53" s="146" t="s">
        <v>277</v>
      </c>
      <c r="M53" s="146" t="s">
        <v>276</v>
      </c>
      <c r="N53" s="146" t="s">
        <v>291</v>
      </c>
      <c r="O53" s="146" t="s">
        <v>276</v>
      </c>
      <c r="P53" s="146" t="s">
        <v>276</v>
      </c>
      <c r="Q53" s="146" t="s">
        <v>276</v>
      </c>
      <c r="R53" s="146" t="s">
        <v>316</v>
      </c>
      <c r="S53" s="146" t="s">
        <v>304</v>
      </c>
      <c r="T53" s="146" t="s">
        <v>281</v>
      </c>
      <c r="U53" s="146" t="s">
        <v>281</v>
      </c>
      <c r="V53" s="146" t="s">
        <v>276</v>
      </c>
      <c r="W53" s="146" t="s">
        <v>276</v>
      </c>
      <c r="X53" s="146" t="s">
        <v>276</v>
      </c>
      <c r="Y53" s="146" t="s">
        <v>276</v>
      </c>
      <c r="Z53" s="146" t="s">
        <v>276</v>
      </c>
      <c r="AA53" s="146" t="s">
        <v>276</v>
      </c>
      <c r="AB53" s="146" t="s">
        <v>276</v>
      </c>
    </row>
    <row r="54" spans="1:28" hidden="1" x14ac:dyDescent="0.15">
      <c r="A54" s="110" t="s">
        <v>513</v>
      </c>
      <c r="B54" s="145">
        <v>47</v>
      </c>
      <c r="C54" s="146" t="s">
        <v>0</v>
      </c>
      <c r="D54" s="146" t="s">
        <v>3</v>
      </c>
      <c r="E54" s="146" t="s">
        <v>8</v>
      </c>
      <c r="F54" s="146" t="s">
        <v>1</v>
      </c>
      <c r="G54" s="146" t="s">
        <v>276</v>
      </c>
      <c r="H54" s="146" t="s">
        <v>317</v>
      </c>
      <c r="I54" s="146" t="s">
        <v>81</v>
      </c>
      <c r="J54" s="146" t="s">
        <v>82</v>
      </c>
      <c r="K54" s="146" t="s">
        <v>277</v>
      </c>
      <c r="L54" s="146" t="s">
        <v>291</v>
      </c>
      <c r="M54" s="146" t="s">
        <v>276</v>
      </c>
      <c r="N54" s="146" t="s">
        <v>279</v>
      </c>
      <c r="O54" s="146" t="s">
        <v>276</v>
      </c>
      <c r="P54" s="146" t="s">
        <v>276</v>
      </c>
      <c r="Q54" s="146" t="s">
        <v>276</v>
      </c>
      <c r="R54" s="146" t="s">
        <v>313</v>
      </c>
      <c r="S54" s="146" t="s">
        <v>304</v>
      </c>
      <c r="T54" s="146" t="s">
        <v>281</v>
      </c>
      <c r="U54" s="146" t="s">
        <v>281</v>
      </c>
      <c r="V54" s="146" t="s">
        <v>312</v>
      </c>
      <c r="W54" s="146" t="s">
        <v>307</v>
      </c>
      <c r="X54" s="146" t="s">
        <v>281</v>
      </c>
      <c r="Y54" s="146" t="s">
        <v>308</v>
      </c>
      <c r="Z54" s="146" t="s">
        <v>304</v>
      </c>
      <c r="AA54" s="146" t="s">
        <v>309</v>
      </c>
      <c r="AB54" s="146" t="s">
        <v>286</v>
      </c>
    </row>
    <row r="55" spans="1:28" hidden="1" x14ac:dyDescent="0.15">
      <c r="A55" s="110" t="s">
        <v>514</v>
      </c>
      <c r="B55" s="145">
        <v>48</v>
      </c>
      <c r="C55" s="146" t="s">
        <v>0</v>
      </c>
      <c r="D55" s="146" t="s">
        <v>3</v>
      </c>
      <c r="E55" s="146" t="s">
        <v>8</v>
      </c>
      <c r="F55" s="146" t="s">
        <v>1</v>
      </c>
      <c r="G55" s="146" t="s">
        <v>276</v>
      </c>
      <c r="H55" s="146" t="s">
        <v>318</v>
      </c>
      <c r="I55" s="146" t="s">
        <v>89</v>
      </c>
      <c r="J55" s="146" t="s">
        <v>90</v>
      </c>
      <c r="K55" s="146" t="s">
        <v>277</v>
      </c>
      <c r="L55" s="146" t="s">
        <v>291</v>
      </c>
      <c r="M55" s="146" t="s">
        <v>276</v>
      </c>
      <c r="N55" s="146" t="s">
        <v>277</v>
      </c>
      <c r="O55" s="146" t="s">
        <v>276</v>
      </c>
      <c r="P55" s="146" t="s">
        <v>276</v>
      </c>
      <c r="Q55" s="146" t="s">
        <v>276</v>
      </c>
      <c r="R55" s="146" t="s">
        <v>316</v>
      </c>
      <c r="S55" s="146" t="s">
        <v>304</v>
      </c>
      <c r="T55" s="146" t="s">
        <v>281</v>
      </c>
      <c r="U55" s="146" t="s">
        <v>281</v>
      </c>
      <c r="V55" s="146" t="s">
        <v>319</v>
      </c>
      <c r="W55" s="146" t="s">
        <v>307</v>
      </c>
      <c r="X55" s="146" t="s">
        <v>281</v>
      </c>
      <c r="Y55" s="146" t="s">
        <v>305</v>
      </c>
      <c r="Z55" s="146" t="s">
        <v>304</v>
      </c>
      <c r="AA55" s="146" t="s">
        <v>309</v>
      </c>
      <c r="AB55" s="146" t="s">
        <v>286</v>
      </c>
    </row>
    <row r="56" spans="1:28" hidden="1" x14ac:dyDescent="0.15">
      <c r="A56" s="110" t="s">
        <v>515</v>
      </c>
      <c r="B56" s="145">
        <v>49</v>
      </c>
      <c r="C56" s="146" t="s">
        <v>0</v>
      </c>
      <c r="D56" s="146" t="s">
        <v>3</v>
      </c>
      <c r="E56" s="146" t="s">
        <v>8</v>
      </c>
      <c r="F56" s="146" t="s">
        <v>1</v>
      </c>
      <c r="G56" s="146" t="s">
        <v>276</v>
      </c>
      <c r="H56" s="146" t="s">
        <v>206</v>
      </c>
      <c r="I56" s="146" t="s">
        <v>79</v>
      </c>
      <c r="J56" s="146" t="s">
        <v>80</v>
      </c>
      <c r="K56" s="146" t="s">
        <v>277</v>
      </c>
      <c r="L56" s="146" t="s">
        <v>293</v>
      </c>
      <c r="M56" s="146" t="s">
        <v>276</v>
      </c>
      <c r="N56" s="146" t="s">
        <v>291</v>
      </c>
      <c r="O56" s="146" t="s">
        <v>276</v>
      </c>
      <c r="P56" s="146" t="s">
        <v>276</v>
      </c>
      <c r="Q56" s="146" t="s">
        <v>276</v>
      </c>
      <c r="R56" s="146" t="s">
        <v>320</v>
      </c>
      <c r="S56" s="146" t="s">
        <v>304</v>
      </c>
      <c r="T56" s="146" t="s">
        <v>281</v>
      </c>
      <c r="U56" s="146" t="s">
        <v>281</v>
      </c>
      <c r="V56" s="146" t="s">
        <v>321</v>
      </c>
      <c r="W56" s="146" t="s">
        <v>307</v>
      </c>
      <c r="X56" s="146" t="s">
        <v>281</v>
      </c>
      <c r="Y56" s="146" t="s">
        <v>305</v>
      </c>
      <c r="Z56" s="146" t="s">
        <v>304</v>
      </c>
      <c r="AA56" s="146" t="s">
        <v>309</v>
      </c>
      <c r="AB56" s="146" t="s">
        <v>286</v>
      </c>
    </row>
    <row r="57" spans="1:28" hidden="1" x14ac:dyDescent="0.15">
      <c r="A57" s="110" t="s">
        <v>516</v>
      </c>
      <c r="B57" s="145">
        <v>50</v>
      </c>
      <c r="C57" s="146" t="s">
        <v>0</v>
      </c>
      <c r="D57" s="146" t="s">
        <v>2</v>
      </c>
      <c r="E57" s="146" t="s">
        <v>8</v>
      </c>
      <c r="F57" s="146" t="s">
        <v>1</v>
      </c>
      <c r="G57" s="146" t="s">
        <v>276</v>
      </c>
      <c r="H57" s="146" t="s">
        <v>207</v>
      </c>
      <c r="I57" s="146" t="s">
        <v>77</v>
      </c>
      <c r="J57" s="146" t="s">
        <v>78</v>
      </c>
      <c r="K57" s="146" t="s">
        <v>277</v>
      </c>
      <c r="L57" s="146" t="s">
        <v>291</v>
      </c>
      <c r="M57" s="146" t="s">
        <v>276</v>
      </c>
      <c r="N57" s="146" t="s">
        <v>291</v>
      </c>
      <c r="O57" s="146" t="s">
        <v>276</v>
      </c>
      <c r="P57" s="146" t="s">
        <v>276</v>
      </c>
      <c r="Q57" s="146" t="s">
        <v>276</v>
      </c>
      <c r="R57" s="146" t="s">
        <v>320</v>
      </c>
      <c r="S57" s="146" t="s">
        <v>304</v>
      </c>
      <c r="T57" s="146" t="s">
        <v>281</v>
      </c>
      <c r="U57" s="146" t="s">
        <v>281</v>
      </c>
      <c r="V57" s="146" t="s">
        <v>276</v>
      </c>
      <c r="W57" s="146" t="s">
        <v>276</v>
      </c>
      <c r="X57" s="146" t="s">
        <v>276</v>
      </c>
      <c r="Y57" s="146" t="s">
        <v>276</v>
      </c>
      <c r="Z57" s="146" t="s">
        <v>276</v>
      </c>
      <c r="AA57" s="146" t="s">
        <v>276</v>
      </c>
      <c r="AB57" s="146" t="s">
        <v>276</v>
      </c>
    </row>
    <row r="58" spans="1:28" hidden="1" x14ac:dyDescent="0.15">
      <c r="A58" s="110" t="s">
        <v>516</v>
      </c>
      <c r="B58" s="145">
        <v>51</v>
      </c>
      <c r="C58" s="146" t="s">
        <v>0</v>
      </c>
      <c r="D58" s="146" t="s">
        <v>0</v>
      </c>
      <c r="E58" s="146" t="s">
        <v>8</v>
      </c>
      <c r="F58" s="146" t="s">
        <v>1</v>
      </c>
      <c r="G58" s="146" t="s">
        <v>276</v>
      </c>
      <c r="H58" s="146" t="s">
        <v>208</v>
      </c>
      <c r="I58" s="146" t="s">
        <v>83</v>
      </c>
      <c r="J58" s="146" t="s">
        <v>84</v>
      </c>
      <c r="K58" s="146" t="s">
        <v>277</v>
      </c>
      <c r="L58" s="146" t="s">
        <v>291</v>
      </c>
      <c r="M58" s="146" t="s">
        <v>276</v>
      </c>
      <c r="N58" s="146" t="s">
        <v>293</v>
      </c>
      <c r="O58" s="146" t="s">
        <v>276</v>
      </c>
      <c r="P58" s="146" t="s">
        <v>276</v>
      </c>
      <c r="Q58" s="146" t="s">
        <v>276</v>
      </c>
      <c r="R58" s="146" t="s">
        <v>320</v>
      </c>
      <c r="S58" s="146" t="s">
        <v>304</v>
      </c>
      <c r="T58" s="146" t="s">
        <v>281</v>
      </c>
      <c r="U58" s="146" t="s">
        <v>281</v>
      </c>
      <c r="V58" s="146" t="s">
        <v>276</v>
      </c>
      <c r="W58" s="146" t="s">
        <v>276</v>
      </c>
      <c r="X58" s="146" t="s">
        <v>276</v>
      </c>
      <c r="Y58" s="146" t="s">
        <v>276</v>
      </c>
      <c r="Z58" s="146" t="s">
        <v>276</v>
      </c>
      <c r="AA58" s="146" t="s">
        <v>276</v>
      </c>
      <c r="AB58" s="146" t="s">
        <v>276</v>
      </c>
    </row>
    <row r="59" spans="1:28" hidden="1" x14ac:dyDescent="0.15">
      <c r="A59" s="110" t="s">
        <v>517</v>
      </c>
      <c r="B59" s="145">
        <v>52</v>
      </c>
      <c r="C59" s="146" t="s">
        <v>3</v>
      </c>
      <c r="D59" s="146" t="s">
        <v>3</v>
      </c>
      <c r="E59" s="146" t="s">
        <v>8</v>
      </c>
      <c r="F59" s="146" t="s">
        <v>518</v>
      </c>
      <c r="G59" s="146" t="s">
        <v>276</v>
      </c>
      <c r="H59" s="146" t="s">
        <v>323</v>
      </c>
      <c r="I59" s="146" t="s">
        <v>240</v>
      </c>
      <c r="J59" s="146" t="s">
        <v>241</v>
      </c>
      <c r="K59" s="146" t="s">
        <v>277</v>
      </c>
      <c r="L59" s="146" t="s">
        <v>279</v>
      </c>
      <c r="M59" s="146" t="s">
        <v>276</v>
      </c>
      <c r="N59" s="146" t="s">
        <v>276</v>
      </c>
      <c r="O59" s="146" t="s">
        <v>284</v>
      </c>
      <c r="P59" s="146" t="s">
        <v>276</v>
      </c>
      <c r="Q59" s="146" t="s">
        <v>276</v>
      </c>
      <c r="R59" s="146" t="s">
        <v>279</v>
      </c>
      <c r="S59" s="146" t="s">
        <v>280</v>
      </c>
      <c r="T59" s="146" t="s">
        <v>284</v>
      </c>
      <c r="U59" s="146" t="s">
        <v>280</v>
      </c>
      <c r="V59" s="146" t="s">
        <v>276</v>
      </c>
      <c r="W59" s="146" t="s">
        <v>287</v>
      </c>
      <c r="X59" s="146" t="s">
        <v>288</v>
      </c>
      <c r="Y59" s="146" t="s">
        <v>284</v>
      </c>
      <c r="Z59" s="146" t="s">
        <v>280</v>
      </c>
      <c r="AA59" s="146" t="s">
        <v>519</v>
      </c>
      <c r="AB59" s="146" t="s">
        <v>494</v>
      </c>
    </row>
    <row r="60" spans="1:28" hidden="1" x14ac:dyDescent="0.15">
      <c r="A60" s="110" t="s">
        <v>520</v>
      </c>
      <c r="B60" s="145">
        <v>53</v>
      </c>
      <c r="C60" s="146" t="s">
        <v>2</v>
      </c>
      <c r="D60" s="146" t="s">
        <v>3</v>
      </c>
      <c r="E60" s="146" t="s">
        <v>8</v>
      </c>
      <c r="F60" s="146" t="s">
        <v>322</v>
      </c>
      <c r="G60" s="146" t="s">
        <v>276</v>
      </c>
      <c r="H60" s="146" t="s">
        <v>324</v>
      </c>
      <c r="I60" s="146" t="s">
        <v>87</v>
      </c>
      <c r="J60" s="146" t="s">
        <v>88</v>
      </c>
      <c r="K60" s="146" t="s">
        <v>277</v>
      </c>
      <c r="L60" s="146" t="s">
        <v>277</v>
      </c>
      <c r="M60" s="146" t="s">
        <v>276</v>
      </c>
      <c r="N60" s="146" t="s">
        <v>276</v>
      </c>
      <c r="O60" s="146" t="s">
        <v>284</v>
      </c>
      <c r="P60" s="146" t="s">
        <v>276</v>
      </c>
      <c r="Q60" s="146" t="s">
        <v>276</v>
      </c>
      <c r="R60" s="146" t="s">
        <v>277</v>
      </c>
      <c r="S60" s="146" t="s">
        <v>280</v>
      </c>
      <c r="T60" s="146" t="s">
        <v>281</v>
      </c>
      <c r="U60" s="146" t="s">
        <v>281</v>
      </c>
      <c r="V60" s="146" t="s">
        <v>276</v>
      </c>
      <c r="W60" s="146" t="s">
        <v>276</v>
      </c>
      <c r="X60" s="146" t="s">
        <v>276</v>
      </c>
      <c r="Y60" s="146" t="s">
        <v>276</v>
      </c>
      <c r="Z60" s="146" t="s">
        <v>276</v>
      </c>
      <c r="AA60" s="146" t="s">
        <v>276</v>
      </c>
      <c r="AB60" s="146" t="s">
        <v>276</v>
      </c>
    </row>
    <row r="61" spans="1:28" hidden="1" x14ac:dyDescent="0.15">
      <c r="A61" s="110" t="s">
        <v>520</v>
      </c>
      <c r="B61" s="145">
        <v>54</v>
      </c>
      <c r="C61" s="146" t="s">
        <v>0</v>
      </c>
      <c r="D61" s="146" t="s">
        <v>3</v>
      </c>
      <c r="E61" s="146" t="s">
        <v>8</v>
      </c>
      <c r="F61" s="146" t="s">
        <v>322</v>
      </c>
      <c r="G61" s="146" t="s">
        <v>276</v>
      </c>
      <c r="H61" s="146" t="s">
        <v>217</v>
      </c>
      <c r="I61" s="146" t="s">
        <v>85</v>
      </c>
      <c r="J61" s="146" t="s">
        <v>86</v>
      </c>
      <c r="K61" s="146" t="s">
        <v>277</v>
      </c>
      <c r="L61" s="146" t="s">
        <v>291</v>
      </c>
      <c r="M61" s="146" t="s">
        <v>276</v>
      </c>
      <c r="N61" s="146" t="s">
        <v>276</v>
      </c>
      <c r="O61" s="146" t="s">
        <v>305</v>
      </c>
      <c r="P61" s="146" t="s">
        <v>276</v>
      </c>
      <c r="Q61" s="146" t="s">
        <v>276</v>
      </c>
      <c r="R61" s="146" t="s">
        <v>291</v>
      </c>
      <c r="S61" s="146" t="s">
        <v>280</v>
      </c>
      <c r="T61" s="146" t="s">
        <v>281</v>
      </c>
      <c r="U61" s="146" t="s">
        <v>281</v>
      </c>
      <c r="V61" s="146" t="s">
        <v>276</v>
      </c>
      <c r="W61" s="146" t="s">
        <v>276</v>
      </c>
      <c r="X61" s="146" t="s">
        <v>276</v>
      </c>
      <c r="Y61" s="146" t="s">
        <v>276</v>
      </c>
      <c r="Z61" s="146" t="s">
        <v>276</v>
      </c>
      <c r="AA61" s="146" t="s">
        <v>276</v>
      </c>
      <c r="AB61" s="146" t="s">
        <v>276</v>
      </c>
    </row>
    <row r="62" spans="1:28" hidden="1" x14ac:dyDescent="0.15">
      <c r="A62" s="110" t="s">
        <v>520</v>
      </c>
      <c r="B62" s="145">
        <v>55</v>
      </c>
      <c r="C62" s="146" t="s">
        <v>0</v>
      </c>
      <c r="D62" s="146" t="s">
        <v>3</v>
      </c>
      <c r="E62" s="146" t="s">
        <v>8</v>
      </c>
      <c r="F62" s="146" t="s">
        <v>322</v>
      </c>
      <c r="G62" s="146" t="s">
        <v>276</v>
      </c>
      <c r="H62" s="146" t="s">
        <v>218</v>
      </c>
      <c r="I62" s="146" t="s">
        <v>242</v>
      </c>
      <c r="J62" s="146" t="s">
        <v>243</v>
      </c>
      <c r="K62" s="146" t="s">
        <v>277</v>
      </c>
      <c r="L62" s="146" t="s">
        <v>291</v>
      </c>
      <c r="M62" s="146" t="s">
        <v>276</v>
      </c>
      <c r="N62" s="146" t="s">
        <v>276</v>
      </c>
      <c r="O62" s="146" t="s">
        <v>284</v>
      </c>
      <c r="P62" s="146" t="s">
        <v>276</v>
      </c>
      <c r="Q62" s="146" t="s">
        <v>276</v>
      </c>
      <c r="R62" s="146" t="s">
        <v>325</v>
      </c>
      <c r="S62" s="146" t="s">
        <v>280</v>
      </c>
      <c r="T62" s="146" t="s">
        <v>281</v>
      </c>
      <c r="U62" s="146" t="s">
        <v>281</v>
      </c>
      <c r="V62" s="146" t="s">
        <v>276</v>
      </c>
      <c r="W62" s="146" t="s">
        <v>276</v>
      </c>
      <c r="X62" s="146" t="s">
        <v>276</v>
      </c>
      <c r="Y62" s="146" t="s">
        <v>276</v>
      </c>
      <c r="Z62" s="146" t="s">
        <v>276</v>
      </c>
      <c r="AA62" s="146" t="s">
        <v>276</v>
      </c>
      <c r="AB62" s="146" t="s">
        <v>276</v>
      </c>
    </row>
    <row r="63" spans="1:28" hidden="1" x14ac:dyDescent="0.15">
      <c r="A63" s="110" t="s">
        <v>520</v>
      </c>
      <c r="B63" s="145">
        <v>56</v>
      </c>
      <c r="C63" s="146" t="s">
        <v>0</v>
      </c>
      <c r="D63" s="146" t="s">
        <v>3</v>
      </c>
      <c r="E63" s="146" t="s">
        <v>8</v>
      </c>
      <c r="F63" s="146" t="s">
        <v>322</v>
      </c>
      <c r="G63" s="146" t="s">
        <v>276</v>
      </c>
      <c r="H63" s="146" t="s">
        <v>219</v>
      </c>
      <c r="I63" s="146" t="s">
        <v>91</v>
      </c>
      <c r="J63" s="146" t="s">
        <v>92</v>
      </c>
      <c r="K63" s="146" t="s">
        <v>277</v>
      </c>
      <c r="L63" s="146" t="s">
        <v>291</v>
      </c>
      <c r="M63" s="146" t="s">
        <v>276</v>
      </c>
      <c r="N63" s="146" t="s">
        <v>276</v>
      </c>
      <c r="O63" s="146" t="s">
        <v>284</v>
      </c>
      <c r="P63" s="146" t="s">
        <v>276</v>
      </c>
      <c r="Q63" s="146" t="s">
        <v>276</v>
      </c>
      <c r="R63" s="146" t="s">
        <v>291</v>
      </c>
      <c r="S63" s="146" t="s">
        <v>280</v>
      </c>
      <c r="T63" s="146" t="s">
        <v>281</v>
      </c>
      <c r="U63" s="146" t="s">
        <v>281</v>
      </c>
      <c r="V63" s="146" t="s">
        <v>276</v>
      </c>
      <c r="W63" s="146" t="s">
        <v>276</v>
      </c>
      <c r="X63" s="146" t="s">
        <v>276</v>
      </c>
      <c r="Y63" s="146" t="s">
        <v>276</v>
      </c>
      <c r="Z63" s="146" t="s">
        <v>276</v>
      </c>
      <c r="AA63" s="146" t="s">
        <v>276</v>
      </c>
      <c r="AB63" s="146" t="s">
        <v>276</v>
      </c>
    </row>
    <row r="64" spans="1:28" hidden="1" x14ac:dyDescent="0.15">
      <c r="A64" s="110" t="s">
        <v>517</v>
      </c>
      <c r="B64" s="145">
        <v>57</v>
      </c>
      <c r="C64" s="146" t="s">
        <v>3</v>
      </c>
      <c r="D64" s="146" t="s">
        <v>3</v>
      </c>
      <c r="E64" s="146" t="s">
        <v>8</v>
      </c>
      <c r="F64" s="146" t="s">
        <v>326</v>
      </c>
      <c r="G64" s="146" t="s">
        <v>276</v>
      </c>
      <c r="H64" s="146" t="s">
        <v>327</v>
      </c>
      <c r="I64" s="146" t="s">
        <v>93</v>
      </c>
      <c r="J64" s="146" t="s">
        <v>94</v>
      </c>
      <c r="K64" s="146" t="s">
        <v>277</v>
      </c>
      <c r="L64" s="146" t="s">
        <v>279</v>
      </c>
      <c r="M64" s="146" t="s">
        <v>276</v>
      </c>
      <c r="N64" s="146" t="s">
        <v>276</v>
      </c>
      <c r="O64" s="146" t="s">
        <v>295</v>
      </c>
      <c r="P64" s="146" t="s">
        <v>276</v>
      </c>
      <c r="Q64" s="146" t="s">
        <v>276</v>
      </c>
      <c r="R64" s="146" t="s">
        <v>279</v>
      </c>
      <c r="S64" s="146" t="s">
        <v>280</v>
      </c>
      <c r="T64" s="146" t="s">
        <v>284</v>
      </c>
      <c r="U64" s="146" t="s">
        <v>280</v>
      </c>
      <c r="V64" s="146" t="s">
        <v>276</v>
      </c>
      <c r="W64" s="146" t="s">
        <v>287</v>
      </c>
      <c r="X64" s="146" t="s">
        <v>288</v>
      </c>
      <c r="Y64" s="146" t="s">
        <v>284</v>
      </c>
      <c r="Z64" s="146" t="s">
        <v>280</v>
      </c>
      <c r="AA64" s="146" t="s">
        <v>289</v>
      </c>
      <c r="AB64" s="146" t="s">
        <v>290</v>
      </c>
    </row>
    <row r="65" spans="1:28" hidden="1" x14ac:dyDescent="0.15">
      <c r="A65" s="110" t="s">
        <v>520</v>
      </c>
      <c r="B65" s="145">
        <v>58</v>
      </c>
      <c r="C65" s="146" t="s">
        <v>2</v>
      </c>
      <c r="D65" s="146" t="s">
        <v>3</v>
      </c>
      <c r="E65" s="146" t="s">
        <v>8</v>
      </c>
      <c r="F65" s="146" t="s">
        <v>326</v>
      </c>
      <c r="G65" s="146" t="s">
        <v>276</v>
      </c>
      <c r="H65" s="146" t="s">
        <v>328</v>
      </c>
      <c r="I65" s="146" t="s">
        <v>95</v>
      </c>
      <c r="J65" s="146" t="s">
        <v>96</v>
      </c>
      <c r="K65" s="146" t="s">
        <v>277</v>
      </c>
      <c r="L65" s="146" t="s">
        <v>277</v>
      </c>
      <c r="M65" s="146" t="s">
        <v>276</v>
      </c>
      <c r="N65" s="146" t="s">
        <v>276</v>
      </c>
      <c r="O65" s="146" t="s">
        <v>295</v>
      </c>
      <c r="P65" s="146" t="s">
        <v>276</v>
      </c>
      <c r="Q65" s="146" t="s">
        <v>276</v>
      </c>
      <c r="R65" s="146" t="s">
        <v>277</v>
      </c>
      <c r="S65" s="146" t="s">
        <v>280</v>
      </c>
      <c r="T65" s="146" t="s">
        <v>281</v>
      </c>
      <c r="U65" s="146" t="s">
        <v>281</v>
      </c>
      <c r="V65" s="146" t="s">
        <v>276</v>
      </c>
      <c r="W65" s="146" t="s">
        <v>276</v>
      </c>
      <c r="X65" s="146" t="s">
        <v>276</v>
      </c>
      <c r="Y65" s="146" t="s">
        <v>276</v>
      </c>
      <c r="Z65" s="146" t="s">
        <v>276</v>
      </c>
      <c r="AA65" s="146" t="s">
        <v>276</v>
      </c>
      <c r="AB65" s="146" t="s">
        <v>276</v>
      </c>
    </row>
    <row r="66" spans="1:28" hidden="1" x14ac:dyDescent="0.15">
      <c r="A66" s="110" t="s">
        <v>520</v>
      </c>
      <c r="B66" s="145">
        <v>59</v>
      </c>
      <c r="C66" s="146" t="s">
        <v>0</v>
      </c>
      <c r="D66" s="146" t="s">
        <v>3</v>
      </c>
      <c r="E66" s="146" t="s">
        <v>8</v>
      </c>
      <c r="F66" s="146" t="s">
        <v>326</v>
      </c>
      <c r="G66" s="146" t="s">
        <v>276</v>
      </c>
      <c r="H66" s="146" t="s">
        <v>220</v>
      </c>
      <c r="I66" s="146" t="s">
        <v>244</v>
      </c>
      <c r="J66" s="146" t="s">
        <v>245</v>
      </c>
      <c r="K66" s="146" t="s">
        <v>277</v>
      </c>
      <c r="L66" s="146" t="s">
        <v>291</v>
      </c>
      <c r="M66" s="146" t="s">
        <v>276</v>
      </c>
      <c r="N66" s="146" t="s">
        <v>276</v>
      </c>
      <c r="O66" s="146" t="s">
        <v>295</v>
      </c>
      <c r="P66" s="146" t="s">
        <v>276</v>
      </c>
      <c r="Q66" s="146" t="s">
        <v>276</v>
      </c>
      <c r="R66" s="146" t="s">
        <v>291</v>
      </c>
      <c r="S66" s="146" t="s">
        <v>280</v>
      </c>
      <c r="T66" s="146" t="s">
        <v>281</v>
      </c>
      <c r="U66" s="146" t="s">
        <v>281</v>
      </c>
      <c r="V66" s="146" t="s">
        <v>276</v>
      </c>
      <c r="W66" s="146" t="s">
        <v>276</v>
      </c>
      <c r="X66" s="146" t="s">
        <v>276</v>
      </c>
      <c r="Y66" s="146" t="s">
        <v>276</v>
      </c>
      <c r="Z66" s="146" t="s">
        <v>276</v>
      </c>
      <c r="AA66" s="146" t="s">
        <v>276</v>
      </c>
      <c r="AB66" s="146" t="s">
        <v>276</v>
      </c>
    </row>
    <row r="67" spans="1:28" hidden="1" x14ac:dyDescent="0.15">
      <c r="A67" s="110" t="s">
        <v>520</v>
      </c>
      <c r="B67" s="145">
        <v>60</v>
      </c>
      <c r="C67" s="146" t="s">
        <v>0</v>
      </c>
      <c r="D67" s="146" t="s">
        <v>3</v>
      </c>
      <c r="E67" s="146" t="s">
        <v>8</v>
      </c>
      <c r="F67" s="146" t="s">
        <v>326</v>
      </c>
      <c r="G67" s="146" t="s">
        <v>276</v>
      </c>
      <c r="H67" s="146" t="s">
        <v>221</v>
      </c>
      <c r="I67" s="146" t="s">
        <v>97</v>
      </c>
      <c r="J67" s="146" t="s">
        <v>98</v>
      </c>
      <c r="K67" s="146" t="s">
        <v>277</v>
      </c>
      <c r="L67" s="146" t="s">
        <v>291</v>
      </c>
      <c r="M67" s="146" t="s">
        <v>276</v>
      </c>
      <c r="N67" s="146" t="s">
        <v>276</v>
      </c>
      <c r="O67" s="146" t="s">
        <v>295</v>
      </c>
      <c r="P67" s="146" t="s">
        <v>276</v>
      </c>
      <c r="Q67" s="146" t="s">
        <v>276</v>
      </c>
      <c r="R67" s="146" t="s">
        <v>291</v>
      </c>
      <c r="S67" s="146" t="s">
        <v>280</v>
      </c>
      <c r="T67" s="146" t="s">
        <v>281</v>
      </c>
      <c r="U67" s="146" t="s">
        <v>281</v>
      </c>
      <c r="V67" s="146" t="s">
        <v>276</v>
      </c>
      <c r="W67" s="146" t="s">
        <v>276</v>
      </c>
      <c r="X67" s="146" t="s">
        <v>276</v>
      </c>
      <c r="Y67" s="146" t="s">
        <v>276</v>
      </c>
      <c r="Z67" s="146" t="s">
        <v>276</v>
      </c>
      <c r="AA67" s="146" t="s">
        <v>276</v>
      </c>
      <c r="AB67" s="146" t="s">
        <v>276</v>
      </c>
    </row>
    <row r="68" spans="1:28" hidden="1" x14ac:dyDescent="0.15">
      <c r="A68" s="110" t="s">
        <v>520</v>
      </c>
      <c r="B68" s="145">
        <v>61</v>
      </c>
      <c r="C68" s="146" t="s">
        <v>0</v>
      </c>
      <c r="D68" s="146" t="s">
        <v>3</v>
      </c>
      <c r="E68" s="146" t="s">
        <v>8</v>
      </c>
      <c r="F68" s="146" t="s">
        <v>521</v>
      </c>
      <c r="G68" s="146" t="s">
        <v>276</v>
      </c>
      <c r="H68" s="146" t="s">
        <v>222</v>
      </c>
      <c r="I68" s="146" t="s">
        <v>99</v>
      </c>
      <c r="J68" s="146" t="s">
        <v>100</v>
      </c>
      <c r="K68" s="146" t="s">
        <v>277</v>
      </c>
      <c r="L68" s="146" t="s">
        <v>291</v>
      </c>
      <c r="M68" s="146" t="s">
        <v>276</v>
      </c>
      <c r="N68" s="146" t="s">
        <v>276</v>
      </c>
      <c r="O68" s="146" t="s">
        <v>295</v>
      </c>
      <c r="P68" s="146" t="s">
        <v>276</v>
      </c>
      <c r="Q68" s="146" t="s">
        <v>276</v>
      </c>
      <c r="R68" s="146" t="s">
        <v>291</v>
      </c>
      <c r="S68" s="146" t="s">
        <v>280</v>
      </c>
      <c r="T68" s="146" t="s">
        <v>281</v>
      </c>
      <c r="U68" s="146" t="s">
        <v>281</v>
      </c>
      <c r="V68" s="146" t="s">
        <v>276</v>
      </c>
      <c r="W68" s="146" t="s">
        <v>276</v>
      </c>
      <c r="X68" s="146" t="s">
        <v>276</v>
      </c>
      <c r="Y68" s="146" t="s">
        <v>276</v>
      </c>
      <c r="Z68" s="146" t="s">
        <v>276</v>
      </c>
      <c r="AA68" s="146" t="s">
        <v>276</v>
      </c>
      <c r="AB68" s="146" t="s">
        <v>276</v>
      </c>
    </row>
    <row r="69" spans="1:28" hidden="1" x14ac:dyDescent="0.15">
      <c r="A69" s="110" t="s">
        <v>517</v>
      </c>
      <c r="B69" s="145">
        <v>62</v>
      </c>
      <c r="C69" s="146" t="s">
        <v>3</v>
      </c>
      <c r="D69" s="146" t="s">
        <v>3</v>
      </c>
      <c r="E69" s="146" t="s">
        <v>8</v>
      </c>
      <c r="F69" s="146" t="s">
        <v>522</v>
      </c>
      <c r="G69" s="146" t="s">
        <v>276</v>
      </c>
      <c r="H69" s="146" t="s">
        <v>223</v>
      </c>
      <c r="I69" s="146" t="s">
        <v>101</v>
      </c>
      <c r="J69" s="146" t="s">
        <v>102</v>
      </c>
      <c r="K69" s="146" t="s">
        <v>277</v>
      </c>
      <c r="L69" s="146" t="s">
        <v>279</v>
      </c>
      <c r="M69" s="146" t="s">
        <v>276</v>
      </c>
      <c r="N69" s="146" t="s">
        <v>276</v>
      </c>
      <c r="O69" s="146" t="s">
        <v>278</v>
      </c>
      <c r="P69" s="146" t="s">
        <v>276</v>
      </c>
      <c r="Q69" s="146" t="s">
        <v>276</v>
      </c>
      <c r="R69" s="146" t="s">
        <v>279</v>
      </c>
      <c r="S69" s="146" t="s">
        <v>280</v>
      </c>
      <c r="T69" s="146" t="s">
        <v>284</v>
      </c>
      <c r="U69" s="146" t="s">
        <v>280</v>
      </c>
      <c r="V69" s="146" t="s">
        <v>276</v>
      </c>
      <c r="W69" s="146" t="s">
        <v>287</v>
      </c>
      <c r="X69" s="146" t="s">
        <v>288</v>
      </c>
      <c r="Y69" s="146" t="s">
        <v>284</v>
      </c>
      <c r="Z69" s="146" t="s">
        <v>280</v>
      </c>
      <c r="AA69" s="146" t="s">
        <v>289</v>
      </c>
      <c r="AB69" s="146" t="s">
        <v>290</v>
      </c>
    </row>
    <row r="70" spans="1:28" hidden="1" x14ac:dyDescent="0.15">
      <c r="A70" s="110" t="s">
        <v>517</v>
      </c>
      <c r="B70" s="145">
        <v>63</v>
      </c>
      <c r="C70" s="146" t="s">
        <v>3</v>
      </c>
      <c r="D70" s="146" t="s">
        <v>2</v>
      </c>
      <c r="E70" s="146" t="s">
        <v>8</v>
      </c>
      <c r="F70" s="146" t="s">
        <v>6</v>
      </c>
      <c r="G70" s="146" t="s">
        <v>276</v>
      </c>
      <c r="H70" s="146" t="s">
        <v>224</v>
      </c>
      <c r="I70" s="146" t="s">
        <v>79</v>
      </c>
      <c r="J70" s="146" t="s">
        <v>103</v>
      </c>
      <c r="K70" s="146" t="s">
        <v>277</v>
      </c>
      <c r="L70" s="146" t="s">
        <v>278</v>
      </c>
      <c r="M70" s="146" t="s">
        <v>276</v>
      </c>
      <c r="N70" s="146" t="s">
        <v>276</v>
      </c>
      <c r="O70" s="146" t="s">
        <v>278</v>
      </c>
      <c r="P70" s="146" t="s">
        <v>276</v>
      </c>
      <c r="Q70" s="146" t="s">
        <v>276</v>
      </c>
      <c r="R70" s="146" t="s">
        <v>278</v>
      </c>
      <c r="S70" s="146" t="s">
        <v>280</v>
      </c>
      <c r="T70" s="146" t="s">
        <v>305</v>
      </c>
      <c r="U70" s="146" t="s">
        <v>280</v>
      </c>
      <c r="V70" s="146" t="s">
        <v>276</v>
      </c>
      <c r="W70" s="146" t="s">
        <v>287</v>
      </c>
      <c r="X70" s="146" t="s">
        <v>288</v>
      </c>
      <c r="Y70" s="146" t="s">
        <v>305</v>
      </c>
      <c r="Z70" s="146" t="s">
        <v>280</v>
      </c>
      <c r="AA70" s="146" t="s">
        <v>289</v>
      </c>
      <c r="AB70" s="146" t="s">
        <v>290</v>
      </c>
    </row>
    <row r="71" spans="1:28" hidden="1" x14ac:dyDescent="0.15">
      <c r="A71" s="110" t="s">
        <v>517</v>
      </c>
      <c r="B71" s="145">
        <v>64</v>
      </c>
      <c r="C71" s="146" t="s">
        <v>3</v>
      </c>
      <c r="D71" s="146" t="s">
        <v>0</v>
      </c>
      <c r="E71" s="146" t="s">
        <v>8</v>
      </c>
      <c r="F71" s="146" t="s">
        <v>6</v>
      </c>
      <c r="G71" s="146" t="s">
        <v>276</v>
      </c>
      <c r="H71" s="146" t="s">
        <v>225</v>
      </c>
      <c r="I71" s="146" t="s">
        <v>104</v>
      </c>
      <c r="J71" s="146" t="s">
        <v>105</v>
      </c>
      <c r="K71" s="146" t="s">
        <v>277</v>
      </c>
      <c r="L71" s="146" t="s">
        <v>329</v>
      </c>
      <c r="M71" s="146" t="s">
        <v>276</v>
      </c>
      <c r="N71" s="146" t="s">
        <v>276</v>
      </c>
      <c r="O71" s="146" t="s">
        <v>278</v>
      </c>
      <c r="P71" s="146" t="s">
        <v>276</v>
      </c>
      <c r="Q71" s="146" t="s">
        <v>276</v>
      </c>
      <c r="R71" s="146" t="s">
        <v>329</v>
      </c>
      <c r="S71" s="146" t="s">
        <v>280</v>
      </c>
      <c r="T71" s="146" t="s">
        <v>330</v>
      </c>
      <c r="U71" s="146" t="s">
        <v>280</v>
      </c>
      <c r="V71" s="146" t="s">
        <v>276</v>
      </c>
      <c r="W71" s="146" t="s">
        <v>287</v>
      </c>
      <c r="X71" s="146" t="s">
        <v>288</v>
      </c>
      <c r="Y71" s="146" t="s">
        <v>330</v>
      </c>
      <c r="Z71" s="146" t="s">
        <v>280</v>
      </c>
      <c r="AA71" s="146" t="s">
        <v>289</v>
      </c>
      <c r="AB71" s="146" t="s">
        <v>290</v>
      </c>
    </row>
    <row r="72" spans="1:28" hidden="1" x14ac:dyDescent="0.15">
      <c r="A72" s="110" t="s">
        <v>520</v>
      </c>
      <c r="B72" s="145">
        <v>65</v>
      </c>
      <c r="C72" s="146" t="s">
        <v>2</v>
      </c>
      <c r="D72" s="146" t="s">
        <v>3</v>
      </c>
      <c r="E72" s="146" t="s">
        <v>8</v>
      </c>
      <c r="F72" s="146" t="s">
        <v>6</v>
      </c>
      <c r="G72" s="146" t="s">
        <v>276</v>
      </c>
      <c r="H72" s="146" t="s">
        <v>226</v>
      </c>
      <c r="I72" s="146" t="s">
        <v>106</v>
      </c>
      <c r="J72" s="146" t="s">
        <v>107</v>
      </c>
      <c r="K72" s="146" t="s">
        <v>277</v>
      </c>
      <c r="L72" s="146" t="s">
        <v>277</v>
      </c>
      <c r="M72" s="146" t="s">
        <v>276</v>
      </c>
      <c r="N72" s="146" t="s">
        <v>276</v>
      </c>
      <c r="O72" s="146" t="s">
        <v>279</v>
      </c>
      <c r="P72" s="146" t="s">
        <v>276</v>
      </c>
      <c r="Q72" s="146" t="s">
        <v>276</v>
      </c>
      <c r="R72" s="146" t="s">
        <v>277</v>
      </c>
      <c r="S72" s="146" t="s">
        <v>280</v>
      </c>
      <c r="T72" s="146" t="s">
        <v>281</v>
      </c>
      <c r="U72" s="146" t="s">
        <v>281</v>
      </c>
      <c r="V72" s="146" t="s">
        <v>276</v>
      </c>
      <c r="W72" s="146" t="s">
        <v>276</v>
      </c>
      <c r="X72" s="146" t="s">
        <v>276</v>
      </c>
      <c r="Y72" s="146" t="s">
        <v>276</v>
      </c>
      <c r="Z72" s="146" t="s">
        <v>276</v>
      </c>
      <c r="AA72" s="146" t="s">
        <v>276</v>
      </c>
      <c r="AB72" s="146" t="s">
        <v>276</v>
      </c>
    </row>
    <row r="73" spans="1:28" hidden="1" x14ac:dyDescent="0.15">
      <c r="A73" s="110" t="s">
        <v>520</v>
      </c>
      <c r="B73" s="145">
        <v>66</v>
      </c>
      <c r="C73" s="146" t="s">
        <v>2</v>
      </c>
      <c r="D73" s="146" t="s">
        <v>2</v>
      </c>
      <c r="E73" s="146" t="s">
        <v>8</v>
      </c>
      <c r="F73" s="146" t="s">
        <v>6</v>
      </c>
      <c r="G73" s="146" t="s">
        <v>276</v>
      </c>
      <c r="H73" s="146" t="s">
        <v>227</v>
      </c>
      <c r="I73" s="146" t="s">
        <v>108</v>
      </c>
      <c r="J73" s="146" t="s">
        <v>109</v>
      </c>
      <c r="K73" s="146" t="s">
        <v>277</v>
      </c>
      <c r="L73" s="146" t="s">
        <v>277</v>
      </c>
      <c r="M73" s="146" t="s">
        <v>276</v>
      </c>
      <c r="N73" s="146" t="s">
        <v>276</v>
      </c>
      <c r="O73" s="146" t="s">
        <v>277</v>
      </c>
      <c r="P73" s="146" t="s">
        <v>276</v>
      </c>
      <c r="Q73" s="146" t="s">
        <v>276</v>
      </c>
      <c r="R73" s="146" t="s">
        <v>277</v>
      </c>
      <c r="S73" s="146" t="s">
        <v>280</v>
      </c>
      <c r="T73" s="146" t="s">
        <v>281</v>
      </c>
      <c r="U73" s="146" t="s">
        <v>281</v>
      </c>
      <c r="V73" s="146" t="s">
        <v>276</v>
      </c>
      <c r="W73" s="146" t="s">
        <v>276</v>
      </c>
      <c r="X73" s="146" t="s">
        <v>276</v>
      </c>
      <c r="Y73" s="146" t="s">
        <v>276</v>
      </c>
      <c r="Z73" s="146" t="s">
        <v>276</v>
      </c>
      <c r="AA73" s="146" t="s">
        <v>276</v>
      </c>
      <c r="AB73" s="146" t="s">
        <v>276</v>
      </c>
    </row>
    <row r="74" spans="1:28" hidden="1" x14ac:dyDescent="0.15">
      <c r="A74" s="110" t="s">
        <v>520</v>
      </c>
      <c r="B74" s="145">
        <v>67</v>
      </c>
      <c r="C74" s="146" t="s">
        <v>2</v>
      </c>
      <c r="D74" s="146" t="s">
        <v>0</v>
      </c>
      <c r="E74" s="146" t="s">
        <v>8</v>
      </c>
      <c r="F74" s="146" t="s">
        <v>6</v>
      </c>
      <c r="G74" s="146" t="s">
        <v>276</v>
      </c>
      <c r="H74" s="146" t="s">
        <v>226</v>
      </c>
      <c r="I74" s="146" t="s">
        <v>110</v>
      </c>
      <c r="J74" s="146" t="s">
        <v>111</v>
      </c>
      <c r="K74" s="146" t="s">
        <v>277</v>
      </c>
      <c r="L74" s="146" t="s">
        <v>277</v>
      </c>
      <c r="M74" s="146" t="s">
        <v>276</v>
      </c>
      <c r="N74" s="146" t="s">
        <v>276</v>
      </c>
      <c r="O74" s="146" t="s">
        <v>291</v>
      </c>
      <c r="P74" s="146" t="s">
        <v>276</v>
      </c>
      <c r="Q74" s="146" t="s">
        <v>276</v>
      </c>
      <c r="R74" s="146" t="s">
        <v>277</v>
      </c>
      <c r="S74" s="146" t="s">
        <v>280</v>
      </c>
      <c r="T74" s="146" t="s">
        <v>281</v>
      </c>
      <c r="U74" s="146" t="s">
        <v>281</v>
      </c>
      <c r="V74" s="146" t="s">
        <v>276</v>
      </c>
      <c r="W74" s="146" t="s">
        <v>276</v>
      </c>
      <c r="X74" s="146" t="s">
        <v>276</v>
      </c>
      <c r="Y74" s="146" t="s">
        <v>276</v>
      </c>
      <c r="Z74" s="146" t="s">
        <v>276</v>
      </c>
      <c r="AA74" s="146" t="s">
        <v>276</v>
      </c>
      <c r="AB74" s="146" t="s">
        <v>276</v>
      </c>
    </row>
    <row r="75" spans="1:28" hidden="1" x14ac:dyDescent="0.15">
      <c r="A75" s="110" t="s">
        <v>520</v>
      </c>
      <c r="B75" s="145">
        <v>68</v>
      </c>
      <c r="C75" s="146" t="s">
        <v>0</v>
      </c>
      <c r="D75" s="146" t="s">
        <v>3</v>
      </c>
      <c r="E75" s="146" t="s">
        <v>8</v>
      </c>
      <c r="F75" s="146" t="s">
        <v>6</v>
      </c>
      <c r="G75" s="146" t="s">
        <v>276</v>
      </c>
      <c r="H75" s="146" t="s">
        <v>228</v>
      </c>
      <c r="I75" s="146" t="s">
        <v>246</v>
      </c>
      <c r="J75" s="146" t="s">
        <v>247</v>
      </c>
      <c r="K75" s="146" t="s">
        <v>277</v>
      </c>
      <c r="L75" s="146" t="s">
        <v>291</v>
      </c>
      <c r="M75" s="146" t="s">
        <v>276</v>
      </c>
      <c r="N75" s="146" t="s">
        <v>276</v>
      </c>
      <c r="O75" s="146" t="s">
        <v>279</v>
      </c>
      <c r="P75" s="146" t="s">
        <v>276</v>
      </c>
      <c r="Q75" s="146" t="s">
        <v>276</v>
      </c>
      <c r="R75" s="146" t="s">
        <v>291</v>
      </c>
      <c r="S75" s="146" t="s">
        <v>280</v>
      </c>
      <c r="T75" s="146" t="s">
        <v>281</v>
      </c>
      <c r="U75" s="146" t="s">
        <v>281</v>
      </c>
      <c r="V75" s="146" t="s">
        <v>276</v>
      </c>
      <c r="W75" s="146" t="s">
        <v>276</v>
      </c>
      <c r="X75" s="146" t="s">
        <v>276</v>
      </c>
      <c r="Y75" s="146" t="s">
        <v>276</v>
      </c>
      <c r="Z75" s="146" t="s">
        <v>276</v>
      </c>
      <c r="AA75" s="146" t="s">
        <v>276</v>
      </c>
      <c r="AB75" s="146" t="s">
        <v>276</v>
      </c>
    </row>
    <row r="76" spans="1:28" hidden="1" x14ac:dyDescent="0.15">
      <c r="A76" s="110" t="s">
        <v>520</v>
      </c>
      <c r="B76" s="145">
        <v>69</v>
      </c>
      <c r="C76" s="146" t="s">
        <v>0</v>
      </c>
      <c r="D76" s="146" t="s">
        <v>3</v>
      </c>
      <c r="E76" s="146" t="s">
        <v>8</v>
      </c>
      <c r="F76" s="146" t="s">
        <v>6</v>
      </c>
      <c r="G76" s="146" t="s">
        <v>276</v>
      </c>
      <c r="H76" s="146" t="s">
        <v>229</v>
      </c>
      <c r="I76" s="146" t="s">
        <v>112</v>
      </c>
      <c r="J76" s="146" t="s">
        <v>113</v>
      </c>
      <c r="K76" s="146" t="s">
        <v>277</v>
      </c>
      <c r="L76" s="146" t="s">
        <v>291</v>
      </c>
      <c r="M76" s="146" t="s">
        <v>276</v>
      </c>
      <c r="N76" s="146" t="s">
        <v>276</v>
      </c>
      <c r="O76" s="146" t="s">
        <v>277</v>
      </c>
      <c r="P76" s="146" t="s">
        <v>276</v>
      </c>
      <c r="Q76" s="146" t="s">
        <v>276</v>
      </c>
      <c r="R76" s="146" t="s">
        <v>291</v>
      </c>
      <c r="S76" s="146" t="s">
        <v>280</v>
      </c>
      <c r="T76" s="146" t="s">
        <v>281</v>
      </c>
      <c r="U76" s="146" t="s">
        <v>281</v>
      </c>
      <c r="V76" s="146" t="s">
        <v>276</v>
      </c>
      <c r="W76" s="146" t="s">
        <v>276</v>
      </c>
      <c r="X76" s="146" t="s">
        <v>276</v>
      </c>
      <c r="Y76" s="146" t="s">
        <v>276</v>
      </c>
      <c r="Z76" s="146" t="s">
        <v>276</v>
      </c>
      <c r="AA76" s="146" t="s">
        <v>276</v>
      </c>
      <c r="AB76" s="146" t="s">
        <v>276</v>
      </c>
    </row>
    <row r="77" spans="1:28" hidden="1" x14ac:dyDescent="0.15">
      <c r="A77" s="110" t="s">
        <v>520</v>
      </c>
      <c r="B77" s="145">
        <v>70</v>
      </c>
      <c r="C77" s="146" t="s">
        <v>0</v>
      </c>
      <c r="D77" s="146" t="s">
        <v>3</v>
      </c>
      <c r="E77" s="146" t="s">
        <v>8</v>
      </c>
      <c r="F77" s="146" t="s">
        <v>6</v>
      </c>
      <c r="G77" s="146" t="s">
        <v>276</v>
      </c>
      <c r="H77" s="146" t="s">
        <v>230</v>
      </c>
      <c r="I77" s="146" t="s">
        <v>114</v>
      </c>
      <c r="J77" s="146" t="s">
        <v>115</v>
      </c>
      <c r="K77" s="146" t="s">
        <v>277</v>
      </c>
      <c r="L77" s="146" t="s">
        <v>293</v>
      </c>
      <c r="M77" s="146" t="s">
        <v>276</v>
      </c>
      <c r="N77" s="146" t="s">
        <v>276</v>
      </c>
      <c r="O77" s="146" t="s">
        <v>291</v>
      </c>
      <c r="P77" s="146" t="s">
        <v>276</v>
      </c>
      <c r="Q77" s="146" t="s">
        <v>276</v>
      </c>
      <c r="R77" s="146" t="s">
        <v>293</v>
      </c>
      <c r="S77" s="146" t="s">
        <v>280</v>
      </c>
      <c r="T77" s="146" t="s">
        <v>281</v>
      </c>
      <c r="U77" s="146" t="s">
        <v>281</v>
      </c>
      <c r="V77" s="146" t="s">
        <v>276</v>
      </c>
      <c r="W77" s="146" t="s">
        <v>276</v>
      </c>
      <c r="X77" s="146" t="s">
        <v>276</v>
      </c>
      <c r="Y77" s="146" t="s">
        <v>276</v>
      </c>
      <c r="Z77" s="146" t="s">
        <v>276</v>
      </c>
      <c r="AA77" s="146" t="s">
        <v>276</v>
      </c>
      <c r="AB77" s="146" t="s">
        <v>276</v>
      </c>
    </row>
    <row r="78" spans="1:28" hidden="1" x14ac:dyDescent="0.15">
      <c r="A78" s="110" t="s">
        <v>520</v>
      </c>
      <c r="B78" s="145">
        <v>71</v>
      </c>
      <c r="C78" s="146" t="s">
        <v>0</v>
      </c>
      <c r="D78" s="146" t="s">
        <v>2</v>
      </c>
      <c r="E78" s="146" t="s">
        <v>8</v>
      </c>
      <c r="F78" s="146" t="s">
        <v>6</v>
      </c>
      <c r="G78" s="146" t="s">
        <v>276</v>
      </c>
      <c r="H78" s="146" t="s">
        <v>229</v>
      </c>
      <c r="I78" s="146" t="s">
        <v>248</v>
      </c>
      <c r="J78" s="146" t="s">
        <v>249</v>
      </c>
      <c r="K78" s="146" t="s">
        <v>277</v>
      </c>
      <c r="L78" s="146" t="s">
        <v>291</v>
      </c>
      <c r="M78" s="146" t="s">
        <v>276</v>
      </c>
      <c r="N78" s="146" t="s">
        <v>276</v>
      </c>
      <c r="O78" s="146" t="s">
        <v>277</v>
      </c>
      <c r="P78" s="146" t="s">
        <v>276</v>
      </c>
      <c r="Q78" s="146" t="s">
        <v>276</v>
      </c>
      <c r="R78" s="146" t="s">
        <v>291</v>
      </c>
      <c r="S78" s="146" t="s">
        <v>280</v>
      </c>
      <c r="T78" s="146" t="s">
        <v>281</v>
      </c>
      <c r="U78" s="146" t="s">
        <v>281</v>
      </c>
      <c r="V78" s="146" t="s">
        <v>276</v>
      </c>
      <c r="W78" s="146" t="s">
        <v>276</v>
      </c>
      <c r="X78" s="146" t="s">
        <v>276</v>
      </c>
      <c r="Y78" s="146" t="s">
        <v>276</v>
      </c>
      <c r="Z78" s="146" t="s">
        <v>276</v>
      </c>
      <c r="AA78" s="146" t="s">
        <v>276</v>
      </c>
      <c r="AB78" s="146" t="s">
        <v>276</v>
      </c>
    </row>
    <row r="79" spans="1:28" hidden="1" x14ac:dyDescent="0.15">
      <c r="A79" s="110" t="s">
        <v>520</v>
      </c>
      <c r="B79" s="145">
        <v>72</v>
      </c>
      <c r="C79" s="146" t="s">
        <v>0</v>
      </c>
      <c r="D79" s="146" t="s">
        <v>0</v>
      </c>
      <c r="E79" s="146" t="s">
        <v>8</v>
      </c>
      <c r="F79" s="146" t="s">
        <v>6</v>
      </c>
      <c r="G79" s="146" t="s">
        <v>276</v>
      </c>
      <c r="H79" s="146" t="s">
        <v>231</v>
      </c>
      <c r="I79" s="146" t="s">
        <v>116</v>
      </c>
      <c r="J79" s="146" t="s">
        <v>117</v>
      </c>
      <c r="K79" s="146" t="s">
        <v>277</v>
      </c>
      <c r="L79" s="146" t="s">
        <v>291</v>
      </c>
      <c r="M79" s="146" t="s">
        <v>276</v>
      </c>
      <c r="N79" s="146" t="s">
        <v>276</v>
      </c>
      <c r="O79" s="146" t="s">
        <v>293</v>
      </c>
      <c r="P79" s="146" t="s">
        <v>276</v>
      </c>
      <c r="Q79" s="146" t="s">
        <v>276</v>
      </c>
      <c r="R79" s="146" t="s">
        <v>291</v>
      </c>
      <c r="S79" s="146" t="s">
        <v>280</v>
      </c>
      <c r="T79" s="146" t="s">
        <v>281</v>
      </c>
      <c r="U79" s="146" t="s">
        <v>281</v>
      </c>
      <c r="V79" s="146" t="s">
        <v>276</v>
      </c>
      <c r="W79" s="146" t="s">
        <v>276</v>
      </c>
      <c r="X79" s="146" t="s">
        <v>276</v>
      </c>
      <c r="Y79" s="146" t="s">
        <v>276</v>
      </c>
      <c r="Z79" s="146" t="s">
        <v>276</v>
      </c>
      <c r="AA79" s="146" t="s">
        <v>276</v>
      </c>
      <c r="AB79" s="146" t="s">
        <v>276</v>
      </c>
    </row>
    <row r="80" spans="1:28" hidden="1" x14ac:dyDescent="0.15">
      <c r="B80" s="145">
        <v>73</v>
      </c>
      <c r="C80" s="146" t="s">
        <v>3</v>
      </c>
      <c r="D80" s="146" t="s">
        <v>3</v>
      </c>
      <c r="E80" s="146" t="s">
        <v>8</v>
      </c>
      <c r="F80" s="146" t="s">
        <v>523</v>
      </c>
      <c r="G80" s="146" t="s">
        <v>276</v>
      </c>
      <c r="H80" s="146" t="s">
        <v>332</v>
      </c>
      <c r="I80" s="146" t="s">
        <v>120</v>
      </c>
      <c r="J80" s="146" t="s">
        <v>121</v>
      </c>
      <c r="K80" s="146" t="s">
        <v>277</v>
      </c>
      <c r="L80" s="146" t="s">
        <v>279</v>
      </c>
      <c r="M80" s="146" t="s">
        <v>276</v>
      </c>
      <c r="N80" s="146" t="s">
        <v>276</v>
      </c>
      <c r="O80" s="146" t="s">
        <v>276</v>
      </c>
      <c r="P80" s="146" t="s">
        <v>284</v>
      </c>
      <c r="Q80" s="146" t="s">
        <v>276</v>
      </c>
      <c r="R80" s="146" t="s">
        <v>278</v>
      </c>
      <c r="S80" s="146" t="s">
        <v>280</v>
      </c>
      <c r="T80" s="146" t="s">
        <v>305</v>
      </c>
      <c r="U80" s="146" t="s">
        <v>280</v>
      </c>
      <c r="V80" s="146" t="s">
        <v>276</v>
      </c>
      <c r="W80" s="146" t="s">
        <v>333</v>
      </c>
      <c r="X80" s="146" t="s">
        <v>281</v>
      </c>
      <c r="Y80" s="146" t="s">
        <v>284</v>
      </c>
      <c r="Z80" s="146" t="s">
        <v>280</v>
      </c>
      <c r="AA80" s="146" t="s">
        <v>334</v>
      </c>
      <c r="AB80" s="146" t="s">
        <v>286</v>
      </c>
    </row>
    <row r="81" spans="2:28" hidden="1" x14ac:dyDescent="0.15">
      <c r="B81" s="145">
        <v>73</v>
      </c>
      <c r="C81" s="146" t="s">
        <v>3</v>
      </c>
      <c r="D81" s="146" t="s">
        <v>3</v>
      </c>
      <c r="E81" s="146" t="s">
        <v>8</v>
      </c>
      <c r="F81" s="146" t="s">
        <v>331</v>
      </c>
      <c r="G81" s="146" t="s">
        <v>276</v>
      </c>
      <c r="H81" s="146" t="s">
        <v>332</v>
      </c>
      <c r="I81" s="146" t="s">
        <v>120</v>
      </c>
      <c r="J81" s="146" t="s">
        <v>121</v>
      </c>
      <c r="K81" s="146" t="s">
        <v>277</v>
      </c>
      <c r="L81" s="146" t="s">
        <v>279</v>
      </c>
      <c r="M81" s="146" t="s">
        <v>276</v>
      </c>
      <c r="N81" s="146" t="s">
        <v>276</v>
      </c>
      <c r="O81" s="146" t="s">
        <v>276</v>
      </c>
      <c r="P81" s="146" t="s">
        <v>284</v>
      </c>
      <c r="Q81" s="146" t="s">
        <v>276</v>
      </c>
      <c r="R81" s="146" t="s">
        <v>278</v>
      </c>
      <c r="S81" s="146" t="s">
        <v>280</v>
      </c>
      <c r="T81" s="146" t="s">
        <v>305</v>
      </c>
      <c r="U81" s="146" t="s">
        <v>280</v>
      </c>
      <c r="V81" s="146" t="s">
        <v>276</v>
      </c>
      <c r="W81" s="146" t="s">
        <v>287</v>
      </c>
      <c r="X81" s="146" t="s">
        <v>288</v>
      </c>
      <c r="Y81" s="146" t="s">
        <v>284</v>
      </c>
      <c r="Z81" s="146" t="s">
        <v>280</v>
      </c>
      <c r="AA81" s="146" t="s">
        <v>289</v>
      </c>
      <c r="AB81" s="146" t="s">
        <v>290</v>
      </c>
    </row>
    <row r="82" spans="2:28" hidden="1" x14ac:dyDescent="0.15">
      <c r="B82" s="145">
        <v>74</v>
      </c>
      <c r="C82" s="146" t="s">
        <v>2</v>
      </c>
      <c r="D82" s="146" t="s">
        <v>3</v>
      </c>
      <c r="E82" s="146" t="s">
        <v>8</v>
      </c>
      <c r="F82" s="146" t="s">
        <v>331</v>
      </c>
      <c r="G82" s="146" t="s">
        <v>276</v>
      </c>
      <c r="H82" s="146" t="s">
        <v>335</v>
      </c>
      <c r="I82" s="146" t="s">
        <v>118</v>
      </c>
      <c r="J82" s="146" t="s">
        <v>119</v>
      </c>
      <c r="K82" s="146" t="s">
        <v>277</v>
      </c>
      <c r="L82" s="146" t="s">
        <v>277</v>
      </c>
      <c r="M82" s="146" t="s">
        <v>276</v>
      </c>
      <c r="N82" s="146" t="s">
        <v>276</v>
      </c>
      <c r="O82" s="146" t="s">
        <v>276</v>
      </c>
      <c r="P82" s="146" t="s">
        <v>284</v>
      </c>
      <c r="Q82" s="146" t="s">
        <v>276</v>
      </c>
      <c r="R82" s="146" t="s">
        <v>279</v>
      </c>
      <c r="S82" s="146" t="s">
        <v>280</v>
      </c>
      <c r="T82" s="146" t="s">
        <v>284</v>
      </c>
      <c r="U82" s="146" t="s">
        <v>280</v>
      </c>
      <c r="V82" s="146" t="s">
        <v>276</v>
      </c>
      <c r="W82" s="146" t="s">
        <v>333</v>
      </c>
      <c r="X82" s="146" t="s">
        <v>281</v>
      </c>
      <c r="Y82" s="146" t="s">
        <v>284</v>
      </c>
      <c r="Z82" s="146" t="s">
        <v>280</v>
      </c>
      <c r="AA82" s="146" t="s">
        <v>334</v>
      </c>
      <c r="AB82" s="146" t="s">
        <v>286</v>
      </c>
    </row>
    <row r="83" spans="2:28" hidden="1" x14ac:dyDescent="0.15">
      <c r="B83" s="145">
        <v>75</v>
      </c>
      <c r="C83" s="146" t="s">
        <v>0</v>
      </c>
      <c r="D83" s="146" t="s">
        <v>3</v>
      </c>
      <c r="E83" s="146" t="s">
        <v>8</v>
      </c>
      <c r="F83" s="146" t="s">
        <v>331</v>
      </c>
      <c r="G83" s="146" t="s">
        <v>276</v>
      </c>
      <c r="H83" s="146" t="s">
        <v>232</v>
      </c>
      <c r="I83" s="146" t="s">
        <v>122</v>
      </c>
      <c r="J83" s="146" t="s">
        <v>123</v>
      </c>
      <c r="K83" s="146" t="s">
        <v>277</v>
      </c>
      <c r="L83" s="146" t="s">
        <v>291</v>
      </c>
      <c r="M83" s="146" t="s">
        <v>276</v>
      </c>
      <c r="N83" s="146" t="s">
        <v>276</v>
      </c>
      <c r="O83" s="146" t="s">
        <v>276</v>
      </c>
      <c r="P83" s="146" t="s">
        <v>284</v>
      </c>
      <c r="Q83" s="146" t="s">
        <v>276</v>
      </c>
      <c r="R83" s="146" t="s">
        <v>277</v>
      </c>
      <c r="S83" s="146" t="s">
        <v>280</v>
      </c>
      <c r="T83" s="146" t="s">
        <v>284</v>
      </c>
      <c r="U83" s="146" t="s">
        <v>280</v>
      </c>
      <c r="V83" s="146" t="s">
        <v>276</v>
      </c>
      <c r="W83" s="146" t="s">
        <v>333</v>
      </c>
      <c r="X83" s="146" t="s">
        <v>281</v>
      </c>
      <c r="Y83" s="146" t="s">
        <v>284</v>
      </c>
      <c r="Z83" s="146" t="s">
        <v>280</v>
      </c>
      <c r="AA83" s="146" t="s">
        <v>334</v>
      </c>
      <c r="AB83" s="146" t="s">
        <v>286</v>
      </c>
    </row>
    <row r="84" spans="2:28" hidden="1" x14ac:dyDescent="0.15">
      <c r="B84" s="145">
        <v>76</v>
      </c>
      <c r="C84" s="146" t="s">
        <v>0</v>
      </c>
      <c r="D84" s="146" t="s">
        <v>3</v>
      </c>
      <c r="E84" s="146" t="s">
        <v>8</v>
      </c>
      <c r="F84" s="146" t="s">
        <v>331</v>
      </c>
      <c r="G84" s="146" t="s">
        <v>276</v>
      </c>
      <c r="H84" s="146" t="s">
        <v>233</v>
      </c>
      <c r="I84" s="146" t="s">
        <v>124</v>
      </c>
      <c r="J84" s="146" t="s">
        <v>125</v>
      </c>
      <c r="K84" s="146" t="s">
        <v>277</v>
      </c>
      <c r="L84" s="146" t="s">
        <v>291</v>
      </c>
      <c r="M84" s="146" t="s">
        <v>276</v>
      </c>
      <c r="N84" s="146" t="s">
        <v>276</v>
      </c>
      <c r="O84" s="146" t="s">
        <v>276</v>
      </c>
      <c r="P84" s="146" t="s">
        <v>284</v>
      </c>
      <c r="Q84" s="146" t="s">
        <v>276</v>
      </c>
      <c r="R84" s="146" t="s">
        <v>277</v>
      </c>
      <c r="S84" s="146" t="s">
        <v>280</v>
      </c>
      <c r="T84" s="146" t="s">
        <v>284</v>
      </c>
      <c r="U84" s="146" t="s">
        <v>280</v>
      </c>
      <c r="V84" s="146" t="s">
        <v>276</v>
      </c>
      <c r="W84" s="146" t="s">
        <v>333</v>
      </c>
      <c r="X84" s="146" t="s">
        <v>281</v>
      </c>
      <c r="Y84" s="146" t="s">
        <v>284</v>
      </c>
      <c r="Z84" s="146" t="s">
        <v>280</v>
      </c>
      <c r="AA84" s="146" t="s">
        <v>334</v>
      </c>
      <c r="AB84" s="146" t="s">
        <v>286</v>
      </c>
    </row>
    <row r="85" spans="2:28" hidden="1" x14ac:dyDescent="0.15">
      <c r="B85" s="145">
        <v>77</v>
      </c>
      <c r="C85" s="146" t="s">
        <v>0</v>
      </c>
      <c r="D85" s="146" t="s">
        <v>3</v>
      </c>
      <c r="E85" s="146" t="s">
        <v>8</v>
      </c>
      <c r="F85" s="146" t="s">
        <v>331</v>
      </c>
      <c r="G85" s="146" t="s">
        <v>276</v>
      </c>
      <c r="H85" s="146" t="s">
        <v>234</v>
      </c>
      <c r="I85" s="146" t="s">
        <v>126</v>
      </c>
      <c r="J85" s="146" t="s">
        <v>127</v>
      </c>
      <c r="K85" s="146" t="s">
        <v>277</v>
      </c>
      <c r="L85" s="146" t="s">
        <v>291</v>
      </c>
      <c r="M85" s="146" t="s">
        <v>276</v>
      </c>
      <c r="N85" s="146" t="s">
        <v>276</v>
      </c>
      <c r="O85" s="146" t="s">
        <v>276</v>
      </c>
      <c r="P85" s="146" t="s">
        <v>284</v>
      </c>
      <c r="Q85" s="146" t="s">
        <v>276</v>
      </c>
      <c r="R85" s="146" t="s">
        <v>277</v>
      </c>
      <c r="S85" s="146" t="s">
        <v>280</v>
      </c>
      <c r="T85" s="146" t="s">
        <v>284</v>
      </c>
      <c r="U85" s="146" t="s">
        <v>280</v>
      </c>
      <c r="V85" s="146" t="s">
        <v>276</v>
      </c>
      <c r="W85" s="146" t="s">
        <v>333</v>
      </c>
      <c r="X85" s="146" t="s">
        <v>281</v>
      </c>
      <c r="Y85" s="146" t="s">
        <v>284</v>
      </c>
      <c r="Z85" s="146" t="s">
        <v>280</v>
      </c>
      <c r="AA85" s="146" t="s">
        <v>334</v>
      </c>
      <c r="AB85" s="146" t="s">
        <v>286</v>
      </c>
    </row>
    <row r="86" spans="2:28" hidden="1" x14ac:dyDescent="0.15">
      <c r="B86" s="145">
        <v>78</v>
      </c>
      <c r="C86" s="146" t="s">
        <v>3</v>
      </c>
      <c r="D86" s="146" t="s">
        <v>3</v>
      </c>
      <c r="E86" s="146" t="s">
        <v>8</v>
      </c>
      <c r="F86" s="146" t="s">
        <v>336</v>
      </c>
      <c r="G86" s="146" t="s">
        <v>276</v>
      </c>
      <c r="H86" s="146" t="s">
        <v>327</v>
      </c>
      <c r="I86" s="146" t="s">
        <v>128</v>
      </c>
      <c r="J86" s="146" t="s">
        <v>129</v>
      </c>
      <c r="K86" s="146" t="s">
        <v>277</v>
      </c>
      <c r="L86" s="146" t="s">
        <v>279</v>
      </c>
      <c r="M86" s="146" t="s">
        <v>276</v>
      </c>
      <c r="N86" s="146" t="s">
        <v>276</v>
      </c>
      <c r="O86" s="146" t="s">
        <v>276</v>
      </c>
      <c r="P86" s="146" t="s">
        <v>295</v>
      </c>
      <c r="Q86" s="146" t="s">
        <v>276</v>
      </c>
      <c r="R86" s="146" t="s">
        <v>337</v>
      </c>
      <c r="S86" s="146" t="s">
        <v>280</v>
      </c>
      <c r="T86" s="146" t="s">
        <v>338</v>
      </c>
      <c r="U86" s="146" t="s">
        <v>280</v>
      </c>
      <c r="V86" s="146" t="s">
        <v>276</v>
      </c>
      <c r="W86" s="146" t="s">
        <v>333</v>
      </c>
      <c r="X86" s="146" t="s">
        <v>281</v>
      </c>
      <c r="Y86" s="146" t="s">
        <v>339</v>
      </c>
      <c r="Z86" s="146" t="s">
        <v>280</v>
      </c>
      <c r="AA86" s="146" t="s">
        <v>334</v>
      </c>
      <c r="AB86" s="146" t="s">
        <v>286</v>
      </c>
    </row>
    <row r="87" spans="2:28" hidden="1" x14ac:dyDescent="0.15">
      <c r="B87" s="145">
        <v>78</v>
      </c>
      <c r="C87" s="146" t="s">
        <v>3</v>
      </c>
      <c r="D87" s="146" t="s">
        <v>3</v>
      </c>
      <c r="E87" s="146" t="s">
        <v>8</v>
      </c>
      <c r="F87" s="146" t="s">
        <v>336</v>
      </c>
      <c r="G87" s="146" t="s">
        <v>276</v>
      </c>
      <c r="H87" s="146" t="s">
        <v>327</v>
      </c>
      <c r="I87" s="146" t="s">
        <v>128</v>
      </c>
      <c r="J87" s="146" t="s">
        <v>129</v>
      </c>
      <c r="K87" s="146" t="s">
        <v>277</v>
      </c>
      <c r="L87" s="146" t="s">
        <v>279</v>
      </c>
      <c r="M87" s="146" t="s">
        <v>276</v>
      </c>
      <c r="N87" s="146" t="s">
        <v>276</v>
      </c>
      <c r="O87" s="146" t="s">
        <v>276</v>
      </c>
      <c r="P87" s="146" t="s">
        <v>295</v>
      </c>
      <c r="Q87" s="146" t="s">
        <v>276</v>
      </c>
      <c r="R87" s="146" t="s">
        <v>337</v>
      </c>
      <c r="S87" s="146" t="s">
        <v>280</v>
      </c>
      <c r="T87" s="146" t="s">
        <v>338</v>
      </c>
      <c r="U87" s="146" t="s">
        <v>280</v>
      </c>
      <c r="V87" s="146" t="s">
        <v>276</v>
      </c>
      <c r="W87" s="146" t="s">
        <v>287</v>
      </c>
      <c r="X87" s="146" t="s">
        <v>288</v>
      </c>
      <c r="Y87" s="146" t="s">
        <v>284</v>
      </c>
      <c r="Z87" s="146" t="s">
        <v>280</v>
      </c>
      <c r="AA87" s="146" t="s">
        <v>289</v>
      </c>
      <c r="AB87" s="146" t="s">
        <v>290</v>
      </c>
    </row>
    <row r="88" spans="2:28" hidden="1" x14ac:dyDescent="0.15">
      <c r="B88" s="145">
        <v>79</v>
      </c>
      <c r="C88" s="146" t="s">
        <v>2</v>
      </c>
      <c r="D88" s="146" t="s">
        <v>3</v>
      </c>
      <c r="E88" s="146" t="s">
        <v>8</v>
      </c>
      <c r="F88" s="146" t="s">
        <v>336</v>
      </c>
      <c r="G88" s="146" t="s">
        <v>276</v>
      </c>
      <c r="H88" s="146" t="s">
        <v>328</v>
      </c>
      <c r="I88" s="146" t="s">
        <v>130</v>
      </c>
      <c r="J88" s="146" t="s">
        <v>131</v>
      </c>
      <c r="K88" s="146" t="s">
        <v>277</v>
      </c>
      <c r="L88" s="146" t="s">
        <v>277</v>
      </c>
      <c r="M88" s="146" t="s">
        <v>276</v>
      </c>
      <c r="N88" s="146" t="s">
        <v>276</v>
      </c>
      <c r="O88" s="146" t="s">
        <v>276</v>
      </c>
      <c r="P88" s="146" t="s">
        <v>295</v>
      </c>
      <c r="Q88" s="146" t="s">
        <v>276</v>
      </c>
      <c r="R88" s="146" t="s">
        <v>279</v>
      </c>
      <c r="S88" s="146" t="s">
        <v>280</v>
      </c>
      <c r="T88" s="146" t="s">
        <v>284</v>
      </c>
      <c r="U88" s="146" t="s">
        <v>280</v>
      </c>
      <c r="V88" s="146" t="s">
        <v>276</v>
      </c>
      <c r="W88" s="146" t="s">
        <v>333</v>
      </c>
      <c r="X88" s="146" t="s">
        <v>281</v>
      </c>
      <c r="Y88" s="146" t="s">
        <v>284</v>
      </c>
      <c r="Z88" s="146" t="s">
        <v>280</v>
      </c>
      <c r="AA88" s="146" t="s">
        <v>334</v>
      </c>
      <c r="AB88" s="146" t="s">
        <v>286</v>
      </c>
    </row>
    <row r="89" spans="2:28" hidden="1" x14ac:dyDescent="0.15">
      <c r="B89" s="145">
        <v>80</v>
      </c>
      <c r="C89" s="146" t="s">
        <v>0</v>
      </c>
      <c r="D89" s="146" t="s">
        <v>3</v>
      </c>
      <c r="E89" s="146" t="s">
        <v>8</v>
      </c>
      <c r="F89" s="146" t="s">
        <v>336</v>
      </c>
      <c r="G89" s="146" t="s">
        <v>276</v>
      </c>
      <c r="H89" s="146" t="s">
        <v>220</v>
      </c>
      <c r="I89" s="146" t="s">
        <v>132</v>
      </c>
      <c r="J89" s="146" t="s">
        <v>133</v>
      </c>
      <c r="K89" s="146" t="s">
        <v>277</v>
      </c>
      <c r="L89" s="146" t="s">
        <v>291</v>
      </c>
      <c r="M89" s="146" t="s">
        <v>276</v>
      </c>
      <c r="N89" s="146" t="s">
        <v>276</v>
      </c>
      <c r="O89" s="146" t="s">
        <v>276</v>
      </c>
      <c r="P89" s="146" t="s">
        <v>295</v>
      </c>
      <c r="Q89" s="146" t="s">
        <v>276</v>
      </c>
      <c r="R89" s="146" t="s">
        <v>340</v>
      </c>
      <c r="S89" s="146" t="s">
        <v>280</v>
      </c>
      <c r="T89" s="146" t="s">
        <v>341</v>
      </c>
      <c r="U89" s="146" t="s">
        <v>280</v>
      </c>
      <c r="V89" s="146" t="s">
        <v>276</v>
      </c>
      <c r="W89" s="146" t="s">
        <v>333</v>
      </c>
      <c r="X89" s="146" t="s">
        <v>281</v>
      </c>
      <c r="Y89" s="146" t="s">
        <v>341</v>
      </c>
      <c r="Z89" s="146" t="s">
        <v>280</v>
      </c>
      <c r="AA89" s="146" t="s">
        <v>334</v>
      </c>
      <c r="AB89" s="146" t="s">
        <v>286</v>
      </c>
    </row>
    <row r="90" spans="2:28" hidden="1" x14ac:dyDescent="0.15">
      <c r="B90" s="145">
        <v>81</v>
      </c>
      <c r="C90" s="146" t="s">
        <v>0</v>
      </c>
      <c r="D90" s="146" t="s">
        <v>3</v>
      </c>
      <c r="E90" s="146" t="s">
        <v>8</v>
      </c>
      <c r="F90" s="146" t="s">
        <v>336</v>
      </c>
      <c r="G90" s="146" t="s">
        <v>276</v>
      </c>
      <c r="H90" s="146" t="s">
        <v>221</v>
      </c>
      <c r="I90" s="146" t="s">
        <v>134</v>
      </c>
      <c r="J90" s="146" t="s">
        <v>135</v>
      </c>
      <c r="K90" s="146" t="s">
        <v>277</v>
      </c>
      <c r="L90" s="146" t="s">
        <v>291</v>
      </c>
      <c r="M90" s="146" t="s">
        <v>276</v>
      </c>
      <c r="N90" s="146" t="s">
        <v>276</v>
      </c>
      <c r="O90" s="146" t="s">
        <v>276</v>
      </c>
      <c r="P90" s="146" t="s">
        <v>295</v>
      </c>
      <c r="Q90" s="146" t="s">
        <v>276</v>
      </c>
      <c r="R90" s="146" t="s">
        <v>340</v>
      </c>
      <c r="S90" s="146" t="s">
        <v>280</v>
      </c>
      <c r="T90" s="146" t="s">
        <v>341</v>
      </c>
      <c r="U90" s="146" t="s">
        <v>280</v>
      </c>
      <c r="V90" s="146" t="s">
        <v>276</v>
      </c>
      <c r="W90" s="146" t="s">
        <v>333</v>
      </c>
      <c r="X90" s="146" t="s">
        <v>281</v>
      </c>
      <c r="Y90" s="146" t="s">
        <v>341</v>
      </c>
      <c r="Z90" s="146" t="s">
        <v>280</v>
      </c>
      <c r="AA90" s="146" t="s">
        <v>334</v>
      </c>
      <c r="AB90" s="146" t="s">
        <v>286</v>
      </c>
    </row>
    <row r="91" spans="2:28" hidden="1" x14ac:dyDescent="0.15">
      <c r="B91" s="145">
        <v>82</v>
      </c>
      <c r="C91" s="146" t="s">
        <v>0</v>
      </c>
      <c r="D91" s="146" t="s">
        <v>3</v>
      </c>
      <c r="E91" s="146" t="s">
        <v>8</v>
      </c>
      <c r="F91" s="146" t="s">
        <v>336</v>
      </c>
      <c r="G91" s="146" t="s">
        <v>276</v>
      </c>
      <c r="H91" s="146" t="s">
        <v>222</v>
      </c>
      <c r="I91" s="146" t="s">
        <v>136</v>
      </c>
      <c r="J91" s="146" t="s">
        <v>137</v>
      </c>
      <c r="K91" s="146" t="s">
        <v>277</v>
      </c>
      <c r="L91" s="146" t="s">
        <v>291</v>
      </c>
      <c r="M91" s="146" t="s">
        <v>276</v>
      </c>
      <c r="N91" s="146" t="s">
        <v>276</v>
      </c>
      <c r="O91" s="146" t="s">
        <v>276</v>
      </c>
      <c r="P91" s="146" t="s">
        <v>295</v>
      </c>
      <c r="Q91" s="146" t="s">
        <v>276</v>
      </c>
      <c r="R91" s="146" t="s">
        <v>340</v>
      </c>
      <c r="S91" s="146" t="s">
        <v>280</v>
      </c>
      <c r="T91" s="146" t="s">
        <v>341</v>
      </c>
      <c r="U91" s="146" t="s">
        <v>280</v>
      </c>
      <c r="V91" s="146" t="s">
        <v>276</v>
      </c>
      <c r="W91" s="146" t="s">
        <v>333</v>
      </c>
      <c r="X91" s="146" t="s">
        <v>281</v>
      </c>
      <c r="Y91" s="146" t="s">
        <v>341</v>
      </c>
      <c r="Z91" s="146" t="s">
        <v>280</v>
      </c>
      <c r="AA91" s="146" t="s">
        <v>334</v>
      </c>
      <c r="AB91" s="146" t="s">
        <v>286</v>
      </c>
    </row>
    <row r="92" spans="2:28" hidden="1" x14ac:dyDescent="0.15">
      <c r="B92" s="145">
        <v>83</v>
      </c>
      <c r="C92" s="146" t="s">
        <v>3</v>
      </c>
      <c r="D92" s="146" t="s">
        <v>3</v>
      </c>
      <c r="E92" s="146" t="s">
        <v>8</v>
      </c>
      <c r="F92" s="146" t="s">
        <v>524</v>
      </c>
      <c r="G92" s="146" t="s">
        <v>284</v>
      </c>
      <c r="H92" s="146" t="s">
        <v>343</v>
      </c>
      <c r="I92" s="146" t="s">
        <v>140</v>
      </c>
      <c r="J92" s="146" t="s">
        <v>141</v>
      </c>
      <c r="K92" s="146" t="s">
        <v>277</v>
      </c>
      <c r="L92" s="146" t="s">
        <v>279</v>
      </c>
      <c r="M92" s="146" t="s">
        <v>276</v>
      </c>
      <c r="N92" s="146" t="s">
        <v>276</v>
      </c>
      <c r="O92" s="146" t="s">
        <v>276</v>
      </c>
      <c r="P92" s="146" t="s">
        <v>276</v>
      </c>
      <c r="Q92" s="146" t="s">
        <v>276</v>
      </c>
      <c r="R92" s="146" t="s">
        <v>278</v>
      </c>
      <c r="S92" s="146" t="s">
        <v>280</v>
      </c>
      <c r="T92" s="146" t="s">
        <v>305</v>
      </c>
      <c r="U92" s="146" t="s">
        <v>280</v>
      </c>
      <c r="V92" s="146" t="s">
        <v>276</v>
      </c>
      <c r="W92" s="146" t="s">
        <v>344</v>
      </c>
      <c r="X92" s="146" t="s">
        <v>345</v>
      </c>
      <c r="Y92" s="146" t="s">
        <v>284</v>
      </c>
      <c r="Z92" s="146" t="s">
        <v>281</v>
      </c>
      <c r="AA92" s="146" t="s">
        <v>346</v>
      </c>
      <c r="AB92" s="146" t="s">
        <v>347</v>
      </c>
    </row>
    <row r="93" spans="2:28" hidden="1" x14ac:dyDescent="0.15">
      <c r="B93" s="145">
        <v>83</v>
      </c>
      <c r="C93" s="146" t="s">
        <v>3</v>
      </c>
      <c r="D93" s="146" t="s">
        <v>3</v>
      </c>
      <c r="E93" s="146" t="s">
        <v>8</v>
      </c>
      <c r="F93" s="146" t="s">
        <v>342</v>
      </c>
      <c r="G93" s="146" t="s">
        <v>284</v>
      </c>
      <c r="H93" s="146" t="s">
        <v>343</v>
      </c>
      <c r="I93" s="146" t="s">
        <v>140</v>
      </c>
      <c r="J93" s="146" t="s">
        <v>141</v>
      </c>
      <c r="K93" s="146" t="s">
        <v>277</v>
      </c>
      <c r="L93" s="146" t="s">
        <v>279</v>
      </c>
      <c r="M93" s="146" t="s">
        <v>276</v>
      </c>
      <c r="N93" s="146" t="s">
        <v>276</v>
      </c>
      <c r="O93" s="146" t="s">
        <v>276</v>
      </c>
      <c r="P93" s="146" t="s">
        <v>276</v>
      </c>
      <c r="Q93" s="146" t="s">
        <v>276</v>
      </c>
      <c r="R93" s="146" t="s">
        <v>278</v>
      </c>
      <c r="S93" s="146" t="s">
        <v>280</v>
      </c>
      <c r="T93" s="146" t="s">
        <v>305</v>
      </c>
      <c r="U93" s="146" t="s">
        <v>280</v>
      </c>
      <c r="V93" s="146" t="s">
        <v>276</v>
      </c>
      <c r="W93" s="146" t="s">
        <v>287</v>
      </c>
      <c r="X93" s="146" t="s">
        <v>288</v>
      </c>
      <c r="Y93" s="146" t="s">
        <v>284</v>
      </c>
      <c r="Z93" s="146" t="s">
        <v>280</v>
      </c>
      <c r="AA93" s="146" t="s">
        <v>289</v>
      </c>
      <c r="AB93" s="146" t="s">
        <v>290</v>
      </c>
    </row>
    <row r="94" spans="2:28" hidden="1" x14ac:dyDescent="0.15">
      <c r="B94" s="145">
        <v>84</v>
      </c>
      <c r="C94" s="146" t="s">
        <v>2</v>
      </c>
      <c r="D94" s="146" t="s">
        <v>3</v>
      </c>
      <c r="E94" s="146" t="s">
        <v>8</v>
      </c>
      <c r="F94" s="146" t="s">
        <v>342</v>
      </c>
      <c r="G94" s="146" t="s">
        <v>284</v>
      </c>
      <c r="H94" s="146" t="s">
        <v>348</v>
      </c>
      <c r="I94" s="146" t="s">
        <v>142</v>
      </c>
      <c r="J94" s="146" t="s">
        <v>143</v>
      </c>
      <c r="K94" s="146" t="s">
        <v>277</v>
      </c>
      <c r="L94" s="146" t="s">
        <v>277</v>
      </c>
      <c r="M94" s="146" t="s">
        <v>276</v>
      </c>
      <c r="N94" s="146" t="s">
        <v>276</v>
      </c>
      <c r="O94" s="146" t="s">
        <v>276</v>
      </c>
      <c r="P94" s="146" t="s">
        <v>276</v>
      </c>
      <c r="Q94" s="146" t="s">
        <v>276</v>
      </c>
      <c r="R94" s="146" t="s">
        <v>279</v>
      </c>
      <c r="S94" s="146" t="s">
        <v>280</v>
      </c>
      <c r="T94" s="146" t="s">
        <v>284</v>
      </c>
      <c r="U94" s="146" t="s">
        <v>280</v>
      </c>
      <c r="V94" s="146" t="s">
        <v>276</v>
      </c>
      <c r="W94" s="146" t="s">
        <v>344</v>
      </c>
      <c r="X94" s="146" t="s">
        <v>345</v>
      </c>
      <c r="Y94" s="146" t="s">
        <v>284</v>
      </c>
      <c r="Z94" s="146" t="s">
        <v>281</v>
      </c>
      <c r="AA94" s="146" t="s">
        <v>346</v>
      </c>
      <c r="AB94" s="146" t="s">
        <v>347</v>
      </c>
    </row>
    <row r="95" spans="2:28" hidden="1" x14ac:dyDescent="0.15">
      <c r="B95" s="145">
        <v>85</v>
      </c>
      <c r="C95" s="146" t="s">
        <v>0</v>
      </c>
      <c r="D95" s="146" t="s">
        <v>3</v>
      </c>
      <c r="E95" s="146" t="s">
        <v>8</v>
      </c>
      <c r="F95" s="146" t="s">
        <v>342</v>
      </c>
      <c r="G95" s="146" t="s">
        <v>284</v>
      </c>
      <c r="H95" s="146" t="s">
        <v>235</v>
      </c>
      <c r="I95" s="146" t="s">
        <v>138</v>
      </c>
      <c r="J95" s="146" t="s">
        <v>139</v>
      </c>
      <c r="K95" s="146" t="s">
        <v>277</v>
      </c>
      <c r="L95" s="146" t="s">
        <v>291</v>
      </c>
      <c r="M95" s="146" t="s">
        <v>276</v>
      </c>
      <c r="N95" s="146" t="s">
        <v>276</v>
      </c>
      <c r="O95" s="146" t="s">
        <v>276</v>
      </c>
      <c r="P95" s="146" t="s">
        <v>276</v>
      </c>
      <c r="Q95" s="146" t="s">
        <v>276</v>
      </c>
      <c r="R95" s="146" t="s">
        <v>277</v>
      </c>
      <c r="S95" s="146" t="s">
        <v>280</v>
      </c>
      <c r="T95" s="146" t="s">
        <v>284</v>
      </c>
      <c r="U95" s="146" t="s">
        <v>280</v>
      </c>
      <c r="V95" s="146" t="s">
        <v>276</v>
      </c>
      <c r="W95" s="146" t="s">
        <v>344</v>
      </c>
      <c r="X95" s="146" t="s">
        <v>345</v>
      </c>
      <c r="Y95" s="146" t="s">
        <v>284</v>
      </c>
      <c r="Z95" s="146" t="s">
        <v>281</v>
      </c>
      <c r="AA95" s="146" t="s">
        <v>346</v>
      </c>
      <c r="AB95" s="146" t="s">
        <v>347</v>
      </c>
    </row>
    <row r="96" spans="2:28" hidden="1" x14ac:dyDescent="0.15">
      <c r="B96" s="145">
        <v>86</v>
      </c>
      <c r="C96" s="146" t="s">
        <v>0</v>
      </c>
      <c r="D96" s="146" t="s">
        <v>3</v>
      </c>
      <c r="E96" s="146" t="s">
        <v>8</v>
      </c>
      <c r="F96" s="146" t="s">
        <v>342</v>
      </c>
      <c r="G96" s="146" t="s">
        <v>305</v>
      </c>
      <c r="H96" s="146" t="s">
        <v>235</v>
      </c>
      <c r="I96" s="146" t="s">
        <v>144</v>
      </c>
      <c r="J96" s="146" t="s">
        <v>145</v>
      </c>
      <c r="K96" s="146" t="s">
        <v>277</v>
      </c>
      <c r="L96" s="146" t="s">
        <v>291</v>
      </c>
      <c r="M96" s="146" t="s">
        <v>276</v>
      </c>
      <c r="N96" s="146" t="s">
        <v>276</v>
      </c>
      <c r="O96" s="146" t="s">
        <v>276</v>
      </c>
      <c r="P96" s="146" t="s">
        <v>276</v>
      </c>
      <c r="Q96" s="146" t="s">
        <v>276</v>
      </c>
      <c r="R96" s="146" t="s">
        <v>279</v>
      </c>
      <c r="S96" s="146" t="s">
        <v>280</v>
      </c>
      <c r="T96" s="146" t="s">
        <v>305</v>
      </c>
      <c r="U96" s="146" t="s">
        <v>280</v>
      </c>
      <c r="V96" s="146" t="s">
        <v>276</v>
      </c>
      <c r="W96" s="146" t="s">
        <v>344</v>
      </c>
      <c r="X96" s="146" t="s">
        <v>345</v>
      </c>
      <c r="Y96" s="146" t="s">
        <v>305</v>
      </c>
      <c r="Z96" s="146" t="s">
        <v>281</v>
      </c>
      <c r="AA96" s="146" t="s">
        <v>346</v>
      </c>
      <c r="AB96" s="146" t="s">
        <v>347</v>
      </c>
    </row>
    <row r="97" spans="2:28" hidden="1" x14ac:dyDescent="0.15">
      <c r="B97" s="145">
        <v>87</v>
      </c>
      <c r="C97" s="146" t="s">
        <v>3</v>
      </c>
      <c r="D97" s="146" t="s">
        <v>3</v>
      </c>
      <c r="E97" s="146" t="s">
        <v>8</v>
      </c>
      <c r="F97" s="146" t="s">
        <v>349</v>
      </c>
      <c r="G97" s="146" t="s">
        <v>295</v>
      </c>
      <c r="H97" s="146" t="s">
        <v>350</v>
      </c>
      <c r="I97" s="146" t="s">
        <v>146</v>
      </c>
      <c r="J97" s="146" t="s">
        <v>147</v>
      </c>
      <c r="K97" s="146" t="s">
        <v>277</v>
      </c>
      <c r="L97" s="146" t="s">
        <v>279</v>
      </c>
      <c r="M97" s="146" t="s">
        <v>276</v>
      </c>
      <c r="N97" s="146" t="s">
        <v>276</v>
      </c>
      <c r="O97" s="146" t="s">
        <v>276</v>
      </c>
      <c r="P97" s="146" t="s">
        <v>276</v>
      </c>
      <c r="Q97" s="146" t="s">
        <v>276</v>
      </c>
      <c r="R97" s="146" t="s">
        <v>337</v>
      </c>
      <c r="S97" s="146" t="s">
        <v>280</v>
      </c>
      <c r="T97" s="146" t="s">
        <v>338</v>
      </c>
      <c r="U97" s="146" t="s">
        <v>280</v>
      </c>
      <c r="V97" s="146" t="s">
        <v>276</v>
      </c>
      <c r="W97" s="146" t="s">
        <v>287</v>
      </c>
      <c r="X97" s="146" t="s">
        <v>288</v>
      </c>
      <c r="Y97" s="146" t="s">
        <v>284</v>
      </c>
      <c r="Z97" s="146" t="s">
        <v>280</v>
      </c>
      <c r="AA97" s="146" t="s">
        <v>289</v>
      </c>
      <c r="AB97" s="146" t="s">
        <v>290</v>
      </c>
    </row>
    <row r="98" spans="2:28" hidden="1" x14ac:dyDescent="0.15">
      <c r="B98" s="145">
        <v>87</v>
      </c>
      <c r="C98" s="146" t="s">
        <v>3</v>
      </c>
      <c r="D98" s="146" t="s">
        <v>3</v>
      </c>
      <c r="E98" s="146" t="s">
        <v>8</v>
      </c>
      <c r="F98" s="146" t="s">
        <v>349</v>
      </c>
      <c r="G98" s="146" t="s">
        <v>295</v>
      </c>
      <c r="H98" s="146" t="s">
        <v>350</v>
      </c>
      <c r="I98" s="146" t="s">
        <v>146</v>
      </c>
      <c r="J98" s="146" t="s">
        <v>147</v>
      </c>
      <c r="K98" s="146" t="s">
        <v>277</v>
      </c>
      <c r="L98" s="146" t="s">
        <v>279</v>
      </c>
      <c r="M98" s="146" t="s">
        <v>276</v>
      </c>
      <c r="N98" s="146" t="s">
        <v>276</v>
      </c>
      <c r="O98" s="146" t="s">
        <v>276</v>
      </c>
      <c r="P98" s="146" t="s">
        <v>276</v>
      </c>
      <c r="Q98" s="146" t="s">
        <v>276</v>
      </c>
      <c r="R98" s="146" t="s">
        <v>337</v>
      </c>
      <c r="S98" s="146" t="s">
        <v>280</v>
      </c>
      <c r="T98" s="146" t="s">
        <v>338</v>
      </c>
      <c r="U98" s="146" t="s">
        <v>280</v>
      </c>
      <c r="V98" s="146" t="s">
        <v>276</v>
      </c>
      <c r="W98" s="146" t="s">
        <v>344</v>
      </c>
      <c r="X98" s="146" t="s">
        <v>345</v>
      </c>
      <c r="Y98" s="146" t="s">
        <v>339</v>
      </c>
      <c r="Z98" s="146" t="s">
        <v>281</v>
      </c>
      <c r="AA98" s="146" t="s">
        <v>346</v>
      </c>
      <c r="AB98" s="146" t="s">
        <v>347</v>
      </c>
    </row>
    <row r="99" spans="2:28" hidden="1" x14ac:dyDescent="0.15">
      <c r="B99" s="145">
        <v>88</v>
      </c>
      <c r="C99" s="146" t="s">
        <v>2</v>
      </c>
      <c r="D99" s="146" t="s">
        <v>3</v>
      </c>
      <c r="E99" s="146" t="s">
        <v>8</v>
      </c>
      <c r="F99" s="146" t="s">
        <v>349</v>
      </c>
      <c r="G99" s="146" t="s">
        <v>295</v>
      </c>
      <c r="H99" s="146" t="s">
        <v>351</v>
      </c>
      <c r="I99" s="146" t="s">
        <v>150</v>
      </c>
      <c r="J99" s="146" t="s">
        <v>151</v>
      </c>
      <c r="K99" s="146" t="s">
        <v>277</v>
      </c>
      <c r="L99" s="146" t="s">
        <v>277</v>
      </c>
      <c r="M99" s="146" t="s">
        <v>276</v>
      </c>
      <c r="N99" s="146" t="s">
        <v>276</v>
      </c>
      <c r="O99" s="146" t="s">
        <v>276</v>
      </c>
      <c r="P99" s="146" t="s">
        <v>276</v>
      </c>
      <c r="Q99" s="146" t="s">
        <v>276</v>
      </c>
      <c r="R99" s="146" t="s">
        <v>279</v>
      </c>
      <c r="S99" s="146" t="s">
        <v>280</v>
      </c>
      <c r="T99" s="146" t="s">
        <v>284</v>
      </c>
      <c r="U99" s="146" t="s">
        <v>280</v>
      </c>
      <c r="V99" s="146" t="s">
        <v>276</v>
      </c>
      <c r="W99" s="146" t="s">
        <v>344</v>
      </c>
      <c r="X99" s="146" t="s">
        <v>345</v>
      </c>
      <c r="Y99" s="146" t="s">
        <v>284</v>
      </c>
      <c r="Z99" s="146" t="s">
        <v>281</v>
      </c>
      <c r="AA99" s="146" t="s">
        <v>346</v>
      </c>
      <c r="AB99" s="146" t="s">
        <v>347</v>
      </c>
    </row>
    <row r="100" spans="2:28" hidden="1" x14ac:dyDescent="0.15">
      <c r="B100" s="145">
        <v>89</v>
      </c>
      <c r="C100" s="146" t="s">
        <v>0</v>
      </c>
      <c r="D100" s="146" t="s">
        <v>3</v>
      </c>
      <c r="E100" s="146" t="s">
        <v>8</v>
      </c>
      <c r="F100" s="146" t="s">
        <v>349</v>
      </c>
      <c r="G100" s="146" t="s">
        <v>295</v>
      </c>
      <c r="H100" s="146" t="s">
        <v>236</v>
      </c>
      <c r="I100" s="146" t="s">
        <v>154</v>
      </c>
      <c r="J100" s="146" t="s">
        <v>155</v>
      </c>
      <c r="K100" s="146" t="s">
        <v>277</v>
      </c>
      <c r="L100" s="146" t="s">
        <v>291</v>
      </c>
      <c r="M100" s="146" t="s">
        <v>276</v>
      </c>
      <c r="N100" s="146" t="s">
        <v>276</v>
      </c>
      <c r="O100" s="146" t="s">
        <v>276</v>
      </c>
      <c r="P100" s="146" t="s">
        <v>276</v>
      </c>
      <c r="Q100" s="146" t="s">
        <v>276</v>
      </c>
      <c r="R100" s="146" t="s">
        <v>340</v>
      </c>
      <c r="S100" s="146" t="s">
        <v>280</v>
      </c>
      <c r="T100" s="146" t="s">
        <v>341</v>
      </c>
      <c r="U100" s="146" t="s">
        <v>280</v>
      </c>
      <c r="V100" s="146" t="s">
        <v>276</v>
      </c>
      <c r="W100" s="146" t="s">
        <v>344</v>
      </c>
      <c r="X100" s="146" t="s">
        <v>345</v>
      </c>
      <c r="Y100" s="146" t="s">
        <v>341</v>
      </c>
      <c r="Z100" s="146" t="s">
        <v>281</v>
      </c>
      <c r="AA100" s="146" t="s">
        <v>346</v>
      </c>
      <c r="AB100" s="146" t="s">
        <v>347</v>
      </c>
    </row>
    <row r="101" spans="2:28" hidden="1" x14ac:dyDescent="0.15">
      <c r="B101" s="145">
        <v>90</v>
      </c>
      <c r="C101" s="146" t="s">
        <v>0</v>
      </c>
      <c r="D101" s="146" t="s">
        <v>3</v>
      </c>
      <c r="E101" s="146" t="s">
        <v>8</v>
      </c>
      <c r="F101" s="146" t="s">
        <v>525</v>
      </c>
      <c r="G101" s="146" t="s">
        <v>352</v>
      </c>
      <c r="H101" s="146" t="s">
        <v>236</v>
      </c>
      <c r="I101" s="146" t="s">
        <v>152</v>
      </c>
      <c r="J101" s="146" t="s">
        <v>153</v>
      </c>
      <c r="K101" s="146" t="s">
        <v>277</v>
      </c>
      <c r="L101" s="146" t="s">
        <v>291</v>
      </c>
      <c r="M101" s="146" t="s">
        <v>276</v>
      </c>
      <c r="N101" s="146" t="s">
        <v>276</v>
      </c>
      <c r="O101" s="146" t="s">
        <v>276</v>
      </c>
      <c r="P101" s="146" t="s">
        <v>276</v>
      </c>
      <c r="Q101" s="146" t="s">
        <v>276</v>
      </c>
      <c r="R101" s="146" t="s">
        <v>353</v>
      </c>
      <c r="S101" s="146" t="s">
        <v>280</v>
      </c>
      <c r="T101" s="146" t="s">
        <v>354</v>
      </c>
      <c r="U101" s="146" t="s">
        <v>280</v>
      </c>
      <c r="V101" s="146" t="s">
        <v>276</v>
      </c>
      <c r="W101" s="146" t="s">
        <v>344</v>
      </c>
      <c r="X101" s="146" t="s">
        <v>345</v>
      </c>
      <c r="Y101" s="146" t="s">
        <v>354</v>
      </c>
      <c r="Z101" s="146" t="s">
        <v>281</v>
      </c>
      <c r="AA101" s="146" t="s">
        <v>346</v>
      </c>
      <c r="AB101" s="146" t="s">
        <v>347</v>
      </c>
    </row>
    <row r="102" spans="2:28" hidden="1" x14ac:dyDescent="0.15">
      <c r="B102" s="145">
        <v>91</v>
      </c>
      <c r="C102" s="146" t="s">
        <v>3</v>
      </c>
      <c r="D102" s="146" t="s">
        <v>3</v>
      </c>
      <c r="E102" s="146" t="s">
        <v>8</v>
      </c>
      <c r="F102" s="146" t="s">
        <v>526</v>
      </c>
      <c r="G102" s="146" t="s">
        <v>276</v>
      </c>
      <c r="H102" s="146" t="s">
        <v>355</v>
      </c>
      <c r="I102" s="146" t="s">
        <v>148</v>
      </c>
      <c r="J102" s="146" t="s">
        <v>149</v>
      </c>
      <c r="K102" s="146" t="s">
        <v>277</v>
      </c>
      <c r="L102" s="146" t="s">
        <v>279</v>
      </c>
      <c r="M102" s="146" t="s">
        <v>276</v>
      </c>
      <c r="N102" s="146" t="s">
        <v>276</v>
      </c>
      <c r="O102" s="146" t="s">
        <v>276</v>
      </c>
      <c r="P102" s="146" t="s">
        <v>276</v>
      </c>
      <c r="Q102" s="146" t="s">
        <v>295</v>
      </c>
      <c r="R102" s="146" t="s">
        <v>337</v>
      </c>
      <c r="S102" s="146" t="s">
        <v>280</v>
      </c>
      <c r="T102" s="146" t="s">
        <v>338</v>
      </c>
      <c r="U102" s="146" t="s">
        <v>280</v>
      </c>
      <c r="V102" s="146" t="s">
        <v>276</v>
      </c>
      <c r="W102" s="146" t="s">
        <v>287</v>
      </c>
      <c r="X102" s="146" t="s">
        <v>288</v>
      </c>
      <c r="Y102" s="146" t="s">
        <v>284</v>
      </c>
      <c r="Z102" s="146" t="s">
        <v>280</v>
      </c>
      <c r="AA102" s="146" t="s">
        <v>289</v>
      </c>
      <c r="AB102" s="146" t="s">
        <v>290</v>
      </c>
    </row>
    <row r="103" spans="2:28" hidden="1" x14ac:dyDescent="0.15">
      <c r="B103" s="145">
        <v>91</v>
      </c>
      <c r="C103" s="146" t="s">
        <v>3</v>
      </c>
      <c r="D103" s="146" t="s">
        <v>3</v>
      </c>
      <c r="E103" s="146" t="s">
        <v>8</v>
      </c>
      <c r="F103" s="146" t="s">
        <v>7</v>
      </c>
      <c r="G103" s="146" t="s">
        <v>276</v>
      </c>
      <c r="H103" s="146" t="s">
        <v>355</v>
      </c>
      <c r="I103" s="146" t="s">
        <v>148</v>
      </c>
      <c r="J103" s="146" t="s">
        <v>149</v>
      </c>
      <c r="K103" s="146" t="s">
        <v>277</v>
      </c>
      <c r="L103" s="146" t="s">
        <v>279</v>
      </c>
      <c r="M103" s="146" t="s">
        <v>276</v>
      </c>
      <c r="N103" s="146" t="s">
        <v>276</v>
      </c>
      <c r="O103" s="146" t="s">
        <v>276</v>
      </c>
      <c r="P103" s="146" t="s">
        <v>276</v>
      </c>
      <c r="Q103" s="146" t="s">
        <v>295</v>
      </c>
      <c r="R103" s="146" t="s">
        <v>337</v>
      </c>
      <c r="S103" s="146" t="s">
        <v>280</v>
      </c>
      <c r="T103" s="146" t="s">
        <v>338</v>
      </c>
      <c r="U103" s="146" t="s">
        <v>280</v>
      </c>
      <c r="V103" s="146" t="s">
        <v>276</v>
      </c>
      <c r="W103" s="146" t="s">
        <v>344</v>
      </c>
      <c r="X103" s="146" t="s">
        <v>345</v>
      </c>
      <c r="Y103" s="146" t="s">
        <v>339</v>
      </c>
      <c r="Z103" s="146" t="s">
        <v>281</v>
      </c>
      <c r="AA103" s="146" t="s">
        <v>346</v>
      </c>
      <c r="AB103" s="146" t="s">
        <v>347</v>
      </c>
    </row>
    <row r="104" spans="2:28" hidden="1" x14ac:dyDescent="0.15">
      <c r="B104" s="145">
        <v>92</v>
      </c>
      <c r="C104" s="146" t="s">
        <v>2</v>
      </c>
      <c r="D104" s="146" t="s">
        <v>3</v>
      </c>
      <c r="E104" s="146" t="s">
        <v>8</v>
      </c>
      <c r="F104" s="146" t="s">
        <v>7</v>
      </c>
      <c r="G104" s="146" t="s">
        <v>276</v>
      </c>
      <c r="H104" s="146" t="s">
        <v>356</v>
      </c>
      <c r="I104" s="146" t="s">
        <v>156</v>
      </c>
      <c r="J104" s="146" t="s">
        <v>157</v>
      </c>
      <c r="K104" s="146" t="s">
        <v>277</v>
      </c>
      <c r="L104" s="146" t="s">
        <v>277</v>
      </c>
      <c r="M104" s="146" t="s">
        <v>276</v>
      </c>
      <c r="N104" s="146" t="s">
        <v>276</v>
      </c>
      <c r="O104" s="146" t="s">
        <v>276</v>
      </c>
      <c r="P104" s="146" t="s">
        <v>276</v>
      </c>
      <c r="Q104" s="146" t="s">
        <v>295</v>
      </c>
      <c r="R104" s="146" t="s">
        <v>279</v>
      </c>
      <c r="S104" s="146" t="s">
        <v>280</v>
      </c>
      <c r="T104" s="146" t="s">
        <v>284</v>
      </c>
      <c r="U104" s="146" t="s">
        <v>280</v>
      </c>
      <c r="V104" s="146" t="s">
        <v>276</v>
      </c>
      <c r="W104" s="146" t="s">
        <v>344</v>
      </c>
      <c r="X104" s="146" t="s">
        <v>345</v>
      </c>
      <c r="Y104" s="146" t="s">
        <v>284</v>
      </c>
      <c r="Z104" s="146" t="s">
        <v>281</v>
      </c>
      <c r="AA104" s="146" t="s">
        <v>346</v>
      </c>
      <c r="AB104" s="146" t="s">
        <v>347</v>
      </c>
    </row>
    <row r="105" spans="2:28" hidden="1" x14ac:dyDescent="0.15">
      <c r="B105" s="145">
        <v>93</v>
      </c>
      <c r="C105" s="146" t="s">
        <v>0</v>
      </c>
      <c r="D105" s="146" t="s">
        <v>3</v>
      </c>
      <c r="E105" s="146" t="s">
        <v>8</v>
      </c>
      <c r="F105" s="146" t="s">
        <v>7</v>
      </c>
      <c r="G105" s="146" t="s">
        <v>276</v>
      </c>
      <c r="H105" s="146" t="s">
        <v>237</v>
      </c>
      <c r="I105" s="146" t="s">
        <v>158</v>
      </c>
      <c r="J105" s="146" t="s">
        <v>159</v>
      </c>
      <c r="K105" s="146" t="s">
        <v>277</v>
      </c>
      <c r="L105" s="146" t="s">
        <v>291</v>
      </c>
      <c r="M105" s="146" t="s">
        <v>276</v>
      </c>
      <c r="N105" s="146" t="s">
        <v>276</v>
      </c>
      <c r="O105" s="146" t="s">
        <v>276</v>
      </c>
      <c r="P105" s="146" t="s">
        <v>276</v>
      </c>
      <c r="Q105" s="146" t="s">
        <v>295</v>
      </c>
      <c r="R105" s="146" t="s">
        <v>340</v>
      </c>
      <c r="S105" s="146" t="s">
        <v>280</v>
      </c>
      <c r="T105" s="146" t="s">
        <v>341</v>
      </c>
      <c r="U105" s="146" t="s">
        <v>280</v>
      </c>
      <c r="V105" s="146" t="s">
        <v>276</v>
      </c>
      <c r="W105" s="146" t="s">
        <v>344</v>
      </c>
      <c r="X105" s="146" t="s">
        <v>345</v>
      </c>
      <c r="Y105" s="146" t="s">
        <v>341</v>
      </c>
      <c r="Z105" s="146" t="s">
        <v>281</v>
      </c>
      <c r="AA105" s="146" t="s">
        <v>346</v>
      </c>
      <c r="AB105" s="146" t="s">
        <v>347</v>
      </c>
    </row>
    <row r="106" spans="2:28" hidden="1" x14ac:dyDescent="0.15">
      <c r="B106" s="145">
        <v>94</v>
      </c>
      <c r="C106" s="146" t="s">
        <v>3</v>
      </c>
      <c r="D106" s="146" t="s">
        <v>3</v>
      </c>
      <c r="E106" s="146" t="s">
        <v>8</v>
      </c>
      <c r="F106" s="146" t="s">
        <v>527</v>
      </c>
      <c r="G106" s="146" t="s">
        <v>276</v>
      </c>
      <c r="H106" s="146" t="s">
        <v>358</v>
      </c>
      <c r="I106" s="146" t="s">
        <v>160</v>
      </c>
      <c r="J106" s="146" t="s">
        <v>161</v>
      </c>
      <c r="K106" s="146" t="s">
        <v>277</v>
      </c>
      <c r="L106" s="146" t="s">
        <v>279</v>
      </c>
      <c r="M106" s="146" t="s">
        <v>276</v>
      </c>
      <c r="N106" s="146" t="s">
        <v>276</v>
      </c>
      <c r="O106" s="146" t="s">
        <v>276</v>
      </c>
      <c r="P106" s="146" t="s">
        <v>276</v>
      </c>
      <c r="Q106" s="146" t="s">
        <v>352</v>
      </c>
      <c r="R106" s="146" t="s">
        <v>337</v>
      </c>
      <c r="S106" s="146" t="s">
        <v>280</v>
      </c>
      <c r="T106" s="146" t="s">
        <v>338</v>
      </c>
      <c r="U106" s="146" t="s">
        <v>280</v>
      </c>
      <c r="V106" s="146" t="s">
        <v>276</v>
      </c>
      <c r="W106" s="146" t="s">
        <v>344</v>
      </c>
      <c r="X106" s="146" t="s">
        <v>345</v>
      </c>
      <c r="Y106" s="146" t="s">
        <v>339</v>
      </c>
      <c r="Z106" s="146" t="s">
        <v>281</v>
      </c>
      <c r="AA106" s="146" t="s">
        <v>346</v>
      </c>
      <c r="AB106" s="146" t="s">
        <v>347</v>
      </c>
    </row>
    <row r="107" spans="2:28" hidden="1" x14ac:dyDescent="0.15">
      <c r="B107" s="145">
        <v>94</v>
      </c>
      <c r="C107" s="146" t="s">
        <v>3</v>
      </c>
      <c r="D107" s="146" t="s">
        <v>3</v>
      </c>
      <c r="E107" s="146" t="s">
        <v>8</v>
      </c>
      <c r="F107" s="146" t="s">
        <v>357</v>
      </c>
      <c r="G107" s="146" t="s">
        <v>276</v>
      </c>
      <c r="H107" s="146" t="s">
        <v>358</v>
      </c>
      <c r="I107" s="146" t="s">
        <v>160</v>
      </c>
      <c r="J107" s="146" t="s">
        <v>161</v>
      </c>
      <c r="K107" s="146" t="s">
        <v>277</v>
      </c>
      <c r="L107" s="146" t="s">
        <v>279</v>
      </c>
      <c r="M107" s="146" t="s">
        <v>276</v>
      </c>
      <c r="N107" s="146" t="s">
        <v>276</v>
      </c>
      <c r="O107" s="146" t="s">
        <v>276</v>
      </c>
      <c r="P107" s="146" t="s">
        <v>276</v>
      </c>
      <c r="Q107" s="146" t="s">
        <v>352</v>
      </c>
      <c r="R107" s="146" t="s">
        <v>337</v>
      </c>
      <c r="S107" s="146" t="s">
        <v>280</v>
      </c>
      <c r="T107" s="146" t="s">
        <v>338</v>
      </c>
      <c r="U107" s="146" t="s">
        <v>280</v>
      </c>
      <c r="V107" s="146" t="s">
        <v>276</v>
      </c>
      <c r="W107" s="146" t="s">
        <v>287</v>
      </c>
      <c r="X107" s="146" t="s">
        <v>288</v>
      </c>
      <c r="Y107" s="146" t="s">
        <v>284</v>
      </c>
      <c r="Z107" s="146" t="s">
        <v>280</v>
      </c>
      <c r="AA107" s="146" t="s">
        <v>289</v>
      </c>
      <c r="AB107" s="146" t="s">
        <v>290</v>
      </c>
    </row>
    <row r="108" spans="2:28" hidden="1" x14ac:dyDescent="0.15">
      <c r="B108" s="145">
        <v>95</v>
      </c>
      <c r="C108" s="146" t="s">
        <v>2</v>
      </c>
      <c r="D108" s="146" t="s">
        <v>3</v>
      </c>
      <c r="E108" s="146" t="s">
        <v>8</v>
      </c>
      <c r="F108" s="146" t="s">
        <v>357</v>
      </c>
      <c r="G108" s="146" t="s">
        <v>276</v>
      </c>
      <c r="H108" s="146" t="s">
        <v>359</v>
      </c>
      <c r="I108" s="146" t="s">
        <v>162</v>
      </c>
      <c r="J108" s="146" t="s">
        <v>163</v>
      </c>
      <c r="K108" s="146" t="s">
        <v>277</v>
      </c>
      <c r="L108" s="146" t="s">
        <v>277</v>
      </c>
      <c r="M108" s="146" t="s">
        <v>276</v>
      </c>
      <c r="N108" s="146" t="s">
        <v>276</v>
      </c>
      <c r="O108" s="146" t="s">
        <v>276</v>
      </c>
      <c r="P108" s="146" t="s">
        <v>276</v>
      </c>
      <c r="Q108" s="146" t="s">
        <v>352</v>
      </c>
      <c r="R108" s="146" t="s">
        <v>279</v>
      </c>
      <c r="S108" s="146" t="s">
        <v>280</v>
      </c>
      <c r="T108" s="146" t="s">
        <v>284</v>
      </c>
      <c r="U108" s="146" t="s">
        <v>280</v>
      </c>
      <c r="V108" s="146" t="s">
        <v>276</v>
      </c>
      <c r="W108" s="146" t="s">
        <v>344</v>
      </c>
      <c r="X108" s="146" t="s">
        <v>345</v>
      </c>
      <c r="Y108" s="146" t="s">
        <v>284</v>
      </c>
      <c r="Z108" s="146" t="s">
        <v>281</v>
      </c>
      <c r="AA108" s="146" t="s">
        <v>346</v>
      </c>
      <c r="AB108" s="146" t="s">
        <v>347</v>
      </c>
    </row>
    <row r="109" spans="2:28" hidden="1" x14ac:dyDescent="0.15">
      <c r="B109" s="145">
        <v>96</v>
      </c>
      <c r="C109" s="146" t="s">
        <v>0</v>
      </c>
      <c r="D109" s="146" t="s">
        <v>3</v>
      </c>
      <c r="E109" s="146" t="s">
        <v>8</v>
      </c>
      <c r="F109" s="146" t="s">
        <v>357</v>
      </c>
      <c r="G109" s="146" t="s">
        <v>276</v>
      </c>
      <c r="H109" s="146" t="s">
        <v>238</v>
      </c>
      <c r="I109" s="146" t="s">
        <v>209</v>
      </c>
      <c r="J109" s="146" t="s">
        <v>210</v>
      </c>
      <c r="K109" s="146" t="s">
        <v>277</v>
      </c>
      <c r="L109" s="146" t="s">
        <v>291</v>
      </c>
      <c r="M109" s="146" t="s">
        <v>276</v>
      </c>
      <c r="N109" s="146" t="s">
        <v>276</v>
      </c>
      <c r="O109" s="146" t="s">
        <v>276</v>
      </c>
      <c r="P109" s="146" t="s">
        <v>276</v>
      </c>
      <c r="Q109" s="146" t="s">
        <v>352</v>
      </c>
      <c r="R109" s="146" t="s">
        <v>340</v>
      </c>
      <c r="S109" s="146" t="s">
        <v>280</v>
      </c>
      <c r="T109" s="146" t="s">
        <v>341</v>
      </c>
      <c r="U109" s="146" t="s">
        <v>280</v>
      </c>
      <c r="V109" s="146" t="s">
        <v>276</v>
      </c>
      <c r="W109" s="146" t="s">
        <v>344</v>
      </c>
      <c r="X109" s="146" t="s">
        <v>345</v>
      </c>
      <c r="Y109" s="146" t="s">
        <v>341</v>
      </c>
      <c r="Z109" s="146" t="s">
        <v>281</v>
      </c>
      <c r="AA109" s="146" t="s">
        <v>346</v>
      </c>
      <c r="AB109" s="146" t="s">
        <v>347</v>
      </c>
    </row>
    <row r="110" spans="2:28" hidden="1" x14ac:dyDescent="0.15">
      <c r="B110" s="145">
        <v>97</v>
      </c>
      <c r="C110" s="146" t="s">
        <v>3</v>
      </c>
      <c r="D110" s="146" t="s">
        <v>3</v>
      </c>
      <c r="E110" s="146" t="s">
        <v>8</v>
      </c>
      <c r="F110" s="146" t="s">
        <v>528</v>
      </c>
      <c r="G110" s="146" t="s">
        <v>276</v>
      </c>
      <c r="H110" s="146" t="s">
        <v>361</v>
      </c>
      <c r="I110" s="146" t="s">
        <v>211</v>
      </c>
      <c r="J110" s="146" t="s">
        <v>212</v>
      </c>
      <c r="K110" s="146" t="s">
        <v>277</v>
      </c>
      <c r="L110" s="146" t="s">
        <v>279</v>
      </c>
      <c r="M110" s="146" t="s">
        <v>276</v>
      </c>
      <c r="N110" s="146" t="s">
        <v>276</v>
      </c>
      <c r="O110" s="146" t="s">
        <v>276</v>
      </c>
      <c r="P110" s="146" t="s">
        <v>276</v>
      </c>
      <c r="Q110" s="146" t="s">
        <v>362</v>
      </c>
      <c r="R110" s="146" t="s">
        <v>363</v>
      </c>
      <c r="S110" s="146" t="s">
        <v>280</v>
      </c>
      <c r="T110" s="146" t="s">
        <v>364</v>
      </c>
      <c r="U110" s="146" t="s">
        <v>280</v>
      </c>
      <c r="V110" s="146" t="s">
        <v>276</v>
      </c>
      <c r="W110" s="146" t="s">
        <v>344</v>
      </c>
      <c r="X110" s="146" t="s">
        <v>345</v>
      </c>
      <c r="Y110" s="146" t="s">
        <v>365</v>
      </c>
      <c r="Z110" s="146" t="s">
        <v>281</v>
      </c>
      <c r="AA110" s="146" t="s">
        <v>346</v>
      </c>
      <c r="AB110" s="146" t="s">
        <v>347</v>
      </c>
    </row>
    <row r="111" spans="2:28" hidden="1" x14ac:dyDescent="0.15">
      <c r="B111" s="145">
        <v>97</v>
      </c>
      <c r="C111" s="146" t="s">
        <v>3</v>
      </c>
      <c r="D111" s="146" t="s">
        <v>3</v>
      </c>
      <c r="E111" s="146" t="s">
        <v>8</v>
      </c>
      <c r="F111" s="146" t="s">
        <v>360</v>
      </c>
      <c r="G111" s="146" t="s">
        <v>276</v>
      </c>
      <c r="H111" s="146" t="s">
        <v>361</v>
      </c>
      <c r="I111" s="146" t="s">
        <v>211</v>
      </c>
      <c r="J111" s="146" t="s">
        <v>212</v>
      </c>
      <c r="K111" s="146" t="s">
        <v>277</v>
      </c>
      <c r="L111" s="146" t="s">
        <v>279</v>
      </c>
      <c r="M111" s="146" t="s">
        <v>276</v>
      </c>
      <c r="N111" s="146" t="s">
        <v>276</v>
      </c>
      <c r="O111" s="146" t="s">
        <v>276</v>
      </c>
      <c r="P111" s="146" t="s">
        <v>276</v>
      </c>
      <c r="Q111" s="146" t="s">
        <v>362</v>
      </c>
      <c r="R111" s="146" t="s">
        <v>363</v>
      </c>
      <c r="S111" s="146" t="s">
        <v>280</v>
      </c>
      <c r="T111" s="146" t="s">
        <v>364</v>
      </c>
      <c r="U111" s="146" t="s">
        <v>280</v>
      </c>
      <c r="V111" s="146" t="s">
        <v>276</v>
      </c>
      <c r="W111" s="146" t="s">
        <v>287</v>
      </c>
      <c r="X111" s="146" t="s">
        <v>288</v>
      </c>
      <c r="Y111" s="146" t="s">
        <v>284</v>
      </c>
      <c r="Z111" s="146" t="s">
        <v>280</v>
      </c>
      <c r="AA111" s="146" t="s">
        <v>289</v>
      </c>
      <c r="AB111" s="146" t="s">
        <v>290</v>
      </c>
    </row>
    <row r="112" spans="2:28" hidden="1" x14ac:dyDescent="0.15">
      <c r="B112" s="145">
        <v>98</v>
      </c>
      <c r="C112" s="146" t="s">
        <v>2</v>
      </c>
      <c r="D112" s="146" t="s">
        <v>3</v>
      </c>
      <c r="E112" s="146" t="s">
        <v>8</v>
      </c>
      <c r="F112" s="146" t="s">
        <v>360</v>
      </c>
      <c r="G112" s="146" t="s">
        <v>276</v>
      </c>
      <c r="H112" s="146" t="s">
        <v>366</v>
      </c>
      <c r="I112" s="146" t="s">
        <v>213</v>
      </c>
      <c r="J112" s="146" t="s">
        <v>214</v>
      </c>
      <c r="K112" s="146" t="s">
        <v>277</v>
      </c>
      <c r="L112" s="146" t="s">
        <v>277</v>
      </c>
      <c r="M112" s="146" t="s">
        <v>276</v>
      </c>
      <c r="N112" s="146" t="s">
        <v>276</v>
      </c>
      <c r="O112" s="146" t="s">
        <v>276</v>
      </c>
      <c r="P112" s="146" t="s">
        <v>276</v>
      </c>
      <c r="Q112" s="146" t="s">
        <v>362</v>
      </c>
      <c r="R112" s="146" t="s">
        <v>367</v>
      </c>
      <c r="S112" s="146" t="s">
        <v>280</v>
      </c>
      <c r="T112" s="146" t="s">
        <v>368</v>
      </c>
      <c r="U112" s="146" t="s">
        <v>280</v>
      </c>
      <c r="V112" s="146" t="s">
        <v>276</v>
      </c>
      <c r="W112" s="146" t="s">
        <v>344</v>
      </c>
      <c r="X112" s="146" t="s">
        <v>345</v>
      </c>
      <c r="Y112" s="146" t="s">
        <v>368</v>
      </c>
      <c r="Z112" s="146" t="s">
        <v>281</v>
      </c>
      <c r="AA112" s="146" t="s">
        <v>346</v>
      </c>
      <c r="AB112" s="146" t="s">
        <v>347</v>
      </c>
    </row>
    <row r="113" spans="2:28" hidden="1" x14ac:dyDescent="0.15">
      <c r="B113" s="145">
        <v>99</v>
      </c>
      <c r="C113" s="146" t="s">
        <v>0</v>
      </c>
      <c r="D113" s="146" t="s">
        <v>3</v>
      </c>
      <c r="E113" s="146" t="s">
        <v>8</v>
      </c>
      <c r="F113" s="146" t="s">
        <v>360</v>
      </c>
      <c r="G113" s="146" t="s">
        <v>276</v>
      </c>
      <c r="H113" s="146" t="s">
        <v>239</v>
      </c>
      <c r="I113" s="146" t="s">
        <v>215</v>
      </c>
      <c r="J113" s="146" t="s">
        <v>216</v>
      </c>
      <c r="K113" s="146" t="s">
        <v>277</v>
      </c>
      <c r="L113" s="146" t="s">
        <v>291</v>
      </c>
      <c r="M113" s="146" t="s">
        <v>276</v>
      </c>
      <c r="N113" s="146" t="s">
        <v>276</v>
      </c>
      <c r="O113" s="146" t="s">
        <v>276</v>
      </c>
      <c r="P113" s="146" t="s">
        <v>276</v>
      </c>
      <c r="Q113" s="146" t="s">
        <v>362</v>
      </c>
      <c r="R113" s="146" t="s">
        <v>369</v>
      </c>
      <c r="S113" s="146" t="s">
        <v>280</v>
      </c>
      <c r="T113" s="146" t="s">
        <v>370</v>
      </c>
      <c r="U113" s="146" t="s">
        <v>280</v>
      </c>
      <c r="V113" s="146" t="s">
        <v>276</v>
      </c>
      <c r="W113" s="146" t="s">
        <v>344</v>
      </c>
      <c r="X113" s="146" t="s">
        <v>345</v>
      </c>
      <c r="Y113" s="146" t="s">
        <v>370</v>
      </c>
      <c r="Z113" s="146" t="s">
        <v>281</v>
      </c>
      <c r="AA113" s="146" t="s">
        <v>346</v>
      </c>
      <c r="AB113" s="146" t="s">
        <v>347</v>
      </c>
    </row>
    <row r="114" spans="2:28" hidden="1" x14ac:dyDescent="0.4"/>
  </sheetData>
  <autoFilter ref="A1:AB114" xr:uid="{D91CEE3E-EB33-42C9-AC35-C555273A0BC7}">
    <filterColumn colId="0">
      <filters>
        <filter val="MM1"/>
      </filters>
    </filterColumn>
  </autoFilter>
  <phoneticPr fontId="14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4a0992f-8328-4daf-870b-3d2b13d3e940">
      <Terms xmlns="http://schemas.microsoft.com/office/infopath/2007/PartnerControls"/>
    </lcf76f155ced4ddcb4097134ff3c332f>
    <TaxCatchAll xmlns="4a37abda-15dd-4e37-8275-3b7fb2897b65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8AB003DB5A4D644C9FB3BD19B5C7E000" ma:contentTypeVersion="11" ma:contentTypeDescription="新しいドキュメントを作成します。" ma:contentTypeScope="" ma:versionID="14213891138059eb724b9e737fafccea">
  <xsd:schema xmlns:xsd="http://www.w3.org/2001/XMLSchema" xmlns:xs="http://www.w3.org/2001/XMLSchema" xmlns:p="http://schemas.microsoft.com/office/2006/metadata/properties" xmlns:ns2="74a0992f-8328-4daf-870b-3d2b13d3e940" xmlns:ns3="4a37abda-15dd-4e37-8275-3b7fb2897b65" targetNamespace="http://schemas.microsoft.com/office/2006/metadata/properties" ma:root="true" ma:fieldsID="c0714e9ec9c019f03b39320eca5a0ecc" ns2:_="" ns3:_="">
    <xsd:import namespace="74a0992f-8328-4daf-870b-3d2b13d3e940"/>
    <xsd:import namespace="4a37abda-15dd-4e37-8275-3b7fb2897b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a0992f-8328-4daf-870b-3d2b13d3e9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e6619b5c-6674-40b7-9c01-33e12ba1bd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37abda-15dd-4e37-8275-3b7fb2897b6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f2a2e70a-4904-448e-b588-7989bbdb9dd5}" ma:internalName="TaxCatchAll" ma:showField="CatchAllData" ma:web="4a37abda-15dd-4e37-8275-3b7fb2897b6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F692AF8-D6E2-44A7-B0A3-6C534500FFD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90C896E-FFE9-4629-94A8-26BEA770D033}">
  <ds:schemaRefs>
    <ds:schemaRef ds:uri="b4c7ce4d-67a4-4f44-8f88-bfeca3803a63"/>
    <ds:schemaRef ds:uri="8ab8a245-1025-469f-bc0a-26499413059b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B07939B8-226A-4A0C-8E1B-E4B7B392A1A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9</vt:i4>
      </vt:variant>
    </vt:vector>
  </HeadingPairs>
  <TitlesOfParts>
    <vt:vector size="9" baseType="lpstr">
      <vt:lpstr>レジでの売価変更額</vt:lpstr>
      <vt:lpstr>レジでの売価変更額　図</vt:lpstr>
      <vt:lpstr>値引確認</vt:lpstr>
      <vt:lpstr>仕様　値引シール他　図</vt:lpstr>
      <vt:lpstr>確認1020データ特売</vt:lpstr>
      <vt:lpstr>確認1020結果特売</vt:lpstr>
      <vt:lpstr>確認1020図特売</vt:lpstr>
      <vt:lpstr>仕様　値引シール他</vt:lpstr>
      <vt:lpstr>値引確認元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KTC</dc:creator>
  <cp:lastModifiedBy>佐々木  大助</cp:lastModifiedBy>
  <cp:lastPrinted>2020-09-25T06:12:06Z</cp:lastPrinted>
  <dcterms:created xsi:type="dcterms:W3CDTF">2020-05-01T02:17:13Z</dcterms:created>
  <dcterms:modified xsi:type="dcterms:W3CDTF">2020-10-28T05:47:05Z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0x0101008AB003DB5A4D644C9FB3BD19B5C7E000</vt:lpwstr>
  </property>
  <property fmtid="{D5CDD505-2E9C-101B-9397-08002B2CF9AE}" pid="3" name="MediaServiceImageTags">
    <vt:lpwstr/>
  </property>
</Properties>
</file>