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623"/>
  <workbookPr defaultThemeVersion="124226"/>
  <mc:AlternateContent xmlns:mc="http://schemas.openxmlformats.org/markup-compatibility/2006">
    <mc:Choice Requires="x15">
      <x15ac:absPath xmlns:x15ac="http://schemas.microsoft.com/office/spreadsheetml/2010/11/ac" url="https://usmh.sharepoint.com/sites/AndroidPOS208/Shared Documents/General/Luvinaより/03_機能概要/11_外部連携(実績)/81_Scan＆Go/"/>
    </mc:Choice>
  </mc:AlternateContent>
  <xr:revisionPtr revIDLastSave="22" documentId="13_ncr:1_{900A4F7F-0A2A-48A2-8D5B-5743DE6220CD}" xr6:coauthVersionLast="47" xr6:coauthVersionMax="47" xr10:uidLastSave="{121F1C1B-E9F2-4D5A-9DA6-3CCF080397DE}"/>
  <bookViews>
    <workbookView xWindow="-120" yWindow="-16320" windowWidth="38640" windowHeight="16440" tabRatio="910" activeTab="2" xr2:uid="{00000000-000D-0000-FFFF-FFFF00000000}"/>
  </bookViews>
  <sheets>
    <sheet name="表紙" sheetId="26" r:id="rId1"/>
    <sheet name="改版履歴" sheetId="27" r:id="rId2"/>
    <sheet name="連携対象取引ログテーブル一覧" sheetId="29" r:id="rId3"/>
    <sheet name="取引ログテーブル関連図" sheetId="31" r:id="rId4"/>
    <sheet name="取引ログテーブル関連図（補足説明）" sheetId="32" r:id="rId5"/>
    <sheet name="取引ログ作成時の注意事項" sheetId="36" r:id="rId6"/>
    <sheet name="取引ログ作成時の注意事項(税情報)" sheetId="37" r:id="rId7"/>
    <sheet name="取引ログ作成時の注意事項(支払情報)" sheetId="38" r:id="rId8"/>
    <sheet name="取引ログ作成時の注意事項(値引併用)" sheetId="39" r:id="rId9"/>
    <sheet name="TRANS_HEADER" sheetId="1" r:id="rId10"/>
    <sheet name="LN_LINK" sheetId="23" r:id="rId11"/>
    <sheet name="LN_DETAIL" sheetId="4" r:id="rId12"/>
    <sheet name="LN_DISCOUNT" sheetId="24" r:id="rId13"/>
    <sheet name="TRANSACTION_TAX" sheetId="25" r:id="rId14"/>
    <sheet name="TRANSACTION_TENDER" sheetId="13" r:id="rId15"/>
    <sheet name="GIFT_CERT_TENDER" sheetId="2" r:id="rId16"/>
    <sheet name="GSFD_PNT_TRANS_HEADER" sheetId="15" r:id="rId17"/>
    <sheet name="MANUAL_PRICE" sheetId="19" r:id="rId18"/>
    <sheet name="GL_TRAN" sheetId="20" r:id="rId19"/>
    <sheet name="LOAN_PICKUP" sheetId="21" r:id="rId20"/>
    <sheet name="コード決済取引明細ログレイアウト" sheetId="35" r:id="rId21"/>
    <sheet name="《貼付元》価格マトリクス" sheetId="40" r:id="rId22"/>
  </sheets>
  <definedNames>
    <definedName name="_" localSheetId="21" hidden="1">{"'表紙'!$A$1:$W$39"}</definedName>
    <definedName name="_" localSheetId="7" hidden="1">{"'表紙'!$A$1:$W$39"}</definedName>
    <definedName name="_" localSheetId="6" hidden="1">{"'表紙'!$A$1:$W$39"}</definedName>
    <definedName name="_" hidden="1">{"'表紙'!$A$1:$W$39"}</definedName>
    <definedName name="____PFM2">#REF!</definedName>
    <definedName name="____PFM21">#REF!</definedName>
    <definedName name="____pfm3">#REF!</definedName>
    <definedName name="___PFM2">#REF!</definedName>
    <definedName name="___PFM21">#REF!</definedName>
    <definedName name="___pfm3">#REF!</definedName>
    <definedName name="__B16" localSheetId="21" hidden="1">{"'発注データ送信 確認事項'!$A$1:$D$28"}</definedName>
    <definedName name="__B16" localSheetId="7" hidden="1">{"'発注データ送信 確認事項'!$A$1:$D$28"}</definedName>
    <definedName name="__B16" localSheetId="6" hidden="1">{"'発注データ送信 確認事項'!$A$1:$D$28"}</definedName>
    <definedName name="__B16" hidden="1">{"'発注データ送信 確認事項'!$A$1:$D$28"}</definedName>
    <definedName name="__B6" localSheetId="21" hidden="1">{"'発注データ送信 確認事項'!$A$1:$D$28"}</definedName>
    <definedName name="__B6" localSheetId="7" hidden="1">{"'発注データ送信 確認事項'!$A$1:$D$28"}</definedName>
    <definedName name="__B6" localSheetId="6" hidden="1">{"'発注データ送信 確認事項'!$A$1:$D$28"}</definedName>
    <definedName name="__B6" hidden="1">{"'発注データ送信 確認事項'!$A$1:$D$28"}</definedName>
    <definedName name="__PFM2">#REF!</definedName>
    <definedName name="__PFM21">#REF!</definedName>
    <definedName name="__pfm3">#REF!</definedName>
    <definedName name="_1Excel_BuiltIn__FilterDatabase_1">#REF!</definedName>
    <definedName name="_2Excel_BuiltIn__FilterDatabase_1_1">#REF!</definedName>
    <definedName name="_3Nagaoka_障害一覧_発生_改修">#REF!</definedName>
    <definedName name="_B16" localSheetId="21" hidden="1">{"'発注データ送信 確認事項'!$A$1:$D$28"}</definedName>
    <definedName name="_B16" localSheetId="7" hidden="1">{"'発注データ送信 確認事項'!$A$1:$D$28"}</definedName>
    <definedName name="_B16" localSheetId="6" hidden="1">{"'発注データ送信 確認事項'!$A$1:$D$28"}</definedName>
    <definedName name="_B16" hidden="1">{"'発注データ送信 確認事項'!$A$1:$D$28"}</definedName>
    <definedName name="_B6" localSheetId="21" hidden="1">{"'発注データ送信 確認事項'!$A$1:$D$28"}</definedName>
    <definedName name="_B6" localSheetId="7" hidden="1">{"'発注データ送信 確認事項'!$A$1:$D$28"}</definedName>
    <definedName name="_B6" localSheetId="6" hidden="1">{"'発注データ送信 確認事項'!$A$1:$D$28"}</definedName>
    <definedName name="_B6" hidden="1">{"'発注データ送信 確認事項'!$A$1:$D$28"}</definedName>
    <definedName name="_Fill" localSheetId="20" hidden="1">#REF!</definedName>
    <definedName name="_Fill" localSheetId="7" hidden="1">#REF!</definedName>
    <definedName name="_Fill" localSheetId="6" hidden="1">#REF!</definedName>
    <definedName name="_Fill" hidden="1">#REF!</definedName>
    <definedName name="_fill2" localSheetId="21" hidden="1">#REF!</definedName>
    <definedName name="_fill2" localSheetId="7" hidden="1">#REF!</definedName>
    <definedName name="_fill2" localSheetId="6" hidden="1">#REF!</definedName>
    <definedName name="_fill2" hidden="1">#REF!</definedName>
    <definedName name="_xlnm._FilterDatabase" localSheetId="21" hidden="1">#REF!</definedName>
    <definedName name="_xlnm._FilterDatabase" localSheetId="15" hidden="1">GIFT_CERT_TENDER!$A$3:$O$10</definedName>
    <definedName name="_xlnm._FilterDatabase" localSheetId="18" hidden="1">GL_TRAN!$A$3:$P$14</definedName>
    <definedName name="_xlnm._FilterDatabase" localSheetId="16" hidden="1">GSFD_PNT_TRANS_HEADER!$A$3:$M$30</definedName>
    <definedName name="_xlnm._FilterDatabase" localSheetId="11" hidden="1">LN_DETAIL!$A$3:$O$101</definedName>
    <definedName name="_xlnm._FilterDatabase" localSheetId="12" hidden="1">LN_DISCOUNT!$A$3:$O$30</definedName>
    <definedName name="_xlnm._FilterDatabase" localSheetId="10" hidden="1">LN_LINK!$A$3:$O$10</definedName>
    <definedName name="_xlnm._FilterDatabase" localSheetId="19" hidden="1">LOAN_PICKUP!$A$3:$P$18</definedName>
    <definedName name="_xlnm._FilterDatabase" localSheetId="17" hidden="1">MANUAL_PRICE!$A$3:$O$3</definedName>
    <definedName name="_xlnm._FilterDatabase" localSheetId="9" hidden="1">TRANS_HEADER!$A$3:$Z$232</definedName>
    <definedName name="_xlnm._FilterDatabase" localSheetId="13" hidden="1">TRANSACTION_TAX!$A$3:$O$15</definedName>
    <definedName name="_xlnm._FilterDatabase" localSheetId="14" hidden="1">TRANSACTION_TENDER!$A$3:$Q$50</definedName>
    <definedName name="_xlnm._FilterDatabase" localSheetId="7" hidden="1">#REF!</definedName>
    <definedName name="_xlnm._FilterDatabase" localSheetId="6" hidden="1">#REF!</definedName>
    <definedName name="_xlnm._FilterDatabase" hidden="1">#REF!</definedName>
    <definedName name="_Key1" localSheetId="21" hidden="1">#REF!</definedName>
    <definedName name="_Key1" localSheetId="20" hidden="1">#REF!</definedName>
    <definedName name="_Key1" localSheetId="7" hidden="1">#REF!</definedName>
    <definedName name="_Key1" localSheetId="6" hidden="1">#REF!</definedName>
    <definedName name="_Key1" hidden="1">#REF!</definedName>
    <definedName name="_Key2" localSheetId="21" hidden="1">#REF!</definedName>
    <definedName name="_Key2" localSheetId="20" hidden="1">#REF!</definedName>
    <definedName name="_Key2" localSheetId="7" hidden="1">#REF!</definedName>
    <definedName name="_Key2" localSheetId="6" hidden="1">#REF!</definedName>
    <definedName name="_Key2" hidden="1">#REF!</definedName>
    <definedName name="_Order1" localSheetId="20" hidden="1">255</definedName>
    <definedName name="_Order1" hidden="1">1</definedName>
    <definedName name="_Order2" localSheetId="20" hidden="1">1</definedName>
    <definedName name="_Order2" hidden="1">0</definedName>
    <definedName name="_Parse_In" localSheetId="21" hidden="1">#REF!</definedName>
    <definedName name="_Parse_In" localSheetId="7" hidden="1">#REF!</definedName>
    <definedName name="_Parse_In" localSheetId="6" hidden="1">#REF!</definedName>
    <definedName name="_Parse_In" hidden="1">#REF!</definedName>
    <definedName name="_Parse_Out" localSheetId="21" hidden="1">#REF!</definedName>
    <definedName name="_Parse_Out" localSheetId="7" hidden="1">#REF!</definedName>
    <definedName name="_Parse_Out" localSheetId="6" hidden="1">#REF!</definedName>
    <definedName name="_Parse_Out" hidden="1">#REF!</definedName>
    <definedName name="_PFM2">#REF!</definedName>
    <definedName name="_PFM21">#REF!</definedName>
    <definedName name="_pfm3">#REF!</definedName>
    <definedName name="_Sort" localSheetId="21" hidden="1">#REF!</definedName>
    <definedName name="_Sort" localSheetId="20" hidden="1">#REF!</definedName>
    <definedName name="_Sort" localSheetId="7" hidden="1">#REF!</definedName>
    <definedName name="_Sort" localSheetId="6" hidden="1">#REF!</definedName>
    <definedName name="_Sort" hidden="1">#REF!</definedName>
    <definedName name="_Table2_In1" localSheetId="21" hidden="1">#REF!</definedName>
    <definedName name="_Table2_In1" localSheetId="7" hidden="1">#REF!</definedName>
    <definedName name="_Table2_In1" localSheetId="6" hidden="1">#REF!</definedName>
    <definedName name="_Table2_In1" hidden="1">#REF!</definedName>
    <definedName name="_Table2_In2" localSheetId="21" hidden="1">#REF!</definedName>
    <definedName name="_Table2_In2" hidden="1">#REF!</definedName>
    <definedName name="_Table2_Out" localSheetId="21" hidden="1">#REF!</definedName>
    <definedName name="_Table2_Out" hidden="1">#REF!</definedName>
    <definedName name="a">#REF!</definedName>
    <definedName name="aa" localSheetId="21" hidden="1">{"'表紙'!$A$1:$W$39"}</definedName>
    <definedName name="aa" localSheetId="7" hidden="1">{"'表紙'!$A$1:$W$39"}</definedName>
    <definedName name="aa" localSheetId="6" hidden="1">{"'表紙'!$A$1:$W$39"}</definedName>
    <definedName name="aa" hidden="1">{"'表紙'!$A$1:$W$39"}</definedName>
    <definedName name="aaa">#REF!</definedName>
    <definedName name="aaaa" localSheetId="7" hidden="1">{"'表紙'!$A$1:$W$39"}</definedName>
    <definedName name="aaaa" localSheetId="6" hidden="1">{"'表紙'!$A$1:$W$39"}</definedName>
    <definedName name="aaaa" hidden="1">{"'表紙'!$A$1:$W$39"}</definedName>
    <definedName name="ＡＡＡＡＡＡ" localSheetId="21" hidden="1">{"'表紙'!$A$1:$W$39"}</definedName>
    <definedName name="ＡＡＡＡＡＡ" localSheetId="7" hidden="1">{"'表紙'!$A$1:$W$39"}</definedName>
    <definedName name="ＡＡＡＡＡＡ" localSheetId="6" hidden="1">{"'表紙'!$A$1:$W$39"}</definedName>
    <definedName name="ＡＡＡＡＡＡ" hidden="1">{"'表紙'!$A$1:$W$39"}</definedName>
    <definedName name="aaaaaaaaaaaaaa" localSheetId="21" hidden="1">{"'表紙'!$A$1:$W$39"}</definedName>
    <definedName name="aaaaaaaaaaaaaa" localSheetId="7" hidden="1">{"'表紙'!$A$1:$W$39"}</definedName>
    <definedName name="aaaaaaaaaaaaaa" localSheetId="6" hidden="1">{"'表紙'!$A$1:$W$39"}</definedName>
    <definedName name="aaaaaaaaaaaaaa" hidden="1">{"'表紙'!$A$1:$W$39"}</definedName>
    <definedName name="aaaaaaaaaaaaaaaaaaa" hidden="1">#REF!</definedName>
    <definedName name="aak" localSheetId="21" hidden="1">{"'表紙'!$A$1:$W$39"}</definedName>
    <definedName name="aak" localSheetId="7" hidden="1">{"'表紙'!$A$1:$W$39"}</definedName>
    <definedName name="aak" localSheetId="6" hidden="1">{"'表紙'!$A$1:$W$39"}</definedName>
    <definedName name="aak" hidden="1">{"'表紙'!$A$1:$W$39"}</definedName>
    <definedName name="Access_Button" localSheetId="20" hidden="1">"価格H_hard_諸元___2__List"</definedName>
    <definedName name="Access_Button" hidden="1">"項目一覧_データ_List"</definedName>
    <definedName name="AccessDatabase" localSheetId="20" hidden="1">"C:\MTAKAHAS\価格H.mdb"</definedName>
    <definedName name="AccessDatabase" hidden="1">"C:\Documents and Settings\kawana.OHSAKI\My Documents\作業中\ＤＢらいぶらり.mdb"</definedName>
    <definedName name="AS" localSheetId="21" hidden="1">{"'表紙'!$A$1:$W$39"}</definedName>
    <definedName name="AS" localSheetId="7" hidden="1">{"'表紙'!$A$1:$W$39"}</definedName>
    <definedName name="AS" localSheetId="6" hidden="1">{"'表紙'!$A$1:$W$39"}</definedName>
    <definedName name="AS" hidden="1">{"'表紙'!$A$1:$W$39"}</definedName>
    <definedName name="assss" localSheetId="21" hidden="1">{"'機能一覧 Master'!$A$1:$I$56"}</definedName>
    <definedName name="assss" localSheetId="7" hidden="1">{"'機能一覧 Master'!$A$1:$I$56"}</definedName>
    <definedName name="assss" localSheetId="6" hidden="1">{"'機能一覧 Master'!$A$1:$I$56"}</definedName>
    <definedName name="assss" hidden="1">{"'機能一覧 Master'!$A$1:$I$56"}</definedName>
    <definedName name="AX" localSheetId="21" hidden="1">{"'表紙'!$A$1:$W$39"}</definedName>
    <definedName name="AX" localSheetId="7" hidden="1">{"'表紙'!$A$1:$W$39"}</definedName>
    <definedName name="AX" localSheetId="6" hidden="1">{"'表紙'!$A$1:$W$39"}</definedName>
    <definedName name="AX" hidden="1">{"'表紙'!$A$1:$W$39"}</definedName>
    <definedName name="b" hidden="1">#REF!</definedName>
    <definedName name="BASE">#REF!</definedName>
    <definedName name="BASE2">#REF!</definedName>
    <definedName name="bbb">#REF!</definedName>
    <definedName name="bbbbbbbbbbbbbbbbb" localSheetId="21" hidden="1">{#N/A,#N/A,TRUE,"ﾒｲﾝｻｰﾊﾞ";#N/A,#N/A,TRUE,"ｽﾀﾝﾊﾞｲｻｰﾊﾞ";#N/A,#N/A,TRUE,"ﾒﾝﾃﾅﾝｽ&amp;SMS";#N/A,#N/A,TRUE,"ﾁｰﾌ端末(NT)";#N/A,#N/A,TRUE,"監視端末(NT)";#N/A,#N/A,TRUE,"予備端末";#N/A,#N/A,TRUE,"ﾈｯﾄﾜｰｸ機器";#N/A,#N/A,TRUE,"受信用PC98";#N/A,#N/A,TRUE,"とりまとめ"}</definedName>
    <definedName name="bbbbbbbbbbbbbbbbb" localSheetId="7" hidden="1">{#N/A,#N/A,TRUE,"ﾒｲﾝｻｰﾊﾞ";#N/A,#N/A,TRUE,"ｽﾀﾝﾊﾞｲｻｰﾊﾞ";#N/A,#N/A,TRUE,"ﾒﾝﾃﾅﾝｽ&amp;SMS";#N/A,#N/A,TRUE,"ﾁｰﾌ端末(NT)";#N/A,#N/A,TRUE,"監視端末(NT)";#N/A,#N/A,TRUE,"予備端末";#N/A,#N/A,TRUE,"ﾈｯﾄﾜｰｸ機器";#N/A,#N/A,TRUE,"受信用PC98";#N/A,#N/A,TRUE,"とりまとめ"}</definedName>
    <definedName name="bbbbbbbbbbbbbbbbb" localSheetId="6" hidden="1">{#N/A,#N/A,TRUE,"ﾒｲﾝｻｰﾊﾞ";#N/A,#N/A,TRUE,"ｽﾀﾝﾊﾞｲｻｰﾊﾞ";#N/A,#N/A,TRUE,"ﾒﾝﾃﾅﾝｽ&amp;SMS";#N/A,#N/A,TRUE,"ﾁｰﾌ端末(NT)";#N/A,#N/A,TRUE,"監視端末(NT)";#N/A,#N/A,TRUE,"予備端末";#N/A,#N/A,TRUE,"ﾈｯﾄﾜｰｸ機器";#N/A,#N/A,TRUE,"受信用PC98";#N/A,#N/A,TRUE,"とりまとめ"}</definedName>
    <definedName name="bbbbbbbbbbbbbbbbb" hidden="1">{#N/A,#N/A,TRUE,"ﾒｲﾝｻｰﾊﾞ";#N/A,#N/A,TRUE,"ｽﾀﾝﾊﾞｲｻｰﾊﾞ";#N/A,#N/A,TRUE,"ﾒﾝﾃﾅﾝｽ&amp;SMS";#N/A,#N/A,TRUE,"ﾁｰﾌ端末(NT)";#N/A,#N/A,TRUE,"監視端末(NT)";#N/A,#N/A,TRUE,"予備端末";#N/A,#N/A,TRUE,"ﾈｯﾄﾜｰｸ機器";#N/A,#N/A,TRUE,"受信用PC98";#N/A,#N/A,TRUE,"とりまとめ"}</definedName>
    <definedName name="BG" localSheetId="21" hidden="1">{"'表紙'!$A$1:$W$39"}</definedName>
    <definedName name="BG" localSheetId="7" hidden="1">{"'表紙'!$A$1:$W$39"}</definedName>
    <definedName name="BG" localSheetId="6" hidden="1">{"'表紙'!$A$1:$W$39"}</definedName>
    <definedName name="BG" hidden="1">{"'表紙'!$A$1:$W$39"}</definedName>
    <definedName name="BQ" localSheetId="21" hidden="1">{"'表紙'!$A$1:$W$39"}</definedName>
    <definedName name="BQ" localSheetId="7" hidden="1">{"'表紙'!$A$1:$W$39"}</definedName>
    <definedName name="BQ" localSheetId="6" hidden="1">{"'表紙'!$A$1:$W$39"}</definedName>
    <definedName name="BQ" hidden="1">{"'表紙'!$A$1:$W$39"}</definedName>
    <definedName name="BS" localSheetId="21" hidden="1">{"'表紙'!$A$1:$W$39"}</definedName>
    <definedName name="BS" localSheetId="7" hidden="1">{"'表紙'!$A$1:$W$39"}</definedName>
    <definedName name="BS" localSheetId="6" hidden="1">{"'表紙'!$A$1:$W$39"}</definedName>
    <definedName name="BS" hidden="1">{"'表紙'!$A$1:$W$39"}</definedName>
    <definedName name="BU" localSheetId="21" hidden="1">{"'表紙'!$A$1:$W$39"}</definedName>
    <definedName name="BU" localSheetId="7" hidden="1">{"'表紙'!$A$1:$W$39"}</definedName>
    <definedName name="BU" localSheetId="6" hidden="1">{"'表紙'!$A$1:$W$39"}</definedName>
    <definedName name="BU" hidden="1">{"'表紙'!$A$1:$W$39"}</definedName>
    <definedName name="BX" localSheetId="21" hidden="1">{"'表紙'!$A$1:$W$39"}</definedName>
    <definedName name="BX" localSheetId="7" hidden="1">{"'表紙'!$A$1:$W$39"}</definedName>
    <definedName name="BX" localSheetId="6" hidden="1">{"'表紙'!$A$1:$W$39"}</definedName>
    <definedName name="BX" hidden="1">{"'表紙'!$A$1:$W$39"}</definedName>
    <definedName name="BZ" localSheetId="21" hidden="1">{"'表紙'!$A$1:$W$39"}</definedName>
    <definedName name="BZ" localSheetId="7" hidden="1">{"'表紙'!$A$1:$W$39"}</definedName>
    <definedName name="BZ" localSheetId="6" hidden="1">{"'表紙'!$A$1:$W$39"}</definedName>
    <definedName name="BZ" hidden="1">{"'表紙'!$A$1:$W$39"}</definedName>
    <definedName name="ccc" localSheetId="21" hidden="1">{"'表紙'!$A$1:$W$39"}</definedName>
    <definedName name="ccc" localSheetId="7" hidden="1">{"'表紙'!$A$1:$W$39"}</definedName>
    <definedName name="ccc" localSheetId="6" hidden="1">{"'表紙'!$A$1:$W$39"}</definedName>
    <definedName name="ccc" hidden="1">{"'表紙'!$A$1:$W$39"}</definedName>
    <definedName name="ＣＴＣ" localSheetId="21"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ＣＴＣ" localSheetId="7"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ＣＴＣ" localSheetId="6"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ＣＴＣ" hidden="1">{#N/A,#N/A,TRUE,"ﾒｲﾝｻｰﾊﾞ";#N/A,#N/A,TRUE,"ｽﾀﾝﾊﾞｲｻｰﾊﾞ";#N/A,#N/A,TRUE,"ﾒﾝﾃﾅﾝｽ&amp;SMS";#N/A,#N/A,TRUE,"ﾁｰﾌ端末(NT)";#N/A,#N/A,TRUE,"監視端末(NT)";#N/A,#N/A,TRUE,"予備端末";#N/A,#N/A,TRUE,"ﾈｯﾄﾜｰｸ機器";#N/A,#N/A,TRUE,"受信用PC98";#N/A,#N/A,TRUE,"とりまとめ"}</definedName>
    <definedName name="CY" localSheetId="21" hidden="1">{"'表紙'!$A$1:$W$39"}</definedName>
    <definedName name="CY" localSheetId="7" hidden="1">{"'表紙'!$A$1:$W$39"}</definedName>
    <definedName name="CY" localSheetId="6" hidden="1">{"'表紙'!$A$1:$W$39"}</definedName>
    <definedName name="CY" hidden="1">{"'表紙'!$A$1:$W$39"}</definedName>
    <definedName name="CYC" localSheetId="21" hidden="1">{#N/A,#N/A,TRUE,"ﾒｲﾝｻｰﾊﾞ";#N/A,#N/A,TRUE,"ｽﾀﾝﾊﾞｲｻｰﾊﾞ";#N/A,#N/A,TRUE,"ﾒﾝﾃﾅﾝｽ&amp;SMS";#N/A,#N/A,TRUE,"ﾁｰﾌ端末(NT)";#N/A,#N/A,TRUE,"監視端末(NT)";#N/A,#N/A,TRUE,"予備端末";#N/A,#N/A,TRUE,"ﾈｯﾄﾜｰｸ機器";#N/A,#N/A,TRUE,"受信用PC98";#N/A,#N/A,TRUE,"とりまとめ"}</definedName>
    <definedName name="CYC" localSheetId="7" hidden="1">{#N/A,#N/A,TRUE,"ﾒｲﾝｻｰﾊﾞ";#N/A,#N/A,TRUE,"ｽﾀﾝﾊﾞｲｻｰﾊﾞ";#N/A,#N/A,TRUE,"ﾒﾝﾃﾅﾝｽ&amp;SMS";#N/A,#N/A,TRUE,"ﾁｰﾌ端末(NT)";#N/A,#N/A,TRUE,"監視端末(NT)";#N/A,#N/A,TRUE,"予備端末";#N/A,#N/A,TRUE,"ﾈｯﾄﾜｰｸ機器";#N/A,#N/A,TRUE,"受信用PC98";#N/A,#N/A,TRUE,"とりまとめ"}</definedName>
    <definedName name="CYC" localSheetId="6" hidden="1">{#N/A,#N/A,TRUE,"ﾒｲﾝｻｰﾊﾞ";#N/A,#N/A,TRUE,"ｽﾀﾝﾊﾞｲｻｰﾊﾞ";#N/A,#N/A,TRUE,"ﾒﾝﾃﾅﾝｽ&amp;SMS";#N/A,#N/A,TRUE,"ﾁｰﾌ端末(NT)";#N/A,#N/A,TRUE,"監視端末(NT)";#N/A,#N/A,TRUE,"予備端末";#N/A,#N/A,TRUE,"ﾈｯﾄﾜｰｸ機器";#N/A,#N/A,TRUE,"受信用PC98";#N/A,#N/A,TRUE,"とりまとめ"}</definedName>
    <definedName name="CYC" hidden="1">{#N/A,#N/A,TRUE,"ﾒｲﾝｻｰﾊﾞ";#N/A,#N/A,TRUE,"ｽﾀﾝﾊﾞｲｻｰﾊﾞ";#N/A,#N/A,TRUE,"ﾒﾝﾃﾅﾝｽ&amp;SMS";#N/A,#N/A,TRUE,"ﾁｰﾌ端末(NT)";#N/A,#N/A,TRUE,"監視端末(NT)";#N/A,#N/A,TRUE,"予備端末";#N/A,#N/A,TRUE,"ﾈｯﾄﾜｰｸ機器";#N/A,#N/A,TRUE,"受信用PC98";#N/A,#N/A,TRUE,"とりまとめ"}</definedName>
    <definedName name="DBPARTNER" localSheetId="21" hidden="1">{"'2.3 NT(ｱｶｳﾝﾄ)基本方針2'!$A$1:$AN$62"}</definedName>
    <definedName name="DBPARTNER" localSheetId="7" hidden="1">{"'2.3 NT(ｱｶｳﾝﾄ)基本方針2'!$A$1:$AN$62"}</definedName>
    <definedName name="DBPARTNER" localSheetId="6" hidden="1">{"'2.3 NT(ｱｶｳﾝﾄ)基本方針2'!$A$1:$AN$62"}</definedName>
    <definedName name="DBPARTNER" hidden="1">{"'2.3 NT(ｱｶｳﾝﾄ)基本方針2'!$A$1:$AN$62"}</definedName>
    <definedName name="ｄｄｄ" hidden="1">#REF!</definedName>
    <definedName name="dddd" localSheetId="21" hidden="1">{#N/A,#N/A,TRUE,"ﾒｲﾝｻｰﾊﾞ";#N/A,#N/A,TRUE,"ｽﾀﾝﾊﾞｲｻｰﾊﾞ";#N/A,#N/A,TRUE,"ﾒﾝﾃﾅﾝｽ&amp;SMS";#N/A,#N/A,TRUE,"ﾁｰﾌ端末(NT)";#N/A,#N/A,TRUE,"監視端末(NT)";#N/A,#N/A,TRUE,"予備端末";#N/A,#N/A,TRUE,"ﾈｯﾄﾜｰｸ機器";#N/A,#N/A,TRUE,"受信用PC98";#N/A,#N/A,TRUE,"とりまとめ"}</definedName>
    <definedName name="dddd" localSheetId="7" hidden="1">{#N/A,#N/A,TRUE,"ﾒｲﾝｻｰﾊﾞ";#N/A,#N/A,TRUE,"ｽﾀﾝﾊﾞｲｻｰﾊﾞ";#N/A,#N/A,TRUE,"ﾒﾝﾃﾅﾝｽ&amp;SMS";#N/A,#N/A,TRUE,"ﾁｰﾌ端末(NT)";#N/A,#N/A,TRUE,"監視端末(NT)";#N/A,#N/A,TRUE,"予備端末";#N/A,#N/A,TRUE,"ﾈｯﾄﾜｰｸ機器";#N/A,#N/A,TRUE,"受信用PC98";#N/A,#N/A,TRUE,"とりまとめ"}</definedName>
    <definedName name="dddd" localSheetId="6" hidden="1">{#N/A,#N/A,TRUE,"ﾒｲﾝｻｰﾊﾞ";#N/A,#N/A,TRUE,"ｽﾀﾝﾊﾞｲｻｰﾊﾞ";#N/A,#N/A,TRUE,"ﾒﾝﾃﾅﾝｽ&amp;SMS";#N/A,#N/A,TRUE,"ﾁｰﾌ端末(NT)";#N/A,#N/A,TRUE,"監視端末(NT)";#N/A,#N/A,TRUE,"予備端末";#N/A,#N/A,TRUE,"ﾈｯﾄﾜｰｸ機器";#N/A,#N/A,TRUE,"受信用PC98";#N/A,#N/A,TRUE,"とりまとめ"}</definedName>
    <definedName name="dddd" hidden="1">{#N/A,#N/A,TRUE,"ﾒｲﾝｻｰﾊﾞ";#N/A,#N/A,TRUE,"ｽﾀﾝﾊﾞｲｻｰﾊﾞ";#N/A,#N/A,TRUE,"ﾒﾝﾃﾅﾝｽ&amp;SMS";#N/A,#N/A,TRUE,"ﾁｰﾌ端末(NT)";#N/A,#N/A,TRUE,"監視端末(NT)";#N/A,#N/A,TRUE,"予備端末";#N/A,#N/A,TRUE,"ﾈｯﾄﾜｰｸ機器";#N/A,#N/A,TRUE,"受信用PC98";#N/A,#N/A,TRUE,"とりまとめ"}</definedName>
    <definedName name="dddddd" localSheetId="21" hidden="1">{#N/A,#N/A,TRUE,"ﾒｲﾝｻｰﾊﾞ";#N/A,#N/A,TRUE,"ｽﾀﾝﾊﾞｲｻｰﾊﾞ";#N/A,#N/A,TRUE,"ﾒﾝﾃﾅﾝｽ&amp;SMS";#N/A,#N/A,TRUE,"ﾁｰﾌ端末(NT)";#N/A,#N/A,TRUE,"監視端末(NT)";#N/A,#N/A,TRUE,"予備端末";#N/A,#N/A,TRUE,"ﾈｯﾄﾜｰｸ機器";#N/A,#N/A,TRUE,"受信用PC98";#N/A,#N/A,TRUE,"とりまとめ"}</definedName>
    <definedName name="dddddd" localSheetId="7" hidden="1">{#N/A,#N/A,TRUE,"ﾒｲﾝｻｰﾊﾞ";#N/A,#N/A,TRUE,"ｽﾀﾝﾊﾞｲｻｰﾊﾞ";#N/A,#N/A,TRUE,"ﾒﾝﾃﾅﾝｽ&amp;SMS";#N/A,#N/A,TRUE,"ﾁｰﾌ端末(NT)";#N/A,#N/A,TRUE,"監視端末(NT)";#N/A,#N/A,TRUE,"予備端末";#N/A,#N/A,TRUE,"ﾈｯﾄﾜｰｸ機器";#N/A,#N/A,TRUE,"受信用PC98";#N/A,#N/A,TRUE,"とりまとめ"}</definedName>
    <definedName name="dddddd" localSheetId="6" hidden="1">{#N/A,#N/A,TRUE,"ﾒｲﾝｻｰﾊﾞ";#N/A,#N/A,TRUE,"ｽﾀﾝﾊﾞｲｻｰﾊﾞ";#N/A,#N/A,TRUE,"ﾒﾝﾃﾅﾝｽ&amp;SMS";#N/A,#N/A,TRUE,"ﾁｰﾌ端末(NT)";#N/A,#N/A,TRUE,"監視端末(NT)";#N/A,#N/A,TRUE,"予備端末";#N/A,#N/A,TRUE,"ﾈｯﾄﾜｰｸ機器";#N/A,#N/A,TRUE,"受信用PC98";#N/A,#N/A,TRUE,"とりまとめ"}</definedName>
    <definedName name="dddddd" hidden="1">{#N/A,#N/A,TRUE,"ﾒｲﾝｻｰﾊﾞ";#N/A,#N/A,TRUE,"ｽﾀﾝﾊﾞｲｻｰﾊﾞ";#N/A,#N/A,TRUE,"ﾒﾝﾃﾅﾝｽ&amp;SMS";#N/A,#N/A,TRUE,"ﾁｰﾌ端末(NT)";#N/A,#N/A,TRUE,"監視端末(NT)";#N/A,#N/A,TRUE,"予備端末";#N/A,#N/A,TRUE,"ﾈｯﾄﾜｰｸ機器";#N/A,#N/A,TRUE,"受信用PC98";#N/A,#N/A,TRUE,"とりまとめ"}</definedName>
    <definedName name="dddddddddddd" localSheetId="21" hidden="1">{"'2.3 NT(ｱｶｳﾝﾄ)基本方針2'!$A$1:$AN$62"}</definedName>
    <definedName name="dddddddddddd" localSheetId="7" hidden="1">{"'2.3 NT(ｱｶｳﾝﾄ)基本方針2'!$A$1:$AN$62"}</definedName>
    <definedName name="dddddddddddd" localSheetId="6" hidden="1">{"'2.3 NT(ｱｶｳﾝﾄ)基本方針2'!$A$1:$AN$62"}</definedName>
    <definedName name="dddddddddddd" hidden="1">{"'2.3 NT(ｱｶｳﾝﾄ)基本方針2'!$A$1:$AN$62"}</definedName>
    <definedName name="ddfsdsd" localSheetId="21" hidden="1">{"HCDN_注釈以外",#N/A,FALSE,"10.0対応";"HCDN_注釈",#N/A,FALSE,"10.0対応";"HCDN_注釈以外",#N/A,FALSE,"9.0対応";"HCDN_注釈",#N/A,FALSE,"9.0対応";#N/A,#N/A,FALSE,"ﾏﾆｭｱﾙ一覧";#N/A,#N/A,FALSE,"ﾏﾆｭｱﾙ一覧 (2)"}</definedName>
    <definedName name="ddfsdsd" localSheetId="7" hidden="1">{"HCDN_注釈以外",#N/A,FALSE,"10.0対応";"HCDN_注釈",#N/A,FALSE,"10.0対応";"HCDN_注釈以外",#N/A,FALSE,"9.0対応";"HCDN_注釈",#N/A,FALSE,"9.0対応";#N/A,#N/A,FALSE,"ﾏﾆｭｱﾙ一覧";#N/A,#N/A,FALSE,"ﾏﾆｭｱﾙ一覧 (2)"}</definedName>
    <definedName name="ddfsdsd" localSheetId="6" hidden="1">{"HCDN_注釈以外",#N/A,FALSE,"10.0対応";"HCDN_注釈",#N/A,FALSE,"10.0対応";"HCDN_注釈以外",#N/A,FALSE,"9.0対応";"HCDN_注釈",#N/A,FALSE,"9.0対応";#N/A,#N/A,FALSE,"ﾏﾆｭｱﾙ一覧";#N/A,#N/A,FALSE,"ﾏﾆｭｱﾙ一覧 (2)"}</definedName>
    <definedName name="ddfsdsd" hidden="1">{"HCDN_注釈以外",#N/A,FALSE,"10.0対応";"HCDN_注釈",#N/A,FALSE,"10.0対応";"HCDN_注釈以外",#N/A,FALSE,"9.0対応";"HCDN_注釈",#N/A,FALSE,"9.0対応";#N/A,#N/A,FALSE,"ﾏﾆｭｱﾙ一覧";#N/A,#N/A,FALSE,"ﾏﾆｭｱﾙ一覧 (2)"}</definedName>
    <definedName name="DISC_CLASS_LVL">#REF!</definedName>
    <definedName name="DISC_EXCEPTION" localSheetId="7">#REF!</definedName>
    <definedName name="DISC_EXCEPTION" localSheetId="6">#REF!</definedName>
    <definedName name="DISC_EXCEPTION">#REF!</definedName>
    <definedName name="DISC_STEP" localSheetId="7">#REF!</definedName>
    <definedName name="DISC_STEP" localSheetId="6">#REF!</definedName>
    <definedName name="DISC_STEP">#REF!</definedName>
    <definedName name="DISC_TARGET" localSheetId="7">#REF!</definedName>
    <definedName name="DISC_TARGET" localSheetId="6">#REF!</definedName>
    <definedName name="DISC_TARGET">#REF!</definedName>
    <definedName name="DS" localSheetId="21" hidden="1">{"'表紙'!$A$1:$W$39"}</definedName>
    <definedName name="DS" localSheetId="7" hidden="1">{"'表紙'!$A$1:$W$39"}</definedName>
    <definedName name="DS" localSheetId="6" hidden="1">{"'表紙'!$A$1:$W$39"}</definedName>
    <definedName name="DS" hidden="1">{"'表紙'!$A$1:$W$39"}</definedName>
    <definedName name="DS_KEYS">#REF!</definedName>
    <definedName name="DS_NM">#REF!</definedName>
    <definedName name="e" localSheetId="21" hidden="1">#REF!</definedName>
    <definedName name="e" hidden="1">#REF!</definedName>
    <definedName name="EB" localSheetId="21" hidden="1">{"'表紙'!$A$1:$W$39"}</definedName>
    <definedName name="EB" localSheetId="7" hidden="1">{"'表紙'!$A$1:$W$39"}</definedName>
    <definedName name="EB" localSheetId="6" hidden="1">{"'表紙'!$A$1:$W$39"}</definedName>
    <definedName name="EB" hidden="1">{"'表紙'!$A$1:$W$39"}</definedName>
    <definedName name="eeeeeeeeeeeeeeeeee" localSheetId="21" hidden="1">{"HCDN_注釈以外",#N/A,FALSE,"10.0対応";"HCDN_注釈",#N/A,FALSE,"10.0対応";"HCDN_注釈以外",#N/A,FALSE,"9.0対応";"HCDN_注釈",#N/A,FALSE,"9.0対応";#N/A,#N/A,FALSE,"ﾏﾆｭｱﾙ一覧";#N/A,#N/A,FALSE,"ﾏﾆｭｱﾙ一覧 (2)"}</definedName>
    <definedName name="eeeeeeeeeeeeeeeeee" localSheetId="7" hidden="1">{"HCDN_注釈以外",#N/A,FALSE,"10.0対応";"HCDN_注釈",#N/A,FALSE,"10.0対応";"HCDN_注釈以外",#N/A,FALSE,"9.0対応";"HCDN_注釈",#N/A,FALSE,"9.0対応";#N/A,#N/A,FALSE,"ﾏﾆｭｱﾙ一覧";#N/A,#N/A,FALSE,"ﾏﾆｭｱﾙ一覧 (2)"}</definedName>
    <definedName name="eeeeeeeeeeeeeeeeee" localSheetId="6" hidden="1">{"HCDN_注釈以外",#N/A,FALSE,"10.0対応";"HCDN_注釈",#N/A,FALSE,"10.0対応";"HCDN_注釈以外",#N/A,FALSE,"9.0対応";"HCDN_注釈",#N/A,FALSE,"9.0対応";#N/A,#N/A,FALSE,"ﾏﾆｭｱﾙ一覧";#N/A,#N/A,FALSE,"ﾏﾆｭｱﾙ一覧 (2)"}</definedName>
    <definedName name="eeeeeeeeeeeeeeeeee" hidden="1">{"HCDN_注釈以外",#N/A,FALSE,"10.0対応";"HCDN_注釈",#N/A,FALSE,"10.0対応";"HCDN_注釈以外",#N/A,FALSE,"9.0対応";"HCDN_注釈",#N/A,FALSE,"9.0対応";#N/A,#N/A,FALSE,"ﾏﾆｭｱﾙ一覧";#N/A,#N/A,FALSE,"ﾏﾆｭｱﾙ一覧 (2)"}</definedName>
    <definedName name="efefefe" localSheetId="21" hidden="1">{#N/A,#N/A,TRUE,"ﾒｲﾝｻｰﾊﾞ";#N/A,#N/A,TRUE,"ｽﾀﾝﾊﾞｲｻｰﾊﾞ";#N/A,#N/A,TRUE,"ﾒﾝﾃﾅﾝｽ&amp;SMS";#N/A,#N/A,TRUE,"ﾁｰﾌ端末(NT)";#N/A,#N/A,TRUE,"監視端末(NT)";#N/A,#N/A,TRUE,"予備端末";#N/A,#N/A,TRUE,"ﾈｯﾄﾜｰｸ機器";#N/A,#N/A,TRUE,"受信用PC98";#N/A,#N/A,TRUE,"とりまとめ"}</definedName>
    <definedName name="efefefe" localSheetId="7" hidden="1">{#N/A,#N/A,TRUE,"ﾒｲﾝｻｰﾊﾞ";#N/A,#N/A,TRUE,"ｽﾀﾝﾊﾞｲｻｰﾊﾞ";#N/A,#N/A,TRUE,"ﾒﾝﾃﾅﾝｽ&amp;SMS";#N/A,#N/A,TRUE,"ﾁｰﾌ端末(NT)";#N/A,#N/A,TRUE,"監視端末(NT)";#N/A,#N/A,TRUE,"予備端末";#N/A,#N/A,TRUE,"ﾈｯﾄﾜｰｸ機器";#N/A,#N/A,TRUE,"受信用PC98";#N/A,#N/A,TRUE,"とりまとめ"}</definedName>
    <definedName name="efefefe" localSheetId="6" hidden="1">{#N/A,#N/A,TRUE,"ﾒｲﾝｻｰﾊﾞ";#N/A,#N/A,TRUE,"ｽﾀﾝﾊﾞｲｻｰﾊﾞ";#N/A,#N/A,TRUE,"ﾒﾝﾃﾅﾝｽ&amp;SMS";#N/A,#N/A,TRUE,"ﾁｰﾌ端末(NT)";#N/A,#N/A,TRUE,"監視端末(NT)";#N/A,#N/A,TRUE,"予備端末";#N/A,#N/A,TRUE,"ﾈｯﾄﾜｰｸ機器";#N/A,#N/A,TRUE,"受信用PC98";#N/A,#N/A,TRUE,"とりまとめ"}</definedName>
    <definedName name="efefefe" hidden="1">{#N/A,#N/A,TRUE,"ﾒｲﾝｻｰﾊﾞ";#N/A,#N/A,TRUE,"ｽﾀﾝﾊﾞｲｻｰﾊﾞ";#N/A,#N/A,TRUE,"ﾒﾝﾃﾅﾝｽ&amp;SMS";#N/A,#N/A,TRUE,"ﾁｰﾌ端末(NT)";#N/A,#N/A,TRUE,"監視端末(NT)";#N/A,#N/A,TRUE,"予備端末";#N/A,#N/A,TRUE,"ﾈｯﾄﾜｰｸ機器";#N/A,#N/A,TRUE,"受信用PC98";#N/A,#N/A,TRUE,"とりまとめ"}</definedName>
    <definedName name="EH" localSheetId="21" hidden="1">{"'表紙'!$A$1:$W$39"}</definedName>
    <definedName name="EH" localSheetId="7" hidden="1">{"'表紙'!$A$1:$W$39"}</definedName>
    <definedName name="EH" localSheetId="6" hidden="1">{"'表紙'!$A$1:$W$39"}</definedName>
    <definedName name="EH" hidden="1">{"'表紙'!$A$1:$W$39"}</definedName>
    <definedName name="ET" localSheetId="21" hidden="1">{"'フローチャート'!$A$1:$AO$191"}</definedName>
    <definedName name="ET" localSheetId="7" hidden="1">{"'フローチャート'!$A$1:$AO$191"}</definedName>
    <definedName name="ET" localSheetId="6" hidden="1">{"'フローチャート'!$A$1:$AO$191"}</definedName>
    <definedName name="ET" hidden="1">{"'フローチャート'!$A$1:$AO$191"}</definedName>
    <definedName name="ETT" localSheetId="21" hidden="1">{"'フローチャート'!$A$1:$AO$191"}</definedName>
    <definedName name="ETT" localSheetId="7" hidden="1">{"'フローチャート'!$A$1:$AO$191"}</definedName>
    <definedName name="ETT" localSheetId="6" hidden="1">{"'フローチャート'!$A$1:$AO$191"}</definedName>
    <definedName name="ETT" hidden="1">{"'フローチャート'!$A$1:$AO$191"}</definedName>
    <definedName name="EY" localSheetId="21" hidden="1">{"'表紙'!$A$1:$W$39"}</definedName>
    <definedName name="EY" localSheetId="7" hidden="1">{"'表紙'!$A$1:$W$39"}</definedName>
    <definedName name="EY" localSheetId="6" hidden="1">{"'表紙'!$A$1:$W$39"}</definedName>
    <definedName name="EY" hidden="1">{"'表紙'!$A$1:$W$39"}</definedName>
    <definedName name="FD" localSheetId="21" hidden="1">{"'表紙'!$A$1:$W$39"}</definedName>
    <definedName name="FD" localSheetId="7" hidden="1">{"'表紙'!$A$1:$W$39"}</definedName>
    <definedName name="FD" localSheetId="6" hidden="1">{"'表紙'!$A$1:$W$39"}</definedName>
    <definedName name="FD" hidden="1">{"'表紙'!$A$1:$W$39"}</definedName>
    <definedName name="ferfefef" localSheetId="21" hidden="1">{"'2.3 NT(ｱｶｳﾝﾄ)基本方針2'!$A$1:$AN$62"}</definedName>
    <definedName name="ferfefef" localSheetId="7" hidden="1">{"'2.3 NT(ｱｶｳﾝﾄ)基本方針2'!$A$1:$AN$62"}</definedName>
    <definedName name="ferfefef" localSheetId="6" hidden="1">{"'2.3 NT(ｱｶｳﾝﾄ)基本方針2'!$A$1:$AN$62"}</definedName>
    <definedName name="ferfefef" hidden="1">{"'2.3 NT(ｱｶｳﾝﾄ)基本方針2'!$A$1:$AN$62"}</definedName>
    <definedName name="ffffffffffffff" localSheetId="21" hidden="1">{#N/A,#N/A,TRUE,"ﾒｲﾝｻｰﾊﾞ";#N/A,#N/A,TRUE,"ｽﾀﾝﾊﾞｲｻｰﾊﾞ";#N/A,#N/A,TRUE,"ﾒﾝﾃﾅﾝｽ&amp;SMS";#N/A,#N/A,TRUE,"ﾁｰﾌ端末(NT)";#N/A,#N/A,TRUE,"監視端末(NT)";#N/A,#N/A,TRUE,"予備端末";#N/A,#N/A,TRUE,"ﾈｯﾄﾜｰｸ機器";#N/A,#N/A,TRUE,"受信用PC98";#N/A,#N/A,TRUE,"とりまとめ"}</definedName>
    <definedName name="ffffffffffffff" localSheetId="7" hidden="1">{#N/A,#N/A,TRUE,"ﾒｲﾝｻｰﾊﾞ";#N/A,#N/A,TRUE,"ｽﾀﾝﾊﾞｲｻｰﾊﾞ";#N/A,#N/A,TRUE,"ﾒﾝﾃﾅﾝｽ&amp;SMS";#N/A,#N/A,TRUE,"ﾁｰﾌ端末(NT)";#N/A,#N/A,TRUE,"監視端末(NT)";#N/A,#N/A,TRUE,"予備端末";#N/A,#N/A,TRUE,"ﾈｯﾄﾜｰｸ機器";#N/A,#N/A,TRUE,"受信用PC98";#N/A,#N/A,TRUE,"とりまとめ"}</definedName>
    <definedName name="ffffffffffffff" localSheetId="6" hidden="1">{#N/A,#N/A,TRUE,"ﾒｲﾝｻｰﾊﾞ";#N/A,#N/A,TRUE,"ｽﾀﾝﾊﾞｲｻｰﾊﾞ";#N/A,#N/A,TRUE,"ﾒﾝﾃﾅﾝｽ&amp;SMS";#N/A,#N/A,TRUE,"ﾁｰﾌ端末(NT)";#N/A,#N/A,TRUE,"監視端末(NT)";#N/A,#N/A,TRUE,"予備端末";#N/A,#N/A,TRUE,"ﾈｯﾄﾜｰｸ機器";#N/A,#N/A,TRUE,"受信用PC98";#N/A,#N/A,TRUE,"とりまとめ"}</definedName>
    <definedName name="ffffffffffffff" hidden="1">{#N/A,#N/A,TRUE,"ﾒｲﾝｻｰﾊﾞ";#N/A,#N/A,TRUE,"ｽﾀﾝﾊﾞｲｻｰﾊﾞ";#N/A,#N/A,TRUE,"ﾒﾝﾃﾅﾝｽ&amp;SMS";#N/A,#N/A,TRUE,"ﾁｰﾌ端末(NT)";#N/A,#N/A,TRUE,"監視端末(NT)";#N/A,#N/A,TRUE,"予備端末";#N/A,#N/A,TRUE,"ﾈｯﾄﾜｰｸ機器";#N/A,#N/A,TRUE,"受信用PC98";#N/A,#N/A,TRUE,"とりまとめ"}</definedName>
    <definedName name="ffffffffffffffffffff" localSheetId="21"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ffffffffffffffffffff" localSheetId="7"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ffffffffffffffffffff" localSheetId="6"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ffffffffffffffffffff"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fffffffffffffffffffff" localSheetId="21" hidden="1">{#N/A,#N/A,TRUE,"ﾒｲﾝｻｰﾊﾞ";#N/A,#N/A,TRUE,"ｽﾀﾝﾊﾞｲｻｰﾊﾞ";#N/A,#N/A,TRUE,"ﾒﾝﾃﾅﾝｽ&amp;SMS";#N/A,#N/A,TRUE,"ﾁｰﾌ端末(NT)";#N/A,#N/A,TRUE,"監視端末(NT)";#N/A,#N/A,TRUE,"予備端末";#N/A,#N/A,TRUE,"ﾈｯﾄﾜｰｸ機器";#N/A,#N/A,TRUE,"受信用PC98";#N/A,#N/A,TRUE,"とりまとめ"}</definedName>
    <definedName name="fffffffffffffffffffff" localSheetId="7" hidden="1">{#N/A,#N/A,TRUE,"ﾒｲﾝｻｰﾊﾞ";#N/A,#N/A,TRUE,"ｽﾀﾝﾊﾞｲｻｰﾊﾞ";#N/A,#N/A,TRUE,"ﾒﾝﾃﾅﾝｽ&amp;SMS";#N/A,#N/A,TRUE,"ﾁｰﾌ端末(NT)";#N/A,#N/A,TRUE,"監視端末(NT)";#N/A,#N/A,TRUE,"予備端末";#N/A,#N/A,TRUE,"ﾈｯﾄﾜｰｸ機器";#N/A,#N/A,TRUE,"受信用PC98";#N/A,#N/A,TRUE,"とりまとめ"}</definedName>
    <definedName name="fffffffffffffffffffff" localSheetId="6" hidden="1">{#N/A,#N/A,TRUE,"ﾒｲﾝｻｰﾊﾞ";#N/A,#N/A,TRUE,"ｽﾀﾝﾊﾞｲｻｰﾊﾞ";#N/A,#N/A,TRUE,"ﾒﾝﾃﾅﾝｽ&amp;SMS";#N/A,#N/A,TRUE,"ﾁｰﾌ端末(NT)";#N/A,#N/A,TRUE,"監視端末(NT)";#N/A,#N/A,TRUE,"予備端末";#N/A,#N/A,TRUE,"ﾈｯﾄﾜｰｸ機器";#N/A,#N/A,TRUE,"受信用PC98";#N/A,#N/A,TRUE,"とりまとめ"}</definedName>
    <definedName name="fffffffffffffffffffff" hidden="1">{#N/A,#N/A,TRUE,"ﾒｲﾝｻｰﾊﾞ";#N/A,#N/A,TRUE,"ｽﾀﾝﾊﾞｲｻｰﾊﾞ";#N/A,#N/A,TRUE,"ﾒﾝﾃﾅﾝｽ&amp;SMS";#N/A,#N/A,TRUE,"ﾁｰﾌ端末(NT)";#N/A,#N/A,TRUE,"監視端末(NT)";#N/A,#N/A,TRUE,"予備端末";#N/A,#N/A,TRUE,"ﾈｯﾄﾜｰｸ機器";#N/A,#N/A,TRUE,"受信用PC98";#N/A,#N/A,TRUE,"とりまとめ"}</definedName>
    <definedName name="ggggggggggggggggggg" localSheetId="21" hidden="1">{"'2.3 NT(ｱｶｳﾝﾄ)基本方針2'!$A$1:$AN$62"}</definedName>
    <definedName name="ggggggggggggggggggg" localSheetId="7" hidden="1">{"'2.3 NT(ｱｶｳﾝﾄ)基本方針2'!$A$1:$AN$62"}</definedName>
    <definedName name="ggggggggggggggggggg" localSheetId="6" hidden="1">{"'2.3 NT(ｱｶｳﾝﾄ)基本方針2'!$A$1:$AN$62"}</definedName>
    <definedName name="ggggggggggggggggggg" hidden="1">{"'2.3 NT(ｱｶｳﾝﾄ)基本方針2'!$A$1:$AN$62"}</definedName>
    <definedName name="ggggggggggggggggggggggggg" localSheetId="21" hidden="1">{"'2.3 NT(ｱｶｳﾝﾄ)基本方針2'!$A$1:$AN$62"}</definedName>
    <definedName name="ggggggggggggggggggggggggg" localSheetId="7" hidden="1">{"'2.3 NT(ｱｶｳﾝﾄ)基本方針2'!$A$1:$AN$62"}</definedName>
    <definedName name="ggggggggggggggggggggggggg" localSheetId="6" hidden="1">{"'2.3 NT(ｱｶｳﾝﾄ)基本方針2'!$A$1:$AN$62"}</definedName>
    <definedName name="ggggggggggggggggggggggggg" hidden="1">{"'2.3 NT(ｱｶｳﾝﾄ)基本方針2'!$A$1:$AN$62"}</definedName>
    <definedName name="Grpリーダ">#REF!</definedName>
    <definedName name="h" localSheetId="21" hidden="1">{"'フローチャート'!$A$1:$AO$191"}</definedName>
    <definedName name="h" localSheetId="7" hidden="1">{"'フローチャート'!$A$1:$AO$191"}</definedName>
    <definedName name="h" localSheetId="6" hidden="1">{"'フローチャート'!$A$1:$AO$191"}</definedName>
    <definedName name="h" hidden="1">{"'フローチャート'!$A$1:$AO$191"}</definedName>
    <definedName name="htdhthrthrsdt" localSheetId="21" hidden="1">{#N/A,#N/A,TRUE,"ﾒｲﾝｻｰﾊﾞ";#N/A,#N/A,TRUE,"ｽﾀﾝﾊﾞｲｻｰﾊﾞ";#N/A,#N/A,TRUE,"ﾒﾝﾃﾅﾝｽ&amp;SMS";#N/A,#N/A,TRUE,"ﾁｰﾌ端末(NT)";#N/A,#N/A,TRUE,"監視端末(NT)";#N/A,#N/A,TRUE,"予備端末";#N/A,#N/A,TRUE,"ﾈｯﾄﾜｰｸ機器";#N/A,#N/A,TRUE,"受信用PC98";#N/A,#N/A,TRUE,"とりまとめ"}</definedName>
    <definedName name="htdhthrthrsdt" localSheetId="7" hidden="1">{#N/A,#N/A,TRUE,"ﾒｲﾝｻｰﾊﾞ";#N/A,#N/A,TRUE,"ｽﾀﾝﾊﾞｲｻｰﾊﾞ";#N/A,#N/A,TRUE,"ﾒﾝﾃﾅﾝｽ&amp;SMS";#N/A,#N/A,TRUE,"ﾁｰﾌ端末(NT)";#N/A,#N/A,TRUE,"監視端末(NT)";#N/A,#N/A,TRUE,"予備端末";#N/A,#N/A,TRUE,"ﾈｯﾄﾜｰｸ機器";#N/A,#N/A,TRUE,"受信用PC98";#N/A,#N/A,TRUE,"とりまとめ"}</definedName>
    <definedName name="htdhthrthrsdt" localSheetId="6" hidden="1">{#N/A,#N/A,TRUE,"ﾒｲﾝｻｰﾊﾞ";#N/A,#N/A,TRUE,"ｽﾀﾝﾊﾞｲｻｰﾊﾞ";#N/A,#N/A,TRUE,"ﾒﾝﾃﾅﾝｽ&amp;SMS";#N/A,#N/A,TRUE,"ﾁｰﾌ端末(NT)";#N/A,#N/A,TRUE,"監視端末(NT)";#N/A,#N/A,TRUE,"予備端末";#N/A,#N/A,TRUE,"ﾈｯﾄﾜｰｸ機器";#N/A,#N/A,TRUE,"受信用PC98";#N/A,#N/A,TRUE,"とりまとめ"}</definedName>
    <definedName name="htdhthrthrsdt" hidden="1">{#N/A,#N/A,TRUE,"ﾒｲﾝｻｰﾊﾞ";#N/A,#N/A,TRUE,"ｽﾀﾝﾊﾞｲｻｰﾊﾞ";#N/A,#N/A,TRUE,"ﾒﾝﾃﾅﾝｽ&amp;SMS";#N/A,#N/A,TRUE,"ﾁｰﾌ端末(NT)";#N/A,#N/A,TRUE,"監視端末(NT)";#N/A,#N/A,TRUE,"予備端末";#N/A,#N/A,TRUE,"ﾈｯﾄﾜｰｸ機器";#N/A,#N/A,TRUE,"受信用PC98";#N/A,#N/A,TRUE,"とりまとめ"}</definedName>
    <definedName name="HTML_CodePage" hidden="1">932</definedName>
    <definedName name="HTML_Control" localSheetId="21" hidden="1">{"'表紙'!$A$1:$W$39"}</definedName>
    <definedName name="HTML_Control" localSheetId="20" hidden="1">{"'表紙'!$A$1:$W$39"}</definedName>
    <definedName name="HTML_Control" localSheetId="7" hidden="1">{"'表紙'!$A$1:$W$39"}</definedName>
    <definedName name="HTML_Control" localSheetId="6" hidden="1">{"'表紙'!$A$1:$W$39"}</definedName>
    <definedName name="HTML_Control" hidden="1">{"'表紙'!$A$1:$W$39"}</definedName>
    <definedName name="HTML_Control_1" localSheetId="7">{"'表紙'!$A$1:$W$39"}</definedName>
    <definedName name="HTML_Control_1" localSheetId="6">{"'表紙'!$A$1:$W$39"}</definedName>
    <definedName name="HTML_Control_1">{"'表紙'!$A$1:$W$39"}</definedName>
    <definedName name="HTML_CONTROL2" localSheetId="21" hidden="1">{"'機能一覧 Master'!$A$1:$I$56"}</definedName>
    <definedName name="HTML_CONTROL2" localSheetId="7" hidden="1">{"'機能一覧 Master'!$A$1:$I$56"}</definedName>
    <definedName name="HTML_CONTROL2" localSheetId="6" hidden="1">{"'機能一覧 Master'!$A$1:$I$56"}</definedName>
    <definedName name="HTML_CONTROL2" hidden="1">{"'機能一覧 Master'!$A$1:$I$56"}</definedName>
    <definedName name="HTML_Description" hidden="1">""</definedName>
    <definedName name="HTML_Email" hidden="1">""</definedName>
    <definedName name="HTML_Header" hidden="1">"表紙"</definedName>
    <definedName name="HTML_LastUpdate" hidden="1">"99/05/04"</definedName>
    <definedName name="HTML_LineAfter" hidden="1">FALSE</definedName>
    <definedName name="HTML_LineBefore" hidden="1">FALSE</definedName>
    <definedName name="HTML_Name" hidden="1">"Toyo"</definedName>
    <definedName name="HTML_OBDlg2" hidden="1">TRUE</definedName>
    <definedName name="HTML_OBDlg4" hidden="1">TRUE</definedName>
    <definedName name="HTML_OS" hidden="1">0</definedName>
    <definedName name="HTML_PathFile" hidden="1">"C:\temp\MyHTML.htm"</definedName>
    <definedName name="HTML_Title" hidden="1">"見積検討会"</definedName>
    <definedName name="HTML1_1" localSheetId="20" hidden="1">"[SPEC1.XLS]Spec_POS!$A$2:$H$51"</definedName>
    <definedName name="HTML1_1" hidden="1">"'[ﾌﾟﾗｯﾄﾌｫﾑ.XLS]プラットフォーム 変更分'!$A$1:$G$16"</definedName>
    <definedName name="HTML1_10" hidden="1">""</definedName>
    <definedName name="HTML1_11" hidden="1">1</definedName>
    <definedName name="HTML1_12" localSheetId="20" hidden="1">"C:\WEBSHARE\WWWROOT\Ｓ一部~1\FT8000\GUIDEtable.HTM"</definedName>
    <definedName name="HTML1_12" hidden="1">"C:\My Documents\変更h_w.htm"</definedName>
    <definedName name="HTML1_2" hidden="1">1</definedName>
    <definedName name="HTML1_3" localSheetId="20" hidden="1">"SPEC1"</definedName>
    <definedName name="HTML1_3" hidden="1">""</definedName>
    <definedName name="HTML1_4" localSheetId="20" hidden="1">"Spec_POS"</definedName>
    <definedName name="HTML1_4" hidden="1">""</definedName>
    <definedName name="HTML1_5" hidden="1">""</definedName>
    <definedName name="HTML1_6" hidden="1">-4146</definedName>
    <definedName name="HTML1_7" hidden="1">-4146</definedName>
    <definedName name="HTML1_8" localSheetId="20" hidden="1">"97/03/29"</definedName>
    <definedName name="HTML1_8" hidden="1">""</definedName>
    <definedName name="HTML1_9" localSheetId="20" hidden="1">"石川 雅朗"</definedName>
    <definedName name="HTML1_9" hidden="1">""</definedName>
    <definedName name="HTML2_1" hidden="1">"'[ﾌﾟﾗｯﾄﾌｫﾑ.XLS]プラットフォーム 変更分'!$A$1:$G$19"</definedName>
    <definedName name="HTML2_10" hidden="1">""</definedName>
    <definedName name="HTML2_11" hidden="1">1</definedName>
    <definedName name="HTML2_12" hidden="1">"C:\My Documents\変更h_w.htm"</definedName>
    <definedName name="HTML2_2" hidden="1">1</definedName>
    <definedName name="HTML2_3" hidden="1">""</definedName>
    <definedName name="HTML2_4" hidden="1">""</definedName>
    <definedName name="HTML2_5" hidden="1">""</definedName>
    <definedName name="HTML2_6" hidden="1">-4146</definedName>
    <definedName name="HTML2_7" hidden="1">-4146</definedName>
    <definedName name="HTML2_8" hidden="1">""</definedName>
    <definedName name="HTML2_9" hidden="1">""</definedName>
    <definedName name="HTML3_1" hidden="1">"[ﾌﾟﾗｯﾄﾌｫﾑ.XLS]プラットフォーム!$A$1:$G$1656"</definedName>
    <definedName name="HTML3_10" hidden="1">""</definedName>
    <definedName name="HTML3_11" hidden="1">1</definedName>
    <definedName name="HTML3_12" hidden="1">"C:\My Documents\h_wMIN.htm"</definedName>
    <definedName name="HTML3_2" hidden="1">1</definedName>
    <definedName name="HTML3_3" hidden="1">""</definedName>
    <definedName name="HTML3_4" hidden="1">""</definedName>
    <definedName name="HTML3_5" hidden="1">""</definedName>
    <definedName name="HTML3_6" hidden="1">-4146</definedName>
    <definedName name="HTML3_7" hidden="1">-4146</definedName>
    <definedName name="HTML3_8" hidden="1">""</definedName>
    <definedName name="HTML3_9" hidden="1">""</definedName>
    <definedName name="HTMLCount" localSheetId="20" hidden="1">1</definedName>
    <definedName name="HTMLCount" hidden="1">3</definedName>
    <definedName name="ITﾃｽﾄ基準">#REF!</definedName>
    <definedName name="ITﾃｽﾄ基準小計1">#REF!</definedName>
    <definedName name="ITﾃｽﾄ基準小計2">#REF!</definedName>
    <definedName name="ITﾃｽﾄ基準小計2ｺﾋﾟｰ">#REF!</definedName>
    <definedName name="ITﾃｽﾄ実績">#REF!</definedName>
    <definedName name="ITﾃｽﾄ実績小計1">#REF!</definedName>
    <definedName name="ＩＴﾃｽﾄ実績小計1ｺﾋﾟｰ">#REF!</definedName>
    <definedName name="ITﾃｽﾄ実績小計2">#REF!</definedName>
    <definedName name="IT障害基準">#REF!</definedName>
    <definedName name="IT障害基準小計1">#REF!</definedName>
    <definedName name="IT障害基準小計2">#REF!</definedName>
    <definedName name="IT障害実績">#REF!</definedName>
    <definedName name="IT障害実績小計1">#REF!</definedName>
    <definedName name="IT障害実績小計2">#REF!</definedName>
    <definedName name="ka" localSheetId="21" hidden="1">{"'表紙'!$A$1:$W$39"}</definedName>
    <definedName name="ka" localSheetId="20" hidden="1">{"'表紙'!$A$1:$W$39"}</definedName>
    <definedName name="ka" localSheetId="7" hidden="1">{"'表紙'!$A$1:$W$39"}</definedName>
    <definedName name="ka" localSheetId="6" hidden="1">{"'表紙'!$A$1:$W$39"}</definedName>
    <definedName name="ka" hidden="1">{"'表紙'!$A$1:$W$39"}</definedName>
    <definedName name="KEYS">#REF!</definedName>
    <definedName name="kikyykykfyu" localSheetId="21" hidden="1">{#N/A,#N/A,TRUE,"ﾒｲﾝｻｰﾊﾞ";#N/A,#N/A,TRUE,"ｽﾀﾝﾊﾞｲｻｰﾊﾞ";#N/A,#N/A,TRUE,"ﾒﾝﾃﾅﾝｽ&amp;SMS";#N/A,#N/A,TRUE,"ﾁｰﾌ端末(NT)";#N/A,#N/A,TRUE,"監視端末(NT)";#N/A,#N/A,TRUE,"予備端末";#N/A,#N/A,TRUE,"ﾈｯﾄﾜｰｸ機器";#N/A,#N/A,TRUE,"受信用PC98";#N/A,#N/A,TRUE,"とりまとめ"}</definedName>
    <definedName name="kikyykykfyu" localSheetId="7" hidden="1">{#N/A,#N/A,TRUE,"ﾒｲﾝｻｰﾊﾞ";#N/A,#N/A,TRUE,"ｽﾀﾝﾊﾞｲｻｰﾊﾞ";#N/A,#N/A,TRUE,"ﾒﾝﾃﾅﾝｽ&amp;SMS";#N/A,#N/A,TRUE,"ﾁｰﾌ端末(NT)";#N/A,#N/A,TRUE,"監視端末(NT)";#N/A,#N/A,TRUE,"予備端末";#N/A,#N/A,TRUE,"ﾈｯﾄﾜｰｸ機器";#N/A,#N/A,TRUE,"受信用PC98";#N/A,#N/A,TRUE,"とりまとめ"}</definedName>
    <definedName name="kikyykykfyu" localSheetId="6" hidden="1">{#N/A,#N/A,TRUE,"ﾒｲﾝｻｰﾊﾞ";#N/A,#N/A,TRUE,"ｽﾀﾝﾊﾞｲｻｰﾊﾞ";#N/A,#N/A,TRUE,"ﾒﾝﾃﾅﾝｽ&amp;SMS";#N/A,#N/A,TRUE,"ﾁｰﾌ端末(NT)";#N/A,#N/A,TRUE,"監視端末(NT)";#N/A,#N/A,TRUE,"予備端末";#N/A,#N/A,TRUE,"ﾈｯﾄﾜｰｸ機器";#N/A,#N/A,TRUE,"受信用PC98";#N/A,#N/A,TRUE,"とりまとめ"}</definedName>
    <definedName name="kikyykykfyu" hidden="1">{#N/A,#N/A,TRUE,"ﾒｲﾝｻｰﾊﾞ";#N/A,#N/A,TRUE,"ｽﾀﾝﾊﾞｲｻｰﾊﾞ";#N/A,#N/A,TRUE,"ﾒﾝﾃﾅﾝｽ&amp;SMS";#N/A,#N/A,TRUE,"ﾁｰﾌ端末(NT)";#N/A,#N/A,TRUE,"監視端末(NT)";#N/A,#N/A,TRUE,"予備端末";#N/A,#N/A,TRUE,"ﾈｯﾄﾜｰｸ機器";#N/A,#N/A,TRUE,"受信用PC98";#N/A,#N/A,TRUE,"とりまとめ"}</definedName>
    <definedName name="kkkk" localSheetId="21" hidden="1">#REF!</definedName>
    <definedName name="kkkk" hidden="1">#REF!</definedName>
    <definedName name="kkkkkkkkkkkkkk" localSheetId="21" hidden="1">{#N/A,#N/A,TRUE,"ﾒｲﾝｻｰﾊﾞ";#N/A,#N/A,TRUE,"ｽﾀﾝﾊﾞｲｻｰﾊﾞ";#N/A,#N/A,TRUE,"ﾒﾝﾃﾅﾝｽ&amp;SMS";#N/A,#N/A,TRUE,"ﾁｰﾌ端末(NT)";#N/A,#N/A,TRUE,"監視端末(NT)";#N/A,#N/A,TRUE,"予備端末";#N/A,#N/A,TRUE,"ﾈｯﾄﾜｰｸ機器";#N/A,#N/A,TRUE,"受信用PC98";#N/A,#N/A,TRUE,"とりまとめ"}</definedName>
    <definedName name="kkkkkkkkkkkkkk" localSheetId="7" hidden="1">{#N/A,#N/A,TRUE,"ﾒｲﾝｻｰﾊﾞ";#N/A,#N/A,TRUE,"ｽﾀﾝﾊﾞｲｻｰﾊﾞ";#N/A,#N/A,TRUE,"ﾒﾝﾃﾅﾝｽ&amp;SMS";#N/A,#N/A,TRUE,"ﾁｰﾌ端末(NT)";#N/A,#N/A,TRUE,"監視端末(NT)";#N/A,#N/A,TRUE,"予備端末";#N/A,#N/A,TRUE,"ﾈｯﾄﾜｰｸ機器";#N/A,#N/A,TRUE,"受信用PC98";#N/A,#N/A,TRUE,"とりまとめ"}</definedName>
    <definedName name="kkkkkkkkkkkkkk" localSheetId="6" hidden="1">{#N/A,#N/A,TRUE,"ﾒｲﾝｻｰﾊﾞ";#N/A,#N/A,TRUE,"ｽﾀﾝﾊﾞｲｻｰﾊﾞ";#N/A,#N/A,TRUE,"ﾒﾝﾃﾅﾝｽ&amp;SMS";#N/A,#N/A,TRUE,"ﾁｰﾌ端末(NT)";#N/A,#N/A,TRUE,"監視端末(NT)";#N/A,#N/A,TRUE,"予備端末";#N/A,#N/A,TRUE,"ﾈｯﾄﾜｰｸ機器";#N/A,#N/A,TRUE,"受信用PC98";#N/A,#N/A,TRUE,"とりまとめ"}</definedName>
    <definedName name="kkkkkkkkkkkkkk" hidden="1">{#N/A,#N/A,TRUE,"ﾒｲﾝｻｰﾊﾞ";#N/A,#N/A,TRUE,"ｽﾀﾝﾊﾞｲｻｰﾊﾞ";#N/A,#N/A,TRUE,"ﾒﾝﾃﾅﾝｽ&amp;SMS";#N/A,#N/A,TRUE,"ﾁｰﾌ端末(NT)";#N/A,#N/A,TRUE,"監視端末(NT)";#N/A,#N/A,TRUE,"予備端末";#N/A,#N/A,TRUE,"ﾈｯﾄﾜｰｸ機器";#N/A,#N/A,TRUE,"受信用PC98";#N/A,#N/A,TRUE,"とりまとめ"}</definedName>
    <definedName name="kkkkkkkkkkkkkkk" localSheetId="21" hidden="1">{"HCDN_注釈以外",#N/A,FALSE,"10.0対応";"HCDN_注釈",#N/A,FALSE,"10.0対応";"HCDN_注釈以外",#N/A,FALSE,"9.0対応";"HCDN_注釈",#N/A,FALSE,"9.0対応";#N/A,#N/A,FALSE,"ﾏﾆｭｱﾙ一覧";#N/A,#N/A,FALSE,"ﾏﾆｭｱﾙ一覧 (2)"}</definedName>
    <definedName name="kkkkkkkkkkkkkkk" localSheetId="7" hidden="1">{"HCDN_注釈以外",#N/A,FALSE,"10.0対応";"HCDN_注釈",#N/A,FALSE,"10.0対応";"HCDN_注釈以外",#N/A,FALSE,"9.0対応";"HCDN_注釈",#N/A,FALSE,"9.0対応";#N/A,#N/A,FALSE,"ﾏﾆｭｱﾙ一覧";#N/A,#N/A,FALSE,"ﾏﾆｭｱﾙ一覧 (2)"}</definedName>
    <definedName name="kkkkkkkkkkkkkkk" localSheetId="6" hidden="1">{"HCDN_注釈以外",#N/A,FALSE,"10.0対応";"HCDN_注釈",#N/A,FALSE,"10.0対応";"HCDN_注釈以外",#N/A,FALSE,"9.0対応";"HCDN_注釈",#N/A,FALSE,"9.0対応";#N/A,#N/A,FALSE,"ﾏﾆｭｱﾙ一覧";#N/A,#N/A,FALSE,"ﾏﾆｭｱﾙ一覧 (2)"}</definedName>
    <definedName name="kkkkkkkkkkkkkkk" hidden="1">{"HCDN_注釈以外",#N/A,FALSE,"10.0対応";"HCDN_注釈",#N/A,FALSE,"10.0対応";"HCDN_注釈以外",#N/A,FALSE,"9.0対応";"HCDN_注釈",#N/A,FALSE,"9.0対応";#N/A,#N/A,FALSE,"ﾏﾆｭｱﾙ一覧";#N/A,#N/A,FALSE,"ﾏﾆｭｱﾙ一覧 (2)"}</definedName>
    <definedName name="kouse" localSheetId="21" hidden="1">{"HCDN_注釈以外",#N/A,FALSE,"10.0対応";"HCDN_注釈",#N/A,FALSE,"10.0対応";"HCDN_注釈以外",#N/A,FALSE,"9.0対応";"HCDN_注釈",#N/A,FALSE,"9.0対応";#N/A,#N/A,FALSE,"ﾏﾆｭｱﾙ一覧";#N/A,#N/A,FALSE,"ﾏﾆｭｱﾙ一覧 (2)"}</definedName>
    <definedName name="kouse" localSheetId="7" hidden="1">{"HCDN_注釈以外",#N/A,FALSE,"10.0対応";"HCDN_注釈",#N/A,FALSE,"10.0対応";"HCDN_注釈以外",#N/A,FALSE,"9.0対応";"HCDN_注釈",#N/A,FALSE,"9.0対応";#N/A,#N/A,FALSE,"ﾏﾆｭｱﾙ一覧";#N/A,#N/A,FALSE,"ﾏﾆｭｱﾙ一覧 (2)"}</definedName>
    <definedName name="kouse" localSheetId="6" hidden="1">{"HCDN_注釈以外",#N/A,FALSE,"10.0対応";"HCDN_注釈",#N/A,FALSE,"10.0対応";"HCDN_注釈以外",#N/A,FALSE,"9.0対応";"HCDN_注釈",#N/A,FALSE,"9.0対応";#N/A,#N/A,FALSE,"ﾏﾆｭｱﾙ一覧";#N/A,#N/A,FALSE,"ﾏﾆｭｱﾙ一覧 (2)"}</definedName>
    <definedName name="kouse" hidden="1">{"HCDN_注釈以外",#N/A,FALSE,"10.0対応";"HCDN_注釈",#N/A,FALSE,"10.0対応";"HCDN_注釈以外",#N/A,FALSE,"9.0対応";"HCDN_注釈",#N/A,FALSE,"9.0対応";#N/A,#N/A,FALSE,"ﾏﾆｭｱﾙ一覧";#N/A,#N/A,FALSE,"ﾏﾆｭｱﾙ一覧 (2)"}</definedName>
    <definedName name="ｌ" localSheetId="21" hidden="1">{"HCDN_注釈以外",#N/A,FALSE,"10.0対応";"HCDN_注釈",#N/A,FALSE,"10.0対応";"HCDN_注釈以外",#N/A,FALSE,"9.0対応";"HCDN_注釈",#N/A,FALSE,"9.0対応";#N/A,#N/A,FALSE,"ﾏﾆｭｱﾙ一覧";#N/A,#N/A,FALSE,"ﾏﾆｭｱﾙ一覧 (2)"}</definedName>
    <definedName name="ｌ" localSheetId="7" hidden="1">{"HCDN_注釈以外",#N/A,FALSE,"10.0対応";"HCDN_注釈",#N/A,FALSE,"10.0対応";"HCDN_注釈以外",#N/A,FALSE,"9.0対応";"HCDN_注釈",#N/A,FALSE,"9.0対応";#N/A,#N/A,FALSE,"ﾏﾆｭｱﾙ一覧";#N/A,#N/A,FALSE,"ﾏﾆｭｱﾙ一覧 (2)"}</definedName>
    <definedName name="ｌ" localSheetId="6" hidden="1">{"HCDN_注釈以外",#N/A,FALSE,"10.0対応";"HCDN_注釈",#N/A,FALSE,"10.0対応";"HCDN_注釈以外",#N/A,FALSE,"9.0対応";"HCDN_注釈",#N/A,FALSE,"9.0対応";#N/A,#N/A,FALSE,"ﾏﾆｭｱﾙ一覧";#N/A,#N/A,FALSE,"ﾏﾆｭｱﾙ一覧 (2)"}</definedName>
    <definedName name="ｌ" hidden="1">{"HCDN_注釈以外",#N/A,FALSE,"10.0対応";"HCDN_注釈",#N/A,FALSE,"10.0対応";"HCDN_注釈以外",#N/A,FALSE,"9.0対応";"HCDN_注釈",#N/A,FALSE,"9.0対応";#N/A,#N/A,FALSE,"ﾏﾆｭｱﾙ一覧";#N/A,#N/A,FALSE,"ﾏﾆｭｱﾙ一覧 (2)"}</definedName>
    <definedName name="LL" localSheetId="21" hidden="1">{"'表紙'!$A$1:$W$39"}</definedName>
    <definedName name="LL" localSheetId="7" hidden="1">{"'表紙'!$A$1:$W$39"}</definedName>
    <definedName name="LL" localSheetId="6" hidden="1">{"'表紙'!$A$1:$W$39"}</definedName>
    <definedName name="LL" hidden="1">{"'表紙'!$A$1:$W$39"}</definedName>
    <definedName name="ｌｌｌ" localSheetId="21"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ｌｌｌ" localSheetId="7"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ｌｌｌ" localSheetId="6"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ｌｌｌ"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LM" localSheetId="21" hidden="1">{"'表紙'!$A$1:$W$39"}</definedName>
    <definedName name="LM" localSheetId="7" hidden="1">{"'表紙'!$A$1:$W$39"}</definedName>
    <definedName name="LM" localSheetId="6" hidden="1">{"'表紙'!$A$1:$W$39"}</definedName>
    <definedName name="LM" hidden="1">{"'表紙'!$A$1:$W$39"}</definedName>
    <definedName name="LP" localSheetId="21" hidden="1">{"'表紙'!$A$1:$W$39"}</definedName>
    <definedName name="LP" localSheetId="7" hidden="1">{"'表紙'!$A$1:$W$39"}</definedName>
    <definedName name="LP" localSheetId="6" hidden="1">{"'表紙'!$A$1:$W$39"}</definedName>
    <definedName name="LP" hidden="1">{"'表紙'!$A$1:$W$39"}</definedName>
    <definedName name="ML" localSheetId="21" hidden="1">{"'表紙'!$A$1:$W$39"}</definedName>
    <definedName name="ML" localSheetId="7" hidden="1">{"'表紙'!$A$1:$W$39"}</definedName>
    <definedName name="ML" localSheetId="6" hidden="1">{"'表紙'!$A$1:$W$39"}</definedName>
    <definedName name="ML" hidden="1">{"'表紙'!$A$1:$W$39"}</definedName>
    <definedName name="MM" localSheetId="21" hidden="1">{"'表紙'!$A$1:$W$39"}</definedName>
    <definedName name="MM" localSheetId="7" hidden="1">{"'表紙'!$A$1:$W$39"}</definedName>
    <definedName name="MM" localSheetId="6" hidden="1">{"'表紙'!$A$1:$W$39"}</definedName>
    <definedName name="MM" hidden="1">{"'表紙'!$A$1:$W$39"}</definedName>
    <definedName name="MP" localSheetId="21" hidden="1">{"'表紙'!$A$1:$W$39"}</definedName>
    <definedName name="MP" localSheetId="7" hidden="1">{"'表紙'!$A$1:$W$39"}</definedName>
    <definedName name="MP" localSheetId="6" hidden="1">{"'表紙'!$A$1:$W$39"}</definedName>
    <definedName name="MP" hidden="1">{"'表紙'!$A$1:$W$39"}</definedName>
    <definedName name="ＭＳＫＫ" localSheetId="21"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ＭＳＫＫ" localSheetId="7"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ＭＳＫＫ" localSheetId="6"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ＭＳＫＫ" hidden="1">{#N/A,#N/A,TRUE,"ﾒｲﾝｻｰﾊﾞ";#N/A,#N/A,TRUE,"ｽﾀﾝﾊﾞｲｻｰﾊﾞ";#N/A,#N/A,TRUE,"ﾒﾝﾃﾅﾝｽ&amp;SMS";#N/A,#N/A,TRUE,"ﾁｰﾌ端末(NT)";#N/A,#N/A,TRUE,"監視端末(NT)";#N/A,#N/A,TRUE,"予備端末";#N/A,#N/A,TRUE,"ﾈｯﾄﾜｰｸ機器";#N/A,#N/A,TRUE,"受信用PC98";#N/A,#N/A,TRUE,"とりまとめ"}</definedName>
    <definedName name="NAMES">#REF!</definedName>
    <definedName name="NEC_KEYS">#REF!</definedName>
    <definedName name="NG" localSheetId="21" hidden="1">{"'表紙'!$A$1:$W$39"}</definedName>
    <definedName name="NG" localSheetId="7" hidden="1">{"'表紙'!$A$1:$W$39"}</definedName>
    <definedName name="NG" localSheetId="6" hidden="1">{"'表紙'!$A$1:$W$39"}</definedName>
    <definedName name="NG" hidden="1">{"'表紙'!$A$1:$W$39"}</definedName>
    <definedName name="NI" localSheetId="21" hidden="1">{"'表紙'!$A$1:$W$39"}</definedName>
    <definedName name="NI" localSheetId="7" hidden="1">{"'表紙'!$A$1:$W$39"}</definedName>
    <definedName name="NI" localSheetId="6" hidden="1">{"'表紙'!$A$1:$W$39"}</definedName>
    <definedName name="NI" hidden="1">{"'表紙'!$A$1:$W$39"}</definedName>
    <definedName name="NJ" localSheetId="21" hidden="1">{"'表紙'!$A$1:$W$39"}</definedName>
    <definedName name="NJ" localSheetId="7" hidden="1">{"'表紙'!$A$1:$W$39"}</definedName>
    <definedName name="NJ" localSheetId="6" hidden="1">{"'表紙'!$A$1:$W$39"}</definedName>
    <definedName name="NJ" hidden="1">{"'表紙'!$A$1:$W$39"}</definedName>
    <definedName name="NK" localSheetId="21" hidden="1">{"'表紙'!$A$1:$W$39"}</definedName>
    <definedName name="NK" localSheetId="7" hidden="1">{"'表紙'!$A$1:$W$39"}</definedName>
    <definedName name="NK" localSheetId="6" hidden="1">{"'表紙'!$A$1:$W$39"}</definedName>
    <definedName name="NK" hidden="1">{"'表紙'!$A$1:$W$39"}</definedName>
    <definedName name="NM" localSheetId="21" hidden="1">{"'表紙'!$A$1:$W$39"}</definedName>
    <definedName name="NM" localSheetId="7" hidden="1">{"'表紙'!$A$1:$W$39"}</definedName>
    <definedName name="NM" localSheetId="6" hidden="1">{"'表紙'!$A$1:$W$39"}</definedName>
    <definedName name="NM" hidden="1">{"'表紙'!$A$1:$W$39"}</definedName>
    <definedName name="NN" localSheetId="21" hidden="1">{"'表紙'!$A$1:$W$39"}</definedName>
    <definedName name="NN" localSheetId="7" hidden="1">{"'表紙'!$A$1:$W$39"}</definedName>
    <definedName name="NN" localSheetId="6" hidden="1">{"'表紙'!$A$1:$W$39"}</definedName>
    <definedName name="NN" hidden="1">{"'表紙'!$A$1:$W$39"}</definedName>
    <definedName name="NU" localSheetId="21" hidden="1">{"'表紙'!$A$1:$W$39"}</definedName>
    <definedName name="NU" localSheetId="7" hidden="1">{"'表紙'!$A$1:$W$39"}</definedName>
    <definedName name="NU" localSheetId="6" hidden="1">{"'表紙'!$A$1:$W$39"}</definedName>
    <definedName name="NU" hidden="1">{"'表紙'!$A$1:$W$39"}</definedName>
    <definedName name="NV" localSheetId="21" hidden="1">{"'表紙'!$A$1:$W$39"}</definedName>
    <definedName name="NV" localSheetId="7" hidden="1">{"'表紙'!$A$1:$W$39"}</definedName>
    <definedName name="NV" localSheetId="6" hidden="1">{"'表紙'!$A$1:$W$39"}</definedName>
    <definedName name="NV" hidden="1">{"'表紙'!$A$1:$W$39"}</definedName>
    <definedName name="PGﾃｽﾄ基準">#REF!</definedName>
    <definedName name="PGﾃｽﾄ基準小計1">#REF!</definedName>
    <definedName name="PGﾃｽﾄ基準小計2">#REF!</definedName>
    <definedName name="PGﾃｽﾄ実績">#REF!</definedName>
    <definedName name="PGﾃｽﾄ実績小計1">#REF!</definedName>
    <definedName name="PGﾃｽﾄ実績小計2">#REF!</definedName>
    <definedName name="PG障害基準">#REF!</definedName>
    <definedName name="PG障害基準小計1">#REF!</definedName>
    <definedName name="PG障害基準小計2">#REF!</definedName>
    <definedName name="PG障害実績">#REF!</definedName>
    <definedName name="PG障害実績小計1">#REF!</definedName>
    <definedName name="PG障害実績小計2">#REF!</definedName>
    <definedName name="_xlnm.Print_Area" localSheetId="21">《貼付元》価格マトリクス!$B$2:$T$41</definedName>
    <definedName name="_xlnm.Print_Area" localSheetId="15">GIFT_CERT_TENDER!$A$1:$N$10</definedName>
    <definedName name="_xlnm.Print_Area" localSheetId="18">GL_TRAN!$A$1:$P$14</definedName>
    <definedName name="_xlnm.Print_Area" localSheetId="16">GSFD_PNT_TRANS_HEADER!$A$1:$M$30</definedName>
    <definedName name="_xlnm.Print_Area" localSheetId="11">LN_DETAIL!$A$1:$N$101</definedName>
    <definedName name="_xlnm.Print_Area" localSheetId="12">LN_DISCOUNT!$A$1:$N$30</definedName>
    <definedName name="_xlnm.Print_Area" localSheetId="10">LN_LINK!$A$1:$N$10</definedName>
    <definedName name="_xlnm.Print_Area" localSheetId="19">LOAN_PICKUP!$A$1:$P$18</definedName>
    <definedName name="_xlnm.Print_Area" localSheetId="17">MANUAL_PRICE!$A$1:$N$11</definedName>
    <definedName name="_xlnm.Print_Area" localSheetId="9">TRANS_HEADER!$A$1:$Y$237</definedName>
    <definedName name="_xlnm.Print_Area" localSheetId="13">TRANSACTION_TAX!$A$1:$N$15</definedName>
    <definedName name="_xlnm.Print_Area" localSheetId="14">TRANSACTION_TENDER!$A$1:$P$50</definedName>
    <definedName name="_xlnm.Print_Area" localSheetId="20">コード決済取引明細ログレイアウト!$A$1:$BT$156</definedName>
    <definedName name="_xlnm.Print_Area" localSheetId="1">改版履歴!$A$1:$BE$226</definedName>
    <definedName name="_xlnm.Print_Area" localSheetId="3">取引ログテーブル関連図!$A$1:$AH$150</definedName>
    <definedName name="_xlnm.Print_Area" localSheetId="4">'取引ログテーブル関連図（補足説明）'!$A$1:$AH$164</definedName>
    <definedName name="_xlnm.Print_Area" localSheetId="5">取引ログ作成時の注意事項!$A$1:$BD$568</definedName>
    <definedName name="_xlnm.Print_Area" localSheetId="7">'取引ログ作成時の注意事項(支払情報)'!$A$1:$BD$231</definedName>
    <definedName name="_xlnm.Print_Area" localSheetId="6">'取引ログ作成時の注意事項(税情報)'!$A$1:$BD$235</definedName>
    <definedName name="_xlnm.Print_Area" localSheetId="8">'取引ログ作成時の注意事項(値引併用)'!$A$1:$BD$1077</definedName>
    <definedName name="_xlnm.Print_Area" localSheetId="0">表紙!$A$1:$Q$46</definedName>
    <definedName name="_xlnm.Print_Area" localSheetId="2">連携対象取引ログテーブル一覧!$A$1:$BD$50</definedName>
    <definedName name="_xlnm.Print_Titles" localSheetId="15">GIFT_CERT_TENDER!$3:$3</definedName>
    <definedName name="_xlnm.Print_Titles" localSheetId="18">GL_TRAN!$3:$3</definedName>
    <definedName name="_xlnm.Print_Titles" localSheetId="11">LN_DETAIL!$3:$3</definedName>
    <definedName name="_xlnm.Print_Titles" localSheetId="19">LOAN_PICKUP!$3:$3</definedName>
    <definedName name="_xlnm.Print_Titles" localSheetId="9">TRANS_HEADER!$3:$3</definedName>
    <definedName name="PSﾃｽﾄ基準" localSheetId="7">#REF!</definedName>
    <definedName name="PSﾃｽﾄ基準" localSheetId="6">#REF!</definedName>
    <definedName name="PSﾃｽﾄ基準">#REF!</definedName>
    <definedName name="PSﾃｽﾄ基準小計1" localSheetId="7">#REF!</definedName>
    <definedName name="PSﾃｽﾄ基準小計1" localSheetId="6">#REF!</definedName>
    <definedName name="PSﾃｽﾄ基準小計1">#REF!</definedName>
    <definedName name="PSﾃｽﾄ基準小計2" localSheetId="7">#REF!</definedName>
    <definedName name="PSﾃｽﾄ基準小計2" localSheetId="6">#REF!</definedName>
    <definedName name="PSﾃｽﾄ基準小計2">#REF!</definedName>
    <definedName name="PSﾃｽﾄ実績">#REF!</definedName>
    <definedName name="PSﾃｽﾄ実績小計1">#REF!</definedName>
    <definedName name="PSﾃｽﾄ実績小計2">#REF!</definedName>
    <definedName name="PS障害基準">#REF!</definedName>
    <definedName name="PS障害基準小計1">#REF!</definedName>
    <definedName name="PS障害基準小計2">#REF!</definedName>
    <definedName name="PS障害実績">#REF!</definedName>
    <definedName name="PS障害実績小計1">#REF!</definedName>
    <definedName name="PS障害実績小計2">#REF!</definedName>
    <definedName name="PTﾃｽﾄ基準">#REF!</definedName>
    <definedName name="PTﾃｽﾄ基準小計1">#REF!</definedName>
    <definedName name="PTﾃｽﾄ基準小計2">#REF!</definedName>
    <definedName name="PTﾃｽﾄ実績">#REF!</definedName>
    <definedName name="PTﾃｽﾄ実績小計1">#REF!</definedName>
    <definedName name="PTﾃｽﾄ実績小計2">#REF!</definedName>
    <definedName name="PT障害基準">#REF!</definedName>
    <definedName name="PT障害基準小計1">#REF!</definedName>
    <definedName name="PT障害基準小計2">#REF!</definedName>
    <definedName name="PT障害実績">#REF!</definedName>
    <definedName name="PT障害実績小計1">#REF!</definedName>
    <definedName name="PT障害実績小計2">#REF!</definedName>
    <definedName name="q" localSheetId="21" hidden="1">{"'フローチャート'!$A$1:$AO$191"}</definedName>
    <definedName name="q" localSheetId="7" hidden="1">{"'フローチャート'!$A$1:$AO$191"}</definedName>
    <definedName name="q" localSheetId="6" hidden="1">{"'フローチャート'!$A$1:$AO$191"}</definedName>
    <definedName name="q" hidden="1">{"'フローチャート'!$A$1:$AO$191"}</definedName>
    <definedName name="qedqwfffase" localSheetId="21" hidden="1">{"HCDN_注釈以外",#N/A,FALSE,"10.0対応";"HCDN_注釈",#N/A,FALSE,"10.0対応";"HCDN_注釈以外",#N/A,FALSE,"9.0対応";"HCDN_注釈",#N/A,FALSE,"9.0対応";#N/A,#N/A,FALSE,"ﾏﾆｭｱﾙ一覧";#N/A,#N/A,FALSE,"ﾏﾆｭｱﾙ一覧 (2)"}</definedName>
    <definedName name="qedqwfffase" localSheetId="7" hidden="1">{"HCDN_注釈以外",#N/A,FALSE,"10.0対応";"HCDN_注釈",#N/A,FALSE,"10.0対応";"HCDN_注釈以外",#N/A,FALSE,"9.0対応";"HCDN_注釈",#N/A,FALSE,"9.0対応";#N/A,#N/A,FALSE,"ﾏﾆｭｱﾙ一覧";#N/A,#N/A,FALSE,"ﾏﾆｭｱﾙ一覧 (2)"}</definedName>
    <definedName name="qedqwfffase" localSheetId="6" hidden="1">{"HCDN_注釈以外",#N/A,FALSE,"10.0対応";"HCDN_注釈",#N/A,FALSE,"10.0対応";"HCDN_注釈以外",#N/A,FALSE,"9.0対応";"HCDN_注釈",#N/A,FALSE,"9.0対応";#N/A,#N/A,FALSE,"ﾏﾆｭｱﾙ一覧";#N/A,#N/A,FALSE,"ﾏﾆｭｱﾙ一覧 (2)"}</definedName>
    <definedName name="qedqwfffase" hidden="1">{"HCDN_注釈以外",#N/A,FALSE,"10.0対応";"HCDN_注釈",#N/A,FALSE,"10.0対応";"HCDN_注釈以外",#N/A,FALSE,"9.0対応";"HCDN_注釈",#N/A,FALSE,"9.0対応";#N/A,#N/A,FALSE,"ﾏﾆｭｱﾙ一覧";#N/A,#N/A,FALSE,"ﾏﾆｭｱﾙ一覧 (2)"}</definedName>
    <definedName name="qq" localSheetId="21" hidden="1">{"'機能一覧 Master'!$A$1:$I$56"}</definedName>
    <definedName name="qq" localSheetId="7" hidden="1">{"'機能一覧 Master'!$A$1:$I$56"}</definedName>
    <definedName name="qq" localSheetId="6" hidden="1">{"'機能一覧 Master'!$A$1:$I$56"}</definedName>
    <definedName name="qq" hidden="1">{"'機能一覧 Master'!$A$1:$I$56"}</definedName>
    <definedName name="qqqqq" localSheetId="21" hidden="1">{"'機能一覧 Master'!$A$1:$I$56"}</definedName>
    <definedName name="qqqqq" localSheetId="7" hidden="1">{"'機能一覧 Master'!$A$1:$I$56"}</definedName>
    <definedName name="qqqqq" localSheetId="6" hidden="1">{"'機能一覧 Master'!$A$1:$I$56"}</definedName>
    <definedName name="qqqqq" hidden="1">{"'機能一覧 Master'!$A$1:$I$56"}</definedName>
    <definedName name="RE" localSheetId="21" hidden="1">{"'表紙'!$A$1:$W$39"}</definedName>
    <definedName name="RE" localSheetId="7" hidden="1">{"'表紙'!$A$1:$W$39"}</definedName>
    <definedName name="RE" localSheetId="6" hidden="1">{"'表紙'!$A$1:$W$39"}</definedName>
    <definedName name="RE" hidden="1">{"'表紙'!$A$1:$W$39"}</definedName>
    <definedName name="RH" localSheetId="21" hidden="1">{"'表紙'!$A$1:$W$39"}</definedName>
    <definedName name="RH" localSheetId="7" hidden="1">{"'表紙'!$A$1:$W$39"}</definedName>
    <definedName name="RH" localSheetId="6" hidden="1">{"'表紙'!$A$1:$W$39"}</definedName>
    <definedName name="RH" hidden="1">{"'表紙'!$A$1:$W$39"}</definedName>
    <definedName name="RR" localSheetId="21" hidden="1">{"'表紙'!$A$1:$W$39"}</definedName>
    <definedName name="RR" localSheetId="7" hidden="1">{"'表紙'!$A$1:$W$39"}</definedName>
    <definedName name="RR" localSheetId="6" hidden="1">{"'表紙'!$A$1:$W$39"}</definedName>
    <definedName name="RR" hidden="1">{"'表紙'!$A$1:$W$39"}</definedName>
    <definedName name="RT" localSheetId="21" hidden="1">{"'表紙'!$A$1:$W$39"}</definedName>
    <definedName name="RT" localSheetId="7" hidden="1">{"'表紙'!$A$1:$W$39"}</definedName>
    <definedName name="RT" localSheetId="6" hidden="1">{"'表紙'!$A$1:$W$39"}</definedName>
    <definedName name="RT" hidden="1">{"'表紙'!$A$1:$W$39"}</definedName>
    <definedName name="RU" localSheetId="21" hidden="1">{"'表紙'!$A$1:$W$39"}</definedName>
    <definedName name="RU" localSheetId="7" hidden="1">{"'表紙'!$A$1:$W$39"}</definedName>
    <definedName name="RU" localSheetId="6" hidden="1">{"'表紙'!$A$1:$W$39"}</definedName>
    <definedName name="RU" hidden="1">{"'表紙'!$A$1:$W$39"}</definedName>
    <definedName name="Ｓ" localSheetId="21" hidden="1">{"'表紙'!$A$1:$W$39"}</definedName>
    <definedName name="s" localSheetId="20" hidden="1">#REF!</definedName>
    <definedName name="Ｓ" localSheetId="7" hidden="1">{"'表紙'!$A$1:$W$39"}</definedName>
    <definedName name="Ｓ" localSheetId="6" hidden="1">{"'表紙'!$A$1:$W$39"}</definedName>
    <definedName name="Ｓ" hidden="1">{"'表紙'!$A$1:$W$39"}</definedName>
    <definedName name="sample" localSheetId="21" hidden="1">{"HCDN_注釈以外",#N/A,FALSE,"10.0対応";"HCDN_注釈",#N/A,FALSE,"10.0対応";"HCDN_注釈以外",#N/A,FALSE,"9.0対応";"HCDN_注釈",#N/A,FALSE,"9.0対応";#N/A,#N/A,FALSE,"ﾏﾆｭｱﾙ一覧";#N/A,#N/A,FALSE,"ﾏﾆｭｱﾙ一覧 (2)"}</definedName>
    <definedName name="sample" localSheetId="7" hidden="1">{"HCDN_注釈以外",#N/A,FALSE,"10.0対応";"HCDN_注釈",#N/A,FALSE,"10.0対応";"HCDN_注釈以外",#N/A,FALSE,"9.0対応";"HCDN_注釈",#N/A,FALSE,"9.0対応";#N/A,#N/A,FALSE,"ﾏﾆｭｱﾙ一覧";#N/A,#N/A,FALSE,"ﾏﾆｭｱﾙ一覧 (2)"}</definedName>
    <definedName name="sample" localSheetId="6" hidden="1">{"HCDN_注釈以外",#N/A,FALSE,"10.0対応";"HCDN_注釈",#N/A,FALSE,"10.0対応";"HCDN_注釈以外",#N/A,FALSE,"9.0対応";"HCDN_注釈",#N/A,FALSE,"9.0対応";#N/A,#N/A,FALSE,"ﾏﾆｭｱﾙ一覧";#N/A,#N/A,FALSE,"ﾏﾆｭｱﾙ一覧 (2)"}</definedName>
    <definedName name="sample" hidden="1">{"HCDN_注釈以外",#N/A,FALSE,"10.0対応";"HCDN_注釈",#N/A,FALSE,"10.0対応";"HCDN_注釈以外",#N/A,FALSE,"9.0対応";"HCDN_注釈",#N/A,FALSE,"9.0対応";#N/A,#N/A,FALSE,"ﾏﾆｭｱﾙ一覧";#N/A,#N/A,FALSE,"ﾏﾆｭｱﾙ一覧 (2)"}</definedName>
    <definedName name="Satisfa見積総括票" localSheetId="21" hidden="1">{"'機能一覧 Master'!$A$1:$I$56"}</definedName>
    <definedName name="Satisfa見積総括票" localSheetId="7" hidden="1">{"'機能一覧 Master'!$A$1:$I$56"}</definedName>
    <definedName name="Satisfa見積総括票" localSheetId="6" hidden="1">{"'機能一覧 Master'!$A$1:$I$56"}</definedName>
    <definedName name="Satisfa見積総括票" hidden="1">{"'機能一覧 Master'!$A$1:$I$56"}</definedName>
    <definedName name="SQL_Runtime型名">#REF!</definedName>
    <definedName name="srhghsthdsrh" localSheetId="21"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srhghsthdsrh" localSheetId="7"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srhghsthdsrh" localSheetId="6"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srhghsthdsrh"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ssss" localSheetId="21" hidden="1">#REF!</definedName>
    <definedName name="ssss" hidden="1">#REF!</definedName>
    <definedName name="ssssssssssssss" localSheetId="21" hidden="1">{#N/A,#N/A,TRUE,"ﾒｲﾝｻｰﾊﾞ";#N/A,#N/A,TRUE,"ｽﾀﾝﾊﾞｲｻｰﾊﾞ";#N/A,#N/A,TRUE,"ﾒﾝﾃﾅﾝｽ&amp;SMS";#N/A,#N/A,TRUE,"ﾁｰﾌ端末(NT)";#N/A,#N/A,TRUE,"監視端末(NT)";#N/A,#N/A,TRUE,"予備端末";#N/A,#N/A,TRUE,"ﾈｯﾄﾜｰｸ機器";#N/A,#N/A,TRUE,"受信用PC98";#N/A,#N/A,TRUE,"とりまとめ"}</definedName>
    <definedName name="ssssssssssssss" localSheetId="7" hidden="1">{#N/A,#N/A,TRUE,"ﾒｲﾝｻｰﾊﾞ";#N/A,#N/A,TRUE,"ｽﾀﾝﾊﾞｲｻｰﾊﾞ";#N/A,#N/A,TRUE,"ﾒﾝﾃﾅﾝｽ&amp;SMS";#N/A,#N/A,TRUE,"ﾁｰﾌ端末(NT)";#N/A,#N/A,TRUE,"監視端末(NT)";#N/A,#N/A,TRUE,"予備端末";#N/A,#N/A,TRUE,"ﾈｯﾄﾜｰｸ機器";#N/A,#N/A,TRUE,"受信用PC98";#N/A,#N/A,TRUE,"とりまとめ"}</definedName>
    <definedName name="ssssssssssssss" localSheetId="6" hidden="1">{#N/A,#N/A,TRUE,"ﾒｲﾝｻｰﾊﾞ";#N/A,#N/A,TRUE,"ｽﾀﾝﾊﾞｲｻｰﾊﾞ";#N/A,#N/A,TRUE,"ﾒﾝﾃﾅﾝｽ&amp;SMS";#N/A,#N/A,TRUE,"ﾁｰﾌ端末(NT)";#N/A,#N/A,TRUE,"監視端末(NT)";#N/A,#N/A,TRUE,"予備端末";#N/A,#N/A,TRUE,"ﾈｯﾄﾜｰｸ機器";#N/A,#N/A,TRUE,"受信用PC98";#N/A,#N/A,TRUE,"とりまとめ"}</definedName>
    <definedName name="ssssssssssssss" hidden="1">{#N/A,#N/A,TRUE,"ﾒｲﾝｻｰﾊﾞ";#N/A,#N/A,TRUE,"ｽﾀﾝﾊﾞｲｻｰﾊﾞ";#N/A,#N/A,TRUE,"ﾒﾝﾃﾅﾝｽ&amp;SMS";#N/A,#N/A,TRUE,"ﾁｰﾌ端末(NT)";#N/A,#N/A,TRUE,"監視端末(NT)";#N/A,#N/A,TRUE,"予備端末";#N/A,#N/A,TRUE,"ﾈｯﾄﾜｰｸ機器";#N/A,#N/A,TRUE,"受信用PC98";#N/A,#N/A,TRUE,"とりまとめ"}</definedName>
    <definedName name="sssssssssssssssss" localSheetId="21" hidden="1">{#N/A,#N/A,TRUE,"ﾒｲﾝｻｰﾊﾞ";#N/A,#N/A,TRUE,"ｽﾀﾝﾊﾞｲｻｰﾊﾞ";#N/A,#N/A,TRUE,"ﾒﾝﾃﾅﾝｽ&amp;SMS";#N/A,#N/A,TRUE,"ﾁｰﾌ端末(NT)";#N/A,#N/A,TRUE,"監視端末(NT)";#N/A,#N/A,TRUE,"予備端末";#N/A,#N/A,TRUE,"ﾈｯﾄﾜｰｸ機器";#N/A,#N/A,TRUE,"受信用PC98";#N/A,#N/A,TRUE,"とりまとめ"}</definedName>
    <definedName name="sssssssssssssssss" localSheetId="7" hidden="1">{#N/A,#N/A,TRUE,"ﾒｲﾝｻｰﾊﾞ";#N/A,#N/A,TRUE,"ｽﾀﾝﾊﾞｲｻｰﾊﾞ";#N/A,#N/A,TRUE,"ﾒﾝﾃﾅﾝｽ&amp;SMS";#N/A,#N/A,TRUE,"ﾁｰﾌ端末(NT)";#N/A,#N/A,TRUE,"監視端末(NT)";#N/A,#N/A,TRUE,"予備端末";#N/A,#N/A,TRUE,"ﾈｯﾄﾜｰｸ機器";#N/A,#N/A,TRUE,"受信用PC98";#N/A,#N/A,TRUE,"とりまとめ"}</definedName>
    <definedName name="sssssssssssssssss" localSheetId="6" hidden="1">{#N/A,#N/A,TRUE,"ﾒｲﾝｻｰﾊﾞ";#N/A,#N/A,TRUE,"ｽﾀﾝﾊﾞｲｻｰﾊﾞ";#N/A,#N/A,TRUE,"ﾒﾝﾃﾅﾝｽ&amp;SMS";#N/A,#N/A,TRUE,"ﾁｰﾌ端末(NT)";#N/A,#N/A,TRUE,"監視端末(NT)";#N/A,#N/A,TRUE,"予備端末";#N/A,#N/A,TRUE,"ﾈｯﾄﾜｰｸ機器";#N/A,#N/A,TRUE,"受信用PC98";#N/A,#N/A,TRUE,"とりまとめ"}</definedName>
    <definedName name="sssssssssssssssss" hidden="1">{#N/A,#N/A,TRUE,"ﾒｲﾝｻｰﾊﾞ";#N/A,#N/A,TRUE,"ｽﾀﾝﾊﾞｲｻｰﾊﾞ";#N/A,#N/A,TRUE,"ﾒﾝﾃﾅﾝｽ&amp;SMS";#N/A,#N/A,TRUE,"ﾁｰﾌ端末(NT)";#N/A,#N/A,TRUE,"監視端末(NT)";#N/A,#N/A,TRUE,"予備端末";#N/A,#N/A,TRUE,"ﾈｯﾄﾜｰｸ機器";#N/A,#N/A,TRUE,"受信用PC98";#N/A,#N/A,TRUE,"とりまとめ"}</definedName>
    <definedName name="SSﾃｽﾄ基準">#REF!</definedName>
    <definedName name="SSﾃｽﾄ基準小計1">#REF!</definedName>
    <definedName name="SSﾃｽﾄ基準小計2">#REF!</definedName>
    <definedName name="SSﾃｽﾄ実績">#REF!</definedName>
    <definedName name="SSﾃｽﾄ実績小計1">#REF!</definedName>
    <definedName name="SSﾃｽﾄ実績小計2">#REF!</definedName>
    <definedName name="SS障害基準">#REF!</definedName>
    <definedName name="SS障害基準小計1">#REF!</definedName>
    <definedName name="SS障害基準小計2">#REF!</definedName>
    <definedName name="SS障害実績">#REF!</definedName>
    <definedName name="SS障害実績小計1">#REF!</definedName>
    <definedName name="SS障害実績小計2">#REF!</definedName>
    <definedName name="STﾃｽﾄ基準">#REF!</definedName>
    <definedName name="STﾃｽﾄ基準小計1">#REF!</definedName>
    <definedName name="STﾃｽﾄ基準小計2">#REF!</definedName>
    <definedName name="STﾃｽﾄ実績">#REF!</definedName>
    <definedName name="STﾃｽﾄ実績小計1">#REF!</definedName>
    <definedName name="STﾃｽﾄ実績小計2">#REF!</definedName>
    <definedName name="ST障害基準">#REF!</definedName>
    <definedName name="ST障害基準小計1">#REF!</definedName>
    <definedName name="ST障害基準小計2">#REF!</definedName>
    <definedName name="ST障害実績">#REF!</definedName>
    <definedName name="ST障害実績小計1">#REF!</definedName>
    <definedName name="ST障害実績小計2">#REF!</definedName>
    <definedName name="SU" localSheetId="21" hidden="1">{"'表紙'!$A$1:$W$39"}</definedName>
    <definedName name="SU" localSheetId="7" hidden="1">{"'表紙'!$A$1:$W$39"}</definedName>
    <definedName name="SU" localSheetId="6" hidden="1">{"'表紙'!$A$1:$W$39"}</definedName>
    <definedName name="SU" hidden="1">{"'表紙'!$A$1:$W$39"}</definedName>
    <definedName name="SUKE" localSheetId="21" hidden="1">{"'表紙'!$A$1:$W$39"}</definedName>
    <definedName name="SUKE" localSheetId="7" hidden="1">{"'表紙'!$A$1:$W$39"}</definedName>
    <definedName name="SUKE" localSheetId="6" hidden="1">{"'表紙'!$A$1:$W$39"}</definedName>
    <definedName name="SUKE" hidden="1">{"'表紙'!$A$1:$W$39"}</definedName>
    <definedName name="SYMBOL">#REF!</definedName>
    <definedName name="TBL_KEYS">#REF!</definedName>
    <definedName name="TBL_KEYS2">#REF!</definedName>
    <definedName name="tesutoaa" localSheetId="21" hidden="1">{"月例報告",#N/A,FALSE,"STB"}</definedName>
    <definedName name="tesutoaa" localSheetId="7" hidden="1">{"月例報告",#N/A,FALSE,"STB"}</definedName>
    <definedName name="tesutoaa" localSheetId="6" hidden="1">{"月例報告",#N/A,FALSE,"STB"}</definedName>
    <definedName name="tesutoaa" hidden="1">{"月例報告",#N/A,FALSE,"STB"}</definedName>
    <definedName name="ＴＯＰ" hidden="1">#REF!</definedName>
    <definedName name="TRANS_HEADER">#REF!</definedName>
    <definedName name="ｔｔ" localSheetId="21"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ｔｔ" localSheetId="7"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ｔｔ" localSheetId="6"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ｔｔ" hidden="1">{#N/A,#N/A,TRUE,"ﾒｲﾝｻｰﾊﾞ";#N/A,#N/A,TRUE,"ｽﾀﾝﾊﾞｲｻｰﾊﾞ";#N/A,#N/A,TRUE,"ﾒﾝﾃﾅﾝｽ&amp;SMS";#N/A,#N/A,TRUE,"ﾁｰﾌ端末(NT)";#N/A,#N/A,TRUE,"監視端末(NT)";#N/A,#N/A,TRUE,"予備端末";#N/A,#N/A,TRUE,"ﾈｯﾄﾜｰｸ機器";#N/A,#N/A,TRUE,"受信用PC98";#N/A,#N/A,TRUE,"とりまとめ"}</definedName>
    <definedName name="ttttttttttttttttttttttttttttttttttttttt" localSheetId="21" hidden="1">{#N/A,#N/A,TRUE,"ﾒｲﾝｻｰﾊﾞ";#N/A,#N/A,TRUE,"ｽﾀﾝﾊﾞｲｻｰﾊﾞ";#N/A,#N/A,TRUE,"ﾒﾝﾃﾅﾝｽ&amp;SMS";#N/A,#N/A,TRUE,"ﾁｰﾌ端末(NT)";#N/A,#N/A,TRUE,"監視端末(NT)";#N/A,#N/A,TRUE,"予備端末";#N/A,#N/A,TRUE,"ﾈｯﾄﾜｰｸ機器";#N/A,#N/A,TRUE,"受信用PC98";#N/A,#N/A,TRUE,"とりまとめ"}</definedName>
    <definedName name="ttttttttttttttttttttttttttttttttttttttt" localSheetId="7" hidden="1">{#N/A,#N/A,TRUE,"ﾒｲﾝｻｰﾊﾞ";#N/A,#N/A,TRUE,"ｽﾀﾝﾊﾞｲｻｰﾊﾞ";#N/A,#N/A,TRUE,"ﾒﾝﾃﾅﾝｽ&amp;SMS";#N/A,#N/A,TRUE,"ﾁｰﾌ端末(NT)";#N/A,#N/A,TRUE,"監視端末(NT)";#N/A,#N/A,TRUE,"予備端末";#N/A,#N/A,TRUE,"ﾈｯﾄﾜｰｸ機器";#N/A,#N/A,TRUE,"受信用PC98";#N/A,#N/A,TRUE,"とりまとめ"}</definedName>
    <definedName name="ttttttttttttttttttttttttttttttttttttttt" localSheetId="6" hidden="1">{#N/A,#N/A,TRUE,"ﾒｲﾝｻｰﾊﾞ";#N/A,#N/A,TRUE,"ｽﾀﾝﾊﾞｲｻｰﾊﾞ";#N/A,#N/A,TRUE,"ﾒﾝﾃﾅﾝｽ&amp;SMS";#N/A,#N/A,TRUE,"ﾁｰﾌ端末(NT)";#N/A,#N/A,TRUE,"監視端末(NT)";#N/A,#N/A,TRUE,"予備端末";#N/A,#N/A,TRUE,"ﾈｯﾄﾜｰｸ機器";#N/A,#N/A,TRUE,"受信用PC98";#N/A,#N/A,TRUE,"とりまとめ"}</definedName>
    <definedName name="ttttttttttttttttttttttttttttttttttttttt" hidden="1">{#N/A,#N/A,TRUE,"ﾒｲﾝｻｰﾊﾞ";#N/A,#N/A,TRUE,"ｽﾀﾝﾊﾞｲｻｰﾊﾞ";#N/A,#N/A,TRUE,"ﾒﾝﾃﾅﾝｽ&amp;SMS";#N/A,#N/A,TRUE,"ﾁｰﾌ端末(NT)";#N/A,#N/A,TRUE,"監視端末(NT)";#N/A,#N/A,TRUE,"予備端末";#N/A,#N/A,TRUE,"ﾈｯﾄﾜｰｸ機器";#N/A,#N/A,TRUE,"受信用PC98";#N/A,#N/A,TRUE,"とりまとめ"}</definedName>
    <definedName name="UIﾃｽﾄ基準">#REF!</definedName>
    <definedName name="UIﾃｽﾄ基準小計1">#REF!</definedName>
    <definedName name="UIﾃｽﾄ基準小計2">#REF!</definedName>
    <definedName name="UIﾃｽﾄ実績">#REF!</definedName>
    <definedName name="UIﾃｽﾄ実績小計1">#REF!</definedName>
    <definedName name="UIﾃｽﾄ実績小計2">#REF!</definedName>
    <definedName name="UI障害基準">#REF!</definedName>
    <definedName name="UI障害基準小計1">#REF!</definedName>
    <definedName name="UI障害基準小計2">#REF!</definedName>
    <definedName name="UI障害実績">#REF!</definedName>
    <definedName name="UI障害実績小計1">#REF!</definedName>
    <definedName name="UI障害実績小計2">#REF!</definedName>
    <definedName name="VE" localSheetId="21" hidden="1">{"'表紙'!$A$1:$W$39"}</definedName>
    <definedName name="VE" localSheetId="7" hidden="1">{"'表紙'!$A$1:$W$39"}</definedName>
    <definedName name="VE" localSheetId="6" hidden="1">{"'表紙'!$A$1:$W$39"}</definedName>
    <definedName name="VE" hidden="1">{"'表紙'!$A$1:$W$39"}</definedName>
    <definedName name="VH" localSheetId="21" hidden="1">{"'表紙'!$A$1:$W$39"}</definedName>
    <definedName name="VH" localSheetId="7" hidden="1">{"'表紙'!$A$1:$W$39"}</definedName>
    <definedName name="VH" localSheetId="6" hidden="1">{"'表紙'!$A$1:$W$39"}</definedName>
    <definedName name="VH" hidden="1">{"'表紙'!$A$1:$W$39"}</definedName>
    <definedName name="VN" localSheetId="21" hidden="1">{"'表紙'!$A$1:$W$39"}</definedName>
    <definedName name="VN" localSheetId="7" hidden="1">{"'表紙'!$A$1:$W$39"}</definedName>
    <definedName name="VN" localSheetId="6" hidden="1">{"'表紙'!$A$1:$W$39"}</definedName>
    <definedName name="VN" hidden="1">{"'表紙'!$A$1:$W$39"}</definedName>
    <definedName name="vv" localSheetId="21" hidden="1">{#N/A,#N/A,TRUE,"ﾒｲﾝｻｰﾊﾞ";#N/A,#N/A,TRUE,"ｽﾀﾝﾊﾞｲｻｰﾊﾞ";#N/A,#N/A,TRUE,"ﾒﾝﾃﾅﾝｽ&amp;SMS";#N/A,#N/A,TRUE,"ﾁｰﾌ端末(NT)";#N/A,#N/A,TRUE,"監視端末(NT)";#N/A,#N/A,TRUE,"予備端末";#N/A,#N/A,TRUE,"ﾈｯﾄﾜｰｸ機器";#N/A,#N/A,TRUE,"受信用PC98";#N/A,#N/A,TRUE,"とりまとめ"}</definedName>
    <definedName name="vv" localSheetId="7" hidden="1">{#N/A,#N/A,TRUE,"ﾒｲﾝｻｰﾊﾞ";#N/A,#N/A,TRUE,"ｽﾀﾝﾊﾞｲｻｰﾊﾞ";#N/A,#N/A,TRUE,"ﾒﾝﾃﾅﾝｽ&amp;SMS";#N/A,#N/A,TRUE,"ﾁｰﾌ端末(NT)";#N/A,#N/A,TRUE,"監視端末(NT)";#N/A,#N/A,TRUE,"予備端末";#N/A,#N/A,TRUE,"ﾈｯﾄﾜｰｸ機器";#N/A,#N/A,TRUE,"受信用PC98";#N/A,#N/A,TRUE,"とりまとめ"}</definedName>
    <definedName name="vv" localSheetId="6" hidden="1">{#N/A,#N/A,TRUE,"ﾒｲﾝｻｰﾊﾞ";#N/A,#N/A,TRUE,"ｽﾀﾝﾊﾞｲｻｰﾊﾞ";#N/A,#N/A,TRUE,"ﾒﾝﾃﾅﾝｽ&amp;SMS";#N/A,#N/A,TRUE,"ﾁｰﾌ端末(NT)";#N/A,#N/A,TRUE,"監視端末(NT)";#N/A,#N/A,TRUE,"予備端末";#N/A,#N/A,TRUE,"ﾈｯﾄﾜｰｸ機器";#N/A,#N/A,TRUE,"受信用PC98";#N/A,#N/A,TRUE,"とりまとめ"}</definedName>
    <definedName name="vv" hidden="1">{#N/A,#N/A,TRUE,"ﾒｲﾝｻｰﾊﾞ";#N/A,#N/A,TRUE,"ｽﾀﾝﾊﾞｲｻｰﾊﾞ";#N/A,#N/A,TRUE,"ﾒﾝﾃﾅﾝｽ&amp;SMS";#N/A,#N/A,TRUE,"ﾁｰﾌ端末(NT)";#N/A,#N/A,TRUE,"監視端末(NT)";#N/A,#N/A,TRUE,"予備端末";#N/A,#N/A,TRUE,"ﾈｯﾄﾜｰｸ機器";#N/A,#N/A,TRUE,"受信用PC98";#N/A,#N/A,TRUE,"とりまとめ"}</definedName>
    <definedName name="vvvv" localSheetId="21"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vvvv" localSheetId="7"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vvvv" localSheetId="6"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vvvv"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vvvvvvvv" localSheetId="21" hidden="1">{#N/A,#N/A,TRUE,"ﾒｲﾝｻｰﾊﾞ";#N/A,#N/A,TRUE,"ｽﾀﾝﾊﾞｲｻｰﾊﾞ";#N/A,#N/A,TRUE,"ﾒﾝﾃﾅﾝｽ&amp;SMS";#N/A,#N/A,TRUE,"ﾁｰﾌ端末(NT)";#N/A,#N/A,TRUE,"監視端末(NT)";#N/A,#N/A,TRUE,"予備端末";#N/A,#N/A,TRUE,"ﾈｯﾄﾜｰｸ機器";#N/A,#N/A,TRUE,"受信用PC98";#N/A,#N/A,TRUE,"とりまとめ"}</definedName>
    <definedName name="vvvvvvvv" localSheetId="7" hidden="1">{#N/A,#N/A,TRUE,"ﾒｲﾝｻｰﾊﾞ";#N/A,#N/A,TRUE,"ｽﾀﾝﾊﾞｲｻｰﾊﾞ";#N/A,#N/A,TRUE,"ﾒﾝﾃﾅﾝｽ&amp;SMS";#N/A,#N/A,TRUE,"ﾁｰﾌ端末(NT)";#N/A,#N/A,TRUE,"監視端末(NT)";#N/A,#N/A,TRUE,"予備端末";#N/A,#N/A,TRUE,"ﾈｯﾄﾜｰｸ機器";#N/A,#N/A,TRUE,"受信用PC98";#N/A,#N/A,TRUE,"とりまとめ"}</definedName>
    <definedName name="vvvvvvvv" localSheetId="6" hidden="1">{#N/A,#N/A,TRUE,"ﾒｲﾝｻｰﾊﾞ";#N/A,#N/A,TRUE,"ｽﾀﾝﾊﾞｲｻｰﾊﾞ";#N/A,#N/A,TRUE,"ﾒﾝﾃﾅﾝｽ&amp;SMS";#N/A,#N/A,TRUE,"ﾁｰﾌ端末(NT)";#N/A,#N/A,TRUE,"監視端末(NT)";#N/A,#N/A,TRUE,"予備端末";#N/A,#N/A,TRUE,"ﾈｯﾄﾜｰｸ機器";#N/A,#N/A,TRUE,"受信用PC98";#N/A,#N/A,TRUE,"とりまとめ"}</definedName>
    <definedName name="vvvvvvvv" hidden="1">{#N/A,#N/A,TRUE,"ﾒｲﾝｻｰﾊﾞ";#N/A,#N/A,TRUE,"ｽﾀﾝﾊﾞｲｻｰﾊﾞ";#N/A,#N/A,TRUE,"ﾒﾝﾃﾅﾝｽ&amp;SMS";#N/A,#N/A,TRUE,"ﾁｰﾌ端末(NT)";#N/A,#N/A,TRUE,"監視端末(NT)";#N/A,#N/A,TRUE,"予備端末";#N/A,#N/A,TRUE,"ﾈｯﾄﾜｰｸ機器";#N/A,#N/A,TRUE,"受信用PC98";#N/A,#N/A,TRUE,"とりまとめ"}</definedName>
    <definedName name="VW" localSheetId="21" hidden="1">{"'表紙'!$A$1:$W$39"}</definedName>
    <definedName name="VW" localSheetId="7" hidden="1">{"'表紙'!$A$1:$W$39"}</definedName>
    <definedName name="VW" localSheetId="6" hidden="1">{"'表紙'!$A$1:$W$39"}</definedName>
    <definedName name="VW" hidden="1">{"'表紙'!$A$1:$W$39"}</definedName>
    <definedName name="VX" localSheetId="21" hidden="1">{"'表紙'!$A$1:$W$39"}</definedName>
    <definedName name="VX" localSheetId="7" hidden="1">{"'表紙'!$A$1:$W$39"}</definedName>
    <definedName name="VX" localSheetId="6" hidden="1">{"'表紙'!$A$1:$W$39"}</definedName>
    <definedName name="VX" hidden="1">{"'表紙'!$A$1:$W$39"}</definedName>
    <definedName name="VZ" localSheetId="21" hidden="1">{"'表紙'!$A$1:$W$39"}</definedName>
    <definedName name="VZ" localSheetId="7" hidden="1">{"'表紙'!$A$1:$W$39"}</definedName>
    <definedName name="VZ" localSheetId="6" hidden="1">{"'表紙'!$A$1:$W$39"}</definedName>
    <definedName name="VZ" hidden="1">{"'表紙'!$A$1:$W$39"}</definedName>
    <definedName name="wrn.HCDN_全印刷." localSheetId="21" hidden="1">{"HCDN_注釈以外",#N/A,FALSE,"10.0対応";"HCDN_注釈",#N/A,FALSE,"10.0対応";"HCDN_注釈以外",#N/A,FALSE,"9.0対応";"HCDN_注釈",#N/A,FALSE,"9.0対応";#N/A,#N/A,FALSE,"ﾏﾆｭｱﾙ一覧";#N/A,#N/A,FALSE,"ﾏﾆｭｱﾙ一覧 (2)"}</definedName>
    <definedName name="wrn.HCDN_全印刷." localSheetId="7" hidden="1">{"HCDN_注釈以外",#N/A,FALSE,"10.0対応";"HCDN_注釈",#N/A,FALSE,"10.0対応";"HCDN_注釈以外",#N/A,FALSE,"9.0対応";"HCDN_注釈",#N/A,FALSE,"9.0対応";#N/A,#N/A,FALSE,"ﾏﾆｭｱﾙ一覧";#N/A,#N/A,FALSE,"ﾏﾆｭｱﾙ一覧 (2)"}</definedName>
    <definedName name="wrn.HCDN_全印刷." localSheetId="6" hidden="1">{"HCDN_注釈以外",#N/A,FALSE,"10.0対応";"HCDN_注釈",#N/A,FALSE,"10.0対応";"HCDN_注釈以外",#N/A,FALSE,"9.0対応";"HCDN_注釈",#N/A,FALSE,"9.0対応";#N/A,#N/A,FALSE,"ﾏﾆｭｱﾙ一覧";#N/A,#N/A,FALSE,"ﾏﾆｭｱﾙ一覧 (2)"}</definedName>
    <definedName name="wrn.HCDN_全印刷." hidden="1">{"HCDN_注釈以外",#N/A,FALSE,"10.0対応";"HCDN_注釈",#N/A,FALSE,"10.0対応";"HCDN_注釈以外",#N/A,FALSE,"9.0対応";"HCDN_注釈",#N/A,FALSE,"9.0対応";#N/A,#N/A,FALSE,"ﾏﾆｭｱﾙ一覧";#N/A,#N/A,FALSE,"ﾏﾆｭｱﾙ一覧 (2)"}</definedName>
    <definedName name="wrn.まとめ." localSheetId="21" hidden="1">{#N/A,#N/A,TRUE,"ﾒｲﾝｻｰﾊﾞ";#N/A,#N/A,TRUE,"ｽﾀﾝﾊﾞｲｻｰﾊﾞ";#N/A,#N/A,TRUE,"ﾒﾝﾃﾅﾝｽ&amp;SMS";#N/A,#N/A,TRUE,"ﾁｰﾌ端末(NT)";#N/A,#N/A,TRUE,"監視端末(NT)";#N/A,#N/A,TRUE,"予備端末";#N/A,#N/A,TRUE,"ﾈｯﾄﾜｰｸ機器";#N/A,#N/A,TRUE,"受信用PC98";#N/A,#N/A,TRUE,"とりまとめ"}</definedName>
    <definedName name="wrn.まとめ." localSheetId="7" hidden="1">{#N/A,#N/A,TRUE,"ﾒｲﾝｻｰﾊﾞ";#N/A,#N/A,TRUE,"ｽﾀﾝﾊﾞｲｻｰﾊﾞ";#N/A,#N/A,TRUE,"ﾒﾝﾃﾅﾝｽ&amp;SMS";#N/A,#N/A,TRUE,"ﾁｰﾌ端末(NT)";#N/A,#N/A,TRUE,"監視端末(NT)";#N/A,#N/A,TRUE,"予備端末";#N/A,#N/A,TRUE,"ﾈｯﾄﾜｰｸ機器";#N/A,#N/A,TRUE,"受信用PC98";#N/A,#N/A,TRUE,"とりまとめ"}</definedName>
    <definedName name="wrn.まとめ." localSheetId="6" hidden="1">{#N/A,#N/A,TRUE,"ﾒｲﾝｻｰﾊﾞ";#N/A,#N/A,TRUE,"ｽﾀﾝﾊﾞｲｻｰﾊﾞ";#N/A,#N/A,TRUE,"ﾒﾝﾃﾅﾝｽ&amp;SMS";#N/A,#N/A,TRUE,"ﾁｰﾌ端末(NT)";#N/A,#N/A,TRUE,"監視端末(NT)";#N/A,#N/A,TRUE,"予備端末";#N/A,#N/A,TRUE,"ﾈｯﾄﾜｰｸ機器";#N/A,#N/A,TRUE,"受信用PC98";#N/A,#N/A,TRUE,"とりまとめ"}</definedName>
    <definedName name="wrn.まとめ." hidden="1">{#N/A,#N/A,TRUE,"ﾒｲﾝｻｰﾊﾞ";#N/A,#N/A,TRUE,"ｽﾀﾝﾊﾞｲｻｰﾊﾞ";#N/A,#N/A,TRUE,"ﾒﾝﾃﾅﾝｽ&amp;SMS";#N/A,#N/A,TRUE,"ﾁｰﾌ端末(NT)";#N/A,#N/A,TRUE,"監視端末(NT)";#N/A,#N/A,TRUE,"予備端末";#N/A,#N/A,TRUE,"ﾈｯﾄﾜｰｸ機器";#N/A,#N/A,TRUE,"受信用PC98";#N/A,#N/A,TRUE,"とりまとめ"}</definedName>
    <definedName name="wrn.月例報告." localSheetId="21" hidden="1">{"月例報告",#N/A,FALSE,"STB"}</definedName>
    <definedName name="wrn.月例報告." localSheetId="20" hidden="1">{"月例報告",#N/A,FALSE,"STB"}</definedName>
    <definedName name="wrn.月例報告." localSheetId="7" hidden="1">{"月例報告",#N/A,FALSE,"STB"}</definedName>
    <definedName name="wrn.月例報告." localSheetId="6" hidden="1">{"月例報告",#N/A,FALSE,"STB"}</definedName>
    <definedName name="wrn.月例報告." hidden="1">{"月例報告",#N/A,FALSE,"STB"}</definedName>
    <definedName name="wrn.構成ｶﾞｲﾄﾞ_全印刷." localSheetId="21"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wrn.構成ｶﾞｲﾄﾞ_全印刷." localSheetId="7"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wrn.構成ｶﾞｲﾄﾞ_全印刷." localSheetId="6"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wrn.構成ｶﾞｲﾄﾞ_全印刷."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wrn.仕様書表紙." localSheetId="21" hidden="1">{#N/A,#N/A,FALSE,"表一覧"}</definedName>
    <definedName name="wrn.仕様書表紙." localSheetId="7" hidden="1">{#N/A,#N/A,FALSE,"表一覧"}</definedName>
    <definedName name="wrn.仕様書表紙." localSheetId="6" hidden="1">{#N/A,#N/A,FALSE,"表一覧"}</definedName>
    <definedName name="wrn.仕様書表紙." hidden="1">{#N/A,#N/A,FALSE,"表一覧"}</definedName>
    <definedName name="wrn.出力." localSheetId="21" hidden="1">{#N/A,#N/A,FALSE,"本部-店舗通信ﾃｽﾄｽｹｼﾞｭｰﾙ"}</definedName>
    <definedName name="wrn.出力." localSheetId="7" hidden="1">{#N/A,#N/A,FALSE,"本部-店舗通信ﾃｽﾄｽｹｼﾞｭｰﾙ"}</definedName>
    <definedName name="wrn.出力." localSheetId="6" hidden="1">{#N/A,#N/A,FALSE,"本部-店舗通信ﾃｽﾄｽｹｼﾞｭｰﾙ"}</definedName>
    <definedName name="wrn.出力." hidden="1">{#N/A,#N/A,FALSE,"本部-店舗通信ﾃｽﾄｽｹｼﾞｭｰﾙ"}</definedName>
    <definedName name="WS" localSheetId="21" hidden="1">{"'表紙'!$A$1:$W$39"}</definedName>
    <definedName name="WS" localSheetId="7" hidden="1">{"'表紙'!$A$1:$W$39"}</definedName>
    <definedName name="WS" localSheetId="6" hidden="1">{"'表紙'!$A$1:$W$39"}</definedName>
    <definedName name="WS" hidden="1">{"'表紙'!$A$1:$W$39"}</definedName>
    <definedName name="wwwww" localSheetId="21" hidden="1">{#N/A,#N/A,TRUE,"ﾒｲﾝｻｰﾊﾞ";#N/A,#N/A,TRUE,"ｽﾀﾝﾊﾞｲｻｰﾊﾞ";#N/A,#N/A,TRUE,"ﾒﾝﾃﾅﾝｽ&amp;SMS";#N/A,#N/A,TRUE,"ﾁｰﾌ端末(NT)";#N/A,#N/A,TRUE,"監視端末(NT)";#N/A,#N/A,TRUE,"予備端末";#N/A,#N/A,TRUE,"ﾈｯﾄﾜｰｸ機器";#N/A,#N/A,TRUE,"受信用PC98";#N/A,#N/A,TRUE,"とりまとめ"}</definedName>
    <definedName name="wwwww" localSheetId="7" hidden="1">{#N/A,#N/A,TRUE,"ﾒｲﾝｻｰﾊﾞ";#N/A,#N/A,TRUE,"ｽﾀﾝﾊﾞｲｻｰﾊﾞ";#N/A,#N/A,TRUE,"ﾒﾝﾃﾅﾝｽ&amp;SMS";#N/A,#N/A,TRUE,"ﾁｰﾌ端末(NT)";#N/A,#N/A,TRUE,"監視端末(NT)";#N/A,#N/A,TRUE,"予備端末";#N/A,#N/A,TRUE,"ﾈｯﾄﾜｰｸ機器";#N/A,#N/A,TRUE,"受信用PC98";#N/A,#N/A,TRUE,"とりまとめ"}</definedName>
    <definedName name="wwwww" localSheetId="6" hidden="1">{#N/A,#N/A,TRUE,"ﾒｲﾝｻｰﾊﾞ";#N/A,#N/A,TRUE,"ｽﾀﾝﾊﾞｲｻｰﾊﾞ";#N/A,#N/A,TRUE,"ﾒﾝﾃﾅﾝｽ&amp;SMS";#N/A,#N/A,TRUE,"ﾁｰﾌ端末(NT)";#N/A,#N/A,TRUE,"監視端末(NT)";#N/A,#N/A,TRUE,"予備端末";#N/A,#N/A,TRUE,"ﾈｯﾄﾜｰｸ機器";#N/A,#N/A,TRUE,"受信用PC98";#N/A,#N/A,TRUE,"とりまとめ"}</definedName>
    <definedName name="wwwww" hidden="1">{#N/A,#N/A,TRUE,"ﾒｲﾝｻｰﾊﾞ";#N/A,#N/A,TRUE,"ｽﾀﾝﾊﾞｲｻｰﾊﾞ";#N/A,#N/A,TRUE,"ﾒﾝﾃﾅﾝｽ&amp;SMS";#N/A,#N/A,TRUE,"ﾁｰﾌ端末(NT)";#N/A,#N/A,TRUE,"監視端末(NT)";#N/A,#N/A,TRUE,"予備端末";#N/A,#N/A,TRUE,"ﾈｯﾄﾜｰｸ機器";#N/A,#N/A,TRUE,"受信用PC98";#N/A,#N/A,TRUE,"とりまとめ"}</definedName>
    <definedName name="wwwwwwwwwww" localSheetId="21" hidden="1">{#N/A,#N/A,TRUE,"ﾒｲﾝｻｰﾊﾞ";#N/A,#N/A,TRUE,"ｽﾀﾝﾊﾞｲｻｰﾊﾞ";#N/A,#N/A,TRUE,"ﾒﾝﾃﾅﾝｽ&amp;SMS";#N/A,#N/A,TRUE,"ﾁｰﾌ端末(NT)";#N/A,#N/A,TRUE,"監視端末(NT)";#N/A,#N/A,TRUE,"予備端末";#N/A,#N/A,TRUE,"ﾈｯﾄﾜｰｸ機器";#N/A,#N/A,TRUE,"受信用PC98";#N/A,#N/A,TRUE,"とりまとめ"}</definedName>
    <definedName name="wwwwwwwwwww" localSheetId="7" hidden="1">{#N/A,#N/A,TRUE,"ﾒｲﾝｻｰﾊﾞ";#N/A,#N/A,TRUE,"ｽﾀﾝﾊﾞｲｻｰﾊﾞ";#N/A,#N/A,TRUE,"ﾒﾝﾃﾅﾝｽ&amp;SMS";#N/A,#N/A,TRUE,"ﾁｰﾌ端末(NT)";#N/A,#N/A,TRUE,"監視端末(NT)";#N/A,#N/A,TRUE,"予備端末";#N/A,#N/A,TRUE,"ﾈｯﾄﾜｰｸ機器";#N/A,#N/A,TRUE,"受信用PC98";#N/A,#N/A,TRUE,"とりまとめ"}</definedName>
    <definedName name="wwwwwwwwwww" localSheetId="6" hidden="1">{#N/A,#N/A,TRUE,"ﾒｲﾝｻｰﾊﾞ";#N/A,#N/A,TRUE,"ｽﾀﾝﾊﾞｲｻｰﾊﾞ";#N/A,#N/A,TRUE,"ﾒﾝﾃﾅﾝｽ&amp;SMS";#N/A,#N/A,TRUE,"ﾁｰﾌ端末(NT)";#N/A,#N/A,TRUE,"監視端末(NT)";#N/A,#N/A,TRUE,"予備端末";#N/A,#N/A,TRUE,"ﾈｯﾄﾜｰｸ機器";#N/A,#N/A,TRUE,"受信用PC98";#N/A,#N/A,TRUE,"とりまとめ"}</definedName>
    <definedName name="wwwwwwwwwww" hidden="1">{#N/A,#N/A,TRUE,"ﾒｲﾝｻｰﾊﾞ";#N/A,#N/A,TRUE,"ｽﾀﾝﾊﾞｲｻｰﾊﾞ";#N/A,#N/A,TRUE,"ﾒﾝﾃﾅﾝｽ&amp;SMS";#N/A,#N/A,TRUE,"ﾁｰﾌ端末(NT)";#N/A,#N/A,TRUE,"監視端末(NT)";#N/A,#N/A,TRUE,"予備端末";#N/A,#N/A,TRUE,"ﾈｯﾄﾜｰｸ機器";#N/A,#N/A,TRUE,"受信用PC98";#N/A,#N/A,TRUE,"とりまとめ"}</definedName>
    <definedName name="XJ" localSheetId="21" hidden="1">{"'表紙'!$A$1:$W$39"}</definedName>
    <definedName name="XJ" localSheetId="7" hidden="1">{"'表紙'!$A$1:$W$39"}</definedName>
    <definedName name="XJ" localSheetId="6" hidden="1">{"'表紙'!$A$1:$W$39"}</definedName>
    <definedName name="XJ" hidden="1">{"'表紙'!$A$1:$W$39"}</definedName>
    <definedName name="XM" localSheetId="21" hidden="1">{"'表紙'!$A$1:$W$39"}</definedName>
    <definedName name="XM" localSheetId="7" hidden="1">{"'表紙'!$A$1:$W$39"}</definedName>
    <definedName name="XM" localSheetId="6" hidden="1">{"'表紙'!$A$1:$W$39"}</definedName>
    <definedName name="XM" hidden="1">{"'表紙'!$A$1:$W$39"}</definedName>
    <definedName name="XN" localSheetId="21" hidden="1">{"'表紙'!$A$1:$W$39"}</definedName>
    <definedName name="XN" localSheetId="7" hidden="1">{"'表紙'!$A$1:$W$39"}</definedName>
    <definedName name="XN" localSheetId="6" hidden="1">{"'表紙'!$A$1:$W$39"}</definedName>
    <definedName name="XN" hidden="1">{"'表紙'!$A$1:$W$39"}</definedName>
    <definedName name="xxxxxxxxxxxxxxxxxxxx" localSheetId="21" hidden="1">{#N/A,#N/A,TRUE,"ﾒｲﾝｻｰﾊﾞ";#N/A,#N/A,TRUE,"ｽﾀﾝﾊﾞｲｻｰﾊﾞ";#N/A,#N/A,TRUE,"ﾒﾝﾃﾅﾝｽ&amp;SMS";#N/A,#N/A,TRUE,"ﾁｰﾌ端末(NT)";#N/A,#N/A,TRUE,"監視端末(NT)";#N/A,#N/A,TRUE,"予備端末";#N/A,#N/A,TRUE,"ﾈｯﾄﾜｰｸ機器";#N/A,#N/A,TRUE,"受信用PC98";#N/A,#N/A,TRUE,"とりまとめ"}</definedName>
    <definedName name="xxxxxxxxxxxxxxxxxxxx" localSheetId="7" hidden="1">{#N/A,#N/A,TRUE,"ﾒｲﾝｻｰﾊﾞ";#N/A,#N/A,TRUE,"ｽﾀﾝﾊﾞｲｻｰﾊﾞ";#N/A,#N/A,TRUE,"ﾒﾝﾃﾅﾝｽ&amp;SMS";#N/A,#N/A,TRUE,"ﾁｰﾌ端末(NT)";#N/A,#N/A,TRUE,"監視端末(NT)";#N/A,#N/A,TRUE,"予備端末";#N/A,#N/A,TRUE,"ﾈｯﾄﾜｰｸ機器";#N/A,#N/A,TRUE,"受信用PC98";#N/A,#N/A,TRUE,"とりまとめ"}</definedName>
    <definedName name="xxxxxxxxxxxxxxxxxxxx" localSheetId="6" hidden="1">{#N/A,#N/A,TRUE,"ﾒｲﾝｻｰﾊﾞ";#N/A,#N/A,TRUE,"ｽﾀﾝﾊﾞｲｻｰﾊﾞ";#N/A,#N/A,TRUE,"ﾒﾝﾃﾅﾝｽ&amp;SMS";#N/A,#N/A,TRUE,"ﾁｰﾌ端末(NT)";#N/A,#N/A,TRUE,"監視端末(NT)";#N/A,#N/A,TRUE,"予備端末";#N/A,#N/A,TRUE,"ﾈｯﾄﾜｰｸ機器";#N/A,#N/A,TRUE,"受信用PC98";#N/A,#N/A,TRUE,"とりまとめ"}</definedName>
    <definedName name="xxxxxxxxxxxxxxxxxxxx" hidden="1">{#N/A,#N/A,TRUE,"ﾒｲﾝｻｰﾊﾞ";#N/A,#N/A,TRUE,"ｽﾀﾝﾊﾞｲｻｰﾊﾞ";#N/A,#N/A,TRUE,"ﾒﾝﾃﾅﾝｽ&amp;SMS";#N/A,#N/A,TRUE,"ﾁｰﾌ端末(NT)";#N/A,#N/A,TRUE,"監視端末(NT)";#N/A,#N/A,TRUE,"予備端末";#N/A,#N/A,TRUE,"ﾈｯﾄﾜｰｸ機器";#N/A,#N/A,TRUE,"受信用PC98";#N/A,#N/A,TRUE,"とりまとめ"}</definedName>
    <definedName name="XY" localSheetId="21" hidden="1">{"'表紙'!$A$1:$W$39"}</definedName>
    <definedName name="XY" localSheetId="7" hidden="1">{"'表紙'!$A$1:$W$39"}</definedName>
    <definedName name="XY" localSheetId="6" hidden="1">{"'表紙'!$A$1:$W$39"}</definedName>
    <definedName name="XY" hidden="1">{"'表紙'!$A$1:$W$39"}</definedName>
    <definedName name="yb" localSheetId="21" hidden="1">{"'表紙'!$A$1:$W$39"}</definedName>
    <definedName name="yb" localSheetId="7" hidden="1">{"'表紙'!$A$1:$W$39"}</definedName>
    <definedName name="yb" localSheetId="6" hidden="1">{"'表紙'!$A$1:$W$39"}</definedName>
    <definedName name="yb" hidden="1">{"'表紙'!$A$1:$W$39"}</definedName>
    <definedName name="yd" localSheetId="21" hidden="1">{"'表紙'!$A$1:$W$39"}</definedName>
    <definedName name="yd" localSheetId="7" hidden="1">{"'表紙'!$A$1:$W$39"}</definedName>
    <definedName name="yd" localSheetId="6" hidden="1">{"'表紙'!$A$1:$W$39"}</definedName>
    <definedName name="yd" hidden="1">{"'表紙'!$A$1:$W$39"}</definedName>
    <definedName name="yj" localSheetId="21" hidden="1">{"'表紙'!$A$1:$W$39"}</definedName>
    <definedName name="yj" localSheetId="7" hidden="1">{"'表紙'!$A$1:$W$39"}</definedName>
    <definedName name="yj" localSheetId="6" hidden="1">{"'表紙'!$A$1:$W$39"}</definedName>
    <definedName name="yj" hidden="1">{"'表紙'!$A$1:$W$39"}</definedName>
    <definedName name="yk" localSheetId="21" hidden="1">{"'表紙'!$A$1:$W$39"}</definedName>
    <definedName name="yk" localSheetId="7" hidden="1">{"'表紙'!$A$1:$W$39"}</definedName>
    <definedName name="yk" localSheetId="6" hidden="1">{"'表紙'!$A$1:$W$39"}</definedName>
    <definedName name="yk" hidden="1">{"'表紙'!$A$1:$W$39"}</definedName>
    <definedName name="yl" localSheetId="21" hidden="1">{"'表紙'!$A$1:$W$39"}</definedName>
    <definedName name="yl" localSheetId="7" hidden="1">{"'表紙'!$A$1:$W$39"}</definedName>
    <definedName name="yl" localSheetId="6" hidden="1">{"'表紙'!$A$1:$W$39"}</definedName>
    <definedName name="yl" hidden="1">{"'表紙'!$A$1:$W$39"}</definedName>
    <definedName name="ys" localSheetId="21" hidden="1">{"'表紙'!$A$1:$W$39"}</definedName>
    <definedName name="ys" localSheetId="7" hidden="1">{"'表紙'!$A$1:$W$39"}</definedName>
    <definedName name="ys" localSheetId="6" hidden="1">{"'表紙'!$A$1:$W$39"}</definedName>
    <definedName name="ys" hidden="1">{"'表紙'!$A$1:$W$39"}</definedName>
    <definedName name="yv" localSheetId="21" hidden="1">{"'表紙'!$A$1:$W$39"}</definedName>
    <definedName name="yv" localSheetId="7" hidden="1">{"'表紙'!$A$1:$W$39"}</definedName>
    <definedName name="yv" localSheetId="6" hidden="1">{"'表紙'!$A$1:$W$39"}</definedName>
    <definedName name="yv" hidden="1">{"'表紙'!$A$1:$W$39"}</definedName>
    <definedName name="yyd" localSheetId="21" hidden="1">{"'表紙'!$A$1:$W$39"}</definedName>
    <definedName name="yyd" localSheetId="7" hidden="1">{"'表紙'!$A$1:$W$39"}</definedName>
    <definedName name="yyd" localSheetId="6" hidden="1">{"'表紙'!$A$1:$W$39"}</definedName>
    <definedName name="yyd" hidden="1">{"'表紙'!$A$1:$W$39"}</definedName>
    <definedName name="yyg" localSheetId="21" hidden="1">{"'表紙'!$A$1:$W$39"}</definedName>
    <definedName name="yyg" localSheetId="7" hidden="1">{"'表紙'!$A$1:$W$39"}</definedName>
    <definedName name="yyg" localSheetId="6" hidden="1">{"'表紙'!$A$1:$W$39"}</definedName>
    <definedName name="yyg" hidden="1">{"'表紙'!$A$1:$W$39"}</definedName>
    <definedName name="yyh" localSheetId="21" hidden="1">{"'表紙'!$A$1:$W$39"}</definedName>
    <definedName name="yyh" localSheetId="7" hidden="1">{"'表紙'!$A$1:$W$39"}</definedName>
    <definedName name="yyh" localSheetId="6" hidden="1">{"'表紙'!$A$1:$W$39"}</definedName>
    <definedName name="yyh" hidden="1">{"'表紙'!$A$1:$W$39"}</definedName>
    <definedName name="yyj" localSheetId="21" hidden="1">{"'表紙'!$A$1:$W$39"}</definedName>
    <definedName name="yyj" localSheetId="7" hidden="1">{"'表紙'!$A$1:$W$39"}</definedName>
    <definedName name="yyj" localSheetId="6" hidden="1">{"'表紙'!$A$1:$W$39"}</definedName>
    <definedName name="yyj" hidden="1">{"'表紙'!$A$1:$W$39"}</definedName>
    <definedName name="yyn" localSheetId="21" hidden="1">{"'表紙'!$A$1:$W$39"}</definedName>
    <definedName name="yyn" localSheetId="7" hidden="1">{"'表紙'!$A$1:$W$39"}</definedName>
    <definedName name="yyn" localSheetId="6" hidden="1">{"'表紙'!$A$1:$W$39"}</definedName>
    <definedName name="yyn" hidden="1">{"'表紙'!$A$1:$W$39"}</definedName>
    <definedName name="yyp" localSheetId="21" hidden="1">{"'表紙'!$A$1:$W$39"}</definedName>
    <definedName name="yyp" localSheetId="7" hidden="1">{"'表紙'!$A$1:$W$39"}</definedName>
    <definedName name="yyp" localSheetId="6" hidden="1">{"'表紙'!$A$1:$W$39"}</definedName>
    <definedName name="yyp" hidden="1">{"'表紙'!$A$1:$W$39"}</definedName>
    <definedName name="yys" localSheetId="21" hidden="1">{"'表紙'!$A$1:$W$39"}</definedName>
    <definedName name="yys" localSheetId="7" hidden="1">{"'表紙'!$A$1:$W$39"}</definedName>
    <definedName name="yys" localSheetId="6" hidden="1">{"'表紙'!$A$1:$W$39"}</definedName>
    <definedName name="yys" hidden="1">{"'表紙'!$A$1:$W$39"}</definedName>
    <definedName name="yyw" localSheetId="21" hidden="1">{"'表紙'!$A$1:$W$39"}</definedName>
    <definedName name="yyw" localSheetId="7" hidden="1">{"'表紙'!$A$1:$W$39"}</definedName>
    <definedName name="yyw" localSheetId="6" hidden="1">{"'表紙'!$A$1:$W$39"}</definedName>
    <definedName name="yyw" hidden="1">{"'表紙'!$A$1:$W$39"}</definedName>
    <definedName name="Z" localSheetId="21" hidden="1">{"'機能一覧 Master'!$A$1:$I$56"}</definedName>
    <definedName name="Z" localSheetId="7" hidden="1">{"'機能一覧 Master'!$A$1:$I$56"}</definedName>
    <definedName name="Z" localSheetId="6" hidden="1">{"'機能一覧 Master'!$A$1:$I$56"}</definedName>
    <definedName name="Z" hidden="1">{"'機能一覧 Master'!$A$1:$I$56"}</definedName>
    <definedName name="ZH" localSheetId="21" hidden="1">{"'表紙'!$A$1:$W$39"}</definedName>
    <definedName name="ZH" localSheetId="7" hidden="1">{"'表紙'!$A$1:$W$39"}</definedName>
    <definedName name="ZH" localSheetId="6" hidden="1">{"'表紙'!$A$1:$W$39"}</definedName>
    <definedName name="ZH" hidden="1">{"'表紙'!$A$1:$W$39"}</definedName>
    <definedName name="ZK" localSheetId="21" hidden="1">{"'表紙'!$A$1:$W$39"}</definedName>
    <definedName name="ZK" localSheetId="7" hidden="1">{"'表紙'!$A$1:$W$39"}</definedName>
    <definedName name="ZK" localSheetId="6" hidden="1">{"'表紙'!$A$1:$W$39"}</definedName>
    <definedName name="ZK" hidden="1">{"'表紙'!$A$1:$W$39"}</definedName>
    <definedName name="zz" localSheetId="21" hidden="1">{"'フローチャート'!$A$1:$AO$191"}</definedName>
    <definedName name="zz" localSheetId="7" hidden="1">{"'フローチャート'!$A$1:$AO$191"}</definedName>
    <definedName name="zz" localSheetId="6" hidden="1">{"'フローチャート'!$A$1:$AO$191"}</definedName>
    <definedName name="zz" hidden="1">{"'フローチャート'!$A$1:$AO$191"}</definedName>
    <definedName name="ZZZ" localSheetId="21" hidden="1">{"'フローチャート'!$A$1:$AO$191"}</definedName>
    <definedName name="ZZZ" localSheetId="7" hidden="1">{"'フローチャート'!$A$1:$AO$191"}</definedName>
    <definedName name="ZZZ" localSheetId="6" hidden="1">{"'フローチャート'!$A$1:$AO$191"}</definedName>
    <definedName name="ZZZ" hidden="1">{"'フローチャート'!$A$1:$AO$191"}</definedName>
    <definedName name="ZZZZ" localSheetId="21" hidden="1">{"'フローチャート'!$A$1:$AO$191"}</definedName>
    <definedName name="ZZZZ" localSheetId="7" hidden="1">{"'フローチャート'!$A$1:$AO$191"}</definedName>
    <definedName name="ZZZZ" localSheetId="6" hidden="1">{"'フローチャート'!$A$1:$AO$191"}</definedName>
    <definedName name="ZZZZ" hidden="1">{"'フローチャート'!$A$1:$AO$191"}</definedName>
    <definedName name="zzzzzzzzzzzzzzzzzz" localSheetId="21" hidden="1">{#N/A,#N/A,TRUE,"ﾒｲﾝｻｰﾊﾞ";#N/A,#N/A,TRUE,"ｽﾀﾝﾊﾞｲｻｰﾊﾞ";#N/A,#N/A,TRUE,"ﾒﾝﾃﾅﾝｽ&amp;SMS";#N/A,#N/A,TRUE,"ﾁｰﾌ端末(NT)";#N/A,#N/A,TRUE,"監視端末(NT)";#N/A,#N/A,TRUE,"予備端末";#N/A,#N/A,TRUE,"ﾈｯﾄﾜｰｸ機器";#N/A,#N/A,TRUE,"受信用PC98";#N/A,#N/A,TRUE,"とりまとめ"}</definedName>
    <definedName name="zzzzzzzzzzzzzzzzzz" localSheetId="7" hidden="1">{#N/A,#N/A,TRUE,"ﾒｲﾝｻｰﾊﾞ";#N/A,#N/A,TRUE,"ｽﾀﾝﾊﾞｲｻｰﾊﾞ";#N/A,#N/A,TRUE,"ﾒﾝﾃﾅﾝｽ&amp;SMS";#N/A,#N/A,TRUE,"ﾁｰﾌ端末(NT)";#N/A,#N/A,TRUE,"監視端末(NT)";#N/A,#N/A,TRUE,"予備端末";#N/A,#N/A,TRUE,"ﾈｯﾄﾜｰｸ機器";#N/A,#N/A,TRUE,"受信用PC98";#N/A,#N/A,TRUE,"とりまとめ"}</definedName>
    <definedName name="zzzzzzzzzzzzzzzzzz" localSheetId="6" hidden="1">{#N/A,#N/A,TRUE,"ﾒｲﾝｻｰﾊﾞ";#N/A,#N/A,TRUE,"ｽﾀﾝﾊﾞｲｻｰﾊﾞ";#N/A,#N/A,TRUE,"ﾒﾝﾃﾅﾝｽ&amp;SMS";#N/A,#N/A,TRUE,"ﾁｰﾌ端末(NT)";#N/A,#N/A,TRUE,"監視端末(NT)";#N/A,#N/A,TRUE,"予備端末";#N/A,#N/A,TRUE,"ﾈｯﾄﾜｰｸ機器";#N/A,#N/A,TRUE,"受信用PC98";#N/A,#N/A,TRUE,"とりまとめ"}</definedName>
    <definedName name="zzzzzzzzzzzzzzzzzz" hidden="1">{#N/A,#N/A,TRUE,"ﾒｲﾝｻｰﾊﾞ";#N/A,#N/A,TRUE,"ｽﾀﾝﾊﾞｲｻｰﾊﾞ";#N/A,#N/A,TRUE,"ﾒﾝﾃﾅﾝｽ&amp;SMS";#N/A,#N/A,TRUE,"ﾁｰﾌ端末(NT)";#N/A,#N/A,TRUE,"監視端末(NT)";#N/A,#N/A,TRUE,"予備端末";#N/A,#N/A,TRUE,"ﾈｯﾄﾜｰｸ機器";#N/A,#N/A,TRUE,"受信用PC98";#N/A,#N/A,TRUE,"とりまとめ"}</definedName>
    <definedName name="あ" localSheetId="21" hidden="1">{"'表紙'!$A$1:$W$39"}</definedName>
    <definedName name="あ" localSheetId="20" hidden="1">{"'表紙'!$A$1:$W$39"}</definedName>
    <definedName name="あ" localSheetId="7" hidden="1">{"'表紙'!$A$1:$W$39"}</definedName>
    <definedName name="あ" localSheetId="6" hidden="1">{"'表紙'!$A$1:$W$39"}</definedName>
    <definedName name="あ" hidden="1">{"'表紙'!$A$1:$W$39"}</definedName>
    <definedName name="ああ">#REF!</definedName>
    <definedName name="あああ" hidden="1">#REF!</definedName>
    <definedName name="あああああ" localSheetId="21" hidden="1">{"'機能一覧 Master'!$A$1:$I$56"}</definedName>
    <definedName name="あああああ" localSheetId="7" hidden="1">{"'機能一覧 Master'!$A$1:$I$56"}</definedName>
    <definedName name="あああああ" localSheetId="6" hidden="1">{"'機能一覧 Master'!$A$1:$I$56"}</definedName>
    <definedName name="あああああ" hidden="1">{"'機能一覧 Master'!$A$1:$I$56"}</definedName>
    <definedName name="ああああああ" localSheetId="21" hidden="1">{"'発注データ送信 確認事項'!$A$1:$D$28"}</definedName>
    <definedName name="ああああああ" localSheetId="7" hidden="1">{"'発注データ送信 確認事項'!$A$1:$D$28"}</definedName>
    <definedName name="ああああああ" localSheetId="6" hidden="1">{"'発注データ送信 確認事項'!$A$1:$D$28"}</definedName>
    <definedName name="ああああああ" hidden="1">{"'発注データ送信 確認事項'!$A$1:$D$28"}</definedName>
    <definedName name="あいう" localSheetId="21" hidden="1">{"'発注データ送信 確認事項'!$A$1:$D$28"}</definedName>
    <definedName name="あいう" localSheetId="7" hidden="1">{"'発注データ送信 確認事項'!$A$1:$D$28"}</definedName>
    <definedName name="あいう" localSheetId="6" hidden="1">{"'発注データ送信 確認事項'!$A$1:$D$28"}</definedName>
    <definedName name="あいう" hidden="1">{"'発注データ送信 確認事項'!$A$1:$D$28"}</definedName>
    <definedName name="アクライアラ情報登録変更" hidden="1">#REF!</definedName>
    <definedName name="ｱｸﾜｲｱﾗ情報" hidden="1">#REF!</definedName>
    <definedName name="ｱｸﾜｲｱﾗ情報照会" hidden="1">#REF!</definedName>
    <definedName name="あるべき姿">#REF!</definedName>
    <definedName name="インタセクト" hidden="1">#REF!</definedName>
    <definedName name="グラフ" localSheetId="21" hidden="1">{"'表紙'!$A$1:$W$39"}</definedName>
    <definedName name="グラフ" localSheetId="7" hidden="1">{"'表紙'!$A$1:$W$39"}</definedName>
    <definedName name="グラフ" localSheetId="6" hidden="1">{"'表紙'!$A$1:$W$39"}</definedName>
    <definedName name="グラフ" hidden="1">{"'表紙'!$A$1:$W$39"}</definedName>
    <definedName name="コミニュケーション" localSheetId="21" hidden="1">{"'表紙'!$A$1:$W$39"}</definedName>
    <definedName name="コミニュケーション" localSheetId="7" hidden="1">{"'表紙'!$A$1:$W$39"}</definedName>
    <definedName name="コミニュケーション" localSheetId="6" hidden="1">{"'表紙'!$A$1:$W$39"}</definedName>
    <definedName name="コミニュケーション" hidden="1">{"'表紙'!$A$1:$W$39"}</definedName>
    <definedName name="ｺﾐﾆｭｹｰｼｮﾝ計画" localSheetId="21" hidden="1">{"'表紙'!$A$1:$W$39"}</definedName>
    <definedName name="ｺﾐﾆｭｹｰｼｮﾝ計画" localSheetId="7" hidden="1">{"'表紙'!$A$1:$W$39"}</definedName>
    <definedName name="ｺﾐﾆｭｹｰｼｮﾝ計画" localSheetId="6" hidden="1">{"'表紙'!$A$1:$W$39"}</definedName>
    <definedName name="ｺﾐﾆｭｹｰｼｮﾝ計画" hidden="1">{"'表紙'!$A$1:$W$39"}</definedName>
    <definedName name="システム版数">#REF!</definedName>
    <definedName name="スケジュール" localSheetId="21" hidden="1">{"'表紙'!$A$1:$W$39"}</definedName>
    <definedName name="スケジュール" localSheetId="7" hidden="1">{"'表紙'!$A$1:$W$39"}</definedName>
    <definedName name="スケジュール" localSheetId="6" hidden="1">{"'表紙'!$A$1:$W$39"}</definedName>
    <definedName name="スケジュール" hidden="1">{"'表紙'!$A$1:$W$39"}</definedName>
    <definedName name="すけじゅーる２" localSheetId="21" hidden="1">{"'表紙'!$A$1:$W$39"}</definedName>
    <definedName name="すけじゅーる２" localSheetId="7" hidden="1">{"'表紙'!$A$1:$W$39"}</definedName>
    <definedName name="すけじゅーる２" localSheetId="6" hidden="1">{"'表紙'!$A$1:$W$39"}</definedName>
    <definedName name="すけじゅーる２" hidden="1">{"'表紙'!$A$1:$W$39"}</definedName>
    <definedName name="たいうおう" localSheetId="21" hidden="1">{"'表紙'!$A$1:$W$39"}</definedName>
    <definedName name="たいうおう" localSheetId="7" hidden="1">{"'表紙'!$A$1:$W$39"}</definedName>
    <definedName name="たいうおう" localSheetId="6" hidden="1">{"'表紙'!$A$1:$W$39"}</definedName>
    <definedName name="たいうおう" hidden="1">{"'表紙'!$A$1:$W$39"}</definedName>
    <definedName name="っっj" localSheetId="21" hidden="1">{"'表紙'!$A$1:$W$39"}</definedName>
    <definedName name="っっj" localSheetId="7" hidden="1">{"'表紙'!$A$1:$W$39"}</definedName>
    <definedName name="っっj" localSheetId="6" hidden="1">{"'表紙'!$A$1:$W$39"}</definedName>
    <definedName name="っっj" hidden="1">{"'表紙'!$A$1:$W$39"}</definedName>
    <definedName name="デフォルト値">#REF!</definedName>
    <definedName name="パスワード変更" localSheetId="7" hidden="1">#REF!</definedName>
    <definedName name="パスワード変更" localSheetId="6" hidden="1">#REF!</definedName>
    <definedName name="パスワード変更" hidden="1">#REF!</definedName>
    <definedName name="マスタ" localSheetId="21" hidden="1">{"'表紙'!$A$1:$W$39"}</definedName>
    <definedName name="マスタ" localSheetId="7" hidden="1">{"'表紙'!$A$1:$W$39"}</definedName>
    <definedName name="マスタ" localSheetId="6" hidden="1">{"'表紙'!$A$1:$W$39"}</definedName>
    <definedName name="マスタ" hidden="1">{"'表紙'!$A$1:$W$39"}</definedName>
    <definedName name="レシートサンプル" localSheetId="21" hidden="1">{"'表紙'!$A$1:$W$39"}</definedName>
    <definedName name="レシートサンプル" localSheetId="20" hidden="1">{"'表紙'!$A$1:$W$39"}</definedName>
    <definedName name="レシートサンプル" localSheetId="7" hidden="1">{"'表紙'!$A$1:$W$39"}</definedName>
    <definedName name="レシートサンプル" localSheetId="6" hidden="1">{"'表紙'!$A$1:$W$39"}</definedName>
    <definedName name="レシートサンプル" hidden="1">{"'表紙'!$A$1:$W$39"}</definedName>
    <definedName name="一括先" hidden="1">#REF!</definedName>
    <definedName name="一括先用" hidden="1">#REF!</definedName>
    <definedName name="影響度">#REF!</definedName>
    <definedName name="加盟店情報" hidden="1">#REF!</definedName>
    <definedName name="加盟店情報１" localSheetId="7" hidden="1">#REF!</definedName>
    <definedName name="加盟店情報１" localSheetId="6" hidden="1">#REF!</definedName>
    <definedName name="加盟店情報１" hidden="1">#REF!</definedName>
    <definedName name="加盟店情報変更" localSheetId="7" hidden="1">#REF!</definedName>
    <definedName name="加盟店情報変更" localSheetId="6" hidden="1">#REF!</definedName>
    <definedName name="加盟店情報変更" hidden="1">#REF!</definedName>
    <definedName name="解決策" localSheetId="7">#REF!</definedName>
    <definedName name="解決策" localSheetId="6">#REF!</definedName>
    <definedName name="解決策">#REF!</definedName>
    <definedName name="改革" localSheetId="21" hidden="1">{"'表紙'!$A$1:$W$39"}</definedName>
    <definedName name="改革" localSheetId="7" hidden="1">{"'表紙'!$A$1:$W$39"}</definedName>
    <definedName name="改革" localSheetId="6" hidden="1">{"'表紙'!$A$1:$W$39"}</definedName>
    <definedName name="改革" hidden="1">{"'表紙'!$A$1:$W$39"}</definedName>
    <definedName name="改版履歴" localSheetId="21" hidden="1">{"'表紙'!$A$1:$W$39"}</definedName>
    <definedName name="改版履歴" localSheetId="7" hidden="1">{"'表紙'!$A$1:$W$39"}</definedName>
    <definedName name="改版履歴" localSheetId="6" hidden="1">{"'表紙'!$A$1:$W$39"}</definedName>
    <definedName name="改版履歴" hidden="1">{"'表紙'!$A$1:$W$39"}</definedName>
    <definedName name="概要" localSheetId="21" hidden="1">{"'表紙'!$A$1:$W$39"}</definedName>
    <definedName name="概要" localSheetId="7" hidden="1">{"'表紙'!$A$1:$W$39"}</definedName>
    <definedName name="概要" localSheetId="6" hidden="1">{"'表紙'!$A$1:$W$39"}</definedName>
    <definedName name="概要" hidden="1">{"'表紙'!$A$1:$W$39"}</definedName>
    <definedName name="共通" localSheetId="21" hidden="1">{"'フローチャート'!$A$1:$AO$191"}</definedName>
    <definedName name="共通" localSheetId="7" hidden="1">{"'フローチャート'!$A$1:$AO$191"}</definedName>
    <definedName name="共通" localSheetId="6" hidden="1">{"'フローチャート'!$A$1:$AO$191"}</definedName>
    <definedName name="共通" hidden="1">{"'フローチャート'!$A$1:$AO$191"}</definedName>
    <definedName name="計画" localSheetId="21" hidden="1">{"'表紙'!$A$1:$W$39"}</definedName>
    <definedName name="計画" localSheetId="7" hidden="1">{"'表紙'!$A$1:$W$39"}</definedName>
    <definedName name="計画" localSheetId="6" hidden="1">{"'表紙'!$A$1:$W$39"}</definedName>
    <definedName name="計画" hidden="1">{"'表紙'!$A$1:$W$39"}</definedName>
    <definedName name="月例報告2" localSheetId="7" hidden="1">{"月例報告",#N/A,FALSE,"STB"}</definedName>
    <definedName name="月例報告2" localSheetId="6" hidden="1">{"月例報告",#N/A,FALSE,"STB"}</definedName>
    <definedName name="月例報告2" hidden="1">{"月例報告",#N/A,FALSE,"STB"}</definedName>
    <definedName name="原因区分">#REF!</definedName>
    <definedName name="現象">#REF!</definedName>
    <definedName name="現状" localSheetId="7">#REF!</definedName>
    <definedName name="現状" localSheetId="6">#REF!</definedName>
    <definedName name="現状">#REF!</definedName>
    <definedName name="御見積前提" localSheetId="21" hidden="1">{#N/A,#N/A,TRUE,"ﾒｲﾝｻｰﾊﾞ";#N/A,#N/A,TRUE,"ｽﾀﾝﾊﾞｲｻｰﾊﾞ";#N/A,#N/A,TRUE,"ﾒﾝﾃﾅﾝｽ&amp;SMS";#N/A,#N/A,TRUE,"ﾁｰﾌ端末(NT)";#N/A,#N/A,TRUE,"監視端末(NT)";#N/A,#N/A,TRUE,"予備端末";#N/A,#N/A,TRUE,"ﾈｯﾄﾜｰｸ機器";#N/A,#N/A,TRUE,"受信用PC98";#N/A,#N/A,TRUE,"とりまとめ"}</definedName>
    <definedName name="御見積前提" localSheetId="7" hidden="1">{#N/A,#N/A,TRUE,"ﾒｲﾝｻｰﾊﾞ";#N/A,#N/A,TRUE,"ｽﾀﾝﾊﾞｲｻｰﾊﾞ";#N/A,#N/A,TRUE,"ﾒﾝﾃﾅﾝｽ&amp;SMS";#N/A,#N/A,TRUE,"ﾁｰﾌ端末(NT)";#N/A,#N/A,TRUE,"監視端末(NT)";#N/A,#N/A,TRUE,"予備端末";#N/A,#N/A,TRUE,"ﾈｯﾄﾜｰｸ機器";#N/A,#N/A,TRUE,"受信用PC98";#N/A,#N/A,TRUE,"とりまとめ"}</definedName>
    <definedName name="御見積前提" localSheetId="6" hidden="1">{#N/A,#N/A,TRUE,"ﾒｲﾝｻｰﾊﾞ";#N/A,#N/A,TRUE,"ｽﾀﾝﾊﾞｲｻｰﾊﾞ";#N/A,#N/A,TRUE,"ﾒﾝﾃﾅﾝｽ&amp;SMS";#N/A,#N/A,TRUE,"ﾁｰﾌ端末(NT)";#N/A,#N/A,TRUE,"監視端末(NT)";#N/A,#N/A,TRUE,"予備端末";#N/A,#N/A,TRUE,"ﾈｯﾄﾜｰｸ機器";#N/A,#N/A,TRUE,"受信用PC98";#N/A,#N/A,TRUE,"とりまとめ"}</definedName>
    <definedName name="御見積前提" hidden="1">{#N/A,#N/A,TRUE,"ﾒｲﾝｻｰﾊﾞ";#N/A,#N/A,TRUE,"ｽﾀﾝﾊﾞｲｻｰﾊﾞ";#N/A,#N/A,TRUE,"ﾒﾝﾃﾅﾝｽ&amp;SMS";#N/A,#N/A,TRUE,"ﾁｰﾌ端末(NT)";#N/A,#N/A,TRUE,"監視端末(NT)";#N/A,#N/A,TRUE,"予備端末";#N/A,#N/A,TRUE,"ﾈｯﾄﾜｰｸ機器";#N/A,#N/A,TRUE,"受信用PC98";#N/A,#N/A,TRUE,"とりまとめ"}</definedName>
    <definedName name="考慮" localSheetId="21" hidden="1">{"'発注データ送信 確認事項'!$A$1:$D$28"}</definedName>
    <definedName name="考慮" localSheetId="7" hidden="1">{"'発注データ送信 確認事項'!$A$1:$D$28"}</definedName>
    <definedName name="考慮" localSheetId="6" hidden="1">{"'発注データ送信 確認事項'!$A$1:$D$28"}</definedName>
    <definedName name="考慮" hidden="1">{"'発注データ送信 確認事項'!$A$1:$D$28"}</definedName>
    <definedName name="今回業務改革計画">#REF!</definedName>
    <definedName name="仕様書" localSheetId="21" hidden="1">{#N/A,#N/A,FALSE,"表一覧"}</definedName>
    <definedName name="仕様書" localSheetId="7" hidden="1">{#N/A,#N/A,FALSE,"表一覧"}</definedName>
    <definedName name="仕様書" localSheetId="6" hidden="1">{#N/A,#N/A,FALSE,"表一覧"}</definedName>
    <definedName name="仕様書" hidden="1">{#N/A,#N/A,FALSE,"表一覧"}</definedName>
    <definedName name="辞書範囲">#REF!</definedName>
    <definedName name="種別">#REF!</definedName>
    <definedName name="所属">#REF!</definedName>
    <definedName name="将来計画" localSheetId="7">#REF!</definedName>
    <definedName name="将来計画" localSheetId="6">#REF!</definedName>
    <definedName name="将来計画">#REF!</definedName>
    <definedName name="新見積条件共通" localSheetId="21" hidden="1">{"'フローチャート'!$A$1:$AO$191"}</definedName>
    <definedName name="新見積条件共通" localSheetId="7" hidden="1">{"'フローチャート'!$A$1:$AO$191"}</definedName>
    <definedName name="新見積条件共通" localSheetId="6" hidden="1">{"'フローチャート'!$A$1:$AO$191"}</definedName>
    <definedName name="新見積条件共通" hidden="1">{"'フローチャート'!$A$1:$AO$191"}</definedName>
    <definedName name="責任体制" localSheetId="21" hidden="1">{"'表紙'!$A$1:$W$39"}</definedName>
    <definedName name="責任体制" localSheetId="7" hidden="1">{"'表紙'!$A$1:$W$39"}</definedName>
    <definedName name="責任体制" localSheetId="6" hidden="1">{"'表紙'!$A$1:$W$39"}</definedName>
    <definedName name="責任体制" hidden="1">{"'表紙'!$A$1:$W$39"}</definedName>
    <definedName name="全体" localSheetId="21" hidden="1">{"'表紙'!$A$1:$W$39"}</definedName>
    <definedName name="全体" localSheetId="7" hidden="1">{"'表紙'!$A$1:$W$39"}</definedName>
    <definedName name="全体" localSheetId="6" hidden="1">{"'表紙'!$A$1:$W$39"}</definedName>
    <definedName name="全体" hidden="1">{"'表紙'!$A$1:$W$39"}</definedName>
    <definedName name="体制" localSheetId="21" hidden="1">{"'表紙'!$A$1:$W$39"}</definedName>
    <definedName name="体制" localSheetId="7" hidden="1">{"'表紙'!$A$1:$W$39"}</definedName>
    <definedName name="体制" localSheetId="6" hidden="1">{"'表紙'!$A$1:$W$39"}</definedName>
    <definedName name="体制" hidden="1">{"'表紙'!$A$1:$W$39"}</definedName>
    <definedName name="担当部署">#REF!</definedName>
    <definedName name="端末情報" localSheetId="7" hidden="1">#REF!</definedName>
    <definedName name="端末情報" localSheetId="6" hidden="1">#REF!</definedName>
    <definedName name="端末情報" hidden="1">#REF!</definedName>
    <definedName name="端末情報照会" localSheetId="7" hidden="1">#REF!</definedName>
    <definedName name="端末情報照会" localSheetId="6" hidden="1">#REF!</definedName>
    <definedName name="端末情報照会" hidden="1">#REF!</definedName>
    <definedName name="端末情報登録・変更" localSheetId="7" hidden="1">#REF!</definedName>
    <definedName name="端末情報登録・変更" localSheetId="6" hidden="1">#REF!</definedName>
    <definedName name="端末情報登録・変更" hidden="1">#REF!</definedName>
    <definedName name="端末情報変更" hidden="1">#REF!</definedName>
    <definedName name="店舗DF_KEYS">#REF!</definedName>
    <definedName name="店舗情報" hidden="1">#REF!</definedName>
    <definedName name="店舗情報１" hidden="1">#REF!</definedName>
    <definedName name="店舗情報明細" hidden="1">#REF!</definedName>
    <definedName name="発行区分">#REF!</definedName>
    <definedName name="発行区分１">#REF!</definedName>
    <definedName name="発行者名">#REF!</definedName>
    <definedName name="発生工程">#REF!</definedName>
    <definedName name="版数">#REF!</definedName>
    <definedName name="版数１" localSheetId="7">#REF!</definedName>
    <definedName name="版数１" localSheetId="6">#REF!</definedName>
    <definedName name="版数１">#REF!</definedName>
    <definedName name="版数2" localSheetId="7">#REF!</definedName>
    <definedName name="版数2" localSheetId="6">#REF!</definedName>
    <definedName name="版数2">#REF!</definedName>
    <definedName name="版数3" localSheetId="7">#REF!</definedName>
    <definedName name="版数3" localSheetId="6">#REF!</definedName>
    <definedName name="版数3">#REF!</definedName>
    <definedName name="番号" localSheetId="7">#REF!</definedName>
    <definedName name="番号" localSheetId="6">#REF!</definedName>
    <definedName name="番号">#REF!</definedName>
    <definedName name="品質" localSheetId="21" hidden="1">{"'表紙'!$A$1:$W$39"}</definedName>
    <definedName name="品質" localSheetId="7" hidden="1">{"'表紙'!$A$1:$W$39"}</definedName>
    <definedName name="品質" localSheetId="6" hidden="1">{"'表紙'!$A$1:$W$39"}</definedName>
    <definedName name="品質" hidden="1">{"'表紙'!$A$1:$W$39"}</definedName>
    <definedName name="付帯作業項目">#REF!</definedName>
    <definedName name="物流DF_KEYS">#REF!</definedName>
    <definedName name="分類1">#REF!</definedName>
    <definedName name="分類2">#REF!</definedName>
    <definedName name="問合せ" localSheetId="7" hidden="1">#REF!</definedName>
    <definedName name="問合せ" localSheetId="6" hidden="1">#REF!</definedName>
    <definedName name="問合せ" hidden="1">#REF!</definedName>
    <definedName name="問題・課題" localSheetId="7">#REF!</definedName>
    <definedName name="問題・課題" localSheetId="6">#REF!</definedName>
    <definedName name="問題・課題">#REF!</definedName>
    <definedName name="問題管理台帳２" localSheetId="21" hidden="1">{"'フローチャート'!$A$1:$AO$191"}</definedName>
    <definedName name="問題管理台帳２" localSheetId="7" hidden="1">{"'フローチャート'!$A$1:$AO$191"}</definedName>
    <definedName name="問題管理台帳２" localSheetId="6" hidden="1">{"'フローチャート'!$A$1:$AO$191"}</definedName>
    <definedName name="問題管理台帳２" hidden="1">{"'フローチャート'!$A$1:$AO$191"}</definedName>
    <definedName name="優先度">#REF!</definedName>
    <definedName name="例外" localSheetId="7" hidden="1">#REF!</definedName>
    <definedName name="例外" localSheetId="6" hidden="1">#REF!</definedName>
    <definedName name="例外" hidden="1">#REF!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O209" i="27" l="1"/>
  <c r="BA209" i="27"/>
  <c r="A94" i="1"/>
  <c r="G27" i="26"/>
  <c r="AT3" i="27"/>
  <c r="AT152" i="27" s="1"/>
  <c r="AO152" i="27"/>
  <c r="BA152" i="27"/>
  <c r="AB61" i="39"/>
  <c r="AQ62" i="39"/>
  <c r="AB121" i="39"/>
  <c r="AQ122" i="39"/>
  <c r="AB181" i="39"/>
  <c r="AQ182" i="39"/>
  <c r="AB288" i="39"/>
  <c r="AQ289" i="39"/>
  <c r="AB386" i="39"/>
  <c r="AQ387" i="39"/>
  <c r="AB446" i="39"/>
  <c r="AQ447" i="39"/>
  <c r="AB506" i="39"/>
  <c r="AQ507" i="39"/>
  <c r="AB566" i="39"/>
  <c r="AQ567" i="39"/>
  <c r="AB627" i="39"/>
  <c r="AQ628" i="39"/>
  <c r="AB821" i="39"/>
  <c r="AQ822" i="39"/>
  <c r="AT53" i="27" l="1"/>
  <c r="AT102" i="27"/>
  <c r="AT209" i="27"/>
  <c r="BA53" i="27"/>
  <c r="D59" i="35"/>
  <c r="D19" i="35"/>
  <c r="D20" i="35" s="1"/>
  <c r="D21" i="35" s="1"/>
  <c r="D22" i="35" s="1"/>
  <c r="D23" i="35" s="1"/>
  <c r="D24" i="35" s="1"/>
  <c r="D25" i="35" s="1"/>
  <c r="D26" i="35" s="1"/>
  <c r="AO53" i="27" l="1"/>
  <c r="AO3" i="29"/>
  <c r="X3" i="32" s="1"/>
  <c r="AO3" i="36" s="1"/>
  <c r="AO102" i="27"/>
  <c r="BA102" i="27"/>
  <c r="X3" i="31" l="1"/>
  <c r="AO278" i="36"/>
  <c r="AO220" i="36"/>
  <c r="AO57" i="36"/>
  <c r="AO455" i="36"/>
  <c r="AO514" i="36"/>
  <c r="AO2" i="37"/>
  <c r="AO2" i="38" s="1"/>
  <c r="AO2" i="39" s="1"/>
  <c r="AO337" i="36"/>
  <c r="AO396" i="36"/>
  <c r="AO165" i="36"/>
  <c r="AO111" i="36"/>
  <c r="AF78" i="31"/>
  <c r="AC78" i="31"/>
  <c r="AA78" i="31"/>
  <c r="X78" i="31"/>
  <c r="N77" i="31"/>
  <c r="AF85" i="32"/>
  <c r="AC85" i="32"/>
  <c r="AA85" i="32"/>
  <c r="X85" i="32"/>
  <c r="N84" i="32"/>
  <c r="AO567" i="39" l="1"/>
  <c r="AO447" i="39"/>
  <c r="AO289" i="39"/>
  <c r="AO822" i="39"/>
  <c r="AO62" i="39"/>
  <c r="AO182" i="39"/>
  <c r="AO507" i="39"/>
  <c r="AO628" i="39"/>
  <c r="AO122" i="39"/>
  <c r="AO387" i="39"/>
  <c r="D10" i="29"/>
  <c r="D11" i="29" s="1"/>
  <c r="D12" i="29" s="1"/>
  <c r="D13" i="29" s="1"/>
  <c r="D14" i="29" s="1"/>
  <c r="D15" i="29" s="1"/>
  <c r="K5" i="20"/>
  <c r="K4" i="20"/>
  <c r="AT3" i="29" l="1"/>
  <c r="AB3" i="31" s="1"/>
  <c r="A5" i="20"/>
  <c r="A6" i="20" s="1"/>
  <c r="A7" i="20" s="1"/>
  <c r="A8" i="20" s="1"/>
  <c r="A9" i="20" s="1"/>
  <c r="A10" i="20" s="1"/>
  <c r="A11" i="20" s="1"/>
  <c r="A12" i="20" s="1"/>
  <c r="A13" i="20" s="1"/>
  <c r="A14" i="20" s="1"/>
  <c r="A5" i="19"/>
  <c r="A6" i="19" s="1"/>
  <c r="A7" i="19" s="1"/>
  <c r="A8" i="19" s="1"/>
  <c r="A9" i="19" s="1"/>
  <c r="A10" i="19" s="1"/>
  <c r="A11" i="19" s="1"/>
  <c r="A5" i="15"/>
  <c r="A6" i="15" s="1"/>
  <c r="A7" i="15" s="1"/>
  <c r="A8" i="15" s="1"/>
  <c r="A9" i="15" s="1"/>
  <c r="A10" i="15" s="1"/>
  <c r="A11" i="15" s="1"/>
  <c r="A12" i="15" s="1"/>
  <c r="A13" i="15" s="1"/>
  <c r="A14" i="15" s="1"/>
  <c r="A15" i="15" s="1"/>
  <c r="A16" i="15" s="1"/>
  <c r="A17" i="15" s="1"/>
  <c r="A18" i="15" s="1"/>
  <c r="A19" i="15" s="1"/>
  <c r="A20" i="15" s="1"/>
  <c r="A21" i="15" s="1"/>
  <c r="A22" i="15" s="1"/>
  <c r="A23" i="15" s="1"/>
  <c r="A24" i="15" s="1"/>
  <c r="A25" i="15" s="1"/>
  <c r="A26" i="15" s="1"/>
  <c r="A27" i="15" s="1"/>
  <c r="A28" i="15" s="1"/>
  <c r="A29" i="15" s="1"/>
  <c r="A30" i="15" s="1"/>
  <c r="A5" i="2"/>
  <c r="A6" i="2" s="1"/>
  <c r="A7" i="2" s="1"/>
  <c r="A8" i="2" s="1"/>
  <c r="A9" i="2" s="1"/>
  <c r="A5" i="25"/>
  <c r="A6" i="25" s="1"/>
  <c r="A7" i="25" s="1"/>
  <c r="A8" i="25" s="1"/>
  <c r="A9" i="25" s="1"/>
  <c r="A10" i="25" s="1"/>
  <c r="A11" i="25" s="1"/>
  <c r="A12" i="25" s="1"/>
  <c r="A13" i="25" s="1"/>
  <c r="A14" i="25" s="1"/>
  <c r="A15" i="25" s="1"/>
  <c r="A5" i="13"/>
  <c r="A6" i="13" s="1"/>
  <c r="A7" i="13" s="1"/>
  <c r="A8" i="13" s="1"/>
  <c r="A9" i="13" s="1"/>
  <c r="A10" i="13" s="1"/>
  <c r="A11" i="13" s="1"/>
  <c r="A12" i="13" s="1"/>
  <c r="A13" i="13" s="1"/>
  <c r="A14" i="13" s="1"/>
  <c r="A15" i="13" s="1"/>
  <c r="A16" i="13" s="1"/>
  <c r="A17" i="13" s="1"/>
  <c r="A18" i="13" s="1"/>
  <c r="A19" i="13" s="1"/>
  <c r="A20" i="13" s="1"/>
  <c r="A21" i="13" s="1"/>
  <c r="A22" i="13" s="1"/>
  <c r="A23" i="13" s="1"/>
  <c r="A24" i="13" s="1"/>
  <c r="A25" i="13" s="1"/>
  <c r="A26" i="13" s="1"/>
  <c r="A27" i="13" s="1"/>
  <c r="A28" i="13" s="1"/>
  <c r="A29" i="13" s="1"/>
  <c r="A30" i="13" s="1"/>
  <c r="A31" i="13" s="1"/>
  <c r="A32" i="13" s="1"/>
  <c r="A33" i="13" s="1"/>
  <c r="A34" i="13" s="1"/>
  <c r="A35" i="13" s="1"/>
  <c r="A36" i="13" s="1"/>
  <c r="A37" i="13" s="1"/>
  <c r="A38" i="13" s="1"/>
  <c r="A39" i="13" s="1"/>
  <c r="A40" i="13" s="1"/>
  <c r="A41" i="13" s="1"/>
  <c r="A42" i="13" s="1"/>
  <c r="A43" i="13" s="1"/>
  <c r="A44" i="13" s="1"/>
  <c r="A45" i="13" s="1"/>
  <c r="A46" i="13" s="1"/>
  <c r="A47" i="13" s="1"/>
  <c r="A48" i="13" s="1"/>
  <c r="A49" i="13" s="1"/>
  <c r="A50" i="13" s="1"/>
  <c r="AB3" i="32" l="1"/>
  <c r="AT3" i="36" s="1"/>
  <c r="AB78" i="31"/>
  <c r="A5" i="24"/>
  <c r="A6" i="24" s="1"/>
  <c r="A5" i="4"/>
  <c r="A6" i="4" s="1"/>
  <c r="A7" i="4" s="1"/>
  <c r="A8" i="4" s="1"/>
  <c r="A9" i="4" s="1"/>
  <c r="A10" i="4" s="1"/>
  <c r="A11" i="4" s="1"/>
  <c r="A12" i="4" s="1"/>
  <c r="A13" i="4" s="1"/>
  <c r="A14" i="4" s="1"/>
  <c r="A15" i="4" s="1"/>
  <c r="A16" i="4" s="1"/>
  <c r="A17" i="4" s="1"/>
  <c r="A18" i="4" s="1"/>
  <c r="A19" i="4" s="1"/>
  <c r="A20" i="4" s="1"/>
  <c r="A21" i="4" s="1"/>
  <c r="A22" i="4" s="1"/>
  <c r="A23" i="4" s="1"/>
  <c r="A24" i="4" s="1"/>
  <c r="A25" i="4" s="1"/>
  <c r="A26" i="4" s="1"/>
  <c r="A27" i="4" s="1"/>
  <c r="A28" i="4" s="1"/>
  <c r="A29" i="4" s="1"/>
  <c r="A30" i="4" s="1"/>
  <c r="A31" i="4" s="1"/>
  <c r="A32" i="4" s="1"/>
  <c r="A33" i="4" s="1"/>
  <c r="A34" i="4" s="1"/>
  <c r="A35" i="4" s="1"/>
  <c r="A36" i="4" s="1"/>
  <c r="A37" i="4" s="1"/>
  <c r="A38" i="4" s="1"/>
  <c r="A39" i="4" s="1"/>
  <c r="A40" i="4" s="1"/>
  <c r="A41" i="4" s="1"/>
  <c r="A42" i="4" s="1"/>
  <c r="A43" i="4" s="1"/>
  <c r="A44" i="4" s="1"/>
  <c r="A45" i="4" s="1"/>
  <c r="A46" i="4" s="1"/>
  <c r="A47" i="4" s="1"/>
  <c r="A48" i="4" s="1"/>
  <c r="A49" i="4" s="1"/>
  <c r="AT455" i="36" l="1"/>
  <c r="AT220" i="36"/>
  <c r="AT2" i="37"/>
  <c r="AT2" i="38" s="1"/>
  <c r="AT2" i="39" s="1"/>
  <c r="AT57" i="36"/>
  <c r="AT165" i="36"/>
  <c r="AT514" i="36"/>
  <c r="AT111" i="36"/>
  <c r="AT396" i="36"/>
  <c r="AT278" i="36"/>
  <c r="AT337" i="36"/>
  <c r="AB85" i="32"/>
  <c r="A7" i="24"/>
  <c r="A8" i="24" s="1"/>
  <c r="A9" i="24" s="1"/>
  <c r="A10" i="24" s="1"/>
  <c r="A11" i="24" s="1"/>
  <c r="A12" i="24" s="1"/>
  <c r="A13" i="24" s="1"/>
  <c r="A14" i="24" s="1"/>
  <c r="A15" i="24" s="1"/>
  <c r="A16" i="24" s="1"/>
  <c r="A17" i="24" s="1"/>
  <c r="A18" i="24" s="1"/>
  <c r="A19" i="24" s="1"/>
  <c r="A20" i="24" s="1"/>
  <c r="A21" i="24" s="1"/>
  <c r="A22" i="24" s="1"/>
  <c r="A23" i="24" s="1"/>
  <c r="A24" i="24" s="1"/>
  <c r="A25" i="24" s="1"/>
  <c r="A26" i="24" s="1"/>
  <c r="A27" i="24" s="1"/>
  <c r="A28" i="24" s="1"/>
  <c r="A29" i="24" s="1"/>
  <c r="A30" i="24" s="1"/>
  <c r="A50" i="4"/>
  <c r="A51" i="4" s="1"/>
  <c r="A52" i="4" s="1"/>
  <c r="A53" i="4" s="1"/>
  <c r="A54" i="4" s="1"/>
  <c r="A55" i="4" s="1"/>
  <c r="A56" i="4" s="1"/>
  <c r="A57" i="4" s="1"/>
  <c r="A58" i="4" s="1"/>
  <c r="A59" i="4" s="1"/>
  <c r="A60" i="4" s="1"/>
  <c r="A61" i="4" s="1"/>
  <c r="A62" i="4" s="1"/>
  <c r="A63" i="4" s="1"/>
  <c r="A64" i="4" s="1"/>
  <c r="A65" i="4" s="1"/>
  <c r="A66" i="4" s="1"/>
  <c r="A67" i="4" s="1"/>
  <c r="A68" i="4" s="1"/>
  <c r="A69" i="4" s="1"/>
  <c r="A70" i="4" s="1"/>
  <c r="A71" i="4" s="1"/>
  <c r="A72" i="4" s="1"/>
  <c r="A73" i="4" s="1"/>
  <c r="A74" i="4" s="1"/>
  <c r="A75" i="4" s="1"/>
  <c r="A76" i="4" s="1"/>
  <c r="A77" i="4" s="1"/>
  <c r="A78" i="4" s="1"/>
  <c r="A79" i="4" s="1"/>
  <c r="A80" i="4" s="1"/>
  <c r="A81" i="4" s="1"/>
  <c r="A82" i="4" s="1"/>
  <c r="A83" i="4" s="1"/>
  <c r="A84" i="4" s="1"/>
  <c r="A85" i="4" s="1"/>
  <c r="A86" i="4" s="1"/>
  <c r="A87" i="4" s="1"/>
  <c r="A88" i="4" s="1"/>
  <c r="A89" i="4" s="1"/>
  <c r="A90" i="4" s="1"/>
  <c r="A91" i="4" s="1"/>
  <c r="A92" i="4" s="1"/>
  <c r="A93" i="4" s="1"/>
  <c r="A94" i="4" s="1"/>
  <c r="A95" i="4" s="1"/>
  <c r="A96" i="4" s="1"/>
  <c r="A97" i="4" s="1"/>
  <c r="A98" i="4" s="1"/>
  <c r="A99" i="4" s="1"/>
  <c r="A100" i="4" s="1"/>
  <c r="A101" i="4" s="1"/>
  <c r="A5" i="21"/>
  <c r="A6" i="21" s="1"/>
  <c r="A7" i="21" s="1"/>
  <c r="A8" i="21" s="1"/>
  <c r="A9" i="21" s="1"/>
  <c r="A10" i="21" s="1"/>
  <c r="A11" i="21" s="1"/>
  <c r="A12" i="21" s="1"/>
  <c r="A13" i="21" s="1"/>
  <c r="A14" i="21" s="1"/>
  <c r="A15" i="21" s="1"/>
  <c r="A16" i="21" s="1"/>
  <c r="A17" i="21" s="1"/>
  <c r="A18" i="21" s="1"/>
  <c r="AT289" i="39" l="1"/>
  <c r="AT567" i="39"/>
  <c r="AT507" i="39"/>
  <c r="AT447" i="39"/>
  <c r="AT182" i="39"/>
  <c r="AT122" i="39"/>
  <c r="AT387" i="39"/>
  <c r="AT822" i="39"/>
  <c r="AT62" i="39"/>
  <c r="AT628" i="39"/>
  <c r="A5" i="1"/>
  <c r="A6" i="1" s="1"/>
  <c r="A7" i="1" s="1"/>
  <c r="A8" i="1" l="1"/>
  <c r="A9" i="1" l="1"/>
  <c r="A10" i="1" l="1"/>
  <c r="A11" i="1" l="1"/>
  <c r="A12" i="1" l="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5" i="1" s="1"/>
  <c r="A96" i="1" s="1"/>
  <c r="A97" i="1" s="1"/>
  <c r="A98" i="1" s="1"/>
  <c r="A99" i="1" s="1"/>
  <c r="A100" i="1" s="1"/>
  <c r="A101" i="1" s="1"/>
  <c r="A102" i="1" s="1"/>
  <c r="A103" i="1" s="1"/>
  <c r="A104" i="1" s="1"/>
  <c r="A105" i="1" s="1"/>
  <c r="A106" i="1" s="1"/>
  <c r="A107" i="1" s="1"/>
  <c r="A108" i="1" s="1"/>
  <c r="A109" i="1" s="1"/>
  <c r="A110" i="1" s="1"/>
  <c r="A111" i="1" s="1"/>
  <c r="A112" i="1" s="1"/>
  <c r="A113" i="1" s="1"/>
  <c r="A114" i="1" s="1"/>
  <c r="A115" i="1" s="1"/>
  <c r="A116" i="1" s="1"/>
  <c r="A117" i="1" s="1"/>
  <c r="A118" i="1" s="1"/>
  <c r="A119" i="1" s="1"/>
  <c r="A120" i="1" s="1"/>
  <c r="A121" i="1" s="1"/>
  <c r="A122" i="1" s="1"/>
  <c r="A123" i="1" s="1"/>
  <c r="A124" i="1" s="1"/>
  <c r="A125" i="1" s="1"/>
  <c r="A126" i="1" s="1"/>
  <c r="A127" i="1" s="1"/>
  <c r="A128" i="1" s="1"/>
  <c r="A129" i="1" s="1"/>
  <c r="A130" i="1" s="1"/>
  <c r="A131" i="1" s="1"/>
  <c r="A132" i="1" s="1"/>
  <c r="A133" i="1" s="1"/>
  <c r="A134" i="1" s="1"/>
  <c r="A135" i="1" s="1"/>
  <c r="A136" i="1" s="1"/>
  <c r="A137" i="1" s="1"/>
  <c r="A138" i="1" s="1"/>
  <c r="A139" i="1" s="1"/>
  <c r="A140" i="1" s="1"/>
  <c r="A141" i="1" s="1"/>
  <c r="A142" i="1" s="1"/>
  <c r="A143" i="1" s="1"/>
  <c r="A144" i="1" s="1"/>
  <c r="A145" i="1" s="1"/>
  <c r="A146" i="1" s="1"/>
  <c r="A147" i="1" s="1"/>
  <c r="A148" i="1" s="1"/>
  <c r="A149" i="1" s="1"/>
  <c r="A150" i="1" s="1"/>
  <c r="A151" i="1" s="1"/>
  <c r="A152" i="1" s="1"/>
  <c r="A153" i="1" s="1"/>
  <c r="A154" i="1" s="1"/>
  <c r="A155" i="1" s="1"/>
  <c r="A156" i="1" s="1"/>
  <c r="A157" i="1" s="1"/>
  <c r="A158" i="1" s="1"/>
  <c r="A159" i="1" s="1"/>
  <c r="A160" i="1" s="1"/>
  <c r="A161" i="1" s="1"/>
  <c r="A162" i="1" s="1"/>
  <c r="A163" i="1" s="1"/>
  <c r="A164" i="1" s="1"/>
  <c r="A165" i="1" s="1"/>
  <c r="A166" i="1" s="1"/>
  <c r="A167" i="1" s="1"/>
  <c r="A168" i="1" s="1"/>
  <c r="A169" i="1" s="1"/>
  <c r="A170" i="1" s="1"/>
  <c r="A171" i="1" s="1"/>
  <c r="A172" i="1" s="1"/>
  <c r="A173" i="1" s="1"/>
  <c r="A174" i="1" s="1"/>
  <c r="A175" i="1" s="1"/>
  <c r="A176" i="1" s="1"/>
  <c r="A177" i="1" s="1"/>
  <c r="A178" i="1" s="1"/>
  <c r="A179" i="1" s="1"/>
  <c r="A180" i="1" s="1"/>
  <c r="A181" i="1" s="1"/>
  <c r="A182" i="1" s="1"/>
  <c r="A183" i="1" s="1"/>
  <c r="A184" i="1" s="1"/>
  <c r="A185" i="1" s="1"/>
  <c r="A186" i="1" s="1"/>
  <c r="A187" i="1" s="1"/>
  <c r="A188" i="1" s="1"/>
  <c r="A189" i="1" s="1"/>
  <c r="A190" i="1" s="1"/>
  <c r="A191" i="1" s="1"/>
  <c r="A192" i="1" s="1"/>
  <c r="A193" i="1" s="1"/>
  <c r="A194" i="1" s="1"/>
  <c r="A195" i="1" s="1"/>
  <c r="A196" i="1" s="1"/>
  <c r="A197" i="1" s="1"/>
  <c r="A198" i="1" s="1"/>
  <c r="A199" i="1" s="1"/>
  <c r="A200" i="1" s="1"/>
  <c r="A201" i="1" s="1"/>
  <c r="A202" i="1" s="1"/>
  <c r="A203" i="1" s="1"/>
  <c r="A204" i="1" s="1"/>
  <c r="A205" i="1" s="1"/>
  <c r="A206" i="1" s="1"/>
  <c r="A207" i="1" s="1"/>
  <c r="A208" i="1" s="1"/>
  <c r="A209" i="1" s="1"/>
  <c r="A210" i="1" s="1"/>
  <c r="A211" i="1" s="1"/>
  <c r="A212" i="1" s="1"/>
  <c r="A213" i="1" s="1"/>
  <c r="A214" i="1" s="1"/>
  <c r="A215" i="1" s="1"/>
  <c r="A216" i="1" s="1"/>
  <c r="A217" i="1" s="1"/>
  <c r="A218" i="1" s="1"/>
  <c r="A219" i="1" s="1"/>
  <c r="A220" i="1" s="1"/>
  <c r="A221" i="1" s="1"/>
  <c r="A222" i="1" s="1"/>
  <c r="A223" i="1" s="1"/>
  <c r="A224" i="1" s="1"/>
  <c r="A225" i="1" s="1"/>
  <c r="A226" i="1" s="1"/>
  <c r="A227" i="1" s="1"/>
  <c r="A228" i="1" s="1"/>
  <c r="A229" i="1" s="1"/>
  <c r="A230" i="1" s="1"/>
  <c r="A231" i="1" s="1"/>
  <c r="A232" i="1" l="1"/>
  <c r="D16" i="29" l="1"/>
  <c r="D17" i="29" s="1"/>
  <c r="D18" i="29" s="1"/>
  <c r="D19" i="29" s="1"/>
  <c r="D20" i="29" s="1"/>
  <c r="D21" i="29" s="1"/>
  <c r="D22" i="29" s="1"/>
  <c r="D23" i="29" s="1"/>
  <c r="D24" i="29" s="1"/>
  <c r="D25" i="29" s="1"/>
  <c r="D26" i="29" s="1"/>
  <c r="D27" i="29" s="1"/>
</calcChain>
</file>

<file path=xl/sharedStrings.xml><?xml version="1.0" encoding="utf-8"?>
<sst xmlns="http://schemas.openxmlformats.org/spreadsheetml/2006/main" count="15024" uniqueCount="2577">
  <si>
    <t>U.S.M.Holdings様／いなげや様</t>
    <rPh sb="14" eb="15">
      <t>サマ</t>
    </rPh>
    <rPh sb="20" eb="21">
      <t>サマ</t>
    </rPh>
    <phoneticPr fontId="5"/>
  </si>
  <si>
    <t>富士通株式会社</t>
    <rPh sb="0" eb="3">
      <t>フジツウ</t>
    </rPh>
    <rPh sb="3" eb="7">
      <t>カブシキガイシャ</t>
    </rPh>
    <phoneticPr fontId="5"/>
  </si>
  <si>
    <t>富士通</t>
    <rPh sb="0" eb="3">
      <t>フジツウ</t>
    </rPh>
    <phoneticPr fontId="5"/>
  </si>
  <si>
    <t>承認</t>
    <rPh sb="0" eb="2">
      <t>ショウニン</t>
    </rPh>
    <phoneticPr fontId="5"/>
  </si>
  <si>
    <t>確認</t>
    <rPh sb="0" eb="2">
      <t>カクニン</t>
    </rPh>
    <phoneticPr fontId="5"/>
  </si>
  <si>
    <t>リーダー</t>
    <phoneticPr fontId="5"/>
  </si>
  <si>
    <t>TeamStore/M　POSシステム</t>
    <phoneticPr fontId="7"/>
  </si>
  <si>
    <t>システム名</t>
  </si>
  <si>
    <t>業務名</t>
    <rPh sb="0" eb="2">
      <t>ギョウム</t>
    </rPh>
    <rPh sb="2" eb="3">
      <t>メイ</t>
    </rPh>
    <phoneticPr fontId="7"/>
  </si>
  <si>
    <t>改版履歴</t>
    <rPh sb="0" eb="2">
      <t>カイハン</t>
    </rPh>
    <rPh sb="2" eb="4">
      <t>リレキ</t>
    </rPh>
    <phoneticPr fontId="7"/>
  </si>
  <si>
    <t>履歴</t>
  </si>
  <si>
    <t>改訂者</t>
  </si>
  <si>
    <t>最新更新日</t>
  </si>
  <si>
    <t>作成者</t>
  </si>
  <si>
    <t>作成日</t>
    <rPh sb="0" eb="3">
      <t>サクセイビ</t>
    </rPh>
    <phoneticPr fontId="7"/>
  </si>
  <si>
    <t>UI設計書</t>
    <rPh sb="2" eb="5">
      <t>セッケイショ</t>
    </rPh>
    <phoneticPr fontId="7"/>
  </si>
  <si>
    <t>トラン連携対応</t>
    <rPh sb="3" eb="7">
      <t>レンケイタイオウ</t>
    </rPh>
    <phoneticPr fontId="7"/>
  </si>
  <si>
    <t>トラン連携対応レイアウト</t>
    <rPh sb="3" eb="5">
      <t>レンケイ</t>
    </rPh>
    <rPh sb="5" eb="7">
      <t>タイオウ</t>
    </rPh>
    <phoneticPr fontId="4"/>
  </si>
  <si>
    <t>富士通</t>
    <rPh sb="0" eb="3">
      <t>フジツウ</t>
    </rPh>
    <phoneticPr fontId="7"/>
  </si>
  <si>
    <t>日付</t>
    <rPh sb="0" eb="2">
      <t>ヒヅケ</t>
    </rPh>
    <phoneticPr fontId="7"/>
  </si>
  <si>
    <t>版数</t>
    <rPh sb="0" eb="2">
      <t>ハンスウ</t>
    </rPh>
    <phoneticPr fontId="7"/>
  </si>
  <si>
    <t>章番号</t>
    <rPh sb="0" eb="3">
      <t>ショウバンゴウ</t>
    </rPh>
    <phoneticPr fontId="7"/>
  </si>
  <si>
    <t>修正内容</t>
    <rPh sb="0" eb="2">
      <t>シュウセイ</t>
    </rPh>
    <rPh sb="2" eb="4">
      <t>ナイヨウ</t>
    </rPh>
    <phoneticPr fontId="7"/>
  </si>
  <si>
    <t>担当</t>
    <rPh sb="0" eb="2">
      <t>タントウ</t>
    </rPh>
    <phoneticPr fontId="7"/>
  </si>
  <si>
    <t>新規作成</t>
    <rPh sb="0" eb="2">
      <t>シンキ</t>
    </rPh>
    <rPh sb="2" eb="4">
      <t>サクセイ</t>
    </rPh>
    <phoneticPr fontId="7"/>
  </si>
  <si>
    <t>富士通</t>
    <rPh sb="0" eb="3">
      <t>フジツウ</t>
    </rPh>
    <phoneticPr fontId="4"/>
  </si>
  <si>
    <t>＜2024/6/17 打合せ内容の反映＞</t>
  </si>
  <si>
    <t>TRANS_HEADER</t>
  </si>
  <si>
    <t>　No.20 　取引合計額</t>
  </si>
  <si>
    <t>　　　　　・入金／出金の設定値を修正</t>
  </si>
  <si>
    <t>　No.54 　ポイント対象金額</t>
  </si>
  <si>
    <t>　　　　　・設定値を基本ポイント対象額に修正</t>
  </si>
  <si>
    <t>LN_LINK</t>
  </si>
  <si>
    <t>　No.3　　リンク明細番号</t>
  </si>
  <si>
    <t>　　　　　・説明文を修正</t>
  </si>
  <si>
    <t>LN_DISCOUNT</t>
  </si>
  <si>
    <t>　No.7　　ディスカウントＩＤ</t>
  </si>
  <si>
    <t>　　　　　・取得元マスタ項目の「１：小計額値引」を「１３：小計額値引」に修正</t>
  </si>
  <si>
    <t>　No.15 　企画No</t>
  </si>
  <si>
    <t>　　　　　・取得元マスタ項目</t>
  </si>
  <si>
    <t>　　　　　　①特売の取得元を「特売マスタ連携ファイル No.3 企画No.」に修正</t>
  </si>
  <si>
    <t>　　　　　　②組合せの取得元を「組合せマスタ連携ファイル No.4 企画No.」に修正</t>
  </si>
  <si>
    <t>　　　　　　③自動値引きの取得元を""(空白)に修正</t>
  </si>
  <si>
    <t>TRANSACTION_TENDER</t>
  </si>
  <si>
    <t>　No.42 　コード決済ログ情報</t>
  </si>
  <si>
    <t>　　　　　・入金／出金の設定値を""(空)に修正</t>
  </si>
  <si>
    <t>GSFD_PNT_TRANS_HEADER</t>
  </si>
  <si>
    <t>　No.7　　スケジュール倍率</t>
  </si>
  <si>
    <t>　　　　　・グレーアウト（連携なし）に修正</t>
  </si>
  <si>
    <t>GL_TRAN</t>
  </si>
  <si>
    <t>　No.9　理由コード</t>
  </si>
  <si>
    <t>　　　　　・取得元マスタ項目を「No1.入出金種別コード」に修正</t>
  </si>
  <si>
    <t>＜内部指摘を反映＞</t>
  </si>
  <si>
    <t>取引ログ作成時の注意事項</t>
  </si>
  <si>
    <t>　取引ログ作成時の注意について記載したシートを追加</t>
    <rPh sb="23" eb="25">
      <t>ツイカ</t>
    </rPh>
    <phoneticPr fontId="4"/>
  </si>
  <si>
    <t>　No.7　　従業員コード</t>
  </si>
  <si>
    <t>　　　　　・取得元マスタ項目の取得元を「担当者マスタ連携ファイル No.3 従業員コード」に修正</t>
  </si>
  <si>
    <t>　NO.101　ＰＯＳ情報</t>
  </si>
  <si>
    <t>　NO.148　コード決済データ</t>
  </si>
  <si>
    <t>　　　　　・通番修正時に利用するデータのため、グレーアウト（連携なし）に修正</t>
  </si>
  <si>
    <t>(続く)</t>
    <rPh sb="1" eb="2">
      <t>ツヅ</t>
    </rPh>
    <phoneticPr fontId="4"/>
  </si>
  <si>
    <t>(続き)</t>
    <rPh sb="1" eb="2">
      <t>ツヅ</t>
    </rPh>
    <phoneticPr fontId="4"/>
  </si>
  <si>
    <t>　No.4　　リンクタイプ</t>
  </si>
  <si>
    <t>LN_DETAIL</t>
  </si>
  <si>
    <t>　No.15 　合計原価</t>
  </si>
  <si>
    <t>　　　　　・合計原価を設定に修正</t>
  </si>
  <si>
    <t>　No.31 　特売原価</t>
  </si>
  <si>
    <t>　　　　　・特売原価を設定（1個当たりの原価）を設定に修正</t>
  </si>
  <si>
    <t>　No.32 　スキャンコード（単品登録時）</t>
  </si>
  <si>
    <t>　　　　　・説明文に「部門登録の場合は””(空白)を設定する。」を追記</t>
  </si>
  <si>
    <t>　No.40 　ポイント倍率</t>
  </si>
  <si>
    <t>　No.27 　外税対象金額</t>
  </si>
  <si>
    <t>　　　　　・備考欄を「取引の外税対象金額を設定」に修正</t>
  </si>
  <si>
    <t>＜2024/6/19 打合せ内容の反映＞</t>
    <phoneticPr fontId="4"/>
  </si>
  <si>
    <t>　「⑥精算回数、精算通番について」を追加</t>
    <rPh sb="18" eb="20">
      <t>ツイカ</t>
    </rPh>
    <phoneticPr fontId="4"/>
  </si>
  <si>
    <t>　No.32 　 スキャンコード(単品登録時)</t>
    <phoneticPr fontId="4"/>
  </si>
  <si>
    <t>　　　　　・「(空白)」ではなく「(空)」に修正</t>
    <phoneticPr fontId="4"/>
  </si>
  <si>
    <t>　No.39 　 精算回数</t>
    <phoneticPr fontId="4"/>
  </si>
  <si>
    <t>　No.40 　 精算通番</t>
    <phoneticPr fontId="4"/>
  </si>
  <si>
    <t>　　　　　・精算回数、精算通番のカウントアップタイミングと取引情報の設定タイミングを記載</t>
    <rPh sb="42" eb="44">
      <t>キサイ</t>
    </rPh>
    <phoneticPr fontId="4"/>
  </si>
  <si>
    <t>　No.61 　 会員コードマスタ未登録フラグ</t>
    <phoneticPr fontId="4"/>
  </si>
  <si>
    <t>　　　　　・いなげや様は利用が無いため、設定値は0固定に修正</t>
    <rPh sb="10" eb="11">
      <t>サマ</t>
    </rPh>
    <rPh sb="12" eb="14">
      <t>リヨウ</t>
    </rPh>
    <rPh sb="15" eb="16">
      <t>ナ</t>
    </rPh>
    <phoneticPr fontId="4"/>
  </si>
  <si>
    <t>　No.82 　 GSFD顧客STS</t>
    <phoneticPr fontId="4"/>
  </si>
  <si>
    <t>　　　　　・いなげや様は「0:顧客無し」と「2:通常顧客」のみ利用のため、設定値の選択肢を左記の2つに修正</t>
    <rPh sb="31" eb="33">
      <t>リヨウ</t>
    </rPh>
    <rPh sb="41" eb="44">
      <t>センタクシ</t>
    </rPh>
    <rPh sb="45" eb="47">
      <t>サキ</t>
    </rPh>
    <phoneticPr fontId="4"/>
  </si>
  <si>
    <t>　No.129 　 手打ち理由コード</t>
    <phoneticPr fontId="4"/>
  </si>
  <si>
    <t>　　　　　・手打ち理由コード選択が無いため、設定値は0固定に修正</t>
    <rPh sb="17" eb="18">
      <t>ナ</t>
    </rPh>
    <rPh sb="30" eb="32">
      <t>シュウセイ</t>
    </rPh>
    <phoneticPr fontId="4"/>
  </si>
  <si>
    <t>　No.184 　 あふれ金</t>
    <phoneticPr fontId="4"/>
  </si>
  <si>
    <t>　　　　　・ignicaPOSはRT500は接続しないため、0固定に修正</t>
    <rPh sb="34" eb="36">
      <t>シュウセイ</t>
    </rPh>
    <phoneticPr fontId="4"/>
  </si>
  <si>
    <t>　No.224 　 カタリナポイント</t>
    <phoneticPr fontId="4"/>
  </si>
  <si>
    <t>　　　　　・Satisfa返却値が0のため、0固定に修正</t>
    <rPh sb="13" eb="15">
      <t>ヘンキャク</t>
    </rPh>
    <rPh sb="15" eb="16">
      <t>チ</t>
    </rPh>
    <rPh sb="26" eb="28">
      <t>シュウセイ</t>
    </rPh>
    <phoneticPr fontId="4"/>
  </si>
  <si>
    <t>　　　　　・備考に追記、「コード決済取引明細ログレイアウト」を追加</t>
    <rPh sb="6" eb="8">
      <t>ビコウ</t>
    </rPh>
    <rPh sb="9" eb="11">
      <t>ツイキ</t>
    </rPh>
    <rPh sb="31" eb="33">
      <t>ツイカ</t>
    </rPh>
    <phoneticPr fontId="4"/>
  </si>
  <si>
    <t>　No.171　GSFD_INP_DEVICE_FLG</t>
    <phoneticPr fontId="4"/>
  </si>
  <si>
    <t>　　　　　・いなげや様で使用している設定値に修正(0にIC-RW IC読み込み/IC-RW MSR読み込みを追加、3:MSRを削除)</t>
    <rPh sb="10" eb="11">
      <t>サマ</t>
    </rPh>
    <rPh sb="12" eb="14">
      <t>シヨウ</t>
    </rPh>
    <rPh sb="18" eb="21">
      <t>セッテイチ</t>
    </rPh>
    <rPh sb="22" eb="24">
      <t>シュウセイ</t>
    </rPh>
    <rPh sb="54" eb="56">
      <t>ツイカ</t>
    </rPh>
    <rPh sb="63" eb="65">
      <t>サクジョ</t>
    </rPh>
    <phoneticPr fontId="4"/>
  </si>
  <si>
    <t>0:なし/IC-RW IC読み込み/IC-RW MSR読み込み、1:手入力、2:SCANNER</t>
    <phoneticPr fontId="4"/>
  </si>
  <si>
    <t>コード決済取引明細ログレイアウト</t>
    <phoneticPr fontId="4"/>
  </si>
  <si>
    <t>「■データ部:H1アイテムフォーマット」の項番10「有効期限（決済ブランド）」に以下の追記、削除。</t>
    <rPh sb="21" eb="23">
      <t>コウバン</t>
    </rPh>
    <rPh sb="26" eb="28">
      <t>ユウコウ</t>
    </rPh>
    <rPh sb="28" eb="30">
      <t>キゲン</t>
    </rPh>
    <rPh sb="31" eb="33">
      <t>ケッサイ</t>
    </rPh>
    <rPh sb="40" eb="42">
      <t>イカ</t>
    </rPh>
    <rPh sb="43" eb="45">
      <t>ツイキ</t>
    </rPh>
    <rPh sb="46" eb="48">
      <t>サクジョ</t>
    </rPh>
    <phoneticPr fontId="4"/>
  </si>
  <si>
    <t>・"+スペース(8桁)"を削除。（消し線）</t>
    <rPh sb="13" eb="15">
      <t>サクジョ</t>
    </rPh>
    <rPh sb="17" eb="18">
      <t>ケ</t>
    </rPh>
    <rPh sb="19" eb="20">
      <t>セン</t>
    </rPh>
    <phoneticPr fontId="4"/>
  </si>
  <si>
    <t>・例）を追記</t>
    <rPh sb="1" eb="2">
      <t>レイ</t>
    </rPh>
    <rPh sb="4" eb="6">
      <t>ツイキ</t>
    </rPh>
    <phoneticPr fontId="4"/>
  </si>
  <si>
    <t>・備考欄に、各決済ブランドの決済ブランド設定値を追記</t>
    <rPh sb="1" eb="3">
      <t>ビコウ</t>
    </rPh>
    <rPh sb="3" eb="4">
      <t>ラン</t>
    </rPh>
    <rPh sb="6" eb="7">
      <t>カク</t>
    </rPh>
    <rPh sb="7" eb="9">
      <t>ケッサイ</t>
    </rPh>
    <rPh sb="14" eb="16">
      <t>ケッサイ</t>
    </rPh>
    <rPh sb="20" eb="22">
      <t>セッテイ</t>
    </rPh>
    <rPh sb="22" eb="23">
      <t>チ</t>
    </rPh>
    <rPh sb="24" eb="26">
      <t>ツイキ</t>
    </rPh>
    <phoneticPr fontId="4"/>
  </si>
  <si>
    <t>　No.128　GSFD_HANDINPUT</t>
    <phoneticPr fontId="4"/>
  </si>
  <si>
    <t>　　　　　・入金、入金中止取引の設定値を「設定値：入力された手打ち金額を設定」に修正。</t>
    <rPh sb="6" eb="8">
      <t>ニュウキン</t>
    </rPh>
    <rPh sb="9" eb="11">
      <t>ニュウキン</t>
    </rPh>
    <rPh sb="11" eb="13">
      <t>チュウシ</t>
    </rPh>
    <rPh sb="13" eb="15">
      <t>トリヒキ</t>
    </rPh>
    <rPh sb="16" eb="19">
      <t>セッテイチ</t>
    </rPh>
    <rPh sb="40" eb="42">
      <t>シュウセイ</t>
    </rPh>
    <phoneticPr fontId="4"/>
  </si>
  <si>
    <t>TRANSACTION_TENDER</t>
    <phoneticPr fontId="4"/>
  </si>
  <si>
    <t>　売上中止の列を追加し、補足説明(現外支払い後に中止した場合にのみ作成)を記載</t>
    <rPh sb="1" eb="3">
      <t>ウリアゲ</t>
    </rPh>
    <rPh sb="3" eb="5">
      <t>チュウシ</t>
    </rPh>
    <rPh sb="6" eb="7">
      <t>レツ</t>
    </rPh>
    <rPh sb="8" eb="10">
      <t>ツイカ</t>
    </rPh>
    <rPh sb="12" eb="14">
      <t>ホソク</t>
    </rPh>
    <rPh sb="14" eb="16">
      <t>セツメイ</t>
    </rPh>
    <rPh sb="37" eb="39">
      <t>キサイ</t>
    </rPh>
    <phoneticPr fontId="4"/>
  </si>
  <si>
    <t>GIFT_CERT_TENDER</t>
    <phoneticPr fontId="4"/>
  </si>
  <si>
    <t>取引ログ作成時の注意事項</t>
    <rPh sb="0" eb="2">
      <t>トリヒキ</t>
    </rPh>
    <rPh sb="4" eb="6">
      <t>サクセイ</t>
    </rPh>
    <rPh sb="6" eb="7">
      <t>ジ</t>
    </rPh>
    <rPh sb="8" eb="10">
      <t>チュウイ</t>
    </rPh>
    <rPh sb="10" eb="12">
      <t>ジコウ</t>
    </rPh>
    <phoneticPr fontId="4"/>
  </si>
  <si>
    <t xml:space="preserve"> ・新規追加した取引ログ作成時の注意事項（税情報/支払情報/値引併用）に合わせて表記方法を変更</t>
    <rPh sb="2" eb="4">
      <t>シンキ</t>
    </rPh>
    <rPh sb="4" eb="6">
      <t>ツイカ</t>
    </rPh>
    <rPh sb="25" eb="27">
      <t>シハライ</t>
    </rPh>
    <rPh sb="27" eb="29">
      <t>ジョウホウ</t>
    </rPh>
    <rPh sb="30" eb="32">
      <t>ネビキ</t>
    </rPh>
    <rPh sb="32" eb="34">
      <t>ヘイヨウ</t>
    </rPh>
    <rPh sb="36" eb="37">
      <t>ア</t>
    </rPh>
    <rPh sb="40" eb="42">
      <t>ヒョウキ</t>
    </rPh>
    <rPh sb="42" eb="44">
      <t>ホウホウ</t>
    </rPh>
    <rPh sb="45" eb="47">
      <t>ヘンコウ</t>
    </rPh>
    <phoneticPr fontId="4"/>
  </si>
  <si>
    <t xml:space="preserve"> ・「(3)現外支払いのリンク例」に、コード決済とクレジット支払のダミーレコードについての注意書きを追記</t>
    <rPh sb="45" eb="48">
      <t>チュウイガ</t>
    </rPh>
    <rPh sb="50" eb="52">
      <t>ツイキ</t>
    </rPh>
    <phoneticPr fontId="4"/>
  </si>
  <si>
    <t xml:space="preserve"> ・「(6)売価変更 ※マニュアル操作(価格入力)、または、値引バーコード(価格設定)」、「(7)特売(タイムサービス・マークダウンも同様)と売価変更の併用」を追加</t>
    <rPh sb="80" eb="82">
      <t>ツイカ</t>
    </rPh>
    <phoneticPr fontId="4"/>
  </si>
  <si>
    <t>取引ログ作成時の注意事項（税情報）を追加</t>
    <rPh sb="0" eb="2">
      <t>トリヒキ</t>
    </rPh>
    <rPh sb="4" eb="6">
      <t>サクセイ</t>
    </rPh>
    <rPh sb="6" eb="7">
      <t>ジ</t>
    </rPh>
    <rPh sb="8" eb="10">
      <t>チュウイ</t>
    </rPh>
    <rPh sb="10" eb="12">
      <t>ジコウ</t>
    </rPh>
    <rPh sb="13" eb="14">
      <t>ゼイ</t>
    </rPh>
    <rPh sb="14" eb="16">
      <t>ジョウホウ</t>
    </rPh>
    <rPh sb="18" eb="20">
      <t>ツイカ</t>
    </rPh>
    <phoneticPr fontId="4"/>
  </si>
  <si>
    <t>取引ログ作成時の注意事項（支払情報）を追加</t>
    <rPh sb="0" eb="2">
      <t>トリヒキ</t>
    </rPh>
    <rPh sb="4" eb="6">
      <t>サクセイ</t>
    </rPh>
    <rPh sb="6" eb="7">
      <t>ジ</t>
    </rPh>
    <rPh sb="8" eb="10">
      <t>チュウイ</t>
    </rPh>
    <rPh sb="10" eb="12">
      <t>ジコウ</t>
    </rPh>
    <rPh sb="13" eb="15">
      <t>シハライ</t>
    </rPh>
    <rPh sb="15" eb="17">
      <t>ジョウホウ</t>
    </rPh>
    <rPh sb="19" eb="21">
      <t>ツイカ</t>
    </rPh>
    <phoneticPr fontId="4"/>
  </si>
  <si>
    <t>取引ログ作成時の注意事項（値引併用）を追加</t>
    <rPh sb="0" eb="2">
      <t>トリヒキ</t>
    </rPh>
    <rPh sb="4" eb="6">
      <t>サクセイ</t>
    </rPh>
    <rPh sb="6" eb="7">
      <t>ジ</t>
    </rPh>
    <rPh sb="8" eb="10">
      <t>チュウイ</t>
    </rPh>
    <rPh sb="10" eb="12">
      <t>ジコウ</t>
    </rPh>
    <rPh sb="13" eb="15">
      <t>ネビキ</t>
    </rPh>
    <rPh sb="15" eb="17">
      <t>ヘイヨウ</t>
    </rPh>
    <rPh sb="19" eb="21">
      <t>ツイカ</t>
    </rPh>
    <phoneticPr fontId="4"/>
  </si>
  <si>
    <t>TRAMS_HEADER</t>
  </si>
  <si>
    <t xml:space="preserve"> ・「入金 中止」、「出金 中止」、「釣銭準備金 中止」、「中間回収 中止」 取引をignicaPOS側からトラン連携無しに変更</t>
    <rPh sb="39" eb="41">
      <t>トリヒキ</t>
    </rPh>
    <rPh sb="62" eb="64">
      <t>ヘンコウ</t>
    </rPh>
    <phoneticPr fontId="4"/>
  </si>
  <si>
    <t>　No.89 GSFD_COMPARE_CASH_AMT：「開始過不足額（現金在高合計 - 現金在高）」を「開始過不足額（釣銭機在高 - 現金在高）」に修正</t>
  </si>
  <si>
    <t>　No.90 GSFD_CASH_COLSPY_AMT：「釣銭準備金」、「釣銭補充」の設定値を""(空)に修正</t>
    <phoneticPr fontId="4"/>
  </si>
  <si>
    <t xml:space="preserve"> No.5 LINK_AMT：リンクタイプ毎の設定値を記載</t>
    <rPh sb="21" eb="22">
      <t>ゴト</t>
    </rPh>
    <rPh sb="23" eb="26">
      <t>セッテイチ</t>
    </rPh>
    <phoneticPr fontId="4"/>
  </si>
  <si>
    <t xml:space="preserve"> No.7 DISC_ID：値引バーコードの設定値を記載</t>
  </si>
  <si>
    <t xml:space="preserve"> No.27 GSFD_STEP_INFO：設定値と例を修正</t>
    <rPh sb="22" eb="25">
      <t>セッテイチ</t>
    </rPh>
    <rPh sb="26" eb="27">
      <t>レイ</t>
    </rPh>
    <rPh sb="28" eb="30">
      <t>シュウセイ</t>
    </rPh>
    <phoneticPr fontId="4"/>
  </si>
  <si>
    <t>MANUAL_PRICE</t>
  </si>
  <si>
    <t xml:space="preserve"> No.2 ORIG_PRC：「商品マスタ連携ファイル No.22 売価」）× 数量の金額に修正</t>
    <rPh sb="46" eb="48">
      <t>シュウセイ</t>
    </rPh>
    <phoneticPr fontId="4"/>
  </si>
  <si>
    <t xml:space="preserve"> ・「入金 中止」、「出金 中止」取引をignicaPOS側からトラン連携無しに変更</t>
    <rPh sb="40" eb="42">
      <t>ヘンコウ</t>
    </rPh>
    <phoneticPr fontId="4"/>
  </si>
  <si>
    <t>LOAN_PICKUP</t>
  </si>
  <si>
    <t xml:space="preserve"> ・「釣銭準備金 中止」、「中間回収 中止」 取引をignicaPOS側からトラン連携無しに変更</t>
    <rPh sb="46" eb="48">
      <t>ヘンコウ</t>
    </rPh>
    <phoneticPr fontId="4"/>
  </si>
  <si>
    <t>コード決済取引明細ログレイアウト</t>
  </si>
  <si>
    <t>「■データ部:H1アイテムフォーマット」の項番7「伝票番号）」の備考欄に、取引内通番の説明追記。</t>
  </si>
  <si>
    <t>　No.4 RGST_TRAN_NBR：備考を修正(先頭0埋め不要を記載)</t>
    <rPh sb="20" eb="22">
      <t>ビコウ</t>
    </rPh>
    <rPh sb="23" eb="25">
      <t>シュウセイ</t>
    </rPh>
    <rPh sb="31" eb="33">
      <t>フヨウ</t>
    </rPh>
    <rPh sb="34" eb="36">
      <t>キサイ</t>
    </rPh>
    <phoneticPr fontId="4"/>
  </si>
  <si>
    <t>　No.90 GSFD_CASH_COLSPY_AMT：下記の場合のみ値を設定するように修正</t>
    <rPh sb="35" eb="36">
      <t>アタイ</t>
    </rPh>
    <rPh sb="44" eb="46">
      <t>シュウセイ</t>
    </rPh>
    <phoneticPr fontId="4"/>
  </si>
  <si>
    <t>・TRAN_CD=15（入金）</t>
  </si>
  <si>
    <t>　「棒金ドロア追加(入出金コード=582)」、「紙幣・硬貨追加(入出金コード=580)」の場合に値を設定</t>
  </si>
  <si>
    <t>・TRAN_CD=16（出金）</t>
  </si>
  <si>
    <t>　「途中回収(入出金コード=680)」の場合に値を設定</t>
  </si>
  <si>
    <t>　No.90 GSFD_CASH_COLSPY_AMT：「中間回収」の設定値を""(空)に修正</t>
    <rPh sb="29" eb="31">
      <t>チュウカン</t>
    </rPh>
    <rPh sb="31" eb="33">
      <t>カイシュウ</t>
    </rPh>
    <phoneticPr fontId="4"/>
  </si>
  <si>
    <t>　No.95 GSFD_ITEM_COUNTS：入金、出金の設定値を修正</t>
    <rPh sb="24" eb="26">
      <t>ニュウキン</t>
    </rPh>
    <rPh sb="27" eb="29">
      <t>シュッキン</t>
    </rPh>
    <rPh sb="30" eb="32">
      <t>セッテイ</t>
    </rPh>
    <rPh sb="32" eb="33">
      <t>チ</t>
    </rPh>
    <rPh sb="34" eb="36">
      <t>シュウセイ</t>
    </rPh>
    <phoneticPr fontId="4"/>
  </si>
  <si>
    <t>LN_DISCOUNT</t>
    <phoneticPr fontId="4"/>
  </si>
  <si>
    <t xml:space="preserve"> No.4 DISC_MTHD：小計％値引の設定値を修正</t>
    <rPh sb="22" eb="25">
      <t>セッテイチ</t>
    </rPh>
    <rPh sb="26" eb="28">
      <t>シュウセイ</t>
    </rPh>
    <phoneticPr fontId="4"/>
  </si>
  <si>
    <t xml:space="preserve"> No.12 DISC_CLSS_ID：さんにち割引の記載を追加</t>
    <rPh sb="24" eb="26">
      <t>ワリビキ</t>
    </rPh>
    <rPh sb="27" eb="29">
      <t>キサイ</t>
    </rPh>
    <rPh sb="30" eb="32">
      <t>ツイカ</t>
    </rPh>
    <phoneticPr fontId="4"/>
  </si>
  <si>
    <t xml:space="preserve"> No.227 GSFD_MOBAILEPAY_TRA_ID：取引内通番("00"固定)を取引内通番(2桁)に修正、売上中止を「設定値：""(空)」に修正</t>
    <rPh sb="41" eb="43">
      <t>コテイ</t>
    </rPh>
    <rPh sb="55" eb="57">
      <t>シュウセイ</t>
    </rPh>
    <rPh sb="58" eb="60">
      <t>ウリアゲ</t>
    </rPh>
    <rPh sb="60" eb="62">
      <t>チュウシ</t>
    </rPh>
    <rPh sb="75" eb="77">
      <t>シュウセイ</t>
    </rPh>
    <phoneticPr fontId="4"/>
  </si>
  <si>
    <t>LN_LINK</t>
    <phoneticPr fontId="4"/>
  </si>
  <si>
    <t xml:space="preserve"> No.5 LINK_AMT：説明に、特売・タイムサービス・マークダウンの場合は0を設定を追記</t>
    <rPh sb="15" eb="17">
      <t>セツメイ</t>
    </rPh>
    <rPh sb="45" eb="47">
      <t>ツイキ</t>
    </rPh>
    <phoneticPr fontId="4"/>
  </si>
  <si>
    <t xml:space="preserve"> No.7 LINK_QTY：説明に、特売・タイムサービス・マークダウンの場合は0を設定を追記</t>
    <phoneticPr fontId="4"/>
  </si>
  <si>
    <t xml:space="preserve"> No.35 GSFD_TRAN_TENDER_TS：売上中止の時の設定値を固定値(1899-12-30 00:00:00.000)に修正</t>
    <rPh sb="27" eb="29">
      <t>ウリアゲ</t>
    </rPh>
    <rPh sb="29" eb="31">
      <t>チュウシ</t>
    </rPh>
    <rPh sb="32" eb="33">
      <t>トキ</t>
    </rPh>
    <rPh sb="34" eb="37">
      <t>セッテイチ</t>
    </rPh>
    <rPh sb="38" eb="41">
      <t>コテイチ</t>
    </rPh>
    <rPh sb="67" eb="69">
      <t>シュウセイ</t>
    </rPh>
    <phoneticPr fontId="4"/>
  </si>
  <si>
    <t xml:space="preserve"> No.50 GSFD_NEW_PNT：売上中止の時の設定値を""(空)に修正</t>
    <rPh sb="34" eb="35">
      <t>ソラ</t>
    </rPh>
    <phoneticPr fontId="4"/>
  </si>
  <si>
    <t xml:space="preserve"> No.54 GSFD_PNT_AMT：売上中止の時の設定値を""(空)に修正</t>
  </si>
  <si>
    <t xml:space="preserve"> No.78 GSFD_FSP_PNT：売上中止の時の設定値を""(空)に修正</t>
  </si>
  <si>
    <t xml:space="preserve"> No.150 GSFD_ING_POINT01：売上中止の時の設定値を""(空)に修正</t>
  </si>
  <si>
    <t xml:space="preserve"> No.151 GSFD_ING_POINT02：売上中止の時の設定値を""(空)に修正</t>
  </si>
  <si>
    <t xml:space="preserve"> No.154 GSFD_ING_PNT_AMT01：売上中止の時の設定値を""(空)に修正</t>
  </si>
  <si>
    <t xml:space="preserve"> No.155 GSFD_ING_PNT_AMT02：売上中止の時の設定値を""(空)に修正</t>
  </si>
  <si>
    <t xml:space="preserve"> No.223 GSFD_ING_POINT99：売上中止の時の設定値を""(空)に修正</t>
  </si>
  <si>
    <t xml:space="preserve"> No.224 GSFD_CATALINA_POINT：売上中止の時の設定値を""(空)に修正</t>
  </si>
  <si>
    <t xml:space="preserve"> No.225 GSFD_YEAR_TOTAL_POINT：売上中止の時の設定値を""(空)に修正</t>
  </si>
  <si>
    <t xml:space="preserve"> No.226 GSFD_YEAR_TOTAL_AMOUNT：売上中止の時の設定値を""(空)に修正</t>
  </si>
  <si>
    <t xml:space="preserve"> No.88 GSFD_CASH_COUNTS：設定値の説明について、500円収納庫枚数と1000円収納庫枚数の区切りの誤記","を";"に修正 (例は";"になっており修正無し)</t>
    <rPh sb="24" eb="27">
      <t>セッテイチ</t>
    </rPh>
    <rPh sb="28" eb="30">
      <t>セツメイ</t>
    </rPh>
    <rPh sb="56" eb="58">
      <t>クギ</t>
    </rPh>
    <rPh sb="60" eb="62">
      <t>ゴキ</t>
    </rPh>
    <rPh sb="70" eb="72">
      <t>シュウセイ</t>
    </rPh>
    <rPh sb="74" eb="75">
      <t>レイ</t>
    </rPh>
    <rPh sb="85" eb="87">
      <t>シュウセイ</t>
    </rPh>
    <rPh sb="87" eb="88">
      <t>ナ</t>
    </rPh>
    <phoneticPr fontId="4"/>
  </si>
  <si>
    <t xml:space="preserve"> No.11 EVNT_ID：取得元マスタ項目について、③中分類自動値引除外・中分類自動値引・大分類自動値引除外・大分類自動値引の場合の設定値を変更</t>
    <rPh sb="68" eb="71">
      <t>セッテイチ</t>
    </rPh>
    <rPh sb="72" eb="74">
      <t>ヘンコウ</t>
    </rPh>
    <phoneticPr fontId="4"/>
  </si>
  <si>
    <t>＜ST指摘を反映＞</t>
    <phoneticPr fontId="4"/>
  </si>
  <si>
    <t xml:space="preserve"> No.90 GSFD_CASH_COLSPY_AMT：下記の場合のみ値を設定するように修正</t>
    <phoneticPr fontId="4"/>
  </si>
  <si>
    <t>　「硬貨・紙幣追加(全填)(入出金コード=581)」の場合に値を設定を追加</t>
    <rPh sb="35" eb="37">
      <t>ツイカ</t>
    </rPh>
    <phoneticPr fontId="4"/>
  </si>
  <si>
    <t>　「全回収(入出金コード=681)」と「レジ撤去(入出金コード=682)」の場合に値を設定を追加</t>
    <rPh sb="46" eb="48">
      <t>ツイカ</t>
    </rPh>
    <phoneticPr fontId="4"/>
  </si>
  <si>
    <t>・「釣銭準備金」、「中間回収」の設定値を""(空)　→設定値に修正</t>
    <rPh sb="10" eb="12">
      <t>チュウカン</t>
    </rPh>
    <rPh sb="12" eb="14">
      <t>カイシュウ</t>
    </rPh>
    <rPh sb="27" eb="29">
      <t>セッテイ</t>
    </rPh>
    <rPh sb="29" eb="30">
      <t>チ</t>
    </rPh>
    <phoneticPr fontId="4"/>
  </si>
  <si>
    <t xml:space="preserve"> No.90 GSFD_CASH_COLSPY_AMT：「釣銭準備金」の設定値を""(空)に修正</t>
    <phoneticPr fontId="4"/>
  </si>
  <si>
    <t>　No.72 GSFD_PLU_TAXBLTY_CD：”取得元マスタ項目”に、　"注）但し、内税の場合は、"99"を設定する。"を追記</t>
    <rPh sb="65" eb="67">
      <t>ツイキ</t>
    </rPh>
    <phoneticPr fontId="4"/>
  </si>
  <si>
    <t>・</t>
    <phoneticPr fontId="4"/>
  </si>
  <si>
    <t>トラン連携対象取引ログテーブル一覧</t>
    <rPh sb="3" eb="5">
      <t>レンケイ</t>
    </rPh>
    <rPh sb="5" eb="7">
      <t>タイショウ</t>
    </rPh>
    <rPh sb="7" eb="9">
      <t>トリヒキ</t>
    </rPh>
    <rPh sb="15" eb="17">
      <t>イチラン</t>
    </rPh>
    <phoneticPr fontId="7"/>
  </si>
  <si>
    <t>トラン連携対応レイアウト</t>
    <phoneticPr fontId="4"/>
  </si>
  <si>
    <t>№</t>
    <phoneticPr fontId="12"/>
  </si>
  <si>
    <t>テーブル名</t>
    <rPh sb="4" eb="5">
      <t>メイ</t>
    </rPh>
    <phoneticPr fontId="12"/>
  </si>
  <si>
    <t>名称</t>
    <rPh sb="0" eb="2">
      <t>メイショウ</t>
    </rPh>
    <phoneticPr fontId="4"/>
  </si>
  <si>
    <t>データ作成元</t>
  </si>
  <si>
    <t>ファイル連携</t>
  </si>
  <si>
    <t>補足説明</t>
    <phoneticPr fontId="4"/>
  </si>
  <si>
    <t>TRANS_HEADER</t>
    <phoneticPr fontId="12"/>
  </si>
  <si>
    <t>取引情報</t>
  </si>
  <si>
    <t>ignicaPOS</t>
  </si>
  <si>
    <t>あり</t>
    <phoneticPr fontId="4"/>
  </si>
  <si>
    <t>LN_LINK</t>
    <phoneticPr fontId="12"/>
  </si>
  <si>
    <t>取引明細のリンク情報</t>
  </si>
  <si>
    <t>あり</t>
  </si>
  <si>
    <t>LN_DETAIL</t>
    <phoneticPr fontId="12"/>
  </si>
  <si>
    <t>商品明細情報</t>
  </si>
  <si>
    <t>LN_DISCOUNT</t>
    <phoneticPr fontId="12"/>
  </si>
  <si>
    <t>値引情報</t>
  </si>
  <si>
    <t>TRANSACTION_TAX</t>
    <phoneticPr fontId="12"/>
  </si>
  <si>
    <t>取引の税情報</t>
  </si>
  <si>
    <t>TRANSACTION_TENDER</t>
    <phoneticPr fontId="12"/>
  </si>
  <si>
    <t>取引の支払情報</t>
  </si>
  <si>
    <t>GIFT_CERT_TENDER</t>
    <phoneticPr fontId="12"/>
  </si>
  <si>
    <t>現外支払情報</t>
  </si>
  <si>
    <t>GSFD_PNT_TRANS_HEADER</t>
    <phoneticPr fontId="4"/>
  </si>
  <si>
    <t>ポイント情報</t>
    <rPh sb="4" eb="6">
      <t>ジョウホウ</t>
    </rPh>
    <phoneticPr fontId="4"/>
  </si>
  <si>
    <t>MANUAL_PRICE</t>
    <phoneticPr fontId="12"/>
  </si>
  <si>
    <t>価格変更情報</t>
  </si>
  <si>
    <t>ignicaPOS、TS/M</t>
    <phoneticPr fontId="4"/>
  </si>
  <si>
    <t>特売の時はTS/Mで作成</t>
    <rPh sb="0" eb="2">
      <t>トクバイ</t>
    </rPh>
    <rPh sb="3" eb="4">
      <t>トキ</t>
    </rPh>
    <rPh sb="10" eb="12">
      <t>サクセイ</t>
    </rPh>
    <phoneticPr fontId="4"/>
  </si>
  <si>
    <t>GL_TRAN</t>
    <phoneticPr fontId="12"/>
  </si>
  <si>
    <t>支払情報</t>
  </si>
  <si>
    <t>ignicaPOS</t>
    <phoneticPr fontId="4"/>
  </si>
  <si>
    <t>LOAN_PICKUP</t>
    <phoneticPr fontId="12"/>
  </si>
  <si>
    <t>入出金情報</t>
  </si>
  <si>
    <t>TENDER_ON_HAND</t>
    <phoneticPr fontId="12"/>
  </si>
  <si>
    <t>支払状況</t>
    <phoneticPr fontId="4"/>
  </si>
  <si>
    <t>TS/M</t>
    <phoneticPr fontId="4"/>
  </si>
  <si>
    <t>無し</t>
    <rPh sb="0" eb="1">
      <t>ナ</t>
    </rPh>
    <phoneticPr fontId="4"/>
  </si>
  <si>
    <t>GSFD_PNT_KICK</t>
    <phoneticPr fontId="4"/>
  </si>
  <si>
    <t>ポイント処理起動トリガテーブル</t>
    <rPh sb="4" eb="6">
      <t>ショリ</t>
    </rPh>
    <phoneticPr fontId="4"/>
  </si>
  <si>
    <t>GSFD_RPT_KICK</t>
    <phoneticPr fontId="4"/>
  </si>
  <si>
    <t>集計起動トリガテーブル</t>
    <phoneticPr fontId="4"/>
  </si>
  <si>
    <t>TRANS_DG</t>
    <phoneticPr fontId="4"/>
  </si>
  <si>
    <t>顧客情報</t>
    <rPh sb="0" eb="2">
      <t>コキャク</t>
    </rPh>
    <rPh sb="2" eb="4">
      <t>ジョウホウ</t>
    </rPh>
    <phoneticPr fontId="4"/>
  </si>
  <si>
    <t>-</t>
  </si>
  <si>
    <t>PLU_NOT_FOUND</t>
  </si>
  <si>
    <t>緊急登録情報</t>
  </si>
  <si>
    <t>-</t>
    <phoneticPr fontId="4"/>
  </si>
  <si>
    <t>POST_VOID_TRAN</t>
  </si>
  <si>
    <t>取消情報</t>
  </si>
  <si>
    <t>TENDER_COUNT</t>
    <phoneticPr fontId="12"/>
  </si>
  <si>
    <t>金種登録情報</t>
  </si>
  <si>
    <t>TENDER_CNT_DETAIL</t>
    <phoneticPr fontId="12"/>
  </si>
  <si>
    <t>金種登録詳細情報</t>
  </si>
  <si>
    <t>取引ログテーブル関連図</t>
    <rPh sb="0" eb="2">
      <t>トリヒキ</t>
    </rPh>
    <rPh sb="8" eb="10">
      <t>カンレン</t>
    </rPh>
    <rPh sb="10" eb="11">
      <t>ズ</t>
    </rPh>
    <phoneticPr fontId="7"/>
  </si>
  <si>
    <t>トラン連携対応レイアウト</t>
    <rPh sb="5" eb="7">
      <t>タイオウ</t>
    </rPh>
    <phoneticPr fontId="4"/>
  </si>
  <si>
    <r>
      <t>：</t>
    </r>
    <r>
      <rPr>
        <sz val="10"/>
        <color rgb="FFFF0000"/>
        <rFont val="ＭＳ Ｐゴシック"/>
        <family val="3"/>
        <charset val="128"/>
      </rPr>
      <t>TRAN_ID</t>
    </r>
    <r>
      <rPr>
        <sz val="10"/>
        <rFont val="ＭＳ Ｐゴシック"/>
        <family val="3"/>
        <charset val="128"/>
      </rPr>
      <t>のリンク (富士通側でトラン取込み後にリンク付け)</t>
    </r>
    <rPh sb="14" eb="17">
      <t>フジツウ</t>
    </rPh>
    <rPh sb="17" eb="18">
      <t>ガワ</t>
    </rPh>
    <rPh sb="22" eb="24">
      <t>トリコ</t>
    </rPh>
    <rPh sb="25" eb="26">
      <t>ゴ</t>
    </rPh>
    <rPh sb="30" eb="31">
      <t>ヅ</t>
    </rPh>
    <phoneticPr fontId="4"/>
  </si>
  <si>
    <t>：TRAN_LN_NBR (1取引内での通し番号(抜け/重複なし)、順不同)</t>
    <rPh sb="15" eb="17">
      <t>トリヒキ</t>
    </rPh>
    <rPh sb="17" eb="18">
      <t>ナイ</t>
    </rPh>
    <rPh sb="20" eb="21">
      <t>トオ</t>
    </rPh>
    <rPh sb="22" eb="24">
      <t>バンゴウ</t>
    </rPh>
    <rPh sb="25" eb="26">
      <t>ヌ</t>
    </rPh>
    <rPh sb="28" eb="30">
      <t>チョウフク</t>
    </rPh>
    <rPh sb="34" eb="37">
      <t>ジュンフドウ</t>
    </rPh>
    <phoneticPr fontId="4"/>
  </si>
  <si>
    <t>：TRAN_LN_NBRのリンク</t>
    <phoneticPr fontId="4"/>
  </si>
  <si>
    <t>※1取引に1レコードを作成(必須)</t>
    <rPh sb="2" eb="4">
      <t>トリヒキ</t>
    </rPh>
    <rPh sb="11" eb="13">
      <t>サクセイ</t>
    </rPh>
    <rPh sb="14" eb="16">
      <t>ヒッス</t>
    </rPh>
    <phoneticPr fontId="4"/>
  </si>
  <si>
    <t>TRANS_HEADER/取引情報</t>
    <phoneticPr fontId="4"/>
  </si>
  <si>
    <t>※値引数分のレコードを作成</t>
    <rPh sb="1" eb="3">
      <t>ネビキ</t>
    </rPh>
    <rPh sb="3" eb="4">
      <t>スウ</t>
    </rPh>
    <rPh sb="4" eb="5">
      <t>ブン</t>
    </rPh>
    <rPh sb="11" eb="13">
      <t>サクセイ</t>
    </rPh>
    <phoneticPr fontId="4"/>
  </si>
  <si>
    <t>カラム名称</t>
    <rPh sb="3" eb="5">
      <t>メイショウ</t>
    </rPh>
    <phoneticPr fontId="4"/>
  </si>
  <si>
    <t>日本語名称</t>
    <rPh sb="0" eb="3">
      <t>ニホンゴ</t>
    </rPh>
    <rPh sb="3" eb="5">
      <t>メイショウ</t>
    </rPh>
    <phoneticPr fontId="4"/>
  </si>
  <si>
    <t>型</t>
    <rPh sb="0" eb="1">
      <t>カタ</t>
    </rPh>
    <phoneticPr fontId="4"/>
  </si>
  <si>
    <t>サイズ</t>
    <phoneticPr fontId="4"/>
  </si>
  <si>
    <t>KEY</t>
    <phoneticPr fontId="4"/>
  </si>
  <si>
    <t>設定例</t>
    <rPh sb="0" eb="2">
      <t>セッテイ</t>
    </rPh>
    <rPh sb="2" eb="3">
      <t>レイ</t>
    </rPh>
    <phoneticPr fontId="4"/>
  </si>
  <si>
    <t>※商品明細数分のレコードを作成</t>
    <rPh sb="1" eb="3">
      <t>ショウヒン</t>
    </rPh>
    <rPh sb="3" eb="5">
      <t>メイサイ</t>
    </rPh>
    <rPh sb="5" eb="6">
      <t>スウ</t>
    </rPh>
    <rPh sb="6" eb="7">
      <t>ブン</t>
    </rPh>
    <rPh sb="13" eb="15">
      <t>サクセイ</t>
    </rPh>
    <phoneticPr fontId="4"/>
  </si>
  <si>
    <t>※商品明細1レコードに対して複数(リンク数分)のレコードを作成</t>
    <rPh sb="1" eb="3">
      <t>ショウヒン</t>
    </rPh>
    <rPh sb="3" eb="5">
      <t>メイサイ</t>
    </rPh>
    <rPh sb="11" eb="12">
      <t>タイ</t>
    </rPh>
    <rPh sb="14" eb="16">
      <t>フクスウ</t>
    </rPh>
    <rPh sb="20" eb="21">
      <t>スウ</t>
    </rPh>
    <rPh sb="21" eb="22">
      <t>ブン</t>
    </rPh>
    <rPh sb="29" eb="31">
      <t>サクセイ</t>
    </rPh>
    <phoneticPr fontId="4"/>
  </si>
  <si>
    <t>LN_DISCOUNT/値引情報</t>
    <phoneticPr fontId="4"/>
  </si>
  <si>
    <t>GSFD_ACCOUNT_ID</t>
  </si>
  <si>
    <t>アカウントID</t>
  </si>
  <si>
    <t>varchar</t>
  </si>
  <si>
    <t>LN_DETAIL/商品明細情報</t>
    <rPh sb="10" eb="12">
      <t>ショウヒン</t>
    </rPh>
    <rPh sb="12" eb="14">
      <t>メイサイ</t>
    </rPh>
    <rPh sb="14" eb="16">
      <t>ジョウホウ</t>
    </rPh>
    <phoneticPr fontId="4"/>
  </si>
  <si>
    <t>LN_LINK/取引明細のリンク情報</t>
    <phoneticPr fontId="4"/>
  </si>
  <si>
    <t>サイズ</t>
  </si>
  <si>
    <t>KEY</t>
  </si>
  <si>
    <t>GSFD_JOURNAL_NO</t>
  </si>
  <si>
    <t>ジャーナルNo.</t>
  </si>
  <si>
    <t>TRAN_LN_NBR</t>
    <phoneticPr fontId="4"/>
  </si>
  <si>
    <t>取引明細番号</t>
  </si>
  <si>
    <t>smallint</t>
  </si>
  <si>
    <t>PK</t>
    <phoneticPr fontId="4"/>
  </si>
  <si>
    <t>TRAN_ID</t>
    <phoneticPr fontId="4"/>
  </si>
  <si>
    <t>取引通番</t>
  </si>
  <si>
    <t>int</t>
  </si>
  <si>
    <t/>
  </si>
  <si>
    <t>PK</t>
  </si>
  <si>
    <t>取引通番</t>
    <phoneticPr fontId="4"/>
  </si>
  <si>
    <t>RGST_TRAN_NBR</t>
    <phoneticPr fontId="4"/>
  </si>
  <si>
    <t>レジ内取引通番</t>
  </si>
  <si>
    <t>取引明細番号</t>
    <rPh sb="4" eb="6">
      <t>バンゴウ</t>
    </rPh>
    <phoneticPr fontId="4"/>
  </si>
  <si>
    <t>STR_ID</t>
    <phoneticPr fontId="4"/>
  </si>
  <si>
    <t>店舗番号</t>
  </si>
  <si>
    <t>TRAN_CD</t>
    <phoneticPr fontId="4"/>
  </si>
  <si>
    <t>取引コード</t>
    <rPh sb="0" eb="2">
      <t>トリヒキ</t>
    </rPh>
    <phoneticPr fontId="44"/>
  </si>
  <si>
    <t>LINK_LN_NBR</t>
    <phoneticPr fontId="4"/>
  </si>
  <si>
    <t>リンク明細番号</t>
    <phoneticPr fontId="4"/>
  </si>
  <si>
    <t>DISC_MTHD</t>
    <phoneticPr fontId="4"/>
  </si>
  <si>
    <t>ディスカウント方法</t>
    <rPh sb="7" eb="9">
      <t>ホウホウ</t>
    </rPh>
    <phoneticPr fontId="4"/>
  </si>
  <si>
    <t xml:space="preserve">   1:売上</t>
    <phoneticPr fontId="4"/>
  </si>
  <si>
    <t>LOC_ID</t>
    <phoneticPr fontId="4"/>
  </si>
  <si>
    <t>商品在庫位置</t>
  </si>
  <si>
    <t>LINK_TYPE</t>
    <phoneticPr fontId="4"/>
  </si>
  <si>
    <t>リンクタイプ</t>
  </si>
  <si>
    <t>DISC_AMT</t>
    <phoneticPr fontId="4"/>
  </si>
  <si>
    <t>ディスカウント金額</t>
    <rPh sb="7" eb="9">
      <t>キンガク</t>
    </rPh>
    <phoneticPr fontId="4"/>
  </si>
  <si>
    <t>Money</t>
    <phoneticPr fontId="4"/>
  </si>
  <si>
    <t>SCAN_TYP</t>
    <phoneticPr fontId="4"/>
  </si>
  <si>
    <t>PLUタイプ</t>
    <phoneticPr fontId="4"/>
  </si>
  <si>
    <t>1：値引</t>
    <phoneticPr fontId="4"/>
  </si>
  <si>
    <t>DISC_VALUE</t>
    <phoneticPr fontId="4"/>
  </si>
  <si>
    <t>ディスカウント値</t>
    <rPh sb="7" eb="8">
      <t>アタイ</t>
    </rPh>
    <phoneticPr fontId="4"/>
  </si>
  <si>
    <t>float</t>
  </si>
  <si>
    <t>EMP_ID</t>
    <phoneticPr fontId="4"/>
  </si>
  <si>
    <t>従業員ＩＤ</t>
  </si>
  <si>
    <t>2：UPC-A</t>
    <phoneticPr fontId="4"/>
  </si>
  <si>
    <t>LINK_AMT</t>
    <phoneticPr fontId="4"/>
  </si>
  <si>
    <t>リンク明細額</t>
    <rPh sb="3" eb="5">
      <t>メイサイ</t>
    </rPh>
    <rPh sb="5" eb="6">
      <t>ガク</t>
    </rPh>
    <phoneticPr fontId="4"/>
  </si>
  <si>
    <t>Money</t>
  </si>
  <si>
    <t>DISC_ID</t>
    <phoneticPr fontId="4"/>
  </si>
  <si>
    <t>ディスカウントＩＤ</t>
    <phoneticPr fontId="4"/>
  </si>
  <si>
    <t>RGST_ID</t>
    <phoneticPr fontId="4"/>
  </si>
  <si>
    <t>レジスタID</t>
  </si>
  <si>
    <t>3：部門コード</t>
    <phoneticPr fontId="4"/>
  </si>
  <si>
    <t>VOID_CD</t>
    <phoneticPr fontId="4"/>
  </si>
  <si>
    <t>取消コード</t>
  </si>
  <si>
    <t>TILL_ID</t>
    <phoneticPr fontId="4"/>
  </si>
  <si>
    <t>ティルID</t>
  </si>
  <si>
    <t xml:space="preserve">4：EAN8、JAN8(NONPLU8)  </t>
    <phoneticPr fontId="4"/>
  </si>
  <si>
    <t>LINK_QTY</t>
    <phoneticPr fontId="4"/>
  </si>
  <si>
    <t>リンクの数</t>
    <phoneticPr fontId="4"/>
  </si>
  <si>
    <t>float</t>
    <phoneticPr fontId="4"/>
  </si>
  <si>
    <t>DISC_ACCT</t>
    <phoneticPr fontId="4"/>
  </si>
  <si>
    <t>ディスカウント会計科目</t>
    <rPh sb="7" eb="9">
      <t>カイケイ</t>
    </rPh>
    <rPh sb="9" eb="11">
      <t>カモク</t>
    </rPh>
    <phoneticPr fontId="11"/>
  </si>
  <si>
    <t>BUS_DT</t>
    <phoneticPr fontId="4"/>
  </si>
  <si>
    <t>営業日</t>
    <rPh sb="0" eb="3">
      <t>エイギョウビ</t>
    </rPh>
    <phoneticPr fontId="44"/>
  </si>
  <si>
    <t>datetime</t>
  </si>
  <si>
    <t xml:space="preserve">5：EAN13、JAN13(NONPLU13)、新/旧書籍、新/旧雑誌  </t>
    <phoneticPr fontId="4"/>
  </si>
  <si>
    <t>DG_ID</t>
    <phoneticPr fontId="4"/>
  </si>
  <si>
    <t>ディスカウントグループＩＤ</t>
    <phoneticPr fontId="11"/>
  </si>
  <si>
    <t>TRAN_START_TS</t>
    <phoneticPr fontId="4"/>
  </si>
  <si>
    <t>取引開始時刻</t>
  </si>
  <si>
    <t>etc.</t>
    <phoneticPr fontId="4"/>
  </si>
  <si>
    <t>EVNT_ID</t>
    <phoneticPr fontId="4"/>
  </si>
  <si>
    <t>イベントコード</t>
    <phoneticPr fontId="4"/>
  </si>
  <si>
    <t>TRAN_END_DTTM</t>
    <phoneticPr fontId="4"/>
  </si>
  <si>
    <t>取引終了時刻</t>
  </si>
  <si>
    <t>PLU_ID</t>
  </si>
  <si>
    <t>自社商品コード</t>
    <rPh sb="0" eb="2">
      <t>ジシャ</t>
    </rPh>
    <rPh sb="2" eb="4">
      <t>ショウヒン</t>
    </rPh>
    <phoneticPr fontId="46"/>
  </si>
  <si>
    <t>DISC_CLSS_ID</t>
    <phoneticPr fontId="4"/>
  </si>
  <si>
    <t>ディスカウントクラスＩＤ</t>
    <phoneticPr fontId="11"/>
  </si>
  <si>
    <t>OFFLN_FG</t>
    <phoneticPr fontId="4"/>
  </si>
  <si>
    <t>オフライン判別</t>
  </si>
  <si>
    <t>SCAN_ID</t>
    <phoneticPr fontId="4"/>
  </si>
  <si>
    <t>スキャンコード</t>
  </si>
  <si>
    <t>※値引コード一覧を参照</t>
    <rPh sb="1" eb="3">
      <t>ネビ</t>
    </rPh>
    <rPh sb="6" eb="8">
      <t>イチラン</t>
    </rPh>
    <rPh sb="9" eb="11">
      <t>サンショウ</t>
    </rPh>
    <phoneticPr fontId="4"/>
  </si>
  <si>
    <t>TRNING_MDE_FG</t>
    <phoneticPr fontId="4"/>
  </si>
  <si>
    <t>トレーニングモード</t>
  </si>
  <si>
    <t>LN_ITM_CD</t>
    <phoneticPr fontId="4"/>
  </si>
  <si>
    <t>商品明細識別</t>
  </si>
  <si>
    <t>…</t>
  </si>
  <si>
    <t>RNTRY_MDE_FG</t>
    <phoneticPr fontId="4"/>
  </si>
  <si>
    <t>再入力モード</t>
    <rPh sb="0" eb="3">
      <t>サイニュウリョク</t>
    </rPh>
    <phoneticPr fontId="44"/>
  </si>
  <si>
    <t>MDSE_XREF_NO</t>
    <phoneticPr fontId="4"/>
  </si>
  <si>
    <t>商品分類番号</t>
    <rPh sb="4" eb="6">
      <t>バンゴウ</t>
    </rPh>
    <phoneticPr fontId="4"/>
  </si>
  <si>
    <t>GSFD_EVNT_NBR</t>
    <phoneticPr fontId="4"/>
  </si>
  <si>
    <t>企画コード</t>
    <phoneticPr fontId="4"/>
  </si>
  <si>
    <t>STR_HIER_ID</t>
    <phoneticPr fontId="4"/>
  </si>
  <si>
    <t>販売部門ID</t>
    <phoneticPr fontId="4"/>
  </si>
  <si>
    <t>…</t>
    <phoneticPr fontId="4"/>
  </si>
  <si>
    <t>0：通常取引、1：取引中止</t>
    <phoneticPr fontId="4"/>
  </si>
  <si>
    <t>QTY</t>
    <phoneticPr fontId="4"/>
  </si>
  <si>
    <t>販売数量</t>
  </si>
  <si>
    <t>CUST_ID</t>
    <phoneticPr fontId="4"/>
  </si>
  <si>
    <t>顧客ID</t>
  </si>
  <si>
    <t>UOM</t>
    <phoneticPr fontId="4"/>
  </si>
  <si>
    <t>販売単位</t>
  </si>
  <si>
    <t>SHPR_ID</t>
    <phoneticPr fontId="4"/>
  </si>
  <si>
    <t>買い物客ID</t>
  </si>
  <si>
    <t>PRC_MTHD</t>
    <phoneticPr fontId="4"/>
  </si>
  <si>
    <t>価格算出方法</t>
    <rPh sb="0" eb="2">
      <t>カカク</t>
    </rPh>
    <rPh sb="2" eb="4">
      <t>サンシュツ</t>
    </rPh>
    <rPh sb="4" eb="6">
      <t>ホウホウ</t>
    </rPh>
    <phoneticPr fontId="4"/>
  </si>
  <si>
    <t>※部門登録、価格手入力(PLU)、売価変更を行った場合にレコードを作成</t>
    <rPh sb="1" eb="3">
      <t>ブモン</t>
    </rPh>
    <rPh sb="3" eb="5">
      <t>トウロク</t>
    </rPh>
    <rPh sb="6" eb="8">
      <t>カカク</t>
    </rPh>
    <rPh sb="8" eb="9">
      <t>テ</t>
    </rPh>
    <rPh sb="9" eb="11">
      <t>ニュウリョク</t>
    </rPh>
    <rPh sb="17" eb="19">
      <t>バイカ</t>
    </rPh>
    <rPh sb="19" eb="21">
      <t>ヘンコウ</t>
    </rPh>
    <rPh sb="22" eb="23">
      <t>オコナ</t>
    </rPh>
    <rPh sb="25" eb="27">
      <t>バアイ</t>
    </rPh>
    <rPh sb="33" eb="35">
      <t>サクセイ</t>
    </rPh>
    <phoneticPr fontId="4"/>
  </si>
  <si>
    <t>STAT</t>
    <phoneticPr fontId="4"/>
  </si>
  <si>
    <t>ステータス</t>
  </si>
  <si>
    <t>EXT_PRC</t>
    <phoneticPr fontId="4"/>
  </si>
  <si>
    <t>合価</t>
    <rPh sb="0" eb="1">
      <t>ゴウ</t>
    </rPh>
    <rPh sb="1" eb="2">
      <t>カ</t>
    </rPh>
    <phoneticPr fontId="4"/>
  </si>
  <si>
    <t>MANUAL_PRICE/価格変更情報</t>
    <phoneticPr fontId="4"/>
  </si>
  <si>
    <t>TOT_AMT</t>
    <phoneticPr fontId="4"/>
  </si>
  <si>
    <t>取引合計額</t>
  </si>
  <si>
    <t>money</t>
  </si>
  <si>
    <t>EXT_CST</t>
    <phoneticPr fontId="4"/>
  </si>
  <si>
    <t>合計原価</t>
    <rPh sb="0" eb="2">
      <t>ゴウケイ</t>
    </rPh>
    <rPh sb="2" eb="4">
      <t>ゲンカ</t>
    </rPh>
    <phoneticPr fontId="4"/>
  </si>
  <si>
    <t>RTL_PRC</t>
    <phoneticPr fontId="4"/>
  </si>
  <si>
    <t>小売価格</t>
  </si>
  <si>
    <t>TRAN_LN_NBR</t>
  </si>
  <si>
    <t>ENTRY_MTHD</t>
    <phoneticPr fontId="4"/>
  </si>
  <si>
    <t>登録方法</t>
  </si>
  <si>
    <t>ORIG_PRC</t>
  </si>
  <si>
    <t>変更前価格</t>
    <rPh sb="0" eb="2">
      <t>ヘンコウ</t>
    </rPh>
    <rPh sb="2" eb="3">
      <t>マエ</t>
    </rPh>
    <rPh sb="3" eb="5">
      <t>カカク</t>
    </rPh>
    <phoneticPr fontId="7"/>
  </si>
  <si>
    <t>COMM_EMP_ID</t>
    <phoneticPr fontId="4"/>
  </si>
  <si>
    <t>担当従業員ＩＤ</t>
    <rPh sb="0" eb="2">
      <t>タントウ</t>
    </rPh>
    <phoneticPr fontId="4"/>
  </si>
  <si>
    <t>※1取引に1レコードを作成(ポイントカード登録がある場合のみ)</t>
    <rPh sb="11" eb="13">
      <t>サクセイ</t>
    </rPh>
    <rPh sb="21" eb="23">
      <t>トウロク</t>
    </rPh>
    <rPh sb="26" eb="28">
      <t>バアイ</t>
    </rPh>
    <phoneticPr fontId="4"/>
  </si>
  <si>
    <t>STR_ID</t>
  </si>
  <si>
    <t>GSFD_PNT_TRANS_HEADER/ポイント情報</t>
    <rPh sb="26" eb="28">
      <t>ジョウホウ</t>
    </rPh>
    <phoneticPr fontId="4"/>
  </si>
  <si>
    <t>GSFD_SCAN_CODE</t>
    <phoneticPr fontId="4"/>
  </si>
  <si>
    <t>スキャンコード（単品登録時）</t>
    <phoneticPr fontId="4"/>
  </si>
  <si>
    <t>AUTH_EMP_ID</t>
  </si>
  <si>
    <t>承認従業員ID</t>
    <rPh sb="0" eb="2">
      <t>ショウニン</t>
    </rPh>
    <phoneticPr fontId="7"/>
  </si>
  <si>
    <t>OVRD_PRC</t>
  </si>
  <si>
    <t>変更価格</t>
  </si>
  <si>
    <t>TRAN_ID</t>
  </si>
  <si>
    <t>GSFD_TAX_TYPE</t>
    <phoneticPr fontId="4"/>
  </si>
  <si>
    <t>明細の税種別</t>
    <phoneticPr fontId="4"/>
  </si>
  <si>
    <t>店舗番号</t>
    <rPh sb="0" eb="2">
      <t>テンポ</t>
    </rPh>
    <rPh sb="2" eb="4">
      <t>バンゴウ</t>
    </rPh>
    <phoneticPr fontId="7"/>
  </si>
  <si>
    <t>1：外税、2：内税、3：非課税</t>
    <phoneticPr fontId="4"/>
  </si>
  <si>
    <t>RGST_TRAN_NBR</t>
  </si>
  <si>
    <t>POS取引通番</t>
    <rPh sb="3" eb="5">
      <t>トリヒキ</t>
    </rPh>
    <rPh sb="5" eb="7">
      <t>ツウバン</t>
    </rPh>
    <phoneticPr fontId="7"/>
  </si>
  <si>
    <t>RGST_ID</t>
  </si>
  <si>
    <t>POS番号</t>
  </si>
  <si>
    <t>GSFD_PLU_TAXBLTY_CD</t>
    <phoneticPr fontId="4"/>
  </si>
  <si>
    <t>明細の税種別コード</t>
    <phoneticPr fontId="4"/>
  </si>
  <si>
    <t>※取引に含まれる税種別コード分のレコードを作成</t>
    <rPh sb="1" eb="3">
      <t>トリヒキ</t>
    </rPh>
    <rPh sb="4" eb="5">
      <t>フク</t>
    </rPh>
    <rPh sb="8" eb="9">
      <t>ゼイ</t>
    </rPh>
    <rPh sb="9" eb="11">
      <t>シュベツ</t>
    </rPh>
    <rPh sb="14" eb="15">
      <t>ブン</t>
    </rPh>
    <rPh sb="21" eb="23">
      <t>サクセイ</t>
    </rPh>
    <phoneticPr fontId="4"/>
  </si>
  <si>
    <t>TRAN_STRT_TS</t>
  </si>
  <si>
    <t>取引開始日時</t>
  </si>
  <si>
    <t>1：外税(8%)、2：内税(8%)、3：非課税、4：外税(10%)、5：内税（10％）</t>
    <phoneticPr fontId="4"/>
  </si>
  <si>
    <t>TRANSACTION_TAX/取引の税情報</t>
    <phoneticPr fontId="4"/>
  </si>
  <si>
    <t>CUST_ID</t>
  </si>
  <si>
    <t>顧客コード</t>
  </si>
  <si>
    <t>GSTP_DAILY_RATE</t>
  </si>
  <si>
    <t>スケジュール倍率</t>
  </si>
  <si>
    <t>※支払明細数分のレコードを作成</t>
    <rPh sb="1" eb="3">
      <t>シハラ</t>
    </rPh>
    <rPh sb="3" eb="5">
      <t>メイサイ</t>
    </rPh>
    <rPh sb="5" eb="6">
      <t>スウ</t>
    </rPh>
    <rPh sb="6" eb="7">
      <t>ブン</t>
    </rPh>
    <rPh sb="13" eb="15">
      <t>サクセイ</t>
    </rPh>
    <phoneticPr fontId="4"/>
  </si>
  <si>
    <t>3：税</t>
    <phoneticPr fontId="4"/>
  </si>
  <si>
    <t>TAX_CD</t>
    <phoneticPr fontId="4"/>
  </si>
  <si>
    <t>税金コード</t>
  </si>
  <si>
    <t>TRANSACTION_TENDER/取引の支払情報</t>
    <phoneticPr fontId="4"/>
  </si>
  <si>
    <t xml:space="preserve"> 1：外税、2：内税込み、3：非課税、99：課税対象外</t>
    <phoneticPr fontId="4"/>
  </si>
  <si>
    <t>TAX_MODIF</t>
    <phoneticPr fontId="4"/>
  </si>
  <si>
    <t>税変更コード</t>
  </si>
  <si>
    <t>TAX_AMT</t>
    <phoneticPr fontId="4"/>
  </si>
  <si>
    <t>税金総額</t>
  </si>
  <si>
    <t>VAT_AMT</t>
    <phoneticPr fontId="4"/>
  </si>
  <si>
    <t>内税総額</t>
    <rPh sb="0" eb="1">
      <t>ウチ</t>
    </rPh>
    <rPh sb="1" eb="2">
      <t>ゼイ</t>
    </rPh>
    <phoneticPr fontId="4"/>
  </si>
  <si>
    <t>TND_CD</t>
    <phoneticPr fontId="4"/>
  </si>
  <si>
    <t>支払種別</t>
    <phoneticPr fontId="4"/>
  </si>
  <si>
    <t>VATBL_AMT</t>
    <phoneticPr fontId="4"/>
  </si>
  <si>
    <t>内税金額</t>
    <phoneticPr fontId="4"/>
  </si>
  <si>
    <t>TND_TS</t>
    <phoneticPr fontId="4"/>
  </si>
  <si>
    <t>支払日時</t>
    <rPh sb="2" eb="4">
      <t>ニチジ</t>
    </rPh>
    <phoneticPr fontId="4"/>
  </si>
  <si>
    <t>TAX_BLE_AMT</t>
    <phoneticPr fontId="4"/>
  </si>
  <si>
    <t>課税対象金額</t>
    <rPh sb="2" eb="4">
      <t>タイショウ</t>
    </rPh>
    <phoneticPr fontId="4"/>
  </si>
  <si>
    <t>AMT</t>
    <phoneticPr fontId="4"/>
  </si>
  <si>
    <t>合計金額</t>
  </si>
  <si>
    <t>登録方法コード</t>
  </si>
  <si>
    <t>TND_AMT</t>
    <phoneticPr fontId="4"/>
  </si>
  <si>
    <t>支払総額</t>
    <rPh sb="0" eb="2">
      <t>シハライ</t>
    </rPh>
    <rPh sb="2" eb="4">
      <t>ソウガク</t>
    </rPh>
    <phoneticPr fontId="4"/>
  </si>
  <si>
    <t>※現金以外の支払明細数分のレコードを作成</t>
    <rPh sb="1" eb="3">
      <t>ゲンキン</t>
    </rPh>
    <rPh sb="3" eb="5">
      <t>イガイ</t>
    </rPh>
    <rPh sb="6" eb="8">
      <t>シハラ</t>
    </rPh>
    <rPh sb="8" eb="10">
      <t>メイサイ</t>
    </rPh>
    <rPh sb="10" eb="11">
      <t>スウ</t>
    </rPh>
    <rPh sb="11" eb="12">
      <t>ブン</t>
    </rPh>
    <rPh sb="18" eb="20">
      <t>サクセイ</t>
    </rPh>
    <phoneticPr fontId="4"/>
  </si>
  <si>
    <t>GIFT_CERT_TENDER/現外支払情報</t>
    <phoneticPr fontId="4"/>
  </si>
  <si>
    <t>SRC_STR_ID</t>
  </si>
  <si>
    <t>発行店舗番号</t>
  </si>
  <si>
    <t>GFT_CERT_ID</t>
  </si>
  <si>
    <t>商品券番号</t>
    <rPh sb="0" eb="3">
      <t>ショウヒンケン</t>
    </rPh>
    <phoneticPr fontId="7"/>
  </si>
  <si>
    <t>取引ID</t>
  </si>
  <si>
    <t>GFT_CERT_AMT</t>
  </si>
  <si>
    <t>商品券価格</t>
    <rPh sb="0" eb="3">
      <t>ショウヒンケン</t>
    </rPh>
    <rPh sb="3" eb="5">
      <t>カカク</t>
    </rPh>
    <phoneticPr fontId="7"/>
  </si>
  <si>
    <t>CHANGE_AMT</t>
  </si>
  <si>
    <t>釣銭金額</t>
    <rPh sb="0" eb="2">
      <t>ツリセン</t>
    </rPh>
    <rPh sb="2" eb="4">
      <t>キンガク</t>
    </rPh>
    <phoneticPr fontId="7"/>
  </si>
  <si>
    <t>※1レコードを作成</t>
    <rPh sb="7" eb="9">
      <t>サクセイ</t>
    </rPh>
    <phoneticPr fontId="4"/>
  </si>
  <si>
    <t>GL_TRAN/支払情報</t>
    <phoneticPr fontId="4"/>
  </si>
  <si>
    <t>15 or 16</t>
    <phoneticPr fontId="4"/>
  </si>
  <si>
    <t>GL_TRAN_TS</t>
  </si>
  <si>
    <t>取引日時</t>
    <rPh sb="2" eb="4">
      <t>ニチジ</t>
    </rPh>
    <phoneticPr fontId="6"/>
  </si>
  <si>
    <t xml:space="preserve">   15:入金、16:出金</t>
    <rPh sb="6" eb="8">
      <t>ニュウキン</t>
    </rPh>
    <rPh sb="12" eb="14">
      <t>シュッキン</t>
    </rPh>
    <phoneticPr fontId="4"/>
  </si>
  <si>
    <t>VOID_CD</t>
  </si>
  <si>
    <t>取消コード</t>
    <rPh sb="0" eb="2">
      <t>トリケシ</t>
    </rPh>
    <phoneticPr fontId="6"/>
  </si>
  <si>
    <t>TND_CD</t>
  </si>
  <si>
    <t>支払種別</t>
    <rPh sb="2" eb="4">
      <t>シュベツ</t>
    </rPh>
    <phoneticPr fontId="6"/>
  </si>
  <si>
    <t>STAT</t>
  </si>
  <si>
    <t>GL_ACCT_ID</t>
  </si>
  <si>
    <t>G/LアカウントID</t>
  </si>
  <si>
    <t>GL_AMT</t>
  </si>
  <si>
    <t>金額</t>
  </si>
  <si>
    <t>REAS_CD</t>
  </si>
  <si>
    <t>理由コード</t>
  </si>
  <si>
    <t>DESCR</t>
  </si>
  <si>
    <t>入出金名称</t>
    <rPh sb="0" eb="3">
      <t>ニュウシュッキン</t>
    </rPh>
    <rPh sb="3" eb="5">
      <t>メイショウ</t>
    </rPh>
    <phoneticPr fontId="6"/>
  </si>
  <si>
    <t>※釣銭補充は、TRANS_HEADERのみ</t>
    <phoneticPr fontId="4"/>
  </si>
  <si>
    <t>LOAN_PICKUP/入出金情報</t>
    <phoneticPr fontId="4"/>
  </si>
  <si>
    <t>LOAN_PKUP_TS</t>
  </si>
  <si>
    <t>日時情報</t>
    <rPh sb="0" eb="2">
      <t>ニチジ</t>
    </rPh>
    <rPh sb="2" eb="4">
      <t>ジョウホウ</t>
    </rPh>
    <phoneticPr fontId="4"/>
  </si>
  <si>
    <t>TILL_ID</t>
  </si>
  <si>
    <t>ティルＩＤ</t>
    <phoneticPr fontId="4"/>
  </si>
  <si>
    <t>11 or 12</t>
    <phoneticPr fontId="4"/>
  </si>
  <si>
    <t>店舗番号</t>
    <phoneticPr fontId="4"/>
  </si>
  <si>
    <t xml:space="preserve">  11:釣銭準備金、12:中間回収</t>
    <rPh sb="5" eb="7">
      <t>ツリセン</t>
    </rPh>
    <rPh sb="7" eb="10">
      <t>ジュンビキン</t>
    </rPh>
    <rPh sb="14" eb="16">
      <t>チュウカン</t>
    </rPh>
    <rPh sb="16" eb="18">
      <t>カイシュウ</t>
    </rPh>
    <phoneticPr fontId="4"/>
  </si>
  <si>
    <t>取引明細番号</t>
    <phoneticPr fontId="4"/>
  </si>
  <si>
    <t>EMP_ID</t>
  </si>
  <si>
    <t>従業員コード</t>
    <phoneticPr fontId="4"/>
  </si>
  <si>
    <t>DEST_TILL_ID</t>
  </si>
  <si>
    <t>地域ティルＩＤ</t>
    <rPh sb="0" eb="2">
      <t>チイキ</t>
    </rPh>
    <phoneticPr fontId="4"/>
  </si>
  <si>
    <t>ENVLP_ID</t>
  </si>
  <si>
    <t>袋ＩＤ</t>
    <rPh sb="0" eb="1">
      <t>フクロ</t>
    </rPh>
    <phoneticPr fontId="4"/>
  </si>
  <si>
    <t>AMT</t>
  </si>
  <si>
    <t>合計金額</t>
    <rPh sb="0" eb="2">
      <t>ゴウケイ</t>
    </rPh>
    <rPh sb="2" eb="4">
      <t>キンガク</t>
    </rPh>
    <phoneticPr fontId="4"/>
  </si>
  <si>
    <t>TND_CNT</t>
  </si>
  <si>
    <t>テンダーユニット数</t>
    <rPh sb="8" eb="9">
      <t>スウ</t>
    </rPh>
    <phoneticPr fontId="4"/>
  </si>
  <si>
    <t>DECLR_CD</t>
  </si>
  <si>
    <t>申告タイプ</t>
    <rPh sb="0" eb="2">
      <t>シンコク</t>
    </rPh>
    <phoneticPr fontId="4"/>
  </si>
  <si>
    <t>理由コード</t>
    <rPh sb="0" eb="2">
      <t>リユウ</t>
    </rPh>
    <phoneticPr fontId="4"/>
  </si>
  <si>
    <t>取消コード</t>
    <phoneticPr fontId="4"/>
  </si>
  <si>
    <t>GSFD_TRNING_MDE_FG</t>
  </si>
  <si>
    <t>練習モードフラグ</t>
    <rPh sb="0" eb="2">
      <t>レンシュウ</t>
    </rPh>
    <phoneticPr fontId="4"/>
  </si>
  <si>
    <t>取引ログテーブル関連図（補足説明）</t>
    <rPh sb="12" eb="14">
      <t>ホソク</t>
    </rPh>
    <rPh sb="14" eb="16">
      <t>セツメイ</t>
    </rPh>
    <phoneticPr fontId="4"/>
  </si>
  <si>
    <t>※説明対象テーブルのみを抜粋</t>
    <rPh sb="1" eb="3">
      <t>セツメイ</t>
    </rPh>
    <rPh sb="3" eb="5">
      <t>タイショウ</t>
    </rPh>
    <rPh sb="12" eb="14">
      <t>バッスイ</t>
    </rPh>
    <phoneticPr fontId="4"/>
  </si>
  <si>
    <t>6079449</t>
  </si>
  <si>
    <t>6079449</t>
    <phoneticPr fontId="4"/>
  </si>
  <si>
    <t>54</t>
  </si>
  <si>
    <t>1</t>
  </si>
  <si>
    <t>5</t>
    <phoneticPr fontId="4"/>
  </si>
  <si>
    <t>0000010000001</t>
    <phoneticPr fontId="4"/>
  </si>
  <si>
    <t>2162000001918</t>
    <phoneticPr fontId="4"/>
  </si>
  <si>
    <t>1</t>
    <phoneticPr fontId="4"/>
  </si>
  <si>
    <t>2248</t>
    <phoneticPr fontId="4"/>
  </si>
  <si>
    <t>RTL_PRC</t>
  </si>
  <si>
    <t>LN_DISCOUNT/値引情報</t>
  </si>
  <si>
    <t>※単品系：単品に対する値引はLN_DETAILと１：１でレコードを作成（例：マニュアル値引 10%割引)</t>
    <rPh sb="1" eb="3">
      <t>タンピン</t>
    </rPh>
    <rPh sb="3" eb="4">
      <t>ケイ</t>
    </rPh>
    <rPh sb="5" eb="7">
      <t>タンピン</t>
    </rPh>
    <rPh sb="8" eb="9">
      <t>タイ</t>
    </rPh>
    <rPh sb="11" eb="13">
      <t>ネビ</t>
    </rPh>
    <rPh sb="33" eb="35">
      <t>サクセイ</t>
    </rPh>
    <rPh sb="36" eb="37">
      <t>レイ</t>
    </rPh>
    <rPh sb="43" eb="45">
      <t>ネビ</t>
    </rPh>
    <rPh sb="49" eb="51">
      <t>ワリビキ</t>
    </rPh>
    <phoneticPr fontId="4"/>
  </si>
  <si>
    <t>2603000711365</t>
  </si>
  <si>
    <t>PFK</t>
    <phoneticPr fontId="4"/>
  </si>
  <si>
    <t>3</t>
    <phoneticPr fontId="4"/>
  </si>
  <si>
    <t xml:space="preserve"> 2：％値引</t>
    <phoneticPr fontId="4"/>
  </si>
  <si>
    <t>0000010000002</t>
    <phoneticPr fontId="4"/>
  </si>
  <si>
    <t>【説明例】</t>
    <rPh sb="1" eb="3">
      <t>セツメイ</t>
    </rPh>
    <rPh sb="3" eb="4">
      <t>レイ</t>
    </rPh>
    <phoneticPr fontId="4"/>
  </si>
  <si>
    <t>2162000001390</t>
    <phoneticPr fontId="4"/>
  </si>
  <si>
    <t>2271</t>
    <phoneticPr fontId="4"/>
  </si>
  <si>
    <t>91220：マニュアル値引</t>
    <phoneticPr fontId="4"/>
  </si>
  <si>
    <t>※複数明細系：複数の商品に対する値引はLN_DETAILとｎ：１でレコードを作成（例：マニュアル小計値引 532円引き)</t>
    <rPh sb="1" eb="3">
      <t>フクスウ</t>
    </rPh>
    <rPh sb="3" eb="5">
      <t>メイサイ</t>
    </rPh>
    <rPh sb="5" eb="6">
      <t>ケイ</t>
    </rPh>
    <rPh sb="7" eb="9">
      <t>フクスウ</t>
    </rPh>
    <rPh sb="10" eb="12">
      <t>ショウヒン</t>
    </rPh>
    <rPh sb="48" eb="50">
      <t>ショウケイ</t>
    </rPh>
    <rPh sb="56" eb="57">
      <t>エン</t>
    </rPh>
    <rPh sb="57" eb="58">
      <t>ビ</t>
    </rPh>
    <phoneticPr fontId="4"/>
  </si>
  <si>
    <t>13：小計額値引</t>
    <phoneticPr fontId="4"/>
  </si>
  <si>
    <t>0000010000003</t>
    <phoneticPr fontId="4"/>
  </si>
  <si>
    <t>4901650291533</t>
    <phoneticPr fontId="4"/>
  </si>
  <si>
    <t>91400：マニュアル小計値引</t>
    <phoneticPr fontId="4"/>
  </si>
  <si>
    <t>【値引種類】</t>
    <rPh sb="1" eb="3">
      <t>ネビ</t>
    </rPh>
    <rPh sb="3" eb="5">
      <t>シュルイ</t>
    </rPh>
    <phoneticPr fontId="4"/>
  </si>
  <si>
    <t>※小計値引除外商品</t>
    <rPh sb="1" eb="3">
      <t>ショウケイ</t>
    </rPh>
    <rPh sb="3" eb="5">
      <t>ネビ</t>
    </rPh>
    <rPh sb="5" eb="7">
      <t>ジョガイ</t>
    </rPh>
    <rPh sb="7" eb="9">
      <t>ショウヒン</t>
    </rPh>
    <phoneticPr fontId="4"/>
  </si>
  <si>
    <t>種別</t>
    <rPh sb="0" eb="2">
      <t>シュベツ</t>
    </rPh>
    <phoneticPr fontId="4"/>
  </si>
  <si>
    <t>値引</t>
    <rPh sb="0" eb="2">
      <t>ネビ</t>
    </rPh>
    <phoneticPr fontId="4"/>
  </si>
  <si>
    <t>単品系</t>
    <rPh sb="0" eb="2">
      <t>タンピン</t>
    </rPh>
    <rPh sb="2" eb="3">
      <t>ケイ</t>
    </rPh>
    <phoneticPr fontId="4"/>
  </si>
  <si>
    <t>91110(会員)/91111(一般)</t>
    <rPh sb="6" eb="8">
      <t>カイイン</t>
    </rPh>
    <rPh sb="16" eb="18">
      <t>イッパン</t>
    </rPh>
    <phoneticPr fontId="4"/>
  </si>
  <si>
    <t>マークダウン</t>
    <phoneticPr fontId="4"/>
  </si>
  <si>
    <t>91120(会員)/91121(一般)</t>
    <rPh sb="6" eb="8">
      <t>カイイン</t>
    </rPh>
    <rPh sb="16" eb="18">
      <t>イッパン</t>
    </rPh>
    <phoneticPr fontId="4"/>
  </si>
  <si>
    <t>タイムサービス</t>
    <phoneticPr fontId="4"/>
  </si>
  <si>
    <t>6</t>
    <phoneticPr fontId="4"/>
  </si>
  <si>
    <t>91140(会員)/91141(一般)</t>
    <rPh sb="6" eb="8">
      <t>カイイン</t>
    </rPh>
    <rPh sb="16" eb="18">
      <t>イッパン</t>
    </rPh>
    <phoneticPr fontId="4"/>
  </si>
  <si>
    <t>期間特売</t>
    <rPh sb="0" eb="2">
      <t>キカン</t>
    </rPh>
    <rPh sb="2" eb="4">
      <t>トクバイ</t>
    </rPh>
    <phoneticPr fontId="4"/>
  </si>
  <si>
    <t>マニュアル値引、バーコード値引</t>
    <rPh sb="5" eb="7">
      <t>ネビ</t>
    </rPh>
    <rPh sb="13" eb="15">
      <t>ネビ</t>
    </rPh>
    <phoneticPr fontId="4"/>
  </si>
  <si>
    <t>複数明細系</t>
    <rPh sb="0" eb="2">
      <t>フクスウ</t>
    </rPh>
    <rPh sb="2" eb="4">
      <t>メイサイ</t>
    </rPh>
    <rPh sb="4" eb="5">
      <t>ケイ</t>
    </rPh>
    <phoneticPr fontId="4"/>
  </si>
  <si>
    <t>91315(会員)/91316(一般)</t>
    <rPh sb="6" eb="8">
      <t>カイイン</t>
    </rPh>
    <rPh sb="16" eb="18">
      <t>イッパン</t>
    </rPh>
    <phoneticPr fontId="4"/>
  </si>
  <si>
    <t>バンドル</t>
    <phoneticPr fontId="4"/>
  </si>
  <si>
    <t>91317(会員)/91318(一般)</t>
    <rPh sb="6" eb="8">
      <t>カイイン</t>
    </rPh>
    <rPh sb="16" eb="18">
      <t>イッパン</t>
    </rPh>
    <phoneticPr fontId="4"/>
  </si>
  <si>
    <t>ペアマッチ</t>
    <phoneticPr fontId="4"/>
  </si>
  <si>
    <t>0000010000004</t>
    <phoneticPr fontId="4"/>
  </si>
  <si>
    <t>商品階層自動値引(中分類) 除外</t>
    <rPh sb="0" eb="2">
      <t>ショウヒン</t>
    </rPh>
    <rPh sb="2" eb="4">
      <t>カイソウ</t>
    </rPh>
    <rPh sb="4" eb="6">
      <t>ジドウ</t>
    </rPh>
    <rPh sb="6" eb="8">
      <t>ネビ</t>
    </rPh>
    <rPh sb="9" eb="12">
      <t>チュウブンルイ</t>
    </rPh>
    <rPh sb="14" eb="16">
      <t>ジョガイ</t>
    </rPh>
    <phoneticPr fontId="4"/>
  </si>
  <si>
    <t>4900000111118</t>
    <phoneticPr fontId="4"/>
  </si>
  <si>
    <t>商品階層自動値引(中分類)</t>
    <rPh sb="0" eb="2">
      <t>ショウヒン</t>
    </rPh>
    <rPh sb="2" eb="4">
      <t>カイソウ</t>
    </rPh>
    <rPh sb="4" eb="6">
      <t>ジドウ</t>
    </rPh>
    <rPh sb="6" eb="8">
      <t>ネビ</t>
    </rPh>
    <rPh sb="9" eb="12">
      <t>チュウブンルイ</t>
    </rPh>
    <phoneticPr fontId="4"/>
  </si>
  <si>
    <t>商品階層自動値引(大分類) 除外</t>
    <rPh sb="0" eb="2">
      <t>ショウヒン</t>
    </rPh>
    <rPh sb="2" eb="4">
      <t>カイソウ</t>
    </rPh>
    <rPh sb="4" eb="6">
      <t>ジドウ</t>
    </rPh>
    <rPh sb="6" eb="8">
      <t>ネビ</t>
    </rPh>
    <rPh sb="9" eb="10">
      <t>ダイ</t>
    </rPh>
    <rPh sb="10" eb="12">
      <t>ブンルイ</t>
    </rPh>
    <rPh sb="14" eb="16">
      <t>ジョガイ</t>
    </rPh>
    <phoneticPr fontId="4"/>
  </si>
  <si>
    <t>商品階層自動値引(大分類)</t>
    <rPh sb="0" eb="2">
      <t>ショウヒン</t>
    </rPh>
    <rPh sb="2" eb="4">
      <t>カイソウ</t>
    </rPh>
    <rPh sb="4" eb="6">
      <t>ジドウ</t>
    </rPh>
    <rPh sb="6" eb="8">
      <t>ネビ</t>
    </rPh>
    <rPh sb="9" eb="10">
      <t>ダイ</t>
    </rPh>
    <rPh sb="10" eb="12">
      <t>ブンルイ</t>
    </rPh>
    <phoneticPr fontId="4"/>
  </si>
  <si>
    <t>91329(会員)/91330(一般)</t>
    <rPh sb="6" eb="8">
      <t>カイイン</t>
    </rPh>
    <rPh sb="16" eb="18">
      <t>イッパン</t>
    </rPh>
    <phoneticPr fontId="4"/>
  </si>
  <si>
    <t>小計自動値引</t>
    <rPh sb="4" eb="6">
      <t>ネビ</t>
    </rPh>
    <phoneticPr fontId="4"/>
  </si>
  <si>
    <t>1000</t>
    <phoneticPr fontId="4"/>
  </si>
  <si>
    <t>マニュアル小計値引</t>
    <phoneticPr fontId="4"/>
  </si>
  <si>
    <t>LN_LINK/取引明細のリンク情報</t>
  </si>
  <si>
    <t xml:space="preserve"> 1：外税(8%)</t>
    <phoneticPr fontId="4"/>
  </si>
  <si>
    <t xml:space="preserve"> 4：外税(10%)</t>
    <phoneticPr fontId="4"/>
  </si>
  <si>
    <t>取引ログ作成時の注意事項</t>
    <rPh sb="0" eb="2">
      <t>トリヒキ</t>
    </rPh>
    <rPh sb="4" eb="6">
      <t>サクセイ</t>
    </rPh>
    <rPh sb="6" eb="7">
      <t>ジ</t>
    </rPh>
    <rPh sb="8" eb="10">
      <t>チュウイ</t>
    </rPh>
    <rPh sb="10" eb="12">
      <t>ジコウ</t>
    </rPh>
    <phoneticPr fontId="7"/>
  </si>
  <si>
    <t>(1)</t>
    <phoneticPr fontId="4"/>
  </si>
  <si>
    <t>内税のリンク例</t>
    <rPh sb="0" eb="2">
      <t>ウチゼイ</t>
    </rPh>
    <rPh sb="6" eb="7">
      <t>レイ</t>
    </rPh>
    <phoneticPr fontId="4"/>
  </si>
  <si>
    <t>(*1.5)</t>
    <phoneticPr fontId="4"/>
  </si>
  <si>
    <t>商品明細</t>
    <rPh sb="0" eb="4">
      <t>ショウヒンメイサイ</t>
    </rPh>
    <phoneticPr fontId="4"/>
  </si>
  <si>
    <t>1個</t>
    <rPh sb="1" eb="2">
      <t>コ</t>
    </rPh>
    <phoneticPr fontId="4"/>
  </si>
  <si>
    <t>\200</t>
    <phoneticPr fontId="4"/>
  </si>
  <si>
    <t>内税10%商品(税抜価格：\182)</t>
    <rPh sb="0" eb="2">
      <t>ウチゼイ</t>
    </rPh>
    <rPh sb="8" eb="10">
      <t>ゼイヌ</t>
    </rPh>
    <rPh sb="10" eb="12">
      <t>カカク</t>
    </rPh>
    <phoneticPr fontId="4"/>
  </si>
  <si>
    <t>内税8%商品(税抜価格：\186)</t>
    <rPh sb="0" eb="2">
      <t>ウチゼイ</t>
    </rPh>
    <phoneticPr fontId="4"/>
  </si>
  <si>
    <t>預金</t>
    <rPh sb="0" eb="2">
      <t>アズカリキン</t>
    </rPh>
    <phoneticPr fontId="4"/>
  </si>
  <si>
    <t>\400</t>
    <phoneticPr fontId="4"/>
  </si>
  <si>
    <t>税種別（TAX_CD)</t>
    <rPh sb="0" eb="1">
      <t>ゼイ</t>
    </rPh>
    <rPh sb="1" eb="3">
      <t>シュベツ</t>
    </rPh>
    <phoneticPr fontId="4"/>
  </si>
  <si>
    <t>外税：１、内税：２、非課税：３、内税：９９</t>
  </si>
  <si>
    <t>取引情報</t>
    <phoneticPr fontId="4"/>
  </si>
  <si>
    <t>商品明細情報</t>
    <rPh sb="0" eb="2">
      <t>ショウヒン</t>
    </rPh>
    <rPh sb="2" eb="4">
      <t>メイサイ</t>
    </rPh>
    <rPh sb="4" eb="6">
      <t>ジョウホウ</t>
    </rPh>
    <phoneticPr fontId="4"/>
  </si>
  <si>
    <t>取引明細のリンク情報</t>
    <rPh sb="0" eb="2">
      <t>トリヒキ</t>
    </rPh>
    <rPh sb="2" eb="4">
      <t>メイサイ</t>
    </rPh>
    <rPh sb="8" eb="10">
      <t>ジョウホウ</t>
    </rPh>
    <phoneticPr fontId="4"/>
  </si>
  <si>
    <t>TRSNS_HEADER</t>
    <phoneticPr fontId="4"/>
  </si>
  <si>
    <t>LN_DETAIL</t>
    <phoneticPr fontId="4"/>
  </si>
  <si>
    <t>TRANSACTION_TAX</t>
    <phoneticPr fontId="4"/>
  </si>
  <si>
    <t>内税10%のレコード</t>
    <phoneticPr fontId="4"/>
  </si>
  <si>
    <t>TS/Mで採番</t>
    <rPh sb="5" eb="7">
      <t>サイバン</t>
    </rPh>
    <phoneticPr fontId="4"/>
  </si>
  <si>
    <t>TAX_CD</t>
  </si>
  <si>
    <t>5(内税10%)</t>
    <rPh sb="2" eb="4">
      <t>ウチゼイ</t>
    </rPh>
    <phoneticPr fontId="4"/>
  </si>
  <si>
    <t>内税10%商品のレコード</t>
    <phoneticPr fontId="4"/>
  </si>
  <si>
    <t>LINK_TYP</t>
    <phoneticPr fontId="4"/>
  </si>
  <si>
    <t>内税のリンク情報</t>
    <rPh sb="0" eb="2">
      <t>ウチゼイ</t>
    </rPh>
    <rPh sb="6" eb="8">
      <t>ジョウホウ</t>
    </rPh>
    <phoneticPr fontId="4"/>
  </si>
  <si>
    <t>VATABL_AMT</t>
    <phoneticPr fontId="4"/>
  </si>
  <si>
    <t>TAXBLE_AMT</t>
    <phoneticPr fontId="4"/>
  </si>
  <si>
    <t>商品明細に紐づく税情報</t>
    <rPh sb="0" eb="2">
      <t>ショウヒン</t>
    </rPh>
    <rPh sb="2" eb="4">
      <t>メイサイ</t>
    </rPh>
    <rPh sb="5" eb="6">
      <t>ヒモ</t>
    </rPh>
    <rPh sb="8" eb="11">
      <t>ゼイジョウホウ</t>
    </rPh>
    <phoneticPr fontId="4"/>
  </si>
  <si>
    <t>３つのリンクと1つの税情報を作成する。</t>
    <rPh sb="10" eb="13">
      <t>ゼイジョウホウ</t>
    </rPh>
    <rPh sb="14" eb="16">
      <t>サクセイ</t>
    </rPh>
    <phoneticPr fontId="4"/>
  </si>
  <si>
    <t>内税額のリンク情報</t>
    <rPh sb="0" eb="2">
      <t>ウチゼイ</t>
    </rPh>
    <rPh sb="2" eb="3">
      <t>ガク</t>
    </rPh>
    <rPh sb="7" eb="9">
      <t>ジョウホウ</t>
    </rPh>
    <phoneticPr fontId="4"/>
  </si>
  <si>
    <t>内税商品額(税抜き)のリンク情報</t>
    <phoneticPr fontId="4"/>
  </si>
  <si>
    <t>内税合計のレコード</t>
    <rPh sb="0" eb="2">
      <t>ウチゼイ</t>
    </rPh>
    <rPh sb="2" eb="4">
      <t>ゴウケイ</t>
    </rPh>
    <phoneticPr fontId="4"/>
  </si>
  <si>
    <t>99(内税)</t>
    <rPh sb="3" eb="5">
      <t>ウチゼイ</t>
    </rPh>
    <phoneticPr fontId="4"/>
  </si>
  <si>
    <t>内税の合計情報</t>
    <rPh sb="0" eb="2">
      <t>ウチゼイ</t>
    </rPh>
    <rPh sb="3" eb="5">
      <t>ゴウケイ</t>
    </rPh>
    <rPh sb="5" eb="7">
      <t>ジョウホウ</t>
    </rPh>
    <phoneticPr fontId="4"/>
  </si>
  <si>
    <t>(内税10%・内税8%の合計)</t>
    <rPh sb="1" eb="3">
      <t>ウチゼイ</t>
    </rPh>
    <rPh sb="12" eb="14">
      <t>ゴウケイ</t>
    </rPh>
    <phoneticPr fontId="4"/>
  </si>
  <si>
    <t>内税合計のレコードへのリンク</t>
    <rPh sb="0" eb="2">
      <t>ウチゼイ</t>
    </rPh>
    <rPh sb="2" eb="4">
      <t>ゴウケイ</t>
    </rPh>
    <phoneticPr fontId="4"/>
  </si>
  <si>
    <t>内税8%のレコード</t>
    <phoneticPr fontId="4"/>
  </si>
  <si>
    <t>2(内税8%)</t>
    <rPh sb="2" eb="4">
      <t>ウチゼイ</t>
    </rPh>
    <phoneticPr fontId="4"/>
  </si>
  <si>
    <t>内税8%商品のレコード</t>
    <phoneticPr fontId="4"/>
  </si>
  <si>
    <t>現金（支払）のレコード</t>
    <rPh sb="0" eb="2">
      <t>ゲンキン</t>
    </rPh>
    <rPh sb="3" eb="5">
      <t>シハラ</t>
    </rPh>
    <phoneticPr fontId="4"/>
  </si>
  <si>
    <t>(2)</t>
    <phoneticPr fontId="4"/>
  </si>
  <si>
    <t>お釣り発生時のリンク例</t>
    <rPh sb="1" eb="2">
      <t>ツ</t>
    </rPh>
    <rPh sb="3" eb="6">
      <t>ハッセイジ</t>
    </rPh>
    <rPh sb="10" eb="11">
      <t>レイ</t>
    </rPh>
    <phoneticPr fontId="4"/>
  </si>
  <si>
    <t>\168</t>
    <phoneticPr fontId="4"/>
  </si>
  <si>
    <t>外税8%商品（税抜き価格）、税込み \181</t>
    <rPh sb="0" eb="2">
      <t>ソトゼイ</t>
    </rPh>
    <rPh sb="4" eb="6">
      <t>ショウヒン</t>
    </rPh>
    <rPh sb="7" eb="9">
      <t>ゼイヌ</t>
    </rPh>
    <rPh sb="10" eb="12">
      <t>カカク</t>
    </rPh>
    <rPh sb="14" eb="16">
      <t>ゼイコ</t>
    </rPh>
    <phoneticPr fontId="4"/>
  </si>
  <si>
    <t>お釣り</t>
    <rPh sb="1" eb="2">
      <t>ツ</t>
    </rPh>
    <phoneticPr fontId="4"/>
  </si>
  <si>
    <t xml:space="preserve"> \19</t>
    <phoneticPr fontId="4"/>
  </si>
  <si>
    <t>外税のレコード</t>
    <rPh sb="0" eb="2">
      <t>ソトゼイ</t>
    </rPh>
    <phoneticPr fontId="4"/>
  </si>
  <si>
    <t>1(外税)</t>
    <rPh sb="2" eb="4">
      <t>ソトゼイ</t>
    </rPh>
    <phoneticPr fontId="4"/>
  </si>
  <si>
    <t>TAX＿AMT</t>
    <phoneticPr fontId="4"/>
  </si>
  <si>
    <t>現金（入金）のレコード</t>
    <rPh sb="0" eb="2">
      <t>ゲンキン</t>
    </rPh>
    <rPh sb="3" eb="5">
      <t>ニュウキン</t>
    </rPh>
    <phoneticPr fontId="4"/>
  </si>
  <si>
    <t>現金（入金）と現金（お釣り）の２レコード作成</t>
    <rPh sb="0" eb="2">
      <t>ゲンキン</t>
    </rPh>
    <rPh sb="7" eb="9">
      <t>ゲンキン</t>
    </rPh>
    <rPh sb="11" eb="12">
      <t>ツ</t>
    </rPh>
    <rPh sb="20" eb="22">
      <t>サクセイ</t>
    </rPh>
    <phoneticPr fontId="4"/>
  </si>
  <si>
    <t>現金（お釣り）のレコード</t>
    <rPh sb="0" eb="2">
      <t>ゲンキン</t>
    </rPh>
    <rPh sb="4" eb="5">
      <t>ツ</t>
    </rPh>
    <phoneticPr fontId="4"/>
  </si>
  <si>
    <t>(3)</t>
    <phoneticPr fontId="4"/>
  </si>
  <si>
    <t>現外支払いのリンク例</t>
    <rPh sb="0" eb="2">
      <t>ゲンガイ</t>
    </rPh>
    <rPh sb="2" eb="4">
      <t>シハラ</t>
    </rPh>
    <phoneticPr fontId="4"/>
  </si>
  <si>
    <t>外税8%商品（税抜き価格）、税込み \181</t>
    <rPh sb="0" eb="2">
      <t>ソトゼイ</t>
    </rPh>
    <rPh sb="4" eb="6">
      <t>ショウヒン</t>
    </rPh>
    <rPh sb="7" eb="9">
      <t>ゼイヌ</t>
    </rPh>
    <rPh sb="10" eb="12">
      <t>カカク</t>
    </rPh>
    <phoneticPr fontId="4"/>
  </si>
  <si>
    <t>現外支払</t>
    <rPh sb="0" eb="2">
      <t>ゲンガイ</t>
    </rPh>
    <rPh sb="2" eb="4">
      <t>シハラ</t>
    </rPh>
    <phoneticPr fontId="4"/>
  </si>
  <si>
    <t>\181</t>
    <phoneticPr fontId="4"/>
  </si>
  <si>
    <t>なし</t>
    <phoneticPr fontId="4"/>
  </si>
  <si>
    <t>ダミー支払レコード</t>
    <rPh sb="3" eb="5">
      <t>シハラ</t>
    </rPh>
    <phoneticPr fontId="4"/>
  </si>
  <si>
    <t>支払を行った場合、ダミー支払レコードを作成</t>
    <rPh sb="0" eb="2">
      <t>シハラ</t>
    </rPh>
    <rPh sb="3" eb="4">
      <t>オコナ</t>
    </rPh>
    <rPh sb="6" eb="8">
      <t>バアイ</t>
    </rPh>
    <rPh sb="12" eb="14">
      <t>シハラ</t>
    </rPh>
    <rPh sb="19" eb="21">
      <t>サクセイ</t>
    </rPh>
    <phoneticPr fontId="4"/>
  </si>
  <si>
    <t>※但し、コード決済とクレジット支払については、ダミーレコードの作成は不要</t>
    <rPh sb="1" eb="2">
      <t>タダ</t>
    </rPh>
    <rPh sb="31" eb="33">
      <t>サクセイ</t>
    </rPh>
    <phoneticPr fontId="4"/>
  </si>
  <si>
    <t>*1.5</t>
    <phoneticPr fontId="4"/>
  </si>
  <si>
    <t>支払レコード</t>
    <rPh sb="0" eb="2">
      <t>シハラ</t>
    </rPh>
    <phoneticPr fontId="4"/>
  </si>
  <si>
    <t>(4)</t>
    <phoneticPr fontId="4"/>
  </si>
  <si>
    <t>現外と現金の併用のリンク例</t>
    <rPh sb="0" eb="2">
      <t>ゲンガイ</t>
    </rPh>
    <rPh sb="3" eb="5">
      <t>ゲンキン</t>
    </rPh>
    <rPh sb="6" eb="8">
      <t>ヘイヨウ</t>
    </rPh>
    <phoneticPr fontId="4"/>
  </si>
  <si>
    <t xml:space="preserve"> \50</t>
    <phoneticPr fontId="4"/>
  </si>
  <si>
    <t xml:space="preserve"> \69</t>
    <phoneticPr fontId="4"/>
  </si>
  <si>
    <t>(5)</t>
    <phoneticPr fontId="4"/>
  </si>
  <si>
    <t>特売・タイムサービス・マークダウン</t>
    <rPh sb="0" eb="2">
      <t>トクバイ</t>
    </rPh>
    <phoneticPr fontId="4"/>
  </si>
  <si>
    <t>通常の値引の場合（マニュアル値引の例を記載）</t>
    <rPh sb="0" eb="2">
      <t>ツウジョウ</t>
    </rPh>
    <rPh sb="3" eb="5">
      <t>ネビキ</t>
    </rPh>
    <rPh sb="6" eb="8">
      <t>バアイ</t>
    </rPh>
    <rPh sb="14" eb="16">
      <t>ネビキ</t>
    </rPh>
    <rPh sb="17" eb="18">
      <t>レイ</t>
    </rPh>
    <rPh sb="19" eb="21">
      <t>キサイ</t>
    </rPh>
    <phoneticPr fontId="4"/>
  </si>
  <si>
    <t>外税8%商品（税抜き価格）</t>
    <rPh sb="0" eb="2">
      <t>ソトゼイ</t>
    </rPh>
    <rPh sb="4" eb="6">
      <t>ショウヒン</t>
    </rPh>
    <rPh sb="7" eb="9">
      <t>ゼイヌ</t>
    </rPh>
    <rPh sb="10" eb="12">
      <t>カカク</t>
    </rPh>
    <phoneticPr fontId="4"/>
  </si>
  <si>
    <t>マニュアル値引</t>
    <rPh sb="5" eb="7">
      <t>ネビキ</t>
    </rPh>
    <phoneticPr fontId="4"/>
  </si>
  <si>
    <t>-\10</t>
    <phoneticPr fontId="4"/>
  </si>
  <si>
    <t>値引後 税込み \170</t>
    <rPh sb="0" eb="2">
      <t>ネビキ</t>
    </rPh>
    <rPh sb="2" eb="3">
      <t>ゴ</t>
    </rPh>
    <rPh sb="4" eb="6">
      <t>ゼイコ</t>
    </rPh>
    <phoneticPr fontId="4"/>
  </si>
  <si>
    <t>GSFD_SELLING_PRC</t>
  </si>
  <si>
    <t>売価</t>
    <rPh sb="0" eb="2">
      <t>バイカ</t>
    </rPh>
    <phoneticPr fontId="4"/>
  </si>
  <si>
    <t>を設定</t>
    <rPh sb="1" eb="3">
      <t>セッテイ</t>
    </rPh>
    <phoneticPr fontId="4"/>
  </si>
  <si>
    <t>取引明細の値引情報</t>
    <rPh sb="0" eb="2">
      <t>トリヒキ</t>
    </rPh>
    <rPh sb="2" eb="4">
      <t>メイサイ</t>
    </rPh>
    <rPh sb="5" eb="7">
      <t>ネビキ</t>
    </rPh>
    <rPh sb="7" eb="9">
      <t>ジョウホウ</t>
    </rPh>
    <phoneticPr fontId="4"/>
  </si>
  <si>
    <t>特売・タイムサービス・マークダウン以外の場合は</t>
    <rPh sb="0" eb="2">
      <t>トクバイ</t>
    </rPh>
    <rPh sb="17" eb="19">
      <t>イガイ</t>
    </rPh>
    <rPh sb="20" eb="22">
      <t>バアイ</t>
    </rPh>
    <phoneticPr fontId="4"/>
  </si>
  <si>
    <t>値引額を設定する</t>
    <rPh sb="0" eb="3">
      <t>ネビキガク</t>
    </rPh>
    <rPh sb="4" eb="6">
      <t>セッテイ</t>
    </rPh>
    <phoneticPr fontId="4"/>
  </si>
  <si>
    <t>特売・タイムサービス・マークダウンの場合</t>
    <rPh sb="0" eb="2">
      <t>トクバイ</t>
    </rPh>
    <rPh sb="18" eb="20">
      <t>バアイ</t>
    </rPh>
    <phoneticPr fontId="4"/>
  </si>
  <si>
    <t>特売（額値引）</t>
    <rPh sb="0" eb="2">
      <t>トクバイ</t>
    </rPh>
    <rPh sb="3" eb="4">
      <t>ガク</t>
    </rPh>
    <rPh sb="4" eb="6">
      <t>ネビキ</t>
    </rPh>
    <phoneticPr fontId="4"/>
  </si>
  <si>
    <t>特売価格</t>
    <rPh sb="0" eb="2">
      <t>トクバイ</t>
    </rPh>
    <rPh sb="2" eb="4">
      <t>カカク</t>
    </rPh>
    <phoneticPr fontId="4"/>
  </si>
  <si>
    <t>特売・タイムサービス・マークダウンの場合は\0を設定する</t>
    <rPh sb="0" eb="2">
      <t>トクバイ</t>
    </rPh>
    <rPh sb="18" eb="20">
      <t>バアイ</t>
    </rPh>
    <rPh sb="24" eb="26">
      <t>セッテイ</t>
    </rPh>
    <phoneticPr fontId="4"/>
  </si>
  <si>
    <t>(6)</t>
    <phoneticPr fontId="4"/>
  </si>
  <si>
    <t>売価変更 ※マニュアル操作(価格入力)、または、値引バーコード(価格設定)</t>
    <rPh sb="0" eb="2">
      <t>バイカ</t>
    </rPh>
    <rPh sb="2" eb="4">
      <t>ヘンコウ</t>
    </rPh>
    <rPh sb="11" eb="13">
      <t>ソウサ</t>
    </rPh>
    <rPh sb="14" eb="16">
      <t>カカク</t>
    </rPh>
    <rPh sb="16" eb="18">
      <t>ニュウリョク</t>
    </rPh>
    <rPh sb="24" eb="26">
      <t>ネビキ</t>
    </rPh>
    <rPh sb="32" eb="34">
      <t>カカク</t>
    </rPh>
    <rPh sb="34" eb="36">
      <t>セッテイ</t>
    </rPh>
    <phoneticPr fontId="4"/>
  </si>
  <si>
    <t>売価変更(値下げ)： 売価変更価格 ＜ LN_DETAIL.GSFD_SELLING_PRC</t>
    <rPh sb="0" eb="2">
      <t>バイカ</t>
    </rPh>
    <rPh sb="2" eb="4">
      <t>ヘンコウ</t>
    </rPh>
    <rPh sb="5" eb="7">
      <t>ネサ</t>
    </rPh>
    <rPh sb="11" eb="13">
      <t>バイカ</t>
    </rPh>
    <rPh sb="13" eb="15">
      <t>ヘンコウ</t>
    </rPh>
    <rPh sb="15" eb="17">
      <t>カカク</t>
    </rPh>
    <phoneticPr fontId="4"/>
  </si>
  <si>
    <t>⇒値引として扱う</t>
    <rPh sb="1" eb="3">
      <t>ネビキ</t>
    </rPh>
    <rPh sb="6" eb="7">
      <t>アツカ</t>
    </rPh>
    <phoneticPr fontId="4"/>
  </si>
  <si>
    <t>売価変更(値下げ)</t>
    <phoneticPr fontId="4"/>
  </si>
  <si>
    <t>EXT_PRCは、売価(売価変更前の価格)×数量</t>
    <rPh sb="9" eb="11">
      <t>バイカ</t>
    </rPh>
    <rPh sb="22" eb="24">
      <t>スウリョウ</t>
    </rPh>
    <phoneticPr fontId="4"/>
  </si>
  <si>
    <t>GSFD_SELLING_PRCは、売価(売価変更前の価格)</t>
    <phoneticPr fontId="4"/>
  </si>
  <si>
    <t>６：売価変更値引</t>
    <phoneticPr fontId="4"/>
  </si>
  <si>
    <t>(LN_DETAIL.GSFD_SELLING_PRC-売価変更価格)×数量 を設定</t>
    <rPh sb="36" eb="38">
      <t>スウリョウ</t>
    </rPh>
    <rPh sb="40" eb="42">
      <t>セッテイ</t>
    </rPh>
    <phoneticPr fontId="4"/>
  </si>
  <si>
    <t>売価変更価格を設定</t>
    <rPh sb="0" eb="2">
      <t>バイカ</t>
    </rPh>
    <rPh sb="2" eb="4">
      <t>ヘンコウ</t>
    </rPh>
    <rPh sb="4" eb="6">
      <t>カカク</t>
    </rPh>
    <rPh sb="7" eb="9">
      <t>セッテイ</t>
    </rPh>
    <phoneticPr fontId="4"/>
  </si>
  <si>
    <t>91220: マニュアル明細値引</t>
    <phoneticPr fontId="4"/>
  </si>
  <si>
    <t>売価変更(値上げ/同額)： 売価変更価格 ≧ LN_DETAIL.GSFD_SELLING_PRC</t>
    <rPh sb="0" eb="2">
      <t>バイカ</t>
    </rPh>
    <rPh sb="2" eb="4">
      <t>ヘンコウ</t>
    </rPh>
    <rPh sb="5" eb="7">
      <t>ネア</t>
    </rPh>
    <rPh sb="9" eb="11">
      <t>ドウガク</t>
    </rPh>
    <rPh sb="14" eb="16">
      <t>バイカ</t>
    </rPh>
    <rPh sb="16" eb="18">
      <t>ヘンコウ</t>
    </rPh>
    <rPh sb="18" eb="20">
      <t>カカク</t>
    </rPh>
    <phoneticPr fontId="4"/>
  </si>
  <si>
    <t>⇒売価変更として扱う</t>
    <rPh sb="1" eb="3">
      <t>バイカ</t>
    </rPh>
    <rPh sb="3" eb="5">
      <t>ヘンコウ</t>
    </rPh>
    <rPh sb="8" eb="9">
      <t>アツカ</t>
    </rPh>
    <phoneticPr fontId="4"/>
  </si>
  <si>
    <t>売価変更(値上げ)</t>
    <rPh sb="6" eb="7">
      <t>ア</t>
    </rPh>
    <phoneticPr fontId="4"/>
  </si>
  <si>
    <t>\178</t>
    <phoneticPr fontId="4"/>
  </si>
  <si>
    <t>値引後 税込み \192</t>
    <rPh sb="0" eb="2">
      <t>ネビキ</t>
    </rPh>
    <rPh sb="2" eb="3">
      <t>ゴ</t>
    </rPh>
    <rPh sb="4" eb="6">
      <t>ゼイコ</t>
    </rPh>
    <phoneticPr fontId="4"/>
  </si>
  <si>
    <t>EXT_PRCは、売価変更価格×数量</t>
    <rPh sb="9" eb="11">
      <t>バイカ</t>
    </rPh>
    <rPh sb="11" eb="13">
      <t>ヘンコウ</t>
    </rPh>
    <rPh sb="13" eb="15">
      <t>カカク</t>
    </rPh>
    <rPh sb="16" eb="18">
      <t>スウリョウ</t>
    </rPh>
    <phoneticPr fontId="4"/>
  </si>
  <si>
    <t>GSFD_SELLING_PRCは、売価(売価変更前の価格)</t>
  </si>
  <si>
    <t>取引明細の価格変更情報</t>
    <rPh sb="0" eb="2">
      <t>トリヒキ</t>
    </rPh>
    <rPh sb="2" eb="4">
      <t>メイサイ</t>
    </rPh>
    <rPh sb="5" eb="7">
      <t>カカク</t>
    </rPh>
    <rPh sb="7" eb="9">
      <t>ヘンコウ</t>
    </rPh>
    <rPh sb="9" eb="11">
      <t>ジョウホウ</t>
    </rPh>
    <phoneticPr fontId="4"/>
  </si>
  <si>
    <t>MANUAL_PRICE</t>
    <phoneticPr fontId="4"/>
  </si>
  <si>
    <t>ORIG_PRC</t>
    <phoneticPr fontId="4"/>
  </si>
  <si>
    <t>売価(売価変更前の価格)×数量を設定</t>
    <rPh sb="16" eb="18">
      <t>セッテイ</t>
    </rPh>
    <phoneticPr fontId="4"/>
  </si>
  <si>
    <t>OVRD_PRC</t>
    <phoneticPr fontId="4"/>
  </si>
  <si>
    <t>売価変更価格×数量を設定</t>
    <rPh sb="0" eb="2">
      <t>バイカ</t>
    </rPh>
    <rPh sb="2" eb="4">
      <t>ヘンコウ</t>
    </rPh>
    <rPh sb="4" eb="6">
      <t>カカク</t>
    </rPh>
    <rPh sb="7" eb="9">
      <t>スウリョウ</t>
    </rPh>
    <rPh sb="10" eb="12">
      <t>セッテイ</t>
    </rPh>
    <phoneticPr fontId="4"/>
  </si>
  <si>
    <t>(7)</t>
    <phoneticPr fontId="4"/>
  </si>
  <si>
    <t>特売(タイムサービス・マークダウンも同様)と売価変更の併用</t>
    <rPh sb="18" eb="20">
      <t>ドウヨウ</t>
    </rPh>
    <rPh sb="22" eb="24">
      <t>バイカ</t>
    </rPh>
    <rPh sb="24" eb="26">
      <t>ヘンコウ</t>
    </rPh>
    <rPh sb="27" eb="29">
      <t>ヘイヨウ</t>
    </rPh>
    <phoneticPr fontId="4"/>
  </si>
  <si>
    <t>※計算順番：1番目 特売(タイムサービス・マークダウンも同様) ⇒ 2番目 売価変更(値下げ、値上げ/同額)</t>
    <rPh sb="1" eb="3">
      <t>ケイサン</t>
    </rPh>
    <rPh sb="3" eb="5">
      <t>ジュンバン</t>
    </rPh>
    <rPh sb="7" eb="9">
      <t>バンメ</t>
    </rPh>
    <rPh sb="35" eb="37">
      <t>バンメ</t>
    </rPh>
    <rPh sb="43" eb="45">
      <t>ネサ</t>
    </rPh>
    <rPh sb="47" eb="49">
      <t>ネア</t>
    </rPh>
    <rPh sb="51" eb="53">
      <t>ドウガク</t>
    </rPh>
    <phoneticPr fontId="4"/>
  </si>
  <si>
    <t>値引後 \158 (税抜き)</t>
    <rPh sb="0" eb="2">
      <t>ネビキ</t>
    </rPh>
    <rPh sb="2" eb="3">
      <t>ゴ</t>
    </rPh>
    <rPh sb="10" eb="11">
      <t>ゼイ</t>
    </rPh>
    <rPh sb="11" eb="12">
      <t>ヌ</t>
    </rPh>
    <phoneticPr fontId="4"/>
  </si>
  <si>
    <t>売価変更(値下げ)</t>
  </si>
  <si>
    <t>値引後 税込み \162</t>
    <rPh sb="0" eb="2">
      <t>ネビキ</t>
    </rPh>
    <rPh sb="2" eb="3">
      <t>ゴ</t>
    </rPh>
    <rPh sb="4" eb="6">
      <t>ゼイコ</t>
    </rPh>
    <phoneticPr fontId="4"/>
  </si>
  <si>
    <t>EXT_PRCは、特売価格×数量</t>
    <rPh sb="9" eb="11">
      <t>トクバイ</t>
    </rPh>
    <rPh sb="11" eb="13">
      <t>カカク</t>
    </rPh>
    <rPh sb="14" eb="16">
      <t>スウリョウ</t>
    </rPh>
    <phoneticPr fontId="4"/>
  </si>
  <si>
    <t>GSFD_SELLING_PRCは、特売価格</t>
  </si>
  <si>
    <t>取引明細の値引情報 (特売)</t>
    <rPh sb="0" eb="2">
      <t>トリヒキ</t>
    </rPh>
    <rPh sb="2" eb="4">
      <t>メイサイ</t>
    </rPh>
    <rPh sb="5" eb="7">
      <t>ネビキ</t>
    </rPh>
    <rPh sb="7" eb="9">
      <t>ジョウホウ</t>
    </rPh>
    <rPh sb="11" eb="13">
      <t>トクバイ</t>
    </rPh>
    <phoneticPr fontId="4"/>
  </si>
  <si>
    <t>１：明細額値引</t>
    <phoneticPr fontId="4"/>
  </si>
  <si>
    <t>特売・タイムサービス・マークダウンの場合は\0を設定</t>
    <rPh sb="0" eb="2">
      <t>トクバイ</t>
    </rPh>
    <rPh sb="18" eb="20">
      <t>バアイ</t>
    </rPh>
    <rPh sb="24" eb="26">
      <t>セッテイ</t>
    </rPh>
    <phoneticPr fontId="4"/>
  </si>
  <si>
    <t>特売値引額</t>
    <rPh sb="0" eb="2">
      <t>トクバイ</t>
    </rPh>
    <rPh sb="2" eb="4">
      <t>ネビキ</t>
    </rPh>
    <rPh sb="4" eb="5">
      <t>ガク</t>
    </rPh>
    <phoneticPr fontId="4"/>
  </si>
  <si>
    <t>91141: 期間特売</t>
    <phoneticPr fontId="4"/>
  </si>
  <si>
    <t>取引明細の値引情報 (売価変更(値下げ))</t>
    <rPh sb="0" eb="2">
      <t>トリヒキ</t>
    </rPh>
    <rPh sb="2" eb="4">
      <t>メイサイ</t>
    </rPh>
    <rPh sb="5" eb="7">
      <t>ネビキ</t>
    </rPh>
    <rPh sb="7" eb="9">
      <t>ジョウホウ</t>
    </rPh>
    <rPh sb="11" eb="13">
      <t>バイカ</t>
    </rPh>
    <rPh sb="13" eb="15">
      <t>ヘンコウ</t>
    </rPh>
    <rPh sb="16" eb="18">
      <t>ネサ</t>
    </rPh>
    <phoneticPr fontId="4"/>
  </si>
  <si>
    <t>(LN_DETAIL.GSFD_SELLING_PRC-売価変更価格)×数量)を設定</t>
    <rPh sb="36" eb="38">
      <t>スウリョウ</t>
    </rPh>
    <rPh sb="40" eb="42">
      <t>セッテイ</t>
    </rPh>
    <phoneticPr fontId="4"/>
  </si>
  <si>
    <t>GSFD_SELLING_PRCは、特売価格</t>
    <rPh sb="18" eb="20">
      <t>トクバイ</t>
    </rPh>
    <rPh sb="20" eb="22">
      <t>カカク</t>
    </rPh>
    <phoneticPr fontId="4"/>
  </si>
  <si>
    <t>売価(特売価格反映前/売価変更前の価格)×数量を設定</t>
    <rPh sb="3" eb="5">
      <t>トクバイ</t>
    </rPh>
    <rPh sb="5" eb="7">
      <t>カカク</t>
    </rPh>
    <rPh sb="7" eb="9">
      <t>ハンエイ</t>
    </rPh>
    <rPh sb="9" eb="10">
      <t>マエ</t>
    </rPh>
    <rPh sb="11" eb="13">
      <t>バイカ</t>
    </rPh>
    <rPh sb="24" eb="26">
      <t>セッテイ</t>
    </rPh>
    <phoneticPr fontId="4"/>
  </si>
  <si>
    <t>(8)</t>
    <phoneticPr fontId="4"/>
  </si>
  <si>
    <t>精算回数、精算通番について</t>
    <rPh sb="0" eb="2">
      <t>セイサン</t>
    </rPh>
    <rPh sb="2" eb="4">
      <t>カイスウ</t>
    </rPh>
    <rPh sb="5" eb="9">
      <t>セイサンツウバン</t>
    </rPh>
    <phoneticPr fontId="4"/>
  </si>
  <si>
    <t>(*1.1)、(*1.5)</t>
    <phoneticPr fontId="4"/>
  </si>
  <si>
    <t>(*1.1)</t>
    <phoneticPr fontId="4"/>
  </si>
  <si>
    <t>精算回数、精算通番のカウントアップタイミングと取引情報へ設定タイミングは下記の通りとなる。</t>
    <rPh sb="0" eb="4">
      <t>セイサンカイスウ</t>
    </rPh>
    <rPh sb="5" eb="7">
      <t>セイサン</t>
    </rPh>
    <rPh sb="7" eb="9">
      <t>ツウバン</t>
    </rPh>
    <rPh sb="23" eb="25">
      <t>トリヒキ</t>
    </rPh>
    <rPh sb="25" eb="27">
      <t>ジョウホウ</t>
    </rPh>
    <rPh sb="28" eb="30">
      <t>セッテイ</t>
    </rPh>
    <rPh sb="36" eb="38">
      <t>カキ</t>
    </rPh>
    <rPh sb="39" eb="40">
      <t>トオ</t>
    </rPh>
    <phoneticPr fontId="4"/>
  </si>
  <si>
    <t>日付</t>
    <rPh sb="0" eb="2">
      <t>ヒヅケ</t>
    </rPh>
    <phoneticPr fontId="4"/>
  </si>
  <si>
    <t>精算日付</t>
    <rPh sb="0" eb="2">
      <t>セイサン</t>
    </rPh>
    <rPh sb="2" eb="4">
      <t>ヒヅケ</t>
    </rPh>
    <phoneticPr fontId="4"/>
  </si>
  <si>
    <t>操作</t>
    <rPh sb="0" eb="1">
      <t>ソウサ</t>
    </rPh>
    <phoneticPr fontId="4"/>
  </si>
  <si>
    <t>カウント状態</t>
    <rPh sb="4" eb="6">
      <t>ジョウタイ</t>
    </rPh>
    <phoneticPr fontId="4"/>
  </si>
  <si>
    <t>6/1</t>
    <phoneticPr fontId="4"/>
  </si>
  <si>
    <t>NULL</t>
    <phoneticPr fontId="4"/>
  </si>
  <si>
    <t>開局</t>
    <rPh sb="0" eb="2">
      <t>カイキョク</t>
    </rPh>
    <phoneticPr fontId="4"/>
  </si>
  <si>
    <t>精算回数=0</t>
    <rPh sb="0" eb="4">
      <t>セイサンカイスウ</t>
    </rPh>
    <phoneticPr fontId="4"/>
  </si>
  <si>
    <t>初期状態は0</t>
    <rPh sb="0" eb="4">
      <t>ショキジョウタイ</t>
    </rPh>
    <phoneticPr fontId="4"/>
  </si>
  <si>
    <t>※セットアップ</t>
    <phoneticPr fontId="4"/>
  </si>
  <si>
    <t>精算通番=0</t>
    <phoneticPr fontId="4"/>
  </si>
  <si>
    <t>初期状態は0</t>
    <phoneticPr fontId="4"/>
  </si>
  <si>
    <t>　後の初回稼働</t>
    <rPh sb="3" eb="5">
      <t>ショカイ</t>
    </rPh>
    <rPh sb="5" eb="7">
      <t>カドウ</t>
    </rPh>
    <phoneticPr fontId="4"/>
  </si>
  <si>
    <t>精算</t>
    <rPh sb="0" eb="2">
      <t>セイサン</t>
    </rPh>
    <phoneticPr fontId="4"/>
  </si>
  <si>
    <t>精算回数=1</t>
    <rPh sb="0" eb="4">
      <t>セイサンカイスウ</t>
    </rPh>
    <phoneticPr fontId="4"/>
  </si>
  <si>
    <t>精算時に+1</t>
    <rPh sb="0" eb="3">
      <t>セイサンジ</t>
    </rPh>
    <phoneticPr fontId="4"/>
  </si>
  <si>
    <t>精算通番=1</t>
    <phoneticPr fontId="4"/>
  </si>
  <si>
    <t>精算時に+1</t>
  </si>
  <si>
    <t>6/2</t>
    <phoneticPr fontId="4"/>
  </si>
  <si>
    <t>POSのｼｽﾃﾑ日付と精算日付が異なる場合は0を設定</t>
    <rPh sb="8" eb="10">
      <t>ヒヅケ</t>
    </rPh>
    <rPh sb="11" eb="15">
      <t>セイサンヒヅケ</t>
    </rPh>
    <rPh sb="16" eb="17">
      <t>コト</t>
    </rPh>
    <rPh sb="19" eb="21">
      <t>バアイ</t>
    </rPh>
    <rPh sb="24" eb="26">
      <t>セッテイ</t>
    </rPh>
    <phoneticPr fontId="4"/>
  </si>
  <si>
    <t>直前のまま</t>
    <rPh sb="0" eb="2">
      <t>チョクゼン</t>
    </rPh>
    <phoneticPr fontId="4"/>
  </si>
  <si>
    <t>精算通番=2</t>
    <phoneticPr fontId="4"/>
  </si>
  <si>
    <t>6/3</t>
    <phoneticPr fontId="4"/>
  </si>
  <si>
    <t>精算通番=3</t>
    <phoneticPr fontId="4"/>
  </si>
  <si>
    <t>POSのｼｽﾃﾑ日付と精算日付が同じなら直前のまま</t>
    <rPh sb="8" eb="10">
      <t>ヒヅケ</t>
    </rPh>
    <rPh sb="11" eb="13">
      <t>セイサン</t>
    </rPh>
    <rPh sb="13" eb="15">
      <t>ヒヅケ</t>
    </rPh>
    <rPh sb="16" eb="17">
      <t>オナ</t>
    </rPh>
    <rPh sb="20" eb="22">
      <t>チョクゼン</t>
    </rPh>
    <phoneticPr fontId="4"/>
  </si>
  <si>
    <t>精算回数=2</t>
    <rPh sb="0" eb="4">
      <t>セイサンカイスウ</t>
    </rPh>
    <phoneticPr fontId="4"/>
  </si>
  <si>
    <t>精算通番=4</t>
    <phoneticPr fontId="4"/>
  </si>
  <si>
    <t>6/4</t>
    <phoneticPr fontId="4"/>
  </si>
  <si>
    <t>精算通番=5</t>
    <phoneticPr fontId="4"/>
  </si>
  <si>
    <t>再開局</t>
    <rPh sb="0" eb="1">
      <t>サイ</t>
    </rPh>
    <rPh sb="1" eb="3">
      <t>カイキョク</t>
    </rPh>
    <phoneticPr fontId="4"/>
  </si>
  <si>
    <t>再開局の場合は直前のまま</t>
    <rPh sb="0" eb="3">
      <t>サイカイキョク</t>
    </rPh>
    <rPh sb="4" eb="6">
      <t>バアイ</t>
    </rPh>
    <rPh sb="7" eb="9">
      <t>チョクゼン</t>
    </rPh>
    <phoneticPr fontId="4"/>
  </si>
  <si>
    <t>精算通番=6</t>
    <phoneticPr fontId="4"/>
  </si>
  <si>
    <t>精算通番は1～9999のサイクリックとなる。</t>
    <phoneticPr fontId="4"/>
  </si>
  <si>
    <t>取引ログ作成時の注意事項（税情報）</t>
    <rPh sb="0" eb="2">
      <t>トリヒキ</t>
    </rPh>
    <rPh sb="4" eb="6">
      <t>サクセイ</t>
    </rPh>
    <rPh sb="6" eb="7">
      <t>ジ</t>
    </rPh>
    <rPh sb="8" eb="10">
      <t>チュウイ</t>
    </rPh>
    <rPh sb="10" eb="12">
      <t>ジコウ</t>
    </rPh>
    <rPh sb="13" eb="14">
      <t>ゼイ</t>
    </rPh>
    <rPh sb="14" eb="16">
      <t>ジョウホウ</t>
    </rPh>
    <phoneticPr fontId="7"/>
  </si>
  <si>
    <t>*1.5 本ページ追加</t>
    <rPh sb="5" eb="6">
      <t>ホン</t>
    </rPh>
    <rPh sb="9" eb="11">
      <t>ツイカ</t>
    </rPh>
    <phoneticPr fontId="4"/>
  </si>
  <si>
    <t>税情報 (複合パターン)</t>
    <rPh sb="0" eb="1">
      <t>ゼイ</t>
    </rPh>
    <rPh sb="1" eb="3">
      <t>ジョウホウ</t>
    </rPh>
    <rPh sb="5" eb="7">
      <t>フクゴウ</t>
    </rPh>
    <phoneticPr fontId="4"/>
  </si>
  <si>
    <t>[売上取引 登録明細]</t>
    <rPh sb="1" eb="3">
      <t>ウリアゲ</t>
    </rPh>
    <rPh sb="3" eb="5">
      <t>トリヒキ</t>
    </rPh>
    <rPh sb="6" eb="8">
      <t>トウロク</t>
    </rPh>
    <rPh sb="8" eb="10">
      <t>メイサイ</t>
    </rPh>
    <phoneticPr fontId="4"/>
  </si>
  <si>
    <t>明細No.</t>
    <rPh sb="0" eb="2">
      <t>メイサイ</t>
    </rPh>
    <phoneticPr fontId="4"/>
  </si>
  <si>
    <t>商品名</t>
    <rPh sb="0" eb="3">
      <t>ショウヒンメイ</t>
    </rPh>
    <phoneticPr fontId="4"/>
  </si>
  <si>
    <t>個数</t>
    <rPh sb="0" eb="2">
      <t>コスウ</t>
    </rPh>
    <phoneticPr fontId="4"/>
  </si>
  <si>
    <t>単価</t>
    <rPh sb="0" eb="2">
      <t>タンカ</t>
    </rPh>
    <phoneticPr fontId="4"/>
  </si>
  <si>
    <t>明細内合計</t>
    <rPh sb="0" eb="2">
      <t>メイサイ</t>
    </rPh>
    <rPh sb="2" eb="3">
      <t>ナイ</t>
    </rPh>
    <rPh sb="3" eb="5">
      <t>ゴウケイ</t>
    </rPh>
    <phoneticPr fontId="4"/>
  </si>
  <si>
    <t>税種別</t>
    <rPh sb="0" eb="1">
      <t>ゼイ</t>
    </rPh>
    <rPh sb="1" eb="3">
      <t>シュベツ</t>
    </rPh>
    <phoneticPr fontId="4"/>
  </si>
  <si>
    <t>税率</t>
    <rPh sb="0" eb="2">
      <t>ゼイリツ</t>
    </rPh>
    <phoneticPr fontId="4"/>
  </si>
  <si>
    <t>備考</t>
    <rPh sb="0" eb="2">
      <t>ビコウ</t>
    </rPh>
    <phoneticPr fontId="4"/>
  </si>
  <si>
    <t>商品Ａ</t>
    <rPh sb="0" eb="2">
      <t>ショウヒン</t>
    </rPh>
    <phoneticPr fontId="4"/>
  </si>
  <si>
    <t>2個</t>
    <rPh sb="1" eb="2">
      <t>コ</t>
    </rPh>
    <phoneticPr fontId="4"/>
  </si>
  <si>
    <t>外税</t>
    <rPh sb="0" eb="2">
      <t>ソトゼイ</t>
    </rPh>
    <phoneticPr fontId="4"/>
  </si>
  <si>
    <t>商品Ｂ</t>
    <rPh sb="0" eb="2">
      <t>ショウヒン</t>
    </rPh>
    <phoneticPr fontId="4"/>
  </si>
  <si>
    <t>商品Ｃ</t>
    <rPh sb="0" eb="2">
      <t>ショウヒン</t>
    </rPh>
    <phoneticPr fontId="4"/>
  </si>
  <si>
    <t>3個</t>
    <rPh sb="1" eb="2">
      <t>コ</t>
    </rPh>
    <phoneticPr fontId="4"/>
  </si>
  <si>
    <t>商品Ａ(明細No.1と同じ商品)を登録して税率変更(8%→10%)</t>
    <rPh sb="0" eb="2">
      <t>ショウヒン</t>
    </rPh>
    <rPh sb="11" eb="12">
      <t>オナ</t>
    </rPh>
    <rPh sb="13" eb="15">
      <t>ショウヒン</t>
    </rPh>
    <rPh sb="17" eb="19">
      <t>トウロク</t>
    </rPh>
    <rPh sb="21" eb="23">
      <t>ゼイリツ</t>
    </rPh>
    <rPh sb="23" eb="25">
      <t>ヘンコウ</t>
    </rPh>
    <phoneticPr fontId="4"/>
  </si>
  <si>
    <t>商品Ｄ</t>
    <rPh sb="0" eb="2">
      <t>ショウヒン</t>
    </rPh>
    <phoneticPr fontId="4"/>
  </si>
  <si>
    <t>内税</t>
    <rPh sb="0" eb="2">
      <t>ウチゼイ</t>
    </rPh>
    <phoneticPr fontId="4"/>
  </si>
  <si>
    <t>商品Ｅ</t>
    <rPh sb="0" eb="2">
      <t>ショウヒン</t>
    </rPh>
    <phoneticPr fontId="4"/>
  </si>
  <si>
    <t>商品Ｆ</t>
    <rPh sb="0" eb="2">
      <t>ショウヒン</t>
    </rPh>
    <phoneticPr fontId="4"/>
  </si>
  <si>
    <t>商品Ｄ(明細No.5と同じ商品)を登録して税率変更(8%→10%)</t>
    <rPh sb="0" eb="2">
      <t>ショウヒン</t>
    </rPh>
    <rPh sb="11" eb="12">
      <t>オナ</t>
    </rPh>
    <rPh sb="13" eb="15">
      <t>ショウヒン</t>
    </rPh>
    <rPh sb="17" eb="19">
      <t>トウロク</t>
    </rPh>
    <rPh sb="21" eb="23">
      <t>ゼイリツ</t>
    </rPh>
    <rPh sb="23" eb="25">
      <t>ヘンコウ</t>
    </rPh>
    <phoneticPr fontId="4"/>
  </si>
  <si>
    <t>商品Ｇ</t>
    <rPh sb="0" eb="2">
      <t>ショウヒン</t>
    </rPh>
    <phoneticPr fontId="4"/>
  </si>
  <si>
    <t>非課税</t>
    <rPh sb="0" eb="3">
      <t>ヒカゼイ</t>
    </rPh>
    <phoneticPr fontId="4"/>
  </si>
  <si>
    <t>商品Ｈ</t>
    <rPh sb="0" eb="2">
      <t>ショウヒン</t>
    </rPh>
    <phoneticPr fontId="4"/>
  </si>
  <si>
    <t>[税種別（TAX_CD)]</t>
    <rPh sb="1" eb="2">
      <t>ゼイ</t>
    </rPh>
    <rPh sb="2" eb="4">
      <t>シュベツ</t>
    </rPh>
    <phoneticPr fontId="4"/>
  </si>
  <si>
    <t>　外税（８％）：１、内税（８％）：２、非課税：３、外税（１０％）：４、内税（１０％）：５、内税（合計）：９９</t>
    <rPh sb="25" eb="27">
      <t>ソトゼイ</t>
    </rPh>
    <rPh sb="45" eb="47">
      <t>ウチゼイ</t>
    </rPh>
    <rPh sb="48" eb="50">
      <t>ゴウケイ</t>
    </rPh>
    <phoneticPr fontId="4"/>
  </si>
  <si>
    <t>[レコード関連図]　※税情報に関連する情報のみを抜粋</t>
    <rPh sb="5" eb="7">
      <t>カンレン</t>
    </rPh>
    <rPh sb="7" eb="8">
      <t>ズ</t>
    </rPh>
    <rPh sb="11" eb="12">
      <t>ゼイ</t>
    </rPh>
    <rPh sb="12" eb="14">
      <t>ジョウホウ</t>
    </rPh>
    <rPh sb="15" eb="17">
      <t>カンレン</t>
    </rPh>
    <rPh sb="19" eb="21">
      <t>ジョウホウ</t>
    </rPh>
    <rPh sb="24" eb="26">
      <t>バッスイ</t>
    </rPh>
    <phoneticPr fontId="4"/>
  </si>
  <si>
    <t>【商品明細情報(外税)】</t>
    <rPh sb="1" eb="3">
      <t>ショウヒン</t>
    </rPh>
    <rPh sb="3" eb="5">
      <t>メイサイ</t>
    </rPh>
    <rPh sb="5" eb="7">
      <t>ジョウホウ</t>
    </rPh>
    <phoneticPr fontId="4"/>
  </si>
  <si>
    <t>【税情報(外税)】</t>
    <rPh sb="1" eb="2">
      <t>ゼイ</t>
    </rPh>
    <rPh sb="2" eb="4">
      <t>ジョウホウ</t>
    </rPh>
    <rPh sb="5" eb="7">
      <t>ソトゼイ</t>
    </rPh>
    <phoneticPr fontId="4"/>
  </si>
  <si>
    <t>商品明細情報：商品Ａ</t>
    <rPh sb="0" eb="2">
      <t>ショウヒン</t>
    </rPh>
    <rPh sb="2" eb="4">
      <t>メイサイ</t>
    </rPh>
    <rPh sb="4" eb="6">
      <t>ジョウホウ</t>
    </rPh>
    <rPh sb="7" eb="9">
      <t>ショウヒン</t>
    </rPh>
    <phoneticPr fontId="4"/>
  </si>
  <si>
    <t>外税8%のレコード</t>
    <rPh sb="0" eb="2">
      <t>ソトゼイ</t>
    </rPh>
    <phoneticPr fontId="4"/>
  </si>
  <si>
    <t>(外税8%)</t>
    <phoneticPr fontId="4"/>
  </si>
  <si>
    <t>同じ税種別(TAX_CD)の商品明細は</t>
    <rPh sb="0" eb="1">
      <t>オナ</t>
    </rPh>
    <rPh sb="2" eb="3">
      <t>ゼイ</t>
    </rPh>
    <rPh sb="3" eb="5">
      <t>シュベツ</t>
    </rPh>
    <rPh sb="14" eb="16">
      <t>ショウヒン</t>
    </rPh>
    <rPh sb="16" eb="18">
      <t>メイサイ</t>
    </rPh>
    <phoneticPr fontId="4"/>
  </si>
  <si>
    <t>(税)</t>
    <rPh sb="1" eb="2">
      <t>ゼイ</t>
    </rPh>
    <phoneticPr fontId="4"/>
  </si>
  <si>
    <t>１つの税情報にまとめる</t>
    <rPh sb="3" eb="4">
      <t>ゼイ</t>
    </rPh>
    <rPh sb="4" eb="6">
      <t>ジョウホウ</t>
    </rPh>
    <phoneticPr fontId="4"/>
  </si>
  <si>
    <t>(外税)</t>
    <rPh sb="1" eb="3">
      <t>ソトゼイ</t>
    </rPh>
    <phoneticPr fontId="4"/>
  </si>
  <si>
    <t>GSFD_TAX_AMT</t>
    <phoneticPr fontId="4"/>
  </si>
  <si>
    <t>GSFD_SELLING_PRC</t>
    <phoneticPr fontId="4"/>
  </si>
  <si>
    <t>商品明細情報：商品Ｂ</t>
    <rPh sb="0" eb="2">
      <t>ショウヒン</t>
    </rPh>
    <rPh sb="2" eb="4">
      <t>メイサイ</t>
    </rPh>
    <rPh sb="4" eb="6">
      <t>ジョウホウ</t>
    </rPh>
    <rPh sb="7" eb="9">
      <t>ショウヒン</t>
    </rPh>
    <phoneticPr fontId="4"/>
  </si>
  <si>
    <t>商品明細情報：商品Ｃ</t>
    <rPh sb="0" eb="2">
      <t>ショウヒン</t>
    </rPh>
    <rPh sb="2" eb="4">
      <t>メイサイ</t>
    </rPh>
    <rPh sb="4" eb="6">
      <t>ジョウホウ</t>
    </rPh>
    <rPh sb="7" eb="9">
      <t>ショウヒン</t>
    </rPh>
    <phoneticPr fontId="4"/>
  </si>
  <si>
    <t>外税10%のレコード</t>
    <rPh sb="0" eb="2">
      <t>ソトゼイ</t>
    </rPh>
    <phoneticPr fontId="4"/>
  </si>
  <si>
    <t>外税の場合、税率変更した商品明細は、</t>
    <rPh sb="0" eb="2">
      <t>ソトゼイ</t>
    </rPh>
    <rPh sb="3" eb="5">
      <t>バアイ</t>
    </rPh>
    <phoneticPr fontId="4"/>
  </si>
  <si>
    <t>(外税10%)</t>
    <phoneticPr fontId="4"/>
  </si>
  <si>
    <t>税率変更後の税種別(TAX_CD)と同じ</t>
    <rPh sb="0" eb="2">
      <t>ゼイリツ</t>
    </rPh>
    <phoneticPr fontId="4"/>
  </si>
  <si>
    <t>税種別の商品明細と同じ税情報に</t>
    <rPh sb="9" eb="10">
      <t>オナ</t>
    </rPh>
    <rPh sb="11" eb="12">
      <t>ゼイ</t>
    </rPh>
    <rPh sb="12" eb="14">
      <t>ジョウホウ</t>
    </rPh>
    <phoneticPr fontId="4"/>
  </si>
  <si>
    <t>まとめる</t>
    <phoneticPr fontId="4"/>
  </si>
  <si>
    <t>※税率変更</t>
    <phoneticPr fontId="4"/>
  </si>
  <si>
    <t>←税率変更前の税種別</t>
    <rPh sb="1" eb="3">
      <t>ゼイリツ</t>
    </rPh>
    <rPh sb="3" eb="5">
      <t>ヘンコウ</t>
    </rPh>
    <rPh sb="5" eb="6">
      <t>マエ</t>
    </rPh>
    <rPh sb="7" eb="8">
      <t>ゼイ</t>
    </rPh>
    <rPh sb="8" eb="10">
      <t>シュベツ</t>
    </rPh>
    <phoneticPr fontId="4"/>
  </si>
  <si>
    <t>【商品明細情報(内税)】</t>
    <rPh sb="5" eb="7">
      <t>ジョウホウ</t>
    </rPh>
    <phoneticPr fontId="4"/>
  </si>
  <si>
    <t>【税情報(内税)】</t>
    <rPh sb="1" eb="2">
      <t>ゼイ</t>
    </rPh>
    <rPh sb="2" eb="4">
      <t>ジョウホウ</t>
    </rPh>
    <rPh sb="5" eb="7">
      <t>ウチゼイ</t>
    </rPh>
    <phoneticPr fontId="4"/>
  </si>
  <si>
    <t>商品明細情報：商品Ｄ</t>
    <rPh sb="0" eb="2">
      <t>ショウヒン</t>
    </rPh>
    <rPh sb="2" eb="4">
      <t>メイサイ</t>
    </rPh>
    <rPh sb="4" eb="6">
      <t>ジョウホウ</t>
    </rPh>
    <rPh sb="7" eb="9">
      <t>ショウヒン</t>
    </rPh>
    <phoneticPr fontId="4"/>
  </si>
  <si>
    <t>内税8%のレコード</t>
    <rPh sb="0" eb="1">
      <t>ウチ</t>
    </rPh>
    <phoneticPr fontId="4"/>
  </si>
  <si>
    <t>(内税8%)</t>
    <phoneticPr fontId="4"/>
  </si>
  <si>
    <t>(内税)</t>
    <rPh sb="1" eb="3">
      <t>ウチゼイ</t>
    </rPh>
    <phoneticPr fontId="4"/>
  </si>
  <si>
    <t>(内税額)</t>
    <rPh sb="1" eb="3">
      <t>ウチゼイ</t>
    </rPh>
    <rPh sb="3" eb="4">
      <t>ガク</t>
    </rPh>
    <phoneticPr fontId="4"/>
  </si>
  <si>
    <t>※内税額へのリンク情報</t>
    <phoneticPr fontId="4"/>
  </si>
  <si>
    <t>(内税商品額(税抜き)</t>
    <rPh sb="1" eb="3">
      <t>ウチゼイ</t>
    </rPh>
    <rPh sb="3" eb="5">
      <t>ショウヒン</t>
    </rPh>
    <rPh sb="5" eb="6">
      <t>ガク</t>
    </rPh>
    <rPh sb="7" eb="8">
      <t>ゼイ</t>
    </rPh>
    <rPh sb="8" eb="9">
      <t>ヌ</t>
    </rPh>
    <phoneticPr fontId="4"/>
  </si>
  <si>
    <t>※内税商品額(税抜き)へのリンク情報</t>
    <phoneticPr fontId="4"/>
  </si>
  <si>
    <t>内税のレコード(内税合計)</t>
    <rPh sb="0" eb="1">
      <t>ウチ</t>
    </rPh>
    <rPh sb="8" eb="10">
      <t>ウチゼイ</t>
    </rPh>
    <rPh sb="10" eb="12">
      <t>ゴウケイ</t>
    </rPh>
    <phoneticPr fontId="4"/>
  </si>
  <si>
    <t>(内税)</t>
    <phoneticPr fontId="4"/>
  </si>
  <si>
    <t>内税の場合は、内税合計</t>
    <rPh sb="0" eb="2">
      <t>ウチゼイ</t>
    </rPh>
    <rPh sb="3" eb="5">
      <t>バアイ</t>
    </rPh>
    <rPh sb="7" eb="9">
      <t>ウチゼイ</t>
    </rPh>
    <rPh sb="9" eb="11">
      <t>ゴウケイ</t>
    </rPh>
    <phoneticPr fontId="4"/>
  </si>
  <si>
    <t>レコードを作成する</t>
    <rPh sb="5" eb="7">
      <t>サクセイ</t>
    </rPh>
    <phoneticPr fontId="4"/>
  </si>
  <si>
    <t>※内税合計へのリンク情報</t>
    <rPh sb="10" eb="12">
      <t>ジョウホウ</t>
    </rPh>
    <phoneticPr fontId="4"/>
  </si>
  <si>
    <t>商品明細情報：商品Ｅ</t>
    <rPh sb="0" eb="2">
      <t>ショウヒン</t>
    </rPh>
    <rPh sb="2" eb="4">
      <t>メイサイ</t>
    </rPh>
    <rPh sb="4" eb="6">
      <t>ジョウホウ</t>
    </rPh>
    <rPh sb="7" eb="9">
      <t>ショウヒン</t>
    </rPh>
    <phoneticPr fontId="4"/>
  </si>
  <si>
    <t>商品明細情報：商品Ｆ</t>
    <rPh sb="0" eb="2">
      <t>ショウヒン</t>
    </rPh>
    <rPh sb="2" eb="4">
      <t>メイサイ</t>
    </rPh>
    <rPh sb="4" eb="6">
      <t>ジョウホウ</t>
    </rPh>
    <rPh sb="7" eb="9">
      <t>ショウヒン</t>
    </rPh>
    <phoneticPr fontId="4"/>
  </si>
  <si>
    <t>内税10%のレコード</t>
    <rPh sb="0" eb="1">
      <t>ウチ</t>
    </rPh>
    <phoneticPr fontId="4"/>
  </si>
  <si>
    <t>(内税10%)</t>
    <phoneticPr fontId="4"/>
  </si>
  <si>
    <r>
      <t>内税10%</t>
    </r>
    <r>
      <rPr>
        <sz val="9"/>
        <color rgb="FFFF0000"/>
        <rFont val="ＭＳ ゴシック"/>
        <family val="3"/>
        <charset val="128"/>
      </rPr>
      <t>(税率変更)</t>
    </r>
    <r>
      <rPr>
        <sz val="9"/>
        <color indexed="8"/>
        <rFont val="ＭＳ ゴシック"/>
        <family val="3"/>
        <charset val="128"/>
      </rPr>
      <t>のレコード</t>
    </r>
    <rPh sb="0" eb="1">
      <t>ウチ</t>
    </rPh>
    <rPh sb="6" eb="8">
      <t>ゼイリツ</t>
    </rPh>
    <rPh sb="8" eb="10">
      <t>ヘンコウ</t>
    </rPh>
    <phoneticPr fontId="4"/>
  </si>
  <si>
    <t>内税の場合、税率変更する</t>
    <rPh sb="0" eb="2">
      <t>ウチゼイ</t>
    </rPh>
    <rPh sb="3" eb="5">
      <t>バアイ</t>
    </rPh>
    <rPh sb="6" eb="8">
      <t>ゼイリツ</t>
    </rPh>
    <rPh sb="8" eb="10">
      <t>ヘンコウ</t>
    </rPh>
    <phoneticPr fontId="4"/>
  </si>
  <si>
    <t>(税率変更)</t>
    <rPh sb="1" eb="3">
      <t>ゼイリツ</t>
    </rPh>
    <rPh sb="3" eb="5">
      <t>ヘンコウ</t>
    </rPh>
    <phoneticPr fontId="4"/>
  </si>
  <si>
    <t>とTAX_MODIF=5になるため、</t>
    <phoneticPr fontId="4"/>
  </si>
  <si>
    <t>同じ税率でも税率変更無しの</t>
    <rPh sb="0" eb="1">
      <t>オナ</t>
    </rPh>
    <rPh sb="2" eb="4">
      <t>ゼイリツ</t>
    </rPh>
    <rPh sb="10" eb="11">
      <t>ナ</t>
    </rPh>
    <phoneticPr fontId="4"/>
  </si>
  <si>
    <t>レコードとはまとまらない</t>
    <phoneticPr fontId="4"/>
  </si>
  <si>
    <t>【商品明細情報(非課税)】</t>
    <rPh sb="5" eb="7">
      <t>ジョウホウ</t>
    </rPh>
    <phoneticPr fontId="4"/>
  </si>
  <si>
    <t>【税情報(非課税)】</t>
    <rPh sb="1" eb="2">
      <t>ゼイ</t>
    </rPh>
    <rPh sb="2" eb="4">
      <t>ジョウホウ</t>
    </rPh>
    <rPh sb="5" eb="8">
      <t>ヒカゼイ</t>
    </rPh>
    <phoneticPr fontId="4"/>
  </si>
  <si>
    <t>商品明細情報：商品Ｇ</t>
    <rPh sb="0" eb="2">
      <t>ショウヒン</t>
    </rPh>
    <rPh sb="2" eb="4">
      <t>メイサイ</t>
    </rPh>
    <rPh sb="4" eb="6">
      <t>ジョウホウ</t>
    </rPh>
    <rPh sb="7" eb="9">
      <t>ショウヒン</t>
    </rPh>
    <phoneticPr fontId="4"/>
  </si>
  <si>
    <t>非課税のレコード</t>
    <rPh sb="0" eb="3">
      <t>ヒカゼイ</t>
    </rPh>
    <phoneticPr fontId="4"/>
  </si>
  <si>
    <t>(非課税)</t>
    <rPh sb="1" eb="2">
      <t>ヒ</t>
    </rPh>
    <rPh sb="2" eb="4">
      <t>カゼイ</t>
    </rPh>
    <phoneticPr fontId="4"/>
  </si>
  <si>
    <t>(非課税)</t>
    <rPh sb="1" eb="4">
      <t>ヒカゼイ</t>
    </rPh>
    <phoneticPr fontId="4"/>
  </si>
  <si>
    <t>商品明細情報：商品Ｈ</t>
    <rPh sb="0" eb="2">
      <t>ショウヒン</t>
    </rPh>
    <rPh sb="2" eb="4">
      <t>メイサイ</t>
    </rPh>
    <rPh sb="4" eb="6">
      <t>ジョウホウ</t>
    </rPh>
    <rPh sb="7" eb="9">
      <t>ショウヒン</t>
    </rPh>
    <phoneticPr fontId="4"/>
  </si>
  <si>
    <t>取引ログ作成時の注意事項（支払情報）</t>
    <rPh sb="0" eb="2">
      <t>トリヒキ</t>
    </rPh>
    <rPh sb="4" eb="6">
      <t>サクセイ</t>
    </rPh>
    <rPh sb="6" eb="7">
      <t>ジ</t>
    </rPh>
    <rPh sb="8" eb="10">
      <t>チュウイ</t>
    </rPh>
    <rPh sb="10" eb="12">
      <t>ジコウ</t>
    </rPh>
    <rPh sb="13" eb="15">
      <t>シハライ</t>
    </rPh>
    <rPh sb="15" eb="17">
      <t>ジョウホウ</t>
    </rPh>
    <phoneticPr fontId="7"/>
  </si>
  <si>
    <t>支払情報 (複合パターン)</t>
    <rPh sb="0" eb="2">
      <t>シハライ</t>
    </rPh>
    <rPh sb="2" eb="4">
      <t>ジョウホウ</t>
    </rPh>
    <rPh sb="6" eb="8">
      <t>フクゴウ</t>
    </rPh>
    <phoneticPr fontId="4"/>
  </si>
  <si>
    <t>[売上取引]</t>
    <rPh sb="1" eb="3">
      <t>ウリアゲ</t>
    </rPh>
    <rPh sb="3" eb="5">
      <t>トリヒキ</t>
    </rPh>
    <phoneticPr fontId="4"/>
  </si>
  <si>
    <t>・商品登録</t>
    <rPh sb="1" eb="3">
      <t>ショウヒン</t>
    </rPh>
    <rPh sb="3" eb="5">
      <t>トウロク</t>
    </rPh>
    <phoneticPr fontId="4"/>
  </si>
  <si>
    <t>30個</t>
    <rPh sb="2" eb="3">
      <t>コ</t>
    </rPh>
    <phoneticPr fontId="4"/>
  </si>
  <si>
    <t>・支払登録</t>
    <rPh sb="1" eb="3">
      <t>シハラ</t>
    </rPh>
    <rPh sb="3" eb="5">
      <t>トウロク</t>
    </rPh>
    <phoneticPr fontId="4"/>
  </si>
  <si>
    <t>現外名</t>
    <rPh sb="2" eb="3">
      <t>メイ</t>
    </rPh>
    <phoneticPr fontId="4"/>
  </si>
  <si>
    <t>枚数</t>
    <rPh sb="0" eb="2">
      <t>マイスウ</t>
    </rPh>
    <phoneticPr fontId="4"/>
  </si>
  <si>
    <t>現外コード</t>
    <rPh sb="0" eb="1">
      <t>ゲン</t>
    </rPh>
    <rPh sb="1" eb="2">
      <t>ガイ</t>
    </rPh>
    <phoneticPr fontId="4"/>
  </si>
  <si>
    <t>現外バーコード</t>
    <rPh sb="0" eb="1">
      <t>ゲン</t>
    </rPh>
    <rPh sb="1" eb="2">
      <t>ガイ</t>
    </rPh>
    <phoneticPr fontId="4"/>
  </si>
  <si>
    <t>ギフト券</t>
    <rPh sb="3" eb="4">
      <t>ケン</t>
    </rPh>
    <phoneticPr fontId="4"/>
  </si>
  <si>
    <t>1枚</t>
    <rPh sb="1" eb="2">
      <t>マイ</t>
    </rPh>
    <phoneticPr fontId="4"/>
  </si>
  <si>
    <t>4901231703028</t>
    <phoneticPr fontId="4"/>
  </si>
  <si>
    <t>1枚</t>
    <rPh sb="0" eb="1">
      <t>マイ</t>
    </rPh>
    <rPh sb="1" eb="2">
      <t>マイ</t>
    </rPh>
    <phoneticPr fontId="4"/>
  </si>
  <si>
    <t>4991002950102</t>
    <phoneticPr fontId="4"/>
  </si>
  <si>
    <t>ご優待券</t>
    <rPh sb="1" eb="4">
      <t>ユウタイケン</t>
    </rPh>
    <phoneticPr fontId="4"/>
  </si>
  <si>
    <t>5枚</t>
    <rPh sb="1" eb="2">
      <t>マイ</t>
    </rPh>
    <phoneticPr fontId="4"/>
  </si>
  <si>
    <t>(無し)</t>
    <rPh sb="1" eb="2">
      <t>ナ</t>
    </rPh>
    <phoneticPr fontId="4"/>
  </si>
  <si>
    <t>値引扱い現外</t>
    <rPh sb="0" eb="2">
      <t>ネビ</t>
    </rPh>
    <rPh sb="2" eb="3">
      <t>アツカ</t>
    </rPh>
    <rPh sb="4" eb="5">
      <t>ゲン</t>
    </rPh>
    <rPh sb="5" eb="6">
      <t>ガイ</t>
    </rPh>
    <phoneticPr fontId="4"/>
  </si>
  <si>
    <t>商品券</t>
    <rPh sb="0" eb="2">
      <t>ショウヒン</t>
    </rPh>
    <rPh sb="2" eb="3">
      <t>ケン</t>
    </rPh>
    <phoneticPr fontId="4"/>
  </si>
  <si>
    <t>2枚</t>
    <phoneticPr fontId="4"/>
  </si>
  <si>
    <t>支払取消(タッチ訂正)</t>
    <rPh sb="0" eb="2">
      <t>シハライ</t>
    </rPh>
    <rPh sb="2" eb="4">
      <t>トリケシ</t>
    </rPh>
    <rPh sb="8" eb="10">
      <t>テイセイ</t>
    </rPh>
    <phoneticPr fontId="4"/>
  </si>
  <si>
    <t>：ダミーレコード</t>
    <phoneticPr fontId="4"/>
  </si>
  <si>
    <t>[レコード関連図]　※支払情報に関連する情報のみを抜粋</t>
    <rPh sb="5" eb="7">
      <t>カンレン</t>
    </rPh>
    <rPh sb="7" eb="8">
      <t>ズ</t>
    </rPh>
    <rPh sb="11" eb="13">
      <t>シハラ</t>
    </rPh>
    <rPh sb="13" eb="15">
      <t>ジョウホウ</t>
    </rPh>
    <rPh sb="16" eb="18">
      <t>カンレン</t>
    </rPh>
    <rPh sb="20" eb="22">
      <t>ジョウホウ</t>
    </rPh>
    <rPh sb="25" eb="27">
      <t>バッスイ</t>
    </rPh>
    <phoneticPr fontId="4"/>
  </si>
  <si>
    <t>　　　【商品明細】</t>
    <rPh sb="4" eb="6">
      <t>ショウヒン</t>
    </rPh>
    <rPh sb="6" eb="8">
      <t>メイサイ</t>
    </rPh>
    <phoneticPr fontId="4"/>
  </si>
  <si>
    <t>【税情報】</t>
    <rPh sb="1" eb="2">
      <t>ゼイ</t>
    </rPh>
    <rPh sb="2" eb="4">
      <t>ジョウホウ</t>
    </rPh>
    <phoneticPr fontId="4"/>
  </si>
  <si>
    <t>　　　【No.1 ギフト券】</t>
    <rPh sb="12" eb="13">
      <t>ケン</t>
    </rPh>
    <phoneticPr fontId="4"/>
  </si>
  <si>
    <t>取引の現外支払情報</t>
    <rPh sb="0" eb="2">
      <t>トリヒキ</t>
    </rPh>
    <phoneticPr fontId="4"/>
  </si>
  <si>
    <t>GIFT_CERT_TENDER</t>
  </si>
  <si>
    <t>(Dummy Void)</t>
    <phoneticPr fontId="4"/>
  </si>
  <si>
    <t>GSFD_CHG_NON_CASH_AMT</t>
    <phoneticPr fontId="4"/>
  </si>
  <si>
    <t>GSFD_GIFT_CERT_CNT</t>
    <phoneticPr fontId="4"/>
  </si>
  <si>
    <t>(訂正済み現外支払)</t>
    <phoneticPr fontId="4"/>
  </si>
  <si>
    <t>GSFD_GIFT_BARCODE</t>
    <phoneticPr fontId="4"/>
  </si>
  <si>
    <t>""</t>
    <phoneticPr fontId="4"/>
  </si>
  <si>
    <t>現外券支払を行った場合、ダミー支払レコードを作成</t>
    <rPh sb="0" eb="1">
      <t>ゲン</t>
    </rPh>
    <rPh sb="1" eb="2">
      <t>ソト</t>
    </rPh>
    <rPh sb="2" eb="3">
      <t>ケン</t>
    </rPh>
    <rPh sb="3" eb="5">
      <t>シハラ</t>
    </rPh>
    <rPh sb="6" eb="7">
      <t>オコナ</t>
    </rPh>
    <rPh sb="9" eb="11">
      <t>バアイ</t>
    </rPh>
    <rPh sb="15" eb="17">
      <t>シハラ</t>
    </rPh>
    <rPh sb="22" eb="24">
      <t>サクセイ</t>
    </rPh>
    <phoneticPr fontId="4"/>
  </si>
  <si>
    <t>　　　【No.2 ギフト券】</t>
    <rPh sb="12" eb="13">
      <t>ケン</t>
    </rPh>
    <phoneticPr fontId="4"/>
  </si>
  <si>
    <t>現外バーコードが異なる場合は、取引種別(TND_CD)</t>
    <rPh sb="0" eb="1">
      <t>ゲン</t>
    </rPh>
    <rPh sb="1" eb="2">
      <t>ソト</t>
    </rPh>
    <rPh sb="8" eb="9">
      <t>コト</t>
    </rPh>
    <rPh sb="11" eb="13">
      <t>バアイ</t>
    </rPh>
    <rPh sb="15" eb="17">
      <t>トリヒキ</t>
    </rPh>
    <rPh sb="17" eb="19">
      <t>シュベツ</t>
    </rPh>
    <phoneticPr fontId="4"/>
  </si>
  <si>
    <t>が同じでも別レコードを作成</t>
    <rPh sb="1" eb="2">
      <t>オナ</t>
    </rPh>
    <rPh sb="5" eb="6">
      <t>ベツ</t>
    </rPh>
    <rPh sb="11" eb="13">
      <t>サクセイ</t>
    </rPh>
    <phoneticPr fontId="4"/>
  </si>
  <si>
    <r>
      <t>　　　【No.3 ご優待券】</t>
    </r>
    <r>
      <rPr>
        <b/>
        <sz val="9"/>
        <color rgb="FFFF0000"/>
        <rFont val="ＭＳ ゴシック"/>
        <family val="3"/>
        <charset val="128"/>
      </rPr>
      <t>※値引扱い現外 ⇒ 取引ログは値引扱いしない現外と同様になる</t>
    </r>
    <rPh sb="10" eb="13">
      <t>ユウタイケン</t>
    </rPh>
    <rPh sb="24" eb="26">
      <t>トリヒキ</t>
    </rPh>
    <rPh sb="29" eb="31">
      <t>ネビキ</t>
    </rPh>
    <rPh sb="31" eb="32">
      <t>アツカ</t>
    </rPh>
    <rPh sb="36" eb="38">
      <t>ゲンガイ</t>
    </rPh>
    <rPh sb="39" eb="41">
      <t>ドウヨウ</t>
    </rPh>
    <phoneticPr fontId="4"/>
  </si>
  <si>
    <t>←現外券を枚数登録した場合は枚数を掛けた金額を設定</t>
    <rPh sb="1" eb="2">
      <t>ゲン</t>
    </rPh>
    <rPh sb="2" eb="3">
      <t>ソト</t>
    </rPh>
    <rPh sb="3" eb="4">
      <t>ケン</t>
    </rPh>
    <rPh sb="5" eb="7">
      <t>マイスウ</t>
    </rPh>
    <rPh sb="7" eb="9">
      <t>トウロク</t>
    </rPh>
    <rPh sb="11" eb="13">
      <t>バアイ</t>
    </rPh>
    <rPh sb="14" eb="16">
      <t>マイスウ</t>
    </rPh>
    <rPh sb="17" eb="18">
      <t>カ</t>
    </rPh>
    <rPh sb="20" eb="22">
      <t>キンガク</t>
    </rPh>
    <rPh sb="23" eb="25">
      <t>セッテイ</t>
    </rPh>
    <phoneticPr fontId="4"/>
  </si>
  <si>
    <t>←現外券の登録枚数を設定</t>
    <rPh sb="1" eb="2">
      <t>ゲン</t>
    </rPh>
    <rPh sb="2" eb="3">
      <t>ソト</t>
    </rPh>
    <rPh sb="3" eb="4">
      <t>ケン</t>
    </rPh>
    <rPh sb="5" eb="7">
      <t>トウロク</t>
    </rPh>
    <rPh sb="7" eb="9">
      <t>マイスウ</t>
    </rPh>
    <rPh sb="10" eb="12">
      <t>セッテイ</t>
    </rPh>
    <phoneticPr fontId="4"/>
  </si>
  <si>
    <r>
      <t>　　　【No.4 商品券】</t>
    </r>
    <r>
      <rPr>
        <b/>
        <sz val="9"/>
        <color rgb="FFFF0000"/>
        <rFont val="ＭＳ ゴシック"/>
        <family val="3"/>
        <charset val="128"/>
      </rPr>
      <t>※支払取消(タッチ訂正)</t>
    </r>
    <rPh sb="9" eb="11">
      <t>ショウヒン</t>
    </rPh>
    <rPh sb="11" eb="12">
      <t>ケン</t>
    </rPh>
    <rPh sb="14" eb="16">
      <t>シハライ</t>
    </rPh>
    <rPh sb="16" eb="18">
      <t>トリケシ</t>
    </rPh>
    <rPh sb="22" eb="24">
      <t>テイセイ</t>
    </rPh>
    <phoneticPr fontId="4"/>
  </si>
  <si>
    <t>(タッチ訂正)</t>
    <phoneticPr fontId="4"/>
  </si>
  <si>
    <t>現外支払を訂正した場合は、訂正用のプラスレコード</t>
    <rPh sb="0" eb="1">
      <t>ゲン</t>
    </rPh>
    <rPh sb="1" eb="2">
      <t>ソト</t>
    </rPh>
    <rPh sb="2" eb="4">
      <t>シハラ</t>
    </rPh>
    <rPh sb="5" eb="7">
      <t>テイセイ</t>
    </rPh>
    <rPh sb="9" eb="11">
      <t>バアイ</t>
    </rPh>
    <rPh sb="13" eb="15">
      <t>テイセイ</t>
    </rPh>
    <rPh sb="15" eb="16">
      <t>ヨウ</t>
    </rPh>
    <phoneticPr fontId="4"/>
  </si>
  <si>
    <t>を作成</t>
    <rPh sb="1" eb="3">
      <t>サクセイ</t>
    </rPh>
    <phoneticPr fontId="4"/>
  </si>
  <si>
    <t>取引ログ作成時の注意事項（値引併用）</t>
    <rPh sb="0" eb="2">
      <t>トリヒキ</t>
    </rPh>
    <rPh sb="4" eb="6">
      <t>サクセイ</t>
    </rPh>
    <rPh sb="6" eb="7">
      <t>ジ</t>
    </rPh>
    <rPh sb="8" eb="10">
      <t>チュウイ</t>
    </rPh>
    <rPh sb="10" eb="12">
      <t>ジコウ</t>
    </rPh>
    <rPh sb="13" eb="15">
      <t>ネビキ</t>
    </rPh>
    <rPh sb="15" eb="17">
      <t>ヘイヨウ</t>
    </rPh>
    <phoneticPr fontId="7"/>
  </si>
  <si>
    <t>値引併用マトリクス</t>
    <phoneticPr fontId="4"/>
  </si>
  <si>
    <t>①マークダウンと②タイムサービスと③期間特売の併用</t>
    <rPh sb="18" eb="20">
      <t>キカン</t>
    </rPh>
    <rPh sb="20" eb="22">
      <t>トクバイ</t>
    </rPh>
    <rPh sb="23" eb="25">
      <t>ヘイヨウ</t>
    </rPh>
    <phoneticPr fontId="4"/>
  </si>
  <si>
    <t>※価格計算：①マークダウンのみ有効</t>
    <rPh sb="1" eb="3">
      <t>カカク</t>
    </rPh>
    <rPh sb="3" eb="5">
      <t>ケイサン</t>
    </rPh>
    <rPh sb="15" eb="17">
      <t>ユウコウ</t>
    </rPh>
    <phoneticPr fontId="4"/>
  </si>
  <si>
    <t>大分類</t>
    <rPh sb="0" eb="3">
      <t>ダイブンルイ</t>
    </rPh>
    <phoneticPr fontId="4"/>
  </si>
  <si>
    <t>中分類</t>
    <rPh sb="0" eb="3">
      <t>チュウブンルイ</t>
    </rPh>
    <phoneticPr fontId="4"/>
  </si>
  <si>
    <t>標準価格</t>
    <rPh sb="0" eb="2">
      <t>ヒョウジュン</t>
    </rPh>
    <rPh sb="2" eb="4">
      <t>カカク</t>
    </rPh>
    <phoneticPr fontId="4"/>
  </si>
  <si>
    <t>0102</t>
    <phoneticPr fontId="4"/>
  </si>
  <si>
    <t>010200</t>
    <phoneticPr fontId="4"/>
  </si>
  <si>
    <t>設定値</t>
    <rPh sb="0" eb="3">
      <t>セッテイチ</t>
    </rPh>
    <phoneticPr fontId="4"/>
  </si>
  <si>
    <t>値引方法</t>
    <rPh sb="0" eb="2">
      <t>ネビ</t>
    </rPh>
    <rPh sb="2" eb="4">
      <t>ホウホウ</t>
    </rPh>
    <phoneticPr fontId="4"/>
  </si>
  <si>
    <t>補足情報</t>
    <rPh sb="0" eb="2">
      <t>ホソク</t>
    </rPh>
    <rPh sb="2" eb="4">
      <t>ジョウホウ</t>
    </rPh>
    <phoneticPr fontId="4"/>
  </si>
  <si>
    <t>①マークダウン</t>
    <phoneticPr fontId="4"/>
  </si>
  <si>
    <t>無効→</t>
    <rPh sb="0" eb="2">
      <t>ムコウ</t>
    </rPh>
    <phoneticPr fontId="4"/>
  </si>
  <si>
    <t>②タイムサービス</t>
    <phoneticPr fontId="4"/>
  </si>
  <si>
    <t>③期間特売</t>
    <rPh sb="1" eb="3">
      <t>キカン</t>
    </rPh>
    <rPh sb="3" eb="5">
      <t>トクバイ</t>
    </rPh>
    <phoneticPr fontId="4"/>
  </si>
  <si>
    <t>当日緊急登録</t>
    <rPh sb="0" eb="2">
      <t>トウジツ</t>
    </rPh>
    <rPh sb="2" eb="4">
      <t>キンキュウ</t>
    </rPh>
    <rPh sb="4" eb="6">
      <t>トウロク</t>
    </rPh>
    <phoneticPr fontId="4"/>
  </si>
  <si>
    <t>[レコード関連図]　※値引情報に関連する情報のみを抜粋</t>
    <rPh sb="5" eb="7">
      <t>カンレン</t>
    </rPh>
    <rPh sb="7" eb="8">
      <t>ズ</t>
    </rPh>
    <rPh sb="11" eb="13">
      <t>ネビキ</t>
    </rPh>
    <rPh sb="13" eb="15">
      <t>ジョウホウ</t>
    </rPh>
    <rPh sb="16" eb="18">
      <t>カンレン</t>
    </rPh>
    <rPh sb="20" eb="22">
      <t>ジョウホウ</t>
    </rPh>
    <rPh sb="25" eb="27">
      <t>バッスイ</t>
    </rPh>
    <phoneticPr fontId="4"/>
  </si>
  <si>
    <t>【値引情報】</t>
    <rPh sb="1" eb="3">
      <t>ネビキ</t>
    </rPh>
    <rPh sb="3" eb="5">
      <t>ジョウホウ</t>
    </rPh>
    <phoneticPr fontId="4"/>
  </si>
  <si>
    <t>取引明細の値引情報 (①マークダウン)</t>
    <rPh sb="0" eb="2">
      <t>トリヒキ</t>
    </rPh>
    <rPh sb="2" eb="4">
      <t>メイサイ</t>
    </rPh>
    <rPh sb="5" eb="7">
      <t>ネビキ</t>
    </rPh>
    <rPh sb="7" eb="9">
      <t>ジョウホウ</t>
    </rPh>
    <phoneticPr fontId="4"/>
  </si>
  <si>
    <t>(値引)</t>
    <rPh sb="1" eb="3">
      <t>ネビ</t>
    </rPh>
    <phoneticPr fontId="4"/>
  </si>
  <si>
    <t>マークダウン売価</t>
    <rPh sb="6" eb="8">
      <t>バイカ</t>
    </rPh>
    <phoneticPr fontId="4"/>
  </si>
  <si>
    <t>91111: マークダウン</t>
    <phoneticPr fontId="4"/>
  </si>
  <si>
    <t>EXT_PRCは、マークダウン売価×数量</t>
    <rPh sb="15" eb="17">
      <t>バイカ</t>
    </rPh>
    <rPh sb="18" eb="20">
      <t>スウリョウ</t>
    </rPh>
    <phoneticPr fontId="4"/>
  </si>
  <si>
    <t>DISC_VALUE2</t>
    <phoneticPr fontId="4"/>
  </si>
  <si>
    <t>GSFD_SELLING_PRCは、マークダウン売価</t>
    <rPh sb="24" eb="26">
      <t>バイカ</t>
    </rPh>
    <phoneticPr fontId="4"/>
  </si>
  <si>
    <t>取引明細の値引情報 (②タイムサービス)</t>
    <rPh sb="0" eb="2">
      <t>トリヒキ</t>
    </rPh>
    <rPh sb="2" eb="4">
      <t>メイサイ</t>
    </rPh>
    <rPh sb="5" eb="7">
      <t>ネビキ</t>
    </rPh>
    <rPh sb="7" eb="9">
      <t>ジョウホウ</t>
    </rPh>
    <phoneticPr fontId="4"/>
  </si>
  <si>
    <t>タイムサービス売価</t>
    <rPh sb="7" eb="9">
      <t>バイカ</t>
    </rPh>
    <phoneticPr fontId="4"/>
  </si>
  <si>
    <t>91121: タイムサービス</t>
    <phoneticPr fontId="4"/>
  </si>
  <si>
    <t>取引明細の値引情報 (③期間特売)</t>
    <rPh sb="0" eb="2">
      <t>トリヒキ</t>
    </rPh>
    <rPh sb="2" eb="4">
      <t>メイサイ</t>
    </rPh>
    <rPh sb="5" eb="7">
      <t>ネビキ</t>
    </rPh>
    <rPh sb="7" eb="9">
      <t>ジョウホウ</t>
    </rPh>
    <rPh sb="12" eb="14">
      <t>キカン</t>
    </rPh>
    <rPh sb="14" eb="16">
      <t>トクバイ</t>
    </rPh>
    <phoneticPr fontId="4"/>
  </si>
  <si>
    <t>※当日緊急登録した期間特売のみ生成</t>
    <rPh sb="1" eb="3">
      <t>トウジツ</t>
    </rPh>
    <rPh sb="3" eb="5">
      <t>キンキュウ</t>
    </rPh>
    <rPh sb="5" eb="7">
      <t>トウロク</t>
    </rPh>
    <rPh sb="9" eb="11">
      <t>キカン</t>
    </rPh>
    <rPh sb="11" eb="13">
      <t>トクバイ</t>
    </rPh>
    <rPh sb="15" eb="17">
      <t>セイセイ</t>
    </rPh>
    <phoneticPr fontId="4"/>
  </si>
  <si>
    <t>期間特売売価</t>
    <rPh sb="0" eb="2">
      <t>キカン</t>
    </rPh>
    <rPh sb="2" eb="4">
      <t>トクバイ</t>
    </rPh>
    <rPh sb="4" eb="6">
      <t>バイカ</t>
    </rPh>
    <phoneticPr fontId="4"/>
  </si>
  <si>
    <t>91141: 期間特売</t>
    <rPh sb="7" eb="9">
      <t>キカン</t>
    </rPh>
    <rPh sb="9" eb="11">
      <t>トクバイ</t>
    </rPh>
    <phoneticPr fontId="4"/>
  </si>
  <si>
    <t>①マークダウンと④自動値引/割引の併用</t>
    <rPh sb="9" eb="11">
      <t>ジドウ</t>
    </rPh>
    <rPh sb="11" eb="13">
      <t>ネビキ</t>
    </rPh>
    <rPh sb="14" eb="16">
      <t>ワリビキ</t>
    </rPh>
    <rPh sb="17" eb="19">
      <t>ヘイヨウ</t>
    </rPh>
    <phoneticPr fontId="4"/>
  </si>
  <si>
    <t>同一自動値引/割引対象の明細が他に無い場合</t>
    <rPh sb="0" eb="2">
      <t>ドウイツ</t>
    </rPh>
    <rPh sb="2" eb="4">
      <t>ジドウ</t>
    </rPh>
    <rPh sb="4" eb="6">
      <t>ネビキ</t>
    </rPh>
    <rPh sb="7" eb="9">
      <t>ワリビキ</t>
    </rPh>
    <rPh sb="9" eb="11">
      <t>タイショウ</t>
    </rPh>
    <rPh sb="12" eb="14">
      <t>メイサイ</t>
    </rPh>
    <rPh sb="15" eb="16">
      <t>ホカ</t>
    </rPh>
    <rPh sb="17" eb="18">
      <t>ナ</t>
    </rPh>
    <rPh sb="19" eb="21">
      <t>バアイ</t>
    </rPh>
    <phoneticPr fontId="4"/>
  </si>
  <si>
    <t>0103</t>
    <phoneticPr fontId="4"/>
  </si>
  <si>
    <t>010300</t>
    <phoneticPr fontId="4"/>
  </si>
  <si>
    <r>
      <t>商品</t>
    </r>
    <r>
      <rPr>
        <sz val="9"/>
        <color rgb="FF000000"/>
        <rFont val="ＭＳ ゴシック"/>
        <family val="3"/>
        <charset val="128"/>
      </rPr>
      <t>Ｂ</t>
    </r>
    <rPh sb="0" eb="2">
      <t>ショウヒン</t>
    </rPh>
    <phoneticPr fontId="4"/>
  </si>
  <si>
    <t>④自動値引/割引</t>
    <rPh sb="1" eb="3">
      <t>ジドウ</t>
    </rPh>
    <rPh sb="3" eb="5">
      <t>ネビキ</t>
    </rPh>
    <rPh sb="6" eb="8">
      <t>ワリビキ</t>
    </rPh>
    <phoneticPr fontId="4"/>
  </si>
  <si>
    <t>割引</t>
    <rPh sb="0" eb="2">
      <t>ワリビキ</t>
    </rPh>
    <phoneticPr fontId="4"/>
  </si>
  <si>
    <t>商品階層自動値引(大分類：0103)</t>
    <rPh sb="0" eb="2">
      <t>ショウヒン</t>
    </rPh>
    <rPh sb="2" eb="4">
      <t>カイソウ</t>
    </rPh>
    <rPh sb="4" eb="6">
      <t>ジドウ</t>
    </rPh>
    <rPh sb="6" eb="8">
      <t>ネビキ</t>
    </rPh>
    <rPh sb="9" eb="12">
      <t>ダイブンルイ</t>
    </rPh>
    <phoneticPr fontId="4"/>
  </si>
  <si>
    <t>取引明細の値引情報 (④自動値引/割引)</t>
    <rPh sb="0" eb="2">
      <t>トリヒキ</t>
    </rPh>
    <rPh sb="2" eb="4">
      <t>メイサイ</t>
    </rPh>
    <rPh sb="5" eb="7">
      <t>ネビキ</t>
    </rPh>
    <rPh sb="7" eb="9">
      <t>ジョウホウ</t>
    </rPh>
    <rPh sb="12" eb="14">
      <t>ジドウ</t>
    </rPh>
    <rPh sb="14" eb="16">
      <t>ネビキ</t>
    </rPh>
    <rPh sb="17" eb="19">
      <t>ワリビキ</t>
    </rPh>
    <phoneticPr fontId="4"/>
  </si>
  <si>
    <t>２：明細％値引</t>
    <phoneticPr fontId="4"/>
  </si>
  <si>
    <t>0を設定</t>
    <rPh sb="2" eb="4">
      <t>セッテイ</t>
    </rPh>
    <phoneticPr fontId="4"/>
  </si>
  <si>
    <t>自動値引/割引の割引率</t>
    <rPh sb="0" eb="2">
      <t>ジドウ</t>
    </rPh>
    <rPh sb="2" eb="4">
      <t>ネビキ</t>
    </rPh>
    <rPh sb="5" eb="7">
      <t>ワリビキ</t>
    </rPh>
    <rPh sb="8" eb="10">
      <t>ワリビキ</t>
    </rPh>
    <rPh sb="10" eb="11">
      <t>リツ</t>
    </rPh>
    <phoneticPr fontId="4"/>
  </si>
  <si>
    <t>91326: 部門自動</t>
    <phoneticPr fontId="4"/>
  </si>
  <si>
    <t>同一自動値引/割引対象の明細が他に存在する場合</t>
    <rPh sb="0" eb="2">
      <t>ドウイツ</t>
    </rPh>
    <rPh sb="2" eb="4">
      <t>ジドウ</t>
    </rPh>
    <rPh sb="4" eb="6">
      <t>ネビキ</t>
    </rPh>
    <rPh sb="7" eb="9">
      <t>ワリビキ</t>
    </rPh>
    <rPh sb="9" eb="11">
      <t>タイショウ</t>
    </rPh>
    <rPh sb="12" eb="14">
      <t>メイサイ</t>
    </rPh>
    <rPh sb="15" eb="16">
      <t>ホカ</t>
    </rPh>
    <rPh sb="17" eb="19">
      <t>ソンザイ</t>
    </rPh>
    <rPh sb="21" eb="23">
      <t>バアイ</t>
    </rPh>
    <phoneticPr fontId="4"/>
  </si>
  <si>
    <t>010301</t>
    <phoneticPr fontId="4"/>
  </si>
  <si>
    <t>・自動値引/割引除外</t>
    <rPh sb="1" eb="3">
      <t>ジドウ</t>
    </rPh>
    <rPh sb="3" eb="5">
      <t>ネビキ</t>
    </rPh>
    <rPh sb="6" eb="8">
      <t>ワリビキ</t>
    </rPh>
    <rPh sb="8" eb="10">
      <t>ジョガイ</t>
    </rPh>
    <phoneticPr fontId="4"/>
  </si>
  <si>
    <t>除外</t>
    <rPh sb="0" eb="2">
      <t>ジョガイ</t>
    </rPh>
    <phoneticPr fontId="4"/>
  </si>
  <si>
    <t>商品階層自動値引除外(中分類：010301)</t>
    <rPh sb="0" eb="2">
      <t>ショウヒン</t>
    </rPh>
    <rPh sb="2" eb="4">
      <t>カイソウ</t>
    </rPh>
    <rPh sb="4" eb="6">
      <t>ジドウ</t>
    </rPh>
    <rPh sb="6" eb="8">
      <t>ネビキ</t>
    </rPh>
    <rPh sb="8" eb="10">
      <t>ジョガイ</t>
    </rPh>
    <rPh sb="11" eb="14">
      <t>チュウブンルイ</t>
    </rPh>
    <phoneticPr fontId="4"/>
  </si>
  <si>
    <t>・単品自動値引除外</t>
    <rPh sb="1" eb="3">
      <t>タンピン</t>
    </rPh>
    <rPh sb="3" eb="5">
      <t>ジドウ</t>
    </rPh>
    <rPh sb="5" eb="7">
      <t>ネビキ</t>
    </rPh>
    <rPh sb="7" eb="9">
      <t>ジョガイ</t>
    </rPh>
    <phoneticPr fontId="4"/>
  </si>
  <si>
    <t>商品マスタで自動値引除外</t>
    <rPh sb="0" eb="2">
      <t>ショウヒン</t>
    </rPh>
    <rPh sb="6" eb="8">
      <t>ジドウ</t>
    </rPh>
    <rPh sb="8" eb="10">
      <t>ネビキ</t>
    </rPh>
    <rPh sb="10" eb="12">
      <t>ジョガイ</t>
    </rPh>
    <phoneticPr fontId="4"/>
  </si>
  <si>
    <t>商品階層自動値引（大分類：0103）の値引合計額(マイナス値)</t>
    <rPh sb="0" eb="2">
      <t>ショウヒン</t>
    </rPh>
    <rPh sb="2" eb="4">
      <t>カイソウ</t>
    </rPh>
    <rPh sb="4" eb="6">
      <t>ジドウ</t>
    </rPh>
    <rPh sb="6" eb="8">
      <t>ネビキ</t>
    </rPh>
    <rPh sb="9" eb="12">
      <t>ダイブンルイ</t>
    </rPh>
    <rPh sb="19" eb="21">
      <t>ネビキ</t>
    </rPh>
    <rPh sb="21" eb="23">
      <t>ゴウケイ</t>
    </rPh>
    <rPh sb="23" eb="24">
      <t>ガク</t>
    </rPh>
    <rPh sb="29" eb="30">
      <t>チ</t>
    </rPh>
    <phoneticPr fontId="4"/>
  </si>
  <si>
    <t>商品階層自動値引（大分類：0103）の値引按分額</t>
    <rPh sb="0" eb="2">
      <t>ショウヒン</t>
    </rPh>
    <rPh sb="2" eb="4">
      <t>カイソウ</t>
    </rPh>
    <rPh sb="4" eb="6">
      <t>ジドウ</t>
    </rPh>
    <rPh sb="6" eb="8">
      <t>ネビキ</t>
    </rPh>
    <rPh sb="9" eb="12">
      <t>ダイブンルイ</t>
    </rPh>
    <rPh sb="19" eb="21">
      <t>ネビキ</t>
    </rPh>
    <rPh sb="21" eb="23">
      <t>アンブン</t>
    </rPh>
    <rPh sb="23" eb="24">
      <t>ガク</t>
    </rPh>
    <phoneticPr fontId="4"/>
  </si>
  <si>
    <t>取引明細の値引情報 (商品階層自動値引除外)</t>
    <rPh sb="0" eb="2">
      <t>トリヒキ</t>
    </rPh>
    <rPh sb="2" eb="4">
      <t>メイサイ</t>
    </rPh>
    <rPh sb="5" eb="7">
      <t>ネビキ</t>
    </rPh>
    <rPh sb="7" eb="9">
      <t>ジョウホウ</t>
    </rPh>
    <rPh sb="11" eb="13">
      <t>ショウヒン</t>
    </rPh>
    <rPh sb="13" eb="15">
      <t>カイソウ</t>
    </rPh>
    <rPh sb="15" eb="17">
      <t>ジドウ</t>
    </rPh>
    <rPh sb="17" eb="19">
      <t>ネビキ</t>
    </rPh>
    <rPh sb="19" eb="21">
      <t>ジョガイ</t>
    </rPh>
    <phoneticPr fontId="4"/>
  </si>
  <si>
    <t>１：明細額値引</t>
    <rPh sb="2" eb="4">
      <t>メイサイ</t>
    </rPh>
    <phoneticPr fontId="4"/>
  </si>
  <si>
    <t>個数を設定</t>
    <rPh sb="0" eb="2">
      <t>コスウ</t>
    </rPh>
    <rPh sb="3" eb="5">
      <t>セッテイ</t>
    </rPh>
    <phoneticPr fontId="4"/>
  </si>
  <si>
    <t>91323：中分類自動値引除外</t>
    <phoneticPr fontId="4"/>
  </si>
  <si>
    <t>取引明細の値引情報 (単品自動値引除外[商品マスタ])</t>
    <rPh sb="0" eb="2">
      <t>トリヒキ</t>
    </rPh>
    <rPh sb="2" eb="4">
      <t>メイサイ</t>
    </rPh>
    <rPh sb="5" eb="7">
      <t>ネビキ</t>
    </rPh>
    <rPh sb="7" eb="9">
      <t>ジョウホウ</t>
    </rPh>
    <rPh sb="11" eb="13">
      <t>タンピン</t>
    </rPh>
    <rPh sb="13" eb="15">
      <t>ジドウ</t>
    </rPh>
    <rPh sb="15" eb="17">
      <t>ネビキ</t>
    </rPh>
    <rPh sb="17" eb="19">
      <t>ジョガイ</t>
    </rPh>
    <rPh sb="20" eb="22">
      <t>ショウヒン</t>
    </rPh>
    <phoneticPr fontId="4"/>
  </si>
  <si>
    <t>91331: 単品自動値引除外</t>
    <rPh sb="7" eb="9">
      <t>タンピン</t>
    </rPh>
    <rPh sb="9" eb="11">
      <t>ジドウ</t>
    </rPh>
    <rPh sb="11" eb="13">
      <t>ネビキ</t>
    </rPh>
    <rPh sb="13" eb="15">
      <t>ジョガイ</t>
    </rPh>
    <phoneticPr fontId="4"/>
  </si>
  <si>
    <t>③期間特売と④自動値引/割引と④自動値引/割引の併用</t>
    <rPh sb="1" eb="3">
      <t>キカン</t>
    </rPh>
    <rPh sb="3" eb="5">
      <t>トクバイ</t>
    </rPh>
    <rPh sb="7" eb="9">
      <t>ジドウ</t>
    </rPh>
    <rPh sb="9" eb="11">
      <t>ネビキ</t>
    </rPh>
    <rPh sb="12" eb="14">
      <t>ワリビキ</t>
    </rPh>
    <rPh sb="24" eb="26">
      <t>ヘイヨウ</t>
    </rPh>
    <phoneticPr fontId="4"/>
  </si>
  <si>
    <t>※価格計算：③期間特売と④自動値引/割引は両立(③→④)、④自動値引/割引と④自動値引/割引は安価優先</t>
    <rPh sb="1" eb="3">
      <t>カカク</t>
    </rPh>
    <rPh sb="3" eb="5">
      <t>ケイサン</t>
    </rPh>
    <rPh sb="7" eb="9">
      <t>キカン</t>
    </rPh>
    <rPh sb="9" eb="11">
      <t>トクバイ</t>
    </rPh>
    <rPh sb="13" eb="15">
      <t>ジドウ</t>
    </rPh>
    <rPh sb="15" eb="17">
      <t>ネビキ</t>
    </rPh>
    <rPh sb="18" eb="20">
      <t>ワリビキ</t>
    </rPh>
    <rPh sb="21" eb="23">
      <t>リョウリツ</t>
    </rPh>
    <rPh sb="30" eb="32">
      <t>ジドウ</t>
    </rPh>
    <rPh sb="32" eb="34">
      <t>ネビキ</t>
    </rPh>
    <rPh sb="35" eb="37">
      <t>ワリビキ</t>
    </rPh>
    <rPh sb="39" eb="41">
      <t>ジドウ</t>
    </rPh>
    <rPh sb="41" eb="43">
      <t>ネビキ</t>
    </rPh>
    <rPh sb="44" eb="46">
      <t>ワリビキ</t>
    </rPh>
    <rPh sb="47" eb="49">
      <t>アンカ</t>
    </rPh>
    <rPh sb="49" eb="51">
      <t>ユウセン</t>
    </rPh>
    <phoneticPr fontId="4"/>
  </si>
  <si>
    <t>010202</t>
    <phoneticPr fontId="4"/>
  </si>
  <si>
    <t>商品階層自動値引(中分類：010202)</t>
    <rPh sb="0" eb="2">
      <t>ショウヒン</t>
    </rPh>
    <rPh sb="2" eb="4">
      <t>カイソウ</t>
    </rPh>
    <rPh sb="4" eb="6">
      <t>ジドウ</t>
    </rPh>
    <rPh sb="6" eb="8">
      <t>ネビキ</t>
    </rPh>
    <rPh sb="9" eb="12">
      <t>チュウブンルイ</t>
    </rPh>
    <phoneticPr fontId="4"/>
  </si>
  <si>
    <t>010302</t>
    <phoneticPr fontId="4"/>
  </si>
  <si>
    <t>商品Ｉ</t>
    <rPh sb="0" eb="2">
      <t>ショウヒン</t>
    </rPh>
    <phoneticPr fontId="4"/>
  </si>
  <si>
    <t>商品階層自動値引(中分類：010302)</t>
    <rPh sb="0" eb="2">
      <t>ショウヒン</t>
    </rPh>
    <rPh sb="2" eb="4">
      <t>カイソウ</t>
    </rPh>
    <rPh sb="4" eb="6">
      <t>ジドウ</t>
    </rPh>
    <rPh sb="6" eb="8">
      <t>ネビキ</t>
    </rPh>
    <rPh sb="9" eb="10">
      <t>チュウ</t>
    </rPh>
    <phoneticPr fontId="4"/>
  </si>
  <si>
    <t>010303</t>
    <phoneticPr fontId="4"/>
  </si>
  <si>
    <t>商品Ｊ</t>
    <rPh sb="0" eb="2">
      <t>ショウヒン</t>
    </rPh>
    <phoneticPr fontId="4"/>
  </si>
  <si>
    <t>商品階層自動値引(中分類：010303)</t>
    <rPh sb="0" eb="2">
      <t>ショウヒン</t>
    </rPh>
    <rPh sb="2" eb="4">
      <t>カイソウ</t>
    </rPh>
    <rPh sb="4" eb="6">
      <t>ジドウ</t>
    </rPh>
    <rPh sb="6" eb="8">
      <t>ネビキ</t>
    </rPh>
    <rPh sb="9" eb="10">
      <t>チュウ</t>
    </rPh>
    <phoneticPr fontId="4"/>
  </si>
  <si>
    <t>EXT_PRCは、期間特売売価×数量</t>
    <rPh sb="9" eb="11">
      <t>キカン</t>
    </rPh>
    <rPh sb="11" eb="13">
      <t>トクバイ</t>
    </rPh>
    <rPh sb="13" eb="15">
      <t>バイカ</t>
    </rPh>
    <rPh sb="16" eb="18">
      <t>スウリョウ</t>
    </rPh>
    <phoneticPr fontId="4"/>
  </si>
  <si>
    <t>GSFD_SELLING_PRCは、期間特売売価</t>
    <rPh sb="18" eb="20">
      <t>キカン</t>
    </rPh>
    <rPh sb="20" eb="22">
      <t>トクバイ</t>
    </rPh>
    <rPh sb="22" eb="24">
      <t>バイカ</t>
    </rPh>
    <phoneticPr fontId="4"/>
  </si>
  <si>
    <t>商品階層自動値引（大分類：0103）の値引合計額(マイナス値)</t>
    <rPh sb="0" eb="2">
      <t>ショウヒン</t>
    </rPh>
    <rPh sb="2" eb="4">
      <t>カイソウ</t>
    </rPh>
    <rPh sb="4" eb="6">
      <t>ジドウ</t>
    </rPh>
    <rPh sb="6" eb="8">
      <t>ネビキ</t>
    </rPh>
    <rPh sb="9" eb="12">
      <t>ダイブンルイ</t>
    </rPh>
    <rPh sb="19" eb="21">
      <t>ネビキ</t>
    </rPh>
    <rPh sb="21" eb="23">
      <t>ゴウケイ</t>
    </rPh>
    <rPh sb="23" eb="24">
      <t>ガク</t>
    </rPh>
    <phoneticPr fontId="4"/>
  </si>
  <si>
    <t>商品階層自動値引（中分類：010202）の値引合計額(マイナス値)</t>
    <rPh sb="0" eb="2">
      <t>ショウヒン</t>
    </rPh>
    <rPh sb="2" eb="4">
      <t>カイソウ</t>
    </rPh>
    <rPh sb="4" eb="6">
      <t>ジドウ</t>
    </rPh>
    <rPh sb="6" eb="8">
      <t>ネビキ</t>
    </rPh>
    <rPh sb="9" eb="10">
      <t>チュウ</t>
    </rPh>
    <rPh sb="10" eb="12">
      <t>ブンルイ</t>
    </rPh>
    <rPh sb="21" eb="23">
      <t>ネビキ</t>
    </rPh>
    <rPh sb="23" eb="25">
      <t>ゴウケイ</t>
    </rPh>
    <rPh sb="25" eb="26">
      <t>ガク</t>
    </rPh>
    <phoneticPr fontId="4"/>
  </si>
  <si>
    <t>91324：中分類自動値引</t>
    <phoneticPr fontId="4"/>
  </si>
  <si>
    <t>商品明細情報：商品Ｉ</t>
    <rPh sb="0" eb="2">
      <t>ショウヒン</t>
    </rPh>
    <rPh sb="2" eb="4">
      <t>メイサイ</t>
    </rPh>
    <rPh sb="4" eb="6">
      <t>ジョウホウ</t>
    </rPh>
    <rPh sb="7" eb="9">
      <t>ショウヒン</t>
    </rPh>
    <phoneticPr fontId="4"/>
  </si>
  <si>
    <t>商品階層自動値引（中分類：010302）の値引合計額(マイナス値)</t>
    <rPh sb="0" eb="2">
      <t>ショウヒン</t>
    </rPh>
    <rPh sb="2" eb="4">
      <t>カイソウ</t>
    </rPh>
    <rPh sb="4" eb="6">
      <t>ジドウ</t>
    </rPh>
    <rPh sb="6" eb="8">
      <t>ネビキ</t>
    </rPh>
    <rPh sb="9" eb="10">
      <t>チュウ</t>
    </rPh>
    <rPh sb="10" eb="12">
      <t>ブンルイ</t>
    </rPh>
    <rPh sb="21" eb="23">
      <t>ネビキ</t>
    </rPh>
    <rPh sb="23" eb="25">
      <t>ゴウケイ</t>
    </rPh>
    <rPh sb="25" eb="26">
      <t>ガク</t>
    </rPh>
    <phoneticPr fontId="4"/>
  </si>
  <si>
    <t>商品明細情報：商品Ｊ</t>
    <rPh sb="0" eb="2">
      <t>ショウヒン</t>
    </rPh>
    <rPh sb="2" eb="4">
      <t>メイサイ</t>
    </rPh>
    <rPh sb="4" eb="6">
      <t>ジョウホウ</t>
    </rPh>
    <rPh sb="7" eb="9">
      <t>ショウヒン</t>
    </rPh>
    <phoneticPr fontId="4"/>
  </si>
  <si>
    <t>③期間特売と⑤バンドルミックスマッチの併用</t>
    <rPh sb="1" eb="3">
      <t>キカン</t>
    </rPh>
    <rPh sb="3" eb="5">
      <t>トクバイ</t>
    </rPh>
    <rPh sb="19" eb="21">
      <t>ヘイヨウ</t>
    </rPh>
    <phoneticPr fontId="4"/>
  </si>
  <si>
    <t>※価格計算：③期間特売と⑤バンドルミックスマッチは安価優先</t>
    <rPh sb="1" eb="3">
      <t>カカク</t>
    </rPh>
    <rPh sb="3" eb="5">
      <t>ケイサン</t>
    </rPh>
    <rPh sb="25" eb="27">
      <t>アンカ</t>
    </rPh>
    <rPh sb="27" eb="29">
      <t>ユウセン</t>
    </rPh>
    <phoneticPr fontId="4"/>
  </si>
  <si>
    <t>③期間特売が安価の場合</t>
    <rPh sb="1" eb="3">
      <t>キカン</t>
    </rPh>
    <rPh sb="3" eb="5">
      <t>トクバイ</t>
    </rPh>
    <rPh sb="6" eb="8">
      <t>アンカ</t>
    </rPh>
    <rPh sb="9" eb="11">
      <t>バアイ</t>
    </rPh>
    <phoneticPr fontId="4"/>
  </si>
  <si>
    <t>商品Ｎ</t>
    <rPh sb="0" eb="2">
      <t>ショウヒン</t>
    </rPh>
    <phoneticPr fontId="4"/>
  </si>
  <si>
    <t>⑤ﾊﾞﾝﾄﾞﾙﾐｯｸｽﾏｯﾁ</t>
    <phoneticPr fontId="4"/>
  </si>
  <si>
    <t>2個：\180</t>
    <rPh sb="1" eb="2">
      <t>コ</t>
    </rPh>
    <phoneticPr fontId="4"/>
  </si>
  <si>
    <t>商品明細情報：商品Ｎ</t>
    <rPh sb="0" eb="2">
      <t>ショウヒン</t>
    </rPh>
    <rPh sb="2" eb="4">
      <t>メイサイ</t>
    </rPh>
    <rPh sb="4" eb="6">
      <t>ジョウホウ</t>
    </rPh>
    <rPh sb="7" eb="9">
      <t>ショウヒン</t>
    </rPh>
    <phoneticPr fontId="4"/>
  </si>
  <si>
    <t>取引明細の値引情報 (⑤バンドルミックスマッチ)</t>
    <rPh sb="0" eb="2">
      <t>トリヒキ</t>
    </rPh>
    <rPh sb="2" eb="4">
      <t>メイサイ</t>
    </rPh>
    <rPh sb="5" eb="7">
      <t>ネビキ</t>
    </rPh>
    <rPh sb="7" eb="9">
      <t>ジョウホウ</t>
    </rPh>
    <phoneticPr fontId="4"/>
  </si>
  <si>
    <t>５：バンドル・ミックス・ペアマッチ</t>
    <phoneticPr fontId="4"/>
  </si>
  <si>
    <t>成立個数を</t>
    <rPh sb="0" eb="2">
      <t>セイリツ</t>
    </rPh>
    <rPh sb="2" eb="4">
      <t>コスウ</t>
    </rPh>
    <phoneticPr fontId="4"/>
  </si>
  <si>
    <t>91316: バンドル・ミックスマッチ</t>
    <phoneticPr fontId="4"/>
  </si>
  <si>
    <t>設定</t>
    <rPh sb="0" eb="2">
      <t>セッテイ</t>
    </rPh>
    <phoneticPr fontId="4"/>
  </si>
  <si>
    <t>(無効の場合</t>
    <rPh sb="1" eb="3">
      <t>ムコウ</t>
    </rPh>
    <rPh sb="4" eb="6">
      <t>バアイ</t>
    </rPh>
    <phoneticPr fontId="4"/>
  </si>
  <si>
    <t xml:space="preserve"> はマスタ設定値)</t>
    <rPh sb="5" eb="8">
      <t>セッテイチ</t>
    </rPh>
    <phoneticPr fontId="4"/>
  </si>
  <si>
    <t>⑤バンドルミックスマッチが安価の場合</t>
    <rPh sb="13" eb="15">
      <t>アンカ</t>
    </rPh>
    <rPh sb="16" eb="18">
      <t>バアイ</t>
    </rPh>
    <phoneticPr fontId="4"/>
  </si>
  <si>
    <t>商品Ｏ</t>
    <rPh sb="0" eb="2">
      <t>ショウヒン</t>
    </rPh>
    <phoneticPr fontId="4"/>
  </si>
  <si>
    <t>3個購入時は、2個：\180＋1個：\90(平均単価)＝\270</t>
    <rPh sb="1" eb="2">
      <t>コ</t>
    </rPh>
    <rPh sb="2" eb="4">
      <t>コウニュウ</t>
    </rPh>
    <rPh sb="4" eb="5">
      <t>ジ</t>
    </rPh>
    <rPh sb="8" eb="9">
      <t>コ</t>
    </rPh>
    <rPh sb="16" eb="17">
      <t>コ</t>
    </rPh>
    <rPh sb="22" eb="24">
      <t>ヘイキン</t>
    </rPh>
    <rPh sb="24" eb="26">
      <t>タンカ</t>
    </rPh>
    <phoneticPr fontId="4"/>
  </si>
  <si>
    <t>商品明細情報：商品Ｏ</t>
    <rPh sb="0" eb="2">
      <t>ショウヒン</t>
    </rPh>
    <rPh sb="2" eb="4">
      <t>メイサイ</t>
    </rPh>
    <rPh sb="4" eb="6">
      <t>ジョウホウ</t>
    </rPh>
    <rPh sb="7" eb="9">
      <t>ショウヒン</t>
    </rPh>
    <phoneticPr fontId="4"/>
  </si>
  <si>
    <t>期間特売売価からの差額(=\270-\285)を設定(マイナス値)</t>
    <rPh sb="0" eb="2">
      <t>キカン</t>
    </rPh>
    <rPh sb="2" eb="4">
      <t>トクバイ</t>
    </rPh>
    <rPh sb="4" eb="6">
      <t>バイカ</t>
    </rPh>
    <rPh sb="9" eb="11">
      <t>サガク</t>
    </rPh>
    <rPh sb="23" eb="25">
      <t>セッテイ</t>
    </rPh>
    <phoneticPr fontId="4"/>
  </si>
  <si>
    <t>④自動値引/割引と⑤バンドルミックスマッチの併用</t>
    <rPh sb="1" eb="3">
      <t>ジドウ</t>
    </rPh>
    <rPh sb="3" eb="5">
      <t>ネビキ</t>
    </rPh>
    <rPh sb="6" eb="8">
      <t>ワリビキ</t>
    </rPh>
    <rPh sb="22" eb="24">
      <t>ヘイヨウ</t>
    </rPh>
    <phoneticPr fontId="4"/>
  </si>
  <si>
    <t>※価格計算：④自動値引/割引と⑤バンドルミックスマッチは安価優先</t>
    <rPh sb="1" eb="3">
      <t>カカク</t>
    </rPh>
    <rPh sb="3" eb="5">
      <t>ケイサン</t>
    </rPh>
    <rPh sb="7" eb="9">
      <t>ジドウ</t>
    </rPh>
    <rPh sb="9" eb="11">
      <t>ネビキ</t>
    </rPh>
    <rPh sb="12" eb="14">
      <t>ワリビキ</t>
    </rPh>
    <rPh sb="28" eb="30">
      <t>アンカ</t>
    </rPh>
    <rPh sb="30" eb="32">
      <t>ユウセン</t>
    </rPh>
    <phoneticPr fontId="4"/>
  </si>
  <si>
    <t>④自動値引/割引が安価の場合</t>
    <rPh sb="9" eb="11">
      <t>アンカ</t>
    </rPh>
    <rPh sb="12" eb="14">
      <t>バアイ</t>
    </rPh>
    <phoneticPr fontId="4"/>
  </si>
  <si>
    <t>商品Ｋ</t>
    <rPh sb="0" eb="2">
      <t>ショウヒン</t>
    </rPh>
    <phoneticPr fontId="4"/>
  </si>
  <si>
    <t>商品明細情報：商品Ｋ</t>
    <rPh sb="0" eb="2">
      <t>ショウヒン</t>
    </rPh>
    <rPh sb="2" eb="4">
      <t>メイサイ</t>
    </rPh>
    <rPh sb="4" eb="6">
      <t>ジョウホウ</t>
    </rPh>
    <rPh sb="7" eb="9">
      <t>ショウヒン</t>
    </rPh>
    <phoneticPr fontId="4"/>
  </si>
  <si>
    <t>商品Ｌ</t>
    <rPh sb="0" eb="2">
      <t>ショウヒン</t>
    </rPh>
    <phoneticPr fontId="4"/>
  </si>
  <si>
    <t>2個：\160</t>
    <rPh sb="1" eb="2">
      <t>コ</t>
    </rPh>
    <phoneticPr fontId="4"/>
  </si>
  <si>
    <t>3個購入時は、2個：\160＋1個：\80(平均単価)＝\240</t>
    <rPh sb="1" eb="2">
      <t>コ</t>
    </rPh>
    <rPh sb="2" eb="4">
      <t>コウニュウ</t>
    </rPh>
    <rPh sb="4" eb="5">
      <t>ジ</t>
    </rPh>
    <rPh sb="8" eb="9">
      <t>コ</t>
    </rPh>
    <rPh sb="16" eb="17">
      <t>コ</t>
    </rPh>
    <rPh sb="22" eb="24">
      <t>ヘイキン</t>
    </rPh>
    <rPh sb="24" eb="26">
      <t>タンカ</t>
    </rPh>
    <phoneticPr fontId="4"/>
  </si>
  <si>
    <t>自動値引後売価からの差額(=\240-\255)を設定(マイナス値)</t>
    <rPh sb="0" eb="2">
      <t>ジドウ</t>
    </rPh>
    <rPh sb="2" eb="4">
      <t>ネビキ</t>
    </rPh>
    <rPh sb="4" eb="5">
      <t>ゴ</t>
    </rPh>
    <rPh sb="5" eb="7">
      <t>バイカ</t>
    </rPh>
    <rPh sb="10" eb="12">
      <t>サガク</t>
    </rPh>
    <rPh sb="25" eb="27">
      <t>セッテイ</t>
    </rPh>
    <phoneticPr fontId="4"/>
  </si>
  <si>
    <t>③期間特売と④自動値引/割引と⑤バンドルミックスマッチと⑥マニュアル（売価）/⑦マニュアル（値引）/⑧マニュアル（割引）の併用</t>
    <rPh sb="1" eb="3">
      <t>キカン</t>
    </rPh>
    <rPh sb="3" eb="5">
      <t>トクバイ</t>
    </rPh>
    <rPh sb="7" eb="9">
      <t>ジドウ</t>
    </rPh>
    <rPh sb="9" eb="11">
      <t>ネビキ</t>
    </rPh>
    <rPh sb="12" eb="14">
      <t>ワリビキ</t>
    </rPh>
    <rPh sb="61" eb="63">
      <t>ヘイヨウ</t>
    </rPh>
    <phoneticPr fontId="4"/>
  </si>
  <si>
    <t>商品Ｍ</t>
    <rPh sb="0" eb="2">
      <t>ショウヒン</t>
    </rPh>
    <phoneticPr fontId="4"/>
  </si>
  <si>
    <t>⑦ﾏﾆｭｱﾙ（値引）</t>
    <phoneticPr fontId="4"/>
  </si>
  <si>
    <t>※値引バーコードも同様</t>
    <phoneticPr fontId="4"/>
  </si>
  <si>
    <t>⑧ﾏﾆｭｱﾙ（割引）</t>
    <phoneticPr fontId="4"/>
  </si>
  <si>
    <t>⑥ﾏﾆｭｱﾙ（売価）</t>
    <phoneticPr fontId="4"/>
  </si>
  <si>
    <t>売価変更値下げ　※値引バーコードも同様</t>
    <rPh sb="0" eb="2">
      <t>バイカ</t>
    </rPh>
    <rPh sb="2" eb="4">
      <t>ヘンコウ</t>
    </rPh>
    <rPh sb="4" eb="6">
      <t>ネサ</t>
    </rPh>
    <rPh sb="9" eb="11">
      <t>ネビキ</t>
    </rPh>
    <rPh sb="17" eb="19">
      <t>ドウヨウ</t>
    </rPh>
    <phoneticPr fontId="4"/>
  </si>
  <si>
    <t>売価変更値上げ　※マニュアルのみ可能(値引バーコードは値上げ不可で、値下げと同額のみ可能)</t>
    <rPh sb="0" eb="2">
      <t>バイカ</t>
    </rPh>
    <rPh sb="2" eb="4">
      <t>ヘンコウ</t>
    </rPh>
    <rPh sb="4" eb="6">
      <t>ネア</t>
    </rPh>
    <rPh sb="16" eb="18">
      <t>カノウ</t>
    </rPh>
    <rPh sb="19" eb="21">
      <t>ネビ</t>
    </rPh>
    <rPh sb="27" eb="29">
      <t>ネア</t>
    </rPh>
    <rPh sb="30" eb="32">
      <t>フカ</t>
    </rPh>
    <rPh sb="34" eb="36">
      <t>ネサ</t>
    </rPh>
    <rPh sb="38" eb="40">
      <t>ドウガク</t>
    </rPh>
    <rPh sb="42" eb="44">
      <t>カノウ</t>
    </rPh>
    <phoneticPr fontId="4"/>
  </si>
  <si>
    <t>商品明細情報：商品Ｍ</t>
    <rPh sb="0" eb="2">
      <t>ショウヒン</t>
    </rPh>
    <rPh sb="2" eb="4">
      <t>メイサイ</t>
    </rPh>
    <rPh sb="4" eb="6">
      <t>ジョウホウ</t>
    </rPh>
    <rPh sb="7" eb="9">
      <t>ショウヒン</t>
    </rPh>
    <phoneticPr fontId="4"/>
  </si>
  <si>
    <t>取引明細の値引情報 (⑦マニュアル（値引）)</t>
    <rPh sb="0" eb="2">
      <t>トリヒキ</t>
    </rPh>
    <rPh sb="2" eb="4">
      <t>メイサイ</t>
    </rPh>
    <rPh sb="5" eb="7">
      <t>ネビキ</t>
    </rPh>
    <rPh sb="7" eb="9">
      <t>ジョウホウ</t>
    </rPh>
    <phoneticPr fontId="4"/>
  </si>
  <si>
    <t>マニュアル(値引)の値引合計額(マイナス値)</t>
    <rPh sb="6" eb="8">
      <t>ネビ</t>
    </rPh>
    <rPh sb="10" eb="12">
      <t>ネビキ</t>
    </rPh>
    <rPh sb="12" eb="14">
      <t>ゴウケイ</t>
    </rPh>
    <rPh sb="14" eb="15">
      <t>ガク</t>
    </rPh>
    <phoneticPr fontId="4"/>
  </si>
  <si>
    <t>マニュアル(値引)の値引額</t>
    <rPh sb="6" eb="8">
      <t>ネビ</t>
    </rPh>
    <rPh sb="10" eb="12">
      <t>ネビキ</t>
    </rPh>
    <rPh sb="12" eb="13">
      <t>ガク</t>
    </rPh>
    <phoneticPr fontId="4"/>
  </si>
  <si>
    <t>取引明細の値引情報 (⑧マニュアル（割引）)</t>
    <rPh sb="0" eb="2">
      <t>トリヒキ</t>
    </rPh>
    <rPh sb="2" eb="4">
      <t>メイサイ</t>
    </rPh>
    <rPh sb="5" eb="7">
      <t>ネビキ</t>
    </rPh>
    <rPh sb="7" eb="9">
      <t>ジョウホウ</t>
    </rPh>
    <phoneticPr fontId="4"/>
  </si>
  <si>
    <t>マニュアル(割引)の値引合計額(マイナス値)</t>
    <rPh sb="6" eb="8">
      <t>ワリビキ</t>
    </rPh>
    <rPh sb="10" eb="12">
      <t>ネビキ</t>
    </rPh>
    <rPh sb="12" eb="14">
      <t>ゴウケイ</t>
    </rPh>
    <rPh sb="14" eb="15">
      <t>ガク</t>
    </rPh>
    <phoneticPr fontId="4"/>
  </si>
  <si>
    <t>マニュアル(割引)の割引率</t>
    <rPh sb="6" eb="8">
      <t>ワリビキ</t>
    </rPh>
    <rPh sb="10" eb="12">
      <t>ワリビキ</t>
    </rPh>
    <rPh sb="12" eb="13">
      <t>リツ</t>
    </rPh>
    <phoneticPr fontId="4"/>
  </si>
  <si>
    <t>取引明細の値引情報 (⑥マニュアル（売価）値下げ)</t>
    <rPh sb="0" eb="2">
      <t>トリヒキ</t>
    </rPh>
    <rPh sb="2" eb="4">
      <t>メイサイ</t>
    </rPh>
    <rPh sb="5" eb="7">
      <t>ネビキ</t>
    </rPh>
    <rPh sb="7" eb="9">
      <t>ジョウホウ</t>
    </rPh>
    <rPh sb="21" eb="23">
      <t>ネサ</t>
    </rPh>
    <phoneticPr fontId="4"/>
  </si>
  <si>
    <t>マニュアル(売価)の値引合計額(マイナス値)</t>
    <rPh sb="6" eb="8">
      <t>バイカ</t>
    </rPh>
    <rPh sb="10" eb="12">
      <t>ネビキ</t>
    </rPh>
    <rPh sb="12" eb="14">
      <t>ゴウケイ</t>
    </rPh>
    <rPh sb="14" eb="15">
      <t>ガク</t>
    </rPh>
    <phoneticPr fontId="4"/>
  </si>
  <si>
    <t>マニュアル(売価)の売価</t>
    <rPh sb="6" eb="8">
      <t>バイカ</t>
    </rPh>
    <rPh sb="10" eb="12">
      <t>バイカ</t>
    </rPh>
    <phoneticPr fontId="4"/>
  </si>
  <si>
    <t>EXT_PRCは、マニュアル(売価)×数量</t>
    <rPh sb="15" eb="17">
      <t>バイカ</t>
    </rPh>
    <rPh sb="19" eb="21">
      <t>スウリョウ</t>
    </rPh>
    <phoneticPr fontId="4"/>
  </si>
  <si>
    <t>【価格変更情報】</t>
    <rPh sb="1" eb="3">
      <t>カカク</t>
    </rPh>
    <rPh sb="3" eb="5">
      <t>ヘンコウ</t>
    </rPh>
    <rPh sb="5" eb="7">
      <t>ジョウホウ</t>
    </rPh>
    <phoneticPr fontId="4"/>
  </si>
  <si>
    <t>取引明細の価格変更情報 (⑥マニュアル（売価）値上げ)</t>
    <rPh sb="0" eb="2">
      <t>トリヒキ</t>
    </rPh>
    <rPh sb="2" eb="4">
      <t>メイサイ</t>
    </rPh>
    <rPh sb="5" eb="7">
      <t>カカク</t>
    </rPh>
    <rPh sb="7" eb="9">
      <t>ヘンコウ</t>
    </rPh>
    <rPh sb="9" eb="11">
      <t>ジョウホウ</t>
    </rPh>
    <rPh sb="24" eb="25">
      <t>ア</t>
    </rPh>
    <phoneticPr fontId="4"/>
  </si>
  <si>
    <t>PRC_OVRD_REAS_CD</t>
    <phoneticPr fontId="4"/>
  </si>
  <si>
    <t>13：値上げ売価変更</t>
    <phoneticPr fontId="4"/>
  </si>
  <si>
    <t>③期間特売と④自動値引/割引と⑤バンドルミックスマッチと⑥マニュアル（売価）/⑦マニュアル（値引）/⑧マニュアル（割引）と小計割引の併用</t>
    <rPh sb="1" eb="3">
      <t>キカン</t>
    </rPh>
    <rPh sb="3" eb="5">
      <t>トクバイ</t>
    </rPh>
    <rPh sb="7" eb="9">
      <t>ジドウ</t>
    </rPh>
    <rPh sb="9" eb="11">
      <t>ネビキ</t>
    </rPh>
    <rPh sb="12" eb="14">
      <t>ワリビキ</t>
    </rPh>
    <rPh sb="61" eb="63">
      <t>ショウケイ</t>
    </rPh>
    <rPh sb="63" eb="65">
      <t>ワリビキ</t>
    </rPh>
    <rPh sb="66" eb="68">
      <t>ヘイヨウ</t>
    </rPh>
    <phoneticPr fontId="4"/>
  </si>
  <si>
    <t>※値引バーコードも同様</t>
  </si>
  <si>
    <t>商品Ｐ</t>
    <rPh sb="0" eb="2">
      <t>ショウヒン</t>
    </rPh>
    <phoneticPr fontId="4"/>
  </si>
  <si>
    <t>・小計値引除外</t>
    <rPh sb="1" eb="3">
      <t>ショウケイ</t>
    </rPh>
    <rPh sb="3" eb="5">
      <t>ネビキ</t>
    </rPh>
    <rPh sb="5" eb="7">
      <t>ジョガイ</t>
    </rPh>
    <phoneticPr fontId="4"/>
  </si>
  <si>
    <t>商品マスタで小計値引除外</t>
    <rPh sb="0" eb="2">
      <t>ショウヒン</t>
    </rPh>
    <rPh sb="6" eb="8">
      <t>ショウケイ</t>
    </rPh>
    <rPh sb="8" eb="10">
      <t>ネビキ</t>
    </rPh>
    <rPh sb="10" eb="12">
      <t>ジョガイ</t>
    </rPh>
    <phoneticPr fontId="4"/>
  </si>
  <si>
    <t>小計値引(割引)</t>
    <rPh sb="0" eb="2">
      <t>ショウケイ</t>
    </rPh>
    <rPh sb="2" eb="4">
      <t>ネビキ</t>
    </rPh>
    <rPh sb="5" eb="7">
      <t>ワリビキ</t>
    </rPh>
    <phoneticPr fontId="4"/>
  </si>
  <si>
    <t>商品明細情報：商品Ｐ</t>
    <rPh sb="0" eb="2">
      <t>ショウヒン</t>
    </rPh>
    <rPh sb="2" eb="4">
      <t>メイサイ</t>
    </rPh>
    <rPh sb="4" eb="6">
      <t>ジョウホウ</t>
    </rPh>
    <rPh sb="7" eb="9">
      <t>ショウヒン</t>
    </rPh>
    <phoneticPr fontId="4"/>
  </si>
  <si>
    <t>※小計値引除外の場合は、小計値引（割引）</t>
    <rPh sb="1" eb="3">
      <t>ショウケイ</t>
    </rPh>
    <rPh sb="3" eb="5">
      <t>ネビキ</t>
    </rPh>
    <rPh sb="5" eb="7">
      <t>ジョガイ</t>
    </rPh>
    <rPh sb="8" eb="10">
      <t>バアイ</t>
    </rPh>
    <rPh sb="12" eb="14">
      <t>ショウケイ</t>
    </rPh>
    <rPh sb="14" eb="16">
      <t>ネビキ</t>
    </rPh>
    <rPh sb="17" eb="19">
      <t>ワリビキ</t>
    </rPh>
    <phoneticPr fontId="4"/>
  </si>
  <si>
    <t>　の値引情報へのリンク情報は生成しない</t>
    <rPh sb="2" eb="4">
      <t>ネビキ</t>
    </rPh>
    <rPh sb="4" eb="6">
      <t>ジョウホウ</t>
    </rPh>
    <phoneticPr fontId="4"/>
  </si>
  <si>
    <t>取引明細の値引情報 (小計値引（割引）)</t>
    <rPh sb="0" eb="2">
      <t>トリヒキ</t>
    </rPh>
    <rPh sb="2" eb="4">
      <t>メイサイ</t>
    </rPh>
    <rPh sb="5" eb="7">
      <t>ネビキ</t>
    </rPh>
    <rPh sb="7" eb="9">
      <t>ジョウホウ</t>
    </rPh>
    <rPh sb="11" eb="13">
      <t>ショウケイ</t>
    </rPh>
    <rPh sb="13" eb="15">
      <t>ネビキ</t>
    </rPh>
    <rPh sb="16" eb="18">
      <t>ワリビキ</t>
    </rPh>
    <phoneticPr fontId="4"/>
  </si>
  <si>
    <t>※小計割引の場合、内部的には小計値引対象額から計算した</t>
    <rPh sb="1" eb="3">
      <t>ショウケイ</t>
    </rPh>
    <rPh sb="3" eb="5">
      <t>ワリビキ</t>
    </rPh>
    <rPh sb="6" eb="8">
      <t>バアイ</t>
    </rPh>
    <rPh sb="9" eb="12">
      <t>ナイブテキ</t>
    </rPh>
    <rPh sb="14" eb="16">
      <t>ショウケイ</t>
    </rPh>
    <rPh sb="16" eb="18">
      <t>ネビキ</t>
    </rPh>
    <rPh sb="18" eb="20">
      <t>タイショウ</t>
    </rPh>
    <rPh sb="20" eb="21">
      <t>ガク</t>
    </rPh>
    <rPh sb="23" eb="25">
      <t>ケイサン</t>
    </rPh>
    <phoneticPr fontId="4"/>
  </si>
  <si>
    <t>　小計値引額を値引する(割引では無く値引として処理)</t>
    <rPh sb="7" eb="9">
      <t>ネビキ</t>
    </rPh>
    <rPh sb="12" eb="14">
      <t>ワリビキ</t>
    </rPh>
    <rPh sb="16" eb="17">
      <t>ナ</t>
    </rPh>
    <rPh sb="18" eb="20">
      <t>ネビキ</t>
    </rPh>
    <rPh sb="23" eb="25">
      <t>ショリ</t>
    </rPh>
    <phoneticPr fontId="4"/>
  </si>
  <si>
    <t>１３：小計額値引</t>
    <phoneticPr fontId="4"/>
  </si>
  <si>
    <t>マニュアル小計（割引）の値引額(マイナス値)</t>
    <rPh sb="5" eb="7">
      <t>ショウケイ</t>
    </rPh>
    <rPh sb="8" eb="10">
      <t>ワリビキ</t>
    </rPh>
    <rPh sb="12" eb="14">
      <t>ネビキ</t>
    </rPh>
    <rPh sb="14" eb="15">
      <t>ガク</t>
    </rPh>
    <phoneticPr fontId="4"/>
  </si>
  <si>
    <t>マニュアル小計（割引）の値引額</t>
    <rPh sb="5" eb="7">
      <t>ショウケイ</t>
    </rPh>
    <rPh sb="8" eb="10">
      <t>ワリビキ</t>
    </rPh>
    <rPh sb="12" eb="14">
      <t>ネビキ</t>
    </rPh>
    <rPh sb="14" eb="15">
      <t>ガク</t>
    </rPh>
    <phoneticPr fontId="4"/>
  </si>
  <si>
    <t>91400: マニュアル小計値引</t>
    <phoneticPr fontId="4"/>
  </si>
  <si>
    <t>マニュアル小計（割引）の割引率</t>
    <rPh sb="5" eb="7">
      <t>ショウケイ</t>
    </rPh>
    <rPh sb="8" eb="10">
      <t>ワリビキ</t>
    </rPh>
    <rPh sb="12" eb="14">
      <t>ワリビキ</t>
    </rPh>
    <rPh sb="14" eb="15">
      <t>リツ</t>
    </rPh>
    <phoneticPr fontId="4"/>
  </si>
  <si>
    <t>トラン連携ファイルレイアウト</t>
    <rPh sb="3" eb="5">
      <t>レンケイ</t>
    </rPh>
    <phoneticPr fontId="4"/>
  </si>
  <si>
    <t>対象テーブル：TRANS_HEADER
形式：TSV</t>
    <rPh sb="0" eb="2">
      <t>タイショウ</t>
    </rPh>
    <phoneticPr fontId="4"/>
  </si>
  <si>
    <t>*1.5
「入金 中止」は、ignicaPOS側からトラン連携無し</t>
    <rPh sb="6" eb="8">
      <t>ニュウキン</t>
    </rPh>
    <rPh sb="9" eb="11">
      <t>チュウシ</t>
    </rPh>
    <rPh sb="23" eb="24">
      <t>ガワ</t>
    </rPh>
    <rPh sb="29" eb="31">
      <t>レンケイ</t>
    </rPh>
    <rPh sb="31" eb="32">
      <t>ナ</t>
    </rPh>
    <phoneticPr fontId="4"/>
  </si>
  <si>
    <t>*1.5
「出金 中止」は、ignicaPOS側からトラン連携無し</t>
    <rPh sb="6" eb="8">
      <t>シュッキン</t>
    </rPh>
    <rPh sb="9" eb="11">
      <t>チュウシ</t>
    </rPh>
    <rPh sb="23" eb="24">
      <t>ガワ</t>
    </rPh>
    <rPh sb="29" eb="31">
      <t>レンケイ</t>
    </rPh>
    <rPh sb="31" eb="32">
      <t>ナ</t>
    </rPh>
    <phoneticPr fontId="4"/>
  </si>
  <si>
    <t>*1.5
「釣銭準備金 中止」は、ignicaPOS側からトラン連携無し</t>
    <rPh sb="26" eb="27">
      <t>ガワ</t>
    </rPh>
    <rPh sb="32" eb="34">
      <t>レンケイ</t>
    </rPh>
    <rPh sb="34" eb="35">
      <t>ナ</t>
    </rPh>
    <phoneticPr fontId="4"/>
  </si>
  <si>
    <t>*1.5
「中間回収 中止」は、ignicaPOS側からトラン連携無し</t>
    <rPh sb="25" eb="26">
      <t>ガワ</t>
    </rPh>
    <rPh sb="31" eb="33">
      <t>レンケイ</t>
    </rPh>
    <rPh sb="33" eb="34">
      <t>ナ</t>
    </rPh>
    <phoneticPr fontId="4"/>
  </si>
  <si>
    <t>NO</t>
  </si>
  <si>
    <t>項目</t>
    <rPh sb="0" eb="2">
      <t>コウモク</t>
    </rPh>
    <phoneticPr fontId="4"/>
  </si>
  <si>
    <t>説明</t>
    <rPh sb="0" eb="2">
      <t>セツメイ</t>
    </rPh>
    <phoneticPr fontId="4"/>
  </si>
  <si>
    <t>取得元マスタ項目</t>
    <rPh sb="0" eb="2">
      <t>シュトク</t>
    </rPh>
    <rPh sb="2" eb="3">
      <t>モト</t>
    </rPh>
    <rPh sb="6" eb="8">
      <t>コウモク</t>
    </rPh>
    <phoneticPr fontId="4"/>
  </si>
  <si>
    <t>設定元</t>
    <rPh sb="0" eb="2">
      <t>セッテイ</t>
    </rPh>
    <rPh sb="2" eb="3">
      <t>モト</t>
    </rPh>
    <phoneticPr fontId="4"/>
  </si>
  <si>
    <t>一次開発
必須項目</t>
    <rPh sb="0" eb="4">
      <t>イチジカイハツ</t>
    </rPh>
    <rPh sb="5" eb="7">
      <t>ヒッス</t>
    </rPh>
    <rPh sb="7" eb="9">
      <t>コウモク</t>
    </rPh>
    <phoneticPr fontId="4"/>
  </si>
  <si>
    <t>ignicaPOS・Scan&amp;Go設定値</t>
    <phoneticPr fontId="4"/>
  </si>
  <si>
    <t>日本語名称</t>
    <rPh sb="0" eb="5">
      <t>ニホンゴメイショウ</t>
    </rPh>
    <phoneticPr fontId="4"/>
  </si>
  <si>
    <t>NULL
許可</t>
    <rPh sb="5" eb="7">
      <t>キョカ</t>
    </rPh>
    <phoneticPr fontId="4"/>
  </si>
  <si>
    <t>売上</t>
  </si>
  <si>
    <t>売上　中止</t>
    <rPh sb="0" eb="2">
      <t>ウリアゲ</t>
    </rPh>
    <rPh sb="3" eb="5">
      <t>チュウシ</t>
    </rPh>
    <phoneticPr fontId="4"/>
  </si>
  <si>
    <t>入金</t>
    <rPh sb="0" eb="2">
      <t>ニュウキン</t>
    </rPh>
    <phoneticPr fontId="4"/>
  </si>
  <si>
    <t>入金 中止</t>
    <rPh sb="0" eb="2">
      <t>ニュウキン</t>
    </rPh>
    <rPh sb="3" eb="5">
      <t>チュウシ</t>
    </rPh>
    <phoneticPr fontId="4"/>
  </si>
  <si>
    <t>出金</t>
    <rPh sb="0" eb="2">
      <t>シュッキン</t>
    </rPh>
    <phoneticPr fontId="4"/>
  </si>
  <si>
    <t>出金　中止</t>
    <rPh sb="0" eb="2">
      <t>シュッキン</t>
    </rPh>
    <rPh sb="3" eb="5">
      <t>チュウシ</t>
    </rPh>
    <phoneticPr fontId="4"/>
  </si>
  <si>
    <t>釣銭準備金</t>
    <rPh sb="0" eb="5">
      <t>ツリセンジュンビキン</t>
    </rPh>
    <phoneticPr fontId="4"/>
  </si>
  <si>
    <t>釣銭準備金　中止</t>
    <rPh sb="0" eb="5">
      <t>ツリセンジュンビキン</t>
    </rPh>
    <rPh sb="6" eb="8">
      <t>チュウシ</t>
    </rPh>
    <phoneticPr fontId="4"/>
  </si>
  <si>
    <t>釣銭補充</t>
    <rPh sb="0" eb="4">
      <t>ツリセンホジュウ</t>
    </rPh>
    <phoneticPr fontId="4"/>
  </si>
  <si>
    <t>中間回収</t>
    <rPh sb="0" eb="4">
      <t>チュウカンカイシュウ</t>
    </rPh>
    <phoneticPr fontId="4"/>
  </si>
  <si>
    <t>中間回収　中止</t>
    <rPh sb="0" eb="4">
      <t>チュウカンカイシュウ</t>
    </rPh>
    <rPh sb="5" eb="7">
      <t>チュウシ</t>
    </rPh>
    <phoneticPr fontId="4"/>
  </si>
  <si>
    <t>GSFD_ACCOUNT_ID</t>
    <phoneticPr fontId="4"/>
  </si>
  <si>
    <t>アカウントID</t>
    <phoneticPr fontId="4"/>
  </si>
  <si>
    <t>varchar</t>
    <phoneticPr fontId="4"/>
  </si>
  <si>
    <t>●</t>
    <phoneticPr fontId="4"/>
  </si>
  <si>
    <t>アカウントID
先頭0埋めで9桁固定</t>
    <rPh sb="8" eb="10">
      <t>セントウ</t>
    </rPh>
    <rPh sb="11" eb="12">
      <t>ウ</t>
    </rPh>
    <rPh sb="15" eb="16">
      <t>ケタ</t>
    </rPh>
    <rPh sb="16" eb="18">
      <t>コテイ</t>
    </rPh>
    <phoneticPr fontId="3"/>
  </si>
  <si>
    <t>〇</t>
  </si>
  <si>
    <t>設定値：アカウントIDを設定
ignicaPOS
   設定値：""(空)
Scan&amp;Go
   設定値：""(空)</t>
    <rPh sb="12" eb="14">
      <t>セッテイ</t>
    </rPh>
    <phoneticPr fontId="4"/>
  </si>
  <si>
    <t>設定値：アカウントIDを設定
ignicaPOS
   設定値：""(空)
Scan&amp;Go
   設定値：アカウントID</t>
    <rPh sb="12" eb="14">
      <t>セッテイ</t>
    </rPh>
    <phoneticPr fontId="4"/>
  </si>
  <si>
    <t>Scan&amp;Goの売上取引/売上中止取引のみ値を設定する</t>
    <rPh sb="8" eb="10">
      <t>ウリアゲ</t>
    </rPh>
    <rPh sb="10" eb="12">
      <t>トリヒキ</t>
    </rPh>
    <rPh sb="13" eb="15">
      <t>ウリアゲ</t>
    </rPh>
    <rPh sb="15" eb="17">
      <t>チュウシ</t>
    </rPh>
    <rPh sb="17" eb="19">
      <t>トリヒキ</t>
    </rPh>
    <rPh sb="21" eb="22">
      <t>アタイ</t>
    </rPh>
    <rPh sb="23" eb="25">
      <t>セッテイ</t>
    </rPh>
    <phoneticPr fontId="4"/>
  </si>
  <si>
    <t>GSFD_JOURNAL_NO</t>
    <phoneticPr fontId="4"/>
  </si>
  <si>
    <t>ジャーナルNo.</t>
    <phoneticPr fontId="4"/>
  </si>
  <si>
    <t>ジャーナルNo.
先頭0埋めで9桁固定</t>
    <phoneticPr fontId="4"/>
  </si>
  <si>
    <t>設定値：ジャーナルNo.
ignicaPOS
   設定値：""(空)
Scan&amp;Go
   設定値：""(空)</t>
    <phoneticPr fontId="4"/>
  </si>
  <si>
    <t>設定値：ジャーナルNo.
ignicaPOS
   設定値：""(空)
Scan&amp;Go
   設定値：ジャーナルNo.</t>
    <phoneticPr fontId="4"/>
  </si>
  <si>
    <t>取引の識別子</t>
    <rPh sb="3" eb="6">
      <t>シキベツシ</t>
    </rPh>
    <phoneticPr fontId="4"/>
  </si>
  <si>
    <t>●</t>
  </si>
  <si>
    <t>TSM側で設定となるため、設定不要（固定値）
設定値：""(空)</t>
    <rPh sb="13" eb="17">
      <t>セッテイフヨウ</t>
    </rPh>
    <rPh sb="18" eb="21">
      <t>コテイチ</t>
    </rPh>
    <rPh sb="30" eb="31">
      <t>カラ</t>
    </rPh>
    <phoneticPr fontId="4"/>
  </si>
  <si>
    <t>レジスタ単位の取引通番</t>
  </si>
  <si>
    <t>◎</t>
  </si>
  <si>
    <t xml:space="preserve">設定値：取引通番を設定
</t>
    <rPh sb="4" eb="6">
      <t>トリヒキ</t>
    </rPh>
    <rPh sb="6" eb="8">
      <t>ツウバン</t>
    </rPh>
    <rPh sb="9" eb="11">
      <t>セッテイ</t>
    </rPh>
    <phoneticPr fontId="4"/>
  </si>
  <si>
    <r>
      <rPr>
        <b/>
        <sz val="11"/>
        <color rgb="FF000000"/>
        <rFont val="ＭＳ Ｐゴシック"/>
        <family val="3"/>
        <charset val="128"/>
      </rPr>
      <t xml:space="preserve">POS番号単位での通し番号 (抜け/重複なし)
</t>
    </r>
    <r>
      <rPr>
        <b/>
        <sz val="11"/>
        <color rgb="FFFF0000"/>
        <rFont val="ＭＳ Ｐゴシック"/>
        <family val="3"/>
        <charset val="128"/>
      </rPr>
      <t>最大</t>
    </r>
    <r>
      <rPr>
        <b/>
        <sz val="11"/>
        <color rgb="FF000000"/>
        <rFont val="ＭＳ Ｐゴシック"/>
        <family val="3"/>
        <charset val="128"/>
      </rPr>
      <t>4桁(</t>
    </r>
    <r>
      <rPr>
        <b/>
        <strike/>
        <sz val="11"/>
        <color rgb="FFFF0000"/>
        <rFont val="ＭＳ Ｐゴシック"/>
        <family val="3"/>
        <charset val="128"/>
      </rPr>
      <t>000</t>
    </r>
    <r>
      <rPr>
        <b/>
        <sz val="11"/>
        <color rgb="FF000000"/>
        <rFont val="ＭＳ Ｐゴシック"/>
        <family val="3"/>
        <charset val="128"/>
      </rPr>
      <t xml:space="preserve">1～9999)で、日またぎでサイクリック (日付が変わってもリセットしない)
本通番を用いて通番抜けチェックを行う
</t>
    </r>
    <r>
      <rPr>
        <b/>
        <sz val="11"/>
        <color rgb="FFFF0000"/>
        <rFont val="ＭＳ Ｐゴシック"/>
        <family val="3"/>
        <charset val="128"/>
      </rPr>
      <t>※レシート/ジャーナル印字は4桁固定(先頭0埋め)するが、トラン連携ファイルには数値として設定して先頭0埋めは不要</t>
    </r>
  </si>
  <si>
    <t>*1.6</t>
    <phoneticPr fontId="4"/>
  </si>
  <si>
    <t>取引コード</t>
    <rPh sb="0" eb="2">
      <t>トリヒキ</t>
    </rPh>
    <phoneticPr fontId="4"/>
  </si>
  <si>
    <t>取引の種類を示します。</t>
    <rPh sb="6" eb="7">
      <t>シメ</t>
    </rPh>
    <phoneticPr fontId="4"/>
  </si>
  <si>
    <t>設定値：31,37
開局
31：Terminal open
再開局
37：Terminal open</t>
    <rPh sb="11" eb="13">
      <t>カイキョク</t>
    </rPh>
    <rPh sb="31" eb="32">
      <t>サイ</t>
    </rPh>
    <rPh sb="32" eb="34">
      <t>カイキョク</t>
    </rPh>
    <phoneticPr fontId="4"/>
  </si>
  <si>
    <t xml:space="preserve">設定値：1
1：Item Sales </t>
    <phoneticPr fontId="4"/>
  </si>
  <si>
    <t>設定値：15
15：Payin</t>
    <phoneticPr fontId="4"/>
  </si>
  <si>
    <t>設定値：16
16：PayOut</t>
    <phoneticPr fontId="4"/>
  </si>
  <si>
    <t>設定値：11
11：Loan</t>
    <phoneticPr fontId="4"/>
  </si>
  <si>
    <t xml:space="preserve">設定値：14
14:Money Exchange </t>
    <phoneticPr fontId="4"/>
  </si>
  <si>
    <t xml:space="preserve">設定値：12
12：Pickup </t>
    <phoneticPr fontId="4"/>
  </si>
  <si>
    <t xml:space="preserve">設定値：33
33：Terminal close </t>
    <phoneticPr fontId="4"/>
  </si>
  <si>
    <t xml:space="preserve">
設定値：店舗番号×10000
</t>
    <phoneticPr fontId="4"/>
  </si>
  <si>
    <t>取引を入力した従業員</t>
    <phoneticPr fontId="4"/>
  </si>
  <si>
    <r>
      <t xml:space="preserve">担当者マスタ連携ファイル
</t>
    </r>
    <r>
      <rPr>
        <sz val="9"/>
        <color rgb="FFFF0000"/>
        <rFont val="ＭＳ Ｐゴシック"/>
        <family val="3"/>
        <charset val="128"/>
      </rPr>
      <t>No.3 従業員コード</t>
    </r>
    <phoneticPr fontId="4"/>
  </si>
  <si>
    <t>設定値：従業員コード
ignicaPOS
   取引を行った従業員コード
Scan&amp;Go
   集計対象とする従業員コード</t>
  </si>
  <si>
    <t>設定値：従業員コード
ignicaPOS
  ﾌﾙｾﾙﾌモードの場合
   売上取引を集計対象とする従業員コード
  POSモードの場合
   取引を行った従業員コード
Scan&amp;Go
   売上取引を集計対象とする従業員コード</t>
  </si>
  <si>
    <t>設定値：従業員コード
ignicaPOS
   取引を行った従業員コード
Scan&amp;Go
   集計対象とする従業員コード</t>
    <rPh sb="24" eb="26">
      <t>トリヒキ</t>
    </rPh>
    <rPh sb="27" eb="28">
      <t>オコナ</t>
    </rPh>
    <rPh sb="48" eb="50">
      <t>シュウケイ</t>
    </rPh>
    <rPh sb="50" eb="52">
      <t>タイショウ</t>
    </rPh>
    <phoneticPr fontId="4"/>
  </si>
  <si>
    <t>*1.0</t>
    <phoneticPr fontId="4"/>
  </si>
  <si>
    <t>取引が発生したレジスタ</t>
    <rPh sb="3" eb="5">
      <t>ハッセイ</t>
    </rPh>
    <phoneticPr fontId="4"/>
  </si>
  <si>
    <t xml:space="preserve">設定値：POS番号を設定
</t>
    <phoneticPr fontId="4"/>
  </si>
  <si>
    <t>ティルID</t>
    <phoneticPr fontId="4"/>
  </si>
  <si>
    <t>取引に関わるティル</t>
  </si>
  <si>
    <t>営業日</t>
    <rPh sb="0" eb="3">
      <t>エイギョウビ</t>
    </rPh>
    <phoneticPr fontId="4"/>
  </si>
  <si>
    <t>取引が発生した営業日</t>
    <rPh sb="3" eb="5">
      <t>ハッセイ</t>
    </rPh>
    <phoneticPr fontId="4"/>
  </si>
  <si>
    <t>設定値：営業日を設定
9999-99-99 00:00:00.000
&lt;例&gt;
2021-02-04 00:00:00.000</t>
    <rPh sb="8" eb="10">
      <t>セッテイ</t>
    </rPh>
    <rPh sb="36" eb="37">
      <t>レイ</t>
    </rPh>
    <phoneticPr fontId="4"/>
  </si>
  <si>
    <t>取引が発生した営業日を設定する。</t>
    <rPh sb="0" eb="2">
      <t>トリヒキ</t>
    </rPh>
    <rPh sb="3" eb="5">
      <t>ハッセイ</t>
    </rPh>
    <rPh sb="7" eb="10">
      <t>エイギョウビ</t>
    </rPh>
    <rPh sb="11" eb="13">
      <t>セッテイ</t>
    </rPh>
    <phoneticPr fontId="4"/>
  </si>
  <si>
    <t>TRAN_STRT_TS</t>
    <phoneticPr fontId="4"/>
  </si>
  <si>
    <t>設定値：取引開始時刻を設定
9999-99-99 99:99:99.000
&lt;例&gt;
2021-02-04 10:4:57.000</t>
    <rPh sb="4" eb="6">
      <t>トリヒキ</t>
    </rPh>
    <rPh sb="6" eb="8">
      <t>カイシ</t>
    </rPh>
    <rPh sb="8" eb="10">
      <t>ジコク</t>
    </rPh>
    <rPh sb="11" eb="13">
      <t>セッテイ</t>
    </rPh>
    <rPh sb="39" eb="40">
      <t>レイ</t>
    </rPh>
    <phoneticPr fontId="4"/>
  </si>
  <si>
    <t>取引開始時刻を持っていない場合は取引終了時刻を設定する。</t>
    <rPh sb="13" eb="15">
      <t>バアイ</t>
    </rPh>
    <phoneticPr fontId="4"/>
  </si>
  <si>
    <t>設定値：取引終了時刻を設定
9999-99-99 99:99:99.000
&lt;例&gt;
2021-02-04 10:4:57.000</t>
    <rPh sb="4" eb="6">
      <t>トリヒキ</t>
    </rPh>
    <rPh sb="6" eb="10">
      <t>シュウリョウジコク</t>
    </rPh>
    <rPh sb="11" eb="13">
      <t>セッテイ</t>
    </rPh>
    <rPh sb="39" eb="40">
      <t>レイ</t>
    </rPh>
    <phoneticPr fontId="4"/>
  </si>
  <si>
    <t>オフライン判別</t>
    <phoneticPr fontId="4"/>
  </si>
  <si>
    <t>オフラインフラグ</t>
    <phoneticPr fontId="7"/>
  </si>
  <si>
    <t>練習モードフラグ
０：通常業務モード  １：練習モード</t>
    <rPh sb="0" eb="2">
      <t>レンシュウ</t>
    </rPh>
    <phoneticPr fontId="7"/>
  </si>
  <si>
    <t>練習モードは連携しない。</t>
    <phoneticPr fontId="4"/>
  </si>
  <si>
    <t>再入力モード</t>
    <rPh sb="0" eb="3">
      <t>サイニュウリョク</t>
    </rPh>
    <phoneticPr fontId="4"/>
  </si>
  <si>
    <t>TRUEの場合、取引が再エントリモードで記録されたことを示します。</t>
    <rPh sb="28" eb="29">
      <t>シメ</t>
    </rPh>
    <phoneticPr fontId="4"/>
  </si>
  <si>
    <t xml:space="preserve">取引中止フラグ
　０：通常取引  １：取引中止 </t>
    <rPh sb="2" eb="4">
      <t>チュウシ</t>
    </rPh>
    <phoneticPr fontId="4"/>
  </si>
  <si>
    <t>設定値：0
０：通常取引  １：取引中止</t>
  </si>
  <si>
    <t>設定値：1
０：通常取引  １：取引中止</t>
  </si>
  <si>
    <t>設定値：0
０：通常取引  １：取引中止</t>
    <phoneticPr fontId="4"/>
  </si>
  <si>
    <t>顧客ID</t>
    <phoneticPr fontId="4"/>
  </si>
  <si>
    <t>取引に対応する顧客ＩＤを示します。</t>
    <rPh sb="12" eb="13">
      <t>シメ</t>
    </rPh>
    <phoneticPr fontId="4"/>
  </si>
  <si>
    <t>設定値：""(空)</t>
  </si>
  <si>
    <t>設定値：登録した顧客コード。プリンスポイント対象金額が存在する場合はプリンスポイント対象金額を設定
※プリンスカードは次回開発
※No.84 GSFD_CARD_ENTRY_TYPE=5の時はプリンスカードとして扱う
上記以外の場合は、""(空)</t>
    <rPh sb="4" eb="6">
      <t>トウロク</t>
    </rPh>
    <rPh sb="8" eb="10">
      <t>コキャク</t>
    </rPh>
    <rPh sb="22" eb="26">
      <t>タイショウキンガク</t>
    </rPh>
    <rPh sb="27" eb="29">
      <t>ソンザイ</t>
    </rPh>
    <rPh sb="31" eb="33">
      <t>バアイ</t>
    </rPh>
    <rPh sb="60" eb="64">
      <t>ジカイカイハツ</t>
    </rPh>
    <rPh sb="95" eb="96">
      <t>トキ</t>
    </rPh>
    <rPh sb="107" eb="108">
      <t>アツカ</t>
    </rPh>
    <rPh sb="111" eb="113">
      <t>ジョウキ</t>
    </rPh>
    <rPh sb="113" eb="115">
      <t>イガイ</t>
    </rPh>
    <rPh sb="116" eb="118">
      <t>バアイ</t>
    </rPh>
    <rPh sb="123" eb="124">
      <t>カラ</t>
    </rPh>
    <phoneticPr fontId="4"/>
  </si>
  <si>
    <t>買い物客ID</t>
    <phoneticPr fontId="4"/>
  </si>
  <si>
    <t>取引に対応する買い物客IDを示します。</t>
    <rPh sb="7" eb="10">
      <t>カイモノ</t>
    </rPh>
    <rPh sb="10" eb="11">
      <t>キャク</t>
    </rPh>
    <rPh sb="14" eb="15">
      <t>シメ</t>
    </rPh>
    <phoneticPr fontId="4"/>
  </si>
  <si>
    <t>設定不要(固定値)
設定値：""</t>
    <rPh sb="0" eb="2">
      <t>セッテイ</t>
    </rPh>
    <rPh sb="2" eb="4">
      <t>フヨウ</t>
    </rPh>
    <rPh sb="5" eb="8">
      <t>コテイチ</t>
    </rPh>
    <phoneticPr fontId="4"/>
  </si>
  <si>
    <t>未使用領域のため</t>
    <rPh sb="0" eb="3">
      <t>ミシヨウ</t>
    </rPh>
    <rPh sb="3" eb="5">
      <t>リョウイキ</t>
    </rPh>
    <phoneticPr fontId="4"/>
  </si>
  <si>
    <t>ステータス</t>
    <phoneticPr fontId="4"/>
  </si>
  <si>
    <t>取引のステータス　１：通常取引   ６：Ｓｕｓｐｅｎｄされた取引（保留取引）   ７：ＰｏｓｔＶｏｉｄされた取引（通番打消）</t>
    <phoneticPr fontId="4"/>
  </si>
  <si>
    <t>取引合計額</t>
    <phoneticPr fontId="4"/>
  </si>
  <si>
    <t>取引合計額売上および入出金取引の合計金額。符号表記 （＋：売上、入金、出金打消  －：返品、打消、出金、入金打消 ）</t>
    <phoneticPr fontId="7"/>
  </si>
  <si>
    <t>設定値：0</t>
  </si>
  <si>
    <t xml:space="preserve">
設定値：取引合計額を設定
</t>
  </si>
  <si>
    <t>EMP_ID_DISC</t>
    <phoneticPr fontId="4"/>
  </si>
  <si>
    <t>割引購入した従業員ＩＤ</t>
    <phoneticPr fontId="4"/>
  </si>
  <si>
    <t>従業員ディスカウントを受ける従業員ＩＤ</t>
    <phoneticPr fontId="4"/>
  </si>
  <si>
    <t>設定不要(固定値)
設定値：""(空)</t>
    <rPh sb="0" eb="2">
      <t>セッテイ</t>
    </rPh>
    <rPh sb="2" eb="4">
      <t>フヨウ</t>
    </rPh>
    <rPh sb="5" eb="8">
      <t>コテイチ</t>
    </rPh>
    <rPh sb="17" eb="18">
      <t>カラ</t>
    </rPh>
    <phoneticPr fontId="4"/>
  </si>
  <si>
    <t>LTILL_ID</t>
    <phoneticPr fontId="4"/>
  </si>
  <si>
    <t>論理ティルＩＤ</t>
    <phoneticPr fontId="4"/>
  </si>
  <si>
    <t>取引に対応する論理ティル</t>
    <phoneticPr fontId="4"/>
  </si>
  <si>
    <t>REAS_CD</t>
    <phoneticPr fontId="4"/>
  </si>
  <si>
    <t>理由を記録する必要がある取引タイプの場合は、理由を示します。</t>
    <rPh sb="25" eb="26">
      <t>シメ</t>
    </rPh>
    <phoneticPr fontId="4"/>
  </si>
  <si>
    <t>RAFT_RLSE</t>
    <phoneticPr fontId="4"/>
  </si>
  <si>
    <t>RAFTリリース</t>
  </si>
  <si>
    <t>取引を作成したRAFTのリリースを識別します。</t>
  </si>
  <si>
    <t>TRAN_GRP_ID</t>
    <phoneticPr fontId="4"/>
  </si>
  <si>
    <t>取引グループＩＤ</t>
    <rPh sb="0" eb="2">
      <t>トリヒキ</t>
    </rPh>
    <phoneticPr fontId="4"/>
  </si>
  <si>
    <t>取引に対応する取引グループの識別子</t>
  </si>
  <si>
    <t>POST_VOID_CD</t>
    <phoneticPr fontId="4"/>
  </si>
  <si>
    <t>ポスト取消CD</t>
    <phoneticPr fontId="4"/>
  </si>
  <si>
    <t>通番取消時：「1」が設定される
ignicaPOS側から通番取消取引を連携しないため、設定不要</t>
    <rPh sb="0" eb="2">
      <t>ツウバン</t>
    </rPh>
    <rPh sb="2" eb="4">
      <t>トリケシ</t>
    </rPh>
    <rPh sb="4" eb="5">
      <t>ジ</t>
    </rPh>
    <rPh sb="10" eb="12">
      <t>セッテイ</t>
    </rPh>
    <rPh sb="25" eb="26">
      <t>ガワ</t>
    </rPh>
    <rPh sb="28" eb="30">
      <t>ツウバン</t>
    </rPh>
    <rPh sb="30" eb="32">
      <t>トリケシ</t>
    </rPh>
    <rPh sb="32" eb="34">
      <t>トリヒキ</t>
    </rPh>
    <rPh sb="35" eb="37">
      <t>レンケイ</t>
    </rPh>
    <rPh sb="43" eb="45">
      <t>セッテイ</t>
    </rPh>
    <rPh sb="45" eb="47">
      <t>フヨウ</t>
    </rPh>
    <phoneticPr fontId="4"/>
  </si>
  <si>
    <t>POST_VOID_REAS_CD</t>
    <phoneticPr fontId="4"/>
  </si>
  <si>
    <t>ポスト取消理由CD</t>
    <phoneticPr fontId="4"/>
  </si>
  <si>
    <t>通番取消時：「」が設定される
ignicaPOS側から通番取消取引を連携しないため、設定不要</t>
    <rPh sb="0" eb="2">
      <t>ツウバン</t>
    </rPh>
    <rPh sb="2" eb="4">
      <t>トリケシ</t>
    </rPh>
    <rPh sb="4" eb="5">
      <t>ジ</t>
    </rPh>
    <rPh sb="9" eb="11">
      <t>セッテイ</t>
    </rPh>
    <rPh sb="24" eb="25">
      <t>ガワ</t>
    </rPh>
    <rPh sb="27" eb="29">
      <t>ツウバン</t>
    </rPh>
    <rPh sb="29" eb="31">
      <t>トリケシ</t>
    </rPh>
    <rPh sb="31" eb="33">
      <t>トリヒキ</t>
    </rPh>
    <rPh sb="34" eb="36">
      <t>レンケイ</t>
    </rPh>
    <rPh sb="42" eb="44">
      <t>セッテイ</t>
    </rPh>
    <rPh sb="44" eb="46">
      <t>フヨウ</t>
    </rPh>
    <phoneticPr fontId="4"/>
  </si>
  <si>
    <t>RGST_GRP_ID</t>
    <phoneticPr fontId="4"/>
  </si>
  <si>
    <t>レジスタグループID</t>
    <phoneticPr fontId="4"/>
  </si>
  <si>
    <t>LCL_TND_CD</t>
    <phoneticPr fontId="4"/>
  </si>
  <si>
    <t>現地支払CD</t>
    <phoneticPr fontId="4"/>
  </si>
  <si>
    <t>GSFD_RCPT_TYPE</t>
    <phoneticPr fontId="4"/>
  </si>
  <si>
    <t>領収証発行種別</t>
    <phoneticPr fontId="4"/>
  </si>
  <si>
    <t>１：領収証発行   ２：金額指定発行</t>
    <phoneticPr fontId="7"/>
  </si>
  <si>
    <t>領収証取引を連携しないため、設定不要
集計もされない</t>
    <rPh sb="0" eb="3">
      <t>リョウシュウショウ</t>
    </rPh>
    <rPh sb="3" eb="5">
      <t>トリヒキ</t>
    </rPh>
    <rPh sb="6" eb="8">
      <t>レンケイ</t>
    </rPh>
    <rPh sb="14" eb="16">
      <t>セッテイ</t>
    </rPh>
    <rPh sb="16" eb="18">
      <t>フヨウ</t>
    </rPh>
    <rPh sb="19" eb="21">
      <t>シュウケイ</t>
    </rPh>
    <phoneticPr fontId="4"/>
  </si>
  <si>
    <t>GSFD_RCPT_INFO_ON_MEM_FG</t>
    <phoneticPr fontId="4"/>
  </si>
  <si>
    <t>領収証印字フラグ</t>
    <phoneticPr fontId="4"/>
  </si>
  <si>
    <t>1：直前印字</t>
  </si>
  <si>
    <t>GSFD_RCPT_RGST_TRAN_NBR</t>
    <phoneticPr fontId="4"/>
  </si>
  <si>
    <t>領収証発行対象取引通番</t>
    <phoneticPr fontId="4"/>
  </si>
  <si>
    <t>領収証発行対象取引通番  （通番指定時）</t>
    <phoneticPr fontId="7"/>
  </si>
  <si>
    <t>GSFD_RCPT_RGST_ID</t>
    <phoneticPr fontId="4"/>
  </si>
  <si>
    <t>領収証発行対象ＰＯＳ通番</t>
    <phoneticPr fontId="4"/>
  </si>
  <si>
    <t>領収証発行対象POS番号  （通番指定時）</t>
    <phoneticPr fontId="7"/>
  </si>
  <si>
    <t>GSFD_OFFCL_RCPT_AMT</t>
    <phoneticPr fontId="4"/>
  </si>
  <si>
    <t>領収証金額</t>
    <phoneticPr fontId="4"/>
  </si>
  <si>
    <t>領収書金額</t>
    <rPh sb="0" eb="2">
      <t>リョウシュウ</t>
    </rPh>
    <rPh sb="2" eb="3">
      <t>ショ</t>
    </rPh>
    <rPh sb="3" eb="5">
      <t>キンガク</t>
    </rPh>
    <phoneticPr fontId="4"/>
  </si>
  <si>
    <t>GSFD_TRAN_TENDER_TS</t>
    <phoneticPr fontId="4"/>
  </si>
  <si>
    <t>小計キー押下日時</t>
  </si>
  <si>
    <t>設定不要(固定値)
設定値：
1899-12-30 00:00:00.000</t>
    <rPh sb="0" eb="2">
      <t>セッテイ</t>
    </rPh>
    <rPh sb="2" eb="4">
      <t>フヨウ</t>
    </rPh>
    <rPh sb="5" eb="8">
      <t>コテイチ</t>
    </rPh>
    <phoneticPr fontId="4"/>
  </si>
  <si>
    <t>設定値：取引終了日時を設定
9999-99-99 99:99:99.000
&lt;例&gt;
2021-02-04 10:45:44.000</t>
    <rPh sb="4" eb="6">
      <t>トリヒキ</t>
    </rPh>
    <rPh sb="6" eb="10">
      <t>シュウリョウニチジ</t>
    </rPh>
    <rPh sb="11" eb="13">
      <t>セッテイ</t>
    </rPh>
    <rPh sb="39" eb="40">
      <t>レイ</t>
    </rPh>
    <phoneticPr fontId="4"/>
  </si>
  <si>
    <t xml:space="preserve">担当者別の支払時間、登録時間の集計に使用
取引終了時刻しか持っていない場合は取引終了時刻を設定する。
</t>
    <rPh sb="0" eb="3">
      <t>タントウシャ</t>
    </rPh>
    <rPh sb="3" eb="4">
      <t>ベツ</t>
    </rPh>
    <rPh sb="5" eb="7">
      <t>シハラ</t>
    </rPh>
    <rPh sb="7" eb="9">
      <t>ジカン</t>
    </rPh>
    <rPh sb="10" eb="12">
      <t>トウロク</t>
    </rPh>
    <rPh sb="12" eb="14">
      <t>ジカン</t>
    </rPh>
    <rPh sb="15" eb="17">
      <t>シュウケイ</t>
    </rPh>
    <rPh sb="18" eb="20">
      <t>シヨウ</t>
    </rPh>
    <phoneticPr fontId="4"/>
  </si>
  <si>
    <t>*1.9</t>
    <phoneticPr fontId="4"/>
  </si>
  <si>
    <t>GSFD_BILL_CNT</t>
    <phoneticPr fontId="4"/>
  </si>
  <si>
    <t>万券枚数</t>
  </si>
  <si>
    <t>設定値：""(空)</t>
    <rPh sb="7" eb="8">
      <t>ソラ</t>
    </rPh>
    <phoneticPr fontId="4"/>
  </si>
  <si>
    <t>設定値：取引で発生した万券枚数を設定</t>
    <rPh sb="4" eb="6">
      <t>トリヒキ</t>
    </rPh>
    <rPh sb="7" eb="9">
      <t>ハッセイ</t>
    </rPh>
    <rPh sb="11" eb="13">
      <t>マンケン</t>
    </rPh>
    <rPh sb="13" eb="15">
      <t>マイスウ</t>
    </rPh>
    <rPh sb="16" eb="18">
      <t>セッテイ</t>
    </rPh>
    <phoneticPr fontId="4"/>
  </si>
  <si>
    <t>GSFD_OFFCL_RCPT_CNT</t>
    <phoneticPr fontId="4"/>
  </si>
  <si>
    <t>領収証発行枚数</t>
  </si>
  <si>
    <t>ignicaPOS側から領収証取引を連携しないため、設定不要
領収証は無し</t>
    <rPh sb="9" eb="10">
      <t>ガワ</t>
    </rPh>
    <rPh sb="12" eb="15">
      <t>リョウシュウショウ</t>
    </rPh>
    <rPh sb="15" eb="17">
      <t>トリヒキ</t>
    </rPh>
    <rPh sb="18" eb="20">
      <t>レンケイ</t>
    </rPh>
    <rPh sb="26" eb="28">
      <t>セッテイ</t>
    </rPh>
    <rPh sb="28" eb="30">
      <t>フヨウ</t>
    </rPh>
    <rPh sb="31" eb="34">
      <t>リョウシュウショウ</t>
    </rPh>
    <rPh sb="35" eb="36">
      <t>ナ</t>
    </rPh>
    <phoneticPr fontId="4"/>
  </si>
  <si>
    <t>GSFD_SLIP_CNT</t>
    <phoneticPr fontId="4"/>
  </si>
  <si>
    <t>伝票発行枚数</t>
  </si>
  <si>
    <t>ignicaPOS側で掛け支払できないため、設定不要</t>
    <rPh sb="9" eb="10">
      <t>ガワ</t>
    </rPh>
    <rPh sb="11" eb="12">
      <t>カ</t>
    </rPh>
    <rPh sb="13" eb="15">
      <t>シハライ</t>
    </rPh>
    <rPh sb="22" eb="24">
      <t>セッテイ</t>
    </rPh>
    <rPh sb="24" eb="26">
      <t>フヨウ</t>
    </rPh>
    <phoneticPr fontId="4"/>
  </si>
  <si>
    <t>GSFD_TC_COUNT</t>
    <phoneticPr fontId="4"/>
  </si>
  <si>
    <t>精算回数</t>
    <phoneticPr fontId="4"/>
  </si>
  <si>
    <t>「取引ログ作成時の注意事項」シートの⑥に記載</t>
    <rPh sb="20" eb="22">
      <t>キサイ</t>
    </rPh>
    <phoneticPr fontId="4"/>
  </si>
  <si>
    <t>設定値：精算回数を設定</t>
    <rPh sb="9" eb="11">
      <t>セッテイ</t>
    </rPh>
    <phoneticPr fontId="4"/>
  </si>
  <si>
    <t>設定値：""(空)</t>
    <rPh sb="7" eb="8">
      <t>カラ</t>
    </rPh>
    <phoneticPr fontId="4"/>
  </si>
  <si>
    <t>*1.1</t>
    <phoneticPr fontId="4"/>
  </si>
  <si>
    <t>GSFD_TC_NUM</t>
    <phoneticPr fontId="4"/>
  </si>
  <si>
    <t>精算通番</t>
  </si>
  <si>
    <t>設定値：精算通番を設定</t>
    <rPh sb="6" eb="8">
      <t>ツウバン</t>
    </rPh>
    <rPh sb="9" eb="11">
      <t>セッテイ</t>
    </rPh>
    <phoneticPr fontId="4"/>
  </si>
  <si>
    <t>GSFD_SLIP_NUM</t>
    <phoneticPr fontId="4"/>
  </si>
  <si>
    <t>伝票通番</t>
  </si>
  <si>
    <t>掛／領収証は連携しないため不要。
集計もされない</t>
    <rPh sb="0" eb="1">
      <t>カ</t>
    </rPh>
    <rPh sb="2" eb="5">
      <t>リョウシュウショウ</t>
    </rPh>
    <rPh sb="6" eb="8">
      <t>レンケイ</t>
    </rPh>
    <rPh sb="13" eb="15">
      <t>フヨウ</t>
    </rPh>
    <phoneticPr fontId="4"/>
  </si>
  <si>
    <t>GSFD_FR_NUM</t>
    <phoneticPr fontId="4"/>
  </si>
  <si>
    <t>領収証通番</t>
  </si>
  <si>
    <t>GSFD_CS_NUM</t>
    <phoneticPr fontId="4"/>
  </si>
  <si>
    <t>クレジット通番</t>
    <phoneticPr fontId="4"/>
  </si>
  <si>
    <t xml:space="preserve">
設定値：クレジット支払があった時、クレジット通番を設定
ignicaPOS
クレジット通番を設定
Scan&amp;Go
現外券と同等の扱いとなるため、連携不要となる。
""(空)を設定。</t>
    <rPh sb="10" eb="12">
      <t>シハラ</t>
    </rPh>
    <rPh sb="16" eb="17">
      <t>トキ</t>
    </rPh>
    <rPh sb="23" eb="25">
      <t>ツウバン</t>
    </rPh>
    <rPh sb="26" eb="28">
      <t>セッテイ</t>
    </rPh>
    <rPh sb="58" eb="60">
      <t>ゲンガイ</t>
    </rPh>
    <rPh sb="60" eb="61">
      <t>ケン</t>
    </rPh>
    <rPh sb="62" eb="64">
      <t>ドウトウ</t>
    </rPh>
    <rPh sb="65" eb="66">
      <t>アツカ</t>
    </rPh>
    <rPh sb="73" eb="75">
      <t>レンケイ</t>
    </rPh>
    <rPh sb="75" eb="77">
      <t>フヨウ</t>
    </rPh>
    <rPh sb="88" eb="90">
      <t>セッテイ</t>
    </rPh>
    <phoneticPr fontId="4"/>
  </si>
  <si>
    <t>GSFD_REGISTER_MODE</t>
    <phoneticPr fontId="4"/>
  </si>
  <si>
    <t>運用モード</t>
  </si>
  <si>
    <t>0：一人制　1：一人二人制　2：二人二人制</t>
    <phoneticPr fontId="4"/>
  </si>
  <si>
    <t>設定値：0固定</t>
    <rPh sb="5" eb="7">
      <t>コテイ</t>
    </rPh>
    <phoneticPr fontId="4"/>
  </si>
  <si>
    <t>GSFD_CHECKER_ID</t>
    <phoneticPr fontId="4"/>
  </si>
  <si>
    <t>二人制時のチェッカーＩＤ</t>
  </si>
  <si>
    <t>GSFD_CHECKER_STRT_TS</t>
    <phoneticPr fontId="4"/>
  </si>
  <si>
    <t>二人制時のチェッカー取引開始日時</t>
  </si>
  <si>
    <t>TSM側で設定となるため、設定不要（固定値）
設定値：""(空)
※TS/M側で「11.TRAN_STRT_TS」の値を設定する。</t>
    <rPh sb="3" eb="4">
      <t>ガワ</t>
    </rPh>
    <rPh sb="5" eb="7">
      <t>セッテイ</t>
    </rPh>
    <rPh sb="13" eb="15">
      <t>セッテイ</t>
    </rPh>
    <rPh sb="15" eb="17">
      <t>フヨウ</t>
    </rPh>
    <rPh sb="18" eb="21">
      <t>コテイチ</t>
    </rPh>
    <rPh sb="23" eb="25">
      <t>セッテイ</t>
    </rPh>
    <rPh sb="30" eb="31">
      <t>カラ</t>
    </rPh>
    <phoneticPr fontId="4"/>
  </si>
  <si>
    <t>商品登録開始時に設定
待ち時間、商品登録時間等に集計</t>
    <rPh sb="0" eb="2">
      <t>ショウヒン</t>
    </rPh>
    <rPh sb="2" eb="4">
      <t>トウロク</t>
    </rPh>
    <rPh sb="4" eb="6">
      <t>カイシ</t>
    </rPh>
    <rPh sb="6" eb="7">
      <t>ジ</t>
    </rPh>
    <rPh sb="8" eb="10">
      <t>セッテイ</t>
    </rPh>
    <rPh sb="11" eb="12">
      <t>マ</t>
    </rPh>
    <rPh sb="13" eb="15">
      <t>ジカン</t>
    </rPh>
    <rPh sb="16" eb="18">
      <t>ショウヒン</t>
    </rPh>
    <rPh sb="18" eb="20">
      <t>トウロク</t>
    </rPh>
    <rPh sb="20" eb="22">
      <t>ジカン</t>
    </rPh>
    <rPh sb="22" eb="23">
      <t>ナド</t>
    </rPh>
    <rPh sb="24" eb="26">
      <t>シュウケイ</t>
    </rPh>
    <phoneticPr fontId="4"/>
  </si>
  <si>
    <t>GSFD_TRAN_SUSPEND_TS</t>
    <phoneticPr fontId="4"/>
  </si>
  <si>
    <t>二人制時のチェッカー取引終了日時</t>
  </si>
  <si>
    <t>GSFD_TRANS_SOURCE</t>
    <phoneticPr fontId="4"/>
  </si>
  <si>
    <t>取引発生元情報</t>
  </si>
  <si>
    <t>０：一人制／二人制キャッシャ側   １：二人制チェッカー側</t>
    <phoneticPr fontId="7"/>
  </si>
  <si>
    <t>GSFD_NONCASH_QTY</t>
    <phoneticPr fontId="4"/>
  </si>
  <si>
    <t>GSFDNONCASH数量</t>
    <phoneticPr fontId="4"/>
  </si>
  <si>
    <t>GSFD_NEW_PNT</t>
    <phoneticPr fontId="4"/>
  </si>
  <si>
    <t>今回ポイント</t>
    <rPh sb="0" eb="2">
      <t>コンカイ</t>
    </rPh>
    <phoneticPr fontId="4"/>
  </si>
  <si>
    <t>今回ポイント = 
基本ポイント対象ポイント(No.151 GSFD_ING_POINT02) +
特別ポイント対象ポイント(No.150 GSFD_ING_POINT01) +
ポイントプラス計(No.78.GSFD_FSP_PNT) +
クーポンポイント(No.224 GSFD_CATALINA_POINT)</t>
  </si>
  <si>
    <t>設定値：今回ポイント</t>
    <rPh sb="4" eb="6">
      <t>コンカイ</t>
    </rPh>
    <phoneticPr fontId="4"/>
  </si>
  <si>
    <t>GSFD_LAST_PNT</t>
    <phoneticPr fontId="4"/>
  </si>
  <si>
    <t>旧累計ポイント</t>
    <rPh sb="0" eb="1">
      <t>キュウ</t>
    </rPh>
    <rPh sb="1" eb="3">
      <t>ルイケイ</t>
    </rPh>
    <phoneticPr fontId="4"/>
  </si>
  <si>
    <t>Satisfaの応答値を使用。
残高ポイント1</t>
    <rPh sb="8" eb="10">
      <t>オウトウ</t>
    </rPh>
    <rPh sb="10" eb="11">
      <t>アタイ</t>
    </rPh>
    <rPh sb="12" eb="14">
      <t>シヨウ</t>
    </rPh>
    <phoneticPr fontId="4"/>
  </si>
  <si>
    <t>設定値：残高ポイント1</t>
    <phoneticPr fontId="4"/>
  </si>
  <si>
    <t>TSM参考
GetCustomerByNumberASY呼び出しで連携。残高ポイント1&lt;POINT_QT1&gt;</t>
    <rPh sb="3" eb="5">
      <t>サンコウ</t>
    </rPh>
    <phoneticPr fontId="4"/>
  </si>
  <si>
    <t>GSFD_REDUCT_PNT</t>
    <phoneticPr fontId="4"/>
  </si>
  <si>
    <t>還元ポイント</t>
    <rPh sb="0" eb="2">
      <t>カンゲン</t>
    </rPh>
    <phoneticPr fontId="4"/>
  </si>
  <si>
    <t>GSFD_FULLPNT_CNT</t>
    <phoneticPr fontId="4"/>
  </si>
  <si>
    <t>満点回数</t>
    <phoneticPr fontId="4"/>
  </si>
  <si>
    <t>GSFD_PNT_AMT</t>
    <phoneticPr fontId="4"/>
  </si>
  <si>
    <t>ポイント対象金額</t>
    <rPh sb="4" eb="6">
      <t>タイショウ</t>
    </rPh>
    <rPh sb="6" eb="8">
      <t>キンガク</t>
    </rPh>
    <phoneticPr fontId="4"/>
  </si>
  <si>
    <t>Satisfaの応答値を使用。
基本ポイント対象金額</t>
    <phoneticPr fontId="4"/>
  </si>
  <si>
    <t>設定値：基本ポイント対象金額</t>
    <rPh sb="4" eb="6">
      <t>キホン</t>
    </rPh>
    <rPh sb="10" eb="12">
      <t>タイショウ</t>
    </rPh>
    <rPh sb="12" eb="14">
      <t>キンガク</t>
    </rPh>
    <phoneticPr fontId="4"/>
  </si>
  <si>
    <t>TSMでは下記を設定
GetCustomerByNumberASY呼び出しで連携。
通常ポイント対象金額&lt;DEFAULTPT_VAL&gt;</t>
    <rPh sb="5" eb="7">
      <t>カキ</t>
    </rPh>
    <rPh sb="8" eb="10">
      <t>セッテイ</t>
    </rPh>
    <phoneticPr fontId="4"/>
  </si>
  <si>
    <t>*1.0,1.9</t>
    <phoneticPr fontId="4"/>
  </si>
  <si>
    <t>GSFD_REDUCT_AMT</t>
    <phoneticPr fontId="4"/>
  </si>
  <si>
    <t>還元金額</t>
    <rPh sb="0" eb="2">
      <t>カンゲン</t>
    </rPh>
    <rPh sb="2" eb="4">
      <t>キンガク</t>
    </rPh>
    <phoneticPr fontId="4"/>
  </si>
  <si>
    <t>GSFD_REDUCT_TYP</t>
    <phoneticPr fontId="4"/>
  </si>
  <si>
    <t>ポイント還元種別</t>
    <phoneticPr fontId="4"/>
  </si>
  <si>
    <t>ポイント還元種別
（ 0：ポイント還元なし／ 1：満点処理／10：割戻（値引き）／20：割戻（支払い）／4：マニュアル割戻／5：ポイント強制修正）</t>
    <phoneticPr fontId="4"/>
  </si>
  <si>
    <t>GSFD_PNT_HT_FG</t>
    <phoneticPr fontId="4"/>
  </si>
  <si>
    <t>ポイント修正時ＨＴ集計フラグ</t>
    <phoneticPr fontId="4"/>
  </si>
  <si>
    <t>ポイント修正時ＨＴ集計フラグ
（0：行わない／1：行う）</t>
    <phoneticPr fontId="4"/>
  </si>
  <si>
    <t>GSFD_PNT_RCPT_FG</t>
    <phoneticPr fontId="4"/>
  </si>
  <si>
    <t>ポイントレシート印字フラグ</t>
    <phoneticPr fontId="4"/>
  </si>
  <si>
    <t>ポイントレシート印字フラグ
（0：印字しない／1：印字する）</t>
    <phoneticPr fontId="4"/>
  </si>
  <si>
    <t>GSFD_FULLPNT_RCPT_FG</t>
    <phoneticPr fontId="4"/>
  </si>
  <si>
    <t>満点券印字フラグ</t>
    <rPh sb="0" eb="3">
      <t>マンテンケン</t>
    </rPh>
    <phoneticPr fontId="4"/>
  </si>
  <si>
    <t>満点券印字フラグ
（0：印字しない／1：印字する）</t>
    <phoneticPr fontId="4"/>
  </si>
  <si>
    <t>GSFD_BIRTH_MSG_FG</t>
    <phoneticPr fontId="4"/>
  </si>
  <si>
    <t>誕生日メッセージ印字フラグ</t>
    <phoneticPr fontId="4"/>
  </si>
  <si>
    <t>誕生日メッセージ印字フラグ
（0：印字しない／1：印字する）</t>
    <phoneticPr fontId="4"/>
  </si>
  <si>
    <t>GSFD_NO_CUST_FG</t>
    <phoneticPr fontId="4"/>
  </si>
  <si>
    <t>会員コードマスタ未登録フラグ</t>
    <phoneticPr fontId="4"/>
  </si>
  <si>
    <t>会員コードマスタ未登録フラグ
（0：通常、1：他店舗会員、2：マスタ未登録、3：使用不可カード）</t>
    <phoneticPr fontId="4"/>
  </si>
  <si>
    <t>GSFD_OFFLINE_FG</t>
    <phoneticPr fontId="4"/>
  </si>
  <si>
    <t>オフラインフラグ</t>
  </si>
  <si>
    <t>オフラインフラグ
（0：通常／  1：オフライン／  2：リライタ未接続／  3：カード書込異常）</t>
    <phoneticPr fontId="4"/>
  </si>
  <si>
    <t>Satisfa連携でｵﾌﾗｲﾝが発生した時に1を設定。</t>
    <rPh sb="7" eb="9">
      <t>レンケイ</t>
    </rPh>
    <rPh sb="16" eb="18">
      <t>ハッセイ</t>
    </rPh>
    <rPh sb="20" eb="21">
      <t>トキ</t>
    </rPh>
    <phoneticPr fontId="4"/>
  </si>
  <si>
    <t>設定値：0 or 1
顧客登録あり時
0:オンライン、1:オフライン
顧客登録なし時
0</t>
    <rPh sb="11" eb="15">
      <t>コキャクトウロク</t>
    </rPh>
    <rPh sb="17" eb="18">
      <t>ジ</t>
    </rPh>
    <rPh sb="35" eb="37">
      <t>コキャク</t>
    </rPh>
    <rPh sb="37" eb="39">
      <t>トウロク</t>
    </rPh>
    <rPh sb="41" eb="42">
      <t>ジ</t>
    </rPh>
    <phoneticPr fontId="4"/>
  </si>
  <si>
    <t>TSM参考
ignicaPOS側でポイントINQオフラインフラグを設定
GetCustomerByNumberASY呼び出しで"4903"または"4904"が返却された時に１を設定。</t>
    <rPh sb="15" eb="16">
      <t>ガワ</t>
    </rPh>
    <rPh sb="33" eb="35">
      <t>セッテイ</t>
    </rPh>
    <phoneticPr fontId="4"/>
  </si>
  <si>
    <t>GSFD_CUST_RANK</t>
    <phoneticPr fontId="4"/>
  </si>
  <si>
    <t>顧客ランク／カード種別</t>
    <phoneticPr fontId="4"/>
  </si>
  <si>
    <t>char</t>
  </si>
  <si>
    <t xml:space="preserve">
設定値：""(空)</t>
  </si>
  <si>
    <t>顧客ランク未使用のため。</t>
    <rPh sb="0" eb="2">
      <t>コキャク</t>
    </rPh>
    <rPh sb="5" eb="8">
      <t>ミシヨウ</t>
    </rPh>
    <phoneticPr fontId="4"/>
  </si>
  <si>
    <t>GSFD_CARD_DATA</t>
    <phoneticPr fontId="4"/>
  </si>
  <si>
    <t>ポイントカード情報</t>
    <phoneticPr fontId="4"/>
  </si>
  <si>
    <t xml:space="preserve">ポイントカード情報
PC版でのみ出力する。（書込後の情報）
通常売上　：　出力あり
返品　　　　：　出力あり
取消　　　　：　出力あり
返品取消　：　出力あり
通番取消　：　出力なし
</t>
    <phoneticPr fontId="4"/>
  </si>
  <si>
    <t>GSFD_DEMOGRAPHIC_CODE</t>
    <phoneticPr fontId="4"/>
  </si>
  <si>
    <t>客層コード</t>
    <phoneticPr fontId="4"/>
  </si>
  <si>
    <t>客層コード。客層登録なし時は"0"が入る。</t>
    <phoneticPr fontId="4"/>
  </si>
  <si>
    <t xml:space="preserve">客層コードは釣銭増資時に設定
ignicaPOS側で釣銭増資はしない認識のため、設定不要
</t>
    <phoneticPr fontId="4"/>
  </si>
  <si>
    <t>GSFD_STAMP_DUTY</t>
    <phoneticPr fontId="4"/>
  </si>
  <si>
    <t>収入印紙税金額</t>
    <phoneticPr fontId="4"/>
  </si>
  <si>
    <t xml:space="preserve">
設定値：収入印紙税金額を設定
99999
&lt;例&gt;00.0000</t>
    <rPh sb="24" eb="25">
      <t>レイ</t>
    </rPh>
    <phoneticPr fontId="4"/>
  </si>
  <si>
    <t>GSFD_RCPT_ISSUED</t>
    <phoneticPr fontId="4"/>
  </si>
  <si>
    <t>領収証発行済フラグ</t>
    <phoneticPr fontId="4"/>
  </si>
  <si>
    <t xml:space="preserve">未使用領域のため。
設定箇所なし
</t>
    <rPh sb="0" eb="3">
      <t>ミシヨウ</t>
    </rPh>
    <rPh sb="3" eb="5">
      <t>リョウイキ</t>
    </rPh>
    <rPh sb="10" eb="12">
      <t>セッテイ</t>
    </rPh>
    <rPh sb="12" eb="14">
      <t>カショ</t>
    </rPh>
    <phoneticPr fontId="4"/>
  </si>
  <si>
    <t>GSFD_DP_DOC_ID</t>
    <phoneticPr fontId="4"/>
  </si>
  <si>
    <t>承り伝票番号</t>
    <phoneticPr fontId="4"/>
  </si>
  <si>
    <t>承り伝票番号　11桁固定　左詰め余りｽﾍﾟｰｽ</t>
    <rPh sb="9" eb="10">
      <t>ケタ</t>
    </rPh>
    <rPh sb="10" eb="12">
      <t>コテイ</t>
    </rPh>
    <rPh sb="13" eb="14">
      <t>ヒダリ</t>
    </rPh>
    <rPh sb="14" eb="15">
      <t>ツ</t>
    </rPh>
    <rPh sb="16" eb="17">
      <t>アマ</t>
    </rPh>
    <phoneticPr fontId="4"/>
  </si>
  <si>
    <t>GSFD_DFRDUP_TOTAL</t>
    <phoneticPr fontId="4"/>
  </si>
  <si>
    <t>GSFDDERDUPトータル</t>
    <phoneticPr fontId="4"/>
  </si>
  <si>
    <t>GSFD_HAS_TOTAL_FG</t>
    <phoneticPr fontId="4"/>
  </si>
  <si>
    <t>GSFDHASトータルフラグ</t>
    <phoneticPr fontId="4"/>
  </si>
  <si>
    <t>GSFD_PICKUP_FG</t>
    <phoneticPr fontId="4"/>
  </si>
  <si>
    <t>GSFDピックアップフラグ</t>
    <phoneticPr fontId="4"/>
  </si>
  <si>
    <t>GSFD_POSTVOID_FLAG</t>
    <phoneticPr fontId="4"/>
  </si>
  <si>
    <t>GSFDPOSTVOIDフラグ</t>
    <phoneticPr fontId="4"/>
  </si>
  <si>
    <t>GSFD_CARD_LOG_DATA</t>
    <phoneticPr fontId="4"/>
  </si>
  <si>
    <t>GSFDカードログデータ</t>
    <phoneticPr fontId="4"/>
  </si>
  <si>
    <t>text</t>
  </si>
  <si>
    <t>クレジット明細データを格納する</t>
    <rPh sb="11" eb="13">
      <t>カクノウ</t>
    </rPh>
    <phoneticPr fontId="4"/>
  </si>
  <si>
    <t>設定値：クレジット支払があった時、ログデータを設定
ignicaPOS
設定値：「UI-0 トラン連携対応 方式設計 UI設計書」の「9-4.クレジット取引ログインタフェースレイアウト」を参照。
Scan&amp;Go
現外券と同等の扱いとなるため、連携不要となる。
""(空)を設定。</t>
    <phoneticPr fontId="4"/>
  </si>
  <si>
    <t>設定値：クレジット支払があった時、クレジット通番を設定
ignicaPOS
設定値：「UI-0 トラン連携対応 方式設計 UI設計書」の「9-4.クレジット取引ログインタフェースレイアウト」を参照。
Scan&amp;Go
現外券と同等の扱いとなるため、連携不要となる。
""(空)を設定。</t>
    <phoneticPr fontId="4"/>
  </si>
  <si>
    <t>GSFD_ADD_PNT</t>
    <phoneticPr fontId="4"/>
  </si>
  <si>
    <t>誕生日ポイント</t>
  </si>
  <si>
    <t>GSFD_FSP_TCKT_FG</t>
    <phoneticPr fontId="4"/>
  </si>
  <si>
    <t>GSFD_FSPチェットフラグ</t>
    <phoneticPr fontId="4"/>
  </si>
  <si>
    <t>未使用領域の認識</t>
    <rPh sb="0" eb="3">
      <t>ミシヨウ</t>
    </rPh>
    <rPh sb="3" eb="5">
      <t>リョウイキ</t>
    </rPh>
    <rPh sb="6" eb="8">
      <t>ニンシキ</t>
    </rPh>
    <phoneticPr fontId="4"/>
  </si>
  <si>
    <t>GSFD_TRAN_CD_DETAIL</t>
    <phoneticPr fontId="4"/>
  </si>
  <si>
    <t>取引種別の詳細コード</t>
    <rPh sb="0" eb="2">
      <t>トリヒキ</t>
    </rPh>
    <rPh sb="2" eb="4">
      <t>シュベツ</t>
    </rPh>
    <rPh sb="5" eb="7">
      <t>ショウサイ</t>
    </rPh>
    <phoneticPr fontId="7"/>
  </si>
  <si>
    <t xml:space="preserve">通番取消取引の時にしか設定していないため、設定不要
</t>
    <rPh sb="0" eb="2">
      <t>ツウバン</t>
    </rPh>
    <rPh sb="2" eb="4">
      <t>トリケシ</t>
    </rPh>
    <rPh sb="4" eb="6">
      <t>トリヒキ</t>
    </rPh>
    <rPh sb="7" eb="8">
      <t>ジ</t>
    </rPh>
    <rPh sb="11" eb="13">
      <t>セッテイ</t>
    </rPh>
    <rPh sb="21" eb="23">
      <t>セッテイ</t>
    </rPh>
    <rPh sb="23" eb="25">
      <t>フヨウ</t>
    </rPh>
    <phoneticPr fontId="4"/>
  </si>
  <si>
    <t>GSFD_CUSTOMIZE_DATA</t>
    <phoneticPr fontId="4"/>
  </si>
  <si>
    <t>カスタマイズデータ</t>
    <phoneticPr fontId="4"/>
  </si>
  <si>
    <t>GSFD_FSP_PNT</t>
    <phoneticPr fontId="4"/>
  </si>
  <si>
    <t>FSP単品付与ポイント合計値</t>
    <phoneticPr fontId="4"/>
  </si>
  <si>
    <t>Satisfaの応答値を使用。
合計ポイントプラス数</t>
    <phoneticPr fontId="4"/>
  </si>
  <si>
    <t xml:space="preserve">
設定値：合計ポイントプラス数を設定
</t>
    <rPh sb="16" eb="18">
      <t>セッテイ</t>
    </rPh>
    <phoneticPr fontId="4"/>
  </si>
  <si>
    <t xml:space="preserve">
設定値：0固定</t>
    <rPh sb="6" eb="8">
      <t>コテイ</t>
    </rPh>
    <phoneticPr fontId="4"/>
  </si>
  <si>
    <t>TSM参考
GetCustomerByNumberASY呼び出しで連携。
合計ポイントプラス数&lt;TOTALPPLUS_QT&gt;</t>
    <rPh sb="37" eb="39">
      <t>ゴウケイ</t>
    </rPh>
    <rPh sb="46" eb="47">
      <t>スウ</t>
    </rPh>
    <phoneticPr fontId="4"/>
  </si>
  <si>
    <t>GSFD_OFFER_ID</t>
    <phoneticPr fontId="4"/>
  </si>
  <si>
    <t>計画Ｎｏ</t>
    <phoneticPr fontId="4"/>
  </si>
  <si>
    <t>GSFD_ECO_PNT</t>
    <phoneticPr fontId="4"/>
  </si>
  <si>
    <t>エコポイント</t>
  </si>
  <si>
    <t>GSFD_CAP_AMT</t>
    <phoneticPr fontId="4"/>
  </si>
  <si>
    <t>GSFDCAP金額</t>
    <phoneticPr fontId="4"/>
  </si>
  <si>
    <t>GSFD_CUST_STS</t>
    <phoneticPr fontId="4"/>
  </si>
  <si>
    <t>GSFD顧客STS</t>
    <phoneticPr fontId="4"/>
  </si>
  <si>
    <t>設定値：0（固定）</t>
    <rPh sb="6" eb="8">
      <t>コテイ</t>
    </rPh>
    <phoneticPr fontId="4"/>
  </si>
  <si>
    <r>
      <t>設定値：顧客ステータスを設定
0:顧客無し、</t>
    </r>
    <r>
      <rPr>
        <strike/>
        <sz val="9"/>
        <color rgb="FFFF0000"/>
        <rFont val="ＭＳ Ｐゴシック"/>
        <family val="3"/>
        <charset val="128"/>
      </rPr>
      <t>1:仮会員、</t>
    </r>
    <r>
      <rPr>
        <sz val="9"/>
        <rFont val="ＭＳ Ｐゴシック"/>
        <family val="3"/>
        <charset val="128"/>
      </rPr>
      <t>2:通常顧客</t>
    </r>
    <r>
      <rPr>
        <strike/>
        <sz val="9"/>
        <color rgb="FFFF0000"/>
        <rFont val="ＭＳ Ｐゴシック"/>
        <family val="3"/>
        <charset val="128"/>
      </rPr>
      <t>、3:カード忘れ</t>
    </r>
    <r>
      <rPr>
        <sz val="9"/>
        <rFont val="ＭＳ Ｐゴシック"/>
        <family val="3"/>
        <charset val="128"/>
      </rPr>
      <t xml:space="preserve">
</t>
    </r>
    <r>
      <rPr>
        <sz val="9"/>
        <color rgb="FFFF0000"/>
        <rFont val="ＭＳ Ｐゴシック"/>
        <family val="3"/>
        <charset val="128"/>
      </rPr>
      <t>※取消線はいなげや様は未使用</t>
    </r>
    <rPh sb="4" eb="6">
      <t>コキャク</t>
    </rPh>
    <rPh sb="12" eb="14">
      <t>セッテイ</t>
    </rPh>
    <rPh sb="18" eb="21">
      <t>コキャクナ</t>
    </rPh>
    <rPh sb="25" eb="28">
      <t>カリカイイン</t>
    </rPh>
    <rPh sb="31" eb="33">
      <t>ツウジョウ</t>
    </rPh>
    <rPh sb="33" eb="35">
      <t>コキャク</t>
    </rPh>
    <rPh sb="41" eb="42">
      <t>ワス</t>
    </rPh>
    <rPh sb="45" eb="47">
      <t>トリケシ</t>
    </rPh>
    <rPh sb="47" eb="48">
      <t>セン</t>
    </rPh>
    <rPh sb="53" eb="54">
      <t>サマ</t>
    </rPh>
    <rPh sb="55" eb="58">
      <t>ミシヨウ</t>
    </rPh>
    <phoneticPr fontId="4"/>
  </si>
  <si>
    <r>
      <t>設定値：顧客ステータスを設定
0:顧客無し、</t>
    </r>
    <r>
      <rPr>
        <strike/>
        <sz val="9"/>
        <color rgb="FFFF0000"/>
        <rFont val="ＭＳ Ｐゴシック"/>
        <family val="3"/>
        <charset val="128"/>
      </rPr>
      <t>1:仮会員、</t>
    </r>
    <r>
      <rPr>
        <sz val="9"/>
        <rFont val="ＭＳ Ｐゴシック"/>
        <family val="3"/>
        <charset val="128"/>
      </rPr>
      <t>2:通常顧客</t>
    </r>
    <r>
      <rPr>
        <strike/>
        <sz val="9"/>
        <color rgb="FFFF0000"/>
        <rFont val="ＭＳ Ｐゴシック"/>
        <family val="3"/>
        <charset val="128"/>
      </rPr>
      <t>、3:カード忘れ</t>
    </r>
    <r>
      <rPr>
        <sz val="9"/>
        <rFont val="ＭＳ Ｐゴシック"/>
        <family val="3"/>
        <charset val="128"/>
      </rPr>
      <t xml:space="preserve">
</t>
    </r>
    <r>
      <rPr>
        <sz val="9"/>
        <color rgb="FFFF0000"/>
        <rFont val="ＭＳ Ｐゴシック"/>
        <family val="3"/>
        <charset val="128"/>
      </rPr>
      <t>※取消線はいなげや様は未使用</t>
    </r>
    <rPh sb="4" eb="6">
      <t>コキャク</t>
    </rPh>
    <rPh sb="12" eb="14">
      <t>セッテイ</t>
    </rPh>
    <rPh sb="18" eb="21">
      <t>コキャクナ</t>
    </rPh>
    <rPh sb="25" eb="28">
      <t>カリカイイン</t>
    </rPh>
    <rPh sb="31" eb="33">
      <t>ツウジョウ</t>
    </rPh>
    <rPh sb="33" eb="35">
      <t>コキャク</t>
    </rPh>
    <rPh sb="41" eb="42">
      <t>ワス</t>
    </rPh>
    <phoneticPr fontId="4"/>
  </si>
  <si>
    <t>GSFD_CUST_INF</t>
    <phoneticPr fontId="4"/>
  </si>
  <si>
    <t>GSFD顧客ＩＮＦ</t>
    <phoneticPr fontId="4"/>
  </si>
  <si>
    <t>GSFD_CARD_ENTRY_TYPE</t>
    <phoneticPr fontId="4"/>
  </si>
  <si>
    <t>GSFDカード登録種別</t>
    <phoneticPr fontId="4"/>
  </si>
  <si>
    <t>設定値：カード登録種別
0:顧客無し、4:顧客登録あり、5:プリンスカード
※プリンスカードは次回開発</t>
    <rPh sb="7" eb="9">
      <t>トウロク</t>
    </rPh>
    <rPh sb="9" eb="11">
      <t>シュベツ</t>
    </rPh>
    <rPh sb="15" eb="18">
      <t>コキャクナ</t>
    </rPh>
    <rPh sb="22" eb="24">
      <t>コキャク</t>
    </rPh>
    <rPh sb="24" eb="26">
      <t>トウロク</t>
    </rPh>
    <phoneticPr fontId="4"/>
  </si>
  <si>
    <t>GSFD_PAYMENT_PNT</t>
    <phoneticPr fontId="4"/>
  </si>
  <si>
    <t>利用ポイント数</t>
    <phoneticPr fontId="4"/>
  </si>
  <si>
    <t>GSFD_BONUS_PNT</t>
    <phoneticPr fontId="4"/>
  </si>
  <si>
    <t>ボーナスポイント数</t>
    <rPh sb="8" eb="9">
      <t>スウ</t>
    </rPh>
    <phoneticPr fontId="4"/>
  </si>
  <si>
    <t>GSFD_BONUS_AMT</t>
    <phoneticPr fontId="4"/>
  </si>
  <si>
    <t>ボーナスポイント金額</t>
    <rPh sb="8" eb="10">
      <t>キンガク</t>
    </rPh>
    <phoneticPr fontId="4"/>
  </si>
  <si>
    <t>GSFD_CASH_COUNTS</t>
    <phoneticPr fontId="4"/>
  </si>
  <si>
    <t>釣銭補充アイテムレコード</t>
    <rPh sb="0" eb="2">
      <t>ツリセン</t>
    </rPh>
    <rPh sb="2" eb="4">
      <t>ホジュウ</t>
    </rPh>
    <phoneticPr fontId="4"/>
  </si>
  <si>
    <t>釣銭補充アイテムレコード</t>
    <phoneticPr fontId="4"/>
  </si>
  <si>
    <r>
      <rPr>
        <sz val="9"/>
        <color rgb="FF000000"/>
        <rFont val="ＭＳ Ｐゴシック"/>
        <family val="3"/>
        <charset val="128"/>
      </rPr>
      <t>設定値：釣銭情報（精査結果の機内在高）
1：1円収納庫枚数，5：5円収納庫枚数，10：10円収納庫枚数，50：50円収納庫枚数，100：100円収納庫枚数，500：500円収納庫枚数</t>
    </r>
    <r>
      <rPr>
        <sz val="9"/>
        <color rgb="FFFF0000"/>
        <rFont val="ＭＳ Ｐゴシック"/>
        <family val="3"/>
        <charset val="128"/>
      </rPr>
      <t>；</t>
    </r>
    <r>
      <rPr>
        <sz val="9"/>
        <color rgb="FF000000"/>
        <rFont val="ＭＳ Ｐゴシック"/>
        <family val="3"/>
        <charset val="128"/>
      </rPr>
      <t>1000：1000円収納庫枚数，2000：2000円収納庫枚数，5000：5000円収納庫枚数，10000：10000円収納庫枚数/1000：1000円回収庫枚数，2000：2000円回収庫枚数，5000：5000円回収庫枚数，10000：10000円回収庫枚数/1：1円棒金庫本数，5：5円棒金庫本数，10：10円棒金庫本数，50：50円棒金庫本数，100：100円棒金庫本数，500：500円棒金庫本数	
＜例1 全金種に数値がある場合＞
1:999,5:999,10:999,50:999,100:999,500:999;1000:999,2000:999,5000:999,10000:999/1000:999,2000:999,5000:999,10000:999/1:99,5:99,10:99,50:99,100:99,500:99
＜例2 全金種に数値がない場合＞
1:0,5:0,10:0,50:0,100:0,500:0;1000:0,2000:0,5000:0,10000:0/1000:0,2000:0,5000:0,10000:0/1:0,5:0,10:0,50:0,100:0,500:0</t>
    </r>
  </si>
  <si>
    <r>
      <t>設定値：釣銭情報（精査結果の機内在高）
1：1円収納庫枚数，5：5円収納庫枚数，10：10円収納庫枚数，50：50円収納庫枚数，100：100円収納庫枚数，500：500円収納庫枚数</t>
    </r>
    <r>
      <rPr>
        <sz val="9"/>
        <color rgb="FFFF0000"/>
        <rFont val="ＭＳ Ｐゴシック"/>
        <family val="3"/>
        <charset val="128"/>
      </rPr>
      <t>；</t>
    </r>
    <r>
      <rPr>
        <sz val="9"/>
        <rFont val="ＭＳ Ｐゴシック"/>
        <family val="3"/>
        <charset val="128"/>
      </rPr>
      <t>1000：1000円収納庫枚数，2000：2000円収納庫枚数，5000：5000円収納庫枚数，10000：10000円収納庫枚数/1000：1000円回収庫枚数，2000：2000円回収庫枚数，5000：5000円回収庫枚数，10000：10000円回収庫枚数/1：1円棒金庫本数，5：5円棒金庫本数，10：10円棒金庫本数，50：50円棒金庫本数，100：100円棒金庫本数，500：500円棒金庫本数	
＜例1 全金種に数値がある場合＞
1:999,5:999,10:999,50:999,100:999,500:999;1000:999,2000:999,5000:999,10000:999/1000:999,2000:999,5000:999,10000:999/1:99,5:99,10:99,50:99,100:99,500:99
＜例2 全金種に数値がない場合＞
1:0,5:0,10:0,50:0,100:0,500:0;1000:0,2000:0,5000:0,10000:0/1000:0,2000:0,5000:0,10000:0/1:0,5:0,10:0,50:0,100:0,500:0</t>
    </r>
    <rPh sb="4" eb="6">
      <t>ツリセン</t>
    </rPh>
    <rPh sb="6" eb="8">
      <t>ジョウホウ</t>
    </rPh>
    <rPh sb="14" eb="18">
      <t>キナイアリダカ</t>
    </rPh>
    <rPh sb="299" eb="300">
      <t>レイ</t>
    </rPh>
    <rPh sb="302" eb="303">
      <t>ゼン</t>
    </rPh>
    <rPh sb="303" eb="305">
      <t>キンシュ</t>
    </rPh>
    <rPh sb="306" eb="308">
      <t>スウチ</t>
    </rPh>
    <rPh sb="311" eb="313">
      <t>バアイ</t>
    </rPh>
    <phoneticPr fontId="4"/>
  </si>
  <si>
    <t>設定値：""(空)</t>
    <phoneticPr fontId="4"/>
  </si>
  <si>
    <t>*1.10</t>
    <phoneticPr fontId="4"/>
  </si>
  <si>
    <t>GSFD_COMPARE_CASH_AMT</t>
    <phoneticPr fontId="4"/>
  </si>
  <si>
    <t>釣銭過不足履歴アイテムレコード</t>
    <rPh sb="0" eb="2">
      <t>ツリセン</t>
    </rPh>
    <rPh sb="2" eb="5">
      <t>カフソク</t>
    </rPh>
    <rPh sb="5" eb="7">
      <t>リレキ</t>
    </rPh>
    <phoneticPr fontId="4"/>
  </si>
  <si>
    <t>釣銭過不足履歴アイテムレコード</t>
    <phoneticPr fontId="4"/>
  </si>
  <si>
    <r>
      <t>設定値："POS番号, 担当者番号, 開始時刻, 現金在高, 釣銭機在高, 開始過不足額（</t>
    </r>
    <r>
      <rPr>
        <sz val="9"/>
        <color rgb="FFFF0000"/>
        <rFont val="ＭＳ Ｐゴシック"/>
        <family val="3"/>
        <charset val="128"/>
      </rPr>
      <t>釣銭機在高 - 現金在高</t>
    </r>
    <r>
      <rPr>
        <sz val="9"/>
        <rFont val="ＭＳ Ｐゴシック"/>
        <family val="3"/>
        <charset val="128"/>
      </rPr>
      <t>）"を設定
＜例＞
0001,0001,2003/11/18 11:15:44,99999999,99999999</t>
    </r>
    <rPh sb="60" eb="62">
      <t>セッテイ</t>
    </rPh>
    <rPh sb="64" eb="65">
      <t>レイ</t>
    </rPh>
    <phoneticPr fontId="4"/>
  </si>
  <si>
    <t>設定値："POS番号, 担当者番号, 開始時刻, 現金在高, 釣銭機在高, 開始過不足額（現金在高合計 - 現金在高）"を設定
＜例＞
0001,0001,2003/11/18 11:15:44,99999999,99999999</t>
    <rPh sb="61" eb="63">
      <t>セッテイ</t>
    </rPh>
    <rPh sb="65" eb="66">
      <t>レイ</t>
    </rPh>
    <phoneticPr fontId="4"/>
  </si>
  <si>
    <t>GSFD_CASH_COLSPY_AMT</t>
    <phoneticPr fontId="4"/>
  </si>
  <si>
    <t>現金COLSPY金額</t>
    <phoneticPr fontId="4"/>
  </si>
  <si>
    <r>
      <t xml:space="preserve">現金COLSPY金額
</t>
    </r>
    <r>
      <rPr>
        <sz val="9"/>
        <color rgb="FFFF0000"/>
        <rFont val="ＭＳ Ｐゴシック"/>
        <family val="3"/>
        <charset val="128"/>
      </rPr>
      <t>※下記の場合のみ設定する
・TRAN_CD=15（入金）
　「棒金ドロア追加(入出金コード=582)」、「紙幣・硬貨追加(入出金コード=580)」、「硬貨・紙幣追加(全填)(入出金コード=581)」の場合に値を設定
・TRAN_CD=16（出金）
　「途中回収(入出金コード=680)」、「全回収(入出金コード=681)」と「レジ撤去(入出金コード=682)」の場合に値を設定</t>
    </r>
    <rPh sb="13" eb="15">
      <t>カキ</t>
    </rPh>
    <rPh sb="16" eb="18">
      <t>バアイ</t>
    </rPh>
    <rPh sb="20" eb="22">
      <t>セッテイ</t>
    </rPh>
    <phoneticPr fontId="4"/>
  </si>
  <si>
    <t>設定値：釣銭機紙幣・硬貨の回収ｶﾝﾏﾃﾞｰﾀの時
＜例1＞
ボックス回収の時
1000:999,2000:999,5000:999,10000:999
釣銭補充の時
1:999,5:999,10:999,50:999,100:999,500:999;1000:999,2000:999,5000:999,10000:999
＜例2＞
ボックス回収の時
1000:0,2000:0,5000:0,10000:0
釣銭補充の時
1:0,5:0,10:0,50:0,100:0,500:0;1000:0,2000:0,5000:0,10000:0</t>
    <phoneticPr fontId="4"/>
  </si>
  <si>
    <t>*1.5,1.6,1.11,1.12</t>
    <phoneticPr fontId="4"/>
  </si>
  <si>
    <t>ギフトバーコード</t>
    <phoneticPr fontId="4"/>
  </si>
  <si>
    <t>GSFD_UCST_DATA01</t>
    <phoneticPr fontId="4"/>
  </si>
  <si>
    <t>カスタマイズデータ０１</t>
    <phoneticPr fontId="4"/>
  </si>
  <si>
    <t>未使用領域のため</t>
    <rPh sb="0" eb="5">
      <t>ミシヨウリョウイキ</t>
    </rPh>
    <phoneticPr fontId="4"/>
  </si>
  <si>
    <t>GSFD_SUS_CNT</t>
    <phoneticPr fontId="4"/>
  </si>
  <si>
    <t>サスペント数</t>
    <rPh sb="5" eb="6">
      <t>スウ</t>
    </rPh>
    <phoneticPr fontId="4"/>
  </si>
  <si>
    <t>GSFD_CNCL_RSN_CD</t>
    <phoneticPr fontId="4"/>
  </si>
  <si>
    <t>通番取消理由コード</t>
    <rPh sb="0" eb="1">
      <t>ツウ</t>
    </rPh>
    <rPh sb="1" eb="2">
      <t>バン</t>
    </rPh>
    <rPh sb="2" eb="4">
      <t>トリケシ</t>
    </rPh>
    <rPh sb="4" eb="6">
      <t>リユウ</t>
    </rPh>
    <phoneticPr fontId="4"/>
  </si>
  <si>
    <t>取引に対しての取消理由コードを設定</t>
    <rPh sb="0" eb="2">
      <t>トリヒキ</t>
    </rPh>
    <rPh sb="3" eb="4">
      <t>タイ</t>
    </rPh>
    <rPh sb="7" eb="9">
      <t>トリケシ</t>
    </rPh>
    <rPh sb="9" eb="11">
      <t>リユウ</t>
    </rPh>
    <rPh sb="15" eb="17">
      <t>セッテイ</t>
    </rPh>
    <phoneticPr fontId="4"/>
  </si>
  <si>
    <t>売上、返品では設定されないため設定不要</t>
    <rPh sb="0" eb="2">
      <t>ウリアゲ</t>
    </rPh>
    <rPh sb="3" eb="5">
      <t>ヘンピン</t>
    </rPh>
    <rPh sb="7" eb="9">
      <t>セッテイ</t>
    </rPh>
    <rPh sb="15" eb="17">
      <t>セッテイ</t>
    </rPh>
    <rPh sb="17" eb="19">
      <t>フヨウ</t>
    </rPh>
    <phoneticPr fontId="4"/>
  </si>
  <si>
    <t>GSFD_ITEM_COUNTS</t>
    <phoneticPr fontId="4"/>
  </si>
  <si>
    <t>単品カウント</t>
    <rPh sb="0" eb="2">
      <t>タンピン</t>
    </rPh>
    <phoneticPr fontId="4"/>
  </si>
  <si>
    <t>設定値：0,0,0（固定）</t>
    <rPh sb="10" eb="12">
      <t>コテイ</t>
    </rPh>
    <phoneticPr fontId="4"/>
  </si>
  <si>
    <t>設定値：9,9,9
1カラム：LN_DETAIL数
2カラム：LN_DISCOUNT数
3カラム：TRANSCATION_TENDER数</t>
    <rPh sb="25" eb="26">
      <t>スウ</t>
    </rPh>
    <rPh sb="43" eb="44">
      <t>スウ</t>
    </rPh>
    <rPh sb="68" eb="69">
      <t>スウ</t>
    </rPh>
    <phoneticPr fontId="4"/>
  </si>
  <si>
    <r>
      <t>設定値：0,0,</t>
    </r>
    <r>
      <rPr>
        <sz val="9"/>
        <color rgb="FFFF0000"/>
        <rFont val="ＭＳ Ｐゴシック"/>
        <family val="3"/>
        <charset val="128"/>
      </rPr>
      <t>1</t>
    </r>
    <r>
      <rPr>
        <sz val="9"/>
        <rFont val="ＭＳ Ｐゴシック"/>
        <family val="3"/>
        <charset val="128"/>
      </rPr>
      <t xml:space="preserve">（固定）
</t>
    </r>
    <r>
      <rPr>
        <sz val="9"/>
        <color rgb="FFFF0000"/>
        <rFont val="ＭＳ Ｐゴシック"/>
        <family val="3"/>
        <charset val="128"/>
      </rPr>
      <t xml:space="preserve">
1カラム：0 固定
2カラム：0 固定
3カラム：TRANSCATION_TENDER数</t>
    </r>
    <rPh sb="10" eb="12">
      <t>コテイ</t>
    </rPh>
    <rPh sb="22" eb="24">
      <t>コテイ</t>
    </rPh>
    <rPh sb="32" eb="34">
      <t>コテイ</t>
    </rPh>
    <phoneticPr fontId="4"/>
  </si>
  <si>
    <t>GSFD_UCST_RSV01</t>
    <phoneticPr fontId="4"/>
  </si>
  <si>
    <t>カスタマイズ予約１</t>
    <rPh sb="6" eb="8">
      <t>ヨヤク</t>
    </rPh>
    <phoneticPr fontId="4"/>
  </si>
  <si>
    <t>GSFD_UCST_RSV02</t>
    <phoneticPr fontId="4"/>
  </si>
  <si>
    <t>カスタマイズ予約２</t>
    <rPh sb="6" eb="8">
      <t>ヨヤク</t>
    </rPh>
    <phoneticPr fontId="4"/>
  </si>
  <si>
    <t>GSFD_UCST_RSV03</t>
    <phoneticPr fontId="4"/>
  </si>
  <si>
    <t>カスタマイズ予約３</t>
    <rPh sb="6" eb="8">
      <t>ヨヤク</t>
    </rPh>
    <phoneticPr fontId="4"/>
  </si>
  <si>
    <t>GSFD_UCST_RSV04</t>
    <phoneticPr fontId="4"/>
  </si>
  <si>
    <t>カスタマイズ予約４</t>
    <rPh sb="6" eb="8">
      <t>ヨヤク</t>
    </rPh>
    <phoneticPr fontId="4"/>
  </si>
  <si>
    <t>GSFD_UCST_RSV05</t>
    <phoneticPr fontId="4"/>
  </si>
  <si>
    <t>カスタマイズ予約５</t>
    <rPh sb="6" eb="8">
      <t>ヨヤク</t>
    </rPh>
    <phoneticPr fontId="4"/>
  </si>
  <si>
    <t>GSFD_POS_INFO</t>
    <phoneticPr fontId="4"/>
  </si>
  <si>
    <t>ＰＯＳ情報</t>
    <rPh sb="3" eb="5">
      <t>ジョウホウ</t>
    </rPh>
    <phoneticPr fontId="4"/>
  </si>
  <si>
    <t>GSFD_CASH_OPEN</t>
    <phoneticPr fontId="4"/>
  </si>
  <si>
    <t>釣銭開局アイテムレコード</t>
    <phoneticPr fontId="4"/>
  </si>
  <si>
    <t xml:space="preserve">設定値：①残置合計金額,②開局時釣銭機在高合計,③ゼロ点検フラグ
＜例＞
0,0,1
※0点検ﾌﾗｸﾞ 0:0点検OK 1:0点検NG いずれかを設定。 </t>
    <rPh sb="34" eb="35">
      <t>レイ</t>
    </rPh>
    <rPh sb="46" eb="48">
      <t>テンケン</t>
    </rPh>
    <rPh sb="56" eb="58">
      <t>テンケン</t>
    </rPh>
    <rPh sb="74" eb="76">
      <t>セッテイ</t>
    </rPh>
    <phoneticPr fontId="4"/>
  </si>
  <si>
    <t>ignicaPOS側で設定
設定値：""(空)</t>
    <rPh sb="21" eb="22">
      <t>カラ</t>
    </rPh>
    <phoneticPr fontId="4"/>
  </si>
  <si>
    <t>GSFD_CASH_LEAVE</t>
    <phoneticPr fontId="4"/>
  </si>
  <si>
    <t>釣銭残置登録アイテムレコード</t>
    <phoneticPr fontId="4"/>
  </si>
  <si>
    <t>GSFD_CALC_PNT</t>
    <phoneticPr fontId="4"/>
  </si>
  <si>
    <t>ポイント計算値</t>
    <phoneticPr fontId="4"/>
  </si>
  <si>
    <t>GSFD_OFFCL_RCPT_TYPE</t>
    <phoneticPr fontId="4"/>
  </si>
  <si>
    <t>GSFDOFFCLレシート種別</t>
    <phoneticPr fontId="4"/>
  </si>
  <si>
    <t>GSFD_VOIDED_TRAN_ID</t>
    <phoneticPr fontId="4"/>
  </si>
  <si>
    <t>元取引ＩＤ</t>
    <rPh sb="0" eb="1">
      <t>モト</t>
    </rPh>
    <rPh sb="1" eb="3">
      <t>トリヒキ</t>
    </rPh>
    <phoneticPr fontId="4"/>
  </si>
  <si>
    <t>GSFD_PASTEL_PORT</t>
    <phoneticPr fontId="4"/>
  </si>
  <si>
    <t>GSFDPASTELポート</t>
    <phoneticPr fontId="4"/>
  </si>
  <si>
    <t>GSFD_OFFER_ID2</t>
    <phoneticPr fontId="4"/>
  </si>
  <si>
    <t>計画Ｎｏ２</t>
    <phoneticPr fontId="4"/>
  </si>
  <si>
    <t>CD_AMT_KYOT</t>
    <phoneticPr fontId="4"/>
  </si>
  <si>
    <t>ＣＤ金額_KYOT</t>
    <rPh sb="2" eb="4">
      <t>キンガク</t>
    </rPh>
    <phoneticPr fontId="4"/>
  </si>
  <si>
    <t>GSFD_PNT_TCKT_ISS_FG</t>
    <phoneticPr fontId="4"/>
  </si>
  <si>
    <t>新／旧満点券発行フラグ</t>
    <phoneticPr fontId="4"/>
  </si>
  <si>
    <t>新／旧満点券発行フラグ      
 0 ： 新満点券発行なし／旧満点券発行／旧満点券発行なし   
 1 ： 新満点券発行あり（ＨＰＳ更新正常）   
 2 ： 新満点券発行あり（ＨＰＳ更新異常）   
※満点券発行時にSET</t>
    <rPh sb="104" eb="106">
      <t>マンテン</t>
    </rPh>
    <rPh sb="106" eb="107">
      <t>ケン</t>
    </rPh>
    <rPh sb="107" eb="109">
      <t>ハッコウ</t>
    </rPh>
    <rPh sb="109" eb="110">
      <t>ジ</t>
    </rPh>
    <phoneticPr fontId="4"/>
  </si>
  <si>
    <t>GSFD_PNT_TCKT_USE_FG</t>
    <phoneticPr fontId="4"/>
  </si>
  <si>
    <t>新満点券使用フラグ</t>
    <phoneticPr fontId="4"/>
  </si>
  <si>
    <t>新満点券使用フラグ        
 0 ： 新満点券使用なし     
 1 ： 新満点券使用あり（ＨＰＳ更新正常）     
 2 ： 新満点券使用あり（ＨＰＳ更新異常）     
※満点券使用時にSET</t>
    <rPh sb="94" eb="96">
      <t>マンテン</t>
    </rPh>
    <rPh sb="96" eb="97">
      <t>ケン</t>
    </rPh>
    <rPh sb="97" eb="100">
      <t>シヨウジ</t>
    </rPh>
    <phoneticPr fontId="4"/>
  </si>
  <si>
    <t>GSFD_PNT_TCKT_NBR</t>
    <phoneticPr fontId="4"/>
  </si>
  <si>
    <t>新満点券発券番号</t>
    <phoneticPr fontId="4"/>
  </si>
  <si>
    <t>新満点券発券番号
発行した新満点券の取引内通番１の発券番号を格納する
※満点券発行時にSET　</t>
    <phoneticPr fontId="4"/>
  </si>
  <si>
    <t>GSFD_PNT_TCKT_TERM_DT</t>
    <phoneticPr fontId="4"/>
  </si>
  <si>
    <t>新満点券有効期限</t>
    <phoneticPr fontId="4"/>
  </si>
  <si>
    <t>新満点券有効期限  
 YYYY/MM/DD（年月日） 
 ※年月日のみ使用 
※満点券発行時にSET</t>
    <phoneticPr fontId="4"/>
  </si>
  <si>
    <t>GSFD_CATS_POINT_FG</t>
    <phoneticPr fontId="4"/>
  </si>
  <si>
    <t>GSFD_CATSポイントフラグ</t>
    <phoneticPr fontId="4"/>
  </si>
  <si>
    <t>GSFD_CATS_ECOPOINT_FG</t>
    <phoneticPr fontId="4"/>
  </si>
  <si>
    <t>GSFD_CATSエコポイントフラグ</t>
    <phoneticPr fontId="4"/>
  </si>
  <si>
    <t>GSFD_POS_AUTO_DISC</t>
    <phoneticPr fontId="4"/>
  </si>
  <si>
    <t>GSFDPOS自動ディスカウント</t>
    <phoneticPr fontId="4"/>
  </si>
  <si>
    <t>GSFD_CRE_CARDIMG1</t>
    <phoneticPr fontId="4"/>
  </si>
  <si>
    <t>GSFDクレジットカードイメージ１</t>
    <phoneticPr fontId="4"/>
  </si>
  <si>
    <t>GSFD_CRE_CARDIMG2</t>
  </si>
  <si>
    <t>GSFDクレジットカードイメージ２</t>
  </si>
  <si>
    <t>GSFD_CRE_CARDIMG3</t>
  </si>
  <si>
    <t>GSFDクレジットカードイメージ３</t>
  </si>
  <si>
    <t>GSFD_DEDUCT_ID</t>
    <phoneticPr fontId="4"/>
  </si>
  <si>
    <t>歩引登録従業員会員番号</t>
    <phoneticPr fontId="4"/>
  </si>
  <si>
    <t>GSFD_DUFR_SCNT</t>
    <phoneticPr fontId="4"/>
  </si>
  <si>
    <t>免税客数</t>
    <rPh sb="0" eb="2">
      <t>メンゼイ</t>
    </rPh>
    <rPh sb="2" eb="4">
      <t>キャクスウ</t>
    </rPh>
    <phoneticPr fontId="4"/>
  </si>
  <si>
    <t>免税は無い認識</t>
    <rPh sb="0" eb="2">
      <t>メンゼイ</t>
    </rPh>
    <rPh sb="3" eb="4">
      <t>ナ</t>
    </rPh>
    <rPh sb="5" eb="7">
      <t>ニンシキ</t>
    </rPh>
    <phoneticPr fontId="4"/>
  </si>
  <si>
    <t>GSFD_DUFR_SLS_AMT</t>
    <phoneticPr fontId="4"/>
  </si>
  <si>
    <t>免税売上</t>
    <rPh sb="0" eb="2">
      <t>メンゼイ</t>
    </rPh>
    <rPh sb="2" eb="4">
      <t>ウリアゲ</t>
    </rPh>
    <phoneticPr fontId="4"/>
  </si>
  <si>
    <t>GSFD_DUFR_SLS_CNT</t>
    <phoneticPr fontId="4"/>
  </si>
  <si>
    <t>免税売上数</t>
    <rPh sb="0" eb="2">
      <t>メンゼイ</t>
    </rPh>
    <rPh sb="2" eb="4">
      <t>ウリアゲ</t>
    </rPh>
    <rPh sb="4" eb="5">
      <t>スウ</t>
    </rPh>
    <phoneticPr fontId="4"/>
  </si>
  <si>
    <t>TS/M</t>
  </si>
  <si>
    <t>GSFD_DUFR_CAMT</t>
    <phoneticPr fontId="4"/>
  </si>
  <si>
    <t>免税額</t>
    <rPh sb="0" eb="2">
      <t>メンゼイ</t>
    </rPh>
    <rPh sb="2" eb="3">
      <t>ガク</t>
    </rPh>
    <phoneticPr fontId="4"/>
  </si>
  <si>
    <t>GSFD_DUFR_CCNT</t>
    <phoneticPr fontId="4"/>
  </si>
  <si>
    <t>免税数</t>
    <rPh sb="0" eb="2">
      <t>メンゼイ</t>
    </rPh>
    <rPh sb="2" eb="3">
      <t>スウ</t>
    </rPh>
    <phoneticPr fontId="4"/>
  </si>
  <si>
    <t>GSFD_COUPON_CODE</t>
    <phoneticPr fontId="4"/>
  </si>
  <si>
    <t>クーポン値引きコード</t>
    <rPh sb="4" eb="6">
      <t>ネビ</t>
    </rPh>
    <phoneticPr fontId="4"/>
  </si>
  <si>
    <t>GSFD_INVEST_ENTRY_CNT</t>
    <phoneticPr fontId="4"/>
  </si>
  <si>
    <t>出資金登録数</t>
    <rPh sb="0" eb="3">
      <t>シュッシキン</t>
    </rPh>
    <rPh sb="3" eb="6">
      <t>トウロクスウ</t>
    </rPh>
    <phoneticPr fontId="4"/>
  </si>
  <si>
    <t>smallint</t>
    <phoneticPr fontId="4"/>
  </si>
  <si>
    <t>GSFD_HANDINPUT</t>
    <phoneticPr fontId="4"/>
  </si>
  <si>
    <t>手打ち金額</t>
    <phoneticPr fontId="4"/>
  </si>
  <si>
    <t xml:space="preserve">設定値：0（固定）
</t>
    <rPh sb="6" eb="8">
      <t>コテイ</t>
    </rPh>
    <phoneticPr fontId="4"/>
  </si>
  <si>
    <t xml:space="preserve">設定値：入力された手打ち金額を設定
</t>
    <rPh sb="4" eb="6">
      <t>ニュウリョク</t>
    </rPh>
    <rPh sb="9" eb="11">
      <t>テウ</t>
    </rPh>
    <rPh sb="12" eb="14">
      <t>キンガク</t>
    </rPh>
    <rPh sb="15" eb="17">
      <t>セッテイ</t>
    </rPh>
    <phoneticPr fontId="4"/>
  </si>
  <si>
    <t>釣銭機接続時預かり金手入力時に設定。</t>
    <rPh sb="0" eb="3">
      <t>ツリセンキ</t>
    </rPh>
    <rPh sb="3" eb="5">
      <t>セツゾク</t>
    </rPh>
    <rPh sb="5" eb="6">
      <t>ジ</t>
    </rPh>
    <rPh sb="6" eb="7">
      <t>アズ</t>
    </rPh>
    <rPh sb="9" eb="10">
      <t>キン</t>
    </rPh>
    <rPh sb="10" eb="11">
      <t>テ</t>
    </rPh>
    <rPh sb="11" eb="13">
      <t>ニュウリョク</t>
    </rPh>
    <rPh sb="13" eb="14">
      <t>ジ</t>
    </rPh>
    <rPh sb="15" eb="17">
      <t>セッテイ</t>
    </rPh>
    <phoneticPr fontId="4"/>
  </si>
  <si>
    <t>*1.4</t>
    <phoneticPr fontId="4"/>
  </si>
  <si>
    <t>GSFD_HANDINPUT_CODE</t>
    <phoneticPr fontId="4"/>
  </si>
  <si>
    <t>手打ち理由コード</t>
    <phoneticPr fontId="4"/>
  </si>
  <si>
    <t>int</t>
    <phoneticPr fontId="4"/>
  </si>
  <si>
    <t xml:space="preserve">設定値：0（固定）
</t>
    <rPh sb="0" eb="2">
      <t>セッテイ</t>
    </rPh>
    <rPh sb="2" eb="3">
      <t>チ</t>
    </rPh>
    <rPh sb="6" eb="8">
      <t>コテイ</t>
    </rPh>
    <phoneticPr fontId="4"/>
  </si>
  <si>
    <t>GSFD_CASHCHG_ERR_CD</t>
    <phoneticPr fontId="4"/>
  </si>
  <si>
    <t>釣銭機エラーコード</t>
    <phoneticPr fontId="4"/>
  </si>
  <si>
    <t>GSFD_CASH_PAYOUT_AMT</t>
    <phoneticPr fontId="4"/>
  </si>
  <si>
    <t>釣銭機出金</t>
    <phoneticPr fontId="4"/>
  </si>
  <si>
    <t>GSFD_OFFER_ID3</t>
    <phoneticPr fontId="4"/>
  </si>
  <si>
    <t>計画Ｎｏ３</t>
    <phoneticPr fontId="4"/>
  </si>
  <si>
    <t>GSFD_SUICA_ERROR_MESSAGE_EXIST</t>
    <phoneticPr fontId="4"/>
  </si>
  <si>
    <t>スイカ障害電文発生</t>
    <phoneticPr fontId="4"/>
  </si>
  <si>
    <t>GSFD_SUICA_ERROR_MESSAGE_AMT</t>
    <phoneticPr fontId="4"/>
  </si>
  <si>
    <t>スイカ障害電文発生時金額</t>
    <phoneticPr fontId="4"/>
  </si>
  <si>
    <t>money</t>
    <phoneticPr fontId="4"/>
  </si>
  <si>
    <t>GSFD_SUICA_TIMEOUT_ERROR_EXIST</t>
    <phoneticPr fontId="4"/>
  </si>
  <si>
    <t>スイカタイムアウト発生</t>
    <phoneticPr fontId="4"/>
  </si>
  <si>
    <t>GSFD_SUICA_TIMEOUT_ERROR_AMT</t>
    <phoneticPr fontId="4"/>
  </si>
  <si>
    <t>スイカタイムアウト発生時金額</t>
    <rPh sb="11" eb="12">
      <t>ジ</t>
    </rPh>
    <rPh sb="12" eb="14">
      <t>キンガク</t>
    </rPh>
    <phoneticPr fontId="4"/>
  </si>
  <si>
    <t>GSFD_MSG_ID</t>
    <phoneticPr fontId="4"/>
  </si>
  <si>
    <t>メッセージID</t>
    <phoneticPr fontId="4"/>
  </si>
  <si>
    <t>GSFD_SUBDEPT_COUPON</t>
    <phoneticPr fontId="4"/>
  </si>
  <si>
    <t>家庭会券スキャンコード</t>
    <phoneticPr fontId="4"/>
  </si>
  <si>
    <t>text</t>
    <phoneticPr fontId="4"/>
  </si>
  <si>
    <t>GSFD_APPL_NUM</t>
    <phoneticPr fontId="4"/>
  </si>
  <si>
    <t>申込番号</t>
    <phoneticPr fontId="4"/>
  </si>
  <si>
    <t>GSFD_DELIVERY_DAY</t>
    <phoneticPr fontId="4"/>
  </si>
  <si>
    <t>お渡し日</t>
    <phoneticPr fontId="4"/>
  </si>
  <si>
    <t>GSFD_GIFT_NUM</t>
    <phoneticPr fontId="4"/>
  </si>
  <si>
    <t>ギフト注文番号</t>
    <phoneticPr fontId="4"/>
  </si>
  <si>
    <t>GSFD_PAYMENT_AMT</t>
    <phoneticPr fontId="4"/>
  </si>
  <si>
    <t>ポイント利用金額</t>
    <phoneticPr fontId="4"/>
  </si>
  <si>
    <t>GSFD_DISPENSE_BANK</t>
    <phoneticPr fontId="4"/>
  </si>
  <si>
    <t>銀行入金/釣銭準備金</t>
    <phoneticPr fontId="4"/>
  </si>
  <si>
    <t>GSFD_CREDIT_SIGN_RECIPT_CNT</t>
    <phoneticPr fontId="4"/>
  </si>
  <si>
    <t>クレCDｻｲﾝﾚｼｰﾄ数</t>
    <phoneticPr fontId="4"/>
  </si>
  <si>
    <t>GSFD_CAP_TYPE</t>
    <phoneticPr fontId="4"/>
  </si>
  <si>
    <t>釣銭増資フラグ</t>
    <phoneticPr fontId="4"/>
  </si>
  <si>
    <t>GSFD_HOUSE_CARD_ISSUE</t>
    <phoneticPr fontId="4"/>
  </si>
  <si>
    <t>ハウスカード発行</t>
    <phoneticPr fontId="4"/>
  </si>
  <si>
    <t>ハウスカードは対象外</t>
    <rPh sb="7" eb="10">
      <t>タイショウガイ</t>
    </rPh>
    <phoneticPr fontId="4"/>
  </si>
  <si>
    <t>GSFD_DEPT_GRP_COUPON</t>
    <phoneticPr fontId="4"/>
  </si>
  <si>
    <t>部門クーポン券</t>
    <phoneticPr fontId="4"/>
  </si>
  <si>
    <t>GSFD_CARD_LOG_DATA_HOUSE</t>
    <phoneticPr fontId="4"/>
  </si>
  <si>
    <t>コード決済データ</t>
    <rPh sb="3" eb="5">
      <t>ケッサイ</t>
    </rPh>
    <phoneticPr fontId="4"/>
  </si>
  <si>
    <t>通番修正の時に利用するカラム。</t>
    <rPh sb="0" eb="4">
      <t>ツウバンシュウセイ</t>
    </rPh>
    <rPh sb="5" eb="6">
      <t>トキ</t>
    </rPh>
    <rPh sb="7" eb="9">
      <t>リヨウ</t>
    </rPh>
    <phoneticPr fontId="4"/>
  </si>
  <si>
    <t>GSFD_VOID_RSN_CD</t>
    <phoneticPr fontId="4"/>
  </si>
  <si>
    <t>取消原因コード</t>
    <phoneticPr fontId="4"/>
  </si>
  <si>
    <t xml:space="preserve">設定値：中止理由コード
＜例＞
</t>
    <rPh sb="4" eb="6">
      <t>チュウシ</t>
    </rPh>
    <rPh sb="6" eb="8">
      <t>リユウ</t>
    </rPh>
    <rPh sb="14" eb="15">
      <t>レイ</t>
    </rPh>
    <phoneticPr fontId="4"/>
  </si>
  <si>
    <t xml:space="preserve">売上　中止取引で理由コードを設定。
</t>
    <rPh sb="0" eb="2">
      <t>ウリアゲ</t>
    </rPh>
    <rPh sb="3" eb="5">
      <t>チュウシ</t>
    </rPh>
    <rPh sb="5" eb="7">
      <t>トリヒキ</t>
    </rPh>
    <rPh sb="8" eb="10">
      <t>リユウ</t>
    </rPh>
    <rPh sb="14" eb="16">
      <t>セッテイ</t>
    </rPh>
    <phoneticPr fontId="4"/>
  </si>
  <si>
    <t>GSFD_ING_POINT01</t>
    <phoneticPr fontId="4"/>
  </si>
  <si>
    <t>GSFD_INGポイント数01</t>
    <rPh sb="12" eb="13">
      <t>スウ</t>
    </rPh>
    <phoneticPr fontId="4"/>
  </si>
  <si>
    <t>Satisfaの応答値を使用。
特別ポイント対象ポイント数</t>
    <phoneticPr fontId="4"/>
  </si>
  <si>
    <t>設定値：0固定</t>
    <phoneticPr fontId="4"/>
  </si>
  <si>
    <t>設定値：特別ポイント対象ポイント</t>
    <phoneticPr fontId="4"/>
  </si>
  <si>
    <t>TSMでは下記を設定
GetCustomerByNumberASY呼び出しで連携。
N倍ポイント数&lt;SPPOINT_QT&gt;</t>
    <rPh sb="5" eb="7">
      <t>カキ</t>
    </rPh>
    <rPh sb="8" eb="10">
      <t>セッテイ</t>
    </rPh>
    <rPh sb="43" eb="44">
      <t>バイ</t>
    </rPh>
    <rPh sb="48" eb="49">
      <t>スウ</t>
    </rPh>
    <phoneticPr fontId="4"/>
  </si>
  <si>
    <t>GSFD_ING_POINT02</t>
  </si>
  <si>
    <t>GSFD_INGポイント数02</t>
    <rPh sb="12" eb="13">
      <t>スウ</t>
    </rPh>
    <phoneticPr fontId="4"/>
  </si>
  <si>
    <t>Satisfaの応答値を使用。
基本ポイント対象ポイント数</t>
    <phoneticPr fontId="4"/>
  </si>
  <si>
    <t>設定値：基本ポイント対象ポイント</t>
    <phoneticPr fontId="4"/>
  </si>
  <si>
    <t>TSMでは下記を設定
GetCustomerByNumberASY呼び出しで連携。
通常ポイント数&lt;DEFAULTPT_QT&gt;</t>
    <rPh sb="5" eb="7">
      <t>カキ</t>
    </rPh>
    <rPh sb="8" eb="10">
      <t>セッテイ</t>
    </rPh>
    <phoneticPr fontId="4"/>
  </si>
  <si>
    <t>GSFD_ING_POINT03</t>
  </si>
  <si>
    <t>GSFD_INGポイント数03</t>
    <rPh sb="12" eb="13">
      <t>スウ</t>
    </rPh>
    <phoneticPr fontId="4"/>
  </si>
  <si>
    <t>GSFD_ING_POINT04</t>
  </si>
  <si>
    <t>GSFD_INGポイント数04</t>
    <rPh sb="12" eb="13">
      <t>スウ</t>
    </rPh>
    <phoneticPr fontId="4"/>
  </si>
  <si>
    <t>GSFD_ING_PNT_AMT01</t>
    <phoneticPr fontId="4"/>
  </si>
  <si>
    <t>GSFD_INGポイント金額01</t>
    <rPh sb="12" eb="14">
      <t>キンガク</t>
    </rPh>
    <phoneticPr fontId="4"/>
  </si>
  <si>
    <t>Satisfaの応答値を使用。
特別ポイント対象金額</t>
    <phoneticPr fontId="4"/>
  </si>
  <si>
    <t>設定値：特別ポイント対象金額</t>
    <phoneticPr fontId="4"/>
  </si>
  <si>
    <t>TSMでは下記を設定
GetCustomerByNumberASY呼び出しで連携。
N倍ポイント対象金額&lt;SPPOINT_VAL&gt;</t>
    <rPh sb="5" eb="7">
      <t>カキ</t>
    </rPh>
    <rPh sb="8" eb="10">
      <t>セッテイ</t>
    </rPh>
    <phoneticPr fontId="4"/>
  </si>
  <si>
    <t>GSFD_ING_PNT_AMT02</t>
  </si>
  <si>
    <t>GSFD_INGポイント金額02</t>
    <rPh sb="12" eb="14">
      <t>キンガク</t>
    </rPh>
    <phoneticPr fontId="4"/>
  </si>
  <si>
    <t>設定値：基本ポイント対象金額</t>
    <phoneticPr fontId="4"/>
  </si>
  <si>
    <t>GSFD_ING_PNT_AMT03</t>
  </si>
  <si>
    <t>GSFD_INGポイント金額03</t>
    <rPh sb="12" eb="14">
      <t>キンガク</t>
    </rPh>
    <phoneticPr fontId="4"/>
  </si>
  <si>
    <t>GSFD_ING_PNT_AMT04</t>
  </si>
  <si>
    <t>GSFD_INGポイント金額04</t>
    <rPh sb="12" eb="14">
      <t>キンガク</t>
    </rPh>
    <phoneticPr fontId="4"/>
  </si>
  <si>
    <t>GSFD_EDY_TIMEOUT_ERROR_EXIST</t>
    <phoneticPr fontId="4"/>
  </si>
  <si>
    <t>ＥＤＹ障害電文発生</t>
    <phoneticPr fontId="4"/>
  </si>
  <si>
    <t>GSFD_EDY_TIMEOUT_ERROR_AMT</t>
    <phoneticPr fontId="4"/>
  </si>
  <si>
    <t>ＥＤＹ障害電文発生時金額</t>
    <phoneticPr fontId="4"/>
  </si>
  <si>
    <t>GSFD_ID_TIMEOUT_ERROR_EXIST</t>
    <phoneticPr fontId="4"/>
  </si>
  <si>
    <t>ＥＤＹタイムアウト発生</t>
    <phoneticPr fontId="4"/>
  </si>
  <si>
    <t>GSFD_ID_TIMEOUT_ERROR_AMT</t>
    <phoneticPr fontId="4"/>
  </si>
  <si>
    <t>ＥＤＹタイムアウト発生時金額</t>
    <rPh sb="11" eb="12">
      <t>ジ</t>
    </rPh>
    <rPh sb="12" eb="14">
      <t>キンガク</t>
    </rPh>
    <phoneticPr fontId="4"/>
  </si>
  <si>
    <t>GSFD_CASH_PICKUP</t>
    <phoneticPr fontId="4"/>
  </si>
  <si>
    <t>回収・残置データ</t>
    <phoneticPr fontId="4"/>
  </si>
  <si>
    <t>GSFD_COUPON_CODE2</t>
    <phoneticPr fontId="4"/>
  </si>
  <si>
    <t>小計クーポンコード</t>
    <phoneticPr fontId="4"/>
  </si>
  <si>
    <t>GSFD_TAX_FREE_FLG</t>
    <phoneticPr fontId="4"/>
  </si>
  <si>
    <t>免税有無</t>
    <phoneticPr fontId="4"/>
  </si>
  <si>
    <t>GSFD_ERR_INPUT_FLG</t>
    <phoneticPr fontId="4"/>
  </si>
  <si>
    <t>誤打フラグ</t>
    <phoneticPr fontId="4"/>
  </si>
  <si>
    <t>0：通常、 1：誤打</t>
    <phoneticPr fontId="4"/>
  </si>
  <si>
    <t>GSFD_SERVICE_PNT</t>
    <phoneticPr fontId="4"/>
  </si>
  <si>
    <t>サービスポイント</t>
    <phoneticPr fontId="4"/>
  </si>
  <si>
    <t>GSFD_FAMILY_CARD_INFO</t>
    <phoneticPr fontId="4"/>
  </si>
  <si>
    <t>本人カード判定用カード情報</t>
    <phoneticPr fontId="4"/>
  </si>
  <si>
    <t>GSFD_CARD_LOG_DATA_HOUSE2</t>
    <phoneticPr fontId="4"/>
  </si>
  <si>
    <t>カードログデータ2</t>
    <phoneticPr fontId="4"/>
  </si>
  <si>
    <t>GSFD_POSTVOID_TRAN_TOTAL</t>
    <phoneticPr fontId="4"/>
  </si>
  <si>
    <t>通番取消用取引金額</t>
    <phoneticPr fontId="4"/>
  </si>
  <si>
    <t>GSFD_CN_CUSTOMER_ID</t>
    <phoneticPr fontId="4"/>
  </si>
  <si>
    <t>INQ用組合員コード</t>
    <rPh sb="3" eb="4">
      <t>ヨウ</t>
    </rPh>
    <rPh sb="4" eb="7">
      <t>クミアイイン</t>
    </rPh>
    <phoneticPr fontId="4"/>
  </si>
  <si>
    <t>GSFD_INP_DEVICE_FLG</t>
    <phoneticPr fontId="4"/>
  </si>
  <si>
    <t>顧客登録方法</t>
    <phoneticPr fontId="4"/>
  </si>
  <si>
    <t>組合員登録時の入力装置</t>
    <phoneticPr fontId="4"/>
  </si>
  <si>
    <r>
      <t>設定値：顧客登録方法
0:なし</t>
    </r>
    <r>
      <rPr>
        <sz val="9"/>
        <color rgb="FFFF0000"/>
        <rFont val="ＭＳ Ｐゴシック"/>
        <family val="3"/>
        <charset val="128"/>
      </rPr>
      <t>/IC-RW IC読み込み/IC-RW MSR読み込み、</t>
    </r>
    <r>
      <rPr>
        <sz val="9"/>
        <rFont val="ＭＳ Ｐゴシック"/>
        <family val="3"/>
        <charset val="128"/>
      </rPr>
      <t>1:手入力、2:SCANNER</t>
    </r>
    <r>
      <rPr>
        <strike/>
        <sz val="9"/>
        <color rgb="FFFF0000"/>
        <rFont val="ＭＳ Ｐゴシック"/>
        <family val="3"/>
        <charset val="128"/>
      </rPr>
      <t>、3:MSR</t>
    </r>
    <rPh sb="4" eb="8">
      <t>コキャクトウロク</t>
    </rPh>
    <rPh sb="8" eb="10">
      <t>ホウホウ</t>
    </rPh>
    <rPh sb="46" eb="49">
      <t>テニュウリョク</t>
    </rPh>
    <phoneticPr fontId="4"/>
  </si>
  <si>
    <t>顧客登録方法を設定</t>
    <rPh sb="0" eb="4">
      <t>コキャクトウロク</t>
    </rPh>
    <rPh sb="4" eb="6">
      <t>ホウホウ</t>
    </rPh>
    <rPh sb="7" eb="9">
      <t>セッテイ</t>
    </rPh>
    <phoneticPr fontId="4"/>
  </si>
  <si>
    <t>*.1.2</t>
    <phoneticPr fontId="4"/>
  </si>
  <si>
    <t>GSFD_SYUNO_CNT</t>
    <phoneticPr fontId="4"/>
  </si>
  <si>
    <t>収納代行払込票数</t>
    <phoneticPr fontId="4"/>
  </si>
  <si>
    <t>GSFD_FILE_CPRT_ITEM</t>
    <phoneticPr fontId="4"/>
  </si>
  <si>
    <t>売上データ取引登録フラグ</t>
    <phoneticPr fontId="4"/>
  </si>
  <si>
    <t>GSFD_CARD_LOG_DATA_HOUSE3</t>
    <phoneticPr fontId="4"/>
  </si>
  <si>
    <t>ハウスカードデータ3</t>
    <phoneticPr fontId="4"/>
  </si>
  <si>
    <t>GSFD_CARD_LOG_DATA_HOUSE4</t>
    <phoneticPr fontId="4"/>
  </si>
  <si>
    <t>ハウスカードデータ4</t>
    <phoneticPr fontId="4"/>
  </si>
  <si>
    <t>GSFD_CARD_LOG_DATA_HOUSE5</t>
    <phoneticPr fontId="4"/>
  </si>
  <si>
    <t>ハウスカードデータ5</t>
    <phoneticPr fontId="4"/>
  </si>
  <si>
    <t>GSFD_CARD_LOG_DATA_TOM</t>
    <phoneticPr fontId="4"/>
  </si>
  <si>
    <t>友の会カードデータ1</t>
    <rPh sb="0" eb="1">
      <t>トモ</t>
    </rPh>
    <rPh sb="2" eb="3">
      <t>カイ</t>
    </rPh>
    <phoneticPr fontId="4"/>
  </si>
  <si>
    <t>GSFD_CARD_LOG_DATA_TOM2</t>
    <phoneticPr fontId="4"/>
  </si>
  <si>
    <t>友の会カードデータ2</t>
    <rPh sb="0" eb="1">
      <t>トモ</t>
    </rPh>
    <rPh sb="2" eb="3">
      <t>カイ</t>
    </rPh>
    <phoneticPr fontId="4"/>
  </si>
  <si>
    <t>GSFD_CARD_LOG_DATA_TOM3</t>
    <phoneticPr fontId="4"/>
  </si>
  <si>
    <t>友の会カードデータ3</t>
    <rPh sb="0" eb="1">
      <t>トモ</t>
    </rPh>
    <rPh sb="2" eb="3">
      <t>カイ</t>
    </rPh>
    <phoneticPr fontId="4"/>
  </si>
  <si>
    <t>GSFD_CARD_LOG_DATA_TOM4</t>
    <phoneticPr fontId="4"/>
  </si>
  <si>
    <t>友の会カードデータ4</t>
    <rPh sb="0" eb="1">
      <t>トモ</t>
    </rPh>
    <rPh sb="2" eb="3">
      <t>カイ</t>
    </rPh>
    <phoneticPr fontId="4"/>
  </si>
  <si>
    <t>GSFD_CARD_LOG_DATA_TOM5</t>
    <phoneticPr fontId="4"/>
  </si>
  <si>
    <t>友の会カードデータ5</t>
    <rPh sb="0" eb="1">
      <t>トモ</t>
    </rPh>
    <rPh sb="2" eb="3">
      <t>カイ</t>
    </rPh>
    <phoneticPr fontId="4"/>
  </si>
  <si>
    <t>GSFD_RANKUP_AMT</t>
    <phoneticPr fontId="4"/>
  </si>
  <si>
    <t>ランクアップ金額</t>
    <rPh sb="6" eb="8">
      <t>キンガク</t>
    </rPh>
    <phoneticPr fontId="4"/>
  </si>
  <si>
    <t>GSFD_PAID_CODE</t>
    <phoneticPr fontId="4"/>
  </si>
  <si>
    <t>Paid</t>
    <phoneticPr fontId="4"/>
  </si>
  <si>
    <t>varchar(9)</t>
    <phoneticPr fontId="4"/>
  </si>
  <si>
    <t>GSFD_OVER_FLOW_COIN</t>
    <phoneticPr fontId="4"/>
  </si>
  <si>
    <t xml:space="preserve">あふれ金
</t>
    <rPh sb="3" eb="4">
      <t>キン</t>
    </rPh>
    <phoneticPr fontId="4"/>
  </si>
  <si>
    <t>GSFD_POINTCARD_TYPE</t>
    <phoneticPr fontId="4"/>
  </si>
  <si>
    <t>ポイントカード種別</t>
    <rPh sb="7" eb="9">
      <t>シュベツ</t>
    </rPh>
    <phoneticPr fontId="4"/>
  </si>
  <si>
    <t>ポイントカード①：1、ポイントカード②：2、ポイントカード③：3、
ポイントカード④：4、ポイントカード⑤：5、ポイントカード⑥：6</t>
    <phoneticPr fontId="4"/>
  </si>
  <si>
    <t>GSFD_SERVER_STATE</t>
    <phoneticPr fontId="4"/>
  </si>
  <si>
    <t>サーバ状態フラグ</t>
    <rPh sb="3" eb="5">
      <t>ジョウタイ</t>
    </rPh>
    <phoneticPr fontId="4"/>
  </si>
  <si>
    <t>0：正常、1：ポイントサーバ異常状態</t>
    <rPh sb="2" eb="4">
      <t>セイジョウ</t>
    </rPh>
    <rPh sb="14" eb="16">
      <t>イジョウ</t>
    </rPh>
    <rPh sb="16" eb="18">
      <t>ジョウタイ</t>
    </rPh>
    <phoneticPr fontId="4"/>
  </si>
  <si>
    <t>GSFD_POINT_CUSTOMER</t>
    <phoneticPr fontId="4"/>
  </si>
  <si>
    <t>ポイント顧客</t>
    <rPh sb="4" eb="6">
      <t>コキャク</t>
    </rPh>
    <phoneticPr fontId="4"/>
  </si>
  <si>
    <t>varchar(16)</t>
    <phoneticPr fontId="4"/>
  </si>
  <si>
    <t>GSFD_POINT_UPDATE</t>
    <phoneticPr fontId="4"/>
  </si>
  <si>
    <t>ポイント更新フラグ</t>
    <rPh sb="4" eb="6">
      <t>コウシン</t>
    </rPh>
    <phoneticPr fontId="4"/>
  </si>
  <si>
    <t>0：ポイント更新エラー、1：ポイント更新済</t>
    <rPh sb="6" eb="8">
      <t>コウシン</t>
    </rPh>
    <rPh sb="18" eb="20">
      <t>コウシン</t>
    </rPh>
    <rPh sb="20" eb="21">
      <t>ズ</t>
    </rPh>
    <phoneticPr fontId="4"/>
  </si>
  <si>
    <t>GSFD_CUST_RANK2</t>
    <phoneticPr fontId="4"/>
  </si>
  <si>
    <t>顧客ランク２</t>
    <rPh sb="0" eb="2">
      <t>コキャク</t>
    </rPh>
    <phoneticPr fontId="4"/>
  </si>
  <si>
    <t>varchar(2)</t>
    <phoneticPr fontId="4"/>
  </si>
  <si>
    <t>GSFD_CARD_DATA2</t>
    <phoneticPr fontId="4"/>
  </si>
  <si>
    <t>顧客JISⅠカードデータ</t>
    <rPh sb="0" eb="2">
      <t>コキャク</t>
    </rPh>
    <phoneticPr fontId="4"/>
  </si>
  <si>
    <t>varchar(37)</t>
    <phoneticPr fontId="4"/>
  </si>
  <si>
    <t>GSFD_CUST_INPUT_DEV</t>
    <phoneticPr fontId="4"/>
  </si>
  <si>
    <t>顧客カード入力識別</t>
    <rPh sb="0" eb="2">
      <t>コキャク</t>
    </rPh>
    <rPh sb="5" eb="7">
      <t>ニュウリョク</t>
    </rPh>
    <rPh sb="7" eb="9">
      <t>シキベツ</t>
    </rPh>
    <phoneticPr fontId="4"/>
  </si>
  <si>
    <t>0：手入力、1：JISⅠ、2：JISⅡ、3：JISⅠ/JISⅡ両方</t>
    <rPh sb="2" eb="3">
      <t>テ</t>
    </rPh>
    <rPh sb="3" eb="5">
      <t>ニュウリョク</t>
    </rPh>
    <rPh sb="31" eb="33">
      <t>リョウホウ</t>
    </rPh>
    <phoneticPr fontId="4"/>
  </si>
  <si>
    <t>GSFD_PNT_CALC_DATA</t>
    <phoneticPr fontId="4"/>
  </si>
  <si>
    <t>ポイント計算情報</t>
    <rPh sb="4" eb="6">
      <t>ケイサン</t>
    </rPh>
    <rPh sb="6" eb="8">
      <t>ジョウホウ</t>
    </rPh>
    <phoneticPr fontId="4"/>
  </si>
  <si>
    <t>varchar(255)</t>
    <phoneticPr fontId="4"/>
  </si>
  <si>
    <t>カンマ区切りで設定
基準額,段階倍率１(金額|倍率),段階倍率２(金額|倍率),段階倍率３(金額|倍率),段階倍率４(金額|倍率),段階倍率５(金額|倍率),スケジュール倍率,会員ランク別倍率,シニア倍率</t>
    <rPh sb="3" eb="5">
      <t>クギ</t>
    </rPh>
    <rPh sb="7" eb="9">
      <t>セッテイ</t>
    </rPh>
    <rPh sb="10" eb="12">
      <t>キジュン</t>
    </rPh>
    <rPh sb="12" eb="13">
      <t>ガク</t>
    </rPh>
    <rPh sb="14" eb="16">
      <t>ダンカイ</t>
    </rPh>
    <rPh sb="16" eb="18">
      <t>バイリツ</t>
    </rPh>
    <rPh sb="20" eb="22">
      <t>キンガク</t>
    </rPh>
    <rPh sb="23" eb="25">
      <t>バイリツ</t>
    </rPh>
    <rPh sb="85" eb="87">
      <t>バイリツ</t>
    </rPh>
    <rPh sb="88" eb="90">
      <t>カイイン</t>
    </rPh>
    <rPh sb="93" eb="94">
      <t>ベツ</t>
    </rPh>
    <rPh sb="94" eb="96">
      <t>バイリツ</t>
    </rPh>
    <rPh sb="100" eb="102">
      <t>バイリツ</t>
    </rPh>
    <phoneticPr fontId="4"/>
  </si>
  <si>
    <t>GSFD_NO_POINT</t>
    <phoneticPr fontId="4"/>
  </si>
  <si>
    <t>ポイント付与抑止フラグ</t>
    <rPh sb="4" eb="6">
      <t>フヨ</t>
    </rPh>
    <rPh sb="6" eb="8">
      <t>ヨクシ</t>
    </rPh>
    <phoneticPr fontId="4"/>
  </si>
  <si>
    <t>GSFD_SORT_OUT</t>
    <phoneticPr fontId="4"/>
  </si>
  <si>
    <t>打ち替え取引フラグ</t>
    <rPh sb="0" eb="1">
      <t>ウ</t>
    </rPh>
    <rPh sb="2" eb="3">
      <t>カ</t>
    </rPh>
    <rPh sb="4" eb="6">
      <t>トリヒキ</t>
    </rPh>
    <phoneticPr fontId="4"/>
  </si>
  <si>
    <t>0：通常取引、1：打ち替え取引</t>
    <rPh sb="2" eb="4">
      <t>ツウジョウ</t>
    </rPh>
    <rPh sb="4" eb="6">
      <t>トリヒキ</t>
    </rPh>
    <rPh sb="9" eb="10">
      <t>ウ</t>
    </rPh>
    <rPh sb="11" eb="12">
      <t>カ</t>
    </rPh>
    <rPh sb="13" eb="15">
      <t>トリヒキ</t>
    </rPh>
    <phoneticPr fontId="4"/>
  </si>
  <si>
    <t>GSFD_UCST_POINT_INQ_DATA</t>
    <phoneticPr fontId="4"/>
  </si>
  <si>
    <t>JPポイント情報</t>
    <rPh sb="6" eb="8">
      <t>ジョウホウ</t>
    </rPh>
    <phoneticPr fontId="4"/>
  </si>
  <si>
    <t>varchar(768)</t>
    <phoneticPr fontId="4"/>
  </si>
  <si>
    <t>GSFD_POINT_NONTARGET</t>
    <phoneticPr fontId="4"/>
  </si>
  <si>
    <t>ポイント除外金額</t>
    <rPh sb="4" eb="6">
      <t>ジョガイ</t>
    </rPh>
    <rPh sb="6" eb="8">
      <t>キンガク</t>
    </rPh>
    <phoneticPr fontId="4"/>
  </si>
  <si>
    <t>GSFD_JREPOINT_NO</t>
    <phoneticPr fontId="4"/>
  </si>
  <si>
    <t>JREポイント</t>
    <phoneticPr fontId="4"/>
  </si>
  <si>
    <t>varchar(20)</t>
    <phoneticPr fontId="4"/>
  </si>
  <si>
    <t>GSFD_VOID_DATETIME</t>
    <phoneticPr fontId="4"/>
  </si>
  <si>
    <t>元取引日時</t>
    <rPh sb="0" eb="1">
      <t>モト</t>
    </rPh>
    <rPh sb="1" eb="3">
      <t>トリヒキ</t>
    </rPh>
    <rPh sb="3" eb="5">
      <t>ニチジ</t>
    </rPh>
    <phoneticPr fontId="4"/>
  </si>
  <si>
    <t>varchar(14)</t>
    <phoneticPr fontId="4"/>
  </si>
  <si>
    <t>GSFD_POINTDATA_DM</t>
    <phoneticPr fontId="4"/>
  </si>
  <si>
    <t>ポイント情報 - 企業情報(ポイント更新時)</t>
  </si>
  <si>
    <t>ポイント付与利用キャンセルAPI、オフラインポイントデータに必要な項目をカンマ区切りで設定する。</t>
    <phoneticPr fontId="4"/>
  </si>
  <si>
    <t>GSFD_POINTDATA_DM2</t>
    <phoneticPr fontId="4"/>
  </si>
  <si>
    <t>ポイント情報 - 企業情報(ポイント利用時)</t>
  </si>
  <si>
    <t>GSFD_POINTDATA_DM3</t>
  </si>
  <si>
    <t>ポイント情報 - 企業情報(更新キャンセル)</t>
  </si>
  <si>
    <t>オフラインポイントデータに必要な項目をカンマ区切りで設定する。</t>
    <phoneticPr fontId="4"/>
  </si>
  <si>
    <t>GSFD_POINTDATA_DM4</t>
  </si>
  <si>
    <t>ポイント情報 - 企業情報(利用キャンセル)</t>
  </si>
  <si>
    <t>GSFD_ORG_POINTDATA_DM3</t>
    <phoneticPr fontId="4"/>
  </si>
  <si>
    <t>ポイント情報 - 企業情報(元取引）(ポイント更新時）</t>
  </si>
  <si>
    <t>GSFD_ORG_POINTDATA_DM4</t>
    <phoneticPr fontId="4"/>
  </si>
  <si>
    <t>ポイント情報 - 企業情報(元取引）(ポイント利用時）</t>
  </si>
  <si>
    <t>GSFD_POINTAMOUNT_DM</t>
    <phoneticPr fontId="4"/>
  </si>
  <si>
    <t>ポイント情報 - 金額系</t>
  </si>
  <si>
    <t>GSFD_POINT_FLG_DM</t>
    <phoneticPr fontId="4"/>
  </si>
  <si>
    <t>ポイント情報 - フラグ系</t>
  </si>
  <si>
    <t>GSFD_HOUSE_CARD_AMT</t>
    <phoneticPr fontId="4"/>
  </si>
  <si>
    <t>ハウス電子マネー支払金額</t>
    <rPh sb="3" eb="5">
      <t>デンシ</t>
    </rPh>
    <rPh sb="8" eb="10">
      <t>シハライ</t>
    </rPh>
    <rPh sb="10" eb="12">
      <t>キンガク</t>
    </rPh>
    <phoneticPr fontId="4"/>
  </si>
  <si>
    <t>GSFD_CARD_FORGET_FLG</t>
    <phoneticPr fontId="4"/>
  </si>
  <si>
    <t>カード忘れフラグ</t>
    <rPh sb="3" eb="4">
      <t>ワス</t>
    </rPh>
    <phoneticPr fontId="4"/>
  </si>
  <si>
    <t>GSFD_FSP_CPN_ENTRY_PNT</t>
    <phoneticPr fontId="4"/>
  </si>
  <si>
    <t>FSPポイントクーポン読取ポイント数</t>
    <rPh sb="11" eb="13">
      <t>ヨミトリ</t>
    </rPh>
    <rPh sb="17" eb="18">
      <t>スウ</t>
    </rPh>
    <phoneticPr fontId="4"/>
  </si>
  <si>
    <t>設定不要(固定値)
設定値：""(空)</t>
  </si>
  <si>
    <t>GSFD_FSP_UPDATE</t>
    <phoneticPr fontId="4"/>
  </si>
  <si>
    <t>FSP更新フラグ</t>
    <rPh sb="3" eb="5">
      <t>コウシン</t>
    </rPh>
    <phoneticPr fontId="4"/>
  </si>
  <si>
    <t>GSFD_FSP_EMP_OFFERID</t>
    <phoneticPr fontId="4"/>
  </si>
  <si>
    <t>FSPオファーID</t>
    <phoneticPr fontId="4"/>
  </si>
  <si>
    <t>GSFD_QP_TIMEOUT_ERROR_EXIST</t>
    <phoneticPr fontId="4"/>
  </si>
  <si>
    <t>QUICPay処理未了回数</t>
    <rPh sb="7" eb="11">
      <t>ショリミリョウ</t>
    </rPh>
    <rPh sb="11" eb="13">
      <t>カイスウ</t>
    </rPh>
    <phoneticPr fontId="4"/>
  </si>
  <si>
    <t>GSFD_QP_TIMEOUT_ERROR_AMT</t>
    <phoneticPr fontId="4"/>
  </si>
  <si>
    <t>QUICPay処理未了金額</t>
    <rPh sb="7" eb="11">
      <t>ショリミリョウ</t>
    </rPh>
    <rPh sb="11" eb="13">
      <t>キンガク</t>
    </rPh>
    <phoneticPr fontId="4"/>
  </si>
  <si>
    <t>GSFD_FSP_CPN_ENTRY_CNT</t>
    <phoneticPr fontId="4"/>
  </si>
  <si>
    <t>クーポンポイント回数</t>
    <rPh sb="8" eb="10">
      <t>カイスウ</t>
    </rPh>
    <phoneticPr fontId="4"/>
  </si>
  <si>
    <t>GSFD_TENDER_PRO_RATE_AMT</t>
    <phoneticPr fontId="4"/>
  </si>
  <si>
    <t>収益認識会計基準金額</t>
    <rPh sb="0" eb="4">
      <t>シュウエキニンシキ</t>
    </rPh>
    <rPh sb="4" eb="8">
      <t>カイケイキジュン</t>
    </rPh>
    <rPh sb="8" eb="10">
      <t>キンガク</t>
    </rPh>
    <phoneticPr fontId="4"/>
  </si>
  <si>
    <t>GSFD_FSP_CPN_LIST</t>
    <phoneticPr fontId="4"/>
  </si>
  <si>
    <t>登録済みFSPポイントクーポンリスト1段</t>
    <rPh sb="0" eb="3">
      <t>トウロクズ</t>
    </rPh>
    <rPh sb="19" eb="20">
      <t>ダン</t>
    </rPh>
    <phoneticPr fontId="4"/>
  </si>
  <si>
    <t>GSFD_FSP_CPN_LIST3</t>
    <phoneticPr fontId="4"/>
  </si>
  <si>
    <t>登録済みFSPポイントクーポンリスト3段</t>
    <rPh sb="0" eb="3">
      <t>トウロクズ</t>
    </rPh>
    <rPh sb="19" eb="20">
      <t>ダン</t>
    </rPh>
    <phoneticPr fontId="4"/>
  </si>
  <si>
    <t>GSFD_PI_CPN_CODE</t>
    <phoneticPr fontId="4"/>
  </si>
  <si>
    <t>ポイントクーポンバーコード</t>
    <phoneticPr fontId="4"/>
  </si>
  <si>
    <t>GSFD_PNT_LOG_RAKUTEN</t>
    <phoneticPr fontId="4"/>
  </si>
  <si>
    <t>楽天ポイント情報</t>
    <rPh sb="0" eb="2">
      <t>ラクテン</t>
    </rPh>
    <rPh sb="6" eb="8">
      <t>ジョウホウ</t>
    </rPh>
    <phoneticPr fontId="4"/>
  </si>
  <si>
    <t>GSFD_PNT_LOG_CMPN_RAKUTEN</t>
    <phoneticPr fontId="4"/>
  </si>
  <si>
    <t>楽天ポイントキャンペーン情報</t>
    <rPh sb="0" eb="2">
      <t>ラクテン</t>
    </rPh>
    <rPh sb="12" eb="14">
      <t>ジョウホウ</t>
    </rPh>
    <phoneticPr fontId="4"/>
  </si>
  <si>
    <t>GSFD_RETURN_TRANDATE</t>
    <phoneticPr fontId="4"/>
  </si>
  <si>
    <t>元取引日付</t>
    <rPh sb="0" eb="5">
      <t>モトトリヒキヒヅケ</t>
    </rPh>
    <phoneticPr fontId="4"/>
  </si>
  <si>
    <t>GSFD_DISC_TND_LOG</t>
    <phoneticPr fontId="4"/>
  </si>
  <si>
    <t>値引扱い現外減算後の税情報</t>
    <rPh sb="0" eb="3">
      <t>ネビキアツカ</t>
    </rPh>
    <rPh sb="4" eb="6">
      <t>ゲンソト</t>
    </rPh>
    <rPh sb="6" eb="9">
      <t>ゲンザンゴ</t>
    </rPh>
    <rPh sb="10" eb="13">
      <t>ゼイジョウホウ</t>
    </rPh>
    <phoneticPr fontId="4"/>
  </si>
  <si>
    <t>GSFD_ING_POINT99</t>
    <phoneticPr fontId="4"/>
  </si>
  <si>
    <t>GSFD_INGポイント数99</t>
    <rPh sb="12" eb="13">
      <t>スウ</t>
    </rPh>
    <phoneticPr fontId="4"/>
  </si>
  <si>
    <t>Satisfaの応答値を使用。
今回付与ポイント合計</t>
    <phoneticPr fontId="4"/>
  </si>
  <si>
    <t>設定値：0</t>
    <phoneticPr fontId="4"/>
  </si>
  <si>
    <t>設定値：今回付与ポイント合計</t>
    <phoneticPr fontId="4"/>
  </si>
  <si>
    <t>TSMでは下記を設定
GetCustomerByNumberASY呼び出しで連携。
今回付与ポイント合計&lt;POINT_QT&gt;</t>
    <rPh sb="5" eb="7">
      <t>カキ</t>
    </rPh>
    <rPh sb="8" eb="10">
      <t>セッテイ</t>
    </rPh>
    <phoneticPr fontId="4"/>
  </si>
  <si>
    <t>GSFD_CATALINA_POINT</t>
    <phoneticPr fontId="4"/>
  </si>
  <si>
    <t>カタリナポイント</t>
    <phoneticPr fontId="4"/>
  </si>
  <si>
    <t xml:space="preserve">Satisfaの応答値を使用。
カタリナクーポンポイント               </t>
    <phoneticPr fontId="4"/>
  </si>
  <si>
    <t>TSMでは下記を設定
GetCustomerByNumberASY呼び出しで連携。
カタリナクーポンポイント  &lt;CATALINA_QT&gt;</t>
    <rPh sb="5" eb="7">
      <t>カキ</t>
    </rPh>
    <rPh sb="8" eb="10">
      <t>セッテイ</t>
    </rPh>
    <phoneticPr fontId="4"/>
  </si>
  <si>
    <t>*1.1,1.9</t>
    <phoneticPr fontId="4"/>
  </si>
  <si>
    <t>GSFD_YEAR_TOTAL_POINT</t>
    <phoneticPr fontId="4"/>
  </si>
  <si>
    <t>累積ポイント</t>
    <phoneticPr fontId="4"/>
  </si>
  <si>
    <t xml:space="preserve">Satisfaの応答値を使用。
累積ポイント                         </t>
    <phoneticPr fontId="4"/>
  </si>
  <si>
    <t xml:space="preserve">設定値：累積ポイント                         </t>
    <phoneticPr fontId="4"/>
  </si>
  <si>
    <t>TSMでは下記を設定
GetCustomerByNumberASY呼び出しで連携。
残高ポイント1&lt;POINT_QT1&gt;</t>
    <rPh sb="5" eb="7">
      <t>カキ</t>
    </rPh>
    <rPh sb="8" eb="10">
      <t>セッテイ</t>
    </rPh>
    <phoneticPr fontId="4"/>
  </si>
  <si>
    <t>GSFD_YEAR_TOTAL_AMOUNT</t>
    <phoneticPr fontId="4"/>
  </si>
  <si>
    <t>累積金額</t>
    <phoneticPr fontId="4"/>
  </si>
  <si>
    <t xml:space="preserve">Satisfaの応答値を使用。
累積金額                    </t>
    <phoneticPr fontId="4"/>
  </si>
  <si>
    <t xml:space="preserve">設定値：累積金額                         </t>
    <phoneticPr fontId="4"/>
  </si>
  <si>
    <t>TSMでは下記を設定
GetCustomerByNumberASY呼び出しで連携。
累計買上金額&lt;PKAIKIN_VAL&gt;</t>
    <rPh sb="5" eb="7">
      <t>カキ</t>
    </rPh>
    <rPh sb="8" eb="10">
      <t>セッテイ</t>
    </rPh>
    <phoneticPr fontId="4"/>
  </si>
  <si>
    <t>GSFD_MOBAILEPAY_TRA_ID</t>
    <phoneticPr fontId="4"/>
  </si>
  <si>
    <t>コード決済の取引ID</t>
    <rPh sb="3" eb="5">
      <t>ケッサイ</t>
    </rPh>
    <phoneticPr fontId="4"/>
  </si>
  <si>
    <r>
      <t>設定値：店番号(4桁) + POS番号(4桁) + システム日付(8桁) + 取引通番(4桁) + 取引内通番(</t>
    </r>
    <r>
      <rPr>
        <sz val="9"/>
        <color rgb="FFFF0000"/>
        <rFont val="ＭＳ Ｐゴシック"/>
        <family val="3"/>
        <charset val="128"/>
      </rPr>
      <t>2桁</t>
    </r>
    <r>
      <rPr>
        <sz val="9"/>
        <rFont val="ＭＳ Ｐゴシック"/>
        <family val="3"/>
        <charset val="128"/>
      </rPr>
      <t>)</t>
    </r>
    <rPh sb="5" eb="7">
      <t>バンゴウ</t>
    </rPh>
    <rPh sb="57" eb="58">
      <t>ケタ</t>
    </rPh>
    <phoneticPr fontId="4"/>
  </si>
  <si>
    <t>*1.7</t>
    <phoneticPr fontId="4"/>
  </si>
  <si>
    <t>GSFD_AGE_CONFIRM_ING</t>
    <phoneticPr fontId="4"/>
  </si>
  <si>
    <t>年齢確認</t>
    <rPh sb="0" eb="2">
      <t>ネンレイ</t>
    </rPh>
    <rPh sb="2" eb="4">
      <t>カクニン</t>
    </rPh>
    <phoneticPr fontId="4"/>
  </si>
  <si>
    <t xml:space="preserve">設定値：ポップアップの「販売許可」押下時は「1」、それ以外は「0」                  </t>
    <rPh sb="27" eb="29">
      <t>イガイ</t>
    </rPh>
    <phoneticPr fontId="4"/>
  </si>
  <si>
    <t>GSFD_AGE_CONFIRM</t>
    <phoneticPr fontId="4"/>
  </si>
  <si>
    <t>年齢確認の年齢</t>
    <rPh sb="0" eb="2">
      <t>ネンレイ</t>
    </rPh>
    <rPh sb="2" eb="4">
      <t>カクニン</t>
    </rPh>
    <rPh sb="5" eb="7">
      <t>ネンレイ</t>
    </rPh>
    <phoneticPr fontId="4"/>
  </si>
  <si>
    <t xml:space="preserve">設定値：ポップアップの「販売許可」押下時は「26」を設定、年齢手入力 の時は入力した値を設定。それ以外は""(空)を設定       </t>
    <rPh sb="26" eb="28">
      <t>セッテイ</t>
    </rPh>
    <rPh sb="29" eb="31">
      <t>ネンレイ</t>
    </rPh>
    <rPh sb="31" eb="32">
      <t>テ</t>
    </rPh>
    <rPh sb="32" eb="34">
      <t>ニュウリョク</t>
    </rPh>
    <rPh sb="36" eb="37">
      <t>トキ</t>
    </rPh>
    <rPh sb="38" eb="40">
      <t>ニュウリョク</t>
    </rPh>
    <rPh sb="42" eb="43">
      <t>アタイ</t>
    </rPh>
    <rPh sb="44" eb="46">
      <t>セッテイ</t>
    </rPh>
    <rPh sb="49" eb="51">
      <t>イガイ</t>
    </rPh>
    <rPh sb="55" eb="56">
      <t>ソラ</t>
    </rPh>
    <rPh sb="58" eb="60">
      <t>セッテイ</t>
    </rPh>
    <phoneticPr fontId="4"/>
  </si>
  <si>
    <t>対象テーブル：LN_LINK
形式：TSV</t>
    <rPh sb="0" eb="2">
      <t>タイショウ</t>
    </rPh>
    <phoneticPr fontId="4"/>
  </si>
  <si>
    <t>ignicaPOS・Scan&amp;Go設定値</t>
    <rPh sb="17" eb="19">
      <t>セッテイ</t>
    </rPh>
    <rPh sb="19" eb="20">
      <t>アタイ</t>
    </rPh>
    <phoneticPr fontId="4"/>
  </si>
  <si>
    <t>売上</t>
    <rPh sb="0" eb="2">
      <t>ウリアゲ</t>
    </rPh>
    <phoneticPr fontId="4"/>
  </si>
  <si>
    <t>売上中止</t>
    <rPh sb="0" eb="2">
      <t>ウリアゲ</t>
    </rPh>
    <rPh sb="2" eb="4">
      <t>チュウシ</t>
    </rPh>
    <phoneticPr fontId="4"/>
  </si>
  <si>
    <t>取引の明細レベルに割当てられるライン番号</t>
    <rPh sb="0" eb="2">
      <t>トリヒキ</t>
    </rPh>
    <rPh sb="3" eb="5">
      <t>メイサイ</t>
    </rPh>
    <rPh sb="18" eb="20">
      <t>バンゴウ</t>
    </rPh>
    <phoneticPr fontId="4"/>
  </si>
  <si>
    <t>設定値：
リンク元となるLN_DETAILのTRAN_LN_NBR</t>
    <rPh sb="8" eb="9">
      <t>モト</t>
    </rPh>
    <phoneticPr fontId="4"/>
  </si>
  <si>
    <t>設定値：
リンク元となるLN_DETAILのTRAN_LN_NBR</t>
    <phoneticPr fontId="4"/>
  </si>
  <si>
    <t>取引内通番とリンクする内部管理番号（リンク先のTRAN_LN_NBRとなる）</t>
    <phoneticPr fontId="4"/>
  </si>
  <si>
    <r>
      <t xml:space="preserve">設定値：
</t>
    </r>
    <r>
      <rPr>
        <sz val="9"/>
        <color rgb="FFFF0000"/>
        <rFont val="ＭＳ Ｐゴシック"/>
        <family val="3"/>
        <charset val="128"/>
      </rPr>
      <t xml:space="preserve">リンク先となる下記テーブルのTRAN_LN_NBR
</t>
    </r>
    <r>
      <rPr>
        <sz val="9"/>
        <rFont val="ＭＳ Ｐゴシック"/>
        <family val="3"/>
        <charset val="128"/>
      </rPr>
      <t xml:space="preserve">・LN_DISCOUNT
・TRANSACTION_TAX
</t>
    </r>
    <rPh sb="8" eb="9">
      <t>サキ</t>
    </rPh>
    <rPh sb="12" eb="14">
      <t>カキ</t>
    </rPh>
    <phoneticPr fontId="4"/>
  </si>
  <si>
    <t>リンクタイプ</t>
    <phoneticPr fontId="4"/>
  </si>
  <si>
    <r>
      <rPr>
        <sz val="9"/>
        <color rgb="FF000000"/>
        <rFont val="ＭＳ Ｐゴシック"/>
        <family val="3"/>
        <charset val="128"/>
      </rPr>
      <t>リンクのタイプまたは理由(税金、ディスカウントなど)
 1：値引、 3：税、5：税(税率変更)、6：訂正済み現外支払、</t>
    </r>
    <r>
      <rPr>
        <sz val="9"/>
        <color rgb="FFFF0000"/>
        <rFont val="ＭＳ Ｐゴシック"/>
        <family val="3"/>
        <charset val="128"/>
      </rPr>
      <t xml:space="preserve">9：内税額、10：内税商品額(税抜き)
</t>
    </r>
  </si>
  <si>
    <t>設定値：リンクのタイプまたは理由(税金、ディスカウントなど)</t>
    <phoneticPr fontId="4"/>
  </si>
  <si>
    <t>他の情報から、リンクテーブルを作成</t>
    <rPh sb="0" eb="1">
      <t>ホカ</t>
    </rPh>
    <rPh sb="2" eb="4">
      <t>ジョウホウ</t>
    </rPh>
    <rPh sb="15" eb="17">
      <t>サクセイ</t>
    </rPh>
    <phoneticPr fontId="4"/>
  </si>
  <si>
    <r>
      <rPr>
        <sz val="9"/>
        <color rgb="FF000000"/>
        <rFont val="ＭＳ Ｐゴシック"/>
        <family val="3"/>
        <charset val="128"/>
      </rPr>
      <t xml:space="preserve">このアイテムだけに適用される取引ディスカウントの金額等。
リンク先の金額。通番取消の場合、"0"が入る。値引の場合、値引額×数量の金額が入る。また、取引に対する値引（取引売価変更、小計値引等）が行われた場合は按分価格となる。
</t>
    </r>
    <r>
      <rPr>
        <sz val="9"/>
        <color rgb="FFFF0000"/>
        <rFont val="ＭＳ Ｐゴシック"/>
        <family val="3"/>
        <charset val="128"/>
      </rPr>
      <t>リンクタイプ=1：値引
　値引額の明細按分額
リンクタイプ=9：内税
　内税額の明細按分額
リンクタイプ=10：内税商品額(税抜き)
　内税商品額(税抜き)の明細按分額
※リンクタイプが1:値引の場合でも、特売・タイムサービス・マークダウンの場合は0を設定</t>
    </r>
  </si>
  <si>
    <r>
      <rPr>
        <sz val="9"/>
        <color rgb="FF000000"/>
        <rFont val="ＭＳ Ｐゴシック"/>
        <family val="3"/>
        <charset val="128"/>
      </rPr>
      <t xml:space="preserve">　　　　　　　　　　設定値：
</t>
    </r>
    <r>
      <rPr>
        <sz val="9"/>
        <color rgb="FFFF0000"/>
        <rFont val="ＭＳ Ｐゴシック"/>
        <family val="3"/>
        <charset val="128"/>
      </rPr>
      <t>リンクタイプ=1：値引
　値引額の明細按分額
リンクタイプ=9：内税
　内税額の明細按分額
リンクタイプ=10：内税商品額(税抜き)
　内税商品額(税抜き)の明細按分額</t>
    </r>
  </si>
  <si>
    <r>
      <t xml:space="preserve">　　　　　　　　　　設定値：
</t>
    </r>
    <r>
      <rPr>
        <sz val="9"/>
        <color rgb="FFFF0000"/>
        <rFont val="ＭＳ Ｐゴシック"/>
        <family val="3"/>
        <charset val="128"/>
      </rPr>
      <t>リンクタイプ=1：値引
　値引額の明細按分額
リンクタイプ=9：内税
　内税額の明細按分額
リンクタイプ=10：内税商品額(税抜き)
　内税商品額(税抜き)の明細按分額</t>
    </r>
    <phoneticPr fontId="4"/>
  </si>
  <si>
    <t>*1.5,1.8</t>
    <phoneticPr fontId="4"/>
  </si>
  <si>
    <t xml:space="preserve">設定値：店舗番号×10000
</t>
    <phoneticPr fontId="4"/>
  </si>
  <si>
    <t>リンクの数</t>
  </si>
  <si>
    <r>
      <t xml:space="preserve">LinkTypeが1:値引の場合に数量を設定。
</t>
    </r>
    <r>
      <rPr>
        <sz val="9"/>
        <color rgb="FFFF0000"/>
        <rFont val="ＭＳ Ｐゴシック"/>
        <family val="3"/>
        <charset val="128"/>
      </rPr>
      <t>※LinkTypeが1:値引の場合でも、特売・タイムサービス・マークダウンの場合は0を設定</t>
    </r>
    <rPh sb="11" eb="13">
      <t>ネビキ</t>
    </rPh>
    <rPh sb="14" eb="16">
      <t>バアイ</t>
    </rPh>
    <rPh sb="18" eb="19">
      <t>リョウ</t>
    </rPh>
    <rPh sb="20" eb="22">
      <t>セッテイ</t>
    </rPh>
    <phoneticPr fontId="4"/>
  </si>
  <si>
    <t>設定値：LinkTypeが1:値引の場合に数量を設定。</t>
    <phoneticPr fontId="4"/>
  </si>
  <si>
    <t>*1.8</t>
    <phoneticPr fontId="4"/>
  </si>
  <si>
    <t>対象テーブル：LN_DETAIL
形式：TSV</t>
    <rPh sb="0" eb="2">
      <t>タイショウ</t>
    </rPh>
    <phoneticPr fontId="4"/>
  </si>
  <si>
    <t>設定値：
1取引内の下記テーブルのレコードの同一カラム名に通し番号を振る(番号が重複しなければ順不同で構わない)
・LN_DETAIL
・LN_DISCOUNT
・TRANSACTION_TAX
・TRANSACTION_TENDER</t>
    <rPh sb="6" eb="8">
      <t>トリヒキ</t>
    </rPh>
    <rPh sb="8" eb="9">
      <t>ナイ</t>
    </rPh>
    <rPh sb="10" eb="12">
      <t>カキ</t>
    </rPh>
    <rPh sb="22" eb="24">
      <t>ドウイツ</t>
    </rPh>
    <rPh sb="27" eb="28">
      <t>メイ</t>
    </rPh>
    <rPh sb="29" eb="30">
      <t>トオ</t>
    </rPh>
    <rPh sb="31" eb="33">
      <t>バンゴウ</t>
    </rPh>
    <rPh sb="34" eb="35">
      <t>フ</t>
    </rPh>
    <rPh sb="37" eb="39">
      <t>バンゴウ</t>
    </rPh>
    <rPh sb="40" eb="42">
      <t>チョウフク</t>
    </rPh>
    <rPh sb="47" eb="50">
      <t>ジュンフドウ</t>
    </rPh>
    <rPh sb="51" eb="52">
      <t>カマ</t>
    </rPh>
    <phoneticPr fontId="4"/>
  </si>
  <si>
    <t xml:space="preserve"> 店舗番号</t>
    <phoneticPr fontId="4"/>
  </si>
  <si>
    <t>販売／返品によって計算される在庫の位置
注：在庫が他の店舗または配送センター／倉庫にある場合、LOC_IDは他方店舗のロケーションになります。</t>
    <rPh sb="3" eb="5">
      <t>ヘンピン</t>
    </rPh>
    <rPh sb="9" eb="11">
      <t>ケイサン</t>
    </rPh>
    <rPh sb="14" eb="16">
      <t>ザイコ</t>
    </rPh>
    <rPh sb="17" eb="19">
      <t>イチ</t>
    </rPh>
    <phoneticPr fontId="4"/>
  </si>
  <si>
    <t>1：SKU  
2：UPC-A  
3：部門コード  
4：EAN8、 JAN8 (NONPLU8)  
5：EAN13、JAN13(NONPLU13)     新/旧書籍、新/旧雑誌  
6：UPCE  
7：ISBN100：KeyPLU、ShortCode
100：キーPLU
101：UPC-E</t>
    <phoneticPr fontId="4"/>
  </si>
  <si>
    <t xml:space="preserve">商品マスタ連携ファイル
No.84 ＰＬＵタイプ
</t>
    <phoneticPr fontId="4"/>
  </si>
  <si>
    <t xml:space="preserve">設定値：商品マスタ連携ファイルから取得して設定
</t>
    <phoneticPr fontId="4"/>
  </si>
  <si>
    <t>PLU_ID</t>
    <phoneticPr fontId="4"/>
  </si>
  <si>
    <t>自社商品コード</t>
    <phoneticPr fontId="4"/>
  </si>
  <si>
    <t>販売または返品された商品を表すPLU ＩＤ</t>
    <phoneticPr fontId="4"/>
  </si>
  <si>
    <t xml:space="preserve">商品マスタ連携ファイル
No.2 自社商品コード
</t>
    <phoneticPr fontId="4"/>
  </si>
  <si>
    <t>スキャンコード</t>
    <phoneticPr fontId="4"/>
  </si>
  <si>
    <t>商品に付く数値の識別子で、通常はマシンで読取り可能なバーコードです。</t>
  </si>
  <si>
    <t xml:space="preserve">商品マスタ連携ファイル
No.83 スキャンコード
</t>
    <phoneticPr fontId="4"/>
  </si>
  <si>
    <t>0：売上部門1：売上除外部門2：非商品部門3：非商品売上除外部門
明細種別   各ビットは ’１’で有意とする。
 LSB  ビット０：売上除外
   ビット１：非商品
   ビット２：返ビン
   ビット３：販売制限フラグ （酒類販売など）
   ビット４：特売（本部指示）
   ビット５：特売（店舗指示）
   ビット６：マークダウン
   ビット７：値引バーコード
   ビット８：緊急登録
   ビット９：FSPクーポン値引バーコード
   ビット１０：値引除外
   ビット１１：販売停止
   ビット１２：販売証明書印刷指定
   ビット１３：確認メッセージ出力商品
   ビット１４：オフラインＰＬＵメンテフラグ（特売未反映フラグ）
 MSB  ビット１５：</t>
    <phoneticPr fontId="4"/>
  </si>
  <si>
    <t xml:space="preserve">商品マスタ連携ファイルの「No.8 商品／非商品識別コード」に対して、下記のビットを立てる(ORする)
・マークダウン(一般)が採用された場合
  ⇒ビット５：特売（店舗指示）＝32
    および、ビット６：マークダウン＝64
    ※32＋64＝96をORする
・タイムサービス(一般)、または、特売(一般)が採用された場合
  ⇒ビット４：特売（本部指示）＝16
  　または、ビット５：特売（店舗指示）＝32
※ビット４：特売（本部指示） or  ビット５：特売（店舗指示）の判別方法
　企画マスタ連携ファイルの「No.10 企画優先区分」を参照
　・企画優先区分=1(本部優先)の場合
  　⇒ビット４：特売（本部指示）＝16
　・企画優先区分=0(店舗優先)の場合
 　 ⇒ビット５：特売（店舗指示）＝32
※ビット１０：値引除外は、POS操作で値引除外した場合に立てるフラグのため、ignica連携ではフラグ立ては不要
</t>
    <rPh sb="42" eb="43">
      <t>タ</t>
    </rPh>
    <rPh sb="65" eb="67">
      <t>サイヨウ</t>
    </rPh>
    <rPh sb="70" eb="72">
      <t>バアイ</t>
    </rPh>
    <rPh sb="246" eb="248">
      <t>ハンベツ</t>
    </rPh>
    <rPh sb="248" eb="250">
      <t>ホウホウ</t>
    </rPh>
    <rPh sb="381" eb="383">
      <t>ソウサ</t>
    </rPh>
    <rPh sb="384" eb="386">
      <t>ネビキ</t>
    </rPh>
    <rPh sb="386" eb="388">
      <t>ジョガイ</t>
    </rPh>
    <rPh sb="390" eb="392">
      <t>バアイ</t>
    </rPh>
    <rPh sb="393" eb="394">
      <t>タ</t>
    </rPh>
    <rPh sb="409" eb="411">
      <t>レンケイ</t>
    </rPh>
    <rPh sb="416" eb="417">
      <t>タ</t>
    </rPh>
    <rPh sb="419" eb="421">
      <t>フヨウ</t>
    </rPh>
    <phoneticPr fontId="4"/>
  </si>
  <si>
    <t>設定値：取得元マスタ項目を参照</t>
    <rPh sb="13" eb="15">
      <t>サンショウ</t>
    </rPh>
    <phoneticPr fontId="4"/>
  </si>
  <si>
    <t>商品階層の最下層へのクロスリファレンス</t>
    <phoneticPr fontId="4"/>
  </si>
  <si>
    <t xml:space="preserve">商品マスタ連携ファイル
No.91 内部商品分類番号
</t>
    <phoneticPr fontId="4"/>
  </si>
  <si>
    <t>商品を販売または返品する、店舗の販売部門</t>
    <rPh sb="16" eb="18">
      <t>ハンバイ</t>
    </rPh>
    <phoneticPr fontId="4"/>
  </si>
  <si>
    <t>未使用領域の認識。</t>
    <rPh sb="0" eb="3">
      <t>ミシヨウ</t>
    </rPh>
    <rPh sb="3" eb="5">
      <t>リョウイキ</t>
    </rPh>
    <rPh sb="6" eb="8">
      <t>ニンシキ</t>
    </rPh>
    <phoneticPr fontId="4"/>
  </si>
  <si>
    <t>単一の明細情報内の、販売または返品された商品の合計数量</t>
    <rPh sb="25" eb="26">
      <t>スウ</t>
    </rPh>
    <phoneticPr fontId="4"/>
  </si>
  <si>
    <t>設定値：商品の数量</t>
    <phoneticPr fontId="4"/>
  </si>
  <si>
    <t>明細の数量を計測する単位</t>
    <rPh sb="6" eb="7">
      <t>ケイ</t>
    </rPh>
    <phoneticPr fontId="4"/>
  </si>
  <si>
    <t>合価を決定するために使用される値づけ方法</t>
    <rPh sb="0" eb="1">
      <t>ゴウ</t>
    </rPh>
    <rPh sb="1" eb="2">
      <t>カカク</t>
    </rPh>
    <rPh sb="15" eb="16">
      <t>ネダン</t>
    </rPh>
    <rPh sb="18" eb="20">
      <t>ホウホウ</t>
    </rPh>
    <phoneticPr fontId="4"/>
  </si>
  <si>
    <t>販売価格（特売の場合は特売価格、売価変更時は売価変更後の価格、その他の場合は「商品マスタ連携ファイル No.22 売価」）× 数量の金額を設定する。</t>
  </si>
  <si>
    <t xml:space="preserve">商品マスタ連携ファイル
No.22 売価　×　数量
</t>
    <rPh sb="23" eb="25">
      <t>スウリョウ</t>
    </rPh>
    <phoneticPr fontId="4"/>
  </si>
  <si>
    <t>設定値：明細情報に対して課される合計価格</t>
    <phoneticPr fontId="4"/>
  </si>
  <si>
    <t>合計原価。商品原価×数量の金額が入る。</t>
    <rPh sb="0" eb="2">
      <t>ゴウケイ</t>
    </rPh>
    <rPh sb="2" eb="4">
      <t>ゲンカ</t>
    </rPh>
    <rPh sb="5" eb="7">
      <t>ショウヒン</t>
    </rPh>
    <rPh sb="7" eb="9">
      <t>ゲンカ</t>
    </rPh>
    <rPh sb="10" eb="12">
      <t>スウリョウ</t>
    </rPh>
    <rPh sb="13" eb="15">
      <t>キンガク</t>
    </rPh>
    <rPh sb="16" eb="17">
      <t>ハイ</t>
    </rPh>
    <phoneticPr fontId="4"/>
  </si>
  <si>
    <t xml:space="preserve">商品マスタ連携ファイル
No.23 単位原価
No.26 原価率フラグ
</t>
    <phoneticPr fontId="4"/>
  </si>
  <si>
    <t>設定値：合計原価を設定</t>
    <rPh sb="9" eb="11">
      <t>セッテイ</t>
    </rPh>
    <phoneticPr fontId="4"/>
  </si>
  <si>
    <t>売価</t>
    <phoneticPr fontId="4"/>
  </si>
  <si>
    <t xml:space="preserve">商品マスタ連携ファイル
No.22 売価
</t>
    <phoneticPr fontId="4"/>
  </si>
  <si>
    <t>設定値：売価を設定</t>
    <rPh sb="4" eb="6">
      <t>バイカ</t>
    </rPh>
    <rPh sb="7" eb="9">
      <t>セッテイ</t>
    </rPh>
    <phoneticPr fontId="4"/>
  </si>
  <si>
    <t xml:space="preserve">POSでの商品識別メソッドを識別するコードで、通常はマニュアル入力かスキャンかを区別します。
１：キーボード入力
２：スキャナ入力
</t>
    <phoneticPr fontId="4"/>
  </si>
  <si>
    <t>設定値：入力方法に従い設定
１：キーボード入力
２：スキャナ入力</t>
    <rPh sb="4" eb="8">
      <t>ニュウリョクホウホウ</t>
    </rPh>
    <rPh sb="9" eb="10">
      <t>シタガ</t>
    </rPh>
    <rPh sb="11" eb="13">
      <t>セッテイ</t>
    </rPh>
    <phoneticPr fontId="4"/>
  </si>
  <si>
    <t>商品販売に携わった従業員</t>
    <rPh sb="0" eb="2">
      <t>ショウヒン</t>
    </rPh>
    <rPh sb="2" eb="4">
      <t>ハンバイ</t>
    </rPh>
    <rPh sb="5" eb="6">
      <t>タズサ</t>
    </rPh>
    <rPh sb="9" eb="12">
      <t>ジュウギョウイン</t>
    </rPh>
    <phoneticPr fontId="4"/>
  </si>
  <si>
    <t>ITM_MVMT_FG</t>
    <phoneticPr fontId="4"/>
  </si>
  <si>
    <t>売上集計加算判別</t>
    <phoneticPr fontId="4"/>
  </si>
  <si>
    <t>TRUEの場合、アイテムは集計されます。運用中の在庫管理の動きが意味をなさない明細情報については、この属性はFALSEにすることもできます。</t>
    <rPh sb="13" eb="15">
      <t>シュウケイ</t>
    </rPh>
    <phoneticPr fontId="4"/>
  </si>
  <si>
    <t>明細をボイドにする理由を記述する数値コード。値0は、その詳細がボイドになっていないことを示します。</t>
  </si>
  <si>
    <t>訂正明細は連携しない。</t>
    <rPh sb="0" eb="2">
      <t>テイセイ</t>
    </rPh>
    <rPh sb="2" eb="4">
      <t>メイサイ</t>
    </rPh>
    <rPh sb="5" eb="7">
      <t>レンケイ</t>
    </rPh>
    <phoneticPr fontId="4"/>
  </si>
  <si>
    <t>イベントID</t>
    <phoneticPr fontId="4"/>
  </si>
  <si>
    <t>売上げ明細が対応するイベントコードを識別します。</t>
  </si>
  <si>
    <t>RTN_REAS_CD</t>
    <phoneticPr fontId="4"/>
  </si>
  <si>
    <t>返品理由コード</t>
    <rPh sb="0" eb="2">
      <t>ヘンピン</t>
    </rPh>
    <rPh sb="2" eb="4">
      <t>リユウ</t>
    </rPh>
    <phoneticPr fontId="4"/>
  </si>
  <si>
    <t xml:space="preserve">顧客が示した商品を返品する理由です。
０：通常明細、返品取消明細   １：返品明細   ２：取消明細
※返品明細の判定には使用できない。→GSFD_RTN_REAS_CDを参照。
</t>
    <phoneticPr fontId="4"/>
  </si>
  <si>
    <t xml:space="preserve">いなげやでは、返品取引がないため０固定
０：通常明細,   １：返品明細 </t>
    <rPh sb="7" eb="9">
      <t>ヘンピン</t>
    </rPh>
    <rPh sb="9" eb="11">
      <t>トリヒキ</t>
    </rPh>
    <rPh sb="17" eb="19">
      <t>コテイ</t>
    </rPh>
    <phoneticPr fontId="4"/>
  </si>
  <si>
    <t>RCPT_PRSNT_FG</t>
    <phoneticPr fontId="4"/>
  </si>
  <si>
    <t>レシート有無</t>
    <rPh sb="4" eb="6">
      <t>ウム</t>
    </rPh>
    <phoneticPr fontId="4"/>
  </si>
  <si>
    <t>ブール値。TRUEは、返品がレシートと一緒に受け付けられたことを示します。</t>
  </si>
  <si>
    <t>PKG_OPEN_FG</t>
    <phoneticPr fontId="4"/>
  </si>
  <si>
    <t>パッケージの開封</t>
  </si>
  <si>
    <t>ブール値。TRUEは、返品されたアイテムのパッケージングが破られていたことを示します。</t>
    <phoneticPr fontId="4"/>
  </si>
  <si>
    <t>LN_ITM_TS</t>
    <phoneticPr fontId="4"/>
  </si>
  <si>
    <t>商品明細日時</t>
    <rPh sb="4" eb="6">
      <t>ニチジ</t>
    </rPh>
    <phoneticPr fontId="4"/>
  </si>
  <si>
    <t>商品詳細が入力された日付と時間</t>
    <rPh sb="0" eb="2">
      <t>ショウヒン</t>
    </rPh>
    <phoneticPr fontId="4"/>
  </si>
  <si>
    <t>FOR_QTY</t>
    <phoneticPr fontId="4"/>
  </si>
  <si>
    <t>組合せ販売数量</t>
  </si>
  <si>
    <t>これはスプリットプライスに使用され、ForPriceフィールドに対応する数量を表します。ユニットタイプアイテムにだけ適用でき、デフォルトは1です。</t>
  </si>
  <si>
    <t>PERPET_INV_CD</t>
    <phoneticPr fontId="4"/>
  </si>
  <si>
    <t>永続在庫管理コード</t>
    <rPh sb="4" eb="6">
      <t>カンリ</t>
    </rPh>
    <phoneticPr fontId="4"/>
  </si>
  <si>
    <t>アイテムの売上げ／返品によって手持ち在庫を更新する必要があるかどうかと、その更新方法を識別します。</t>
  </si>
  <si>
    <t>DMGD_CD</t>
    <phoneticPr fontId="4"/>
  </si>
  <si>
    <t>損傷コード</t>
  </si>
  <si>
    <t>返品されたアイテムが損傷状態にあるかどうか、または最終処分のために特別な処理を必要とするかどうかを識別します。
例：修復不能な損傷状態、在庫から除く。最終処分にマネージャの評価が必要。販売フロアに配置する前にクリーニングおよびプレスが必要。供給者として、損傷の原因を示すRTVを作成。</t>
    <phoneticPr fontId="4"/>
  </si>
  <si>
    <t>PLU_QUAL_TYP</t>
    <phoneticPr fontId="4"/>
  </si>
  <si>
    <t>PLU属性種別</t>
    <rPh sb="3" eb="5">
      <t>ゾクセイ</t>
    </rPh>
    <rPh sb="5" eb="7">
      <t>シュベツ</t>
    </rPh>
    <phoneticPr fontId="4"/>
  </si>
  <si>
    <t>LOC_STR_ID</t>
    <phoneticPr fontId="4"/>
  </si>
  <si>
    <t>在庫店舗番号</t>
    <rPh sb="0" eb="2">
      <t>ザイコ</t>
    </rPh>
    <rPh sb="2" eb="4">
      <t>テンポ</t>
    </rPh>
    <rPh sb="4" eb="6">
      <t>バンゴウ</t>
    </rPh>
    <phoneticPr fontId="4"/>
  </si>
  <si>
    <t>販売されるべき在庫がある店舗／倉庫を識別します。販売店舗が在庫店舗と別の場合だけ設定します。</t>
    <rPh sb="24" eb="26">
      <t>ハンバイ</t>
    </rPh>
    <rPh sb="29" eb="31">
      <t>ザイコ</t>
    </rPh>
    <rPh sb="31" eb="33">
      <t>テンポ</t>
    </rPh>
    <rPh sb="34" eb="35">
      <t>ベツ</t>
    </rPh>
    <rPh sb="36" eb="38">
      <t>バアイ</t>
    </rPh>
    <rPh sb="40" eb="42">
      <t>セッテイ</t>
    </rPh>
    <phoneticPr fontId="4"/>
  </si>
  <si>
    <t>◎</t>
    <phoneticPr fontId="4"/>
  </si>
  <si>
    <t>GSFD_EXT_PROMO_CST</t>
    <phoneticPr fontId="4"/>
  </si>
  <si>
    <t>特売原価</t>
    <rPh sb="0" eb="2">
      <t>トクバイ</t>
    </rPh>
    <rPh sb="2" eb="4">
      <t>ゲンカ</t>
    </rPh>
    <phoneticPr fontId="4"/>
  </si>
  <si>
    <r>
      <t>特売原価を設定（</t>
    </r>
    <r>
      <rPr>
        <sz val="9"/>
        <color rgb="FFFF0000"/>
        <rFont val="ＭＳ Ｐゴシック"/>
        <family val="3"/>
        <charset val="128"/>
      </rPr>
      <t>1個当たりの原価</t>
    </r>
    <r>
      <rPr>
        <sz val="9"/>
        <rFont val="ＭＳ Ｐゴシック"/>
        <family val="3"/>
        <charset val="128"/>
      </rPr>
      <t>）
※マークダウンの場合は、0を設定</t>
    </r>
    <rPh sb="0" eb="2">
      <t>トクバイ</t>
    </rPh>
    <rPh sb="2" eb="4">
      <t>ゲンカ</t>
    </rPh>
    <rPh sb="5" eb="7">
      <t>セッテイ</t>
    </rPh>
    <rPh sb="9" eb="11">
      <t>コア</t>
    </rPh>
    <rPh sb="14" eb="16">
      <t>ゲンカ</t>
    </rPh>
    <rPh sb="26" eb="28">
      <t>バアイ</t>
    </rPh>
    <rPh sb="32" eb="34">
      <t>セッテイ</t>
    </rPh>
    <phoneticPr fontId="4"/>
  </si>
  <si>
    <t>特売マスタ連携ファイル
No.19 特売原価
No35 原価率フラグ</t>
    <phoneticPr fontId="4"/>
  </si>
  <si>
    <t xml:space="preserve">
設定値：特売原価を設定
</t>
    <phoneticPr fontId="4"/>
  </si>
  <si>
    <r>
      <t xml:space="preserve">スキャンコード(生データ)。スキャン登録を行った場合のみ値が入る。
入力コードをそのまま格納し、セミコロンで区切る。
多段バーコードの場合は各段がセミコロンで区切られる。
例）JAN13の場合“4903080109181;”
例）書籍二段コードの場合“9784095060217;1910582028004;”
</t>
    </r>
    <r>
      <rPr>
        <sz val="9"/>
        <color rgb="FFFF0000"/>
        <rFont val="ＭＳ Ｐゴシック"/>
        <family val="3"/>
        <charset val="128"/>
      </rPr>
      <t>部門登録の場合は””(空)を設定する。</t>
    </r>
    <phoneticPr fontId="4"/>
  </si>
  <si>
    <t>設定値：スキャンコード+";"(セミコロン)</t>
    <phoneticPr fontId="4"/>
  </si>
  <si>
    <t>*1.0*1.1</t>
    <phoneticPr fontId="4"/>
  </si>
  <si>
    <t>GSFD_DIFFERENCE_PRICE</t>
    <phoneticPr fontId="4"/>
  </si>
  <si>
    <t>会員価格と一般価格の差額</t>
    <phoneticPr fontId="4"/>
  </si>
  <si>
    <t>会員価格と一般価格の差額（合価）</t>
    <phoneticPr fontId="4"/>
  </si>
  <si>
    <t>会員価格は未使用の認識</t>
    <rPh sb="0" eb="2">
      <t>カイイン</t>
    </rPh>
    <rPh sb="2" eb="4">
      <t>カカク</t>
    </rPh>
    <rPh sb="5" eb="8">
      <t>ミシヨウ</t>
    </rPh>
    <rPh sb="9" eb="11">
      <t>ニンシキ</t>
    </rPh>
    <phoneticPr fontId="4"/>
  </si>
  <si>
    <t>GSFD_ENTRY_OPERATOR</t>
    <phoneticPr fontId="4"/>
  </si>
  <si>
    <t>本明細を登録した担当者コード</t>
    <phoneticPr fontId="4"/>
  </si>
  <si>
    <t>担当者マスタ連携ファイル
No.6 担当者コード</t>
    <phoneticPr fontId="4"/>
  </si>
  <si>
    <t xml:space="preserve">設定値：本明細を登録した担当者番号
</t>
    <phoneticPr fontId="4"/>
  </si>
  <si>
    <t>GSFD_NONCASH_CD</t>
    <phoneticPr fontId="4"/>
  </si>
  <si>
    <t>商品券対象数</t>
    <phoneticPr fontId="4"/>
  </si>
  <si>
    <t>GSFD_SAVE_EXT_PRC</t>
    <phoneticPr fontId="4"/>
  </si>
  <si>
    <t>商品券対象額</t>
    <phoneticPr fontId="4"/>
  </si>
  <si>
    <t>GSFD_HSTR_FG</t>
    <phoneticPr fontId="4"/>
  </si>
  <si>
    <t xml:space="preserve">履歴収集フラグ （0:対象としない、1:対象とする）
</t>
    <phoneticPr fontId="4"/>
  </si>
  <si>
    <t>GSFD_PNT_FG</t>
    <phoneticPr fontId="4"/>
  </si>
  <si>
    <t>ポイント対象フラグ</t>
    <phoneticPr fontId="4"/>
  </si>
  <si>
    <t xml:space="preserve">ポイント倍率
いなげや様ではポイント倍率を設定する。
</t>
    <rPh sb="11" eb="12">
      <t>サマ</t>
    </rPh>
    <phoneticPr fontId="4"/>
  </si>
  <si>
    <t>Satisfaの応答値を使用。
適用ポイント倍率.</t>
    <phoneticPr fontId="4"/>
  </si>
  <si>
    <t>設定値：適用ポイント倍率を設定</t>
    <phoneticPr fontId="4"/>
  </si>
  <si>
    <t>GetCustomerByNumberASY呼び出しで連携。適用ポイント倍率&lt;PBAI_QT&gt;</t>
    <phoneticPr fontId="4"/>
  </si>
  <si>
    <t>GSFD_TB_RANK_FG</t>
    <phoneticPr fontId="4"/>
  </si>
  <si>
    <t xml:space="preserve">倍率／付与識別区分（1:倍率、2:付与ポイント）
</t>
    <phoneticPr fontId="4"/>
  </si>
  <si>
    <t>GSFD_PNT_RATE</t>
    <phoneticPr fontId="4"/>
  </si>
  <si>
    <t>ポイント倍率</t>
    <phoneticPr fontId="4"/>
  </si>
  <si>
    <t>ポイント倍率
ポイント倍率を設定する。小数点以下第１位まで設定可能（99.9）</t>
    <phoneticPr fontId="4"/>
  </si>
  <si>
    <t>明細の税種別</t>
    <phoneticPr fontId="7"/>
  </si>
  <si>
    <t>1：外税2：内税3：非課税
明細の税種別</t>
    <phoneticPr fontId="4"/>
  </si>
  <si>
    <t>設定値：
1：外税 2：内税 3：非課税</t>
    <phoneticPr fontId="4"/>
  </si>
  <si>
    <t>商品マスタ連携ﾌｧｲﾙの税種別コードとは異なる項目。</t>
    <rPh sb="23" eb="25">
      <t>コウモク</t>
    </rPh>
    <phoneticPr fontId="4"/>
  </si>
  <si>
    <t xml:space="preserve">明細の税金額 </t>
    <phoneticPr fontId="7"/>
  </si>
  <si>
    <t>明細の税金額。GSFD_TAX_TYPEの設定値によって以下の値が入る。
 GSFD_TAX_TYPE 説明
 1 按分した外税額
 2 内税額
 3 0固定</t>
    <phoneticPr fontId="4"/>
  </si>
  <si>
    <t>設定値： GSFD_TAX_TYPEに従い下記の通りに設定
 GSFD_TAX_TYPE=1：按分した外税額
 GSFD_TAX_TYPE=2：内税額
 GSFD_TAX_TYPE=3：0固定</t>
    <rPh sb="0" eb="2">
      <t>セッテイ</t>
    </rPh>
    <rPh sb="2" eb="3">
      <t>チ</t>
    </rPh>
    <rPh sb="19" eb="20">
      <t>シタガ</t>
    </rPh>
    <rPh sb="21" eb="23">
      <t>カキ</t>
    </rPh>
    <rPh sb="24" eb="25">
      <t>トオ</t>
    </rPh>
    <rPh sb="27" eb="29">
      <t>セッテイ</t>
    </rPh>
    <phoneticPr fontId="4"/>
  </si>
  <si>
    <t>GSFD_RTN_REAS_CD</t>
    <phoneticPr fontId="4"/>
  </si>
  <si>
    <t xml:space="preserve">返品理由コード   </t>
    <phoneticPr fontId="7"/>
  </si>
  <si>
    <t>0：通常明細1：返品明細</t>
    <phoneticPr fontId="4"/>
  </si>
  <si>
    <t>返品取引なしのため0固定
0：通常明細1：返品明細</t>
    <rPh sb="0" eb="4">
      <t>ヘンピントリヒキ</t>
    </rPh>
    <rPh sb="10" eb="12">
      <t>コテイ</t>
    </rPh>
    <phoneticPr fontId="4"/>
  </si>
  <si>
    <t>GSFD_DECIMAL_POINT</t>
    <phoneticPr fontId="4"/>
  </si>
  <si>
    <t xml:space="preserve">小数点以下の登録桁数   </t>
    <phoneticPr fontId="7"/>
  </si>
  <si>
    <t>0：小数点以下なし1：小数点第１位2：小数点第２位</t>
  </si>
  <si>
    <t>小数点入力は未使用の認識。</t>
    <rPh sb="0" eb="3">
      <t>ショウスウテン</t>
    </rPh>
    <rPh sb="3" eb="5">
      <t>ニュウリョク</t>
    </rPh>
    <rPh sb="6" eb="9">
      <t>ミシヨウ</t>
    </rPh>
    <rPh sb="10" eb="12">
      <t>ニンシキ</t>
    </rPh>
    <phoneticPr fontId="4"/>
  </si>
  <si>
    <t>GSFD_SCAN_ID</t>
    <phoneticPr fontId="4"/>
  </si>
  <si>
    <t>スキャンコードログ</t>
    <phoneticPr fontId="7"/>
  </si>
  <si>
    <t xml:space="preserve">※ＮＯＮ-ＰＬＵのとき、価格情報をゼロマスクする。
※OPTION_ID:362000104が”0”（0マスク処理を行う）で、
　　ＮＯＮ-ＰＬＵのとき、ＣＤをゼロマスクする。
</t>
    <phoneticPr fontId="4"/>
  </si>
  <si>
    <t>GSFD_FSP_DATA</t>
    <phoneticPr fontId="4"/>
  </si>
  <si>
    <t>FSP連携は無しと判断。</t>
    <rPh sb="3" eb="5">
      <t>レンケイ</t>
    </rPh>
    <rPh sb="6" eb="7">
      <t>ナ</t>
    </rPh>
    <rPh sb="9" eb="11">
      <t>ハンダン</t>
    </rPh>
    <phoneticPr fontId="4"/>
  </si>
  <si>
    <t>実行売価</t>
  </si>
  <si>
    <t xml:space="preserve">特売系(期間特売、マークダウン、タイムサービス)の値引が存在した場合は特売後価格を設定する。存在しない場合は「No.16  売価」と同じ値を設定する。
</t>
  </si>
  <si>
    <t>設定値：標準価格または特売後価格</t>
    <phoneticPr fontId="4"/>
  </si>
  <si>
    <t>取消・返品理由コード</t>
    <rPh sb="0" eb="2">
      <t>トリケシ</t>
    </rPh>
    <rPh sb="3" eb="5">
      <t>ヘンピン</t>
    </rPh>
    <rPh sb="5" eb="7">
      <t>リユウ</t>
    </rPh>
    <phoneticPr fontId="4"/>
  </si>
  <si>
    <t>明細に対しての返品、取消の理由コードを設定</t>
    <rPh sb="0" eb="2">
      <t>メイサイ</t>
    </rPh>
    <rPh sb="3" eb="4">
      <t>タイ</t>
    </rPh>
    <rPh sb="7" eb="9">
      <t>ヘンピン</t>
    </rPh>
    <rPh sb="10" eb="12">
      <t>トリケシ</t>
    </rPh>
    <rPh sb="13" eb="15">
      <t>リユウ</t>
    </rPh>
    <rPh sb="19" eb="21">
      <t>セッテイ</t>
    </rPh>
    <phoneticPr fontId="4"/>
  </si>
  <si>
    <t>GSFD_PNT_RATE_ID</t>
    <phoneticPr fontId="4"/>
  </si>
  <si>
    <t>GSFD_RSTR_ITM_DATA</t>
    <phoneticPr fontId="4"/>
  </si>
  <si>
    <t>通番修正で利用するデータ。</t>
    <rPh sb="0" eb="4">
      <t>ツウバンシュウセイ</t>
    </rPh>
    <rPh sb="5" eb="7">
      <t>リヨウ</t>
    </rPh>
    <phoneticPr fontId="4"/>
  </si>
  <si>
    <t>GSFD_CATALINA_COUPON_UCST_KSM</t>
    <phoneticPr fontId="4"/>
  </si>
  <si>
    <t>GSFD_DEPT_CODE</t>
    <phoneticPr fontId="4"/>
  </si>
  <si>
    <t>部門コード</t>
    <rPh sb="0" eb="2">
      <t>ブモン</t>
    </rPh>
    <phoneticPr fontId="4"/>
  </si>
  <si>
    <t>TSM側で設定
設定値：""(空)</t>
    <phoneticPr fontId="4"/>
  </si>
  <si>
    <t>GSFD_MDSE_STRC_NBR1</t>
    <phoneticPr fontId="4"/>
  </si>
  <si>
    <t>商品階層番号１</t>
    <rPh sb="0" eb="4">
      <t>ショウヒンカイソウ</t>
    </rPh>
    <rPh sb="4" eb="6">
      <t>バンゴウ</t>
    </rPh>
    <phoneticPr fontId="4"/>
  </si>
  <si>
    <t>GSFD_MERCHANDISE_DESCR1</t>
    <phoneticPr fontId="4"/>
  </si>
  <si>
    <t>商品階層名称１</t>
    <rPh sb="0" eb="4">
      <t>ショウヒンカイソウ</t>
    </rPh>
    <rPh sb="4" eb="6">
      <t>メイショウ</t>
    </rPh>
    <phoneticPr fontId="4"/>
  </si>
  <si>
    <t>GSFD_MDSE_STRC_NBR2</t>
  </si>
  <si>
    <t>商品階層番号２</t>
    <rPh sb="0" eb="4">
      <t>ショウヒンカイソウ</t>
    </rPh>
    <rPh sb="4" eb="6">
      <t>バンゴウ</t>
    </rPh>
    <phoneticPr fontId="4"/>
  </si>
  <si>
    <t>GSFD_MERCHANDISE_DESCR2</t>
    <phoneticPr fontId="4"/>
  </si>
  <si>
    <t>商品階層名称２</t>
    <rPh sb="0" eb="4">
      <t>ショウヒンカイソウ</t>
    </rPh>
    <rPh sb="4" eb="6">
      <t>メイショウ</t>
    </rPh>
    <phoneticPr fontId="4"/>
  </si>
  <si>
    <t>GSFD_MDSE_STRC_NBR3</t>
  </si>
  <si>
    <t>商品階層番号３</t>
    <rPh sb="0" eb="4">
      <t>ショウヒンカイソウ</t>
    </rPh>
    <rPh sb="4" eb="6">
      <t>バンゴウ</t>
    </rPh>
    <phoneticPr fontId="4"/>
  </si>
  <si>
    <t>GSFD_MERCHANDISE_DESCR3</t>
  </si>
  <si>
    <t>商品階層名称３</t>
    <rPh sb="0" eb="4">
      <t>ショウヒンカイソウ</t>
    </rPh>
    <rPh sb="4" eb="6">
      <t>メイショウ</t>
    </rPh>
    <phoneticPr fontId="4"/>
  </si>
  <si>
    <t>GSFD_MDSE_STRC_NBR4</t>
  </si>
  <si>
    <t>商品階層番号４</t>
    <rPh sb="0" eb="4">
      <t>ショウヒンカイソウ</t>
    </rPh>
    <rPh sb="4" eb="6">
      <t>バンゴウ</t>
    </rPh>
    <phoneticPr fontId="4"/>
  </si>
  <si>
    <t>GSFD_MERCHANDISE_DESCR4</t>
  </si>
  <si>
    <t>商品階層名称４</t>
    <rPh sb="0" eb="4">
      <t>ショウヒンカイソウ</t>
    </rPh>
    <rPh sb="4" eb="6">
      <t>メイショウ</t>
    </rPh>
    <phoneticPr fontId="4"/>
  </si>
  <si>
    <t>GSFD_MDSE_STRC_NBR5</t>
  </si>
  <si>
    <t>商品階層番号５</t>
    <rPh sb="0" eb="4">
      <t>ショウヒンカイソウ</t>
    </rPh>
    <rPh sb="4" eb="6">
      <t>バンゴウ</t>
    </rPh>
    <phoneticPr fontId="4"/>
  </si>
  <si>
    <t>GSFD_MERCHANDISE_DESCR5</t>
  </si>
  <si>
    <t>商品階層名称５</t>
    <rPh sb="0" eb="4">
      <t>ショウヒンカイソウ</t>
    </rPh>
    <rPh sb="4" eb="6">
      <t>メイショウ</t>
    </rPh>
    <phoneticPr fontId="4"/>
  </si>
  <si>
    <t>GSFD_MDSE_STRC_NBR6</t>
  </si>
  <si>
    <t>商品階層番号６</t>
    <rPh sb="0" eb="4">
      <t>ショウヒンカイソウ</t>
    </rPh>
    <rPh sb="4" eb="6">
      <t>バンゴウ</t>
    </rPh>
    <phoneticPr fontId="4"/>
  </si>
  <si>
    <t>GSFD_MERCHANDISE_DESCR6</t>
  </si>
  <si>
    <t>商品階層名称６</t>
    <rPh sb="0" eb="4">
      <t>ショウヒンカイソウ</t>
    </rPh>
    <rPh sb="4" eb="6">
      <t>メイショウ</t>
    </rPh>
    <phoneticPr fontId="4"/>
  </si>
  <si>
    <t>GSFD_MDSE_STRC_NBR7</t>
  </si>
  <si>
    <t>商品階層番号７</t>
    <rPh sb="0" eb="4">
      <t>ショウヒンカイソウ</t>
    </rPh>
    <rPh sb="4" eb="6">
      <t>バンゴウ</t>
    </rPh>
    <phoneticPr fontId="4"/>
  </si>
  <si>
    <t>GSFD_MERCHANDISE_DESCR7</t>
  </si>
  <si>
    <t>商品階層名称７</t>
    <rPh sb="0" eb="4">
      <t>ショウヒンカイソウ</t>
    </rPh>
    <rPh sb="4" eb="6">
      <t>メイショウ</t>
    </rPh>
    <phoneticPr fontId="4"/>
  </si>
  <si>
    <t>GSFD_MDSE_STRC_NBR8</t>
  </si>
  <si>
    <t>商品階層番号８</t>
    <rPh sb="0" eb="4">
      <t>ショウヒンカイソウ</t>
    </rPh>
    <rPh sb="4" eb="6">
      <t>バンゴウ</t>
    </rPh>
    <phoneticPr fontId="4"/>
  </si>
  <si>
    <t>GSFD_MERCHANDISE_DESCR8</t>
  </si>
  <si>
    <t>商品階層名称８</t>
    <rPh sb="0" eb="4">
      <t>ショウヒンカイソウ</t>
    </rPh>
    <rPh sb="4" eb="6">
      <t>メイショウ</t>
    </rPh>
    <phoneticPr fontId="4"/>
  </si>
  <si>
    <t>GSFD_MDSE_STRC_NBR9</t>
  </si>
  <si>
    <t>商品階層番号９</t>
    <rPh sb="0" eb="4">
      <t>ショウヒンカイソウ</t>
    </rPh>
    <rPh sb="4" eb="6">
      <t>バンゴウ</t>
    </rPh>
    <phoneticPr fontId="4"/>
  </si>
  <si>
    <t>GSFD_MERCHANDISE_DESCR9</t>
  </si>
  <si>
    <t>商品階層名称９</t>
    <rPh sb="0" eb="4">
      <t>ショウヒンカイソウ</t>
    </rPh>
    <rPh sb="4" eb="6">
      <t>メイショウ</t>
    </rPh>
    <phoneticPr fontId="4"/>
  </si>
  <si>
    <t>GSFD_PLU_DSPL_DESCR</t>
    <phoneticPr fontId="4"/>
  </si>
  <si>
    <t>単品名称</t>
    <phoneticPr fontId="4"/>
  </si>
  <si>
    <t>商品マスタ連携ファイル
No.5 単品名称</t>
    <phoneticPr fontId="4"/>
  </si>
  <si>
    <t xml:space="preserve">
設定値：商品マスタ連携ファイルから取得して設定</t>
    <phoneticPr fontId="4"/>
  </si>
  <si>
    <t>全店速報サーバで使用</t>
    <rPh sb="0" eb="2">
      <t>ゼンテン</t>
    </rPh>
    <rPh sb="2" eb="4">
      <t>ソクホウ</t>
    </rPh>
    <rPh sb="8" eb="10">
      <t>シヨウ</t>
    </rPh>
    <phoneticPr fontId="4"/>
  </si>
  <si>
    <r>
      <rPr>
        <sz val="9"/>
        <color rgb="FF000000"/>
        <rFont val="ＭＳ Ｐゴシック"/>
        <family val="3"/>
        <charset val="128"/>
      </rPr>
      <t xml:space="preserve">商品マスタ連携ファイル
No.4 税種別コード
</t>
    </r>
    <r>
      <rPr>
        <sz val="9"/>
        <color rgb="FFFF0000"/>
        <rFont val="ＭＳ Ｐゴシック"/>
        <family val="3"/>
        <charset val="128"/>
      </rPr>
      <t>注）但し、内税の場合は、"99"を設定する。</t>
    </r>
  </si>
  <si>
    <t>GSFD_PLU_QUAL_TYP_DESCR</t>
    <phoneticPr fontId="4"/>
  </si>
  <si>
    <t>TSM側で設定
No6.PLUIDを元に設定する。 "PLU属性 " + No6.PLUIDの桁目から4桁を抜き出して設定。</t>
    <rPh sb="18" eb="19">
      <t>モト</t>
    </rPh>
    <rPh sb="20" eb="22">
      <t>セッテイ</t>
    </rPh>
    <rPh sb="47" eb="49">
      <t>ケタメ</t>
    </rPh>
    <rPh sb="52" eb="53">
      <t>ケタ</t>
    </rPh>
    <rPh sb="54" eb="55">
      <t>ヌ</t>
    </rPh>
    <rPh sb="56" eb="57">
      <t>ダ</t>
    </rPh>
    <rPh sb="59" eb="61">
      <t>セッテイ</t>
    </rPh>
    <phoneticPr fontId="4"/>
  </si>
  <si>
    <t>GSFD_ISSUED_OFFCL_RCPT</t>
    <phoneticPr fontId="4"/>
  </si>
  <si>
    <t>GSFD_GIFT_START</t>
    <phoneticPr fontId="4"/>
  </si>
  <si>
    <t>商品券販売明細の連携は不要？</t>
    <rPh sb="8" eb="10">
      <t>レンケイ</t>
    </rPh>
    <rPh sb="11" eb="13">
      <t>フヨウ</t>
    </rPh>
    <phoneticPr fontId="4"/>
  </si>
  <si>
    <t>GSFD_GIFT_END</t>
    <phoneticPr fontId="4"/>
  </si>
  <si>
    <t>単品付与ポイント</t>
    <phoneticPr fontId="4"/>
  </si>
  <si>
    <t>Satisfaの応答値を使用。
ポイントプラス数を設定</t>
    <rPh sb="8" eb="10">
      <t>オウトウ</t>
    </rPh>
    <rPh sb="10" eb="11">
      <t>アタイ</t>
    </rPh>
    <rPh sb="12" eb="14">
      <t>シヨウ</t>
    </rPh>
    <phoneticPr fontId="4"/>
  </si>
  <si>
    <t>設定値：ポイントプラス数を設定</t>
    <rPh sb="13" eb="15">
      <t>セッテイ</t>
    </rPh>
    <phoneticPr fontId="4"/>
  </si>
  <si>
    <t>GetCustomerByNumberASY呼び出しで連携。
ポイントプラス数&lt;PPLUS_QT&gt;</t>
    <phoneticPr fontId="4"/>
  </si>
  <si>
    <t>GSFD_GL_ACCT_ID</t>
    <phoneticPr fontId="4"/>
  </si>
  <si>
    <t>掛入金対応は不要</t>
    <rPh sb="6" eb="8">
      <t>フヨウ</t>
    </rPh>
    <phoneticPr fontId="4"/>
  </si>
  <si>
    <t>GSFD_FSP_DATA2</t>
    <phoneticPr fontId="4"/>
  </si>
  <si>
    <t>GSFD_SUM_EVNT_ID</t>
    <phoneticPr fontId="4"/>
  </si>
  <si>
    <t>GSFD_SUM_EVNT_NO</t>
    <phoneticPr fontId="4"/>
  </si>
  <si>
    <t>GSFD_FSP_ITMPNT_PRINM</t>
    <phoneticPr fontId="4"/>
  </si>
  <si>
    <t>GSFD_VOID_ITM_CNT</t>
    <phoneticPr fontId="4"/>
  </si>
  <si>
    <t>GSFD_VOID_ITM_AMT</t>
    <phoneticPr fontId="4"/>
  </si>
  <si>
    <t>GSFD_OVRD_PRC</t>
    <phoneticPr fontId="4"/>
  </si>
  <si>
    <t>GSFD_UNT_PRC</t>
    <phoneticPr fontId="4"/>
  </si>
  <si>
    <t>販売単位価格</t>
    <phoneticPr fontId="4"/>
  </si>
  <si>
    <t xml:space="preserve">商品マスタ連携ファイル
No.36 販売単位価格（No.22 売価と同じ値）を設定
</t>
    <rPh sb="34" eb="35">
      <t>オナ</t>
    </rPh>
    <rPh sb="36" eb="37">
      <t>アタイ</t>
    </rPh>
    <rPh sb="39" eb="41">
      <t>セッテイ</t>
    </rPh>
    <phoneticPr fontId="4"/>
  </si>
  <si>
    <t>設定値：販売単位価格を設定</t>
    <rPh sb="4" eb="6">
      <t>ハンバイ</t>
    </rPh>
    <rPh sb="6" eb="8">
      <t>タンイ</t>
    </rPh>
    <rPh sb="8" eb="10">
      <t>カカク</t>
    </rPh>
    <rPh sb="11" eb="13">
      <t>セッテイ</t>
    </rPh>
    <phoneticPr fontId="4"/>
  </si>
  <si>
    <t>店舗分析用</t>
    <phoneticPr fontId="4"/>
  </si>
  <si>
    <t>GSFD_TAX_FR_STAT</t>
    <phoneticPr fontId="4"/>
  </si>
  <si>
    <t>免税は不要と判断</t>
    <rPh sb="0" eb="2">
      <t>メンゼイ</t>
    </rPh>
    <rPh sb="3" eb="5">
      <t>フヨウ</t>
    </rPh>
    <rPh sb="6" eb="8">
      <t>ハンダン</t>
    </rPh>
    <phoneticPr fontId="4"/>
  </si>
  <si>
    <t>GSFD_TAX_FR_AMT</t>
    <phoneticPr fontId="4"/>
  </si>
  <si>
    <t>GSFD_REDUCEDTAX_CODE</t>
    <phoneticPr fontId="4"/>
  </si>
  <si>
    <t>税率変更後の税コード</t>
    <phoneticPr fontId="4"/>
  </si>
  <si>
    <t>税率変更は未使用の認識</t>
    <rPh sb="0" eb="2">
      <t>ゼイリツ</t>
    </rPh>
    <rPh sb="2" eb="4">
      <t>ヘンコウ</t>
    </rPh>
    <rPh sb="5" eb="8">
      <t>ミシヨウ</t>
    </rPh>
    <rPh sb="9" eb="11">
      <t>ニンシキ</t>
    </rPh>
    <phoneticPr fontId="4"/>
  </si>
  <si>
    <t>GSFD_REDUCEDTAX_ORG_CODE</t>
    <phoneticPr fontId="4"/>
  </si>
  <si>
    <t>税率変更前の税コード</t>
    <phoneticPr fontId="4"/>
  </si>
  <si>
    <t>GSFD_DEPT_RATE</t>
    <phoneticPr fontId="4"/>
  </si>
  <si>
    <t>部門別倍率</t>
    <rPh sb="0" eb="2">
      <t>ブモン</t>
    </rPh>
    <rPh sb="2" eb="3">
      <t>ベツ</t>
    </rPh>
    <rPh sb="3" eb="5">
      <t>バイリツ</t>
    </rPh>
    <phoneticPr fontId="4"/>
  </si>
  <si>
    <t>部門別ポイント倍率を設定</t>
    <rPh sb="0" eb="2">
      <t>ブモン</t>
    </rPh>
    <rPh sb="2" eb="3">
      <t>ベツ</t>
    </rPh>
    <rPh sb="7" eb="9">
      <t>バイリツ</t>
    </rPh>
    <rPh sb="10" eb="12">
      <t>セッテイ</t>
    </rPh>
    <phoneticPr fontId="4"/>
  </si>
  <si>
    <t>GSFD_POINT_GRANT_RATE</t>
    <phoneticPr fontId="4"/>
  </si>
  <si>
    <t>varcha</t>
    <phoneticPr fontId="4"/>
  </si>
  <si>
    <t>GSFD_CHG_MANUAL_PER</t>
    <phoneticPr fontId="4"/>
  </si>
  <si>
    <t>GSFD_TAX_ENTRY_DATE</t>
    <phoneticPr fontId="4"/>
  </si>
  <si>
    <t>datetime</t>
    <phoneticPr fontId="4"/>
  </si>
  <si>
    <t>GSFD_ORG_UNIT_PRICE</t>
    <phoneticPr fontId="4"/>
  </si>
  <si>
    <t>通番修正で利用するデータ。不要。</t>
    <rPh sb="0" eb="4">
      <t>ツウバンシュウセイ</t>
    </rPh>
    <rPh sb="5" eb="7">
      <t>リヨウ</t>
    </rPh>
    <rPh sb="13" eb="15">
      <t>フヨウ</t>
    </rPh>
    <phoneticPr fontId="4"/>
  </si>
  <si>
    <t>GSFD_DIFF_VAT</t>
    <phoneticPr fontId="4"/>
  </si>
  <si>
    <t>GSFD_TENDER_PRO_RATE</t>
    <phoneticPr fontId="4"/>
  </si>
  <si>
    <t>内税額の再計算による差額</t>
    <rPh sb="0" eb="3">
      <t>ウチゼイガク</t>
    </rPh>
    <rPh sb="4" eb="7">
      <t>サイケイサン</t>
    </rPh>
    <rPh sb="10" eb="12">
      <t>サガク</t>
    </rPh>
    <phoneticPr fontId="4"/>
  </si>
  <si>
    <t>対象テーブル：LN_DISCOUNT
形式：TSV</t>
    <rPh sb="0" eb="2">
      <t>タイショウ</t>
    </rPh>
    <phoneticPr fontId="4"/>
  </si>
  <si>
    <t xml:space="preserve">
設定値：
1取引内の下記テーブルのレコードの同一カラム名に通し番号を振る(番号が重複しなければ順不同で構わない)
・LN_DETAIL
・LN_DISCOUNT
・TRANSACTION_TAX
・TRANSACTION_TENDER</t>
    <rPh sb="7" eb="9">
      <t>トリヒキ</t>
    </rPh>
    <rPh sb="9" eb="10">
      <t>ナイ</t>
    </rPh>
    <rPh sb="11" eb="13">
      <t>カキ</t>
    </rPh>
    <rPh sb="23" eb="25">
      <t>ドウイツ</t>
    </rPh>
    <rPh sb="28" eb="29">
      <t>メイ</t>
    </rPh>
    <rPh sb="30" eb="31">
      <t>トオ</t>
    </rPh>
    <rPh sb="32" eb="34">
      <t>バンゴウ</t>
    </rPh>
    <rPh sb="35" eb="36">
      <t>フ</t>
    </rPh>
    <rPh sb="38" eb="40">
      <t>バンゴウ</t>
    </rPh>
    <rPh sb="41" eb="43">
      <t>チョウフク</t>
    </rPh>
    <rPh sb="48" eb="51">
      <t>ジュンフドウ</t>
    </rPh>
    <rPh sb="52" eb="53">
      <t>カマ</t>
    </rPh>
    <phoneticPr fontId="4"/>
  </si>
  <si>
    <r>
      <t>値引方法
   １：額値引
   ２：％値引
   ５：バンドル・ミックス・ペアマッチ
   ６：売価変更値引
１１：合計額変更値引
１３：小計額値引</t>
    </r>
    <r>
      <rPr>
        <sz val="9"/>
        <color rgb="FFFF0000"/>
        <rFont val="ＭＳ Ｐゴシック"/>
        <family val="3"/>
        <charset val="128"/>
      </rPr>
      <t xml:space="preserve">、小計％値引
</t>
    </r>
    <r>
      <rPr>
        <strike/>
        <sz val="9"/>
        <color rgb="FFFF0000"/>
        <rFont val="ＭＳ Ｐゴシック"/>
        <family val="3"/>
        <charset val="128"/>
      </rPr>
      <t>１４：小計％値引</t>
    </r>
    <phoneticPr fontId="4"/>
  </si>
  <si>
    <t xml:space="preserve">
設定値：値引方法を設定</t>
    <rPh sb="10" eb="12">
      <t>セッテイ</t>
    </rPh>
    <phoneticPr fontId="4"/>
  </si>
  <si>
    <t xml:space="preserve">設定値：値引金額を設定
※値引対象の全明細の値引額を設定する。　
※マークダウン（会員）・マークダウン（一般）・タイムサービス（会員）・タイムサービス（一般）・特売（会員）・特売（一般）の場合は、0を設定する。
</t>
    <rPh sb="4" eb="6">
      <t>ネビキ</t>
    </rPh>
    <rPh sb="6" eb="8">
      <t>キンガク</t>
    </rPh>
    <rPh sb="9" eb="11">
      <t>セッテイ</t>
    </rPh>
    <phoneticPr fontId="4"/>
  </si>
  <si>
    <t>値引値
値引方法により格納される値が変わる
   額値引：値引額
   ％値引：値引率
   売価変更：新売価</t>
    <phoneticPr fontId="4"/>
  </si>
  <si>
    <t>①マークダウン（会員）・マークダウン（一般）・タイムサービス（会員）・タイムサービス（一般）・特売（会員）・特売（一般）の場合、値引値を設定
②バンドル・ミックス（会員）・バンドル・ミックス（一般）・ペアマッチ（会員）・ペアマッチ（一般）の場合、0を設定
③中分類自動値引除外・中分類自動値引・大分類自動値引除外・大分類自動値引の場合、値引値を設定
④その他の値引は値引操作に従い下記を設定
　・値引率の場合は値引率を設定する。
　・値引額の場合は値引額を設定する。
　・売価変更の場合は新売価を設定する。
　※値引バーコードの場合はバーコードから取得した値を設定する。
　※小計値引(%引)・小計自動割引(%引)の場合、値引額を算出して、小計値引(額引)として値引を行うため、DISC_VALUEは算出した小計値引額を設定する。値引率はDISC_VALUE2に設定する。</t>
    <rPh sb="293" eb="295">
      <t>ネビキ</t>
    </rPh>
    <phoneticPr fontId="4"/>
  </si>
  <si>
    <t xml:space="preserve">
設定値：値引値</t>
    <phoneticPr fontId="4"/>
  </si>
  <si>
    <t>FK</t>
    <phoneticPr fontId="4"/>
  </si>
  <si>
    <r>
      <t xml:space="preserve">ディスカウントＩＤ
マニュアル値引時は以下の値が格納される。自動値引時はサーバでの自動採番。
   １：明細額値引
   ２：明細％値引
   ６：売価変更値引
１１：合計額変更値引
１３：小計額値引
１４：小計％値引
１５：セット販売
２０：ポイント割り戻し値引
995:FSP単品値引
996:FSP部門値引
</t>
    </r>
    <r>
      <rPr>
        <sz val="9"/>
        <color rgb="FFFF0000"/>
        <rFont val="ＭＳ Ｐゴシック"/>
        <family val="3"/>
        <charset val="128"/>
      </rPr>
      <t>１１６：値引バーコード（値引フラグ１：売価）
１１１：値引バーコード（値引フラグ２：値引）
１１２：値引バーコード（値引フラグ３：割引）
１２６：値引バーコード（値引フラグ４：カット品（売価））
１２１：値引バーコード（値引フラグ５：クーポン値引額）
１２２：値引バーコード（値引フラグ６：クーポン値引率）</t>
    </r>
    <phoneticPr fontId="4"/>
  </si>
  <si>
    <r>
      <t xml:space="preserve">①マークダウン（会員）・マークダウン（一般）・タイムサービス（会員）・タイムサービス（一般）・特売（会員）・特売（一般）の場合、「「特売マスタ連携ファイル No.50 内部ディスカウントID」を設定
②バンドル・ミックス（会員）・バンドル・ミックス（一般）・ペアマッチ（会員）・ペアマッチ（一般）の場合、「組合せマスタ連携ファイル No.167 内部ディスカウントID」を設定
③中分類自動値引除外・中分類自動値引・大分類自動値引除外・大分類自動値引の場合、「商品階層自動値引きマスタ連携 No.33 内部ディスカウントID」を設定
</t>
    </r>
    <r>
      <rPr>
        <sz val="9"/>
        <color rgb="FFFF0000"/>
        <rFont val="ＭＳ Ｐゴシック"/>
        <family val="3"/>
        <charset val="128"/>
      </rPr>
      <t>④値引バーコードの場合は下記を設定
　１１６：値引バーコード（値引フラグ１：売価）
　１１１：値引バーコード（値引フラグ２：値引）
　１１２：値引バーコード（値引フラグ３：割引）
　１２６：値引バーコード（値引フラグ４：カット品（売価））
　１２１：値引バーコード（値引フラグ５：クーポン値引額）
　１２２：値引バーコード（値引フラグ６：クーポン値引率）
⑤</t>
    </r>
    <r>
      <rPr>
        <sz val="9"/>
        <rFont val="ＭＳ Ｐゴシック"/>
        <family val="3"/>
        <charset val="128"/>
      </rPr>
      <t>その他の値引は値引操作に従い下記を設定
　マニュアル値引時は以下の値を格納する。
　　１：明細額値引
　　２：明細％値引
　　６：売価変更値引
　１１：合計額変更値引
　１３：小計額値引
　１４：小計％値引
　１５：セット販売
　２０：ポイント割り戻し値引
　※小計値引(%引)・小計自動割引(%引)の場合は、まず小計値引額を算出して、小計値引(額引)として値引を行うため、DISC_IDは"</t>
    </r>
    <r>
      <rPr>
        <sz val="9"/>
        <color rgb="FFFF0000"/>
        <rFont val="ＭＳ Ｐゴシック"/>
        <family val="3"/>
        <charset val="128"/>
      </rPr>
      <t>１３</t>
    </r>
    <r>
      <rPr>
        <sz val="9"/>
        <rFont val="ＭＳ Ｐゴシック"/>
        <family val="3"/>
        <charset val="128"/>
      </rPr>
      <t xml:space="preserve">：小計額値引"を設定する
</t>
    </r>
    <rPh sb="271" eb="273">
      <t>ネビキ</t>
    </rPh>
    <rPh sb="279" eb="281">
      <t>バアイ</t>
    </rPh>
    <rPh sb="282" eb="284">
      <t>カキ</t>
    </rPh>
    <rPh sb="285" eb="287">
      <t>セッテイ</t>
    </rPh>
    <phoneticPr fontId="4"/>
  </si>
  <si>
    <t>設定値：ディスカウントＩＤを設定</t>
    <rPh sb="14" eb="16">
      <t>セッテイ</t>
    </rPh>
    <phoneticPr fontId="4"/>
  </si>
  <si>
    <t>*1.0、*1.5</t>
    <phoneticPr fontId="4"/>
  </si>
  <si>
    <t>値引中止コード
０以外で値引が中止されたことを示す</t>
    <phoneticPr fontId="4"/>
  </si>
  <si>
    <t>訂正明細は引き継がない。</t>
    <rPh sb="0" eb="4">
      <t>テイセイメイサイ</t>
    </rPh>
    <rPh sb="5" eb="6">
      <t>ヒ</t>
    </rPh>
    <rPh sb="7" eb="8">
      <t>ツ</t>
    </rPh>
    <phoneticPr fontId="4"/>
  </si>
  <si>
    <t>ディスカウント金額が適用されるG/Lアカウント、またはそれを表す識別子</t>
  </si>
  <si>
    <t>ディスカウントに対応するDiscountGroupを識別します。</t>
  </si>
  <si>
    <t xml:space="preserve">
設定値：会員なら"MemberShip"、一般なら""を設定。</t>
    <rPh sb="29" eb="31">
      <t>セッテイ</t>
    </rPh>
    <phoneticPr fontId="4"/>
  </si>
  <si>
    <t>ignicaPOS側で会員／一般の識別を返却してもらい、"MemberShip" Or "" の設定を行う。</t>
    <rPh sb="9" eb="10">
      <t>ガワ</t>
    </rPh>
    <rPh sb="11" eb="13">
      <t>カイイン</t>
    </rPh>
    <rPh sb="14" eb="16">
      <t>イッパン</t>
    </rPh>
    <rPh sb="17" eb="19">
      <t>シキベツ</t>
    </rPh>
    <rPh sb="20" eb="22">
      <t>ヘンキャク</t>
    </rPh>
    <rPh sb="48" eb="50">
      <t>セッテイ</t>
    </rPh>
    <rPh sb="51" eb="52">
      <t>オコナ</t>
    </rPh>
    <phoneticPr fontId="4"/>
  </si>
  <si>
    <t>ディスカウントに対応するイベントを識別します。</t>
  </si>
  <si>
    <r>
      <t>①マークダウン（会員）・マークダウン（一般）・タイムサービス（会員）・タイムサービス（一般）・特売（会員）・特売（一般）の場合、「特売マスタ連携ファイル No.51 内部イベントコード」を設定
②バンドル・ミックス（会員）・バンドル・ミックス（一般）・ペアマッチ（会員）・ペアマッチ（一般）の場合、「組合せマスタ連携ファイル No.168 内部イベントコード」を設定
③中分類自動値引除外・中分類自動値引・大分類自動値引除外・大分類自動値引の場合、「商品階層自動値引きマスタ連携 No.</t>
    </r>
    <r>
      <rPr>
        <sz val="9"/>
        <color rgb="FFFF0000"/>
        <rFont val="ＭＳ Ｐゴシック"/>
        <family val="3"/>
        <charset val="128"/>
      </rPr>
      <t>35 内部イベントコード</t>
    </r>
    <r>
      <rPr>
        <sz val="9"/>
        <rFont val="ＭＳ Ｐゴシック"/>
        <family val="3"/>
        <charset val="128"/>
      </rPr>
      <t>」を設定
④その他の値引は""を設定</t>
    </r>
    <phoneticPr fontId="4"/>
  </si>
  <si>
    <t xml:space="preserve">
設定値：対象の値引の内部イベントコードを設定</t>
    <rPh sb="11" eb="13">
      <t>ナイブ</t>
    </rPh>
    <phoneticPr fontId="4"/>
  </si>
  <si>
    <r>
      <t>ディスカウントクラスＩＤ
  会員 / 一般
 91110/91111: マークダウン
 91120/91121: タイムサービス
 91140/91141: 期間特売
       91210     : セット販売
       91220     : マニュアル明細値引
 91315/91316: バンドル・ミックスマッチ
 91317/91318: ペアマッチ
 91321/91322: メーカー自動
 91323/91324: クラス自動
 91325/91326: 部門自動
 91327/91328: 全品自動
 91329/91330: 小計自動
       91400     : マニュアル小計値引</t>
    </r>
    <r>
      <rPr>
        <sz val="9"/>
        <color rgb="FFFF0000"/>
        <rFont val="ＭＳ Ｐゴシック"/>
        <family val="3"/>
        <charset val="128"/>
      </rPr>
      <t>/さんにち割引</t>
    </r>
    <r>
      <rPr>
        <sz val="9"/>
        <rFont val="ＭＳ Ｐゴシック"/>
        <family val="3"/>
        <charset val="128"/>
      </rPr>
      <t xml:space="preserve">
 　　　91402     : マニュアル合計額値引
     　92101　　 : FSP単品値引
       92102　　 : FSP部門値引</t>
    </r>
    <phoneticPr fontId="4"/>
  </si>
  <si>
    <t>①マークダウン（会員）・マークダウン（一般）・タイムサービス（会員）・タイムサービス（一般）・特売（会員）・特売（一般）の場合、「特売マスタ連携ファイル No.49 内部ディスカウントクラスID」を設定
②バンドル・ミックス（会員）・バンドル・ミックス（一般）・ペアマッチ（会員）・ペアマッチ（一般）の場合、「組合せマスタ連携ファイル No.166 内部ディスカウントクラスID」を設定
③中分類自動値引除外・中分類自動値引・大分類自動値引除外・大分類自動値引の場合、「商品階層自動値引きマスタ連携 No.6 内部ディスカウントクラスID」を設定
④その他の値引は値引操作に従い値引クラスコード（値引分類）を設定</t>
    <rPh sb="307" eb="309">
      <t>セッテイ</t>
    </rPh>
    <phoneticPr fontId="4"/>
  </si>
  <si>
    <t xml:space="preserve">設定値：対象の値引の内部ディスカウントクラスIDを設定
</t>
    <phoneticPr fontId="4"/>
  </si>
  <si>
    <t>EMP_DISC_CD</t>
    <phoneticPr fontId="4"/>
  </si>
  <si>
    <t>従業員ディスカウントコード</t>
    <rPh sb="0" eb="3">
      <t>ジュウギョウイン</t>
    </rPh>
    <phoneticPr fontId="4"/>
  </si>
  <si>
    <t>LineDiscountが従業員ディスカウントのためのものかどうかを識別します。</t>
  </si>
  <si>
    <t>GSFD_DISC_REASON_CODE</t>
    <phoneticPr fontId="4"/>
  </si>
  <si>
    <t>値引理由コード</t>
    <phoneticPr fontId="4"/>
  </si>
  <si>
    <t>値引き理由コード
値引理由コード登録時に設定される</t>
    <phoneticPr fontId="4"/>
  </si>
  <si>
    <t>値引理由は未使用の認識</t>
    <rPh sb="5" eb="8">
      <t>ミシヨウ</t>
    </rPh>
    <rPh sb="9" eb="11">
      <t>ニンシキ</t>
    </rPh>
    <phoneticPr fontId="4"/>
  </si>
  <si>
    <t>企画No</t>
    <phoneticPr fontId="4"/>
  </si>
  <si>
    <r>
      <t>①マークダウン（会員）・マークダウン（一般）・タイムサービス（会員）・タイムサービス（一般）・特売（会員）・特売（一般）の場合、</t>
    </r>
    <r>
      <rPr>
        <sz val="9"/>
        <color rgb="FFFF0000"/>
        <rFont val="ＭＳ Ｐゴシック"/>
        <family val="3"/>
        <charset val="128"/>
      </rPr>
      <t>「特売マスタ連携ファイル No.3 企画No.」</t>
    </r>
    <r>
      <rPr>
        <sz val="9"/>
        <rFont val="ＭＳ Ｐゴシック"/>
        <family val="3"/>
        <charset val="128"/>
      </rPr>
      <t>を設定
②バンドル・ミックス（会員）・バンドル・ミックス（一般）・ペアマッチ（会員）・ペアマッチ（一般）の場合、</t>
    </r>
    <r>
      <rPr>
        <sz val="9"/>
        <color rgb="FFFF0000"/>
        <rFont val="ＭＳ Ｐゴシック"/>
        <family val="3"/>
        <charset val="128"/>
      </rPr>
      <t>「組合せマスタ連携ファイル No.4 企画No.」</t>
    </r>
    <r>
      <rPr>
        <sz val="9"/>
        <rFont val="ＭＳ Ｐゴシック"/>
        <family val="3"/>
        <charset val="128"/>
      </rPr>
      <t>を設定
③中分類自動値引除外・中分類自動値引・大分類自動値引除外・大分類自動値引の場合、</t>
    </r>
    <r>
      <rPr>
        <sz val="9"/>
        <color rgb="FFFF0000"/>
        <rFont val="ＭＳ Ｐゴシック"/>
        <family val="3"/>
        <charset val="128"/>
      </rPr>
      <t>""</t>
    </r>
    <r>
      <rPr>
        <sz val="9"/>
        <rFont val="ＭＳ Ｐゴシック"/>
        <family val="3"/>
        <charset val="128"/>
      </rPr>
      <t>を設定
④その他の値引は""を設定</t>
    </r>
    <phoneticPr fontId="4"/>
  </si>
  <si>
    <t>設定値：対象の値引の企画No.を設定</t>
    <phoneticPr fontId="4"/>
  </si>
  <si>
    <t>GSFD_EVENT_CST_DESCR</t>
    <phoneticPr fontId="4"/>
  </si>
  <si>
    <t>設定不要(固定値)</t>
    <rPh sb="0" eb="2">
      <t>セッテイ</t>
    </rPh>
    <rPh sb="2" eb="4">
      <t>フヨウ</t>
    </rPh>
    <rPh sb="5" eb="8">
      <t>コテイチ</t>
    </rPh>
    <phoneticPr fontId="4"/>
  </si>
  <si>
    <t>GSFD_DISCOUNT_ITM_LIMIT_INIT</t>
    <phoneticPr fontId="4"/>
  </si>
  <si>
    <t>0を設定
※限定販売のため導入ユーザー使用時に個別対応</t>
    <rPh sb="2" eb="4">
      <t>セッテイ</t>
    </rPh>
    <rPh sb="6" eb="8">
      <t>ゲンテイ</t>
    </rPh>
    <rPh sb="8" eb="10">
      <t>ハンバイ</t>
    </rPh>
    <rPh sb="13" eb="15">
      <t>ドウニュウ</t>
    </rPh>
    <rPh sb="19" eb="21">
      <t>シヨウ</t>
    </rPh>
    <rPh sb="21" eb="22">
      <t>ジ</t>
    </rPh>
    <rPh sb="23" eb="25">
      <t>コベツ</t>
    </rPh>
    <rPh sb="25" eb="27">
      <t>タイオウ</t>
    </rPh>
    <phoneticPr fontId="4"/>
  </si>
  <si>
    <t xml:space="preserve">限定販売 
</t>
    <phoneticPr fontId="4"/>
  </si>
  <si>
    <t>GSFD_DISCOUNT_ITM_LIMIT</t>
    <phoneticPr fontId="4"/>
  </si>
  <si>
    <t>GSFD_DISCOUNT_PRE_KEYCODE</t>
    <phoneticPr fontId="4"/>
  </si>
  <si>
    <t>0を設定</t>
    <phoneticPr fontId="4"/>
  </si>
  <si>
    <t>出資金は対応不要</t>
    <rPh sb="0" eb="3">
      <t>シュッシキン</t>
    </rPh>
    <rPh sb="4" eb="8">
      <t>タイオウフヨウ</t>
    </rPh>
    <phoneticPr fontId="4"/>
  </si>
  <si>
    <t>GSFD_DISCOUNT_ITM_PROMO_LMT</t>
    <phoneticPr fontId="4"/>
  </si>
  <si>
    <t>限定販売 
未使用領域の認識。</t>
    <phoneticPr fontId="4"/>
  </si>
  <si>
    <t>GSFD_CUPON_CODE</t>
    <phoneticPr fontId="4"/>
  </si>
  <si>
    <t>空文字を設定</t>
    <rPh sb="0" eb="1">
      <t>カラ</t>
    </rPh>
    <rPh sb="1" eb="3">
      <t>モジ</t>
    </rPh>
    <rPh sb="4" eb="6">
      <t>セッテイ</t>
    </rPh>
    <phoneticPr fontId="4"/>
  </si>
  <si>
    <t>GSFD_DMSEAL</t>
    <phoneticPr fontId="4"/>
  </si>
  <si>
    <t>GSFD_MD_DIFF_AMT</t>
    <phoneticPr fontId="4"/>
  </si>
  <si>
    <t>GSFD_COMBO_BMP</t>
    <phoneticPr fontId="4"/>
  </si>
  <si>
    <t>GSFD_RECEIPT_COUPON</t>
    <phoneticPr fontId="4"/>
  </si>
  <si>
    <t>ディスカウント値2</t>
    <rPh sb="7" eb="8">
      <t>アタイ</t>
    </rPh>
    <phoneticPr fontId="4"/>
  </si>
  <si>
    <t>小計値引(%引)・小計自動割引(%引)の場合、割引率を設定する</t>
    <rPh sb="0" eb="2">
      <t>ショウケイ</t>
    </rPh>
    <rPh sb="2" eb="4">
      <t>ネビキ</t>
    </rPh>
    <rPh sb="6" eb="7">
      <t>イン</t>
    </rPh>
    <rPh sb="9" eb="11">
      <t>ショウケイ</t>
    </rPh>
    <rPh sb="11" eb="13">
      <t>ジドウ</t>
    </rPh>
    <rPh sb="13" eb="15">
      <t>ワリビキ</t>
    </rPh>
    <rPh sb="17" eb="18">
      <t>イン</t>
    </rPh>
    <rPh sb="20" eb="22">
      <t>バアイ</t>
    </rPh>
    <rPh sb="23" eb="25">
      <t>ワリビキ</t>
    </rPh>
    <rPh sb="25" eb="26">
      <t>リツ</t>
    </rPh>
    <rPh sb="27" eb="29">
      <t>セッテイ</t>
    </rPh>
    <phoneticPr fontId="4"/>
  </si>
  <si>
    <t>小計値引(%引)・小計自動割引(%引)の時、値引率を設定。</t>
    <rPh sb="20" eb="21">
      <t>トキ</t>
    </rPh>
    <rPh sb="22" eb="24">
      <t>ネビキ</t>
    </rPh>
    <rPh sb="24" eb="25">
      <t>リツ</t>
    </rPh>
    <rPh sb="26" eb="28">
      <t>セッテイ</t>
    </rPh>
    <phoneticPr fontId="4"/>
  </si>
  <si>
    <t>設定値：小計値引(%引)の時、値引率を設定。</t>
    <phoneticPr fontId="4"/>
  </si>
  <si>
    <t>GSFD_STEP_INFO</t>
    <phoneticPr fontId="4"/>
  </si>
  <si>
    <t>バンドルの成立ステップ情報</t>
    <rPh sb="5" eb="7">
      <t>セイリツ</t>
    </rPh>
    <rPh sb="11" eb="13">
      <t>ジョウホウ</t>
    </rPh>
    <phoneticPr fontId="4"/>
  </si>
  <si>
    <t>BMPの時、多段設定の段数を設定する。</t>
    <rPh sb="4" eb="5">
      <t>トキ</t>
    </rPh>
    <rPh sb="6" eb="8">
      <t>タダン</t>
    </rPh>
    <rPh sb="8" eb="10">
      <t>セッテイ</t>
    </rPh>
    <rPh sb="11" eb="13">
      <t>ダンスウ</t>
    </rPh>
    <rPh sb="14" eb="16">
      <t>セッテイ</t>
    </rPh>
    <phoneticPr fontId="4"/>
  </si>
  <si>
    <r>
      <t>設定値：BMPの時、BMPの成立情報を"|"で区切り設定。</t>
    </r>
    <r>
      <rPr>
        <sz val="9"/>
        <color rgb="FFFF0000"/>
        <rFont val="ＭＳ Ｐゴシック"/>
        <family val="3"/>
        <charset val="128"/>
      </rPr>
      <t xml:space="preserve">
2段目以降の設定がある場合は","で区切って段数分を設定。</t>
    </r>
    <r>
      <rPr>
        <sz val="9"/>
        <rFont val="ＭＳ Ｐゴシック"/>
        <family val="3"/>
        <charset val="128"/>
      </rPr>
      <t xml:space="preserve">
設定値：</t>
    </r>
    <r>
      <rPr>
        <sz val="9"/>
        <color rgb="FFFF0000"/>
        <rFont val="ＭＳ Ｐゴシック"/>
        <family val="3"/>
        <charset val="128"/>
      </rPr>
      <t xml:space="preserve">99999(成立個数 Or 成立組数) + "|" + 99999999(成立金額)  
(2段目がある場合)
      + "," + 99999(成立個数 Or 成立組数) + "|" + 99999999(成立金額)
(3段目以降がある場合は同様に繰り返し設定) 
</t>
    </r>
    <r>
      <rPr>
        <sz val="9"/>
        <rFont val="ＭＳ Ｐゴシック"/>
        <family val="3"/>
        <charset val="128"/>
      </rPr>
      <t xml:space="preserve">
※バンドルの場合は成立個数、ペアの場合は成立組数
</t>
    </r>
    <r>
      <rPr>
        <sz val="9"/>
        <color rgb="FFFF0000"/>
        <rFont val="ＭＳ Ｐゴシック"/>
        <family val="3"/>
        <charset val="128"/>
      </rPr>
      <t>&lt;例1&gt;
バンドルミックスマッチのマスタ設定が
1段：3個 \300 のみの場合
設定値
3|300
&lt;例2&gt;
バンドルミックスマッチのマスタ設定が
1段：2個 \220、2段：4個 \400の場合
設定値
2|220,4|400</t>
    </r>
    <rPh sb="8" eb="9">
      <t>トキ</t>
    </rPh>
    <rPh sb="14" eb="16">
      <t>セイリツ</t>
    </rPh>
    <rPh sb="16" eb="18">
      <t>ジョウホウ</t>
    </rPh>
    <rPh sb="23" eb="25">
      <t>クギ</t>
    </rPh>
    <rPh sb="26" eb="28">
      <t>セッテイ</t>
    </rPh>
    <rPh sb="31" eb="32">
      <t>ダン</t>
    </rPh>
    <rPh sb="32" eb="33">
      <t>メ</t>
    </rPh>
    <rPh sb="33" eb="35">
      <t>イコウ</t>
    </rPh>
    <rPh sb="36" eb="38">
      <t>セッテイ</t>
    </rPh>
    <rPh sb="41" eb="43">
      <t>バアイ</t>
    </rPh>
    <rPh sb="48" eb="50">
      <t>クギ</t>
    </rPh>
    <rPh sb="52" eb="54">
      <t>ダンスウ</t>
    </rPh>
    <rPh sb="54" eb="55">
      <t>ブン</t>
    </rPh>
    <rPh sb="56" eb="58">
      <t>セッテイ</t>
    </rPh>
    <rPh sb="70" eb="72">
      <t>セイリツ</t>
    </rPh>
    <rPh sb="72" eb="74">
      <t>コスウ</t>
    </rPh>
    <rPh sb="103" eb="105">
      <t>キンガク</t>
    </rPh>
    <rPh sb="111" eb="112">
      <t>ダン</t>
    </rPh>
    <rPh sb="112" eb="113">
      <t>メ</t>
    </rPh>
    <rPh sb="116" eb="118">
      <t>バアイ</t>
    </rPh>
    <rPh sb="181" eb="183">
      <t>イコウ</t>
    </rPh>
    <rPh sb="189" eb="191">
      <t>ドウヨウ</t>
    </rPh>
    <rPh sb="192" eb="193">
      <t>ク</t>
    </rPh>
    <rPh sb="194" eb="195">
      <t>カエ</t>
    </rPh>
    <rPh sb="196" eb="198">
      <t>セッテイ</t>
    </rPh>
    <rPh sb="209" eb="211">
      <t>バアイ</t>
    </rPh>
    <rPh sb="220" eb="222">
      <t>バアイ</t>
    </rPh>
    <rPh sb="248" eb="250">
      <t>セッテイ</t>
    </rPh>
    <rPh sb="253" eb="254">
      <t>ダン</t>
    </rPh>
    <rPh sb="266" eb="268">
      <t>バアイ</t>
    </rPh>
    <rPh sb="305" eb="306">
      <t>ダン</t>
    </rPh>
    <rPh sb="316" eb="317">
      <t>ダン</t>
    </rPh>
    <rPh sb="326" eb="328">
      <t>バアイ</t>
    </rPh>
    <phoneticPr fontId="4"/>
  </si>
  <si>
    <t>対象テーブル：TRANSACTION_TAX
形式：TSV</t>
    <rPh sb="0" eb="2">
      <t>タイショウ</t>
    </rPh>
    <phoneticPr fontId="4"/>
  </si>
  <si>
    <t>税種別コード</t>
    <phoneticPr fontId="4"/>
  </si>
  <si>
    <t>商品マスタ連携ファイル
No.4 税種別コード</t>
    <phoneticPr fontId="4"/>
  </si>
  <si>
    <t>設定値： 税種別コードを設定</t>
    <rPh sb="12" eb="14">
      <t>セッテイ</t>
    </rPh>
    <phoneticPr fontId="4"/>
  </si>
  <si>
    <t>内税商品を税率変更(10%⇒8%、8%⇒10%等）した場合は5、それ以外は1を設定する</t>
    <phoneticPr fontId="4"/>
  </si>
  <si>
    <t xml:space="preserve">
設定値：1 or  5
※内税商品を税率変更(10%⇒8%、8%⇒10%等）した場合は5、それ以外は1を設定する</t>
    <rPh sb="15" eb="16">
      <t>ウチ</t>
    </rPh>
    <rPh sb="16" eb="17">
      <t>ゼイ</t>
    </rPh>
    <rPh sb="17" eb="19">
      <t>ショウヒン</t>
    </rPh>
    <rPh sb="20" eb="22">
      <t>ゼイリツ</t>
    </rPh>
    <rPh sb="22" eb="24">
      <t>ヘンコウ</t>
    </rPh>
    <rPh sb="38" eb="39">
      <t>ナド</t>
    </rPh>
    <rPh sb="42" eb="44">
      <t>バアイ</t>
    </rPh>
    <rPh sb="49" eb="51">
      <t>イガイ</t>
    </rPh>
    <rPh sb="54" eb="56">
      <t>セッテイ</t>
    </rPh>
    <phoneticPr fontId="4"/>
  </si>
  <si>
    <t xml:space="preserve">
設定値：外税額を設定</t>
    <rPh sb="9" eb="11">
      <t>セッテイ</t>
    </rPh>
    <phoneticPr fontId="4"/>
  </si>
  <si>
    <t>税金がボイドになった場合は、ゼロ以外の値に設定します。</t>
  </si>
  <si>
    <t>取消明細はignicaPOS側から連携しない</t>
    <rPh sb="0" eb="2">
      <t>トリケシ</t>
    </rPh>
    <rPh sb="2" eb="4">
      <t>メイサイ</t>
    </rPh>
    <rPh sb="14" eb="15">
      <t>ガワ</t>
    </rPh>
    <rPh sb="17" eb="19">
      <t>レンケイ</t>
    </rPh>
    <phoneticPr fontId="4"/>
  </si>
  <si>
    <t>取引に対する累加の内税を示します。</t>
  </si>
  <si>
    <t xml:space="preserve">
設定値：内税の総額を設定
※TAX_CD=99のレコードは0</t>
    <rPh sb="8" eb="10">
      <t>ソウガク</t>
    </rPh>
    <rPh sb="11" eb="13">
      <t>セッテイ</t>
    </rPh>
    <phoneticPr fontId="4"/>
  </si>
  <si>
    <t>内税扱い商品の売上額（内税抜き）</t>
    <phoneticPr fontId="4"/>
  </si>
  <si>
    <t xml:space="preserve">
設定値：内税扱い商品の売上の総額（内税抜き）
※TAX_CD=99のレコードは0</t>
    <rPh sb="15" eb="17">
      <t>ソウガク</t>
    </rPh>
    <phoneticPr fontId="4"/>
  </si>
  <si>
    <t>商品売上額（外税抜き、内税込み）</t>
    <phoneticPr fontId="4"/>
  </si>
  <si>
    <t>設定値：商品売上額（外税抜き、内税込み）を設定
※TAX_CD=99のレコードは
全内税の合計課税対象金額</t>
    <rPh sb="4" eb="6">
      <t>ショウヒン</t>
    </rPh>
    <rPh sb="6" eb="8">
      <t>ウリアゲ</t>
    </rPh>
    <rPh sb="8" eb="9">
      <t>ガク</t>
    </rPh>
    <rPh sb="10" eb="12">
      <t>ソトゼイ</t>
    </rPh>
    <rPh sb="12" eb="13">
      <t>ヌ</t>
    </rPh>
    <rPh sb="15" eb="17">
      <t>ウチゼイ</t>
    </rPh>
    <rPh sb="17" eb="18">
      <t>コ</t>
    </rPh>
    <rPh sb="21" eb="23">
      <t>セッテイ</t>
    </rPh>
    <phoneticPr fontId="4"/>
  </si>
  <si>
    <t xml:space="preserve">
設定値：商品売上額（外税抜き、内税込み）を設定
※TAX_CD=99のレコードは
全内税の合計課税対象金額</t>
    <rPh sb="5" eb="7">
      <t>ショウヒン</t>
    </rPh>
    <rPh sb="7" eb="9">
      <t>ウリアゲ</t>
    </rPh>
    <rPh sb="9" eb="10">
      <t>ガク</t>
    </rPh>
    <rPh sb="11" eb="13">
      <t>ソトゼイ</t>
    </rPh>
    <rPh sb="13" eb="14">
      <t>ヌ</t>
    </rPh>
    <rPh sb="16" eb="18">
      <t>ウチゼイ</t>
    </rPh>
    <rPh sb="18" eb="19">
      <t>コ</t>
    </rPh>
    <rPh sb="22" eb="24">
      <t>セッテイ</t>
    </rPh>
    <phoneticPr fontId="4"/>
  </si>
  <si>
    <t>TAX_EXMPT_AMT</t>
    <phoneticPr fontId="4"/>
  </si>
  <si>
    <t>免税金額</t>
  </si>
  <si>
    <t>TaxAmountを計算するときに課税免除された額</t>
  </si>
  <si>
    <t>ignicaPOS側で免税しない前提</t>
    <rPh sb="9" eb="10">
      <t>ガワ</t>
    </rPh>
    <rPh sb="11" eb="13">
      <t>メンゼイ</t>
    </rPh>
    <rPh sb="16" eb="18">
      <t>ゼンテイ</t>
    </rPh>
    <phoneticPr fontId="4"/>
  </si>
  <si>
    <t>TAX_FORGV_AMT</t>
    <phoneticPr fontId="4"/>
  </si>
  <si>
    <t>免税金額（食料キップ）</t>
    <rPh sb="0" eb="2">
      <t>メンゼイ</t>
    </rPh>
    <rPh sb="2" eb="4">
      <t>キンガク</t>
    </rPh>
    <rPh sb="5" eb="7">
      <t>ショクリョウ</t>
    </rPh>
    <phoneticPr fontId="4"/>
  </si>
  <si>
    <t>取引に対する支払に食料キップが使用されたために、計算され、「免除」された税額を示します。</t>
    <rPh sb="9" eb="11">
      <t>ショクリョウ</t>
    </rPh>
    <phoneticPr fontId="4"/>
  </si>
  <si>
    <t>対象テーブル：TRANSACTION_TENDER
形式：TSV</t>
    <rPh sb="0" eb="2">
      <t>タイショウ</t>
    </rPh>
    <phoneticPr fontId="4"/>
  </si>
  <si>
    <t>(補足説明)
現外支払い後に中止した場合
にのみ作成</t>
    <rPh sb="1" eb="3">
      <t>ホソク</t>
    </rPh>
    <rPh sb="3" eb="5">
      <t>セツメイ</t>
    </rPh>
    <phoneticPr fontId="4"/>
  </si>
  <si>
    <t xml:space="preserve">
設定値：
1取引内の下記テーブルのレコードの同一カラム名に通し番号を振る(番号が重複しなければ順不同で構わない)
・GL_TRAN
・TRANSACTION_TENDER</t>
    <rPh sb="7" eb="9">
      <t>トリヒキ</t>
    </rPh>
    <rPh sb="9" eb="10">
      <t>ナイ</t>
    </rPh>
    <rPh sb="11" eb="13">
      <t>カキ</t>
    </rPh>
    <rPh sb="23" eb="25">
      <t>ドウイツ</t>
    </rPh>
    <rPh sb="28" eb="29">
      <t>メイ</t>
    </rPh>
    <rPh sb="30" eb="31">
      <t>トオ</t>
    </rPh>
    <rPh sb="32" eb="34">
      <t>バンゴウ</t>
    </rPh>
    <rPh sb="35" eb="36">
      <t>フ</t>
    </rPh>
    <rPh sb="38" eb="40">
      <t>バンゴウ</t>
    </rPh>
    <rPh sb="41" eb="43">
      <t>チョウフク</t>
    </rPh>
    <rPh sb="48" eb="51">
      <t>ジュンフドウ</t>
    </rPh>
    <rPh sb="52" eb="53">
      <t>カマ</t>
    </rPh>
    <phoneticPr fontId="4"/>
  </si>
  <si>
    <t>支払種別コード</t>
    <phoneticPr fontId="4"/>
  </si>
  <si>
    <t xml:space="preserve">  1～99 ：現金支払
100～199：券支払
200～299：クレジット支払
300～399：掛け支払
400～499：その他支払</t>
    <rPh sb="8" eb="10">
      <t>ゲンキン</t>
    </rPh>
    <rPh sb="10" eb="12">
      <t>シハライ</t>
    </rPh>
    <rPh sb="21" eb="22">
      <t>ケン</t>
    </rPh>
    <rPh sb="22" eb="24">
      <t>シハライ</t>
    </rPh>
    <rPh sb="38" eb="40">
      <t>シハライ</t>
    </rPh>
    <rPh sb="49" eb="50">
      <t>カ</t>
    </rPh>
    <rPh sb="51" eb="53">
      <t>シハライ</t>
    </rPh>
    <rPh sb="64" eb="65">
      <t>ホカ</t>
    </rPh>
    <rPh sb="65" eb="67">
      <t>シハライ</t>
    </rPh>
    <phoneticPr fontId="4"/>
  </si>
  <si>
    <t>現外設定マスタ連携
No.1 支払種別コード</t>
    <phoneticPr fontId="4"/>
  </si>
  <si>
    <t xml:space="preserve">
設定値：支払われた現外券の支払種別コード
</t>
    <rPh sb="5" eb="7">
      <t>シハラ</t>
    </rPh>
    <rPh sb="10" eb="13">
      <t>ゲンガイケン</t>
    </rPh>
    <rPh sb="14" eb="16">
      <t>シハラ</t>
    </rPh>
    <rPh sb="16" eb="18">
      <t>シュベツ</t>
    </rPh>
    <phoneticPr fontId="4"/>
  </si>
  <si>
    <t xml:space="preserve">
設定値：1(固定)
※1:現金のみ</t>
    <rPh sb="7" eb="9">
      <t>コテイ</t>
    </rPh>
    <rPh sb="15" eb="17">
      <t>ゲンキン</t>
    </rPh>
    <phoneticPr fontId="4"/>
  </si>
  <si>
    <t>テンダー情報が取引に入力された日付と時間</t>
    <phoneticPr fontId="4"/>
  </si>
  <si>
    <t xml:space="preserve">
設定値：テンダー情報が取引に追加された日付と時間
&lt;例&gt;
2018-04-15 15:0:15.000</t>
    <rPh sb="15" eb="17">
      <t>ツイカ</t>
    </rPh>
    <rPh sb="28" eb="29">
      <t>レイ</t>
    </rPh>
    <phoneticPr fontId="4"/>
  </si>
  <si>
    <t>取引終了時刻しか持っていない場合は取引終了時刻を設定する。</t>
    <rPh sb="14" eb="16">
      <t>バアイ</t>
    </rPh>
    <phoneticPr fontId="4"/>
  </si>
  <si>
    <t>合計金額
釣りの時は､お釣りがマイナス値として
設定される。</t>
    <rPh sb="0" eb="2">
      <t>ゴウケイ</t>
    </rPh>
    <rPh sb="2" eb="4">
      <t>キンガク</t>
    </rPh>
    <phoneticPr fontId="4"/>
  </si>
  <si>
    <t xml:space="preserve">
設定値：支払金額×券枚数
＜例＞
-20</t>
    <rPh sb="5" eb="7">
      <t>シハライ</t>
    </rPh>
    <rPh sb="7" eb="9">
      <t>キンガク</t>
    </rPh>
    <rPh sb="15" eb="16">
      <t>レイ</t>
    </rPh>
    <phoneticPr fontId="4"/>
  </si>
  <si>
    <t xml:space="preserve">
設定値：支払金額×券枚数
＜例＞
20</t>
    <rPh sb="5" eb="7">
      <t>シハライ</t>
    </rPh>
    <rPh sb="7" eb="9">
      <t>キンガク</t>
    </rPh>
    <rPh sb="15" eb="16">
      <t>レイ</t>
    </rPh>
    <phoneticPr fontId="4"/>
  </si>
  <si>
    <t>このテンダータイプがPOSデバイスに認識される方法
オペレータ入力､カード入力等の種別を設定する。</t>
    <phoneticPr fontId="4"/>
  </si>
  <si>
    <t>支払総額
Amountと同じ値が設定される。</t>
    <rPh sb="0" eb="2">
      <t>シハライ</t>
    </rPh>
    <rPh sb="2" eb="4">
      <t>ソウガク</t>
    </rPh>
    <phoneticPr fontId="4"/>
  </si>
  <si>
    <t xml:space="preserve">
設定値：No.6 合計金額と同じ値を設定
＜例＞
-20</t>
    <rPh sb="10" eb="12">
      <t>ゴウケイ</t>
    </rPh>
    <rPh sb="12" eb="14">
      <t>キンガク</t>
    </rPh>
    <rPh sb="15" eb="16">
      <t>オナ</t>
    </rPh>
    <rPh sb="17" eb="18">
      <t>アタイ</t>
    </rPh>
    <rPh sb="19" eb="21">
      <t>セッテイ</t>
    </rPh>
    <rPh sb="23" eb="24">
      <t>レイ</t>
    </rPh>
    <phoneticPr fontId="4"/>
  </si>
  <si>
    <t xml:space="preserve">
設定値：No.6 合計金額と同じ値を設定
＜例＞
20</t>
    <rPh sb="10" eb="12">
      <t>ゴウケイ</t>
    </rPh>
    <rPh sb="12" eb="14">
      <t>キンガク</t>
    </rPh>
    <rPh sb="15" eb="16">
      <t>オナ</t>
    </rPh>
    <rPh sb="17" eb="18">
      <t>アタイ</t>
    </rPh>
    <rPh sb="19" eb="21">
      <t>セッテイ</t>
    </rPh>
    <rPh sb="23" eb="24">
      <t>レイ</t>
    </rPh>
    <phoneticPr fontId="4"/>
  </si>
  <si>
    <t>テンダーがボイドにされた場合は、ゼロ以外の値に設定します。
 0：通常
11：直前訂正
12：行№訂正
13：一括訂正
15：指定訂正
18：Dummy Void (現外支払)
19：タッチ訂正</t>
    <phoneticPr fontId="4"/>
  </si>
  <si>
    <t xml:space="preserve">
設定値：Dummy明細の場合は18、それ以外は0</t>
    <rPh sb="10" eb="12">
      <t>メイサイ</t>
    </rPh>
    <rPh sb="13" eb="15">
      <t>バアイ</t>
    </rPh>
    <rPh sb="21" eb="23">
      <t>イガイ</t>
    </rPh>
    <phoneticPr fontId="4"/>
  </si>
  <si>
    <t xml:space="preserve">
設定値：0（固定）</t>
    <rPh sb="7" eb="9">
      <t>コテイ</t>
    </rPh>
    <phoneticPr fontId="4"/>
  </si>
  <si>
    <t>現外支払時にDummy明細が作成される。ダミー明細の作成仕様は別途記述。</t>
    <rPh sb="0" eb="1">
      <t>ゲン</t>
    </rPh>
    <rPh sb="1" eb="2">
      <t>ソト</t>
    </rPh>
    <rPh sb="2" eb="4">
      <t>シハライ</t>
    </rPh>
    <rPh sb="4" eb="5">
      <t>ジ</t>
    </rPh>
    <rPh sb="11" eb="13">
      <t>メイサイ</t>
    </rPh>
    <rPh sb="14" eb="16">
      <t>サクセイ</t>
    </rPh>
    <rPh sb="23" eb="25">
      <t>メイサイ</t>
    </rPh>
    <rPh sb="26" eb="28">
      <t>サクセイ</t>
    </rPh>
    <rPh sb="28" eb="30">
      <t>シヨウ</t>
    </rPh>
    <rPh sb="31" eb="35">
      <t>ベットキジュツ</t>
    </rPh>
    <phoneticPr fontId="4"/>
  </si>
  <si>
    <t>CURR_ID</t>
    <phoneticPr fontId="4"/>
  </si>
  <si>
    <t>通貨コード</t>
  </si>
  <si>
    <t>テンダーに使用される、国の通貨</t>
    <phoneticPr fontId="4"/>
  </si>
  <si>
    <t>未使用</t>
    <rPh sb="0" eb="3">
      <t>ミシヨウ</t>
    </rPh>
    <phoneticPr fontId="4"/>
  </si>
  <si>
    <t>CURR_DENOM_ID</t>
    <phoneticPr fontId="4"/>
  </si>
  <si>
    <t>DENOM_CNT</t>
    <phoneticPr fontId="4"/>
  </si>
  <si>
    <t>券換金</t>
    <phoneticPr fontId="4"/>
  </si>
  <si>
    <t>券換金（釣有券の釣銭額）</t>
    <phoneticPr fontId="4"/>
  </si>
  <si>
    <t xml:space="preserve">
設定値：釣有現外券の釣銭金額
券換金（釣有券の釣銭額）
TND_CD=1の現金明細（お釣り）に設定される</t>
    <rPh sb="5" eb="6">
      <t>ツ</t>
    </rPh>
    <rPh sb="6" eb="7">
      <t>アリ</t>
    </rPh>
    <rPh sb="7" eb="10">
      <t>ゲンガイケン</t>
    </rPh>
    <rPh sb="11" eb="13">
      <t>ツリセン</t>
    </rPh>
    <rPh sb="13" eb="15">
      <t>キンガク</t>
    </rPh>
    <rPh sb="39" eb="41">
      <t>ゲンキン</t>
    </rPh>
    <rPh sb="41" eb="43">
      <t>メイサイ</t>
    </rPh>
    <rPh sb="45" eb="46">
      <t>ツ</t>
    </rPh>
    <rPh sb="49" eb="51">
      <t>セッテイ</t>
    </rPh>
    <phoneticPr fontId="4"/>
  </si>
  <si>
    <t xml:space="preserve">
設定値：0
現外券支払はないため0固定
</t>
    <rPh sb="8" eb="13">
      <t>ゲンガイケンシハライ</t>
    </rPh>
    <rPh sb="19" eb="21">
      <t>コテイ</t>
    </rPh>
    <phoneticPr fontId="4"/>
  </si>
  <si>
    <t>GSFD_SPLS_NON_CASH_AMT</t>
    <phoneticPr fontId="4"/>
  </si>
  <si>
    <t>釣銭超過金</t>
    <phoneticPr fontId="4"/>
  </si>
  <si>
    <t>釣銭超過金（釣無券の釣銭額）</t>
    <phoneticPr fontId="4"/>
  </si>
  <si>
    <t>いなげやでは、過剰現外券を使用していない認識</t>
    <rPh sb="7" eb="9">
      <t>カジョウ</t>
    </rPh>
    <rPh sb="9" eb="10">
      <t>ゲン</t>
    </rPh>
    <rPh sb="10" eb="11">
      <t>ソト</t>
    </rPh>
    <rPh sb="11" eb="12">
      <t>ケン</t>
    </rPh>
    <rPh sb="13" eb="15">
      <t>シヨウ</t>
    </rPh>
    <rPh sb="20" eb="22">
      <t>ニンシキ</t>
    </rPh>
    <phoneticPr fontId="4"/>
  </si>
  <si>
    <t>券枚数</t>
    <phoneticPr fontId="4"/>
  </si>
  <si>
    <t xml:space="preserve">
設定値：現外券枚数
</t>
    <rPh sb="5" eb="6">
      <t>ゲン</t>
    </rPh>
    <rPh sb="6" eb="7">
      <t>ソト</t>
    </rPh>
    <rPh sb="7" eb="8">
      <t>ケン</t>
    </rPh>
    <rPh sb="8" eb="10">
      <t>マイスウ</t>
    </rPh>
    <phoneticPr fontId="4"/>
  </si>
  <si>
    <t>ignicaPOS側で現外券支払を行った場合に設定</t>
  </si>
  <si>
    <t>GSFD_DFRD_MEMBER_ID</t>
    <phoneticPr fontId="4"/>
  </si>
  <si>
    <t>掛け支払顧客ｺｰﾄﾞ</t>
    <phoneticPr fontId="4"/>
  </si>
  <si>
    <t>掛け支払時、掛け支払顧客コードが入る。</t>
    <phoneticPr fontId="4"/>
  </si>
  <si>
    <t>掛支払は対象外</t>
    <rPh sb="0" eb="1">
      <t>カ</t>
    </rPh>
    <rPh sb="1" eb="3">
      <t>シハラ</t>
    </rPh>
    <rPh sb="4" eb="7">
      <t>タイショウガイ</t>
    </rPh>
    <phoneticPr fontId="4"/>
  </si>
  <si>
    <t>万券枚数</t>
    <phoneticPr fontId="4"/>
  </si>
  <si>
    <t>万券枚数。万券登録を行った際の枚数が入る。万券登録を行わなかった場合は"0"が入る。</t>
    <phoneticPr fontId="4"/>
  </si>
  <si>
    <t xml:space="preserve">
設定値：0(固定)</t>
    <rPh sb="7" eb="9">
      <t>コテイ</t>
    </rPh>
    <phoneticPr fontId="4"/>
  </si>
  <si>
    <t>GSFD_GCAT_CLS</t>
    <phoneticPr fontId="4"/>
  </si>
  <si>
    <t>CATｵﾌﾟｼｮﾝ情報</t>
    <phoneticPr fontId="4"/>
  </si>
  <si>
    <t>ignicaPOS側でCATは使用しない</t>
    <rPh sb="9" eb="10">
      <t>ガワ</t>
    </rPh>
    <rPh sb="15" eb="17">
      <t>シヨウ</t>
    </rPh>
    <phoneticPr fontId="4"/>
  </si>
  <si>
    <t>GSFD_GCAT_CARD</t>
    <phoneticPr fontId="4"/>
  </si>
  <si>
    <t>GSFD_CARD_COMPANY_CD</t>
    <phoneticPr fontId="4"/>
  </si>
  <si>
    <t>GSFD_CARD_COMPANY_NAME</t>
    <phoneticPr fontId="4"/>
  </si>
  <si>
    <t>GSFD_CARD_ACCT_NBR</t>
    <phoneticPr fontId="4"/>
  </si>
  <si>
    <t>GSFD_GCAT_DOC_NO</t>
    <phoneticPr fontId="4"/>
  </si>
  <si>
    <t>商品券/値引券</t>
    <phoneticPr fontId="4"/>
  </si>
  <si>
    <t>スキャンしたクーポンバーコードを格納</t>
    <rPh sb="16" eb="18">
      <t>カクノウ</t>
    </rPh>
    <phoneticPr fontId="4"/>
  </si>
  <si>
    <t>商品券バーコードマスタ連携ファイル
No.1 スキャンコード</t>
    <phoneticPr fontId="4"/>
  </si>
  <si>
    <t xml:space="preserve">
設定値：現外券バーコード
</t>
    <rPh sb="5" eb="6">
      <t>ゲン</t>
    </rPh>
    <rPh sb="6" eb="7">
      <t>ソト</t>
    </rPh>
    <rPh sb="7" eb="8">
      <t>ケン</t>
    </rPh>
    <phoneticPr fontId="4"/>
  </si>
  <si>
    <t xml:space="preserve">
設定値：""(空)
現外券支払はないため""(空)固定
</t>
    <rPh sb="8" eb="9">
      <t>カラ</t>
    </rPh>
    <rPh sb="12" eb="17">
      <t>ゲンガイケンシハライ</t>
    </rPh>
    <rPh sb="27" eb="29">
      <t>コテイ</t>
    </rPh>
    <phoneticPr fontId="4"/>
  </si>
  <si>
    <t>ignicaPOS側で現外券バーコード登録を行った場合に設定</t>
    <rPh sb="19" eb="21">
      <t>トウロク</t>
    </rPh>
    <phoneticPr fontId="4"/>
  </si>
  <si>
    <t>GSFD_INVALIDCASH_FLG</t>
    <phoneticPr fontId="4"/>
  </si>
  <si>
    <t>券支払の集計補正
通番修正時に設定されるため、ignicaPOS側では設定なし</t>
    <rPh sb="0" eb="1">
      <t>ケン</t>
    </rPh>
    <rPh sb="1" eb="3">
      <t>シハライ</t>
    </rPh>
    <rPh sb="4" eb="6">
      <t>シュウケイ</t>
    </rPh>
    <rPh sb="6" eb="8">
      <t>ホセイ</t>
    </rPh>
    <rPh sb="9" eb="11">
      <t>ツウバン</t>
    </rPh>
    <rPh sb="11" eb="13">
      <t>シュウセイ</t>
    </rPh>
    <rPh sb="13" eb="14">
      <t>ジ</t>
    </rPh>
    <rPh sb="15" eb="17">
      <t>セッテイ</t>
    </rPh>
    <rPh sb="32" eb="33">
      <t>ガワ</t>
    </rPh>
    <rPh sb="35" eb="37">
      <t>セッテイ</t>
    </rPh>
    <phoneticPr fontId="4"/>
  </si>
  <si>
    <t>GSFD_EDY_CARD</t>
    <phoneticPr fontId="4"/>
  </si>
  <si>
    <t>Edy情報</t>
    <phoneticPr fontId="4"/>
  </si>
  <si>
    <t>以下の項目をｶﾝﾏ区切りで設定
Edy売上年月日,Edy売上時刻,上位端末ID,TerminalID,
EM取扱通番,カード取扱通番,Edyｶｰﾄﾞ番号,取引区分,
売上金額,カード残高,取引前残高
例)
20060728,101625,07100005,00000004,5021000014,00050,1234567890123456,1500,3000,44,2058</t>
    <phoneticPr fontId="4"/>
  </si>
  <si>
    <t>Edy支払は対応しない</t>
    <rPh sb="3" eb="5">
      <t>シハライ</t>
    </rPh>
    <rPh sb="6" eb="8">
      <t>タイオウ</t>
    </rPh>
    <phoneticPr fontId="4"/>
  </si>
  <si>
    <t>GSFD_SUICA_CARD</t>
    <phoneticPr fontId="4"/>
  </si>
  <si>
    <t>Suica支払は対応しない</t>
    <rPh sb="5" eb="7">
      <t>シハライ</t>
    </rPh>
    <rPh sb="8" eb="10">
      <t>タイオウ</t>
    </rPh>
    <phoneticPr fontId="4"/>
  </si>
  <si>
    <t>新満点券発券番号
新満点券の発券番号を格納する
※満点券使用時にSET
　</t>
    <rPh sb="0" eb="1">
      <t>シン</t>
    </rPh>
    <rPh sb="1" eb="3">
      <t>マンテン</t>
    </rPh>
    <rPh sb="3" eb="4">
      <t>ケン</t>
    </rPh>
    <rPh sb="4" eb="6">
      <t>ハッケン</t>
    </rPh>
    <rPh sb="6" eb="8">
      <t>バンゴウ</t>
    </rPh>
    <rPh sb="26" eb="28">
      <t>マンテン</t>
    </rPh>
    <rPh sb="28" eb="29">
      <t>ケン</t>
    </rPh>
    <rPh sb="29" eb="32">
      <t>シヨウジ</t>
    </rPh>
    <phoneticPr fontId="4"/>
  </si>
  <si>
    <t>現外券支払時に設定
いなげやは満点券なし</t>
    <rPh sb="0" eb="1">
      <t>ゲン</t>
    </rPh>
    <rPh sb="1" eb="2">
      <t>ソト</t>
    </rPh>
    <rPh sb="2" eb="3">
      <t>ケン</t>
    </rPh>
    <rPh sb="3" eb="5">
      <t>シハライ</t>
    </rPh>
    <rPh sb="5" eb="6">
      <t>ジ</t>
    </rPh>
    <rPh sb="7" eb="9">
      <t>セッテイ</t>
    </rPh>
    <rPh sb="15" eb="18">
      <t>マンテンケン</t>
    </rPh>
    <phoneticPr fontId="4"/>
  </si>
  <si>
    <t>GSFD_PNT_TCKT_US_STATE</t>
    <phoneticPr fontId="4"/>
  </si>
  <si>
    <t>使用情報更新時状態コード　</t>
    <phoneticPr fontId="4"/>
  </si>
  <si>
    <t>使用情報更新時状態コード　
０：未使用、１：正常更新、２：未発行使用、３：有効期限切れ使用、４：オフライン使用
※満点券使用時にSET
　</t>
    <phoneticPr fontId="4"/>
  </si>
  <si>
    <t>現外券支払時に設定
満点券なし</t>
    <rPh sb="0" eb="1">
      <t>ゲン</t>
    </rPh>
    <rPh sb="1" eb="2">
      <t>ソト</t>
    </rPh>
    <rPh sb="2" eb="3">
      <t>ケン</t>
    </rPh>
    <rPh sb="3" eb="5">
      <t>シハライ</t>
    </rPh>
    <rPh sb="5" eb="6">
      <t>ジ</t>
    </rPh>
    <rPh sb="7" eb="9">
      <t>セッテイ</t>
    </rPh>
    <rPh sb="10" eb="13">
      <t>マンテンケン</t>
    </rPh>
    <phoneticPr fontId="4"/>
  </si>
  <si>
    <t>GSFD_CARD_COMPCODE</t>
    <phoneticPr fontId="4"/>
  </si>
  <si>
    <t>GSFD_CARD_COMPNAME</t>
    <phoneticPr fontId="4"/>
  </si>
  <si>
    <t>GSFD_CARD_HTNO</t>
    <phoneticPr fontId="4"/>
  </si>
  <si>
    <t>GSFD_EDY_AMOUNT</t>
    <phoneticPr fontId="4"/>
  </si>
  <si>
    <t>GSFD_EDY_CARD_ID</t>
    <phoneticPr fontId="4"/>
  </si>
  <si>
    <t>GSFD_EDY_PRESALES_REMAINDER</t>
    <phoneticPr fontId="4"/>
  </si>
  <si>
    <t>GSFD_EDY_REMAIN</t>
    <phoneticPr fontId="4"/>
  </si>
  <si>
    <t>GSFD_EDY_HIGH_TERMINAL_ID</t>
    <phoneticPr fontId="4"/>
  </si>
  <si>
    <t>GSFD_POSI_CHECK_INFO</t>
    <phoneticPr fontId="4"/>
  </si>
  <si>
    <t>GSFD_GIFT_CHANGE</t>
    <phoneticPr fontId="4"/>
  </si>
  <si>
    <t>通番取消時に設定</t>
    <rPh sb="0" eb="2">
      <t>ツウバン</t>
    </rPh>
    <rPh sb="2" eb="4">
      <t>トリケシ</t>
    </rPh>
    <rPh sb="4" eb="5">
      <t>ジ</t>
    </rPh>
    <rPh sb="6" eb="8">
      <t>セッテイ</t>
    </rPh>
    <phoneticPr fontId="4"/>
  </si>
  <si>
    <t>GSFD_ID_CARD</t>
    <phoneticPr fontId="4"/>
  </si>
  <si>
    <t>iD支払は対応しない</t>
    <rPh sb="2" eb="4">
      <t>シハライ</t>
    </rPh>
    <phoneticPr fontId="4"/>
  </si>
  <si>
    <t>コード決済ログ情報</t>
    <phoneticPr fontId="4"/>
  </si>
  <si>
    <t>設定値：コード決済のログ情報を設定する。</t>
    <rPh sb="7" eb="9">
      <t>ケッサイ</t>
    </rPh>
    <rPh sb="12" eb="14">
      <t>ジョウホウ</t>
    </rPh>
    <rPh sb="15" eb="17">
      <t>セッテイ</t>
    </rPh>
    <phoneticPr fontId="4"/>
  </si>
  <si>
    <t xml:space="preserve">設定値：""(空)
</t>
    <rPh sb="7" eb="8">
      <t>カラ</t>
    </rPh>
    <phoneticPr fontId="4"/>
  </si>
  <si>
    <t>イオンフィナンシャルからのコード決済応答値を設定する。
設定形式は「■コード決済取引明細ログレイアウト」参照</t>
    <phoneticPr fontId="4"/>
  </si>
  <si>
    <t>GSFD_POSI_CHECK_INFO2</t>
    <phoneticPr fontId="4"/>
  </si>
  <si>
    <t>GSFD_CARD_NAME_HOUSE</t>
    <phoneticPr fontId="4"/>
  </si>
  <si>
    <t>ハウスカード名称</t>
    <rPh sb="6" eb="8">
      <t>メイショウ</t>
    </rPh>
    <phoneticPr fontId="4"/>
  </si>
  <si>
    <t>GSFD_QP_CARD</t>
    <phoneticPr fontId="4"/>
  </si>
  <si>
    <t>QuicPay情報</t>
    <rPh sb="7" eb="9">
      <t>ジョウホウ</t>
    </rPh>
    <phoneticPr fontId="4"/>
  </si>
  <si>
    <t>収益認識会計基準</t>
    <rPh sb="0" eb="2">
      <t>シュウエキ</t>
    </rPh>
    <rPh sb="2" eb="4">
      <t>ニンシキ</t>
    </rPh>
    <rPh sb="4" eb="6">
      <t>カイケイ</t>
    </rPh>
    <rPh sb="6" eb="8">
      <t>キジュン</t>
    </rPh>
    <phoneticPr fontId="4"/>
  </si>
  <si>
    <t>値引扱い現外減算後税情報</t>
    <rPh sb="0" eb="3">
      <t>ネビキアツカ</t>
    </rPh>
    <rPh sb="4" eb="6">
      <t>ゲンソト</t>
    </rPh>
    <rPh sb="6" eb="9">
      <t>ゲンザンゴ</t>
    </rPh>
    <rPh sb="9" eb="12">
      <t>ゼイジョウホウ</t>
    </rPh>
    <phoneticPr fontId="4"/>
  </si>
  <si>
    <t>対象テーブル：GIFT_CERT_TENDER
形式：TSV</t>
    <rPh sb="0" eb="2">
      <t>タイショウ</t>
    </rPh>
    <phoneticPr fontId="4"/>
  </si>
  <si>
    <t>SRC_STR_ID</t>
    <phoneticPr fontId="4"/>
  </si>
  <si>
    <t>発行店舗番号</t>
    <phoneticPr fontId="6"/>
  </si>
  <si>
    <t>GFT_CERT_ID</t>
    <phoneticPr fontId="4"/>
  </si>
  <si>
    <t>商品券番号</t>
    <rPh sb="0" eb="3">
      <t>ショウヒンケン</t>
    </rPh>
    <phoneticPr fontId="6"/>
  </si>
  <si>
    <t>店舗番号</t>
    <rPh sb="0" eb="2">
      <t>テンポ</t>
    </rPh>
    <rPh sb="2" eb="4">
      <t>バンゴウ</t>
    </rPh>
    <phoneticPr fontId="4"/>
  </si>
  <si>
    <t>TRANS_HEADERと同じ</t>
    <rPh sb="13" eb="14">
      <t>オナ</t>
    </rPh>
    <phoneticPr fontId="4"/>
  </si>
  <si>
    <t>取引の明細レベルに割当てられるライン番号</t>
    <phoneticPr fontId="6"/>
  </si>
  <si>
    <t xml:space="preserve">
設定値：
対応するTRANSACTION_TENDERのレコードのTRAN_LN_NBRを設定
(TRANSACTION_TENDERの1レコードに対して1レコード作成する)</t>
    <rPh sb="6" eb="8">
      <t>タイオウ</t>
    </rPh>
    <rPh sb="46" eb="48">
      <t>セッテイ</t>
    </rPh>
    <rPh sb="75" eb="76">
      <t>タイ</t>
    </rPh>
    <rPh sb="83" eb="85">
      <t>サクセイ</t>
    </rPh>
    <phoneticPr fontId="4"/>
  </si>
  <si>
    <t>取引の識別子</t>
    <rPh sb="0" eb="2">
      <t>トリヒキ</t>
    </rPh>
    <rPh sb="3" eb="6">
      <t>シキベツシ</t>
    </rPh>
    <phoneticPr fontId="6"/>
  </si>
  <si>
    <t>GFT_CERT_AMT</t>
    <phoneticPr fontId="4"/>
  </si>
  <si>
    <t>商品券価格</t>
    <rPh sb="0" eb="3">
      <t>ショウヒンケン</t>
    </rPh>
    <rPh sb="3" eb="5">
      <t>カカク</t>
    </rPh>
    <phoneticPr fontId="6"/>
  </si>
  <si>
    <t>商品券の額面価格</t>
    <rPh sb="0" eb="3">
      <t>ショウヒンケン</t>
    </rPh>
    <rPh sb="4" eb="6">
      <t>ガクメン</t>
    </rPh>
    <rPh sb="6" eb="8">
      <t>カカク</t>
    </rPh>
    <phoneticPr fontId="6"/>
  </si>
  <si>
    <t xml:space="preserve">
設定値：現外の支払額を設定
</t>
    <rPh sb="8" eb="10">
      <t>シハラ</t>
    </rPh>
    <phoneticPr fontId="4"/>
  </si>
  <si>
    <t>CHANGE_AMT</t>
    <phoneticPr fontId="4"/>
  </si>
  <si>
    <t>釣銭金額</t>
    <rPh sb="0" eb="2">
      <t>ツリセン</t>
    </rPh>
    <rPh sb="2" eb="4">
      <t>キンガク</t>
    </rPh>
    <phoneticPr fontId="6"/>
  </si>
  <si>
    <t>釣銭は出ないので０固定
釣りあり現金でお釣り排出時も０</t>
    <rPh sb="12" eb="13">
      <t>ツ</t>
    </rPh>
    <rPh sb="16" eb="18">
      <t>ゲンキン</t>
    </rPh>
    <rPh sb="20" eb="21">
      <t>ツ</t>
    </rPh>
    <rPh sb="22" eb="24">
      <t>ハイシュツ</t>
    </rPh>
    <rPh sb="24" eb="25">
      <t>ジ</t>
    </rPh>
    <phoneticPr fontId="4"/>
  </si>
  <si>
    <t>対象テーブル：GSFD_PNT_TRANS_HEADER
形式：TSV</t>
    <rPh sb="0" eb="2">
      <t>タイショウ</t>
    </rPh>
    <phoneticPr fontId="4"/>
  </si>
  <si>
    <t>取引通番</t>
    <phoneticPr fontId="6"/>
  </si>
  <si>
    <t>顧客あり取引で出力される
TRANS_HEADERと同じ</t>
    <rPh sb="0" eb="2">
      <t>コキャク</t>
    </rPh>
    <rPh sb="4" eb="6">
      <t>トリヒキ</t>
    </rPh>
    <rPh sb="7" eb="9">
      <t>シュツリョク</t>
    </rPh>
    <rPh sb="26" eb="27">
      <t>オナ</t>
    </rPh>
    <phoneticPr fontId="4"/>
  </si>
  <si>
    <t>店舗番号</t>
    <rPh sb="0" eb="2">
      <t>テンポ</t>
    </rPh>
    <rPh sb="2" eb="4">
      <t>バンゴウ</t>
    </rPh>
    <phoneticPr fontId="6"/>
  </si>
  <si>
    <t>POS取引通番</t>
    <rPh sb="3" eb="5">
      <t>トリヒキ</t>
    </rPh>
    <rPh sb="5" eb="7">
      <t>ツウバン</t>
    </rPh>
    <phoneticPr fontId="6"/>
  </si>
  <si>
    <t xml:space="preserve">
設定値：取引通番
</t>
    <rPh sb="5" eb="7">
      <t>トリヒキ</t>
    </rPh>
    <rPh sb="7" eb="9">
      <t>ツウバン</t>
    </rPh>
    <phoneticPr fontId="4"/>
  </si>
  <si>
    <t>TRANS_HEADERと同じ</t>
    <phoneticPr fontId="4"/>
  </si>
  <si>
    <t xml:space="preserve">ignicaPOS側で設定
設定値：POS番号を設定
</t>
    <rPh sb="9" eb="10">
      <t>ガワ</t>
    </rPh>
    <rPh sb="11" eb="13">
      <t>セッテイ</t>
    </rPh>
    <phoneticPr fontId="4"/>
  </si>
  <si>
    <t xml:space="preserve">
設定値：取引開始時刻を設定
9999-99-99 99:99:99.000
&lt;例&gt;
2021-02-04 10:4:57.000</t>
    <rPh sb="5" eb="7">
      <t>トリヒキ</t>
    </rPh>
    <rPh sb="7" eb="9">
      <t>カイシ</t>
    </rPh>
    <rPh sb="9" eb="11">
      <t>ジコク</t>
    </rPh>
    <rPh sb="12" eb="14">
      <t>セッテイ</t>
    </rPh>
    <rPh sb="40" eb="41">
      <t>レイ</t>
    </rPh>
    <phoneticPr fontId="4"/>
  </si>
  <si>
    <t>●</t>
    <phoneticPr fontId="6"/>
  </si>
  <si>
    <t xml:space="preserve">
設定値：登録した顧客コード。プリンスポイント対象金額が存在する場合はプリンスポイント対象金額を設定
上記以外の場合は、""(空)</t>
    <rPh sb="5" eb="7">
      <t>トウロク</t>
    </rPh>
    <rPh sb="9" eb="11">
      <t>コキャク</t>
    </rPh>
    <rPh sb="23" eb="27">
      <t>タイショウキンガク</t>
    </rPh>
    <rPh sb="28" eb="30">
      <t>ソンザイ</t>
    </rPh>
    <rPh sb="32" eb="34">
      <t>バアイ</t>
    </rPh>
    <rPh sb="52" eb="54">
      <t>ジョウキ</t>
    </rPh>
    <rPh sb="54" eb="56">
      <t>イガイ</t>
    </rPh>
    <rPh sb="57" eb="59">
      <t>バアイ</t>
    </rPh>
    <rPh sb="64" eb="65">
      <t>カラ</t>
    </rPh>
    <phoneticPr fontId="4"/>
  </si>
  <si>
    <t>GSTP_DAILY_RATE</t>
    <phoneticPr fontId="4"/>
  </si>
  <si>
    <t>スケジュール倍率</t>
    <phoneticPr fontId="6"/>
  </si>
  <si>
    <t>採用したスケジュール倍率を出力する。(1.0～99.9)</t>
  </si>
  <si>
    <t>スケジュール倍率を使用する場合設定
TSMでは、スケジュール倍率が設定される
未使用の場合、１</t>
    <rPh sb="6" eb="8">
      <t>バイリツ</t>
    </rPh>
    <rPh sb="9" eb="11">
      <t>シヨウ</t>
    </rPh>
    <rPh sb="13" eb="15">
      <t>バアイ</t>
    </rPh>
    <rPh sb="15" eb="17">
      <t>セッテイ</t>
    </rPh>
    <rPh sb="30" eb="32">
      <t>バイリツ</t>
    </rPh>
    <rPh sb="33" eb="35">
      <t>セッテイ</t>
    </rPh>
    <rPh sb="39" eb="42">
      <t>ミシヨウ</t>
    </rPh>
    <rPh sb="43" eb="45">
      <t>バアイ</t>
    </rPh>
    <phoneticPr fontId="4"/>
  </si>
  <si>
    <t>GSTP_UCST_RSV01</t>
  </si>
  <si>
    <t xml:space="preserve">ＤＭポイント </t>
    <phoneticPr fontId="6"/>
  </si>
  <si>
    <t>カスタマイズ領域のため設定不要</t>
    <rPh sb="6" eb="8">
      <t>リョウイキ</t>
    </rPh>
    <rPh sb="11" eb="13">
      <t>セッテイ</t>
    </rPh>
    <rPh sb="13" eb="15">
      <t>フヨウ</t>
    </rPh>
    <phoneticPr fontId="4"/>
  </si>
  <si>
    <t>GSTP_UCST_RSV02</t>
  </si>
  <si>
    <t>スタンプラリーポイント</t>
    <phoneticPr fontId="6"/>
  </si>
  <si>
    <t>GSTP_UCST_RSV03</t>
  </si>
  <si>
    <t>サービスポイント</t>
    <phoneticPr fontId="6"/>
  </si>
  <si>
    <t>GSTP_UCST_RSV04</t>
  </si>
  <si>
    <t>EDYポイント</t>
    <phoneticPr fontId="6"/>
  </si>
  <si>
    <t>GSTP_UCST_RSV05</t>
  </si>
  <si>
    <t>ポイント対象支払率</t>
    <phoneticPr fontId="6"/>
  </si>
  <si>
    <t>GSTP_UCST_RSV06</t>
  </si>
  <si>
    <t>バーコードポイント枚数</t>
    <phoneticPr fontId="6"/>
  </si>
  <si>
    <t>GSTP_UCST_RSV07</t>
  </si>
  <si>
    <t>リザーブ７</t>
  </si>
  <si>
    <t>GSTP_UCST_RSV08</t>
  </si>
  <si>
    <t>リザーブ８</t>
  </si>
  <si>
    <t>GSTP_UCST_RSV09</t>
  </si>
  <si>
    <t>リザーブ９</t>
  </si>
  <si>
    <t>GSTP_UCST_RSV10</t>
  </si>
  <si>
    <t>リザーブ１０</t>
  </si>
  <si>
    <t>GSTP_UCST_RSV11</t>
  </si>
  <si>
    <t>リザーブ１１</t>
  </si>
  <si>
    <t>GSTP_UCST_RSV12</t>
  </si>
  <si>
    <t>リザーブ１２</t>
  </si>
  <si>
    <t>GSTP_INVALID_POINT</t>
    <phoneticPr fontId="6"/>
  </si>
  <si>
    <t>失効ポイント数</t>
    <phoneticPr fontId="6"/>
  </si>
  <si>
    <t>Satisfaでは未使用</t>
    <rPh sb="9" eb="12">
      <t>ミシヨウ</t>
    </rPh>
    <phoneticPr fontId="4"/>
  </si>
  <si>
    <t>GSTP_BONUS_POINT</t>
    <phoneticPr fontId="6"/>
  </si>
  <si>
    <t>ボーナスポイント</t>
    <phoneticPr fontId="6"/>
  </si>
  <si>
    <t>ポイントPC設定の機能</t>
    <phoneticPr fontId="4"/>
  </si>
  <si>
    <t>GSTP_BONUS_RATE</t>
    <phoneticPr fontId="6"/>
  </si>
  <si>
    <t>ボーナスポイント率</t>
    <rPh sb="8" eb="9">
      <t>リツ</t>
    </rPh>
    <phoneticPr fontId="6"/>
  </si>
  <si>
    <t>GSTP_POINT_AMOUNT</t>
    <phoneticPr fontId="6"/>
  </si>
  <si>
    <t>ボーナスポイント金額</t>
    <rPh sb="8" eb="10">
      <t>キンガク</t>
    </rPh>
    <phoneticPr fontId="6"/>
  </si>
  <si>
    <t>GSTP_SHOP_TRAN_ID</t>
    <phoneticPr fontId="4"/>
  </si>
  <si>
    <t>加盟店トランザクションID</t>
    <rPh sb="0" eb="2">
      <t>カメイ</t>
    </rPh>
    <rPh sb="2" eb="3">
      <t>テン</t>
    </rPh>
    <phoneticPr fontId="6"/>
  </si>
  <si>
    <t>GSTP_POINT_TRAN_ID</t>
    <phoneticPr fontId="4"/>
  </si>
  <si>
    <t>ポイントセンタ・トランザクションID</t>
    <phoneticPr fontId="6"/>
  </si>
  <si>
    <t>GSTP_PNT_SPLS_NON_CASH_AMT</t>
    <phoneticPr fontId="6"/>
  </si>
  <si>
    <t>ポイント過剰現外額</t>
    <phoneticPr fontId="6"/>
  </si>
  <si>
    <t>GSTP_SATISFA_OUT_SIDE_TAX</t>
    <phoneticPr fontId="6"/>
  </si>
  <si>
    <t>外税対象金額</t>
    <phoneticPr fontId="6"/>
  </si>
  <si>
    <t xml:space="preserve">
設定値： 外税対象金額を設定</t>
    <rPh sb="6" eb="8">
      <t>ソトゼイ</t>
    </rPh>
    <rPh sb="8" eb="10">
      <t>タイショウ</t>
    </rPh>
    <rPh sb="10" eb="12">
      <t>キンガク</t>
    </rPh>
    <rPh sb="13" eb="15">
      <t>セッテイ</t>
    </rPh>
    <phoneticPr fontId="4"/>
  </si>
  <si>
    <t>取引の外税対象金額を設定</t>
    <rPh sb="0" eb="2">
      <t>トリヒキ</t>
    </rPh>
    <rPh sb="3" eb="5">
      <t>ソトゼイ</t>
    </rPh>
    <rPh sb="5" eb="7">
      <t>タイショウ</t>
    </rPh>
    <rPh sb="7" eb="9">
      <t>キンガク</t>
    </rPh>
    <rPh sb="10" eb="12">
      <t>セッテイ</t>
    </rPh>
    <phoneticPr fontId="4"/>
  </si>
  <si>
    <t>対象テーブル：MANUAL_PRICE
形式：TSV</t>
    <rPh sb="0" eb="2">
      <t>タイショウ</t>
    </rPh>
    <phoneticPr fontId="4"/>
  </si>
  <si>
    <t>項目</t>
    <phoneticPr fontId="4"/>
  </si>
  <si>
    <t xml:space="preserve">LN_DETAILの取引明細番号（TRAN_LN_NBR）と同じ値を設定する。
</t>
    <rPh sb="30" eb="31">
      <t>オナ</t>
    </rPh>
    <rPh sb="32" eb="33">
      <t>アタイ</t>
    </rPh>
    <rPh sb="34" eb="36">
      <t>セッテイ</t>
    </rPh>
    <phoneticPr fontId="4"/>
  </si>
  <si>
    <t xml:space="preserve">設定値：LN_DETAILのTRAN_LN_NBRと同じ値を設定
</t>
    <rPh sb="26" eb="27">
      <t>オナ</t>
    </rPh>
    <rPh sb="28" eb="29">
      <t>アタイ</t>
    </rPh>
    <rPh sb="30" eb="32">
      <t>セッテイ</t>
    </rPh>
    <phoneticPr fontId="4"/>
  </si>
  <si>
    <t>変更前価格</t>
    <rPh sb="0" eb="2">
      <t>ヘンコウ</t>
    </rPh>
    <rPh sb="2" eb="3">
      <t>マエ</t>
    </rPh>
    <rPh sb="3" eb="5">
      <t>カカク</t>
    </rPh>
    <phoneticPr fontId="6"/>
  </si>
  <si>
    <t>変更前の価格
価格手入力の場合は"0"が入る。</t>
    <rPh sb="0" eb="2">
      <t>ヘンコウ</t>
    </rPh>
    <rPh sb="2" eb="3">
      <t>マエ</t>
    </rPh>
    <rPh sb="4" eb="6">
      <t>カカク</t>
    </rPh>
    <phoneticPr fontId="6"/>
  </si>
  <si>
    <r>
      <rPr>
        <sz val="9"/>
        <color rgb="FF000000"/>
        <rFont val="ＭＳ Ｐゴシック"/>
        <family val="3"/>
        <charset val="128"/>
      </rPr>
      <t>設定値：</t>
    </r>
    <r>
      <rPr>
        <sz val="9"/>
        <color rgb="FFFF0000"/>
        <rFont val="ＭＳ Ｐゴシック"/>
        <family val="3"/>
        <charset val="128"/>
      </rPr>
      <t>「商品マスタ連携ファイル No.22 売価」）× 数量の金額を設定</t>
    </r>
    <r>
      <rPr>
        <sz val="9"/>
        <color rgb="FF000000"/>
        <rFont val="ＭＳ Ｐゴシック"/>
        <family val="3"/>
        <charset val="128"/>
      </rPr>
      <t>。部門登録、売価強制（価格手入力）商品の場合は"0"が入る。</t>
    </r>
  </si>
  <si>
    <r>
      <t>設定値：</t>
    </r>
    <r>
      <rPr>
        <sz val="9"/>
        <color rgb="FFFF0000"/>
        <rFont val="ＭＳ Ｐゴシック"/>
        <family val="3"/>
        <charset val="128"/>
      </rPr>
      <t>「商品マスタ連携ファイル No.22 売価」）× 数量の金額を設定</t>
    </r>
    <r>
      <rPr>
        <sz val="9"/>
        <rFont val="ＭＳ Ｐゴシック"/>
        <family val="3"/>
        <charset val="128"/>
      </rPr>
      <t>。部門登録、売価強制（価格手入力）商品の場合は"0"が入る。</t>
    </r>
    <rPh sb="43" eb="47">
      <t>バイカキョウセイ</t>
    </rPh>
    <rPh sb="54" eb="56">
      <t>ショウヒン</t>
    </rPh>
    <rPh sb="57" eb="59">
      <t>バアイ</t>
    </rPh>
    <phoneticPr fontId="4"/>
  </si>
  <si>
    <t>TRAN_ID</t>
    <phoneticPr fontId="6"/>
  </si>
  <si>
    <t>変更実施時の取引通番</t>
    <rPh sb="0" eb="2">
      <t>ヘンコウ</t>
    </rPh>
    <rPh sb="2" eb="4">
      <t>ジッシ</t>
    </rPh>
    <rPh sb="4" eb="5">
      <t>ジ</t>
    </rPh>
    <rPh sb="6" eb="8">
      <t>トリヒキ</t>
    </rPh>
    <rPh sb="8" eb="9">
      <t>ツウ</t>
    </rPh>
    <rPh sb="9" eb="10">
      <t>バン</t>
    </rPh>
    <phoneticPr fontId="6"/>
  </si>
  <si>
    <t>AUTH_EMP_ID</t>
    <phoneticPr fontId="4"/>
  </si>
  <si>
    <t>承認従業員ID</t>
    <rPh sb="0" eb="2">
      <t>ショウニン</t>
    </rPh>
    <phoneticPr fontId="6"/>
  </si>
  <si>
    <t>販売価格変更権限を持つ担当者コード</t>
    <rPh sb="0" eb="2">
      <t>ハンバイ</t>
    </rPh>
    <rPh sb="2" eb="4">
      <t>カカク</t>
    </rPh>
    <rPh sb="4" eb="6">
      <t>ヘンコウ</t>
    </rPh>
    <rPh sb="6" eb="8">
      <t>ケンゲン</t>
    </rPh>
    <rPh sb="9" eb="10">
      <t>モ</t>
    </rPh>
    <rPh sb="11" eb="14">
      <t>タントウシャ</t>
    </rPh>
    <phoneticPr fontId="6"/>
  </si>
  <si>
    <t>担当者マスタ連携ﾌｧｲﾙ
No3 従業員コード</t>
    <rPh sb="5" eb="7">
      <t>レンケイ</t>
    </rPh>
    <phoneticPr fontId="4"/>
  </si>
  <si>
    <t xml:space="preserve">設定値：取引を入力した従業員番号を設定
</t>
    <rPh sb="14" eb="16">
      <t>バンゴウ</t>
    </rPh>
    <phoneticPr fontId="4"/>
  </si>
  <si>
    <t>変更価格</t>
    <phoneticPr fontId="6"/>
  </si>
  <si>
    <t>変更後の価格
変更後価格×数量の金額が入る。</t>
    <rPh sb="0" eb="2">
      <t>ヘンコウ</t>
    </rPh>
    <rPh sb="2" eb="3">
      <t>ゴ</t>
    </rPh>
    <rPh sb="4" eb="6">
      <t>カカク</t>
    </rPh>
    <rPh sb="9" eb="10">
      <t>アト</t>
    </rPh>
    <phoneticPr fontId="6"/>
  </si>
  <si>
    <t>設定値：変更後価格×数量の金額</t>
    <rPh sb="6" eb="7">
      <t>アト</t>
    </rPh>
    <phoneticPr fontId="4"/>
  </si>
  <si>
    <t>変更の理由コード
 10：部門登録 11：価格手入力(PLU) 12：値下げ売価変更 13：値上げ売価変更</t>
    <rPh sb="0" eb="2">
      <t>ヘンコウ</t>
    </rPh>
    <rPh sb="3" eb="5">
      <t>リユウ</t>
    </rPh>
    <phoneticPr fontId="6"/>
  </si>
  <si>
    <t>設定値：10：部門登録 11：価格手入力(PLU) 12：値下げ売価変更 13：値上げ売価変更256：会員ペアマッチ</t>
    <phoneticPr fontId="4"/>
  </si>
  <si>
    <t>OVRD_TS</t>
    <phoneticPr fontId="4"/>
  </si>
  <si>
    <t>価格変更日時</t>
  </si>
  <si>
    <t>変更が記録された日時</t>
    <rPh sb="0" eb="2">
      <t>ヘンコウ</t>
    </rPh>
    <rPh sb="3" eb="5">
      <t>キロク</t>
    </rPh>
    <phoneticPr fontId="6"/>
  </si>
  <si>
    <t>対象テーブル：GL_TRAN
形式：TSV</t>
    <rPh sb="0" eb="2">
      <t>タイショウ</t>
    </rPh>
    <phoneticPr fontId="4"/>
  </si>
  <si>
    <t>入金　中止</t>
    <rPh sb="0" eb="2">
      <t>ニュウキン</t>
    </rPh>
    <rPh sb="3" eb="5">
      <t>チュウシ</t>
    </rPh>
    <phoneticPr fontId="4"/>
  </si>
  <si>
    <t>取引の識別子</t>
    <rPh sb="0" eb="2">
      <t>トリヒ</t>
    </rPh>
    <rPh sb="3" eb="6">
      <t>シキベツシ</t>
    </rPh>
    <phoneticPr fontId="6"/>
  </si>
  <si>
    <t>取引の明細レベルに割り当てられるライン番号</t>
    <rPh sb="0" eb="2">
      <t>トリヒキ</t>
    </rPh>
    <rPh sb="3" eb="5">
      <t>メイサイ</t>
    </rPh>
    <rPh sb="9" eb="12">
      <t>ワリア</t>
    </rPh>
    <rPh sb="19" eb="21">
      <t>バンゴウ</t>
    </rPh>
    <phoneticPr fontId="6"/>
  </si>
  <si>
    <t>TRANSACTION_TENDERの取引明細番号（TRAN_LN_NBR）と同じ値が設定される。
TRANSACTION_TENDER.TRAN_LN_NBR</t>
    <rPh sb="39" eb="40">
      <t>オナ</t>
    </rPh>
    <rPh sb="41" eb="42">
      <t>アタイ</t>
    </rPh>
    <rPh sb="43" eb="45">
      <t>セッテイ</t>
    </rPh>
    <phoneticPr fontId="4"/>
  </si>
  <si>
    <t xml:space="preserve">
設定値：TRANSACTION_TENDERの取引明細番号（TRAN_LN_NBR）と同じ値
</t>
    <phoneticPr fontId="4"/>
  </si>
  <si>
    <t>GL_TRAN_TS</t>
    <phoneticPr fontId="4"/>
  </si>
  <si>
    <t>明細を設定した日付</t>
    <rPh sb="0" eb="2">
      <t>メイサイ</t>
    </rPh>
    <rPh sb="3" eb="5">
      <t>セッテイ</t>
    </rPh>
    <rPh sb="7" eb="9">
      <t>ヒヅケ</t>
    </rPh>
    <phoneticPr fontId="6"/>
  </si>
  <si>
    <t xml:space="preserve">明細をボイドにする理由を記述する理由コード
0：通常  
1：取引中止  
2：通番取消
</t>
    <rPh sb="0" eb="2">
      <t>メイサイ</t>
    </rPh>
    <rPh sb="9" eb="11">
      <t>リユウ</t>
    </rPh>
    <rPh sb="12" eb="14">
      <t>キジュツ</t>
    </rPh>
    <rPh sb="16" eb="18">
      <t>リユウ</t>
    </rPh>
    <phoneticPr fontId="6"/>
  </si>
  <si>
    <t xml:space="preserve">
設定値：0固定
</t>
    <rPh sb="6" eb="8">
      <t>コテイ</t>
    </rPh>
    <phoneticPr fontId="4"/>
  </si>
  <si>
    <t xml:space="preserve">
設定値：1固定
</t>
    <rPh sb="6" eb="8">
      <t>コテイ</t>
    </rPh>
    <phoneticPr fontId="4"/>
  </si>
  <si>
    <t>現金、クレジットカード等
1～99 ：現金支払
100～199：券支払
200～299：クレジット支払
300～399：掛け支払
400～499：その他支払
501～599：入金
601～699：出金</t>
    <rPh sb="0" eb="2">
      <t>ゲンキン</t>
    </rPh>
    <rPh sb="11" eb="12">
      <t>ナド</t>
    </rPh>
    <phoneticPr fontId="6"/>
  </si>
  <si>
    <t xml:space="preserve">
設定値：""(空)</t>
    <rPh sb="8" eb="9">
      <t>カラ</t>
    </rPh>
    <phoneticPr fontId="4"/>
  </si>
  <si>
    <t>Ｇ／Ｌアカウント明細のステータス</t>
    <rPh sb="8" eb="10">
      <t>メイサイ</t>
    </rPh>
    <phoneticPr fontId="6"/>
  </si>
  <si>
    <t>GL_ACCT_ID</t>
    <phoneticPr fontId="4"/>
  </si>
  <si>
    <t>G/LアカウントID</t>
    <phoneticPr fontId="6"/>
  </si>
  <si>
    <t>アカウントシステムの識別子</t>
    <rPh sb="10" eb="12">
      <t>シキベツ</t>
    </rPh>
    <rPh sb="12" eb="13">
      <t>シ</t>
    </rPh>
    <phoneticPr fontId="6"/>
  </si>
  <si>
    <t>GL_AMT</t>
    <phoneticPr fontId="4"/>
  </si>
  <si>
    <t>Ｇ／Ｌアカウント明細額
入出金額。入金時の釣銭金額は含まない。独立現外時は"0"が入る。</t>
    <rPh sb="8" eb="10">
      <t>メイサイ</t>
    </rPh>
    <rPh sb="10" eb="11">
      <t>キンガク</t>
    </rPh>
    <phoneticPr fontId="6"/>
  </si>
  <si>
    <t xml:space="preserve">
設定値：入金額
＜例＞
10</t>
    <rPh sb="5" eb="8">
      <t>ニュウキンガク</t>
    </rPh>
    <rPh sb="11" eb="12">
      <t>レイ</t>
    </rPh>
    <phoneticPr fontId="4"/>
  </si>
  <si>
    <t xml:space="preserve">
設定値：出金額
＜例＞
-10</t>
    <rPh sb="5" eb="7">
      <t>シュッキン</t>
    </rPh>
    <rPh sb="7" eb="8">
      <t>ガク</t>
    </rPh>
    <rPh sb="11" eb="12">
      <t>レイ</t>
    </rPh>
    <phoneticPr fontId="4"/>
  </si>
  <si>
    <t>理由コード</t>
    <phoneticPr fontId="4"/>
  </si>
  <si>
    <t>取引明細の理由コード</t>
    <rPh sb="0" eb="2">
      <t>トリヒキ</t>
    </rPh>
    <rPh sb="2" eb="4">
      <t>メイサイ</t>
    </rPh>
    <rPh sb="5" eb="7">
      <t>リユウ</t>
    </rPh>
    <phoneticPr fontId="6"/>
  </si>
  <si>
    <r>
      <t xml:space="preserve">入出金マスタ連携ファイル
</t>
    </r>
    <r>
      <rPr>
        <sz val="9"/>
        <color rgb="FFFF0000"/>
        <rFont val="ＭＳ Ｐゴシック"/>
        <family val="3"/>
        <charset val="128"/>
      </rPr>
      <t>No1.入出金種別コード</t>
    </r>
    <r>
      <rPr>
        <sz val="9"/>
        <rFont val="ＭＳ Ｐゴシック"/>
        <family val="3"/>
        <charset val="128"/>
      </rPr>
      <t xml:space="preserve">
</t>
    </r>
    <rPh sb="0" eb="3">
      <t>ニュウシュッキン</t>
    </rPh>
    <rPh sb="6" eb="8">
      <t>レンケイ</t>
    </rPh>
    <phoneticPr fontId="4"/>
  </si>
  <si>
    <t xml:space="preserve">
設定値：入出金種別コード</t>
    <rPh sb="5" eb="8">
      <t>ニュウシュッキン</t>
    </rPh>
    <rPh sb="8" eb="10">
      <t>シュベツ</t>
    </rPh>
    <phoneticPr fontId="4"/>
  </si>
  <si>
    <t>DESCR</t>
    <phoneticPr fontId="4"/>
  </si>
  <si>
    <t>収入／支出アカウント説明
独立現外時は""が入る。</t>
    <rPh sb="0" eb="2">
      <t>シュウニュウ</t>
    </rPh>
    <rPh sb="3" eb="5">
      <t>シシュツ</t>
    </rPh>
    <rPh sb="10" eb="12">
      <t>セツメイ</t>
    </rPh>
    <phoneticPr fontId="6"/>
  </si>
  <si>
    <t xml:space="preserve">入出金マスタ連携ファイル
No2.入出金名称
</t>
    <rPh sb="0" eb="3">
      <t>ニュウシュッキン</t>
    </rPh>
    <rPh sb="6" eb="8">
      <t>レンケイ</t>
    </rPh>
    <phoneticPr fontId="4"/>
  </si>
  <si>
    <t xml:space="preserve">
設定値：入出金名称</t>
    <rPh sb="5" eb="8">
      <t>ニュウシュッキン</t>
    </rPh>
    <rPh sb="8" eb="10">
      <t>メイショウ</t>
    </rPh>
    <phoneticPr fontId="4"/>
  </si>
  <si>
    <t>対象テーブル：LOAN_PICKUP
形式：TSV</t>
    <rPh sb="0" eb="2">
      <t>タイショウ</t>
    </rPh>
    <phoneticPr fontId="4"/>
  </si>
  <si>
    <t>釣銭準備金</t>
    <rPh sb="0" eb="2">
      <t>ツリセン</t>
    </rPh>
    <rPh sb="2" eb="4">
      <t>ジュンビ</t>
    </rPh>
    <rPh sb="4" eb="5">
      <t>キン</t>
    </rPh>
    <phoneticPr fontId="4"/>
  </si>
  <si>
    <t>釣銭準備金　中止</t>
    <rPh sb="0" eb="2">
      <t>ツリセン</t>
    </rPh>
    <rPh sb="2" eb="4">
      <t>ジュンビ</t>
    </rPh>
    <rPh sb="4" eb="5">
      <t>キン</t>
    </rPh>
    <rPh sb="6" eb="8">
      <t>チュウシ</t>
    </rPh>
    <phoneticPr fontId="4"/>
  </si>
  <si>
    <t>LOAN_PKUP_TS</t>
    <phoneticPr fontId="4"/>
  </si>
  <si>
    <t>システムに記録される、Loan/Pickupの日付と時間</t>
    <phoneticPr fontId="4"/>
  </si>
  <si>
    <t>支払種別</t>
  </si>
  <si>
    <t>このLoan/Pickupの支払種別
  1～99 ：現金支払
100～199：券支払
200～299：クレジット支払
300～399：掛け支払
400～499：その他支払
501～599：入金
601～699：出金</t>
    <rPh sb="14" eb="16">
      <t>シハライ</t>
    </rPh>
    <rPh sb="16" eb="17">
      <t>シュ</t>
    </rPh>
    <rPh sb="17" eb="18">
      <t>ベツ</t>
    </rPh>
    <phoneticPr fontId="4"/>
  </si>
  <si>
    <t>(該当する場合は) Loan/Pickup含むPOS取引</t>
  </si>
  <si>
    <t>（該当する場合は）Loan/Pickupが発生した取引のライン番号</t>
  </si>
  <si>
    <t xml:space="preserve">
設定値：
1取引内の下記テーブルのレコードの同一カラム名に通し番号を振る(番号が重複しなければ順不同で構わない)
・LOAN_PICKUP</t>
    <rPh sb="7" eb="9">
      <t>トリヒキ</t>
    </rPh>
    <rPh sb="9" eb="10">
      <t>ナイ</t>
    </rPh>
    <rPh sb="11" eb="13">
      <t>カキ</t>
    </rPh>
    <rPh sb="23" eb="25">
      <t>ドウイツ</t>
    </rPh>
    <rPh sb="28" eb="29">
      <t>メイ</t>
    </rPh>
    <rPh sb="30" eb="31">
      <t>トオ</t>
    </rPh>
    <rPh sb="32" eb="34">
      <t>バンゴウ</t>
    </rPh>
    <rPh sb="35" eb="36">
      <t>フ</t>
    </rPh>
    <rPh sb="38" eb="40">
      <t>バンゴウ</t>
    </rPh>
    <rPh sb="41" eb="43">
      <t>チョウフク</t>
    </rPh>
    <rPh sb="48" eb="51">
      <t>ジュンフドウ</t>
    </rPh>
    <rPh sb="52" eb="53">
      <t>カマ</t>
    </rPh>
    <phoneticPr fontId="4"/>
  </si>
  <si>
    <t>Loan/Pickupを実施した従業員</t>
    <rPh sb="12" eb="14">
      <t>ジッシ</t>
    </rPh>
    <phoneticPr fontId="4"/>
  </si>
  <si>
    <t>DEST_TILL_ID</t>
    <phoneticPr fontId="4"/>
  </si>
  <si>
    <t>移動先テイル番号。釣銭準備金、中間回収時は""が入る。</t>
    <phoneticPr fontId="4"/>
  </si>
  <si>
    <t>ENVLP_ID</t>
    <phoneticPr fontId="4"/>
  </si>
  <si>
    <t>Loan/Pickupに使う袋の識別子
ピックアップオプション識別子。釣銭準備金、中間回収時は""が入る。</t>
    <rPh sb="12" eb="13">
      <t>ツカ</t>
    </rPh>
    <rPh sb="14" eb="15">
      <t>フクロ</t>
    </rPh>
    <rPh sb="16" eb="19">
      <t>シキベツシ</t>
    </rPh>
    <phoneticPr fontId="4"/>
  </si>
  <si>
    <t>ティルの収支という視点から見た、この移行を現金に換算した金額（つまり、ローンはプラスで、引き出しはマイナス）
取引金額</t>
    <phoneticPr fontId="4"/>
  </si>
  <si>
    <t xml:space="preserve">
設定値：金額
＜例＞
100</t>
    <rPh sb="5" eb="7">
      <t>キンガク</t>
    </rPh>
    <rPh sb="10" eb="11">
      <t>レイ</t>
    </rPh>
    <phoneticPr fontId="4"/>
  </si>
  <si>
    <t xml:space="preserve">
設定値：0
中止は、0</t>
    <rPh sb="8" eb="10">
      <t>チュウシ</t>
    </rPh>
    <phoneticPr fontId="4"/>
  </si>
  <si>
    <t xml:space="preserve">
設定値：金額
＜例＞
-100</t>
    <rPh sb="5" eb="7">
      <t>キンガク</t>
    </rPh>
    <rPh sb="10" eb="11">
      <t>レイ</t>
    </rPh>
    <phoneticPr fontId="4"/>
  </si>
  <si>
    <t>TND_CNT</t>
    <phoneticPr fontId="4"/>
  </si>
  <si>
    <t>Loan/Pickupにおける個々のテンダーユニットの数
支払回数</t>
    <rPh sb="15" eb="17">
      <t>ココ</t>
    </rPh>
    <rPh sb="27" eb="28">
      <t>カズ</t>
    </rPh>
    <phoneticPr fontId="4"/>
  </si>
  <si>
    <t xml:space="preserve">
設定値：0(固定)
</t>
    <rPh sb="7" eb="9">
      <t>コテイ</t>
    </rPh>
    <phoneticPr fontId="4"/>
  </si>
  <si>
    <t>DECLR_CD</t>
    <phoneticPr fontId="4"/>
  </si>
  <si>
    <t>Loan/Pickupの種別
1：loan  (釣銭準備金)
2：pickup(中間回収)</t>
    <rPh sb="12" eb="14">
      <t>シュベツ</t>
    </rPh>
    <phoneticPr fontId="4"/>
  </si>
  <si>
    <t xml:space="preserve">
設定値：1
1:釣銭準備金、2:中間回収</t>
    <rPh sb="10" eb="15">
      <t>ツリセンジュンビキン</t>
    </rPh>
    <rPh sb="18" eb="22">
      <t>チュウカンカイシュウ</t>
    </rPh>
    <phoneticPr fontId="4"/>
  </si>
  <si>
    <t xml:space="preserve">
設定値：2
1:釣銭準備金、2:中間回収</t>
    <rPh sb="10" eb="15">
      <t>ツリセンジュンビキン</t>
    </rPh>
    <rPh sb="18" eb="22">
      <t>チュウカンカイシュウ</t>
    </rPh>
    <phoneticPr fontId="4"/>
  </si>
  <si>
    <t>Loan/Pickupの理由です。たとえば釣銭の補充や中間回収等。
取引理由コード。釣銭準備金、中間回収時は"0"が入る。</t>
    <rPh sb="12" eb="14">
      <t>リユウ</t>
    </rPh>
    <rPh sb="21" eb="23">
      <t>ツリセン</t>
    </rPh>
    <rPh sb="24" eb="26">
      <t>ホジュウ</t>
    </rPh>
    <rPh sb="27" eb="29">
      <t>チュウカン</t>
    </rPh>
    <rPh sb="29" eb="31">
      <t>カイシュウ</t>
    </rPh>
    <rPh sb="31" eb="32">
      <t>ナド</t>
    </rPh>
    <phoneticPr fontId="4"/>
  </si>
  <si>
    <t>ボイドの理由コード
0：通常  
1：取引中止  
2：通番取消
999：保留取引</t>
    <rPh sb="4" eb="6">
      <t>リユウ</t>
    </rPh>
    <phoneticPr fontId="4"/>
  </si>
  <si>
    <t xml:space="preserve">
設定値：0
0:通常、1:中止</t>
    <rPh sb="10" eb="12">
      <t>ツウジョウ</t>
    </rPh>
    <rPh sb="15" eb="17">
      <t>チュウシ</t>
    </rPh>
    <phoneticPr fontId="4"/>
  </si>
  <si>
    <t xml:space="preserve">
設定値：1
0:通常、1:中止</t>
    <rPh sb="10" eb="12">
      <t>ツウジョウ</t>
    </rPh>
    <rPh sb="15" eb="17">
      <t>チュウシ</t>
    </rPh>
    <phoneticPr fontId="4"/>
  </si>
  <si>
    <t>GSFD_TRNING_MDE_FG</t>
    <phoneticPr fontId="4"/>
  </si>
  <si>
    <t>練習モードフラグ
0：一般モード
1：練習モード</t>
    <phoneticPr fontId="4"/>
  </si>
  <si>
    <t>設定値：
0：一般モード 1：練習モード</t>
    <phoneticPr fontId="4"/>
  </si>
  <si>
    <t>■コード決済取引明細ログレイアウト</t>
    <phoneticPr fontId="4"/>
  </si>
  <si>
    <t>コード決済取引明細ログは以下に格納されているものとする。</t>
    <rPh sb="3" eb="5">
      <t>ケッサイ</t>
    </rPh>
    <rPh sb="5" eb="7">
      <t>トリヒキ</t>
    </rPh>
    <rPh sb="7" eb="9">
      <t>メイサイ</t>
    </rPh>
    <rPh sb="12" eb="14">
      <t>イカ</t>
    </rPh>
    <rPh sb="15" eb="17">
      <t>カクノウ</t>
    </rPh>
    <phoneticPr fontId="4"/>
  </si>
  <si>
    <t>・コード決済売上：</t>
    <phoneticPr fontId="4"/>
  </si>
  <si>
    <t>TRANSACTION_TENDERテーブル - GSFD_CARD_LOG_DATA_HOUSEカラム</t>
    <phoneticPr fontId="4"/>
  </si>
  <si>
    <t>・コード決済取消：</t>
    <rPh sb="6" eb="8">
      <t>トリケシ</t>
    </rPh>
    <phoneticPr fontId="4"/>
  </si>
  <si>
    <t>①固定部</t>
    <rPh sb="1" eb="3">
      <t>コテイ</t>
    </rPh>
    <rPh sb="3" eb="4">
      <t>ブ</t>
    </rPh>
    <phoneticPr fontId="4"/>
  </si>
  <si>
    <t>業務</t>
    <rPh sb="0" eb="2">
      <t>ギョウム</t>
    </rPh>
    <phoneticPr fontId="4"/>
  </si>
  <si>
    <t>項番</t>
    <rPh sb="0" eb="1">
      <t>コウモク</t>
    </rPh>
    <rPh sb="1" eb="2">
      <t>バン</t>
    </rPh>
    <phoneticPr fontId="4"/>
  </si>
  <si>
    <t>項目名</t>
    <rPh sb="0" eb="3">
      <t>コウモクメイ</t>
    </rPh>
    <phoneticPr fontId="4"/>
  </si>
  <si>
    <t>桁数</t>
    <rPh sb="0" eb="2">
      <t>ケタスウ</t>
    </rPh>
    <phoneticPr fontId="4"/>
  </si>
  <si>
    <t>形式</t>
    <rPh sb="0" eb="2">
      <t>ケイシキ</t>
    </rPh>
    <phoneticPr fontId="4"/>
  </si>
  <si>
    <t>項目説明</t>
    <rPh sb="0" eb="2">
      <t>コウモク</t>
    </rPh>
    <rPh sb="2" eb="4">
      <t>セツメイ</t>
    </rPh>
    <phoneticPr fontId="4"/>
  </si>
  <si>
    <t>売上
（出金）</t>
    <rPh sb="0" eb="2">
      <t>ウリアゲ</t>
    </rPh>
    <rPh sb="4" eb="6">
      <t>シュッキン</t>
    </rPh>
    <phoneticPr fontId="4"/>
  </si>
  <si>
    <t>取消返品</t>
  </si>
  <si>
    <t>カラム
格納
形式</t>
    <rPh sb="4" eb="6">
      <t>カクノウ</t>
    </rPh>
    <rPh sb="7" eb="9">
      <t>ケイシキ</t>
    </rPh>
    <phoneticPr fontId="4"/>
  </si>
  <si>
    <t>固定部</t>
    <rPh sb="0" eb="2">
      <t>コテイ</t>
    </rPh>
    <rPh sb="2" eb="3">
      <t>ブ</t>
    </rPh>
    <phoneticPr fontId="4"/>
  </si>
  <si>
    <t>メッセージレングス</t>
    <phoneticPr fontId="4"/>
  </si>
  <si>
    <t>レコード長（カンマ、シングルコーテーションを含む）</t>
    <rPh sb="4" eb="5">
      <t>チョウ</t>
    </rPh>
    <rPh sb="22" eb="23">
      <t>フク</t>
    </rPh>
    <phoneticPr fontId="4"/>
  </si>
  <si>
    <t>固</t>
    <rPh sb="0" eb="1">
      <t>コ</t>
    </rPh>
    <phoneticPr fontId="4"/>
  </si>
  <si>
    <t>システム予約領域</t>
    <rPh sb="4" eb="6">
      <t>ヨヤク</t>
    </rPh>
    <rPh sb="6" eb="8">
      <t>リョウイキ</t>
    </rPh>
    <phoneticPr fontId="4"/>
  </si>
  <si>
    <t>X</t>
    <phoneticPr fontId="4"/>
  </si>
  <si>
    <t>"3202" 固定</t>
    <rPh sb="7" eb="9">
      <t>コテイ</t>
    </rPh>
    <phoneticPr fontId="4"/>
  </si>
  <si>
    <t>○</t>
    <phoneticPr fontId="4"/>
  </si>
  <si>
    <t>アイテム識別</t>
    <rPh sb="4" eb="6">
      <t>シキベツ</t>
    </rPh>
    <phoneticPr fontId="4"/>
  </si>
  <si>
    <t>"U1" 固定</t>
    <rPh sb="5" eb="7">
      <t>コテイ</t>
    </rPh>
    <phoneticPr fontId="4"/>
  </si>
  <si>
    <t>"000130000" 固定</t>
    <rPh sb="12" eb="14">
      <t>コテイ</t>
    </rPh>
    <phoneticPr fontId="4"/>
  </si>
  <si>
    <t>"0000" 固定</t>
    <rPh sb="7" eb="9">
      <t>コテイ</t>
    </rPh>
    <phoneticPr fontId="4"/>
  </si>
  <si>
    <t>カウンタ精査フラグ</t>
    <rPh sb="4" eb="6">
      <t>セイサ</t>
    </rPh>
    <phoneticPr fontId="4"/>
  </si>
  <si>
    <t>"0"  固定</t>
    <rPh sb="5" eb="7">
      <t>コテイ</t>
    </rPh>
    <phoneticPr fontId="4"/>
  </si>
  <si>
    <t>"000"  固定</t>
    <rPh sb="7" eb="9">
      <t>コテイ</t>
    </rPh>
    <phoneticPr fontId="4"/>
  </si>
  <si>
    <t>電文種別</t>
    <rPh sb="0" eb="2">
      <t>デンブン</t>
    </rPh>
    <rPh sb="2" eb="4">
      <t>シュベツ</t>
    </rPh>
    <phoneticPr fontId="4"/>
  </si>
  <si>
    <t>0: 要求</t>
    <rPh sb="3" eb="5">
      <t>ヨウキュウ</t>
    </rPh>
    <phoneticPr fontId="4"/>
  </si>
  <si>
    <t>発生元フラグ</t>
    <rPh sb="0" eb="2">
      <t>ハッセイ</t>
    </rPh>
    <rPh sb="2" eb="3">
      <t>モト</t>
    </rPh>
    <phoneticPr fontId="4"/>
  </si>
  <si>
    <t xml:space="preserve"> "0"  固定</t>
    <rPh sb="6" eb="8">
      <t>コテイ</t>
    </rPh>
    <phoneticPr fontId="4"/>
  </si>
  <si>
    <t>アプリケーションエラーフラグ</t>
    <phoneticPr fontId="4"/>
  </si>
  <si>
    <t>"0" 固定</t>
    <rPh sb="4" eb="6">
      <t>コテイ</t>
    </rPh>
    <phoneticPr fontId="4"/>
  </si>
  <si>
    <t>最終結果フラグ</t>
    <rPh sb="0" eb="2">
      <t>サイシュウ</t>
    </rPh>
    <rPh sb="2" eb="4">
      <t>ケッカ</t>
    </rPh>
    <phoneticPr fontId="4"/>
  </si>
  <si>
    <t>固定部予備</t>
    <rPh sb="0" eb="2">
      <t>コテイ</t>
    </rPh>
    <rPh sb="2" eb="3">
      <t>ブ</t>
    </rPh>
    <rPh sb="3" eb="5">
      <t>ヨビ</t>
    </rPh>
    <phoneticPr fontId="4"/>
  </si>
  <si>
    <t>"0000100001" 固定</t>
    <rPh sb="13" eb="15">
      <t>コテイ</t>
    </rPh>
    <phoneticPr fontId="4"/>
  </si>
  <si>
    <t>障害取消フラグ</t>
    <rPh sb="2" eb="4">
      <t>トリケシ</t>
    </rPh>
    <phoneticPr fontId="4"/>
  </si>
  <si>
    <t>店コード</t>
    <rPh sb="0" eb="1">
      <t>ミセ</t>
    </rPh>
    <phoneticPr fontId="4"/>
  </si>
  <si>
    <t>POS№</t>
    <phoneticPr fontId="4"/>
  </si>
  <si>
    <t>POS端末№</t>
    <rPh sb="3" eb="5">
      <t>タンマツ</t>
    </rPh>
    <phoneticPr fontId="4"/>
  </si>
  <si>
    <t>取引通番</t>
    <rPh sb="0" eb="2">
      <t>トリヒキ</t>
    </rPh>
    <rPh sb="2" eb="3">
      <t>ツウ</t>
    </rPh>
    <rPh sb="3" eb="4">
      <t>バン</t>
    </rPh>
    <phoneticPr fontId="4"/>
  </si>
  <si>
    <t xml:space="preserve">POS内の取引通番(0001～9999のサイクリック) </t>
    <rPh sb="3" eb="4">
      <t>ナイ</t>
    </rPh>
    <rPh sb="5" eb="7">
      <t>トリヒキ</t>
    </rPh>
    <rPh sb="7" eb="8">
      <t>ツウ</t>
    </rPh>
    <rPh sb="8" eb="9">
      <t>バン</t>
    </rPh>
    <phoneticPr fontId="4"/>
  </si>
  <si>
    <t>POS処理時間</t>
    <rPh sb="3" eb="5">
      <t>ショリ</t>
    </rPh>
    <rPh sb="5" eb="7">
      <t>ジカン</t>
    </rPh>
    <phoneticPr fontId="4"/>
  </si>
  <si>
    <t>取引開始時間の西暦年月日及び時刻（YYYYMMDDHHMMSS）</t>
    <rPh sb="0" eb="2">
      <t>トリヒキ</t>
    </rPh>
    <rPh sb="2" eb="4">
      <t>カイシ</t>
    </rPh>
    <rPh sb="4" eb="6">
      <t>ジカン</t>
    </rPh>
    <rPh sb="7" eb="9">
      <t>セイレキ</t>
    </rPh>
    <rPh sb="9" eb="11">
      <t>ネンゲツ</t>
    </rPh>
    <rPh sb="11" eb="12">
      <t>ヒ</t>
    </rPh>
    <rPh sb="12" eb="13">
      <t>オヨ</t>
    </rPh>
    <rPh sb="14" eb="16">
      <t>ジコク</t>
    </rPh>
    <phoneticPr fontId="4"/>
  </si>
  <si>
    <t>"111"固定</t>
    <phoneticPr fontId="4"/>
  </si>
  <si>
    <t>終了判定</t>
    <rPh sb="0" eb="2">
      <t>シュウリョウ</t>
    </rPh>
    <rPh sb="2" eb="4">
      <t>ハンテイ</t>
    </rPh>
    <phoneticPr fontId="4"/>
  </si>
  <si>
    <t>ALL SPACE</t>
    <phoneticPr fontId="4"/>
  </si>
  <si>
    <t xml:space="preserve">○：既定の値をセット、●：条件によりセットする値が異なる </t>
    <rPh sb="2" eb="4">
      <t>キテイ</t>
    </rPh>
    <rPh sb="5" eb="6">
      <t>アタイ</t>
    </rPh>
    <phoneticPr fontId="4"/>
  </si>
  <si>
    <t>形式</t>
    <rPh sb="0" eb="2">
      <t>ケイシキ</t>
    </rPh>
    <phoneticPr fontId="57"/>
  </si>
  <si>
    <t>タイプ</t>
    <phoneticPr fontId="57"/>
  </si>
  <si>
    <t>備考</t>
    <rPh sb="0" eb="2">
      <t>ビコウ</t>
    </rPh>
    <phoneticPr fontId="57"/>
  </si>
  <si>
    <t>数値タイプ</t>
    <rPh sb="0" eb="2">
      <t>スウチ</t>
    </rPh>
    <phoneticPr fontId="57"/>
  </si>
  <si>
    <t>桁数以下の場合、先頭0固定</t>
    <rPh sb="0" eb="2">
      <t>ケタスウ</t>
    </rPh>
    <rPh sb="2" eb="4">
      <t>イカ</t>
    </rPh>
    <rPh sb="5" eb="7">
      <t>バアイ</t>
    </rPh>
    <phoneticPr fontId="57"/>
  </si>
  <si>
    <t>X</t>
    <phoneticPr fontId="57"/>
  </si>
  <si>
    <t>文字タイプ</t>
    <rPh sb="0" eb="2">
      <t>モジ</t>
    </rPh>
    <phoneticPr fontId="57"/>
  </si>
  <si>
    <t>桁数以下の場合、左詰め 残りSPACE</t>
    <rPh sb="0" eb="2">
      <t>ケタスウ</t>
    </rPh>
    <rPh sb="2" eb="4">
      <t>イカ</t>
    </rPh>
    <rPh sb="5" eb="7">
      <t>バアイ</t>
    </rPh>
    <rPh sb="8" eb="10">
      <t>ヒダリヅ</t>
    </rPh>
    <rPh sb="12" eb="13">
      <t>ノコ</t>
    </rPh>
    <phoneticPr fontId="57"/>
  </si>
  <si>
    <t>■データ部:H1アイテムフォーマット</t>
    <rPh sb="4" eb="5">
      <t>ブ</t>
    </rPh>
    <phoneticPr fontId="4"/>
  </si>
  <si>
    <t>取消返品</t>
    <phoneticPr fontId="4"/>
  </si>
  <si>
    <t>データ部</t>
    <rPh sb="3" eb="4">
      <t>ブ</t>
    </rPh>
    <phoneticPr fontId="4"/>
  </si>
  <si>
    <t>桁数</t>
    <phoneticPr fontId="4"/>
  </si>
  <si>
    <t>"16" 固定</t>
    <phoneticPr fontId="4"/>
  </si>
  <si>
    <t>　,数値　　</t>
    <rPh sb="2" eb="4">
      <t>スウチ</t>
    </rPh>
    <phoneticPr fontId="4"/>
  </si>
  <si>
    <t>X</t>
  </si>
  <si>
    <t>"H1" 固定</t>
    <rPh sb="5" eb="7">
      <t>コテイ</t>
    </rPh>
    <phoneticPr fontId="4"/>
  </si>
  <si>
    <t>,'文字'　</t>
    <phoneticPr fontId="4"/>
  </si>
  <si>
    <t>業務区分コード</t>
    <rPh sb="0" eb="2">
      <t>ギョウム</t>
    </rPh>
    <rPh sb="2" eb="4">
      <t>クブン</t>
    </rPh>
    <phoneticPr fontId="4"/>
  </si>
  <si>
    <t>処理する業務の区分（2003 or 2005）</t>
    <rPh sb="0" eb="2">
      <t>ショリ</t>
    </rPh>
    <rPh sb="4" eb="6">
      <t>ギョウム</t>
    </rPh>
    <rPh sb="7" eb="9">
      <t>クブン</t>
    </rPh>
    <phoneticPr fontId="4"/>
  </si>
  <si>
    <t>暗号化フラグ</t>
    <rPh sb="0" eb="2">
      <t>アンゴウ</t>
    </rPh>
    <rPh sb="2" eb="3">
      <t>カ</t>
    </rPh>
    <phoneticPr fontId="4"/>
  </si>
  <si>
    <t xml:space="preserve"> ,数値　　</t>
    <phoneticPr fontId="4"/>
  </si>
  <si>
    <t>仕向け会社コード</t>
    <rPh sb="0" eb="2">
      <t>シム</t>
    </rPh>
    <rPh sb="3" eb="5">
      <t>カイシャ</t>
    </rPh>
    <phoneticPr fontId="4"/>
  </si>
  <si>
    <t>"ALL 0"固定</t>
    <phoneticPr fontId="4"/>
  </si>
  <si>
    <t>端末識別コード</t>
    <rPh sb="0" eb="2">
      <t>タンマツ</t>
    </rPh>
    <rPh sb="2" eb="4">
      <t>シキベツ</t>
    </rPh>
    <phoneticPr fontId="4"/>
  </si>
  <si>
    <t>端末を識別するためのコード</t>
    <rPh sb="0" eb="2">
      <t>タンマツ</t>
    </rPh>
    <rPh sb="3" eb="5">
      <t>シキベツ</t>
    </rPh>
    <phoneticPr fontId="4"/>
  </si>
  <si>
    <t>識別コード＋店コード＋POS番号を設定する。</t>
    <rPh sb="0" eb="2">
      <t>シキベツ</t>
    </rPh>
    <rPh sb="17" eb="19">
      <t>セッテイ</t>
    </rPh>
    <phoneticPr fontId="1"/>
  </si>
  <si>
    <t>識別コード　　　 …5桁　"00000"（固定）</t>
    <rPh sb="21" eb="23">
      <t>コテイ</t>
    </rPh>
    <phoneticPr fontId="4"/>
  </si>
  <si>
    <t>店コード           …4桁　店コード4桁(前0埋め)</t>
    <rPh sb="19" eb="20">
      <t>ミセ</t>
    </rPh>
    <phoneticPr fontId="4"/>
  </si>
  <si>
    <t>POS番号  　　　 …4桁　POS番号4桁(前0埋め)</t>
    <phoneticPr fontId="4"/>
  </si>
  <si>
    <t>伝票番号</t>
    <rPh sb="0" eb="2">
      <t>デンピョウ</t>
    </rPh>
    <rPh sb="2" eb="4">
      <t>バンゴウ</t>
    </rPh>
    <phoneticPr fontId="4"/>
  </si>
  <si>
    <t>固定値+POS番号+取引通番+取引内通番+予備</t>
    <phoneticPr fontId="4"/>
  </si>
  <si>
    <t>取引内通番・・・1取引内で複数回のコード決済の</t>
    <rPh sb="0" eb="2">
      <t>トリヒキ</t>
    </rPh>
    <rPh sb="2" eb="3">
      <t>ナイ</t>
    </rPh>
    <rPh sb="3" eb="5">
      <t>ツウバン</t>
    </rPh>
    <phoneticPr fontId="4"/>
  </si>
  <si>
    <t>固定値　　　　　…3桁　"000"固定</t>
  </si>
  <si>
    <t>センター通信をした場合、伝票番号が「固定値</t>
    <phoneticPr fontId="4"/>
  </si>
  <si>
    <t>POS番号　　　 …4桁　POS番号4桁(前0埋め)</t>
    <phoneticPr fontId="4"/>
  </si>
  <si>
    <t>+POS番号+取引通番」であると,伝票番号重複エラー</t>
    <phoneticPr fontId="4"/>
  </si>
  <si>
    <t>取引通番　　　 …4桁  取引通番(前0埋め)</t>
  </si>
  <si>
    <t>となるため、00～99（サイクリック）の値をセット。</t>
    <phoneticPr fontId="4"/>
  </si>
  <si>
    <t>取引内通番　　…2桁  取引内通番(前0埋め)</t>
  </si>
  <si>
    <t>予備　　　　　　　…7桁 スペース固定</t>
  </si>
  <si>
    <t>カード入力区分</t>
    <rPh sb="3" eb="5">
      <t>ニュウリョク</t>
    </rPh>
    <rPh sb="5" eb="7">
      <t>クブン</t>
    </rPh>
    <phoneticPr fontId="4"/>
  </si>
  <si>
    <t>"1"固定</t>
    <phoneticPr fontId="4"/>
  </si>
  <si>
    <t>カード情報</t>
    <rPh sb="3" eb="5">
      <t>ジョウホウ</t>
    </rPh>
    <phoneticPr fontId="4"/>
  </si>
  <si>
    <t>バーコード情報を設定。（表B参照）</t>
    <rPh sb="5" eb="7">
      <t>ジョウホウ</t>
    </rPh>
    <rPh sb="8" eb="10">
      <t>セッテイ</t>
    </rPh>
    <phoneticPr fontId="4"/>
  </si>
  <si>
    <t>,'文字'　</t>
  </si>
  <si>
    <t>残りにスペースを設定する</t>
    <phoneticPr fontId="4"/>
  </si>
  <si>
    <t>*1.3</t>
    <phoneticPr fontId="4"/>
  </si>
  <si>
    <t>有効期限</t>
    <rPh sb="0" eb="2">
      <t>ユウコウ</t>
    </rPh>
    <rPh sb="2" eb="4">
      <t>キゲン</t>
    </rPh>
    <phoneticPr fontId="4"/>
  </si>
  <si>
    <r>
      <t>決済ブランド(有効期限(8桁)</t>
    </r>
    <r>
      <rPr>
        <strike/>
        <sz val="8"/>
        <rFont val="ＭＳ Ｐゴシック"/>
        <family val="3"/>
        <charset val="128"/>
      </rPr>
      <t>+スペース(8桁))</t>
    </r>
    <r>
      <rPr>
        <sz val="8"/>
        <rFont val="ＭＳ Ｐゴシック"/>
        <family val="3"/>
        <charset val="128"/>
      </rPr>
      <t>を設定する。</t>
    </r>
    <phoneticPr fontId="4"/>
  </si>
  <si>
    <t>・PayPay：'89250101'</t>
    <phoneticPr fontId="4"/>
  </si>
  <si>
    <t>・メルペイ：'89280101'</t>
    <phoneticPr fontId="4"/>
  </si>
  <si>
    <t>（決済ブランド）</t>
    <rPh sb="1" eb="3">
      <t>ケッサイ</t>
    </rPh>
    <phoneticPr fontId="4"/>
  </si>
  <si>
    <t>※決済ブランド（有効期限）は、センターからの応答値。</t>
    <rPh sb="1" eb="3">
      <t>ケッサイ</t>
    </rPh>
    <rPh sb="8" eb="10">
      <t>ユウコウ</t>
    </rPh>
    <rPh sb="10" eb="12">
      <t>キゲン</t>
    </rPh>
    <rPh sb="22" eb="24">
      <t>オウトウ</t>
    </rPh>
    <rPh sb="24" eb="25">
      <t>チ</t>
    </rPh>
    <phoneticPr fontId="4"/>
  </si>
  <si>
    <t>・d払い：'89270101'</t>
    <rPh sb="2" eb="3">
      <t>バラ</t>
    </rPh>
    <phoneticPr fontId="4"/>
  </si>
  <si>
    <t>・楽天ペイ：'89260101'</t>
    <rPh sb="1" eb="3">
      <t>ラクテン</t>
    </rPh>
    <phoneticPr fontId="4"/>
  </si>
  <si>
    <t>例）'12340101'：先頭4桁は決済ブランドのサービス識別コード、先頭5桁目からの"0101"は固定値</t>
    <phoneticPr fontId="4"/>
  </si>
  <si>
    <t>・au Pay：'89290101'</t>
    <phoneticPr fontId="4"/>
  </si>
  <si>
    <t>・AEON Pay：'89430101'</t>
    <phoneticPr fontId="4"/>
  </si>
  <si>
    <t>商品コード</t>
    <rPh sb="0" eb="2">
      <t>ショウヒン</t>
    </rPh>
    <phoneticPr fontId="4"/>
  </si>
  <si>
    <t>〇</t>
    <phoneticPr fontId="4"/>
  </si>
  <si>
    <t>利用ポイント（金額）</t>
    <rPh sb="0" eb="2">
      <t>リヨウ</t>
    </rPh>
    <rPh sb="7" eb="9">
      <t>キンガク</t>
    </rPh>
    <phoneticPr fontId="4"/>
  </si>
  <si>
    <t>1点=1円換算、右詰め先頭0固定、00000000～09999999の範囲で有効</t>
    <rPh sb="1" eb="2">
      <t>テン</t>
    </rPh>
    <rPh sb="4" eb="5">
      <t>エン</t>
    </rPh>
    <rPh sb="5" eb="7">
      <t>カンサン</t>
    </rPh>
    <rPh sb="8" eb="9">
      <t>ミギ</t>
    </rPh>
    <rPh sb="9" eb="10">
      <t>ヅ</t>
    </rPh>
    <rPh sb="35" eb="37">
      <t>ハンイ</t>
    </rPh>
    <rPh sb="38" eb="40">
      <t>ユウコウ</t>
    </rPh>
    <phoneticPr fontId="4"/>
  </si>
  <si>
    <t>,数値　　</t>
    <phoneticPr fontId="4"/>
  </si>
  <si>
    <t>取消返品時=元取引の金額を設定　※桁数以下でも前ゼロパディングしない。</t>
    <rPh sb="0" eb="2">
      <t>トリケシ</t>
    </rPh>
    <rPh sb="2" eb="4">
      <t>ヘンピン</t>
    </rPh>
    <rPh sb="4" eb="5">
      <t>ジ</t>
    </rPh>
    <rPh sb="6" eb="7">
      <t>モト</t>
    </rPh>
    <rPh sb="7" eb="9">
      <t>トリヒキ</t>
    </rPh>
    <rPh sb="10" eb="12">
      <t>キンガク</t>
    </rPh>
    <rPh sb="13" eb="15">
      <t>セッテイ</t>
    </rPh>
    <phoneticPr fontId="4"/>
  </si>
  <si>
    <t>取引ID</t>
    <phoneticPr fontId="4"/>
  </si>
  <si>
    <r>
      <t xml:space="preserve">取引ID(22桁) </t>
    </r>
    <r>
      <rPr>
        <strike/>
        <sz val="7"/>
        <rFont val="ＭＳ Ｐゴシック"/>
        <family val="3"/>
        <charset val="128"/>
      </rPr>
      <t>＋スペース(10桁)</t>
    </r>
    <r>
      <rPr>
        <sz val="7"/>
        <rFont val="ＭＳ Ｐゴシック"/>
        <family val="3"/>
        <charset val="128"/>
      </rPr>
      <t>　　　　※スペースは不要</t>
    </r>
    <rPh sb="0" eb="2">
      <t>トリヒキ</t>
    </rPh>
    <rPh sb="7" eb="8">
      <t>ケタ</t>
    </rPh>
    <rPh sb="18" eb="19">
      <t>ケタ</t>
    </rPh>
    <rPh sb="30" eb="32">
      <t>フヨウ</t>
    </rPh>
    <phoneticPr fontId="1"/>
  </si>
  <si>
    <t>取引IDは実施業務により以下を設定する。</t>
    <rPh sb="0" eb="2">
      <t>トリヒキ</t>
    </rPh>
    <rPh sb="5" eb="7">
      <t>ジッシ</t>
    </rPh>
    <rPh sb="7" eb="9">
      <t>ギョウム</t>
    </rPh>
    <rPh sb="12" eb="14">
      <t>イカ</t>
    </rPh>
    <rPh sb="15" eb="17">
      <t>セッテイ</t>
    </rPh>
    <phoneticPr fontId="1"/>
  </si>
  <si>
    <t>　与信同時売上時：店コード(4) + POS番号(4) + 取引日付(8) + 取引通番(4) + 取引内通番(2)</t>
    <rPh sb="22" eb="24">
      <t>バンゴウ</t>
    </rPh>
    <phoneticPr fontId="1"/>
  </si>
  <si>
    <t>　返金時：返金をおこなう売上の元取引ID</t>
  </si>
  <si>
    <t>元伝票番号</t>
    <rPh sb="0" eb="1">
      <t>モト</t>
    </rPh>
    <rPh sb="1" eb="3">
      <t>デンピョウ</t>
    </rPh>
    <rPh sb="3" eb="5">
      <t>バンゴウ</t>
    </rPh>
    <phoneticPr fontId="4"/>
  </si>
  <si>
    <t>取消返品時、元取引の伝票番号を入れる。 （※右詰め、先頭0固定）</t>
    <rPh sb="0" eb="2">
      <t>トリケシ</t>
    </rPh>
    <rPh sb="2" eb="4">
      <t>ヘンピン</t>
    </rPh>
    <rPh sb="4" eb="5">
      <t>ジ</t>
    </rPh>
    <rPh sb="6" eb="7">
      <t>モト</t>
    </rPh>
    <rPh sb="7" eb="9">
      <t>トリヒキ</t>
    </rPh>
    <rPh sb="10" eb="12">
      <t>デンピョウ</t>
    </rPh>
    <rPh sb="12" eb="14">
      <t>バンゴウ</t>
    </rPh>
    <rPh sb="15" eb="16">
      <t>イ</t>
    </rPh>
    <rPh sb="22" eb="24">
      <t>ミギヅ</t>
    </rPh>
    <rPh sb="26" eb="28">
      <t>セントウ</t>
    </rPh>
    <rPh sb="29" eb="31">
      <t>コテイ</t>
    </rPh>
    <phoneticPr fontId="4"/>
  </si>
  <si>
    <t>ALL　0</t>
    <phoneticPr fontId="4"/>
  </si>
  <si>
    <t>売上（出金）時は"ALL 0"を設定（設定値無視）</t>
    <rPh sb="0" eb="2">
      <t>ウリアゲ</t>
    </rPh>
    <rPh sb="3" eb="5">
      <t>シュッキン</t>
    </rPh>
    <rPh sb="6" eb="7">
      <t>ジ</t>
    </rPh>
    <rPh sb="16" eb="18">
      <t>セッテイ</t>
    </rPh>
    <rPh sb="19" eb="21">
      <t>セッテイ</t>
    </rPh>
    <rPh sb="21" eb="22">
      <t>チ</t>
    </rPh>
    <rPh sb="22" eb="24">
      <t>ムシ</t>
    </rPh>
    <phoneticPr fontId="4"/>
  </si>
  <si>
    <t>キャンペーン付与拒否フラグ</t>
    <rPh sb="6" eb="8">
      <t>フヨ</t>
    </rPh>
    <rPh sb="8" eb="10">
      <t>キョヒ</t>
    </rPh>
    <phoneticPr fontId="4"/>
  </si>
  <si>
    <t>スペース固定</t>
    <phoneticPr fontId="4"/>
  </si>
  <si>
    <t>サブ店コード</t>
    <phoneticPr fontId="4"/>
  </si>
  <si>
    <t>"0"固定　　※桁数以下でも前ゼロパディングしない。</t>
    <rPh sb="3" eb="5">
      <t>コテイ</t>
    </rPh>
    <phoneticPr fontId="4"/>
  </si>
  <si>
    <t>※データ部の桁数については可変長項目の為、項目の最大桁数になります。</t>
    <rPh sb="4" eb="5">
      <t>ブ</t>
    </rPh>
    <rPh sb="6" eb="8">
      <t>ケタスウ</t>
    </rPh>
    <rPh sb="13" eb="16">
      <t>カヘンチョウ</t>
    </rPh>
    <rPh sb="16" eb="18">
      <t>コウモク</t>
    </rPh>
    <rPh sb="19" eb="20">
      <t>タメ</t>
    </rPh>
    <rPh sb="21" eb="23">
      <t>コウモク</t>
    </rPh>
    <rPh sb="24" eb="26">
      <t>サイダイ</t>
    </rPh>
    <rPh sb="26" eb="28">
      <t>ケタスウ</t>
    </rPh>
    <phoneticPr fontId="4"/>
  </si>
  <si>
    <t xml:space="preserve">○：既定の値をセット、●：条件によりセットする値が異なる </t>
  </si>
  <si>
    <t>表A. カード情報設定データ</t>
    <rPh sb="0" eb="1">
      <t>ヒョウ</t>
    </rPh>
    <rPh sb="7" eb="9">
      <t>ジョウホウ</t>
    </rPh>
    <rPh sb="9" eb="11">
      <t>セッテイ</t>
    </rPh>
    <phoneticPr fontId="4"/>
  </si>
  <si>
    <t>表B.カード情報</t>
    <rPh sb="0" eb="1">
      <t>ヒョウ</t>
    </rPh>
    <rPh sb="6" eb="8">
      <t>ジョウホウ</t>
    </rPh>
    <phoneticPr fontId="4"/>
  </si>
  <si>
    <t>カード入力区分</t>
    <phoneticPr fontId="4"/>
  </si>
  <si>
    <t>【 JISⅠストライプ情報の場合】</t>
    <rPh sb="11" eb="13">
      <t>ジョウホウ</t>
    </rPh>
    <rPh sb="14" eb="16">
      <t>バアイ</t>
    </rPh>
    <phoneticPr fontId="4"/>
  </si>
  <si>
    <t>１：JISⅠ（ABA）の時</t>
    <rPh sb="12" eb="13">
      <t>トキ</t>
    </rPh>
    <phoneticPr fontId="4"/>
  </si>
  <si>
    <t>カード裏面第二トラックの開始符号から終了符号までの39バイトをASCⅡコードに変換して設定する</t>
    <rPh sb="3" eb="5">
      <t>ウラメン</t>
    </rPh>
    <rPh sb="5" eb="7">
      <t>ダイニ</t>
    </rPh>
    <rPh sb="12" eb="14">
      <t>カイシ</t>
    </rPh>
    <rPh sb="14" eb="16">
      <t>フゴウ</t>
    </rPh>
    <rPh sb="18" eb="20">
      <t>シュウリョウ</t>
    </rPh>
    <rPh sb="20" eb="22">
      <t>フゴウ</t>
    </rPh>
    <rPh sb="39" eb="41">
      <t>ヘンカン</t>
    </rPh>
    <rPh sb="43" eb="45">
      <t>セッテイ</t>
    </rPh>
    <phoneticPr fontId="4"/>
  </si>
  <si>
    <t>項番</t>
    <rPh sb="0" eb="2">
      <t>コウバン</t>
    </rPh>
    <phoneticPr fontId="34"/>
  </si>
  <si>
    <t>項目</t>
    <rPh sb="0" eb="2">
      <t>コウモク</t>
    </rPh>
    <phoneticPr fontId="34"/>
  </si>
  <si>
    <t>桁数</t>
    <rPh sb="0" eb="2">
      <t>ケタスウ</t>
    </rPh>
    <phoneticPr fontId="34"/>
  </si>
  <si>
    <t>属性</t>
    <rPh sb="0" eb="2">
      <t>ゾクセイ</t>
    </rPh>
    <phoneticPr fontId="34"/>
  </si>
  <si>
    <t>自動ブランド判定 設定値</t>
  </si>
  <si>
    <t>ALL SPACE</t>
  </si>
  <si>
    <t>開始符号</t>
    <rPh sb="0" eb="2">
      <t>カイシ</t>
    </rPh>
    <rPh sb="2" eb="4">
      <t>フゴウ</t>
    </rPh>
    <phoneticPr fontId="34"/>
  </si>
  <si>
    <t>a</t>
  </si>
  <si>
    <t>「；」　0x3B：固定</t>
  </si>
  <si>
    <t>2：JISⅡの時</t>
    <rPh sb="7" eb="8">
      <t>トキ</t>
    </rPh>
    <phoneticPr fontId="4"/>
  </si>
  <si>
    <t>カード表面のj開始符号から終了符号までの71バイトをASCⅡコードに変換して設定する</t>
    <rPh sb="3" eb="4">
      <t>オモテ</t>
    </rPh>
    <rPh sb="4" eb="5">
      <t>メン</t>
    </rPh>
    <rPh sb="7" eb="9">
      <t>カイシ</t>
    </rPh>
    <rPh sb="9" eb="11">
      <t>フゴウ</t>
    </rPh>
    <rPh sb="13" eb="15">
      <t>シュウリョウ</t>
    </rPh>
    <rPh sb="15" eb="17">
      <t>フゴウ</t>
    </rPh>
    <rPh sb="34" eb="36">
      <t>ヘンカン</t>
    </rPh>
    <rPh sb="38" eb="40">
      <t>セッテイ</t>
    </rPh>
    <phoneticPr fontId="4"/>
  </si>
  <si>
    <t>バーコード１</t>
  </si>
  <si>
    <t>n</t>
  </si>
  <si>
    <t>項目内
　固定文字4桁「8900」
　　+ バーコード1～12桁目 
　※バーコード桁数が12桁以上の可変長の場合、
分割して設定</t>
    <rPh sb="0" eb="1">
      <t>ナイ</t>
    </rPh>
    <rPh sb="5" eb="7">
      <t>コテイ</t>
    </rPh>
    <rPh sb="7" eb="9">
      <t>モジ</t>
    </rPh>
    <rPh sb="10" eb="11">
      <t>ケタ</t>
    </rPh>
    <rPh sb="42" eb="44">
      <t>ケタスウ</t>
    </rPh>
    <rPh sb="47" eb="48">
      <t>ケタ</t>
    </rPh>
    <rPh sb="48" eb="50">
      <t>イジョウ</t>
    </rPh>
    <rPh sb="51" eb="53">
      <t>カヘン</t>
    </rPh>
    <rPh sb="53" eb="54">
      <t>チョウ</t>
    </rPh>
    <rPh sb="55" eb="57">
      <t>バアイ</t>
    </rPh>
    <rPh sb="59" eb="61">
      <t>ブンカツ</t>
    </rPh>
    <rPh sb="63" eb="65">
      <t>セッテイ</t>
    </rPh>
    <phoneticPr fontId="34"/>
  </si>
  <si>
    <t>セパレータ</t>
  </si>
  <si>
    <t>「=」　0x3D：固定</t>
  </si>
  <si>
    <t>サービス識別</t>
    <rPh sb="4" eb="6">
      <t>シキベツ</t>
    </rPh>
    <phoneticPr fontId="34"/>
  </si>
  <si>
    <t>自動ブランド判定 → 8912</t>
  </si>
  <si>
    <t>バーコード2</t>
  </si>
  <si>
    <t>項目内
　　バーコード桁数が28桁未満の場合、バーコード 13～末桁目（0～最大15桁）+ バーコード終了文字１桁（固定文字"@"）　※左詰、残り０埋め
   バーコード桁数が28桁以上の場合、バーコード 13～28桁目</t>
  </si>
  <si>
    <t>終了符号</t>
  </si>
  <si>
    <t>「?」　0x3F：固定</t>
  </si>
  <si>
    <t>予備</t>
    <rPh sb="0" eb="2">
      <t>ヨビ</t>
    </rPh>
    <phoneticPr fontId="34"/>
  </si>
  <si>
    <t>p</t>
  </si>
  <si>
    <t xml:space="preserve">スペース 
バーコード桁数が28桁以上の場合、バーコード 29桁～末桁目（0～最大29桁）+ バーコード終了文字１桁（固定文字"@"）　※左詰、残り半角空白埋め
</t>
  </si>
  <si>
    <t>※CVセンタへ送信出来るバーコード桁数のMAX桁数は</t>
  </si>
  <si>
    <t xml:space="preserve">   57桁(バーコード1:12桁+バーコード2:16桁+予備:29桁)まで。</t>
  </si>
  <si>
    <t>■売上（出金）　レコード例（△：半角スペース）</t>
    <rPh sb="12" eb="13">
      <t>レイ</t>
    </rPh>
    <rPh sb="16" eb="18">
      <t>ハンカク</t>
    </rPh>
    <phoneticPr fontId="4"/>
  </si>
  <si>
    <t>①固定部（△：半角スペース）</t>
    <rPh sb="1" eb="3">
      <t>コテイ</t>
    </rPh>
    <rPh sb="3" eb="4">
      <t>ブ</t>
    </rPh>
    <rPh sb="7" eb="9">
      <t>ハンカク</t>
    </rPh>
    <phoneticPr fontId="4"/>
  </si>
  <si>
    <t>※1～20の項番は、P.1の表中の項番に対応します。</t>
    <rPh sb="6" eb="8">
      <t>コウバン</t>
    </rPh>
    <rPh sb="14" eb="16">
      <t>ヒョウチュウ</t>
    </rPh>
    <rPh sb="17" eb="19">
      <t>コウバン</t>
    </rPh>
    <rPh sb="20" eb="22">
      <t>タイオウ</t>
    </rPh>
    <phoneticPr fontId="4"/>
  </si>
  <si>
    <t>※固定部の各項目は、形式（数値/文字）に関わらず、全項目を連結して1項目としてレコード出力されます。</t>
    <rPh sb="1" eb="3">
      <t>コテイ</t>
    </rPh>
    <rPh sb="3" eb="4">
      <t>ブ</t>
    </rPh>
    <rPh sb="5" eb="8">
      <t>カクコウモク</t>
    </rPh>
    <rPh sb="10" eb="12">
      <t>ケイシキ</t>
    </rPh>
    <rPh sb="13" eb="15">
      <t>スウチ</t>
    </rPh>
    <rPh sb="16" eb="18">
      <t>モジ</t>
    </rPh>
    <rPh sb="20" eb="21">
      <t>カカ</t>
    </rPh>
    <rPh sb="25" eb="28">
      <t>ゼンコウモク</t>
    </rPh>
    <rPh sb="29" eb="31">
      <t>レンケツ</t>
    </rPh>
    <rPh sb="34" eb="36">
      <t>コウモク</t>
    </rPh>
    <rPh sb="43" eb="45">
      <t>シュツリョク</t>
    </rPh>
    <phoneticPr fontId="4"/>
  </si>
  <si>
    <t>②データ部（△：半角スペース）</t>
    <rPh sb="4" eb="5">
      <t>ブ</t>
    </rPh>
    <rPh sb="8" eb="10">
      <t>ハンカク</t>
    </rPh>
    <phoneticPr fontId="4"/>
  </si>
  <si>
    <t>※1～16の項番は、P.2の表中の項番に対応します。</t>
    <rPh sb="6" eb="8">
      <t>コウバン</t>
    </rPh>
    <rPh sb="14" eb="16">
      <t>ヒョウチュウ</t>
    </rPh>
    <rPh sb="17" eb="19">
      <t>コウバン</t>
    </rPh>
    <rPh sb="20" eb="22">
      <t>タイオウ</t>
    </rPh>
    <phoneticPr fontId="4"/>
  </si>
  <si>
    <t>※データ部の各項目は、形式が数値ならば数値のみ、形式が文字ならば 「’」（シングルクォーテーション）で括られた状態で、それぞれ1項目としてカンマ区切りでレコード出力されます。</t>
    <rPh sb="4" eb="5">
      <t>ブ</t>
    </rPh>
    <rPh sb="6" eb="9">
      <t>カクコウモク</t>
    </rPh>
    <rPh sb="11" eb="13">
      <t>ケイシキ</t>
    </rPh>
    <rPh sb="14" eb="16">
      <t>スウチ</t>
    </rPh>
    <rPh sb="19" eb="21">
      <t>スウチ</t>
    </rPh>
    <rPh sb="24" eb="26">
      <t>ケイシキ</t>
    </rPh>
    <rPh sb="27" eb="29">
      <t>モジ</t>
    </rPh>
    <rPh sb="51" eb="52">
      <t>クク</t>
    </rPh>
    <rPh sb="55" eb="57">
      <t>ジョウタイ</t>
    </rPh>
    <rPh sb="64" eb="66">
      <t>コウモク</t>
    </rPh>
    <rPh sb="72" eb="74">
      <t>クギ</t>
    </rPh>
    <rPh sb="80" eb="82">
      <t>シュツリョク</t>
    </rPh>
    <phoneticPr fontId="4"/>
  </si>
  <si>
    <t>■取消返品　レコード例（△：半角スペース）</t>
    <rPh sb="10" eb="11">
      <t>レイ</t>
    </rPh>
    <rPh sb="14" eb="16">
      <t>ハンカク</t>
    </rPh>
    <phoneticPr fontId="4"/>
  </si>
  <si>
    <t>① 
マークダウン
（売価）</t>
    <rPh sb="11" eb="13">
      <t>バイカ</t>
    </rPh>
    <phoneticPr fontId="74"/>
  </si>
  <si>
    <t>②
タイムサービス特売
（売価）</t>
    <rPh sb="9" eb="11">
      <t>トクバイ</t>
    </rPh>
    <rPh sb="13" eb="15">
      <t>バイカ</t>
    </rPh>
    <phoneticPr fontId="74"/>
  </si>
  <si>
    <t>③
期間特売
（売価）</t>
    <rPh sb="2" eb="6">
      <t>キカントクバイ</t>
    </rPh>
    <rPh sb="8" eb="10">
      <t>バイカ</t>
    </rPh>
    <phoneticPr fontId="74"/>
  </si>
  <si>
    <t>④
自動値引/割引
（割引）</t>
    <rPh sb="2" eb="6">
      <t>ジドウネビ</t>
    </rPh>
    <rPh sb="7" eb="9">
      <t>ワリビキ</t>
    </rPh>
    <rPh sb="11" eb="13">
      <t>ワリビキ</t>
    </rPh>
    <phoneticPr fontId="74"/>
  </si>
  <si>
    <t>⑤
バンドルミックスマッチ
（売価）</t>
    <rPh sb="15" eb="17">
      <t>バイカ</t>
    </rPh>
    <phoneticPr fontId="74"/>
  </si>
  <si>
    <t>⑥
マニュアル（売価）</t>
    <rPh sb="7" eb="9">
      <t>バイカ</t>
    </rPh>
    <phoneticPr fontId="74"/>
  </si>
  <si>
    <t>⑦
マニュアル（値引）</t>
    <rPh sb="8" eb="10">
      <t>ネビ</t>
    </rPh>
    <phoneticPr fontId="74"/>
  </si>
  <si>
    <t>⑧
マニュアル（割引）</t>
    <rPh sb="8" eb="10">
      <t>ワリビキ</t>
    </rPh>
    <phoneticPr fontId="74"/>
  </si>
  <si>
    <t>⑨
値引バーコード
（売価）</t>
    <rPh sb="2" eb="4">
      <t>ネビ</t>
    </rPh>
    <rPh sb="11" eb="13">
      <t>バイカ</t>
    </rPh>
    <phoneticPr fontId="74"/>
  </si>
  <si>
    <t>⑩
値引バーコード
（値引）</t>
    <rPh sb="2" eb="4">
      <t>ネビ</t>
    </rPh>
    <rPh sb="11" eb="13">
      <t>ネビキ</t>
    </rPh>
    <phoneticPr fontId="74"/>
  </si>
  <si>
    <t>⑪
値引バーコード
（割引）</t>
    <rPh sb="2" eb="4">
      <t>ネビ</t>
    </rPh>
    <rPh sb="11" eb="13">
      <t>ワリビキ</t>
    </rPh>
    <phoneticPr fontId="74"/>
  </si>
  <si>
    <t>⑫
値引バーコード
（カット品）</t>
    <rPh sb="2" eb="4">
      <t>ネビ</t>
    </rPh>
    <rPh sb="14" eb="15">
      <t>ヒン</t>
    </rPh>
    <phoneticPr fontId="74"/>
  </si>
  <si>
    <t>⑬
値引バーコード
（クーポン値引額）</t>
    <rPh sb="2" eb="4">
      <t>ネビ</t>
    </rPh>
    <rPh sb="15" eb="17">
      <t>ネビキ</t>
    </rPh>
    <rPh sb="17" eb="18">
      <t>ガク</t>
    </rPh>
    <phoneticPr fontId="74"/>
  </si>
  <si>
    <t>⑭
値引バーコード
（クーポン値引率）</t>
    <rPh sb="2" eb="4">
      <t>ネビ</t>
    </rPh>
    <rPh sb="15" eb="18">
      <t>ネビキリツ</t>
    </rPh>
    <phoneticPr fontId="74"/>
  </si>
  <si>
    <t>A④ 大分類</t>
    <rPh sb="3" eb="6">
      <t>ダイブンルイ</t>
    </rPh>
    <phoneticPr fontId="4"/>
  </si>
  <si>
    <t>B④ 中分類</t>
    <rPh sb="2" eb="5">
      <t>チュウブンルイ</t>
    </rPh>
    <phoneticPr fontId="4"/>
  </si>
  <si>
    <t>DISC_CLSS_ID→</t>
    <phoneticPr fontId="4"/>
  </si>
  <si>
    <t>重複不可</t>
    <rPh sb="0" eb="4">
      <t>チョウフクフカ</t>
    </rPh>
    <phoneticPr fontId="72"/>
  </si>
  <si>
    <t>①</t>
    <phoneticPr fontId="74"/>
  </si>
  <si>
    <t>安価
②/②　※1</t>
    <rPh sb="0" eb="2">
      <t>アンカ</t>
    </rPh>
    <phoneticPr fontId="74"/>
  </si>
  <si>
    <t>【トラン】①+②0</t>
    <phoneticPr fontId="4"/>
  </si>
  <si>
    <t>【トラン】②安価</t>
    <rPh sb="6" eb="8">
      <t>アンカ</t>
    </rPh>
    <phoneticPr fontId="4"/>
  </si>
  <si>
    <t>③
期間特売（売価）</t>
    <rPh sb="2" eb="6">
      <t>キカントクバイ</t>
    </rPh>
    <rPh sb="7" eb="9">
      <t>バイカ</t>
    </rPh>
    <phoneticPr fontId="74"/>
  </si>
  <si>
    <t>②</t>
    <phoneticPr fontId="74"/>
  </si>
  <si>
    <t>安価
③/③　※1</t>
    <rPh sb="0" eb="2">
      <t>アンカ</t>
    </rPh>
    <phoneticPr fontId="74"/>
  </si>
  <si>
    <t>【トラン】①+③0</t>
    <phoneticPr fontId="4"/>
  </si>
  <si>
    <t>【トラン】②+③0</t>
  </si>
  <si>
    <t>【トラン】③安価</t>
    <rPh sb="6" eb="8">
      <t>アンカ</t>
    </rPh>
    <phoneticPr fontId="4"/>
  </si>
  <si>
    <t>①</t>
  </si>
  <si>
    <t>両立
②→④</t>
    <rPh sb="0" eb="2">
      <t>リョウリツ</t>
    </rPh>
    <phoneticPr fontId="74"/>
  </si>
  <si>
    <t>両立
③→④</t>
    <rPh sb="0" eb="2">
      <t>リョウリツ</t>
    </rPh>
    <phoneticPr fontId="74"/>
  </si>
  <si>
    <t>安価
④/④ ※1 ※2</t>
    <rPh sb="0" eb="2">
      <t>アンカ</t>
    </rPh>
    <phoneticPr fontId="74"/>
  </si>
  <si>
    <t>【トラン】①+④0</t>
  </si>
  <si>
    <t>【トラン】②+④</t>
  </si>
  <si>
    <t>【トラン】③+④</t>
  </si>
  <si>
    <t>【トラン】A④安価</t>
    <rPh sb="7" eb="9">
      <t>アンカ</t>
    </rPh>
    <phoneticPr fontId="4"/>
  </si>
  <si>
    <t xml:space="preserve">
</t>
    <phoneticPr fontId="4"/>
  </si>
  <si>
    <t>B④ 中分類</t>
    <rPh sb="3" eb="6">
      <t>チュウブンルイ</t>
    </rPh>
    <phoneticPr fontId="4"/>
  </si>
  <si>
    <t>【トラン】
A④安価：A④+B④0
B④安価：A④0+B④</t>
    <phoneticPr fontId="4"/>
  </si>
  <si>
    <t>【トラン】B④安価</t>
    <rPh sb="7" eb="9">
      <t>アンカ</t>
    </rPh>
    <phoneticPr fontId="4"/>
  </si>
  <si>
    <t xml:space="preserve">安価
①/⑤ </t>
    <rPh sb="0" eb="2">
      <t>アンカ</t>
    </rPh>
    <phoneticPr fontId="74"/>
  </si>
  <si>
    <t>安価
②/⑤</t>
    <rPh sb="0" eb="2">
      <t>アンカ</t>
    </rPh>
    <phoneticPr fontId="74"/>
  </si>
  <si>
    <t xml:space="preserve">安価
③/⑤ </t>
    <rPh sb="0" eb="2">
      <t>アンカ</t>
    </rPh>
    <phoneticPr fontId="74"/>
  </si>
  <si>
    <t>安価
④/⑤</t>
    <rPh sb="0" eb="2">
      <t>アンカ</t>
    </rPh>
    <phoneticPr fontId="74"/>
  </si>
  <si>
    <t>安価
⑤/⑤ ※4</t>
    <rPh sb="0" eb="2">
      <t>アンカ</t>
    </rPh>
    <phoneticPr fontId="74"/>
  </si>
  <si>
    <t>【トラン】
①安価：①+⑤0
⑤安価：①+⑤差</t>
    <rPh sb="7" eb="9">
      <t>アンカ</t>
    </rPh>
    <rPh sb="16" eb="18">
      <t>アンカ</t>
    </rPh>
    <phoneticPr fontId="4"/>
  </si>
  <si>
    <t>【トラン】
②安価：②+⑤0
⑤安価：②+⑤差</t>
    <rPh sb="7" eb="9">
      <t>アンカ</t>
    </rPh>
    <rPh sb="16" eb="18">
      <t>アンカ</t>
    </rPh>
    <phoneticPr fontId="4"/>
  </si>
  <si>
    <t>【トラン】
③安価：③+⑤0
⑤安価：③+⑤差</t>
    <rPh sb="7" eb="9">
      <t>アンカ</t>
    </rPh>
    <rPh sb="16" eb="18">
      <t>アンカ</t>
    </rPh>
    <phoneticPr fontId="4"/>
  </si>
  <si>
    <t>【トラン】
④安価：④+⑤0
⑤安価：④+⑤差</t>
    <rPh sb="7" eb="9">
      <t>アンカ</t>
    </rPh>
    <rPh sb="16" eb="18">
      <t>アンカ</t>
    </rPh>
    <rPh sb="22" eb="23">
      <t>サ</t>
    </rPh>
    <phoneticPr fontId="4"/>
  </si>
  <si>
    <t>【トラン】⑤安価</t>
    <rPh sb="6" eb="8">
      <t>アンカ</t>
    </rPh>
    <phoneticPr fontId="4"/>
  </si>
  <si>
    <r>
      <t xml:space="preserve">⑥
マニュアル（売価）
</t>
    </r>
    <r>
      <rPr>
        <b/>
        <sz val="9"/>
        <color rgb="FFFF0000"/>
        <rFont val="Meiryo UI"/>
        <family val="3"/>
        <charset val="128"/>
      </rPr>
      <t>※5</t>
    </r>
    <rPh sb="8" eb="10">
      <t>バイカ</t>
    </rPh>
    <phoneticPr fontId="74"/>
  </si>
  <si>
    <t>⑥</t>
    <phoneticPr fontId="74"/>
  </si>
  <si>
    <t>重複不可 
操作エラー</t>
    <rPh sb="0" eb="4">
      <t>チョウフクフカ</t>
    </rPh>
    <rPh sb="6" eb="8">
      <t>ソウサ</t>
    </rPh>
    <phoneticPr fontId="72"/>
  </si>
  <si>
    <t>【トラン】①+⑥差</t>
    <rPh sb="8" eb="9">
      <t>サ</t>
    </rPh>
    <phoneticPr fontId="4"/>
  </si>
  <si>
    <t>【トラン】②+⑥差</t>
    <rPh sb="8" eb="9">
      <t>サ</t>
    </rPh>
    <phoneticPr fontId="4"/>
  </si>
  <si>
    <t>【トラン】③+⑥差</t>
    <rPh sb="8" eb="9">
      <t>サ</t>
    </rPh>
    <phoneticPr fontId="4"/>
  </si>
  <si>
    <t>【トラン】④0+⑥</t>
    <phoneticPr fontId="4"/>
  </si>
  <si>
    <t>【トラン】⑤0+⑥</t>
    <phoneticPr fontId="4"/>
  </si>
  <si>
    <t>両立
①→⑦</t>
    <rPh sb="0" eb="2">
      <t>リョウリツ</t>
    </rPh>
    <phoneticPr fontId="74"/>
  </si>
  <si>
    <t>両立
②→⑦</t>
    <rPh sb="0" eb="2">
      <t>リョウリツ</t>
    </rPh>
    <phoneticPr fontId="74"/>
  </si>
  <si>
    <t>両立
③→⑦</t>
    <rPh sb="0" eb="2">
      <t>リョウリツ</t>
    </rPh>
    <phoneticPr fontId="74"/>
  </si>
  <si>
    <t>両立
④→⑦</t>
    <rPh sb="0" eb="2">
      <t>リョウリツ</t>
    </rPh>
    <phoneticPr fontId="74"/>
  </si>
  <si>
    <t>両立
⑤→⑦ ※3</t>
    <rPh sb="0" eb="2">
      <t>リョウリツ</t>
    </rPh>
    <phoneticPr fontId="74"/>
  </si>
  <si>
    <t xml:space="preserve">重複不可
操作エラー </t>
    <rPh sb="0" eb="4">
      <t>チョウフクフカ</t>
    </rPh>
    <rPh sb="5" eb="7">
      <t>ソウサ</t>
    </rPh>
    <phoneticPr fontId="72"/>
  </si>
  <si>
    <t>【トラン】①+⑦</t>
  </si>
  <si>
    <t>【トラン】②+⑦</t>
  </si>
  <si>
    <t>【トラン】③+⑦</t>
  </si>
  <si>
    <t>【トラン】④+⑦</t>
  </si>
  <si>
    <t>【トラン】⑤+⑦</t>
  </si>
  <si>
    <t>両立
①→⑧</t>
    <rPh sb="0" eb="2">
      <t>リョウリツ</t>
    </rPh>
    <phoneticPr fontId="74"/>
  </si>
  <si>
    <t>両立
②→⑧</t>
    <rPh sb="0" eb="2">
      <t>リョウリツ</t>
    </rPh>
    <phoneticPr fontId="74"/>
  </si>
  <si>
    <t>両立
③→⑧</t>
    <rPh sb="0" eb="2">
      <t>リョウリツ</t>
    </rPh>
    <phoneticPr fontId="74"/>
  </si>
  <si>
    <t>両立
④→⑧</t>
    <rPh sb="0" eb="2">
      <t>リョウリツ</t>
    </rPh>
    <phoneticPr fontId="74"/>
  </si>
  <si>
    <t>両立
⑤→⑧ ※3</t>
    <rPh sb="0" eb="2">
      <t>リョウリツ</t>
    </rPh>
    <phoneticPr fontId="74"/>
  </si>
  <si>
    <t>重複不可
操作エラー　</t>
    <rPh sb="0" eb="4">
      <t>チョウフクフカ</t>
    </rPh>
    <rPh sb="5" eb="7">
      <t>ソウサ</t>
    </rPh>
    <phoneticPr fontId="72"/>
  </si>
  <si>
    <t>重複不可
操作エラー</t>
    <rPh sb="0" eb="4">
      <t>チョウフクフカ</t>
    </rPh>
    <rPh sb="5" eb="7">
      <t>ソウサ</t>
    </rPh>
    <phoneticPr fontId="72"/>
  </si>
  <si>
    <t>【トラン】①+⑧</t>
  </si>
  <si>
    <t>【トラン】②+⑧</t>
  </si>
  <si>
    <t>【トラン】③+⑧</t>
  </si>
  <si>
    <t>【トラン】④+⑧</t>
  </si>
  <si>
    <t>【トラン】⑤+⑧</t>
  </si>
  <si>
    <r>
      <t xml:space="preserve">⑨
値引バーコード
（売価）
</t>
    </r>
    <r>
      <rPr>
        <b/>
        <sz val="9"/>
        <color rgb="FFFF0000"/>
        <rFont val="Meiryo UI"/>
        <family val="3"/>
        <charset val="128"/>
      </rPr>
      <t>※5</t>
    </r>
    <rPh sb="2" eb="4">
      <t>ネビ</t>
    </rPh>
    <rPh sb="11" eb="13">
      <t>バイカ</t>
    </rPh>
    <phoneticPr fontId="74"/>
  </si>
  <si>
    <t>⑨</t>
    <phoneticPr fontId="72"/>
  </si>
  <si>
    <t>重複不可 
⑨
操作エラー</t>
    <rPh sb="0" eb="4">
      <t>チョウフクフカ</t>
    </rPh>
    <rPh sb="8" eb="10">
      <t>ソウサ</t>
    </rPh>
    <phoneticPr fontId="72"/>
  </si>
  <si>
    <t xml:space="preserve">重複不可 </t>
    <rPh sb="0" eb="4">
      <t>チョウフクフカ</t>
    </rPh>
    <phoneticPr fontId="72"/>
  </si>
  <si>
    <t>【トラン】①+⑨差</t>
    <rPh sb="8" eb="9">
      <t>サ</t>
    </rPh>
    <phoneticPr fontId="4"/>
  </si>
  <si>
    <t>【トラン】②+⑨差</t>
    <rPh sb="8" eb="9">
      <t>サ</t>
    </rPh>
    <phoneticPr fontId="4"/>
  </si>
  <si>
    <t>【トラン】③+⑨差</t>
    <rPh sb="8" eb="9">
      <t>サ</t>
    </rPh>
    <phoneticPr fontId="4"/>
  </si>
  <si>
    <t>【トラン】④0+⑨</t>
    <phoneticPr fontId="4"/>
  </si>
  <si>
    <t>【トラン】⑤0+⑨</t>
    <phoneticPr fontId="4"/>
  </si>
  <si>
    <t>⑩
値引バーコード
（値引）</t>
    <rPh sb="2" eb="4">
      <t>ネビ</t>
    </rPh>
    <rPh sb="11" eb="13">
      <t>ネビ</t>
    </rPh>
    <phoneticPr fontId="74"/>
  </si>
  <si>
    <t>両立
①→⑩</t>
    <rPh sb="0" eb="2">
      <t>リョウリツ</t>
    </rPh>
    <phoneticPr fontId="72"/>
  </si>
  <si>
    <t>両立
②→⑩</t>
    <rPh sb="0" eb="2">
      <t>リョウリツ</t>
    </rPh>
    <phoneticPr fontId="72"/>
  </si>
  <si>
    <t>両立
③→⑩</t>
    <rPh sb="0" eb="2">
      <t>リョウリツ</t>
    </rPh>
    <phoneticPr fontId="72"/>
  </si>
  <si>
    <t>両立
④→⑩</t>
    <rPh sb="0" eb="2">
      <t>リョウリツ</t>
    </rPh>
    <phoneticPr fontId="72"/>
  </si>
  <si>
    <t>両立
⑤→⑩ ※3</t>
    <rPh sb="0" eb="2">
      <t>リョウリツ</t>
    </rPh>
    <phoneticPr fontId="72"/>
  </si>
  <si>
    <t>重複不可 
⑩
操作エラー</t>
    <rPh sb="0" eb="4">
      <t>チョウフクフカ</t>
    </rPh>
    <rPh sb="8" eb="10">
      <t>ソウサ</t>
    </rPh>
    <phoneticPr fontId="72"/>
  </si>
  <si>
    <t>【トラン】①+⑩</t>
  </si>
  <si>
    <t>【トラン】②+⑩</t>
  </si>
  <si>
    <t>【トラン】③+⑩</t>
  </si>
  <si>
    <t>【トラン】④+⑩</t>
  </si>
  <si>
    <t>【トラン】⑤+⑩</t>
  </si>
  <si>
    <t>両立
①→⑪</t>
    <rPh sb="0" eb="2">
      <t>リョウリツ</t>
    </rPh>
    <phoneticPr fontId="72"/>
  </si>
  <si>
    <t>両立
②→⑪</t>
    <rPh sb="0" eb="2">
      <t>リョウリツ</t>
    </rPh>
    <phoneticPr fontId="72"/>
  </si>
  <si>
    <t>両立
③→⑪</t>
    <rPh sb="0" eb="2">
      <t>リョウリツ</t>
    </rPh>
    <phoneticPr fontId="72"/>
  </si>
  <si>
    <t>両立
④→⑪</t>
    <rPh sb="0" eb="2">
      <t>リョウリツ</t>
    </rPh>
    <phoneticPr fontId="72"/>
  </si>
  <si>
    <t>両立
⑤→⑪ ※3</t>
    <rPh sb="0" eb="2">
      <t>リョウリツ</t>
    </rPh>
    <phoneticPr fontId="72"/>
  </si>
  <si>
    <t>重複不可 
⑪
操作エラー</t>
    <rPh sb="0" eb="4">
      <t>チョウフクフカ</t>
    </rPh>
    <rPh sb="8" eb="10">
      <t>ソウサ</t>
    </rPh>
    <phoneticPr fontId="72"/>
  </si>
  <si>
    <t>【トラン】①+⑪</t>
  </si>
  <si>
    <t>【トラン】②+⑪</t>
  </si>
  <si>
    <t>【トラン】③+⑪</t>
  </si>
  <si>
    <t>【トラン】④+⑪</t>
  </si>
  <si>
    <t>【トラン】⑤+⑪</t>
  </si>
  <si>
    <r>
      <t xml:space="preserve">⑫
値引バーコード（カット品）
（売価）
</t>
    </r>
    <r>
      <rPr>
        <b/>
        <sz val="9"/>
        <color rgb="FFFF0000"/>
        <rFont val="Meiryo UI"/>
        <family val="3"/>
        <charset val="128"/>
      </rPr>
      <t>※5</t>
    </r>
    <rPh sb="2" eb="4">
      <t>ネビ</t>
    </rPh>
    <rPh sb="13" eb="14">
      <t>ヒン</t>
    </rPh>
    <phoneticPr fontId="74"/>
  </si>
  <si>
    <t>⑫</t>
    <phoneticPr fontId="74"/>
  </si>
  <si>
    <t>重複不可 
⑫
操作エラー</t>
    <rPh sb="0" eb="4">
      <t>チョウフクフカ</t>
    </rPh>
    <rPh sb="8" eb="10">
      <t>ソウサ</t>
    </rPh>
    <phoneticPr fontId="72"/>
  </si>
  <si>
    <t>【トラン】①+⑫差</t>
    <rPh sb="8" eb="9">
      <t>サ</t>
    </rPh>
    <phoneticPr fontId="4"/>
  </si>
  <si>
    <t>【トラン】②+⑫差</t>
    <rPh sb="8" eb="9">
      <t>サ</t>
    </rPh>
    <phoneticPr fontId="4"/>
  </si>
  <si>
    <t>【トラン】③+⑫差</t>
    <rPh sb="8" eb="9">
      <t>サ</t>
    </rPh>
    <phoneticPr fontId="4"/>
  </si>
  <si>
    <t>【トラン】④0+⑫</t>
    <phoneticPr fontId="4"/>
  </si>
  <si>
    <t>【トラン】⑤0+⑫</t>
    <phoneticPr fontId="4"/>
  </si>
  <si>
    <t>⑬
値引バーコード
（クーポン値引額）</t>
    <rPh sb="2" eb="4">
      <t>ネビ</t>
    </rPh>
    <rPh sb="15" eb="18">
      <t>ネビキガク</t>
    </rPh>
    <phoneticPr fontId="74"/>
  </si>
  <si>
    <t>両立
①→⑬</t>
    <rPh sb="0" eb="2">
      <t>リョウリツ</t>
    </rPh>
    <phoneticPr fontId="72"/>
  </si>
  <si>
    <t>両立
②→⑬</t>
    <rPh sb="0" eb="2">
      <t>リョウリツ</t>
    </rPh>
    <phoneticPr fontId="72"/>
  </si>
  <si>
    <t>両立
③→⑬</t>
    <rPh sb="0" eb="2">
      <t>リョウリツ</t>
    </rPh>
    <phoneticPr fontId="72"/>
  </si>
  <si>
    <t>両立
④→⑬</t>
    <rPh sb="0" eb="2">
      <t>リョウリツ</t>
    </rPh>
    <phoneticPr fontId="72"/>
  </si>
  <si>
    <t>両立
⑤→⑬ ※3</t>
    <rPh sb="0" eb="2">
      <t>リョウリツ</t>
    </rPh>
    <phoneticPr fontId="72"/>
  </si>
  <si>
    <t>重複不可 
⑥
割引済エラー
（⑬→⑥：操作エラー）</t>
    <rPh sb="0" eb="4">
      <t>チョウフクフカ</t>
    </rPh>
    <rPh sb="8" eb="11">
      <t>ワリビキスミ</t>
    </rPh>
    <rPh sb="20" eb="22">
      <t>ソウサ</t>
    </rPh>
    <phoneticPr fontId="72"/>
  </si>
  <si>
    <t>重複不可 
⑦
割引済エラー
（⑬→⑦：操作エラー）</t>
    <rPh sb="0" eb="4">
      <t>チョウフクフカ</t>
    </rPh>
    <rPh sb="8" eb="10">
      <t>ワリビキ</t>
    </rPh>
    <rPh sb="10" eb="11">
      <t>スミ</t>
    </rPh>
    <phoneticPr fontId="72"/>
  </si>
  <si>
    <t>重複不可 
⑧
割引済エラー
（⑬→⑧：操作エラー）</t>
    <rPh sb="0" eb="4">
      <t>チョウフクフカ</t>
    </rPh>
    <rPh sb="8" eb="10">
      <t>ワリビキ</t>
    </rPh>
    <rPh sb="10" eb="11">
      <t>スミ</t>
    </rPh>
    <phoneticPr fontId="72"/>
  </si>
  <si>
    <t>重複不可 
⑨
割引済エラー</t>
    <rPh sb="0" eb="4">
      <t>チョウフクフカ</t>
    </rPh>
    <rPh sb="8" eb="11">
      <t>ワリビキスミ</t>
    </rPh>
    <phoneticPr fontId="72"/>
  </si>
  <si>
    <t>重複不可 
⑩
割引済エラー</t>
    <rPh sb="0" eb="4">
      <t>チョウフクフカ</t>
    </rPh>
    <rPh sb="8" eb="11">
      <t>ワリビキスミ</t>
    </rPh>
    <phoneticPr fontId="72"/>
  </si>
  <si>
    <t>重複不可 
⑪
割引済エラー</t>
    <rPh sb="0" eb="4">
      <t>チョウフクフカ</t>
    </rPh>
    <rPh sb="8" eb="11">
      <t>ワリビキスミ</t>
    </rPh>
    <phoneticPr fontId="72"/>
  </si>
  <si>
    <t>重複不可 
⑫
割引済エラー</t>
    <rPh sb="0" eb="4">
      <t>チョウフクフカ</t>
    </rPh>
    <rPh sb="8" eb="11">
      <t>ワリビキスミ</t>
    </rPh>
    <phoneticPr fontId="72"/>
  </si>
  <si>
    <t>重複不可
割引済エラー</t>
    <rPh sb="0" eb="4">
      <t>チョウフクフカ</t>
    </rPh>
    <rPh sb="5" eb="8">
      <t>ワリビキスミ</t>
    </rPh>
    <phoneticPr fontId="72"/>
  </si>
  <si>
    <t>【トラン】①+⑬</t>
  </si>
  <si>
    <t>【トラン】②+⑬</t>
  </si>
  <si>
    <t>【トラン】③+⑬</t>
  </si>
  <si>
    <t>【トラン】④+⑬</t>
  </si>
  <si>
    <t>【トラン】⑤+⑬</t>
  </si>
  <si>
    <t>⑭
値引バーコード
（クーポン値引率）</t>
    <rPh sb="2" eb="4">
      <t>ネビ</t>
    </rPh>
    <rPh sb="15" eb="17">
      <t>ネビキ</t>
    </rPh>
    <rPh sb="17" eb="18">
      <t>リツ</t>
    </rPh>
    <phoneticPr fontId="74"/>
  </si>
  <si>
    <t>両立
①→⑭</t>
    <rPh sb="0" eb="2">
      <t>リョウリツ</t>
    </rPh>
    <phoneticPr fontId="72"/>
  </si>
  <si>
    <t>両立
②→⑭</t>
    <rPh sb="0" eb="2">
      <t>リョウリツ</t>
    </rPh>
    <phoneticPr fontId="72"/>
  </si>
  <si>
    <t>両立
③→⑭</t>
    <rPh sb="0" eb="2">
      <t>リョウリツ</t>
    </rPh>
    <phoneticPr fontId="72"/>
  </si>
  <si>
    <t>両立
④→⑭</t>
    <rPh sb="0" eb="2">
      <t>リョウリツ</t>
    </rPh>
    <phoneticPr fontId="72"/>
  </si>
  <si>
    <t>両立
⑤→⑭ ※3</t>
    <rPh sb="0" eb="2">
      <t>リョウリツ</t>
    </rPh>
    <phoneticPr fontId="72"/>
  </si>
  <si>
    <t>重複不可 
⑥
割引済エラー
（⑭→⑥：操作エラー）</t>
    <rPh sb="0" eb="4">
      <t>チョウフクフカ</t>
    </rPh>
    <rPh sb="8" eb="11">
      <t>ワリビキスミ</t>
    </rPh>
    <phoneticPr fontId="72"/>
  </si>
  <si>
    <t>重複不可 
⑦
割引済エラー
（⑭→⑦：操作エラー）</t>
    <rPh sb="0" eb="4">
      <t>チョウフクフカ</t>
    </rPh>
    <rPh sb="8" eb="10">
      <t>ワリビキ</t>
    </rPh>
    <rPh sb="10" eb="11">
      <t>スミ</t>
    </rPh>
    <phoneticPr fontId="72"/>
  </si>
  <si>
    <t>重複不可 
⑧
割引済エラー
（⑭→⑧：操作エラー）</t>
    <rPh sb="0" eb="4">
      <t>チョウフクフカ</t>
    </rPh>
    <rPh sb="8" eb="10">
      <t>ワリビキ</t>
    </rPh>
    <rPh sb="10" eb="11">
      <t>スミ</t>
    </rPh>
    <phoneticPr fontId="72"/>
  </si>
  <si>
    <t>【トラン】①+⑭</t>
  </si>
  <si>
    <t>【トラン】②+⑭</t>
  </si>
  <si>
    <t>【トラン】③+⑭</t>
  </si>
  <si>
    <t>【トラン】④+⑭</t>
  </si>
  <si>
    <t>【トラン】⑤+⑭</t>
  </si>
  <si>
    <t>※1：価格や割引率が当日付で緊急登録された場合は、価格が高くても緊急登録された価格・割引設定を採用する。</t>
    <rPh sb="3" eb="5">
      <t>カカク</t>
    </rPh>
    <rPh sb="6" eb="9">
      <t>ワリビキリツ</t>
    </rPh>
    <rPh sb="10" eb="13">
      <t>トウジツヅ</t>
    </rPh>
    <rPh sb="14" eb="18">
      <t>キンキュウトウロク</t>
    </rPh>
    <rPh sb="21" eb="23">
      <t>バアイ</t>
    </rPh>
    <rPh sb="25" eb="27">
      <t>カカク</t>
    </rPh>
    <rPh sb="28" eb="29">
      <t>タカ</t>
    </rPh>
    <rPh sb="32" eb="36">
      <t>キンキュウトウロク</t>
    </rPh>
    <rPh sb="39" eb="41">
      <t>カカク</t>
    </rPh>
    <rPh sb="42" eb="46">
      <t>ワリビキセッテイ</t>
    </rPh>
    <rPh sb="47" eb="49">
      <t>サイヨウ</t>
    </rPh>
    <phoneticPr fontId="72"/>
  </si>
  <si>
    <t>※2：期間指定、時間指定、曜日指定のどのパターン設定にもかかわらず、安価採用となる。</t>
    <rPh sb="3" eb="7">
      <t>キカンシテイ</t>
    </rPh>
    <rPh sb="8" eb="12">
      <t>ジカンシテイ</t>
    </rPh>
    <rPh sb="13" eb="17">
      <t>ヨウビシテイ</t>
    </rPh>
    <rPh sb="24" eb="26">
      <t>セッテイ</t>
    </rPh>
    <rPh sb="34" eb="38">
      <t>アンカサイヨウ</t>
    </rPh>
    <phoneticPr fontId="72"/>
  </si>
  <si>
    <t>※3：バンドルミックスマッチ対象商品価格－バンドルミックスマッチ値引按分額(「対象商品合計金額ーバンドルミックスマッチ成立額」を対象商品ごとに按分した価格)から、値引額・割引額を減算する。</t>
    <rPh sb="14" eb="16">
      <t>タイショウ</t>
    </rPh>
    <rPh sb="16" eb="20">
      <t>ショウヒンカカク</t>
    </rPh>
    <rPh sb="32" eb="34">
      <t>ネビキ</t>
    </rPh>
    <rPh sb="34" eb="37">
      <t>アンブンガク</t>
    </rPh>
    <rPh sb="39" eb="43">
      <t>タイショウショウヒン</t>
    </rPh>
    <rPh sb="43" eb="45">
      <t>ゴウケイ</t>
    </rPh>
    <rPh sb="45" eb="47">
      <t>キンガク</t>
    </rPh>
    <rPh sb="59" eb="62">
      <t>セイリツガク</t>
    </rPh>
    <rPh sb="64" eb="68">
      <t>タイショウショウヒン</t>
    </rPh>
    <rPh sb="71" eb="73">
      <t>アンブン</t>
    </rPh>
    <rPh sb="75" eb="77">
      <t>カカク</t>
    </rPh>
    <rPh sb="80" eb="82">
      <t>ゲンサン</t>
    </rPh>
    <phoneticPr fontId="72"/>
  </si>
  <si>
    <t>※4：翌日以降に適用開始となる設定は重複可。ただし、当日付で適用開始となる設定を重複して設定しようとした場合、グループ重複エラーとなり設定不可。</t>
    <rPh sb="3" eb="5">
      <t>ヨクジツ</t>
    </rPh>
    <rPh sb="5" eb="7">
      <t>イコウ</t>
    </rPh>
    <rPh sb="8" eb="12">
      <t>テキヨウカイシ</t>
    </rPh>
    <rPh sb="15" eb="17">
      <t>セッテイ</t>
    </rPh>
    <rPh sb="18" eb="20">
      <t>チョウフク</t>
    </rPh>
    <rPh sb="20" eb="21">
      <t>カ</t>
    </rPh>
    <rPh sb="26" eb="29">
      <t>トウジツヅ</t>
    </rPh>
    <rPh sb="30" eb="34">
      <t>テキヨウカイシ</t>
    </rPh>
    <rPh sb="37" eb="39">
      <t>セッテイ</t>
    </rPh>
    <rPh sb="40" eb="42">
      <t>チョウフク</t>
    </rPh>
    <rPh sb="44" eb="46">
      <t>セッテイ</t>
    </rPh>
    <rPh sb="52" eb="54">
      <t>バアイ</t>
    </rPh>
    <rPh sb="59" eb="61">
      <t>チョウフク</t>
    </rPh>
    <rPh sb="67" eb="71">
      <t>セッテイフカ</t>
    </rPh>
    <phoneticPr fontId="72"/>
  </si>
  <si>
    <t>※5：マニュアル/値引バーコード（売価）は、値下げの場合は、値引として扱ってLN_DISCOUNTを作成する(MANUAL_PRICEは作成しない)。</t>
    <rPh sb="9" eb="11">
      <t>ネビキ</t>
    </rPh>
    <rPh sb="17" eb="19">
      <t>バイカ</t>
    </rPh>
    <rPh sb="26" eb="28">
      <t>バアイ</t>
    </rPh>
    <rPh sb="30" eb="32">
      <t>ネビキ</t>
    </rPh>
    <rPh sb="35" eb="36">
      <t>アツカ</t>
    </rPh>
    <phoneticPr fontId="72"/>
  </si>
  <si>
    <t>　　　　値上げ(マニュアルのみ可能)および同額(マニュアル/値引きバーコードの両方とも可能)の場合は、値引として扱わずにMANUAL_PRICEを作成する(LN_DISCOUNTは作成しない)。</t>
    <rPh sb="4" eb="6">
      <t>ネア</t>
    </rPh>
    <rPh sb="15" eb="17">
      <t>カノウ</t>
    </rPh>
    <rPh sb="21" eb="23">
      <t>ドウガク</t>
    </rPh>
    <rPh sb="30" eb="32">
      <t>ネビ</t>
    </rPh>
    <rPh sb="39" eb="41">
      <t>リョウホウ</t>
    </rPh>
    <rPh sb="43" eb="45">
      <t>カノウ</t>
    </rPh>
    <rPh sb="47" eb="49">
      <t>バアイ</t>
    </rPh>
    <rPh sb="51" eb="53">
      <t>ネビキ</t>
    </rPh>
    <rPh sb="56" eb="57">
      <t>アツカ</t>
    </rPh>
    <rPh sb="73" eb="75">
      <t>サクセイ</t>
    </rPh>
    <phoneticPr fontId="7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</si>
</sst>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5" formatCode="&quot;¥&quot;#,##0;&quot;¥&quot;\-#,##0"/>
    <numFmt numFmtId="6" formatCode="&quot;¥&quot;#,##0;[Red]&quot;¥&quot;\-#,##0"/>
    <numFmt numFmtId="176" formatCode="&quot;第&quot;0.0&quot;版&quot;"/>
    <numFmt numFmtId="177" formatCode="0.0"/>
    <numFmt numFmtId="178" formatCode="&quot;第&quot;\ ##\ &quot;版&quot;"/>
    <numFmt numFmtId="179" formatCode="&quot;¥&quot;#,##0_);[Red]\(&quot;¥&quot;#,##0\)"/>
    <numFmt numFmtId="180" formatCode="&quot;第&quot;0.00&quot;版&quot;"/>
  </numFmts>
  <fonts count="81" x14ac:knownFonts="1">
    <font>
      <sz val="11"/>
      <color indexed="8"/>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9"/>
      <color indexed="8"/>
      <name val="ＭＳ Ｐゴシック"/>
      <family val="3"/>
      <charset val="128"/>
    </font>
    <font>
      <sz val="6"/>
      <name val="ＭＳ Ｐゴシック"/>
      <family val="3"/>
      <charset val="128"/>
    </font>
    <font>
      <sz val="11"/>
      <name val="ＭＳ Ｐゴシック"/>
      <family val="3"/>
      <charset val="128"/>
    </font>
    <font>
      <sz val="9"/>
      <name val="ＭＳ Ｐゴシック"/>
      <family val="3"/>
      <charset val="128"/>
    </font>
    <font>
      <sz val="9"/>
      <name val="Arial"/>
      <family val="2"/>
    </font>
    <font>
      <sz val="9"/>
      <color rgb="FFFF0000"/>
      <name val="ＭＳ Ｐゴシック"/>
      <family val="3"/>
      <charset val="128"/>
    </font>
    <font>
      <b/>
      <sz val="9"/>
      <color theme="0"/>
      <name val="ＭＳ Ｐゴシック"/>
      <family val="3"/>
      <charset val="128"/>
    </font>
    <font>
      <b/>
      <sz val="9"/>
      <color rgb="FFFF0000"/>
      <name val="ＭＳ Ｐゴシック"/>
      <family val="3"/>
      <charset val="128"/>
    </font>
    <font>
      <sz val="9"/>
      <color indexed="8"/>
      <name val="Arial"/>
      <family val="2"/>
    </font>
    <font>
      <sz val="6"/>
      <name val="ＭＳ Ｐゴシック"/>
      <family val="2"/>
      <charset val="128"/>
      <scheme val="minor"/>
    </font>
    <font>
      <strike/>
      <sz val="9"/>
      <name val="ＭＳ Ｐゴシック"/>
      <family val="3"/>
      <charset val="128"/>
    </font>
    <font>
      <sz val="11"/>
      <color theme="1"/>
      <name val="ＭＳ Ｐゴシック"/>
      <family val="3"/>
      <charset val="128"/>
      <scheme val="minor"/>
    </font>
    <font>
      <sz val="11"/>
      <color rgb="FF0000FF"/>
      <name val="ＭＳ Ｐゴシック"/>
      <family val="3"/>
      <charset val="128"/>
      <scheme val="minor"/>
    </font>
    <font>
      <strike/>
      <sz val="11"/>
      <name val="ＭＳ Ｐゴシック"/>
      <family val="3"/>
      <charset val="128"/>
    </font>
    <font>
      <sz val="9"/>
      <name val="ＭＳ ゴシック"/>
      <family val="3"/>
      <charset val="128"/>
    </font>
    <font>
      <sz val="11"/>
      <color rgb="FFFF0000"/>
      <name val="ＭＳ Ｐゴシック"/>
      <family val="2"/>
      <charset val="128"/>
      <scheme val="minor"/>
    </font>
    <font>
      <sz val="11"/>
      <name val="ＭＳ Ｐゴシック"/>
      <family val="3"/>
      <charset val="128"/>
      <scheme val="minor"/>
    </font>
    <font>
      <sz val="11"/>
      <color indexed="8"/>
      <name val="ＭＳ Ｐゴシック"/>
      <family val="3"/>
      <charset val="128"/>
    </font>
    <font>
      <b/>
      <sz val="9"/>
      <color indexed="8"/>
      <name val="ＭＳ Ｐゴシック"/>
      <family val="3"/>
      <charset val="128"/>
    </font>
    <font>
      <sz val="9"/>
      <name val="MS UI Gothic"/>
      <family val="3"/>
      <charset val="128"/>
    </font>
    <font>
      <sz val="11"/>
      <name val="ＭＳ Ｐゴシック"/>
      <family val="2"/>
      <charset val="128"/>
      <scheme val="minor"/>
    </font>
    <font>
      <b/>
      <u/>
      <sz val="16"/>
      <name val="ＭＳ Ｐゴシック"/>
      <family val="3"/>
      <charset val="128"/>
    </font>
    <font>
      <u/>
      <sz val="12"/>
      <name val="ＭＳ Ｐゴシック"/>
      <family val="3"/>
      <charset val="128"/>
    </font>
    <font>
      <sz val="36"/>
      <name val="ＭＳ Ｐゴシック"/>
      <family val="3"/>
      <charset val="128"/>
    </font>
    <font>
      <sz val="20"/>
      <name val="ＭＳ Ｐゴシック"/>
      <family val="3"/>
      <charset val="128"/>
    </font>
    <font>
      <sz val="9"/>
      <name val="Meiryo UI"/>
      <family val="3"/>
      <charset val="128"/>
    </font>
    <font>
      <b/>
      <sz val="9"/>
      <name val="Meiryo UI"/>
      <family val="3"/>
      <charset val="128"/>
    </font>
    <font>
      <b/>
      <u/>
      <sz val="9"/>
      <name val="Meiryo UI"/>
      <family val="3"/>
      <charset val="128"/>
    </font>
    <font>
      <b/>
      <sz val="9"/>
      <name val="ＭＳ Ｐゴシック"/>
      <family val="3"/>
      <charset val="128"/>
    </font>
    <font>
      <u/>
      <sz val="9"/>
      <name val="ＭＳ Ｐゴシック"/>
      <family val="3"/>
      <charset val="128"/>
    </font>
    <font>
      <sz val="8"/>
      <name val="ＭＳ Ｐゴシック"/>
      <family val="3"/>
      <charset val="128"/>
    </font>
    <font>
      <b/>
      <sz val="10"/>
      <name val="ＭＳ Ｐゴシック"/>
      <family val="3"/>
      <charset val="128"/>
    </font>
    <font>
      <sz val="8"/>
      <color indexed="8"/>
      <name val="ＭＳ Ｐゴシック"/>
      <family val="3"/>
      <charset val="128"/>
    </font>
    <font>
      <b/>
      <sz val="11"/>
      <color theme="0"/>
      <name val="ＭＳ Ｐゴシック"/>
      <family val="3"/>
      <charset val="128"/>
    </font>
    <font>
      <sz val="11"/>
      <color theme="0"/>
      <name val="ＭＳ Ｐゴシック"/>
      <family val="3"/>
      <charset val="128"/>
    </font>
    <font>
      <sz val="10"/>
      <name val="ＭＳ Ｐゴシック"/>
      <family val="3"/>
      <charset val="128"/>
    </font>
    <font>
      <sz val="10"/>
      <color rgb="FFFF0000"/>
      <name val="ＭＳ Ｐゴシック"/>
      <family val="3"/>
      <charset val="128"/>
    </font>
    <font>
      <sz val="12"/>
      <name val="ＭＳ Ｐゴシック"/>
      <family val="3"/>
      <charset val="128"/>
    </font>
    <font>
      <b/>
      <sz val="10"/>
      <color theme="0"/>
      <name val="ＭＳ Ｐゴシック"/>
      <family val="3"/>
      <charset val="128"/>
    </font>
    <font>
      <b/>
      <sz val="8"/>
      <color indexed="8"/>
      <name val="ＭＳ Ｐゴシック"/>
      <family val="3"/>
      <charset val="128"/>
    </font>
    <font>
      <sz val="8"/>
      <color rgb="FFFF0000"/>
      <name val="ＭＳ Ｐゴシック"/>
      <family val="3"/>
      <charset val="128"/>
    </font>
    <font>
      <b/>
      <sz val="9"/>
      <name val="Times New Roman"/>
      <family val="1"/>
    </font>
    <font>
      <b/>
      <sz val="8"/>
      <name val="ＭＳ Ｐゴシック"/>
      <family val="3"/>
      <charset val="128"/>
    </font>
    <font>
      <sz val="10"/>
      <color indexed="8"/>
      <name val="Arial"/>
      <family val="2"/>
    </font>
    <font>
      <sz val="9"/>
      <color indexed="8"/>
      <name val="ＭＳ ゴシック"/>
      <family val="3"/>
      <charset val="128"/>
    </font>
    <font>
      <b/>
      <sz val="9"/>
      <color indexed="8"/>
      <name val="ＭＳ ゴシック"/>
      <family val="3"/>
      <charset val="128"/>
    </font>
    <font>
      <sz val="11"/>
      <color rgb="FFFF0000"/>
      <name val="ＭＳ Ｐゴシック"/>
      <family val="3"/>
      <charset val="128"/>
    </font>
    <font>
      <sz val="9"/>
      <color rgb="FFFF0000"/>
      <name val="ＭＳ ゴシック"/>
      <family val="3"/>
      <charset val="128"/>
    </font>
    <font>
      <i/>
      <sz val="9"/>
      <color rgb="FFFF0000"/>
      <name val="ＭＳ ゴシック"/>
      <family val="3"/>
      <charset val="128"/>
    </font>
    <font>
      <b/>
      <sz val="9"/>
      <color rgb="FFFF0000"/>
      <name val="ＭＳ ゴシック"/>
      <family val="3"/>
      <charset val="128"/>
    </font>
    <font>
      <strike/>
      <sz val="9"/>
      <color rgb="FFFF0000"/>
      <name val="ＭＳ Ｐゴシック"/>
      <family val="3"/>
      <charset val="128"/>
    </font>
    <font>
      <sz val="10"/>
      <color indexed="8"/>
      <name val="ＭＳ ゴシック"/>
      <family val="3"/>
      <charset val="128"/>
    </font>
    <font>
      <b/>
      <u/>
      <sz val="9"/>
      <name val="ＭＳ Ｐゴシック"/>
      <family val="3"/>
      <charset val="128"/>
    </font>
    <font>
      <b/>
      <i/>
      <sz val="8"/>
      <name val="ＭＳ Ｐゴシック"/>
      <family val="3"/>
      <charset val="128"/>
    </font>
    <font>
      <u/>
      <sz val="13.75"/>
      <color indexed="36"/>
      <name val="ＭＳ Ｐゴシック"/>
      <family val="3"/>
      <charset val="128"/>
    </font>
    <font>
      <sz val="7"/>
      <name val="ＭＳ Ｐゴシック"/>
      <family val="3"/>
      <charset val="128"/>
    </font>
    <font>
      <strike/>
      <sz val="8"/>
      <color rgb="FFFF0000"/>
      <name val="ＭＳ Ｐゴシック"/>
      <family val="3"/>
      <charset val="128"/>
    </font>
    <font>
      <strike/>
      <sz val="7"/>
      <name val="ＭＳ Ｐゴシック"/>
      <family val="3"/>
      <charset val="128"/>
    </font>
    <font>
      <sz val="14"/>
      <name val="ＭＳ Ｐゴシック"/>
      <family val="3"/>
      <charset val="128"/>
    </font>
    <font>
      <b/>
      <strike/>
      <sz val="9"/>
      <color rgb="FFFF0000"/>
      <name val="ＭＳ Ｐゴシック"/>
      <family val="3"/>
      <charset val="128"/>
    </font>
    <font>
      <strike/>
      <sz val="11"/>
      <color rgb="FFFF0000"/>
      <name val="ＭＳ Ｐゴシック"/>
      <family val="3"/>
      <charset val="128"/>
    </font>
    <font>
      <strike/>
      <sz val="8"/>
      <name val="ＭＳ Ｐゴシック"/>
      <family val="3"/>
      <charset val="128"/>
    </font>
    <font>
      <sz val="8"/>
      <color rgb="FFFF0000"/>
      <name val="Meiryo UI"/>
      <family val="3"/>
      <charset val="128"/>
    </font>
    <font>
      <u/>
      <sz val="9"/>
      <color rgb="FFFF0000"/>
      <name val="ＭＳ ゴシック"/>
      <family val="3"/>
      <charset val="128"/>
    </font>
    <font>
      <sz val="7"/>
      <color rgb="FFFF0000"/>
      <name val="ＭＳ ゴシック"/>
      <family val="3"/>
      <charset val="128"/>
    </font>
    <font>
      <u/>
      <sz val="9"/>
      <color indexed="8"/>
      <name val="ＭＳ ゴシック"/>
      <family val="3"/>
      <charset val="128"/>
    </font>
    <font>
      <sz val="9"/>
      <color rgb="FF000000"/>
      <name val="ＭＳ ゴシック"/>
      <family val="3"/>
      <charset val="128"/>
    </font>
    <font>
      <sz val="11"/>
      <name val="Meiryo UI"/>
      <family val="3"/>
      <charset val="128"/>
    </font>
    <font>
      <b/>
      <sz val="9"/>
      <color rgb="FFFF0000"/>
      <name val="Meiryo UI"/>
      <family val="3"/>
      <charset val="128"/>
    </font>
    <font>
      <sz val="6"/>
      <name val="Meiryo UI"/>
      <family val="3"/>
      <charset val="128"/>
    </font>
    <font>
      <b/>
      <sz val="9"/>
      <color rgb="FF0000FF"/>
      <name val="Meiryo UI"/>
      <family val="3"/>
      <charset val="128"/>
    </font>
    <font>
      <sz val="6"/>
      <name val="ＭＳ ゴシック"/>
      <family val="2"/>
      <charset val="128"/>
    </font>
    <font>
      <sz val="9"/>
      <color rgb="FF000000"/>
      <name val="ＭＳ Ｐゴシック"/>
      <family val="3"/>
      <charset val="128"/>
    </font>
    <font>
      <b/>
      <sz val="11"/>
      <color rgb="FF000000"/>
      <name val="ＭＳ Ｐゴシック"/>
      <family val="3"/>
      <charset val="128"/>
    </font>
    <font>
      <b/>
      <sz val="11"/>
      <color rgb="FFFF0000"/>
      <name val="ＭＳ Ｐゴシック"/>
      <family val="3"/>
      <charset val="128"/>
    </font>
    <font>
      <b/>
      <strike/>
      <sz val="11"/>
      <color rgb="FFFF0000"/>
      <name val="ＭＳ Ｐゴシック"/>
      <family val="3"/>
      <charset val="128"/>
    </font>
    <font>
      <b/>
      <sz val="11"/>
      <name val="ＭＳ Ｐゴシック"/>
      <family val="3"/>
      <charset val="128"/>
    </font>
    <font>
      <sz val="9"/>
      <name val="ＭＳ Ｐゴシック"/>
      <family val="3"/>
      <charset val="128"/>
    </font>
  </fonts>
  <fills count="29">
    <fill>
      <patternFill patternType="none"/>
    </fill>
    <fill>
      <patternFill patternType="gray125"/>
    </fill>
    <fill>
      <patternFill patternType="solid">
        <fgColor theme="3" tint="-0.249977111117893"/>
        <bgColor indexed="64"/>
      </patternFill>
    </fill>
    <fill>
      <patternFill patternType="solid">
        <fgColor theme="0"/>
        <bgColor indexed="64"/>
      </patternFill>
    </fill>
    <fill>
      <patternFill patternType="solid">
        <fgColor theme="0"/>
        <bgColor indexed="8"/>
      </patternFill>
    </fill>
    <fill>
      <patternFill patternType="solid">
        <fgColor theme="0" tint="-0.249977111117893"/>
        <bgColor indexed="64"/>
      </patternFill>
    </fill>
    <fill>
      <patternFill patternType="solid">
        <fgColor rgb="FFCCFFFF"/>
        <bgColor indexed="64"/>
      </patternFill>
    </fill>
    <fill>
      <patternFill patternType="solid">
        <fgColor indexed="44"/>
        <bgColor indexed="64"/>
      </patternFill>
    </fill>
    <fill>
      <patternFill patternType="solid">
        <fgColor indexed="43"/>
        <bgColor indexed="64"/>
      </patternFill>
    </fill>
    <fill>
      <patternFill patternType="solid">
        <fgColor indexed="9"/>
        <bgColor indexed="64"/>
      </patternFill>
    </fill>
    <fill>
      <patternFill patternType="solid">
        <fgColor theme="0" tint="-0.34998626667073579"/>
        <bgColor indexed="64"/>
      </patternFill>
    </fill>
    <fill>
      <patternFill patternType="solid">
        <fgColor theme="0" tint="-0.249977111117893"/>
        <bgColor indexed="8"/>
      </patternFill>
    </fill>
    <fill>
      <patternFill patternType="solid">
        <fgColor theme="3"/>
        <bgColor indexed="64"/>
      </patternFill>
    </fill>
    <fill>
      <patternFill patternType="solid">
        <fgColor theme="8" tint="0.79998168889431442"/>
        <bgColor indexed="64"/>
      </patternFill>
    </fill>
    <fill>
      <patternFill patternType="solid">
        <fgColor rgb="FFFFFFCC"/>
        <bgColor indexed="64"/>
      </patternFill>
    </fill>
    <fill>
      <patternFill patternType="solid">
        <fgColor rgb="FF99CCFF"/>
        <bgColor indexed="64"/>
      </patternFill>
    </fill>
    <fill>
      <patternFill patternType="solid">
        <fgColor theme="0" tint="-0.14999847407452621"/>
        <bgColor indexed="64"/>
      </patternFill>
    </fill>
    <fill>
      <patternFill patternType="solid">
        <fgColor theme="7" tint="0.59999389629810485"/>
        <bgColor indexed="64"/>
      </patternFill>
    </fill>
    <fill>
      <patternFill patternType="solid">
        <fgColor rgb="FFCCFFCC"/>
        <bgColor indexed="64"/>
      </patternFill>
    </fill>
    <fill>
      <patternFill patternType="solid">
        <fgColor rgb="FFFFCC99"/>
        <bgColor indexed="64"/>
      </patternFill>
    </fill>
    <fill>
      <patternFill patternType="solid">
        <fgColor rgb="FFFFC000"/>
        <bgColor indexed="64"/>
      </patternFill>
    </fill>
    <fill>
      <patternFill patternType="solid">
        <fgColor theme="4" tint="0.59999389629810485"/>
        <bgColor indexed="64"/>
      </patternFill>
    </fill>
    <fill>
      <patternFill patternType="solid">
        <fgColor indexed="52"/>
        <bgColor indexed="64"/>
      </patternFill>
    </fill>
    <fill>
      <patternFill patternType="solid">
        <fgColor theme="3" tint="0.59999389629810485"/>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2"/>
        <bgColor indexed="64"/>
      </patternFill>
    </fill>
    <fill>
      <patternFill patternType="solid">
        <fgColor rgb="FFFFCCFF"/>
        <bgColor indexed="64"/>
      </patternFill>
    </fill>
    <fill>
      <patternFill patternType="solid">
        <fgColor rgb="FFFFFF00"/>
        <bgColor indexed="64"/>
      </patternFill>
    </fill>
  </fills>
  <borders count="229">
    <border>
      <left/>
      <right/>
      <top/>
      <bottom/>
      <diagonal/>
    </border>
    <border>
      <left style="thin">
        <color indexed="64"/>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indexed="64"/>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style="thin">
        <color indexed="64"/>
      </bottom>
      <diagonal/>
    </border>
    <border>
      <left style="thin">
        <color theme="0" tint="-0.34998626667073579"/>
      </left>
      <right style="thin">
        <color indexed="64"/>
      </right>
      <top style="thin">
        <color theme="0" tint="-0.34998626667073579"/>
      </top>
      <bottom style="thin">
        <color indexed="64"/>
      </bottom>
      <diagonal/>
    </border>
    <border>
      <left style="thin">
        <color theme="1"/>
      </left>
      <right style="thin">
        <color theme="0" tint="-0.34998626667073579"/>
      </right>
      <top style="thin">
        <color theme="1"/>
      </top>
      <bottom style="thin">
        <color theme="0" tint="-0.34998626667073579"/>
      </bottom>
      <diagonal/>
    </border>
    <border>
      <left style="thin">
        <color theme="0" tint="-0.34998626667073579"/>
      </left>
      <right style="thin">
        <color theme="0" tint="-0.34998626667073579"/>
      </right>
      <top style="thin">
        <color theme="1"/>
      </top>
      <bottom style="thin">
        <color theme="0" tint="-0.34998626667073579"/>
      </bottom>
      <diagonal/>
    </border>
    <border>
      <left style="thin">
        <color theme="1"/>
      </left>
      <right style="thin">
        <color theme="0" tint="-0.34998626667073579"/>
      </right>
      <top style="thin">
        <color theme="0" tint="-0.34998626667073579"/>
      </top>
      <bottom style="thin">
        <color theme="0" tint="-0.34998626667073579"/>
      </bottom>
      <diagonal/>
    </border>
    <border>
      <left style="thin">
        <color theme="1"/>
      </left>
      <right style="thin">
        <color theme="0" tint="-0.34998626667073579"/>
      </right>
      <top style="thin">
        <color theme="0" tint="-0.34998626667073579"/>
      </top>
      <bottom style="thin">
        <color theme="1"/>
      </bottom>
      <diagonal/>
    </border>
    <border>
      <left style="thin">
        <color theme="0" tint="-0.34998626667073579"/>
      </left>
      <right style="thin">
        <color theme="0" tint="-0.34998626667073579"/>
      </right>
      <top style="thin">
        <color theme="0" tint="-0.34998626667073579"/>
      </top>
      <bottom style="thin">
        <color theme="1"/>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indexed="64"/>
      </right>
      <top/>
      <bottom style="thin">
        <color theme="0" tint="-0.34998626667073579"/>
      </bottom>
      <diagonal/>
    </border>
    <border>
      <left/>
      <right style="thin">
        <color indexed="64"/>
      </right>
      <top/>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right style="hair">
        <color indexed="64"/>
      </right>
      <top/>
      <bottom/>
      <diagonal/>
    </border>
    <border>
      <left style="hair">
        <color indexed="64"/>
      </left>
      <right/>
      <top/>
      <bottom/>
      <diagonal/>
    </border>
    <border>
      <left/>
      <right/>
      <top/>
      <bottom style="hair">
        <color indexed="64"/>
      </bottom>
      <diagonal/>
    </border>
    <border>
      <left/>
      <right style="hair">
        <color indexed="64"/>
      </right>
      <top/>
      <bottom style="hair">
        <color indexed="64"/>
      </bottom>
      <diagonal/>
    </border>
    <border>
      <left style="thin">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style="hair">
        <color indexed="64"/>
      </top>
      <bottom/>
      <diagonal/>
    </border>
    <border>
      <left/>
      <right style="thin">
        <color indexed="64"/>
      </right>
      <top style="hair">
        <color indexed="64"/>
      </top>
      <bottom/>
      <diagonal/>
    </border>
    <border>
      <left style="thin">
        <color theme="0" tint="-0.34998626667073579"/>
      </left>
      <right/>
      <top style="thin">
        <color theme="0" tint="-0.34998626667073579"/>
      </top>
      <bottom style="thin">
        <color indexed="64"/>
      </bottom>
      <diagonal/>
    </border>
    <border>
      <left style="thin">
        <color auto="1"/>
      </left>
      <right style="thin">
        <color theme="0" tint="-0.34998626667073579"/>
      </right>
      <top style="thin">
        <color theme="0" tint="-0.34998626667073579"/>
      </top>
      <bottom style="thin">
        <color auto="1"/>
      </bottom>
      <diagonal/>
    </border>
    <border>
      <left style="thin">
        <color theme="0" tint="-0.34998626667073579"/>
      </left>
      <right style="thin">
        <color auto="1"/>
      </right>
      <top style="thin">
        <color theme="0" tint="-0.34998626667073579"/>
      </top>
      <bottom style="thin">
        <color theme="1"/>
      </bottom>
      <diagonal/>
    </border>
    <border>
      <left style="thin">
        <color indexed="64"/>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indexed="64"/>
      </right>
      <top style="thin">
        <color theme="0" tint="-0.24994659260841701"/>
      </top>
      <bottom style="thin">
        <color theme="0" tint="-0.24994659260841701"/>
      </bottom>
      <diagonal/>
    </border>
    <border>
      <left style="thin">
        <color indexed="64"/>
      </left>
      <right style="thin">
        <color theme="0" tint="-0.24994659260841701"/>
      </right>
      <top style="thin">
        <color theme="0" tint="-0.24994659260841701"/>
      </top>
      <bottom style="thin">
        <color auto="1"/>
      </bottom>
      <diagonal/>
    </border>
    <border>
      <left style="thin">
        <color theme="0" tint="-0.24994659260841701"/>
      </left>
      <right style="thin">
        <color theme="0" tint="-0.24994659260841701"/>
      </right>
      <top style="thin">
        <color theme="0" tint="-0.24994659260841701"/>
      </top>
      <bottom style="thin">
        <color auto="1"/>
      </bottom>
      <diagonal/>
    </border>
    <border>
      <left style="thin">
        <color theme="0" tint="-0.24994659260841701"/>
      </left>
      <right style="thin">
        <color indexed="64"/>
      </right>
      <top style="thin">
        <color theme="0" tint="-0.24994659260841701"/>
      </top>
      <bottom style="thin">
        <color auto="1"/>
      </bottom>
      <diagonal/>
    </border>
    <border>
      <left style="thin">
        <color indexed="64"/>
      </left>
      <right style="thin">
        <color theme="0" tint="-0.24994659260841701"/>
      </right>
      <top style="thin">
        <color theme="0" tint="-0.34998626667073579"/>
      </top>
      <bottom style="thin">
        <color theme="0" tint="-0.24994659260841701"/>
      </bottom>
      <diagonal/>
    </border>
    <border>
      <left style="thin">
        <color theme="0" tint="-0.24994659260841701"/>
      </left>
      <right style="thin">
        <color theme="0" tint="-0.24994659260841701"/>
      </right>
      <top style="thin">
        <color theme="0" tint="-0.34998626667073579"/>
      </top>
      <bottom style="thin">
        <color theme="0" tint="-0.24994659260841701"/>
      </bottom>
      <diagonal/>
    </border>
    <border>
      <left style="thin">
        <color theme="0" tint="-0.24994659260841701"/>
      </left>
      <right style="thin">
        <color indexed="64"/>
      </right>
      <top style="thin">
        <color theme="0" tint="-0.34998626667073579"/>
      </top>
      <bottom style="thin">
        <color theme="0" tint="-0.24994659260841701"/>
      </bottom>
      <diagonal/>
    </border>
    <border>
      <left style="mediumDashed">
        <color indexed="22"/>
      </left>
      <right/>
      <top/>
      <bottom/>
      <diagonal/>
    </border>
    <border>
      <left/>
      <right style="mediumDashed">
        <color indexed="22"/>
      </right>
      <top/>
      <bottom/>
      <diagonal/>
    </border>
    <border>
      <left style="thin">
        <color auto="1"/>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style="hair">
        <color auto="1"/>
      </bottom>
      <diagonal/>
    </border>
    <border>
      <left/>
      <right/>
      <top style="hair">
        <color auto="1"/>
      </top>
      <bottom style="thin">
        <color auto="1"/>
      </bottom>
      <diagonal/>
    </border>
    <border>
      <left style="hair">
        <color indexed="64"/>
      </left>
      <right/>
      <top style="double">
        <color indexed="64"/>
      </top>
      <bottom/>
      <diagonal/>
    </border>
    <border>
      <left/>
      <right style="double">
        <color indexed="64"/>
      </right>
      <top/>
      <bottom/>
      <diagonal/>
    </border>
    <border>
      <left style="double">
        <color indexed="64"/>
      </left>
      <right style="hair">
        <color indexed="64"/>
      </right>
      <top/>
      <bottom/>
      <diagonal/>
    </border>
    <border>
      <left style="hair">
        <color indexed="64"/>
      </left>
      <right style="hair">
        <color indexed="64"/>
      </right>
      <top/>
      <bottom/>
      <diagonal/>
    </border>
    <border>
      <left style="double">
        <color indexed="64"/>
      </left>
      <right/>
      <top/>
      <bottom/>
      <diagonal/>
    </border>
    <border>
      <left style="double">
        <color indexed="64"/>
      </left>
      <right/>
      <top style="thin">
        <color indexed="64"/>
      </top>
      <bottom style="hair">
        <color indexed="64"/>
      </bottom>
      <diagonal/>
    </border>
    <border>
      <left style="double">
        <color indexed="64"/>
      </left>
      <right/>
      <top style="hair">
        <color indexed="64"/>
      </top>
      <bottom style="hair">
        <color indexed="64"/>
      </bottom>
      <diagonal/>
    </border>
    <border>
      <left/>
      <right style="double">
        <color indexed="64"/>
      </right>
      <top style="hair">
        <color indexed="64"/>
      </top>
      <bottom style="hair">
        <color indexed="64"/>
      </bottom>
      <diagonal/>
    </border>
    <border>
      <left style="double">
        <color indexed="64"/>
      </left>
      <right/>
      <top style="hair">
        <color indexed="64"/>
      </top>
      <bottom style="thin">
        <color indexed="64"/>
      </bottom>
      <diagonal/>
    </border>
    <border>
      <left style="thin">
        <color indexed="64"/>
      </left>
      <right style="thin">
        <color indexed="64"/>
      </right>
      <top style="hair">
        <color indexed="64"/>
      </top>
      <bottom/>
      <diagonal/>
    </border>
    <border>
      <left style="double">
        <color indexed="64"/>
      </left>
      <right/>
      <top style="hair">
        <color indexed="64"/>
      </top>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double">
        <color indexed="64"/>
      </right>
      <top style="hair">
        <color indexed="64"/>
      </top>
      <bottom/>
      <diagonal/>
    </border>
    <border>
      <left style="thin">
        <color indexed="64"/>
      </left>
      <right/>
      <top/>
      <bottom style="hair">
        <color indexed="64"/>
      </bottom>
      <diagonal/>
    </border>
    <border>
      <left/>
      <right style="thin">
        <color indexed="64"/>
      </right>
      <top/>
      <bottom style="hair">
        <color indexed="64"/>
      </bottom>
      <diagonal/>
    </border>
    <border>
      <left style="double">
        <color indexed="64"/>
      </left>
      <right/>
      <top/>
      <bottom style="hair">
        <color indexed="64"/>
      </bottom>
      <diagonal/>
    </border>
    <border>
      <left/>
      <right style="double">
        <color indexed="64"/>
      </right>
      <top/>
      <bottom style="hair">
        <color indexed="64"/>
      </bottom>
      <diagonal/>
    </border>
    <border>
      <left style="thin">
        <color indexed="64"/>
      </left>
      <right style="thin">
        <color indexed="64"/>
      </right>
      <top/>
      <bottom style="hair">
        <color indexed="64"/>
      </bottom>
      <diagonal/>
    </border>
    <border>
      <left style="hair">
        <color indexed="64"/>
      </left>
      <right/>
      <top/>
      <bottom style="hair">
        <color indexed="64"/>
      </bottom>
      <diagonal/>
    </border>
    <border>
      <left/>
      <right/>
      <top style="dotted">
        <color auto="1"/>
      </top>
      <bottom/>
      <diagonal/>
    </border>
    <border>
      <left/>
      <right/>
      <top/>
      <bottom style="dotted">
        <color auto="1"/>
      </bottom>
      <diagonal/>
    </border>
    <border>
      <left/>
      <right style="thin">
        <color indexed="64"/>
      </right>
      <top style="thin">
        <color theme="0" tint="-0.499984740745262"/>
      </top>
      <bottom/>
      <diagonal/>
    </border>
    <border>
      <left style="thin">
        <color indexed="64"/>
      </left>
      <right/>
      <top style="thin">
        <color theme="0" tint="-0.499984740745262"/>
      </top>
      <bottom/>
      <diagonal/>
    </border>
    <border>
      <left style="thin">
        <color indexed="64"/>
      </left>
      <right style="thin">
        <color indexed="64"/>
      </right>
      <top style="thin">
        <color theme="0" tint="-0.499984740745262"/>
      </top>
      <bottom/>
      <diagonal/>
    </border>
    <border>
      <left style="thin">
        <color indexed="64"/>
      </left>
      <right style="thin">
        <color indexed="64"/>
      </right>
      <top/>
      <bottom style="thin">
        <color theme="0" tint="-0.499984740745262"/>
      </bottom>
      <diagonal/>
    </border>
    <border>
      <left/>
      <right style="thin">
        <color indexed="64"/>
      </right>
      <top/>
      <bottom style="thin">
        <color theme="0" tint="-0.499984740745262"/>
      </bottom>
      <diagonal/>
    </border>
    <border>
      <left style="thin">
        <color indexed="64"/>
      </left>
      <right/>
      <top/>
      <bottom style="thin">
        <color theme="0" tint="-0.499984740745262"/>
      </bottom>
      <diagonal/>
    </border>
    <border>
      <left style="thick">
        <color rgb="FF0000FF"/>
      </left>
      <right style="thick">
        <color rgb="FF0000FF"/>
      </right>
      <top style="thick">
        <color rgb="FF0000FF"/>
      </top>
      <bottom style="thick">
        <color rgb="FF0000FF"/>
      </bottom>
      <diagonal/>
    </border>
    <border>
      <left/>
      <right style="thick">
        <color rgb="FF0000FF"/>
      </right>
      <top/>
      <bottom style="thin">
        <color theme="0" tint="-0.499984740745262"/>
      </bottom>
      <diagonal/>
    </border>
    <border>
      <left style="thin">
        <color theme="0" tint="-0.499984740745262"/>
      </left>
      <right style="thin">
        <color indexed="64"/>
      </right>
      <top style="thin">
        <color theme="0" tint="-0.499984740745262"/>
      </top>
      <bottom style="thin">
        <color theme="0" tint="-0.499984740745262"/>
      </bottom>
      <diagonal/>
    </border>
    <border>
      <left style="thick">
        <color rgb="FF0000FF"/>
      </left>
      <right style="thin">
        <color indexed="64"/>
      </right>
      <top/>
      <bottom style="thick">
        <color rgb="FF0000FF"/>
      </bottom>
      <diagonal/>
    </border>
    <border>
      <left style="thin">
        <color auto="1"/>
      </left>
      <right style="thin">
        <color indexed="22"/>
      </right>
      <top style="hair">
        <color auto="1"/>
      </top>
      <bottom style="thin">
        <color indexed="22"/>
      </bottom>
      <diagonal/>
    </border>
    <border>
      <left style="thin">
        <color indexed="22"/>
      </left>
      <right style="thin">
        <color indexed="22"/>
      </right>
      <top/>
      <bottom/>
      <diagonal/>
    </border>
    <border>
      <left style="thin">
        <color indexed="22"/>
      </left>
      <right/>
      <top/>
      <bottom/>
      <diagonal/>
    </border>
    <border>
      <left style="thin">
        <color auto="1"/>
      </left>
      <right style="thin">
        <color indexed="22"/>
      </right>
      <top/>
      <bottom/>
      <diagonal/>
    </border>
    <border>
      <left style="thin">
        <color auto="1"/>
      </left>
      <right/>
      <top/>
      <bottom/>
      <diagonal/>
    </border>
    <border>
      <left style="thin">
        <color auto="1"/>
      </left>
      <right style="thin">
        <color auto="1"/>
      </right>
      <top/>
      <bottom/>
      <diagonal/>
    </border>
    <border>
      <left/>
      <right style="double">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style="thin">
        <color auto="1"/>
      </left>
      <right style="thin">
        <color auto="1"/>
      </right>
      <top style="hair">
        <color auto="1"/>
      </top>
      <bottom style="thin">
        <color auto="1"/>
      </bottom>
      <diagonal/>
    </border>
    <border>
      <left style="thin">
        <color auto="1"/>
      </left>
      <right style="thin">
        <color auto="1"/>
      </right>
      <top style="thin">
        <color auto="1"/>
      </top>
      <bottom style="hair">
        <color auto="1"/>
      </bottom>
      <diagonal/>
    </border>
    <border>
      <left/>
      <right style="hair">
        <color indexed="64"/>
      </right>
      <top/>
      <bottom style="thin">
        <color indexed="64"/>
      </bottom>
      <diagonal/>
    </border>
    <border>
      <left style="thin">
        <color indexed="64"/>
      </left>
      <right style="thin">
        <color theme="0" tint="-0.24994659260841701"/>
      </right>
      <top style="thin">
        <color indexed="64"/>
      </top>
      <bottom style="thin">
        <color theme="0" tint="-0.24994659260841701"/>
      </bottom>
      <diagonal/>
    </border>
    <border>
      <left style="thin">
        <color theme="0" tint="-0.24994659260841701"/>
      </left>
      <right style="thin">
        <color theme="0" tint="-0.24994659260841701"/>
      </right>
      <top style="thin">
        <color indexed="64"/>
      </top>
      <bottom style="thin">
        <color theme="0" tint="-0.24994659260841701"/>
      </bottom>
      <diagonal/>
    </border>
    <border>
      <left style="thin">
        <color theme="0" tint="-0.24994659260841701"/>
      </left>
      <right style="thin">
        <color indexed="64"/>
      </right>
      <top style="thin">
        <color indexed="64"/>
      </top>
      <bottom style="thin">
        <color theme="0" tint="-0.24994659260841701"/>
      </bottom>
      <diagonal/>
    </border>
    <border>
      <left style="thin">
        <color indexed="22"/>
      </left>
      <right style="thin">
        <color indexed="22"/>
      </right>
      <top style="thin">
        <color indexed="64"/>
      </top>
      <bottom style="thin">
        <color indexed="22"/>
      </bottom>
      <diagonal/>
    </border>
    <border>
      <left style="thin">
        <color indexed="22"/>
      </left>
      <right style="thin">
        <color auto="1"/>
      </right>
      <top style="thin">
        <color indexed="64"/>
      </top>
      <bottom style="thin">
        <color indexed="22"/>
      </bottom>
      <diagonal/>
    </border>
    <border>
      <left style="double">
        <color indexed="64"/>
      </left>
      <right/>
      <top style="thin">
        <color indexed="64"/>
      </top>
      <bottom style="thin">
        <color indexed="64"/>
      </bottom>
      <diagonal/>
    </border>
    <border>
      <left/>
      <right/>
      <top style="thin">
        <color indexed="64"/>
      </top>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right style="double">
        <color indexed="64"/>
      </right>
      <top style="thin">
        <color indexed="64"/>
      </top>
      <bottom style="hair">
        <color indexed="64"/>
      </bottom>
      <diagonal/>
    </border>
    <border>
      <left style="thin">
        <color indexed="22"/>
      </left>
      <right style="thin">
        <color indexed="22"/>
      </right>
      <top/>
      <bottom style="thin">
        <color indexed="22"/>
      </bottom>
      <diagonal/>
    </border>
    <border>
      <left style="thin">
        <color auto="1"/>
      </left>
      <right style="thin">
        <color indexed="22"/>
      </right>
      <top/>
      <bottom style="thin">
        <color indexed="22"/>
      </bottom>
      <diagonal/>
    </border>
    <border>
      <left/>
      <right style="thin">
        <color indexed="64"/>
      </right>
      <top style="thin">
        <color indexed="64"/>
      </top>
      <bottom/>
      <diagonal/>
    </border>
    <border>
      <left/>
      <right style="hair">
        <color indexed="64"/>
      </right>
      <top style="thin">
        <color indexed="64"/>
      </top>
      <bottom/>
      <diagonal/>
    </border>
    <border>
      <left style="thin">
        <color indexed="64"/>
      </left>
      <right/>
      <top style="thin">
        <color indexed="64"/>
      </top>
      <bottom/>
      <diagonal/>
    </border>
    <border>
      <left/>
      <right/>
      <top/>
      <bottom style="thin">
        <color indexed="64"/>
      </bottom>
      <diagonal/>
    </border>
    <border>
      <left style="thin">
        <color indexed="64"/>
      </left>
      <right style="thin">
        <color indexed="64"/>
      </right>
      <top style="thin">
        <color indexed="64"/>
      </top>
      <bottom/>
      <diagonal/>
    </border>
    <border>
      <left style="thin">
        <color auto="1"/>
      </left>
      <right/>
      <top/>
      <bottom style="thin">
        <color auto="1"/>
      </bottom>
      <diagonal/>
    </border>
    <border>
      <left/>
      <right style="thin">
        <color auto="1"/>
      </right>
      <top/>
      <bottom style="thin">
        <color auto="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hair">
        <color indexed="64"/>
      </left>
      <right/>
      <top style="thin">
        <color indexed="64"/>
      </top>
      <bottom/>
      <diagonal/>
    </border>
    <border>
      <left style="hair">
        <color auto="1"/>
      </left>
      <right/>
      <top/>
      <bottom style="thin">
        <color auto="1"/>
      </bottom>
      <diagonal/>
    </border>
    <border>
      <left style="thin">
        <color indexed="64"/>
      </left>
      <right style="thin">
        <color indexed="64"/>
      </right>
      <top style="thin">
        <color indexed="64"/>
      </top>
      <bottom style="thin">
        <color indexed="64"/>
      </bottom>
      <diagonal/>
    </border>
    <border>
      <left style="thin">
        <color indexed="22"/>
      </left>
      <right style="thin">
        <color indexed="22"/>
      </right>
      <top/>
      <bottom style="thin">
        <color indexed="22"/>
      </bottom>
      <diagonal/>
    </border>
    <border>
      <left style="thin">
        <color indexed="22"/>
      </left>
      <right/>
      <top/>
      <bottom style="thin">
        <color indexed="22"/>
      </bottom>
      <diagonal/>
    </border>
    <border>
      <left style="thin">
        <color auto="1"/>
      </left>
      <right style="thin">
        <color indexed="22"/>
      </right>
      <top style="thin">
        <color auto="1"/>
      </top>
      <bottom style="thin">
        <color indexed="22"/>
      </bottom>
      <diagonal/>
    </border>
    <border>
      <left style="thin">
        <color indexed="22"/>
      </left>
      <right style="thin">
        <color indexed="22"/>
      </right>
      <top style="thin">
        <color indexed="22"/>
      </top>
      <bottom style="thin">
        <color indexed="22"/>
      </bottom>
      <diagonal/>
    </border>
    <border>
      <left style="thin">
        <color indexed="22"/>
      </left>
      <right/>
      <top style="thin">
        <color indexed="22"/>
      </top>
      <bottom style="thin">
        <color indexed="22"/>
      </bottom>
      <diagonal/>
    </border>
    <border>
      <left style="thin">
        <color auto="1"/>
      </left>
      <right style="thin">
        <color indexed="22"/>
      </right>
      <top style="thin">
        <color indexed="22"/>
      </top>
      <bottom style="hair">
        <color auto="1"/>
      </bottom>
      <diagonal/>
    </border>
    <border>
      <left style="thin">
        <color indexed="22"/>
      </left>
      <right style="thin">
        <color indexed="22"/>
      </right>
      <top style="thin">
        <color indexed="8"/>
      </top>
      <bottom style="thin">
        <color indexed="22"/>
      </bottom>
      <diagonal/>
    </border>
    <border>
      <left style="thin">
        <color indexed="22"/>
      </left>
      <right/>
      <top style="thin">
        <color indexed="8"/>
      </top>
      <bottom style="thin">
        <color indexed="22"/>
      </bottom>
      <diagonal/>
    </border>
    <border>
      <left style="thin">
        <color auto="1"/>
      </left>
      <right style="thin">
        <color indexed="22"/>
      </right>
      <top style="thin">
        <color indexed="22"/>
      </top>
      <bottom style="thin">
        <color indexed="22"/>
      </bottom>
      <diagonal/>
    </border>
    <border>
      <left style="thin">
        <color indexed="22"/>
      </left>
      <right style="thin">
        <color indexed="22"/>
      </right>
      <top style="thin">
        <color indexed="22"/>
      </top>
      <bottom/>
      <diagonal/>
    </border>
    <border>
      <left style="thin">
        <color indexed="22"/>
      </left>
      <right/>
      <top style="thin">
        <color indexed="22"/>
      </top>
      <bottom/>
      <diagonal/>
    </border>
    <border>
      <left style="thin">
        <color auto="1"/>
      </left>
      <right style="thin">
        <color indexed="22"/>
      </right>
      <top style="thin">
        <color indexed="22"/>
      </top>
      <bottom/>
      <diagonal/>
    </border>
    <border>
      <left style="mediumDashed">
        <color indexed="22"/>
      </left>
      <right/>
      <top style="thin">
        <color indexed="22"/>
      </top>
      <bottom/>
      <diagonal/>
    </border>
    <border>
      <left/>
      <right/>
      <top style="thin">
        <color indexed="22"/>
      </top>
      <bottom/>
      <diagonal/>
    </border>
    <border>
      <left/>
      <right style="mediumDashed">
        <color indexed="22"/>
      </right>
      <top style="thin">
        <color indexed="22"/>
      </top>
      <bottom/>
      <diagonal/>
    </border>
    <border>
      <left style="thin">
        <color auto="1"/>
      </left>
      <right/>
      <top/>
      <bottom style="thin">
        <color auto="1"/>
      </bottom>
      <diagonal/>
    </border>
    <border>
      <left/>
      <right/>
      <top/>
      <bottom style="thin">
        <color indexed="64"/>
      </bottom>
      <diagonal/>
    </border>
    <border>
      <left/>
      <right style="thin">
        <color auto="1"/>
      </right>
      <top/>
      <bottom style="thin">
        <color auto="1"/>
      </bottom>
      <diagonal/>
    </border>
    <border>
      <left style="thin">
        <color indexed="22"/>
      </left>
      <right style="thin">
        <color indexed="22"/>
      </right>
      <top style="thin">
        <color auto="1"/>
      </top>
      <bottom style="thin">
        <color indexed="22"/>
      </bottom>
      <diagonal/>
    </border>
    <border>
      <left style="thin">
        <color indexed="22"/>
      </left>
      <right/>
      <top style="thin">
        <color auto="1"/>
      </top>
      <bottom style="thin">
        <color indexed="22"/>
      </bottom>
      <diagonal/>
    </border>
    <border>
      <left style="thin">
        <color indexed="22"/>
      </left>
      <right style="thin">
        <color indexed="22"/>
      </right>
      <top style="thin">
        <color indexed="22"/>
      </top>
      <bottom style="hair">
        <color indexed="22"/>
      </bottom>
      <diagonal/>
    </border>
    <border>
      <left style="thin">
        <color indexed="22"/>
      </left>
      <right/>
      <top style="thin">
        <color indexed="22"/>
      </top>
      <bottom style="hair">
        <color indexed="22"/>
      </bottom>
      <diagonal/>
    </border>
    <border>
      <left style="thin">
        <color auto="1"/>
      </left>
      <right style="thin">
        <color indexed="22"/>
      </right>
      <top style="thin">
        <color indexed="22"/>
      </top>
      <bottom style="hair">
        <color indexed="22"/>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22"/>
      </left>
      <right style="thin">
        <color indexed="22"/>
      </right>
      <top/>
      <bottom style="thin">
        <color indexed="22"/>
      </bottom>
      <diagonal/>
    </border>
    <border>
      <left style="thin">
        <color indexed="22"/>
      </left>
      <right/>
      <top/>
      <bottom style="thin">
        <color indexed="22"/>
      </bottom>
      <diagonal/>
    </border>
    <border>
      <left style="thin">
        <color auto="1"/>
      </left>
      <right style="thin">
        <color indexed="22"/>
      </right>
      <top style="thin">
        <color auto="1"/>
      </top>
      <bottom style="thin">
        <color indexed="22"/>
      </bottom>
      <diagonal/>
    </border>
    <border>
      <left style="thin">
        <color indexed="22"/>
      </left>
      <right style="thin">
        <color indexed="22"/>
      </right>
      <top style="thin">
        <color indexed="22"/>
      </top>
      <bottom style="thin">
        <color indexed="22"/>
      </bottom>
      <diagonal/>
    </border>
    <border>
      <left style="thin">
        <color indexed="22"/>
      </left>
      <right/>
      <top style="thin">
        <color indexed="22"/>
      </top>
      <bottom style="thin">
        <color indexed="22"/>
      </bottom>
      <diagonal/>
    </border>
    <border>
      <left style="thin">
        <color auto="1"/>
      </left>
      <right style="thin">
        <color indexed="22"/>
      </right>
      <top style="thin">
        <color indexed="22"/>
      </top>
      <bottom style="hair">
        <color auto="1"/>
      </bottom>
      <diagonal/>
    </border>
    <border>
      <left style="thin">
        <color auto="1"/>
      </left>
      <right style="thin">
        <color indexed="22"/>
      </right>
      <top style="thin">
        <color indexed="22"/>
      </top>
      <bottom style="thin">
        <color indexed="22"/>
      </bottom>
      <diagonal/>
    </border>
    <border>
      <left style="thin">
        <color indexed="22"/>
      </left>
      <right style="thin">
        <color indexed="22"/>
      </right>
      <top style="thin">
        <color indexed="22"/>
      </top>
      <bottom/>
      <diagonal/>
    </border>
    <border>
      <left style="thin">
        <color indexed="22"/>
      </left>
      <right/>
      <top style="thin">
        <color indexed="22"/>
      </top>
      <bottom/>
      <diagonal/>
    </border>
    <border>
      <left style="thin">
        <color auto="1"/>
      </left>
      <right style="thin">
        <color indexed="22"/>
      </right>
      <top style="thin">
        <color indexed="22"/>
      </top>
      <bottom/>
      <diagonal/>
    </border>
    <border>
      <left style="mediumDashed">
        <color indexed="22"/>
      </left>
      <right/>
      <top style="thin">
        <color indexed="22"/>
      </top>
      <bottom/>
      <diagonal/>
    </border>
    <border>
      <left/>
      <right/>
      <top style="thin">
        <color indexed="22"/>
      </top>
      <bottom/>
      <diagonal/>
    </border>
    <border>
      <left/>
      <right style="mediumDashed">
        <color indexed="22"/>
      </right>
      <top style="thin">
        <color indexed="22"/>
      </top>
      <bottom/>
      <diagonal/>
    </border>
    <border>
      <left style="thin">
        <color auto="1"/>
      </left>
      <right style="thin">
        <color indexed="22"/>
      </right>
      <top/>
      <bottom style="thin">
        <color indexed="22"/>
      </bottom>
      <diagonal/>
    </border>
    <border>
      <left style="thin">
        <color indexed="22"/>
      </left>
      <right style="thin">
        <color indexed="22"/>
      </right>
      <top style="thin">
        <color indexed="8"/>
      </top>
      <bottom style="thin">
        <color indexed="22"/>
      </bottom>
      <diagonal/>
    </border>
    <border>
      <left style="thin">
        <color indexed="22"/>
      </left>
      <right/>
      <top style="thin">
        <color indexed="8"/>
      </top>
      <bottom style="thin">
        <color indexed="22"/>
      </bottom>
      <diagonal/>
    </border>
    <border>
      <left style="mediumDashed">
        <color indexed="22"/>
      </left>
      <right/>
      <top/>
      <bottom style="thin">
        <color auto="1"/>
      </bottom>
      <diagonal/>
    </border>
    <border>
      <left/>
      <right/>
      <top/>
      <bottom style="thin">
        <color indexed="64"/>
      </bottom>
      <diagonal/>
    </border>
    <border>
      <left/>
      <right style="mediumDashed">
        <color indexed="22"/>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auto="1"/>
      </left>
      <right style="thin">
        <color auto="1"/>
      </right>
      <top style="thin">
        <color auto="1"/>
      </top>
      <bottom style="hair">
        <color auto="1"/>
      </bottom>
      <diagonal/>
    </border>
    <border>
      <left style="thin">
        <color auto="1"/>
      </left>
      <right/>
      <top style="thin">
        <color auto="1"/>
      </top>
      <bottom style="hair">
        <color auto="1"/>
      </bottom>
      <diagonal/>
    </border>
    <border>
      <left/>
      <right/>
      <top style="thin">
        <color auto="1"/>
      </top>
      <bottom style="hair">
        <color auto="1"/>
      </bottom>
      <diagonal/>
    </border>
    <border>
      <left/>
      <right style="thin">
        <color auto="1"/>
      </right>
      <top style="thin">
        <color auto="1"/>
      </top>
      <bottom style="hair">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bottom style="thin">
        <color auto="1"/>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auto="1"/>
      </left>
      <right/>
      <top style="thin">
        <color auto="1"/>
      </top>
      <bottom style="double">
        <color auto="1"/>
      </bottom>
      <diagonal/>
    </border>
    <border>
      <left/>
      <right style="thin">
        <color auto="1"/>
      </right>
      <top style="thin">
        <color auto="1"/>
      </top>
      <bottom style="double">
        <color auto="1"/>
      </bottom>
      <diagonal/>
    </border>
    <border>
      <left/>
      <right/>
      <top style="thin">
        <color auto="1"/>
      </top>
      <bottom style="double">
        <color auto="1"/>
      </bottom>
      <diagonal/>
    </border>
    <border>
      <left style="hair">
        <color indexed="64"/>
      </left>
      <right/>
      <top style="thin">
        <color indexed="64"/>
      </top>
      <bottom/>
      <diagonal/>
    </border>
    <border>
      <left style="thin">
        <color auto="1"/>
      </left>
      <right style="thin">
        <color theme="0" tint="-0.34998626667073579"/>
      </right>
      <top style="thin">
        <color auto="1"/>
      </top>
      <bottom style="thin">
        <color theme="0" tint="-0.34998626667073579"/>
      </bottom>
      <diagonal/>
    </border>
    <border>
      <left style="thin">
        <color theme="0" tint="-0.34998626667073579"/>
      </left>
      <right style="thin">
        <color theme="0" tint="-0.34998626667073579"/>
      </right>
      <top style="thin">
        <color auto="1"/>
      </top>
      <bottom style="thin">
        <color theme="0" tint="-0.34998626667073579"/>
      </bottom>
      <diagonal/>
    </border>
    <border>
      <left style="thin">
        <color theme="0" tint="-0.34998626667073579"/>
      </left>
      <right style="thin">
        <color auto="1"/>
      </right>
      <top style="thin">
        <color auto="1"/>
      </top>
      <bottom style="thin">
        <color theme="0" tint="-0.34998626667073579"/>
      </bottom>
      <diagonal/>
    </border>
    <border>
      <left style="thin">
        <color auto="1"/>
      </left>
      <right style="thin">
        <color theme="0" tint="-0.34998626667073579"/>
      </right>
      <top style="thin">
        <color auto="1"/>
      </top>
      <bottom/>
      <diagonal/>
    </border>
    <border>
      <left style="thin">
        <color theme="0" tint="-0.34998626667073579"/>
      </left>
      <right style="thin">
        <color theme="0" tint="-0.34998626667073579"/>
      </right>
      <top style="thin">
        <color indexed="64"/>
      </top>
      <bottom/>
      <diagonal/>
    </border>
    <border>
      <left style="thin">
        <color theme="0" tint="-0.34998626667073579"/>
      </left>
      <right style="thin">
        <color indexed="64"/>
      </right>
      <top style="thin">
        <color indexed="64"/>
      </top>
      <bottom/>
      <diagonal/>
    </border>
    <border>
      <left style="thin">
        <color theme="0" tint="-0.34998626667073579"/>
      </left>
      <right style="thin">
        <color theme="0" tint="-0.34998626667073579"/>
      </right>
      <top/>
      <bottom style="thin">
        <color indexed="64"/>
      </bottom>
      <diagonal/>
    </border>
    <border>
      <left/>
      <right/>
      <top/>
      <bottom style="thin">
        <color indexed="64"/>
      </bottom>
      <diagonal/>
    </border>
    <border>
      <left style="thin">
        <color theme="0" tint="-0.34998626667073579"/>
      </left>
      <right/>
      <top style="thin">
        <color auto="1"/>
      </top>
      <bottom style="thin">
        <color theme="0" tint="-0.34998626667073579"/>
      </bottom>
      <diagonal/>
    </border>
    <border>
      <left/>
      <right style="thin">
        <color theme="0" tint="-0.34998626667073579"/>
      </right>
      <top style="thin">
        <color auto="1"/>
      </top>
      <bottom style="thin">
        <color theme="0" tint="-0.34998626667073579"/>
      </bottom>
      <diagonal/>
    </border>
    <border>
      <left style="thin">
        <color auto="1"/>
      </left>
      <right style="thin">
        <color indexed="22"/>
      </right>
      <top style="thin">
        <color auto="1"/>
      </top>
      <bottom style="thin">
        <color indexed="22"/>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64"/>
      </top>
      <bottom/>
      <diagonal/>
    </border>
    <border>
      <left style="thin">
        <color auto="1"/>
      </left>
      <right style="thin">
        <color indexed="22"/>
      </right>
      <top style="thin">
        <color indexed="22"/>
      </top>
      <bottom style="thin">
        <color indexed="22"/>
      </bottom>
      <diagonal/>
    </border>
    <border>
      <left style="thin">
        <color indexed="22"/>
      </left>
      <right style="thin">
        <color auto="1"/>
      </right>
      <top style="thin">
        <color indexed="22"/>
      </top>
      <bottom style="thin">
        <color indexed="22"/>
      </bottom>
      <diagonal/>
    </border>
    <border>
      <left style="thin">
        <color indexed="64"/>
      </left>
      <right style="thin">
        <color indexed="22"/>
      </right>
      <top style="thin">
        <color indexed="22"/>
      </top>
      <bottom style="thin">
        <color indexed="64"/>
      </bottom>
      <diagonal/>
    </border>
    <border>
      <left style="thin">
        <color indexed="22"/>
      </left>
      <right style="thin">
        <color indexed="22"/>
      </right>
      <top style="thin">
        <color indexed="22"/>
      </top>
      <bottom style="thin">
        <color indexed="64"/>
      </bottom>
      <diagonal/>
    </border>
    <border>
      <left style="thin">
        <color indexed="64"/>
      </left>
      <right style="thin">
        <color indexed="64"/>
      </right>
      <top style="thin">
        <color indexed="64"/>
      </top>
      <bottom/>
      <diagonal/>
    </border>
    <border>
      <left style="thin">
        <color auto="1"/>
      </left>
      <right style="thin">
        <color auto="1"/>
      </right>
      <top/>
      <bottom style="thin">
        <color auto="1"/>
      </bottom>
      <diagonal/>
    </border>
    <border>
      <left style="thin">
        <color indexed="22"/>
      </left>
      <right style="thin">
        <color indexed="22"/>
      </right>
      <top style="thin">
        <color indexed="22"/>
      </top>
      <bottom style="thin">
        <color indexed="22"/>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double">
        <color indexed="64"/>
      </right>
      <top style="thin">
        <color indexed="64"/>
      </top>
      <bottom/>
      <diagonal/>
    </border>
    <border>
      <left style="double">
        <color indexed="64"/>
      </left>
      <right style="hair">
        <color indexed="64"/>
      </right>
      <top style="thin">
        <color indexed="64"/>
      </top>
      <bottom/>
      <diagonal/>
    </border>
    <border>
      <left style="hair">
        <color indexed="64"/>
      </left>
      <right style="hair">
        <color indexed="64"/>
      </right>
      <top style="thin">
        <color indexed="64"/>
      </top>
      <bottom/>
      <diagonal/>
    </border>
    <border>
      <left style="double">
        <color indexed="64"/>
      </left>
      <right/>
      <top style="thin">
        <color indexed="64"/>
      </top>
      <bottom/>
      <diagonal/>
    </border>
    <border>
      <left style="thin">
        <color auto="1"/>
      </left>
      <right/>
      <top/>
      <bottom style="thin">
        <color auto="1"/>
      </bottom>
      <diagonal/>
    </border>
    <border>
      <left/>
      <right style="thin">
        <color auto="1"/>
      </right>
      <top/>
      <bottom style="thin">
        <color auto="1"/>
      </bottom>
      <diagonal/>
    </border>
    <border>
      <left/>
      <right style="double">
        <color indexed="64"/>
      </right>
      <top/>
      <bottom style="thin">
        <color indexed="64"/>
      </bottom>
      <diagonal/>
    </border>
    <border>
      <left style="double">
        <color indexed="64"/>
      </left>
      <right style="hair">
        <color indexed="64"/>
      </right>
      <top/>
      <bottom style="thin">
        <color indexed="64"/>
      </bottom>
      <diagonal/>
    </border>
    <border>
      <left style="hair">
        <color indexed="64"/>
      </left>
      <right style="hair">
        <color indexed="64"/>
      </right>
      <top/>
      <bottom style="thin">
        <color indexed="64"/>
      </bottom>
      <diagonal/>
    </border>
    <border>
      <left style="double">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double">
        <color indexed="64"/>
      </left>
      <right style="hair">
        <color indexed="64"/>
      </right>
      <top style="thin">
        <color indexed="64"/>
      </top>
      <bottom/>
      <diagonal/>
    </border>
    <border>
      <left style="hair">
        <color indexed="64"/>
      </left>
      <right/>
      <top style="thin">
        <color indexed="64"/>
      </top>
      <bottom/>
      <diagonal/>
    </border>
    <border>
      <left/>
      <right style="double">
        <color indexed="64"/>
      </right>
      <top style="thin">
        <color indexed="64"/>
      </top>
      <bottom/>
      <diagonal/>
    </border>
    <border>
      <left/>
      <right style="thin">
        <color indexed="64"/>
      </right>
      <top style="thin">
        <color indexed="64"/>
      </top>
      <bottom/>
      <diagonal/>
    </border>
    <border>
      <left style="hair">
        <color auto="1"/>
      </left>
      <right/>
      <top/>
      <bottom style="thin">
        <color auto="1"/>
      </bottom>
      <diagonal/>
    </border>
    <border>
      <left style="thin">
        <color indexed="64"/>
      </left>
      <right style="thin">
        <color indexed="64"/>
      </right>
      <top style="thin">
        <color indexed="64"/>
      </top>
      <bottom style="thin">
        <color indexed="64"/>
      </bottom>
      <diagonal/>
    </border>
  </borders>
  <cellStyleXfs count="8">
    <xf numFmtId="0" fontId="0" fillId="0" borderId="0"/>
    <xf numFmtId="0" fontId="5" fillId="0" borderId="0"/>
    <xf numFmtId="0" fontId="2" fillId="0" borderId="0">
      <alignment vertical="center"/>
    </xf>
    <xf numFmtId="0" fontId="20" fillId="0" borderId="0"/>
    <xf numFmtId="0" fontId="6" fillId="0" borderId="0"/>
    <xf numFmtId="0" fontId="5" fillId="0" borderId="0"/>
    <xf numFmtId="0" fontId="5" fillId="0" borderId="0"/>
    <xf numFmtId="0" fontId="70" fillId="0" borderId="0">
      <alignment vertical="center"/>
    </xf>
  </cellStyleXfs>
  <cellXfs count="1548">
    <xf numFmtId="0" fontId="0" fillId="0" borderId="0" xfId="0"/>
    <xf numFmtId="0" fontId="3" fillId="0" borderId="0" xfId="0" applyFont="1" applyAlignment="1">
      <alignment vertical="top" wrapText="1"/>
    </xf>
    <xf numFmtId="0" fontId="0" fillId="0" borderId="0" xfId="0" applyAlignment="1">
      <alignment horizontal="center" vertical="center"/>
    </xf>
    <xf numFmtId="0" fontId="3" fillId="0" borderId="0" xfId="0" applyFont="1" applyAlignment="1">
      <alignment vertical="center" wrapText="1"/>
    </xf>
    <xf numFmtId="0" fontId="3" fillId="0" borderId="0" xfId="0" applyFont="1" applyAlignment="1">
      <alignment horizontal="center" vertical="center"/>
    </xf>
    <xf numFmtId="0" fontId="5" fillId="3" borderId="0" xfId="0" applyFont="1" applyFill="1"/>
    <xf numFmtId="0" fontId="6" fillId="3" borderId="0" xfId="0" applyFont="1" applyFill="1"/>
    <xf numFmtId="0" fontId="3" fillId="3" borderId="0" xfId="0" applyFont="1" applyFill="1" applyAlignment="1">
      <alignment horizontal="center" vertical="center"/>
    </xf>
    <xf numFmtId="0" fontId="3" fillId="3" borderId="0" xfId="0" applyFont="1" applyFill="1" applyAlignment="1">
      <alignment vertical="center" wrapText="1"/>
    </xf>
    <xf numFmtId="0" fontId="3" fillId="3" borderId="0" xfId="0" applyFont="1" applyFill="1" applyAlignment="1">
      <alignment vertical="top" wrapText="1"/>
    </xf>
    <xf numFmtId="0" fontId="0" fillId="3" borderId="0" xfId="0" applyFill="1"/>
    <xf numFmtId="0" fontId="0" fillId="3" borderId="0" xfId="0" applyFill="1" applyAlignment="1">
      <alignment horizontal="center" vertical="center"/>
    </xf>
    <xf numFmtId="0" fontId="3" fillId="0" borderId="0" xfId="0" applyFont="1"/>
    <xf numFmtId="0" fontId="3" fillId="0" borderId="0" xfId="0" applyFont="1" applyAlignment="1">
      <alignment vertical="top"/>
    </xf>
    <xf numFmtId="0" fontId="0" fillId="3" borderId="0" xfId="0" applyFill="1" applyAlignment="1">
      <alignment vertical="center"/>
    </xf>
    <xf numFmtId="0" fontId="8" fillId="0" borderId="0" xfId="0" applyFont="1" applyAlignment="1">
      <alignment vertical="top" wrapText="1"/>
    </xf>
    <xf numFmtId="0" fontId="5" fillId="0" borderId="0" xfId="0" applyFont="1"/>
    <xf numFmtId="0" fontId="6" fillId="3" borderId="2" xfId="0" applyFont="1" applyFill="1" applyBorder="1" applyAlignment="1">
      <alignment horizontal="center" vertical="center" wrapText="1"/>
    </xf>
    <xf numFmtId="0" fontId="6" fillId="3" borderId="2" xfId="0" applyFont="1" applyFill="1" applyBorder="1" applyAlignment="1">
      <alignment vertical="top" wrapText="1"/>
    </xf>
    <xf numFmtId="0" fontId="5" fillId="3" borderId="3" xfId="0" applyFont="1" applyFill="1" applyBorder="1" applyAlignment="1">
      <alignment vertical="top" wrapText="1"/>
    </xf>
    <xf numFmtId="0" fontId="5" fillId="3" borderId="3" xfId="0" applyFont="1" applyFill="1" applyBorder="1"/>
    <xf numFmtId="49" fontId="6" fillId="3" borderId="2" xfId="1" applyNumberFormat="1" applyFont="1" applyFill="1" applyBorder="1" applyAlignment="1">
      <alignment horizontal="center" vertical="center" wrapText="1"/>
    </xf>
    <xf numFmtId="0" fontId="6" fillId="3" borderId="2" xfId="1" applyFont="1" applyFill="1" applyBorder="1" applyAlignment="1">
      <alignment vertical="top" wrapText="1"/>
    </xf>
    <xf numFmtId="0" fontId="6" fillId="3" borderId="2" xfId="0" applyFont="1" applyFill="1" applyBorder="1" applyAlignment="1">
      <alignment horizontal="center" vertical="center"/>
    </xf>
    <xf numFmtId="0" fontId="6" fillId="4" borderId="2" xfId="0" applyFont="1" applyFill="1" applyBorder="1" applyAlignment="1">
      <alignment horizontal="center" vertical="center" wrapText="1"/>
    </xf>
    <xf numFmtId="0" fontId="6" fillId="4" borderId="2" xfId="0" applyFont="1" applyFill="1" applyBorder="1" applyAlignment="1">
      <alignment vertical="top" wrapText="1"/>
    </xf>
    <xf numFmtId="0" fontId="6" fillId="3" borderId="1" xfId="0" applyFont="1" applyFill="1" applyBorder="1" applyAlignment="1">
      <alignment horizontal="center" vertical="center" wrapText="1"/>
    </xf>
    <xf numFmtId="0" fontId="6" fillId="3" borderId="2" xfId="0" applyFont="1" applyFill="1" applyBorder="1" applyAlignment="1">
      <alignment horizontal="left" vertical="center" wrapText="1"/>
    </xf>
    <xf numFmtId="0" fontId="3" fillId="0" borderId="0" xfId="3" applyFont="1" applyAlignment="1">
      <alignment vertical="top" wrapText="1"/>
    </xf>
    <xf numFmtId="0" fontId="6" fillId="3" borderId="0" xfId="0" applyFont="1" applyFill="1" applyAlignment="1">
      <alignment horizontal="left" vertical="center" wrapText="1"/>
    </xf>
    <xf numFmtId="0" fontId="6" fillId="3" borderId="2" xfId="0" applyFont="1" applyFill="1" applyBorder="1" applyAlignment="1">
      <alignment horizontal="left" vertical="top" wrapText="1"/>
    </xf>
    <xf numFmtId="0" fontId="6" fillId="0" borderId="2" xfId="0" applyFont="1" applyBorder="1" applyAlignment="1">
      <alignment vertical="top" wrapText="1"/>
    </xf>
    <xf numFmtId="0" fontId="8" fillId="3" borderId="0" xfId="0" applyFont="1" applyFill="1" applyAlignment="1">
      <alignment wrapText="1"/>
    </xf>
    <xf numFmtId="0" fontId="8" fillId="3" borderId="0" xfId="0" applyFont="1" applyFill="1"/>
    <xf numFmtId="0" fontId="6" fillId="3" borderId="10" xfId="0" applyFont="1" applyFill="1" applyBorder="1" applyAlignment="1">
      <alignment horizontal="center" vertical="center" wrapText="1"/>
    </xf>
    <xf numFmtId="0" fontId="6" fillId="3" borderId="4" xfId="0" applyFont="1" applyFill="1" applyBorder="1" applyAlignment="1">
      <alignment horizontal="center" vertical="center" wrapText="1"/>
    </xf>
    <xf numFmtId="49" fontId="6" fillId="3" borderId="4" xfId="1" applyNumberFormat="1" applyFont="1" applyFill="1" applyBorder="1" applyAlignment="1">
      <alignment horizontal="center" vertical="center" wrapText="1"/>
    </xf>
    <xf numFmtId="0" fontId="5" fillId="3" borderId="3" xfId="0" applyFont="1" applyFill="1" applyBorder="1" applyAlignment="1">
      <alignment vertical="top"/>
    </xf>
    <xf numFmtId="0" fontId="5" fillId="3" borderId="5" xfId="0" applyFont="1" applyFill="1" applyBorder="1" applyAlignment="1">
      <alignment vertical="center"/>
    </xf>
    <xf numFmtId="0" fontId="6" fillId="3" borderId="11" xfId="0" applyFont="1" applyFill="1" applyBorder="1" applyAlignment="1">
      <alignment horizontal="center" vertical="center" wrapText="1"/>
    </xf>
    <xf numFmtId="0" fontId="5" fillId="3" borderId="3" xfId="0" applyFont="1" applyFill="1" applyBorder="1" applyAlignment="1">
      <alignment horizontal="left" vertical="top" wrapText="1"/>
    </xf>
    <xf numFmtId="0" fontId="6" fillId="0" borderId="0" xfId="4"/>
    <xf numFmtId="0" fontId="24" fillId="0" borderId="0" xfId="4" applyFont="1" applyAlignment="1">
      <alignment horizontal="center"/>
    </xf>
    <xf numFmtId="0" fontId="26" fillId="0" borderId="0" xfId="4" applyFont="1" applyAlignment="1">
      <alignment horizontal="center" vertical="center" wrapText="1"/>
    </xf>
    <xf numFmtId="0" fontId="27" fillId="0" borderId="0" xfId="4" applyFont="1"/>
    <xf numFmtId="0" fontId="5" fillId="0" borderId="0" xfId="4" applyFont="1"/>
    <xf numFmtId="0" fontId="6" fillId="0" borderId="15" xfId="4" applyBorder="1"/>
    <xf numFmtId="0" fontId="28" fillId="0" borderId="0" xfId="1" applyFont="1" applyAlignment="1">
      <alignment vertical="center"/>
    </xf>
    <xf numFmtId="49" fontId="28" fillId="0" borderId="0" xfId="1" applyNumberFormat="1" applyFont="1" applyAlignment="1">
      <alignment vertical="center"/>
    </xf>
    <xf numFmtId="0" fontId="28" fillId="0" borderId="0" xfId="1" applyFont="1" applyAlignment="1">
      <alignment horizontal="left" vertical="center"/>
    </xf>
    <xf numFmtId="0" fontId="28" fillId="7" borderId="16" xfId="1" applyFont="1" applyFill="1" applyBorder="1" applyAlignment="1">
      <alignment horizontal="centerContinuous" vertical="center"/>
    </xf>
    <xf numFmtId="0" fontId="29" fillId="7" borderId="17" xfId="1" applyFont="1" applyFill="1" applyBorder="1" applyAlignment="1">
      <alignment horizontal="centerContinuous" vertical="center"/>
    </xf>
    <xf numFmtId="0" fontId="29" fillId="7" borderId="18" xfId="1" applyFont="1" applyFill="1" applyBorder="1" applyAlignment="1">
      <alignment horizontal="centerContinuous" vertical="center"/>
    </xf>
    <xf numFmtId="0" fontId="28" fillId="0" borderId="0" xfId="1" quotePrefix="1" applyFont="1" applyAlignment="1">
      <alignment vertical="center"/>
    </xf>
    <xf numFmtId="0" fontId="30" fillId="0" borderId="0" xfId="1" applyFont="1" applyAlignment="1">
      <alignment horizontal="left" vertical="center"/>
    </xf>
    <xf numFmtId="0" fontId="29" fillId="0" borderId="0" xfId="1" applyFont="1" applyAlignment="1">
      <alignment horizontal="left" vertical="center"/>
    </xf>
    <xf numFmtId="49" fontId="28" fillId="0" borderId="0" xfId="1" applyNumberFormat="1" applyFont="1" applyAlignment="1">
      <alignment horizontal="left" vertical="center"/>
    </xf>
    <xf numFmtId="0" fontId="28" fillId="0" borderId="0" xfId="1" quotePrefix="1" applyFont="1" applyAlignment="1">
      <alignment horizontal="left" vertical="center"/>
    </xf>
    <xf numFmtId="0" fontId="28" fillId="0" borderId="0" xfId="4" applyFont="1" applyAlignment="1">
      <alignment vertical="center"/>
    </xf>
    <xf numFmtId="0" fontId="28" fillId="0" borderId="15" xfId="1" applyFont="1" applyBorder="1" applyAlignment="1">
      <alignment horizontal="left" vertical="center"/>
    </xf>
    <xf numFmtId="14" fontId="28" fillId="9" borderId="0" xfId="1" applyNumberFormat="1" applyFont="1" applyFill="1" applyAlignment="1">
      <alignment horizontal="left" vertical="center"/>
    </xf>
    <xf numFmtId="14" fontId="28" fillId="9" borderId="22" xfId="1" applyNumberFormat="1" applyFont="1" applyFill="1" applyBorder="1" applyAlignment="1">
      <alignment horizontal="left" vertical="center"/>
    </xf>
    <xf numFmtId="0" fontId="28" fillId="9" borderId="23" xfId="1" applyFont="1" applyFill="1" applyBorder="1" applyAlignment="1">
      <alignment vertical="center"/>
    </xf>
    <xf numFmtId="0" fontId="28" fillId="9" borderId="22" xfId="1" applyFont="1" applyFill="1" applyBorder="1" applyAlignment="1">
      <alignment vertical="center"/>
    </xf>
    <xf numFmtId="0" fontId="28" fillId="9" borderId="23" xfId="1" applyFont="1" applyFill="1" applyBorder="1" applyAlignment="1">
      <alignment horizontal="centerContinuous" vertical="center"/>
    </xf>
    <xf numFmtId="0" fontId="28" fillId="9" borderId="0" xfId="1" applyFont="1" applyFill="1" applyAlignment="1">
      <alignment horizontal="centerContinuous" vertical="center"/>
    </xf>
    <xf numFmtId="0" fontId="28" fillId="9" borderId="22" xfId="1" applyFont="1" applyFill="1" applyBorder="1" applyAlignment="1">
      <alignment horizontal="centerContinuous" vertical="center"/>
    </xf>
    <xf numFmtId="0" fontId="28" fillId="9" borderId="0" xfId="1" applyFont="1" applyFill="1" applyAlignment="1">
      <alignment horizontal="left" vertical="center"/>
    </xf>
    <xf numFmtId="0" fontId="28" fillId="9" borderId="24" xfId="1" applyFont="1" applyFill="1" applyBorder="1" applyAlignment="1">
      <alignment horizontal="left" vertical="center"/>
    </xf>
    <xf numFmtId="20" fontId="28" fillId="9" borderId="24" xfId="1" applyNumberFormat="1" applyFont="1" applyFill="1" applyBorder="1" applyAlignment="1">
      <alignment horizontal="left" vertical="center"/>
    </xf>
    <xf numFmtId="0" fontId="28" fillId="9" borderId="24" xfId="1" applyFont="1" applyFill="1" applyBorder="1" applyAlignment="1">
      <alignment vertical="center"/>
    </xf>
    <xf numFmtId="0" fontId="28" fillId="9" borderId="25" xfId="1" applyFont="1" applyFill="1" applyBorder="1" applyAlignment="1">
      <alignment horizontal="left" vertical="center"/>
    </xf>
    <xf numFmtId="0" fontId="28" fillId="9" borderId="15" xfId="1" applyFont="1" applyFill="1" applyBorder="1" applyAlignment="1">
      <alignment horizontal="centerContinuous" vertical="center"/>
    </xf>
    <xf numFmtId="0" fontId="28" fillId="9" borderId="29" xfId="1" applyFont="1" applyFill="1" applyBorder="1" applyAlignment="1">
      <alignment horizontal="centerContinuous" vertical="center"/>
    </xf>
    <xf numFmtId="0" fontId="28" fillId="9" borderId="27" xfId="1" applyFont="1" applyFill="1" applyBorder="1" applyAlignment="1">
      <alignment horizontal="centerContinuous" vertical="center"/>
    </xf>
    <xf numFmtId="0" fontId="28" fillId="9" borderId="29" xfId="1" applyFont="1" applyFill="1" applyBorder="1" applyAlignment="1">
      <alignment horizontal="left" vertical="center"/>
    </xf>
    <xf numFmtId="0" fontId="28" fillId="9" borderId="27" xfId="1" applyFont="1" applyFill="1" applyBorder="1" applyAlignment="1">
      <alignment horizontal="left" vertical="center"/>
    </xf>
    <xf numFmtId="20" fontId="28" fillId="9" borderId="27" xfId="1" applyNumberFormat="1" applyFont="1" applyFill="1" applyBorder="1" applyAlignment="1">
      <alignment horizontal="left" vertical="center"/>
    </xf>
    <xf numFmtId="0" fontId="28" fillId="9" borderId="27" xfId="1" applyFont="1" applyFill="1" applyBorder="1" applyAlignment="1">
      <alignment vertical="center"/>
    </xf>
    <xf numFmtId="0" fontId="28" fillId="9" borderId="28" xfId="1" applyFont="1" applyFill="1" applyBorder="1" applyAlignment="1">
      <alignment horizontal="left" vertical="center"/>
    </xf>
    <xf numFmtId="0" fontId="28" fillId="9" borderId="30" xfId="1" applyFont="1" applyFill="1" applyBorder="1" applyAlignment="1">
      <alignment horizontal="centerContinuous" vertical="center"/>
    </xf>
    <xf numFmtId="20" fontId="28" fillId="9" borderId="0" xfId="1" applyNumberFormat="1" applyFont="1" applyFill="1" applyAlignment="1">
      <alignment horizontal="left" vertical="center"/>
    </xf>
    <xf numFmtId="49" fontId="28" fillId="9" borderId="0" xfId="1" applyNumberFormat="1" applyFont="1" applyFill="1" applyAlignment="1">
      <alignment vertical="center"/>
    </xf>
    <xf numFmtId="49" fontId="28" fillId="9" borderId="0" xfId="4" applyNumberFormat="1" applyFont="1" applyFill="1" applyAlignment="1">
      <alignment vertical="center"/>
    </xf>
    <xf numFmtId="49" fontId="28" fillId="9" borderId="0" xfId="4" applyNumberFormat="1" applyFont="1" applyFill="1" applyAlignment="1">
      <alignment horizontal="left" vertical="center"/>
    </xf>
    <xf numFmtId="49" fontId="28" fillId="9" borderId="22" xfId="1" applyNumberFormat="1" applyFont="1" applyFill="1" applyBorder="1" applyAlignment="1">
      <alignment vertical="center"/>
    </xf>
    <xf numFmtId="49" fontId="28" fillId="9" borderId="23" xfId="1" applyNumberFormat="1" applyFont="1" applyFill="1" applyBorder="1" applyAlignment="1">
      <alignment horizontal="centerContinuous" vertical="center"/>
    </xf>
    <xf numFmtId="49" fontId="28" fillId="9" borderId="0" xfId="1" applyNumberFormat="1" applyFont="1" applyFill="1" applyAlignment="1">
      <alignment horizontal="centerContinuous" vertical="center"/>
    </xf>
    <xf numFmtId="49" fontId="28" fillId="9" borderId="15" xfId="1" applyNumberFormat="1" applyFont="1" applyFill="1" applyBorder="1" applyAlignment="1">
      <alignment horizontal="centerContinuous" vertical="center"/>
    </xf>
    <xf numFmtId="49" fontId="28" fillId="9" borderId="23" xfId="1" applyNumberFormat="1" applyFont="1" applyFill="1" applyBorder="1" applyAlignment="1">
      <alignment horizontal="left" vertical="center"/>
    </xf>
    <xf numFmtId="0" fontId="28" fillId="9" borderId="23" xfId="1" applyFont="1" applyFill="1" applyBorder="1" applyAlignment="1">
      <alignment horizontal="left" vertical="center"/>
    </xf>
    <xf numFmtId="0" fontId="6" fillId="0" borderId="0" xfId="1" applyFont="1" applyAlignment="1">
      <alignment vertical="center"/>
    </xf>
    <xf numFmtId="49" fontId="6" fillId="0" borderId="0" xfId="1" applyNumberFormat="1" applyFont="1" applyAlignment="1">
      <alignment vertical="center"/>
    </xf>
    <xf numFmtId="49" fontId="6" fillId="0" borderId="15" xfId="1" applyNumberFormat="1" applyFont="1" applyBorder="1" applyAlignment="1">
      <alignment vertical="center"/>
    </xf>
    <xf numFmtId="49" fontId="6" fillId="0" borderId="0" xfId="1" quotePrefix="1" applyNumberFormat="1" applyFont="1" applyAlignment="1">
      <alignment vertical="center"/>
    </xf>
    <xf numFmtId="0" fontId="6" fillId="0" borderId="0" xfId="1" applyFont="1" applyAlignment="1">
      <alignment horizontal="left" vertical="center"/>
    </xf>
    <xf numFmtId="0" fontId="6" fillId="0" borderId="0" xfId="1" applyFont="1"/>
    <xf numFmtId="0" fontId="6" fillId="0" borderId="0" xfId="1" applyFont="1" applyAlignment="1">
      <alignment horizontal="centerContinuous"/>
    </xf>
    <xf numFmtId="0" fontId="32" fillId="0" borderId="0" xfId="1" applyFont="1" applyAlignment="1">
      <alignment horizontal="left" vertical="top"/>
    </xf>
    <xf numFmtId="0" fontId="6" fillId="0" borderId="0" xfId="1" applyFont="1" applyAlignment="1">
      <alignment horizontal="left"/>
    </xf>
    <xf numFmtId="20" fontId="6" fillId="0" borderId="0" xfId="1" applyNumberFormat="1" applyFont="1" applyAlignment="1">
      <alignment vertical="center"/>
    </xf>
    <xf numFmtId="0" fontId="6" fillId="0" borderId="0" xfId="1" applyFont="1" applyAlignment="1">
      <alignment horizontal="center" vertical="center"/>
    </xf>
    <xf numFmtId="0" fontId="6" fillId="0" borderId="0" xfId="1" quotePrefix="1" applyFont="1" applyAlignment="1">
      <alignment horizontal="left" vertical="center"/>
    </xf>
    <xf numFmtId="0" fontId="31" fillId="0" borderId="0" xfId="1" applyFont="1" applyAlignment="1">
      <alignment horizontal="left" vertical="center"/>
    </xf>
    <xf numFmtId="20" fontId="6" fillId="0" borderId="0" xfId="1" applyNumberFormat="1" applyFont="1" applyAlignment="1">
      <alignment horizontal="left" vertical="center"/>
    </xf>
    <xf numFmtId="0" fontId="6" fillId="0" borderId="0" xfId="1" quotePrefix="1" applyFont="1" applyAlignment="1">
      <alignment vertical="center"/>
    </xf>
    <xf numFmtId="0" fontId="6" fillId="3" borderId="0" xfId="0" applyFont="1" applyFill="1" applyAlignment="1">
      <alignment horizontal="left" vertical="center"/>
    </xf>
    <xf numFmtId="0" fontId="5" fillId="3" borderId="0" xfId="0" applyFont="1" applyFill="1" applyAlignment="1">
      <alignment horizontal="left" vertical="center"/>
    </xf>
    <xf numFmtId="0" fontId="9" fillId="2" borderId="4" xfId="0" applyFont="1" applyFill="1" applyBorder="1" applyAlignment="1">
      <alignment horizontal="center" vertical="center" wrapText="1"/>
    </xf>
    <xf numFmtId="0" fontId="9" fillId="2" borderId="4" xfId="0" applyFont="1" applyFill="1" applyBorder="1" applyAlignment="1">
      <alignment horizontal="center" vertical="top" wrapText="1"/>
    </xf>
    <xf numFmtId="0" fontId="6" fillId="3" borderId="32" xfId="0" applyFont="1" applyFill="1" applyBorder="1" applyAlignment="1">
      <alignment horizontal="center" vertical="center" wrapText="1"/>
    </xf>
    <xf numFmtId="0" fontId="5" fillId="3" borderId="33" xfId="0" applyFont="1" applyFill="1" applyBorder="1" applyAlignment="1">
      <alignment vertical="top"/>
    </xf>
    <xf numFmtId="0" fontId="6" fillId="0" borderId="2" xfId="0" applyFont="1" applyBorder="1" applyAlignment="1">
      <alignment horizontal="center" vertical="center" wrapText="1"/>
    </xf>
    <xf numFmtId="0" fontId="6" fillId="0" borderId="4" xfId="0" applyFont="1" applyBorder="1" applyAlignment="1">
      <alignment horizontal="center" vertical="center" wrapText="1"/>
    </xf>
    <xf numFmtId="0" fontId="6" fillId="0" borderId="0" xfId="0" applyFont="1" applyAlignment="1">
      <alignment horizontal="left" vertical="center" wrapText="1"/>
    </xf>
    <xf numFmtId="0" fontId="6" fillId="5" borderId="1" xfId="0" applyFont="1" applyFill="1" applyBorder="1" applyAlignment="1">
      <alignment horizontal="center" vertical="center" wrapText="1"/>
    </xf>
    <xf numFmtId="0" fontId="6" fillId="5" borderId="2" xfId="0" applyFont="1" applyFill="1" applyBorder="1" applyAlignment="1">
      <alignment horizontal="center" vertical="center" wrapText="1"/>
    </xf>
    <xf numFmtId="0" fontId="6" fillId="5" borderId="2" xfId="0" applyFont="1" applyFill="1" applyBorder="1" applyAlignment="1">
      <alignment vertical="top" wrapText="1"/>
    </xf>
    <xf numFmtId="0" fontId="6" fillId="5" borderId="2" xfId="0" applyFont="1" applyFill="1" applyBorder="1" applyAlignment="1">
      <alignment horizontal="center" vertical="center"/>
    </xf>
    <xf numFmtId="0" fontId="6" fillId="11" borderId="2" xfId="0" applyFont="1" applyFill="1" applyBorder="1" applyAlignment="1">
      <alignment horizontal="center" vertical="center" wrapText="1"/>
    </xf>
    <xf numFmtId="0" fontId="6" fillId="11" borderId="2" xfId="0" applyFont="1" applyFill="1" applyBorder="1" applyAlignment="1">
      <alignment vertical="top" wrapText="1"/>
    </xf>
    <xf numFmtId="0" fontId="6" fillId="5" borderId="2" xfId="0" applyFont="1" applyFill="1" applyBorder="1" applyAlignment="1">
      <alignment horizontal="left" vertical="center" wrapText="1"/>
    </xf>
    <xf numFmtId="0" fontId="6" fillId="5" borderId="2" xfId="0" applyFont="1" applyFill="1" applyBorder="1" applyAlignment="1">
      <alignment horizontal="left" vertical="center"/>
    </xf>
    <xf numFmtId="0" fontId="6" fillId="0" borderId="12" xfId="0" applyFont="1" applyBorder="1" applyAlignment="1">
      <alignment horizontal="center" vertical="center" wrapText="1"/>
    </xf>
    <xf numFmtId="0" fontId="8" fillId="0" borderId="0" xfId="0" applyFont="1"/>
    <xf numFmtId="0" fontId="6" fillId="5" borderId="13" xfId="0" applyFont="1" applyFill="1" applyBorder="1" applyAlignment="1">
      <alignment horizontal="center" vertical="center" wrapText="1"/>
    </xf>
    <xf numFmtId="0" fontId="5" fillId="5" borderId="14" xfId="0" applyFont="1" applyFill="1" applyBorder="1" applyAlignment="1">
      <alignment vertical="top" wrapText="1"/>
    </xf>
    <xf numFmtId="0" fontId="5" fillId="5" borderId="0" xfId="0" applyFont="1" applyFill="1"/>
    <xf numFmtId="0" fontId="0" fillId="5" borderId="0" xfId="0" applyFill="1"/>
    <xf numFmtId="0" fontId="6" fillId="10" borderId="2" xfId="0" applyFont="1" applyFill="1" applyBorder="1" applyAlignment="1">
      <alignment horizontal="center" vertical="center" wrapText="1"/>
    </xf>
    <xf numFmtId="0" fontId="0" fillId="10" borderId="0" xfId="0" applyFill="1"/>
    <xf numFmtId="0" fontId="6" fillId="10" borderId="35" xfId="0" quotePrefix="1" applyFont="1" applyFill="1" applyBorder="1" applyAlignment="1">
      <alignment horizontal="center" vertical="center" wrapText="1"/>
    </xf>
    <xf numFmtId="0" fontId="6" fillId="10" borderId="35" xfId="0" applyFont="1" applyFill="1" applyBorder="1" applyAlignment="1">
      <alignment horizontal="center" vertical="center" wrapText="1"/>
    </xf>
    <xf numFmtId="0" fontId="6" fillId="0" borderId="35" xfId="0" applyFont="1" applyBorder="1" applyAlignment="1">
      <alignment vertical="top" wrapText="1"/>
    </xf>
    <xf numFmtId="0" fontId="6" fillId="0" borderId="35" xfId="0" applyFont="1" applyBorder="1" applyAlignment="1">
      <alignment horizontal="center" vertical="center" wrapText="1"/>
    </xf>
    <xf numFmtId="0" fontId="5" fillId="10" borderId="36" xfId="0" applyFont="1" applyFill="1" applyBorder="1" applyAlignment="1">
      <alignment vertical="top" wrapText="1"/>
    </xf>
    <xf numFmtId="0" fontId="6" fillId="0" borderId="35" xfId="0" quotePrefix="1" applyFont="1" applyBorder="1" applyAlignment="1">
      <alignment horizontal="center" vertical="center" wrapText="1"/>
    </xf>
    <xf numFmtId="0" fontId="5" fillId="10" borderId="36" xfId="0" applyFont="1" applyFill="1" applyBorder="1" applyAlignment="1">
      <alignment wrapText="1"/>
    </xf>
    <xf numFmtId="0" fontId="6" fillId="0" borderId="34" xfId="0" applyFont="1" applyBorder="1" applyAlignment="1">
      <alignment horizontal="center" vertical="center" wrapText="1"/>
    </xf>
    <xf numFmtId="0" fontId="6" fillId="0" borderId="35" xfId="0" applyFont="1" applyBorder="1" applyAlignment="1">
      <alignment vertical="center" wrapText="1"/>
    </xf>
    <xf numFmtId="49" fontId="6" fillId="0" borderId="35" xfId="1" applyNumberFormat="1" applyFont="1" applyBorder="1" applyAlignment="1">
      <alignment horizontal="center" vertical="center" wrapText="1"/>
    </xf>
    <xf numFmtId="0" fontId="6" fillId="0" borderId="37" xfId="0" applyFont="1" applyBorder="1" applyAlignment="1">
      <alignment horizontal="center" vertical="center" wrapText="1"/>
    </xf>
    <xf numFmtId="0" fontId="6" fillId="0" borderId="38" xfId="0" applyFont="1" applyBorder="1" applyAlignment="1">
      <alignment vertical="center" wrapText="1"/>
    </xf>
    <xf numFmtId="0" fontId="6" fillId="0" borderId="38" xfId="0" applyFont="1" applyBorder="1" applyAlignment="1">
      <alignment horizontal="center" vertical="center" wrapText="1"/>
    </xf>
    <xf numFmtId="0" fontId="6" fillId="0" borderId="38" xfId="0" quotePrefix="1" applyFont="1" applyBorder="1" applyAlignment="1">
      <alignment horizontal="center" vertical="center" wrapText="1"/>
    </xf>
    <xf numFmtId="0" fontId="5" fillId="10" borderId="0" xfId="0" applyFont="1" applyFill="1"/>
    <xf numFmtId="0" fontId="6" fillId="10" borderId="34" xfId="0" applyFont="1" applyFill="1" applyBorder="1" applyAlignment="1">
      <alignment horizontal="center" vertical="center" wrapText="1"/>
    </xf>
    <xf numFmtId="0" fontId="6" fillId="10" borderId="35" xfId="0" applyFont="1" applyFill="1" applyBorder="1" applyAlignment="1">
      <alignment vertical="center" wrapText="1"/>
    </xf>
    <xf numFmtId="0" fontId="6" fillId="10" borderId="35" xfId="0" applyFont="1" applyFill="1" applyBorder="1" applyAlignment="1">
      <alignment vertical="top" wrapText="1"/>
    </xf>
    <xf numFmtId="0" fontId="5" fillId="10" borderId="36" xfId="0" applyFont="1" applyFill="1" applyBorder="1" applyAlignment="1">
      <alignment horizontal="left" vertical="center" wrapText="1"/>
    </xf>
    <xf numFmtId="0" fontId="5" fillId="0" borderId="36" xfId="0" applyFont="1" applyBorder="1"/>
    <xf numFmtId="0" fontId="5" fillId="0" borderId="36" xfId="0" applyFont="1" applyBorder="1" applyAlignment="1">
      <alignment horizontal="left" vertical="center" wrapText="1"/>
    </xf>
    <xf numFmtId="0" fontId="6" fillId="10" borderId="35" xfId="0" applyFont="1" applyFill="1" applyBorder="1" applyAlignment="1">
      <alignment horizontal="center" vertical="center"/>
    </xf>
    <xf numFmtId="0" fontId="22" fillId="10" borderId="35" xfId="0" applyFont="1" applyFill="1" applyBorder="1" applyAlignment="1">
      <alignment horizontal="center" vertical="center"/>
    </xf>
    <xf numFmtId="0" fontId="6" fillId="0" borderId="35" xfId="0" applyFont="1" applyBorder="1" applyAlignment="1">
      <alignment horizontal="center" vertical="center"/>
    </xf>
    <xf numFmtId="0" fontId="22" fillId="0" borderId="35" xfId="0" applyFont="1" applyBorder="1" applyAlignment="1">
      <alignment horizontal="center" vertical="center"/>
    </xf>
    <xf numFmtId="0" fontId="5" fillId="10" borderId="36" xfId="0" applyFont="1" applyFill="1" applyBorder="1" applyAlignment="1">
      <alignment horizontal="left" vertical="top" wrapText="1"/>
    </xf>
    <xf numFmtId="0" fontId="6" fillId="10" borderId="37" xfId="0" applyFont="1" applyFill="1" applyBorder="1" applyAlignment="1">
      <alignment horizontal="center" vertical="center" wrapText="1"/>
    </xf>
    <xf numFmtId="0" fontId="22" fillId="10" borderId="38" xfId="0" applyFont="1" applyFill="1" applyBorder="1" applyAlignment="1">
      <alignment horizontal="center" vertical="center"/>
    </xf>
    <xf numFmtId="0" fontId="6" fillId="10" borderId="38" xfId="0" applyFont="1" applyFill="1" applyBorder="1" applyAlignment="1">
      <alignment horizontal="center" vertical="center" wrapText="1"/>
    </xf>
    <xf numFmtId="0" fontId="5" fillId="10" borderId="39" xfId="0" applyFont="1" applyFill="1" applyBorder="1" applyAlignment="1">
      <alignment wrapText="1"/>
    </xf>
    <xf numFmtId="0" fontId="5" fillId="0" borderId="36" xfId="0" applyFont="1" applyBorder="1" applyAlignment="1">
      <alignment vertical="top"/>
    </xf>
    <xf numFmtId="0" fontId="5" fillId="0" borderId="36" xfId="0" applyFont="1" applyBorder="1" applyAlignment="1">
      <alignment wrapText="1"/>
    </xf>
    <xf numFmtId="0" fontId="5" fillId="0" borderId="36" xfId="0" applyFont="1" applyBorder="1" applyAlignment="1">
      <alignment vertical="top" wrapText="1"/>
    </xf>
    <xf numFmtId="0" fontId="5" fillId="0" borderId="36" xfId="0" applyFont="1" applyBorder="1" applyAlignment="1">
      <alignment horizontal="left" vertical="top" wrapText="1"/>
    </xf>
    <xf numFmtId="0" fontId="6" fillId="0" borderId="13" xfId="0" applyFont="1" applyBorder="1" applyAlignment="1">
      <alignment horizontal="center" vertical="center" wrapText="1"/>
    </xf>
    <xf numFmtId="0" fontId="6" fillId="3" borderId="40" xfId="0" applyFont="1" applyFill="1" applyBorder="1" applyAlignment="1">
      <alignment horizontal="center" vertical="center" wrapText="1"/>
    </xf>
    <xf numFmtId="0" fontId="6" fillId="3" borderId="41" xfId="0" applyFont="1" applyFill="1" applyBorder="1" applyAlignment="1">
      <alignment vertical="center" wrapText="1"/>
    </xf>
    <xf numFmtId="0" fontId="6" fillId="3" borderId="41" xfId="0" applyFont="1" applyFill="1" applyBorder="1" applyAlignment="1">
      <alignment horizontal="left" vertical="top" wrapText="1"/>
    </xf>
    <xf numFmtId="0" fontId="6" fillId="3" borderId="41" xfId="0" applyFont="1" applyFill="1" applyBorder="1" applyAlignment="1">
      <alignment horizontal="center" vertical="center" wrapText="1"/>
    </xf>
    <xf numFmtId="0" fontId="6" fillId="3" borderId="41" xfId="0" applyFont="1" applyFill="1" applyBorder="1" applyAlignment="1">
      <alignment vertical="top" wrapText="1"/>
    </xf>
    <xf numFmtId="0" fontId="6" fillId="3" borderId="34" xfId="0" applyFont="1" applyFill="1" applyBorder="1" applyAlignment="1">
      <alignment horizontal="center" vertical="center" wrapText="1"/>
    </xf>
    <xf numFmtId="0" fontId="6" fillId="3" borderId="35" xfId="0" applyFont="1" applyFill="1" applyBorder="1" applyAlignment="1">
      <alignment vertical="center" wrapText="1"/>
    </xf>
    <xf numFmtId="0" fontId="6" fillId="3" borderId="35" xfId="0" applyFont="1" applyFill="1" applyBorder="1" applyAlignment="1">
      <alignment horizontal="left" vertical="top" wrapText="1"/>
    </xf>
    <xf numFmtId="0" fontId="6" fillId="3" borderId="35" xfId="0" applyFont="1" applyFill="1" applyBorder="1" applyAlignment="1">
      <alignment horizontal="center" vertical="center" wrapText="1"/>
    </xf>
    <xf numFmtId="0" fontId="6" fillId="3" borderId="35" xfId="0" applyFont="1" applyFill="1" applyBorder="1" applyAlignment="1">
      <alignment vertical="top" wrapText="1"/>
    </xf>
    <xf numFmtId="49" fontId="6" fillId="3" borderId="35" xfId="1" applyNumberFormat="1" applyFont="1" applyFill="1" applyBorder="1" applyAlignment="1">
      <alignment horizontal="left" vertical="top"/>
    </xf>
    <xf numFmtId="0" fontId="6" fillId="3" borderId="35" xfId="0" applyFont="1" applyFill="1" applyBorder="1" applyAlignment="1">
      <alignment horizontal="center" vertical="center"/>
    </xf>
    <xf numFmtId="0" fontId="6" fillId="3" borderId="35" xfId="1" applyFont="1" applyFill="1" applyBorder="1" applyAlignment="1">
      <alignment horizontal="left" vertical="top"/>
    </xf>
    <xf numFmtId="0" fontId="6" fillId="0" borderId="35" xfId="0" applyFont="1" applyBorder="1" applyAlignment="1">
      <alignment horizontal="left" vertical="top" wrapText="1"/>
    </xf>
    <xf numFmtId="0" fontId="5" fillId="3" borderId="42" xfId="0" applyFont="1" applyFill="1" applyBorder="1"/>
    <xf numFmtId="0" fontId="5" fillId="3" borderId="36" xfId="0" applyFont="1" applyFill="1" applyBorder="1"/>
    <xf numFmtId="0" fontId="5" fillId="3" borderId="36" xfId="0" applyFont="1" applyFill="1" applyBorder="1" applyAlignment="1">
      <alignment wrapText="1"/>
    </xf>
    <xf numFmtId="0" fontId="5" fillId="3" borderId="36" xfId="0" applyFont="1" applyFill="1" applyBorder="1" applyAlignment="1">
      <alignment horizontal="left" vertical="center" wrapText="1"/>
    </xf>
    <xf numFmtId="0" fontId="16" fillId="3" borderId="36" xfId="0" applyFont="1" applyFill="1" applyBorder="1" applyAlignment="1">
      <alignment horizontal="left" vertical="center" wrapText="1"/>
    </xf>
    <xf numFmtId="0" fontId="6" fillId="0" borderId="36" xfId="0" applyFont="1" applyBorder="1" applyAlignment="1">
      <alignment vertical="top" wrapText="1"/>
    </xf>
    <xf numFmtId="0" fontId="6" fillId="10" borderId="35" xfId="0" applyFont="1" applyFill="1" applyBorder="1" applyAlignment="1">
      <alignment horizontal="left" vertical="top" wrapText="1"/>
    </xf>
    <xf numFmtId="0" fontId="5" fillId="10" borderId="36" xfId="0" applyFont="1" applyFill="1" applyBorder="1"/>
    <xf numFmtId="0" fontId="5" fillId="10" borderId="36" xfId="0" applyFont="1" applyFill="1" applyBorder="1" applyAlignment="1">
      <alignment vertical="center" wrapText="1"/>
    </xf>
    <xf numFmtId="0" fontId="5" fillId="10" borderId="36" xfId="0" applyFont="1" applyFill="1" applyBorder="1" applyAlignment="1">
      <alignment vertical="center"/>
    </xf>
    <xf numFmtId="49" fontId="6" fillId="10" borderId="35" xfId="1" applyNumberFormat="1" applyFont="1" applyFill="1" applyBorder="1" applyAlignment="1">
      <alignment horizontal="left" vertical="top"/>
    </xf>
    <xf numFmtId="0" fontId="6" fillId="10" borderId="35" xfId="1" applyFont="1" applyFill="1" applyBorder="1" applyAlignment="1">
      <alignment horizontal="left" vertical="top"/>
    </xf>
    <xf numFmtId="0" fontId="5" fillId="10" borderId="35" xfId="0" applyFont="1" applyFill="1" applyBorder="1" applyAlignment="1">
      <alignment horizontal="left" vertical="center" wrapText="1"/>
    </xf>
    <xf numFmtId="0" fontId="6" fillId="10" borderId="35" xfId="0" applyFont="1" applyFill="1" applyBorder="1" applyAlignment="1">
      <alignment horizontal="left" vertical="center" wrapText="1"/>
    </xf>
    <xf numFmtId="0" fontId="6" fillId="10" borderId="38" xfId="0" applyFont="1" applyFill="1" applyBorder="1" applyAlignment="1">
      <alignment horizontal="left" vertical="top" wrapText="1"/>
    </xf>
    <xf numFmtId="0" fontId="6" fillId="10" borderId="38" xfId="0" applyFont="1" applyFill="1" applyBorder="1" applyAlignment="1">
      <alignment vertical="top" wrapText="1"/>
    </xf>
    <xf numFmtId="0" fontId="5" fillId="10" borderId="39" xfId="0" applyFont="1" applyFill="1" applyBorder="1" applyAlignment="1">
      <alignment horizontal="left" vertical="center" wrapText="1"/>
    </xf>
    <xf numFmtId="0" fontId="6" fillId="0" borderId="35" xfId="3" applyFont="1" applyBorder="1" applyAlignment="1">
      <alignment horizontal="center" vertical="center" wrapText="1"/>
    </xf>
    <xf numFmtId="0" fontId="6" fillId="0" borderId="35" xfId="0" applyFont="1" applyBorder="1" applyAlignment="1">
      <alignment horizontal="left" vertical="top"/>
    </xf>
    <xf numFmtId="0" fontId="6" fillId="0" borderId="38" xfId="0" applyFont="1" applyBorder="1" applyAlignment="1">
      <alignment horizontal="center" vertical="center"/>
    </xf>
    <xf numFmtId="0" fontId="6" fillId="0" borderId="38" xfId="0" applyFont="1" applyBorder="1" applyAlignment="1">
      <alignment vertical="top" wrapText="1"/>
    </xf>
    <xf numFmtId="0" fontId="6" fillId="0" borderId="38" xfId="3" applyFont="1" applyBorder="1" applyAlignment="1">
      <alignment horizontal="center" vertical="center" wrapText="1"/>
    </xf>
    <xf numFmtId="0" fontId="6" fillId="0" borderId="38" xfId="0" applyFont="1" applyBorder="1" applyAlignment="1">
      <alignment horizontal="left" vertical="top" wrapText="1"/>
    </xf>
    <xf numFmtId="0" fontId="6" fillId="10" borderId="35" xfId="3" applyFont="1" applyFill="1" applyBorder="1" applyAlignment="1">
      <alignment horizontal="center" vertical="center" wrapText="1"/>
    </xf>
    <xf numFmtId="0" fontId="5" fillId="10" borderId="35" xfId="0" applyFont="1" applyFill="1" applyBorder="1" applyAlignment="1">
      <alignment vertical="top" wrapText="1"/>
    </xf>
    <xf numFmtId="0" fontId="3" fillId="10" borderId="0" xfId="0" applyFont="1" applyFill="1"/>
    <xf numFmtId="0" fontId="6" fillId="10" borderId="36" xfId="0" applyFont="1" applyFill="1" applyBorder="1" applyAlignment="1">
      <alignment horizontal="left" vertical="top" wrapText="1"/>
    </xf>
    <xf numFmtId="0" fontId="13" fillId="10" borderId="35" xfId="0" applyFont="1" applyFill="1" applyBorder="1" applyAlignment="1">
      <alignment horizontal="left" vertical="top" wrapText="1"/>
    </xf>
    <xf numFmtId="0" fontId="6" fillId="0" borderId="36" xfId="0" applyFont="1" applyBorder="1" applyAlignment="1">
      <alignment horizontal="left" vertical="top"/>
    </xf>
    <xf numFmtId="0" fontId="6" fillId="0" borderId="36" xfId="0" applyFont="1" applyBorder="1" applyAlignment="1">
      <alignment horizontal="left" vertical="top" wrapText="1"/>
    </xf>
    <xf numFmtId="0" fontId="6" fillId="10" borderId="38" xfId="3" applyFont="1" applyFill="1" applyBorder="1" applyAlignment="1">
      <alignment horizontal="center" vertical="center" wrapText="1"/>
    </xf>
    <xf numFmtId="0" fontId="6" fillId="10" borderId="39" xfId="0" applyFont="1" applyFill="1" applyBorder="1" applyAlignment="1">
      <alignment horizontal="left" vertical="top" wrapText="1"/>
    </xf>
    <xf numFmtId="0" fontId="6" fillId="3" borderId="38" xfId="0" applyFont="1" applyFill="1" applyBorder="1" applyAlignment="1">
      <alignment horizontal="center" vertical="center" wrapText="1"/>
    </xf>
    <xf numFmtId="0" fontId="6" fillId="3" borderId="35" xfId="0" quotePrefix="1" applyFont="1" applyFill="1" applyBorder="1" applyAlignment="1">
      <alignment horizontal="center" vertical="center" wrapText="1"/>
    </xf>
    <xf numFmtId="0" fontId="6" fillId="3" borderId="36" xfId="0" applyFont="1" applyFill="1" applyBorder="1" applyAlignment="1">
      <alignment horizontal="left" vertical="top" wrapText="1"/>
    </xf>
    <xf numFmtId="0" fontId="5" fillId="0" borderId="39" xfId="0" applyFont="1" applyBorder="1" applyAlignment="1">
      <alignment horizontal="left" vertical="center" wrapText="1"/>
    </xf>
    <xf numFmtId="0" fontId="5" fillId="0" borderId="39" xfId="0" applyFont="1" applyBorder="1" applyAlignment="1">
      <alignment wrapText="1"/>
    </xf>
    <xf numFmtId="0" fontId="5" fillId="3" borderId="36" xfId="0" applyFont="1" applyFill="1" applyBorder="1" applyAlignment="1">
      <alignment vertical="top" wrapText="1"/>
    </xf>
    <xf numFmtId="0" fontId="5" fillId="3" borderId="36" xfId="0" applyFont="1" applyFill="1" applyBorder="1" applyAlignment="1">
      <alignment horizontal="left" vertical="top" wrapText="1"/>
    </xf>
    <xf numFmtId="0" fontId="17" fillId="3" borderId="35" xfId="0" applyFont="1" applyFill="1" applyBorder="1" applyAlignment="1">
      <alignment horizontal="left" vertical="top" wrapText="1"/>
    </xf>
    <xf numFmtId="0" fontId="22" fillId="3" borderId="35" xfId="0" applyFont="1" applyFill="1" applyBorder="1" applyAlignment="1">
      <alignment horizontal="center" vertical="center"/>
    </xf>
    <xf numFmtId="0" fontId="5" fillId="5" borderId="3" xfId="0" applyFont="1" applyFill="1" applyBorder="1" applyAlignment="1">
      <alignment horizontal="left" vertical="top" wrapText="1"/>
    </xf>
    <xf numFmtId="0" fontId="6" fillId="5" borderId="3" xfId="0" applyFont="1" applyFill="1" applyBorder="1" applyAlignment="1">
      <alignment horizontal="left" vertical="top"/>
    </xf>
    <xf numFmtId="0" fontId="5" fillId="3" borderId="3" xfId="0" applyFont="1" applyFill="1" applyBorder="1" applyAlignment="1">
      <alignment horizontal="left" vertical="top"/>
    </xf>
    <xf numFmtId="0" fontId="16" fillId="3" borderId="3" xfId="0" applyFont="1" applyFill="1" applyBorder="1" applyAlignment="1">
      <alignment horizontal="left" vertical="top" wrapText="1"/>
    </xf>
    <xf numFmtId="0" fontId="5" fillId="5" borderId="3" xfId="0" applyFont="1" applyFill="1" applyBorder="1" applyAlignment="1">
      <alignment horizontal="left" vertical="top"/>
    </xf>
    <xf numFmtId="0" fontId="6" fillId="5" borderId="3" xfId="0" applyFont="1" applyFill="1" applyBorder="1" applyAlignment="1">
      <alignment horizontal="left" vertical="top" wrapText="1"/>
    </xf>
    <xf numFmtId="0" fontId="5" fillId="3" borderId="5" xfId="0" applyFont="1" applyFill="1" applyBorder="1" applyAlignment="1">
      <alignment horizontal="left" vertical="top"/>
    </xf>
    <xf numFmtId="0" fontId="6" fillId="3" borderId="2" xfId="1" applyFont="1" applyFill="1" applyBorder="1" applyAlignment="1">
      <alignment horizontal="left" vertical="top" wrapText="1"/>
    </xf>
    <xf numFmtId="49" fontId="6" fillId="5" borderId="2" xfId="1" applyNumberFormat="1" applyFont="1" applyFill="1" applyBorder="1" applyAlignment="1">
      <alignment vertical="top"/>
    </xf>
    <xf numFmtId="49" fontId="6" fillId="5" borderId="2" xfId="1" applyNumberFormat="1" applyFont="1" applyFill="1" applyBorder="1" applyAlignment="1">
      <alignment vertical="top" wrapText="1"/>
    </xf>
    <xf numFmtId="0" fontId="6" fillId="5" borderId="2" xfId="1" applyFont="1" applyFill="1" applyBorder="1" applyAlignment="1">
      <alignment vertical="top"/>
    </xf>
    <xf numFmtId="0" fontId="6" fillId="5" borderId="2" xfId="0" applyFont="1" applyFill="1" applyBorder="1" applyAlignment="1">
      <alignment horizontal="left" vertical="top" wrapText="1"/>
    </xf>
    <xf numFmtId="0" fontId="6" fillId="3" borderId="4" xfId="0" applyFont="1" applyFill="1" applyBorder="1" applyAlignment="1">
      <alignment vertical="top" wrapText="1"/>
    </xf>
    <xf numFmtId="0" fontId="6" fillId="5" borderId="2" xfId="1" applyFont="1" applyFill="1" applyBorder="1" applyAlignment="1">
      <alignment horizontal="left" vertical="center"/>
    </xf>
    <xf numFmtId="0" fontId="6" fillId="11" borderId="2" xfId="0" applyFont="1" applyFill="1" applyBorder="1" applyAlignment="1">
      <alignment horizontal="left" vertical="center" wrapText="1"/>
    </xf>
    <xf numFmtId="0" fontId="6" fillId="4" borderId="2" xfId="0" applyFont="1" applyFill="1" applyBorder="1" applyAlignment="1">
      <alignment horizontal="left" vertical="center" wrapText="1"/>
    </xf>
    <xf numFmtId="0" fontId="6" fillId="3" borderId="4" xfId="0" applyFont="1" applyFill="1" applyBorder="1" applyAlignment="1">
      <alignment horizontal="left" vertical="center" wrapText="1"/>
    </xf>
    <xf numFmtId="0" fontId="6" fillId="5" borderId="6" xfId="0" applyFont="1" applyFill="1" applyBorder="1" applyAlignment="1">
      <alignment horizontal="center" vertical="center" wrapText="1"/>
    </xf>
    <xf numFmtId="0" fontId="6" fillId="5" borderId="7" xfId="0" applyFont="1" applyFill="1" applyBorder="1" applyAlignment="1">
      <alignment horizontal="center" vertical="center" wrapText="1"/>
    </xf>
    <xf numFmtId="0" fontId="6" fillId="5" borderId="7" xfId="0" applyFont="1" applyFill="1" applyBorder="1" applyAlignment="1">
      <alignment vertical="top" wrapText="1"/>
    </xf>
    <xf numFmtId="0" fontId="6" fillId="5" borderId="13" xfId="0" applyFont="1" applyFill="1" applyBorder="1" applyAlignment="1">
      <alignment vertical="top" wrapText="1"/>
    </xf>
    <xf numFmtId="0" fontId="6" fillId="0" borderId="8" xfId="0" applyFont="1" applyBorder="1" applyAlignment="1">
      <alignment horizontal="center" vertical="center" wrapText="1"/>
    </xf>
    <xf numFmtId="0" fontId="6" fillId="0" borderId="9" xfId="0" applyFont="1" applyBorder="1" applyAlignment="1">
      <alignment horizontal="center" vertical="center" wrapText="1"/>
    </xf>
    <xf numFmtId="0" fontId="6" fillId="0" borderId="10" xfId="0" applyFont="1" applyBorder="1" applyAlignment="1">
      <alignment horizontal="center" vertical="center"/>
    </xf>
    <xf numFmtId="0" fontId="6" fillId="0" borderId="10" xfId="0" applyFont="1" applyBorder="1" applyAlignment="1">
      <alignment horizontal="center" vertical="center" wrapText="1"/>
    </xf>
    <xf numFmtId="0" fontId="6" fillId="0" borderId="2" xfId="0" applyFont="1" applyBorder="1" applyAlignment="1">
      <alignment horizontal="left" vertical="top" wrapText="1"/>
    </xf>
    <xf numFmtId="0" fontId="6" fillId="0" borderId="10" xfId="0" applyFont="1" applyBorder="1" applyAlignment="1">
      <alignment horizontal="left" vertical="top" wrapText="1"/>
    </xf>
    <xf numFmtId="0" fontId="6" fillId="5" borderId="7" xfId="0" applyFont="1" applyFill="1" applyBorder="1" applyAlignment="1">
      <alignment horizontal="left" vertical="center" wrapText="1"/>
    </xf>
    <xf numFmtId="0" fontId="6" fillId="0" borderId="2" xfId="0" applyFont="1" applyBorder="1" applyAlignment="1">
      <alignment horizontal="left" vertical="center" wrapText="1"/>
    </xf>
    <xf numFmtId="0" fontId="6" fillId="0" borderId="10" xfId="0" applyFont="1" applyBorder="1" applyAlignment="1">
      <alignment horizontal="left" vertical="center" wrapText="1"/>
    </xf>
    <xf numFmtId="0" fontId="5" fillId="3" borderId="36" xfId="0" applyFont="1" applyFill="1" applyBorder="1" applyAlignment="1">
      <alignment vertical="center"/>
    </xf>
    <xf numFmtId="0" fontId="6" fillId="3" borderId="35" xfId="0" quotePrefix="1" applyFont="1" applyFill="1" applyBorder="1" applyAlignment="1">
      <alignment vertical="top" wrapText="1"/>
    </xf>
    <xf numFmtId="0" fontId="6" fillId="3" borderId="35" xfId="0" applyFont="1" applyFill="1" applyBorder="1" applyAlignment="1">
      <alignment horizontal="left" vertical="center" wrapText="1"/>
    </xf>
    <xf numFmtId="0" fontId="6" fillId="0" borderId="35" xfId="0" applyFont="1" applyBorder="1" applyAlignment="1">
      <alignment horizontal="left" vertical="center" wrapText="1"/>
    </xf>
    <xf numFmtId="0" fontId="3" fillId="0" borderId="0" xfId="0" applyFont="1" applyAlignment="1">
      <alignment horizontal="left" vertical="top" wrapText="1"/>
    </xf>
    <xf numFmtId="0" fontId="3" fillId="0" borderId="0" xfId="0" applyFont="1" applyAlignment="1">
      <alignment horizontal="left" vertical="top"/>
    </xf>
    <xf numFmtId="0" fontId="6" fillId="0" borderId="38" xfId="0" applyFont="1" applyBorder="1" applyAlignment="1">
      <alignment horizontal="left" vertical="center" wrapText="1"/>
    </xf>
    <xf numFmtId="0" fontId="6" fillId="10" borderId="38" xfId="0" applyFont="1" applyFill="1" applyBorder="1" applyAlignment="1">
      <alignment horizontal="center" vertical="center"/>
    </xf>
    <xf numFmtId="0" fontId="6" fillId="10" borderId="38" xfId="0" applyFont="1" applyFill="1" applyBorder="1" applyAlignment="1">
      <alignment vertical="center" wrapText="1"/>
    </xf>
    <xf numFmtId="0" fontId="6" fillId="0" borderId="35" xfId="0" applyFont="1" applyBorder="1" applyAlignment="1">
      <alignment horizontal="left" vertical="top" wrapText="1" shrinkToFit="1"/>
    </xf>
    <xf numFmtId="0" fontId="22" fillId="0" borderId="35" xfId="0" applyFont="1" applyBorder="1" applyAlignment="1">
      <alignment horizontal="left" vertical="top" wrapText="1"/>
    </xf>
    <xf numFmtId="0" fontId="5" fillId="0" borderId="0" xfId="0" applyFont="1" applyAlignment="1">
      <alignment horizontal="center" vertical="center"/>
    </xf>
    <xf numFmtId="0" fontId="6" fillId="0" borderId="0" xfId="0" applyFont="1" applyAlignment="1">
      <alignment vertical="center" wrapText="1"/>
    </xf>
    <xf numFmtId="0" fontId="6" fillId="0" borderId="0" xfId="0" applyFont="1" applyAlignment="1">
      <alignment horizontal="center" vertical="center"/>
    </xf>
    <xf numFmtId="0" fontId="6" fillId="0" borderId="0" xfId="0" applyFont="1" applyAlignment="1">
      <alignment vertical="top" wrapText="1"/>
    </xf>
    <xf numFmtId="0" fontId="5" fillId="0" borderId="35" xfId="0" applyFont="1" applyBorder="1" applyAlignment="1">
      <alignment vertical="top"/>
    </xf>
    <xf numFmtId="0" fontId="6" fillId="3" borderId="0" xfId="0" applyFont="1" applyFill="1" applyAlignment="1">
      <alignment vertical="top"/>
    </xf>
    <xf numFmtId="0" fontId="6" fillId="3" borderId="0" xfId="0" applyFont="1" applyFill="1" applyAlignment="1">
      <alignment wrapText="1"/>
    </xf>
    <xf numFmtId="0" fontId="5" fillId="10" borderId="3" xfId="0" applyFont="1" applyFill="1" applyBorder="1" applyAlignment="1">
      <alignment vertical="top" wrapText="1"/>
    </xf>
    <xf numFmtId="0" fontId="33" fillId="0" borderId="0" xfId="6" applyFont="1"/>
    <xf numFmtId="0" fontId="29" fillId="7" borderId="19" xfId="1" applyFont="1" applyFill="1" applyBorder="1" applyAlignment="1">
      <alignment horizontal="centerContinuous" vertical="center"/>
    </xf>
    <xf numFmtId="0" fontId="29" fillId="7" borderId="20" xfId="1" applyFont="1" applyFill="1" applyBorder="1" applyAlignment="1">
      <alignment horizontal="centerContinuous" vertical="center"/>
    </xf>
    <xf numFmtId="0" fontId="29" fillId="7" borderId="21" xfId="1" applyFont="1" applyFill="1" applyBorder="1" applyAlignment="1">
      <alignment horizontal="centerContinuous" vertical="center"/>
    </xf>
    <xf numFmtId="0" fontId="5" fillId="0" borderId="0" xfId="6"/>
    <xf numFmtId="0" fontId="33" fillId="0" borderId="43" xfId="6" applyFont="1" applyBorder="1"/>
    <xf numFmtId="0" fontId="33" fillId="0" borderId="44" xfId="6" applyFont="1" applyBorder="1"/>
    <xf numFmtId="0" fontId="33" fillId="0" borderId="45" xfId="6" quotePrefix="1" applyFont="1" applyBorder="1" applyAlignment="1">
      <alignment horizontal="center"/>
    </xf>
    <xf numFmtId="0" fontId="33" fillId="0" borderId="46" xfId="6" applyFont="1" applyBorder="1"/>
    <xf numFmtId="0" fontId="33" fillId="0" borderId="47" xfId="6" applyFont="1" applyBorder="1"/>
    <xf numFmtId="0" fontId="33" fillId="0" borderId="48" xfId="6" applyFont="1" applyBorder="1"/>
    <xf numFmtId="0" fontId="33" fillId="0" borderId="49" xfId="6" applyFont="1" applyBorder="1"/>
    <xf numFmtId="0" fontId="33" fillId="0" borderId="45" xfId="6" applyFont="1" applyBorder="1" applyAlignment="1">
      <alignment horizontal="center"/>
    </xf>
    <xf numFmtId="0" fontId="38" fillId="0" borderId="0" xfId="6" applyFont="1"/>
    <xf numFmtId="0" fontId="33" fillId="0" borderId="15" xfId="6" applyFont="1" applyBorder="1"/>
    <xf numFmtId="0" fontId="40" fillId="0" borderId="0" xfId="6" applyFont="1"/>
    <xf numFmtId="0" fontId="35" fillId="0" borderId="0" xfId="6" applyFont="1" applyAlignment="1">
      <alignment wrapText="1"/>
    </xf>
    <xf numFmtId="0" fontId="3" fillId="0" borderId="0" xfId="6" applyFont="1" applyAlignment="1">
      <alignment vertical="center" wrapText="1"/>
    </xf>
    <xf numFmtId="0" fontId="35" fillId="0" borderId="0" xfId="6" applyFont="1" applyAlignment="1">
      <alignment horizontal="center" vertical="center"/>
    </xf>
    <xf numFmtId="0" fontId="6" fillId="0" borderId="0" xfId="6" applyFont="1"/>
    <xf numFmtId="0" fontId="3" fillId="0" borderId="0" xfId="6" applyFont="1" applyAlignment="1">
      <alignment wrapText="1"/>
    </xf>
    <xf numFmtId="0" fontId="47" fillId="0" borderId="0" xfId="0" applyFont="1"/>
    <xf numFmtId="0" fontId="47" fillId="0" borderId="15" xfId="0" applyFont="1" applyBorder="1"/>
    <xf numFmtId="0" fontId="8" fillId="3" borderId="0" xfId="0" applyFont="1" applyFill="1" applyAlignment="1">
      <alignment horizontal="left" vertical="center"/>
    </xf>
    <xf numFmtId="0" fontId="49" fillId="3" borderId="0" xfId="0" applyFont="1" applyFill="1" applyAlignment="1">
      <alignment horizontal="left" vertical="center"/>
    </xf>
    <xf numFmtId="49" fontId="28" fillId="9" borderId="0" xfId="0" applyNumberFormat="1" applyFont="1" applyFill="1" applyAlignment="1">
      <alignment vertical="center"/>
    </xf>
    <xf numFmtId="49" fontId="28" fillId="9" borderId="0" xfId="0" applyNumberFormat="1" applyFont="1" applyFill="1" applyAlignment="1">
      <alignment horizontal="left" vertical="center"/>
    </xf>
    <xf numFmtId="0" fontId="49" fillId="0" borderId="0" xfId="0" applyFont="1" applyAlignment="1">
      <alignment horizontal="left" vertical="center"/>
    </xf>
    <xf numFmtId="0" fontId="49" fillId="5" borderId="0" xfId="0" applyFont="1" applyFill="1" applyAlignment="1">
      <alignment horizontal="left" vertical="center"/>
    </xf>
    <xf numFmtId="0" fontId="8" fillId="3" borderId="2" xfId="0" applyFont="1" applyFill="1" applyBorder="1" applyAlignment="1">
      <alignment horizontal="center" vertical="center" wrapText="1"/>
    </xf>
    <xf numFmtId="0" fontId="0" fillId="0" borderId="0" xfId="0" applyAlignment="1">
      <alignment horizontal="left" vertical="center"/>
    </xf>
    <xf numFmtId="0" fontId="5" fillId="10" borderId="0" xfId="0" applyFont="1" applyFill="1" applyAlignment="1">
      <alignment horizontal="left" vertical="center"/>
    </xf>
    <xf numFmtId="0" fontId="5" fillId="0" borderId="0" xfId="0" applyFont="1" applyAlignment="1">
      <alignment horizontal="left" vertical="center"/>
    </xf>
    <xf numFmtId="0" fontId="49" fillId="10" borderId="0" xfId="0" applyFont="1" applyFill="1" applyAlignment="1">
      <alignment horizontal="left" vertical="center"/>
    </xf>
    <xf numFmtId="0" fontId="8" fillId="0" borderId="0" xfId="0" applyFont="1" applyAlignment="1">
      <alignment horizontal="left" vertical="center"/>
    </xf>
    <xf numFmtId="0" fontId="8" fillId="10" borderId="0" xfId="0" applyFont="1" applyFill="1" applyAlignment="1">
      <alignment horizontal="left" vertical="center"/>
    </xf>
    <xf numFmtId="0" fontId="8" fillId="0" borderId="35" xfId="0" applyFont="1" applyBorder="1" applyAlignment="1">
      <alignment horizontal="center" vertical="center" wrapText="1"/>
    </xf>
    <xf numFmtId="0" fontId="8" fillId="3" borderId="2" xfId="0" applyFont="1" applyFill="1" applyBorder="1" applyAlignment="1">
      <alignment horizontal="left" vertical="center" wrapText="1"/>
    </xf>
    <xf numFmtId="0" fontId="8" fillId="10" borderId="35" xfId="0" applyFont="1" applyFill="1" applyBorder="1" applyAlignment="1">
      <alignment vertical="top" wrapText="1"/>
    </xf>
    <xf numFmtId="0" fontId="8" fillId="10" borderId="34" xfId="0" applyFont="1" applyFill="1" applyBorder="1" applyAlignment="1">
      <alignment horizontal="center" vertical="center" wrapText="1"/>
    </xf>
    <xf numFmtId="0" fontId="8" fillId="10" borderId="35" xfId="0" applyFont="1" applyFill="1" applyBorder="1" applyAlignment="1">
      <alignment horizontal="center" vertical="center" wrapText="1"/>
    </xf>
    <xf numFmtId="0" fontId="8" fillId="10" borderId="35" xfId="0" applyFont="1" applyFill="1" applyBorder="1" applyAlignment="1">
      <alignment horizontal="left" vertical="top" wrapText="1"/>
    </xf>
    <xf numFmtId="0" fontId="8" fillId="10" borderId="35" xfId="0" applyFont="1" applyFill="1" applyBorder="1" applyAlignment="1">
      <alignment horizontal="left" vertical="center" wrapText="1"/>
    </xf>
    <xf numFmtId="0" fontId="49" fillId="10" borderId="36" xfId="0" applyFont="1" applyFill="1" applyBorder="1" applyAlignment="1">
      <alignment horizontal="left" vertical="center" wrapText="1"/>
    </xf>
    <xf numFmtId="0" fontId="8" fillId="5" borderId="1" xfId="0" applyFont="1" applyFill="1" applyBorder="1" applyAlignment="1">
      <alignment horizontal="center" vertical="center" wrapText="1"/>
    </xf>
    <xf numFmtId="0" fontId="8" fillId="5" borderId="2" xfId="0" applyFont="1" applyFill="1" applyBorder="1" applyAlignment="1">
      <alignment horizontal="left" vertical="center" wrapText="1"/>
    </xf>
    <xf numFmtId="0" fontId="8" fillId="5" borderId="2" xfId="0" applyFont="1" applyFill="1" applyBorder="1" applyAlignment="1">
      <alignment horizontal="center" vertical="center" wrapText="1"/>
    </xf>
    <xf numFmtId="0" fontId="8" fillId="5" borderId="2" xfId="0" applyFont="1" applyFill="1" applyBorder="1" applyAlignment="1">
      <alignment vertical="top" wrapText="1"/>
    </xf>
    <xf numFmtId="0" fontId="49" fillId="5" borderId="3" xfId="0" applyFont="1" applyFill="1" applyBorder="1" applyAlignment="1">
      <alignment horizontal="left" vertical="top" wrapText="1"/>
    </xf>
    <xf numFmtId="0" fontId="8" fillId="10" borderId="35" xfId="0" applyFont="1" applyFill="1" applyBorder="1" applyAlignment="1">
      <alignment vertical="center" wrapText="1"/>
    </xf>
    <xf numFmtId="0" fontId="8" fillId="10" borderId="35" xfId="0" quotePrefix="1" applyFont="1" applyFill="1" applyBorder="1" applyAlignment="1">
      <alignment horizontal="center" vertical="center" wrapText="1"/>
    </xf>
    <xf numFmtId="0" fontId="49" fillId="10" borderId="35" xfId="0" applyFont="1" applyFill="1" applyBorder="1" applyAlignment="1">
      <alignment horizontal="left" vertical="top" wrapText="1"/>
    </xf>
    <xf numFmtId="0" fontId="28" fillId="9" borderId="0" xfId="1" applyFont="1" applyFill="1" applyAlignment="1">
      <alignment vertical="center"/>
    </xf>
    <xf numFmtId="0" fontId="28" fillId="9" borderId="22" xfId="1" applyFont="1" applyFill="1" applyBorder="1" applyAlignment="1">
      <alignment horizontal="left" vertical="center"/>
    </xf>
    <xf numFmtId="0" fontId="8" fillId="0" borderId="2" xfId="0" applyFont="1" applyBorder="1" applyAlignment="1">
      <alignment horizontal="left" vertical="top" wrapText="1"/>
    </xf>
    <xf numFmtId="0" fontId="47" fillId="0" borderId="0" xfId="0" applyFont="1" applyAlignment="1">
      <alignment horizontal="right"/>
    </xf>
    <xf numFmtId="0" fontId="28" fillId="9" borderId="23" xfId="1" applyFont="1" applyFill="1" applyBorder="1" applyAlignment="1">
      <alignment horizontal="center" vertical="center"/>
    </xf>
    <xf numFmtId="0" fontId="28" fillId="9" borderId="0" xfId="1" applyFont="1" applyFill="1" applyAlignment="1">
      <alignment horizontal="center" vertical="center"/>
    </xf>
    <xf numFmtId="0" fontId="28" fillId="9" borderId="22" xfId="1" applyFont="1" applyFill="1" applyBorder="1" applyAlignment="1">
      <alignment horizontal="center" vertical="center"/>
    </xf>
    <xf numFmtId="49" fontId="28" fillId="9" borderId="23" xfId="1" applyNumberFormat="1" applyFont="1" applyFill="1" applyBorder="1" applyAlignment="1">
      <alignment horizontal="center" vertical="center"/>
    </xf>
    <xf numFmtId="49" fontId="28" fillId="9" borderId="0" xfId="1" applyNumberFormat="1" applyFont="1" applyFill="1" applyAlignment="1">
      <alignment horizontal="center" vertical="center"/>
    </xf>
    <xf numFmtId="49" fontId="28" fillId="9" borderId="15" xfId="1" applyNumberFormat="1" applyFont="1" applyFill="1" applyBorder="1" applyAlignment="1">
      <alignment horizontal="center" vertical="center"/>
    </xf>
    <xf numFmtId="14" fontId="28" fillId="9" borderId="0" xfId="1" applyNumberFormat="1" applyFont="1" applyFill="1" applyAlignment="1">
      <alignment horizontal="center" vertical="center"/>
    </xf>
    <xf numFmtId="14" fontId="28" fillId="9" borderId="22" xfId="1" applyNumberFormat="1" applyFont="1" applyFill="1" applyBorder="1" applyAlignment="1">
      <alignment horizontal="center" vertical="center"/>
    </xf>
    <xf numFmtId="177" fontId="28" fillId="9" borderId="23" xfId="1" applyNumberFormat="1" applyFont="1" applyFill="1" applyBorder="1" applyAlignment="1">
      <alignment horizontal="center" vertical="center"/>
    </xf>
    <xf numFmtId="177" fontId="28" fillId="9" borderId="22" xfId="1" applyNumberFormat="1" applyFont="1" applyFill="1" applyBorder="1" applyAlignment="1">
      <alignment horizontal="center" vertical="center"/>
    </xf>
    <xf numFmtId="0" fontId="28" fillId="9" borderId="15" xfId="1" applyFont="1" applyFill="1" applyBorder="1" applyAlignment="1">
      <alignment horizontal="center" vertical="center"/>
    </xf>
    <xf numFmtId="0" fontId="8" fillId="3" borderId="35" xfId="0" applyFont="1" applyFill="1" applyBorder="1" applyAlignment="1">
      <alignment horizontal="center" vertical="center" wrapText="1"/>
    </xf>
    <xf numFmtId="0" fontId="49" fillId="3" borderId="38" xfId="0" applyFont="1" applyFill="1" applyBorder="1" applyAlignment="1">
      <alignment horizontal="left" vertical="center" wrapText="1"/>
    </xf>
    <xf numFmtId="0" fontId="47" fillId="3" borderId="0" xfId="0" applyFont="1" applyFill="1"/>
    <xf numFmtId="0" fontId="47" fillId="0" borderId="0" xfId="0" applyFont="1" applyAlignment="1">
      <alignment horizontal="left"/>
    </xf>
    <xf numFmtId="0" fontId="47" fillId="0" borderId="0" xfId="0" quotePrefix="1" applyFont="1" applyAlignment="1">
      <alignment horizontal="left"/>
    </xf>
    <xf numFmtId="0" fontId="48" fillId="0" borderId="0" xfId="0" applyFont="1"/>
    <xf numFmtId="0" fontId="51" fillId="0" borderId="0" xfId="0" applyFont="1"/>
    <xf numFmtId="0" fontId="6" fillId="0" borderId="0" xfId="1" applyFont="1" applyAlignment="1">
      <alignment horizontal="right" vertical="center"/>
    </xf>
    <xf numFmtId="0" fontId="47" fillId="0" borderId="0" xfId="0" quotePrefix="1" applyFont="1" applyAlignment="1">
      <alignment horizontal="right"/>
    </xf>
    <xf numFmtId="0" fontId="52" fillId="0" borderId="0" xfId="0" applyFont="1"/>
    <xf numFmtId="6" fontId="47" fillId="0" borderId="0" xfId="0" quotePrefix="1" applyNumberFormat="1" applyFont="1" applyAlignment="1">
      <alignment horizontal="left"/>
    </xf>
    <xf numFmtId="6" fontId="17" fillId="0" borderId="0" xfId="0" quotePrefix="1" applyNumberFormat="1" applyFont="1" applyAlignment="1">
      <alignment horizontal="left"/>
    </xf>
    <xf numFmtId="0" fontId="47" fillId="0" borderId="0" xfId="0" quotePrefix="1" applyFont="1"/>
    <xf numFmtId="0" fontId="28" fillId="9" borderId="28" xfId="1" applyFont="1" applyFill="1" applyBorder="1" applyAlignment="1">
      <alignment horizontal="centerContinuous" vertical="center"/>
    </xf>
    <xf numFmtId="0" fontId="28" fillId="0" borderId="29" xfId="1" applyFont="1" applyBorder="1" applyAlignment="1">
      <alignment vertical="center"/>
    </xf>
    <xf numFmtId="49" fontId="8" fillId="3" borderId="2" xfId="1" applyNumberFormat="1" applyFont="1" applyFill="1" applyBorder="1" applyAlignment="1">
      <alignment horizontal="center" vertical="center" wrapText="1"/>
    </xf>
    <xf numFmtId="0" fontId="8" fillId="3" borderId="2" xfId="0" applyFont="1" applyFill="1" applyBorder="1" applyAlignment="1">
      <alignment vertical="top" wrapText="1"/>
    </xf>
    <xf numFmtId="0" fontId="50" fillId="3" borderId="0" xfId="0" applyFont="1" applyFill="1"/>
    <xf numFmtId="0" fontId="50" fillId="0" borderId="0" xfId="0" applyFont="1"/>
    <xf numFmtId="0" fontId="8" fillId="3" borderId="35" xfId="0" applyFont="1" applyFill="1" applyBorder="1" applyAlignment="1">
      <alignment horizontal="left" vertical="top" wrapText="1"/>
    </xf>
    <xf numFmtId="0" fontId="17" fillId="0" borderId="15" xfId="0" applyFont="1" applyBorder="1"/>
    <xf numFmtId="0" fontId="17" fillId="0" borderId="0" xfId="0" applyFont="1"/>
    <xf numFmtId="0" fontId="47" fillId="0" borderId="15" xfId="0" applyFont="1" applyBorder="1" applyAlignment="1">
      <alignment horizontal="left"/>
    </xf>
    <xf numFmtId="0" fontId="47" fillId="0" borderId="50" xfId="0" applyFont="1" applyBorder="1" applyAlignment="1">
      <alignment horizontal="left"/>
    </xf>
    <xf numFmtId="0" fontId="47" fillId="0" borderId="17" xfId="0" applyFont="1" applyBorder="1"/>
    <xf numFmtId="0" fontId="47" fillId="0" borderId="23" xfId="0" applyFont="1" applyBorder="1" applyAlignment="1">
      <alignment horizontal="left"/>
    </xf>
    <xf numFmtId="0" fontId="47" fillId="0" borderId="23" xfId="0" applyFont="1" applyBorder="1"/>
    <xf numFmtId="0" fontId="54" fillId="0" borderId="0" xfId="0" applyFont="1"/>
    <xf numFmtId="0" fontId="49" fillId="3" borderId="36" xfId="0" applyFont="1" applyFill="1" applyBorder="1" applyAlignment="1">
      <alignment wrapText="1"/>
    </xf>
    <xf numFmtId="0" fontId="5" fillId="0" borderId="0" xfId="6" applyAlignment="1">
      <alignment vertical="center"/>
    </xf>
    <xf numFmtId="0" fontId="55" fillId="0" borderId="0" xfId="6" applyFont="1" applyAlignment="1">
      <alignment vertical="center"/>
    </xf>
    <xf numFmtId="0" fontId="33" fillId="0" borderId="0" xfId="6" applyFont="1" applyAlignment="1">
      <alignment horizontal="center" vertical="center"/>
    </xf>
    <xf numFmtId="0" fontId="33" fillId="0" borderId="0" xfId="6" applyFont="1" applyAlignment="1">
      <alignment vertical="center"/>
    </xf>
    <xf numFmtId="0" fontId="5" fillId="0" borderId="15" xfId="6" applyBorder="1"/>
    <xf numFmtId="0" fontId="33" fillId="0" borderId="0" xfId="6" applyFont="1" applyAlignment="1">
      <alignment horizontal="left" vertical="center"/>
    </xf>
    <xf numFmtId="0" fontId="6" fillId="3" borderId="0" xfId="1" applyFont="1" applyFill="1" applyAlignment="1">
      <alignment vertical="center"/>
    </xf>
    <xf numFmtId="49" fontId="6" fillId="3" borderId="0" xfId="1" applyNumberFormat="1" applyFont="1" applyFill="1" applyAlignment="1">
      <alignment vertical="center"/>
    </xf>
    <xf numFmtId="0" fontId="56" fillId="0" borderId="0" xfId="6" applyFont="1" applyAlignment="1">
      <alignment horizontal="center" vertical="center"/>
    </xf>
    <xf numFmtId="14" fontId="33" fillId="0" borderId="0" xfId="6" applyNumberFormat="1" applyFont="1" applyAlignment="1">
      <alignment horizontal="center" vertical="center"/>
    </xf>
    <xf numFmtId="178" fontId="33" fillId="0" borderId="0" xfId="6" applyNumberFormat="1" applyFont="1" applyAlignment="1">
      <alignment horizontal="center" vertical="center"/>
    </xf>
    <xf numFmtId="0" fontId="45" fillId="0" borderId="0" xfId="6" applyFont="1" applyAlignment="1">
      <alignment vertical="center"/>
    </xf>
    <xf numFmtId="0" fontId="33" fillId="0" borderId="55" xfId="6" applyFont="1" applyBorder="1" applyAlignment="1">
      <alignment horizontal="left" vertical="center"/>
    </xf>
    <xf numFmtId="0" fontId="33" fillId="0" borderId="46" xfId="6" applyFont="1" applyBorder="1" applyAlignment="1">
      <alignment vertical="center"/>
    </xf>
    <xf numFmtId="0" fontId="33" fillId="0" borderId="47" xfId="6" applyFont="1" applyBorder="1" applyAlignment="1">
      <alignment vertical="center"/>
    </xf>
    <xf numFmtId="0" fontId="33" fillId="0" borderId="48" xfId="6" applyFont="1" applyBorder="1" applyAlignment="1">
      <alignment vertical="center"/>
    </xf>
    <xf numFmtId="0" fontId="33" fillId="0" borderId="56" xfId="6" applyFont="1" applyBorder="1" applyAlignment="1">
      <alignment horizontal="left" vertical="center"/>
    </xf>
    <xf numFmtId="0" fontId="33" fillId="0" borderId="47" xfId="6" applyFont="1" applyBorder="1" applyAlignment="1">
      <alignment horizontal="left" vertical="center"/>
    </xf>
    <xf numFmtId="0" fontId="33" fillId="0" borderId="48" xfId="6" applyFont="1" applyBorder="1" applyAlignment="1">
      <alignment horizontal="left" vertical="center"/>
    </xf>
    <xf numFmtId="0" fontId="33" fillId="0" borderId="26" xfId="6" applyFont="1" applyBorder="1" applyAlignment="1">
      <alignment vertical="center"/>
    </xf>
    <xf numFmtId="0" fontId="33" fillId="0" borderId="27" xfId="6" applyFont="1" applyBorder="1" applyAlignment="1">
      <alignment vertical="center"/>
    </xf>
    <xf numFmtId="0" fontId="33" fillId="0" borderId="30" xfId="6" applyFont="1" applyBorder="1" applyAlignment="1">
      <alignment vertical="center"/>
    </xf>
    <xf numFmtId="0" fontId="43" fillId="0" borderId="47" xfId="6" applyFont="1" applyBorder="1" applyAlignment="1">
      <alignment horizontal="left" vertical="center"/>
    </xf>
    <xf numFmtId="0" fontId="8" fillId="0" borderId="0" xfId="1" applyFont="1" applyAlignment="1">
      <alignment vertical="center"/>
    </xf>
    <xf numFmtId="0" fontId="33" fillId="0" borderId="58" xfId="6" applyFont="1" applyBorder="1" applyAlignment="1">
      <alignment horizontal="left" vertical="center"/>
    </xf>
    <xf numFmtId="0" fontId="33" fillId="0" borderId="49" xfId="6" applyFont="1" applyBorder="1" applyAlignment="1">
      <alignment horizontal="left" vertical="center"/>
    </xf>
    <xf numFmtId="0" fontId="33" fillId="0" borderId="49" xfId="6" applyFont="1" applyBorder="1" applyAlignment="1">
      <alignment vertical="center"/>
    </xf>
    <xf numFmtId="0" fontId="33" fillId="0" borderId="49" xfId="6" applyFont="1" applyBorder="1" applyAlignment="1">
      <alignment horizontal="center" vertical="center"/>
    </xf>
    <xf numFmtId="0" fontId="33" fillId="0" borderId="0" xfId="6" applyFont="1" applyAlignment="1">
      <alignment horizontal="center" vertical="center" textRotation="255"/>
    </xf>
    <xf numFmtId="0" fontId="45" fillId="0" borderId="0" xfId="6" applyFont="1"/>
    <xf numFmtId="0" fontId="33" fillId="0" borderId="0" xfId="6" applyFont="1" applyAlignment="1">
      <alignment horizontal="center"/>
    </xf>
    <xf numFmtId="0" fontId="38" fillId="0" borderId="0" xfId="6" applyFont="1" applyAlignment="1">
      <alignment horizontal="center"/>
    </xf>
    <xf numFmtId="0" fontId="34" fillId="0" borderId="0" xfId="6" applyFont="1"/>
    <xf numFmtId="0" fontId="6" fillId="22" borderId="0" xfId="6" applyFont="1" applyFill="1" applyAlignment="1">
      <alignment vertical="center"/>
    </xf>
    <xf numFmtId="0" fontId="58" fillId="0" borderId="0" xfId="6" applyFont="1" applyAlignment="1">
      <alignment vertical="center" shrinkToFit="1"/>
    </xf>
    <xf numFmtId="0" fontId="33" fillId="8" borderId="26" xfId="6" applyFont="1" applyFill="1" applyBorder="1" applyAlignment="1">
      <alignment horizontal="center" vertical="center"/>
    </xf>
    <xf numFmtId="0" fontId="33" fillId="0" borderId="26" xfId="6" applyFont="1" applyBorder="1" applyAlignment="1">
      <alignment horizontal="center" vertical="center"/>
    </xf>
    <xf numFmtId="0" fontId="33" fillId="0" borderId="59" xfId="6" applyFont="1" applyBorder="1" applyAlignment="1">
      <alignment horizontal="center" vertical="center"/>
    </xf>
    <xf numFmtId="0" fontId="5" fillId="0" borderId="27" xfId="6" applyBorder="1"/>
    <xf numFmtId="0" fontId="33" fillId="0" borderId="60" xfId="6" applyFont="1" applyBorder="1" applyAlignment="1">
      <alignment vertical="center"/>
    </xf>
    <xf numFmtId="0" fontId="33" fillId="0" borderId="47" xfId="6" applyFont="1" applyBorder="1" applyAlignment="1">
      <alignment horizontal="center" vertical="center"/>
    </xf>
    <xf numFmtId="0" fontId="5" fillId="0" borderId="27" xfId="6" applyBorder="1" applyAlignment="1">
      <alignment horizontal="center" vertical="center"/>
    </xf>
    <xf numFmtId="0" fontId="58" fillId="0" borderId="27" xfId="6" applyFont="1" applyBorder="1" applyAlignment="1">
      <alignment vertical="center" shrinkToFit="1"/>
    </xf>
    <xf numFmtId="0" fontId="58" fillId="0" borderId="30" xfId="6" applyFont="1" applyBorder="1" applyAlignment="1">
      <alignment vertical="center" shrinkToFit="1"/>
    </xf>
    <xf numFmtId="0" fontId="33" fillId="8" borderId="45" xfId="6" applyFont="1" applyFill="1" applyBorder="1" applyAlignment="1">
      <alignment horizontal="center" vertical="center"/>
    </xf>
    <xf numFmtId="0" fontId="33" fillId="0" borderId="45" xfId="6" applyFont="1" applyBorder="1" applyAlignment="1">
      <alignment horizontal="center" vertical="center"/>
    </xf>
    <xf numFmtId="0" fontId="33" fillId="0" borderId="47" xfId="6" applyFont="1" applyBorder="1" applyAlignment="1">
      <alignment vertical="center" wrapText="1"/>
    </xf>
    <xf numFmtId="0" fontId="33" fillId="0" borderId="27" xfId="6" applyFont="1" applyBorder="1" applyAlignment="1">
      <alignment vertical="center" wrapText="1"/>
    </xf>
    <xf numFmtId="0" fontId="33" fillId="0" borderId="27" xfId="6" applyFont="1" applyBorder="1" applyAlignment="1">
      <alignment horizontal="center" vertical="center"/>
    </xf>
    <xf numFmtId="0" fontId="49" fillId="0" borderId="0" xfId="6" applyFont="1"/>
    <xf numFmtId="0" fontId="33" fillId="0" borderId="15" xfId="6" applyFont="1" applyBorder="1" applyAlignment="1">
      <alignment vertical="center"/>
    </xf>
    <xf numFmtId="0" fontId="33" fillId="0" borderId="54" xfId="6" applyFont="1" applyBorder="1" applyAlignment="1">
      <alignment vertical="center"/>
    </xf>
    <xf numFmtId="0" fontId="5" fillId="0" borderId="0" xfId="6" applyAlignment="1">
      <alignment horizontal="center" vertical="center"/>
    </xf>
    <xf numFmtId="0" fontId="58" fillId="0" borderId="15" xfId="6" applyFont="1" applyBorder="1" applyAlignment="1">
      <alignment vertical="center" shrinkToFit="1"/>
    </xf>
    <xf numFmtId="0" fontId="35" fillId="0" borderId="0" xfId="4" applyFont="1" applyAlignment="1">
      <alignment vertical="center" wrapText="1"/>
    </xf>
    <xf numFmtId="0" fontId="33" fillId="0" borderId="0" xfId="4" applyFont="1" applyAlignment="1">
      <alignment vertical="center"/>
    </xf>
    <xf numFmtId="0" fontId="33" fillId="8" borderId="64" xfId="6" applyFont="1" applyFill="1" applyBorder="1" applyAlignment="1">
      <alignment horizontal="center" vertical="center"/>
    </xf>
    <xf numFmtId="0" fontId="33" fillId="0" borderId="64" xfId="6" applyFont="1" applyBorder="1" applyAlignment="1">
      <alignment vertical="center"/>
    </xf>
    <xf numFmtId="0" fontId="33" fillId="0" borderId="24" xfId="6" applyFont="1" applyBorder="1" applyAlignment="1">
      <alignment vertical="center"/>
    </xf>
    <xf numFmtId="0" fontId="33" fillId="0" borderId="65" xfId="6" applyFont="1" applyBorder="1" applyAlignment="1">
      <alignment vertical="center"/>
    </xf>
    <xf numFmtId="0" fontId="33" fillId="0" borderId="64" xfId="6" applyFont="1" applyBorder="1" applyAlignment="1">
      <alignment horizontal="center" vertical="center"/>
    </xf>
    <xf numFmtId="0" fontId="43" fillId="0" borderId="64" xfId="6" applyFont="1" applyBorder="1" applyAlignment="1">
      <alignment vertical="center"/>
    </xf>
    <xf numFmtId="0" fontId="59" fillId="0" borderId="24" xfId="6" applyFont="1" applyBorder="1" applyAlignment="1">
      <alignment vertical="center"/>
    </xf>
    <xf numFmtId="0" fontId="33" fillId="0" borderId="66" xfId="6" applyFont="1" applyBorder="1" applyAlignment="1">
      <alignment vertical="center"/>
    </xf>
    <xf numFmtId="0" fontId="33" fillId="0" borderId="24" xfId="6" applyFont="1" applyBorder="1" applyAlignment="1">
      <alignment horizontal="center" vertical="center"/>
    </xf>
    <xf numFmtId="0" fontId="5" fillId="0" borderId="24" xfId="6" applyBorder="1" applyAlignment="1">
      <alignment horizontal="center" vertical="center"/>
    </xf>
    <xf numFmtId="0" fontId="58" fillId="0" borderId="24" xfId="6" applyFont="1" applyBorder="1" applyAlignment="1">
      <alignment vertical="center" shrinkToFit="1"/>
    </xf>
    <xf numFmtId="0" fontId="58" fillId="0" borderId="65" xfId="6" applyFont="1" applyBorder="1" applyAlignment="1">
      <alignment vertical="center" shrinkToFit="1"/>
    </xf>
    <xf numFmtId="0" fontId="33" fillId="0" borderId="0" xfId="4" applyFont="1" applyAlignment="1">
      <alignment vertical="center" wrapText="1"/>
    </xf>
    <xf numFmtId="0" fontId="33" fillId="0" borderId="0" xfId="6" applyFont="1" applyAlignment="1">
      <alignment vertical="top" wrapText="1"/>
    </xf>
    <xf numFmtId="0" fontId="35" fillId="0" borderId="0" xfId="6" applyFont="1" applyAlignment="1">
      <alignment vertical="top" wrapText="1"/>
    </xf>
    <xf numFmtId="0" fontId="35" fillId="0" borderId="51" xfId="6" applyFont="1" applyBorder="1" applyAlignment="1">
      <alignment vertical="top" wrapText="1"/>
    </xf>
    <xf numFmtId="0" fontId="33" fillId="0" borderId="24" xfId="4" applyFont="1" applyBorder="1" applyAlignment="1">
      <alignment vertical="center"/>
    </xf>
    <xf numFmtId="0" fontId="33" fillId="0" borderId="24" xfId="6" applyFont="1" applyBorder="1" applyAlignment="1">
      <alignment vertical="top" wrapText="1"/>
    </xf>
    <xf numFmtId="0" fontId="35" fillId="0" borderId="24" xfId="6" applyFont="1" applyBorder="1" applyAlignment="1">
      <alignment vertical="top" wrapText="1"/>
    </xf>
    <xf numFmtId="0" fontId="35" fillId="0" borderId="67" xfId="6" applyFont="1" applyBorder="1" applyAlignment="1">
      <alignment vertical="top" wrapText="1"/>
    </xf>
    <xf numFmtId="0" fontId="33" fillId="8" borderId="46" xfId="6" applyFont="1" applyFill="1" applyBorder="1" applyAlignment="1">
      <alignment horizontal="center" vertical="center"/>
    </xf>
    <xf numFmtId="0" fontId="33" fillId="0" borderId="46" xfId="6" applyFont="1" applyBorder="1" applyAlignment="1">
      <alignment horizontal="center" vertical="center"/>
    </xf>
    <xf numFmtId="0" fontId="33" fillId="0" borderId="0" xfId="6" applyFont="1" applyAlignment="1">
      <alignment vertical="center" wrapText="1"/>
    </xf>
    <xf numFmtId="0" fontId="33" fillId="0" borderId="68" xfId="6" applyFont="1" applyBorder="1" applyAlignment="1">
      <alignment horizontal="center" vertical="center"/>
    </xf>
    <xf numFmtId="0" fontId="43" fillId="0" borderId="0" xfId="4" applyFont="1" applyAlignment="1">
      <alignment vertical="center"/>
    </xf>
    <xf numFmtId="0" fontId="33" fillId="0" borderId="24" xfId="6" applyFont="1" applyBorder="1" applyAlignment="1">
      <alignment vertical="center" wrapText="1"/>
    </xf>
    <xf numFmtId="0" fontId="58" fillId="0" borderId="26" xfId="6" applyFont="1" applyBorder="1" applyAlignment="1">
      <alignment vertical="center"/>
    </xf>
    <xf numFmtId="0" fontId="58" fillId="0" borderId="64" xfId="6" applyFont="1" applyBorder="1" applyAlignment="1">
      <alignment vertical="center"/>
    </xf>
    <xf numFmtId="0" fontId="6" fillId="0" borderId="0" xfId="6" applyFont="1" applyAlignment="1">
      <alignment horizontal="left" vertical="center"/>
    </xf>
    <xf numFmtId="0" fontId="6" fillId="0" borderId="0" xfId="6" applyFont="1" applyAlignment="1">
      <alignment horizontal="center"/>
    </xf>
    <xf numFmtId="0" fontId="33" fillId="0" borderId="0" xfId="6" quotePrefix="1" applyFont="1" applyAlignment="1">
      <alignment vertical="center"/>
    </xf>
    <xf numFmtId="0" fontId="6" fillId="0" borderId="0" xfId="6" applyFont="1" applyAlignment="1">
      <alignment horizontal="left"/>
    </xf>
    <xf numFmtId="0" fontId="6" fillId="0" borderId="0" xfId="6" applyFont="1" applyAlignment="1">
      <alignment vertical="center"/>
    </xf>
    <xf numFmtId="0" fontId="33" fillId="0" borderId="0" xfId="6" applyFont="1" applyAlignment="1">
      <alignment horizontal="left"/>
    </xf>
    <xf numFmtId="0" fontId="33" fillId="0" borderId="0" xfId="6" quotePrefix="1" applyFont="1"/>
    <xf numFmtId="0" fontId="33" fillId="0" borderId="0" xfId="4" applyFont="1" applyAlignment="1">
      <alignment horizontal="left" vertical="center"/>
    </xf>
    <xf numFmtId="0" fontId="33" fillId="0" borderId="0" xfId="4" applyFont="1" applyAlignment="1">
      <alignment horizontal="center" vertical="center"/>
    </xf>
    <xf numFmtId="0" fontId="6" fillId="0" borderId="0" xfId="4" applyAlignment="1">
      <alignment vertical="center"/>
    </xf>
    <xf numFmtId="0" fontId="33" fillId="0" borderId="49" xfId="6" applyFont="1" applyBorder="1" applyAlignment="1">
      <alignment vertical="center" wrapText="1"/>
    </xf>
    <xf numFmtId="0" fontId="4" fillId="0" borderId="0" xfId="6" applyFont="1"/>
    <xf numFmtId="0" fontId="31" fillId="0" borderId="0" xfId="6" applyFont="1" applyAlignment="1">
      <alignment vertical="center"/>
    </xf>
    <xf numFmtId="0" fontId="0" fillId="0" borderId="0" xfId="6" applyFont="1" applyAlignment="1">
      <alignment vertical="center"/>
    </xf>
    <xf numFmtId="0" fontId="61" fillId="0" borderId="0" xfId="6" applyFont="1"/>
    <xf numFmtId="0" fontId="0" fillId="0" borderId="0" xfId="6" applyFont="1"/>
    <xf numFmtId="0" fontId="53" fillId="0" borderId="0" xfId="6" applyFont="1"/>
    <xf numFmtId="0" fontId="62" fillId="0" borderId="0" xfId="6" applyFont="1"/>
    <xf numFmtId="0" fontId="63" fillId="0" borderId="0" xfId="6" applyFont="1"/>
    <xf numFmtId="0" fontId="40" fillId="0" borderId="0" xfId="6" applyFont="1" applyAlignment="1">
      <alignment vertical="center"/>
    </xf>
    <xf numFmtId="0" fontId="59" fillId="0" borderId="0" xfId="6" applyFont="1" applyAlignment="1">
      <alignment horizontal="left" vertical="center"/>
    </xf>
    <xf numFmtId="0" fontId="59" fillId="0" borderId="0" xfId="6" applyFont="1" applyAlignment="1">
      <alignment vertical="center"/>
    </xf>
    <xf numFmtId="0" fontId="43" fillId="0" borderId="0" xfId="6" applyFont="1" applyAlignment="1">
      <alignment vertical="center"/>
    </xf>
    <xf numFmtId="0" fontId="43" fillId="0" borderId="0" xfId="6" applyFont="1" applyAlignment="1">
      <alignment horizontal="left" vertical="center"/>
    </xf>
    <xf numFmtId="0" fontId="43" fillId="0" borderId="0" xfId="6" applyFont="1" applyAlignment="1">
      <alignment horizontal="center" vertical="center"/>
    </xf>
    <xf numFmtId="0" fontId="3" fillId="3" borderId="0" xfId="1" applyFont="1" applyFill="1" applyAlignment="1">
      <alignment vertical="center"/>
    </xf>
    <xf numFmtId="0" fontId="50" fillId="0" borderId="0" xfId="0" applyFont="1" applyAlignment="1">
      <alignment horizontal="right"/>
    </xf>
    <xf numFmtId="0" fontId="28" fillId="9" borderId="29" xfId="1" applyFont="1" applyFill="1" applyBorder="1" applyAlignment="1">
      <alignment horizontal="center" vertical="center"/>
    </xf>
    <xf numFmtId="0" fontId="28" fillId="9" borderId="27" xfId="1" applyFont="1" applyFill="1" applyBorder="1" applyAlignment="1">
      <alignment horizontal="center" vertical="center"/>
    </xf>
    <xf numFmtId="0" fontId="28" fillId="9" borderId="28" xfId="1" applyFont="1" applyFill="1" applyBorder="1" applyAlignment="1">
      <alignment horizontal="center" vertical="center"/>
    </xf>
    <xf numFmtId="0" fontId="43" fillId="0" borderId="60" xfId="6" applyFont="1" applyBorder="1" applyAlignment="1">
      <alignment vertical="center"/>
    </xf>
    <xf numFmtId="0" fontId="43" fillId="0" borderId="54" xfId="6" applyFont="1" applyBorder="1" applyAlignment="1">
      <alignment vertical="center"/>
    </xf>
    <xf numFmtId="0" fontId="43" fillId="0" borderId="66" xfId="6" applyFont="1" applyBorder="1" applyAlignment="1">
      <alignment vertical="center"/>
    </xf>
    <xf numFmtId="0" fontId="43" fillId="0" borderId="27" xfId="6" applyFont="1" applyBorder="1" applyAlignment="1">
      <alignment vertical="center"/>
    </xf>
    <xf numFmtId="0" fontId="65" fillId="0" borderId="0" xfId="6" applyFont="1"/>
    <xf numFmtId="49" fontId="28" fillId="9" borderId="27" xfId="1" applyNumberFormat="1" applyFont="1" applyFill="1" applyBorder="1" applyAlignment="1">
      <alignment vertical="center"/>
    </xf>
    <xf numFmtId="49" fontId="28" fillId="9" borderId="27" xfId="4" applyNumberFormat="1" applyFont="1" applyFill="1" applyBorder="1" applyAlignment="1">
      <alignment vertical="center"/>
    </xf>
    <xf numFmtId="49" fontId="28" fillId="9" borderId="27" xfId="4" applyNumberFormat="1" applyFont="1" applyFill="1" applyBorder="1" applyAlignment="1">
      <alignment horizontal="left" vertical="center"/>
    </xf>
    <xf numFmtId="49" fontId="28" fillId="9" borderId="28" xfId="1" applyNumberFormat="1" applyFont="1" applyFill="1" applyBorder="1" applyAlignment="1">
      <alignment vertical="center"/>
    </xf>
    <xf numFmtId="49" fontId="28" fillId="9" borderId="29" xfId="1" applyNumberFormat="1" applyFont="1" applyFill="1" applyBorder="1" applyAlignment="1">
      <alignment horizontal="centerContinuous" vertical="center"/>
    </xf>
    <xf numFmtId="49" fontId="28" fillId="9" borderId="27" xfId="1" applyNumberFormat="1" applyFont="1" applyFill="1" applyBorder="1" applyAlignment="1">
      <alignment horizontal="centerContinuous" vertical="center"/>
    </xf>
    <xf numFmtId="49" fontId="28" fillId="9" borderId="30" xfId="1" applyNumberFormat="1" applyFont="1" applyFill="1" applyBorder="1" applyAlignment="1">
      <alignment horizontal="centerContinuous" vertical="center"/>
    </xf>
    <xf numFmtId="0" fontId="49" fillId="0" borderId="0" xfId="0" applyFont="1"/>
    <xf numFmtId="0" fontId="43" fillId="0" borderId="54" xfId="6" quotePrefix="1" applyFont="1" applyBorder="1" applyAlignment="1">
      <alignment vertical="center"/>
    </xf>
    <xf numFmtId="49" fontId="6" fillId="5" borderId="2" xfId="1" applyNumberFormat="1" applyFont="1" applyFill="1" applyBorder="1" applyAlignment="1">
      <alignment horizontal="center" vertical="center" wrapText="1"/>
    </xf>
    <xf numFmtId="0" fontId="6" fillId="5" borderId="4" xfId="0" applyFont="1" applyFill="1" applyBorder="1" applyAlignment="1">
      <alignment horizontal="center" vertical="center" wrapText="1"/>
    </xf>
    <xf numFmtId="0" fontId="49" fillId="0" borderId="0" xfId="0" applyFont="1" applyAlignment="1">
      <alignment vertical="center"/>
    </xf>
    <xf numFmtId="0" fontId="6" fillId="3" borderId="2" xfId="0" applyFont="1" applyFill="1" applyBorder="1" applyAlignment="1">
      <alignment vertical="center" wrapText="1"/>
    </xf>
    <xf numFmtId="0" fontId="8" fillId="0" borderId="0" xfId="0" applyFont="1" applyAlignment="1">
      <alignment vertical="center"/>
    </xf>
    <xf numFmtId="0" fontId="28" fillId="0" borderId="23" xfId="1" applyFont="1" applyBorder="1" applyAlignment="1">
      <alignment vertical="center"/>
    </xf>
    <xf numFmtId="0" fontId="50" fillId="0" borderId="0" xfId="0" quotePrefix="1" applyFont="1" applyAlignment="1">
      <alignment horizontal="right"/>
    </xf>
    <xf numFmtId="0" fontId="52" fillId="24" borderId="0" xfId="0" applyFont="1" applyFill="1" applyAlignment="1">
      <alignment shrinkToFit="1"/>
    </xf>
    <xf numFmtId="0" fontId="47" fillId="0" borderId="0" xfId="0" applyFont="1" applyAlignment="1">
      <alignment shrinkToFit="1"/>
    </xf>
    <xf numFmtId="0" fontId="50" fillId="3" borderId="0" xfId="0" applyFont="1" applyFill="1" applyAlignment="1">
      <alignment shrinkToFit="1"/>
    </xf>
    <xf numFmtId="0" fontId="52" fillId="24" borderId="0" xfId="0" applyFont="1" applyFill="1"/>
    <xf numFmtId="0" fontId="66" fillId="0" borderId="0" xfId="0" applyFont="1"/>
    <xf numFmtId="0" fontId="47" fillId="24" borderId="0" xfId="0" applyFont="1" applyFill="1"/>
    <xf numFmtId="0" fontId="47" fillId="24" borderId="0" xfId="0" applyFont="1" applyFill="1" applyAlignment="1">
      <alignment horizontal="right"/>
    </xf>
    <xf numFmtId="0" fontId="48" fillId="24" borderId="0" xfId="0" applyFont="1" applyFill="1"/>
    <xf numFmtId="0" fontId="8" fillId="0" borderId="0" xfId="1" quotePrefix="1" applyFont="1" applyAlignment="1">
      <alignment horizontal="right" vertical="center"/>
    </xf>
    <xf numFmtId="0" fontId="50" fillId="0" borderId="15" xfId="0" applyFont="1" applyBorder="1"/>
    <xf numFmtId="9" fontId="47" fillId="0" borderId="0" xfId="0" applyNumberFormat="1" applyFont="1"/>
    <xf numFmtId="6" fontId="47" fillId="0" borderId="0" xfId="0" applyNumberFormat="1" applyFont="1"/>
    <xf numFmtId="6" fontId="47" fillId="0" borderId="0" xfId="0" quotePrefix="1" applyNumberFormat="1" applyFont="1"/>
    <xf numFmtId="0" fontId="47" fillId="0" borderId="24" xfId="0" applyFont="1" applyBorder="1"/>
    <xf numFmtId="0" fontId="47" fillId="0" borderId="24" xfId="0" applyFont="1" applyBorder="1" applyAlignment="1">
      <alignment horizontal="left"/>
    </xf>
    <xf numFmtId="9" fontId="47" fillId="0" borderId="24" xfId="0" applyNumberFormat="1" applyFont="1" applyBorder="1"/>
    <xf numFmtId="6" fontId="47" fillId="0" borderId="24" xfId="0" applyNumberFormat="1" applyFont="1" applyBorder="1"/>
    <xf numFmtId="6" fontId="47" fillId="0" borderId="24" xfId="0" quotePrefix="1" applyNumberFormat="1" applyFont="1" applyBorder="1"/>
    <xf numFmtId="0" fontId="47" fillId="0" borderId="27" xfId="0" applyFont="1" applyBorder="1"/>
    <xf numFmtId="0" fontId="47" fillId="0" borderId="27" xfId="0" applyFont="1" applyBorder="1" applyAlignment="1">
      <alignment horizontal="left"/>
    </xf>
    <xf numFmtId="9" fontId="47" fillId="0" borderId="27" xfId="0" applyNumberFormat="1" applyFont="1" applyBorder="1"/>
    <xf numFmtId="6" fontId="47" fillId="0" borderId="27" xfId="0" applyNumberFormat="1" applyFont="1" applyBorder="1"/>
    <xf numFmtId="6" fontId="47" fillId="0" borderId="27" xfId="0" quotePrefix="1" applyNumberFormat="1" applyFont="1" applyBorder="1"/>
    <xf numFmtId="0" fontId="50" fillId="3" borderId="15" xfId="0" applyFont="1" applyFill="1" applyBorder="1"/>
    <xf numFmtId="0" fontId="67" fillId="0" borderId="15" xfId="0" applyFont="1" applyBorder="1"/>
    <xf numFmtId="0" fontId="47" fillId="6" borderId="15" xfId="0" applyFont="1" applyFill="1" applyBorder="1"/>
    <xf numFmtId="0" fontId="47" fillId="6" borderId="0" xfId="0" applyFont="1" applyFill="1"/>
    <xf numFmtId="0" fontId="50" fillId="6" borderId="15" xfId="0" applyFont="1" applyFill="1" applyBorder="1"/>
    <xf numFmtId="0" fontId="50" fillId="6" borderId="0" xfId="0" applyFont="1" applyFill="1"/>
    <xf numFmtId="0" fontId="67" fillId="6" borderId="15" xfId="0" applyFont="1" applyFill="1" applyBorder="1"/>
    <xf numFmtId="0" fontId="47" fillId="6" borderId="0" xfId="0" applyFont="1" applyFill="1" applyAlignment="1">
      <alignment horizontal="right"/>
    </xf>
    <xf numFmtId="0" fontId="47" fillId="6" borderId="0" xfId="0" quotePrefix="1" applyFont="1" applyFill="1"/>
    <xf numFmtId="0" fontId="50" fillId="0" borderId="0" xfId="0" quotePrefix="1" applyFont="1"/>
    <xf numFmtId="0" fontId="47" fillId="16" borderId="0" xfId="0" applyFont="1" applyFill="1"/>
    <xf numFmtId="0" fontId="47" fillId="16" borderId="0" xfId="0" applyFont="1" applyFill="1" applyAlignment="1">
      <alignment horizontal="left"/>
    </xf>
    <xf numFmtId="9" fontId="47" fillId="16" borderId="0" xfId="0" applyNumberFormat="1" applyFont="1" applyFill="1"/>
    <xf numFmtId="179" fontId="47" fillId="16" borderId="0" xfId="0" applyNumberFormat="1" applyFont="1" applyFill="1"/>
    <xf numFmtId="6" fontId="47" fillId="16" borderId="0" xfId="0" applyNumberFormat="1" applyFont="1" applyFill="1"/>
    <xf numFmtId="6" fontId="47" fillId="16" borderId="0" xfId="0" quotePrefix="1" applyNumberFormat="1" applyFont="1" applyFill="1"/>
    <xf numFmtId="179" fontId="47" fillId="0" borderId="0" xfId="0" applyNumberFormat="1" applyFont="1"/>
    <xf numFmtId="0" fontId="17" fillId="3" borderId="0" xfId="0" applyFont="1" applyFill="1"/>
    <xf numFmtId="0" fontId="47" fillId="25" borderId="27" xfId="0" applyFont="1" applyFill="1" applyBorder="1"/>
    <xf numFmtId="0" fontId="47" fillId="25" borderId="27" xfId="0" applyFont="1" applyFill="1" applyBorder="1" applyAlignment="1">
      <alignment horizontal="left"/>
    </xf>
    <xf numFmtId="0" fontId="47" fillId="25" borderId="47" xfId="0" applyFont="1" applyFill="1" applyBorder="1" applyAlignment="1">
      <alignment horizontal="left"/>
    </xf>
    <xf numFmtId="0" fontId="47" fillId="25" borderId="47" xfId="0" quotePrefix="1" applyFont="1" applyFill="1" applyBorder="1" applyAlignment="1">
      <alignment horizontal="left"/>
    </xf>
    <xf numFmtId="0" fontId="47" fillId="0" borderId="27" xfId="0" applyFont="1" applyBorder="1" applyAlignment="1">
      <alignment horizontal="right"/>
    </xf>
    <xf numFmtId="9" fontId="47" fillId="0" borderId="0" xfId="0" applyNumberFormat="1" applyFont="1" applyAlignment="1">
      <alignment horizontal="right" shrinkToFit="1"/>
    </xf>
    <xf numFmtId="0" fontId="47" fillId="25" borderId="0" xfId="0" applyFont="1" applyFill="1"/>
    <xf numFmtId="0" fontId="47" fillId="25" borderId="0" xfId="0" applyFont="1" applyFill="1" applyAlignment="1">
      <alignment horizontal="left"/>
    </xf>
    <xf numFmtId="0" fontId="47" fillId="25" borderId="24" xfId="0" applyFont="1" applyFill="1" applyBorder="1" applyAlignment="1">
      <alignment horizontal="left"/>
    </xf>
    <xf numFmtId="0" fontId="47" fillId="25" borderId="24" xfId="0" quotePrefix="1" applyFont="1" applyFill="1" applyBorder="1" applyAlignment="1">
      <alignment horizontal="left"/>
    </xf>
    <xf numFmtId="6" fontId="47" fillId="0" borderId="27" xfId="0" quotePrefix="1" applyNumberFormat="1" applyFont="1" applyBorder="1" applyAlignment="1">
      <alignment shrinkToFit="1"/>
    </xf>
    <xf numFmtId="0" fontId="47" fillId="0" borderId="27" xfId="0" quotePrefix="1" applyFont="1" applyBorder="1" applyAlignment="1">
      <alignment horizontal="left"/>
    </xf>
    <xf numFmtId="6" fontId="47" fillId="0" borderId="0" xfId="0" applyNumberFormat="1" applyFont="1" applyAlignment="1">
      <alignment shrinkToFit="1"/>
    </xf>
    <xf numFmtId="9" fontId="47" fillId="0" borderId="0" xfId="0" applyNumberFormat="1" applyFont="1" applyAlignment="1">
      <alignment shrinkToFit="1"/>
    </xf>
    <xf numFmtId="5" fontId="47" fillId="0" borderId="0" xfId="0" applyNumberFormat="1" applyFont="1"/>
    <xf numFmtId="6" fontId="47" fillId="0" borderId="0" xfId="0" quotePrefix="1" applyNumberFormat="1" applyFont="1" applyAlignment="1">
      <alignment shrinkToFit="1"/>
    </xf>
    <xf numFmtId="0" fontId="68" fillId="0" borderId="0" xfId="0" applyFont="1"/>
    <xf numFmtId="0" fontId="17" fillId="3" borderId="0" xfId="0" applyFont="1" applyFill="1" applyAlignment="1">
      <alignment horizontal="right"/>
    </xf>
    <xf numFmtId="0" fontId="47" fillId="0" borderId="70" xfId="0" applyFont="1" applyBorder="1"/>
    <xf numFmtId="0" fontId="47" fillId="0" borderId="70" xfId="0" applyFont="1" applyBorder="1" applyAlignment="1">
      <alignment horizontal="left"/>
    </xf>
    <xf numFmtId="6" fontId="47" fillId="0" borderId="70" xfId="0" quotePrefix="1" applyNumberFormat="1" applyFont="1" applyBorder="1" applyAlignment="1">
      <alignment shrinkToFit="1"/>
    </xf>
    <xf numFmtId="0" fontId="47" fillId="0" borderId="70" xfId="0" quotePrefix="1" applyFont="1" applyBorder="1" applyAlignment="1">
      <alignment horizontal="left"/>
    </xf>
    <xf numFmtId="0" fontId="47" fillId="0" borderId="71" xfId="0" applyFont="1" applyBorder="1"/>
    <xf numFmtId="0" fontId="47" fillId="0" borderId="71" xfId="0" applyFont="1" applyBorder="1" applyAlignment="1">
      <alignment horizontal="left"/>
    </xf>
    <xf numFmtId="9" fontId="47" fillId="0" borderId="71" xfId="0" applyNumberFormat="1" applyFont="1" applyBorder="1" applyAlignment="1">
      <alignment shrinkToFit="1"/>
    </xf>
    <xf numFmtId="0" fontId="47" fillId="0" borderId="71" xfId="0" quotePrefix="1" applyFont="1" applyBorder="1" applyAlignment="1">
      <alignment horizontal="left"/>
    </xf>
    <xf numFmtId="9" fontId="47" fillId="0" borderId="71" xfId="0" applyNumberFormat="1" applyFont="1" applyBorder="1" applyAlignment="1">
      <alignment horizontal="right" shrinkToFit="1"/>
    </xf>
    <xf numFmtId="0" fontId="28" fillId="0" borderId="0" xfId="7" applyFont="1">
      <alignment vertical="center"/>
    </xf>
    <xf numFmtId="0" fontId="71" fillId="0" borderId="0" xfId="1" applyFont="1" applyAlignment="1">
      <alignment vertical="center"/>
    </xf>
    <xf numFmtId="0" fontId="28" fillId="13" borderId="74" xfId="7" applyFont="1" applyFill="1" applyBorder="1" applyAlignment="1">
      <alignment horizontal="center" vertical="center" wrapText="1"/>
    </xf>
    <xf numFmtId="0" fontId="28" fillId="25" borderId="15" xfId="7" applyFont="1" applyFill="1" applyBorder="1" applyAlignment="1">
      <alignment horizontal="center" vertical="center" wrapText="1"/>
    </xf>
    <xf numFmtId="0" fontId="28" fillId="26" borderId="75" xfId="7" applyFont="1" applyFill="1" applyBorder="1">
      <alignment vertical="center"/>
    </xf>
    <xf numFmtId="0" fontId="28" fillId="5" borderId="75" xfId="7" applyFont="1" applyFill="1" applyBorder="1" applyAlignment="1">
      <alignment horizontal="center" vertical="center" wrapText="1"/>
    </xf>
    <xf numFmtId="0" fontId="73" fillId="13" borderId="75" xfId="7" applyFont="1" applyFill="1" applyBorder="1" applyAlignment="1">
      <alignment horizontal="center" vertical="center" wrapText="1"/>
    </xf>
    <xf numFmtId="0" fontId="28" fillId="25" borderId="76" xfId="7" applyFont="1" applyFill="1" applyBorder="1">
      <alignment vertical="center"/>
    </xf>
    <xf numFmtId="0" fontId="28" fillId="26" borderId="74" xfId="7" applyFont="1" applyFill="1" applyBorder="1">
      <alignment vertical="center"/>
    </xf>
    <xf numFmtId="0" fontId="28" fillId="5" borderId="74" xfId="7" applyFont="1" applyFill="1" applyBorder="1" applyAlignment="1">
      <alignment horizontal="center" vertical="center" wrapText="1"/>
    </xf>
    <xf numFmtId="0" fontId="28" fillId="25" borderId="72" xfId="7" applyFont="1" applyFill="1" applyBorder="1">
      <alignment vertical="center"/>
    </xf>
    <xf numFmtId="0" fontId="73" fillId="20" borderId="75" xfId="7" applyFont="1" applyFill="1" applyBorder="1" applyAlignment="1">
      <alignment horizontal="center" vertical="center" wrapText="1"/>
    </xf>
    <xf numFmtId="0" fontId="28" fillId="20" borderId="74" xfId="7" applyFont="1" applyFill="1" applyBorder="1" applyAlignment="1">
      <alignment horizontal="center" vertical="center" wrapText="1"/>
    </xf>
    <xf numFmtId="0" fontId="28" fillId="26" borderId="76" xfId="7" applyFont="1" applyFill="1" applyBorder="1">
      <alignment vertical="center"/>
    </xf>
    <xf numFmtId="0" fontId="73" fillId="27" borderId="78" xfId="7" applyFont="1" applyFill="1" applyBorder="1" applyAlignment="1">
      <alignment horizontal="center" vertical="center" wrapText="1"/>
    </xf>
    <xf numFmtId="0" fontId="73" fillId="27" borderId="75" xfId="7" applyFont="1" applyFill="1" applyBorder="1" applyAlignment="1">
      <alignment horizontal="center" vertical="center" wrapText="1"/>
    </xf>
    <xf numFmtId="0" fontId="28" fillId="26" borderId="72" xfId="7" applyFont="1" applyFill="1" applyBorder="1">
      <alignment vertical="center"/>
    </xf>
    <xf numFmtId="0" fontId="28" fillId="27" borderId="74" xfId="7" applyFont="1" applyFill="1" applyBorder="1" applyAlignment="1">
      <alignment horizontal="center" vertical="center" wrapText="1"/>
    </xf>
    <xf numFmtId="0" fontId="28" fillId="26" borderId="15" xfId="7" applyFont="1" applyFill="1" applyBorder="1">
      <alignment vertical="center"/>
    </xf>
    <xf numFmtId="0" fontId="28" fillId="25" borderId="80" xfId="7" applyFont="1" applyFill="1" applyBorder="1">
      <alignment vertical="center"/>
    </xf>
    <xf numFmtId="0" fontId="73" fillId="27" borderId="81" xfId="7" applyFont="1" applyFill="1" applyBorder="1" applyAlignment="1">
      <alignment horizontal="center" vertical="center" wrapText="1"/>
    </xf>
    <xf numFmtId="0" fontId="28" fillId="25" borderId="15" xfId="7" applyFont="1" applyFill="1" applyBorder="1">
      <alignment vertical="center"/>
    </xf>
    <xf numFmtId="0" fontId="28" fillId="26" borderId="0" xfId="7" applyFont="1" applyFill="1">
      <alignment vertical="center"/>
    </xf>
    <xf numFmtId="0" fontId="73" fillId="20" borderId="77" xfId="7" applyFont="1" applyFill="1" applyBorder="1" applyAlignment="1">
      <alignment horizontal="center" vertical="center" wrapText="1"/>
    </xf>
    <xf numFmtId="0" fontId="28" fillId="25" borderId="0" xfId="7" applyFont="1" applyFill="1">
      <alignment vertical="center"/>
    </xf>
    <xf numFmtId="0" fontId="28" fillId="26" borderId="77" xfId="7" applyFont="1" applyFill="1" applyBorder="1">
      <alignment vertical="center"/>
    </xf>
    <xf numFmtId="0" fontId="35" fillId="16" borderId="82" xfId="6" applyFont="1" applyFill="1" applyBorder="1" applyAlignment="1">
      <alignment horizontal="center" vertical="center"/>
    </xf>
    <xf numFmtId="0" fontId="43" fillId="16" borderId="82" xfId="6" applyFont="1" applyFill="1" applyBorder="1" applyAlignment="1">
      <alignment horizontal="center" vertical="center"/>
    </xf>
    <xf numFmtId="0" fontId="35" fillId="0" borderId="83" xfId="6" applyFont="1" applyBorder="1" applyAlignment="1">
      <alignment horizontal="left"/>
    </xf>
    <xf numFmtId="0" fontId="3" fillId="0" borderId="83" xfId="6" applyFont="1" applyBorder="1" applyAlignment="1">
      <alignment vertical="center"/>
    </xf>
    <xf numFmtId="0" fontId="35" fillId="0" borderId="83" xfId="6" applyFont="1" applyBorder="1" applyAlignment="1">
      <alignment horizontal="center" vertical="center"/>
    </xf>
    <xf numFmtId="0" fontId="35" fillId="0" borderId="84" xfId="6" applyFont="1" applyBorder="1" applyAlignment="1">
      <alignment horizontal="center" vertical="center"/>
    </xf>
    <xf numFmtId="0" fontId="35" fillId="14" borderId="85" xfId="6" applyFont="1" applyFill="1" applyBorder="1" applyAlignment="1">
      <alignment horizontal="center" vertical="center"/>
    </xf>
    <xf numFmtId="0" fontId="42" fillId="14" borderId="85" xfId="6" applyFont="1" applyFill="1" applyBorder="1" applyAlignment="1">
      <alignment horizontal="center" vertical="center"/>
    </xf>
    <xf numFmtId="0" fontId="33" fillId="0" borderId="86" xfId="6" applyFont="1" applyBorder="1"/>
    <xf numFmtId="0" fontId="33" fillId="0" borderId="87" xfId="6" applyFont="1" applyBorder="1"/>
    <xf numFmtId="0" fontId="47" fillId="0" borderId="86" xfId="0" applyFont="1" applyBorder="1"/>
    <xf numFmtId="0" fontId="47" fillId="0" borderId="86" xfId="0" quotePrefix="1" applyFont="1" applyBorder="1" applyAlignment="1">
      <alignment horizontal="left"/>
    </xf>
    <xf numFmtId="0" fontId="47" fillId="0" borderId="86" xfId="0" quotePrefix="1" applyFont="1" applyBorder="1"/>
    <xf numFmtId="0" fontId="47" fillId="6" borderId="86" xfId="0" applyFont="1" applyFill="1" applyBorder="1"/>
    <xf numFmtId="0" fontId="5" fillId="0" borderId="86" xfId="6" applyBorder="1" applyAlignment="1">
      <alignment vertical="center"/>
    </xf>
    <xf numFmtId="0" fontId="33" fillId="0" borderId="86" xfId="6" applyFont="1" applyBorder="1" applyAlignment="1">
      <alignment vertical="center"/>
    </xf>
    <xf numFmtId="0" fontId="33" fillId="8" borderId="87" xfId="6" applyFont="1" applyFill="1" applyBorder="1" applyAlignment="1">
      <alignment horizontal="center" vertical="center" textRotation="255"/>
    </xf>
    <xf numFmtId="0" fontId="5" fillId="0" borderId="86" xfId="6" applyBorder="1"/>
    <xf numFmtId="0" fontId="6" fillId="22" borderId="86" xfId="6" applyFont="1" applyFill="1" applyBorder="1" applyAlignment="1">
      <alignment vertical="center"/>
    </xf>
    <xf numFmtId="0" fontId="33" fillId="8" borderId="86" xfId="6" applyFont="1" applyFill="1" applyBorder="1" applyAlignment="1">
      <alignment horizontal="center" vertical="center"/>
    </xf>
    <xf numFmtId="0" fontId="33" fillId="0" borderId="86" xfId="6" applyFont="1" applyBorder="1" applyAlignment="1">
      <alignment horizontal="center" vertical="center"/>
    </xf>
    <xf numFmtId="0" fontId="43" fillId="0" borderId="86" xfId="6" applyFont="1" applyBorder="1" applyAlignment="1">
      <alignment vertical="center"/>
    </xf>
    <xf numFmtId="0" fontId="33" fillId="0" borderId="86" xfId="4" applyFont="1" applyBorder="1" applyAlignment="1">
      <alignment vertical="center"/>
    </xf>
    <xf numFmtId="0" fontId="33" fillId="0" borderId="86" xfId="4" applyFont="1" applyBorder="1" applyAlignment="1">
      <alignment vertical="center" wrapText="1"/>
    </xf>
    <xf numFmtId="0" fontId="33" fillId="0" borderId="87" xfId="6" applyFont="1" applyBorder="1" applyAlignment="1">
      <alignment horizontal="center" vertical="center"/>
    </xf>
    <xf numFmtId="0" fontId="43" fillId="0" borderId="86" xfId="4" applyFont="1" applyBorder="1" applyAlignment="1">
      <alignment vertical="center"/>
    </xf>
    <xf numFmtId="0" fontId="58" fillId="0" borderId="86" xfId="6" applyFont="1" applyBorder="1" applyAlignment="1">
      <alignment vertical="center"/>
    </xf>
    <xf numFmtId="0" fontId="6" fillId="0" borderId="86" xfId="6" applyFont="1" applyBorder="1"/>
    <xf numFmtId="0" fontId="28" fillId="25" borderId="86" xfId="7" applyFont="1" applyFill="1" applyBorder="1" applyAlignment="1">
      <alignment horizontal="center" vertical="center"/>
    </xf>
    <xf numFmtId="0" fontId="28" fillId="25" borderId="87" xfId="7" applyFont="1" applyFill="1" applyBorder="1" applyAlignment="1">
      <alignment horizontal="center" vertical="center" wrapText="1"/>
    </xf>
    <xf numFmtId="0" fontId="28" fillId="5" borderId="87" xfId="7" applyFont="1" applyFill="1" applyBorder="1" applyAlignment="1">
      <alignment horizontal="center" vertical="center" wrapText="1"/>
    </xf>
    <xf numFmtId="0" fontId="28" fillId="26" borderId="87" xfId="7" applyFont="1" applyFill="1" applyBorder="1">
      <alignment vertical="center"/>
    </xf>
    <xf numFmtId="0" fontId="28" fillId="26" borderId="86" xfId="7" applyFont="1" applyFill="1" applyBorder="1">
      <alignment vertical="center"/>
    </xf>
    <xf numFmtId="0" fontId="28" fillId="20" borderId="87" xfId="7" applyFont="1" applyFill="1" applyBorder="1" applyAlignment="1">
      <alignment horizontal="center" vertical="center" wrapText="1"/>
    </xf>
    <xf numFmtId="0" fontId="28" fillId="13" borderId="87" xfId="7" applyFont="1" applyFill="1" applyBorder="1" applyAlignment="1">
      <alignment horizontal="center" vertical="center" wrapText="1"/>
    </xf>
    <xf numFmtId="0" fontId="28" fillId="13" borderId="86" xfId="7" applyFont="1" applyFill="1" applyBorder="1" applyAlignment="1">
      <alignment horizontal="center" vertical="center" wrapText="1"/>
    </xf>
    <xf numFmtId="0" fontId="6" fillId="0" borderId="86" xfId="4" applyBorder="1"/>
    <xf numFmtId="0" fontId="28" fillId="0" borderId="86" xfId="1" applyFont="1" applyBorder="1" applyAlignment="1">
      <alignment horizontal="left" vertical="center"/>
    </xf>
    <xf numFmtId="14" fontId="28" fillId="9" borderId="86" xfId="1" applyNumberFormat="1" applyFont="1" applyFill="1" applyBorder="1" applyAlignment="1">
      <alignment horizontal="left" vertical="center"/>
    </xf>
    <xf numFmtId="14" fontId="28" fillId="9" borderId="86" xfId="1" applyNumberFormat="1" applyFont="1" applyFill="1" applyBorder="1" applyAlignment="1">
      <alignment horizontal="center" vertical="center"/>
    </xf>
    <xf numFmtId="49" fontId="6" fillId="0" borderId="86" xfId="1" applyNumberFormat="1" applyFont="1" applyBorder="1" applyAlignment="1">
      <alignment vertical="center"/>
    </xf>
    <xf numFmtId="0" fontId="33" fillId="0" borderId="89" xfId="6" applyFont="1" applyBorder="1" applyAlignment="1">
      <alignment horizontal="left" vertical="center"/>
    </xf>
    <xf numFmtId="0" fontId="33" fillId="0" borderId="90" xfId="6" applyFont="1" applyBorder="1" applyAlignment="1">
      <alignment horizontal="left" vertical="center"/>
    </xf>
    <xf numFmtId="0" fontId="33" fillId="0" borderId="89" xfId="6" applyFont="1" applyBorder="1" applyAlignment="1">
      <alignment vertical="center"/>
    </xf>
    <xf numFmtId="0" fontId="33" fillId="0" borderId="90" xfId="6" applyFont="1" applyBorder="1" applyAlignment="1">
      <alignment vertical="center"/>
    </xf>
    <xf numFmtId="0" fontId="28" fillId="25" borderId="91" xfId="7" applyFont="1" applyFill="1" applyBorder="1" applyAlignment="1">
      <alignment horizontal="center" vertical="center" wrapText="1"/>
    </xf>
    <xf numFmtId="0" fontId="79" fillId="3" borderId="3" xfId="0" applyFont="1" applyFill="1" applyBorder="1" applyAlignment="1">
      <alignment horizontal="left" vertical="top" wrapText="1"/>
    </xf>
    <xf numFmtId="0" fontId="33" fillId="0" borderId="91" xfId="6" applyFont="1" applyBorder="1" applyAlignment="1">
      <alignment horizontal="center"/>
    </xf>
    <xf numFmtId="0" fontId="33" fillId="0" borderId="90" xfId="6" applyFont="1" applyBorder="1"/>
    <xf numFmtId="0" fontId="33" fillId="0" borderId="89" xfId="6" applyFont="1" applyBorder="1"/>
    <xf numFmtId="0" fontId="33" fillId="0" borderId="92" xfId="6" applyFont="1" applyBorder="1" applyAlignment="1">
      <alignment horizontal="center" vertical="center"/>
    </xf>
    <xf numFmtId="0" fontId="28" fillId="8" borderId="93" xfId="1" applyFont="1" applyFill="1" applyBorder="1" applyAlignment="1">
      <alignment vertical="center"/>
    </xf>
    <xf numFmtId="0" fontId="28" fillId="8" borderId="93" xfId="1" applyFont="1" applyFill="1" applyBorder="1" applyAlignment="1">
      <alignment horizontal="left" vertical="center"/>
    </xf>
    <xf numFmtId="0" fontId="6" fillId="0" borderId="94" xfId="0" applyFont="1" applyBorder="1" applyAlignment="1">
      <alignment horizontal="center" vertical="center" wrapText="1"/>
    </xf>
    <xf numFmtId="0" fontId="6" fillId="0" borderId="95" xfId="0" applyFont="1" applyBorder="1" applyAlignment="1">
      <alignment horizontal="left" vertical="center" wrapText="1"/>
    </xf>
    <xf numFmtId="0" fontId="6" fillId="0" borderId="95" xfId="0" applyFont="1" applyBorder="1" applyAlignment="1">
      <alignment horizontal="center" vertical="center" wrapText="1"/>
    </xf>
    <xf numFmtId="0" fontId="6" fillId="0" borderId="95" xfId="0" applyFont="1" applyBorder="1" applyAlignment="1">
      <alignment horizontal="left" vertical="top" wrapText="1"/>
    </xf>
    <xf numFmtId="0" fontId="6" fillId="0" borderId="95" xfId="3" applyFont="1" applyBorder="1" applyAlignment="1">
      <alignment horizontal="center" vertical="center" wrapText="1"/>
    </xf>
    <xf numFmtId="0" fontId="6" fillId="0" borderId="95" xfId="0" applyFont="1" applyBorder="1" applyAlignment="1">
      <alignment horizontal="left" vertical="top"/>
    </xf>
    <xf numFmtId="0" fontId="6" fillId="10" borderId="94" xfId="0" applyFont="1" applyFill="1" applyBorder="1" applyAlignment="1">
      <alignment horizontal="center" vertical="center" wrapText="1"/>
    </xf>
    <xf numFmtId="0" fontId="6" fillId="10" borderId="95" xfId="0" applyFont="1" applyFill="1" applyBorder="1" applyAlignment="1">
      <alignment vertical="center" wrapText="1"/>
    </xf>
    <xf numFmtId="0" fontId="6" fillId="10" borderId="95" xfId="0" applyFont="1" applyFill="1" applyBorder="1" applyAlignment="1">
      <alignment horizontal="center" vertical="center" wrapText="1"/>
    </xf>
    <xf numFmtId="0" fontId="6" fillId="10" borderId="95" xfId="0" applyFont="1" applyFill="1" applyBorder="1" applyAlignment="1">
      <alignment vertical="top" wrapText="1"/>
    </xf>
    <xf numFmtId="0" fontId="22" fillId="10" borderId="95" xfId="0" applyFont="1" applyFill="1" applyBorder="1" applyAlignment="1">
      <alignment horizontal="center" vertical="center"/>
    </xf>
    <xf numFmtId="0" fontId="6" fillId="10" borderId="95" xfId="3" applyFont="1" applyFill="1" applyBorder="1" applyAlignment="1">
      <alignment horizontal="center" vertical="center" wrapText="1"/>
    </xf>
    <xf numFmtId="0" fontId="5" fillId="10" borderId="96" xfId="0" applyFont="1" applyFill="1" applyBorder="1" applyAlignment="1">
      <alignment vertical="top" wrapText="1"/>
    </xf>
    <xf numFmtId="0" fontId="6" fillId="0" borderId="95" xfId="0" applyFont="1" applyBorder="1" applyAlignment="1">
      <alignment vertical="center" wrapText="1"/>
    </xf>
    <xf numFmtId="0" fontId="6" fillId="0" borderId="95" xfId="0" applyFont="1" applyBorder="1" applyAlignment="1">
      <alignment vertical="top" wrapText="1"/>
    </xf>
    <xf numFmtId="0" fontId="22" fillId="0" borderId="95" xfId="0" applyFont="1" applyBorder="1" applyAlignment="1">
      <alignment horizontal="center" vertical="center"/>
    </xf>
    <xf numFmtId="0" fontId="5" fillId="0" borderId="96" xfId="0" applyFont="1" applyBorder="1" applyAlignment="1">
      <alignment vertical="top"/>
    </xf>
    <xf numFmtId="0" fontId="5" fillId="10" borderId="95" xfId="0" applyFont="1" applyFill="1" applyBorder="1" applyAlignment="1">
      <alignment vertical="top" wrapText="1"/>
    </xf>
    <xf numFmtId="0" fontId="6" fillId="0" borderId="97" xfId="0" applyFont="1" applyBorder="1" applyAlignment="1">
      <alignment vertical="center" wrapText="1"/>
    </xf>
    <xf numFmtId="0" fontId="6" fillId="0" borderId="97" xfId="0" applyFont="1" applyBorder="1" applyAlignment="1">
      <alignment horizontal="center" vertical="center" wrapText="1"/>
    </xf>
    <xf numFmtId="0" fontId="6" fillId="0" borderId="97" xfId="0" applyFont="1" applyBorder="1" applyAlignment="1">
      <alignment horizontal="center" vertical="center"/>
    </xf>
    <xf numFmtId="0" fontId="6" fillId="0" borderId="97" xfId="0" applyFont="1" applyBorder="1" applyAlignment="1">
      <alignment vertical="top" wrapText="1"/>
    </xf>
    <xf numFmtId="0" fontId="5" fillId="0" borderId="98" xfId="0" applyFont="1" applyBorder="1" applyAlignment="1">
      <alignment vertical="top"/>
    </xf>
    <xf numFmtId="0" fontId="6" fillId="10" borderId="95" xfId="0" quotePrefix="1" applyFont="1" applyFill="1" applyBorder="1" applyAlignment="1">
      <alignment horizontal="center" vertical="center" wrapText="1"/>
    </xf>
    <xf numFmtId="0" fontId="6" fillId="0" borderId="95" xfId="0" quotePrefix="1" applyFont="1" applyBorder="1" applyAlignment="1">
      <alignment horizontal="center" vertical="center" wrapText="1"/>
    </xf>
    <xf numFmtId="0" fontId="28" fillId="9" borderId="93" xfId="1" applyFont="1" applyFill="1" applyBorder="1" applyAlignment="1">
      <alignment vertical="center"/>
    </xf>
    <xf numFmtId="0" fontId="28" fillId="9" borderId="93" xfId="1" applyFont="1" applyFill="1" applyBorder="1" applyAlignment="1">
      <alignment horizontal="centerContinuous" vertical="center"/>
    </xf>
    <xf numFmtId="49" fontId="28" fillId="9" borderId="93" xfId="1" applyNumberFormat="1" applyFont="1" applyFill="1" applyBorder="1" applyAlignment="1">
      <alignment vertical="center"/>
    </xf>
    <xf numFmtId="0" fontId="28" fillId="9" borderId="93" xfId="1" applyFont="1" applyFill="1" applyBorder="1" applyAlignment="1">
      <alignment horizontal="left" vertical="center"/>
    </xf>
    <xf numFmtId="0" fontId="28" fillId="7" borderId="99" xfId="1" applyFont="1" applyFill="1" applyBorder="1" applyAlignment="1">
      <alignment horizontal="centerContinuous" vertical="center"/>
    </xf>
    <xf numFmtId="0" fontId="28" fillId="0" borderId="99" xfId="1" applyFont="1" applyBorder="1" applyAlignment="1">
      <alignment horizontal="centerContinuous" vertical="center"/>
    </xf>
    <xf numFmtId="0" fontId="33" fillId="8" borderId="101" xfId="6" applyFont="1" applyFill="1" applyBorder="1" applyAlignment="1">
      <alignment horizontal="center" vertical="center"/>
    </xf>
    <xf numFmtId="0" fontId="33" fillId="0" borderId="101" xfId="6" applyFont="1" applyBorder="1" applyAlignment="1">
      <alignment vertical="center"/>
    </xf>
    <xf numFmtId="0" fontId="33" fillId="0" borderId="103" xfId="6" applyFont="1" applyBorder="1" applyAlignment="1">
      <alignment vertical="center"/>
    </xf>
    <xf numFmtId="0" fontId="33" fillId="0" borderId="102" xfId="6" applyFont="1" applyBorder="1" applyAlignment="1">
      <alignment vertical="center"/>
    </xf>
    <xf numFmtId="0" fontId="33" fillId="0" borderId="101" xfId="6" applyFont="1" applyBorder="1" applyAlignment="1">
      <alignment horizontal="center" vertical="center"/>
    </xf>
    <xf numFmtId="0" fontId="33" fillId="0" borderId="103" xfId="6" applyFont="1" applyBorder="1" applyAlignment="1">
      <alignment horizontal="center" vertical="center"/>
    </xf>
    <xf numFmtId="0" fontId="33" fillId="0" borderId="103" xfId="6" applyFont="1" applyBorder="1" applyAlignment="1">
      <alignment horizontal="left" vertical="center"/>
    </xf>
    <xf numFmtId="0" fontId="33" fillId="0" borderId="102" xfId="6" applyFont="1" applyBorder="1" applyAlignment="1">
      <alignment horizontal="left" vertical="center"/>
    </xf>
    <xf numFmtId="0" fontId="33" fillId="0" borderId="101" xfId="6" applyFont="1" applyBorder="1" applyAlignment="1">
      <alignment horizontal="left" vertical="center"/>
    </xf>
    <xf numFmtId="0" fontId="5" fillId="0" borderId="103" xfId="6" applyBorder="1" applyAlignment="1">
      <alignment horizontal="center" vertical="center"/>
    </xf>
    <xf numFmtId="0" fontId="58" fillId="0" borderId="103" xfId="6" applyFont="1" applyBorder="1" applyAlignment="1">
      <alignment vertical="center" shrinkToFit="1"/>
    </xf>
    <xf numFmtId="0" fontId="58" fillId="0" borderId="102" xfId="6" applyFont="1" applyBorder="1" applyAlignment="1">
      <alignment vertical="center" shrinkToFit="1"/>
    </xf>
    <xf numFmtId="0" fontId="33" fillId="0" borderId="100" xfId="6" applyFont="1" applyBorder="1"/>
    <xf numFmtId="0" fontId="58" fillId="0" borderId="101" xfId="6" applyFont="1" applyBorder="1" applyAlignment="1">
      <alignment vertical="center"/>
    </xf>
    <xf numFmtId="0" fontId="33" fillId="0" borderId="103" xfId="6" applyFont="1" applyBorder="1" applyAlignment="1">
      <alignment vertical="center" wrapText="1"/>
    </xf>
    <xf numFmtId="0" fontId="6" fillId="28" borderId="35" xfId="0" applyFont="1" applyFill="1" applyBorder="1" applyAlignment="1">
      <alignment horizontal="left" vertical="top" wrapText="1"/>
    </xf>
    <xf numFmtId="0" fontId="6" fillId="28" borderId="35" xfId="0" applyFont="1" applyFill="1" applyBorder="1" applyAlignment="1">
      <alignment horizontal="left" vertical="center" wrapText="1"/>
    </xf>
    <xf numFmtId="0" fontId="28" fillId="0" borderId="100" xfId="1" applyFont="1" applyBorder="1" applyAlignment="1">
      <alignment horizontal="left" vertical="center"/>
    </xf>
    <xf numFmtId="49" fontId="28" fillId="0" borderId="100" xfId="1" applyNumberFormat="1" applyFont="1" applyBorder="1" applyAlignment="1">
      <alignment horizontal="left" vertical="center"/>
    </xf>
    <xf numFmtId="0" fontId="28" fillId="8" borderId="100" xfId="1" applyFont="1" applyFill="1" applyBorder="1" applyAlignment="1">
      <alignment horizontal="centerContinuous" vertical="center"/>
    </xf>
    <xf numFmtId="49" fontId="28" fillId="8" borderId="100" xfId="1" applyNumberFormat="1" applyFont="1" applyFill="1" applyBorder="1" applyAlignment="1">
      <alignment horizontal="centerContinuous" vertical="center"/>
    </xf>
    <xf numFmtId="0" fontId="28" fillId="9" borderId="100" xfId="1" applyFont="1" applyFill="1" applyBorder="1" applyAlignment="1">
      <alignment vertical="center"/>
    </xf>
    <xf numFmtId="0" fontId="28" fillId="9" borderId="100" xfId="1" applyFont="1" applyFill="1" applyBorder="1" applyAlignment="1">
      <alignment horizontal="left" vertical="center"/>
    </xf>
    <xf numFmtId="20" fontId="28" fillId="9" borderId="100" xfId="1" applyNumberFormat="1" applyFont="1" applyFill="1" applyBorder="1" applyAlignment="1">
      <alignment horizontal="left" vertical="center"/>
    </xf>
    <xf numFmtId="0" fontId="28" fillId="9" borderId="100" xfId="1" applyFont="1" applyFill="1" applyBorder="1" applyAlignment="1">
      <alignment horizontal="centerContinuous" vertical="center"/>
    </xf>
    <xf numFmtId="49" fontId="28" fillId="9" borderId="100" xfId="1" applyNumberFormat="1" applyFont="1" applyFill="1" applyBorder="1" applyAlignment="1">
      <alignment vertical="center"/>
    </xf>
    <xf numFmtId="49" fontId="28" fillId="9" borderId="100" xfId="4" applyNumberFormat="1" applyFont="1" applyFill="1" applyBorder="1" applyAlignment="1">
      <alignment vertical="center"/>
    </xf>
    <xf numFmtId="49" fontId="28" fillId="9" borderId="100" xfId="4" applyNumberFormat="1" applyFont="1" applyFill="1" applyBorder="1" applyAlignment="1">
      <alignment horizontal="left" vertical="center"/>
    </xf>
    <xf numFmtId="49" fontId="28" fillId="9" borderId="100" xfId="0" applyNumberFormat="1" applyFont="1" applyFill="1" applyBorder="1" applyAlignment="1">
      <alignment horizontal="left" vertical="center"/>
    </xf>
    <xf numFmtId="49" fontId="28" fillId="9" borderId="100" xfId="0" applyNumberFormat="1" applyFont="1" applyFill="1" applyBorder="1" applyAlignment="1">
      <alignment vertical="center"/>
    </xf>
    <xf numFmtId="49" fontId="28" fillId="9" borderId="100" xfId="1" applyNumberFormat="1" applyFont="1" applyFill="1" applyBorder="1" applyAlignment="1">
      <alignment horizontal="centerContinuous" vertical="center"/>
    </xf>
    <xf numFmtId="49" fontId="6" fillId="0" borderId="100" xfId="1" applyNumberFormat="1" applyFont="1" applyBorder="1" applyAlignment="1">
      <alignment vertical="center"/>
    </xf>
    <xf numFmtId="0" fontId="6" fillId="6" borderId="100" xfId="1" applyFont="1" applyFill="1" applyBorder="1" applyAlignment="1">
      <alignment horizontal="centerContinuous" vertical="center"/>
    </xf>
    <xf numFmtId="0" fontId="28" fillId="7" borderId="100" xfId="1" applyFont="1" applyFill="1" applyBorder="1" applyAlignment="1">
      <alignment horizontal="centerContinuous" vertical="center"/>
    </xf>
    <xf numFmtId="0" fontId="5" fillId="0" borderId="100" xfId="6" applyBorder="1"/>
    <xf numFmtId="0" fontId="35" fillId="0" borderId="105" xfId="6" applyFont="1" applyBorder="1" applyAlignment="1">
      <alignment horizontal="left"/>
    </xf>
    <xf numFmtId="0" fontId="35" fillId="14" borderId="106" xfId="6" applyFont="1" applyFill="1" applyBorder="1" applyAlignment="1">
      <alignment horizontal="center" vertical="center"/>
    </xf>
    <xf numFmtId="0" fontId="35" fillId="0" borderId="105" xfId="6" applyFont="1" applyBorder="1"/>
    <xf numFmtId="0" fontId="6" fillId="0" borderId="107" xfId="4" applyBorder="1"/>
    <xf numFmtId="0" fontId="28" fillId="0" borderId="107" xfId="1" applyFont="1" applyBorder="1" applyAlignment="1">
      <alignment horizontal="left" vertical="center"/>
    </xf>
    <xf numFmtId="0" fontId="28" fillId="8" borderId="108" xfId="1" applyFont="1" applyFill="1" applyBorder="1" applyAlignment="1">
      <alignment horizontal="centerContinuous" vertical="center"/>
    </xf>
    <xf numFmtId="0" fontId="28" fillId="8" borderId="107" xfId="1" applyFont="1" applyFill="1" applyBorder="1" applyAlignment="1">
      <alignment horizontal="centerContinuous" vertical="center"/>
    </xf>
    <xf numFmtId="0" fontId="28" fillId="9" borderId="108" xfId="1" applyFont="1" applyFill="1" applyBorder="1" applyAlignment="1">
      <alignment vertical="center"/>
    </xf>
    <xf numFmtId="0" fontId="28" fillId="9" borderId="108" xfId="1" applyFont="1" applyFill="1" applyBorder="1" applyAlignment="1">
      <alignment horizontal="left" vertical="center"/>
    </xf>
    <xf numFmtId="0" fontId="28" fillId="9" borderId="107" xfId="1" applyFont="1" applyFill="1" applyBorder="1" applyAlignment="1">
      <alignment horizontal="centerContinuous" vertical="center"/>
    </xf>
    <xf numFmtId="0" fontId="28" fillId="9" borderId="108" xfId="1" applyFont="1" applyFill="1" applyBorder="1" applyAlignment="1">
      <alignment horizontal="centerContinuous" vertical="center"/>
    </xf>
    <xf numFmtId="49" fontId="28" fillId="9" borderId="108" xfId="1" applyNumberFormat="1" applyFont="1" applyFill="1" applyBorder="1" applyAlignment="1">
      <alignment vertical="center"/>
    </xf>
    <xf numFmtId="49" fontId="28" fillId="9" borderId="107" xfId="1" applyNumberFormat="1" applyFont="1" applyFill="1" applyBorder="1" applyAlignment="1">
      <alignment horizontal="centerContinuous" vertical="center"/>
    </xf>
    <xf numFmtId="49" fontId="6" fillId="0" borderId="107" xfId="1" applyNumberFormat="1" applyFont="1" applyBorder="1" applyAlignment="1">
      <alignment vertical="center"/>
    </xf>
    <xf numFmtId="0" fontId="6" fillId="6" borderId="107" xfId="1" applyFont="1" applyFill="1" applyBorder="1" applyAlignment="1">
      <alignment horizontal="centerContinuous" vertical="center"/>
    </xf>
    <xf numFmtId="49" fontId="6" fillId="6" borderId="107" xfId="1" applyNumberFormat="1" applyFont="1" applyFill="1" applyBorder="1" applyAlignment="1">
      <alignment horizontal="centerContinuous" vertical="center"/>
    </xf>
    <xf numFmtId="0" fontId="28" fillId="7" borderId="107" xfId="1" applyFont="1" applyFill="1" applyBorder="1" applyAlignment="1">
      <alignment horizontal="centerContinuous" vertical="center"/>
    </xf>
    <xf numFmtId="0" fontId="33" fillId="0" borderId="107" xfId="6" applyFont="1" applyBorder="1"/>
    <xf numFmtId="0" fontId="35" fillId="0" borderId="105" xfId="6" applyFont="1" applyBorder="1" applyAlignment="1">
      <alignment vertical="center"/>
    </xf>
    <xf numFmtId="0" fontId="33" fillId="14" borderId="106" xfId="6" applyFont="1" applyFill="1" applyBorder="1"/>
    <xf numFmtId="0" fontId="6" fillId="0" borderId="109" xfId="4" applyBorder="1"/>
    <xf numFmtId="0" fontId="6" fillId="0" borderId="112" xfId="4" applyBorder="1"/>
    <xf numFmtId="0" fontId="6" fillId="0" borderId="113" xfId="4" applyBorder="1"/>
    <xf numFmtId="0" fontId="28" fillId="0" borderId="109" xfId="1" applyFont="1" applyBorder="1" applyAlignment="1">
      <alignment horizontal="left" vertical="center"/>
    </xf>
    <xf numFmtId="0" fontId="28" fillId="8" borderId="109" xfId="1" applyFont="1" applyFill="1" applyBorder="1" applyAlignment="1">
      <alignment horizontal="centerContinuous" vertical="center"/>
    </xf>
    <xf numFmtId="14" fontId="28" fillId="8" borderId="112" xfId="1" applyNumberFormat="1" applyFont="1" applyFill="1" applyBorder="1" applyAlignment="1">
      <alignment horizontal="left" vertical="center"/>
    </xf>
    <xf numFmtId="0" fontId="28" fillId="8" borderId="110" xfId="1" applyFont="1" applyFill="1" applyBorder="1" applyAlignment="1">
      <alignment horizontal="left" vertical="center"/>
    </xf>
    <xf numFmtId="0" fontId="28" fillId="8" borderId="110" xfId="1" applyFont="1" applyFill="1" applyBorder="1" applyAlignment="1">
      <alignment vertical="center"/>
    </xf>
    <xf numFmtId="49" fontId="28" fillId="8" borderId="110" xfId="1" applyNumberFormat="1" applyFont="1" applyFill="1" applyBorder="1" applyAlignment="1">
      <alignment vertical="center"/>
    </xf>
    <xf numFmtId="0" fontId="28" fillId="8" borderId="113" xfId="1" applyFont="1" applyFill="1" applyBorder="1" applyAlignment="1">
      <alignment horizontal="left" vertical="center"/>
    </xf>
    <xf numFmtId="0" fontId="28" fillId="9" borderId="117" xfId="1" applyFont="1" applyFill="1" applyBorder="1" applyAlignment="1">
      <alignment vertical="center"/>
    </xf>
    <xf numFmtId="0" fontId="28" fillId="9" borderId="118" xfId="1" applyFont="1" applyFill="1" applyBorder="1" applyAlignment="1">
      <alignment vertical="center"/>
    </xf>
    <xf numFmtId="0" fontId="28" fillId="9" borderId="118" xfId="1" applyFont="1" applyFill="1" applyBorder="1" applyAlignment="1">
      <alignment horizontal="centerContinuous" vertical="center"/>
    </xf>
    <xf numFmtId="0" fontId="28" fillId="9" borderId="110" xfId="1" applyFont="1" applyFill="1" applyBorder="1" applyAlignment="1">
      <alignment horizontal="centerContinuous" vertical="center"/>
    </xf>
    <xf numFmtId="49" fontId="28" fillId="9" borderId="118" xfId="1" applyNumberFormat="1" applyFont="1" applyFill="1" applyBorder="1" applyAlignment="1">
      <alignment horizontal="left" vertical="center"/>
    </xf>
    <xf numFmtId="49" fontId="28" fillId="9" borderId="110" xfId="1" applyNumberFormat="1" applyFont="1" applyFill="1" applyBorder="1" applyAlignment="1">
      <alignment vertical="center"/>
    </xf>
    <xf numFmtId="49" fontId="28" fillId="9" borderId="110" xfId="4" applyNumberFormat="1" applyFont="1" applyFill="1" applyBorder="1" applyAlignment="1">
      <alignment vertical="center"/>
    </xf>
    <xf numFmtId="49" fontId="28" fillId="9" borderId="118" xfId="1" applyNumberFormat="1" applyFont="1" applyFill="1" applyBorder="1" applyAlignment="1">
      <alignment horizontal="centerContinuous" vertical="center"/>
    </xf>
    <xf numFmtId="49" fontId="28" fillId="9" borderId="110" xfId="1" applyNumberFormat="1" applyFont="1" applyFill="1" applyBorder="1" applyAlignment="1">
      <alignment horizontal="centerContinuous" vertical="center"/>
    </xf>
    <xf numFmtId="49" fontId="28" fillId="9" borderId="113" xfId="1" applyNumberFormat="1" applyFont="1" applyFill="1" applyBorder="1" applyAlignment="1">
      <alignment horizontal="centerContinuous" vertical="center"/>
    </xf>
    <xf numFmtId="0" fontId="28" fillId="0" borderId="112" xfId="1" applyFont="1" applyBorder="1" applyAlignment="1">
      <alignment horizontal="left" vertical="center"/>
    </xf>
    <xf numFmtId="0" fontId="28" fillId="0" borderId="110" xfId="1" applyFont="1" applyBorder="1" applyAlignment="1">
      <alignment horizontal="left" vertical="center"/>
    </xf>
    <xf numFmtId="49" fontId="28" fillId="0" borderId="110" xfId="1" applyNumberFormat="1" applyFont="1" applyBorder="1" applyAlignment="1">
      <alignment horizontal="left" vertical="center"/>
    </xf>
    <xf numFmtId="0" fontId="28" fillId="0" borderId="113" xfId="1" applyFont="1" applyBorder="1" applyAlignment="1">
      <alignment horizontal="left" vertical="center"/>
    </xf>
    <xf numFmtId="0" fontId="28" fillId="9" borderId="117" xfId="1" applyFont="1" applyFill="1" applyBorder="1" applyAlignment="1">
      <alignment horizontal="centerContinuous" vertical="center"/>
    </xf>
    <xf numFmtId="0" fontId="28" fillId="9" borderId="110" xfId="1" applyFont="1" applyFill="1" applyBorder="1" applyAlignment="1">
      <alignment horizontal="left" vertical="center"/>
    </xf>
    <xf numFmtId="20" fontId="28" fillId="9" borderId="110" xfId="1" applyNumberFormat="1" applyFont="1" applyFill="1" applyBorder="1" applyAlignment="1">
      <alignment horizontal="left" vertical="center"/>
    </xf>
    <xf numFmtId="49" fontId="28" fillId="9" borderId="110" xfId="4" applyNumberFormat="1" applyFont="1" applyFill="1" applyBorder="1" applyAlignment="1">
      <alignment horizontal="left" vertical="center"/>
    </xf>
    <xf numFmtId="0" fontId="28" fillId="9" borderId="110" xfId="1" applyFont="1" applyFill="1" applyBorder="1" applyAlignment="1">
      <alignment vertical="center"/>
    </xf>
    <xf numFmtId="0" fontId="28" fillId="9" borderId="113" xfId="1" applyFont="1" applyFill="1" applyBorder="1" applyAlignment="1">
      <alignment horizontal="centerContinuous" vertical="center"/>
    </xf>
    <xf numFmtId="49" fontId="6" fillId="0" borderId="109" xfId="1" applyNumberFormat="1" applyFont="1" applyBorder="1" applyAlignment="1">
      <alignment vertical="center"/>
    </xf>
    <xf numFmtId="0" fontId="1" fillId="6" borderId="111" xfId="2" applyFont="1" applyFill="1" applyBorder="1" applyAlignment="1">
      <alignment horizontal="center" vertical="center"/>
    </xf>
    <xf numFmtId="0" fontId="2" fillId="6" borderId="111" xfId="2" applyFill="1" applyBorder="1" applyAlignment="1">
      <alignment horizontal="centerContinuous" vertical="center"/>
    </xf>
    <xf numFmtId="0" fontId="1" fillId="6" borderId="111" xfId="2" applyFont="1" applyFill="1" applyBorder="1" applyAlignment="1">
      <alignment horizontal="centerContinuous" vertical="center"/>
    </xf>
    <xf numFmtId="0" fontId="6" fillId="6" borderId="109" xfId="1" applyFont="1" applyFill="1" applyBorder="1" applyAlignment="1">
      <alignment horizontal="centerContinuous" vertical="center"/>
    </xf>
    <xf numFmtId="49" fontId="6" fillId="6" borderId="114" xfId="1" applyNumberFormat="1" applyFont="1" applyFill="1" applyBorder="1" applyAlignment="1">
      <alignment horizontal="centerContinuous" vertical="center"/>
    </xf>
    <xf numFmtId="0" fontId="6" fillId="6" borderId="116" xfId="1" applyFont="1" applyFill="1" applyBorder="1" applyAlignment="1">
      <alignment horizontal="centerContinuous" vertical="center"/>
    </xf>
    <xf numFmtId="0" fontId="1" fillId="6" borderId="119" xfId="2" applyFont="1" applyFill="1" applyBorder="1" applyAlignment="1">
      <alignment horizontal="centerContinuous" vertical="center"/>
    </xf>
    <xf numFmtId="49" fontId="6" fillId="6" borderId="116" xfId="1" applyNumberFormat="1" applyFont="1" applyFill="1" applyBorder="1" applyAlignment="1">
      <alignment horizontal="centerContinuous" vertical="center"/>
    </xf>
    <xf numFmtId="0" fontId="6" fillId="6" borderId="115" xfId="1" applyFont="1" applyFill="1" applyBorder="1" applyAlignment="1">
      <alignment horizontal="centerContinuous" vertical="center"/>
    </xf>
    <xf numFmtId="0" fontId="2" fillId="3" borderId="119" xfId="2" applyFill="1" applyBorder="1" applyAlignment="1">
      <alignment horizontal="center" vertical="center" shrinkToFit="1"/>
    </xf>
    <xf numFmtId="0" fontId="2" fillId="3" borderId="119" xfId="2" applyFill="1" applyBorder="1">
      <alignment vertical="center"/>
    </xf>
    <xf numFmtId="0" fontId="6" fillId="3" borderId="116" xfId="1" applyFont="1" applyFill="1" applyBorder="1" applyAlignment="1">
      <alignment vertical="center"/>
    </xf>
    <xf numFmtId="0" fontId="14" fillId="3" borderId="119" xfId="2" applyFont="1" applyFill="1" applyBorder="1">
      <alignment vertical="center"/>
    </xf>
    <xf numFmtId="0" fontId="6" fillId="3" borderId="115" xfId="1" applyFont="1" applyFill="1" applyBorder="1" applyAlignment="1">
      <alignment vertical="center"/>
    </xf>
    <xf numFmtId="0" fontId="1" fillId="3" borderId="114" xfId="2" applyFont="1" applyFill="1" applyBorder="1" applyAlignment="1">
      <alignment horizontal="centerContinuous" vertical="center"/>
    </xf>
    <xf numFmtId="0" fontId="6" fillId="3" borderId="116" xfId="1" applyFont="1" applyFill="1" applyBorder="1" applyAlignment="1">
      <alignment horizontal="centerContinuous" vertical="center"/>
    </xf>
    <xf numFmtId="0" fontId="1" fillId="3" borderId="116" xfId="2" applyFont="1" applyFill="1" applyBorder="1" applyAlignment="1">
      <alignment horizontal="centerContinuous" vertical="center"/>
    </xf>
    <xf numFmtId="0" fontId="6" fillId="3" borderId="115" xfId="1" applyFont="1" applyFill="1" applyBorder="1" applyAlignment="1">
      <alignment horizontal="centerContinuous" vertical="center"/>
    </xf>
    <xf numFmtId="49" fontId="6" fillId="3" borderId="115" xfId="1" applyNumberFormat="1" applyFont="1" applyFill="1" applyBorder="1" applyAlignment="1">
      <alignment horizontal="centerContinuous" vertical="center"/>
    </xf>
    <xf numFmtId="49" fontId="6" fillId="3" borderId="116" xfId="1" applyNumberFormat="1" applyFont="1" applyFill="1" applyBorder="1" applyAlignment="1">
      <alignment vertical="center"/>
    </xf>
    <xf numFmtId="0" fontId="1" fillId="3" borderId="116" xfId="2" applyFont="1" applyFill="1" applyBorder="1">
      <alignment vertical="center"/>
    </xf>
    <xf numFmtId="0" fontId="2" fillId="3" borderId="114" xfId="2" applyFill="1" applyBorder="1" applyAlignment="1">
      <alignment horizontal="centerContinuous" vertical="center"/>
    </xf>
    <xf numFmtId="0" fontId="2" fillId="3" borderId="116" xfId="2" applyFill="1" applyBorder="1" applyAlignment="1">
      <alignment horizontal="centerContinuous" vertical="center"/>
    </xf>
    <xf numFmtId="0" fontId="2" fillId="3" borderId="116" xfId="2" applyFill="1" applyBorder="1">
      <alignment vertical="center"/>
    </xf>
    <xf numFmtId="49" fontId="7" fillId="3" borderId="116" xfId="1" applyNumberFormat="1" applyFont="1" applyFill="1" applyBorder="1" applyAlignment="1">
      <alignment vertical="center"/>
    </xf>
    <xf numFmtId="0" fontId="1" fillId="3" borderId="119" xfId="2" applyFont="1" applyFill="1" applyBorder="1">
      <alignment vertical="center"/>
    </xf>
    <xf numFmtId="0" fontId="15" fillId="3" borderId="116" xfId="2" applyFont="1" applyFill="1" applyBorder="1">
      <alignment vertical="center"/>
    </xf>
    <xf numFmtId="0" fontId="23" fillId="3" borderId="114" xfId="2" applyFont="1" applyFill="1" applyBorder="1" applyAlignment="1">
      <alignment horizontal="centerContinuous" vertical="center"/>
    </xf>
    <xf numFmtId="0" fontId="23" fillId="3" borderId="116" xfId="2" applyFont="1" applyFill="1" applyBorder="1" applyAlignment="1">
      <alignment horizontal="centerContinuous" vertical="center"/>
    </xf>
    <xf numFmtId="0" fontId="18" fillId="3" borderId="116" xfId="2" applyFont="1" applyFill="1" applyBorder="1">
      <alignment vertical="center"/>
    </xf>
    <xf numFmtId="49" fontId="2" fillId="16" borderId="119" xfId="2" applyNumberFormat="1" applyFill="1" applyBorder="1" applyAlignment="1">
      <alignment horizontal="center" vertical="center" shrinkToFit="1"/>
    </xf>
    <xf numFmtId="0" fontId="2" fillId="16" borderId="119" xfId="2" applyFill="1" applyBorder="1">
      <alignment vertical="center"/>
    </xf>
    <xf numFmtId="0" fontId="6" fillId="16" borderId="116" xfId="1" applyFont="1" applyFill="1" applyBorder="1" applyAlignment="1">
      <alignment vertical="center"/>
    </xf>
    <xf numFmtId="0" fontId="1" fillId="16" borderId="119" xfId="2" applyFont="1" applyFill="1" applyBorder="1">
      <alignment vertical="center"/>
    </xf>
    <xf numFmtId="0" fontId="6" fillId="16" borderId="115" xfId="1" applyFont="1" applyFill="1" applyBorder="1" applyAlignment="1">
      <alignment vertical="center"/>
    </xf>
    <xf numFmtId="0" fontId="19" fillId="16" borderId="114" xfId="2" applyFont="1" applyFill="1" applyBorder="1" applyAlignment="1">
      <alignment horizontal="centerContinuous" vertical="center"/>
    </xf>
    <xf numFmtId="0" fontId="6" fillId="16" borderId="116" xfId="1" applyFont="1" applyFill="1" applyBorder="1" applyAlignment="1">
      <alignment horizontal="centerContinuous" vertical="center"/>
    </xf>
    <xf numFmtId="0" fontId="19" fillId="16" borderId="116" xfId="2" applyFont="1" applyFill="1" applyBorder="1" applyAlignment="1">
      <alignment horizontal="centerContinuous" vertical="center"/>
    </xf>
    <xf numFmtId="0" fontId="6" fillId="16" borderId="115" xfId="1" applyFont="1" applyFill="1" applyBorder="1" applyAlignment="1">
      <alignment horizontal="centerContinuous" vertical="center"/>
    </xf>
    <xf numFmtId="49" fontId="6" fillId="16" borderId="115" xfId="1" applyNumberFormat="1" applyFont="1" applyFill="1" applyBorder="1" applyAlignment="1">
      <alignment horizontal="centerContinuous" vertical="center"/>
    </xf>
    <xf numFmtId="49" fontId="6" fillId="16" borderId="116" xfId="1" applyNumberFormat="1" applyFont="1" applyFill="1" applyBorder="1" applyAlignment="1">
      <alignment vertical="center"/>
    </xf>
    <xf numFmtId="0" fontId="1" fillId="16" borderId="116" xfId="2" applyFont="1" applyFill="1" applyBorder="1">
      <alignment vertical="center"/>
    </xf>
    <xf numFmtId="0" fontId="2" fillId="16" borderId="119" xfId="2" applyFill="1" applyBorder="1" applyAlignment="1">
      <alignment horizontal="center" vertical="center" shrinkToFit="1"/>
    </xf>
    <xf numFmtId="0" fontId="15" fillId="16" borderId="116" xfId="2" applyFont="1" applyFill="1" applyBorder="1">
      <alignment vertical="center"/>
    </xf>
    <xf numFmtId="0" fontId="1" fillId="16" borderId="114" xfId="2" applyFont="1" applyFill="1" applyBorder="1" applyAlignment="1">
      <alignment horizontal="centerContinuous" vertical="center"/>
    </xf>
    <xf numFmtId="0" fontId="1" fillId="16" borderId="116" xfId="2" applyFont="1" applyFill="1" applyBorder="1" applyAlignment="1">
      <alignment horizontal="centerContinuous" vertical="center"/>
    </xf>
    <xf numFmtId="0" fontId="2" fillId="10" borderId="119" xfId="2" applyFill="1" applyBorder="1" applyAlignment="1">
      <alignment horizontal="center" vertical="center" shrinkToFit="1"/>
    </xf>
    <xf numFmtId="0" fontId="2" fillId="10" borderId="119" xfId="2" applyFill="1" applyBorder="1">
      <alignment vertical="center"/>
    </xf>
    <xf numFmtId="0" fontId="6" fillId="10" borderId="116" xfId="1" applyFont="1" applyFill="1" applyBorder="1" applyAlignment="1">
      <alignment vertical="center"/>
    </xf>
    <xf numFmtId="0" fontId="1" fillId="10" borderId="119" xfId="2" applyFont="1" applyFill="1" applyBorder="1">
      <alignment vertical="center"/>
    </xf>
    <xf numFmtId="0" fontId="6" fillId="10" borderId="115" xfId="1" applyFont="1" applyFill="1" applyBorder="1" applyAlignment="1">
      <alignment vertical="center"/>
    </xf>
    <xf numFmtId="0" fontId="15" fillId="10" borderId="114" xfId="2" applyFont="1" applyFill="1" applyBorder="1" applyAlignment="1">
      <alignment horizontal="centerContinuous" vertical="center"/>
    </xf>
    <xf numFmtId="0" fontId="6" fillId="10" borderId="116" xfId="1" applyFont="1" applyFill="1" applyBorder="1" applyAlignment="1">
      <alignment horizontal="centerContinuous" vertical="center"/>
    </xf>
    <xf numFmtId="0" fontId="15" fillId="10" borderId="116" xfId="2" applyFont="1" applyFill="1" applyBorder="1" applyAlignment="1">
      <alignment horizontal="centerContinuous" vertical="center"/>
    </xf>
    <xf numFmtId="0" fontId="6" fillId="10" borderId="115" xfId="1" applyFont="1" applyFill="1" applyBorder="1" applyAlignment="1">
      <alignment horizontal="centerContinuous" vertical="center"/>
    </xf>
    <xf numFmtId="49" fontId="6" fillId="10" borderId="115" xfId="1" applyNumberFormat="1" applyFont="1" applyFill="1" applyBorder="1" applyAlignment="1">
      <alignment horizontal="centerContinuous" vertical="center"/>
    </xf>
    <xf numFmtId="49" fontId="6" fillId="10" borderId="116" xfId="1" quotePrefix="1" applyNumberFormat="1" applyFont="1" applyFill="1" applyBorder="1" applyAlignment="1">
      <alignment vertical="center"/>
    </xf>
    <xf numFmtId="0" fontId="15" fillId="10" borderId="116" xfId="2" applyFont="1" applyFill="1" applyBorder="1">
      <alignment vertical="center"/>
    </xf>
    <xf numFmtId="49" fontId="6" fillId="10" borderId="116" xfId="1" applyNumberFormat="1" applyFont="1" applyFill="1" applyBorder="1" applyAlignment="1">
      <alignment vertical="center"/>
    </xf>
    <xf numFmtId="0" fontId="1" fillId="10" borderId="114" xfId="2" applyFont="1" applyFill="1" applyBorder="1" applyAlignment="1">
      <alignment horizontal="centerContinuous" vertical="center"/>
    </xf>
    <xf numFmtId="0" fontId="1" fillId="10" borderId="116" xfId="2" applyFont="1" applyFill="1" applyBorder="1" applyAlignment="1">
      <alignment horizontal="centerContinuous" vertical="center"/>
    </xf>
    <xf numFmtId="0" fontId="1" fillId="10" borderId="116" xfId="2" applyFont="1" applyFill="1" applyBorder="1">
      <alignment vertical="center"/>
    </xf>
    <xf numFmtId="49" fontId="6" fillId="0" borderId="112" xfId="1" applyNumberFormat="1" applyFont="1" applyBorder="1" applyAlignment="1">
      <alignment vertical="center"/>
    </xf>
    <xf numFmtId="49" fontId="6" fillId="0" borderId="110" xfId="1" applyNumberFormat="1" applyFont="1" applyBorder="1" applyAlignment="1">
      <alignment vertical="center"/>
    </xf>
    <xf numFmtId="49" fontId="6" fillId="0" borderId="113" xfId="1" applyNumberFormat="1" applyFont="1" applyBorder="1" applyAlignment="1">
      <alignment vertical="center"/>
    </xf>
    <xf numFmtId="0" fontId="28" fillId="7" borderId="116" xfId="1" applyFont="1" applyFill="1" applyBorder="1" applyAlignment="1">
      <alignment horizontal="centerContinuous" vertical="center"/>
    </xf>
    <xf numFmtId="0" fontId="28" fillId="7" borderId="115" xfId="1" applyFont="1" applyFill="1" applyBorder="1" applyAlignment="1">
      <alignment horizontal="centerContinuous" vertical="center"/>
    </xf>
    <xf numFmtId="0" fontId="28" fillId="7" borderId="114" xfId="1" applyFont="1" applyFill="1" applyBorder="1" applyAlignment="1">
      <alignment horizontal="centerContinuous" vertical="center"/>
    </xf>
    <xf numFmtId="0" fontId="28" fillId="7" borderId="109" xfId="1" applyFont="1" applyFill="1" applyBorder="1" applyAlignment="1">
      <alignment horizontal="centerContinuous" vertical="center"/>
    </xf>
    <xf numFmtId="0" fontId="28" fillId="0" borderId="116" xfId="1" applyFont="1" applyBorder="1" applyAlignment="1">
      <alignment horizontal="centerContinuous" vertical="center"/>
    </xf>
    <xf numFmtId="0" fontId="28" fillId="0" borderId="115" xfId="1" applyFont="1" applyBorder="1" applyAlignment="1">
      <alignment horizontal="centerContinuous" vertical="center"/>
    </xf>
    <xf numFmtId="0" fontId="28" fillId="0" borderId="114" xfId="1" applyFont="1" applyBorder="1" applyAlignment="1">
      <alignment horizontal="centerContinuous" vertical="center"/>
    </xf>
    <xf numFmtId="180" fontId="28" fillId="0" borderId="114" xfId="1" applyNumberFormat="1" applyFont="1" applyBorder="1" applyAlignment="1">
      <alignment horizontal="centerContinuous" vertical="center"/>
    </xf>
    <xf numFmtId="176" fontId="28" fillId="0" borderId="116" xfId="1" applyNumberFormat="1" applyFont="1" applyBorder="1" applyAlignment="1">
      <alignment horizontal="centerContinuous" vertical="center"/>
    </xf>
    <xf numFmtId="176" fontId="28" fillId="0" borderId="115" xfId="1" applyNumberFormat="1" applyFont="1" applyBorder="1" applyAlignment="1">
      <alignment horizontal="centerContinuous" vertical="center"/>
    </xf>
    <xf numFmtId="14" fontId="28" fillId="0" borderId="114" xfId="1" applyNumberFormat="1" applyFont="1" applyBorder="1" applyAlignment="1">
      <alignment horizontal="centerContinuous" vertical="center"/>
    </xf>
    <xf numFmtId="14" fontId="28" fillId="0" borderId="116" xfId="1" applyNumberFormat="1" applyFont="1" applyBorder="1" applyAlignment="1">
      <alignment horizontal="centerContinuous" vertical="center"/>
    </xf>
    <xf numFmtId="14" fontId="28" fillId="0" borderId="115" xfId="1" applyNumberFormat="1" applyFont="1" applyBorder="1" applyAlignment="1">
      <alignment horizontal="centerContinuous" vertical="center"/>
    </xf>
    <xf numFmtId="0" fontId="33" fillId="0" borderId="109" xfId="6" applyFont="1" applyBorder="1"/>
    <xf numFmtId="0" fontId="41" fillId="12" borderId="114" xfId="6" applyFont="1" applyFill="1" applyBorder="1" applyAlignment="1">
      <alignment horizontal="centerContinuous"/>
    </xf>
    <xf numFmtId="0" fontId="41" fillId="12" borderId="116" xfId="6" applyFont="1" applyFill="1" applyBorder="1" applyAlignment="1">
      <alignment horizontal="centerContinuous"/>
    </xf>
    <xf numFmtId="0" fontId="41" fillId="12" borderId="115" xfId="6" applyFont="1" applyFill="1" applyBorder="1" applyAlignment="1">
      <alignment horizontal="centerContinuous"/>
    </xf>
    <xf numFmtId="0" fontId="42" fillId="13" borderId="119" xfId="6" applyFont="1" applyFill="1" applyBorder="1" applyAlignment="1">
      <alignment horizontal="left"/>
    </xf>
    <xf numFmtId="0" fontId="21" fillId="13" borderId="119" xfId="6" applyFont="1" applyFill="1" applyBorder="1" applyAlignment="1">
      <alignment vertical="center"/>
    </xf>
    <xf numFmtId="0" fontId="42" fillId="13" borderId="119" xfId="6" applyFont="1" applyFill="1" applyBorder="1" applyAlignment="1">
      <alignment horizontal="center" vertical="center"/>
    </xf>
    <xf numFmtId="0" fontId="34" fillId="0" borderId="114" xfId="6" applyFont="1" applyBorder="1" applyAlignment="1">
      <alignment horizontal="centerContinuous"/>
    </xf>
    <xf numFmtId="0" fontId="34" fillId="0" borderId="116" xfId="6" applyFont="1" applyBorder="1" applyAlignment="1">
      <alignment horizontal="centerContinuous"/>
    </xf>
    <xf numFmtId="0" fontId="34" fillId="0" borderId="115" xfId="6" applyFont="1" applyBorder="1" applyAlignment="1">
      <alignment horizontal="centerContinuous"/>
    </xf>
    <xf numFmtId="0" fontId="35" fillId="3" borderId="120" xfId="6" applyFont="1" applyFill="1" applyBorder="1" applyAlignment="1">
      <alignment horizontal="left"/>
    </xf>
    <xf numFmtId="0" fontId="3" fillId="0" borderId="120" xfId="6" applyFont="1" applyBorder="1" applyAlignment="1">
      <alignment vertical="center"/>
    </xf>
    <xf numFmtId="0" fontId="35" fillId="0" borderId="120" xfId="6" applyFont="1" applyBorder="1" applyAlignment="1">
      <alignment horizontal="center" vertical="center"/>
    </xf>
    <xf numFmtId="0" fontId="35" fillId="0" borderId="121" xfId="6" applyFont="1" applyBorder="1" applyAlignment="1">
      <alignment horizontal="center" vertical="center"/>
    </xf>
    <xf numFmtId="0" fontId="35" fillId="14" borderId="122" xfId="6" applyFont="1" applyFill="1" applyBorder="1" applyAlignment="1">
      <alignment horizontal="center" vertical="center"/>
    </xf>
    <xf numFmtId="0" fontId="35" fillId="0" borderId="123" xfId="6" applyFont="1" applyBorder="1" applyAlignment="1">
      <alignment horizontal="left"/>
    </xf>
    <xf numFmtId="0" fontId="3" fillId="0" borderId="123" xfId="6" applyFont="1" applyBorder="1" applyAlignment="1">
      <alignment vertical="center"/>
    </xf>
    <xf numFmtId="0" fontId="35" fillId="0" borderId="123" xfId="6" applyFont="1" applyBorder="1" applyAlignment="1">
      <alignment horizontal="center" vertical="center"/>
    </xf>
    <xf numFmtId="0" fontId="35" fillId="0" borderId="124" xfId="6" applyFont="1" applyBorder="1" applyAlignment="1">
      <alignment horizontal="center" vertical="center"/>
    </xf>
    <xf numFmtId="0" fontId="35" fillId="14" borderId="125" xfId="6" applyFont="1" applyFill="1" applyBorder="1" applyAlignment="1">
      <alignment horizontal="center" vertical="center"/>
    </xf>
    <xf numFmtId="0" fontId="35" fillId="15" borderId="126" xfId="6" applyFont="1" applyFill="1" applyBorder="1" applyAlignment="1">
      <alignment horizontal="left"/>
    </xf>
    <xf numFmtId="0" fontId="35" fillId="0" borderId="126" xfId="6" applyFont="1" applyBorder="1" applyAlignment="1">
      <alignment horizontal="center" vertical="center"/>
    </xf>
    <xf numFmtId="0" fontId="35" fillId="0" borderId="127" xfId="6" applyFont="1" applyBorder="1" applyAlignment="1">
      <alignment horizontal="center" vertical="center"/>
    </xf>
    <xf numFmtId="0" fontId="43" fillId="16" borderId="120" xfId="6" applyFont="1" applyFill="1" applyBorder="1" applyAlignment="1">
      <alignment horizontal="left"/>
    </xf>
    <xf numFmtId="0" fontId="3" fillId="16" borderId="120" xfId="6" applyFont="1" applyFill="1" applyBorder="1" applyAlignment="1">
      <alignment vertical="center"/>
    </xf>
    <xf numFmtId="0" fontId="35" fillId="16" borderId="120" xfId="6" applyFont="1" applyFill="1" applyBorder="1" applyAlignment="1">
      <alignment horizontal="center" vertical="center"/>
    </xf>
    <xf numFmtId="0" fontId="35" fillId="16" borderId="121" xfId="6" applyFont="1" applyFill="1" applyBorder="1" applyAlignment="1">
      <alignment horizontal="center" vertical="center"/>
    </xf>
    <xf numFmtId="0" fontId="35" fillId="16" borderId="123" xfId="6" applyFont="1" applyFill="1" applyBorder="1" applyAlignment="1">
      <alignment horizontal="center" vertical="center"/>
    </xf>
    <xf numFmtId="0" fontId="35" fillId="16" borderId="124" xfId="6" applyFont="1" applyFill="1" applyBorder="1" applyAlignment="1">
      <alignment horizontal="center" vertical="center"/>
    </xf>
    <xf numFmtId="0" fontId="35" fillId="16" borderId="122" xfId="6" applyFont="1" applyFill="1" applyBorder="1" applyAlignment="1">
      <alignment horizontal="center" vertical="center"/>
    </xf>
    <xf numFmtId="0" fontId="43" fillId="16" borderId="123" xfId="6" applyFont="1" applyFill="1" applyBorder="1" applyAlignment="1">
      <alignment horizontal="left"/>
    </xf>
    <xf numFmtId="0" fontId="3" fillId="16" borderId="123" xfId="6" applyFont="1" applyFill="1" applyBorder="1" applyAlignment="1">
      <alignment vertical="center"/>
    </xf>
    <xf numFmtId="0" fontId="35" fillId="16" borderId="128" xfId="6" applyFont="1" applyFill="1" applyBorder="1" applyAlignment="1">
      <alignment horizontal="center" vertical="center"/>
    </xf>
    <xf numFmtId="0" fontId="35" fillId="17" borderId="123" xfId="6" applyFont="1" applyFill="1" applyBorder="1" applyAlignment="1">
      <alignment horizontal="left"/>
    </xf>
    <xf numFmtId="0" fontId="35" fillId="14" borderId="128" xfId="6" applyFont="1" applyFill="1" applyBorder="1" applyAlignment="1">
      <alignment horizontal="center" vertical="center"/>
    </xf>
    <xf numFmtId="0" fontId="35" fillId="15" borderId="123" xfId="6" applyFont="1" applyFill="1" applyBorder="1" applyAlignment="1">
      <alignment horizontal="left" vertical="center"/>
    </xf>
    <xf numFmtId="0" fontId="35" fillId="18" borderId="123" xfId="6" applyFont="1" applyFill="1" applyBorder="1" applyAlignment="1">
      <alignment horizontal="left"/>
    </xf>
    <xf numFmtId="0" fontId="33" fillId="0" borderId="124" xfId="6" applyFont="1" applyBorder="1" applyAlignment="1">
      <alignment horizontal="center" vertical="center"/>
    </xf>
    <xf numFmtId="0" fontId="33" fillId="14" borderId="128" xfId="6" applyFont="1" applyFill="1" applyBorder="1" applyAlignment="1">
      <alignment horizontal="center" vertical="center"/>
    </xf>
    <xf numFmtId="0" fontId="35" fillId="19" borderId="123" xfId="6" applyFont="1" applyFill="1" applyBorder="1" applyAlignment="1">
      <alignment horizontal="left"/>
    </xf>
    <xf numFmtId="0" fontId="35" fillId="0" borderId="129" xfId="6" applyFont="1" applyBorder="1" applyAlignment="1">
      <alignment horizontal="left"/>
    </xf>
    <xf numFmtId="0" fontId="3" fillId="0" borderId="129" xfId="6" applyFont="1" applyBorder="1" applyAlignment="1">
      <alignment vertical="center"/>
    </xf>
    <xf numFmtId="0" fontId="35" fillId="0" borderId="129" xfId="6" applyFont="1" applyBorder="1" applyAlignment="1">
      <alignment horizontal="center" vertical="center"/>
    </xf>
    <xf numFmtId="0" fontId="35" fillId="0" borderId="130" xfId="6" applyFont="1" applyBorder="1" applyAlignment="1">
      <alignment horizontal="center" vertical="center"/>
    </xf>
    <xf numFmtId="0" fontId="42" fillId="14" borderId="131" xfId="6" applyFont="1" applyFill="1" applyBorder="1" applyAlignment="1">
      <alignment horizontal="center" vertical="center"/>
    </xf>
    <xf numFmtId="0" fontId="35" fillId="14" borderId="131" xfId="6" applyFont="1" applyFill="1" applyBorder="1" applyAlignment="1">
      <alignment horizontal="center" vertical="center"/>
    </xf>
    <xf numFmtId="0" fontId="35" fillId="16" borderId="123" xfId="6" applyFont="1" applyFill="1" applyBorder="1" applyAlignment="1">
      <alignment horizontal="left"/>
    </xf>
    <xf numFmtId="0" fontId="33" fillId="0" borderId="130" xfId="6" applyFont="1" applyBorder="1" applyAlignment="1">
      <alignment horizontal="center" vertical="center"/>
    </xf>
    <xf numFmtId="0" fontId="45" fillId="14" borderId="131" xfId="6" applyFont="1" applyFill="1" applyBorder="1" applyAlignment="1">
      <alignment horizontal="center" vertical="center"/>
    </xf>
    <xf numFmtId="0" fontId="35" fillId="16" borderId="129" xfId="6" applyFont="1" applyFill="1" applyBorder="1"/>
    <xf numFmtId="0" fontId="3" fillId="16" borderId="129" xfId="6" applyFont="1" applyFill="1" applyBorder="1" applyAlignment="1">
      <alignment vertical="center"/>
    </xf>
    <xf numFmtId="0" fontId="35" fillId="16" borderId="129" xfId="6" applyFont="1" applyFill="1" applyBorder="1" applyAlignment="1">
      <alignment horizontal="center" vertical="center"/>
    </xf>
    <xf numFmtId="0" fontId="35" fillId="16" borderId="130" xfId="6" applyFont="1" applyFill="1" applyBorder="1" applyAlignment="1">
      <alignment horizontal="center" vertical="center"/>
    </xf>
    <xf numFmtId="0" fontId="35" fillId="16" borderId="131" xfId="6" applyFont="1" applyFill="1" applyBorder="1" applyAlignment="1">
      <alignment horizontal="center" vertical="center"/>
    </xf>
    <xf numFmtId="0" fontId="35" fillId="0" borderId="123" xfId="6" applyFont="1" applyBorder="1"/>
    <xf numFmtId="0" fontId="35" fillId="16" borderId="123" xfId="6" applyFont="1" applyFill="1" applyBorder="1"/>
    <xf numFmtId="0" fontId="33" fillId="0" borderId="132" xfId="6" applyFont="1" applyBorder="1"/>
    <xf numFmtId="0" fontId="33" fillId="0" borderId="133" xfId="6" applyFont="1" applyBorder="1"/>
    <xf numFmtId="0" fontId="33" fillId="0" borderId="134" xfId="6" applyFont="1" applyBorder="1"/>
    <xf numFmtId="0" fontId="35" fillId="0" borderId="129" xfId="6" applyFont="1" applyBorder="1"/>
    <xf numFmtId="0" fontId="35" fillId="16" borderId="129" xfId="6" applyFont="1" applyFill="1" applyBorder="1" applyAlignment="1">
      <alignment horizontal="left"/>
    </xf>
    <xf numFmtId="0" fontId="35" fillId="18" borderId="123" xfId="6" applyFont="1" applyFill="1" applyBorder="1" applyAlignment="1">
      <alignment horizontal="left" vertical="center"/>
    </xf>
    <xf numFmtId="0" fontId="33" fillId="14" borderId="122" xfId="6" applyFont="1" applyFill="1" applyBorder="1"/>
    <xf numFmtId="0" fontId="33" fillId="3" borderId="123" xfId="6" applyFont="1" applyFill="1" applyBorder="1" applyAlignment="1">
      <alignment horizontal="left"/>
    </xf>
    <xf numFmtId="0" fontId="33" fillId="14" borderId="128" xfId="6" applyFont="1" applyFill="1" applyBorder="1"/>
    <xf numFmtId="0" fontId="33" fillId="16" borderId="128" xfId="6" applyFont="1" applyFill="1" applyBorder="1"/>
    <xf numFmtId="0" fontId="33" fillId="14" borderId="131" xfId="6" applyFont="1" applyFill="1" applyBorder="1"/>
    <xf numFmtId="0" fontId="3" fillId="0" borderId="123" xfId="6" applyFont="1" applyBorder="1" applyAlignment="1">
      <alignment vertical="center" shrinkToFit="1"/>
    </xf>
    <xf numFmtId="0" fontId="35" fillId="0" borderId="129" xfId="6" applyFont="1" applyBorder="1" applyAlignment="1">
      <alignment horizontal="left" shrinkToFit="1"/>
    </xf>
    <xf numFmtId="0" fontId="35" fillId="3" borderId="123" xfId="6" applyFont="1" applyFill="1" applyBorder="1" applyAlignment="1">
      <alignment horizontal="left"/>
    </xf>
    <xf numFmtId="0" fontId="33" fillId="16" borderId="122" xfId="6" applyFont="1" applyFill="1" applyBorder="1"/>
    <xf numFmtId="0" fontId="35" fillId="15" borderId="123" xfId="6" applyFont="1" applyFill="1" applyBorder="1" applyAlignment="1">
      <alignment horizontal="left"/>
    </xf>
    <xf numFmtId="0" fontId="35" fillId="0" borderId="129" xfId="6" applyFont="1" applyBorder="1" applyAlignment="1">
      <alignment horizontal="left" vertical="center"/>
    </xf>
    <xf numFmtId="0" fontId="33" fillId="16" borderId="131" xfId="6" applyFont="1" applyFill="1" applyBorder="1"/>
    <xf numFmtId="0" fontId="35" fillId="0" borderId="123" xfId="6" applyFont="1" applyBorder="1" applyAlignment="1">
      <alignment horizontal="center"/>
    </xf>
    <xf numFmtId="0" fontId="35" fillId="0" borderId="124" xfId="6" applyFont="1" applyBorder="1" applyAlignment="1">
      <alignment horizontal="center"/>
    </xf>
    <xf numFmtId="0" fontId="35" fillId="16" borderId="123" xfId="6" applyFont="1" applyFill="1" applyBorder="1" applyAlignment="1">
      <alignment horizontal="left" vertical="center"/>
    </xf>
    <xf numFmtId="0" fontId="35" fillId="16" borderId="126" xfId="6" applyFont="1" applyFill="1" applyBorder="1" applyAlignment="1">
      <alignment horizontal="center" vertical="center"/>
    </xf>
    <xf numFmtId="0" fontId="33" fillId="16" borderId="123" xfId="6" applyFont="1" applyFill="1" applyBorder="1" applyAlignment="1">
      <alignment horizontal="left"/>
    </xf>
    <xf numFmtId="0" fontId="33" fillId="0" borderId="135" xfId="6" applyFont="1" applyBorder="1"/>
    <xf numFmtId="0" fontId="33" fillId="0" borderId="136" xfId="6" applyFont="1" applyBorder="1"/>
    <xf numFmtId="0" fontId="5" fillId="0" borderId="136" xfId="6" applyBorder="1"/>
    <xf numFmtId="0" fontId="33" fillId="0" borderId="137" xfId="6" applyFont="1" applyBorder="1"/>
    <xf numFmtId="0" fontId="43" fillId="16" borderId="138" xfId="6" applyFont="1" applyFill="1" applyBorder="1" applyAlignment="1">
      <alignment horizontal="left"/>
    </xf>
    <xf numFmtId="0" fontId="3" fillId="16" borderId="138" xfId="6" applyFont="1" applyFill="1" applyBorder="1" applyAlignment="1">
      <alignment vertical="center"/>
    </xf>
    <xf numFmtId="0" fontId="35" fillId="16" borderId="138" xfId="6" applyFont="1" applyFill="1" applyBorder="1" applyAlignment="1">
      <alignment horizontal="center" vertical="center"/>
    </xf>
    <xf numFmtId="0" fontId="35" fillId="16" borderId="139" xfId="6" applyFont="1" applyFill="1" applyBorder="1" applyAlignment="1">
      <alignment horizontal="center" vertical="center"/>
    </xf>
    <xf numFmtId="0" fontId="35" fillId="19" borderId="140" xfId="6" applyFont="1" applyFill="1" applyBorder="1" applyAlignment="1">
      <alignment horizontal="left"/>
    </xf>
    <xf numFmtId="0" fontId="35" fillId="0" borderId="140" xfId="6" applyFont="1" applyBorder="1" applyAlignment="1">
      <alignment horizontal="left" shrinkToFit="1"/>
    </xf>
    <xf numFmtId="0" fontId="3" fillId="0" borderId="140" xfId="6" applyFont="1" applyBorder="1" applyAlignment="1">
      <alignment vertical="center"/>
    </xf>
    <xf numFmtId="0" fontId="35" fillId="0" borderId="140" xfId="6" applyFont="1" applyBorder="1" applyAlignment="1">
      <alignment horizontal="center" vertical="center"/>
    </xf>
    <xf numFmtId="0" fontId="35" fillId="0" borderId="141" xfId="6" applyFont="1" applyBorder="1" applyAlignment="1">
      <alignment horizontal="center" vertical="center"/>
    </xf>
    <xf numFmtId="0" fontId="35" fillId="14" borderId="142" xfId="6" applyFont="1" applyFill="1" applyBorder="1" applyAlignment="1">
      <alignment horizontal="center" vertical="center"/>
    </xf>
    <xf numFmtId="0" fontId="35" fillId="16" borderId="140" xfId="6" applyFont="1" applyFill="1" applyBorder="1" applyAlignment="1">
      <alignment horizontal="left" shrinkToFit="1"/>
    </xf>
    <xf numFmtId="0" fontId="3" fillId="16" borderId="140" xfId="6" applyFont="1" applyFill="1" applyBorder="1" applyAlignment="1">
      <alignment vertical="center"/>
    </xf>
    <xf numFmtId="0" fontId="35" fillId="16" borderId="140" xfId="6" applyFont="1" applyFill="1" applyBorder="1" applyAlignment="1">
      <alignment horizontal="center" vertical="center"/>
    </xf>
    <xf numFmtId="0" fontId="35" fillId="16" borderId="141" xfId="6" applyFont="1" applyFill="1" applyBorder="1" applyAlignment="1">
      <alignment horizontal="center" vertical="center"/>
    </xf>
    <xf numFmtId="0" fontId="35" fillId="16" borderId="142" xfId="6" applyFont="1" applyFill="1" applyBorder="1" applyAlignment="1">
      <alignment horizontal="center" vertical="center"/>
    </xf>
    <xf numFmtId="0" fontId="43" fillId="16" borderId="140" xfId="6" applyFont="1" applyFill="1" applyBorder="1" applyAlignment="1">
      <alignment horizontal="left" shrinkToFit="1"/>
    </xf>
    <xf numFmtId="0" fontId="35" fillId="0" borderId="123" xfId="6" applyFont="1" applyBorder="1" applyAlignment="1">
      <alignment horizontal="left" shrinkToFit="1"/>
    </xf>
    <xf numFmtId="0" fontId="28" fillId="7" borderId="143" xfId="1" applyFont="1" applyFill="1" applyBorder="1" applyAlignment="1">
      <alignment horizontal="centerContinuous" vertical="center"/>
    </xf>
    <xf numFmtId="0" fontId="28" fillId="7" borderId="144" xfId="1" applyFont="1" applyFill="1" applyBorder="1" applyAlignment="1">
      <alignment horizontal="centerContinuous" vertical="center"/>
    </xf>
    <xf numFmtId="0" fontId="28" fillId="7" borderId="145" xfId="1" applyFont="1" applyFill="1" applyBorder="1" applyAlignment="1">
      <alignment horizontal="centerContinuous" vertical="center"/>
    </xf>
    <xf numFmtId="0" fontId="33" fillId="0" borderId="143" xfId="6" applyFont="1" applyBorder="1"/>
    <xf numFmtId="0" fontId="33" fillId="0" borderId="144" xfId="6" applyFont="1" applyBorder="1"/>
    <xf numFmtId="0" fontId="5" fillId="0" borderId="144" xfId="6" applyBorder="1"/>
    <xf numFmtId="0" fontId="33" fillId="0" borderId="145" xfId="6" applyFont="1" applyBorder="1"/>
    <xf numFmtId="0" fontId="35" fillId="3" borderId="146" xfId="6" applyFont="1" applyFill="1" applyBorder="1" applyAlignment="1">
      <alignment horizontal="left"/>
    </xf>
    <xf numFmtId="0" fontId="3" fillId="0" borderId="146" xfId="6" applyFont="1" applyBorder="1" applyAlignment="1">
      <alignment vertical="center"/>
    </xf>
    <xf numFmtId="0" fontId="35" fillId="0" borderId="146" xfId="6" applyFont="1" applyBorder="1" applyAlignment="1">
      <alignment horizontal="center" vertical="center"/>
    </xf>
    <xf numFmtId="0" fontId="35" fillId="0" borderId="147" xfId="6" applyFont="1" applyBorder="1" applyAlignment="1">
      <alignment horizontal="center" vertical="center"/>
    </xf>
    <xf numFmtId="0" fontId="35" fillId="14" borderId="148" xfId="6" applyFont="1" applyFill="1" applyBorder="1" applyAlignment="1">
      <alignment horizontal="center" vertical="center"/>
    </xf>
    <xf numFmtId="0" fontId="35" fillId="0" borderId="149" xfId="6" applyFont="1" applyBorder="1" applyAlignment="1">
      <alignment horizontal="left"/>
    </xf>
    <xf numFmtId="0" fontId="3" fillId="0" borderId="149" xfId="6" applyFont="1" applyBorder="1" applyAlignment="1">
      <alignment vertical="center"/>
    </xf>
    <xf numFmtId="0" fontId="35" fillId="0" borderId="149" xfId="6" applyFont="1" applyBorder="1" applyAlignment="1">
      <alignment horizontal="center" vertical="center"/>
    </xf>
    <xf numFmtId="0" fontId="35" fillId="0" borderId="150" xfId="6" applyFont="1" applyBorder="1" applyAlignment="1">
      <alignment horizontal="center" vertical="center"/>
    </xf>
    <xf numFmtId="0" fontId="35" fillId="14" borderId="151" xfId="6" applyFont="1" applyFill="1" applyBorder="1" applyAlignment="1">
      <alignment horizontal="center" vertical="center"/>
    </xf>
    <xf numFmtId="0" fontId="43" fillId="16" borderId="146" xfId="6" applyFont="1" applyFill="1" applyBorder="1" applyAlignment="1">
      <alignment horizontal="left"/>
    </xf>
    <xf numFmtId="0" fontId="3" fillId="16" borderId="146" xfId="6" applyFont="1" applyFill="1" applyBorder="1" applyAlignment="1">
      <alignment vertical="center"/>
    </xf>
    <xf numFmtId="0" fontId="35" fillId="16" borderId="146" xfId="6" applyFont="1" applyFill="1" applyBorder="1" applyAlignment="1">
      <alignment horizontal="center" vertical="center"/>
    </xf>
    <xf numFmtId="0" fontId="35" fillId="16" borderId="147" xfId="6" applyFont="1" applyFill="1" applyBorder="1" applyAlignment="1">
      <alignment horizontal="center" vertical="center"/>
    </xf>
    <xf numFmtId="0" fontId="35" fillId="16" borderId="149" xfId="6" applyFont="1" applyFill="1" applyBorder="1" applyAlignment="1">
      <alignment horizontal="center" vertical="center"/>
    </xf>
    <xf numFmtId="0" fontId="35" fillId="16" borderId="150" xfId="6" applyFont="1" applyFill="1" applyBorder="1" applyAlignment="1">
      <alignment horizontal="center" vertical="center"/>
    </xf>
    <xf numFmtId="49" fontId="43" fillId="16" borderId="148" xfId="6" applyNumberFormat="1" applyFont="1" applyFill="1" applyBorder="1" applyAlignment="1">
      <alignment horizontal="center" vertical="center"/>
    </xf>
    <xf numFmtId="0" fontId="43" fillId="16" borderId="149" xfId="6" applyFont="1" applyFill="1" applyBorder="1" applyAlignment="1">
      <alignment horizontal="left"/>
    </xf>
    <xf numFmtId="0" fontId="3" fillId="16" borderId="149" xfId="6" applyFont="1" applyFill="1" applyBorder="1" applyAlignment="1">
      <alignment vertical="center"/>
    </xf>
    <xf numFmtId="0" fontId="43" fillId="16" borderId="148" xfId="6" applyFont="1" applyFill="1" applyBorder="1" applyAlignment="1">
      <alignment horizontal="center" vertical="center"/>
    </xf>
    <xf numFmtId="0" fontId="35" fillId="17" borderId="149" xfId="6" applyFont="1" applyFill="1" applyBorder="1" applyAlignment="1">
      <alignment horizontal="left"/>
    </xf>
    <xf numFmtId="0" fontId="35" fillId="14" borderId="152" xfId="6" applyFont="1" applyFill="1" applyBorder="1" applyAlignment="1">
      <alignment horizontal="center" vertical="center"/>
    </xf>
    <xf numFmtId="0" fontId="35" fillId="15" borderId="149" xfId="6" applyFont="1" applyFill="1" applyBorder="1" applyAlignment="1">
      <alignment horizontal="left" vertical="center"/>
    </xf>
    <xf numFmtId="49" fontId="35" fillId="14" borderId="152" xfId="6" applyNumberFormat="1" applyFont="1" applyFill="1" applyBorder="1" applyAlignment="1">
      <alignment horizontal="center" vertical="center"/>
    </xf>
    <xf numFmtId="0" fontId="35" fillId="18" borderId="149" xfId="6" applyFont="1" applyFill="1" applyBorder="1" applyAlignment="1">
      <alignment horizontal="left"/>
    </xf>
    <xf numFmtId="0" fontId="33" fillId="0" borderId="150" xfId="6" applyFont="1" applyBorder="1" applyAlignment="1">
      <alignment horizontal="center" vertical="center"/>
    </xf>
    <xf numFmtId="0" fontId="33" fillId="14" borderId="152" xfId="6" applyFont="1" applyFill="1" applyBorder="1" applyAlignment="1">
      <alignment horizontal="center" vertical="center"/>
    </xf>
    <xf numFmtId="0" fontId="35" fillId="0" borderId="153" xfId="6" applyFont="1" applyBorder="1" applyAlignment="1">
      <alignment horizontal="left"/>
    </xf>
    <xf numFmtId="0" fontId="3" fillId="0" borderId="153" xfId="6" applyFont="1" applyBorder="1" applyAlignment="1">
      <alignment vertical="center"/>
    </xf>
    <xf numFmtId="0" fontId="35" fillId="0" borderId="153" xfId="6" applyFont="1" applyBorder="1" applyAlignment="1">
      <alignment horizontal="center" vertical="center"/>
    </xf>
    <xf numFmtId="0" fontId="35" fillId="0" borderId="154" xfId="6" applyFont="1" applyBorder="1" applyAlignment="1">
      <alignment horizontal="center" vertical="center"/>
    </xf>
    <xf numFmtId="0" fontId="35" fillId="14" borderId="155" xfId="6" applyFont="1" applyFill="1" applyBorder="1" applyAlignment="1">
      <alignment horizontal="center" vertical="center"/>
    </xf>
    <xf numFmtId="0" fontId="35" fillId="19" borderId="149" xfId="6" applyFont="1" applyFill="1" applyBorder="1" applyAlignment="1">
      <alignment horizontal="left"/>
    </xf>
    <xf numFmtId="0" fontId="35" fillId="16" borderId="149" xfId="6" applyFont="1" applyFill="1" applyBorder="1" applyAlignment="1">
      <alignment horizontal="left"/>
    </xf>
    <xf numFmtId="49" fontId="35" fillId="16" borderId="152" xfId="6" applyNumberFormat="1" applyFont="1" applyFill="1" applyBorder="1" applyAlignment="1">
      <alignment horizontal="center" vertical="center"/>
    </xf>
    <xf numFmtId="0" fontId="33" fillId="0" borderId="154" xfId="6" applyFont="1" applyBorder="1" applyAlignment="1">
      <alignment horizontal="center" vertical="center"/>
    </xf>
    <xf numFmtId="0" fontId="33" fillId="14" borderId="155" xfId="6" applyFont="1" applyFill="1" applyBorder="1" applyAlignment="1">
      <alignment horizontal="center" vertical="center"/>
    </xf>
    <xf numFmtId="49" fontId="35" fillId="14" borderId="155" xfId="6" applyNumberFormat="1" applyFont="1" applyFill="1" applyBorder="1" applyAlignment="1">
      <alignment horizontal="center" vertical="center"/>
    </xf>
    <xf numFmtId="0" fontId="35" fillId="0" borderId="149" xfId="6" applyFont="1" applyBorder="1"/>
    <xf numFmtId="0" fontId="35" fillId="16" borderId="152" xfId="6" applyFont="1" applyFill="1" applyBorder="1" applyAlignment="1">
      <alignment horizontal="center" vertical="center"/>
    </xf>
    <xf numFmtId="0" fontId="33" fillId="0" borderId="156" xfId="6" applyFont="1" applyBorder="1"/>
    <xf numFmtId="0" fontId="33" fillId="0" borderId="157" xfId="6" applyFont="1" applyBorder="1"/>
    <xf numFmtId="0" fontId="33" fillId="0" borderId="158" xfId="6" applyFont="1" applyBorder="1"/>
    <xf numFmtId="22" fontId="35" fillId="14" borderId="152" xfId="6" applyNumberFormat="1" applyFont="1" applyFill="1" applyBorder="1" applyAlignment="1">
      <alignment horizontal="center" vertical="center"/>
    </xf>
    <xf numFmtId="0" fontId="35" fillId="16" borderId="153" xfId="6" applyFont="1" applyFill="1" applyBorder="1" applyAlignment="1">
      <alignment horizontal="left"/>
    </xf>
    <xf numFmtId="0" fontId="3" fillId="16" borderId="153" xfId="6" applyFont="1" applyFill="1" applyBorder="1" applyAlignment="1">
      <alignment vertical="center"/>
    </xf>
    <xf numFmtId="0" fontId="35" fillId="16" borderId="153" xfId="6" applyFont="1" applyFill="1" applyBorder="1" applyAlignment="1">
      <alignment horizontal="center" vertical="center"/>
    </xf>
    <xf numFmtId="0" fontId="35" fillId="16" borderId="154" xfId="6" applyFont="1" applyFill="1" applyBorder="1" applyAlignment="1">
      <alignment horizontal="center" vertical="center"/>
    </xf>
    <xf numFmtId="0" fontId="35" fillId="16" borderId="155" xfId="6" applyFont="1" applyFill="1" applyBorder="1" applyAlignment="1">
      <alignment horizontal="center" vertical="center"/>
    </xf>
    <xf numFmtId="0" fontId="35" fillId="0" borderId="146" xfId="6" applyFont="1" applyBorder="1" applyAlignment="1">
      <alignment horizontal="left"/>
    </xf>
    <xf numFmtId="0" fontId="35" fillId="14" borderId="159" xfId="6" applyFont="1" applyFill="1" applyBorder="1" applyAlignment="1">
      <alignment horizontal="center" vertical="center"/>
    </xf>
    <xf numFmtId="0" fontId="35" fillId="15" borderId="160" xfId="6" applyFont="1" applyFill="1" applyBorder="1" applyAlignment="1">
      <alignment horizontal="left"/>
    </xf>
    <xf numFmtId="0" fontId="35" fillId="0" borderId="160" xfId="6" applyFont="1" applyBorder="1" applyAlignment="1">
      <alignment horizontal="center" vertical="center"/>
    </xf>
    <xf numFmtId="0" fontId="35" fillId="0" borderId="161" xfId="6" applyFont="1" applyBorder="1" applyAlignment="1">
      <alignment horizontal="center" vertical="center"/>
    </xf>
    <xf numFmtId="0" fontId="43" fillId="16" borderId="152" xfId="6" applyFont="1" applyFill="1" applyBorder="1" applyAlignment="1">
      <alignment horizontal="center" vertical="center"/>
    </xf>
    <xf numFmtId="0" fontId="35" fillId="16" borderId="153" xfId="6" applyFont="1" applyFill="1" applyBorder="1"/>
    <xf numFmtId="0" fontId="35" fillId="16" borderId="149" xfId="6" applyFont="1" applyFill="1" applyBorder="1"/>
    <xf numFmtId="0" fontId="35" fillId="0" borderId="153" xfId="6" applyFont="1" applyBorder="1"/>
    <xf numFmtId="0" fontId="35" fillId="0" borderId="146" xfId="6" applyFont="1" applyBorder="1"/>
    <xf numFmtId="0" fontId="33" fillId="0" borderId="162" xfId="6" applyFont="1" applyBorder="1"/>
    <xf numFmtId="0" fontId="33" fillId="0" borderId="163" xfId="6" applyFont="1" applyBorder="1"/>
    <xf numFmtId="0" fontId="33" fillId="0" borderId="164" xfId="6" applyFont="1" applyBorder="1"/>
    <xf numFmtId="0" fontId="45" fillId="13" borderId="165" xfId="6" applyFont="1" applyFill="1" applyBorder="1"/>
    <xf numFmtId="0" fontId="45" fillId="13" borderId="166" xfId="6" applyFont="1" applyFill="1" applyBorder="1"/>
    <xf numFmtId="0" fontId="45" fillId="13" borderId="167" xfId="6" applyFont="1" applyFill="1" applyBorder="1"/>
    <xf numFmtId="0" fontId="45" fillId="13" borderId="168" xfId="6" applyFont="1" applyFill="1" applyBorder="1"/>
    <xf numFmtId="0" fontId="33" fillId="0" borderId="169" xfId="6" applyFont="1" applyBorder="1"/>
    <xf numFmtId="0" fontId="33" fillId="0" borderId="170" xfId="6" quotePrefix="1" applyFont="1" applyBorder="1" applyAlignment="1">
      <alignment horizontal="center"/>
    </xf>
    <xf numFmtId="0" fontId="33" fillId="0" borderId="171" xfId="6" applyFont="1" applyBorder="1"/>
    <xf numFmtId="0" fontId="33" fillId="0" borderId="172" xfId="6" applyFont="1" applyBorder="1"/>
    <xf numFmtId="0" fontId="33" fillId="0" borderId="173" xfId="6" applyFont="1" applyBorder="1"/>
    <xf numFmtId="0" fontId="33" fillId="0" borderId="174" xfId="6" applyFont="1" applyBorder="1"/>
    <xf numFmtId="0" fontId="33" fillId="0" borderId="175" xfId="6" applyFont="1" applyBorder="1"/>
    <xf numFmtId="0" fontId="5" fillId="0" borderId="163" xfId="6" applyBorder="1"/>
    <xf numFmtId="0" fontId="33" fillId="0" borderId="176" xfId="6" applyFont="1" applyBorder="1"/>
    <xf numFmtId="0" fontId="43" fillId="16" borderId="148" xfId="6" applyFont="1" applyFill="1" applyBorder="1" applyAlignment="1">
      <alignment horizontal="center"/>
    </xf>
    <xf numFmtId="0" fontId="35" fillId="15" borderId="149" xfId="6" applyFont="1" applyFill="1" applyBorder="1" applyAlignment="1">
      <alignment horizontal="left"/>
    </xf>
    <xf numFmtId="0" fontId="33" fillId="14" borderId="152" xfId="6" applyFont="1" applyFill="1" applyBorder="1" applyAlignment="1">
      <alignment horizontal="center"/>
    </xf>
    <xf numFmtId="0" fontId="35" fillId="0" borderId="153" xfId="6" applyFont="1" applyBorder="1" applyAlignment="1">
      <alignment horizontal="left" vertical="center"/>
    </xf>
    <xf numFmtId="0" fontId="33" fillId="14" borderId="155" xfId="6" applyFont="1" applyFill="1" applyBorder="1" applyAlignment="1">
      <alignment horizontal="center"/>
    </xf>
    <xf numFmtId="0" fontId="33" fillId="14" borderId="159" xfId="6" applyFont="1" applyFill="1" applyBorder="1" applyAlignment="1">
      <alignment horizontal="center"/>
    </xf>
    <xf numFmtId="0" fontId="33" fillId="16" borderId="155" xfId="6" applyFont="1" applyFill="1" applyBorder="1" applyAlignment="1">
      <alignment horizontal="center"/>
    </xf>
    <xf numFmtId="0" fontId="35" fillId="0" borderId="149" xfId="6" applyFont="1" applyBorder="1" applyAlignment="1">
      <alignment horizontal="center"/>
    </xf>
    <xf numFmtId="0" fontId="35" fillId="0" borderId="150" xfId="6" applyFont="1" applyBorder="1" applyAlignment="1">
      <alignment horizontal="center"/>
    </xf>
    <xf numFmtId="0" fontId="33" fillId="14" borderId="152" xfId="6" applyFont="1" applyFill="1" applyBorder="1"/>
    <xf numFmtId="0" fontId="6" fillId="0" borderId="177" xfId="1" applyFont="1" applyBorder="1" applyAlignment="1">
      <alignment vertical="center"/>
    </xf>
    <xf numFmtId="0" fontId="6" fillId="0" borderId="178" xfId="1" applyFont="1" applyBorder="1" applyAlignment="1">
      <alignment vertical="center"/>
    </xf>
    <xf numFmtId="0" fontId="6" fillId="0" borderId="179" xfId="1" applyFont="1" applyBorder="1" applyAlignment="1">
      <alignment vertical="center"/>
    </xf>
    <xf numFmtId="0" fontId="47" fillId="0" borderId="177" xfId="0" applyFont="1" applyBorder="1"/>
    <xf numFmtId="0" fontId="47" fillId="0" borderId="178" xfId="0" applyFont="1" applyBorder="1"/>
    <xf numFmtId="0" fontId="47" fillId="0" borderId="179" xfId="0" applyFont="1" applyBorder="1"/>
    <xf numFmtId="0" fontId="47" fillId="0" borderId="135" xfId="0" applyFont="1" applyBorder="1"/>
    <xf numFmtId="0" fontId="47" fillId="0" borderId="136" xfId="0" applyFont="1" applyBorder="1"/>
    <xf numFmtId="0" fontId="47" fillId="0" borderId="137" xfId="0" applyFont="1" applyBorder="1"/>
    <xf numFmtId="0" fontId="47" fillId="0" borderId="136" xfId="0" applyFont="1" applyBorder="1" applyAlignment="1">
      <alignment horizontal="left"/>
    </xf>
    <xf numFmtId="0" fontId="47" fillId="0" borderId="136" xfId="0" quotePrefix="1" applyFont="1" applyBorder="1"/>
    <xf numFmtId="0" fontId="52" fillId="20" borderId="136" xfId="0" applyFont="1" applyFill="1" applyBorder="1"/>
    <xf numFmtId="0" fontId="50" fillId="20" borderId="136" xfId="0" applyFont="1" applyFill="1" applyBorder="1"/>
    <xf numFmtId="0" fontId="52" fillId="24" borderId="136" xfId="0" applyFont="1" applyFill="1" applyBorder="1"/>
    <xf numFmtId="0" fontId="47" fillId="0" borderId="136" xfId="0" applyFont="1" applyBorder="1" applyAlignment="1">
      <alignment shrinkToFit="1"/>
    </xf>
    <xf numFmtId="0" fontId="50" fillId="3" borderId="136" xfId="0" applyFont="1" applyFill="1" applyBorder="1" applyAlignment="1">
      <alignment shrinkToFit="1"/>
    </xf>
    <xf numFmtId="0" fontId="52" fillId="24" borderId="136" xfId="0" applyFont="1" applyFill="1" applyBorder="1" applyAlignment="1">
      <alignment shrinkToFit="1"/>
    </xf>
    <xf numFmtId="0" fontId="47" fillId="21" borderId="180" xfId="0" applyFont="1" applyFill="1" applyBorder="1"/>
    <xf numFmtId="0" fontId="47" fillId="21" borderId="181" xfId="0" applyFont="1" applyFill="1" applyBorder="1"/>
    <xf numFmtId="0" fontId="47" fillId="21" borderId="180" xfId="0" applyFont="1" applyFill="1" applyBorder="1" applyAlignment="1">
      <alignment horizontal="left"/>
    </xf>
    <xf numFmtId="0" fontId="47" fillId="21" borderId="182" xfId="0" applyFont="1" applyFill="1" applyBorder="1" applyAlignment="1">
      <alignment horizontal="left"/>
    </xf>
    <xf numFmtId="0" fontId="47" fillId="21" borderId="181" xfId="0" applyFont="1" applyFill="1" applyBorder="1" applyAlignment="1">
      <alignment horizontal="left"/>
    </xf>
    <xf numFmtId="0" fontId="47" fillId="21" borderId="180" xfId="0" quotePrefix="1" applyFont="1" applyFill="1" applyBorder="1" applyAlignment="1">
      <alignment horizontal="left"/>
    </xf>
    <xf numFmtId="0" fontId="47" fillId="21" borderId="182" xfId="0" applyFont="1" applyFill="1" applyBorder="1"/>
    <xf numFmtId="0" fontId="47" fillId="21" borderId="182" xfId="0" applyFont="1" applyFill="1" applyBorder="1" applyAlignment="1">
      <alignment horizontal="right"/>
    </xf>
    <xf numFmtId="0" fontId="47" fillId="0" borderId="178" xfId="0" applyFont="1" applyBorder="1" applyAlignment="1">
      <alignment horizontal="left"/>
    </xf>
    <xf numFmtId="0" fontId="47" fillId="0" borderId="183" xfId="0" applyFont="1" applyBorder="1"/>
    <xf numFmtId="0" fontId="47" fillId="0" borderId="177" xfId="0" quotePrefix="1" applyFont="1" applyBorder="1" applyAlignment="1">
      <alignment horizontal="left"/>
    </xf>
    <xf numFmtId="0" fontId="47" fillId="0" borderId="177" xfId="0" quotePrefix="1" applyFont="1" applyBorder="1"/>
    <xf numFmtId="0" fontId="47" fillId="0" borderId="179" xfId="0" applyFont="1" applyBorder="1" applyAlignment="1">
      <alignment horizontal="left"/>
    </xf>
    <xf numFmtId="0" fontId="17" fillId="0" borderId="179" xfId="0" applyFont="1" applyBorder="1"/>
    <xf numFmtId="0" fontId="47" fillId="0" borderId="118" xfId="0" applyFont="1" applyBorder="1"/>
    <xf numFmtId="0" fontId="47" fillId="0" borderId="178" xfId="0" applyFont="1" applyBorder="1" applyAlignment="1">
      <alignment horizontal="right"/>
    </xf>
    <xf numFmtId="0" fontId="50" fillId="0" borderId="136" xfId="0" applyFont="1" applyBorder="1"/>
    <xf numFmtId="0" fontId="17" fillId="0" borderId="136" xfId="0" applyFont="1" applyBorder="1"/>
    <xf numFmtId="0" fontId="47" fillId="6" borderId="114" xfId="0" applyFont="1" applyFill="1" applyBorder="1"/>
    <xf numFmtId="0" fontId="47" fillId="6" borderId="115" xfId="0" applyFont="1" applyFill="1" applyBorder="1"/>
    <xf numFmtId="0" fontId="47" fillId="6" borderId="177" xfId="0" applyFont="1" applyFill="1" applyBorder="1"/>
    <xf numFmtId="0" fontId="47" fillId="6" borderId="178" xfId="0" applyFont="1" applyFill="1" applyBorder="1"/>
    <xf numFmtId="0" fontId="47" fillId="6" borderId="179" xfId="0" applyFont="1" applyFill="1" applyBorder="1"/>
    <xf numFmtId="0" fontId="47" fillId="6" borderId="135" xfId="0" applyFont="1" applyFill="1" applyBorder="1"/>
    <xf numFmtId="0" fontId="47" fillId="6" borderId="136" xfId="0" applyFont="1" applyFill="1" applyBorder="1"/>
    <xf numFmtId="0" fontId="47" fillId="6" borderId="137" xfId="0" applyFont="1" applyFill="1" applyBorder="1"/>
    <xf numFmtId="0" fontId="47" fillId="0" borderId="136" xfId="0" quotePrefix="1" applyFont="1" applyBorder="1" applyAlignment="1">
      <alignment horizontal="center"/>
    </xf>
    <xf numFmtId="0" fontId="17" fillId="3" borderId="136" xfId="0" applyFont="1" applyFill="1" applyBorder="1" applyAlignment="1">
      <alignment shrinkToFit="1"/>
    </xf>
    <xf numFmtId="0" fontId="17" fillId="3" borderId="136" xfId="0" applyFont="1" applyFill="1" applyBorder="1"/>
    <xf numFmtId="0" fontId="17" fillId="3" borderId="178" xfId="0" applyFont="1" applyFill="1" applyBorder="1"/>
    <xf numFmtId="0" fontId="0" fillId="0" borderId="136" xfId="0" applyBorder="1" applyAlignment="1">
      <alignment vertical="center"/>
    </xf>
    <xf numFmtId="0" fontId="21" fillId="0" borderId="136" xfId="0" applyFont="1" applyBorder="1" applyAlignment="1">
      <alignment vertical="center" wrapText="1"/>
    </xf>
    <xf numFmtId="0" fontId="3" fillId="0" borderId="136" xfId="0" applyFont="1" applyBorder="1" applyAlignment="1">
      <alignment vertical="center" wrapText="1"/>
    </xf>
    <xf numFmtId="0" fontId="3" fillId="0" borderId="136" xfId="0" applyFont="1" applyBorder="1" applyAlignment="1">
      <alignment horizontal="center" vertical="center"/>
    </xf>
    <xf numFmtId="0" fontId="3" fillId="0" borderId="136" xfId="0" applyFont="1" applyBorder="1" applyAlignment="1">
      <alignment vertical="top" wrapText="1"/>
    </xf>
    <xf numFmtId="0" fontId="8" fillId="0" borderId="136" xfId="0" applyFont="1" applyBorder="1" applyAlignment="1">
      <alignment vertical="top" wrapText="1"/>
    </xf>
    <xf numFmtId="0" fontId="3" fillId="3" borderId="136" xfId="0" applyFont="1" applyFill="1" applyBorder="1" applyAlignment="1">
      <alignment vertical="top" wrapText="1"/>
    </xf>
    <xf numFmtId="0" fontId="3" fillId="0" borderId="136" xfId="0" applyFont="1" applyBorder="1" applyAlignment="1">
      <alignment horizontal="center" wrapText="1"/>
    </xf>
    <xf numFmtId="0" fontId="8" fillId="0" borderId="136" xfId="0" applyFont="1" applyBorder="1" applyAlignment="1">
      <alignment horizontal="center" wrapText="1"/>
    </xf>
    <xf numFmtId="0" fontId="0" fillId="0" borderId="136" xfId="0" applyBorder="1"/>
    <xf numFmtId="0" fontId="3" fillId="5" borderId="119" xfId="0" applyFont="1" applyFill="1" applyBorder="1" applyAlignment="1">
      <alignment horizontal="center" vertical="center"/>
    </xf>
    <xf numFmtId="0" fontId="3" fillId="5" borderId="119" xfId="0" applyFont="1" applyFill="1" applyBorder="1" applyAlignment="1">
      <alignment horizontal="center" vertical="center" wrapText="1"/>
    </xf>
    <xf numFmtId="0" fontId="9" fillId="2" borderId="185" xfId="0" applyFont="1" applyFill="1" applyBorder="1" applyAlignment="1">
      <alignment horizontal="center" vertical="center" wrapText="1"/>
    </xf>
    <xf numFmtId="0" fontId="6" fillId="3" borderId="187" xfId="0" applyFont="1" applyFill="1" applyBorder="1" applyAlignment="1">
      <alignment horizontal="center" vertical="center" wrapText="1"/>
    </xf>
    <xf numFmtId="0" fontId="6" fillId="3" borderId="188" xfId="0" applyFont="1" applyFill="1" applyBorder="1" applyAlignment="1">
      <alignment horizontal="left" vertical="center" wrapText="1"/>
    </xf>
    <xf numFmtId="0" fontId="6" fillId="3" borderId="188" xfId="0" applyFont="1" applyFill="1" applyBorder="1" applyAlignment="1">
      <alignment horizontal="center" vertical="center" wrapText="1"/>
    </xf>
    <xf numFmtId="0" fontId="6" fillId="3" borderId="188" xfId="0" applyFont="1" applyFill="1" applyBorder="1" applyAlignment="1">
      <alignment horizontal="left" vertical="top" wrapText="1"/>
    </xf>
    <xf numFmtId="0" fontId="6" fillId="5" borderId="188" xfId="0" applyFont="1" applyFill="1" applyBorder="1" applyAlignment="1">
      <alignment horizontal="center" vertical="center" wrapText="1"/>
    </xf>
    <xf numFmtId="0" fontId="5" fillId="3" borderId="189" xfId="0" applyFont="1" applyFill="1" applyBorder="1" applyAlignment="1">
      <alignment horizontal="left" vertical="top"/>
    </xf>
    <xf numFmtId="0" fontId="10" fillId="3" borderId="178" xfId="0" applyFont="1" applyFill="1" applyBorder="1" applyAlignment="1">
      <alignment horizontal="center" vertical="top" wrapText="1"/>
    </xf>
    <xf numFmtId="0" fontId="6" fillId="0" borderId="190" xfId="0" applyFont="1" applyBorder="1" applyAlignment="1">
      <alignment horizontal="center" vertical="center" wrapText="1"/>
    </xf>
    <xf numFmtId="0" fontId="0" fillId="0" borderId="191" xfId="0" applyBorder="1" applyAlignment="1">
      <alignment vertical="center"/>
    </xf>
    <xf numFmtId="0" fontId="21" fillId="0" borderId="191" xfId="0" applyFont="1" applyBorder="1" applyAlignment="1">
      <alignment vertical="center" wrapText="1"/>
    </xf>
    <xf numFmtId="0" fontId="3" fillId="0" borderId="191" xfId="0" applyFont="1" applyBorder="1" applyAlignment="1">
      <alignment vertical="center" wrapText="1"/>
    </xf>
    <xf numFmtId="0" fontId="3" fillId="0" borderId="191" xfId="0" applyFont="1" applyBorder="1" applyAlignment="1">
      <alignment horizontal="center" vertical="center"/>
    </xf>
    <xf numFmtId="0" fontId="3" fillId="3" borderId="191" xfId="0" applyFont="1" applyFill="1" applyBorder="1" applyAlignment="1">
      <alignment vertical="top" wrapText="1"/>
    </xf>
    <xf numFmtId="0" fontId="3" fillId="0" borderId="191" xfId="0" applyFont="1" applyBorder="1" applyAlignment="1">
      <alignment horizontal="center" wrapText="1"/>
    </xf>
    <xf numFmtId="0" fontId="10" fillId="0" borderId="191" xfId="0" applyFont="1" applyBorder="1" applyAlignment="1">
      <alignment horizontal="center" vertical="top" wrapText="1"/>
    </xf>
    <xf numFmtId="0" fontId="6" fillId="10" borderId="184" xfId="0" applyFont="1" applyFill="1" applyBorder="1" applyAlignment="1">
      <alignment horizontal="center" vertical="center" wrapText="1"/>
    </xf>
    <xf numFmtId="0" fontId="6" fillId="10" borderId="185" xfId="0" applyFont="1" applyFill="1" applyBorder="1" applyAlignment="1">
      <alignment vertical="center" wrapText="1"/>
    </xf>
    <xf numFmtId="0" fontId="6" fillId="10" borderId="185" xfId="0" applyFont="1" applyFill="1" applyBorder="1" applyAlignment="1">
      <alignment horizontal="left" vertical="top" wrapText="1"/>
    </xf>
    <xf numFmtId="0" fontId="6" fillId="10" borderId="185" xfId="0" applyFont="1" applyFill="1" applyBorder="1" applyAlignment="1">
      <alignment horizontal="center" vertical="center" wrapText="1"/>
    </xf>
    <xf numFmtId="0" fontId="6" fillId="10" borderId="185" xfId="0" applyFont="1" applyFill="1" applyBorder="1" applyAlignment="1">
      <alignment vertical="top" wrapText="1"/>
    </xf>
    <xf numFmtId="0" fontId="6" fillId="10" borderId="188" xfId="0" applyFont="1" applyFill="1" applyBorder="1" applyAlignment="1">
      <alignment horizontal="center" vertical="center" wrapText="1"/>
    </xf>
    <xf numFmtId="0" fontId="5" fillId="10" borderId="186" xfId="0" applyFont="1" applyFill="1" applyBorder="1" applyAlignment="1">
      <alignment vertical="top" wrapText="1"/>
    </xf>
    <xf numFmtId="0" fontId="3" fillId="0" borderId="191" xfId="3" applyFont="1" applyBorder="1" applyAlignment="1">
      <alignment vertical="top" wrapText="1"/>
    </xf>
    <xf numFmtId="0" fontId="8" fillId="0" borderId="191" xfId="3" applyFont="1" applyBorder="1" applyAlignment="1">
      <alignment vertical="top" wrapText="1"/>
    </xf>
    <xf numFmtId="0" fontId="3" fillId="0" borderId="191" xfId="0" applyFont="1" applyBorder="1" applyAlignment="1">
      <alignment horizontal="left" vertical="center" wrapText="1"/>
    </xf>
    <xf numFmtId="0" fontId="10" fillId="0" borderId="178" xfId="0" applyFont="1" applyBorder="1" applyAlignment="1">
      <alignment horizontal="center" vertical="top" wrapText="1"/>
    </xf>
    <xf numFmtId="0" fontId="10" fillId="0" borderId="191" xfId="0" applyFont="1" applyBorder="1" applyAlignment="1">
      <alignment horizontal="center" wrapText="1"/>
    </xf>
    <xf numFmtId="0" fontId="10" fillId="3" borderId="116" xfId="0" applyFont="1" applyFill="1" applyBorder="1" applyAlignment="1">
      <alignment horizontal="center" vertical="top" wrapText="1"/>
    </xf>
    <xf numFmtId="0" fontId="5" fillId="0" borderId="191" xfId="0" applyFont="1" applyBorder="1" applyAlignment="1">
      <alignment vertical="center"/>
    </xf>
    <xf numFmtId="0" fontId="31" fillId="0" borderId="191" xfId="0" applyFont="1" applyBorder="1" applyAlignment="1">
      <alignment vertical="center" wrapText="1"/>
    </xf>
    <xf numFmtId="0" fontId="6" fillId="0" borderId="191" xfId="0" applyFont="1" applyBorder="1" applyAlignment="1">
      <alignment horizontal="left" vertical="center" wrapText="1"/>
    </xf>
    <xf numFmtId="0" fontId="6" fillId="0" borderId="191" xfId="0" applyFont="1" applyBorder="1" applyAlignment="1">
      <alignment horizontal="center" vertical="center"/>
    </xf>
    <xf numFmtId="0" fontId="6" fillId="3" borderId="191" xfId="0" applyFont="1" applyFill="1" applyBorder="1" applyAlignment="1">
      <alignment vertical="top" wrapText="1"/>
    </xf>
    <xf numFmtId="0" fontId="6" fillId="0" borderId="191" xfId="0" applyFont="1" applyBorder="1" applyAlignment="1">
      <alignment horizontal="center" wrapText="1"/>
    </xf>
    <xf numFmtId="0" fontId="31" fillId="3" borderId="116" xfId="0" applyFont="1" applyFill="1" applyBorder="1" applyAlignment="1">
      <alignment horizontal="center" vertical="top" wrapText="1"/>
    </xf>
    <xf numFmtId="0" fontId="6" fillId="5" borderId="119" xfId="0" applyFont="1" applyFill="1" applyBorder="1" applyAlignment="1">
      <alignment horizontal="center" vertical="center"/>
    </xf>
    <xf numFmtId="0" fontId="6" fillId="5" borderId="119" xfId="0" applyFont="1" applyFill="1" applyBorder="1" applyAlignment="1">
      <alignment horizontal="center" vertical="center" wrapText="1"/>
    </xf>
    <xf numFmtId="0" fontId="6" fillId="0" borderId="194" xfId="0" applyFont="1" applyBorder="1" applyAlignment="1">
      <alignment horizontal="center" vertical="center" wrapText="1"/>
    </xf>
    <xf numFmtId="0" fontId="6" fillId="0" borderId="195" xfId="0" applyFont="1" applyBorder="1" applyAlignment="1">
      <alignment horizontal="left" vertical="top" wrapText="1"/>
    </xf>
    <xf numFmtId="0" fontId="6" fillId="0" borderId="195" xfId="0" applyFont="1" applyBorder="1" applyAlignment="1">
      <alignment horizontal="center" vertical="center" wrapText="1"/>
    </xf>
    <xf numFmtId="0" fontId="6" fillId="0" borderId="196" xfId="0" applyFont="1" applyBorder="1" applyAlignment="1">
      <alignment horizontal="center" vertical="center" wrapText="1"/>
    </xf>
    <xf numFmtId="0" fontId="6" fillId="0" borderId="197" xfId="0" applyFont="1" applyBorder="1" applyAlignment="1">
      <alignment horizontal="center" vertical="center" wrapText="1"/>
    </xf>
    <xf numFmtId="0" fontId="6" fillId="0" borderId="195" xfId="0" applyFont="1" applyBorder="1" applyAlignment="1">
      <alignment vertical="center" wrapText="1"/>
    </xf>
    <xf numFmtId="0" fontId="6" fillId="0" borderId="195" xfId="0" applyFont="1" applyBorder="1" applyAlignment="1">
      <alignment horizontal="center" vertical="center"/>
    </xf>
    <xf numFmtId="0" fontId="6" fillId="0" borderId="195" xfId="0" applyFont="1" applyBorder="1" applyAlignment="1">
      <alignment vertical="top" wrapText="1"/>
    </xf>
    <xf numFmtId="0" fontId="8" fillId="0" borderId="195" xfId="0" applyFont="1" applyBorder="1" applyAlignment="1">
      <alignment horizontal="left" vertical="top" wrapText="1"/>
    </xf>
    <xf numFmtId="0" fontId="80" fillId="0" borderId="195" xfId="0" applyFont="1" applyBorder="1" applyAlignment="1">
      <alignment horizontal="center" vertical="center" wrapText="1"/>
    </xf>
    <xf numFmtId="0" fontId="5" fillId="0" borderId="198" xfId="0" applyFont="1" applyBorder="1"/>
    <xf numFmtId="0" fontId="6" fillId="10" borderId="197" xfId="0" applyFont="1" applyFill="1" applyBorder="1" applyAlignment="1">
      <alignment horizontal="center" vertical="center" wrapText="1"/>
    </xf>
    <xf numFmtId="0" fontId="6" fillId="10" borderId="195" xfId="0" applyFont="1" applyFill="1" applyBorder="1" applyAlignment="1">
      <alignment vertical="center" wrapText="1"/>
    </xf>
    <xf numFmtId="0" fontId="6" fillId="10" borderId="195" xfId="0" applyFont="1" applyFill="1" applyBorder="1" applyAlignment="1">
      <alignment horizontal="center" vertical="center" wrapText="1"/>
    </xf>
    <xf numFmtId="0" fontId="6" fillId="10" borderId="195" xfId="0" applyFont="1" applyFill="1" applyBorder="1" applyAlignment="1">
      <alignment horizontal="center" vertical="center"/>
    </xf>
    <xf numFmtId="0" fontId="6" fillId="10" borderId="195" xfId="0" applyFont="1" applyFill="1" applyBorder="1" applyAlignment="1">
      <alignment vertical="top" wrapText="1"/>
    </xf>
    <xf numFmtId="0" fontId="6" fillId="10" borderId="195" xfId="0" quotePrefix="1" applyFont="1" applyFill="1" applyBorder="1" applyAlignment="1">
      <alignment horizontal="center" vertical="center" wrapText="1"/>
    </xf>
    <xf numFmtId="0" fontId="6" fillId="0" borderId="195" xfId="0" quotePrefix="1" applyFont="1" applyBorder="1" applyAlignment="1">
      <alignment horizontal="left" vertical="top" wrapText="1"/>
    </xf>
    <xf numFmtId="0" fontId="5" fillId="0" borderId="198" xfId="0" applyFont="1" applyBorder="1" applyAlignment="1">
      <alignment wrapText="1"/>
    </xf>
    <xf numFmtId="0" fontId="6" fillId="0" borderId="195" xfId="0" quotePrefix="1" applyFont="1" applyBorder="1" applyAlignment="1">
      <alignment horizontal="center" vertical="center" wrapText="1"/>
    </xf>
    <xf numFmtId="0" fontId="6" fillId="3" borderId="195" xfId="0" applyFont="1" applyFill="1" applyBorder="1" applyAlignment="1">
      <alignment horizontal="center" vertical="center" wrapText="1"/>
    </xf>
    <xf numFmtId="0" fontId="5" fillId="0" borderId="198" xfId="0" applyFont="1" applyBorder="1" applyAlignment="1">
      <alignment horizontal="left" vertical="center" wrapText="1"/>
    </xf>
    <xf numFmtId="0" fontId="6" fillId="0" borderId="199" xfId="0" applyFont="1" applyBorder="1" applyAlignment="1">
      <alignment horizontal="center" vertical="center" wrapText="1"/>
    </xf>
    <xf numFmtId="0" fontId="6" fillId="0" borderId="200" xfId="0" applyFont="1" applyBorder="1" applyAlignment="1">
      <alignment vertical="center" wrapText="1"/>
    </xf>
    <xf numFmtId="0" fontId="6" fillId="0" borderId="200" xfId="0" applyFont="1" applyBorder="1" applyAlignment="1">
      <alignment horizontal="center" vertical="center" wrapText="1"/>
    </xf>
    <xf numFmtId="0" fontId="6" fillId="0" borderId="200" xfId="0" applyFont="1" applyBorder="1" applyAlignment="1">
      <alignment vertical="top" wrapText="1"/>
    </xf>
    <xf numFmtId="0" fontId="6" fillId="0" borderId="200" xfId="0" quotePrefix="1" applyFont="1" applyBorder="1" applyAlignment="1">
      <alignment horizontal="center" vertical="center" wrapText="1"/>
    </xf>
    <xf numFmtId="0" fontId="8" fillId="0" borderId="191" xfId="0" applyFont="1" applyBorder="1" applyAlignment="1">
      <alignment horizontal="center" wrapText="1"/>
    </xf>
    <xf numFmtId="0" fontId="3" fillId="3" borderId="191" xfId="0" applyFont="1" applyFill="1" applyBorder="1" applyAlignment="1">
      <alignment horizontal="center" vertical="center"/>
    </xf>
    <xf numFmtId="0" fontId="8" fillId="0" borderId="191" xfId="0" applyFont="1" applyBorder="1" applyAlignment="1">
      <alignment vertical="top" wrapText="1"/>
    </xf>
    <xf numFmtId="0" fontId="0" fillId="0" borderId="191" xfId="0" applyBorder="1"/>
    <xf numFmtId="0" fontId="6" fillId="0" borderId="203" xfId="0" quotePrefix="1" applyFont="1" applyBorder="1" applyAlignment="1">
      <alignment horizontal="left" vertical="top" wrapText="1"/>
    </xf>
    <xf numFmtId="0" fontId="5" fillId="0" borderId="204" xfId="6" applyBorder="1" applyAlignment="1">
      <alignment vertical="center"/>
    </xf>
    <xf numFmtId="0" fontId="33" fillId="0" borderId="205" xfId="6" applyFont="1" applyBorder="1" applyAlignment="1">
      <alignment horizontal="center" vertical="center" textRotation="255"/>
    </xf>
    <xf numFmtId="0" fontId="33" fillId="0" borderId="205" xfId="6" applyFont="1" applyBorder="1" applyAlignment="1">
      <alignment horizontal="center" vertical="center"/>
    </xf>
    <xf numFmtId="0" fontId="33" fillId="0" borderId="205" xfId="6" applyFont="1" applyBorder="1" applyAlignment="1">
      <alignment vertical="center"/>
    </xf>
    <xf numFmtId="0" fontId="5" fillId="0" borderId="206" xfId="6" applyBorder="1"/>
    <xf numFmtId="0" fontId="5" fillId="0" borderId="212" xfId="6" applyBorder="1" applyAlignment="1">
      <alignment vertical="center"/>
    </xf>
    <xf numFmtId="0" fontId="33" fillId="0" borderId="191" xfId="6" applyFont="1" applyBorder="1" applyAlignment="1">
      <alignment horizontal="center" vertical="center" textRotation="255"/>
    </xf>
    <xf numFmtId="0" fontId="33" fillId="0" borderId="191" xfId="6" applyFont="1" applyBorder="1" applyAlignment="1">
      <alignment horizontal="center" vertical="center"/>
    </xf>
    <xf numFmtId="0" fontId="33" fillId="0" borderId="191" xfId="6" applyFont="1" applyBorder="1" applyAlignment="1">
      <alignment vertical="center"/>
    </xf>
    <xf numFmtId="0" fontId="5" fillId="0" borderId="213" xfId="6" applyBorder="1"/>
    <xf numFmtId="0" fontId="5" fillId="0" borderId="221" xfId="6" applyBorder="1"/>
    <xf numFmtId="0" fontId="5" fillId="0" borderId="222" xfId="6" applyBorder="1"/>
    <xf numFmtId="0" fontId="6" fillId="22" borderId="221" xfId="6" applyFont="1" applyFill="1" applyBorder="1" applyAlignment="1">
      <alignment vertical="center"/>
    </xf>
    <xf numFmtId="0" fontId="6" fillId="22" borderId="222" xfId="6" applyFont="1" applyFill="1" applyBorder="1" applyAlignment="1">
      <alignment vertical="center"/>
    </xf>
    <xf numFmtId="0" fontId="6" fillId="22" borderId="212" xfId="6" applyFont="1" applyFill="1" applyBorder="1" applyAlignment="1">
      <alignment vertical="center"/>
    </xf>
    <xf numFmtId="0" fontId="6" fillId="22" borderId="191" xfId="6" applyFont="1" applyFill="1" applyBorder="1" applyAlignment="1">
      <alignment vertical="center"/>
    </xf>
    <xf numFmtId="0" fontId="33" fillId="8" borderId="202" xfId="6" applyFont="1" applyFill="1" applyBorder="1" applyAlignment="1">
      <alignment horizontal="center" vertical="center" textRotation="255"/>
    </xf>
    <xf numFmtId="0" fontId="33" fillId="8" borderId="212" xfId="6" applyFont="1" applyFill="1" applyBorder="1" applyAlignment="1">
      <alignment horizontal="center" vertical="center"/>
    </xf>
    <xf numFmtId="0" fontId="43" fillId="0" borderId="212" xfId="6" applyFont="1" applyBorder="1" applyAlignment="1">
      <alignment vertical="center"/>
    </xf>
    <xf numFmtId="0" fontId="33" fillId="0" borderId="213" xfId="6" applyFont="1" applyBorder="1" applyAlignment="1">
      <alignment vertical="center"/>
    </xf>
    <xf numFmtId="0" fontId="33" fillId="0" borderId="212" xfId="6" applyFont="1" applyBorder="1" applyAlignment="1">
      <alignment horizontal="center" vertical="center"/>
    </xf>
    <xf numFmtId="0" fontId="33" fillId="0" borderId="217" xfId="6" applyFont="1" applyBorder="1" applyAlignment="1">
      <alignment vertical="center"/>
    </xf>
    <xf numFmtId="0" fontId="5" fillId="0" borderId="191" xfId="6" applyBorder="1" applyAlignment="1">
      <alignment horizontal="center" vertical="center"/>
    </xf>
    <xf numFmtId="0" fontId="58" fillId="0" borderId="191" xfId="6" applyFont="1" applyBorder="1" applyAlignment="1">
      <alignment vertical="center" shrinkToFit="1"/>
    </xf>
    <xf numFmtId="0" fontId="58" fillId="0" borderId="213" xfId="6" applyFont="1" applyBorder="1" applyAlignment="1">
      <alignment vertical="center" shrinkToFit="1"/>
    </xf>
    <xf numFmtId="0" fontId="6" fillId="0" borderId="222" xfId="6" applyFont="1" applyBorder="1" applyAlignment="1">
      <alignment vertical="center" textRotation="255"/>
    </xf>
    <xf numFmtId="0" fontId="6" fillId="0" borderId="222" xfId="6" applyFont="1" applyBorder="1" applyAlignment="1">
      <alignment horizontal="center"/>
    </xf>
    <xf numFmtId="0" fontId="6" fillId="0" borderId="222" xfId="6" applyFont="1" applyBorder="1"/>
    <xf numFmtId="0" fontId="33" fillId="0" borderId="222" xfId="6" applyFont="1" applyBorder="1"/>
    <xf numFmtId="0" fontId="6" fillId="0" borderId="222" xfId="6" applyFont="1" applyBorder="1" applyAlignment="1">
      <alignment horizontal="center" vertical="center"/>
    </xf>
    <xf numFmtId="0" fontId="5" fillId="0" borderId="222" xfId="6" applyBorder="1" applyAlignment="1">
      <alignment vertical="center"/>
    </xf>
    <xf numFmtId="0" fontId="33" fillId="7" borderId="218" xfId="6" applyFont="1" applyFill="1" applyBorder="1"/>
    <xf numFmtId="0" fontId="5" fillId="7" borderId="220" xfId="6" applyFill="1" applyBorder="1"/>
    <xf numFmtId="0" fontId="5" fillId="7" borderId="219" xfId="6" applyFill="1" applyBorder="1"/>
    <xf numFmtId="0" fontId="33" fillId="7" borderId="220" xfId="6" applyFont="1" applyFill="1" applyBorder="1" applyAlignment="1">
      <alignment horizontal="left" vertical="center"/>
    </xf>
    <xf numFmtId="0" fontId="33" fillId="7" borderId="220" xfId="6" applyFont="1" applyFill="1" applyBorder="1" applyAlignment="1">
      <alignment vertical="center"/>
    </xf>
    <xf numFmtId="0" fontId="33" fillId="7" borderId="219" xfId="6" applyFont="1" applyFill="1" applyBorder="1" applyAlignment="1">
      <alignment vertical="center"/>
    </xf>
    <xf numFmtId="0" fontId="33" fillId="0" borderId="221" xfId="6" applyFont="1" applyBorder="1" applyAlignment="1">
      <alignment vertical="center"/>
    </xf>
    <xf numFmtId="0" fontId="33" fillId="0" borderId="226" xfId="6" applyFont="1" applyBorder="1" applyAlignment="1">
      <alignment vertical="center"/>
    </xf>
    <xf numFmtId="0" fontId="4" fillId="15" borderId="228" xfId="4" applyFont="1" applyFill="1" applyBorder="1" applyAlignment="1">
      <alignment horizontal="left" vertical="center"/>
    </xf>
    <xf numFmtId="0" fontId="33" fillId="0" borderId="212" xfId="6" applyFont="1" applyBorder="1" applyAlignment="1">
      <alignment vertical="center"/>
    </xf>
    <xf numFmtId="0" fontId="4" fillId="3" borderId="228" xfId="4" applyFont="1" applyFill="1" applyBorder="1" applyAlignment="1">
      <alignment horizontal="left" vertical="center"/>
    </xf>
    <xf numFmtId="0" fontId="5" fillId="0" borderId="191" xfId="6" applyBorder="1"/>
    <xf numFmtId="0" fontId="5" fillId="0" borderId="191" xfId="6" applyBorder="1" applyAlignment="1">
      <alignment vertical="center"/>
    </xf>
    <xf numFmtId="0" fontId="28" fillId="25" borderId="221" xfId="7" applyFont="1" applyFill="1" applyBorder="1" applyAlignment="1">
      <alignment horizontal="center" vertical="center"/>
    </xf>
    <xf numFmtId="0" fontId="28" fillId="25" borderId="226" xfId="7" applyFont="1" applyFill="1" applyBorder="1" applyAlignment="1">
      <alignment horizontal="center" vertical="center" wrapText="1"/>
    </xf>
    <xf numFmtId="0" fontId="28" fillId="25" borderId="201" xfId="7" applyFont="1" applyFill="1" applyBorder="1" applyAlignment="1">
      <alignment horizontal="center" vertical="center" wrapText="1"/>
    </xf>
    <xf numFmtId="0" fontId="28" fillId="25" borderId="212" xfId="7" applyFont="1" applyFill="1" applyBorder="1" applyAlignment="1">
      <alignment horizontal="center" vertical="center"/>
    </xf>
    <xf numFmtId="0" fontId="28" fillId="25" borderId="213" xfId="7" applyFont="1" applyFill="1" applyBorder="1" applyAlignment="1">
      <alignment horizontal="right" vertical="center"/>
    </xf>
    <xf numFmtId="0" fontId="28" fillId="26" borderId="226" xfId="7" applyFont="1" applyFill="1" applyBorder="1">
      <alignment vertical="center"/>
    </xf>
    <xf numFmtId="0" fontId="28" fillId="20" borderId="201" xfId="7" applyFont="1" applyFill="1" applyBorder="1" applyAlignment="1">
      <alignment horizontal="center" vertical="center" wrapText="1"/>
    </xf>
    <xf numFmtId="0" fontId="28" fillId="27" borderId="201" xfId="7" applyFont="1" applyFill="1" applyBorder="1" applyAlignment="1">
      <alignment horizontal="center" vertical="center" wrapText="1"/>
    </xf>
    <xf numFmtId="0" fontId="73" fillId="27" borderId="212" xfId="7" applyFont="1" applyFill="1" applyBorder="1" applyAlignment="1">
      <alignment horizontal="center" vertical="center" wrapText="1"/>
    </xf>
    <xf numFmtId="0" fontId="28" fillId="25" borderId="213" xfId="7" applyFont="1" applyFill="1" applyBorder="1" applyAlignment="1">
      <alignment horizontal="center" vertical="center" wrapText="1"/>
    </xf>
    <xf numFmtId="0" fontId="73" fillId="13" borderId="202" xfId="7" applyFont="1" applyFill="1" applyBorder="1" applyAlignment="1">
      <alignment horizontal="center" vertical="center" wrapText="1"/>
    </xf>
    <xf numFmtId="0" fontId="28" fillId="5" borderId="202" xfId="7" applyFont="1" applyFill="1" applyBorder="1" applyAlignment="1">
      <alignment horizontal="center" vertical="center" wrapText="1"/>
    </xf>
    <xf numFmtId="0" fontId="5" fillId="0" borderId="114" xfId="4" applyFont="1" applyBorder="1" applyAlignment="1">
      <alignment horizontal="center"/>
    </xf>
    <xf numFmtId="0" fontId="5" fillId="0" borderId="115" xfId="4" applyFont="1" applyBorder="1" applyAlignment="1">
      <alignment horizontal="center"/>
    </xf>
    <xf numFmtId="0" fontId="24" fillId="0" borderId="0" xfId="4" applyFont="1" applyAlignment="1">
      <alignment horizontal="left"/>
    </xf>
    <xf numFmtId="0" fontId="25" fillId="0" borderId="0" xfId="4" applyFont="1" applyAlignment="1">
      <alignment horizontal="left"/>
    </xf>
    <xf numFmtId="180" fontId="27" fillId="0" borderId="0" xfId="4" applyNumberFormat="1" applyFont="1" applyAlignment="1">
      <alignment horizontal="center"/>
    </xf>
    <xf numFmtId="31" fontId="27" fillId="0" borderId="0" xfId="4" applyNumberFormat="1" applyFont="1" applyAlignment="1">
      <alignment horizontal="center"/>
    </xf>
    <xf numFmtId="0" fontId="27" fillId="0" borderId="0" xfId="4" applyFont="1" applyAlignment="1">
      <alignment horizontal="center"/>
    </xf>
    <xf numFmtId="0" fontId="6" fillId="0" borderId="114" xfId="4" applyBorder="1" applyAlignment="1">
      <alignment horizontal="center"/>
    </xf>
    <xf numFmtId="0" fontId="6" fillId="0" borderId="116" xfId="4" applyBorder="1" applyAlignment="1">
      <alignment horizontal="center"/>
    </xf>
    <xf numFmtId="0" fontId="6" fillId="0" borderId="115" xfId="4" applyBorder="1" applyAlignment="1">
      <alignment horizontal="center"/>
    </xf>
    <xf numFmtId="14" fontId="28" fillId="9" borderId="86" xfId="1" applyNumberFormat="1" applyFont="1" applyFill="1" applyBorder="1" applyAlignment="1">
      <alignment horizontal="center" vertical="center"/>
    </xf>
    <xf numFmtId="14" fontId="28" fillId="9" borderId="0" xfId="1" applyNumberFormat="1" applyFont="1" applyFill="1" applyAlignment="1">
      <alignment horizontal="center" vertical="center"/>
    </xf>
    <xf numFmtId="14" fontId="28" fillId="9" borderId="22" xfId="1" applyNumberFormat="1" applyFont="1" applyFill="1" applyBorder="1" applyAlignment="1">
      <alignment horizontal="center" vertical="center"/>
    </xf>
    <xf numFmtId="177" fontId="28" fillId="9" borderId="23" xfId="1" applyNumberFormat="1" applyFont="1" applyFill="1" applyBorder="1" applyAlignment="1">
      <alignment horizontal="center" vertical="center"/>
    </xf>
    <xf numFmtId="177" fontId="28" fillId="9" borderId="22" xfId="1" applyNumberFormat="1" applyFont="1" applyFill="1" applyBorder="1" applyAlignment="1">
      <alignment horizontal="center" vertical="center"/>
    </xf>
    <xf numFmtId="177" fontId="6" fillId="0" borderId="22" xfId="4" applyNumberFormat="1" applyBorder="1" applyAlignment="1">
      <alignment horizontal="center" vertical="center"/>
    </xf>
    <xf numFmtId="14" fontId="28" fillId="9" borderId="112" xfId="1" applyNumberFormat="1" applyFont="1" applyFill="1" applyBorder="1" applyAlignment="1">
      <alignment horizontal="left" vertical="center"/>
    </xf>
    <xf numFmtId="14" fontId="28" fillId="9" borderId="110" xfId="1" applyNumberFormat="1" applyFont="1" applyFill="1" applyBorder="1" applyAlignment="1">
      <alignment horizontal="left" vertical="center"/>
    </xf>
    <xf numFmtId="14" fontId="28" fillId="9" borderId="93" xfId="1" applyNumberFormat="1" applyFont="1" applyFill="1" applyBorder="1" applyAlignment="1">
      <alignment horizontal="left" vertical="center"/>
    </xf>
    <xf numFmtId="14" fontId="28" fillId="9" borderId="109" xfId="1" applyNumberFormat="1" applyFont="1" applyFill="1" applyBorder="1" applyAlignment="1">
      <alignment horizontal="center" vertical="center"/>
    </xf>
    <xf numFmtId="14" fontId="28" fillId="9" borderId="100" xfId="1" applyNumberFormat="1" applyFont="1" applyFill="1" applyBorder="1" applyAlignment="1">
      <alignment horizontal="center" vertical="center"/>
    </xf>
    <xf numFmtId="14" fontId="28" fillId="9" borderId="108" xfId="1" applyNumberFormat="1" applyFont="1" applyFill="1" applyBorder="1" applyAlignment="1">
      <alignment horizontal="center" vertical="center"/>
    </xf>
    <xf numFmtId="2" fontId="28" fillId="9" borderId="117" xfId="1" applyNumberFormat="1" applyFont="1" applyFill="1" applyBorder="1" applyAlignment="1">
      <alignment horizontal="center" vertical="center"/>
    </xf>
    <xf numFmtId="2" fontId="6" fillId="0" borderId="108" xfId="4" applyNumberFormat="1" applyBorder="1" applyAlignment="1">
      <alignment horizontal="center" vertical="center"/>
    </xf>
    <xf numFmtId="0" fontId="28" fillId="9" borderId="117" xfId="1" applyFont="1" applyFill="1" applyBorder="1" applyAlignment="1">
      <alignment horizontal="left" vertical="center" shrinkToFit="1"/>
    </xf>
    <xf numFmtId="0" fontId="28" fillId="9" borderId="100" xfId="1" applyFont="1" applyFill="1" applyBorder="1" applyAlignment="1">
      <alignment horizontal="left" vertical="center" shrinkToFit="1"/>
    </xf>
    <xf numFmtId="0" fontId="28" fillId="9" borderId="108" xfId="1" applyFont="1" applyFill="1" applyBorder="1" applyAlignment="1">
      <alignment horizontal="left" vertical="center" shrinkToFit="1"/>
    </xf>
    <xf numFmtId="0" fontId="28" fillId="7" borderId="99" xfId="1" applyFont="1" applyFill="1" applyBorder="1" applyAlignment="1">
      <alignment horizontal="center" vertical="center"/>
    </xf>
    <xf numFmtId="0" fontId="28" fillId="7" borderId="116" xfId="1" applyFont="1" applyFill="1" applyBorder="1" applyAlignment="1">
      <alignment horizontal="center" vertical="center"/>
    </xf>
    <xf numFmtId="0" fontId="28" fillId="7" borderId="115" xfId="1" applyFont="1" applyFill="1" applyBorder="1" applyAlignment="1">
      <alignment horizontal="center" vertical="center"/>
    </xf>
    <xf numFmtId="0" fontId="28" fillId="7" borderId="114" xfId="1" applyFont="1" applyFill="1" applyBorder="1" applyAlignment="1">
      <alignment horizontal="center" vertical="center"/>
    </xf>
    <xf numFmtId="0" fontId="28" fillId="0" borderId="109" xfId="1" applyFont="1" applyBorder="1" applyAlignment="1">
      <alignment horizontal="center" vertical="center"/>
    </xf>
    <xf numFmtId="0" fontId="28" fillId="0" borderId="100" xfId="1" applyFont="1" applyBorder="1" applyAlignment="1">
      <alignment horizontal="center" vertical="center"/>
    </xf>
    <xf numFmtId="0" fontId="28" fillId="0" borderId="107" xfId="1" applyFont="1" applyBorder="1" applyAlignment="1">
      <alignment horizontal="center" vertical="center"/>
    </xf>
    <xf numFmtId="0" fontId="28" fillId="0" borderId="112" xfId="1" applyFont="1" applyBorder="1" applyAlignment="1">
      <alignment horizontal="center" vertical="center"/>
    </xf>
    <xf numFmtId="0" fontId="28" fillId="0" borderId="110" xfId="1" applyFont="1" applyBorder="1" applyAlignment="1">
      <alignment horizontal="center" vertical="center"/>
    </xf>
    <xf numFmtId="0" fontId="28" fillId="0" borderId="113" xfId="1" applyFont="1" applyBorder="1" applyAlignment="1">
      <alignment horizontal="center" vertical="center"/>
    </xf>
    <xf numFmtId="0" fontId="28" fillId="7" borderId="109" xfId="1" applyFont="1" applyFill="1" applyBorder="1" applyAlignment="1">
      <alignment horizontal="center" vertical="center"/>
    </xf>
    <xf numFmtId="0" fontId="28" fillId="7" borderId="100" xfId="1" applyFont="1" applyFill="1" applyBorder="1" applyAlignment="1">
      <alignment horizontal="center" vertical="center"/>
    </xf>
    <xf numFmtId="0" fontId="28" fillId="7" borderId="107" xfId="1" applyFont="1" applyFill="1" applyBorder="1" applyAlignment="1">
      <alignment horizontal="center" vertical="center"/>
    </xf>
    <xf numFmtId="0" fontId="29" fillId="7" borderId="19" xfId="1" applyFont="1" applyFill="1" applyBorder="1" applyAlignment="1">
      <alignment horizontal="center" vertical="center"/>
    </xf>
    <xf numFmtId="0" fontId="29" fillId="7" borderId="20" xfId="1" applyFont="1" applyFill="1" applyBorder="1" applyAlignment="1">
      <alignment horizontal="center" vertical="center"/>
    </xf>
    <xf numFmtId="0" fontId="29" fillId="7" borderId="21" xfId="1" applyFont="1" applyFill="1" applyBorder="1" applyAlignment="1">
      <alignment horizontal="center" vertical="center"/>
    </xf>
    <xf numFmtId="0" fontId="28" fillId="0" borderId="99" xfId="1" applyFont="1" applyBorder="1" applyAlignment="1">
      <alignment horizontal="center" vertical="center"/>
    </xf>
    <xf numFmtId="0" fontId="28" fillId="0" borderId="116" xfId="1" applyFont="1" applyBorder="1" applyAlignment="1">
      <alignment horizontal="center" vertical="center"/>
    </xf>
    <xf numFmtId="0" fontId="28" fillId="0" borderId="115" xfId="1" applyFont="1" applyBorder="1" applyAlignment="1">
      <alignment horizontal="center" vertical="center"/>
    </xf>
    <xf numFmtId="0" fontId="28" fillId="0" borderId="114" xfId="1" applyFont="1" applyBorder="1" applyAlignment="1">
      <alignment horizontal="center" vertical="center"/>
    </xf>
    <xf numFmtId="180" fontId="28" fillId="0" borderId="114" xfId="1" applyNumberFormat="1" applyFont="1" applyBorder="1" applyAlignment="1">
      <alignment horizontal="center" vertical="center" shrinkToFit="1"/>
    </xf>
    <xf numFmtId="180" fontId="28" fillId="0" borderId="115" xfId="1" applyNumberFormat="1" applyFont="1" applyBorder="1" applyAlignment="1">
      <alignment horizontal="center" vertical="center" shrinkToFit="1"/>
    </xf>
    <xf numFmtId="14" fontId="28" fillId="0" borderId="114" xfId="1" applyNumberFormat="1" applyFont="1" applyBorder="1" applyAlignment="1">
      <alignment horizontal="center" vertical="center" shrinkToFit="1"/>
    </xf>
    <xf numFmtId="14" fontId="28" fillId="0" borderId="116" xfId="1" applyNumberFormat="1" applyFont="1" applyBorder="1" applyAlignment="1">
      <alignment horizontal="center" vertical="center" shrinkToFit="1"/>
    </xf>
    <xf numFmtId="14" fontId="28" fillId="0" borderId="115" xfId="1" applyNumberFormat="1" applyFont="1" applyBorder="1" applyAlignment="1">
      <alignment horizontal="center" vertical="center" shrinkToFit="1"/>
    </xf>
    <xf numFmtId="0" fontId="28" fillId="9" borderId="23" xfId="1" applyFont="1" applyFill="1" applyBorder="1" applyAlignment="1">
      <alignment horizontal="left" vertical="center" shrinkToFit="1"/>
    </xf>
    <xf numFmtId="0" fontId="28" fillId="9" borderId="0" xfId="1" applyFont="1" applyFill="1" applyAlignment="1">
      <alignment horizontal="left" vertical="center" shrinkToFit="1"/>
    </xf>
    <xf numFmtId="0" fontId="28" fillId="9" borderId="22" xfId="1" applyFont="1" applyFill="1" applyBorder="1" applyAlignment="1">
      <alignment horizontal="left" vertical="center" shrinkToFit="1"/>
    </xf>
    <xf numFmtId="14" fontId="28" fillId="9" borderId="112" xfId="1" applyNumberFormat="1" applyFont="1" applyFill="1" applyBorder="1" applyAlignment="1">
      <alignment horizontal="center" vertical="center"/>
    </xf>
    <xf numFmtId="14" fontId="28" fillId="9" borderId="110" xfId="1" applyNumberFormat="1" applyFont="1" applyFill="1" applyBorder="1" applyAlignment="1">
      <alignment horizontal="center" vertical="center"/>
    </xf>
    <xf numFmtId="14" fontId="28" fillId="9" borderId="93" xfId="1" applyNumberFormat="1" applyFont="1" applyFill="1" applyBorder="1" applyAlignment="1">
      <alignment horizontal="center" vertical="center"/>
    </xf>
    <xf numFmtId="177" fontId="28" fillId="9" borderId="118" xfId="1" applyNumberFormat="1" applyFont="1" applyFill="1" applyBorder="1" applyAlignment="1">
      <alignment horizontal="center" vertical="center"/>
    </xf>
    <xf numFmtId="177" fontId="28" fillId="9" borderId="93" xfId="1" applyNumberFormat="1" applyFont="1" applyFill="1" applyBorder="1" applyAlignment="1">
      <alignment horizontal="center" vertical="center"/>
    </xf>
    <xf numFmtId="177" fontId="6" fillId="0" borderId="93" xfId="4" applyNumberFormat="1" applyBorder="1" applyAlignment="1">
      <alignment horizontal="center" vertical="center"/>
    </xf>
    <xf numFmtId="177" fontId="28" fillId="9" borderId="117" xfId="1" applyNumberFormat="1" applyFont="1" applyFill="1" applyBorder="1" applyAlignment="1">
      <alignment horizontal="center" vertical="center"/>
    </xf>
    <xf numFmtId="177" fontId="6" fillId="0" borderId="108" xfId="4" applyNumberFormat="1" applyBorder="1" applyAlignment="1">
      <alignment horizontal="center" vertical="center"/>
    </xf>
    <xf numFmtId="177" fontId="28" fillId="9" borderId="29" xfId="1" applyNumberFormat="1" applyFont="1" applyFill="1" applyBorder="1" applyAlignment="1">
      <alignment horizontal="center" vertical="center"/>
    </xf>
    <xf numFmtId="177" fontId="6" fillId="0" borderId="28" xfId="4" applyNumberFormat="1" applyBorder="1" applyAlignment="1">
      <alignment horizontal="center" vertical="center"/>
    </xf>
    <xf numFmtId="14" fontId="28" fillId="9" borderId="26" xfId="1" applyNumberFormat="1" applyFont="1" applyFill="1" applyBorder="1" applyAlignment="1">
      <alignment horizontal="center" vertical="center"/>
    </xf>
    <xf numFmtId="14" fontId="28" fillId="9" borderId="27" xfId="1" applyNumberFormat="1" applyFont="1" applyFill="1" applyBorder="1" applyAlignment="1">
      <alignment horizontal="center" vertical="center"/>
    </xf>
    <xf numFmtId="14" fontId="28" fillId="9" borderId="28" xfId="1" applyNumberFormat="1" applyFont="1" applyFill="1" applyBorder="1" applyAlignment="1">
      <alignment horizontal="center" vertical="center"/>
    </xf>
    <xf numFmtId="177" fontId="28" fillId="9" borderId="28" xfId="1" applyNumberFormat="1" applyFont="1" applyFill="1" applyBorder="1" applyAlignment="1">
      <alignment horizontal="center" vertical="center"/>
    </xf>
    <xf numFmtId="0" fontId="28" fillId="9" borderId="29" xfId="1" applyFont="1" applyFill="1" applyBorder="1" applyAlignment="1">
      <alignment horizontal="left" vertical="center" shrinkToFit="1"/>
    </xf>
    <xf numFmtId="0" fontId="28" fillId="9" borderId="27" xfId="1" applyFont="1" applyFill="1" applyBorder="1" applyAlignment="1">
      <alignment horizontal="left" vertical="center" shrinkToFit="1"/>
    </xf>
    <xf numFmtId="0" fontId="28" fillId="9" borderId="28" xfId="1" applyFont="1" applyFill="1" applyBorder="1" applyAlignment="1">
      <alignment horizontal="left" vertical="center" shrinkToFit="1"/>
    </xf>
    <xf numFmtId="0" fontId="6" fillId="0" borderId="100" xfId="4" applyBorder="1" applyAlignment="1">
      <alignment horizontal="center" vertical="center"/>
    </xf>
    <xf numFmtId="0" fontId="6" fillId="0" borderId="107" xfId="4" applyBorder="1" applyAlignment="1">
      <alignment horizontal="center" vertical="center"/>
    </xf>
    <xf numFmtId="0" fontId="6" fillId="0" borderId="112" xfId="4" applyBorder="1" applyAlignment="1">
      <alignment horizontal="center" vertical="center"/>
    </xf>
    <xf numFmtId="0" fontId="6" fillId="0" borderId="110" xfId="4" applyBorder="1" applyAlignment="1">
      <alignment horizontal="center" vertical="center"/>
    </xf>
    <xf numFmtId="0" fontId="6" fillId="0" borderId="113" xfId="4" applyBorder="1" applyAlignment="1">
      <alignment horizontal="center" vertical="center"/>
    </xf>
    <xf numFmtId="0" fontId="28" fillId="0" borderId="143" xfId="1" applyFont="1" applyBorder="1" applyAlignment="1">
      <alignment horizontal="center" vertical="center"/>
    </xf>
    <xf numFmtId="0" fontId="6" fillId="0" borderId="144" xfId="4" applyBorder="1" applyAlignment="1">
      <alignment horizontal="center" vertical="center"/>
    </xf>
    <xf numFmtId="0" fontId="6" fillId="0" borderId="145" xfId="4" applyBorder="1" applyAlignment="1">
      <alignment horizontal="center" vertical="center"/>
    </xf>
    <xf numFmtId="0" fontId="6" fillId="0" borderId="135" xfId="4" applyBorder="1" applyAlignment="1">
      <alignment horizontal="center" vertical="center"/>
    </xf>
    <xf numFmtId="0" fontId="6" fillId="0" borderId="136" xfId="4" applyBorder="1" applyAlignment="1">
      <alignment horizontal="center" vertical="center"/>
    </xf>
    <xf numFmtId="0" fontId="6" fillId="0" borderId="137" xfId="4" applyBorder="1" applyAlignment="1">
      <alignment horizontal="center" vertical="center"/>
    </xf>
    <xf numFmtId="0" fontId="28" fillId="7" borderId="177" xfId="1" applyFont="1" applyFill="1" applyBorder="1" applyAlignment="1">
      <alignment horizontal="center" vertical="center"/>
    </xf>
    <xf numFmtId="0" fontId="28" fillId="7" borderId="178" xfId="1" applyFont="1" applyFill="1" applyBorder="1" applyAlignment="1">
      <alignment horizontal="center" vertical="center"/>
    </xf>
    <xf numFmtId="0" fontId="28" fillId="7" borderId="179" xfId="1" applyFont="1" applyFill="1" applyBorder="1" applyAlignment="1">
      <alignment horizontal="center" vertical="center"/>
    </xf>
    <xf numFmtId="0" fontId="28" fillId="0" borderId="177" xfId="1" applyFont="1" applyBorder="1" applyAlignment="1">
      <alignment horizontal="center" vertical="center"/>
    </xf>
    <xf numFmtId="0" fontId="28" fillId="0" borderId="178" xfId="1" applyFont="1" applyBorder="1" applyAlignment="1">
      <alignment horizontal="center" vertical="center"/>
    </xf>
    <xf numFmtId="0" fontId="28" fillId="0" borderId="179" xfId="1" applyFont="1" applyBorder="1" applyAlignment="1">
      <alignment horizontal="center" vertical="center"/>
    </xf>
    <xf numFmtId="0" fontId="28" fillId="0" borderId="135" xfId="1" applyFont="1" applyBorder="1" applyAlignment="1">
      <alignment horizontal="center" vertical="center"/>
    </xf>
    <xf numFmtId="0" fontId="28" fillId="0" borderId="136" xfId="1" applyFont="1" applyBorder="1" applyAlignment="1">
      <alignment horizontal="center" vertical="center"/>
    </xf>
    <xf numFmtId="0" fontId="28" fillId="0" borderId="137" xfId="1" applyFont="1" applyBorder="1" applyAlignment="1">
      <alignment horizontal="center" vertical="center"/>
    </xf>
    <xf numFmtId="0" fontId="0" fillId="0" borderId="116" xfId="0" applyBorder="1" applyAlignment="1">
      <alignment horizontal="center" vertical="center"/>
    </xf>
    <xf numFmtId="0" fontId="0" fillId="0" borderId="115" xfId="0" applyBorder="1" applyAlignment="1">
      <alignment horizontal="center" vertical="center"/>
    </xf>
    <xf numFmtId="0" fontId="0" fillId="0" borderId="178" xfId="0" applyBorder="1" applyAlignment="1">
      <alignment horizontal="center" vertical="center"/>
    </xf>
    <xf numFmtId="0" fontId="0" fillId="0" borderId="179" xfId="0" applyBorder="1" applyAlignment="1">
      <alignment horizontal="center" vertical="center"/>
    </xf>
    <xf numFmtId="0" fontId="0" fillId="0" borderId="135" xfId="0" applyBorder="1" applyAlignment="1">
      <alignment horizontal="center" vertical="center"/>
    </xf>
    <xf numFmtId="0" fontId="0" fillId="0" borderId="136" xfId="0" applyBorder="1" applyAlignment="1">
      <alignment horizontal="center" vertical="center"/>
    </xf>
    <xf numFmtId="0" fontId="0" fillId="0" borderId="137" xfId="0" applyBorder="1" applyAlignment="1">
      <alignment horizontal="center" vertical="center"/>
    </xf>
    <xf numFmtId="0" fontId="3" fillId="5" borderId="119" xfId="0" applyFont="1" applyFill="1" applyBorder="1" applyAlignment="1">
      <alignment horizontal="center" vertical="center"/>
    </xf>
    <xf numFmtId="0" fontId="0" fillId="5" borderId="119" xfId="0" applyFill="1" applyBorder="1" applyAlignment="1">
      <alignment horizontal="center" vertical="center"/>
    </xf>
    <xf numFmtId="0" fontId="9" fillId="2" borderId="185" xfId="0" applyFont="1" applyFill="1" applyBorder="1" applyAlignment="1">
      <alignment horizontal="center" vertical="center" wrapText="1"/>
    </xf>
    <xf numFmtId="0" fontId="36" fillId="2" borderId="185" xfId="0" applyFont="1" applyFill="1" applyBorder="1" applyAlignment="1">
      <alignment vertical="center"/>
    </xf>
    <xf numFmtId="0" fontId="3" fillId="5" borderId="114" xfId="0" applyFont="1" applyFill="1" applyBorder="1" applyAlignment="1">
      <alignment horizontal="center" vertical="center"/>
    </xf>
    <xf numFmtId="0" fontId="9" fillId="2" borderId="186" xfId="0" applyFont="1" applyFill="1" applyBorder="1" applyAlignment="1">
      <alignment horizontal="center" vertical="center"/>
    </xf>
    <xf numFmtId="0" fontId="9" fillId="2" borderId="5" xfId="0" applyFont="1" applyFill="1" applyBorder="1" applyAlignment="1">
      <alignment horizontal="center" vertical="center"/>
    </xf>
    <xf numFmtId="0" fontId="9" fillId="2" borderId="185" xfId="0" applyFont="1" applyFill="1" applyBorder="1" applyAlignment="1">
      <alignment horizontal="center" vertical="center"/>
    </xf>
    <xf numFmtId="0" fontId="36" fillId="2" borderId="4" xfId="0" applyFont="1" applyFill="1" applyBorder="1" applyAlignment="1">
      <alignment horizontal="center" vertical="center"/>
    </xf>
    <xf numFmtId="0" fontId="9" fillId="2" borderId="184" xfId="0" applyFont="1" applyFill="1" applyBorder="1" applyAlignment="1">
      <alignment horizontal="center" vertical="center" wrapText="1"/>
    </xf>
    <xf numFmtId="0" fontId="36" fillId="2" borderId="32" xfId="0" applyFont="1" applyFill="1" applyBorder="1" applyAlignment="1">
      <alignment horizontal="center" vertical="center" wrapText="1"/>
    </xf>
    <xf numFmtId="0" fontId="36" fillId="2" borderId="4" xfId="0" applyFont="1" applyFill="1" applyBorder="1" applyAlignment="1">
      <alignment horizontal="center" vertical="center" wrapText="1"/>
    </xf>
    <xf numFmtId="0" fontId="3" fillId="5" borderId="119" xfId="0" applyFont="1" applyFill="1" applyBorder="1" applyAlignment="1">
      <alignment horizontal="center" vertical="center" wrapText="1"/>
    </xf>
    <xf numFmtId="0" fontId="0" fillId="5" borderId="119" xfId="0" applyFill="1" applyBorder="1" applyAlignment="1">
      <alignment horizontal="center" vertical="center" wrapText="1"/>
    </xf>
    <xf numFmtId="0" fontId="9" fillId="2" borderId="186" xfId="0" applyFont="1" applyFill="1" applyBorder="1" applyAlignment="1">
      <alignment horizontal="center" vertical="center" wrapText="1"/>
    </xf>
    <xf numFmtId="0" fontId="0" fillId="2" borderId="5" xfId="0" applyFill="1" applyBorder="1" applyAlignment="1">
      <alignment horizontal="center" vertical="center" wrapText="1"/>
    </xf>
    <xf numFmtId="0" fontId="0" fillId="2" borderId="185" xfId="0" applyFill="1" applyBorder="1" applyAlignment="1">
      <alignment horizontal="center" vertical="center" wrapText="1"/>
    </xf>
    <xf numFmtId="0" fontId="9" fillId="2" borderId="185" xfId="0" applyFont="1" applyFill="1" applyBorder="1" applyAlignment="1">
      <alignment horizontal="center" vertical="top" wrapText="1"/>
    </xf>
    <xf numFmtId="0" fontId="0" fillId="2" borderId="185" xfId="0" applyFill="1" applyBorder="1" applyAlignment="1">
      <alignment horizontal="center" wrapText="1"/>
    </xf>
    <xf numFmtId="0" fontId="9" fillId="2" borderId="192" xfId="0" applyFont="1" applyFill="1" applyBorder="1" applyAlignment="1">
      <alignment horizontal="center" vertical="center" wrapText="1"/>
    </xf>
    <xf numFmtId="0" fontId="0" fillId="2" borderId="31" xfId="0" applyFill="1" applyBorder="1" applyAlignment="1">
      <alignment horizontal="center" vertical="center" wrapText="1"/>
    </xf>
    <xf numFmtId="0" fontId="0" fillId="0" borderId="193" xfId="0" applyBorder="1" applyAlignment="1">
      <alignment horizontal="center" vertical="center" wrapText="1"/>
    </xf>
    <xf numFmtId="0" fontId="37" fillId="2" borderId="5" xfId="0" applyFont="1" applyFill="1" applyBorder="1" applyAlignment="1">
      <alignment horizontal="center" vertical="center" wrapText="1"/>
    </xf>
    <xf numFmtId="0" fontId="6" fillId="5" borderId="119" xfId="0" applyFont="1" applyFill="1" applyBorder="1" applyAlignment="1">
      <alignment horizontal="center" vertical="center"/>
    </xf>
    <xf numFmtId="0" fontId="5" fillId="5" borderId="119" xfId="0" applyFont="1" applyFill="1" applyBorder="1" applyAlignment="1">
      <alignment horizontal="center" vertical="center"/>
    </xf>
    <xf numFmtId="0" fontId="6" fillId="5" borderId="119" xfId="0" applyFont="1" applyFill="1" applyBorder="1" applyAlignment="1">
      <alignment horizontal="center" vertical="center" wrapText="1"/>
    </xf>
    <xf numFmtId="0" fontId="5" fillId="5" borderId="119" xfId="0" applyFont="1" applyFill="1" applyBorder="1" applyAlignment="1">
      <alignment horizontal="center" vertical="center" wrapText="1"/>
    </xf>
    <xf numFmtId="0" fontId="37" fillId="2" borderId="185" xfId="0" applyFont="1" applyFill="1" applyBorder="1" applyAlignment="1">
      <alignment horizontal="center" vertical="center" wrapText="1"/>
    </xf>
    <xf numFmtId="0" fontId="5" fillId="5" borderId="114" xfId="0" applyFont="1" applyFill="1" applyBorder="1" applyAlignment="1">
      <alignment horizontal="center" vertical="center"/>
    </xf>
    <xf numFmtId="0" fontId="5" fillId="0" borderId="116" xfId="0" applyFont="1" applyBorder="1" applyAlignment="1">
      <alignment horizontal="center" vertical="center"/>
    </xf>
    <xf numFmtId="0" fontId="5" fillId="0" borderId="115" xfId="0" applyFont="1" applyBorder="1" applyAlignment="1">
      <alignment horizontal="center" vertical="center"/>
    </xf>
    <xf numFmtId="0" fontId="3" fillId="5" borderId="201" xfId="0" applyFont="1" applyFill="1" applyBorder="1" applyAlignment="1">
      <alignment horizontal="center" vertical="center"/>
    </xf>
    <xf numFmtId="0" fontId="0" fillId="5" borderId="202" xfId="0" applyFill="1" applyBorder="1" applyAlignment="1">
      <alignment horizontal="center" vertical="center"/>
    </xf>
    <xf numFmtId="0" fontId="3" fillId="5" borderId="114" xfId="0" applyFont="1" applyFill="1" applyBorder="1" applyAlignment="1">
      <alignment horizontal="center" vertical="center" wrapText="1"/>
    </xf>
    <xf numFmtId="0" fontId="0" fillId="5" borderId="116" xfId="0" applyFill="1" applyBorder="1" applyAlignment="1">
      <alignment horizontal="center" vertical="center"/>
    </xf>
    <xf numFmtId="0" fontId="0" fillId="5" borderId="115" xfId="0" applyFill="1" applyBorder="1" applyAlignment="1">
      <alignment horizontal="center" vertical="center"/>
    </xf>
    <xf numFmtId="0" fontId="33" fillId="0" borderId="0" xfId="6" applyFont="1" applyAlignment="1">
      <alignment horizontal="center" vertical="center"/>
    </xf>
    <xf numFmtId="0" fontId="33" fillId="0" borderId="0" xfId="6" applyFont="1" applyAlignment="1">
      <alignment horizontal="center" vertical="center" wrapText="1"/>
    </xf>
    <xf numFmtId="0" fontId="4" fillId="3" borderId="228" xfId="4" applyFont="1" applyFill="1" applyBorder="1" applyAlignment="1">
      <alignment horizontal="center" vertical="top"/>
    </xf>
    <xf numFmtId="0" fontId="4" fillId="3" borderId="228" xfId="4" applyFont="1" applyFill="1" applyBorder="1" applyAlignment="1">
      <alignment horizontal="left" vertical="top"/>
    </xf>
    <xf numFmtId="0" fontId="4" fillId="3" borderId="228" xfId="4" applyFont="1" applyFill="1" applyBorder="1" applyAlignment="1">
      <alignment horizontal="left" vertical="top" wrapText="1"/>
    </xf>
    <xf numFmtId="0" fontId="4" fillId="3" borderId="228" xfId="4" applyFont="1" applyFill="1" applyBorder="1" applyAlignment="1">
      <alignment horizontal="center" vertical="center"/>
    </xf>
    <xf numFmtId="0" fontId="4" fillId="3" borderId="228" xfId="4" applyFont="1" applyFill="1" applyBorder="1" applyAlignment="1">
      <alignment horizontal="left" vertical="center"/>
    </xf>
    <xf numFmtId="0" fontId="4" fillId="3" borderId="228" xfId="4" applyFont="1" applyFill="1" applyBorder="1" applyAlignment="1">
      <alignment horizontal="left" vertical="center" wrapText="1"/>
    </xf>
    <xf numFmtId="0" fontId="33" fillId="0" borderId="101" xfId="6" applyFont="1" applyBorder="1" applyAlignment="1">
      <alignment horizontal="center" vertical="center"/>
    </xf>
    <xf numFmtId="0" fontId="33" fillId="0" borderId="103" xfId="6" applyFont="1" applyBorder="1" applyAlignment="1">
      <alignment horizontal="center" vertical="center"/>
    </xf>
    <xf numFmtId="0" fontId="33" fillId="0" borderId="102" xfId="6" applyFont="1" applyBorder="1" applyAlignment="1">
      <alignment horizontal="center" vertical="center"/>
    </xf>
    <xf numFmtId="0" fontId="33" fillId="0" borderId="90" xfId="6" applyFont="1" applyBorder="1" applyAlignment="1">
      <alignment horizontal="center" vertical="center"/>
    </xf>
    <xf numFmtId="0" fontId="33" fillId="0" borderId="49" xfId="6" applyFont="1" applyBorder="1" applyAlignment="1">
      <alignment horizontal="center" vertical="center"/>
    </xf>
    <xf numFmtId="0" fontId="33" fillId="0" borderId="89" xfId="6" applyFont="1" applyBorder="1" applyAlignment="1">
      <alignment horizontal="center" vertical="center"/>
    </xf>
    <xf numFmtId="0" fontId="4" fillId="15" borderId="228" xfId="4" applyFont="1" applyFill="1" applyBorder="1" applyAlignment="1">
      <alignment horizontal="left" vertical="center"/>
    </xf>
    <xf numFmtId="0" fontId="4" fillId="15" borderId="218" xfId="4" applyFont="1" applyFill="1" applyBorder="1" applyAlignment="1">
      <alignment horizontal="left" vertical="center"/>
    </xf>
    <xf numFmtId="0" fontId="4" fillId="15" borderId="220" xfId="4" applyFont="1" applyFill="1" applyBorder="1" applyAlignment="1">
      <alignment horizontal="left" vertical="center"/>
    </xf>
    <xf numFmtId="0" fontId="4" fillId="15" borderId="219" xfId="4" applyFont="1" applyFill="1" applyBorder="1" applyAlignment="1">
      <alignment horizontal="left" vertical="center"/>
    </xf>
    <xf numFmtId="0" fontId="33" fillId="7" borderId="218" xfId="6" applyFont="1" applyFill="1" applyBorder="1" applyAlignment="1">
      <alignment horizontal="center" vertical="center"/>
    </xf>
    <xf numFmtId="0" fontId="33" fillId="7" borderId="220" xfId="6" applyFont="1" applyFill="1" applyBorder="1" applyAlignment="1">
      <alignment horizontal="center" vertical="center"/>
    </xf>
    <xf numFmtId="0" fontId="33" fillId="7" borderId="219" xfId="6" applyFont="1" applyFill="1" applyBorder="1" applyAlignment="1">
      <alignment horizontal="center" vertical="center"/>
    </xf>
    <xf numFmtId="0" fontId="4" fillId="15" borderId="228" xfId="4" applyFont="1" applyFill="1" applyBorder="1" applyAlignment="1">
      <alignment horizontal="center" vertical="center"/>
    </xf>
    <xf numFmtId="0" fontId="33" fillId="0" borderId="26" xfId="6" applyFont="1" applyBorder="1" applyAlignment="1">
      <alignment horizontal="left" vertical="top" wrapText="1"/>
    </xf>
    <xf numFmtId="0" fontId="43" fillId="0" borderId="27" xfId="6" applyFont="1" applyBorder="1" applyAlignment="1">
      <alignment horizontal="left" vertical="top" wrapText="1"/>
    </xf>
    <xf numFmtId="0" fontId="43" fillId="0" borderId="63" xfId="6" applyFont="1" applyBorder="1" applyAlignment="1">
      <alignment horizontal="left" vertical="top" wrapText="1"/>
    </xf>
    <xf numFmtId="0" fontId="43" fillId="0" borderId="212" xfId="6" applyFont="1" applyBorder="1" applyAlignment="1">
      <alignment horizontal="left" vertical="top" wrapText="1"/>
    </xf>
    <xf numFmtId="0" fontId="43" fillId="0" borderId="191" xfId="6" applyFont="1" applyBorder="1" applyAlignment="1">
      <alignment horizontal="left" vertical="top" wrapText="1"/>
    </xf>
    <xf numFmtId="0" fontId="43" fillId="0" borderId="214" xfId="6" applyFont="1" applyBorder="1" applyAlignment="1">
      <alignment horizontal="left" vertical="top" wrapText="1"/>
    </xf>
    <xf numFmtId="0" fontId="33" fillId="0" borderId="60" xfId="6" applyFont="1" applyBorder="1" applyAlignment="1">
      <alignment horizontal="center" vertical="center"/>
    </xf>
    <xf numFmtId="0" fontId="33" fillId="0" borderId="27" xfId="6" applyFont="1" applyBorder="1" applyAlignment="1">
      <alignment horizontal="center" vertical="center"/>
    </xf>
    <xf numFmtId="0" fontId="33" fillId="0" borderId="63" xfId="6" applyFont="1" applyBorder="1" applyAlignment="1">
      <alignment horizontal="center" vertical="center"/>
    </xf>
    <xf numFmtId="0" fontId="33" fillId="0" borderId="217" xfId="6" applyFont="1" applyBorder="1" applyAlignment="1">
      <alignment horizontal="center" vertical="center"/>
    </xf>
    <xf numFmtId="0" fontId="33" fillId="0" borderId="191" xfId="6" applyFont="1" applyBorder="1" applyAlignment="1">
      <alignment horizontal="center" vertical="center"/>
    </xf>
    <xf numFmtId="0" fontId="33" fillId="0" borderId="214" xfId="6" applyFont="1" applyBorder="1" applyAlignment="1">
      <alignment horizontal="center" vertical="center"/>
    </xf>
    <xf numFmtId="0" fontId="33" fillId="0" borderId="26" xfId="6" applyFont="1" applyBorder="1" applyAlignment="1">
      <alignment horizontal="center" vertical="center"/>
    </xf>
    <xf numFmtId="0" fontId="33" fillId="0" borderId="30" xfId="6" applyFont="1" applyBorder="1" applyAlignment="1">
      <alignment horizontal="center" vertical="center"/>
    </xf>
    <xf numFmtId="0" fontId="33" fillId="0" borderId="212" xfId="6" applyFont="1" applyBorder="1" applyAlignment="1">
      <alignment horizontal="center" vertical="center"/>
    </xf>
    <xf numFmtId="0" fontId="33" fillId="0" borderId="213" xfId="6" applyFont="1" applyBorder="1" applyAlignment="1">
      <alignment horizontal="center" vertical="center"/>
    </xf>
    <xf numFmtId="0" fontId="33" fillId="22" borderId="218" xfId="6" applyFont="1" applyFill="1" applyBorder="1" applyAlignment="1">
      <alignment horizontal="center" vertical="center"/>
    </xf>
    <xf numFmtId="0" fontId="33" fillId="22" borderId="219" xfId="6" applyFont="1" applyFill="1" applyBorder="1" applyAlignment="1">
      <alignment horizontal="center" vertical="center"/>
    </xf>
    <xf numFmtId="0" fontId="33" fillId="22" borderId="220" xfId="6" applyFont="1" applyFill="1" applyBorder="1" applyAlignment="1">
      <alignment horizontal="center" vertical="center"/>
    </xf>
    <xf numFmtId="0" fontId="33" fillId="0" borderId="60" xfId="6" applyFont="1" applyBorder="1" applyAlignment="1">
      <alignment horizontal="center" vertical="center" wrapText="1"/>
    </xf>
    <xf numFmtId="0" fontId="33" fillId="0" borderId="27" xfId="6" applyFont="1" applyBorder="1" applyAlignment="1">
      <alignment horizontal="center" vertical="center" wrapText="1"/>
    </xf>
    <xf numFmtId="0" fontId="33" fillId="0" borderId="28" xfId="6" applyFont="1" applyBorder="1" applyAlignment="1">
      <alignment horizontal="center" vertical="center" wrapText="1"/>
    </xf>
    <xf numFmtId="0" fontId="33" fillId="0" borderId="66" xfId="6" applyFont="1" applyBorder="1" applyAlignment="1">
      <alignment horizontal="center" vertical="center" wrapText="1"/>
    </xf>
    <xf numFmtId="0" fontId="33" fillId="0" borderId="24" xfId="6" applyFont="1" applyBorder="1" applyAlignment="1">
      <alignment horizontal="center" vertical="center" wrapText="1"/>
    </xf>
    <xf numFmtId="0" fontId="33" fillId="0" borderId="25" xfId="6" applyFont="1" applyBorder="1" applyAlignment="1">
      <alignment horizontal="center" vertical="center" wrapText="1"/>
    </xf>
    <xf numFmtId="0" fontId="33" fillId="0" borderId="29" xfId="6" applyFont="1" applyBorder="1" applyAlignment="1">
      <alignment horizontal="center" vertical="center"/>
    </xf>
    <xf numFmtId="0" fontId="33" fillId="0" borderId="69" xfId="6" applyFont="1" applyBorder="1" applyAlignment="1">
      <alignment horizontal="center" vertical="center"/>
    </xf>
    <xf numFmtId="0" fontId="33" fillId="0" borderId="24" xfId="6" applyFont="1" applyBorder="1" applyAlignment="1">
      <alignment horizontal="center" vertical="center"/>
    </xf>
    <xf numFmtId="0" fontId="33" fillId="0" borderId="67" xfId="6" applyFont="1" applyBorder="1" applyAlignment="1">
      <alignment horizontal="center" vertical="center"/>
    </xf>
    <xf numFmtId="0" fontId="33" fillId="0" borderId="64" xfId="6" applyFont="1" applyBorder="1" applyAlignment="1">
      <alignment horizontal="center" vertical="center"/>
    </xf>
    <xf numFmtId="0" fontId="33" fillId="0" borderId="65" xfId="6" applyFont="1" applyBorder="1" applyAlignment="1">
      <alignment horizontal="center" vertical="center"/>
    </xf>
    <xf numFmtId="0" fontId="33" fillId="0" borderId="54" xfId="6" applyFont="1" applyBorder="1" applyAlignment="1">
      <alignment horizontal="center" vertical="center"/>
    </xf>
    <xf numFmtId="0" fontId="33" fillId="0" borderId="51" xfId="6" applyFont="1" applyBorder="1" applyAlignment="1">
      <alignment horizontal="center" vertical="center"/>
    </xf>
    <xf numFmtId="0" fontId="33" fillId="8" borderId="201" xfId="6" applyFont="1" applyFill="1" applyBorder="1" applyAlignment="1">
      <alignment horizontal="center" vertical="center" textRotation="255"/>
    </xf>
    <xf numFmtId="0" fontId="33" fillId="8" borderId="87" xfId="6" applyFont="1" applyFill="1" applyBorder="1" applyAlignment="1">
      <alignment horizontal="center" vertical="center" textRotation="255"/>
    </xf>
    <xf numFmtId="0" fontId="33" fillId="0" borderId="46" xfId="6" applyFont="1" applyBorder="1" applyAlignment="1">
      <alignment horizontal="center" vertical="center"/>
    </xf>
    <xf numFmtId="0" fontId="33" fillId="0" borderId="48" xfId="6" applyFont="1" applyBorder="1" applyAlignment="1">
      <alignment horizontal="center" vertical="center"/>
    </xf>
    <xf numFmtId="0" fontId="33" fillId="0" borderId="59" xfId="6" applyFont="1" applyBorder="1" applyAlignment="1">
      <alignment horizontal="center" vertical="center"/>
    </xf>
    <xf numFmtId="0" fontId="33" fillId="0" borderId="87" xfId="6" applyFont="1" applyBorder="1" applyAlignment="1">
      <alignment horizontal="center" vertical="center"/>
    </xf>
    <xf numFmtId="0" fontId="33" fillId="0" borderId="66" xfId="6" applyFont="1" applyBorder="1" applyAlignment="1">
      <alignment horizontal="center" vertical="center"/>
    </xf>
    <xf numFmtId="0" fontId="33" fillId="0" borderId="86" xfId="6" applyFont="1" applyBorder="1" applyAlignment="1">
      <alignment horizontal="center" vertical="center"/>
    </xf>
    <xf numFmtId="0" fontId="33" fillId="0" borderId="15" xfId="6" applyFont="1" applyBorder="1" applyAlignment="1">
      <alignment horizontal="center" vertical="center"/>
    </xf>
    <xf numFmtId="0" fontId="58" fillId="0" borderId="0" xfId="6" applyFont="1" applyAlignment="1">
      <alignment horizontal="center" vertical="center" shrinkToFit="1"/>
    </xf>
    <xf numFmtId="0" fontId="33" fillId="0" borderId="56" xfId="6" applyFont="1" applyBorder="1" applyAlignment="1">
      <alignment horizontal="center"/>
    </xf>
    <xf numFmtId="0" fontId="33" fillId="0" borderId="47" xfId="6" applyFont="1" applyBorder="1" applyAlignment="1">
      <alignment horizontal="center"/>
    </xf>
    <xf numFmtId="0" fontId="33" fillId="0" borderId="57" xfId="6" applyFont="1" applyBorder="1" applyAlignment="1">
      <alignment horizontal="center"/>
    </xf>
    <xf numFmtId="0" fontId="33" fillId="0" borderId="56" xfId="6" applyFont="1" applyBorder="1" applyAlignment="1">
      <alignment horizontal="center" vertical="center" shrinkToFit="1"/>
    </xf>
    <xf numFmtId="0" fontId="33" fillId="0" borderId="47" xfId="6" applyFont="1" applyBorder="1" applyAlignment="1">
      <alignment horizontal="center" vertical="center" shrinkToFit="1"/>
    </xf>
    <xf numFmtId="0" fontId="33" fillId="0" borderId="61" xfId="6" applyFont="1" applyBorder="1" applyAlignment="1">
      <alignment horizontal="center" vertical="center" shrinkToFit="1"/>
    </xf>
    <xf numFmtId="0" fontId="33" fillId="0" borderId="62" xfId="6" applyFont="1" applyBorder="1" applyAlignment="1">
      <alignment horizontal="center" vertical="center" shrinkToFit="1"/>
    </xf>
    <xf numFmtId="0" fontId="33" fillId="0" borderId="57" xfId="6" applyFont="1" applyBorder="1" applyAlignment="1">
      <alignment horizontal="center" vertical="center" shrinkToFit="1"/>
    </xf>
    <xf numFmtId="0" fontId="33" fillId="0" borderId="56" xfId="6" applyFont="1" applyBorder="1" applyAlignment="1">
      <alignment horizontal="left" vertical="center" wrapText="1"/>
    </xf>
    <xf numFmtId="0" fontId="33" fillId="0" borderId="47" xfId="6" applyFont="1" applyBorder="1" applyAlignment="1">
      <alignment horizontal="left" vertical="center" wrapText="1"/>
    </xf>
    <xf numFmtId="0" fontId="33" fillId="0" borderId="48" xfId="6" applyFont="1" applyBorder="1" applyAlignment="1">
      <alignment horizontal="left" vertical="center" wrapText="1"/>
    </xf>
    <xf numFmtId="0" fontId="33" fillId="0" borderId="26" xfId="6" applyFont="1" applyBorder="1" applyAlignment="1">
      <alignment vertical="center"/>
    </xf>
    <xf numFmtId="0" fontId="33" fillId="0" borderId="30" xfId="6" applyFont="1" applyBorder="1" applyAlignment="1">
      <alignment vertical="center"/>
    </xf>
    <xf numFmtId="0" fontId="6" fillId="22" borderId="204" xfId="6" applyFont="1" applyFill="1" applyBorder="1" applyAlignment="1">
      <alignment horizontal="center" vertical="center" textRotation="255"/>
    </xf>
    <xf numFmtId="0" fontId="6" fillId="22" borderId="86" xfId="6" applyFont="1" applyFill="1" applyBorder="1" applyAlignment="1">
      <alignment horizontal="center" vertical="center" textRotation="255"/>
    </xf>
    <xf numFmtId="0" fontId="6" fillId="22" borderId="212" xfId="6" applyFont="1" applyFill="1" applyBorder="1" applyAlignment="1">
      <alignment horizontal="center" vertical="center" textRotation="255"/>
    </xf>
    <xf numFmtId="0" fontId="0" fillId="22" borderId="223" xfId="6" applyFont="1" applyFill="1" applyBorder="1" applyAlignment="1">
      <alignment horizontal="center" vertical="center" wrapText="1"/>
    </xf>
    <xf numFmtId="0" fontId="6" fillId="22" borderId="210" xfId="6" applyFont="1" applyFill="1" applyBorder="1" applyAlignment="1">
      <alignment horizontal="center" vertical="center"/>
    </xf>
    <xf numFmtId="0" fontId="6" fillId="22" borderId="52" xfId="6" applyFont="1" applyFill="1" applyBorder="1" applyAlignment="1">
      <alignment horizontal="center" vertical="center"/>
    </xf>
    <xf numFmtId="0" fontId="6" fillId="22" borderId="53" xfId="6" applyFont="1" applyFill="1" applyBorder="1" applyAlignment="1">
      <alignment horizontal="center" vertical="center"/>
    </xf>
    <xf numFmtId="0" fontId="6" fillId="22" borderId="215" xfId="6" applyFont="1" applyFill="1" applyBorder="1" applyAlignment="1">
      <alignment horizontal="center" vertical="center"/>
    </xf>
    <xf numFmtId="0" fontId="6" fillId="22" borderId="216" xfId="6" applyFont="1" applyFill="1" applyBorder="1" applyAlignment="1">
      <alignment horizontal="center" vertical="center"/>
    </xf>
    <xf numFmtId="0" fontId="0" fillId="22" borderId="224" xfId="6" applyFont="1" applyFill="1" applyBorder="1" applyAlignment="1">
      <alignment horizontal="center" vertical="center" wrapText="1"/>
    </xf>
    <xf numFmtId="0" fontId="6" fillId="22" borderId="222" xfId="6" applyFont="1" applyFill="1" applyBorder="1" applyAlignment="1">
      <alignment horizontal="center" vertical="center" wrapText="1"/>
    </xf>
    <xf numFmtId="0" fontId="6" fillId="22" borderId="225" xfId="6" applyFont="1" applyFill="1" applyBorder="1" applyAlignment="1">
      <alignment horizontal="center" vertical="center" wrapText="1"/>
    </xf>
    <xf numFmtId="0" fontId="6" fillId="22" borderId="23" xfId="6" applyFont="1" applyFill="1" applyBorder="1" applyAlignment="1">
      <alignment horizontal="center" vertical="center" wrapText="1"/>
    </xf>
    <xf numFmtId="0" fontId="6" fillId="22" borderId="0" xfId="6" applyFont="1" applyFill="1" applyAlignment="1">
      <alignment horizontal="center" vertical="center" wrapText="1"/>
    </xf>
    <xf numFmtId="0" fontId="6" fillId="22" borderId="51" xfId="6" applyFont="1" applyFill="1" applyBorder="1" applyAlignment="1">
      <alignment horizontal="center" vertical="center" wrapText="1"/>
    </xf>
    <xf numFmtId="0" fontId="6" fillId="22" borderId="227" xfId="6" applyFont="1" applyFill="1" applyBorder="1" applyAlignment="1">
      <alignment horizontal="center" vertical="center" wrapText="1"/>
    </xf>
    <xf numFmtId="0" fontId="6" fillId="22" borderId="191" xfId="6" applyFont="1" applyFill="1" applyBorder="1" applyAlignment="1">
      <alignment horizontal="center" vertical="center" wrapText="1"/>
    </xf>
    <xf numFmtId="0" fontId="6" fillId="22" borderId="214" xfId="6" applyFont="1" applyFill="1" applyBorder="1" applyAlignment="1">
      <alignment horizontal="center" vertical="center" wrapText="1"/>
    </xf>
    <xf numFmtId="0" fontId="33" fillId="22" borderId="211" xfId="6" applyFont="1" applyFill="1" applyBorder="1" applyAlignment="1">
      <alignment horizontal="center" vertical="center" wrapText="1"/>
    </xf>
    <xf numFmtId="0" fontId="33" fillId="22" borderId="205" xfId="6" applyFont="1" applyFill="1" applyBorder="1" applyAlignment="1">
      <alignment horizontal="center" vertical="center" wrapText="1"/>
    </xf>
    <xf numFmtId="0" fontId="33" fillId="22" borderId="206" xfId="6" applyFont="1" applyFill="1" applyBorder="1" applyAlignment="1">
      <alignment horizontal="center" vertical="center" wrapText="1"/>
    </xf>
    <xf numFmtId="0" fontId="33" fillId="22" borderId="54" xfId="6" applyFont="1" applyFill="1" applyBorder="1" applyAlignment="1">
      <alignment horizontal="center" vertical="center" wrapText="1"/>
    </xf>
    <xf numFmtId="0" fontId="33" fillId="22" borderId="0" xfId="6" applyFont="1" applyFill="1" applyAlignment="1">
      <alignment horizontal="center" vertical="center" wrapText="1"/>
    </xf>
    <xf numFmtId="0" fontId="33" fillId="22" borderId="15" xfId="6" applyFont="1" applyFill="1" applyBorder="1" applyAlignment="1">
      <alignment horizontal="center" vertical="center" wrapText="1"/>
    </xf>
    <xf numFmtId="0" fontId="33" fillId="22" borderId="217" xfId="6" applyFont="1" applyFill="1" applyBorder="1" applyAlignment="1">
      <alignment horizontal="center" vertical="center" wrapText="1"/>
    </xf>
    <xf numFmtId="0" fontId="33" fillId="22" borderId="191" xfId="6" applyFont="1" applyFill="1" applyBorder="1" applyAlignment="1">
      <alignment horizontal="center" vertical="center" wrapText="1"/>
    </xf>
    <xf numFmtId="0" fontId="33" fillId="22" borderId="213" xfId="6" applyFont="1" applyFill="1" applyBorder="1" applyAlignment="1">
      <alignment horizontal="center" vertical="center" wrapText="1"/>
    </xf>
    <xf numFmtId="0" fontId="33" fillId="23" borderId="221" xfId="6" applyFont="1" applyFill="1" applyBorder="1" applyAlignment="1">
      <alignment horizontal="center" vertical="center" wrapText="1"/>
    </xf>
    <xf numFmtId="0" fontId="33" fillId="23" borderId="226" xfId="6" applyFont="1" applyFill="1" applyBorder="1" applyAlignment="1">
      <alignment horizontal="center" vertical="center"/>
    </xf>
    <xf numFmtId="0" fontId="33" fillId="23" borderId="86" xfId="6" applyFont="1" applyFill="1" applyBorder="1" applyAlignment="1">
      <alignment horizontal="center" vertical="center"/>
    </xf>
    <xf numFmtId="0" fontId="33" fillId="23" borderId="15" xfId="6" applyFont="1" applyFill="1" applyBorder="1" applyAlignment="1">
      <alignment horizontal="center" vertical="center"/>
    </xf>
    <xf numFmtId="0" fontId="33" fillId="23" borderId="212" xfId="6" applyFont="1" applyFill="1" applyBorder="1" applyAlignment="1">
      <alignment horizontal="center" vertical="center"/>
    </xf>
    <xf numFmtId="0" fontId="33" fillId="23" borderId="213" xfId="6" applyFont="1" applyFill="1" applyBorder="1" applyAlignment="1">
      <alignment horizontal="center" vertical="center"/>
    </xf>
    <xf numFmtId="0" fontId="33" fillId="0" borderId="55" xfId="6" applyFont="1" applyBorder="1" applyAlignment="1">
      <alignment horizontal="center" vertical="center"/>
    </xf>
    <xf numFmtId="0" fontId="33" fillId="0" borderId="104" xfId="6" applyFont="1" applyBorder="1" applyAlignment="1">
      <alignment horizontal="center" vertical="center"/>
    </xf>
    <xf numFmtId="0" fontId="33" fillId="0" borderId="56" xfId="6" applyFont="1" applyBorder="1" applyAlignment="1">
      <alignment horizontal="center" vertical="center"/>
    </xf>
    <xf numFmtId="0" fontId="33" fillId="0" borderId="47" xfId="6" applyFont="1" applyBorder="1" applyAlignment="1">
      <alignment horizontal="center" vertical="center"/>
    </xf>
    <xf numFmtId="0" fontId="33" fillId="0" borderId="57" xfId="6" applyFont="1" applyBorder="1" applyAlignment="1">
      <alignment horizontal="center" vertical="center"/>
    </xf>
    <xf numFmtId="0" fontId="6" fillId="22" borderId="207" xfId="6" applyFont="1" applyFill="1" applyBorder="1" applyAlignment="1">
      <alignment horizontal="center"/>
    </xf>
    <xf numFmtId="0" fontId="6" fillId="22" borderId="87" xfId="6" applyFont="1" applyFill="1" applyBorder="1" applyAlignment="1">
      <alignment horizontal="center"/>
    </xf>
    <xf numFmtId="0" fontId="6" fillId="22" borderId="202" xfId="6" applyFont="1" applyFill="1" applyBorder="1" applyAlignment="1">
      <alignment horizontal="center"/>
    </xf>
    <xf numFmtId="0" fontId="6" fillId="22" borderId="201" xfId="6" applyFont="1" applyFill="1" applyBorder="1" applyAlignment="1">
      <alignment horizontal="center" vertical="center" textRotation="255"/>
    </xf>
    <xf numFmtId="0" fontId="6" fillId="22" borderId="87" xfId="6" applyFont="1" applyFill="1" applyBorder="1" applyAlignment="1">
      <alignment horizontal="center" vertical="center" textRotation="255"/>
    </xf>
    <xf numFmtId="0" fontId="6" fillId="22" borderId="202" xfId="6" applyFont="1" applyFill="1" applyBorder="1" applyAlignment="1">
      <alignment horizontal="center" vertical="center" textRotation="255"/>
    </xf>
    <xf numFmtId="0" fontId="0" fillId="22" borderId="221" xfId="6" applyFont="1" applyFill="1" applyBorder="1" applyAlignment="1">
      <alignment horizontal="center" vertical="center"/>
    </xf>
    <xf numFmtId="0" fontId="6" fillId="22" borderId="205" xfId="6" applyFont="1" applyFill="1" applyBorder="1" applyAlignment="1">
      <alignment horizontal="center" vertical="center"/>
    </xf>
    <xf numFmtId="0" fontId="6" fillId="22" borderId="206" xfId="6" applyFont="1" applyFill="1" applyBorder="1" applyAlignment="1">
      <alignment horizontal="center" vertical="center"/>
    </xf>
    <xf numFmtId="0" fontId="6" fillId="22" borderId="86" xfId="6" applyFont="1" applyFill="1" applyBorder="1" applyAlignment="1">
      <alignment horizontal="center" vertical="center"/>
    </xf>
    <xf numFmtId="0" fontId="6" fillId="22" borderId="0" xfId="6" applyFont="1" applyFill="1" applyAlignment="1">
      <alignment horizontal="center" vertical="center"/>
    </xf>
    <xf numFmtId="0" fontId="6" fillId="22" borderId="15" xfId="6" applyFont="1" applyFill="1" applyBorder="1" applyAlignment="1">
      <alignment horizontal="center" vertical="center"/>
    </xf>
    <xf numFmtId="0" fontId="6" fillId="22" borderId="212" xfId="6" applyFont="1" applyFill="1" applyBorder="1" applyAlignment="1">
      <alignment horizontal="center" vertical="center"/>
    </xf>
    <xf numFmtId="0" fontId="6" fillId="22" borderId="191" xfId="6" applyFont="1" applyFill="1" applyBorder="1" applyAlignment="1">
      <alignment horizontal="center" vertical="center"/>
    </xf>
    <xf numFmtId="0" fontId="6" fillId="22" borderId="213" xfId="6" applyFont="1" applyFill="1" applyBorder="1" applyAlignment="1">
      <alignment horizontal="center" vertical="center"/>
    </xf>
    <xf numFmtId="0" fontId="33" fillId="8" borderId="26" xfId="6" applyFont="1" applyFill="1" applyBorder="1" applyAlignment="1">
      <alignment horizontal="center" vertical="center"/>
    </xf>
    <xf numFmtId="0" fontId="33" fillId="8" borderId="30" xfId="6" applyFont="1" applyFill="1" applyBorder="1" applyAlignment="1">
      <alignment horizontal="center" vertical="center"/>
    </xf>
    <xf numFmtId="0" fontId="33" fillId="0" borderId="58" xfId="6" applyFont="1" applyBorder="1" applyAlignment="1">
      <alignment horizontal="center" vertical="center"/>
    </xf>
    <xf numFmtId="0" fontId="33" fillId="0" borderId="88" xfId="6" applyFont="1" applyBorder="1" applyAlignment="1">
      <alignment horizontal="center" vertical="center"/>
    </xf>
    <xf numFmtId="0" fontId="33" fillId="0" borderId="0" xfId="6" applyFont="1" applyAlignment="1">
      <alignment vertical="center"/>
    </xf>
    <xf numFmtId="0" fontId="33" fillId="8" borderId="46" xfId="6" applyFont="1" applyFill="1" applyBorder="1" applyAlignment="1">
      <alignment horizontal="center" vertical="center"/>
    </xf>
    <xf numFmtId="0" fontId="33" fillId="8" borderId="48" xfId="6" applyFont="1" applyFill="1" applyBorder="1" applyAlignment="1">
      <alignment horizontal="center" vertical="center"/>
    </xf>
    <xf numFmtId="0" fontId="6" fillId="22" borderId="209" xfId="6" applyFont="1" applyFill="1" applyBorder="1" applyAlignment="1">
      <alignment horizontal="center" vertical="center" wrapText="1"/>
    </xf>
    <xf numFmtId="0" fontId="6" fillId="22" borderId="210" xfId="6" applyFont="1" applyFill="1" applyBorder="1" applyAlignment="1">
      <alignment horizontal="center" vertical="center" wrapText="1"/>
    </xf>
    <xf numFmtId="0" fontId="6" fillId="22" borderId="53" xfId="6" applyFont="1" applyFill="1" applyBorder="1" applyAlignment="1">
      <alignment horizontal="center" vertical="center" wrapText="1"/>
    </xf>
    <xf numFmtId="0" fontId="43" fillId="23" borderId="204" xfId="6" applyFont="1" applyFill="1" applyBorder="1" applyAlignment="1">
      <alignment horizontal="center" vertical="center" wrapText="1"/>
    </xf>
    <xf numFmtId="0" fontId="43" fillId="23" borderId="206" xfId="6" applyFont="1" applyFill="1" applyBorder="1" applyAlignment="1">
      <alignment horizontal="center" vertical="center"/>
    </xf>
    <xf numFmtId="0" fontId="43" fillId="23" borderId="86" xfId="6" applyFont="1" applyFill="1" applyBorder="1" applyAlignment="1">
      <alignment horizontal="center" vertical="center"/>
    </xf>
    <xf numFmtId="0" fontId="43" fillId="23" borderId="15" xfId="6" applyFont="1" applyFill="1" applyBorder="1" applyAlignment="1">
      <alignment horizontal="center" vertical="center"/>
    </xf>
    <xf numFmtId="0" fontId="43" fillId="23" borderId="212" xfId="6" applyFont="1" applyFill="1" applyBorder="1" applyAlignment="1">
      <alignment horizontal="center" vertical="center"/>
    </xf>
    <xf numFmtId="0" fontId="43" fillId="23" borderId="213" xfId="6" applyFont="1" applyFill="1" applyBorder="1" applyAlignment="1">
      <alignment horizontal="center" vertical="center"/>
    </xf>
    <xf numFmtId="0" fontId="33" fillId="8" borderId="101" xfId="6" applyFont="1" applyFill="1" applyBorder="1" applyAlignment="1">
      <alignment horizontal="center" vertical="center"/>
    </xf>
    <xf numFmtId="0" fontId="33" fillId="8" borderId="102" xfId="6" applyFont="1" applyFill="1" applyBorder="1" applyAlignment="1">
      <alignment horizontal="center" vertical="center"/>
    </xf>
    <xf numFmtId="0" fontId="6" fillId="22" borderId="205" xfId="6" applyFont="1" applyFill="1" applyBorder="1" applyAlignment="1">
      <alignment horizontal="center" vertical="center" textRotation="255"/>
    </xf>
    <xf numFmtId="0" fontId="6" fillId="22" borderId="0" xfId="6" applyFont="1" applyFill="1" applyAlignment="1">
      <alignment horizontal="center" vertical="center" textRotation="255"/>
    </xf>
    <xf numFmtId="0" fontId="6" fillId="22" borderId="191" xfId="6" applyFont="1" applyFill="1" applyBorder="1" applyAlignment="1">
      <alignment horizontal="center" vertical="center" textRotation="255"/>
    </xf>
    <xf numFmtId="0" fontId="6" fillId="22" borderId="204" xfId="6" applyFont="1" applyFill="1" applyBorder="1" applyAlignment="1">
      <alignment horizontal="center" vertical="center"/>
    </xf>
    <xf numFmtId="0" fontId="33" fillId="22" borderId="204" xfId="6" applyFont="1" applyFill="1" applyBorder="1" applyAlignment="1">
      <alignment horizontal="center" vertical="center"/>
    </xf>
    <xf numFmtId="0" fontId="33" fillId="22" borderId="206" xfId="6" applyFont="1" applyFill="1" applyBorder="1" applyAlignment="1">
      <alignment horizontal="center" vertical="center"/>
    </xf>
    <xf numFmtId="0" fontId="33" fillId="22" borderId="86" xfId="6" applyFont="1" applyFill="1" applyBorder="1" applyAlignment="1">
      <alignment horizontal="center" vertical="center"/>
    </xf>
    <xf numFmtId="0" fontId="33" fillId="22" borderId="15" xfId="6" applyFont="1" applyFill="1" applyBorder="1" applyAlignment="1">
      <alignment horizontal="center" vertical="center"/>
    </xf>
    <xf numFmtId="0" fontId="33" fillId="22" borderId="212" xfId="6" applyFont="1" applyFill="1" applyBorder="1" applyAlignment="1">
      <alignment horizontal="center" vertical="center"/>
    </xf>
    <xf numFmtId="0" fontId="33" fillId="22" borderId="213" xfId="6" applyFont="1" applyFill="1" applyBorder="1" applyAlignment="1">
      <alignment horizontal="center" vertical="center"/>
    </xf>
    <xf numFmtId="0" fontId="33" fillId="22" borderId="205" xfId="6" applyFont="1" applyFill="1" applyBorder="1" applyAlignment="1">
      <alignment horizontal="center" vertical="center"/>
    </xf>
    <xf numFmtId="0" fontId="33" fillId="22" borderId="0" xfId="6" applyFont="1" applyFill="1" applyAlignment="1">
      <alignment horizontal="center" vertical="center"/>
    </xf>
    <xf numFmtId="0" fontId="33" fillId="22" borderId="191" xfId="6" applyFont="1" applyFill="1" applyBorder="1" applyAlignment="1">
      <alignment horizontal="center" vertical="center"/>
    </xf>
    <xf numFmtId="0" fontId="33" fillId="22" borderId="208" xfId="6" applyFont="1" applyFill="1" applyBorder="1" applyAlignment="1">
      <alignment horizontal="center" vertical="center"/>
    </xf>
    <xf numFmtId="0" fontId="33" fillId="22" borderId="51" xfId="6" applyFont="1" applyFill="1" applyBorder="1" applyAlignment="1">
      <alignment horizontal="center" vertical="center"/>
    </xf>
    <xf numFmtId="0" fontId="33" fillId="22" borderId="214" xfId="6" applyFont="1" applyFill="1" applyBorder="1" applyAlignment="1">
      <alignment horizontal="center" vertical="center"/>
    </xf>
    <xf numFmtId="0" fontId="28" fillId="25" borderId="221" xfId="7" applyFont="1" applyFill="1" applyBorder="1" applyAlignment="1">
      <alignment horizontal="center" vertical="center" wrapText="1"/>
    </xf>
    <xf numFmtId="0" fontId="0" fillId="0" borderId="226" xfId="0" applyBorder="1" applyAlignment="1">
      <alignment horizontal="center" vertical="center" wrapText="1"/>
    </xf>
    <xf numFmtId="0" fontId="28" fillId="25" borderId="86" xfId="7" applyFont="1" applyFill="1" applyBorder="1" applyAlignment="1">
      <alignment horizontal="center" vertical="center" wrapText="1"/>
    </xf>
    <xf numFmtId="0" fontId="28" fillId="25" borderId="86" xfId="7" applyFont="1" applyFill="1" applyBorder="1" applyAlignment="1">
      <alignment horizontal="center" vertical="center"/>
    </xf>
    <xf numFmtId="0" fontId="28" fillId="25" borderId="73" xfId="7" applyFont="1" applyFill="1" applyBorder="1" applyAlignment="1">
      <alignment horizontal="center" vertical="center" wrapText="1"/>
    </xf>
    <xf numFmtId="0" fontId="28" fillId="27" borderId="221" xfId="7" applyFont="1" applyFill="1" applyBorder="1" applyAlignment="1">
      <alignment horizontal="center" vertical="center" wrapText="1"/>
    </xf>
    <xf numFmtId="0" fontId="28" fillId="27" borderId="226" xfId="7" applyFont="1" applyFill="1" applyBorder="1" applyAlignment="1">
      <alignment horizontal="center" vertical="center" wrapText="1"/>
    </xf>
    <xf numFmtId="0" fontId="73" fillId="20" borderId="87" xfId="7" applyFont="1" applyFill="1" applyBorder="1" applyAlignment="1">
      <alignment horizontal="center" vertical="center" wrapText="1"/>
    </xf>
    <xf numFmtId="0" fontId="73" fillId="20" borderId="75" xfId="7" applyFont="1" applyFill="1" applyBorder="1" applyAlignment="1">
      <alignment horizontal="center" vertical="center" wrapText="1"/>
    </xf>
    <xf numFmtId="0" fontId="73" fillId="13" borderId="87" xfId="7" applyFont="1" applyFill="1" applyBorder="1" applyAlignment="1">
      <alignment horizontal="center" vertical="center" wrapText="1"/>
    </xf>
    <xf numFmtId="0" fontId="73" fillId="13" borderId="75" xfId="7" applyFont="1" applyFill="1" applyBorder="1" applyAlignment="1">
      <alignment horizontal="center" vertical="center" wrapText="1"/>
    </xf>
    <xf numFmtId="0" fontId="73" fillId="13" borderId="86" xfId="7" applyFont="1" applyFill="1" applyBorder="1" applyAlignment="1">
      <alignment horizontal="center" vertical="center" wrapText="1"/>
    </xf>
    <xf numFmtId="0" fontId="73" fillId="13" borderId="77" xfId="7" applyFont="1" applyFill="1" applyBorder="1" applyAlignment="1">
      <alignment horizontal="center" vertical="center" wrapText="1"/>
    </xf>
    <xf numFmtId="0" fontId="28" fillId="27" borderId="86" xfId="7" applyFont="1" applyFill="1" applyBorder="1" applyAlignment="1">
      <alignment horizontal="center" vertical="center" wrapText="1"/>
    </xf>
    <xf numFmtId="0" fontId="28" fillId="27" borderId="0" xfId="7" applyFont="1" applyFill="1" applyAlignment="1">
      <alignment horizontal="center" vertical="center" wrapText="1"/>
    </xf>
    <xf numFmtId="0" fontId="73" fillId="27" borderId="77" xfId="7" applyFont="1" applyFill="1" applyBorder="1" applyAlignment="1">
      <alignment horizontal="center" vertical="center" wrapText="1"/>
    </xf>
    <xf numFmtId="0" fontId="73" fillId="27" borderId="79" xfId="7" applyFont="1" applyFill="1" applyBorder="1" applyAlignment="1">
      <alignment horizontal="center" vertical="center" wrapText="1"/>
    </xf>
    <xf numFmtId="0" fontId="28" fillId="25" borderId="77" xfId="7" applyFont="1" applyFill="1" applyBorder="1" applyAlignment="1">
      <alignment horizontal="center" vertical="center"/>
    </xf>
    <xf numFmtId="0" fontId="28" fillId="20" borderId="73" xfId="7" applyFont="1" applyFill="1" applyBorder="1" applyAlignment="1">
      <alignment horizontal="center" vertical="center" wrapText="1"/>
    </xf>
    <xf numFmtId="0" fontId="28" fillId="20" borderId="72" xfId="7" applyFont="1" applyFill="1" applyBorder="1" applyAlignment="1">
      <alignment horizontal="center" vertical="center" wrapText="1"/>
    </xf>
    <xf numFmtId="0" fontId="73" fillId="20" borderId="77" xfId="7" applyFont="1" applyFill="1" applyBorder="1" applyAlignment="1">
      <alignment horizontal="center" vertical="center" wrapText="1"/>
    </xf>
    <xf numFmtId="0" fontId="73" fillId="20" borderId="76" xfId="7" applyFont="1" applyFill="1" applyBorder="1" applyAlignment="1">
      <alignment horizontal="center" vertical="center" wrapText="1"/>
    </xf>
    <xf numFmtId="0" fontId="28" fillId="13" borderId="73" xfId="7" applyFont="1" applyFill="1" applyBorder="1" applyAlignment="1">
      <alignment horizontal="center" vertical="center" wrapText="1"/>
    </xf>
    <xf numFmtId="0" fontId="28" fillId="13" borderId="72" xfId="7" applyFont="1" applyFill="1" applyBorder="1" applyAlignment="1">
      <alignment horizontal="center" vertical="center" wrapText="1"/>
    </xf>
    <xf numFmtId="0" fontId="73" fillId="13" borderId="76" xfId="7" applyFont="1" applyFill="1" applyBorder="1" applyAlignment="1">
      <alignment horizontal="center" vertical="center" wrapText="1"/>
    </xf>
    <xf numFmtId="0" fontId="28" fillId="25" borderId="212" xfId="7" applyFont="1" applyFill="1" applyBorder="1" applyAlignment="1">
      <alignment horizontal="center" vertical="center"/>
    </xf>
    <xf numFmtId="0" fontId="73" fillId="13" borderId="212" xfId="7" applyFont="1" applyFill="1" applyBorder="1" applyAlignment="1">
      <alignment horizontal="center" vertical="center" wrapText="1"/>
    </xf>
    <xf numFmtId="0" fontId="73" fillId="13" borderId="213" xfId="7" applyFont="1" applyFill="1" applyBorder="1" applyAlignment="1">
      <alignment horizontal="center" vertical="center" wrapText="1"/>
    </xf>
  </cellXfs>
  <cellStyles count="8">
    <cellStyle name="標準" xfId="0" builtinId="0"/>
    <cellStyle name="標準 102" xfId="6" xr:uid="{4C409D5C-2391-4C18-AF97-738CF28D56C8}"/>
    <cellStyle name="標準 2" xfId="2" xr:uid="{9F499C52-459C-4BED-A519-BCE084B8736A}"/>
    <cellStyle name="標準 2 2" xfId="3" xr:uid="{FD8F6D51-8081-4F2E-B637-8C6250E105BA}"/>
    <cellStyle name="標準 3" xfId="4" xr:uid="{DCE66958-274C-455E-8103-1E3C2A6EE0B3}"/>
    <cellStyle name="標準 4" xfId="5" xr:uid="{FE2F0618-8F4E-4766-850F-687CFF324105}"/>
    <cellStyle name="標準 5" xfId="7" xr:uid="{A89AC94E-3657-459B-A25F-630F07E43DAC}"/>
    <cellStyle name="標準_松阪屋実施計画" xfId="1" xr:uid="{00000000-0005-0000-0000-000001000000}"/>
  </cellStyles>
  <dxfs count="0"/>
  <tableStyles count="0" defaultTableStyle="TableStyleMedium2" defaultPivotStyle="PivotStyleLight16"/>
  <colors>
    <mruColors>
      <color rgb="FFFFCCFF"/>
      <color rgb="FFFFE5FF"/>
      <color rgb="FF0000FF"/>
      <color rgb="FFFFFFCC"/>
      <color rgb="FFCCFFFF"/>
      <color rgb="FF95B3D7"/>
      <color rgb="FF66FFFF"/>
      <color rgb="FF66FF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ustomXml" Target="../customXml/item1.xml"/></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drawing19.xml.rels><?xml version="1.0" encoding="UTF-8" standalone="yes"?>
<Relationships xmlns="http://schemas.openxmlformats.org/package/2006/relationships"><Relationship Id="rId3" Type="http://schemas.openxmlformats.org/officeDocument/2006/relationships/image" Target="../media/image5.emf"/><Relationship Id="rId2" Type="http://schemas.openxmlformats.org/officeDocument/2006/relationships/image" Target="../media/image4.emf"/><Relationship Id="rId1" Type="http://schemas.openxmlformats.org/officeDocument/2006/relationships/image" Target="../media/image3.emf"/><Relationship Id="rId6" Type="http://schemas.openxmlformats.org/officeDocument/2006/relationships/image" Target="../media/image8.emf"/><Relationship Id="rId5" Type="http://schemas.openxmlformats.org/officeDocument/2006/relationships/image" Target="../media/image7.emf"/><Relationship Id="rId4" Type="http://schemas.openxmlformats.org/officeDocument/2006/relationships/image" Target="../media/image6.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0</xdr:col>
      <xdr:colOff>205740</xdr:colOff>
      <xdr:row>4</xdr:row>
      <xdr:rowOff>99060</xdr:rowOff>
    </xdr:from>
    <xdr:to>
      <xdr:col>16</xdr:col>
      <xdr:colOff>269242</xdr:colOff>
      <xdr:row>20</xdr:row>
      <xdr:rowOff>123825</xdr:rowOff>
    </xdr:to>
    <xdr:sp macro="" textlink="">
      <xdr:nvSpPr>
        <xdr:cNvPr id="2" name="Text Box 1">
          <a:extLst>
            <a:ext uri="{FF2B5EF4-FFF2-40B4-BE49-F238E27FC236}">
              <a16:creationId xmlns:a16="http://schemas.microsoft.com/office/drawing/2014/main" id="{107B9659-C896-44BF-9266-06E26B432600}"/>
            </a:ext>
          </a:extLst>
        </xdr:cNvPr>
        <xdr:cNvSpPr txBox="1">
          <a:spLocks noChangeArrowheads="1"/>
        </xdr:cNvSpPr>
      </xdr:nvSpPr>
      <xdr:spPr bwMode="auto">
        <a:xfrm>
          <a:off x="205740" y="647700"/>
          <a:ext cx="8841742" cy="2219325"/>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a:effectLst>
          <a:outerShdw dist="107763" dir="2700000" algn="ctr" rotWithShape="0">
            <a:srgbClr val="808080"/>
          </a:outerShdw>
        </a:effectLst>
      </xdr:spPr>
      <xdr:txBody>
        <a:bodyPr vertOverflow="clip" wrap="square" lIns="64008" tIns="41148" rIns="64008" bIns="41148" anchor="ctr" upright="1"/>
        <a:lstStyle/>
        <a:p>
          <a:pPr algn="ctr" rtl="0">
            <a:lnSpc>
              <a:spcPts val="3800"/>
            </a:lnSpc>
            <a:defRPr sz="1000"/>
          </a:pPr>
          <a:r>
            <a:rPr lang="ja-JP" altLang="en-US" sz="3600" b="0" i="0" u="none" strike="noStrike" baseline="0">
              <a:solidFill>
                <a:srgbClr val="000000"/>
              </a:solidFill>
              <a:latin typeface="ＭＳ Ｐゴシック"/>
              <a:ea typeface="ＭＳ Ｐゴシック"/>
            </a:rPr>
            <a:t>いなげや様向け</a:t>
          </a:r>
          <a:r>
            <a:rPr lang="en-US" altLang="ja-JP" sz="3600" b="0" i="0" u="none" strike="noStrike" baseline="0">
              <a:solidFill>
                <a:srgbClr val="000000"/>
              </a:solidFill>
              <a:latin typeface="ＭＳ Ｐゴシック"/>
              <a:ea typeface="ＭＳ Ｐゴシック"/>
            </a:rPr>
            <a:t>TeamStore/M</a:t>
          </a:r>
        </a:p>
        <a:p>
          <a:pPr algn="ctr" rtl="0">
            <a:lnSpc>
              <a:spcPts val="3800"/>
            </a:lnSpc>
            <a:defRPr sz="1000"/>
          </a:pPr>
          <a:r>
            <a:rPr lang="en-US" altLang="ja-JP" sz="3600" b="0" i="0" u="none" strike="noStrike" baseline="0">
              <a:solidFill>
                <a:srgbClr val="000000"/>
              </a:solidFill>
              <a:latin typeface="ＭＳ Ｐゴシック"/>
              <a:ea typeface="ＭＳ Ｐゴシック"/>
            </a:rPr>
            <a:t>ignicaPOS</a:t>
          </a:r>
          <a:r>
            <a:rPr lang="ja-JP" altLang="en-US" sz="3600" b="0" i="0" u="none" strike="noStrike" baseline="0">
              <a:solidFill>
                <a:srgbClr val="000000"/>
              </a:solidFill>
              <a:latin typeface="ＭＳ Ｐゴシック"/>
              <a:ea typeface="ＭＳ Ｐゴシック"/>
            </a:rPr>
            <a:t>版</a:t>
          </a:r>
          <a:r>
            <a:rPr lang="en-US" altLang="ja-JP" sz="3600" b="0" i="0" u="none" strike="noStrike" baseline="0">
              <a:solidFill>
                <a:srgbClr val="000000"/>
              </a:solidFill>
              <a:latin typeface="ＭＳ Ｐゴシック"/>
              <a:ea typeface="ＭＳ Ｐゴシック"/>
            </a:rPr>
            <a:t>Scan&amp;Go</a:t>
          </a:r>
          <a:r>
            <a:rPr lang="ja-JP" altLang="en-US" sz="3600" b="0" i="0" u="none" strike="noStrike" baseline="0">
              <a:solidFill>
                <a:srgbClr val="000000"/>
              </a:solidFill>
              <a:latin typeface="ＭＳ Ｐゴシック"/>
              <a:ea typeface="ＭＳ Ｐゴシック"/>
            </a:rPr>
            <a:t>連携</a:t>
          </a:r>
          <a:endParaRPr lang="en-US" altLang="ja-JP" sz="3600" b="0" i="0" u="none" strike="noStrike" baseline="0">
            <a:solidFill>
              <a:srgbClr val="000000"/>
            </a:solidFill>
            <a:latin typeface="ＭＳ Ｐゴシック"/>
            <a:ea typeface="ＭＳ Ｐゴシック"/>
          </a:endParaRPr>
        </a:p>
        <a:p>
          <a:pPr algn="ctr" rtl="0">
            <a:lnSpc>
              <a:spcPts val="3800"/>
            </a:lnSpc>
            <a:defRPr sz="1000"/>
          </a:pPr>
          <a:r>
            <a:rPr lang="en-US" altLang="ja-JP" sz="3600" b="0" i="0" u="none" strike="noStrike" baseline="0">
              <a:solidFill>
                <a:srgbClr val="000000"/>
              </a:solidFill>
              <a:latin typeface="ＭＳ Ｐゴシック"/>
              <a:ea typeface="ＭＳ Ｐゴシック"/>
            </a:rPr>
            <a:t>UI-03_</a:t>
          </a:r>
          <a:r>
            <a:rPr lang="ja-JP" altLang="en-US" sz="3600" b="0" i="0" u="none" strike="noStrike" baseline="0">
              <a:solidFill>
                <a:srgbClr val="000000"/>
              </a:solidFill>
              <a:latin typeface="ＭＳ Ｐゴシック"/>
              <a:ea typeface="ＭＳ Ｐゴシック"/>
            </a:rPr>
            <a:t>トラン連携対応</a:t>
          </a:r>
          <a:r>
            <a:rPr lang="en-US" altLang="ja-JP" sz="3600" b="0" i="0" u="none" strike="noStrike" baseline="0">
              <a:solidFill>
                <a:srgbClr val="000000"/>
              </a:solidFill>
              <a:latin typeface="ＭＳ Ｐゴシック"/>
              <a:ea typeface="ＭＳ Ｐゴシック"/>
            </a:rPr>
            <a:t>_</a:t>
          </a:r>
          <a:r>
            <a:rPr lang="ja-JP" altLang="en-US" sz="3600" b="0" i="0" u="none" strike="noStrike" baseline="0">
              <a:solidFill>
                <a:srgbClr val="000000"/>
              </a:solidFill>
              <a:latin typeface="ＭＳ Ｐゴシック"/>
              <a:ea typeface="ＭＳ Ｐゴシック"/>
            </a:rPr>
            <a:t>レイアウト</a:t>
          </a:r>
          <a:endParaRPr lang="en-US" altLang="ja-JP" sz="3600" b="0" i="0" u="none" strike="noStrike" baseline="0">
            <a:solidFill>
              <a:srgbClr val="000000"/>
            </a:solidFill>
            <a:latin typeface="ＭＳ Ｐゴシック"/>
            <a:ea typeface="ＭＳ Ｐゴシック"/>
          </a:endParaRPr>
        </a:p>
        <a:p>
          <a:pPr algn="ctr" rtl="0">
            <a:lnSpc>
              <a:spcPts val="3800"/>
            </a:lnSpc>
            <a:defRPr sz="1000"/>
          </a:pPr>
          <a:r>
            <a:rPr lang="en-US" altLang="ja-JP" sz="3200" b="0" i="0" u="none" strike="noStrike" baseline="0">
              <a:solidFill>
                <a:srgbClr val="000000"/>
              </a:solidFill>
              <a:latin typeface="ＭＳ Ｐゴシック"/>
              <a:ea typeface="ＭＳ Ｐゴシック"/>
            </a:rPr>
            <a:t>UI</a:t>
          </a:r>
          <a:r>
            <a:rPr lang="ja-JP" altLang="en-US" sz="3200" b="0" i="0" u="none" strike="noStrike" baseline="0">
              <a:solidFill>
                <a:srgbClr val="000000"/>
              </a:solidFill>
              <a:latin typeface="ＭＳ Ｐゴシック"/>
              <a:ea typeface="ＭＳ Ｐゴシック"/>
            </a:rPr>
            <a:t>設計書</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7620</xdr:colOff>
      <xdr:row>13</xdr:row>
      <xdr:rowOff>76200</xdr:rowOff>
    </xdr:from>
    <xdr:to>
      <xdr:col>10</xdr:col>
      <xdr:colOff>0</xdr:colOff>
      <xdr:row>13</xdr:row>
      <xdr:rowOff>76200</xdr:rowOff>
    </xdr:to>
    <xdr:sp macro="" textlink="">
      <xdr:nvSpPr>
        <xdr:cNvPr id="2" name="Line 11">
          <a:extLst>
            <a:ext uri="{FF2B5EF4-FFF2-40B4-BE49-F238E27FC236}">
              <a16:creationId xmlns:a16="http://schemas.microsoft.com/office/drawing/2014/main" id="{6876E023-50EA-48DA-B541-8BC89C803C96}"/>
            </a:ext>
          </a:extLst>
        </xdr:cNvPr>
        <xdr:cNvSpPr>
          <a:spLocks noChangeShapeType="1"/>
        </xdr:cNvSpPr>
      </xdr:nvSpPr>
      <xdr:spPr bwMode="auto">
        <a:xfrm>
          <a:off x="4227195" y="2225040"/>
          <a:ext cx="550545" cy="0"/>
        </a:xfrm>
        <a:prstGeom prst="line">
          <a:avLst/>
        </a:prstGeom>
        <a:noFill/>
        <a:ln w="9525">
          <a:solidFill>
            <a:srgbClr val="FF0000"/>
          </a:solidFill>
          <a:prstDash val="dash"/>
          <a:round/>
          <a:headEnd/>
          <a:tailEnd/>
        </a:ln>
        <a:extLst>
          <a:ext uri="{909E8E84-426E-40DD-AFC4-6F175D3DCCD1}">
            <a14:hiddenFill xmlns:a14="http://schemas.microsoft.com/office/drawing/2010/main">
              <a:noFill/>
            </a14:hiddenFill>
          </a:ext>
        </a:extLst>
      </xdr:spPr>
    </xdr:sp>
    <xdr:clientData/>
  </xdr:twoCellAnchor>
  <xdr:twoCellAnchor>
    <xdr:from>
      <xdr:col>16</xdr:col>
      <xdr:colOff>9525</xdr:colOff>
      <xdr:row>13</xdr:row>
      <xdr:rowOff>76200</xdr:rowOff>
    </xdr:from>
    <xdr:to>
      <xdr:col>18</xdr:col>
      <xdr:colOff>11906</xdr:colOff>
      <xdr:row>13</xdr:row>
      <xdr:rowOff>76200</xdr:rowOff>
    </xdr:to>
    <xdr:sp macro="" textlink="">
      <xdr:nvSpPr>
        <xdr:cNvPr id="3" name="Line 11">
          <a:extLst>
            <a:ext uri="{FF2B5EF4-FFF2-40B4-BE49-F238E27FC236}">
              <a16:creationId xmlns:a16="http://schemas.microsoft.com/office/drawing/2014/main" id="{E68B9A9D-C6F2-4459-9F7C-C681FDF0D491}"/>
            </a:ext>
          </a:extLst>
        </xdr:cNvPr>
        <xdr:cNvSpPr>
          <a:spLocks noChangeShapeType="1"/>
        </xdr:cNvSpPr>
      </xdr:nvSpPr>
      <xdr:spPr bwMode="auto">
        <a:xfrm>
          <a:off x="8519160" y="2225040"/>
          <a:ext cx="558641" cy="0"/>
        </a:xfrm>
        <a:prstGeom prst="line">
          <a:avLst/>
        </a:prstGeom>
        <a:noFill/>
        <a:ln w="9525">
          <a:solidFill>
            <a:srgbClr val="FF0000"/>
          </a:solidFill>
          <a:prstDash val="dash"/>
          <a:round/>
          <a:headEnd/>
          <a:tailEnd/>
        </a:ln>
        <a:extLst>
          <a:ext uri="{909E8E84-426E-40DD-AFC4-6F175D3DCCD1}">
            <a14:hiddenFill xmlns:a14="http://schemas.microsoft.com/office/drawing/2010/main">
              <a:noFill/>
            </a14:hiddenFill>
          </a:ext>
        </a:extLst>
      </xdr:spPr>
    </xdr:sp>
    <xdr:clientData/>
  </xdr:twoCellAnchor>
  <xdr:twoCellAnchor>
    <xdr:from>
      <xdr:col>16</xdr:col>
      <xdr:colOff>9525</xdr:colOff>
      <xdr:row>14</xdr:row>
      <xdr:rowOff>76200</xdr:rowOff>
    </xdr:from>
    <xdr:to>
      <xdr:col>18</xdr:col>
      <xdr:colOff>11906</xdr:colOff>
      <xdr:row>14</xdr:row>
      <xdr:rowOff>76200</xdr:rowOff>
    </xdr:to>
    <xdr:sp macro="" textlink="">
      <xdr:nvSpPr>
        <xdr:cNvPr id="4" name="Line 11">
          <a:extLst>
            <a:ext uri="{FF2B5EF4-FFF2-40B4-BE49-F238E27FC236}">
              <a16:creationId xmlns:a16="http://schemas.microsoft.com/office/drawing/2014/main" id="{C2D6D22E-28DD-4830-B5A3-2F23446707F8}"/>
            </a:ext>
          </a:extLst>
        </xdr:cNvPr>
        <xdr:cNvSpPr>
          <a:spLocks noChangeShapeType="1"/>
        </xdr:cNvSpPr>
      </xdr:nvSpPr>
      <xdr:spPr bwMode="auto">
        <a:xfrm>
          <a:off x="8519160" y="2369820"/>
          <a:ext cx="558641" cy="0"/>
        </a:xfrm>
        <a:prstGeom prst="line">
          <a:avLst/>
        </a:prstGeom>
        <a:noFill/>
        <a:ln w="9525">
          <a:solidFill>
            <a:srgbClr val="0000FF"/>
          </a:solidFill>
          <a:prstDash val="sysDash"/>
          <a:round/>
          <a:headEnd/>
          <a:tailEnd/>
        </a:ln>
        <a:extLst>
          <a:ext uri="{909E8E84-426E-40DD-AFC4-6F175D3DCCD1}">
            <a14:hiddenFill xmlns:a14="http://schemas.microsoft.com/office/drawing/2010/main">
              <a:noFill/>
            </a14:hiddenFill>
          </a:ext>
        </a:extLst>
      </xdr:spPr>
    </xdr:sp>
    <xdr:clientData/>
  </xdr:twoCellAnchor>
  <xdr:twoCellAnchor>
    <xdr:from>
      <xdr:col>24</xdr:col>
      <xdr:colOff>10583</xdr:colOff>
      <xdr:row>12</xdr:row>
      <xdr:rowOff>74083</xdr:rowOff>
    </xdr:from>
    <xdr:to>
      <xdr:col>26</xdr:col>
      <xdr:colOff>10583</xdr:colOff>
      <xdr:row>15</xdr:row>
      <xdr:rowOff>52918</xdr:rowOff>
    </xdr:to>
    <xdr:cxnSp macro="">
      <xdr:nvCxnSpPr>
        <xdr:cNvPr id="5" name="カギ線コネクタ 15">
          <a:extLst>
            <a:ext uri="{FF2B5EF4-FFF2-40B4-BE49-F238E27FC236}">
              <a16:creationId xmlns:a16="http://schemas.microsoft.com/office/drawing/2014/main" id="{B9EC9F25-28ED-41C6-A07B-99686FA55C73}"/>
            </a:ext>
          </a:extLst>
        </xdr:cNvPr>
        <xdr:cNvCxnSpPr/>
      </xdr:nvCxnSpPr>
      <xdr:spPr>
        <a:xfrm flipV="1">
          <a:off x="12718838" y="2078143"/>
          <a:ext cx="556260" cy="416985"/>
        </a:xfrm>
        <a:prstGeom prst="bentConnector3">
          <a:avLst/>
        </a:prstGeom>
        <a:ln>
          <a:solidFill>
            <a:srgbClr val="0000FF"/>
          </a:solidFill>
          <a:prstDash val="sys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10582</xdr:colOff>
      <xdr:row>13</xdr:row>
      <xdr:rowOff>76199</xdr:rowOff>
    </xdr:from>
    <xdr:to>
      <xdr:col>25</xdr:col>
      <xdr:colOff>95248</xdr:colOff>
      <xdr:row>13</xdr:row>
      <xdr:rowOff>76199</xdr:rowOff>
    </xdr:to>
    <xdr:sp macro="" textlink="">
      <xdr:nvSpPr>
        <xdr:cNvPr id="6" name="Line 11">
          <a:extLst>
            <a:ext uri="{FF2B5EF4-FFF2-40B4-BE49-F238E27FC236}">
              <a16:creationId xmlns:a16="http://schemas.microsoft.com/office/drawing/2014/main" id="{7D5AE921-173D-4235-826E-52FD6552EE07}"/>
            </a:ext>
          </a:extLst>
        </xdr:cNvPr>
        <xdr:cNvSpPr>
          <a:spLocks noChangeShapeType="1"/>
        </xdr:cNvSpPr>
      </xdr:nvSpPr>
      <xdr:spPr bwMode="auto">
        <a:xfrm>
          <a:off x="12718837" y="2225039"/>
          <a:ext cx="539961" cy="0"/>
        </a:xfrm>
        <a:prstGeom prst="line">
          <a:avLst/>
        </a:prstGeom>
        <a:noFill/>
        <a:ln w="9525">
          <a:solidFill>
            <a:srgbClr val="FF0000"/>
          </a:solidFill>
          <a:prstDash val="dash"/>
          <a:round/>
          <a:headEnd/>
          <a:tailEnd/>
        </a:ln>
        <a:extLst>
          <a:ext uri="{909E8E84-426E-40DD-AFC4-6F175D3DCCD1}">
            <a14:hiddenFill xmlns:a14="http://schemas.microsoft.com/office/drawing/2010/main">
              <a:noFill/>
            </a14:hiddenFill>
          </a:ext>
        </a:extLst>
      </xdr:spPr>
    </xdr:sp>
    <xdr:clientData/>
  </xdr:twoCellAnchor>
  <xdr:twoCellAnchor>
    <xdr:from>
      <xdr:col>24</xdr:col>
      <xdr:colOff>21164</xdr:colOff>
      <xdr:row>45</xdr:row>
      <xdr:rowOff>86781</xdr:rowOff>
    </xdr:from>
    <xdr:to>
      <xdr:col>25</xdr:col>
      <xdr:colOff>105830</xdr:colOff>
      <xdr:row>45</xdr:row>
      <xdr:rowOff>86781</xdr:rowOff>
    </xdr:to>
    <xdr:sp macro="" textlink="">
      <xdr:nvSpPr>
        <xdr:cNvPr id="7" name="Line 11">
          <a:extLst>
            <a:ext uri="{FF2B5EF4-FFF2-40B4-BE49-F238E27FC236}">
              <a16:creationId xmlns:a16="http://schemas.microsoft.com/office/drawing/2014/main" id="{261CB03F-83E0-46DA-B9A2-412CF4A24164}"/>
            </a:ext>
          </a:extLst>
        </xdr:cNvPr>
        <xdr:cNvSpPr>
          <a:spLocks noChangeShapeType="1"/>
        </xdr:cNvSpPr>
      </xdr:nvSpPr>
      <xdr:spPr bwMode="auto">
        <a:xfrm>
          <a:off x="12735134" y="6942876"/>
          <a:ext cx="532341" cy="0"/>
        </a:xfrm>
        <a:prstGeom prst="line">
          <a:avLst/>
        </a:prstGeom>
        <a:noFill/>
        <a:ln w="9525">
          <a:solidFill>
            <a:srgbClr val="FF0000"/>
          </a:solidFill>
          <a:prstDash val="dash"/>
          <a:round/>
          <a:headEnd/>
          <a:tailEnd/>
        </a:ln>
        <a:extLst>
          <a:ext uri="{909E8E84-426E-40DD-AFC4-6F175D3DCCD1}">
            <a14:hiddenFill xmlns:a14="http://schemas.microsoft.com/office/drawing/2010/main">
              <a:noFill/>
            </a14:hiddenFill>
          </a:ext>
        </a:extLst>
      </xdr:spPr>
    </xdr:sp>
    <xdr:clientData/>
  </xdr:twoCellAnchor>
  <xdr:twoCellAnchor>
    <xdr:from>
      <xdr:col>24</xdr:col>
      <xdr:colOff>10583</xdr:colOff>
      <xdr:row>46</xdr:row>
      <xdr:rowOff>84668</xdr:rowOff>
    </xdr:from>
    <xdr:to>
      <xdr:col>25</xdr:col>
      <xdr:colOff>95249</xdr:colOff>
      <xdr:row>47</xdr:row>
      <xdr:rowOff>74083</xdr:rowOff>
    </xdr:to>
    <xdr:cxnSp macro="">
      <xdr:nvCxnSpPr>
        <xdr:cNvPr id="8" name="カギ線コネクタ 24">
          <a:extLst>
            <a:ext uri="{FF2B5EF4-FFF2-40B4-BE49-F238E27FC236}">
              <a16:creationId xmlns:a16="http://schemas.microsoft.com/office/drawing/2014/main" id="{094D17FE-CF24-4F0D-AAAF-3BD09BEC9598}"/>
            </a:ext>
          </a:extLst>
        </xdr:cNvPr>
        <xdr:cNvCxnSpPr/>
      </xdr:nvCxnSpPr>
      <xdr:spPr>
        <a:xfrm flipV="1">
          <a:off x="12718838" y="7085543"/>
          <a:ext cx="539961" cy="136100"/>
        </a:xfrm>
        <a:prstGeom prst="bentConnector3">
          <a:avLst/>
        </a:prstGeom>
        <a:ln>
          <a:solidFill>
            <a:srgbClr val="0000FF"/>
          </a:solidFill>
          <a:prstDash val="sys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285746</xdr:colOff>
      <xdr:row>13</xdr:row>
      <xdr:rowOff>21166</xdr:rowOff>
    </xdr:from>
    <xdr:to>
      <xdr:col>15</xdr:col>
      <xdr:colOff>476246</xdr:colOff>
      <xdr:row>13</xdr:row>
      <xdr:rowOff>126999</xdr:rowOff>
    </xdr:to>
    <xdr:sp macro="" textlink="">
      <xdr:nvSpPr>
        <xdr:cNvPr id="9" name="フローチャート : 判断 1">
          <a:extLst>
            <a:ext uri="{FF2B5EF4-FFF2-40B4-BE49-F238E27FC236}">
              <a16:creationId xmlns:a16="http://schemas.microsoft.com/office/drawing/2014/main" id="{816B755E-FE5B-4FF0-AE9B-D7741B48B921}"/>
            </a:ext>
          </a:extLst>
        </xdr:cNvPr>
        <xdr:cNvSpPr/>
      </xdr:nvSpPr>
      <xdr:spPr>
        <a:xfrm>
          <a:off x="8321036" y="2173816"/>
          <a:ext cx="190500" cy="100118"/>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285746</xdr:colOff>
      <xdr:row>14</xdr:row>
      <xdr:rowOff>21167</xdr:rowOff>
    </xdr:from>
    <xdr:to>
      <xdr:col>15</xdr:col>
      <xdr:colOff>476246</xdr:colOff>
      <xdr:row>14</xdr:row>
      <xdr:rowOff>127000</xdr:rowOff>
    </xdr:to>
    <xdr:sp macro="" textlink="">
      <xdr:nvSpPr>
        <xdr:cNvPr id="10" name="フローチャート : 判断 9">
          <a:extLst>
            <a:ext uri="{FF2B5EF4-FFF2-40B4-BE49-F238E27FC236}">
              <a16:creationId xmlns:a16="http://schemas.microsoft.com/office/drawing/2014/main" id="{B7F0233C-2F92-4828-B6FE-D427588DF24A}"/>
            </a:ext>
          </a:extLst>
        </xdr:cNvPr>
        <xdr:cNvSpPr/>
      </xdr:nvSpPr>
      <xdr:spPr>
        <a:xfrm>
          <a:off x="8321036" y="2318597"/>
          <a:ext cx="190500" cy="100118"/>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18</xdr:col>
      <xdr:colOff>34505</xdr:colOff>
      <xdr:row>44</xdr:row>
      <xdr:rowOff>47202</xdr:rowOff>
    </xdr:from>
    <xdr:to>
      <xdr:col>18</xdr:col>
      <xdr:colOff>225005</xdr:colOff>
      <xdr:row>44</xdr:row>
      <xdr:rowOff>143510</xdr:rowOff>
    </xdr:to>
    <xdr:sp macro="" textlink="">
      <xdr:nvSpPr>
        <xdr:cNvPr id="11" name="フローチャート : 判断 10">
          <a:extLst>
            <a:ext uri="{FF2B5EF4-FFF2-40B4-BE49-F238E27FC236}">
              <a16:creationId xmlns:a16="http://schemas.microsoft.com/office/drawing/2014/main" id="{24C3DEE8-EEC5-403A-A80D-2D4E16B639EE}"/>
            </a:ext>
          </a:extLst>
        </xdr:cNvPr>
        <xdr:cNvSpPr/>
      </xdr:nvSpPr>
      <xdr:spPr>
        <a:xfrm>
          <a:off x="9102305" y="6758517"/>
          <a:ext cx="190500" cy="100118"/>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17</xdr:col>
      <xdr:colOff>94830</xdr:colOff>
      <xdr:row>45</xdr:row>
      <xdr:rowOff>44028</xdr:rowOff>
    </xdr:from>
    <xdr:to>
      <xdr:col>18</xdr:col>
      <xdr:colOff>177380</xdr:colOff>
      <xdr:row>45</xdr:row>
      <xdr:rowOff>144146</xdr:rowOff>
    </xdr:to>
    <xdr:sp macro="" textlink="">
      <xdr:nvSpPr>
        <xdr:cNvPr id="12" name="フローチャート : 判断 11">
          <a:extLst>
            <a:ext uri="{FF2B5EF4-FFF2-40B4-BE49-F238E27FC236}">
              <a16:creationId xmlns:a16="http://schemas.microsoft.com/office/drawing/2014/main" id="{7ACEA06C-BC96-48C8-9BB3-2AC3807549DA}"/>
            </a:ext>
          </a:extLst>
        </xdr:cNvPr>
        <xdr:cNvSpPr/>
      </xdr:nvSpPr>
      <xdr:spPr>
        <a:xfrm>
          <a:off x="9059760" y="6900123"/>
          <a:ext cx="187325" cy="103928"/>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480056</xdr:colOff>
      <xdr:row>13</xdr:row>
      <xdr:rowOff>75035</xdr:rowOff>
    </xdr:from>
    <xdr:to>
      <xdr:col>18</xdr:col>
      <xdr:colOff>34505</xdr:colOff>
      <xdr:row>44</xdr:row>
      <xdr:rowOff>95356</xdr:rowOff>
    </xdr:to>
    <xdr:cxnSp macro="">
      <xdr:nvCxnSpPr>
        <xdr:cNvPr id="13" name="カギ線コネクタ 14">
          <a:extLst>
            <a:ext uri="{FF2B5EF4-FFF2-40B4-BE49-F238E27FC236}">
              <a16:creationId xmlns:a16="http://schemas.microsoft.com/office/drawing/2014/main" id="{F797D5C1-249C-4F57-A579-8923015EFCD7}"/>
            </a:ext>
          </a:extLst>
        </xdr:cNvPr>
        <xdr:cNvCxnSpPr>
          <a:stCxn id="9" idx="3"/>
          <a:endCxn id="11" idx="1"/>
        </xdr:cNvCxnSpPr>
      </xdr:nvCxnSpPr>
      <xdr:spPr>
        <a:xfrm>
          <a:off x="8515346" y="2223875"/>
          <a:ext cx="586959" cy="4588511"/>
        </a:xfrm>
        <a:prstGeom prst="bentConnector3">
          <a:avLst>
            <a:gd name="adj1" fmla="val 67161"/>
          </a:avLst>
        </a:prstGeom>
        <a:ln>
          <a:solidFill>
            <a:srgbClr val="FF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480056</xdr:colOff>
      <xdr:row>14</xdr:row>
      <xdr:rowOff>75036</xdr:rowOff>
    </xdr:from>
    <xdr:to>
      <xdr:col>17</xdr:col>
      <xdr:colOff>98640</xdr:colOff>
      <xdr:row>45</xdr:row>
      <xdr:rowOff>94087</xdr:rowOff>
    </xdr:to>
    <xdr:cxnSp macro="">
      <xdr:nvCxnSpPr>
        <xdr:cNvPr id="14" name="カギ線コネクタ 16">
          <a:extLst>
            <a:ext uri="{FF2B5EF4-FFF2-40B4-BE49-F238E27FC236}">
              <a16:creationId xmlns:a16="http://schemas.microsoft.com/office/drawing/2014/main" id="{3378375A-4CF6-4C92-BE9A-5A84478A5729}"/>
            </a:ext>
          </a:extLst>
        </xdr:cNvPr>
        <xdr:cNvCxnSpPr>
          <a:stCxn id="10" idx="3"/>
          <a:endCxn id="12" idx="1"/>
        </xdr:cNvCxnSpPr>
      </xdr:nvCxnSpPr>
      <xdr:spPr>
        <a:xfrm>
          <a:off x="8515346" y="2368656"/>
          <a:ext cx="548224" cy="4587241"/>
        </a:xfrm>
        <a:prstGeom prst="bentConnector3">
          <a:avLst>
            <a:gd name="adj1" fmla="val 50000"/>
          </a:avLst>
        </a:prstGeom>
        <a:ln>
          <a:solidFill>
            <a:srgbClr val="0000FF"/>
          </a:solidFill>
          <a:prstDash val="sys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296327</xdr:colOff>
      <xdr:row>13</xdr:row>
      <xdr:rowOff>21167</xdr:rowOff>
    </xdr:from>
    <xdr:to>
      <xdr:col>8</xdr:col>
      <xdr:colOff>10577</xdr:colOff>
      <xdr:row>13</xdr:row>
      <xdr:rowOff>127000</xdr:rowOff>
    </xdr:to>
    <xdr:sp macro="" textlink="">
      <xdr:nvSpPr>
        <xdr:cNvPr id="15" name="フローチャート : 判断 22">
          <a:extLst>
            <a:ext uri="{FF2B5EF4-FFF2-40B4-BE49-F238E27FC236}">
              <a16:creationId xmlns:a16="http://schemas.microsoft.com/office/drawing/2014/main" id="{7E507C8B-187E-44AF-95D3-FA8B787CAE71}"/>
            </a:ext>
          </a:extLst>
        </xdr:cNvPr>
        <xdr:cNvSpPr/>
      </xdr:nvSpPr>
      <xdr:spPr>
        <a:xfrm>
          <a:off x="4039652" y="2173817"/>
          <a:ext cx="190500" cy="100118"/>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10577</xdr:colOff>
      <xdr:row>13</xdr:row>
      <xdr:rowOff>74084</xdr:rowOff>
    </xdr:from>
    <xdr:to>
      <xdr:col>10</xdr:col>
      <xdr:colOff>10583</xdr:colOff>
      <xdr:row>52</xdr:row>
      <xdr:rowOff>94191</xdr:rowOff>
    </xdr:to>
    <xdr:cxnSp macro="">
      <xdr:nvCxnSpPr>
        <xdr:cNvPr id="16" name="カギ線コネクタ 26">
          <a:extLst>
            <a:ext uri="{FF2B5EF4-FFF2-40B4-BE49-F238E27FC236}">
              <a16:creationId xmlns:a16="http://schemas.microsoft.com/office/drawing/2014/main" id="{CB70A88F-77C3-4CCE-98B7-8615C862894F}"/>
            </a:ext>
          </a:extLst>
        </xdr:cNvPr>
        <xdr:cNvCxnSpPr>
          <a:stCxn id="15" idx="3"/>
          <a:endCxn id="22" idx="1"/>
        </xdr:cNvCxnSpPr>
      </xdr:nvCxnSpPr>
      <xdr:spPr>
        <a:xfrm>
          <a:off x="4230152" y="2222924"/>
          <a:ext cx="556266" cy="5868457"/>
        </a:xfrm>
        <a:prstGeom prst="bentConnector3">
          <a:avLst>
            <a:gd name="adj1" fmla="val 68965"/>
          </a:avLst>
        </a:prstGeom>
        <a:ln>
          <a:solidFill>
            <a:srgbClr val="FF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304791</xdr:colOff>
      <xdr:row>17</xdr:row>
      <xdr:rowOff>31751</xdr:rowOff>
    </xdr:from>
    <xdr:to>
      <xdr:col>8</xdr:col>
      <xdr:colOff>19041</xdr:colOff>
      <xdr:row>17</xdr:row>
      <xdr:rowOff>137584</xdr:rowOff>
    </xdr:to>
    <xdr:sp macro="" textlink="">
      <xdr:nvSpPr>
        <xdr:cNvPr id="17" name="フローチャート : 判断 28">
          <a:extLst>
            <a:ext uri="{FF2B5EF4-FFF2-40B4-BE49-F238E27FC236}">
              <a16:creationId xmlns:a16="http://schemas.microsoft.com/office/drawing/2014/main" id="{F3DEFF28-9321-4C77-B0E8-ED405F920313}"/>
            </a:ext>
          </a:extLst>
        </xdr:cNvPr>
        <xdr:cNvSpPr/>
      </xdr:nvSpPr>
      <xdr:spPr>
        <a:xfrm>
          <a:off x="4046211" y="2761616"/>
          <a:ext cx="198120" cy="107738"/>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31742</xdr:colOff>
      <xdr:row>15</xdr:row>
      <xdr:rowOff>31751</xdr:rowOff>
    </xdr:from>
    <xdr:to>
      <xdr:col>10</xdr:col>
      <xdr:colOff>222242</xdr:colOff>
      <xdr:row>15</xdr:row>
      <xdr:rowOff>137584</xdr:rowOff>
    </xdr:to>
    <xdr:sp macro="" textlink="">
      <xdr:nvSpPr>
        <xdr:cNvPr id="18" name="フローチャート : 判断 29">
          <a:extLst>
            <a:ext uri="{FF2B5EF4-FFF2-40B4-BE49-F238E27FC236}">
              <a16:creationId xmlns:a16="http://schemas.microsoft.com/office/drawing/2014/main" id="{09B884AF-C68C-4E75-B84D-AA0FCF469089}"/>
            </a:ext>
          </a:extLst>
        </xdr:cNvPr>
        <xdr:cNvSpPr/>
      </xdr:nvSpPr>
      <xdr:spPr>
        <a:xfrm>
          <a:off x="4811387" y="2472056"/>
          <a:ext cx="190500" cy="107738"/>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19041</xdr:colOff>
      <xdr:row>17</xdr:row>
      <xdr:rowOff>84668</xdr:rowOff>
    </xdr:from>
    <xdr:to>
      <xdr:col>10</xdr:col>
      <xdr:colOff>10583</xdr:colOff>
      <xdr:row>53</xdr:row>
      <xdr:rowOff>95249</xdr:rowOff>
    </xdr:to>
    <xdr:cxnSp macro="">
      <xdr:nvCxnSpPr>
        <xdr:cNvPr id="19" name="カギ線コネクタ 31">
          <a:extLst>
            <a:ext uri="{FF2B5EF4-FFF2-40B4-BE49-F238E27FC236}">
              <a16:creationId xmlns:a16="http://schemas.microsoft.com/office/drawing/2014/main" id="{339DAF4B-DA0D-4339-B696-27672BE3D715}"/>
            </a:ext>
          </a:extLst>
        </xdr:cNvPr>
        <xdr:cNvCxnSpPr>
          <a:stCxn id="17" idx="3"/>
          <a:endCxn id="23" idx="1"/>
        </xdr:cNvCxnSpPr>
      </xdr:nvCxnSpPr>
      <xdr:spPr>
        <a:xfrm>
          <a:off x="4244331" y="2810723"/>
          <a:ext cx="542087" cy="5456976"/>
        </a:xfrm>
        <a:prstGeom prst="bentConnector3">
          <a:avLst>
            <a:gd name="adj1" fmla="val 35992"/>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19041</xdr:colOff>
      <xdr:row>15</xdr:row>
      <xdr:rowOff>84668</xdr:rowOff>
    </xdr:from>
    <xdr:to>
      <xdr:col>10</xdr:col>
      <xdr:colOff>31742</xdr:colOff>
      <xdr:row>17</xdr:row>
      <xdr:rowOff>84668</xdr:rowOff>
    </xdr:to>
    <xdr:cxnSp macro="">
      <xdr:nvCxnSpPr>
        <xdr:cNvPr id="20" name="カギ線コネクタ 37">
          <a:extLst>
            <a:ext uri="{FF2B5EF4-FFF2-40B4-BE49-F238E27FC236}">
              <a16:creationId xmlns:a16="http://schemas.microsoft.com/office/drawing/2014/main" id="{8D0CCDC3-A79D-4C54-84F7-1FA11C3D9AF1}"/>
            </a:ext>
          </a:extLst>
        </xdr:cNvPr>
        <xdr:cNvCxnSpPr>
          <a:stCxn id="17" idx="3"/>
          <a:endCxn id="18" idx="1"/>
        </xdr:cNvCxnSpPr>
      </xdr:nvCxnSpPr>
      <xdr:spPr>
        <a:xfrm flipV="1">
          <a:off x="4244331" y="2521163"/>
          <a:ext cx="567056" cy="289560"/>
        </a:xfrm>
        <a:prstGeom prst="bentConnector3">
          <a:avLst>
            <a:gd name="adj1" fmla="val 34832"/>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0</xdr:colOff>
      <xdr:row>5</xdr:row>
      <xdr:rowOff>33652</xdr:rowOff>
    </xdr:from>
    <xdr:to>
      <xdr:col>8</xdr:col>
      <xdr:colOff>7620</xdr:colOff>
      <xdr:row>7</xdr:row>
      <xdr:rowOff>72983</xdr:rowOff>
    </xdr:to>
    <xdr:sp macro="" textlink="">
      <xdr:nvSpPr>
        <xdr:cNvPr id="21" name="Rectangle 1">
          <a:extLst>
            <a:ext uri="{FF2B5EF4-FFF2-40B4-BE49-F238E27FC236}">
              <a16:creationId xmlns:a16="http://schemas.microsoft.com/office/drawing/2014/main" id="{E72A8721-9806-4000-833F-0440DC217139}"/>
            </a:ext>
          </a:extLst>
        </xdr:cNvPr>
        <xdr:cNvSpPr>
          <a:spLocks noChangeArrowheads="1"/>
        </xdr:cNvSpPr>
      </xdr:nvSpPr>
      <xdr:spPr bwMode="auto">
        <a:xfrm>
          <a:off x="320040" y="848992"/>
          <a:ext cx="3962400" cy="397471"/>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2860" rIns="36576" bIns="0" anchor="ctr" upright="1"/>
        <a:lstStyle/>
        <a:p>
          <a:pPr algn="ctr" rtl="0">
            <a:defRPr sz="1000"/>
          </a:pPr>
          <a:r>
            <a:rPr lang="ja-JP" altLang="en-US" sz="1600" b="1" i="0" u="none" strike="noStrike" baseline="0">
              <a:solidFill>
                <a:srgbClr val="000000"/>
              </a:solidFill>
              <a:latin typeface="ＭＳ Ｐゴシック"/>
              <a:ea typeface="ＭＳ Ｐゴシック"/>
            </a:rPr>
            <a:t>取引ログテーブル関連図</a:t>
          </a:r>
          <a:r>
            <a:rPr lang="en-US" altLang="ja-JP" sz="1600" b="1" i="0" u="none" strike="noStrike" baseline="0">
              <a:solidFill>
                <a:srgbClr val="000000"/>
              </a:solidFill>
              <a:latin typeface="ＭＳ Ｐゴシック"/>
              <a:ea typeface="ＭＳ Ｐゴシック"/>
            </a:rPr>
            <a:t>(</a:t>
          </a:r>
          <a:r>
            <a:rPr lang="ja-JP" altLang="en-US" sz="1600" b="1" i="0" u="none" strike="noStrike" baseline="0">
              <a:solidFill>
                <a:srgbClr val="000000"/>
              </a:solidFill>
              <a:latin typeface="ＭＳ Ｐゴシック"/>
              <a:ea typeface="ＭＳ Ｐゴシック"/>
            </a:rPr>
            <a:t>売上</a:t>
          </a:r>
          <a:r>
            <a:rPr lang="en-US" altLang="ja-JP" sz="1600" b="1" i="0" u="none" strike="noStrike" baseline="0">
              <a:solidFill>
                <a:srgbClr val="000000"/>
              </a:solidFill>
              <a:latin typeface="ＭＳ Ｐゴシック"/>
              <a:ea typeface="ＭＳ Ｐゴシック"/>
            </a:rPr>
            <a:t>)</a:t>
          </a:r>
          <a:endParaRPr lang="ja-JP" altLang="en-US" sz="1600" b="1" i="0" u="none" strike="noStrike" baseline="0">
            <a:solidFill>
              <a:srgbClr val="000000"/>
            </a:solidFill>
            <a:latin typeface="ＭＳ Ｐゴシック"/>
            <a:ea typeface="ＭＳ Ｐゴシック"/>
          </a:endParaRPr>
        </a:p>
      </xdr:txBody>
    </xdr:sp>
    <xdr:clientData/>
  </xdr:twoCellAnchor>
  <xdr:twoCellAnchor>
    <xdr:from>
      <xdr:col>10</xdr:col>
      <xdr:colOff>10583</xdr:colOff>
      <xdr:row>52</xdr:row>
      <xdr:rowOff>41274</xdr:rowOff>
    </xdr:from>
    <xdr:to>
      <xdr:col>10</xdr:col>
      <xdr:colOff>201083</xdr:colOff>
      <xdr:row>52</xdr:row>
      <xdr:rowOff>147107</xdr:rowOff>
    </xdr:to>
    <xdr:sp macro="" textlink="">
      <xdr:nvSpPr>
        <xdr:cNvPr id="22" name="フローチャート : 判断 27">
          <a:extLst>
            <a:ext uri="{FF2B5EF4-FFF2-40B4-BE49-F238E27FC236}">
              <a16:creationId xmlns:a16="http://schemas.microsoft.com/office/drawing/2014/main" id="{E711B29D-42E4-4A5C-9311-D3C22717A326}"/>
            </a:ext>
          </a:extLst>
        </xdr:cNvPr>
        <xdr:cNvSpPr/>
      </xdr:nvSpPr>
      <xdr:spPr>
        <a:xfrm>
          <a:off x="4786418" y="8034654"/>
          <a:ext cx="190500" cy="107738"/>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10583</xdr:colOff>
      <xdr:row>53</xdr:row>
      <xdr:rowOff>42332</xdr:rowOff>
    </xdr:from>
    <xdr:to>
      <xdr:col>10</xdr:col>
      <xdr:colOff>201083</xdr:colOff>
      <xdr:row>53</xdr:row>
      <xdr:rowOff>148165</xdr:rowOff>
    </xdr:to>
    <xdr:sp macro="" textlink="">
      <xdr:nvSpPr>
        <xdr:cNvPr id="23" name="フローチャート : 判断 32">
          <a:extLst>
            <a:ext uri="{FF2B5EF4-FFF2-40B4-BE49-F238E27FC236}">
              <a16:creationId xmlns:a16="http://schemas.microsoft.com/office/drawing/2014/main" id="{481019FF-32F8-49A5-9199-28C5604A03F1}"/>
            </a:ext>
          </a:extLst>
        </xdr:cNvPr>
        <xdr:cNvSpPr/>
      </xdr:nvSpPr>
      <xdr:spPr>
        <a:xfrm>
          <a:off x="4786418" y="8210972"/>
          <a:ext cx="190500" cy="105833"/>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264574</xdr:colOff>
      <xdr:row>15</xdr:row>
      <xdr:rowOff>31750</xdr:rowOff>
    </xdr:from>
    <xdr:to>
      <xdr:col>15</xdr:col>
      <xdr:colOff>455074</xdr:colOff>
      <xdr:row>15</xdr:row>
      <xdr:rowOff>137583</xdr:rowOff>
    </xdr:to>
    <xdr:sp macro="" textlink="">
      <xdr:nvSpPr>
        <xdr:cNvPr id="24" name="フローチャート : 判断 34">
          <a:extLst>
            <a:ext uri="{FF2B5EF4-FFF2-40B4-BE49-F238E27FC236}">
              <a16:creationId xmlns:a16="http://schemas.microsoft.com/office/drawing/2014/main" id="{5AC23030-7937-4077-9348-2A4D0DDB3232}"/>
            </a:ext>
          </a:extLst>
        </xdr:cNvPr>
        <xdr:cNvSpPr/>
      </xdr:nvSpPr>
      <xdr:spPr>
        <a:xfrm>
          <a:off x="8296054" y="2472055"/>
          <a:ext cx="190500" cy="107738"/>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18</xdr:col>
      <xdr:colOff>21155</xdr:colOff>
      <xdr:row>19</xdr:row>
      <xdr:rowOff>31749</xdr:rowOff>
    </xdr:from>
    <xdr:to>
      <xdr:col>18</xdr:col>
      <xdr:colOff>211655</xdr:colOff>
      <xdr:row>19</xdr:row>
      <xdr:rowOff>128057</xdr:rowOff>
    </xdr:to>
    <xdr:sp macro="" textlink="">
      <xdr:nvSpPr>
        <xdr:cNvPr id="25" name="フローチャート : 判断 35">
          <a:extLst>
            <a:ext uri="{FF2B5EF4-FFF2-40B4-BE49-F238E27FC236}">
              <a16:creationId xmlns:a16="http://schemas.microsoft.com/office/drawing/2014/main" id="{DD751380-CFF5-4637-9F12-E06F3ED361ED}"/>
            </a:ext>
          </a:extLst>
        </xdr:cNvPr>
        <xdr:cNvSpPr/>
      </xdr:nvSpPr>
      <xdr:spPr>
        <a:xfrm>
          <a:off x="9092765" y="3051174"/>
          <a:ext cx="190500" cy="92498"/>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17</xdr:col>
      <xdr:colOff>103283</xdr:colOff>
      <xdr:row>50</xdr:row>
      <xdr:rowOff>43602</xdr:rowOff>
    </xdr:from>
    <xdr:to>
      <xdr:col>18</xdr:col>
      <xdr:colOff>185833</xdr:colOff>
      <xdr:row>50</xdr:row>
      <xdr:rowOff>141815</xdr:rowOff>
    </xdr:to>
    <xdr:sp macro="" textlink="">
      <xdr:nvSpPr>
        <xdr:cNvPr id="26" name="フローチャート : 判断 36">
          <a:extLst>
            <a:ext uri="{FF2B5EF4-FFF2-40B4-BE49-F238E27FC236}">
              <a16:creationId xmlns:a16="http://schemas.microsoft.com/office/drawing/2014/main" id="{07E2D9B9-4A9B-4BE6-B1A2-4A733ED15FC7}"/>
            </a:ext>
          </a:extLst>
        </xdr:cNvPr>
        <xdr:cNvSpPr/>
      </xdr:nvSpPr>
      <xdr:spPr>
        <a:xfrm>
          <a:off x="9066308" y="7684557"/>
          <a:ext cx="187325" cy="102023"/>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275154</xdr:colOff>
      <xdr:row>19</xdr:row>
      <xdr:rowOff>3173</xdr:rowOff>
    </xdr:from>
    <xdr:to>
      <xdr:col>23</xdr:col>
      <xdr:colOff>465654</xdr:colOff>
      <xdr:row>19</xdr:row>
      <xdr:rowOff>99481</xdr:rowOff>
    </xdr:to>
    <xdr:sp macro="" textlink="">
      <xdr:nvSpPr>
        <xdr:cNvPr id="27" name="フローチャート : 判断 38">
          <a:extLst>
            <a:ext uri="{FF2B5EF4-FFF2-40B4-BE49-F238E27FC236}">
              <a16:creationId xmlns:a16="http://schemas.microsoft.com/office/drawing/2014/main" id="{9E2F5A1E-5529-4609-AB7A-4690BBF78C0A}"/>
            </a:ext>
          </a:extLst>
        </xdr:cNvPr>
        <xdr:cNvSpPr/>
      </xdr:nvSpPr>
      <xdr:spPr>
        <a:xfrm>
          <a:off x="12503349" y="3020693"/>
          <a:ext cx="190500" cy="100118"/>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275152</xdr:colOff>
      <xdr:row>51</xdr:row>
      <xdr:rowOff>24323</xdr:rowOff>
    </xdr:from>
    <xdr:to>
      <xdr:col>23</xdr:col>
      <xdr:colOff>465652</xdr:colOff>
      <xdr:row>51</xdr:row>
      <xdr:rowOff>130156</xdr:rowOff>
    </xdr:to>
    <xdr:sp macro="" textlink="">
      <xdr:nvSpPr>
        <xdr:cNvPr id="28" name="フローチャート : 判断 39">
          <a:extLst>
            <a:ext uri="{FF2B5EF4-FFF2-40B4-BE49-F238E27FC236}">
              <a16:creationId xmlns:a16="http://schemas.microsoft.com/office/drawing/2014/main" id="{25DCE9A2-4E9E-4783-8EEE-544AF55CA9E7}"/>
            </a:ext>
          </a:extLst>
        </xdr:cNvPr>
        <xdr:cNvSpPr/>
      </xdr:nvSpPr>
      <xdr:spPr>
        <a:xfrm>
          <a:off x="12503347" y="7844348"/>
          <a:ext cx="190500" cy="107738"/>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26</xdr:col>
      <xdr:colOff>21151</xdr:colOff>
      <xdr:row>47</xdr:row>
      <xdr:rowOff>22206</xdr:rowOff>
    </xdr:from>
    <xdr:to>
      <xdr:col>26</xdr:col>
      <xdr:colOff>211651</xdr:colOff>
      <xdr:row>47</xdr:row>
      <xdr:rowOff>128039</xdr:rowOff>
    </xdr:to>
    <xdr:sp macro="" textlink="">
      <xdr:nvSpPr>
        <xdr:cNvPr id="29" name="フローチャート : 判断 40">
          <a:extLst>
            <a:ext uri="{FF2B5EF4-FFF2-40B4-BE49-F238E27FC236}">
              <a16:creationId xmlns:a16="http://schemas.microsoft.com/office/drawing/2014/main" id="{C61B7B4D-7634-4907-B538-4775AB0F3137}"/>
            </a:ext>
          </a:extLst>
        </xdr:cNvPr>
        <xdr:cNvSpPr/>
      </xdr:nvSpPr>
      <xdr:spPr>
        <a:xfrm>
          <a:off x="13291381" y="7173576"/>
          <a:ext cx="190500" cy="100118"/>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465654</xdr:colOff>
      <xdr:row>14</xdr:row>
      <xdr:rowOff>90486</xdr:rowOff>
    </xdr:from>
    <xdr:to>
      <xdr:col>26</xdr:col>
      <xdr:colOff>21154</xdr:colOff>
      <xdr:row>19</xdr:row>
      <xdr:rowOff>51327</xdr:rowOff>
    </xdr:to>
    <xdr:cxnSp macro="">
      <xdr:nvCxnSpPr>
        <xdr:cNvPr id="30" name="カギ線コネクタ 44">
          <a:extLst>
            <a:ext uri="{FF2B5EF4-FFF2-40B4-BE49-F238E27FC236}">
              <a16:creationId xmlns:a16="http://schemas.microsoft.com/office/drawing/2014/main" id="{52B1A968-47BC-4D96-BBC0-4AB32089B0A1}"/>
            </a:ext>
          </a:extLst>
        </xdr:cNvPr>
        <xdr:cNvCxnSpPr>
          <a:stCxn id="27" idx="3"/>
          <a:endCxn id="31" idx="1"/>
        </xdr:cNvCxnSpPr>
      </xdr:nvCxnSpPr>
      <xdr:spPr>
        <a:xfrm flipV="1">
          <a:off x="12693849" y="2382201"/>
          <a:ext cx="597535" cy="684741"/>
        </a:xfrm>
        <a:prstGeom prst="bentConnector3">
          <a:avLst>
            <a:gd name="adj1" fmla="val 67935"/>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21154</xdr:colOff>
      <xdr:row>14</xdr:row>
      <xdr:rowOff>42332</xdr:rowOff>
    </xdr:from>
    <xdr:to>
      <xdr:col>26</xdr:col>
      <xdr:colOff>211654</xdr:colOff>
      <xdr:row>14</xdr:row>
      <xdr:rowOff>138640</xdr:rowOff>
    </xdr:to>
    <xdr:sp macro="" textlink="">
      <xdr:nvSpPr>
        <xdr:cNvPr id="31" name="フローチャート : 判断 46">
          <a:extLst>
            <a:ext uri="{FF2B5EF4-FFF2-40B4-BE49-F238E27FC236}">
              <a16:creationId xmlns:a16="http://schemas.microsoft.com/office/drawing/2014/main" id="{B0346254-9888-49B0-99FE-4205D9F224A1}"/>
            </a:ext>
          </a:extLst>
        </xdr:cNvPr>
        <xdr:cNvSpPr/>
      </xdr:nvSpPr>
      <xdr:spPr>
        <a:xfrm>
          <a:off x="13291384" y="2335952"/>
          <a:ext cx="190500" cy="98213"/>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455074</xdr:colOff>
      <xdr:row>15</xdr:row>
      <xdr:rowOff>84667</xdr:rowOff>
    </xdr:from>
    <xdr:to>
      <xdr:col>18</xdr:col>
      <xdr:colOff>21155</xdr:colOff>
      <xdr:row>19</xdr:row>
      <xdr:rowOff>79903</xdr:rowOff>
    </xdr:to>
    <xdr:cxnSp macro="">
      <xdr:nvCxnSpPr>
        <xdr:cNvPr id="32" name="カギ線コネクタ 51">
          <a:extLst>
            <a:ext uri="{FF2B5EF4-FFF2-40B4-BE49-F238E27FC236}">
              <a16:creationId xmlns:a16="http://schemas.microsoft.com/office/drawing/2014/main" id="{E2897C22-76B0-4D8D-A2EB-5678327B8A26}"/>
            </a:ext>
          </a:extLst>
        </xdr:cNvPr>
        <xdr:cNvCxnSpPr>
          <a:stCxn id="24" idx="3"/>
          <a:endCxn id="25" idx="1"/>
        </xdr:cNvCxnSpPr>
      </xdr:nvCxnSpPr>
      <xdr:spPr>
        <a:xfrm>
          <a:off x="8486554" y="2521162"/>
          <a:ext cx="606211" cy="576261"/>
        </a:xfrm>
        <a:prstGeom prst="bentConnector3">
          <a:avLst>
            <a:gd name="adj1" fmla="val 22776"/>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455074</xdr:colOff>
      <xdr:row>15</xdr:row>
      <xdr:rowOff>87524</xdr:rowOff>
    </xdr:from>
    <xdr:to>
      <xdr:col>17</xdr:col>
      <xdr:colOff>105188</xdr:colOff>
      <xdr:row>50</xdr:row>
      <xdr:rowOff>92709</xdr:rowOff>
    </xdr:to>
    <xdr:cxnSp macro="">
      <xdr:nvCxnSpPr>
        <xdr:cNvPr id="33" name="カギ線コネクタ 55">
          <a:extLst>
            <a:ext uri="{FF2B5EF4-FFF2-40B4-BE49-F238E27FC236}">
              <a16:creationId xmlns:a16="http://schemas.microsoft.com/office/drawing/2014/main" id="{11CC0737-0F19-4574-AA25-49D7DFB3EFC1}"/>
            </a:ext>
          </a:extLst>
        </xdr:cNvPr>
        <xdr:cNvCxnSpPr>
          <a:stCxn id="24" idx="3"/>
          <a:endCxn id="26" idx="1"/>
        </xdr:cNvCxnSpPr>
      </xdr:nvCxnSpPr>
      <xdr:spPr>
        <a:xfrm>
          <a:off x="8486554" y="2524019"/>
          <a:ext cx="581659" cy="5215360"/>
        </a:xfrm>
        <a:prstGeom prst="bentConnector3">
          <a:avLst>
            <a:gd name="adj1" fmla="val 23970"/>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782107</xdr:colOff>
      <xdr:row>5</xdr:row>
      <xdr:rowOff>104774</xdr:rowOff>
    </xdr:from>
    <xdr:to>
      <xdr:col>26</xdr:col>
      <xdr:colOff>1314448</xdr:colOff>
      <xdr:row>5</xdr:row>
      <xdr:rowOff>104774</xdr:rowOff>
    </xdr:to>
    <xdr:sp macro="" textlink="">
      <xdr:nvSpPr>
        <xdr:cNvPr id="34" name="Line 11">
          <a:extLst>
            <a:ext uri="{FF2B5EF4-FFF2-40B4-BE49-F238E27FC236}">
              <a16:creationId xmlns:a16="http://schemas.microsoft.com/office/drawing/2014/main" id="{B188A3FF-F6F3-4D08-8086-4440368A6FE9}"/>
            </a:ext>
          </a:extLst>
        </xdr:cNvPr>
        <xdr:cNvSpPr>
          <a:spLocks noChangeShapeType="1"/>
        </xdr:cNvSpPr>
      </xdr:nvSpPr>
      <xdr:spPr bwMode="auto">
        <a:xfrm>
          <a:off x="14052337" y="746759"/>
          <a:ext cx="532341" cy="0"/>
        </a:xfrm>
        <a:prstGeom prst="line">
          <a:avLst/>
        </a:prstGeom>
        <a:noFill/>
        <a:ln w="9525">
          <a:solidFill>
            <a:srgbClr val="FF0000"/>
          </a:solidFill>
          <a:prstDash val="dash"/>
          <a:round/>
          <a:headEnd/>
          <a:tailEnd/>
        </a:ln>
        <a:extLst>
          <a:ext uri="{909E8E84-426E-40DD-AFC4-6F175D3DCCD1}">
            <a14:hiddenFill xmlns:a14="http://schemas.microsoft.com/office/drawing/2010/main">
              <a:noFill/>
            </a14:hiddenFill>
          </a:ext>
        </a:extLst>
      </xdr:spPr>
    </xdr:sp>
    <xdr:clientData/>
  </xdr:twoCellAnchor>
  <xdr:twoCellAnchor>
    <xdr:from>
      <xdr:col>7</xdr:col>
      <xdr:colOff>296327</xdr:colOff>
      <xdr:row>39</xdr:row>
      <xdr:rowOff>21167</xdr:rowOff>
    </xdr:from>
    <xdr:to>
      <xdr:col>8</xdr:col>
      <xdr:colOff>10577</xdr:colOff>
      <xdr:row>39</xdr:row>
      <xdr:rowOff>127000</xdr:rowOff>
    </xdr:to>
    <xdr:sp macro="" textlink="">
      <xdr:nvSpPr>
        <xdr:cNvPr id="35" name="フローチャート : 判断 22">
          <a:extLst>
            <a:ext uri="{FF2B5EF4-FFF2-40B4-BE49-F238E27FC236}">
              <a16:creationId xmlns:a16="http://schemas.microsoft.com/office/drawing/2014/main" id="{67F7A85B-2FB1-4124-8D77-EBA4EDC351FC}"/>
            </a:ext>
          </a:extLst>
        </xdr:cNvPr>
        <xdr:cNvSpPr/>
      </xdr:nvSpPr>
      <xdr:spPr>
        <a:xfrm>
          <a:off x="4039652" y="5999057"/>
          <a:ext cx="190500" cy="100118"/>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316445</xdr:colOff>
      <xdr:row>39</xdr:row>
      <xdr:rowOff>49743</xdr:rowOff>
    </xdr:from>
    <xdr:to>
      <xdr:col>8</xdr:col>
      <xdr:colOff>30695</xdr:colOff>
      <xdr:row>40</xdr:row>
      <xdr:rowOff>12701</xdr:rowOff>
    </xdr:to>
    <xdr:sp macro="" textlink="">
      <xdr:nvSpPr>
        <xdr:cNvPr id="36" name="フローチャート : 判断 11">
          <a:extLst>
            <a:ext uri="{FF2B5EF4-FFF2-40B4-BE49-F238E27FC236}">
              <a16:creationId xmlns:a16="http://schemas.microsoft.com/office/drawing/2014/main" id="{71173517-0BD9-46F1-9ED8-9F68769A24DF}"/>
            </a:ext>
          </a:extLst>
        </xdr:cNvPr>
        <xdr:cNvSpPr/>
      </xdr:nvSpPr>
      <xdr:spPr>
        <a:xfrm>
          <a:off x="4055960" y="6021918"/>
          <a:ext cx="198120" cy="107738"/>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284677</xdr:colOff>
      <xdr:row>39</xdr:row>
      <xdr:rowOff>5273</xdr:rowOff>
    </xdr:from>
    <xdr:to>
      <xdr:col>7</xdr:col>
      <xdr:colOff>475177</xdr:colOff>
      <xdr:row>39</xdr:row>
      <xdr:rowOff>101581</xdr:rowOff>
    </xdr:to>
    <xdr:sp macro="" textlink="">
      <xdr:nvSpPr>
        <xdr:cNvPr id="37" name="フローチャート : 判断 39">
          <a:extLst>
            <a:ext uri="{FF2B5EF4-FFF2-40B4-BE49-F238E27FC236}">
              <a16:creationId xmlns:a16="http://schemas.microsoft.com/office/drawing/2014/main" id="{2612DE6C-9D60-4581-959F-761999415574}"/>
            </a:ext>
          </a:extLst>
        </xdr:cNvPr>
        <xdr:cNvSpPr/>
      </xdr:nvSpPr>
      <xdr:spPr>
        <a:xfrm>
          <a:off x="4029907" y="5977448"/>
          <a:ext cx="190500" cy="100118"/>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284677</xdr:colOff>
      <xdr:row>41</xdr:row>
      <xdr:rowOff>24323</xdr:rowOff>
    </xdr:from>
    <xdr:to>
      <xdr:col>7</xdr:col>
      <xdr:colOff>475177</xdr:colOff>
      <xdr:row>41</xdr:row>
      <xdr:rowOff>120631</xdr:rowOff>
    </xdr:to>
    <xdr:sp macro="" textlink="">
      <xdr:nvSpPr>
        <xdr:cNvPr id="38" name="フローチャート : 判断 39">
          <a:extLst>
            <a:ext uri="{FF2B5EF4-FFF2-40B4-BE49-F238E27FC236}">
              <a16:creationId xmlns:a16="http://schemas.microsoft.com/office/drawing/2014/main" id="{3EABE557-7647-4A1D-BB10-4D11C8FA7968}"/>
            </a:ext>
          </a:extLst>
        </xdr:cNvPr>
        <xdr:cNvSpPr/>
      </xdr:nvSpPr>
      <xdr:spPr>
        <a:xfrm>
          <a:off x="4029907" y="6289868"/>
          <a:ext cx="190500" cy="92498"/>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475177</xdr:colOff>
      <xdr:row>13</xdr:row>
      <xdr:rowOff>74084</xdr:rowOff>
    </xdr:from>
    <xdr:to>
      <xdr:col>8</xdr:col>
      <xdr:colOff>10577</xdr:colOff>
      <xdr:row>39</xdr:row>
      <xdr:rowOff>53427</xdr:rowOff>
    </xdr:to>
    <xdr:cxnSp macro="">
      <xdr:nvCxnSpPr>
        <xdr:cNvPr id="39" name="カギ線コネクタ 26">
          <a:extLst>
            <a:ext uri="{FF2B5EF4-FFF2-40B4-BE49-F238E27FC236}">
              <a16:creationId xmlns:a16="http://schemas.microsoft.com/office/drawing/2014/main" id="{1F77003D-A57E-481E-819D-AEA5B4FA1F03}"/>
            </a:ext>
          </a:extLst>
        </xdr:cNvPr>
        <xdr:cNvCxnSpPr>
          <a:stCxn id="15" idx="3"/>
          <a:endCxn id="37" idx="3"/>
        </xdr:cNvCxnSpPr>
      </xdr:nvCxnSpPr>
      <xdr:spPr>
        <a:xfrm flipH="1">
          <a:off x="4220407" y="2222924"/>
          <a:ext cx="9745" cy="3808393"/>
        </a:xfrm>
        <a:prstGeom prst="bentConnector3">
          <a:avLst>
            <a:gd name="adj1" fmla="val -3164941"/>
          </a:avLst>
        </a:prstGeom>
        <a:ln>
          <a:solidFill>
            <a:srgbClr val="FF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305852</xdr:colOff>
      <xdr:row>14</xdr:row>
      <xdr:rowOff>11642</xdr:rowOff>
    </xdr:from>
    <xdr:to>
      <xdr:col>8</xdr:col>
      <xdr:colOff>20102</xdr:colOff>
      <xdr:row>14</xdr:row>
      <xdr:rowOff>117475</xdr:rowOff>
    </xdr:to>
    <xdr:sp macro="" textlink="">
      <xdr:nvSpPr>
        <xdr:cNvPr id="40" name="フローチャート : 判断 22">
          <a:extLst>
            <a:ext uri="{FF2B5EF4-FFF2-40B4-BE49-F238E27FC236}">
              <a16:creationId xmlns:a16="http://schemas.microsoft.com/office/drawing/2014/main" id="{D166392F-BA2E-4611-8BE7-47446AE21DC9}"/>
            </a:ext>
          </a:extLst>
        </xdr:cNvPr>
        <xdr:cNvSpPr/>
      </xdr:nvSpPr>
      <xdr:spPr>
        <a:xfrm>
          <a:off x="4047272" y="2303357"/>
          <a:ext cx="198120" cy="107738"/>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475177</xdr:colOff>
      <xdr:row>14</xdr:row>
      <xdr:rowOff>64559</xdr:rowOff>
    </xdr:from>
    <xdr:to>
      <xdr:col>8</xdr:col>
      <xdr:colOff>20102</xdr:colOff>
      <xdr:row>41</xdr:row>
      <xdr:rowOff>72477</xdr:rowOff>
    </xdr:to>
    <xdr:cxnSp macro="">
      <xdr:nvCxnSpPr>
        <xdr:cNvPr id="41" name="カギ線コネクタ 55">
          <a:extLst>
            <a:ext uri="{FF2B5EF4-FFF2-40B4-BE49-F238E27FC236}">
              <a16:creationId xmlns:a16="http://schemas.microsoft.com/office/drawing/2014/main" id="{05EFEF60-F9D6-48B0-B199-FD4116FB37ED}"/>
            </a:ext>
          </a:extLst>
        </xdr:cNvPr>
        <xdr:cNvCxnSpPr>
          <a:stCxn id="40" idx="3"/>
          <a:endCxn id="38" idx="3"/>
        </xdr:cNvCxnSpPr>
      </xdr:nvCxnSpPr>
      <xdr:spPr>
        <a:xfrm flipH="1">
          <a:off x="4220407" y="2360084"/>
          <a:ext cx="24985" cy="3976033"/>
        </a:xfrm>
        <a:prstGeom prst="bentConnector3">
          <a:avLst>
            <a:gd name="adj1" fmla="val -359858"/>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275152</xdr:colOff>
      <xdr:row>40</xdr:row>
      <xdr:rowOff>24323</xdr:rowOff>
    </xdr:from>
    <xdr:to>
      <xdr:col>7</xdr:col>
      <xdr:colOff>465652</xdr:colOff>
      <xdr:row>40</xdr:row>
      <xdr:rowOff>120631</xdr:rowOff>
    </xdr:to>
    <xdr:sp macro="" textlink="">
      <xdr:nvSpPr>
        <xdr:cNvPr id="42" name="フローチャート : 判断 39">
          <a:extLst>
            <a:ext uri="{FF2B5EF4-FFF2-40B4-BE49-F238E27FC236}">
              <a16:creationId xmlns:a16="http://schemas.microsoft.com/office/drawing/2014/main" id="{76C5A128-41A9-41BD-A7C4-050E82775580}"/>
            </a:ext>
          </a:extLst>
        </xdr:cNvPr>
        <xdr:cNvSpPr/>
      </xdr:nvSpPr>
      <xdr:spPr>
        <a:xfrm>
          <a:off x="4014667" y="6145088"/>
          <a:ext cx="190500" cy="92498"/>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465652</xdr:colOff>
      <xdr:row>17</xdr:row>
      <xdr:rowOff>84668</xdr:rowOff>
    </xdr:from>
    <xdr:to>
      <xdr:col>8</xdr:col>
      <xdr:colOff>19041</xdr:colOff>
      <xdr:row>40</xdr:row>
      <xdr:rowOff>72477</xdr:rowOff>
    </xdr:to>
    <xdr:cxnSp macro="">
      <xdr:nvCxnSpPr>
        <xdr:cNvPr id="43" name="カギ線コネクタ 37">
          <a:extLst>
            <a:ext uri="{FF2B5EF4-FFF2-40B4-BE49-F238E27FC236}">
              <a16:creationId xmlns:a16="http://schemas.microsoft.com/office/drawing/2014/main" id="{F0A5C230-5658-4DA6-B8B0-94887B3A560C}"/>
            </a:ext>
          </a:extLst>
        </xdr:cNvPr>
        <xdr:cNvCxnSpPr>
          <a:stCxn id="17" idx="3"/>
          <a:endCxn id="42" idx="3"/>
        </xdr:cNvCxnSpPr>
      </xdr:nvCxnSpPr>
      <xdr:spPr>
        <a:xfrm flipH="1">
          <a:off x="4205167" y="2810723"/>
          <a:ext cx="39164" cy="3380614"/>
        </a:xfrm>
        <a:prstGeom prst="bentConnector3">
          <a:avLst>
            <a:gd name="adj1" fmla="val -476928"/>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771525</xdr:colOff>
      <xdr:row>6</xdr:row>
      <xdr:rowOff>57150</xdr:rowOff>
    </xdr:from>
    <xdr:to>
      <xdr:col>26</xdr:col>
      <xdr:colOff>1323975</xdr:colOff>
      <xdr:row>6</xdr:row>
      <xdr:rowOff>171450</xdr:rowOff>
    </xdr:to>
    <xdr:sp macro="" textlink="">
      <xdr:nvSpPr>
        <xdr:cNvPr id="44" name="正方形/長方形 43">
          <a:extLst>
            <a:ext uri="{FF2B5EF4-FFF2-40B4-BE49-F238E27FC236}">
              <a16:creationId xmlns:a16="http://schemas.microsoft.com/office/drawing/2014/main" id="{69557F8F-27D1-447A-8943-BB3CCF685026}"/>
            </a:ext>
          </a:extLst>
        </xdr:cNvPr>
        <xdr:cNvSpPr/>
      </xdr:nvSpPr>
      <xdr:spPr>
        <a:xfrm>
          <a:off x="14036040" y="876300"/>
          <a:ext cx="556260" cy="114300"/>
        </a:xfrm>
        <a:prstGeom prst="rect">
          <a:avLst/>
        </a:prstGeom>
        <a:solidFill>
          <a:srgbClr val="99CC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10583</xdr:colOff>
      <xdr:row>67</xdr:row>
      <xdr:rowOff>41274</xdr:rowOff>
    </xdr:from>
    <xdr:to>
      <xdr:col>10</xdr:col>
      <xdr:colOff>201083</xdr:colOff>
      <xdr:row>67</xdr:row>
      <xdr:rowOff>147107</xdr:rowOff>
    </xdr:to>
    <xdr:sp macro="" textlink="">
      <xdr:nvSpPr>
        <xdr:cNvPr id="45" name="フローチャート : 判断 27">
          <a:extLst>
            <a:ext uri="{FF2B5EF4-FFF2-40B4-BE49-F238E27FC236}">
              <a16:creationId xmlns:a16="http://schemas.microsoft.com/office/drawing/2014/main" id="{17E3338B-2C6B-4420-BE1E-9E5E87AFD795}"/>
            </a:ext>
          </a:extLst>
        </xdr:cNvPr>
        <xdr:cNvSpPr/>
      </xdr:nvSpPr>
      <xdr:spPr>
        <a:xfrm>
          <a:off x="4786418" y="10663554"/>
          <a:ext cx="190500" cy="107738"/>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10583</xdr:colOff>
      <xdr:row>68</xdr:row>
      <xdr:rowOff>42332</xdr:rowOff>
    </xdr:from>
    <xdr:to>
      <xdr:col>10</xdr:col>
      <xdr:colOff>201083</xdr:colOff>
      <xdr:row>68</xdr:row>
      <xdr:rowOff>148165</xdr:rowOff>
    </xdr:to>
    <xdr:sp macro="" textlink="">
      <xdr:nvSpPr>
        <xdr:cNvPr id="46" name="フローチャート : 判断 32">
          <a:extLst>
            <a:ext uri="{FF2B5EF4-FFF2-40B4-BE49-F238E27FC236}">
              <a16:creationId xmlns:a16="http://schemas.microsoft.com/office/drawing/2014/main" id="{90F18FFE-020C-444E-97E7-26C1722DA1E1}"/>
            </a:ext>
          </a:extLst>
        </xdr:cNvPr>
        <xdr:cNvSpPr/>
      </xdr:nvSpPr>
      <xdr:spPr>
        <a:xfrm>
          <a:off x="4786418" y="10839872"/>
          <a:ext cx="190500" cy="105833"/>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0</xdr:colOff>
      <xdr:row>70</xdr:row>
      <xdr:rowOff>68580</xdr:rowOff>
    </xdr:from>
    <xdr:to>
      <xdr:col>10</xdr:col>
      <xdr:colOff>190500</xdr:colOff>
      <xdr:row>71</xdr:row>
      <xdr:rowOff>2963</xdr:rowOff>
    </xdr:to>
    <xdr:sp macro="" textlink="">
      <xdr:nvSpPr>
        <xdr:cNvPr id="47" name="フローチャート : 判断 27">
          <a:extLst>
            <a:ext uri="{FF2B5EF4-FFF2-40B4-BE49-F238E27FC236}">
              <a16:creationId xmlns:a16="http://schemas.microsoft.com/office/drawing/2014/main" id="{54A2624E-D909-4014-AF68-6E965ECD6A02}"/>
            </a:ext>
          </a:extLst>
        </xdr:cNvPr>
        <xdr:cNvSpPr/>
      </xdr:nvSpPr>
      <xdr:spPr>
        <a:xfrm>
          <a:off x="4777740" y="11218545"/>
          <a:ext cx="190500" cy="107738"/>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8672</xdr:colOff>
      <xdr:row>13</xdr:row>
      <xdr:rowOff>75036</xdr:rowOff>
    </xdr:from>
    <xdr:to>
      <xdr:col>10</xdr:col>
      <xdr:colOff>0</xdr:colOff>
      <xdr:row>70</xdr:row>
      <xdr:rowOff>124354</xdr:rowOff>
    </xdr:to>
    <xdr:cxnSp macro="">
      <xdr:nvCxnSpPr>
        <xdr:cNvPr id="48" name="カギ線コネクタ 26">
          <a:extLst>
            <a:ext uri="{FF2B5EF4-FFF2-40B4-BE49-F238E27FC236}">
              <a16:creationId xmlns:a16="http://schemas.microsoft.com/office/drawing/2014/main" id="{5CB3CDAC-D095-4484-945D-42714094C93D}"/>
            </a:ext>
          </a:extLst>
        </xdr:cNvPr>
        <xdr:cNvCxnSpPr>
          <a:stCxn id="15" idx="3"/>
          <a:endCxn id="47" idx="1"/>
        </xdr:cNvCxnSpPr>
      </xdr:nvCxnSpPr>
      <xdr:spPr>
        <a:xfrm>
          <a:off x="4228247" y="2223876"/>
          <a:ext cx="549493" cy="9046633"/>
        </a:xfrm>
        <a:prstGeom prst="bentConnector3">
          <a:avLst>
            <a:gd name="adj1" fmla="val 69414"/>
          </a:avLst>
        </a:prstGeom>
        <a:ln>
          <a:solidFill>
            <a:srgbClr val="FF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2328</xdr:colOff>
      <xdr:row>68</xdr:row>
      <xdr:rowOff>42332</xdr:rowOff>
    </xdr:from>
    <xdr:to>
      <xdr:col>10</xdr:col>
      <xdr:colOff>192828</xdr:colOff>
      <xdr:row>68</xdr:row>
      <xdr:rowOff>148165</xdr:rowOff>
    </xdr:to>
    <xdr:sp macro="" textlink="">
      <xdr:nvSpPr>
        <xdr:cNvPr id="49" name="フローチャート : 判断 32">
          <a:extLst>
            <a:ext uri="{FF2B5EF4-FFF2-40B4-BE49-F238E27FC236}">
              <a16:creationId xmlns:a16="http://schemas.microsoft.com/office/drawing/2014/main" id="{CE22D16B-A8BD-485D-B7E4-04B8F5431A99}"/>
            </a:ext>
          </a:extLst>
        </xdr:cNvPr>
        <xdr:cNvSpPr/>
      </xdr:nvSpPr>
      <xdr:spPr>
        <a:xfrm>
          <a:off x="4780068" y="10839872"/>
          <a:ext cx="190500" cy="105833"/>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22851</xdr:colOff>
      <xdr:row>17</xdr:row>
      <xdr:rowOff>87525</xdr:rowOff>
    </xdr:from>
    <xdr:to>
      <xdr:col>10</xdr:col>
      <xdr:colOff>2328</xdr:colOff>
      <xdr:row>68</xdr:row>
      <xdr:rowOff>95249</xdr:rowOff>
    </xdr:to>
    <xdr:cxnSp macro="">
      <xdr:nvCxnSpPr>
        <xdr:cNvPr id="50" name="カギ線コネクタ 31">
          <a:extLst>
            <a:ext uri="{FF2B5EF4-FFF2-40B4-BE49-F238E27FC236}">
              <a16:creationId xmlns:a16="http://schemas.microsoft.com/office/drawing/2014/main" id="{7A707A29-A5B3-474B-A297-DB5251B8F9F5}"/>
            </a:ext>
          </a:extLst>
        </xdr:cNvPr>
        <xdr:cNvCxnSpPr>
          <a:stCxn id="17" idx="3"/>
          <a:endCxn id="49" idx="1"/>
        </xdr:cNvCxnSpPr>
      </xdr:nvCxnSpPr>
      <xdr:spPr>
        <a:xfrm>
          <a:off x="4248141" y="2813580"/>
          <a:ext cx="531927" cy="8083019"/>
        </a:xfrm>
        <a:prstGeom prst="bentConnector3">
          <a:avLst>
            <a:gd name="adj1" fmla="val 36931"/>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0</xdr:colOff>
      <xdr:row>71</xdr:row>
      <xdr:rowOff>68580</xdr:rowOff>
    </xdr:from>
    <xdr:to>
      <xdr:col>10</xdr:col>
      <xdr:colOff>190500</xdr:colOff>
      <xdr:row>72</xdr:row>
      <xdr:rowOff>2963</xdr:rowOff>
    </xdr:to>
    <xdr:sp macro="" textlink="">
      <xdr:nvSpPr>
        <xdr:cNvPr id="51" name="フローチャート : 判断 27">
          <a:extLst>
            <a:ext uri="{FF2B5EF4-FFF2-40B4-BE49-F238E27FC236}">
              <a16:creationId xmlns:a16="http://schemas.microsoft.com/office/drawing/2014/main" id="{F323DB23-59F0-44FC-AA1C-72FCE4A178B1}"/>
            </a:ext>
          </a:extLst>
        </xdr:cNvPr>
        <xdr:cNvSpPr/>
      </xdr:nvSpPr>
      <xdr:spPr>
        <a:xfrm>
          <a:off x="4777740" y="11393805"/>
          <a:ext cx="190500" cy="107738"/>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295906</xdr:colOff>
      <xdr:row>51</xdr:row>
      <xdr:rowOff>50377</xdr:rowOff>
    </xdr:from>
    <xdr:to>
      <xdr:col>16</xdr:col>
      <xdr:colOff>3806</xdr:colOff>
      <xdr:row>51</xdr:row>
      <xdr:rowOff>150495</xdr:rowOff>
    </xdr:to>
    <xdr:sp macro="" textlink="">
      <xdr:nvSpPr>
        <xdr:cNvPr id="52" name="フローチャート : 判断 9">
          <a:extLst>
            <a:ext uri="{FF2B5EF4-FFF2-40B4-BE49-F238E27FC236}">
              <a16:creationId xmlns:a16="http://schemas.microsoft.com/office/drawing/2014/main" id="{FF19DA18-F2EC-408A-A276-0005603B8863}"/>
            </a:ext>
          </a:extLst>
        </xdr:cNvPr>
        <xdr:cNvSpPr/>
      </xdr:nvSpPr>
      <xdr:spPr>
        <a:xfrm>
          <a:off x="8329291" y="7866592"/>
          <a:ext cx="186055" cy="102023"/>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24761</xdr:colOff>
      <xdr:row>69</xdr:row>
      <xdr:rowOff>29422</xdr:rowOff>
    </xdr:from>
    <xdr:to>
      <xdr:col>10</xdr:col>
      <xdr:colOff>213356</xdr:colOff>
      <xdr:row>69</xdr:row>
      <xdr:rowOff>131445</xdr:rowOff>
    </xdr:to>
    <xdr:sp macro="" textlink="">
      <xdr:nvSpPr>
        <xdr:cNvPr id="53" name="フローチャート : 判断 9">
          <a:extLst>
            <a:ext uri="{FF2B5EF4-FFF2-40B4-BE49-F238E27FC236}">
              <a16:creationId xmlns:a16="http://schemas.microsoft.com/office/drawing/2014/main" id="{7DF630E0-2220-46A1-AEF1-4FB5995FD3A1}"/>
            </a:ext>
          </a:extLst>
        </xdr:cNvPr>
        <xdr:cNvSpPr/>
      </xdr:nvSpPr>
      <xdr:spPr>
        <a:xfrm>
          <a:off x="4804406" y="11004127"/>
          <a:ext cx="190500" cy="103928"/>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26666</xdr:colOff>
      <xdr:row>51</xdr:row>
      <xdr:rowOff>99485</xdr:rowOff>
    </xdr:from>
    <xdr:to>
      <xdr:col>16</xdr:col>
      <xdr:colOff>3806</xdr:colOff>
      <xdr:row>69</xdr:row>
      <xdr:rowOff>83292</xdr:rowOff>
    </xdr:to>
    <xdr:cxnSp macro="">
      <xdr:nvCxnSpPr>
        <xdr:cNvPr id="54" name="カギ線コネクタ 41">
          <a:extLst>
            <a:ext uri="{FF2B5EF4-FFF2-40B4-BE49-F238E27FC236}">
              <a16:creationId xmlns:a16="http://schemas.microsoft.com/office/drawing/2014/main" id="{0C887255-BC11-4B3E-9E13-892A85CF3993}"/>
            </a:ext>
          </a:extLst>
        </xdr:cNvPr>
        <xdr:cNvCxnSpPr>
          <a:stCxn id="53" idx="1"/>
          <a:endCxn id="52" idx="3"/>
        </xdr:cNvCxnSpPr>
      </xdr:nvCxnSpPr>
      <xdr:spPr>
        <a:xfrm rot="10800000" flipH="1">
          <a:off x="4806311" y="7921415"/>
          <a:ext cx="3709035" cy="3132772"/>
        </a:xfrm>
        <a:prstGeom prst="bentConnector5">
          <a:avLst>
            <a:gd name="adj1" fmla="val -2736"/>
            <a:gd name="adj2" fmla="val 38228"/>
            <a:gd name="adj3" fmla="val 103592"/>
          </a:avLst>
        </a:prstGeom>
        <a:ln>
          <a:solidFill>
            <a:srgbClr val="0000FF"/>
          </a:solidFill>
          <a:prstDash val="sys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275152</xdr:colOff>
      <xdr:row>50</xdr:row>
      <xdr:rowOff>24323</xdr:rowOff>
    </xdr:from>
    <xdr:to>
      <xdr:col>23</xdr:col>
      <xdr:colOff>465652</xdr:colOff>
      <xdr:row>50</xdr:row>
      <xdr:rowOff>130156</xdr:rowOff>
    </xdr:to>
    <xdr:sp macro="" textlink="">
      <xdr:nvSpPr>
        <xdr:cNvPr id="55" name="フローチャート : 判断 39">
          <a:extLst>
            <a:ext uri="{FF2B5EF4-FFF2-40B4-BE49-F238E27FC236}">
              <a16:creationId xmlns:a16="http://schemas.microsoft.com/office/drawing/2014/main" id="{5FA0E1A5-53A5-464B-89B6-362943807674}"/>
            </a:ext>
          </a:extLst>
        </xdr:cNvPr>
        <xdr:cNvSpPr/>
      </xdr:nvSpPr>
      <xdr:spPr>
        <a:xfrm>
          <a:off x="12503347" y="7669088"/>
          <a:ext cx="190500" cy="107738"/>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26</xdr:col>
      <xdr:colOff>10583</xdr:colOff>
      <xdr:row>35</xdr:row>
      <xdr:rowOff>42332</xdr:rowOff>
    </xdr:from>
    <xdr:to>
      <xdr:col>26</xdr:col>
      <xdr:colOff>201083</xdr:colOff>
      <xdr:row>35</xdr:row>
      <xdr:rowOff>148165</xdr:rowOff>
    </xdr:to>
    <xdr:sp macro="" textlink="">
      <xdr:nvSpPr>
        <xdr:cNvPr id="56" name="フローチャート : 判断 32">
          <a:extLst>
            <a:ext uri="{FF2B5EF4-FFF2-40B4-BE49-F238E27FC236}">
              <a16:creationId xmlns:a16="http://schemas.microsoft.com/office/drawing/2014/main" id="{3BEF23AF-69B5-4CF2-BAB6-DA9988C1B073}"/>
            </a:ext>
          </a:extLst>
        </xdr:cNvPr>
        <xdr:cNvSpPr/>
      </xdr:nvSpPr>
      <xdr:spPr>
        <a:xfrm>
          <a:off x="13275098" y="5422052"/>
          <a:ext cx="190500" cy="98213"/>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26</xdr:col>
      <xdr:colOff>5711</xdr:colOff>
      <xdr:row>33</xdr:row>
      <xdr:rowOff>42122</xdr:rowOff>
    </xdr:from>
    <xdr:to>
      <xdr:col>26</xdr:col>
      <xdr:colOff>194306</xdr:colOff>
      <xdr:row>33</xdr:row>
      <xdr:rowOff>136525</xdr:rowOff>
    </xdr:to>
    <xdr:sp macro="" textlink="">
      <xdr:nvSpPr>
        <xdr:cNvPr id="57" name="フローチャート : 判断 9">
          <a:extLst>
            <a:ext uri="{FF2B5EF4-FFF2-40B4-BE49-F238E27FC236}">
              <a16:creationId xmlns:a16="http://schemas.microsoft.com/office/drawing/2014/main" id="{C2B3A87E-7786-4C6C-9B8A-5BD4CE15FD61}"/>
            </a:ext>
          </a:extLst>
        </xdr:cNvPr>
        <xdr:cNvSpPr/>
      </xdr:nvSpPr>
      <xdr:spPr>
        <a:xfrm>
          <a:off x="13270226" y="5132282"/>
          <a:ext cx="190500" cy="98213"/>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480056</xdr:colOff>
      <xdr:row>14</xdr:row>
      <xdr:rowOff>75036</xdr:rowOff>
    </xdr:from>
    <xdr:to>
      <xdr:col>26</xdr:col>
      <xdr:colOff>3806</xdr:colOff>
      <xdr:row>33</xdr:row>
      <xdr:rowOff>91229</xdr:rowOff>
    </xdr:to>
    <xdr:cxnSp macro="">
      <xdr:nvCxnSpPr>
        <xdr:cNvPr id="58" name="カギ線コネクタ 16">
          <a:extLst>
            <a:ext uri="{FF2B5EF4-FFF2-40B4-BE49-F238E27FC236}">
              <a16:creationId xmlns:a16="http://schemas.microsoft.com/office/drawing/2014/main" id="{3FF4272E-D51F-47BA-BD45-EFC2232E876F}"/>
            </a:ext>
          </a:extLst>
        </xdr:cNvPr>
        <xdr:cNvCxnSpPr>
          <a:stCxn id="10" idx="3"/>
          <a:endCxn id="57" idx="1"/>
        </xdr:cNvCxnSpPr>
      </xdr:nvCxnSpPr>
      <xdr:spPr>
        <a:xfrm>
          <a:off x="8515346" y="2368656"/>
          <a:ext cx="4754880" cy="2816543"/>
        </a:xfrm>
        <a:prstGeom prst="bentConnector3">
          <a:avLst>
            <a:gd name="adj1" fmla="val 5816"/>
          </a:avLst>
        </a:prstGeom>
        <a:ln>
          <a:solidFill>
            <a:srgbClr val="0000FF"/>
          </a:solidFill>
          <a:prstDash val="sys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8678</xdr:colOff>
      <xdr:row>36</xdr:row>
      <xdr:rowOff>35982</xdr:rowOff>
    </xdr:from>
    <xdr:to>
      <xdr:col>26</xdr:col>
      <xdr:colOff>199178</xdr:colOff>
      <xdr:row>36</xdr:row>
      <xdr:rowOff>134195</xdr:rowOff>
    </xdr:to>
    <xdr:sp macro="" textlink="">
      <xdr:nvSpPr>
        <xdr:cNvPr id="59" name="フローチャート : 判断 32">
          <a:extLst>
            <a:ext uri="{FF2B5EF4-FFF2-40B4-BE49-F238E27FC236}">
              <a16:creationId xmlns:a16="http://schemas.microsoft.com/office/drawing/2014/main" id="{65716ADE-8C0C-4249-8ABF-66BD3A871233}"/>
            </a:ext>
          </a:extLst>
        </xdr:cNvPr>
        <xdr:cNvSpPr/>
      </xdr:nvSpPr>
      <xdr:spPr>
        <a:xfrm>
          <a:off x="13273193" y="5560482"/>
          <a:ext cx="190500" cy="102023"/>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455074</xdr:colOff>
      <xdr:row>15</xdr:row>
      <xdr:rowOff>87524</xdr:rowOff>
    </xdr:from>
    <xdr:to>
      <xdr:col>26</xdr:col>
      <xdr:colOff>6773</xdr:colOff>
      <xdr:row>36</xdr:row>
      <xdr:rowOff>86994</xdr:rowOff>
    </xdr:to>
    <xdr:cxnSp macro="">
      <xdr:nvCxnSpPr>
        <xdr:cNvPr id="60" name="カギ線コネクタ 16">
          <a:extLst>
            <a:ext uri="{FF2B5EF4-FFF2-40B4-BE49-F238E27FC236}">
              <a16:creationId xmlns:a16="http://schemas.microsoft.com/office/drawing/2014/main" id="{31A1E707-D4CF-45E4-8137-C72E6D4B5B85}"/>
            </a:ext>
          </a:extLst>
        </xdr:cNvPr>
        <xdr:cNvCxnSpPr>
          <a:stCxn id="24" idx="3"/>
          <a:endCxn id="59" idx="1"/>
        </xdr:cNvCxnSpPr>
      </xdr:nvCxnSpPr>
      <xdr:spPr>
        <a:xfrm>
          <a:off x="8486554" y="2524019"/>
          <a:ext cx="4784734" cy="3085570"/>
        </a:xfrm>
        <a:prstGeom prst="bentConnector3">
          <a:avLst>
            <a:gd name="adj1" fmla="val 3049"/>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480056</xdr:colOff>
      <xdr:row>13</xdr:row>
      <xdr:rowOff>75035</xdr:rowOff>
    </xdr:from>
    <xdr:to>
      <xdr:col>26</xdr:col>
      <xdr:colOff>8678</xdr:colOff>
      <xdr:row>35</xdr:row>
      <xdr:rowOff>91439</xdr:rowOff>
    </xdr:to>
    <xdr:cxnSp macro="">
      <xdr:nvCxnSpPr>
        <xdr:cNvPr id="61" name="カギ線コネクタ 14">
          <a:extLst>
            <a:ext uri="{FF2B5EF4-FFF2-40B4-BE49-F238E27FC236}">
              <a16:creationId xmlns:a16="http://schemas.microsoft.com/office/drawing/2014/main" id="{8590DF76-A08C-4211-A9FA-A3F0E25F70D5}"/>
            </a:ext>
          </a:extLst>
        </xdr:cNvPr>
        <xdr:cNvCxnSpPr>
          <a:stCxn id="9" idx="3"/>
          <a:endCxn id="56" idx="1"/>
        </xdr:cNvCxnSpPr>
      </xdr:nvCxnSpPr>
      <xdr:spPr>
        <a:xfrm>
          <a:off x="8515346" y="2223875"/>
          <a:ext cx="4757847" cy="3251094"/>
        </a:xfrm>
        <a:prstGeom prst="bentConnector3">
          <a:avLst>
            <a:gd name="adj1" fmla="val 8237"/>
          </a:avLst>
        </a:prstGeom>
        <a:ln>
          <a:solidFill>
            <a:srgbClr val="FF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792267</xdr:colOff>
      <xdr:row>7</xdr:row>
      <xdr:rowOff>113029</xdr:rowOff>
    </xdr:from>
    <xdr:to>
      <xdr:col>26</xdr:col>
      <xdr:colOff>1324608</xdr:colOff>
      <xdr:row>7</xdr:row>
      <xdr:rowOff>113029</xdr:rowOff>
    </xdr:to>
    <xdr:sp macro="" textlink="">
      <xdr:nvSpPr>
        <xdr:cNvPr id="62" name="Line 11">
          <a:extLst>
            <a:ext uri="{FF2B5EF4-FFF2-40B4-BE49-F238E27FC236}">
              <a16:creationId xmlns:a16="http://schemas.microsoft.com/office/drawing/2014/main" id="{E335EB3F-81B9-4C84-80B2-15EF27D8ED49}"/>
            </a:ext>
          </a:extLst>
        </xdr:cNvPr>
        <xdr:cNvSpPr>
          <a:spLocks noChangeShapeType="1"/>
        </xdr:cNvSpPr>
      </xdr:nvSpPr>
      <xdr:spPr bwMode="auto">
        <a:xfrm>
          <a:off x="14060592" y="1111249"/>
          <a:ext cx="532341" cy="0"/>
        </a:xfrm>
        <a:prstGeom prst="line">
          <a:avLst/>
        </a:prstGeom>
        <a:noFill/>
        <a:ln w="9525">
          <a:solidFill>
            <a:srgbClr val="0000FF"/>
          </a:solidFill>
          <a:prstDash val="sysDash"/>
          <a:round/>
          <a:headEnd/>
          <a:tailEnd/>
        </a:ln>
        <a:extLst>
          <a:ext uri="{909E8E84-426E-40DD-AFC4-6F175D3DCCD1}">
            <a14:hiddenFill xmlns:a14="http://schemas.microsoft.com/office/drawing/2010/main">
              <a:noFill/>
            </a14:hiddenFill>
          </a:ext>
        </a:extLst>
      </xdr:spPr>
    </xdr:sp>
    <xdr:clientData/>
  </xdr:twoCellAnchor>
  <xdr:twoCellAnchor>
    <xdr:from>
      <xdr:col>2</xdr:col>
      <xdr:colOff>0</xdr:colOff>
      <xdr:row>80</xdr:row>
      <xdr:rowOff>33652</xdr:rowOff>
    </xdr:from>
    <xdr:to>
      <xdr:col>8</xdr:col>
      <xdr:colOff>0</xdr:colOff>
      <xdr:row>82</xdr:row>
      <xdr:rowOff>72983</xdr:rowOff>
    </xdr:to>
    <xdr:sp macro="" textlink="">
      <xdr:nvSpPr>
        <xdr:cNvPr id="82" name="Rectangle 1">
          <a:extLst>
            <a:ext uri="{FF2B5EF4-FFF2-40B4-BE49-F238E27FC236}">
              <a16:creationId xmlns:a16="http://schemas.microsoft.com/office/drawing/2014/main" id="{D0FEA584-B861-4EF3-BE33-7F376EF8C1E9}"/>
            </a:ext>
          </a:extLst>
        </xdr:cNvPr>
        <xdr:cNvSpPr>
          <a:spLocks noChangeArrowheads="1"/>
        </xdr:cNvSpPr>
      </xdr:nvSpPr>
      <xdr:spPr bwMode="auto">
        <a:xfrm>
          <a:off x="320040" y="12873352"/>
          <a:ext cx="3954780" cy="397471"/>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2860" rIns="36576" bIns="0" anchor="ctr" upright="1"/>
        <a:lstStyle/>
        <a:p>
          <a:pPr algn="ctr" rtl="0">
            <a:defRPr sz="1000"/>
          </a:pPr>
          <a:r>
            <a:rPr lang="ja-JP" altLang="en-US" sz="1600" b="1" i="0" u="none" strike="noStrike" baseline="0">
              <a:solidFill>
                <a:srgbClr val="000000"/>
              </a:solidFill>
              <a:latin typeface="ＭＳ Ｐゴシック"/>
              <a:ea typeface="ＭＳ Ｐゴシック"/>
            </a:rPr>
            <a:t>取引ログテーブル関連図</a:t>
          </a:r>
          <a:r>
            <a:rPr lang="en-US" altLang="ja-JP" sz="1600" b="1" i="0" u="none" strike="noStrike" baseline="0">
              <a:solidFill>
                <a:srgbClr val="000000"/>
              </a:solidFill>
              <a:latin typeface="ＭＳ Ｐゴシック"/>
              <a:ea typeface="ＭＳ Ｐゴシック"/>
            </a:rPr>
            <a:t>(</a:t>
          </a:r>
          <a:r>
            <a:rPr lang="ja-JP" altLang="en-US" sz="1600" b="1" i="0" u="none" strike="noStrike" baseline="0">
              <a:solidFill>
                <a:srgbClr val="000000"/>
              </a:solidFill>
              <a:latin typeface="ＭＳ Ｐゴシック"/>
              <a:ea typeface="ＭＳ Ｐゴシック"/>
            </a:rPr>
            <a:t>入出金</a:t>
          </a:r>
          <a:r>
            <a:rPr lang="en-US" altLang="ja-JP" sz="1600" b="1" i="0" u="none" strike="noStrike" baseline="0">
              <a:solidFill>
                <a:srgbClr val="000000"/>
              </a:solidFill>
              <a:latin typeface="ＭＳ Ｐゴシック"/>
              <a:ea typeface="ＭＳ Ｐゴシック"/>
            </a:rPr>
            <a:t>)</a:t>
          </a:r>
          <a:endParaRPr lang="ja-JP" altLang="en-US" sz="1600" b="1" i="0" u="none" strike="noStrike" baseline="0">
            <a:solidFill>
              <a:srgbClr val="000000"/>
            </a:solidFill>
            <a:latin typeface="ＭＳ Ｐゴシック"/>
            <a:ea typeface="ＭＳ Ｐゴシック"/>
          </a:endParaRPr>
        </a:p>
      </xdr:txBody>
    </xdr:sp>
    <xdr:clientData/>
  </xdr:twoCellAnchor>
  <xdr:twoCellAnchor>
    <xdr:from>
      <xdr:col>26</xdr:col>
      <xdr:colOff>782107</xdr:colOff>
      <xdr:row>80</xdr:row>
      <xdr:rowOff>104774</xdr:rowOff>
    </xdr:from>
    <xdr:to>
      <xdr:col>26</xdr:col>
      <xdr:colOff>1314448</xdr:colOff>
      <xdr:row>80</xdr:row>
      <xdr:rowOff>104774</xdr:rowOff>
    </xdr:to>
    <xdr:sp macro="" textlink="">
      <xdr:nvSpPr>
        <xdr:cNvPr id="95" name="Line 11">
          <a:extLst>
            <a:ext uri="{FF2B5EF4-FFF2-40B4-BE49-F238E27FC236}">
              <a16:creationId xmlns:a16="http://schemas.microsoft.com/office/drawing/2014/main" id="{F9A6A4D6-175B-4FEA-932C-92A65C53B8FD}"/>
            </a:ext>
          </a:extLst>
        </xdr:cNvPr>
        <xdr:cNvSpPr>
          <a:spLocks noChangeShapeType="1"/>
        </xdr:cNvSpPr>
      </xdr:nvSpPr>
      <xdr:spPr bwMode="auto">
        <a:xfrm>
          <a:off x="14105677" y="922019"/>
          <a:ext cx="532341" cy="0"/>
        </a:xfrm>
        <a:prstGeom prst="line">
          <a:avLst/>
        </a:prstGeom>
        <a:noFill/>
        <a:ln w="9525">
          <a:solidFill>
            <a:srgbClr val="FF0000"/>
          </a:solidFill>
          <a:prstDash val="dash"/>
          <a:round/>
          <a:headEnd/>
          <a:tailEnd/>
        </a:ln>
        <a:extLst>
          <a:ext uri="{909E8E84-426E-40DD-AFC4-6F175D3DCCD1}">
            <a14:hiddenFill xmlns:a14="http://schemas.microsoft.com/office/drawing/2010/main">
              <a:noFill/>
            </a14:hiddenFill>
          </a:ext>
        </a:extLst>
      </xdr:spPr>
    </xdr:sp>
    <xdr:clientData/>
  </xdr:twoCellAnchor>
  <xdr:twoCellAnchor>
    <xdr:from>
      <xdr:col>26</xdr:col>
      <xdr:colOff>771525</xdr:colOff>
      <xdr:row>81</xdr:row>
      <xdr:rowOff>57150</xdr:rowOff>
    </xdr:from>
    <xdr:to>
      <xdr:col>26</xdr:col>
      <xdr:colOff>1323975</xdr:colOff>
      <xdr:row>81</xdr:row>
      <xdr:rowOff>171450</xdr:rowOff>
    </xdr:to>
    <xdr:sp macro="" textlink="">
      <xdr:nvSpPr>
        <xdr:cNvPr id="105" name="正方形/長方形 104">
          <a:extLst>
            <a:ext uri="{FF2B5EF4-FFF2-40B4-BE49-F238E27FC236}">
              <a16:creationId xmlns:a16="http://schemas.microsoft.com/office/drawing/2014/main" id="{534639B3-43E7-47E9-BCEA-C43DE300341E}"/>
            </a:ext>
          </a:extLst>
        </xdr:cNvPr>
        <xdr:cNvSpPr/>
      </xdr:nvSpPr>
      <xdr:spPr>
        <a:xfrm>
          <a:off x="14089380" y="1051560"/>
          <a:ext cx="556260" cy="114300"/>
        </a:xfrm>
        <a:prstGeom prst="rect">
          <a:avLst/>
        </a:prstGeom>
        <a:solidFill>
          <a:srgbClr val="99CC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296327</xdr:colOff>
      <xdr:row>122</xdr:row>
      <xdr:rowOff>21167</xdr:rowOff>
    </xdr:from>
    <xdr:to>
      <xdr:col>8</xdr:col>
      <xdr:colOff>10577</xdr:colOff>
      <xdr:row>122</xdr:row>
      <xdr:rowOff>127000</xdr:rowOff>
    </xdr:to>
    <xdr:sp macro="" textlink="">
      <xdr:nvSpPr>
        <xdr:cNvPr id="125" name="フローチャート : 判断 22">
          <a:extLst>
            <a:ext uri="{FF2B5EF4-FFF2-40B4-BE49-F238E27FC236}">
              <a16:creationId xmlns:a16="http://schemas.microsoft.com/office/drawing/2014/main" id="{357DD0E9-C5FB-439F-9C93-383555BCE715}"/>
            </a:ext>
          </a:extLst>
        </xdr:cNvPr>
        <xdr:cNvSpPr/>
      </xdr:nvSpPr>
      <xdr:spPr>
        <a:xfrm>
          <a:off x="4089182" y="14325177"/>
          <a:ext cx="193040" cy="100118"/>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289551</xdr:colOff>
      <xdr:row>126</xdr:row>
      <xdr:rowOff>33656</xdr:rowOff>
    </xdr:from>
    <xdr:to>
      <xdr:col>8</xdr:col>
      <xdr:colOff>5706</xdr:colOff>
      <xdr:row>126</xdr:row>
      <xdr:rowOff>145204</xdr:rowOff>
    </xdr:to>
    <xdr:sp macro="" textlink="">
      <xdr:nvSpPr>
        <xdr:cNvPr id="126" name="フローチャート : 判断 28">
          <a:extLst>
            <a:ext uri="{FF2B5EF4-FFF2-40B4-BE49-F238E27FC236}">
              <a16:creationId xmlns:a16="http://schemas.microsoft.com/office/drawing/2014/main" id="{DDD5ED3F-D0DE-40CB-8425-519A5DF77241}"/>
            </a:ext>
          </a:extLst>
        </xdr:cNvPr>
        <xdr:cNvSpPr/>
      </xdr:nvSpPr>
      <xdr:spPr>
        <a:xfrm>
          <a:off x="4084311" y="14918056"/>
          <a:ext cx="193040" cy="113453"/>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1897</xdr:colOff>
      <xdr:row>124</xdr:row>
      <xdr:rowOff>33021</xdr:rowOff>
    </xdr:from>
    <xdr:to>
      <xdr:col>10</xdr:col>
      <xdr:colOff>192397</xdr:colOff>
      <xdr:row>124</xdr:row>
      <xdr:rowOff>142664</xdr:rowOff>
    </xdr:to>
    <xdr:sp macro="" textlink="">
      <xdr:nvSpPr>
        <xdr:cNvPr id="127" name="フローチャート : 判断 29">
          <a:extLst>
            <a:ext uri="{FF2B5EF4-FFF2-40B4-BE49-F238E27FC236}">
              <a16:creationId xmlns:a16="http://schemas.microsoft.com/office/drawing/2014/main" id="{D677A954-C149-4159-A295-996EDD346CA1}"/>
            </a:ext>
          </a:extLst>
        </xdr:cNvPr>
        <xdr:cNvSpPr/>
      </xdr:nvSpPr>
      <xdr:spPr>
        <a:xfrm>
          <a:off x="4834247" y="19775171"/>
          <a:ext cx="190500" cy="109643"/>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3801</xdr:colOff>
      <xdr:row>124</xdr:row>
      <xdr:rowOff>89748</xdr:rowOff>
    </xdr:from>
    <xdr:to>
      <xdr:col>10</xdr:col>
      <xdr:colOff>1897</xdr:colOff>
      <xdr:row>126</xdr:row>
      <xdr:rowOff>90383</xdr:rowOff>
    </xdr:to>
    <xdr:cxnSp macro="">
      <xdr:nvCxnSpPr>
        <xdr:cNvPr id="128" name="カギ線コネクタ 37">
          <a:extLst>
            <a:ext uri="{FF2B5EF4-FFF2-40B4-BE49-F238E27FC236}">
              <a16:creationId xmlns:a16="http://schemas.microsoft.com/office/drawing/2014/main" id="{2D8DEE02-504B-41B4-BF12-43FC61DF5497}"/>
            </a:ext>
          </a:extLst>
        </xdr:cNvPr>
        <xdr:cNvCxnSpPr>
          <a:stCxn id="126" idx="3"/>
          <a:endCxn id="127" idx="1"/>
        </xdr:cNvCxnSpPr>
      </xdr:nvCxnSpPr>
      <xdr:spPr>
        <a:xfrm flipV="1">
          <a:off x="4277351" y="19831898"/>
          <a:ext cx="556896" cy="292735"/>
        </a:xfrm>
        <a:prstGeom prst="bentConnector3">
          <a:avLst>
            <a:gd name="adj1" fmla="val 34036"/>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0</xdr:colOff>
      <xdr:row>114</xdr:row>
      <xdr:rowOff>33652</xdr:rowOff>
    </xdr:from>
    <xdr:to>
      <xdr:col>10</xdr:col>
      <xdr:colOff>806449</xdr:colOff>
      <xdr:row>116</xdr:row>
      <xdr:rowOff>72983</xdr:rowOff>
    </xdr:to>
    <xdr:sp macro="" textlink="">
      <xdr:nvSpPr>
        <xdr:cNvPr id="129" name="Rectangle 1">
          <a:extLst>
            <a:ext uri="{FF2B5EF4-FFF2-40B4-BE49-F238E27FC236}">
              <a16:creationId xmlns:a16="http://schemas.microsoft.com/office/drawing/2014/main" id="{FBDD1BE9-AE2C-48F5-AC32-87C6428799CE}"/>
            </a:ext>
          </a:extLst>
        </xdr:cNvPr>
        <xdr:cNvSpPr>
          <a:spLocks noChangeArrowheads="1"/>
        </xdr:cNvSpPr>
      </xdr:nvSpPr>
      <xdr:spPr bwMode="auto">
        <a:xfrm>
          <a:off x="317500" y="18112102"/>
          <a:ext cx="5321299" cy="401281"/>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2860" rIns="36576" bIns="0" anchor="ctr" upright="1"/>
        <a:lstStyle/>
        <a:p>
          <a:pPr algn="ctr" rtl="0">
            <a:defRPr sz="1000"/>
          </a:pPr>
          <a:r>
            <a:rPr lang="ja-JP" altLang="en-US" sz="1600" b="1" i="0" u="none" strike="noStrike" baseline="0">
              <a:solidFill>
                <a:srgbClr val="000000"/>
              </a:solidFill>
              <a:latin typeface="ＭＳ Ｐゴシック"/>
              <a:ea typeface="ＭＳ Ｐゴシック"/>
            </a:rPr>
            <a:t>取引ログテーブル関連図</a:t>
          </a:r>
          <a:r>
            <a:rPr lang="en-US" altLang="ja-JP" sz="1600" b="1" i="0" u="none" strike="noStrike" baseline="0">
              <a:solidFill>
                <a:srgbClr val="000000"/>
              </a:solidFill>
              <a:latin typeface="ＭＳ Ｐゴシック"/>
              <a:ea typeface="ＭＳ Ｐゴシック"/>
            </a:rPr>
            <a:t>(</a:t>
          </a:r>
          <a:r>
            <a:rPr lang="ja-JP" altLang="en-US" sz="1600" b="1" i="0" u="none" strike="noStrike" baseline="0">
              <a:solidFill>
                <a:srgbClr val="000000"/>
              </a:solidFill>
              <a:latin typeface="ＭＳ Ｐゴシック"/>
              <a:ea typeface="ＭＳ Ｐゴシック"/>
            </a:rPr>
            <a:t>釣銭準備金</a:t>
          </a:r>
          <a:r>
            <a:rPr lang="en-US" altLang="ja-JP" sz="1600" b="1" i="0" u="none" strike="noStrike" baseline="0">
              <a:solidFill>
                <a:srgbClr val="000000"/>
              </a:solidFill>
              <a:latin typeface="ＭＳ Ｐゴシック"/>
              <a:ea typeface="ＭＳ Ｐゴシック"/>
            </a:rPr>
            <a:t>/</a:t>
          </a:r>
          <a:r>
            <a:rPr lang="ja-JP" altLang="en-US" sz="1600" b="1" i="0" u="none" strike="noStrike" baseline="0">
              <a:solidFill>
                <a:srgbClr val="000000"/>
              </a:solidFill>
              <a:latin typeface="ＭＳ Ｐゴシック"/>
              <a:ea typeface="ＭＳ Ｐゴシック"/>
            </a:rPr>
            <a:t>中間回収</a:t>
          </a:r>
          <a:r>
            <a:rPr lang="en-US" altLang="ja-JP" sz="1600" b="1" i="0" u="none" strike="noStrike" baseline="0">
              <a:solidFill>
                <a:srgbClr val="000000"/>
              </a:solidFill>
              <a:latin typeface="ＭＳ Ｐゴシック"/>
              <a:ea typeface="ＭＳ Ｐゴシック"/>
            </a:rPr>
            <a:t>)</a:t>
          </a:r>
          <a:endParaRPr lang="ja-JP" altLang="en-US" sz="1600" b="1" i="0" u="none" strike="noStrike" baseline="0">
            <a:solidFill>
              <a:srgbClr val="000000"/>
            </a:solidFill>
            <a:latin typeface="ＭＳ Ｐゴシック"/>
            <a:ea typeface="ＭＳ Ｐゴシック"/>
          </a:endParaRPr>
        </a:p>
      </xdr:txBody>
    </xdr:sp>
    <xdr:clientData/>
  </xdr:twoCellAnchor>
  <xdr:twoCellAnchor>
    <xdr:from>
      <xdr:col>9</xdr:col>
      <xdr:colOff>90176</xdr:colOff>
      <xdr:row>126</xdr:row>
      <xdr:rowOff>23388</xdr:rowOff>
    </xdr:from>
    <xdr:to>
      <xdr:col>10</xdr:col>
      <xdr:colOff>172726</xdr:colOff>
      <xdr:row>126</xdr:row>
      <xdr:rowOff>129221</xdr:rowOff>
    </xdr:to>
    <xdr:sp macro="" textlink="">
      <xdr:nvSpPr>
        <xdr:cNvPr id="130" name="フローチャート : 判断 27">
          <a:extLst>
            <a:ext uri="{FF2B5EF4-FFF2-40B4-BE49-F238E27FC236}">
              <a16:creationId xmlns:a16="http://schemas.microsoft.com/office/drawing/2014/main" id="{CE5D7690-E25C-4EFA-AD56-1A1808E1E011}"/>
            </a:ext>
          </a:extLst>
        </xdr:cNvPr>
        <xdr:cNvSpPr/>
      </xdr:nvSpPr>
      <xdr:spPr>
        <a:xfrm>
          <a:off x="4814576" y="20057638"/>
          <a:ext cx="190500" cy="105833"/>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8672</xdr:colOff>
      <xdr:row>122</xdr:row>
      <xdr:rowOff>75036</xdr:rowOff>
    </xdr:from>
    <xdr:to>
      <xdr:col>9</xdr:col>
      <xdr:colOff>88271</xdr:colOff>
      <xdr:row>126</xdr:row>
      <xdr:rowOff>80115</xdr:rowOff>
    </xdr:to>
    <xdr:cxnSp macro="">
      <xdr:nvCxnSpPr>
        <xdr:cNvPr id="131" name="カギ線コネクタ 26">
          <a:extLst>
            <a:ext uri="{FF2B5EF4-FFF2-40B4-BE49-F238E27FC236}">
              <a16:creationId xmlns:a16="http://schemas.microsoft.com/office/drawing/2014/main" id="{E1F91F8B-AD6D-46B1-B814-B4F1A371DA6B}"/>
            </a:ext>
          </a:extLst>
        </xdr:cNvPr>
        <xdr:cNvCxnSpPr>
          <a:stCxn id="125" idx="3"/>
          <a:endCxn id="130" idx="1"/>
        </xdr:cNvCxnSpPr>
      </xdr:nvCxnSpPr>
      <xdr:spPr>
        <a:xfrm>
          <a:off x="4282222" y="19525086"/>
          <a:ext cx="530449" cy="589279"/>
        </a:xfrm>
        <a:prstGeom prst="bentConnector3">
          <a:avLst>
            <a:gd name="adj1" fmla="val 65563"/>
          </a:avLst>
        </a:prstGeom>
        <a:ln>
          <a:solidFill>
            <a:srgbClr val="FF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7620</xdr:colOff>
      <xdr:row>88</xdr:row>
      <xdr:rowOff>68262</xdr:rowOff>
    </xdr:from>
    <xdr:to>
      <xdr:col>10</xdr:col>
      <xdr:colOff>0</xdr:colOff>
      <xdr:row>88</xdr:row>
      <xdr:rowOff>68262</xdr:rowOff>
    </xdr:to>
    <xdr:sp macro="" textlink="">
      <xdr:nvSpPr>
        <xdr:cNvPr id="64" name="Line 11">
          <a:extLst>
            <a:ext uri="{FF2B5EF4-FFF2-40B4-BE49-F238E27FC236}">
              <a16:creationId xmlns:a16="http://schemas.microsoft.com/office/drawing/2014/main" id="{3B094B79-6F7D-4611-9A13-C6657D908DD7}"/>
            </a:ext>
          </a:extLst>
        </xdr:cNvPr>
        <xdr:cNvSpPr>
          <a:spLocks noChangeShapeType="1"/>
        </xdr:cNvSpPr>
      </xdr:nvSpPr>
      <xdr:spPr bwMode="auto">
        <a:xfrm>
          <a:off x="4284345" y="14050962"/>
          <a:ext cx="544830" cy="0"/>
        </a:xfrm>
        <a:prstGeom prst="line">
          <a:avLst/>
        </a:prstGeom>
        <a:noFill/>
        <a:ln w="9525">
          <a:solidFill>
            <a:srgbClr val="FF0000"/>
          </a:solidFill>
          <a:prstDash val="dash"/>
          <a:round/>
          <a:headEnd/>
          <a:tailEnd/>
        </a:ln>
        <a:extLst>
          <a:ext uri="{909E8E84-426E-40DD-AFC4-6F175D3DCCD1}">
            <a14:hiddenFill xmlns:a14="http://schemas.microsoft.com/office/drawing/2010/main">
              <a:noFill/>
            </a14:hiddenFill>
          </a:ext>
        </a:extLst>
      </xdr:spPr>
    </xdr:sp>
    <xdr:clientData/>
  </xdr:twoCellAnchor>
  <xdr:twoCellAnchor>
    <xdr:from>
      <xdr:col>7</xdr:col>
      <xdr:colOff>296327</xdr:colOff>
      <xdr:row>88</xdr:row>
      <xdr:rowOff>21167</xdr:rowOff>
    </xdr:from>
    <xdr:to>
      <xdr:col>8</xdr:col>
      <xdr:colOff>10577</xdr:colOff>
      <xdr:row>88</xdr:row>
      <xdr:rowOff>127000</xdr:rowOff>
    </xdr:to>
    <xdr:sp macro="" textlink="">
      <xdr:nvSpPr>
        <xdr:cNvPr id="65" name="フローチャート : 判断 22">
          <a:extLst>
            <a:ext uri="{FF2B5EF4-FFF2-40B4-BE49-F238E27FC236}">
              <a16:creationId xmlns:a16="http://schemas.microsoft.com/office/drawing/2014/main" id="{792C65AA-7DC3-49BB-B7DE-E7C46F7E12D9}"/>
            </a:ext>
          </a:extLst>
        </xdr:cNvPr>
        <xdr:cNvSpPr/>
      </xdr:nvSpPr>
      <xdr:spPr>
        <a:xfrm>
          <a:off x="4096802" y="14003867"/>
          <a:ext cx="190500" cy="105833"/>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289551</xdr:colOff>
      <xdr:row>92</xdr:row>
      <xdr:rowOff>33656</xdr:rowOff>
    </xdr:from>
    <xdr:to>
      <xdr:col>8</xdr:col>
      <xdr:colOff>5706</xdr:colOff>
      <xdr:row>92</xdr:row>
      <xdr:rowOff>145204</xdr:rowOff>
    </xdr:to>
    <xdr:sp macro="" textlink="">
      <xdr:nvSpPr>
        <xdr:cNvPr id="66" name="フローチャート : 判断 28">
          <a:extLst>
            <a:ext uri="{FF2B5EF4-FFF2-40B4-BE49-F238E27FC236}">
              <a16:creationId xmlns:a16="http://schemas.microsoft.com/office/drawing/2014/main" id="{A4031C8B-CF42-4A0D-B8A2-04EFD97C08FF}"/>
            </a:ext>
          </a:extLst>
        </xdr:cNvPr>
        <xdr:cNvSpPr/>
      </xdr:nvSpPr>
      <xdr:spPr>
        <a:xfrm>
          <a:off x="4090026" y="14587856"/>
          <a:ext cx="192405" cy="111548"/>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22852</xdr:colOff>
      <xdr:row>98</xdr:row>
      <xdr:rowOff>5716</xdr:rowOff>
    </xdr:from>
    <xdr:to>
      <xdr:col>10</xdr:col>
      <xdr:colOff>213352</xdr:colOff>
      <xdr:row>98</xdr:row>
      <xdr:rowOff>117264</xdr:rowOff>
    </xdr:to>
    <xdr:sp macro="" textlink="">
      <xdr:nvSpPr>
        <xdr:cNvPr id="67" name="フローチャート : 判断 29">
          <a:extLst>
            <a:ext uri="{FF2B5EF4-FFF2-40B4-BE49-F238E27FC236}">
              <a16:creationId xmlns:a16="http://schemas.microsoft.com/office/drawing/2014/main" id="{F6691502-3182-46C8-8F9E-7D1E1395E5B8}"/>
            </a:ext>
          </a:extLst>
        </xdr:cNvPr>
        <xdr:cNvSpPr/>
      </xdr:nvSpPr>
      <xdr:spPr>
        <a:xfrm>
          <a:off x="4852027" y="15417166"/>
          <a:ext cx="190500" cy="111548"/>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5706</xdr:colOff>
      <xdr:row>92</xdr:row>
      <xdr:rowOff>89430</xdr:rowOff>
    </xdr:from>
    <xdr:to>
      <xdr:col>10</xdr:col>
      <xdr:colOff>26459</xdr:colOff>
      <xdr:row>105</xdr:row>
      <xdr:rowOff>90486</xdr:rowOff>
    </xdr:to>
    <xdr:cxnSp macro="">
      <xdr:nvCxnSpPr>
        <xdr:cNvPr id="68" name="カギ線コネクタ 37">
          <a:extLst>
            <a:ext uri="{FF2B5EF4-FFF2-40B4-BE49-F238E27FC236}">
              <a16:creationId xmlns:a16="http://schemas.microsoft.com/office/drawing/2014/main" id="{5A0E7060-FA0E-4F59-A5D8-FE903459D2E3}"/>
            </a:ext>
          </a:extLst>
        </xdr:cNvPr>
        <xdr:cNvCxnSpPr>
          <a:stCxn id="66" idx="3"/>
          <a:endCxn id="70" idx="1"/>
        </xdr:cNvCxnSpPr>
      </xdr:nvCxnSpPr>
      <xdr:spPr>
        <a:xfrm>
          <a:off x="4282431" y="14643630"/>
          <a:ext cx="573203" cy="1877481"/>
        </a:xfrm>
        <a:prstGeom prst="bentConnector3">
          <a:avLst>
            <a:gd name="adj1" fmla="val 50000"/>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10583</xdr:colOff>
      <xdr:row>104</xdr:row>
      <xdr:rowOff>41274</xdr:rowOff>
    </xdr:from>
    <xdr:to>
      <xdr:col>10</xdr:col>
      <xdr:colOff>201083</xdr:colOff>
      <xdr:row>104</xdr:row>
      <xdr:rowOff>147107</xdr:rowOff>
    </xdr:to>
    <xdr:sp macro="" textlink="">
      <xdr:nvSpPr>
        <xdr:cNvPr id="69" name="フローチャート : 判断 27">
          <a:extLst>
            <a:ext uri="{FF2B5EF4-FFF2-40B4-BE49-F238E27FC236}">
              <a16:creationId xmlns:a16="http://schemas.microsoft.com/office/drawing/2014/main" id="{848082E5-79DC-48BC-9683-ACD4B66F0D6C}"/>
            </a:ext>
          </a:extLst>
        </xdr:cNvPr>
        <xdr:cNvSpPr/>
      </xdr:nvSpPr>
      <xdr:spPr>
        <a:xfrm>
          <a:off x="4839758" y="16329024"/>
          <a:ext cx="190500" cy="105833"/>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26459</xdr:colOff>
      <xdr:row>105</xdr:row>
      <xdr:rowOff>42332</xdr:rowOff>
    </xdr:from>
    <xdr:to>
      <xdr:col>10</xdr:col>
      <xdr:colOff>216959</xdr:colOff>
      <xdr:row>105</xdr:row>
      <xdr:rowOff>138640</xdr:rowOff>
    </xdr:to>
    <xdr:sp macro="" textlink="">
      <xdr:nvSpPr>
        <xdr:cNvPr id="70" name="フローチャート : 判断 32">
          <a:extLst>
            <a:ext uri="{FF2B5EF4-FFF2-40B4-BE49-F238E27FC236}">
              <a16:creationId xmlns:a16="http://schemas.microsoft.com/office/drawing/2014/main" id="{CC1E6D49-398A-45E1-87DF-1A764D42EB9E}"/>
            </a:ext>
          </a:extLst>
        </xdr:cNvPr>
        <xdr:cNvSpPr/>
      </xdr:nvSpPr>
      <xdr:spPr>
        <a:xfrm>
          <a:off x="4855634" y="16472957"/>
          <a:ext cx="190500" cy="96308"/>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295906</xdr:colOff>
      <xdr:row>103</xdr:row>
      <xdr:rowOff>50377</xdr:rowOff>
    </xdr:from>
    <xdr:to>
      <xdr:col>16</xdr:col>
      <xdr:colOff>3806</xdr:colOff>
      <xdr:row>103</xdr:row>
      <xdr:rowOff>150495</xdr:rowOff>
    </xdr:to>
    <xdr:sp macro="" textlink="">
      <xdr:nvSpPr>
        <xdr:cNvPr id="71" name="フローチャート : 判断 9">
          <a:extLst>
            <a:ext uri="{FF2B5EF4-FFF2-40B4-BE49-F238E27FC236}">
              <a16:creationId xmlns:a16="http://schemas.microsoft.com/office/drawing/2014/main" id="{D6D5CF8E-9F20-4F6F-90E3-4C7D42407B42}"/>
            </a:ext>
          </a:extLst>
        </xdr:cNvPr>
        <xdr:cNvSpPr/>
      </xdr:nvSpPr>
      <xdr:spPr>
        <a:xfrm>
          <a:off x="8382631" y="16195252"/>
          <a:ext cx="184150" cy="90593"/>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10577</xdr:colOff>
      <xdr:row>88</xdr:row>
      <xdr:rowOff>74084</xdr:rowOff>
    </xdr:from>
    <xdr:to>
      <xdr:col>10</xdr:col>
      <xdr:colOff>10583</xdr:colOff>
      <xdr:row>104</xdr:row>
      <xdr:rowOff>94191</xdr:rowOff>
    </xdr:to>
    <xdr:cxnSp macro="">
      <xdr:nvCxnSpPr>
        <xdr:cNvPr id="72" name="カギ線コネクタ 26">
          <a:extLst>
            <a:ext uri="{FF2B5EF4-FFF2-40B4-BE49-F238E27FC236}">
              <a16:creationId xmlns:a16="http://schemas.microsoft.com/office/drawing/2014/main" id="{AE9EC0F8-D0A0-4C28-B1FB-E7C3CF184283}"/>
            </a:ext>
          </a:extLst>
        </xdr:cNvPr>
        <xdr:cNvCxnSpPr>
          <a:stCxn id="65" idx="3"/>
          <a:endCxn id="69" idx="1"/>
        </xdr:cNvCxnSpPr>
      </xdr:nvCxnSpPr>
      <xdr:spPr>
        <a:xfrm>
          <a:off x="4287302" y="14056784"/>
          <a:ext cx="552456" cy="2325157"/>
        </a:xfrm>
        <a:prstGeom prst="bentConnector3">
          <a:avLst>
            <a:gd name="adj1" fmla="val 71739"/>
          </a:avLst>
        </a:prstGeom>
        <a:ln>
          <a:solidFill>
            <a:srgbClr val="FF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5706</xdr:colOff>
      <xdr:row>92</xdr:row>
      <xdr:rowOff>89430</xdr:rowOff>
    </xdr:from>
    <xdr:to>
      <xdr:col>10</xdr:col>
      <xdr:colOff>22852</xdr:colOff>
      <xdr:row>98</xdr:row>
      <xdr:rowOff>61490</xdr:rowOff>
    </xdr:to>
    <xdr:cxnSp macro="">
      <xdr:nvCxnSpPr>
        <xdr:cNvPr id="73" name="カギ線コネクタ 37">
          <a:extLst>
            <a:ext uri="{FF2B5EF4-FFF2-40B4-BE49-F238E27FC236}">
              <a16:creationId xmlns:a16="http://schemas.microsoft.com/office/drawing/2014/main" id="{1EFC7496-975F-42A4-AA9B-C3CB5F6378D8}"/>
            </a:ext>
          </a:extLst>
        </xdr:cNvPr>
        <xdr:cNvCxnSpPr>
          <a:stCxn id="66" idx="3"/>
          <a:endCxn id="67" idx="1"/>
        </xdr:cNvCxnSpPr>
      </xdr:nvCxnSpPr>
      <xdr:spPr>
        <a:xfrm>
          <a:off x="4282431" y="14643630"/>
          <a:ext cx="569596" cy="829310"/>
        </a:xfrm>
        <a:prstGeom prst="bentConnector3">
          <a:avLst>
            <a:gd name="adj1" fmla="val 50000"/>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16</xdr:col>
      <xdr:colOff>9525</xdr:colOff>
      <xdr:row>13</xdr:row>
      <xdr:rowOff>76200</xdr:rowOff>
    </xdr:from>
    <xdr:to>
      <xdr:col>18</xdr:col>
      <xdr:colOff>11906</xdr:colOff>
      <xdr:row>13</xdr:row>
      <xdr:rowOff>76200</xdr:rowOff>
    </xdr:to>
    <xdr:sp macro="" textlink="">
      <xdr:nvSpPr>
        <xdr:cNvPr id="2" name="Line 11">
          <a:extLst>
            <a:ext uri="{FF2B5EF4-FFF2-40B4-BE49-F238E27FC236}">
              <a16:creationId xmlns:a16="http://schemas.microsoft.com/office/drawing/2014/main" id="{D0051390-EB17-44ED-9A3A-A85CDEFE13F2}"/>
            </a:ext>
          </a:extLst>
        </xdr:cNvPr>
        <xdr:cNvSpPr>
          <a:spLocks noChangeShapeType="1"/>
        </xdr:cNvSpPr>
      </xdr:nvSpPr>
      <xdr:spPr bwMode="auto">
        <a:xfrm>
          <a:off x="9258300" y="2049780"/>
          <a:ext cx="558641" cy="0"/>
        </a:xfrm>
        <a:prstGeom prst="line">
          <a:avLst/>
        </a:prstGeom>
        <a:noFill/>
        <a:ln w="9525">
          <a:solidFill>
            <a:srgbClr val="FF0000"/>
          </a:solidFill>
          <a:prstDash val="dash"/>
          <a:round/>
          <a:headEnd/>
          <a:tailEnd/>
        </a:ln>
        <a:extLst>
          <a:ext uri="{909E8E84-426E-40DD-AFC4-6F175D3DCCD1}">
            <a14:hiddenFill xmlns:a14="http://schemas.microsoft.com/office/drawing/2010/main">
              <a:noFill/>
            </a14:hiddenFill>
          </a:ext>
        </a:extLst>
      </xdr:spPr>
    </xdr:sp>
    <xdr:clientData/>
  </xdr:twoCellAnchor>
  <xdr:twoCellAnchor>
    <xdr:from>
      <xdr:col>15</xdr:col>
      <xdr:colOff>1216026</xdr:colOff>
      <xdr:row>14</xdr:row>
      <xdr:rowOff>76200</xdr:rowOff>
    </xdr:from>
    <xdr:to>
      <xdr:col>18</xdr:col>
      <xdr:colOff>1323</xdr:colOff>
      <xdr:row>14</xdr:row>
      <xdr:rowOff>76200</xdr:rowOff>
    </xdr:to>
    <xdr:sp macro="" textlink="">
      <xdr:nvSpPr>
        <xdr:cNvPr id="3" name="Line 11">
          <a:extLst>
            <a:ext uri="{FF2B5EF4-FFF2-40B4-BE49-F238E27FC236}">
              <a16:creationId xmlns:a16="http://schemas.microsoft.com/office/drawing/2014/main" id="{0A6A83D7-B1F5-43C5-950B-B0F22D6D1DC3}"/>
            </a:ext>
          </a:extLst>
        </xdr:cNvPr>
        <xdr:cNvSpPr>
          <a:spLocks noChangeShapeType="1"/>
        </xdr:cNvSpPr>
      </xdr:nvSpPr>
      <xdr:spPr bwMode="auto">
        <a:xfrm>
          <a:off x="9247506" y="2194560"/>
          <a:ext cx="560757" cy="0"/>
        </a:xfrm>
        <a:prstGeom prst="line">
          <a:avLst/>
        </a:prstGeom>
        <a:noFill/>
        <a:ln w="9525">
          <a:solidFill>
            <a:srgbClr val="0000FF"/>
          </a:solidFill>
          <a:prstDash val="sysDash"/>
          <a:round/>
          <a:headEnd/>
          <a:tailEnd/>
        </a:ln>
        <a:extLst>
          <a:ext uri="{909E8E84-426E-40DD-AFC4-6F175D3DCCD1}">
            <a14:hiddenFill xmlns:a14="http://schemas.microsoft.com/office/drawing/2010/main">
              <a:noFill/>
            </a14:hiddenFill>
          </a:ext>
        </a:extLst>
      </xdr:spPr>
    </xdr:sp>
    <xdr:clientData/>
  </xdr:twoCellAnchor>
  <xdr:twoCellAnchor>
    <xdr:from>
      <xdr:col>23</xdr:col>
      <xdr:colOff>518555</xdr:colOff>
      <xdr:row>13</xdr:row>
      <xdr:rowOff>63501</xdr:rowOff>
    </xdr:from>
    <xdr:to>
      <xdr:col>26</xdr:col>
      <xdr:colOff>21154</xdr:colOff>
      <xdr:row>48</xdr:row>
      <xdr:rowOff>69320</xdr:rowOff>
    </xdr:to>
    <xdr:cxnSp macro="">
      <xdr:nvCxnSpPr>
        <xdr:cNvPr id="4" name="カギ線コネクタ 4">
          <a:extLst>
            <a:ext uri="{FF2B5EF4-FFF2-40B4-BE49-F238E27FC236}">
              <a16:creationId xmlns:a16="http://schemas.microsoft.com/office/drawing/2014/main" id="{C3D19F14-533F-4AE6-BE80-AB783A852868}"/>
            </a:ext>
          </a:extLst>
        </xdr:cNvPr>
        <xdr:cNvCxnSpPr>
          <a:stCxn id="31" idx="3"/>
          <a:endCxn id="40" idx="1"/>
        </xdr:cNvCxnSpPr>
      </xdr:nvCxnSpPr>
      <xdr:spPr>
        <a:xfrm>
          <a:off x="13491605" y="2038986"/>
          <a:ext cx="577019" cy="5187419"/>
        </a:xfrm>
        <a:prstGeom prst="bentConnector3">
          <a:avLst>
            <a:gd name="adj1" fmla="val 74073"/>
          </a:avLst>
        </a:prstGeom>
        <a:ln>
          <a:solidFill>
            <a:srgbClr val="FF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1015973</xdr:colOff>
      <xdr:row>13</xdr:row>
      <xdr:rowOff>21166</xdr:rowOff>
    </xdr:from>
    <xdr:to>
      <xdr:col>15</xdr:col>
      <xdr:colOff>1206473</xdr:colOff>
      <xdr:row>13</xdr:row>
      <xdr:rowOff>126999</xdr:rowOff>
    </xdr:to>
    <xdr:sp macro="" textlink="">
      <xdr:nvSpPr>
        <xdr:cNvPr id="5" name="フローチャート : 判断 8">
          <a:extLst>
            <a:ext uri="{FF2B5EF4-FFF2-40B4-BE49-F238E27FC236}">
              <a16:creationId xmlns:a16="http://schemas.microsoft.com/office/drawing/2014/main" id="{D99FE2C9-E674-44C0-9652-A7990C83E72B}"/>
            </a:ext>
          </a:extLst>
        </xdr:cNvPr>
        <xdr:cNvSpPr/>
      </xdr:nvSpPr>
      <xdr:spPr>
        <a:xfrm>
          <a:off x="9247478" y="1998556"/>
          <a:ext cx="0" cy="100118"/>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1037139</xdr:colOff>
      <xdr:row>14</xdr:row>
      <xdr:rowOff>21167</xdr:rowOff>
    </xdr:from>
    <xdr:to>
      <xdr:col>16</xdr:col>
      <xdr:colOff>10555</xdr:colOff>
      <xdr:row>14</xdr:row>
      <xdr:rowOff>127000</xdr:rowOff>
    </xdr:to>
    <xdr:sp macro="" textlink="">
      <xdr:nvSpPr>
        <xdr:cNvPr id="6" name="フローチャート : 判断 9">
          <a:extLst>
            <a:ext uri="{FF2B5EF4-FFF2-40B4-BE49-F238E27FC236}">
              <a16:creationId xmlns:a16="http://schemas.microsoft.com/office/drawing/2014/main" id="{938C616E-BF71-4281-9286-8BECB956F248}"/>
            </a:ext>
          </a:extLst>
        </xdr:cNvPr>
        <xdr:cNvSpPr/>
      </xdr:nvSpPr>
      <xdr:spPr>
        <a:xfrm>
          <a:off x="9249594" y="2143337"/>
          <a:ext cx="9736" cy="100118"/>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1206473</xdr:colOff>
      <xdr:row>13</xdr:row>
      <xdr:rowOff>74083</xdr:rowOff>
    </xdr:from>
    <xdr:to>
      <xdr:col>18</xdr:col>
      <xdr:colOff>10554</xdr:colOff>
      <xdr:row>30</xdr:row>
      <xdr:rowOff>79902</xdr:rowOff>
    </xdr:to>
    <xdr:cxnSp macro="">
      <xdr:nvCxnSpPr>
        <xdr:cNvPr id="7" name="カギ線コネクタ 12">
          <a:extLst>
            <a:ext uri="{FF2B5EF4-FFF2-40B4-BE49-F238E27FC236}">
              <a16:creationId xmlns:a16="http://schemas.microsoft.com/office/drawing/2014/main" id="{89453F93-516D-4768-A611-1D277B9160AE}"/>
            </a:ext>
          </a:extLst>
        </xdr:cNvPr>
        <xdr:cNvCxnSpPr>
          <a:stCxn id="5" idx="3"/>
          <a:endCxn id="17" idx="1"/>
        </xdr:cNvCxnSpPr>
      </xdr:nvCxnSpPr>
      <xdr:spPr>
        <a:xfrm>
          <a:off x="9247478" y="2047663"/>
          <a:ext cx="568111" cy="2505179"/>
        </a:xfrm>
        <a:prstGeom prst="bentConnector3">
          <a:avLst>
            <a:gd name="adj1" fmla="val 50000"/>
          </a:avLst>
        </a:prstGeom>
        <a:ln>
          <a:solidFill>
            <a:srgbClr val="FF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1206473</xdr:colOff>
      <xdr:row>13</xdr:row>
      <xdr:rowOff>74083</xdr:rowOff>
    </xdr:from>
    <xdr:to>
      <xdr:col>18</xdr:col>
      <xdr:colOff>10554</xdr:colOff>
      <xdr:row>48</xdr:row>
      <xdr:rowOff>75140</xdr:rowOff>
    </xdr:to>
    <xdr:cxnSp macro="">
      <xdr:nvCxnSpPr>
        <xdr:cNvPr id="8" name="カギ線コネクタ 13">
          <a:extLst>
            <a:ext uri="{FF2B5EF4-FFF2-40B4-BE49-F238E27FC236}">
              <a16:creationId xmlns:a16="http://schemas.microsoft.com/office/drawing/2014/main" id="{8AC88FC5-F173-4070-9DFE-726278FC40CB}"/>
            </a:ext>
          </a:extLst>
        </xdr:cNvPr>
        <xdr:cNvCxnSpPr>
          <a:stCxn id="5" idx="3"/>
          <a:endCxn id="18" idx="1"/>
        </xdr:cNvCxnSpPr>
      </xdr:nvCxnSpPr>
      <xdr:spPr>
        <a:xfrm>
          <a:off x="9247478" y="2047663"/>
          <a:ext cx="568111" cy="5182657"/>
        </a:xfrm>
        <a:prstGeom prst="bentConnector3">
          <a:avLst>
            <a:gd name="adj1" fmla="val 50000"/>
          </a:avLst>
        </a:prstGeom>
        <a:ln>
          <a:solidFill>
            <a:srgbClr val="FF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518555</xdr:colOff>
      <xdr:row>15</xdr:row>
      <xdr:rowOff>63501</xdr:rowOff>
    </xdr:from>
    <xdr:to>
      <xdr:col>26</xdr:col>
      <xdr:colOff>21154</xdr:colOff>
      <xdr:row>47</xdr:row>
      <xdr:rowOff>79903</xdr:rowOff>
    </xdr:to>
    <xdr:cxnSp macro="">
      <xdr:nvCxnSpPr>
        <xdr:cNvPr id="9" name="カギ線コネクタ 30">
          <a:extLst>
            <a:ext uri="{FF2B5EF4-FFF2-40B4-BE49-F238E27FC236}">
              <a16:creationId xmlns:a16="http://schemas.microsoft.com/office/drawing/2014/main" id="{002D3F01-B556-47F4-BD6E-7F126FADF1E5}"/>
            </a:ext>
          </a:extLst>
        </xdr:cNvPr>
        <xdr:cNvCxnSpPr>
          <a:stCxn id="32" idx="3"/>
          <a:endCxn id="41" idx="1"/>
        </xdr:cNvCxnSpPr>
      </xdr:nvCxnSpPr>
      <xdr:spPr>
        <a:xfrm>
          <a:off x="13491605" y="2328546"/>
          <a:ext cx="577019" cy="4761757"/>
        </a:xfrm>
        <a:prstGeom prst="bentConnector3">
          <a:avLst>
            <a:gd name="adj1" fmla="val 50000"/>
          </a:avLst>
        </a:prstGeom>
        <a:ln>
          <a:solidFill>
            <a:srgbClr val="0000FF"/>
          </a:solidFill>
          <a:prstDash val="sys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1015973</xdr:colOff>
      <xdr:row>31</xdr:row>
      <xdr:rowOff>21166</xdr:rowOff>
    </xdr:from>
    <xdr:to>
      <xdr:col>15</xdr:col>
      <xdr:colOff>1206473</xdr:colOff>
      <xdr:row>31</xdr:row>
      <xdr:rowOff>126999</xdr:rowOff>
    </xdr:to>
    <xdr:sp macro="" textlink="">
      <xdr:nvSpPr>
        <xdr:cNvPr id="10" name="フローチャート : 判断 42">
          <a:extLst>
            <a:ext uri="{FF2B5EF4-FFF2-40B4-BE49-F238E27FC236}">
              <a16:creationId xmlns:a16="http://schemas.microsoft.com/office/drawing/2014/main" id="{2CFF3F43-C5DA-4681-85F7-2E9CF4CFFD42}"/>
            </a:ext>
          </a:extLst>
        </xdr:cNvPr>
        <xdr:cNvSpPr/>
      </xdr:nvSpPr>
      <xdr:spPr>
        <a:xfrm>
          <a:off x="9247478" y="4642696"/>
          <a:ext cx="0" cy="100118"/>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1015973</xdr:colOff>
      <xdr:row>48</xdr:row>
      <xdr:rowOff>21166</xdr:rowOff>
    </xdr:from>
    <xdr:to>
      <xdr:col>15</xdr:col>
      <xdr:colOff>1206473</xdr:colOff>
      <xdr:row>48</xdr:row>
      <xdr:rowOff>126999</xdr:rowOff>
    </xdr:to>
    <xdr:sp macro="" textlink="">
      <xdr:nvSpPr>
        <xdr:cNvPr id="11" name="フローチャート : 判断 50">
          <a:extLst>
            <a:ext uri="{FF2B5EF4-FFF2-40B4-BE49-F238E27FC236}">
              <a16:creationId xmlns:a16="http://schemas.microsoft.com/office/drawing/2014/main" id="{ED9F1DD5-555E-40DE-950C-8086E2C120B3}"/>
            </a:ext>
          </a:extLst>
        </xdr:cNvPr>
        <xdr:cNvSpPr/>
      </xdr:nvSpPr>
      <xdr:spPr>
        <a:xfrm>
          <a:off x="9247478" y="7180156"/>
          <a:ext cx="0" cy="100118"/>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1037139</xdr:colOff>
      <xdr:row>49</xdr:row>
      <xdr:rowOff>21167</xdr:rowOff>
    </xdr:from>
    <xdr:to>
      <xdr:col>16</xdr:col>
      <xdr:colOff>10555</xdr:colOff>
      <xdr:row>49</xdr:row>
      <xdr:rowOff>127000</xdr:rowOff>
    </xdr:to>
    <xdr:sp macro="" textlink="">
      <xdr:nvSpPr>
        <xdr:cNvPr id="12" name="フローチャート : 判断 51">
          <a:extLst>
            <a:ext uri="{FF2B5EF4-FFF2-40B4-BE49-F238E27FC236}">
              <a16:creationId xmlns:a16="http://schemas.microsoft.com/office/drawing/2014/main" id="{B2362D5A-551A-4E9F-AA69-CBB93F7954E2}"/>
            </a:ext>
          </a:extLst>
        </xdr:cNvPr>
        <xdr:cNvSpPr/>
      </xdr:nvSpPr>
      <xdr:spPr>
        <a:xfrm>
          <a:off x="9249594" y="7324937"/>
          <a:ext cx="9736" cy="100118"/>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10582</xdr:colOff>
      <xdr:row>48</xdr:row>
      <xdr:rowOff>21168</xdr:rowOff>
    </xdr:from>
    <xdr:to>
      <xdr:col>10</xdr:col>
      <xdr:colOff>201076</xdr:colOff>
      <xdr:row>48</xdr:row>
      <xdr:rowOff>137585</xdr:rowOff>
    </xdr:to>
    <xdr:sp macro="" textlink="">
      <xdr:nvSpPr>
        <xdr:cNvPr id="13" name="フローチャート : 判断 71">
          <a:extLst>
            <a:ext uri="{FF2B5EF4-FFF2-40B4-BE49-F238E27FC236}">
              <a16:creationId xmlns:a16="http://schemas.microsoft.com/office/drawing/2014/main" id="{F131F4AA-E0A5-4259-BB6B-595F84788C88}"/>
            </a:ext>
          </a:extLst>
        </xdr:cNvPr>
        <xdr:cNvSpPr/>
      </xdr:nvSpPr>
      <xdr:spPr>
        <a:xfrm>
          <a:off x="5258857" y="7180158"/>
          <a:ext cx="190494" cy="116417"/>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1015973</xdr:colOff>
      <xdr:row>30</xdr:row>
      <xdr:rowOff>21166</xdr:rowOff>
    </xdr:from>
    <xdr:to>
      <xdr:col>15</xdr:col>
      <xdr:colOff>1206473</xdr:colOff>
      <xdr:row>30</xdr:row>
      <xdr:rowOff>126999</xdr:rowOff>
    </xdr:to>
    <xdr:sp macro="" textlink="">
      <xdr:nvSpPr>
        <xdr:cNvPr id="14" name="フローチャート : 判断 76">
          <a:extLst>
            <a:ext uri="{FF2B5EF4-FFF2-40B4-BE49-F238E27FC236}">
              <a16:creationId xmlns:a16="http://schemas.microsoft.com/office/drawing/2014/main" id="{06643443-4596-4124-A68D-37D9F7BE3486}"/>
            </a:ext>
          </a:extLst>
        </xdr:cNvPr>
        <xdr:cNvSpPr/>
      </xdr:nvSpPr>
      <xdr:spPr>
        <a:xfrm>
          <a:off x="9247478" y="4497916"/>
          <a:ext cx="0" cy="100118"/>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10583</xdr:colOff>
      <xdr:row>30</xdr:row>
      <xdr:rowOff>10584</xdr:rowOff>
    </xdr:from>
    <xdr:to>
      <xdr:col>10</xdr:col>
      <xdr:colOff>201077</xdr:colOff>
      <xdr:row>30</xdr:row>
      <xdr:rowOff>127001</xdr:rowOff>
    </xdr:to>
    <xdr:sp macro="" textlink="">
      <xdr:nvSpPr>
        <xdr:cNvPr id="15" name="フローチャート : 判断 78">
          <a:extLst>
            <a:ext uri="{FF2B5EF4-FFF2-40B4-BE49-F238E27FC236}">
              <a16:creationId xmlns:a16="http://schemas.microsoft.com/office/drawing/2014/main" id="{7B5554C2-96ED-439B-9A76-D22CA9EEAFB0}"/>
            </a:ext>
          </a:extLst>
        </xdr:cNvPr>
        <xdr:cNvSpPr/>
      </xdr:nvSpPr>
      <xdr:spPr>
        <a:xfrm>
          <a:off x="5258858" y="4481619"/>
          <a:ext cx="190494" cy="116417"/>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275154</xdr:colOff>
      <xdr:row>53</xdr:row>
      <xdr:rowOff>31748</xdr:rowOff>
    </xdr:from>
    <xdr:to>
      <xdr:col>23</xdr:col>
      <xdr:colOff>465654</xdr:colOff>
      <xdr:row>53</xdr:row>
      <xdr:rowOff>128056</xdr:rowOff>
    </xdr:to>
    <xdr:sp macro="" textlink="">
      <xdr:nvSpPr>
        <xdr:cNvPr id="16" name="フローチャート : 判断 81">
          <a:extLst>
            <a:ext uri="{FF2B5EF4-FFF2-40B4-BE49-F238E27FC236}">
              <a16:creationId xmlns:a16="http://schemas.microsoft.com/office/drawing/2014/main" id="{FDD33B84-8427-4964-8787-B6E6221B57E1}"/>
            </a:ext>
          </a:extLst>
        </xdr:cNvPr>
        <xdr:cNvSpPr/>
      </xdr:nvSpPr>
      <xdr:spPr>
        <a:xfrm>
          <a:off x="13242489" y="8034653"/>
          <a:ext cx="190500" cy="92498"/>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18</xdr:col>
      <xdr:colOff>10554</xdr:colOff>
      <xdr:row>30</xdr:row>
      <xdr:rowOff>22223</xdr:rowOff>
    </xdr:from>
    <xdr:to>
      <xdr:col>18</xdr:col>
      <xdr:colOff>201054</xdr:colOff>
      <xdr:row>30</xdr:row>
      <xdr:rowOff>137581</xdr:rowOff>
    </xdr:to>
    <xdr:sp macro="" textlink="">
      <xdr:nvSpPr>
        <xdr:cNvPr id="17" name="フローチャート : 判断 85">
          <a:extLst>
            <a:ext uri="{FF2B5EF4-FFF2-40B4-BE49-F238E27FC236}">
              <a16:creationId xmlns:a16="http://schemas.microsoft.com/office/drawing/2014/main" id="{D571D798-F4B7-49C4-BE63-0C9074DB4414}"/>
            </a:ext>
          </a:extLst>
        </xdr:cNvPr>
        <xdr:cNvSpPr/>
      </xdr:nvSpPr>
      <xdr:spPr>
        <a:xfrm>
          <a:off x="9815589" y="4498973"/>
          <a:ext cx="190500" cy="115358"/>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18</xdr:col>
      <xdr:colOff>10554</xdr:colOff>
      <xdr:row>48</xdr:row>
      <xdr:rowOff>22223</xdr:rowOff>
    </xdr:from>
    <xdr:to>
      <xdr:col>18</xdr:col>
      <xdr:colOff>201054</xdr:colOff>
      <xdr:row>48</xdr:row>
      <xdr:rowOff>128056</xdr:rowOff>
    </xdr:to>
    <xdr:sp macro="" textlink="">
      <xdr:nvSpPr>
        <xdr:cNvPr id="18" name="フローチャート : 判断 86">
          <a:extLst>
            <a:ext uri="{FF2B5EF4-FFF2-40B4-BE49-F238E27FC236}">
              <a16:creationId xmlns:a16="http://schemas.microsoft.com/office/drawing/2014/main" id="{73CD0184-52D2-4CD7-B6D4-4C839B1F0609}"/>
            </a:ext>
          </a:extLst>
        </xdr:cNvPr>
        <xdr:cNvSpPr/>
      </xdr:nvSpPr>
      <xdr:spPr>
        <a:xfrm>
          <a:off x="9815589" y="7181213"/>
          <a:ext cx="190500" cy="100118"/>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17</xdr:col>
      <xdr:colOff>105803</xdr:colOff>
      <xdr:row>49</xdr:row>
      <xdr:rowOff>53973</xdr:rowOff>
    </xdr:from>
    <xdr:to>
      <xdr:col>18</xdr:col>
      <xdr:colOff>190470</xdr:colOff>
      <xdr:row>49</xdr:row>
      <xdr:rowOff>159806</xdr:rowOff>
    </xdr:to>
    <xdr:sp macro="" textlink="">
      <xdr:nvSpPr>
        <xdr:cNvPr id="19" name="フローチャート : 判断 87">
          <a:extLst>
            <a:ext uri="{FF2B5EF4-FFF2-40B4-BE49-F238E27FC236}">
              <a16:creationId xmlns:a16="http://schemas.microsoft.com/office/drawing/2014/main" id="{1C625AFA-D2A5-4994-B667-A9E898E8C57F}"/>
            </a:ext>
          </a:extLst>
        </xdr:cNvPr>
        <xdr:cNvSpPr/>
      </xdr:nvSpPr>
      <xdr:spPr>
        <a:xfrm>
          <a:off x="9807968" y="7357743"/>
          <a:ext cx="189442" cy="100118"/>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18</xdr:col>
      <xdr:colOff>10553</xdr:colOff>
      <xdr:row>39</xdr:row>
      <xdr:rowOff>32808</xdr:rowOff>
    </xdr:from>
    <xdr:to>
      <xdr:col>18</xdr:col>
      <xdr:colOff>201053</xdr:colOff>
      <xdr:row>39</xdr:row>
      <xdr:rowOff>148166</xdr:rowOff>
    </xdr:to>
    <xdr:sp macro="" textlink="">
      <xdr:nvSpPr>
        <xdr:cNvPr id="20" name="フローチャート : 判断 89">
          <a:extLst>
            <a:ext uri="{FF2B5EF4-FFF2-40B4-BE49-F238E27FC236}">
              <a16:creationId xmlns:a16="http://schemas.microsoft.com/office/drawing/2014/main" id="{6D049E3A-9F15-4766-BC46-04A52C85CFBD}"/>
            </a:ext>
          </a:extLst>
        </xdr:cNvPr>
        <xdr:cNvSpPr/>
      </xdr:nvSpPr>
      <xdr:spPr>
        <a:xfrm>
          <a:off x="9815588" y="5886873"/>
          <a:ext cx="190500" cy="105833"/>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18</xdr:col>
      <xdr:colOff>10552</xdr:colOff>
      <xdr:row>40</xdr:row>
      <xdr:rowOff>53974</xdr:rowOff>
    </xdr:from>
    <xdr:to>
      <xdr:col>18</xdr:col>
      <xdr:colOff>201052</xdr:colOff>
      <xdr:row>41</xdr:row>
      <xdr:rowOff>21165</xdr:rowOff>
    </xdr:to>
    <xdr:sp macro="" textlink="">
      <xdr:nvSpPr>
        <xdr:cNvPr id="21" name="フローチャート : 判断 90">
          <a:extLst>
            <a:ext uri="{FF2B5EF4-FFF2-40B4-BE49-F238E27FC236}">
              <a16:creationId xmlns:a16="http://schemas.microsoft.com/office/drawing/2014/main" id="{859A9BD4-A22F-4124-AFA1-A487FF20910A}"/>
            </a:ext>
          </a:extLst>
        </xdr:cNvPr>
        <xdr:cNvSpPr/>
      </xdr:nvSpPr>
      <xdr:spPr>
        <a:xfrm>
          <a:off x="9815587" y="6054724"/>
          <a:ext cx="190500" cy="111971"/>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1206473</xdr:colOff>
      <xdr:row>13</xdr:row>
      <xdr:rowOff>74083</xdr:rowOff>
    </xdr:from>
    <xdr:to>
      <xdr:col>18</xdr:col>
      <xdr:colOff>10553</xdr:colOff>
      <xdr:row>39</xdr:row>
      <xdr:rowOff>85725</xdr:rowOff>
    </xdr:to>
    <xdr:cxnSp macro="">
      <xdr:nvCxnSpPr>
        <xdr:cNvPr id="22" name="カギ線コネクタ 92">
          <a:extLst>
            <a:ext uri="{FF2B5EF4-FFF2-40B4-BE49-F238E27FC236}">
              <a16:creationId xmlns:a16="http://schemas.microsoft.com/office/drawing/2014/main" id="{4BDBF8EA-7F9C-45F2-8C52-6A1A3E9FF332}"/>
            </a:ext>
          </a:extLst>
        </xdr:cNvPr>
        <xdr:cNvCxnSpPr>
          <a:stCxn id="5" idx="3"/>
          <a:endCxn id="20" idx="1"/>
        </xdr:cNvCxnSpPr>
      </xdr:nvCxnSpPr>
      <xdr:spPr>
        <a:xfrm>
          <a:off x="9247478" y="2047663"/>
          <a:ext cx="568110" cy="3888317"/>
        </a:xfrm>
        <a:prstGeom prst="bentConnector3">
          <a:avLst>
            <a:gd name="adj1" fmla="val 50000"/>
          </a:avLst>
        </a:prstGeom>
        <a:ln>
          <a:solidFill>
            <a:srgbClr val="FF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1216026</xdr:colOff>
      <xdr:row>31</xdr:row>
      <xdr:rowOff>76200</xdr:rowOff>
    </xdr:from>
    <xdr:to>
      <xdr:col>18</xdr:col>
      <xdr:colOff>1323</xdr:colOff>
      <xdr:row>31</xdr:row>
      <xdr:rowOff>76200</xdr:rowOff>
    </xdr:to>
    <xdr:sp macro="" textlink="">
      <xdr:nvSpPr>
        <xdr:cNvPr id="23" name="Line 11">
          <a:extLst>
            <a:ext uri="{FF2B5EF4-FFF2-40B4-BE49-F238E27FC236}">
              <a16:creationId xmlns:a16="http://schemas.microsoft.com/office/drawing/2014/main" id="{CD8E07B5-1C26-403B-ADB1-2FFC9D80AFD4}"/>
            </a:ext>
          </a:extLst>
        </xdr:cNvPr>
        <xdr:cNvSpPr>
          <a:spLocks noChangeShapeType="1"/>
        </xdr:cNvSpPr>
      </xdr:nvSpPr>
      <xdr:spPr bwMode="auto">
        <a:xfrm>
          <a:off x="9247506" y="4693920"/>
          <a:ext cx="560757" cy="0"/>
        </a:xfrm>
        <a:prstGeom prst="line">
          <a:avLst/>
        </a:prstGeom>
        <a:noFill/>
        <a:ln w="9525">
          <a:solidFill>
            <a:srgbClr val="0000FF"/>
          </a:solidFill>
          <a:prstDash val="sysDash"/>
          <a:round/>
          <a:headEnd/>
          <a:tailEnd/>
        </a:ln>
        <a:extLst>
          <a:ext uri="{909E8E84-426E-40DD-AFC4-6F175D3DCCD1}">
            <a14:hiddenFill xmlns:a14="http://schemas.microsoft.com/office/drawing/2010/main">
              <a:noFill/>
            </a14:hiddenFill>
          </a:ext>
        </a:extLst>
      </xdr:spPr>
    </xdr:sp>
    <xdr:clientData/>
  </xdr:twoCellAnchor>
  <xdr:twoCellAnchor>
    <xdr:from>
      <xdr:col>16</xdr:col>
      <xdr:colOff>9524</xdr:colOff>
      <xdr:row>49</xdr:row>
      <xdr:rowOff>86784</xdr:rowOff>
    </xdr:from>
    <xdr:to>
      <xdr:col>18</xdr:col>
      <xdr:colOff>11905</xdr:colOff>
      <xdr:row>49</xdr:row>
      <xdr:rowOff>86784</xdr:rowOff>
    </xdr:to>
    <xdr:sp macro="" textlink="">
      <xdr:nvSpPr>
        <xdr:cNvPr id="24" name="Line 11">
          <a:extLst>
            <a:ext uri="{FF2B5EF4-FFF2-40B4-BE49-F238E27FC236}">
              <a16:creationId xmlns:a16="http://schemas.microsoft.com/office/drawing/2014/main" id="{21F593BF-09EA-4A22-80A2-E4A6A0BC94D2}"/>
            </a:ext>
          </a:extLst>
        </xdr:cNvPr>
        <xdr:cNvSpPr>
          <a:spLocks noChangeShapeType="1"/>
        </xdr:cNvSpPr>
      </xdr:nvSpPr>
      <xdr:spPr bwMode="auto">
        <a:xfrm>
          <a:off x="9258299" y="7384839"/>
          <a:ext cx="558641" cy="0"/>
        </a:xfrm>
        <a:prstGeom prst="line">
          <a:avLst/>
        </a:prstGeom>
        <a:noFill/>
        <a:ln w="9525">
          <a:solidFill>
            <a:srgbClr val="0000FF"/>
          </a:solidFill>
          <a:prstDash val="sysDash"/>
          <a:round/>
          <a:headEnd/>
          <a:tailEnd/>
        </a:ln>
        <a:extLst>
          <a:ext uri="{909E8E84-426E-40DD-AFC4-6F175D3DCCD1}">
            <a14:hiddenFill xmlns:a14="http://schemas.microsoft.com/office/drawing/2010/main">
              <a:noFill/>
            </a14:hiddenFill>
          </a:ext>
        </a:extLst>
      </xdr:spPr>
    </xdr:sp>
    <xdr:clientData/>
  </xdr:twoCellAnchor>
  <xdr:twoCellAnchor>
    <xdr:from>
      <xdr:col>15</xdr:col>
      <xdr:colOff>1206473</xdr:colOff>
      <xdr:row>31</xdr:row>
      <xdr:rowOff>74083</xdr:rowOff>
    </xdr:from>
    <xdr:to>
      <xdr:col>18</xdr:col>
      <xdr:colOff>10552</xdr:colOff>
      <xdr:row>40</xdr:row>
      <xdr:rowOff>111653</xdr:rowOff>
    </xdr:to>
    <xdr:cxnSp macro="">
      <xdr:nvCxnSpPr>
        <xdr:cNvPr id="25" name="カギ線コネクタ 100">
          <a:extLst>
            <a:ext uri="{FF2B5EF4-FFF2-40B4-BE49-F238E27FC236}">
              <a16:creationId xmlns:a16="http://schemas.microsoft.com/office/drawing/2014/main" id="{DD100474-0D3E-475E-A7EB-5CFED5AC5573}"/>
            </a:ext>
          </a:extLst>
        </xdr:cNvPr>
        <xdr:cNvCxnSpPr>
          <a:stCxn id="10" idx="3"/>
          <a:endCxn id="21" idx="1"/>
        </xdr:cNvCxnSpPr>
      </xdr:nvCxnSpPr>
      <xdr:spPr>
        <a:xfrm>
          <a:off x="9247478" y="4691803"/>
          <a:ext cx="568109" cy="1416790"/>
        </a:xfrm>
        <a:prstGeom prst="bentConnector3">
          <a:avLst>
            <a:gd name="adj1" fmla="val 24074"/>
          </a:avLst>
        </a:prstGeom>
        <a:ln>
          <a:solidFill>
            <a:srgbClr val="0000FF"/>
          </a:solidFill>
          <a:prstDash val="sys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21154</xdr:colOff>
      <xdr:row>32</xdr:row>
      <xdr:rowOff>42332</xdr:rowOff>
    </xdr:from>
    <xdr:to>
      <xdr:col>26</xdr:col>
      <xdr:colOff>211654</xdr:colOff>
      <xdr:row>32</xdr:row>
      <xdr:rowOff>138640</xdr:rowOff>
    </xdr:to>
    <xdr:sp macro="" textlink="">
      <xdr:nvSpPr>
        <xdr:cNvPr id="26" name="フローチャート : 判断 107">
          <a:extLst>
            <a:ext uri="{FF2B5EF4-FFF2-40B4-BE49-F238E27FC236}">
              <a16:creationId xmlns:a16="http://schemas.microsoft.com/office/drawing/2014/main" id="{65F0E3C7-5BB0-4D34-83F7-C683DD1F0625}"/>
            </a:ext>
          </a:extLst>
        </xdr:cNvPr>
        <xdr:cNvSpPr/>
      </xdr:nvSpPr>
      <xdr:spPr>
        <a:xfrm>
          <a:off x="14068624" y="4804832"/>
          <a:ext cx="190500" cy="98213"/>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26</xdr:col>
      <xdr:colOff>21154</xdr:colOff>
      <xdr:row>49</xdr:row>
      <xdr:rowOff>42332</xdr:rowOff>
    </xdr:from>
    <xdr:to>
      <xdr:col>26</xdr:col>
      <xdr:colOff>211654</xdr:colOff>
      <xdr:row>49</xdr:row>
      <xdr:rowOff>138640</xdr:rowOff>
    </xdr:to>
    <xdr:sp macro="" textlink="">
      <xdr:nvSpPr>
        <xdr:cNvPr id="27" name="フローチャート : 判断 108">
          <a:extLst>
            <a:ext uri="{FF2B5EF4-FFF2-40B4-BE49-F238E27FC236}">
              <a16:creationId xmlns:a16="http://schemas.microsoft.com/office/drawing/2014/main" id="{46C2EBE3-05C5-44DB-ADE9-DEBCF1D35493}"/>
            </a:ext>
          </a:extLst>
        </xdr:cNvPr>
        <xdr:cNvSpPr/>
      </xdr:nvSpPr>
      <xdr:spPr>
        <a:xfrm>
          <a:off x="14068624" y="7342292"/>
          <a:ext cx="190500" cy="98213"/>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9524</xdr:colOff>
      <xdr:row>30</xdr:row>
      <xdr:rowOff>76201</xdr:rowOff>
    </xdr:from>
    <xdr:to>
      <xdr:col>26</xdr:col>
      <xdr:colOff>11905</xdr:colOff>
      <xdr:row>30</xdr:row>
      <xdr:rowOff>76201</xdr:rowOff>
    </xdr:to>
    <xdr:sp macro="" textlink="">
      <xdr:nvSpPr>
        <xdr:cNvPr id="28" name="Line 11">
          <a:extLst>
            <a:ext uri="{FF2B5EF4-FFF2-40B4-BE49-F238E27FC236}">
              <a16:creationId xmlns:a16="http://schemas.microsoft.com/office/drawing/2014/main" id="{71E8D751-1E63-4481-8035-7935F1B3E86C}"/>
            </a:ext>
          </a:extLst>
        </xdr:cNvPr>
        <xdr:cNvSpPr>
          <a:spLocks noChangeShapeType="1"/>
        </xdr:cNvSpPr>
      </xdr:nvSpPr>
      <xdr:spPr bwMode="auto">
        <a:xfrm>
          <a:off x="13495019" y="4549141"/>
          <a:ext cx="558641" cy="0"/>
        </a:xfrm>
        <a:prstGeom prst="line">
          <a:avLst/>
        </a:prstGeom>
        <a:noFill/>
        <a:ln w="9525">
          <a:solidFill>
            <a:srgbClr val="FF0000"/>
          </a:solidFill>
          <a:prstDash val="dash"/>
          <a:round/>
          <a:headEnd/>
          <a:tailEnd/>
        </a:ln>
        <a:extLst>
          <a:ext uri="{909E8E84-426E-40DD-AFC4-6F175D3DCCD1}">
            <a14:hiddenFill xmlns:a14="http://schemas.microsoft.com/office/drawing/2010/main">
              <a:noFill/>
            </a14:hiddenFill>
          </a:ext>
        </a:extLst>
      </xdr:spPr>
    </xdr:sp>
    <xdr:clientData/>
  </xdr:twoCellAnchor>
  <xdr:twoCellAnchor>
    <xdr:from>
      <xdr:col>26</xdr:col>
      <xdr:colOff>21154</xdr:colOff>
      <xdr:row>30</xdr:row>
      <xdr:rowOff>31749</xdr:rowOff>
    </xdr:from>
    <xdr:to>
      <xdr:col>26</xdr:col>
      <xdr:colOff>211654</xdr:colOff>
      <xdr:row>30</xdr:row>
      <xdr:rowOff>128057</xdr:rowOff>
    </xdr:to>
    <xdr:sp macro="" textlink="">
      <xdr:nvSpPr>
        <xdr:cNvPr id="29" name="フローチャート : 判断 110">
          <a:extLst>
            <a:ext uri="{FF2B5EF4-FFF2-40B4-BE49-F238E27FC236}">
              <a16:creationId xmlns:a16="http://schemas.microsoft.com/office/drawing/2014/main" id="{8F55A064-A230-4D74-9E0A-1FD35811C592}"/>
            </a:ext>
          </a:extLst>
        </xdr:cNvPr>
        <xdr:cNvSpPr/>
      </xdr:nvSpPr>
      <xdr:spPr>
        <a:xfrm>
          <a:off x="14068624" y="4506594"/>
          <a:ext cx="190500" cy="92498"/>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20107</xdr:colOff>
      <xdr:row>48</xdr:row>
      <xdr:rowOff>76201</xdr:rowOff>
    </xdr:from>
    <xdr:to>
      <xdr:col>26</xdr:col>
      <xdr:colOff>22488</xdr:colOff>
      <xdr:row>48</xdr:row>
      <xdr:rowOff>76201</xdr:rowOff>
    </xdr:to>
    <xdr:sp macro="" textlink="">
      <xdr:nvSpPr>
        <xdr:cNvPr id="30" name="Line 11">
          <a:extLst>
            <a:ext uri="{FF2B5EF4-FFF2-40B4-BE49-F238E27FC236}">
              <a16:creationId xmlns:a16="http://schemas.microsoft.com/office/drawing/2014/main" id="{BFB8AC9D-806A-4E09-A9DD-8AB51F3D7DD1}"/>
            </a:ext>
          </a:extLst>
        </xdr:cNvPr>
        <xdr:cNvSpPr>
          <a:spLocks noChangeShapeType="1"/>
        </xdr:cNvSpPr>
      </xdr:nvSpPr>
      <xdr:spPr bwMode="auto">
        <a:xfrm>
          <a:off x="13511317" y="7231381"/>
          <a:ext cx="558641" cy="0"/>
        </a:xfrm>
        <a:prstGeom prst="line">
          <a:avLst/>
        </a:prstGeom>
        <a:noFill/>
        <a:ln w="9525">
          <a:solidFill>
            <a:srgbClr val="FF0000"/>
          </a:solidFill>
          <a:prstDash val="dash"/>
          <a:round/>
          <a:headEnd/>
          <a:tailEnd/>
        </a:ln>
        <a:extLst>
          <a:ext uri="{909E8E84-426E-40DD-AFC4-6F175D3DCCD1}">
            <a14:hiddenFill xmlns:a14="http://schemas.microsoft.com/office/drawing/2010/main">
              <a:noFill/>
            </a14:hiddenFill>
          </a:ext>
        </a:extLst>
      </xdr:spPr>
    </xdr:sp>
    <xdr:clientData/>
  </xdr:twoCellAnchor>
  <xdr:twoCellAnchor>
    <xdr:from>
      <xdr:col>23</xdr:col>
      <xdr:colOff>328056</xdr:colOff>
      <xdr:row>13</xdr:row>
      <xdr:rowOff>10584</xdr:rowOff>
    </xdr:from>
    <xdr:to>
      <xdr:col>23</xdr:col>
      <xdr:colOff>518555</xdr:colOff>
      <xdr:row>13</xdr:row>
      <xdr:rowOff>116417</xdr:rowOff>
    </xdr:to>
    <xdr:sp macro="" textlink="">
      <xdr:nvSpPr>
        <xdr:cNvPr id="31" name="フローチャート : 判断 112">
          <a:extLst>
            <a:ext uri="{FF2B5EF4-FFF2-40B4-BE49-F238E27FC236}">
              <a16:creationId xmlns:a16="http://schemas.microsoft.com/office/drawing/2014/main" id="{0EAC47D8-F115-480E-9CF3-F06A010FEFE1}"/>
            </a:ext>
          </a:extLst>
        </xdr:cNvPr>
        <xdr:cNvSpPr/>
      </xdr:nvSpPr>
      <xdr:spPr>
        <a:xfrm>
          <a:off x="13301106" y="1982259"/>
          <a:ext cx="190499" cy="107738"/>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328056</xdr:colOff>
      <xdr:row>15</xdr:row>
      <xdr:rowOff>10584</xdr:rowOff>
    </xdr:from>
    <xdr:to>
      <xdr:col>23</xdr:col>
      <xdr:colOff>518555</xdr:colOff>
      <xdr:row>15</xdr:row>
      <xdr:rowOff>116417</xdr:rowOff>
    </xdr:to>
    <xdr:sp macro="" textlink="">
      <xdr:nvSpPr>
        <xdr:cNvPr id="32" name="フローチャート : 判断 113">
          <a:extLst>
            <a:ext uri="{FF2B5EF4-FFF2-40B4-BE49-F238E27FC236}">
              <a16:creationId xmlns:a16="http://schemas.microsoft.com/office/drawing/2014/main" id="{60A4FD9B-4730-4CEB-AC60-FDD871A1131B}"/>
            </a:ext>
          </a:extLst>
        </xdr:cNvPr>
        <xdr:cNvSpPr/>
      </xdr:nvSpPr>
      <xdr:spPr>
        <a:xfrm>
          <a:off x="13301106" y="2271819"/>
          <a:ext cx="190499" cy="107738"/>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285723</xdr:colOff>
      <xdr:row>30</xdr:row>
      <xdr:rowOff>10585</xdr:rowOff>
    </xdr:from>
    <xdr:to>
      <xdr:col>23</xdr:col>
      <xdr:colOff>476222</xdr:colOff>
      <xdr:row>30</xdr:row>
      <xdr:rowOff>116418</xdr:rowOff>
    </xdr:to>
    <xdr:sp macro="" textlink="">
      <xdr:nvSpPr>
        <xdr:cNvPr id="33" name="フローチャート : 判断 114">
          <a:extLst>
            <a:ext uri="{FF2B5EF4-FFF2-40B4-BE49-F238E27FC236}">
              <a16:creationId xmlns:a16="http://schemas.microsoft.com/office/drawing/2014/main" id="{70D76CF7-54BC-4996-A4A4-F15B047A75BC}"/>
            </a:ext>
          </a:extLst>
        </xdr:cNvPr>
        <xdr:cNvSpPr/>
      </xdr:nvSpPr>
      <xdr:spPr>
        <a:xfrm>
          <a:off x="13258773" y="4481620"/>
          <a:ext cx="190499" cy="107738"/>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296307</xdr:colOff>
      <xdr:row>32</xdr:row>
      <xdr:rowOff>21167</xdr:rowOff>
    </xdr:from>
    <xdr:to>
      <xdr:col>23</xdr:col>
      <xdr:colOff>486806</xdr:colOff>
      <xdr:row>32</xdr:row>
      <xdr:rowOff>127000</xdr:rowOff>
    </xdr:to>
    <xdr:sp macro="" textlink="">
      <xdr:nvSpPr>
        <xdr:cNvPr id="34" name="フローチャート : 判断 115">
          <a:extLst>
            <a:ext uri="{FF2B5EF4-FFF2-40B4-BE49-F238E27FC236}">
              <a16:creationId xmlns:a16="http://schemas.microsoft.com/office/drawing/2014/main" id="{7338C772-1CE6-4EE3-B747-30E9CE6339AD}"/>
            </a:ext>
          </a:extLst>
        </xdr:cNvPr>
        <xdr:cNvSpPr/>
      </xdr:nvSpPr>
      <xdr:spPr>
        <a:xfrm>
          <a:off x="13267452" y="4787477"/>
          <a:ext cx="190499" cy="100118"/>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328057</xdr:colOff>
      <xdr:row>39</xdr:row>
      <xdr:rowOff>10585</xdr:rowOff>
    </xdr:from>
    <xdr:to>
      <xdr:col>23</xdr:col>
      <xdr:colOff>518556</xdr:colOff>
      <xdr:row>39</xdr:row>
      <xdr:rowOff>116418</xdr:rowOff>
    </xdr:to>
    <xdr:sp macro="" textlink="">
      <xdr:nvSpPr>
        <xdr:cNvPr id="35" name="フローチャート : 判断 116">
          <a:extLst>
            <a:ext uri="{FF2B5EF4-FFF2-40B4-BE49-F238E27FC236}">
              <a16:creationId xmlns:a16="http://schemas.microsoft.com/office/drawing/2014/main" id="{66ED9977-9B0D-4523-AA7C-48CAD0BEB017}"/>
            </a:ext>
          </a:extLst>
        </xdr:cNvPr>
        <xdr:cNvSpPr/>
      </xdr:nvSpPr>
      <xdr:spPr>
        <a:xfrm>
          <a:off x="13301107" y="5860840"/>
          <a:ext cx="190499" cy="107738"/>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328057</xdr:colOff>
      <xdr:row>41</xdr:row>
      <xdr:rowOff>21167</xdr:rowOff>
    </xdr:from>
    <xdr:to>
      <xdr:col>23</xdr:col>
      <xdr:colOff>518556</xdr:colOff>
      <xdr:row>41</xdr:row>
      <xdr:rowOff>127000</xdr:rowOff>
    </xdr:to>
    <xdr:sp macro="" textlink="">
      <xdr:nvSpPr>
        <xdr:cNvPr id="36" name="フローチャート : 判断 117">
          <a:extLst>
            <a:ext uri="{FF2B5EF4-FFF2-40B4-BE49-F238E27FC236}">
              <a16:creationId xmlns:a16="http://schemas.microsoft.com/office/drawing/2014/main" id="{4D745E31-CF74-44C1-91D7-20ED2196351A}"/>
            </a:ext>
          </a:extLst>
        </xdr:cNvPr>
        <xdr:cNvSpPr/>
      </xdr:nvSpPr>
      <xdr:spPr>
        <a:xfrm>
          <a:off x="13301107" y="6166697"/>
          <a:ext cx="190499" cy="100118"/>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317473</xdr:colOff>
      <xdr:row>48</xdr:row>
      <xdr:rowOff>10585</xdr:rowOff>
    </xdr:from>
    <xdr:to>
      <xdr:col>23</xdr:col>
      <xdr:colOff>507972</xdr:colOff>
      <xdr:row>48</xdr:row>
      <xdr:rowOff>116418</xdr:rowOff>
    </xdr:to>
    <xdr:sp macro="" textlink="">
      <xdr:nvSpPr>
        <xdr:cNvPr id="37" name="フローチャート : 判断 118">
          <a:extLst>
            <a:ext uri="{FF2B5EF4-FFF2-40B4-BE49-F238E27FC236}">
              <a16:creationId xmlns:a16="http://schemas.microsoft.com/office/drawing/2014/main" id="{51D3E5C2-9E1B-4E36-BC6A-F4EF6EEA4273}"/>
            </a:ext>
          </a:extLst>
        </xdr:cNvPr>
        <xdr:cNvSpPr/>
      </xdr:nvSpPr>
      <xdr:spPr>
        <a:xfrm>
          <a:off x="13284808" y="7163860"/>
          <a:ext cx="190499" cy="107738"/>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328056</xdr:colOff>
      <xdr:row>50</xdr:row>
      <xdr:rowOff>21168</xdr:rowOff>
    </xdr:from>
    <xdr:to>
      <xdr:col>23</xdr:col>
      <xdr:colOff>518555</xdr:colOff>
      <xdr:row>50</xdr:row>
      <xdr:rowOff>127001</xdr:rowOff>
    </xdr:to>
    <xdr:sp macro="" textlink="">
      <xdr:nvSpPr>
        <xdr:cNvPr id="38" name="フローチャート : 判断 119">
          <a:extLst>
            <a:ext uri="{FF2B5EF4-FFF2-40B4-BE49-F238E27FC236}">
              <a16:creationId xmlns:a16="http://schemas.microsoft.com/office/drawing/2014/main" id="{5D4100C6-8DFD-47C0-8900-3C7D80787851}"/>
            </a:ext>
          </a:extLst>
        </xdr:cNvPr>
        <xdr:cNvSpPr/>
      </xdr:nvSpPr>
      <xdr:spPr>
        <a:xfrm>
          <a:off x="13301106" y="7500198"/>
          <a:ext cx="190499" cy="100118"/>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26</xdr:col>
      <xdr:colOff>10571</xdr:colOff>
      <xdr:row>29</xdr:row>
      <xdr:rowOff>31749</xdr:rowOff>
    </xdr:from>
    <xdr:to>
      <xdr:col>26</xdr:col>
      <xdr:colOff>201071</xdr:colOff>
      <xdr:row>29</xdr:row>
      <xdr:rowOff>128057</xdr:rowOff>
    </xdr:to>
    <xdr:sp macro="" textlink="">
      <xdr:nvSpPr>
        <xdr:cNvPr id="39" name="フローチャート : 判断 123">
          <a:extLst>
            <a:ext uri="{FF2B5EF4-FFF2-40B4-BE49-F238E27FC236}">
              <a16:creationId xmlns:a16="http://schemas.microsoft.com/office/drawing/2014/main" id="{87D88319-E0D9-4A4C-B49B-DCE1B6190052}"/>
            </a:ext>
          </a:extLst>
        </xdr:cNvPr>
        <xdr:cNvSpPr/>
      </xdr:nvSpPr>
      <xdr:spPr>
        <a:xfrm>
          <a:off x="14052326" y="4361814"/>
          <a:ext cx="190500" cy="92498"/>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26</xdr:col>
      <xdr:colOff>21154</xdr:colOff>
      <xdr:row>48</xdr:row>
      <xdr:rowOff>21166</xdr:rowOff>
    </xdr:from>
    <xdr:to>
      <xdr:col>26</xdr:col>
      <xdr:colOff>211654</xdr:colOff>
      <xdr:row>48</xdr:row>
      <xdr:rowOff>117474</xdr:rowOff>
    </xdr:to>
    <xdr:sp macro="" textlink="">
      <xdr:nvSpPr>
        <xdr:cNvPr id="40" name="フローチャート : 判断 124">
          <a:extLst>
            <a:ext uri="{FF2B5EF4-FFF2-40B4-BE49-F238E27FC236}">
              <a16:creationId xmlns:a16="http://schemas.microsoft.com/office/drawing/2014/main" id="{D8A30C7F-0156-4617-B2EC-F59C37BB2E80}"/>
            </a:ext>
          </a:extLst>
        </xdr:cNvPr>
        <xdr:cNvSpPr/>
      </xdr:nvSpPr>
      <xdr:spPr>
        <a:xfrm>
          <a:off x="14068624" y="7180156"/>
          <a:ext cx="190500" cy="92498"/>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26</xdr:col>
      <xdr:colOff>21154</xdr:colOff>
      <xdr:row>47</xdr:row>
      <xdr:rowOff>31749</xdr:rowOff>
    </xdr:from>
    <xdr:to>
      <xdr:col>26</xdr:col>
      <xdr:colOff>211654</xdr:colOff>
      <xdr:row>47</xdr:row>
      <xdr:rowOff>128057</xdr:rowOff>
    </xdr:to>
    <xdr:sp macro="" textlink="">
      <xdr:nvSpPr>
        <xdr:cNvPr id="41" name="フローチャート : 判断 125">
          <a:extLst>
            <a:ext uri="{FF2B5EF4-FFF2-40B4-BE49-F238E27FC236}">
              <a16:creationId xmlns:a16="http://schemas.microsoft.com/office/drawing/2014/main" id="{F7DF5BA7-7308-4379-9B49-DDF1BC63FF5A}"/>
            </a:ext>
          </a:extLst>
        </xdr:cNvPr>
        <xdr:cNvSpPr/>
      </xdr:nvSpPr>
      <xdr:spPr>
        <a:xfrm>
          <a:off x="14068624" y="7044054"/>
          <a:ext cx="190500" cy="92498"/>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518556</xdr:colOff>
      <xdr:row>39</xdr:row>
      <xdr:rowOff>63502</xdr:rowOff>
    </xdr:from>
    <xdr:to>
      <xdr:col>26</xdr:col>
      <xdr:colOff>21154</xdr:colOff>
      <xdr:row>48</xdr:row>
      <xdr:rowOff>69320</xdr:rowOff>
    </xdr:to>
    <xdr:cxnSp macro="">
      <xdr:nvCxnSpPr>
        <xdr:cNvPr id="42" name="カギ線コネクタ 131">
          <a:extLst>
            <a:ext uri="{FF2B5EF4-FFF2-40B4-BE49-F238E27FC236}">
              <a16:creationId xmlns:a16="http://schemas.microsoft.com/office/drawing/2014/main" id="{CD32FDDA-9EF1-4045-A8AF-C3637D9FDFC7}"/>
            </a:ext>
          </a:extLst>
        </xdr:cNvPr>
        <xdr:cNvCxnSpPr>
          <a:stCxn id="35" idx="3"/>
          <a:endCxn id="40" idx="1"/>
        </xdr:cNvCxnSpPr>
      </xdr:nvCxnSpPr>
      <xdr:spPr>
        <a:xfrm>
          <a:off x="13491606" y="5917567"/>
          <a:ext cx="577018" cy="1308838"/>
        </a:xfrm>
        <a:prstGeom prst="bentConnector3">
          <a:avLst>
            <a:gd name="adj1" fmla="val 74074"/>
          </a:avLst>
        </a:prstGeom>
        <a:ln>
          <a:solidFill>
            <a:srgbClr val="FF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486806</xdr:colOff>
      <xdr:row>29</xdr:row>
      <xdr:rowOff>79903</xdr:rowOff>
    </xdr:from>
    <xdr:to>
      <xdr:col>26</xdr:col>
      <xdr:colOff>10571</xdr:colOff>
      <xdr:row>32</xdr:row>
      <xdr:rowOff>74084</xdr:rowOff>
    </xdr:to>
    <xdr:cxnSp macro="">
      <xdr:nvCxnSpPr>
        <xdr:cNvPr id="43" name="カギ線コネクタ 136">
          <a:extLst>
            <a:ext uri="{FF2B5EF4-FFF2-40B4-BE49-F238E27FC236}">
              <a16:creationId xmlns:a16="http://schemas.microsoft.com/office/drawing/2014/main" id="{25BCCBEF-4D57-4615-9481-677AD870FC65}"/>
            </a:ext>
          </a:extLst>
        </xdr:cNvPr>
        <xdr:cNvCxnSpPr>
          <a:stCxn id="34" idx="3"/>
          <a:endCxn id="39" idx="1"/>
        </xdr:cNvCxnSpPr>
      </xdr:nvCxnSpPr>
      <xdr:spPr>
        <a:xfrm flipV="1">
          <a:off x="13457951" y="4408063"/>
          <a:ext cx="594375" cy="428521"/>
        </a:xfrm>
        <a:prstGeom prst="bentConnector3">
          <a:avLst>
            <a:gd name="adj1" fmla="val 33929"/>
          </a:avLst>
        </a:prstGeom>
        <a:ln>
          <a:solidFill>
            <a:srgbClr val="0000FF"/>
          </a:solidFill>
          <a:prstDash val="sys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518556</xdr:colOff>
      <xdr:row>41</xdr:row>
      <xdr:rowOff>74084</xdr:rowOff>
    </xdr:from>
    <xdr:to>
      <xdr:col>26</xdr:col>
      <xdr:colOff>21154</xdr:colOff>
      <xdr:row>47</xdr:row>
      <xdr:rowOff>79903</xdr:rowOff>
    </xdr:to>
    <xdr:cxnSp macro="">
      <xdr:nvCxnSpPr>
        <xdr:cNvPr id="44" name="カギ線コネクタ 141">
          <a:extLst>
            <a:ext uri="{FF2B5EF4-FFF2-40B4-BE49-F238E27FC236}">
              <a16:creationId xmlns:a16="http://schemas.microsoft.com/office/drawing/2014/main" id="{47FCDF06-944C-4F82-AA53-7D869BE56DB4}"/>
            </a:ext>
          </a:extLst>
        </xdr:cNvPr>
        <xdr:cNvCxnSpPr>
          <a:stCxn id="36" idx="3"/>
          <a:endCxn id="41" idx="1"/>
        </xdr:cNvCxnSpPr>
      </xdr:nvCxnSpPr>
      <xdr:spPr>
        <a:xfrm>
          <a:off x="13491606" y="6215804"/>
          <a:ext cx="577018" cy="874499"/>
        </a:xfrm>
        <a:prstGeom prst="bentConnector3">
          <a:avLst>
            <a:gd name="adj1" fmla="val 50000"/>
          </a:avLst>
        </a:prstGeom>
        <a:ln>
          <a:solidFill>
            <a:srgbClr val="0000FF"/>
          </a:solidFill>
          <a:prstDash val="sys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518555</xdr:colOff>
      <xdr:row>47</xdr:row>
      <xdr:rowOff>79903</xdr:rowOff>
    </xdr:from>
    <xdr:to>
      <xdr:col>26</xdr:col>
      <xdr:colOff>21154</xdr:colOff>
      <xdr:row>50</xdr:row>
      <xdr:rowOff>74085</xdr:rowOff>
    </xdr:to>
    <xdr:cxnSp macro="">
      <xdr:nvCxnSpPr>
        <xdr:cNvPr id="45" name="カギ線コネクタ 144">
          <a:extLst>
            <a:ext uri="{FF2B5EF4-FFF2-40B4-BE49-F238E27FC236}">
              <a16:creationId xmlns:a16="http://schemas.microsoft.com/office/drawing/2014/main" id="{FAFAD90A-3A5C-44D7-9B20-6214C0D6D7FD}"/>
            </a:ext>
          </a:extLst>
        </xdr:cNvPr>
        <xdr:cNvCxnSpPr>
          <a:stCxn id="38" idx="3"/>
          <a:endCxn id="41" idx="1"/>
        </xdr:cNvCxnSpPr>
      </xdr:nvCxnSpPr>
      <xdr:spPr>
        <a:xfrm flipV="1">
          <a:off x="13491605" y="7090303"/>
          <a:ext cx="577019" cy="459002"/>
        </a:xfrm>
        <a:prstGeom prst="bentConnector3">
          <a:avLst>
            <a:gd name="adj1" fmla="val 50000"/>
          </a:avLst>
        </a:prstGeom>
        <a:ln>
          <a:solidFill>
            <a:srgbClr val="0000FF"/>
          </a:solidFill>
          <a:prstDash val="sys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0</xdr:colOff>
      <xdr:row>5</xdr:row>
      <xdr:rowOff>67522</xdr:rowOff>
    </xdr:from>
    <xdr:to>
      <xdr:col>8</xdr:col>
      <xdr:colOff>0</xdr:colOff>
      <xdr:row>7</xdr:row>
      <xdr:rowOff>103890</xdr:rowOff>
    </xdr:to>
    <xdr:sp macro="" textlink="">
      <xdr:nvSpPr>
        <xdr:cNvPr id="46" name="Rectangle 1">
          <a:extLst>
            <a:ext uri="{FF2B5EF4-FFF2-40B4-BE49-F238E27FC236}">
              <a16:creationId xmlns:a16="http://schemas.microsoft.com/office/drawing/2014/main" id="{E8561901-C064-483C-9447-8AC64DE67BF4}"/>
            </a:ext>
          </a:extLst>
        </xdr:cNvPr>
        <xdr:cNvSpPr>
          <a:spLocks noChangeArrowheads="1"/>
        </xdr:cNvSpPr>
      </xdr:nvSpPr>
      <xdr:spPr bwMode="auto">
        <a:xfrm>
          <a:off x="228600" y="880322"/>
          <a:ext cx="4425950" cy="398318"/>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2860" rIns="36576" bIns="0" anchor="ctr" upright="1"/>
        <a:lstStyle/>
        <a:p>
          <a:pPr algn="ctr" rtl="0">
            <a:defRPr sz="1000"/>
          </a:pPr>
          <a:r>
            <a:rPr lang="ja-JP" altLang="en-US" sz="1600" b="1" i="0" u="none" strike="noStrike" baseline="0">
              <a:solidFill>
                <a:srgbClr val="000000"/>
              </a:solidFill>
              <a:latin typeface="ＭＳ Ｐゴシック"/>
              <a:ea typeface="ＭＳ Ｐゴシック"/>
            </a:rPr>
            <a:t>売上取引ログテーブル関連図</a:t>
          </a:r>
          <a:r>
            <a:rPr lang="en-US" altLang="ja-JP" sz="1600" b="1" i="0" u="none" strike="noStrike" baseline="0">
              <a:solidFill>
                <a:srgbClr val="000000"/>
              </a:solidFill>
              <a:latin typeface="ＭＳ Ｐゴシック"/>
              <a:ea typeface="ＭＳ Ｐゴシック"/>
            </a:rPr>
            <a:t>(</a:t>
          </a:r>
          <a:r>
            <a:rPr lang="ja-JP" altLang="en-US" sz="1600" b="1" i="0" u="none" strike="noStrike" baseline="0">
              <a:solidFill>
                <a:srgbClr val="000000"/>
              </a:solidFill>
              <a:latin typeface="ＭＳ Ｐゴシック"/>
              <a:ea typeface="ＭＳ Ｐゴシック"/>
            </a:rPr>
            <a:t>値引情報</a:t>
          </a:r>
          <a:r>
            <a:rPr lang="en-US" altLang="ja-JP" sz="1600" b="1" i="0" u="none" strike="noStrike" baseline="0">
              <a:solidFill>
                <a:srgbClr val="000000"/>
              </a:solidFill>
              <a:latin typeface="ＭＳ Ｐゴシック"/>
              <a:ea typeface="ＭＳ Ｐゴシック"/>
            </a:rPr>
            <a:t>)</a:t>
          </a:r>
          <a:endParaRPr lang="ja-JP" altLang="en-US" sz="1600" b="1" i="0" u="none" strike="noStrike" baseline="0">
            <a:solidFill>
              <a:srgbClr val="000000"/>
            </a:solidFill>
            <a:latin typeface="ＭＳ Ｐゴシック"/>
            <a:ea typeface="ＭＳ Ｐゴシック"/>
          </a:endParaRPr>
        </a:p>
      </xdr:txBody>
    </xdr:sp>
    <xdr:clientData/>
  </xdr:twoCellAnchor>
  <xdr:twoCellAnchor>
    <xdr:from>
      <xdr:col>7</xdr:col>
      <xdr:colOff>764326</xdr:colOff>
      <xdr:row>13</xdr:row>
      <xdr:rowOff>33020</xdr:rowOff>
    </xdr:from>
    <xdr:to>
      <xdr:col>8</xdr:col>
      <xdr:colOff>6349</xdr:colOff>
      <xdr:row>14</xdr:row>
      <xdr:rowOff>6350</xdr:rowOff>
    </xdr:to>
    <xdr:sp macro="" textlink="">
      <xdr:nvSpPr>
        <xdr:cNvPr id="47" name="フローチャート : 判断 155">
          <a:extLst>
            <a:ext uri="{FF2B5EF4-FFF2-40B4-BE49-F238E27FC236}">
              <a16:creationId xmlns:a16="http://schemas.microsoft.com/office/drawing/2014/main" id="{3DDF87D5-AE0A-499E-9C10-BAEE39A85F20}"/>
            </a:ext>
          </a:extLst>
        </xdr:cNvPr>
        <xdr:cNvSpPr/>
      </xdr:nvSpPr>
      <xdr:spPr>
        <a:xfrm>
          <a:off x="4505746" y="2008505"/>
          <a:ext cx="192618" cy="114300"/>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948055</xdr:colOff>
      <xdr:row>13</xdr:row>
      <xdr:rowOff>90699</xdr:rowOff>
    </xdr:from>
    <xdr:to>
      <xdr:col>9</xdr:col>
      <xdr:colOff>103505</xdr:colOff>
      <xdr:row>13</xdr:row>
      <xdr:rowOff>90699</xdr:rowOff>
    </xdr:to>
    <xdr:sp macro="" textlink="">
      <xdr:nvSpPr>
        <xdr:cNvPr id="48" name="Line 11">
          <a:extLst>
            <a:ext uri="{FF2B5EF4-FFF2-40B4-BE49-F238E27FC236}">
              <a16:creationId xmlns:a16="http://schemas.microsoft.com/office/drawing/2014/main" id="{FAE378AC-7532-47BC-BD77-C77221480AC4}"/>
            </a:ext>
          </a:extLst>
        </xdr:cNvPr>
        <xdr:cNvSpPr>
          <a:spLocks noChangeShapeType="1"/>
        </xdr:cNvSpPr>
      </xdr:nvSpPr>
      <xdr:spPr bwMode="auto">
        <a:xfrm>
          <a:off x="4689475" y="2068089"/>
          <a:ext cx="559435" cy="0"/>
        </a:xfrm>
        <a:prstGeom prst="line">
          <a:avLst/>
        </a:prstGeom>
        <a:noFill/>
        <a:ln w="9525">
          <a:solidFill>
            <a:srgbClr val="FF0000"/>
          </a:solidFill>
          <a:prstDash val="dash"/>
          <a:round/>
          <a:headEnd/>
          <a:tailEnd/>
        </a:ln>
        <a:extLst>
          <a:ext uri="{909E8E84-426E-40DD-AFC4-6F175D3DCCD1}">
            <a14:hiddenFill xmlns:a14="http://schemas.microsoft.com/office/drawing/2010/main">
              <a:noFill/>
            </a14:hiddenFill>
          </a:ext>
        </a:extLst>
      </xdr:spPr>
    </xdr:sp>
    <xdr:clientData/>
  </xdr:twoCellAnchor>
  <xdr:twoCellAnchor>
    <xdr:from>
      <xdr:col>8</xdr:col>
      <xdr:colOff>4444</xdr:colOff>
      <xdr:row>13</xdr:row>
      <xdr:rowOff>92710</xdr:rowOff>
    </xdr:from>
    <xdr:to>
      <xdr:col>10</xdr:col>
      <xdr:colOff>8678</xdr:colOff>
      <xdr:row>30</xdr:row>
      <xdr:rowOff>66888</xdr:rowOff>
    </xdr:to>
    <xdr:cxnSp macro="">
      <xdr:nvCxnSpPr>
        <xdr:cNvPr id="49" name="カギ線コネクタ 14">
          <a:extLst>
            <a:ext uri="{FF2B5EF4-FFF2-40B4-BE49-F238E27FC236}">
              <a16:creationId xmlns:a16="http://schemas.microsoft.com/office/drawing/2014/main" id="{D26F2F3D-CD1A-461A-ABF1-B2CB5FB87659}"/>
            </a:ext>
          </a:extLst>
        </xdr:cNvPr>
        <xdr:cNvCxnSpPr>
          <a:stCxn id="47" idx="3"/>
          <a:endCxn id="15" idx="1"/>
        </xdr:cNvCxnSpPr>
      </xdr:nvCxnSpPr>
      <xdr:spPr>
        <a:xfrm>
          <a:off x="4698364" y="2070100"/>
          <a:ext cx="558589" cy="2471633"/>
        </a:xfrm>
        <a:prstGeom prst="bentConnector3">
          <a:avLst>
            <a:gd name="adj1" fmla="val 50000"/>
          </a:avLst>
        </a:prstGeom>
        <a:ln>
          <a:solidFill>
            <a:srgbClr val="FF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4444</xdr:colOff>
      <xdr:row>13</xdr:row>
      <xdr:rowOff>92710</xdr:rowOff>
    </xdr:from>
    <xdr:to>
      <xdr:col>10</xdr:col>
      <xdr:colOff>8677</xdr:colOff>
      <xdr:row>48</xdr:row>
      <xdr:rowOff>83187</xdr:rowOff>
    </xdr:to>
    <xdr:cxnSp macro="">
      <xdr:nvCxnSpPr>
        <xdr:cNvPr id="50" name="カギ線コネクタ 14">
          <a:extLst>
            <a:ext uri="{FF2B5EF4-FFF2-40B4-BE49-F238E27FC236}">
              <a16:creationId xmlns:a16="http://schemas.microsoft.com/office/drawing/2014/main" id="{41FCD035-6F64-45B4-B86A-7B5AA7CB5284}"/>
            </a:ext>
          </a:extLst>
        </xdr:cNvPr>
        <xdr:cNvCxnSpPr>
          <a:stCxn id="47" idx="3"/>
          <a:endCxn id="13" idx="1"/>
        </xdr:cNvCxnSpPr>
      </xdr:nvCxnSpPr>
      <xdr:spPr>
        <a:xfrm>
          <a:off x="4698364" y="2070100"/>
          <a:ext cx="558588" cy="5166362"/>
        </a:xfrm>
        <a:prstGeom prst="bentConnector3">
          <a:avLst>
            <a:gd name="adj1" fmla="val 50000"/>
          </a:avLst>
        </a:prstGeom>
        <a:ln>
          <a:solidFill>
            <a:srgbClr val="FF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782107</xdr:colOff>
      <xdr:row>5</xdr:row>
      <xdr:rowOff>104774</xdr:rowOff>
    </xdr:from>
    <xdr:to>
      <xdr:col>26</xdr:col>
      <xdr:colOff>1314448</xdr:colOff>
      <xdr:row>5</xdr:row>
      <xdr:rowOff>104774</xdr:rowOff>
    </xdr:to>
    <xdr:sp macro="" textlink="">
      <xdr:nvSpPr>
        <xdr:cNvPr id="51" name="Line 11">
          <a:extLst>
            <a:ext uri="{FF2B5EF4-FFF2-40B4-BE49-F238E27FC236}">
              <a16:creationId xmlns:a16="http://schemas.microsoft.com/office/drawing/2014/main" id="{AD220EF2-A5E4-4BDF-8AC6-6D9B2B406E3C}"/>
            </a:ext>
          </a:extLst>
        </xdr:cNvPr>
        <xdr:cNvSpPr>
          <a:spLocks noChangeShapeType="1"/>
        </xdr:cNvSpPr>
      </xdr:nvSpPr>
      <xdr:spPr bwMode="auto">
        <a:xfrm>
          <a:off x="14829577" y="746759"/>
          <a:ext cx="532341" cy="0"/>
        </a:xfrm>
        <a:prstGeom prst="line">
          <a:avLst/>
        </a:prstGeom>
        <a:noFill/>
        <a:ln w="9525">
          <a:solidFill>
            <a:srgbClr val="FF0000"/>
          </a:solidFill>
          <a:prstDash val="dash"/>
          <a:round/>
          <a:headEnd/>
          <a:tailEnd/>
        </a:ln>
        <a:extLst>
          <a:ext uri="{909E8E84-426E-40DD-AFC4-6F175D3DCCD1}">
            <a14:hiddenFill xmlns:a14="http://schemas.microsoft.com/office/drawing/2010/main">
              <a:noFill/>
            </a14:hiddenFill>
          </a:ext>
        </a:extLst>
      </xdr:spPr>
    </xdr:sp>
    <xdr:clientData/>
  </xdr:twoCellAnchor>
  <xdr:twoCellAnchor>
    <xdr:from>
      <xdr:col>26</xdr:col>
      <xdr:colOff>771525</xdr:colOff>
      <xdr:row>6</xdr:row>
      <xdr:rowOff>57150</xdr:rowOff>
    </xdr:from>
    <xdr:to>
      <xdr:col>26</xdr:col>
      <xdr:colOff>1323975</xdr:colOff>
      <xdr:row>6</xdr:row>
      <xdr:rowOff>171450</xdr:rowOff>
    </xdr:to>
    <xdr:sp macro="" textlink="">
      <xdr:nvSpPr>
        <xdr:cNvPr id="52" name="正方形/長方形 51">
          <a:extLst>
            <a:ext uri="{FF2B5EF4-FFF2-40B4-BE49-F238E27FC236}">
              <a16:creationId xmlns:a16="http://schemas.microsoft.com/office/drawing/2014/main" id="{5E8D23AF-FB65-44E9-A30C-3C3564D9CF64}"/>
            </a:ext>
          </a:extLst>
        </xdr:cNvPr>
        <xdr:cNvSpPr/>
      </xdr:nvSpPr>
      <xdr:spPr>
        <a:xfrm>
          <a:off x="14813280" y="876300"/>
          <a:ext cx="556260" cy="114300"/>
        </a:xfrm>
        <a:prstGeom prst="rect">
          <a:avLst/>
        </a:prstGeom>
        <a:solidFill>
          <a:srgbClr val="99CC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26</xdr:col>
      <xdr:colOff>792267</xdr:colOff>
      <xdr:row>7</xdr:row>
      <xdr:rowOff>113029</xdr:rowOff>
    </xdr:from>
    <xdr:to>
      <xdr:col>26</xdr:col>
      <xdr:colOff>1324608</xdr:colOff>
      <xdr:row>7</xdr:row>
      <xdr:rowOff>113029</xdr:rowOff>
    </xdr:to>
    <xdr:sp macro="" textlink="">
      <xdr:nvSpPr>
        <xdr:cNvPr id="53" name="Line 11">
          <a:extLst>
            <a:ext uri="{FF2B5EF4-FFF2-40B4-BE49-F238E27FC236}">
              <a16:creationId xmlns:a16="http://schemas.microsoft.com/office/drawing/2014/main" id="{E4F4D7BE-2B0C-4EC2-A83D-B8B7997BE263}"/>
            </a:ext>
          </a:extLst>
        </xdr:cNvPr>
        <xdr:cNvSpPr>
          <a:spLocks noChangeShapeType="1"/>
        </xdr:cNvSpPr>
      </xdr:nvSpPr>
      <xdr:spPr bwMode="auto">
        <a:xfrm>
          <a:off x="14837832" y="1111249"/>
          <a:ext cx="532341" cy="0"/>
        </a:xfrm>
        <a:prstGeom prst="line">
          <a:avLst/>
        </a:prstGeom>
        <a:noFill/>
        <a:ln w="9525">
          <a:solidFill>
            <a:srgbClr val="0000FF"/>
          </a:solidFill>
          <a:prstDash val="sysDash"/>
          <a:round/>
          <a:headEnd/>
          <a:tailEnd/>
        </a:ln>
        <a:extLst>
          <a:ext uri="{909E8E84-426E-40DD-AFC4-6F175D3DCCD1}">
            <a14:hiddenFill xmlns:a14="http://schemas.microsoft.com/office/drawing/2010/main">
              <a:noFill/>
            </a14:hiddenFill>
          </a:ext>
        </a:extLst>
      </xdr:spPr>
    </xdr:sp>
    <xdr:clientData/>
  </xdr:twoCellAnchor>
  <xdr:twoCellAnchor>
    <xdr:from>
      <xdr:col>16</xdr:col>
      <xdr:colOff>9525</xdr:colOff>
      <xdr:row>95</xdr:row>
      <xdr:rowOff>76200</xdr:rowOff>
    </xdr:from>
    <xdr:to>
      <xdr:col>18</xdr:col>
      <xdr:colOff>11906</xdr:colOff>
      <xdr:row>95</xdr:row>
      <xdr:rowOff>76200</xdr:rowOff>
    </xdr:to>
    <xdr:sp macro="" textlink="">
      <xdr:nvSpPr>
        <xdr:cNvPr id="54" name="Line 11">
          <a:extLst>
            <a:ext uri="{FF2B5EF4-FFF2-40B4-BE49-F238E27FC236}">
              <a16:creationId xmlns:a16="http://schemas.microsoft.com/office/drawing/2014/main" id="{1575DA6D-B8F0-415B-BBED-ECAB1B41CEF6}"/>
            </a:ext>
          </a:extLst>
        </xdr:cNvPr>
        <xdr:cNvSpPr>
          <a:spLocks noChangeShapeType="1"/>
        </xdr:cNvSpPr>
      </xdr:nvSpPr>
      <xdr:spPr bwMode="auto">
        <a:xfrm>
          <a:off x="9418320" y="2049780"/>
          <a:ext cx="558641" cy="0"/>
        </a:xfrm>
        <a:prstGeom prst="line">
          <a:avLst/>
        </a:prstGeom>
        <a:noFill/>
        <a:ln w="9525">
          <a:solidFill>
            <a:srgbClr val="FF0000"/>
          </a:solidFill>
          <a:prstDash val="dash"/>
          <a:round/>
          <a:headEnd/>
          <a:tailEnd/>
        </a:ln>
        <a:extLst>
          <a:ext uri="{909E8E84-426E-40DD-AFC4-6F175D3DCCD1}">
            <a14:hiddenFill xmlns:a14="http://schemas.microsoft.com/office/drawing/2010/main">
              <a:noFill/>
            </a14:hiddenFill>
          </a:ext>
        </a:extLst>
      </xdr:spPr>
    </xdr:sp>
    <xdr:clientData/>
  </xdr:twoCellAnchor>
  <xdr:twoCellAnchor>
    <xdr:from>
      <xdr:col>15</xdr:col>
      <xdr:colOff>1216026</xdr:colOff>
      <xdr:row>96</xdr:row>
      <xdr:rowOff>76200</xdr:rowOff>
    </xdr:from>
    <xdr:to>
      <xdr:col>18</xdr:col>
      <xdr:colOff>1323</xdr:colOff>
      <xdr:row>96</xdr:row>
      <xdr:rowOff>76200</xdr:rowOff>
    </xdr:to>
    <xdr:sp macro="" textlink="">
      <xdr:nvSpPr>
        <xdr:cNvPr id="55" name="Line 11">
          <a:extLst>
            <a:ext uri="{FF2B5EF4-FFF2-40B4-BE49-F238E27FC236}">
              <a16:creationId xmlns:a16="http://schemas.microsoft.com/office/drawing/2014/main" id="{BEBDE09C-3B38-40A0-93DC-E456CD8169D0}"/>
            </a:ext>
          </a:extLst>
        </xdr:cNvPr>
        <xdr:cNvSpPr>
          <a:spLocks noChangeShapeType="1"/>
        </xdr:cNvSpPr>
      </xdr:nvSpPr>
      <xdr:spPr bwMode="auto">
        <a:xfrm>
          <a:off x="9407526" y="2194560"/>
          <a:ext cx="560757" cy="0"/>
        </a:xfrm>
        <a:prstGeom prst="line">
          <a:avLst/>
        </a:prstGeom>
        <a:noFill/>
        <a:ln w="9525">
          <a:solidFill>
            <a:srgbClr val="0000FF"/>
          </a:solidFill>
          <a:prstDash val="sysDash"/>
          <a:round/>
          <a:headEnd/>
          <a:tailEnd/>
        </a:ln>
        <a:extLst>
          <a:ext uri="{909E8E84-426E-40DD-AFC4-6F175D3DCCD1}">
            <a14:hiddenFill xmlns:a14="http://schemas.microsoft.com/office/drawing/2010/main">
              <a:noFill/>
            </a14:hiddenFill>
          </a:ext>
        </a:extLst>
      </xdr:spPr>
    </xdr:sp>
    <xdr:clientData/>
  </xdr:twoCellAnchor>
  <xdr:twoCellAnchor>
    <xdr:from>
      <xdr:col>24</xdr:col>
      <xdr:colOff>5052</xdr:colOff>
      <xdr:row>95</xdr:row>
      <xdr:rowOff>91440</xdr:rowOff>
    </xdr:from>
    <xdr:to>
      <xdr:col>26</xdr:col>
      <xdr:colOff>24949</xdr:colOff>
      <xdr:row>112</xdr:row>
      <xdr:rowOff>95887</xdr:rowOff>
    </xdr:to>
    <xdr:cxnSp macro="">
      <xdr:nvCxnSpPr>
        <xdr:cNvPr id="56" name="カギ線コネクタ 4">
          <a:extLst>
            <a:ext uri="{FF2B5EF4-FFF2-40B4-BE49-F238E27FC236}">
              <a16:creationId xmlns:a16="http://schemas.microsoft.com/office/drawing/2014/main" id="{953C3D8A-594E-4AF2-A6BB-D7798E41D75B}"/>
            </a:ext>
          </a:extLst>
        </xdr:cNvPr>
        <xdr:cNvCxnSpPr>
          <a:cxnSpLocks/>
          <a:stCxn id="77" idx="3"/>
          <a:endCxn id="91" idx="1"/>
        </xdr:cNvCxnSpPr>
      </xdr:nvCxnSpPr>
      <xdr:spPr>
        <a:xfrm flipV="1">
          <a:off x="13650567" y="2068830"/>
          <a:ext cx="579967" cy="2496187"/>
        </a:xfrm>
        <a:prstGeom prst="bentConnector3">
          <a:avLst>
            <a:gd name="adj1" fmla="val 50000"/>
          </a:avLst>
        </a:prstGeom>
        <a:ln>
          <a:solidFill>
            <a:srgbClr val="FF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1015973</xdr:colOff>
      <xdr:row>95</xdr:row>
      <xdr:rowOff>21166</xdr:rowOff>
    </xdr:from>
    <xdr:to>
      <xdr:col>15</xdr:col>
      <xdr:colOff>1206473</xdr:colOff>
      <xdr:row>95</xdr:row>
      <xdr:rowOff>126999</xdr:rowOff>
    </xdr:to>
    <xdr:sp macro="" textlink="">
      <xdr:nvSpPr>
        <xdr:cNvPr id="57" name="フローチャート : 判断 8">
          <a:extLst>
            <a:ext uri="{FF2B5EF4-FFF2-40B4-BE49-F238E27FC236}">
              <a16:creationId xmlns:a16="http://schemas.microsoft.com/office/drawing/2014/main" id="{F0539A56-C93C-430F-BBBB-B7E249556503}"/>
            </a:ext>
          </a:extLst>
        </xdr:cNvPr>
        <xdr:cNvSpPr/>
      </xdr:nvSpPr>
      <xdr:spPr>
        <a:xfrm>
          <a:off x="9407498" y="1998556"/>
          <a:ext cx="0" cy="100118"/>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1037139</xdr:colOff>
      <xdr:row>96</xdr:row>
      <xdr:rowOff>21167</xdr:rowOff>
    </xdr:from>
    <xdr:to>
      <xdr:col>16</xdr:col>
      <xdr:colOff>10555</xdr:colOff>
      <xdr:row>96</xdr:row>
      <xdr:rowOff>127000</xdr:rowOff>
    </xdr:to>
    <xdr:sp macro="" textlink="">
      <xdr:nvSpPr>
        <xdr:cNvPr id="58" name="フローチャート : 判断 9">
          <a:extLst>
            <a:ext uri="{FF2B5EF4-FFF2-40B4-BE49-F238E27FC236}">
              <a16:creationId xmlns:a16="http://schemas.microsoft.com/office/drawing/2014/main" id="{5D8A010B-9D05-4E06-BF4B-AF0827EE8D9F}"/>
            </a:ext>
          </a:extLst>
        </xdr:cNvPr>
        <xdr:cNvSpPr/>
      </xdr:nvSpPr>
      <xdr:spPr>
        <a:xfrm>
          <a:off x="9409614" y="2143337"/>
          <a:ext cx="9736" cy="100118"/>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1206473</xdr:colOff>
      <xdr:row>95</xdr:row>
      <xdr:rowOff>74083</xdr:rowOff>
    </xdr:from>
    <xdr:to>
      <xdr:col>18</xdr:col>
      <xdr:colOff>10554</xdr:colOff>
      <xdr:row>112</xdr:row>
      <xdr:rowOff>79902</xdr:rowOff>
    </xdr:to>
    <xdr:cxnSp macro="">
      <xdr:nvCxnSpPr>
        <xdr:cNvPr id="59" name="カギ線コネクタ 12">
          <a:extLst>
            <a:ext uri="{FF2B5EF4-FFF2-40B4-BE49-F238E27FC236}">
              <a16:creationId xmlns:a16="http://schemas.microsoft.com/office/drawing/2014/main" id="{3F618F32-56C0-45E3-B230-F528839327BC}"/>
            </a:ext>
          </a:extLst>
        </xdr:cNvPr>
        <xdr:cNvCxnSpPr>
          <a:stCxn id="57" idx="3"/>
          <a:endCxn id="69" idx="1"/>
        </xdr:cNvCxnSpPr>
      </xdr:nvCxnSpPr>
      <xdr:spPr>
        <a:xfrm>
          <a:off x="9407498" y="2047663"/>
          <a:ext cx="568111" cy="2497559"/>
        </a:xfrm>
        <a:prstGeom prst="bentConnector3">
          <a:avLst>
            <a:gd name="adj1" fmla="val 50000"/>
          </a:avLst>
        </a:prstGeom>
        <a:ln>
          <a:solidFill>
            <a:srgbClr val="FF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1206473</xdr:colOff>
      <xdr:row>95</xdr:row>
      <xdr:rowOff>74083</xdr:rowOff>
    </xdr:from>
    <xdr:to>
      <xdr:col>18</xdr:col>
      <xdr:colOff>10554</xdr:colOff>
      <xdr:row>130</xdr:row>
      <xdr:rowOff>75140</xdr:rowOff>
    </xdr:to>
    <xdr:cxnSp macro="">
      <xdr:nvCxnSpPr>
        <xdr:cNvPr id="60" name="カギ線コネクタ 13">
          <a:extLst>
            <a:ext uri="{FF2B5EF4-FFF2-40B4-BE49-F238E27FC236}">
              <a16:creationId xmlns:a16="http://schemas.microsoft.com/office/drawing/2014/main" id="{B9D15789-C5B3-4E48-B441-52FBB995DD89}"/>
            </a:ext>
          </a:extLst>
        </xdr:cNvPr>
        <xdr:cNvCxnSpPr>
          <a:stCxn id="57" idx="3"/>
          <a:endCxn id="70" idx="1"/>
        </xdr:cNvCxnSpPr>
      </xdr:nvCxnSpPr>
      <xdr:spPr>
        <a:xfrm>
          <a:off x="9407498" y="2047663"/>
          <a:ext cx="568111" cy="5175037"/>
        </a:xfrm>
        <a:prstGeom prst="bentConnector3">
          <a:avLst>
            <a:gd name="adj1" fmla="val 50000"/>
          </a:avLst>
        </a:prstGeom>
        <a:ln>
          <a:solidFill>
            <a:srgbClr val="FF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4205</xdr:colOff>
      <xdr:row>96</xdr:row>
      <xdr:rowOff>99165</xdr:rowOff>
    </xdr:from>
    <xdr:to>
      <xdr:col>26</xdr:col>
      <xdr:colOff>24949</xdr:colOff>
      <xdr:row>97</xdr:row>
      <xdr:rowOff>81281</xdr:rowOff>
    </xdr:to>
    <xdr:cxnSp macro="">
      <xdr:nvCxnSpPr>
        <xdr:cNvPr id="61" name="カギ線コネクタ 30">
          <a:extLst>
            <a:ext uri="{FF2B5EF4-FFF2-40B4-BE49-F238E27FC236}">
              <a16:creationId xmlns:a16="http://schemas.microsoft.com/office/drawing/2014/main" id="{5DFCA82F-4F63-485A-A3CA-C2BCDD361B1C}"/>
            </a:ext>
          </a:extLst>
        </xdr:cNvPr>
        <xdr:cNvCxnSpPr>
          <a:cxnSpLocks/>
          <a:stCxn id="76" idx="3"/>
          <a:endCxn id="92" idx="1"/>
        </xdr:cNvCxnSpPr>
      </xdr:nvCxnSpPr>
      <xdr:spPr>
        <a:xfrm flipV="1">
          <a:off x="13651625" y="2221335"/>
          <a:ext cx="578909" cy="121181"/>
        </a:xfrm>
        <a:prstGeom prst="bentConnector3">
          <a:avLst>
            <a:gd name="adj1" fmla="val 75118"/>
          </a:avLst>
        </a:prstGeom>
        <a:ln>
          <a:solidFill>
            <a:srgbClr val="0000FF"/>
          </a:solidFill>
          <a:prstDash val="sys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1015973</xdr:colOff>
      <xdr:row>113</xdr:row>
      <xdr:rowOff>21166</xdr:rowOff>
    </xdr:from>
    <xdr:to>
      <xdr:col>15</xdr:col>
      <xdr:colOff>1206473</xdr:colOff>
      <xdr:row>113</xdr:row>
      <xdr:rowOff>126999</xdr:rowOff>
    </xdr:to>
    <xdr:sp macro="" textlink="">
      <xdr:nvSpPr>
        <xdr:cNvPr id="62" name="フローチャート : 判断 42">
          <a:extLst>
            <a:ext uri="{FF2B5EF4-FFF2-40B4-BE49-F238E27FC236}">
              <a16:creationId xmlns:a16="http://schemas.microsoft.com/office/drawing/2014/main" id="{3D570CC7-17F4-466D-B290-4361C6CDFA77}"/>
            </a:ext>
          </a:extLst>
        </xdr:cNvPr>
        <xdr:cNvSpPr/>
      </xdr:nvSpPr>
      <xdr:spPr>
        <a:xfrm>
          <a:off x="9407498" y="4635076"/>
          <a:ext cx="0" cy="100118"/>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1015973</xdr:colOff>
      <xdr:row>130</xdr:row>
      <xdr:rowOff>21166</xdr:rowOff>
    </xdr:from>
    <xdr:to>
      <xdr:col>15</xdr:col>
      <xdr:colOff>1206473</xdr:colOff>
      <xdr:row>130</xdr:row>
      <xdr:rowOff>126999</xdr:rowOff>
    </xdr:to>
    <xdr:sp macro="" textlink="">
      <xdr:nvSpPr>
        <xdr:cNvPr id="63" name="フローチャート : 判断 50">
          <a:extLst>
            <a:ext uri="{FF2B5EF4-FFF2-40B4-BE49-F238E27FC236}">
              <a16:creationId xmlns:a16="http://schemas.microsoft.com/office/drawing/2014/main" id="{FBBCF76A-6047-44B3-8614-C606DB932A87}"/>
            </a:ext>
          </a:extLst>
        </xdr:cNvPr>
        <xdr:cNvSpPr/>
      </xdr:nvSpPr>
      <xdr:spPr>
        <a:xfrm>
          <a:off x="9407498" y="7172536"/>
          <a:ext cx="0" cy="100118"/>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730250</xdr:colOff>
      <xdr:row>131</xdr:row>
      <xdr:rowOff>24976</xdr:rowOff>
    </xdr:from>
    <xdr:to>
      <xdr:col>16</xdr:col>
      <xdr:colOff>8650</xdr:colOff>
      <xdr:row>131</xdr:row>
      <xdr:rowOff>139699</xdr:rowOff>
    </xdr:to>
    <xdr:sp macro="" textlink="">
      <xdr:nvSpPr>
        <xdr:cNvPr id="64" name="フローチャート : 判断 51">
          <a:extLst>
            <a:ext uri="{FF2B5EF4-FFF2-40B4-BE49-F238E27FC236}">
              <a16:creationId xmlns:a16="http://schemas.microsoft.com/office/drawing/2014/main" id="{A1A8AD55-6090-4C08-8EF5-35AB8C2AFF57}"/>
            </a:ext>
          </a:extLst>
        </xdr:cNvPr>
        <xdr:cNvSpPr/>
      </xdr:nvSpPr>
      <xdr:spPr>
        <a:xfrm>
          <a:off x="9042400" y="20948226"/>
          <a:ext cx="180100" cy="114723"/>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10582</xdr:colOff>
      <xdr:row>130</xdr:row>
      <xdr:rowOff>21168</xdr:rowOff>
    </xdr:from>
    <xdr:to>
      <xdr:col>10</xdr:col>
      <xdr:colOff>201076</xdr:colOff>
      <xdr:row>130</xdr:row>
      <xdr:rowOff>137585</xdr:rowOff>
    </xdr:to>
    <xdr:sp macro="" textlink="">
      <xdr:nvSpPr>
        <xdr:cNvPr id="65" name="フローチャート : 判断 71">
          <a:extLst>
            <a:ext uri="{FF2B5EF4-FFF2-40B4-BE49-F238E27FC236}">
              <a16:creationId xmlns:a16="http://schemas.microsoft.com/office/drawing/2014/main" id="{36775B40-C377-416A-BF79-DFBC5BE55155}"/>
            </a:ext>
          </a:extLst>
        </xdr:cNvPr>
        <xdr:cNvSpPr/>
      </xdr:nvSpPr>
      <xdr:spPr>
        <a:xfrm>
          <a:off x="5418877" y="7172538"/>
          <a:ext cx="190494" cy="116417"/>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1015973</xdr:colOff>
      <xdr:row>112</xdr:row>
      <xdr:rowOff>21166</xdr:rowOff>
    </xdr:from>
    <xdr:to>
      <xdr:col>15</xdr:col>
      <xdr:colOff>1206473</xdr:colOff>
      <xdr:row>112</xdr:row>
      <xdr:rowOff>126999</xdr:rowOff>
    </xdr:to>
    <xdr:sp macro="" textlink="">
      <xdr:nvSpPr>
        <xdr:cNvPr id="66" name="フローチャート : 判断 76">
          <a:extLst>
            <a:ext uri="{FF2B5EF4-FFF2-40B4-BE49-F238E27FC236}">
              <a16:creationId xmlns:a16="http://schemas.microsoft.com/office/drawing/2014/main" id="{A9127C4B-47D3-4971-A9B5-220F722E8A5D}"/>
            </a:ext>
          </a:extLst>
        </xdr:cNvPr>
        <xdr:cNvSpPr/>
      </xdr:nvSpPr>
      <xdr:spPr>
        <a:xfrm>
          <a:off x="9407498" y="4490296"/>
          <a:ext cx="0" cy="100118"/>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10583</xdr:colOff>
      <xdr:row>112</xdr:row>
      <xdr:rowOff>10584</xdr:rowOff>
    </xdr:from>
    <xdr:to>
      <xdr:col>10</xdr:col>
      <xdr:colOff>201077</xdr:colOff>
      <xdr:row>112</xdr:row>
      <xdr:rowOff>127001</xdr:rowOff>
    </xdr:to>
    <xdr:sp macro="" textlink="">
      <xdr:nvSpPr>
        <xdr:cNvPr id="67" name="フローチャート : 判断 78">
          <a:extLst>
            <a:ext uri="{FF2B5EF4-FFF2-40B4-BE49-F238E27FC236}">
              <a16:creationId xmlns:a16="http://schemas.microsoft.com/office/drawing/2014/main" id="{7B2DD0B2-EDCF-4250-9F1A-9B8D9BE3980D}"/>
            </a:ext>
          </a:extLst>
        </xdr:cNvPr>
        <xdr:cNvSpPr/>
      </xdr:nvSpPr>
      <xdr:spPr>
        <a:xfrm>
          <a:off x="5418878" y="4473999"/>
          <a:ext cx="190494" cy="116417"/>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275154</xdr:colOff>
      <xdr:row>135</xdr:row>
      <xdr:rowOff>31748</xdr:rowOff>
    </xdr:from>
    <xdr:to>
      <xdr:col>23</xdr:col>
      <xdr:colOff>465654</xdr:colOff>
      <xdr:row>135</xdr:row>
      <xdr:rowOff>128056</xdr:rowOff>
    </xdr:to>
    <xdr:sp macro="" textlink="">
      <xdr:nvSpPr>
        <xdr:cNvPr id="68" name="フローチャート : 判断 81">
          <a:extLst>
            <a:ext uri="{FF2B5EF4-FFF2-40B4-BE49-F238E27FC236}">
              <a16:creationId xmlns:a16="http://schemas.microsoft.com/office/drawing/2014/main" id="{32FE00A0-9393-4EF3-8F9E-D8C7D2362DE9}"/>
            </a:ext>
          </a:extLst>
        </xdr:cNvPr>
        <xdr:cNvSpPr/>
      </xdr:nvSpPr>
      <xdr:spPr>
        <a:xfrm>
          <a:off x="13402509" y="8027033"/>
          <a:ext cx="190500" cy="92498"/>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18</xdr:col>
      <xdr:colOff>10554</xdr:colOff>
      <xdr:row>112</xdr:row>
      <xdr:rowOff>22223</xdr:rowOff>
    </xdr:from>
    <xdr:to>
      <xdr:col>18</xdr:col>
      <xdr:colOff>201054</xdr:colOff>
      <xdr:row>112</xdr:row>
      <xdr:rowOff>137581</xdr:rowOff>
    </xdr:to>
    <xdr:sp macro="" textlink="">
      <xdr:nvSpPr>
        <xdr:cNvPr id="69" name="フローチャート : 判断 85">
          <a:extLst>
            <a:ext uri="{FF2B5EF4-FFF2-40B4-BE49-F238E27FC236}">
              <a16:creationId xmlns:a16="http://schemas.microsoft.com/office/drawing/2014/main" id="{ABBC4F02-1DF4-4B9C-9AAA-B8AC12F37353}"/>
            </a:ext>
          </a:extLst>
        </xdr:cNvPr>
        <xdr:cNvSpPr/>
      </xdr:nvSpPr>
      <xdr:spPr>
        <a:xfrm>
          <a:off x="9975609" y="4491353"/>
          <a:ext cx="190500" cy="115358"/>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18</xdr:col>
      <xdr:colOff>10554</xdr:colOff>
      <xdr:row>130</xdr:row>
      <xdr:rowOff>22223</xdr:rowOff>
    </xdr:from>
    <xdr:to>
      <xdr:col>18</xdr:col>
      <xdr:colOff>201054</xdr:colOff>
      <xdr:row>130</xdr:row>
      <xdr:rowOff>128056</xdr:rowOff>
    </xdr:to>
    <xdr:sp macro="" textlink="">
      <xdr:nvSpPr>
        <xdr:cNvPr id="70" name="フローチャート : 判断 86">
          <a:extLst>
            <a:ext uri="{FF2B5EF4-FFF2-40B4-BE49-F238E27FC236}">
              <a16:creationId xmlns:a16="http://schemas.microsoft.com/office/drawing/2014/main" id="{E1F076D2-73F2-40B8-8018-66FF0F1E1E73}"/>
            </a:ext>
          </a:extLst>
        </xdr:cNvPr>
        <xdr:cNvSpPr/>
      </xdr:nvSpPr>
      <xdr:spPr>
        <a:xfrm>
          <a:off x="9975609" y="7173593"/>
          <a:ext cx="190500" cy="100118"/>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17</xdr:col>
      <xdr:colOff>105803</xdr:colOff>
      <xdr:row>131</xdr:row>
      <xdr:rowOff>53973</xdr:rowOff>
    </xdr:from>
    <xdr:to>
      <xdr:col>18</xdr:col>
      <xdr:colOff>190470</xdr:colOff>
      <xdr:row>131</xdr:row>
      <xdr:rowOff>159806</xdr:rowOff>
    </xdr:to>
    <xdr:sp macro="" textlink="">
      <xdr:nvSpPr>
        <xdr:cNvPr id="71" name="フローチャート : 判断 87">
          <a:extLst>
            <a:ext uri="{FF2B5EF4-FFF2-40B4-BE49-F238E27FC236}">
              <a16:creationId xmlns:a16="http://schemas.microsoft.com/office/drawing/2014/main" id="{FE8F971E-654F-4888-BDD1-B5FCDD000E5C}"/>
            </a:ext>
          </a:extLst>
        </xdr:cNvPr>
        <xdr:cNvSpPr/>
      </xdr:nvSpPr>
      <xdr:spPr>
        <a:xfrm>
          <a:off x="9967988" y="7350123"/>
          <a:ext cx="189442" cy="100118"/>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1216026</xdr:colOff>
      <xdr:row>113</xdr:row>
      <xdr:rowOff>76200</xdr:rowOff>
    </xdr:from>
    <xdr:to>
      <xdr:col>18</xdr:col>
      <xdr:colOff>1323</xdr:colOff>
      <xdr:row>113</xdr:row>
      <xdr:rowOff>76200</xdr:rowOff>
    </xdr:to>
    <xdr:sp macro="" textlink="">
      <xdr:nvSpPr>
        <xdr:cNvPr id="72" name="Line 11">
          <a:extLst>
            <a:ext uri="{FF2B5EF4-FFF2-40B4-BE49-F238E27FC236}">
              <a16:creationId xmlns:a16="http://schemas.microsoft.com/office/drawing/2014/main" id="{30A0C473-EB58-4AA0-8F51-9D5B24EE8C9B}"/>
            </a:ext>
          </a:extLst>
        </xdr:cNvPr>
        <xdr:cNvSpPr>
          <a:spLocks noChangeShapeType="1"/>
        </xdr:cNvSpPr>
      </xdr:nvSpPr>
      <xdr:spPr bwMode="auto">
        <a:xfrm>
          <a:off x="9407526" y="4686300"/>
          <a:ext cx="560757" cy="0"/>
        </a:xfrm>
        <a:prstGeom prst="line">
          <a:avLst/>
        </a:prstGeom>
        <a:noFill/>
        <a:ln w="9525">
          <a:solidFill>
            <a:srgbClr val="0000FF"/>
          </a:solidFill>
          <a:prstDash val="sysDash"/>
          <a:round/>
          <a:headEnd/>
          <a:tailEnd/>
        </a:ln>
        <a:extLst>
          <a:ext uri="{909E8E84-426E-40DD-AFC4-6F175D3DCCD1}">
            <a14:hiddenFill xmlns:a14="http://schemas.microsoft.com/office/drawing/2010/main">
              <a:noFill/>
            </a14:hiddenFill>
          </a:ext>
        </a:extLst>
      </xdr:spPr>
    </xdr:sp>
    <xdr:clientData/>
  </xdr:twoCellAnchor>
  <xdr:twoCellAnchor>
    <xdr:from>
      <xdr:col>16</xdr:col>
      <xdr:colOff>9524</xdr:colOff>
      <xdr:row>131</xdr:row>
      <xdr:rowOff>86784</xdr:rowOff>
    </xdr:from>
    <xdr:to>
      <xdr:col>18</xdr:col>
      <xdr:colOff>11905</xdr:colOff>
      <xdr:row>131</xdr:row>
      <xdr:rowOff>86784</xdr:rowOff>
    </xdr:to>
    <xdr:sp macro="" textlink="">
      <xdr:nvSpPr>
        <xdr:cNvPr id="73" name="Line 11">
          <a:extLst>
            <a:ext uri="{FF2B5EF4-FFF2-40B4-BE49-F238E27FC236}">
              <a16:creationId xmlns:a16="http://schemas.microsoft.com/office/drawing/2014/main" id="{8B6023F3-65ED-43EB-B449-D76D53CC1674}"/>
            </a:ext>
          </a:extLst>
        </xdr:cNvPr>
        <xdr:cNvSpPr>
          <a:spLocks noChangeShapeType="1"/>
        </xdr:cNvSpPr>
      </xdr:nvSpPr>
      <xdr:spPr bwMode="auto">
        <a:xfrm>
          <a:off x="9418319" y="7377219"/>
          <a:ext cx="558641" cy="0"/>
        </a:xfrm>
        <a:prstGeom prst="line">
          <a:avLst/>
        </a:prstGeom>
        <a:noFill/>
        <a:ln w="9525">
          <a:solidFill>
            <a:srgbClr val="0000FF"/>
          </a:solidFill>
          <a:prstDash val="sysDash"/>
          <a:round/>
          <a:headEnd/>
          <a:tailEnd/>
        </a:ln>
        <a:extLst>
          <a:ext uri="{909E8E84-426E-40DD-AFC4-6F175D3DCCD1}">
            <a14:hiddenFill xmlns:a14="http://schemas.microsoft.com/office/drawing/2010/main">
              <a:noFill/>
            </a14:hiddenFill>
          </a:ext>
        </a:extLst>
      </xdr:spPr>
    </xdr:sp>
    <xdr:clientData/>
  </xdr:twoCellAnchor>
  <xdr:twoCellAnchor>
    <xdr:from>
      <xdr:col>24</xdr:col>
      <xdr:colOff>3809</xdr:colOff>
      <xdr:row>95</xdr:row>
      <xdr:rowOff>90806</xdr:rowOff>
    </xdr:from>
    <xdr:to>
      <xdr:col>26</xdr:col>
      <xdr:colOff>4285</xdr:colOff>
      <xdr:row>95</xdr:row>
      <xdr:rowOff>90806</xdr:rowOff>
    </xdr:to>
    <xdr:sp macro="" textlink="">
      <xdr:nvSpPr>
        <xdr:cNvPr id="74" name="Line 11">
          <a:extLst>
            <a:ext uri="{FF2B5EF4-FFF2-40B4-BE49-F238E27FC236}">
              <a16:creationId xmlns:a16="http://schemas.microsoft.com/office/drawing/2014/main" id="{61F92E73-1CD7-4E47-9ACD-5D57AF7802D9}"/>
            </a:ext>
          </a:extLst>
        </xdr:cNvPr>
        <xdr:cNvSpPr>
          <a:spLocks noChangeShapeType="1"/>
        </xdr:cNvSpPr>
      </xdr:nvSpPr>
      <xdr:spPr bwMode="auto">
        <a:xfrm>
          <a:off x="13651229" y="2068196"/>
          <a:ext cx="556736" cy="0"/>
        </a:xfrm>
        <a:prstGeom prst="line">
          <a:avLst/>
        </a:prstGeom>
        <a:noFill/>
        <a:ln w="9525">
          <a:solidFill>
            <a:srgbClr val="FF0000"/>
          </a:solidFill>
          <a:prstDash val="dash"/>
          <a:round/>
          <a:headEnd/>
          <a:tailEnd/>
        </a:ln>
        <a:extLst>
          <a:ext uri="{909E8E84-426E-40DD-AFC4-6F175D3DCCD1}">
            <a14:hiddenFill xmlns:a14="http://schemas.microsoft.com/office/drawing/2010/main">
              <a:noFill/>
            </a14:hiddenFill>
          </a:ext>
        </a:extLst>
      </xdr:spPr>
    </xdr:sp>
    <xdr:clientData/>
  </xdr:twoCellAnchor>
  <xdr:twoCellAnchor>
    <xdr:from>
      <xdr:col>23</xdr:col>
      <xdr:colOff>328056</xdr:colOff>
      <xdr:row>95</xdr:row>
      <xdr:rowOff>10584</xdr:rowOff>
    </xdr:from>
    <xdr:to>
      <xdr:col>23</xdr:col>
      <xdr:colOff>518555</xdr:colOff>
      <xdr:row>95</xdr:row>
      <xdr:rowOff>116417</xdr:rowOff>
    </xdr:to>
    <xdr:sp macro="" textlink="">
      <xdr:nvSpPr>
        <xdr:cNvPr id="75" name="フローチャート : 判断 112">
          <a:extLst>
            <a:ext uri="{FF2B5EF4-FFF2-40B4-BE49-F238E27FC236}">
              <a16:creationId xmlns:a16="http://schemas.microsoft.com/office/drawing/2014/main" id="{EC08C091-B4B4-4E4F-AE63-51870571F233}"/>
            </a:ext>
          </a:extLst>
        </xdr:cNvPr>
        <xdr:cNvSpPr/>
      </xdr:nvSpPr>
      <xdr:spPr>
        <a:xfrm>
          <a:off x="13461126" y="1982259"/>
          <a:ext cx="190499" cy="107738"/>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338216</xdr:colOff>
      <xdr:row>97</xdr:row>
      <xdr:rowOff>22649</xdr:rowOff>
    </xdr:from>
    <xdr:to>
      <xdr:col>24</xdr:col>
      <xdr:colOff>4205</xdr:colOff>
      <xdr:row>97</xdr:row>
      <xdr:rowOff>132292</xdr:rowOff>
    </xdr:to>
    <xdr:sp macro="" textlink="">
      <xdr:nvSpPr>
        <xdr:cNvPr id="76" name="フローチャート : 判断 113">
          <a:extLst>
            <a:ext uri="{FF2B5EF4-FFF2-40B4-BE49-F238E27FC236}">
              <a16:creationId xmlns:a16="http://schemas.microsoft.com/office/drawing/2014/main" id="{5184F4BF-A788-4B85-9B09-5F7D9428548E}"/>
            </a:ext>
          </a:extLst>
        </xdr:cNvPr>
        <xdr:cNvSpPr/>
      </xdr:nvSpPr>
      <xdr:spPr>
        <a:xfrm>
          <a:off x="13467476" y="2289599"/>
          <a:ext cx="184149" cy="109643"/>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352398</xdr:colOff>
      <xdr:row>112</xdr:row>
      <xdr:rowOff>41065</xdr:rowOff>
    </xdr:from>
    <xdr:to>
      <xdr:col>24</xdr:col>
      <xdr:colOff>6957</xdr:colOff>
      <xdr:row>113</xdr:row>
      <xdr:rowOff>4658</xdr:rowOff>
    </xdr:to>
    <xdr:sp macro="" textlink="">
      <xdr:nvSpPr>
        <xdr:cNvPr id="77" name="フローチャート : 判断 114">
          <a:extLst>
            <a:ext uri="{FF2B5EF4-FFF2-40B4-BE49-F238E27FC236}">
              <a16:creationId xmlns:a16="http://schemas.microsoft.com/office/drawing/2014/main" id="{2947FEEA-8E3E-4C5E-A7DC-C682C0423573}"/>
            </a:ext>
          </a:extLst>
        </xdr:cNvPr>
        <xdr:cNvSpPr/>
      </xdr:nvSpPr>
      <xdr:spPr>
        <a:xfrm>
          <a:off x="13479753" y="4506385"/>
          <a:ext cx="172719" cy="108373"/>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338217</xdr:colOff>
      <xdr:row>114</xdr:row>
      <xdr:rowOff>34502</xdr:rowOff>
    </xdr:from>
    <xdr:to>
      <xdr:col>24</xdr:col>
      <xdr:colOff>396</xdr:colOff>
      <xdr:row>114</xdr:row>
      <xdr:rowOff>117475</xdr:rowOff>
    </xdr:to>
    <xdr:sp macro="" textlink="">
      <xdr:nvSpPr>
        <xdr:cNvPr id="78" name="フローチャート : 判断 115">
          <a:extLst>
            <a:ext uri="{FF2B5EF4-FFF2-40B4-BE49-F238E27FC236}">
              <a16:creationId xmlns:a16="http://schemas.microsoft.com/office/drawing/2014/main" id="{294059CD-5202-4B87-A351-BBA11C011F58}"/>
            </a:ext>
          </a:extLst>
        </xdr:cNvPr>
        <xdr:cNvSpPr/>
      </xdr:nvSpPr>
      <xdr:spPr>
        <a:xfrm>
          <a:off x="13467477" y="4789382"/>
          <a:ext cx="180339" cy="82973"/>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332078</xdr:colOff>
      <xdr:row>130</xdr:row>
      <xdr:rowOff>6775</xdr:rowOff>
    </xdr:from>
    <xdr:to>
      <xdr:col>24</xdr:col>
      <xdr:colOff>1877</xdr:colOff>
      <xdr:row>130</xdr:row>
      <xdr:rowOff>116418</xdr:rowOff>
    </xdr:to>
    <xdr:sp macro="" textlink="">
      <xdr:nvSpPr>
        <xdr:cNvPr id="79" name="フローチャート : 判断 118">
          <a:extLst>
            <a:ext uri="{FF2B5EF4-FFF2-40B4-BE49-F238E27FC236}">
              <a16:creationId xmlns:a16="http://schemas.microsoft.com/office/drawing/2014/main" id="{5531FE89-1B61-470F-A235-EA9DE4F03166}"/>
            </a:ext>
          </a:extLst>
        </xdr:cNvPr>
        <xdr:cNvSpPr/>
      </xdr:nvSpPr>
      <xdr:spPr>
        <a:xfrm>
          <a:off x="13463243" y="7152430"/>
          <a:ext cx="186054" cy="111548"/>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339486</xdr:colOff>
      <xdr:row>132</xdr:row>
      <xdr:rowOff>63078</xdr:rowOff>
    </xdr:from>
    <xdr:to>
      <xdr:col>24</xdr:col>
      <xdr:colOff>1665</xdr:colOff>
      <xdr:row>132</xdr:row>
      <xdr:rowOff>167006</xdr:rowOff>
    </xdr:to>
    <xdr:sp macro="" textlink="">
      <xdr:nvSpPr>
        <xdr:cNvPr id="80" name="フローチャート : 判断 119">
          <a:extLst>
            <a:ext uri="{FF2B5EF4-FFF2-40B4-BE49-F238E27FC236}">
              <a16:creationId xmlns:a16="http://schemas.microsoft.com/office/drawing/2014/main" id="{55B973FF-5533-4A95-AE73-0C1E9D1C9A93}"/>
            </a:ext>
          </a:extLst>
        </xdr:cNvPr>
        <xdr:cNvSpPr/>
      </xdr:nvSpPr>
      <xdr:spPr>
        <a:xfrm>
          <a:off x="13468746" y="7532583"/>
          <a:ext cx="180339" cy="105833"/>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396</xdr:colOff>
      <xdr:row>96</xdr:row>
      <xdr:rowOff>99165</xdr:rowOff>
    </xdr:from>
    <xdr:to>
      <xdr:col>26</xdr:col>
      <xdr:colOff>24949</xdr:colOff>
      <xdr:row>114</xdr:row>
      <xdr:rowOff>75989</xdr:rowOff>
    </xdr:to>
    <xdr:cxnSp macro="">
      <xdr:nvCxnSpPr>
        <xdr:cNvPr id="81" name="カギ線コネクタ 136">
          <a:extLst>
            <a:ext uri="{FF2B5EF4-FFF2-40B4-BE49-F238E27FC236}">
              <a16:creationId xmlns:a16="http://schemas.microsoft.com/office/drawing/2014/main" id="{C79CA20B-FCB7-4C73-8760-20455FD323A3}"/>
            </a:ext>
          </a:extLst>
        </xdr:cNvPr>
        <xdr:cNvCxnSpPr>
          <a:cxnSpLocks/>
          <a:stCxn id="78" idx="3"/>
          <a:endCxn id="92" idx="1"/>
        </xdr:cNvCxnSpPr>
      </xdr:nvCxnSpPr>
      <xdr:spPr>
        <a:xfrm flipV="1">
          <a:off x="13647816" y="2221335"/>
          <a:ext cx="582718" cy="2609534"/>
        </a:xfrm>
        <a:prstGeom prst="bentConnector3">
          <a:avLst>
            <a:gd name="adj1" fmla="val 76040"/>
          </a:avLst>
        </a:prstGeom>
        <a:ln>
          <a:solidFill>
            <a:srgbClr val="0000FF"/>
          </a:solidFill>
          <a:prstDash val="sys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1665</xdr:colOff>
      <xdr:row>96</xdr:row>
      <xdr:rowOff>99165</xdr:rowOff>
    </xdr:from>
    <xdr:to>
      <xdr:col>26</xdr:col>
      <xdr:colOff>24949</xdr:colOff>
      <xdr:row>132</xdr:row>
      <xdr:rowOff>117900</xdr:rowOff>
    </xdr:to>
    <xdr:cxnSp macro="">
      <xdr:nvCxnSpPr>
        <xdr:cNvPr id="82" name="カギ線コネクタ 144">
          <a:extLst>
            <a:ext uri="{FF2B5EF4-FFF2-40B4-BE49-F238E27FC236}">
              <a16:creationId xmlns:a16="http://schemas.microsoft.com/office/drawing/2014/main" id="{13BF7A03-C455-45E1-84E3-FED921432948}"/>
            </a:ext>
          </a:extLst>
        </xdr:cNvPr>
        <xdr:cNvCxnSpPr>
          <a:cxnSpLocks/>
          <a:stCxn id="80" idx="3"/>
          <a:endCxn id="92" idx="1"/>
        </xdr:cNvCxnSpPr>
      </xdr:nvCxnSpPr>
      <xdr:spPr>
        <a:xfrm flipV="1">
          <a:off x="13649085" y="2221335"/>
          <a:ext cx="581449" cy="5364165"/>
        </a:xfrm>
        <a:prstGeom prst="bentConnector3">
          <a:avLst>
            <a:gd name="adj1" fmla="val 76096"/>
          </a:avLst>
        </a:prstGeom>
        <a:ln>
          <a:solidFill>
            <a:srgbClr val="0000FF"/>
          </a:solidFill>
          <a:prstDash val="sys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0</xdr:colOff>
      <xdr:row>87</xdr:row>
      <xdr:rowOff>65617</xdr:rowOff>
    </xdr:from>
    <xdr:to>
      <xdr:col>8</xdr:col>
      <xdr:colOff>0</xdr:colOff>
      <xdr:row>89</xdr:row>
      <xdr:rowOff>101985</xdr:rowOff>
    </xdr:to>
    <xdr:sp macro="" textlink="">
      <xdr:nvSpPr>
        <xdr:cNvPr id="83" name="Rectangle 1">
          <a:extLst>
            <a:ext uri="{FF2B5EF4-FFF2-40B4-BE49-F238E27FC236}">
              <a16:creationId xmlns:a16="http://schemas.microsoft.com/office/drawing/2014/main" id="{E032DB8B-CAEB-4A5D-969D-AC127D5FE166}"/>
            </a:ext>
          </a:extLst>
        </xdr:cNvPr>
        <xdr:cNvSpPr>
          <a:spLocks noChangeArrowheads="1"/>
        </xdr:cNvSpPr>
      </xdr:nvSpPr>
      <xdr:spPr bwMode="auto">
        <a:xfrm>
          <a:off x="228600" y="13743517"/>
          <a:ext cx="4425950" cy="398318"/>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2860" rIns="36576" bIns="0" anchor="ctr" upright="1"/>
        <a:lstStyle/>
        <a:p>
          <a:pPr algn="ctr" rtl="0">
            <a:defRPr sz="1000"/>
          </a:pPr>
          <a:r>
            <a:rPr lang="ja-JP" altLang="en-US" sz="1600" b="1" i="0" u="none" strike="noStrike" baseline="0">
              <a:solidFill>
                <a:srgbClr val="000000"/>
              </a:solidFill>
              <a:latin typeface="ＭＳ Ｐゴシック"/>
              <a:ea typeface="ＭＳ Ｐゴシック"/>
            </a:rPr>
            <a:t>売上取引ログテーブル関連図</a:t>
          </a:r>
          <a:r>
            <a:rPr lang="en-US" altLang="ja-JP" sz="1600" b="1" i="0" u="none" strike="noStrike" baseline="0">
              <a:solidFill>
                <a:srgbClr val="000000"/>
              </a:solidFill>
              <a:latin typeface="ＭＳ Ｐゴシック"/>
              <a:ea typeface="ＭＳ Ｐゴシック"/>
            </a:rPr>
            <a:t>(</a:t>
          </a:r>
          <a:r>
            <a:rPr lang="ja-JP" altLang="en-US" sz="1600" b="1" i="0" u="none" strike="noStrike" baseline="0">
              <a:solidFill>
                <a:srgbClr val="000000"/>
              </a:solidFill>
              <a:latin typeface="ＭＳ Ｐゴシック"/>
              <a:ea typeface="ＭＳ Ｐゴシック"/>
            </a:rPr>
            <a:t>税情報</a:t>
          </a:r>
          <a:r>
            <a:rPr lang="en-US" altLang="ja-JP" sz="1600" b="1" i="0" u="none" strike="noStrike" baseline="0">
              <a:solidFill>
                <a:srgbClr val="000000"/>
              </a:solidFill>
              <a:latin typeface="ＭＳ Ｐゴシック"/>
              <a:ea typeface="ＭＳ Ｐゴシック"/>
            </a:rPr>
            <a:t>)</a:t>
          </a:r>
          <a:endParaRPr lang="ja-JP" altLang="en-US" sz="1600" b="1" i="0" u="none" strike="noStrike" baseline="0">
            <a:solidFill>
              <a:srgbClr val="000000"/>
            </a:solidFill>
            <a:latin typeface="ＭＳ Ｐゴシック"/>
            <a:ea typeface="ＭＳ Ｐゴシック"/>
          </a:endParaRPr>
        </a:p>
      </xdr:txBody>
    </xdr:sp>
    <xdr:clientData/>
  </xdr:twoCellAnchor>
  <xdr:twoCellAnchor>
    <xdr:from>
      <xdr:col>7</xdr:col>
      <xdr:colOff>764326</xdr:colOff>
      <xdr:row>95</xdr:row>
      <xdr:rowOff>33020</xdr:rowOff>
    </xdr:from>
    <xdr:to>
      <xdr:col>8</xdr:col>
      <xdr:colOff>6349</xdr:colOff>
      <xdr:row>96</xdr:row>
      <xdr:rowOff>6350</xdr:rowOff>
    </xdr:to>
    <xdr:sp macro="" textlink="">
      <xdr:nvSpPr>
        <xdr:cNvPr id="84" name="フローチャート : 判断 155">
          <a:extLst>
            <a:ext uri="{FF2B5EF4-FFF2-40B4-BE49-F238E27FC236}">
              <a16:creationId xmlns:a16="http://schemas.microsoft.com/office/drawing/2014/main" id="{809D040F-DFAE-40A6-BFC9-B1BB1249145D}"/>
            </a:ext>
          </a:extLst>
        </xdr:cNvPr>
        <xdr:cNvSpPr/>
      </xdr:nvSpPr>
      <xdr:spPr>
        <a:xfrm>
          <a:off x="4665766" y="2008505"/>
          <a:ext cx="192618" cy="114300"/>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948055</xdr:colOff>
      <xdr:row>95</xdr:row>
      <xdr:rowOff>90699</xdr:rowOff>
    </xdr:from>
    <xdr:to>
      <xdr:col>9</xdr:col>
      <xdr:colOff>103505</xdr:colOff>
      <xdr:row>95</xdr:row>
      <xdr:rowOff>90699</xdr:rowOff>
    </xdr:to>
    <xdr:sp macro="" textlink="">
      <xdr:nvSpPr>
        <xdr:cNvPr id="85" name="Line 11">
          <a:extLst>
            <a:ext uri="{FF2B5EF4-FFF2-40B4-BE49-F238E27FC236}">
              <a16:creationId xmlns:a16="http://schemas.microsoft.com/office/drawing/2014/main" id="{E8FF81CF-887C-4FF7-820E-CCEF20E8CF93}"/>
            </a:ext>
          </a:extLst>
        </xdr:cNvPr>
        <xdr:cNvSpPr>
          <a:spLocks noChangeShapeType="1"/>
        </xdr:cNvSpPr>
      </xdr:nvSpPr>
      <xdr:spPr bwMode="auto">
        <a:xfrm>
          <a:off x="4849495" y="2068089"/>
          <a:ext cx="559435" cy="0"/>
        </a:xfrm>
        <a:prstGeom prst="line">
          <a:avLst/>
        </a:prstGeom>
        <a:noFill/>
        <a:ln w="9525">
          <a:solidFill>
            <a:srgbClr val="FF0000"/>
          </a:solidFill>
          <a:prstDash val="dash"/>
          <a:round/>
          <a:headEnd/>
          <a:tailEnd/>
        </a:ln>
        <a:extLst>
          <a:ext uri="{909E8E84-426E-40DD-AFC4-6F175D3DCCD1}">
            <a14:hiddenFill xmlns:a14="http://schemas.microsoft.com/office/drawing/2010/main">
              <a:noFill/>
            </a14:hiddenFill>
          </a:ext>
        </a:extLst>
      </xdr:spPr>
    </xdr:sp>
    <xdr:clientData/>
  </xdr:twoCellAnchor>
  <xdr:twoCellAnchor>
    <xdr:from>
      <xdr:col>8</xdr:col>
      <xdr:colOff>4444</xdr:colOff>
      <xdr:row>95</xdr:row>
      <xdr:rowOff>92710</xdr:rowOff>
    </xdr:from>
    <xdr:to>
      <xdr:col>10</xdr:col>
      <xdr:colOff>8678</xdr:colOff>
      <xdr:row>112</xdr:row>
      <xdr:rowOff>66888</xdr:rowOff>
    </xdr:to>
    <xdr:cxnSp macro="">
      <xdr:nvCxnSpPr>
        <xdr:cNvPr id="86" name="カギ線コネクタ 14">
          <a:extLst>
            <a:ext uri="{FF2B5EF4-FFF2-40B4-BE49-F238E27FC236}">
              <a16:creationId xmlns:a16="http://schemas.microsoft.com/office/drawing/2014/main" id="{86EA2678-1662-44F4-980B-98A42BC378C0}"/>
            </a:ext>
          </a:extLst>
        </xdr:cNvPr>
        <xdr:cNvCxnSpPr>
          <a:stCxn id="84" idx="3"/>
          <a:endCxn id="67" idx="1"/>
        </xdr:cNvCxnSpPr>
      </xdr:nvCxnSpPr>
      <xdr:spPr>
        <a:xfrm>
          <a:off x="4858384" y="2070100"/>
          <a:ext cx="558589" cy="2464013"/>
        </a:xfrm>
        <a:prstGeom prst="bentConnector3">
          <a:avLst>
            <a:gd name="adj1" fmla="val 50000"/>
          </a:avLst>
        </a:prstGeom>
        <a:ln>
          <a:solidFill>
            <a:srgbClr val="FF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4444</xdr:colOff>
      <xdr:row>95</xdr:row>
      <xdr:rowOff>92710</xdr:rowOff>
    </xdr:from>
    <xdr:to>
      <xdr:col>10</xdr:col>
      <xdr:colOff>8677</xdr:colOff>
      <xdr:row>130</xdr:row>
      <xdr:rowOff>83187</xdr:rowOff>
    </xdr:to>
    <xdr:cxnSp macro="">
      <xdr:nvCxnSpPr>
        <xdr:cNvPr id="87" name="カギ線コネクタ 14">
          <a:extLst>
            <a:ext uri="{FF2B5EF4-FFF2-40B4-BE49-F238E27FC236}">
              <a16:creationId xmlns:a16="http://schemas.microsoft.com/office/drawing/2014/main" id="{D17DE2B0-3DB6-4F60-BA87-40132AF15E95}"/>
            </a:ext>
          </a:extLst>
        </xdr:cNvPr>
        <xdr:cNvCxnSpPr>
          <a:stCxn id="84" idx="3"/>
          <a:endCxn id="65" idx="1"/>
        </xdr:cNvCxnSpPr>
      </xdr:nvCxnSpPr>
      <xdr:spPr>
        <a:xfrm>
          <a:off x="4858384" y="2070100"/>
          <a:ext cx="558588" cy="5158742"/>
        </a:xfrm>
        <a:prstGeom prst="bentConnector3">
          <a:avLst>
            <a:gd name="adj1" fmla="val 50000"/>
          </a:avLst>
        </a:prstGeom>
        <a:ln>
          <a:solidFill>
            <a:srgbClr val="FF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782107</xdr:colOff>
      <xdr:row>87</xdr:row>
      <xdr:rowOff>104774</xdr:rowOff>
    </xdr:from>
    <xdr:to>
      <xdr:col>26</xdr:col>
      <xdr:colOff>1314448</xdr:colOff>
      <xdr:row>87</xdr:row>
      <xdr:rowOff>104774</xdr:rowOff>
    </xdr:to>
    <xdr:sp macro="" textlink="">
      <xdr:nvSpPr>
        <xdr:cNvPr id="88" name="Line 11">
          <a:extLst>
            <a:ext uri="{FF2B5EF4-FFF2-40B4-BE49-F238E27FC236}">
              <a16:creationId xmlns:a16="http://schemas.microsoft.com/office/drawing/2014/main" id="{967B48C1-584B-472C-9F43-9C49DE08F15D}"/>
            </a:ext>
          </a:extLst>
        </xdr:cNvPr>
        <xdr:cNvSpPr>
          <a:spLocks noChangeShapeType="1"/>
        </xdr:cNvSpPr>
      </xdr:nvSpPr>
      <xdr:spPr bwMode="auto">
        <a:xfrm>
          <a:off x="14989597" y="746759"/>
          <a:ext cx="532341" cy="0"/>
        </a:xfrm>
        <a:prstGeom prst="line">
          <a:avLst/>
        </a:prstGeom>
        <a:noFill/>
        <a:ln w="9525">
          <a:solidFill>
            <a:srgbClr val="FF0000"/>
          </a:solidFill>
          <a:prstDash val="dash"/>
          <a:round/>
          <a:headEnd/>
          <a:tailEnd/>
        </a:ln>
        <a:extLst>
          <a:ext uri="{909E8E84-426E-40DD-AFC4-6F175D3DCCD1}">
            <a14:hiddenFill xmlns:a14="http://schemas.microsoft.com/office/drawing/2010/main">
              <a:noFill/>
            </a14:hiddenFill>
          </a:ext>
        </a:extLst>
      </xdr:spPr>
    </xdr:sp>
    <xdr:clientData/>
  </xdr:twoCellAnchor>
  <xdr:twoCellAnchor>
    <xdr:from>
      <xdr:col>26</xdr:col>
      <xdr:colOff>771525</xdr:colOff>
      <xdr:row>88</xdr:row>
      <xdr:rowOff>57150</xdr:rowOff>
    </xdr:from>
    <xdr:to>
      <xdr:col>26</xdr:col>
      <xdr:colOff>1323975</xdr:colOff>
      <xdr:row>88</xdr:row>
      <xdr:rowOff>171450</xdr:rowOff>
    </xdr:to>
    <xdr:sp macro="" textlink="">
      <xdr:nvSpPr>
        <xdr:cNvPr id="89" name="正方形/長方形 88">
          <a:extLst>
            <a:ext uri="{FF2B5EF4-FFF2-40B4-BE49-F238E27FC236}">
              <a16:creationId xmlns:a16="http://schemas.microsoft.com/office/drawing/2014/main" id="{DFC3E2D8-9F77-4DB1-9AB5-8E03C90F42CC}"/>
            </a:ext>
          </a:extLst>
        </xdr:cNvPr>
        <xdr:cNvSpPr/>
      </xdr:nvSpPr>
      <xdr:spPr>
        <a:xfrm>
          <a:off x="14973300" y="876300"/>
          <a:ext cx="556260" cy="114300"/>
        </a:xfrm>
        <a:prstGeom prst="rect">
          <a:avLst/>
        </a:prstGeom>
        <a:solidFill>
          <a:srgbClr val="99CC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26</xdr:col>
      <xdr:colOff>792267</xdr:colOff>
      <xdr:row>89</xdr:row>
      <xdr:rowOff>113029</xdr:rowOff>
    </xdr:from>
    <xdr:to>
      <xdr:col>26</xdr:col>
      <xdr:colOff>1324608</xdr:colOff>
      <xdr:row>89</xdr:row>
      <xdr:rowOff>113029</xdr:rowOff>
    </xdr:to>
    <xdr:sp macro="" textlink="">
      <xdr:nvSpPr>
        <xdr:cNvPr id="90" name="Line 11">
          <a:extLst>
            <a:ext uri="{FF2B5EF4-FFF2-40B4-BE49-F238E27FC236}">
              <a16:creationId xmlns:a16="http://schemas.microsoft.com/office/drawing/2014/main" id="{95ECE802-048A-4EB8-8454-8EC4820AC460}"/>
            </a:ext>
          </a:extLst>
        </xdr:cNvPr>
        <xdr:cNvSpPr>
          <a:spLocks noChangeShapeType="1"/>
        </xdr:cNvSpPr>
      </xdr:nvSpPr>
      <xdr:spPr bwMode="auto">
        <a:xfrm>
          <a:off x="14997852" y="1111249"/>
          <a:ext cx="532341" cy="0"/>
        </a:xfrm>
        <a:prstGeom prst="line">
          <a:avLst/>
        </a:prstGeom>
        <a:noFill/>
        <a:ln w="9525">
          <a:solidFill>
            <a:srgbClr val="0000FF"/>
          </a:solidFill>
          <a:prstDash val="sysDash"/>
          <a:round/>
          <a:headEnd/>
          <a:tailEnd/>
        </a:ln>
        <a:extLst>
          <a:ext uri="{909E8E84-426E-40DD-AFC4-6F175D3DCCD1}">
            <a14:hiddenFill xmlns:a14="http://schemas.microsoft.com/office/drawing/2010/main">
              <a:noFill/>
            </a14:hiddenFill>
          </a:ext>
        </a:extLst>
      </xdr:spPr>
    </xdr:sp>
    <xdr:clientData/>
  </xdr:twoCellAnchor>
  <xdr:twoCellAnchor>
    <xdr:from>
      <xdr:col>26</xdr:col>
      <xdr:colOff>21139</xdr:colOff>
      <xdr:row>95</xdr:row>
      <xdr:rowOff>42333</xdr:rowOff>
    </xdr:from>
    <xdr:to>
      <xdr:col>26</xdr:col>
      <xdr:colOff>211638</xdr:colOff>
      <xdr:row>95</xdr:row>
      <xdr:rowOff>148166</xdr:rowOff>
    </xdr:to>
    <xdr:sp macro="" textlink="">
      <xdr:nvSpPr>
        <xdr:cNvPr id="91" name="フローチャート : 判断 54">
          <a:extLst>
            <a:ext uri="{FF2B5EF4-FFF2-40B4-BE49-F238E27FC236}">
              <a16:creationId xmlns:a16="http://schemas.microsoft.com/office/drawing/2014/main" id="{388D49A8-C439-46D2-9CB6-476D2E14A235}"/>
            </a:ext>
          </a:extLst>
        </xdr:cNvPr>
        <xdr:cNvSpPr/>
      </xdr:nvSpPr>
      <xdr:spPr>
        <a:xfrm>
          <a:off x="14228629" y="2015913"/>
          <a:ext cx="190499" cy="98213"/>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26</xdr:col>
      <xdr:colOff>21139</xdr:colOff>
      <xdr:row>96</xdr:row>
      <xdr:rowOff>52916</xdr:rowOff>
    </xdr:from>
    <xdr:to>
      <xdr:col>26</xdr:col>
      <xdr:colOff>211638</xdr:colOff>
      <xdr:row>96</xdr:row>
      <xdr:rowOff>158749</xdr:rowOff>
    </xdr:to>
    <xdr:sp macro="" textlink="">
      <xdr:nvSpPr>
        <xdr:cNvPr id="92" name="フローチャート : 判断 55">
          <a:extLst>
            <a:ext uri="{FF2B5EF4-FFF2-40B4-BE49-F238E27FC236}">
              <a16:creationId xmlns:a16="http://schemas.microsoft.com/office/drawing/2014/main" id="{689C98C3-580B-4C34-B3CF-E40B8AB80F3B}"/>
            </a:ext>
          </a:extLst>
        </xdr:cNvPr>
        <xdr:cNvSpPr/>
      </xdr:nvSpPr>
      <xdr:spPr>
        <a:xfrm>
          <a:off x="14228629" y="2175086"/>
          <a:ext cx="190499" cy="84878"/>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26</xdr:col>
      <xdr:colOff>21151</xdr:colOff>
      <xdr:row>97</xdr:row>
      <xdr:rowOff>22206</xdr:rowOff>
    </xdr:from>
    <xdr:to>
      <xdr:col>26</xdr:col>
      <xdr:colOff>211651</xdr:colOff>
      <xdr:row>97</xdr:row>
      <xdr:rowOff>128039</xdr:rowOff>
    </xdr:to>
    <xdr:sp macro="" textlink="">
      <xdr:nvSpPr>
        <xdr:cNvPr id="93" name="フローチャート : 判断 40">
          <a:extLst>
            <a:ext uri="{FF2B5EF4-FFF2-40B4-BE49-F238E27FC236}">
              <a16:creationId xmlns:a16="http://schemas.microsoft.com/office/drawing/2014/main" id="{0CE9E147-DB6B-40F2-B557-9A1AAA2C8AC0}"/>
            </a:ext>
          </a:extLst>
        </xdr:cNvPr>
        <xdr:cNvSpPr/>
      </xdr:nvSpPr>
      <xdr:spPr>
        <a:xfrm>
          <a:off x="14228641" y="2289156"/>
          <a:ext cx="190500" cy="100118"/>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1877</xdr:colOff>
      <xdr:row>95</xdr:row>
      <xdr:rowOff>91440</xdr:rowOff>
    </xdr:from>
    <xdr:to>
      <xdr:col>26</xdr:col>
      <xdr:colOff>24949</xdr:colOff>
      <xdr:row>130</xdr:row>
      <xdr:rowOff>60644</xdr:rowOff>
    </xdr:to>
    <xdr:cxnSp macro="">
      <xdr:nvCxnSpPr>
        <xdr:cNvPr id="94" name="カギ線コネクタ 4">
          <a:extLst>
            <a:ext uri="{FF2B5EF4-FFF2-40B4-BE49-F238E27FC236}">
              <a16:creationId xmlns:a16="http://schemas.microsoft.com/office/drawing/2014/main" id="{B3521EFD-2D07-4125-959A-AC31716D9DED}"/>
            </a:ext>
          </a:extLst>
        </xdr:cNvPr>
        <xdr:cNvCxnSpPr>
          <a:cxnSpLocks/>
          <a:stCxn id="79" idx="3"/>
          <a:endCxn id="91" idx="1"/>
        </xdr:cNvCxnSpPr>
      </xdr:nvCxnSpPr>
      <xdr:spPr>
        <a:xfrm flipV="1">
          <a:off x="13649297" y="2068830"/>
          <a:ext cx="581237" cy="5143184"/>
        </a:xfrm>
        <a:prstGeom prst="bentConnector3">
          <a:avLst>
            <a:gd name="adj1" fmla="val 50000"/>
          </a:avLst>
        </a:prstGeom>
        <a:ln>
          <a:solidFill>
            <a:srgbClr val="FF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1015973</xdr:colOff>
      <xdr:row>66</xdr:row>
      <xdr:rowOff>21166</xdr:rowOff>
    </xdr:from>
    <xdr:to>
      <xdr:col>15</xdr:col>
      <xdr:colOff>1206473</xdr:colOff>
      <xdr:row>66</xdr:row>
      <xdr:rowOff>126999</xdr:rowOff>
    </xdr:to>
    <xdr:sp macro="" textlink="">
      <xdr:nvSpPr>
        <xdr:cNvPr id="95" name="フローチャート : 判断 50">
          <a:extLst>
            <a:ext uri="{FF2B5EF4-FFF2-40B4-BE49-F238E27FC236}">
              <a16:creationId xmlns:a16="http://schemas.microsoft.com/office/drawing/2014/main" id="{65233CA0-681A-4DC0-ACAC-50CA05EAFA08}"/>
            </a:ext>
          </a:extLst>
        </xdr:cNvPr>
        <xdr:cNvSpPr/>
      </xdr:nvSpPr>
      <xdr:spPr>
        <a:xfrm>
          <a:off x="9208108" y="7410026"/>
          <a:ext cx="0" cy="100118"/>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1037139</xdr:colOff>
      <xdr:row>67</xdr:row>
      <xdr:rowOff>21167</xdr:rowOff>
    </xdr:from>
    <xdr:to>
      <xdr:col>16</xdr:col>
      <xdr:colOff>10555</xdr:colOff>
      <xdr:row>67</xdr:row>
      <xdr:rowOff>127000</xdr:rowOff>
    </xdr:to>
    <xdr:sp macro="" textlink="">
      <xdr:nvSpPr>
        <xdr:cNvPr id="96" name="フローチャート : 判断 51">
          <a:extLst>
            <a:ext uri="{FF2B5EF4-FFF2-40B4-BE49-F238E27FC236}">
              <a16:creationId xmlns:a16="http://schemas.microsoft.com/office/drawing/2014/main" id="{1CDF5998-9207-4AFE-A8E9-E983001534E1}"/>
            </a:ext>
          </a:extLst>
        </xdr:cNvPr>
        <xdr:cNvSpPr/>
      </xdr:nvSpPr>
      <xdr:spPr>
        <a:xfrm>
          <a:off x="9210224" y="7556077"/>
          <a:ext cx="12276" cy="100118"/>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10582</xdr:colOff>
      <xdr:row>66</xdr:row>
      <xdr:rowOff>21168</xdr:rowOff>
    </xdr:from>
    <xdr:to>
      <xdr:col>10</xdr:col>
      <xdr:colOff>201076</xdr:colOff>
      <xdr:row>66</xdr:row>
      <xdr:rowOff>137585</xdr:rowOff>
    </xdr:to>
    <xdr:sp macro="" textlink="">
      <xdr:nvSpPr>
        <xdr:cNvPr id="97" name="フローチャート : 判断 71">
          <a:extLst>
            <a:ext uri="{FF2B5EF4-FFF2-40B4-BE49-F238E27FC236}">
              <a16:creationId xmlns:a16="http://schemas.microsoft.com/office/drawing/2014/main" id="{BC2041FA-0C85-4E03-8AD5-13AC8EADC180}"/>
            </a:ext>
          </a:extLst>
        </xdr:cNvPr>
        <xdr:cNvSpPr/>
      </xdr:nvSpPr>
      <xdr:spPr>
        <a:xfrm>
          <a:off x="5222027" y="7410028"/>
          <a:ext cx="190494" cy="116417"/>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4444</xdr:colOff>
      <xdr:row>13</xdr:row>
      <xdr:rowOff>92710</xdr:rowOff>
    </xdr:from>
    <xdr:to>
      <xdr:col>10</xdr:col>
      <xdr:colOff>8677</xdr:colOff>
      <xdr:row>66</xdr:row>
      <xdr:rowOff>83187</xdr:rowOff>
    </xdr:to>
    <xdr:cxnSp macro="">
      <xdr:nvCxnSpPr>
        <xdr:cNvPr id="98" name="カギ線コネクタ 14">
          <a:extLst>
            <a:ext uri="{FF2B5EF4-FFF2-40B4-BE49-F238E27FC236}">
              <a16:creationId xmlns:a16="http://schemas.microsoft.com/office/drawing/2014/main" id="{D427377C-5E78-61AE-EAAD-9D614029FD11}"/>
            </a:ext>
          </a:extLst>
        </xdr:cNvPr>
        <xdr:cNvCxnSpPr>
          <a:stCxn id="47" idx="3"/>
          <a:endCxn id="97" idx="1"/>
        </xdr:cNvCxnSpPr>
      </xdr:nvCxnSpPr>
      <xdr:spPr>
        <a:xfrm>
          <a:off x="4658994" y="2251710"/>
          <a:ext cx="563033" cy="8385177"/>
        </a:xfrm>
        <a:prstGeom prst="bentConnector3">
          <a:avLst>
            <a:gd name="adj1" fmla="val 50000"/>
          </a:avLst>
        </a:prstGeom>
        <a:ln>
          <a:solidFill>
            <a:srgbClr val="FF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1015973</xdr:colOff>
      <xdr:row>148</xdr:row>
      <xdr:rowOff>21166</xdr:rowOff>
    </xdr:from>
    <xdr:to>
      <xdr:col>15</xdr:col>
      <xdr:colOff>1206473</xdr:colOff>
      <xdr:row>148</xdr:row>
      <xdr:rowOff>126999</xdr:rowOff>
    </xdr:to>
    <xdr:sp macro="" textlink="">
      <xdr:nvSpPr>
        <xdr:cNvPr id="103" name="フローチャート : 判断 50">
          <a:extLst>
            <a:ext uri="{FF2B5EF4-FFF2-40B4-BE49-F238E27FC236}">
              <a16:creationId xmlns:a16="http://schemas.microsoft.com/office/drawing/2014/main" id="{D53830F3-D0AF-49F1-A4CC-0306837578A7}"/>
            </a:ext>
          </a:extLst>
        </xdr:cNvPr>
        <xdr:cNvSpPr/>
      </xdr:nvSpPr>
      <xdr:spPr>
        <a:xfrm>
          <a:off x="9208108" y="10578676"/>
          <a:ext cx="0" cy="100118"/>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1037139</xdr:colOff>
      <xdr:row>149</xdr:row>
      <xdr:rowOff>21167</xdr:rowOff>
    </xdr:from>
    <xdr:to>
      <xdr:col>16</xdr:col>
      <xdr:colOff>10555</xdr:colOff>
      <xdr:row>149</xdr:row>
      <xdr:rowOff>127000</xdr:rowOff>
    </xdr:to>
    <xdr:sp macro="" textlink="">
      <xdr:nvSpPr>
        <xdr:cNvPr id="104" name="フローチャート : 判断 51">
          <a:extLst>
            <a:ext uri="{FF2B5EF4-FFF2-40B4-BE49-F238E27FC236}">
              <a16:creationId xmlns:a16="http://schemas.microsoft.com/office/drawing/2014/main" id="{B0D6FF0C-1D23-4279-A9DD-10830E4EF8AB}"/>
            </a:ext>
          </a:extLst>
        </xdr:cNvPr>
        <xdr:cNvSpPr/>
      </xdr:nvSpPr>
      <xdr:spPr>
        <a:xfrm>
          <a:off x="9210224" y="10756477"/>
          <a:ext cx="12276" cy="100118"/>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10582</xdr:colOff>
      <xdr:row>148</xdr:row>
      <xdr:rowOff>21168</xdr:rowOff>
    </xdr:from>
    <xdr:to>
      <xdr:col>10</xdr:col>
      <xdr:colOff>201076</xdr:colOff>
      <xdr:row>148</xdr:row>
      <xdr:rowOff>137585</xdr:rowOff>
    </xdr:to>
    <xdr:sp macro="" textlink="">
      <xdr:nvSpPr>
        <xdr:cNvPr id="105" name="フローチャート : 判断 71">
          <a:extLst>
            <a:ext uri="{FF2B5EF4-FFF2-40B4-BE49-F238E27FC236}">
              <a16:creationId xmlns:a16="http://schemas.microsoft.com/office/drawing/2014/main" id="{9E40544B-16AF-48AF-B2DA-BFFEAE30B2F9}"/>
            </a:ext>
          </a:extLst>
        </xdr:cNvPr>
        <xdr:cNvSpPr/>
      </xdr:nvSpPr>
      <xdr:spPr>
        <a:xfrm>
          <a:off x="5222027" y="10578678"/>
          <a:ext cx="190494" cy="116417"/>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4444</xdr:colOff>
      <xdr:row>95</xdr:row>
      <xdr:rowOff>92710</xdr:rowOff>
    </xdr:from>
    <xdr:to>
      <xdr:col>10</xdr:col>
      <xdr:colOff>8677</xdr:colOff>
      <xdr:row>148</xdr:row>
      <xdr:rowOff>83187</xdr:rowOff>
    </xdr:to>
    <xdr:cxnSp macro="">
      <xdr:nvCxnSpPr>
        <xdr:cNvPr id="106" name="カギ線コネクタ 14">
          <a:extLst>
            <a:ext uri="{FF2B5EF4-FFF2-40B4-BE49-F238E27FC236}">
              <a16:creationId xmlns:a16="http://schemas.microsoft.com/office/drawing/2014/main" id="{45A3DF6F-EA64-03C6-F5B9-793393170622}"/>
            </a:ext>
          </a:extLst>
        </xdr:cNvPr>
        <xdr:cNvCxnSpPr>
          <a:stCxn id="84" idx="3"/>
          <a:endCxn id="105" idx="1"/>
        </xdr:cNvCxnSpPr>
      </xdr:nvCxnSpPr>
      <xdr:spPr>
        <a:xfrm>
          <a:off x="4658994" y="15650210"/>
          <a:ext cx="563033" cy="8378827"/>
        </a:xfrm>
        <a:prstGeom prst="bentConnector3">
          <a:avLst>
            <a:gd name="adj1" fmla="val 50000"/>
          </a:avLst>
        </a:prstGeom>
        <a:ln>
          <a:solidFill>
            <a:srgbClr val="FF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21139</xdr:colOff>
      <xdr:row>149</xdr:row>
      <xdr:rowOff>52916</xdr:rowOff>
    </xdr:from>
    <xdr:to>
      <xdr:col>26</xdr:col>
      <xdr:colOff>211638</xdr:colOff>
      <xdr:row>149</xdr:row>
      <xdr:rowOff>158749</xdr:rowOff>
    </xdr:to>
    <xdr:sp macro="" textlink="">
      <xdr:nvSpPr>
        <xdr:cNvPr id="110" name="フローチャート : 判断 55">
          <a:extLst>
            <a:ext uri="{FF2B5EF4-FFF2-40B4-BE49-F238E27FC236}">
              <a16:creationId xmlns:a16="http://schemas.microsoft.com/office/drawing/2014/main" id="{4EA65230-0600-4830-80EC-3A53E052C4DF}"/>
            </a:ext>
          </a:extLst>
        </xdr:cNvPr>
        <xdr:cNvSpPr/>
      </xdr:nvSpPr>
      <xdr:spPr>
        <a:xfrm>
          <a:off x="14045749" y="15760276"/>
          <a:ext cx="190499" cy="84878"/>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26</xdr:col>
      <xdr:colOff>21151</xdr:colOff>
      <xdr:row>150</xdr:row>
      <xdr:rowOff>22206</xdr:rowOff>
    </xdr:from>
    <xdr:to>
      <xdr:col>26</xdr:col>
      <xdr:colOff>211651</xdr:colOff>
      <xdr:row>150</xdr:row>
      <xdr:rowOff>128039</xdr:rowOff>
    </xdr:to>
    <xdr:sp macro="" textlink="">
      <xdr:nvSpPr>
        <xdr:cNvPr id="111" name="フローチャート : 判断 40">
          <a:extLst>
            <a:ext uri="{FF2B5EF4-FFF2-40B4-BE49-F238E27FC236}">
              <a16:creationId xmlns:a16="http://schemas.microsoft.com/office/drawing/2014/main" id="{56918CEF-C844-4245-B7FF-5F40AD1683E3}"/>
            </a:ext>
          </a:extLst>
        </xdr:cNvPr>
        <xdr:cNvSpPr/>
      </xdr:nvSpPr>
      <xdr:spPr>
        <a:xfrm>
          <a:off x="14045761" y="15875616"/>
          <a:ext cx="190500" cy="100118"/>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275154</xdr:colOff>
      <xdr:row>153</xdr:row>
      <xdr:rowOff>31748</xdr:rowOff>
    </xdr:from>
    <xdr:to>
      <xdr:col>23</xdr:col>
      <xdr:colOff>465654</xdr:colOff>
      <xdr:row>153</xdr:row>
      <xdr:rowOff>128056</xdr:rowOff>
    </xdr:to>
    <xdr:sp macro="" textlink="">
      <xdr:nvSpPr>
        <xdr:cNvPr id="112" name="フローチャート : 判断 81">
          <a:extLst>
            <a:ext uri="{FF2B5EF4-FFF2-40B4-BE49-F238E27FC236}">
              <a16:creationId xmlns:a16="http://schemas.microsoft.com/office/drawing/2014/main" id="{F61FD954-DC11-4BC5-8DD7-FF485FD5D745}"/>
            </a:ext>
          </a:extLst>
        </xdr:cNvPr>
        <xdr:cNvSpPr/>
      </xdr:nvSpPr>
      <xdr:spPr>
        <a:xfrm>
          <a:off x="13214549" y="21668103"/>
          <a:ext cx="190500" cy="92498"/>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18</xdr:col>
      <xdr:colOff>10554</xdr:colOff>
      <xdr:row>148</xdr:row>
      <xdr:rowOff>22223</xdr:rowOff>
    </xdr:from>
    <xdr:to>
      <xdr:col>18</xdr:col>
      <xdr:colOff>201054</xdr:colOff>
      <xdr:row>148</xdr:row>
      <xdr:rowOff>128056</xdr:rowOff>
    </xdr:to>
    <xdr:sp macro="" textlink="">
      <xdr:nvSpPr>
        <xdr:cNvPr id="113" name="フローチャート : 判断 86">
          <a:extLst>
            <a:ext uri="{FF2B5EF4-FFF2-40B4-BE49-F238E27FC236}">
              <a16:creationId xmlns:a16="http://schemas.microsoft.com/office/drawing/2014/main" id="{686D3C7A-DDD0-4484-9D4E-D6E947FB70BE}"/>
            </a:ext>
          </a:extLst>
        </xdr:cNvPr>
        <xdr:cNvSpPr/>
      </xdr:nvSpPr>
      <xdr:spPr>
        <a:xfrm>
          <a:off x="9781299" y="20803233"/>
          <a:ext cx="190500" cy="100118"/>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17</xdr:col>
      <xdr:colOff>105803</xdr:colOff>
      <xdr:row>149</xdr:row>
      <xdr:rowOff>53973</xdr:rowOff>
    </xdr:from>
    <xdr:to>
      <xdr:col>18</xdr:col>
      <xdr:colOff>190470</xdr:colOff>
      <xdr:row>149</xdr:row>
      <xdr:rowOff>159806</xdr:rowOff>
    </xdr:to>
    <xdr:sp macro="" textlink="">
      <xdr:nvSpPr>
        <xdr:cNvPr id="114" name="フローチャート : 判断 87">
          <a:extLst>
            <a:ext uri="{FF2B5EF4-FFF2-40B4-BE49-F238E27FC236}">
              <a16:creationId xmlns:a16="http://schemas.microsoft.com/office/drawing/2014/main" id="{228A951E-4AF9-4FEB-A4F0-BC3860AE0DC0}"/>
            </a:ext>
          </a:extLst>
        </xdr:cNvPr>
        <xdr:cNvSpPr/>
      </xdr:nvSpPr>
      <xdr:spPr>
        <a:xfrm>
          <a:off x="9772408" y="20981033"/>
          <a:ext cx="190712" cy="100118"/>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339486</xdr:colOff>
      <xdr:row>150</xdr:row>
      <xdr:rowOff>63078</xdr:rowOff>
    </xdr:from>
    <xdr:to>
      <xdr:col>24</xdr:col>
      <xdr:colOff>1665</xdr:colOff>
      <xdr:row>150</xdr:row>
      <xdr:rowOff>167006</xdr:rowOff>
    </xdr:to>
    <xdr:sp macro="" textlink="">
      <xdr:nvSpPr>
        <xdr:cNvPr id="116" name="フローチャート : 判断 119">
          <a:extLst>
            <a:ext uri="{FF2B5EF4-FFF2-40B4-BE49-F238E27FC236}">
              <a16:creationId xmlns:a16="http://schemas.microsoft.com/office/drawing/2014/main" id="{0F5DD1E0-149C-4E83-BADD-C009B24DE06D}"/>
            </a:ext>
          </a:extLst>
        </xdr:cNvPr>
        <xdr:cNvSpPr/>
      </xdr:nvSpPr>
      <xdr:spPr>
        <a:xfrm>
          <a:off x="13280786" y="21166033"/>
          <a:ext cx="182879" cy="105833"/>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16</xdr:col>
      <xdr:colOff>3174</xdr:colOff>
      <xdr:row>149</xdr:row>
      <xdr:rowOff>110703</xdr:rowOff>
    </xdr:from>
    <xdr:to>
      <xdr:col>18</xdr:col>
      <xdr:colOff>5555</xdr:colOff>
      <xdr:row>149</xdr:row>
      <xdr:rowOff>110703</xdr:rowOff>
    </xdr:to>
    <xdr:sp macro="" textlink="">
      <xdr:nvSpPr>
        <xdr:cNvPr id="118" name="Line 11">
          <a:extLst>
            <a:ext uri="{FF2B5EF4-FFF2-40B4-BE49-F238E27FC236}">
              <a16:creationId xmlns:a16="http://schemas.microsoft.com/office/drawing/2014/main" id="{AB9AFA2B-8791-405C-940B-58F10A17395F}"/>
            </a:ext>
          </a:extLst>
        </xdr:cNvPr>
        <xdr:cNvSpPr>
          <a:spLocks noChangeShapeType="1"/>
        </xdr:cNvSpPr>
      </xdr:nvSpPr>
      <xdr:spPr bwMode="auto">
        <a:xfrm>
          <a:off x="9217024" y="24234353"/>
          <a:ext cx="561181" cy="0"/>
        </a:xfrm>
        <a:prstGeom prst="line">
          <a:avLst/>
        </a:prstGeom>
        <a:noFill/>
        <a:ln w="9525">
          <a:solidFill>
            <a:srgbClr val="0000FF"/>
          </a:solidFill>
          <a:prstDash val="sysDash"/>
          <a:round/>
          <a:headEnd/>
          <a:tailEnd/>
        </a:ln>
        <a:extLst>
          <a:ext uri="{909E8E84-426E-40DD-AFC4-6F175D3DCCD1}">
            <a14:hiddenFill xmlns:a14="http://schemas.microsoft.com/office/drawing/2010/main">
              <a:noFill/>
            </a14:hiddenFill>
          </a:ext>
        </a:extLst>
      </xdr:spPr>
    </xdr:sp>
    <xdr:clientData/>
  </xdr:twoCellAnchor>
  <xdr:twoCellAnchor>
    <xdr:from>
      <xdr:col>24</xdr:col>
      <xdr:colOff>0</xdr:colOff>
      <xdr:row>148</xdr:row>
      <xdr:rowOff>112395</xdr:rowOff>
    </xdr:from>
    <xdr:to>
      <xdr:col>26</xdr:col>
      <xdr:colOff>476</xdr:colOff>
      <xdr:row>148</xdr:row>
      <xdr:rowOff>112395</xdr:rowOff>
    </xdr:to>
    <xdr:sp macro="" textlink="">
      <xdr:nvSpPr>
        <xdr:cNvPr id="122" name="Line 11">
          <a:extLst>
            <a:ext uri="{FF2B5EF4-FFF2-40B4-BE49-F238E27FC236}">
              <a16:creationId xmlns:a16="http://schemas.microsoft.com/office/drawing/2014/main" id="{08B39145-B5F9-4366-9285-7F77C4F60B98}"/>
            </a:ext>
          </a:extLst>
        </xdr:cNvPr>
        <xdr:cNvSpPr>
          <a:spLocks noChangeShapeType="1"/>
        </xdr:cNvSpPr>
      </xdr:nvSpPr>
      <xdr:spPr bwMode="auto">
        <a:xfrm>
          <a:off x="13462000" y="24058245"/>
          <a:ext cx="559276" cy="0"/>
        </a:xfrm>
        <a:prstGeom prst="line">
          <a:avLst/>
        </a:prstGeom>
        <a:noFill/>
        <a:ln w="9525">
          <a:solidFill>
            <a:srgbClr val="FF0000"/>
          </a:solidFill>
          <a:prstDash val="dash"/>
          <a:round/>
          <a:headEnd/>
          <a:tailEnd/>
        </a:ln>
        <a:extLst>
          <a:ext uri="{909E8E84-426E-40DD-AFC4-6F175D3DCCD1}">
            <a14:hiddenFill xmlns:a14="http://schemas.microsoft.com/office/drawing/2010/main">
              <a:noFill/>
            </a14:hiddenFill>
          </a:ext>
        </a:extLst>
      </xdr:spPr>
    </xdr:sp>
    <xdr:clientData/>
  </xdr:twoCellAnchor>
  <xdr:twoCellAnchor>
    <xdr:from>
      <xdr:col>24</xdr:col>
      <xdr:colOff>1665</xdr:colOff>
      <xdr:row>149</xdr:row>
      <xdr:rowOff>106785</xdr:rowOff>
    </xdr:from>
    <xdr:to>
      <xdr:col>26</xdr:col>
      <xdr:colOff>24949</xdr:colOff>
      <xdr:row>150</xdr:row>
      <xdr:rowOff>117900</xdr:rowOff>
    </xdr:to>
    <xdr:cxnSp macro="">
      <xdr:nvCxnSpPr>
        <xdr:cNvPr id="123" name="カギ線コネクタ 144">
          <a:extLst>
            <a:ext uri="{FF2B5EF4-FFF2-40B4-BE49-F238E27FC236}">
              <a16:creationId xmlns:a16="http://schemas.microsoft.com/office/drawing/2014/main" id="{0680C93A-761F-E456-973D-F0B92F5712B2}"/>
            </a:ext>
          </a:extLst>
        </xdr:cNvPr>
        <xdr:cNvCxnSpPr>
          <a:cxnSpLocks/>
          <a:stCxn id="116" idx="3"/>
          <a:endCxn id="110" idx="1"/>
        </xdr:cNvCxnSpPr>
      </xdr:nvCxnSpPr>
      <xdr:spPr>
        <a:xfrm flipV="1">
          <a:off x="13463665" y="24230435"/>
          <a:ext cx="582084" cy="188915"/>
        </a:xfrm>
        <a:prstGeom prst="bentConnector3">
          <a:avLst>
            <a:gd name="adj1" fmla="val 50000"/>
          </a:avLst>
        </a:prstGeom>
        <a:ln>
          <a:solidFill>
            <a:srgbClr val="0000FF"/>
          </a:solidFill>
          <a:prstDash val="sys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29844</xdr:colOff>
      <xdr:row>37</xdr:row>
      <xdr:rowOff>40005</xdr:rowOff>
    </xdr:from>
    <xdr:to>
      <xdr:col>4</xdr:col>
      <xdr:colOff>29845</xdr:colOff>
      <xdr:row>62</xdr:row>
      <xdr:rowOff>150495</xdr:rowOff>
    </xdr:to>
    <xdr:sp macro="" textlink="">
      <xdr:nvSpPr>
        <xdr:cNvPr id="126" name="テキスト ボックス 125">
          <a:extLst>
            <a:ext uri="{FF2B5EF4-FFF2-40B4-BE49-F238E27FC236}">
              <a16:creationId xmlns:a16="http://schemas.microsoft.com/office/drawing/2014/main" id="{DE87A6B3-A807-35E3-3B38-994170C65FBA}"/>
            </a:ext>
          </a:extLst>
        </xdr:cNvPr>
        <xdr:cNvSpPr txBox="1"/>
      </xdr:nvSpPr>
      <xdr:spPr>
        <a:xfrm>
          <a:off x="258444" y="5818505"/>
          <a:ext cx="2362201" cy="417449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lstStyle/>
        <a:p>
          <a:r>
            <a:rPr kumimoji="1" lang="en-US" altLang="ja-JP" sz="900">
              <a:latin typeface="ＭＳ ゴシック" panose="020B0609070205080204" pitchFamily="49" charset="-128"/>
              <a:ea typeface="ＭＳ ゴシック" panose="020B0609070205080204" pitchFamily="49" charset="-128"/>
            </a:rPr>
            <a:t>     10  x</a:t>
          </a:r>
          <a:r>
            <a:rPr kumimoji="1" lang="ja-JP" altLang="en-US" sz="900">
              <a:latin typeface="ＭＳ ゴシック" panose="020B0609070205080204" pitchFamily="49" charset="-128"/>
              <a:ea typeface="ＭＳ ゴシック" panose="020B0609070205080204" pitchFamily="49" charset="-128"/>
            </a:rPr>
            <a:t>商品</a:t>
          </a:r>
          <a:r>
            <a:rPr kumimoji="1" lang="en-US" altLang="ja-JP" sz="900">
              <a:latin typeface="ＭＳ ゴシック" panose="020B0609070205080204" pitchFamily="49" charset="-128"/>
              <a:ea typeface="ＭＳ ゴシック" panose="020B0609070205080204" pitchFamily="49" charset="-128"/>
            </a:rPr>
            <a:t>A            \2,248        ←</a:t>
          </a:r>
          <a:r>
            <a:rPr kumimoji="1" lang="ja-JP" altLang="en-US" sz="900">
              <a:latin typeface="ＭＳ ゴシック" panose="020B0609070205080204" pitchFamily="49" charset="-128"/>
              <a:ea typeface="ＭＳ ゴシック" panose="020B0609070205080204" pitchFamily="49" charset="-128"/>
            </a:rPr>
            <a:t>外税 </a:t>
          </a:r>
          <a:r>
            <a:rPr kumimoji="1" lang="en-US" altLang="ja-JP" sz="900">
              <a:latin typeface="ＭＳ ゴシック" panose="020B0609070205080204" pitchFamily="49" charset="-128"/>
              <a:ea typeface="ＭＳ ゴシック" panose="020B0609070205080204" pitchFamily="49" charset="-128"/>
            </a:rPr>
            <a:t>8%</a:t>
          </a:r>
        </a:p>
        <a:p>
          <a:r>
            <a:rPr kumimoji="1" lang="en-US" altLang="ja-JP" sz="900">
              <a:latin typeface="ＭＳ ゴシック" panose="020B0609070205080204" pitchFamily="49" charset="-128"/>
              <a:ea typeface="ＭＳ ゴシック" panose="020B0609070205080204" pitchFamily="49" charset="-128"/>
            </a:rPr>
            <a:t>     2162000001918</a:t>
          </a:r>
        </a:p>
        <a:p>
          <a:endParaRPr kumimoji="1" lang="en-US" altLang="ja-JP" sz="900">
            <a:latin typeface="ＭＳ ゴシック" panose="020B0609070205080204" pitchFamily="49" charset="-128"/>
            <a:ea typeface="ＭＳ ゴシック" panose="020B0609070205080204" pitchFamily="49" charset="-128"/>
          </a:endParaRPr>
        </a:p>
        <a:p>
          <a:r>
            <a:rPr kumimoji="1" lang="en-US" altLang="ja-JP" sz="900">
              <a:latin typeface="ＭＳ ゴシック" panose="020B0609070205080204" pitchFamily="49" charset="-128"/>
              <a:ea typeface="ＭＳ ゴシック" panose="020B0609070205080204" pitchFamily="49" charset="-128"/>
            </a:rPr>
            <a:t>     10  x</a:t>
          </a:r>
          <a:r>
            <a:rPr kumimoji="1" lang="ja-JP" altLang="en-US" sz="900">
              <a:latin typeface="ＭＳ ゴシック" panose="020B0609070205080204" pitchFamily="49" charset="-128"/>
              <a:ea typeface="ＭＳ ゴシック" panose="020B0609070205080204" pitchFamily="49" charset="-128"/>
            </a:rPr>
            <a:t>商品</a:t>
          </a:r>
          <a:r>
            <a:rPr kumimoji="1" lang="en-US" altLang="ja-JP" sz="900">
              <a:latin typeface="ＭＳ ゴシック" panose="020B0609070205080204" pitchFamily="49" charset="-128"/>
              <a:ea typeface="ＭＳ ゴシック" panose="020B0609070205080204" pitchFamily="49" charset="-128"/>
            </a:rPr>
            <a:t>B                          ←</a:t>
          </a:r>
          <a:r>
            <a:rPr kumimoji="1" lang="ja-JP" altLang="en-US" sz="900">
              <a:latin typeface="ＭＳ ゴシック" panose="020B0609070205080204" pitchFamily="49" charset="-128"/>
              <a:ea typeface="ＭＳ ゴシック" panose="020B0609070205080204" pitchFamily="49" charset="-128"/>
            </a:rPr>
            <a:t>外税 </a:t>
          </a:r>
          <a:r>
            <a:rPr kumimoji="1" lang="en-US" altLang="ja-JP" sz="900">
              <a:latin typeface="ＭＳ ゴシック" panose="020B0609070205080204" pitchFamily="49" charset="-128"/>
              <a:ea typeface="ＭＳ ゴシック" panose="020B0609070205080204" pitchFamily="49" charset="-128"/>
            </a:rPr>
            <a:t>8%</a:t>
          </a:r>
        </a:p>
        <a:p>
          <a:r>
            <a:rPr kumimoji="1" lang="en-US" altLang="ja-JP" sz="900">
              <a:latin typeface="ＭＳ ゴシック" panose="020B0609070205080204" pitchFamily="49" charset="-128"/>
              <a:ea typeface="ＭＳ ゴシック" panose="020B0609070205080204" pitchFamily="49" charset="-128"/>
            </a:rPr>
            <a:t>     2162000001390</a:t>
          </a:r>
        </a:p>
        <a:p>
          <a:r>
            <a:rPr kumimoji="1" lang="en-US" altLang="ja-JP" sz="900">
              <a:latin typeface="ＭＳ ゴシック" panose="020B0609070205080204" pitchFamily="49" charset="-128"/>
              <a:ea typeface="ＭＳ ゴシック" panose="020B0609070205080204" pitchFamily="49" charset="-128"/>
            </a:rPr>
            <a:t>        \2,271   3</a:t>
          </a:r>
          <a:r>
            <a:rPr kumimoji="1" lang="ja-JP" altLang="en-US" sz="900">
              <a:latin typeface="ＭＳ ゴシック" panose="020B0609070205080204" pitchFamily="49" charset="-128"/>
              <a:ea typeface="ＭＳ ゴシック" panose="020B0609070205080204" pitchFamily="49" charset="-128"/>
            </a:rPr>
            <a:t>個       </a:t>
          </a:r>
          <a:r>
            <a:rPr kumimoji="1" lang="en-US" altLang="ja-JP" sz="900">
              <a:latin typeface="ＭＳ ゴシック" panose="020B0609070205080204" pitchFamily="49" charset="-128"/>
              <a:ea typeface="ＭＳ ゴシック" panose="020B0609070205080204" pitchFamily="49" charset="-128"/>
            </a:rPr>
            <a:t>\6,813</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値引       </a:t>
          </a:r>
          <a:r>
            <a:rPr kumimoji="1" lang="en-US" altLang="ja-JP" sz="900">
              <a:latin typeface="ＭＳ ゴシック" panose="020B0609070205080204" pitchFamily="49" charset="-128"/>
              <a:ea typeface="ＭＳ ゴシック" panose="020B0609070205080204" pitchFamily="49" charset="-128"/>
            </a:rPr>
            <a:t>10%        -\684        ←</a:t>
          </a:r>
          <a:r>
            <a:rPr kumimoji="1" lang="ja-JP" altLang="en-US" sz="900">
              <a:latin typeface="ＭＳ ゴシック" panose="020B0609070205080204" pitchFamily="49" charset="-128"/>
              <a:ea typeface="ＭＳ ゴシック" panose="020B0609070205080204" pitchFamily="49" charset="-128"/>
            </a:rPr>
            <a:t>マニュアル値引 </a:t>
          </a:r>
          <a:r>
            <a:rPr kumimoji="1" lang="en-US" altLang="ja-JP" sz="900">
              <a:latin typeface="ＭＳ ゴシック" panose="020B0609070205080204" pitchFamily="49" charset="-128"/>
              <a:ea typeface="ＭＳ ゴシック" panose="020B0609070205080204" pitchFamily="49" charset="-128"/>
            </a:rPr>
            <a:t>10%</a:t>
          </a:r>
          <a:r>
            <a:rPr kumimoji="1" lang="ja-JP" altLang="en-US" sz="900">
              <a:latin typeface="ＭＳ ゴシック" panose="020B0609070205080204" pitchFamily="49" charset="-128"/>
              <a:ea typeface="ＭＳ ゴシック" panose="020B0609070205080204" pitchFamily="49" charset="-128"/>
            </a:rPr>
            <a:t>引き</a:t>
          </a:r>
        </a:p>
        <a:p>
          <a:endParaRPr kumimoji="1" lang="ja-JP" altLang="en-US" sz="900">
            <a:latin typeface="ＭＳ ゴシック" panose="020B0609070205080204" pitchFamily="49" charset="-128"/>
            <a:ea typeface="ＭＳ ゴシック" panose="020B0609070205080204" pitchFamily="49" charset="-128"/>
          </a:endParaRPr>
        </a:p>
        <a:p>
          <a:r>
            <a:rPr kumimoji="1" lang="ja-JP" altLang="en-US" sz="900">
              <a:latin typeface="ＭＳ ゴシック" panose="020B0609070205080204" pitchFamily="49" charset="-128"/>
              <a:ea typeface="ＭＳ ゴシック" panose="020B0609070205080204" pitchFamily="49" charset="-128"/>
            </a:rPr>
            <a:t>     </a:t>
          </a:r>
          <a:r>
            <a:rPr kumimoji="1" lang="en-US" altLang="ja-JP" sz="900">
              <a:latin typeface="ＭＳ ゴシック" panose="020B0609070205080204" pitchFamily="49" charset="-128"/>
              <a:ea typeface="ＭＳ ゴシック" panose="020B0609070205080204" pitchFamily="49" charset="-128"/>
            </a:rPr>
            <a:t>20  x</a:t>
          </a:r>
          <a:r>
            <a:rPr kumimoji="1" lang="ja-JP" altLang="en-US" sz="900">
              <a:latin typeface="ＭＳ ゴシック" panose="020B0609070205080204" pitchFamily="49" charset="-128"/>
              <a:ea typeface="ＭＳ ゴシック" panose="020B0609070205080204" pitchFamily="49" charset="-128"/>
            </a:rPr>
            <a:t>商品</a:t>
          </a:r>
          <a:r>
            <a:rPr kumimoji="1" lang="en-US" altLang="ja-JP" sz="900">
              <a:latin typeface="ＭＳ ゴシック" panose="020B0609070205080204" pitchFamily="49" charset="-128"/>
              <a:ea typeface="ＭＳ ゴシック" panose="020B0609070205080204" pitchFamily="49" charset="-128"/>
            </a:rPr>
            <a:t>C            \2,248        ←</a:t>
          </a:r>
          <a:r>
            <a:rPr kumimoji="1" lang="ja-JP" altLang="en-US" sz="900">
              <a:latin typeface="ＭＳ ゴシック" panose="020B0609070205080204" pitchFamily="49" charset="-128"/>
              <a:ea typeface="ＭＳ ゴシック" panose="020B0609070205080204" pitchFamily="49" charset="-128"/>
            </a:rPr>
            <a:t>外税 </a:t>
          </a:r>
          <a:r>
            <a:rPr kumimoji="1" lang="en-US" altLang="ja-JP" sz="900">
              <a:latin typeface="ＭＳ ゴシック" panose="020B0609070205080204" pitchFamily="49" charset="-128"/>
              <a:ea typeface="ＭＳ ゴシック" panose="020B0609070205080204" pitchFamily="49" charset="-128"/>
            </a:rPr>
            <a:t>8%</a:t>
          </a:r>
        </a:p>
        <a:p>
          <a:r>
            <a:rPr kumimoji="1" lang="en-US" altLang="ja-JP" sz="900">
              <a:latin typeface="ＭＳ ゴシック" panose="020B0609070205080204" pitchFamily="49" charset="-128"/>
              <a:ea typeface="ＭＳ ゴシック" panose="020B0609070205080204" pitchFamily="49" charset="-128"/>
            </a:rPr>
            <a:t>     4901650291533</a:t>
          </a:r>
        </a:p>
        <a:p>
          <a:endParaRPr kumimoji="1" lang="en-US" altLang="ja-JP" sz="900">
            <a:latin typeface="ＭＳ ゴシック" panose="020B0609070205080204" pitchFamily="49" charset="-128"/>
            <a:ea typeface="ＭＳ ゴシック" panose="020B0609070205080204" pitchFamily="49" charset="-128"/>
          </a:endParaRPr>
        </a:p>
        <a:p>
          <a:r>
            <a:rPr kumimoji="1" lang="en-US" altLang="ja-JP" sz="900">
              <a:latin typeface="ＭＳ ゴシック" panose="020B0609070205080204" pitchFamily="49" charset="-128"/>
              <a:ea typeface="ＭＳ ゴシック" panose="020B0609070205080204" pitchFamily="49" charset="-128"/>
            </a:rPr>
            <a:t>     90  </a:t>
          </a:r>
          <a:r>
            <a:rPr kumimoji="1" lang="ja-JP" altLang="en-US" sz="900">
              <a:latin typeface="ＭＳ ゴシック" panose="020B0609070205080204" pitchFamily="49" charset="-128"/>
              <a:ea typeface="ＭＳ ゴシック" panose="020B0609070205080204" pitchFamily="49" charset="-128"/>
            </a:rPr>
            <a:t>商品</a:t>
          </a:r>
          <a:r>
            <a:rPr kumimoji="1" lang="en-US" altLang="ja-JP" sz="900">
              <a:latin typeface="ＭＳ ゴシック" panose="020B0609070205080204" pitchFamily="49" charset="-128"/>
              <a:ea typeface="ＭＳ ゴシック" panose="020B0609070205080204" pitchFamily="49" charset="-128"/>
            </a:rPr>
            <a:t>D             \1,000J       ←</a:t>
          </a:r>
          <a:r>
            <a:rPr kumimoji="1" lang="ja-JP" altLang="en-US" sz="900">
              <a:latin typeface="ＭＳ ゴシック" panose="020B0609070205080204" pitchFamily="49" charset="-128"/>
              <a:ea typeface="ＭＳ ゴシック" panose="020B0609070205080204" pitchFamily="49" charset="-128"/>
            </a:rPr>
            <a:t>外税 </a:t>
          </a:r>
          <a:r>
            <a:rPr kumimoji="1" lang="en-US" altLang="ja-JP" sz="900">
              <a:latin typeface="ＭＳ ゴシック" panose="020B0609070205080204" pitchFamily="49" charset="-128"/>
              <a:ea typeface="ＭＳ ゴシック" panose="020B0609070205080204" pitchFamily="49" charset="-128"/>
            </a:rPr>
            <a:t>10%</a:t>
          </a:r>
          <a:r>
            <a:rPr kumimoji="1" lang="ja-JP" altLang="en-US" sz="900">
              <a:latin typeface="ＭＳ ゴシック" panose="020B0609070205080204" pitchFamily="49" charset="-128"/>
              <a:ea typeface="ＭＳ ゴシック" panose="020B0609070205080204" pitchFamily="49" charset="-128"/>
            </a:rPr>
            <a:t>、小計値引除外</a:t>
          </a:r>
        </a:p>
        <a:p>
          <a:r>
            <a:rPr kumimoji="1" lang="ja-JP" altLang="en-US" sz="900">
              <a:latin typeface="ＭＳ ゴシック" panose="020B0609070205080204" pitchFamily="49" charset="-128"/>
              <a:ea typeface="ＭＳ ゴシック" panose="020B0609070205080204" pitchFamily="49" charset="-128"/>
            </a:rPr>
            <a:t>     </a:t>
          </a:r>
          <a:r>
            <a:rPr kumimoji="1" lang="en-US" altLang="ja-JP" sz="900">
              <a:latin typeface="ＭＳ ゴシック" panose="020B0609070205080204" pitchFamily="49" charset="-128"/>
              <a:ea typeface="ＭＳ ゴシック" panose="020B0609070205080204" pitchFamily="49" charset="-128"/>
            </a:rPr>
            <a:t>4900000111118</a:t>
          </a:r>
        </a:p>
        <a:p>
          <a:endParaRPr kumimoji="1" lang="en-US" altLang="ja-JP" sz="900">
            <a:latin typeface="ＭＳ ゴシック" panose="020B0609070205080204" pitchFamily="49" charset="-128"/>
            <a:ea typeface="ＭＳ ゴシック" panose="020B0609070205080204" pitchFamily="49" charset="-128"/>
          </a:endParaRP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小計値引    </a:t>
          </a:r>
          <a:r>
            <a:rPr kumimoji="1" lang="en-US" altLang="ja-JP" sz="900">
              <a:latin typeface="ＭＳ ゴシック" panose="020B0609070205080204" pitchFamily="49" charset="-128"/>
              <a:ea typeface="ＭＳ ゴシック" panose="020B0609070205080204" pitchFamily="49" charset="-128"/>
            </a:rPr>
            <a:t>5%        -\532        ←</a:t>
          </a:r>
          <a:r>
            <a:rPr kumimoji="1" lang="ja-JP" altLang="en-US" sz="900">
              <a:latin typeface="ＭＳ ゴシック" panose="020B0609070205080204" pitchFamily="49" charset="-128"/>
              <a:ea typeface="ＭＳ ゴシック" panose="020B0609070205080204" pitchFamily="49" charset="-128"/>
            </a:rPr>
            <a:t>小計値引 </a:t>
          </a:r>
          <a:r>
            <a:rPr kumimoji="1" lang="en-US" altLang="ja-JP" sz="900">
              <a:latin typeface="ＭＳ ゴシック" panose="020B0609070205080204" pitchFamily="49" charset="-128"/>
              <a:ea typeface="ＭＳ ゴシック" panose="020B0609070205080204" pitchFamily="49" charset="-128"/>
            </a:rPr>
            <a:t>5%</a:t>
          </a:r>
        </a:p>
        <a:p>
          <a:endParaRPr kumimoji="1" lang="en-US" altLang="ja-JP" sz="900">
            <a:latin typeface="ＭＳ ゴシック" panose="020B0609070205080204" pitchFamily="49" charset="-128"/>
            <a:ea typeface="ＭＳ ゴシック" panose="020B0609070205080204" pitchFamily="49" charset="-128"/>
          </a:endParaRP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小計       </a:t>
          </a:r>
          <a:r>
            <a:rPr kumimoji="1" lang="en-US" altLang="ja-JP" sz="900">
              <a:latin typeface="ＭＳ ゴシック" panose="020B0609070205080204" pitchFamily="49" charset="-128"/>
              <a:ea typeface="ＭＳ ゴシック" panose="020B0609070205080204" pitchFamily="49" charset="-128"/>
            </a:rPr>
            <a:t>6</a:t>
          </a:r>
          <a:r>
            <a:rPr kumimoji="1" lang="ja-JP" altLang="en-US" sz="900">
              <a:latin typeface="ＭＳ ゴシック" panose="020B0609070205080204" pitchFamily="49" charset="-128"/>
              <a:ea typeface="ＭＳ ゴシック" panose="020B0609070205080204" pitchFamily="49" charset="-128"/>
            </a:rPr>
            <a:t>点         </a:t>
          </a:r>
          <a:r>
            <a:rPr kumimoji="1" lang="en-US" altLang="ja-JP" sz="900">
              <a:latin typeface="ＭＳ ゴシック" panose="020B0609070205080204" pitchFamily="49" charset="-128"/>
              <a:ea typeface="ＭＳ ゴシック" panose="020B0609070205080204" pitchFamily="49" charset="-128"/>
            </a:rPr>
            <a:t>\11,093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外税 </a:t>
          </a:r>
          <a:r>
            <a:rPr kumimoji="1" lang="en-US" altLang="ja-JP" sz="900">
              <a:latin typeface="ＭＳ ゴシック" panose="020B0609070205080204" pitchFamily="49" charset="-128"/>
              <a:ea typeface="ＭＳ ゴシック" panose="020B0609070205080204" pitchFamily="49" charset="-128"/>
            </a:rPr>
            <a:t>8.0%</a:t>
          </a:r>
          <a:r>
            <a:rPr kumimoji="1" lang="ja-JP" altLang="en-US" sz="900">
              <a:latin typeface="ＭＳ ゴシック" panose="020B0609070205080204" pitchFamily="49" charset="-128"/>
              <a:ea typeface="ＭＳ ゴシック" panose="020B0609070205080204" pitchFamily="49" charset="-128"/>
            </a:rPr>
            <a:t>対象額      </a:t>
          </a:r>
          <a:r>
            <a:rPr kumimoji="1" lang="en-US" altLang="ja-JP" sz="900">
              <a:latin typeface="ＭＳ ゴシック" panose="020B0609070205080204" pitchFamily="49" charset="-128"/>
              <a:ea typeface="ＭＳ ゴシック" panose="020B0609070205080204" pitchFamily="49" charset="-128"/>
            </a:rPr>
            <a:t>\10,093)</a:t>
          </a:r>
        </a:p>
        <a:p>
          <a:r>
            <a:rPr kumimoji="1" lang="en-US" altLang="ja-JP" sz="900">
              <a:latin typeface="ＭＳ ゴシック" panose="020B0609070205080204" pitchFamily="49" charset="-128"/>
              <a:ea typeface="ＭＳ ゴシック" panose="020B0609070205080204" pitchFamily="49" charset="-128"/>
            </a:rPr>
            <a:t>        8.0% </a:t>
          </a:r>
          <a:r>
            <a:rPr kumimoji="1" lang="ja-JP" altLang="en-US" sz="900">
              <a:latin typeface="ＭＳ ゴシック" panose="020B0609070205080204" pitchFamily="49" charset="-128"/>
              <a:ea typeface="ＭＳ ゴシック" panose="020B0609070205080204" pitchFamily="49" charset="-128"/>
            </a:rPr>
            <a:t>消費税等        </a:t>
          </a:r>
          <a:r>
            <a:rPr kumimoji="1" lang="en-US" altLang="ja-JP" sz="900">
              <a:latin typeface="ＭＳ ゴシック" panose="020B0609070205080204" pitchFamily="49" charset="-128"/>
              <a:ea typeface="ＭＳ ゴシック" panose="020B0609070205080204" pitchFamily="49" charset="-128"/>
            </a:rPr>
            <a:t>\807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外税</a:t>
          </a:r>
          <a:r>
            <a:rPr kumimoji="1" lang="en-US" altLang="ja-JP" sz="900">
              <a:latin typeface="ＭＳ ゴシック" panose="020B0609070205080204" pitchFamily="49" charset="-128"/>
              <a:ea typeface="ＭＳ ゴシック" panose="020B0609070205080204" pitchFamily="49" charset="-128"/>
            </a:rPr>
            <a:t>10.0%</a:t>
          </a:r>
          <a:r>
            <a:rPr kumimoji="1" lang="ja-JP" altLang="en-US" sz="900">
              <a:latin typeface="ＭＳ ゴシック" panose="020B0609070205080204" pitchFamily="49" charset="-128"/>
              <a:ea typeface="ＭＳ ゴシック" panose="020B0609070205080204" pitchFamily="49" charset="-128"/>
            </a:rPr>
            <a:t>対象額       </a:t>
          </a:r>
          <a:r>
            <a:rPr kumimoji="1" lang="en-US" altLang="ja-JP" sz="900">
              <a:latin typeface="ＭＳ ゴシック" panose="020B0609070205080204" pitchFamily="49" charset="-128"/>
              <a:ea typeface="ＭＳ ゴシック" panose="020B0609070205080204" pitchFamily="49" charset="-128"/>
            </a:rPr>
            <a:t>\1,000)</a:t>
          </a:r>
        </a:p>
        <a:p>
          <a:r>
            <a:rPr kumimoji="1" lang="en-US" altLang="ja-JP" sz="900">
              <a:latin typeface="ＭＳ ゴシック" panose="020B0609070205080204" pitchFamily="49" charset="-128"/>
              <a:ea typeface="ＭＳ ゴシック" panose="020B0609070205080204" pitchFamily="49" charset="-128"/>
            </a:rPr>
            <a:t>       10.0% </a:t>
          </a:r>
          <a:r>
            <a:rPr kumimoji="1" lang="ja-JP" altLang="en-US" sz="900">
              <a:latin typeface="ＭＳ ゴシック" panose="020B0609070205080204" pitchFamily="49" charset="-128"/>
              <a:ea typeface="ＭＳ ゴシック" panose="020B0609070205080204" pitchFamily="49" charset="-128"/>
            </a:rPr>
            <a:t>消費税等        </a:t>
          </a:r>
          <a:r>
            <a:rPr kumimoji="1" lang="en-US" altLang="ja-JP" sz="900">
              <a:latin typeface="ＭＳ ゴシック" panose="020B0609070205080204" pitchFamily="49" charset="-128"/>
              <a:ea typeface="ＭＳ ゴシック" panose="020B0609070205080204" pitchFamily="49" charset="-128"/>
            </a:rPr>
            <a:t>\100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外税額計                  </a:t>
          </a:r>
          <a:r>
            <a:rPr kumimoji="1" lang="en-US" altLang="ja-JP" sz="900">
              <a:latin typeface="ＭＳ ゴシック" panose="020B0609070205080204" pitchFamily="49" charset="-128"/>
              <a:ea typeface="ＭＳ ゴシック" panose="020B0609070205080204" pitchFamily="49" charset="-128"/>
            </a:rPr>
            <a:t>\907 </a:t>
          </a:r>
        </a:p>
        <a:p>
          <a:endParaRPr kumimoji="1" lang="en-US" altLang="ja-JP" sz="900">
            <a:latin typeface="ＭＳ ゴシック" panose="020B0609070205080204" pitchFamily="49" charset="-128"/>
            <a:ea typeface="ＭＳ ゴシック" panose="020B0609070205080204" pitchFamily="49" charset="-128"/>
          </a:endParaRPr>
        </a:p>
        <a:p>
          <a:r>
            <a:rPr kumimoji="1" lang="ja-JP" altLang="en-US" sz="900">
              <a:latin typeface="ＭＳ ゴシック" panose="020B0609070205080204" pitchFamily="49" charset="-128"/>
              <a:ea typeface="ＭＳ ゴシック" panose="020B0609070205080204" pitchFamily="49" charset="-128"/>
            </a:rPr>
            <a:t>～</a:t>
          </a:r>
          <a:r>
            <a:rPr kumimoji="1" lang="en-US" altLang="ja-JP" sz="900">
              <a:latin typeface="ＭＳ ゴシック" panose="020B0609070205080204" pitchFamily="49" charset="-128"/>
              <a:ea typeface="ＭＳ ゴシック" panose="020B0609070205080204" pitchFamily="49" charset="-128"/>
            </a:rPr>
            <a:t>(</a:t>
          </a:r>
          <a:r>
            <a:rPr kumimoji="1" lang="ja-JP" altLang="en-US" sz="900">
              <a:latin typeface="ＭＳ ゴシック" panose="020B0609070205080204" pitchFamily="49" charset="-128"/>
              <a:ea typeface="ＭＳ ゴシック" panose="020B0609070205080204" pitchFamily="49" charset="-128"/>
            </a:rPr>
            <a:t>省略</a:t>
          </a:r>
          <a:r>
            <a:rPr kumimoji="1" lang="en-US" altLang="ja-JP" sz="900">
              <a:latin typeface="ＭＳ ゴシック" panose="020B0609070205080204" pitchFamily="49" charset="-128"/>
              <a:ea typeface="ＭＳ ゴシック" panose="020B0609070205080204" pitchFamily="49" charset="-128"/>
            </a:rPr>
            <a:t>)</a:t>
          </a:r>
          <a:r>
            <a:rPr kumimoji="1" lang="ja-JP" altLang="en-US" sz="900">
              <a:latin typeface="ＭＳ ゴシック" panose="020B0609070205080204" pitchFamily="49" charset="-128"/>
              <a:ea typeface="ＭＳ ゴシック" panose="020B0609070205080204" pitchFamily="49" charset="-128"/>
            </a:rPr>
            <a:t>～</a:t>
          </a:r>
        </a:p>
        <a:p>
          <a:endParaRPr kumimoji="1" lang="ja-JP" altLang="en-US" sz="900">
            <a:latin typeface="ＭＳ ゴシック" panose="020B0609070205080204" pitchFamily="49" charset="-128"/>
            <a:ea typeface="ＭＳ ゴシック" panose="020B0609070205080204" pitchFamily="49" charset="-128"/>
          </a:endParaRPr>
        </a:p>
        <a:p>
          <a:r>
            <a:rPr kumimoji="1" lang="ja-JP" altLang="en-US" sz="900">
              <a:latin typeface="ＭＳ ゴシック" panose="020B0609070205080204" pitchFamily="49" charset="-128"/>
              <a:ea typeface="ＭＳ ゴシック" panose="020B0609070205080204" pitchFamily="49" charset="-128"/>
            </a:rPr>
            <a:t>   「</a:t>
          </a:r>
          <a:r>
            <a:rPr kumimoji="1" lang="en-US" altLang="ja-JP" sz="900">
              <a:latin typeface="ＭＳ ゴシック" panose="020B0609070205080204" pitchFamily="49" charset="-128"/>
              <a:ea typeface="ＭＳ ゴシック" panose="020B0609070205080204" pitchFamily="49" charset="-128"/>
            </a:rPr>
            <a:t>x</a:t>
          </a:r>
          <a:r>
            <a:rPr kumimoji="1" lang="ja-JP" altLang="en-US" sz="900">
              <a:latin typeface="ＭＳ ゴシック" panose="020B0609070205080204" pitchFamily="49" charset="-128"/>
              <a:ea typeface="ＭＳ ゴシック" panose="020B0609070205080204" pitchFamily="49" charset="-128"/>
            </a:rPr>
            <a:t>」は軽減税率対象商品です    </a:t>
          </a:r>
        </a:p>
        <a:p>
          <a:r>
            <a:rPr kumimoji="1" lang="ja-JP" altLang="en-US" sz="900">
              <a:latin typeface="ＭＳ ゴシック" panose="020B0609070205080204" pitchFamily="49" charset="-128"/>
              <a:ea typeface="ＭＳ ゴシック" panose="020B0609070205080204" pitchFamily="49" charset="-128"/>
            </a:rPr>
            <a:t>   合計                   </a:t>
          </a:r>
          <a:r>
            <a:rPr kumimoji="1" lang="en-US" altLang="ja-JP" sz="900">
              <a:latin typeface="ＭＳ ゴシック" panose="020B0609070205080204" pitchFamily="49" charset="-128"/>
              <a:ea typeface="ＭＳ ゴシック" panose="020B0609070205080204" pitchFamily="49" charset="-128"/>
            </a:rPr>
            <a:t>\12,000 </a:t>
          </a:r>
          <a:endParaRPr kumimoji="1" lang="ja-JP" altLang="en-US" sz="900">
            <a:latin typeface="ＭＳ ゴシック" panose="020B0609070205080204" pitchFamily="49" charset="-128"/>
            <a:ea typeface="ＭＳ ゴシック" panose="020B0609070205080204" pitchFamily="49" charset="-128"/>
          </a:endParaRPr>
        </a:p>
      </xdr:txBody>
    </xdr:sp>
    <xdr:clientData/>
  </xdr:twoCellAnchor>
  <xdr:twoCellAnchor>
    <xdr:from>
      <xdr:col>2</xdr:col>
      <xdr:colOff>29844</xdr:colOff>
      <xdr:row>119</xdr:row>
      <xdr:rowOff>40005</xdr:rowOff>
    </xdr:from>
    <xdr:to>
      <xdr:col>4</xdr:col>
      <xdr:colOff>29845</xdr:colOff>
      <xdr:row>144</xdr:row>
      <xdr:rowOff>150495</xdr:rowOff>
    </xdr:to>
    <xdr:sp macro="" textlink="">
      <xdr:nvSpPr>
        <xdr:cNvPr id="127" name="テキスト ボックス 126">
          <a:extLst>
            <a:ext uri="{FF2B5EF4-FFF2-40B4-BE49-F238E27FC236}">
              <a16:creationId xmlns:a16="http://schemas.microsoft.com/office/drawing/2014/main" id="{5B95DB84-3E87-4E02-8602-189686118AB1}"/>
            </a:ext>
          </a:extLst>
        </xdr:cNvPr>
        <xdr:cNvSpPr txBox="1"/>
      </xdr:nvSpPr>
      <xdr:spPr>
        <a:xfrm>
          <a:off x="260349" y="5818505"/>
          <a:ext cx="2362201" cy="417449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lstStyle/>
        <a:p>
          <a:r>
            <a:rPr kumimoji="1" lang="en-US" altLang="ja-JP" sz="900">
              <a:latin typeface="ＭＳ ゴシック" panose="020B0609070205080204" pitchFamily="49" charset="-128"/>
              <a:ea typeface="ＭＳ ゴシック" panose="020B0609070205080204" pitchFamily="49" charset="-128"/>
            </a:rPr>
            <a:t>     10  x</a:t>
          </a:r>
          <a:r>
            <a:rPr kumimoji="1" lang="ja-JP" altLang="en-US" sz="900">
              <a:latin typeface="ＭＳ ゴシック" panose="020B0609070205080204" pitchFamily="49" charset="-128"/>
              <a:ea typeface="ＭＳ ゴシック" panose="020B0609070205080204" pitchFamily="49" charset="-128"/>
            </a:rPr>
            <a:t>商品</a:t>
          </a:r>
          <a:r>
            <a:rPr kumimoji="1" lang="en-US" altLang="ja-JP" sz="900">
              <a:latin typeface="ＭＳ ゴシック" panose="020B0609070205080204" pitchFamily="49" charset="-128"/>
              <a:ea typeface="ＭＳ ゴシック" panose="020B0609070205080204" pitchFamily="49" charset="-128"/>
            </a:rPr>
            <a:t>A            \2,248        ←</a:t>
          </a:r>
          <a:r>
            <a:rPr kumimoji="1" lang="ja-JP" altLang="en-US" sz="900">
              <a:latin typeface="ＭＳ ゴシック" panose="020B0609070205080204" pitchFamily="49" charset="-128"/>
              <a:ea typeface="ＭＳ ゴシック" panose="020B0609070205080204" pitchFamily="49" charset="-128"/>
            </a:rPr>
            <a:t>外税 </a:t>
          </a:r>
          <a:r>
            <a:rPr kumimoji="1" lang="en-US" altLang="ja-JP" sz="900">
              <a:latin typeface="ＭＳ ゴシック" panose="020B0609070205080204" pitchFamily="49" charset="-128"/>
              <a:ea typeface="ＭＳ ゴシック" panose="020B0609070205080204" pitchFamily="49" charset="-128"/>
            </a:rPr>
            <a:t>8%</a:t>
          </a:r>
        </a:p>
        <a:p>
          <a:r>
            <a:rPr kumimoji="1" lang="en-US" altLang="ja-JP" sz="900">
              <a:latin typeface="ＭＳ ゴシック" panose="020B0609070205080204" pitchFamily="49" charset="-128"/>
              <a:ea typeface="ＭＳ ゴシック" panose="020B0609070205080204" pitchFamily="49" charset="-128"/>
            </a:rPr>
            <a:t>     2162000001918</a:t>
          </a:r>
        </a:p>
        <a:p>
          <a:endParaRPr kumimoji="1" lang="en-US" altLang="ja-JP" sz="900">
            <a:latin typeface="ＭＳ ゴシック" panose="020B0609070205080204" pitchFamily="49" charset="-128"/>
            <a:ea typeface="ＭＳ ゴシック" panose="020B0609070205080204" pitchFamily="49" charset="-128"/>
          </a:endParaRPr>
        </a:p>
        <a:p>
          <a:r>
            <a:rPr kumimoji="1" lang="en-US" altLang="ja-JP" sz="900">
              <a:latin typeface="ＭＳ ゴシック" panose="020B0609070205080204" pitchFamily="49" charset="-128"/>
              <a:ea typeface="ＭＳ ゴシック" panose="020B0609070205080204" pitchFamily="49" charset="-128"/>
            </a:rPr>
            <a:t>     10  x</a:t>
          </a:r>
          <a:r>
            <a:rPr kumimoji="1" lang="ja-JP" altLang="en-US" sz="900">
              <a:latin typeface="ＭＳ ゴシック" panose="020B0609070205080204" pitchFamily="49" charset="-128"/>
              <a:ea typeface="ＭＳ ゴシック" panose="020B0609070205080204" pitchFamily="49" charset="-128"/>
            </a:rPr>
            <a:t>商品</a:t>
          </a:r>
          <a:r>
            <a:rPr kumimoji="1" lang="en-US" altLang="ja-JP" sz="900">
              <a:latin typeface="ＭＳ ゴシック" panose="020B0609070205080204" pitchFamily="49" charset="-128"/>
              <a:ea typeface="ＭＳ ゴシック" panose="020B0609070205080204" pitchFamily="49" charset="-128"/>
            </a:rPr>
            <a:t>B                          ←</a:t>
          </a:r>
          <a:r>
            <a:rPr kumimoji="1" lang="ja-JP" altLang="en-US" sz="900">
              <a:latin typeface="ＭＳ ゴシック" panose="020B0609070205080204" pitchFamily="49" charset="-128"/>
              <a:ea typeface="ＭＳ ゴシック" panose="020B0609070205080204" pitchFamily="49" charset="-128"/>
            </a:rPr>
            <a:t>外税 </a:t>
          </a:r>
          <a:r>
            <a:rPr kumimoji="1" lang="en-US" altLang="ja-JP" sz="900">
              <a:latin typeface="ＭＳ ゴシック" panose="020B0609070205080204" pitchFamily="49" charset="-128"/>
              <a:ea typeface="ＭＳ ゴシック" panose="020B0609070205080204" pitchFamily="49" charset="-128"/>
            </a:rPr>
            <a:t>8%</a:t>
          </a:r>
        </a:p>
        <a:p>
          <a:r>
            <a:rPr kumimoji="1" lang="en-US" altLang="ja-JP" sz="900">
              <a:latin typeface="ＭＳ ゴシック" panose="020B0609070205080204" pitchFamily="49" charset="-128"/>
              <a:ea typeface="ＭＳ ゴシック" panose="020B0609070205080204" pitchFamily="49" charset="-128"/>
            </a:rPr>
            <a:t>     2162000001390</a:t>
          </a:r>
        </a:p>
        <a:p>
          <a:r>
            <a:rPr kumimoji="1" lang="en-US" altLang="ja-JP" sz="900">
              <a:latin typeface="ＭＳ ゴシック" panose="020B0609070205080204" pitchFamily="49" charset="-128"/>
              <a:ea typeface="ＭＳ ゴシック" panose="020B0609070205080204" pitchFamily="49" charset="-128"/>
            </a:rPr>
            <a:t>        \2,271   3</a:t>
          </a:r>
          <a:r>
            <a:rPr kumimoji="1" lang="ja-JP" altLang="en-US" sz="900">
              <a:latin typeface="ＭＳ ゴシック" panose="020B0609070205080204" pitchFamily="49" charset="-128"/>
              <a:ea typeface="ＭＳ ゴシック" panose="020B0609070205080204" pitchFamily="49" charset="-128"/>
            </a:rPr>
            <a:t>個       </a:t>
          </a:r>
          <a:r>
            <a:rPr kumimoji="1" lang="en-US" altLang="ja-JP" sz="900">
              <a:latin typeface="ＭＳ ゴシック" panose="020B0609070205080204" pitchFamily="49" charset="-128"/>
              <a:ea typeface="ＭＳ ゴシック" panose="020B0609070205080204" pitchFamily="49" charset="-128"/>
            </a:rPr>
            <a:t>\6,813</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値引       </a:t>
          </a:r>
          <a:r>
            <a:rPr kumimoji="1" lang="en-US" altLang="ja-JP" sz="900">
              <a:latin typeface="ＭＳ ゴシック" panose="020B0609070205080204" pitchFamily="49" charset="-128"/>
              <a:ea typeface="ＭＳ ゴシック" panose="020B0609070205080204" pitchFamily="49" charset="-128"/>
            </a:rPr>
            <a:t>10%        -\684        ←</a:t>
          </a:r>
          <a:r>
            <a:rPr kumimoji="1" lang="ja-JP" altLang="en-US" sz="900">
              <a:latin typeface="ＭＳ ゴシック" panose="020B0609070205080204" pitchFamily="49" charset="-128"/>
              <a:ea typeface="ＭＳ ゴシック" panose="020B0609070205080204" pitchFamily="49" charset="-128"/>
            </a:rPr>
            <a:t>マニュアル値引 </a:t>
          </a:r>
          <a:r>
            <a:rPr kumimoji="1" lang="en-US" altLang="ja-JP" sz="900">
              <a:latin typeface="ＭＳ ゴシック" panose="020B0609070205080204" pitchFamily="49" charset="-128"/>
              <a:ea typeface="ＭＳ ゴシック" panose="020B0609070205080204" pitchFamily="49" charset="-128"/>
            </a:rPr>
            <a:t>10%</a:t>
          </a:r>
          <a:r>
            <a:rPr kumimoji="1" lang="ja-JP" altLang="en-US" sz="900">
              <a:latin typeface="ＭＳ ゴシック" panose="020B0609070205080204" pitchFamily="49" charset="-128"/>
              <a:ea typeface="ＭＳ ゴシック" panose="020B0609070205080204" pitchFamily="49" charset="-128"/>
            </a:rPr>
            <a:t>引き</a:t>
          </a:r>
        </a:p>
        <a:p>
          <a:endParaRPr kumimoji="1" lang="ja-JP" altLang="en-US" sz="900">
            <a:latin typeface="ＭＳ ゴシック" panose="020B0609070205080204" pitchFamily="49" charset="-128"/>
            <a:ea typeface="ＭＳ ゴシック" panose="020B0609070205080204" pitchFamily="49" charset="-128"/>
          </a:endParaRPr>
        </a:p>
        <a:p>
          <a:r>
            <a:rPr kumimoji="1" lang="ja-JP" altLang="en-US" sz="900">
              <a:latin typeface="ＭＳ ゴシック" panose="020B0609070205080204" pitchFamily="49" charset="-128"/>
              <a:ea typeface="ＭＳ ゴシック" panose="020B0609070205080204" pitchFamily="49" charset="-128"/>
            </a:rPr>
            <a:t>     </a:t>
          </a:r>
          <a:r>
            <a:rPr kumimoji="1" lang="en-US" altLang="ja-JP" sz="900">
              <a:latin typeface="ＭＳ ゴシック" panose="020B0609070205080204" pitchFamily="49" charset="-128"/>
              <a:ea typeface="ＭＳ ゴシック" panose="020B0609070205080204" pitchFamily="49" charset="-128"/>
            </a:rPr>
            <a:t>20  x</a:t>
          </a:r>
          <a:r>
            <a:rPr kumimoji="1" lang="ja-JP" altLang="en-US" sz="900">
              <a:latin typeface="ＭＳ ゴシック" panose="020B0609070205080204" pitchFamily="49" charset="-128"/>
              <a:ea typeface="ＭＳ ゴシック" panose="020B0609070205080204" pitchFamily="49" charset="-128"/>
            </a:rPr>
            <a:t>商品</a:t>
          </a:r>
          <a:r>
            <a:rPr kumimoji="1" lang="en-US" altLang="ja-JP" sz="900">
              <a:latin typeface="ＭＳ ゴシック" panose="020B0609070205080204" pitchFamily="49" charset="-128"/>
              <a:ea typeface="ＭＳ ゴシック" panose="020B0609070205080204" pitchFamily="49" charset="-128"/>
            </a:rPr>
            <a:t>C            \2,248        ←</a:t>
          </a:r>
          <a:r>
            <a:rPr kumimoji="1" lang="ja-JP" altLang="en-US" sz="900">
              <a:latin typeface="ＭＳ ゴシック" panose="020B0609070205080204" pitchFamily="49" charset="-128"/>
              <a:ea typeface="ＭＳ ゴシック" panose="020B0609070205080204" pitchFamily="49" charset="-128"/>
            </a:rPr>
            <a:t>外税 </a:t>
          </a:r>
          <a:r>
            <a:rPr kumimoji="1" lang="en-US" altLang="ja-JP" sz="900">
              <a:latin typeface="ＭＳ ゴシック" panose="020B0609070205080204" pitchFamily="49" charset="-128"/>
              <a:ea typeface="ＭＳ ゴシック" panose="020B0609070205080204" pitchFamily="49" charset="-128"/>
            </a:rPr>
            <a:t>8%</a:t>
          </a:r>
        </a:p>
        <a:p>
          <a:r>
            <a:rPr kumimoji="1" lang="en-US" altLang="ja-JP" sz="900">
              <a:latin typeface="ＭＳ ゴシック" panose="020B0609070205080204" pitchFamily="49" charset="-128"/>
              <a:ea typeface="ＭＳ ゴシック" panose="020B0609070205080204" pitchFamily="49" charset="-128"/>
            </a:rPr>
            <a:t>     4901650291533</a:t>
          </a:r>
        </a:p>
        <a:p>
          <a:endParaRPr kumimoji="1" lang="en-US" altLang="ja-JP" sz="900">
            <a:latin typeface="ＭＳ ゴシック" panose="020B0609070205080204" pitchFamily="49" charset="-128"/>
            <a:ea typeface="ＭＳ ゴシック" panose="020B0609070205080204" pitchFamily="49" charset="-128"/>
          </a:endParaRPr>
        </a:p>
        <a:p>
          <a:r>
            <a:rPr kumimoji="1" lang="en-US" altLang="ja-JP" sz="900">
              <a:latin typeface="ＭＳ ゴシック" panose="020B0609070205080204" pitchFamily="49" charset="-128"/>
              <a:ea typeface="ＭＳ ゴシック" panose="020B0609070205080204" pitchFamily="49" charset="-128"/>
            </a:rPr>
            <a:t>     90  </a:t>
          </a:r>
          <a:r>
            <a:rPr kumimoji="1" lang="ja-JP" altLang="en-US" sz="900">
              <a:latin typeface="ＭＳ ゴシック" panose="020B0609070205080204" pitchFamily="49" charset="-128"/>
              <a:ea typeface="ＭＳ ゴシック" panose="020B0609070205080204" pitchFamily="49" charset="-128"/>
            </a:rPr>
            <a:t>商品</a:t>
          </a:r>
          <a:r>
            <a:rPr kumimoji="1" lang="en-US" altLang="ja-JP" sz="900">
              <a:latin typeface="ＭＳ ゴシック" panose="020B0609070205080204" pitchFamily="49" charset="-128"/>
              <a:ea typeface="ＭＳ ゴシック" panose="020B0609070205080204" pitchFamily="49" charset="-128"/>
            </a:rPr>
            <a:t>D             \1,000J       ←</a:t>
          </a:r>
          <a:r>
            <a:rPr kumimoji="1" lang="ja-JP" altLang="en-US" sz="900">
              <a:latin typeface="ＭＳ ゴシック" panose="020B0609070205080204" pitchFamily="49" charset="-128"/>
              <a:ea typeface="ＭＳ ゴシック" panose="020B0609070205080204" pitchFamily="49" charset="-128"/>
            </a:rPr>
            <a:t>外税 </a:t>
          </a:r>
          <a:r>
            <a:rPr kumimoji="1" lang="en-US" altLang="ja-JP" sz="900">
              <a:latin typeface="ＭＳ ゴシック" panose="020B0609070205080204" pitchFamily="49" charset="-128"/>
              <a:ea typeface="ＭＳ ゴシック" panose="020B0609070205080204" pitchFamily="49" charset="-128"/>
            </a:rPr>
            <a:t>10%</a:t>
          </a:r>
          <a:r>
            <a:rPr kumimoji="1" lang="ja-JP" altLang="en-US" sz="900">
              <a:latin typeface="ＭＳ ゴシック" panose="020B0609070205080204" pitchFamily="49" charset="-128"/>
              <a:ea typeface="ＭＳ ゴシック" panose="020B0609070205080204" pitchFamily="49" charset="-128"/>
            </a:rPr>
            <a:t>、小計値引除外</a:t>
          </a:r>
        </a:p>
        <a:p>
          <a:r>
            <a:rPr kumimoji="1" lang="ja-JP" altLang="en-US" sz="900">
              <a:latin typeface="ＭＳ ゴシック" panose="020B0609070205080204" pitchFamily="49" charset="-128"/>
              <a:ea typeface="ＭＳ ゴシック" panose="020B0609070205080204" pitchFamily="49" charset="-128"/>
            </a:rPr>
            <a:t>     </a:t>
          </a:r>
          <a:r>
            <a:rPr kumimoji="1" lang="en-US" altLang="ja-JP" sz="900">
              <a:latin typeface="ＭＳ ゴシック" panose="020B0609070205080204" pitchFamily="49" charset="-128"/>
              <a:ea typeface="ＭＳ ゴシック" panose="020B0609070205080204" pitchFamily="49" charset="-128"/>
            </a:rPr>
            <a:t>4900000111118</a:t>
          </a:r>
        </a:p>
        <a:p>
          <a:endParaRPr kumimoji="1" lang="en-US" altLang="ja-JP" sz="900">
            <a:latin typeface="ＭＳ ゴシック" panose="020B0609070205080204" pitchFamily="49" charset="-128"/>
            <a:ea typeface="ＭＳ ゴシック" panose="020B0609070205080204" pitchFamily="49" charset="-128"/>
          </a:endParaRP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小計値引    </a:t>
          </a:r>
          <a:r>
            <a:rPr kumimoji="1" lang="en-US" altLang="ja-JP" sz="900">
              <a:latin typeface="ＭＳ ゴシック" panose="020B0609070205080204" pitchFamily="49" charset="-128"/>
              <a:ea typeface="ＭＳ ゴシック" panose="020B0609070205080204" pitchFamily="49" charset="-128"/>
            </a:rPr>
            <a:t>5%        -\532        ←</a:t>
          </a:r>
          <a:r>
            <a:rPr kumimoji="1" lang="ja-JP" altLang="en-US" sz="900">
              <a:latin typeface="ＭＳ ゴシック" panose="020B0609070205080204" pitchFamily="49" charset="-128"/>
              <a:ea typeface="ＭＳ ゴシック" panose="020B0609070205080204" pitchFamily="49" charset="-128"/>
            </a:rPr>
            <a:t>小計値引 </a:t>
          </a:r>
          <a:r>
            <a:rPr kumimoji="1" lang="en-US" altLang="ja-JP" sz="900">
              <a:latin typeface="ＭＳ ゴシック" panose="020B0609070205080204" pitchFamily="49" charset="-128"/>
              <a:ea typeface="ＭＳ ゴシック" panose="020B0609070205080204" pitchFamily="49" charset="-128"/>
            </a:rPr>
            <a:t>5%</a:t>
          </a:r>
        </a:p>
        <a:p>
          <a:endParaRPr kumimoji="1" lang="en-US" altLang="ja-JP" sz="900">
            <a:latin typeface="ＭＳ ゴシック" panose="020B0609070205080204" pitchFamily="49" charset="-128"/>
            <a:ea typeface="ＭＳ ゴシック" panose="020B0609070205080204" pitchFamily="49" charset="-128"/>
          </a:endParaRP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小計       </a:t>
          </a:r>
          <a:r>
            <a:rPr kumimoji="1" lang="en-US" altLang="ja-JP" sz="900">
              <a:latin typeface="ＭＳ ゴシック" panose="020B0609070205080204" pitchFamily="49" charset="-128"/>
              <a:ea typeface="ＭＳ ゴシック" panose="020B0609070205080204" pitchFamily="49" charset="-128"/>
            </a:rPr>
            <a:t>6</a:t>
          </a:r>
          <a:r>
            <a:rPr kumimoji="1" lang="ja-JP" altLang="en-US" sz="900">
              <a:latin typeface="ＭＳ ゴシック" panose="020B0609070205080204" pitchFamily="49" charset="-128"/>
              <a:ea typeface="ＭＳ ゴシック" panose="020B0609070205080204" pitchFamily="49" charset="-128"/>
            </a:rPr>
            <a:t>点         </a:t>
          </a:r>
          <a:r>
            <a:rPr kumimoji="1" lang="en-US" altLang="ja-JP" sz="900">
              <a:latin typeface="ＭＳ ゴシック" panose="020B0609070205080204" pitchFamily="49" charset="-128"/>
              <a:ea typeface="ＭＳ ゴシック" panose="020B0609070205080204" pitchFamily="49" charset="-128"/>
            </a:rPr>
            <a:t>\11,093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外税 </a:t>
          </a:r>
          <a:r>
            <a:rPr kumimoji="1" lang="en-US" altLang="ja-JP" sz="900">
              <a:latin typeface="ＭＳ ゴシック" panose="020B0609070205080204" pitchFamily="49" charset="-128"/>
              <a:ea typeface="ＭＳ ゴシック" panose="020B0609070205080204" pitchFamily="49" charset="-128"/>
            </a:rPr>
            <a:t>8.0%</a:t>
          </a:r>
          <a:r>
            <a:rPr kumimoji="1" lang="ja-JP" altLang="en-US" sz="900">
              <a:latin typeface="ＭＳ ゴシック" panose="020B0609070205080204" pitchFamily="49" charset="-128"/>
              <a:ea typeface="ＭＳ ゴシック" panose="020B0609070205080204" pitchFamily="49" charset="-128"/>
            </a:rPr>
            <a:t>対象額      </a:t>
          </a:r>
          <a:r>
            <a:rPr kumimoji="1" lang="en-US" altLang="ja-JP" sz="900">
              <a:latin typeface="ＭＳ ゴシック" panose="020B0609070205080204" pitchFamily="49" charset="-128"/>
              <a:ea typeface="ＭＳ ゴシック" panose="020B0609070205080204" pitchFamily="49" charset="-128"/>
            </a:rPr>
            <a:t>\10,093)</a:t>
          </a:r>
        </a:p>
        <a:p>
          <a:r>
            <a:rPr kumimoji="1" lang="en-US" altLang="ja-JP" sz="900">
              <a:latin typeface="ＭＳ ゴシック" panose="020B0609070205080204" pitchFamily="49" charset="-128"/>
              <a:ea typeface="ＭＳ ゴシック" panose="020B0609070205080204" pitchFamily="49" charset="-128"/>
            </a:rPr>
            <a:t>        8.0% </a:t>
          </a:r>
          <a:r>
            <a:rPr kumimoji="1" lang="ja-JP" altLang="en-US" sz="900">
              <a:latin typeface="ＭＳ ゴシック" panose="020B0609070205080204" pitchFamily="49" charset="-128"/>
              <a:ea typeface="ＭＳ ゴシック" panose="020B0609070205080204" pitchFamily="49" charset="-128"/>
            </a:rPr>
            <a:t>消費税等        </a:t>
          </a:r>
          <a:r>
            <a:rPr kumimoji="1" lang="en-US" altLang="ja-JP" sz="900">
              <a:latin typeface="ＭＳ ゴシック" panose="020B0609070205080204" pitchFamily="49" charset="-128"/>
              <a:ea typeface="ＭＳ ゴシック" panose="020B0609070205080204" pitchFamily="49" charset="-128"/>
            </a:rPr>
            <a:t>\807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外税</a:t>
          </a:r>
          <a:r>
            <a:rPr kumimoji="1" lang="en-US" altLang="ja-JP" sz="900">
              <a:latin typeface="ＭＳ ゴシック" panose="020B0609070205080204" pitchFamily="49" charset="-128"/>
              <a:ea typeface="ＭＳ ゴシック" panose="020B0609070205080204" pitchFamily="49" charset="-128"/>
            </a:rPr>
            <a:t>10.0%</a:t>
          </a:r>
          <a:r>
            <a:rPr kumimoji="1" lang="ja-JP" altLang="en-US" sz="900">
              <a:latin typeface="ＭＳ ゴシック" panose="020B0609070205080204" pitchFamily="49" charset="-128"/>
              <a:ea typeface="ＭＳ ゴシック" panose="020B0609070205080204" pitchFamily="49" charset="-128"/>
            </a:rPr>
            <a:t>対象額       </a:t>
          </a:r>
          <a:r>
            <a:rPr kumimoji="1" lang="en-US" altLang="ja-JP" sz="900">
              <a:latin typeface="ＭＳ ゴシック" panose="020B0609070205080204" pitchFamily="49" charset="-128"/>
              <a:ea typeface="ＭＳ ゴシック" panose="020B0609070205080204" pitchFamily="49" charset="-128"/>
            </a:rPr>
            <a:t>\1,000)</a:t>
          </a:r>
        </a:p>
        <a:p>
          <a:r>
            <a:rPr kumimoji="1" lang="en-US" altLang="ja-JP" sz="900">
              <a:latin typeface="ＭＳ ゴシック" panose="020B0609070205080204" pitchFamily="49" charset="-128"/>
              <a:ea typeface="ＭＳ ゴシック" panose="020B0609070205080204" pitchFamily="49" charset="-128"/>
            </a:rPr>
            <a:t>       10.0% </a:t>
          </a:r>
          <a:r>
            <a:rPr kumimoji="1" lang="ja-JP" altLang="en-US" sz="900">
              <a:latin typeface="ＭＳ ゴシック" panose="020B0609070205080204" pitchFamily="49" charset="-128"/>
              <a:ea typeface="ＭＳ ゴシック" panose="020B0609070205080204" pitchFamily="49" charset="-128"/>
            </a:rPr>
            <a:t>消費税等        </a:t>
          </a:r>
          <a:r>
            <a:rPr kumimoji="1" lang="en-US" altLang="ja-JP" sz="900">
              <a:latin typeface="ＭＳ ゴシック" panose="020B0609070205080204" pitchFamily="49" charset="-128"/>
              <a:ea typeface="ＭＳ ゴシック" panose="020B0609070205080204" pitchFamily="49" charset="-128"/>
            </a:rPr>
            <a:t>\100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外税額計                  </a:t>
          </a:r>
          <a:r>
            <a:rPr kumimoji="1" lang="en-US" altLang="ja-JP" sz="900">
              <a:latin typeface="ＭＳ ゴシック" panose="020B0609070205080204" pitchFamily="49" charset="-128"/>
              <a:ea typeface="ＭＳ ゴシック" panose="020B0609070205080204" pitchFamily="49" charset="-128"/>
            </a:rPr>
            <a:t>\907 </a:t>
          </a:r>
        </a:p>
        <a:p>
          <a:endParaRPr kumimoji="1" lang="en-US" altLang="ja-JP" sz="900">
            <a:latin typeface="ＭＳ ゴシック" panose="020B0609070205080204" pitchFamily="49" charset="-128"/>
            <a:ea typeface="ＭＳ ゴシック" panose="020B0609070205080204" pitchFamily="49" charset="-128"/>
          </a:endParaRPr>
        </a:p>
        <a:p>
          <a:r>
            <a:rPr kumimoji="1" lang="ja-JP" altLang="en-US" sz="900">
              <a:latin typeface="ＭＳ ゴシック" panose="020B0609070205080204" pitchFamily="49" charset="-128"/>
              <a:ea typeface="ＭＳ ゴシック" panose="020B0609070205080204" pitchFamily="49" charset="-128"/>
            </a:rPr>
            <a:t>～</a:t>
          </a:r>
          <a:r>
            <a:rPr kumimoji="1" lang="en-US" altLang="ja-JP" sz="900">
              <a:latin typeface="ＭＳ ゴシック" panose="020B0609070205080204" pitchFamily="49" charset="-128"/>
              <a:ea typeface="ＭＳ ゴシック" panose="020B0609070205080204" pitchFamily="49" charset="-128"/>
            </a:rPr>
            <a:t>(</a:t>
          </a:r>
          <a:r>
            <a:rPr kumimoji="1" lang="ja-JP" altLang="en-US" sz="900">
              <a:latin typeface="ＭＳ ゴシック" panose="020B0609070205080204" pitchFamily="49" charset="-128"/>
              <a:ea typeface="ＭＳ ゴシック" panose="020B0609070205080204" pitchFamily="49" charset="-128"/>
            </a:rPr>
            <a:t>省略</a:t>
          </a:r>
          <a:r>
            <a:rPr kumimoji="1" lang="en-US" altLang="ja-JP" sz="900">
              <a:latin typeface="ＭＳ ゴシック" panose="020B0609070205080204" pitchFamily="49" charset="-128"/>
              <a:ea typeface="ＭＳ ゴシック" panose="020B0609070205080204" pitchFamily="49" charset="-128"/>
            </a:rPr>
            <a:t>)</a:t>
          </a:r>
          <a:r>
            <a:rPr kumimoji="1" lang="ja-JP" altLang="en-US" sz="900">
              <a:latin typeface="ＭＳ ゴシック" panose="020B0609070205080204" pitchFamily="49" charset="-128"/>
              <a:ea typeface="ＭＳ ゴシック" panose="020B0609070205080204" pitchFamily="49" charset="-128"/>
            </a:rPr>
            <a:t>～</a:t>
          </a:r>
        </a:p>
        <a:p>
          <a:endParaRPr kumimoji="1" lang="ja-JP" altLang="en-US" sz="900">
            <a:latin typeface="ＭＳ ゴシック" panose="020B0609070205080204" pitchFamily="49" charset="-128"/>
            <a:ea typeface="ＭＳ ゴシック" panose="020B0609070205080204" pitchFamily="49" charset="-128"/>
          </a:endParaRPr>
        </a:p>
        <a:p>
          <a:r>
            <a:rPr kumimoji="1" lang="ja-JP" altLang="en-US" sz="900">
              <a:latin typeface="ＭＳ ゴシック" panose="020B0609070205080204" pitchFamily="49" charset="-128"/>
              <a:ea typeface="ＭＳ ゴシック" panose="020B0609070205080204" pitchFamily="49" charset="-128"/>
            </a:rPr>
            <a:t>   「</a:t>
          </a:r>
          <a:r>
            <a:rPr kumimoji="1" lang="en-US" altLang="ja-JP" sz="900">
              <a:latin typeface="ＭＳ ゴシック" panose="020B0609070205080204" pitchFamily="49" charset="-128"/>
              <a:ea typeface="ＭＳ ゴシック" panose="020B0609070205080204" pitchFamily="49" charset="-128"/>
            </a:rPr>
            <a:t>x</a:t>
          </a:r>
          <a:r>
            <a:rPr kumimoji="1" lang="ja-JP" altLang="en-US" sz="900">
              <a:latin typeface="ＭＳ ゴシック" panose="020B0609070205080204" pitchFamily="49" charset="-128"/>
              <a:ea typeface="ＭＳ ゴシック" panose="020B0609070205080204" pitchFamily="49" charset="-128"/>
            </a:rPr>
            <a:t>」は軽減税率対象商品です    </a:t>
          </a:r>
        </a:p>
        <a:p>
          <a:r>
            <a:rPr kumimoji="1" lang="ja-JP" altLang="en-US" sz="900">
              <a:latin typeface="ＭＳ ゴシック" panose="020B0609070205080204" pitchFamily="49" charset="-128"/>
              <a:ea typeface="ＭＳ ゴシック" panose="020B0609070205080204" pitchFamily="49" charset="-128"/>
            </a:rPr>
            <a:t>   合計                   </a:t>
          </a:r>
          <a:r>
            <a:rPr kumimoji="1" lang="en-US" altLang="ja-JP" sz="900">
              <a:latin typeface="ＭＳ ゴシック" panose="020B0609070205080204" pitchFamily="49" charset="-128"/>
              <a:ea typeface="ＭＳ ゴシック" panose="020B0609070205080204" pitchFamily="49" charset="-128"/>
            </a:rPr>
            <a:t>\12,000 </a:t>
          </a:r>
          <a:endParaRPr kumimoji="1" lang="ja-JP" altLang="en-US" sz="900">
            <a:latin typeface="ＭＳ ゴシック" panose="020B0609070205080204" pitchFamily="49" charset="-128"/>
            <a:ea typeface="ＭＳ ゴシック" panose="020B0609070205080204" pitchFamily="49" charset="-128"/>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10</xdr:col>
      <xdr:colOff>29307</xdr:colOff>
      <xdr:row>124</xdr:row>
      <xdr:rowOff>14654</xdr:rowOff>
    </xdr:from>
    <xdr:to>
      <xdr:col>10</xdr:col>
      <xdr:colOff>206472</xdr:colOff>
      <xdr:row>124</xdr:row>
      <xdr:rowOff>116551</xdr:rowOff>
    </xdr:to>
    <xdr:sp macro="" textlink="">
      <xdr:nvSpPr>
        <xdr:cNvPr id="2" name="正方形/長方形 1">
          <a:extLst>
            <a:ext uri="{FF2B5EF4-FFF2-40B4-BE49-F238E27FC236}">
              <a16:creationId xmlns:a16="http://schemas.microsoft.com/office/drawing/2014/main" id="{D51055A3-5070-4F34-B038-F01234C646FA}"/>
            </a:ext>
          </a:extLst>
        </xdr:cNvPr>
        <xdr:cNvSpPr/>
      </xdr:nvSpPr>
      <xdr:spPr>
        <a:xfrm>
          <a:off x="2315307" y="21274454"/>
          <a:ext cx="177165" cy="101897"/>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14946</xdr:colOff>
      <xdr:row>124</xdr:row>
      <xdr:rowOff>27403</xdr:rowOff>
    </xdr:from>
    <xdr:to>
      <xdr:col>12</xdr:col>
      <xdr:colOff>192111</xdr:colOff>
      <xdr:row>124</xdr:row>
      <xdr:rowOff>112155</xdr:rowOff>
    </xdr:to>
    <xdr:sp macro="" textlink="">
      <xdr:nvSpPr>
        <xdr:cNvPr id="3" name="正方形/長方形 2">
          <a:extLst>
            <a:ext uri="{FF2B5EF4-FFF2-40B4-BE49-F238E27FC236}">
              <a16:creationId xmlns:a16="http://schemas.microsoft.com/office/drawing/2014/main" id="{EAFDC2DD-24CB-4CAC-9D57-2B737E439DD2}"/>
            </a:ext>
          </a:extLst>
        </xdr:cNvPr>
        <xdr:cNvSpPr/>
      </xdr:nvSpPr>
      <xdr:spPr>
        <a:xfrm>
          <a:off x="2758146" y="21287203"/>
          <a:ext cx="177165" cy="84752"/>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210282</xdr:colOff>
      <xdr:row>124</xdr:row>
      <xdr:rowOff>67508</xdr:rowOff>
    </xdr:from>
    <xdr:to>
      <xdr:col>12</xdr:col>
      <xdr:colOff>18756</xdr:colOff>
      <xdr:row>124</xdr:row>
      <xdr:rowOff>68827</xdr:rowOff>
    </xdr:to>
    <xdr:cxnSp macro="">
      <xdr:nvCxnSpPr>
        <xdr:cNvPr id="4" name="直線コネクタ 3">
          <a:extLst>
            <a:ext uri="{FF2B5EF4-FFF2-40B4-BE49-F238E27FC236}">
              <a16:creationId xmlns:a16="http://schemas.microsoft.com/office/drawing/2014/main" id="{93A719CB-DA51-4D40-8FC9-151FF72FF145}"/>
            </a:ext>
          </a:extLst>
        </xdr:cNvPr>
        <xdr:cNvCxnSpPr>
          <a:cxnSpLocks/>
          <a:stCxn id="2" idx="3"/>
          <a:endCxn id="3" idx="1"/>
        </xdr:cNvCxnSpPr>
      </xdr:nvCxnSpPr>
      <xdr:spPr>
        <a:xfrm>
          <a:off x="2496282" y="21327308"/>
          <a:ext cx="265674" cy="1319"/>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11430</xdr:colOff>
      <xdr:row>124</xdr:row>
      <xdr:rowOff>18170</xdr:rowOff>
    </xdr:from>
    <xdr:to>
      <xdr:col>21</xdr:col>
      <xdr:colOff>184785</xdr:colOff>
      <xdr:row>124</xdr:row>
      <xdr:rowOff>114352</xdr:rowOff>
    </xdr:to>
    <xdr:sp macro="" textlink="">
      <xdr:nvSpPr>
        <xdr:cNvPr id="5" name="正方形/長方形 4">
          <a:extLst>
            <a:ext uri="{FF2B5EF4-FFF2-40B4-BE49-F238E27FC236}">
              <a16:creationId xmlns:a16="http://schemas.microsoft.com/office/drawing/2014/main" id="{6F4309F2-77A9-47BC-81BE-3EFA353A2C41}"/>
            </a:ext>
          </a:extLst>
        </xdr:cNvPr>
        <xdr:cNvSpPr/>
      </xdr:nvSpPr>
      <xdr:spPr>
        <a:xfrm>
          <a:off x="4812030" y="21277970"/>
          <a:ext cx="173355" cy="96182"/>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29307</xdr:colOff>
      <xdr:row>124</xdr:row>
      <xdr:rowOff>14653</xdr:rowOff>
    </xdr:from>
    <xdr:to>
      <xdr:col>28</xdr:col>
      <xdr:colOff>210282</xdr:colOff>
      <xdr:row>124</xdr:row>
      <xdr:rowOff>108930</xdr:rowOff>
    </xdr:to>
    <xdr:sp macro="" textlink="">
      <xdr:nvSpPr>
        <xdr:cNvPr id="6" name="正方形/長方形 5">
          <a:extLst>
            <a:ext uri="{FF2B5EF4-FFF2-40B4-BE49-F238E27FC236}">
              <a16:creationId xmlns:a16="http://schemas.microsoft.com/office/drawing/2014/main" id="{F58227D1-FC1C-47F8-97F8-78EC4816DD44}"/>
            </a:ext>
          </a:extLst>
        </xdr:cNvPr>
        <xdr:cNvSpPr/>
      </xdr:nvSpPr>
      <xdr:spPr>
        <a:xfrm>
          <a:off x="6430107" y="21274453"/>
          <a:ext cx="180975" cy="94277"/>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30</xdr:col>
      <xdr:colOff>16853</xdr:colOff>
      <xdr:row>124</xdr:row>
      <xdr:rowOff>10844</xdr:rowOff>
    </xdr:from>
    <xdr:to>
      <xdr:col>30</xdr:col>
      <xdr:colOff>188303</xdr:colOff>
      <xdr:row>124</xdr:row>
      <xdr:rowOff>110836</xdr:rowOff>
    </xdr:to>
    <xdr:sp macro="" textlink="">
      <xdr:nvSpPr>
        <xdr:cNvPr id="7" name="正方形/長方形 6">
          <a:extLst>
            <a:ext uri="{FF2B5EF4-FFF2-40B4-BE49-F238E27FC236}">
              <a16:creationId xmlns:a16="http://schemas.microsoft.com/office/drawing/2014/main" id="{272D5DC6-D4B4-4175-A3A4-455C8586BAF4}"/>
            </a:ext>
          </a:extLst>
        </xdr:cNvPr>
        <xdr:cNvSpPr/>
      </xdr:nvSpPr>
      <xdr:spPr>
        <a:xfrm>
          <a:off x="6874853" y="21270644"/>
          <a:ext cx="171450" cy="99992"/>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18170</xdr:colOff>
      <xdr:row>131</xdr:row>
      <xdr:rowOff>29308</xdr:rowOff>
    </xdr:from>
    <xdr:to>
      <xdr:col>12</xdr:col>
      <xdr:colOff>202955</xdr:colOff>
      <xdr:row>131</xdr:row>
      <xdr:rowOff>123585</xdr:rowOff>
    </xdr:to>
    <xdr:sp macro="" textlink="">
      <xdr:nvSpPr>
        <xdr:cNvPr id="8" name="正方形/長方形 7">
          <a:extLst>
            <a:ext uri="{FF2B5EF4-FFF2-40B4-BE49-F238E27FC236}">
              <a16:creationId xmlns:a16="http://schemas.microsoft.com/office/drawing/2014/main" id="{304E3827-F2F9-46AC-9CF4-9F98CBF3296B}"/>
            </a:ext>
          </a:extLst>
        </xdr:cNvPr>
        <xdr:cNvSpPr/>
      </xdr:nvSpPr>
      <xdr:spPr>
        <a:xfrm>
          <a:off x="2761370" y="22489258"/>
          <a:ext cx="184785" cy="94277"/>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21980</xdr:colOff>
      <xdr:row>138</xdr:row>
      <xdr:rowOff>36634</xdr:rowOff>
    </xdr:from>
    <xdr:to>
      <xdr:col>12</xdr:col>
      <xdr:colOff>202955</xdr:colOff>
      <xdr:row>138</xdr:row>
      <xdr:rowOff>130911</xdr:rowOff>
    </xdr:to>
    <xdr:sp macro="" textlink="">
      <xdr:nvSpPr>
        <xdr:cNvPr id="9" name="正方形/長方形 8">
          <a:extLst>
            <a:ext uri="{FF2B5EF4-FFF2-40B4-BE49-F238E27FC236}">
              <a16:creationId xmlns:a16="http://schemas.microsoft.com/office/drawing/2014/main" id="{5AC23AD4-A175-4E6D-A993-C7507FED288A}"/>
            </a:ext>
          </a:extLst>
        </xdr:cNvPr>
        <xdr:cNvSpPr/>
      </xdr:nvSpPr>
      <xdr:spPr>
        <a:xfrm>
          <a:off x="2765180" y="23696734"/>
          <a:ext cx="180975" cy="94277"/>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21981</xdr:colOff>
      <xdr:row>126</xdr:row>
      <xdr:rowOff>14653</xdr:rowOff>
    </xdr:from>
    <xdr:to>
      <xdr:col>28</xdr:col>
      <xdr:colOff>202956</xdr:colOff>
      <xdr:row>126</xdr:row>
      <xdr:rowOff>108930</xdr:rowOff>
    </xdr:to>
    <xdr:sp macro="" textlink="">
      <xdr:nvSpPr>
        <xdr:cNvPr id="10" name="正方形/長方形 9">
          <a:extLst>
            <a:ext uri="{FF2B5EF4-FFF2-40B4-BE49-F238E27FC236}">
              <a16:creationId xmlns:a16="http://schemas.microsoft.com/office/drawing/2014/main" id="{605CFDE8-7CC9-4610-B7B9-0961E3053834}"/>
            </a:ext>
          </a:extLst>
        </xdr:cNvPr>
        <xdr:cNvSpPr/>
      </xdr:nvSpPr>
      <xdr:spPr>
        <a:xfrm>
          <a:off x="6422781" y="21617353"/>
          <a:ext cx="180975" cy="9427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30</xdr:col>
      <xdr:colOff>10844</xdr:colOff>
      <xdr:row>125</xdr:row>
      <xdr:rowOff>29308</xdr:rowOff>
    </xdr:from>
    <xdr:to>
      <xdr:col>30</xdr:col>
      <xdr:colOff>195629</xdr:colOff>
      <xdr:row>125</xdr:row>
      <xdr:rowOff>123585</xdr:rowOff>
    </xdr:to>
    <xdr:sp macro="" textlink="">
      <xdr:nvSpPr>
        <xdr:cNvPr id="11" name="正方形/長方形 10">
          <a:extLst>
            <a:ext uri="{FF2B5EF4-FFF2-40B4-BE49-F238E27FC236}">
              <a16:creationId xmlns:a16="http://schemas.microsoft.com/office/drawing/2014/main" id="{B966EE21-3B52-4548-A68F-A57D2CD4E4A0}"/>
            </a:ext>
          </a:extLst>
        </xdr:cNvPr>
        <xdr:cNvSpPr/>
      </xdr:nvSpPr>
      <xdr:spPr>
        <a:xfrm>
          <a:off x="6868844" y="21460558"/>
          <a:ext cx="184785" cy="9427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210282</xdr:colOff>
      <xdr:row>124</xdr:row>
      <xdr:rowOff>67508</xdr:rowOff>
    </xdr:from>
    <xdr:to>
      <xdr:col>12</xdr:col>
      <xdr:colOff>21980</xdr:colOff>
      <xdr:row>131</xdr:row>
      <xdr:rowOff>76447</xdr:rowOff>
    </xdr:to>
    <xdr:cxnSp macro="">
      <xdr:nvCxnSpPr>
        <xdr:cNvPr id="12" name="直線コネクタ 31">
          <a:extLst>
            <a:ext uri="{FF2B5EF4-FFF2-40B4-BE49-F238E27FC236}">
              <a16:creationId xmlns:a16="http://schemas.microsoft.com/office/drawing/2014/main" id="{02A1A5BC-18F5-4FAD-AB43-88FA18606ACB}"/>
            </a:ext>
          </a:extLst>
        </xdr:cNvPr>
        <xdr:cNvCxnSpPr>
          <a:stCxn id="2" idx="3"/>
          <a:endCxn id="8" idx="1"/>
        </xdr:cNvCxnSpPr>
      </xdr:nvCxnSpPr>
      <xdr:spPr>
        <a:xfrm>
          <a:off x="2496282" y="21327308"/>
          <a:ext cx="268898" cy="1209089"/>
        </a:xfrm>
        <a:prstGeom prst="bentConnector3">
          <a:avLst>
            <a:gd name="adj1" fmla="val 50000"/>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210282</xdr:colOff>
      <xdr:row>124</xdr:row>
      <xdr:rowOff>67508</xdr:rowOff>
    </xdr:from>
    <xdr:to>
      <xdr:col>12</xdr:col>
      <xdr:colOff>18170</xdr:colOff>
      <xdr:row>138</xdr:row>
      <xdr:rowOff>85678</xdr:rowOff>
    </xdr:to>
    <xdr:cxnSp macro="">
      <xdr:nvCxnSpPr>
        <xdr:cNvPr id="13" name="直線コネクタ 31">
          <a:extLst>
            <a:ext uri="{FF2B5EF4-FFF2-40B4-BE49-F238E27FC236}">
              <a16:creationId xmlns:a16="http://schemas.microsoft.com/office/drawing/2014/main" id="{1805E513-262A-4AD5-8467-8569E3D63D07}"/>
            </a:ext>
          </a:extLst>
        </xdr:cNvPr>
        <xdr:cNvCxnSpPr>
          <a:stCxn id="2" idx="3"/>
          <a:endCxn id="9" idx="1"/>
        </xdr:cNvCxnSpPr>
      </xdr:nvCxnSpPr>
      <xdr:spPr>
        <a:xfrm>
          <a:off x="2496282" y="21327308"/>
          <a:ext cx="265088" cy="2418470"/>
        </a:xfrm>
        <a:prstGeom prst="bentConnector3">
          <a:avLst>
            <a:gd name="adj1" fmla="val 50000"/>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202955</xdr:colOff>
      <xdr:row>124</xdr:row>
      <xdr:rowOff>68166</xdr:rowOff>
    </xdr:from>
    <xdr:to>
      <xdr:col>21</xdr:col>
      <xdr:colOff>15240</xdr:colOff>
      <xdr:row>124</xdr:row>
      <xdr:rowOff>70072</xdr:rowOff>
    </xdr:to>
    <xdr:cxnSp macro="">
      <xdr:nvCxnSpPr>
        <xdr:cNvPr id="14" name="直線コネクタ 13">
          <a:extLst>
            <a:ext uri="{FF2B5EF4-FFF2-40B4-BE49-F238E27FC236}">
              <a16:creationId xmlns:a16="http://schemas.microsoft.com/office/drawing/2014/main" id="{D677ACA8-FC2A-4DEF-89A7-D0B7FAD1CB9B}"/>
            </a:ext>
          </a:extLst>
        </xdr:cNvPr>
        <xdr:cNvCxnSpPr>
          <a:cxnSpLocks/>
          <a:stCxn id="15" idx="3"/>
          <a:endCxn id="5" idx="1"/>
        </xdr:cNvCxnSpPr>
      </xdr:nvCxnSpPr>
      <xdr:spPr>
        <a:xfrm flipV="1">
          <a:off x="4546355" y="21327966"/>
          <a:ext cx="269485" cy="1906"/>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21980</xdr:colOff>
      <xdr:row>124</xdr:row>
      <xdr:rowOff>21981</xdr:rowOff>
    </xdr:from>
    <xdr:to>
      <xdr:col>19</xdr:col>
      <xdr:colOff>201050</xdr:colOff>
      <xdr:row>124</xdr:row>
      <xdr:rowOff>120068</xdr:rowOff>
    </xdr:to>
    <xdr:sp macro="" textlink="">
      <xdr:nvSpPr>
        <xdr:cNvPr id="15" name="正方形/長方形 14">
          <a:extLst>
            <a:ext uri="{FF2B5EF4-FFF2-40B4-BE49-F238E27FC236}">
              <a16:creationId xmlns:a16="http://schemas.microsoft.com/office/drawing/2014/main" id="{15DE2742-5D1D-4721-B312-D4CC4E62129E}"/>
            </a:ext>
          </a:extLst>
        </xdr:cNvPr>
        <xdr:cNvSpPr/>
      </xdr:nvSpPr>
      <xdr:spPr>
        <a:xfrm>
          <a:off x="4365380" y="21281781"/>
          <a:ext cx="179070" cy="98087"/>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206472</xdr:colOff>
      <xdr:row>124</xdr:row>
      <xdr:rowOff>61793</xdr:rowOff>
    </xdr:from>
    <xdr:to>
      <xdr:col>30</xdr:col>
      <xdr:colOff>20663</xdr:colOff>
      <xdr:row>124</xdr:row>
      <xdr:rowOff>62744</xdr:rowOff>
    </xdr:to>
    <xdr:cxnSp macro="">
      <xdr:nvCxnSpPr>
        <xdr:cNvPr id="16" name="直線コネクタ 15">
          <a:extLst>
            <a:ext uri="{FF2B5EF4-FFF2-40B4-BE49-F238E27FC236}">
              <a16:creationId xmlns:a16="http://schemas.microsoft.com/office/drawing/2014/main" id="{763D1339-7BCA-4B39-A013-3E15471FD63B}"/>
            </a:ext>
          </a:extLst>
        </xdr:cNvPr>
        <xdr:cNvCxnSpPr>
          <a:cxnSpLocks/>
          <a:stCxn id="6" idx="3"/>
          <a:endCxn id="7" idx="1"/>
        </xdr:cNvCxnSpPr>
      </xdr:nvCxnSpPr>
      <xdr:spPr>
        <a:xfrm flipV="1">
          <a:off x="6607272" y="21321593"/>
          <a:ext cx="271391" cy="951"/>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206766</xdr:colOff>
      <xdr:row>125</xdr:row>
      <xdr:rowOff>76447</xdr:rowOff>
    </xdr:from>
    <xdr:to>
      <xdr:col>30</xdr:col>
      <xdr:colOff>12749</xdr:colOff>
      <xdr:row>126</xdr:row>
      <xdr:rowOff>62744</xdr:rowOff>
    </xdr:to>
    <xdr:cxnSp macro="">
      <xdr:nvCxnSpPr>
        <xdr:cNvPr id="17" name="直線コネクタ 31">
          <a:extLst>
            <a:ext uri="{FF2B5EF4-FFF2-40B4-BE49-F238E27FC236}">
              <a16:creationId xmlns:a16="http://schemas.microsoft.com/office/drawing/2014/main" id="{8F445CFF-3CC5-413B-BDE7-332898AB3C6C}"/>
            </a:ext>
          </a:extLst>
        </xdr:cNvPr>
        <xdr:cNvCxnSpPr>
          <a:stCxn id="11" idx="1"/>
          <a:endCxn id="10" idx="3"/>
        </xdr:cNvCxnSpPr>
      </xdr:nvCxnSpPr>
      <xdr:spPr>
        <a:xfrm rot="10800000" flipV="1">
          <a:off x="6607566" y="21507697"/>
          <a:ext cx="263183" cy="157747"/>
        </a:xfrm>
        <a:prstGeom prst="bentConnector3">
          <a:avLst>
            <a:gd name="adj1" fmla="val 50000"/>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29307</xdr:colOff>
      <xdr:row>178</xdr:row>
      <xdr:rowOff>14654</xdr:rowOff>
    </xdr:from>
    <xdr:to>
      <xdr:col>10</xdr:col>
      <xdr:colOff>206472</xdr:colOff>
      <xdr:row>178</xdr:row>
      <xdr:rowOff>116551</xdr:rowOff>
    </xdr:to>
    <xdr:sp macro="" textlink="">
      <xdr:nvSpPr>
        <xdr:cNvPr id="18" name="正方形/長方形 17">
          <a:extLst>
            <a:ext uri="{FF2B5EF4-FFF2-40B4-BE49-F238E27FC236}">
              <a16:creationId xmlns:a16="http://schemas.microsoft.com/office/drawing/2014/main" id="{769616B1-FB43-43AC-A2B9-75F28B2FAC9D}"/>
            </a:ext>
          </a:extLst>
        </xdr:cNvPr>
        <xdr:cNvSpPr/>
      </xdr:nvSpPr>
      <xdr:spPr>
        <a:xfrm>
          <a:off x="2315307" y="30532754"/>
          <a:ext cx="177165" cy="101897"/>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14946</xdr:colOff>
      <xdr:row>178</xdr:row>
      <xdr:rowOff>27403</xdr:rowOff>
    </xdr:from>
    <xdr:to>
      <xdr:col>12</xdr:col>
      <xdr:colOff>192111</xdr:colOff>
      <xdr:row>178</xdr:row>
      <xdr:rowOff>112155</xdr:rowOff>
    </xdr:to>
    <xdr:sp macro="" textlink="">
      <xdr:nvSpPr>
        <xdr:cNvPr id="19" name="正方形/長方形 18">
          <a:extLst>
            <a:ext uri="{FF2B5EF4-FFF2-40B4-BE49-F238E27FC236}">
              <a16:creationId xmlns:a16="http://schemas.microsoft.com/office/drawing/2014/main" id="{C5D2CEF9-64BB-42CB-B265-6FB43FD26C1E}"/>
            </a:ext>
          </a:extLst>
        </xdr:cNvPr>
        <xdr:cNvSpPr/>
      </xdr:nvSpPr>
      <xdr:spPr>
        <a:xfrm>
          <a:off x="2758146" y="30545503"/>
          <a:ext cx="177165" cy="84752"/>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210282</xdr:colOff>
      <xdr:row>178</xdr:row>
      <xdr:rowOff>67508</xdr:rowOff>
    </xdr:from>
    <xdr:to>
      <xdr:col>12</xdr:col>
      <xdr:colOff>18756</xdr:colOff>
      <xdr:row>178</xdr:row>
      <xdr:rowOff>68827</xdr:rowOff>
    </xdr:to>
    <xdr:cxnSp macro="">
      <xdr:nvCxnSpPr>
        <xdr:cNvPr id="20" name="直線コネクタ 19">
          <a:extLst>
            <a:ext uri="{FF2B5EF4-FFF2-40B4-BE49-F238E27FC236}">
              <a16:creationId xmlns:a16="http://schemas.microsoft.com/office/drawing/2014/main" id="{EE3E03CE-86BE-43E7-8FA3-87CDE43179C8}"/>
            </a:ext>
          </a:extLst>
        </xdr:cNvPr>
        <xdr:cNvCxnSpPr>
          <a:cxnSpLocks/>
          <a:stCxn id="18" idx="3"/>
          <a:endCxn id="19" idx="1"/>
        </xdr:cNvCxnSpPr>
      </xdr:nvCxnSpPr>
      <xdr:spPr>
        <a:xfrm>
          <a:off x="2496282" y="30585608"/>
          <a:ext cx="265674" cy="1319"/>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11430</xdr:colOff>
      <xdr:row>178</xdr:row>
      <xdr:rowOff>18170</xdr:rowOff>
    </xdr:from>
    <xdr:to>
      <xdr:col>21</xdr:col>
      <xdr:colOff>184785</xdr:colOff>
      <xdr:row>178</xdr:row>
      <xdr:rowOff>114352</xdr:rowOff>
    </xdr:to>
    <xdr:sp macro="" textlink="">
      <xdr:nvSpPr>
        <xdr:cNvPr id="21" name="正方形/長方形 20">
          <a:extLst>
            <a:ext uri="{FF2B5EF4-FFF2-40B4-BE49-F238E27FC236}">
              <a16:creationId xmlns:a16="http://schemas.microsoft.com/office/drawing/2014/main" id="{891EE95C-B0B5-4416-9975-FDBF2779B718}"/>
            </a:ext>
          </a:extLst>
        </xdr:cNvPr>
        <xdr:cNvSpPr/>
      </xdr:nvSpPr>
      <xdr:spPr>
        <a:xfrm>
          <a:off x="4812030" y="30536270"/>
          <a:ext cx="173355" cy="96182"/>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29307</xdr:colOff>
      <xdr:row>178</xdr:row>
      <xdr:rowOff>14653</xdr:rowOff>
    </xdr:from>
    <xdr:to>
      <xdr:col>28</xdr:col>
      <xdr:colOff>210282</xdr:colOff>
      <xdr:row>178</xdr:row>
      <xdr:rowOff>108930</xdr:rowOff>
    </xdr:to>
    <xdr:sp macro="" textlink="">
      <xdr:nvSpPr>
        <xdr:cNvPr id="22" name="正方形/長方形 21">
          <a:extLst>
            <a:ext uri="{FF2B5EF4-FFF2-40B4-BE49-F238E27FC236}">
              <a16:creationId xmlns:a16="http://schemas.microsoft.com/office/drawing/2014/main" id="{D5C623D9-481F-4F4F-8586-8B773BAD1459}"/>
            </a:ext>
          </a:extLst>
        </xdr:cNvPr>
        <xdr:cNvSpPr/>
      </xdr:nvSpPr>
      <xdr:spPr>
        <a:xfrm>
          <a:off x="6430107" y="30532753"/>
          <a:ext cx="180975" cy="94277"/>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30</xdr:col>
      <xdr:colOff>16853</xdr:colOff>
      <xdr:row>178</xdr:row>
      <xdr:rowOff>10844</xdr:rowOff>
    </xdr:from>
    <xdr:to>
      <xdr:col>30</xdr:col>
      <xdr:colOff>188303</xdr:colOff>
      <xdr:row>178</xdr:row>
      <xdr:rowOff>110836</xdr:rowOff>
    </xdr:to>
    <xdr:sp macro="" textlink="">
      <xdr:nvSpPr>
        <xdr:cNvPr id="23" name="正方形/長方形 22">
          <a:extLst>
            <a:ext uri="{FF2B5EF4-FFF2-40B4-BE49-F238E27FC236}">
              <a16:creationId xmlns:a16="http://schemas.microsoft.com/office/drawing/2014/main" id="{896BC30E-9259-4EC9-A443-C506C62A31AB}"/>
            </a:ext>
          </a:extLst>
        </xdr:cNvPr>
        <xdr:cNvSpPr/>
      </xdr:nvSpPr>
      <xdr:spPr>
        <a:xfrm>
          <a:off x="6874853" y="30528944"/>
          <a:ext cx="171450" cy="99992"/>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21981</xdr:colOff>
      <xdr:row>180</xdr:row>
      <xdr:rowOff>14653</xdr:rowOff>
    </xdr:from>
    <xdr:to>
      <xdr:col>28</xdr:col>
      <xdr:colOff>202956</xdr:colOff>
      <xdr:row>180</xdr:row>
      <xdr:rowOff>108930</xdr:rowOff>
    </xdr:to>
    <xdr:sp macro="" textlink="">
      <xdr:nvSpPr>
        <xdr:cNvPr id="24" name="正方形/長方形 23">
          <a:extLst>
            <a:ext uri="{FF2B5EF4-FFF2-40B4-BE49-F238E27FC236}">
              <a16:creationId xmlns:a16="http://schemas.microsoft.com/office/drawing/2014/main" id="{189A128C-E873-45D2-AB1C-02EDFBF1C22A}"/>
            </a:ext>
          </a:extLst>
        </xdr:cNvPr>
        <xdr:cNvSpPr/>
      </xdr:nvSpPr>
      <xdr:spPr>
        <a:xfrm>
          <a:off x="6422781" y="30875653"/>
          <a:ext cx="180975" cy="9427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30</xdr:col>
      <xdr:colOff>10844</xdr:colOff>
      <xdr:row>179</xdr:row>
      <xdr:rowOff>29308</xdr:rowOff>
    </xdr:from>
    <xdr:to>
      <xdr:col>30</xdr:col>
      <xdr:colOff>195629</xdr:colOff>
      <xdr:row>179</xdr:row>
      <xdr:rowOff>123585</xdr:rowOff>
    </xdr:to>
    <xdr:sp macro="" textlink="">
      <xdr:nvSpPr>
        <xdr:cNvPr id="25" name="正方形/長方形 24">
          <a:extLst>
            <a:ext uri="{FF2B5EF4-FFF2-40B4-BE49-F238E27FC236}">
              <a16:creationId xmlns:a16="http://schemas.microsoft.com/office/drawing/2014/main" id="{418578C2-BAE6-4FFD-97BE-50827AE8A1BF}"/>
            </a:ext>
          </a:extLst>
        </xdr:cNvPr>
        <xdr:cNvSpPr/>
      </xdr:nvSpPr>
      <xdr:spPr>
        <a:xfrm>
          <a:off x="6868844" y="30718858"/>
          <a:ext cx="184785" cy="9427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202955</xdr:colOff>
      <xdr:row>178</xdr:row>
      <xdr:rowOff>68166</xdr:rowOff>
    </xdr:from>
    <xdr:to>
      <xdr:col>21</xdr:col>
      <xdr:colOff>15240</xdr:colOff>
      <xdr:row>178</xdr:row>
      <xdr:rowOff>70072</xdr:rowOff>
    </xdr:to>
    <xdr:cxnSp macro="">
      <xdr:nvCxnSpPr>
        <xdr:cNvPr id="26" name="直線コネクタ 25">
          <a:extLst>
            <a:ext uri="{FF2B5EF4-FFF2-40B4-BE49-F238E27FC236}">
              <a16:creationId xmlns:a16="http://schemas.microsoft.com/office/drawing/2014/main" id="{D8A06FE0-AD59-417E-92FE-BAEA4DEBBD12}"/>
            </a:ext>
          </a:extLst>
        </xdr:cNvPr>
        <xdr:cNvCxnSpPr>
          <a:cxnSpLocks/>
          <a:stCxn id="27" idx="3"/>
          <a:endCxn id="21" idx="1"/>
        </xdr:cNvCxnSpPr>
      </xdr:nvCxnSpPr>
      <xdr:spPr>
        <a:xfrm flipV="1">
          <a:off x="4546355" y="30586266"/>
          <a:ext cx="269485" cy="1906"/>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21980</xdr:colOff>
      <xdr:row>178</xdr:row>
      <xdr:rowOff>21981</xdr:rowOff>
    </xdr:from>
    <xdr:to>
      <xdr:col>19</xdr:col>
      <xdr:colOff>201050</xdr:colOff>
      <xdr:row>178</xdr:row>
      <xdr:rowOff>120068</xdr:rowOff>
    </xdr:to>
    <xdr:sp macro="" textlink="">
      <xdr:nvSpPr>
        <xdr:cNvPr id="27" name="正方形/長方形 26">
          <a:extLst>
            <a:ext uri="{FF2B5EF4-FFF2-40B4-BE49-F238E27FC236}">
              <a16:creationId xmlns:a16="http://schemas.microsoft.com/office/drawing/2014/main" id="{61E3B6B2-6181-4960-84E5-2CE6511A241C}"/>
            </a:ext>
          </a:extLst>
        </xdr:cNvPr>
        <xdr:cNvSpPr/>
      </xdr:nvSpPr>
      <xdr:spPr>
        <a:xfrm>
          <a:off x="4365380" y="30540081"/>
          <a:ext cx="179070" cy="98087"/>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206472</xdr:colOff>
      <xdr:row>178</xdr:row>
      <xdr:rowOff>61793</xdr:rowOff>
    </xdr:from>
    <xdr:to>
      <xdr:col>30</xdr:col>
      <xdr:colOff>20663</xdr:colOff>
      <xdr:row>178</xdr:row>
      <xdr:rowOff>62744</xdr:rowOff>
    </xdr:to>
    <xdr:cxnSp macro="">
      <xdr:nvCxnSpPr>
        <xdr:cNvPr id="28" name="直線コネクタ 27">
          <a:extLst>
            <a:ext uri="{FF2B5EF4-FFF2-40B4-BE49-F238E27FC236}">
              <a16:creationId xmlns:a16="http://schemas.microsoft.com/office/drawing/2014/main" id="{20512384-61B6-4ED1-A3FF-EF3E11EB584D}"/>
            </a:ext>
          </a:extLst>
        </xdr:cNvPr>
        <xdr:cNvCxnSpPr>
          <a:cxnSpLocks/>
          <a:stCxn id="22" idx="3"/>
          <a:endCxn id="23" idx="1"/>
        </xdr:cNvCxnSpPr>
      </xdr:nvCxnSpPr>
      <xdr:spPr>
        <a:xfrm flipV="1">
          <a:off x="6607272" y="30579893"/>
          <a:ext cx="271391" cy="951"/>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206766</xdr:colOff>
      <xdr:row>179</xdr:row>
      <xdr:rowOff>76447</xdr:rowOff>
    </xdr:from>
    <xdr:to>
      <xdr:col>30</xdr:col>
      <xdr:colOff>12749</xdr:colOff>
      <xdr:row>180</xdr:row>
      <xdr:rowOff>62744</xdr:rowOff>
    </xdr:to>
    <xdr:cxnSp macro="">
      <xdr:nvCxnSpPr>
        <xdr:cNvPr id="29" name="直線コネクタ 31">
          <a:extLst>
            <a:ext uri="{FF2B5EF4-FFF2-40B4-BE49-F238E27FC236}">
              <a16:creationId xmlns:a16="http://schemas.microsoft.com/office/drawing/2014/main" id="{D4169684-782B-49E8-BFBB-0674E193B686}"/>
            </a:ext>
          </a:extLst>
        </xdr:cNvPr>
        <xdr:cNvCxnSpPr>
          <a:stCxn id="25" idx="1"/>
          <a:endCxn id="24" idx="3"/>
        </xdr:cNvCxnSpPr>
      </xdr:nvCxnSpPr>
      <xdr:spPr>
        <a:xfrm rot="10800000" flipV="1">
          <a:off x="6607566" y="30765997"/>
          <a:ext cx="263183" cy="157747"/>
        </a:xfrm>
        <a:prstGeom prst="bentConnector3">
          <a:avLst>
            <a:gd name="adj1" fmla="val 50000"/>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21980</xdr:colOff>
      <xdr:row>184</xdr:row>
      <xdr:rowOff>21980</xdr:rowOff>
    </xdr:from>
    <xdr:to>
      <xdr:col>12</xdr:col>
      <xdr:colOff>191525</xdr:colOff>
      <xdr:row>184</xdr:row>
      <xdr:rowOff>106732</xdr:rowOff>
    </xdr:to>
    <xdr:sp macro="" textlink="">
      <xdr:nvSpPr>
        <xdr:cNvPr id="30" name="正方形/長方形 29">
          <a:extLst>
            <a:ext uri="{FF2B5EF4-FFF2-40B4-BE49-F238E27FC236}">
              <a16:creationId xmlns:a16="http://schemas.microsoft.com/office/drawing/2014/main" id="{504E3AB8-BCBA-4971-B317-46B95A06908A}"/>
            </a:ext>
          </a:extLst>
        </xdr:cNvPr>
        <xdr:cNvSpPr/>
      </xdr:nvSpPr>
      <xdr:spPr>
        <a:xfrm>
          <a:off x="2765180" y="31568780"/>
          <a:ext cx="169545" cy="84752"/>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14653</xdr:colOff>
      <xdr:row>191</xdr:row>
      <xdr:rowOff>29307</xdr:rowOff>
    </xdr:from>
    <xdr:to>
      <xdr:col>12</xdr:col>
      <xdr:colOff>184198</xdr:colOff>
      <xdr:row>191</xdr:row>
      <xdr:rowOff>117869</xdr:rowOff>
    </xdr:to>
    <xdr:sp macro="" textlink="">
      <xdr:nvSpPr>
        <xdr:cNvPr id="31" name="正方形/長方形 30">
          <a:extLst>
            <a:ext uri="{FF2B5EF4-FFF2-40B4-BE49-F238E27FC236}">
              <a16:creationId xmlns:a16="http://schemas.microsoft.com/office/drawing/2014/main" id="{9FE29872-7828-4026-B994-790493F327B3}"/>
            </a:ext>
          </a:extLst>
        </xdr:cNvPr>
        <xdr:cNvSpPr/>
      </xdr:nvSpPr>
      <xdr:spPr>
        <a:xfrm>
          <a:off x="2757853" y="32776257"/>
          <a:ext cx="169545" cy="88562"/>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21980</xdr:colOff>
      <xdr:row>198</xdr:row>
      <xdr:rowOff>14654</xdr:rowOff>
    </xdr:from>
    <xdr:to>
      <xdr:col>12</xdr:col>
      <xdr:colOff>191525</xdr:colOff>
      <xdr:row>198</xdr:row>
      <xdr:rowOff>103216</xdr:rowOff>
    </xdr:to>
    <xdr:sp macro="" textlink="">
      <xdr:nvSpPr>
        <xdr:cNvPr id="32" name="正方形/長方形 31">
          <a:extLst>
            <a:ext uri="{FF2B5EF4-FFF2-40B4-BE49-F238E27FC236}">
              <a16:creationId xmlns:a16="http://schemas.microsoft.com/office/drawing/2014/main" id="{A8FF5076-4F6E-41C7-A0C8-C59170DF6235}"/>
            </a:ext>
          </a:extLst>
        </xdr:cNvPr>
        <xdr:cNvSpPr/>
      </xdr:nvSpPr>
      <xdr:spPr>
        <a:xfrm>
          <a:off x="2765180" y="33961754"/>
          <a:ext cx="169545" cy="88562"/>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210282</xdr:colOff>
      <xdr:row>178</xdr:row>
      <xdr:rowOff>67508</xdr:rowOff>
    </xdr:from>
    <xdr:to>
      <xdr:col>12</xdr:col>
      <xdr:colOff>18170</xdr:colOff>
      <xdr:row>184</xdr:row>
      <xdr:rowOff>61499</xdr:rowOff>
    </xdr:to>
    <xdr:cxnSp macro="">
      <xdr:nvCxnSpPr>
        <xdr:cNvPr id="33" name="直線コネクタ 31">
          <a:extLst>
            <a:ext uri="{FF2B5EF4-FFF2-40B4-BE49-F238E27FC236}">
              <a16:creationId xmlns:a16="http://schemas.microsoft.com/office/drawing/2014/main" id="{D75F64A2-5EFE-41EC-BCCE-A5E70B0F1221}"/>
            </a:ext>
          </a:extLst>
        </xdr:cNvPr>
        <xdr:cNvCxnSpPr>
          <a:cxnSpLocks/>
          <a:stCxn id="18" idx="3"/>
          <a:endCxn id="30" idx="1"/>
        </xdr:cNvCxnSpPr>
      </xdr:nvCxnSpPr>
      <xdr:spPr>
        <a:xfrm>
          <a:off x="2496282" y="30585608"/>
          <a:ext cx="265088" cy="1022691"/>
        </a:xfrm>
        <a:prstGeom prst="bentConnector3">
          <a:avLst>
            <a:gd name="adj1" fmla="val 50000"/>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210282</xdr:colOff>
      <xdr:row>178</xdr:row>
      <xdr:rowOff>67508</xdr:rowOff>
    </xdr:from>
    <xdr:to>
      <xdr:col>12</xdr:col>
      <xdr:colOff>18463</xdr:colOff>
      <xdr:row>191</xdr:row>
      <xdr:rowOff>72636</xdr:rowOff>
    </xdr:to>
    <xdr:cxnSp macro="">
      <xdr:nvCxnSpPr>
        <xdr:cNvPr id="34" name="直線コネクタ 31">
          <a:extLst>
            <a:ext uri="{FF2B5EF4-FFF2-40B4-BE49-F238E27FC236}">
              <a16:creationId xmlns:a16="http://schemas.microsoft.com/office/drawing/2014/main" id="{01534039-6631-4269-BCDE-6C0C09B1C8C3}"/>
            </a:ext>
          </a:extLst>
        </xdr:cNvPr>
        <xdr:cNvCxnSpPr>
          <a:cxnSpLocks/>
          <a:stCxn id="18" idx="3"/>
          <a:endCxn id="31" idx="1"/>
        </xdr:cNvCxnSpPr>
      </xdr:nvCxnSpPr>
      <xdr:spPr>
        <a:xfrm>
          <a:off x="2496282" y="30585608"/>
          <a:ext cx="265381" cy="2233978"/>
        </a:xfrm>
        <a:prstGeom prst="bentConnector3">
          <a:avLst>
            <a:gd name="adj1" fmla="val 50000"/>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210282</xdr:colOff>
      <xdr:row>178</xdr:row>
      <xdr:rowOff>67508</xdr:rowOff>
    </xdr:from>
    <xdr:to>
      <xdr:col>12</xdr:col>
      <xdr:colOff>18170</xdr:colOff>
      <xdr:row>198</xdr:row>
      <xdr:rowOff>59888</xdr:rowOff>
    </xdr:to>
    <xdr:cxnSp macro="">
      <xdr:nvCxnSpPr>
        <xdr:cNvPr id="35" name="直線コネクタ 31">
          <a:extLst>
            <a:ext uri="{FF2B5EF4-FFF2-40B4-BE49-F238E27FC236}">
              <a16:creationId xmlns:a16="http://schemas.microsoft.com/office/drawing/2014/main" id="{7835575B-D468-4F1C-A10E-6FF7125FBD08}"/>
            </a:ext>
          </a:extLst>
        </xdr:cNvPr>
        <xdr:cNvCxnSpPr>
          <a:cxnSpLocks/>
          <a:stCxn id="18" idx="3"/>
          <a:endCxn id="32" idx="1"/>
        </xdr:cNvCxnSpPr>
      </xdr:nvCxnSpPr>
      <xdr:spPr>
        <a:xfrm>
          <a:off x="2496282" y="30585608"/>
          <a:ext cx="265088" cy="3421380"/>
        </a:xfrm>
        <a:prstGeom prst="bentConnector3">
          <a:avLst>
            <a:gd name="adj1" fmla="val 50000"/>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29307</xdr:colOff>
      <xdr:row>234</xdr:row>
      <xdr:rowOff>14654</xdr:rowOff>
    </xdr:from>
    <xdr:to>
      <xdr:col>10</xdr:col>
      <xdr:colOff>206472</xdr:colOff>
      <xdr:row>234</xdr:row>
      <xdr:rowOff>116551</xdr:rowOff>
    </xdr:to>
    <xdr:sp macro="" textlink="">
      <xdr:nvSpPr>
        <xdr:cNvPr id="36" name="正方形/長方形 35">
          <a:extLst>
            <a:ext uri="{FF2B5EF4-FFF2-40B4-BE49-F238E27FC236}">
              <a16:creationId xmlns:a16="http://schemas.microsoft.com/office/drawing/2014/main" id="{C860A031-65E3-40C5-AD17-840443C2D344}"/>
            </a:ext>
          </a:extLst>
        </xdr:cNvPr>
        <xdr:cNvSpPr/>
      </xdr:nvSpPr>
      <xdr:spPr>
        <a:xfrm>
          <a:off x="2315307" y="40133954"/>
          <a:ext cx="177165" cy="101897"/>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14946</xdr:colOff>
      <xdr:row>234</xdr:row>
      <xdr:rowOff>27403</xdr:rowOff>
    </xdr:from>
    <xdr:to>
      <xdr:col>12</xdr:col>
      <xdr:colOff>192111</xdr:colOff>
      <xdr:row>234</xdr:row>
      <xdr:rowOff>112155</xdr:rowOff>
    </xdr:to>
    <xdr:sp macro="" textlink="">
      <xdr:nvSpPr>
        <xdr:cNvPr id="37" name="正方形/長方形 36">
          <a:extLst>
            <a:ext uri="{FF2B5EF4-FFF2-40B4-BE49-F238E27FC236}">
              <a16:creationId xmlns:a16="http://schemas.microsoft.com/office/drawing/2014/main" id="{F98CCE42-8660-4D0F-BCF5-3FABB71A9670}"/>
            </a:ext>
          </a:extLst>
        </xdr:cNvPr>
        <xdr:cNvSpPr/>
      </xdr:nvSpPr>
      <xdr:spPr>
        <a:xfrm>
          <a:off x="2758146" y="40146703"/>
          <a:ext cx="177165" cy="84752"/>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210282</xdr:colOff>
      <xdr:row>234</xdr:row>
      <xdr:rowOff>67508</xdr:rowOff>
    </xdr:from>
    <xdr:to>
      <xdr:col>12</xdr:col>
      <xdr:colOff>18756</xdr:colOff>
      <xdr:row>234</xdr:row>
      <xdr:rowOff>68827</xdr:rowOff>
    </xdr:to>
    <xdr:cxnSp macro="">
      <xdr:nvCxnSpPr>
        <xdr:cNvPr id="38" name="直線コネクタ 37">
          <a:extLst>
            <a:ext uri="{FF2B5EF4-FFF2-40B4-BE49-F238E27FC236}">
              <a16:creationId xmlns:a16="http://schemas.microsoft.com/office/drawing/2014/main" id="{ECE45671-6FF4-40A4-8C51-BB2536E76EA8}"/>
            </a:ext>
          </a:extLst>
        </xdr:cNvPr>
        <xdr:cNvCxnSpPr>
          <a:cxnSpLocks/>
          <a:stCxn id="36" idx="3"/>
          <a:endCxn id="37" idx="1"/>
        </xdr:cNvCxnSpPr>
      </xdr:nvCxnSpPr>
      <xdr:spPr>
        <a:xfrm>
          <a:off x="2496282" y="40186808"/>
          <a:ext cx="265674" cy="1319"/>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11430</xdr:colOff>
      <xdr:row>234</xdr:row>
      <xdr:rowOff>18170</xdr:rowOff>
    </xdr:from>
    <xdr:to>
      <xdr:col>21</xdr:col>
      <xdr:colOff>184785</xdr:colOff>
      <xdr:row>234</xdr:row>
      <xdr:rowOff>114352</xdr:rowOff>
    </xdr:to>
    <xdr:sp macro="" textlink="">
      <xdr:nvSpPr>
        <xdr:cNvPr id="39" name="正方形/長方形 38">
          <a:extLst>
            <a:ext uri="{FF2B5EF4-FFF2-40B4-BE49-F238E27FC236}">
              <a16:creationId xmlns:a16="http://schemas.microsoft.com/office/drawing/2014/main" id="{520E3CD3-CD43-43D9-A9F3-6F3B801FECB3}"/>
            </a:ext>
          </a:extLst>
        </xdr:cNvPr>
        <xdr:cNvSpPr/>
      </xdr:nvSpPr>
      <xdr:spPr>
        <a:xfrm>
          <a:off x="4812030" y="40137470"/>
          <a:ext cx="173355" cy="96182"/>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29307</xdr:colOff>
      <xdr:row>234</xdr:row>
      <xdr:rowOff>14653</xdr:rowOff>
    </xdr:from>
    <xdr:to>
      <xdr:col>28</xdr:col>
      <xdr:colOff>210282</xdr:colOff>
      <xdr:row>234</xdr:row>
      <xdr:rowOff>108930</xdr:rowOff>
    </xdr:to>
    <xdr:sp macro="" textlink="">
      <xdr:nvSpPr>
        <xdr:cNvPr id="40" name="正方形/長方形 39">
          <a:extLst>
            <a:ext uri="{FF2B5EF4-FFF2-40B4-BE49-F238E27FC236}">
              <a16:creationId xmlns:a16="http://schemas.microsoft.com/office/drawing/2014/main" id="{67FAFEE6-D14C-436E-B2EC-48075FC1B10D}"/>
            </a:ext>
          </a:extLst>
        </xdr:cNvPr>
        <xdr:cNvSpPr/>
      </xdr:nvSpPr>
      <xdr:spPr>
        <a:xfrm>
          <a:off x="6430107" y="40133953"/>
          <a:ext cx="180975" cy="94277"/>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30</xdr:col>
      <xdr:colOff>16853</xdr:colOff>
      <xdr:row>234</xdr:row>
      <xdr:rowOff>10844</xdr:rowOff>
    </xdr:from>
    <xdr:to>
      <xdr:col>30</xdr:col>
      <xdr:colOff>188303</xdr:colOff>
      <xdr:row>234</xdr:row>
      <xdr:rowOff>110836</xdr:rowOff>
    </xdr:to>
    <xdr:sp macro="" textlink="">
      <xdr:nvSpPr>
        <xdr:cNvPr id="41" name="正方形/長方形 40">
          <a:extLst>
            <a:ext uri="{FF2B5EF4-FFF2-40B4-BE49-F238E27FC236}">
              <a16:creationId xmlns:a16="http://schemas.microsoft.com/office/drawing/2014/main" id="{9388DAC6-2661-467E-8EE3-BF03206025B0}"/>
            </a:ext>
          </a:extLst>
        </xdr:cNvPr>
        <xdr:cNvSpPr/>
      </xdr:nvSpPr>
      <xdr:spPr>
        <a:xfrm>
          <a:off x="6874853" y="40130144"/>
          <a:ext cx="171450" cy="99992"/>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21981</xdr:colOff>
      <xdr:row>236</xdr:row>
      <xdr:rowOff>14653</xdr:rowOff>
    </xdr:from>
    <xdr:to>
      <xdr:col>28</xdr:col>
      <xdr:colOff>202956</xdr:colOff>
      <xdr:row>236</xdr:row>
      <xdr:rowOff>108930</xdr:rowOff>
    </xdr:to>
    <xdr:sp macro="" textlink="">
      <xdr:nvSpPr>
        <xdr:cNvPr id="42" name="正方形/長方形 41">
          <a:extLst>
            <a:ext uri="{FF2B5EF4-FFF2-40B4-BE49-F238E27FC236}">
              <a16:creationId xmlns:a16="http://schemas.microsoft.com/office/drawing/2014/main" id="{55EF0DA0-FA65-4086-AFD0-08BD3884EA16}"/>
            </a:ext>
          </a:extLst>
        </xdr:cNvPr>
        <xdr:cNvSpPr/>
      </xdr:nvSpPr>
      <xdr:spPr>
        <a:xfrm>
          <a:off x="6422781" y="40476853"/>
          <a:ext cx="180975" cy="9427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30</xdr:col>
      <xdr:colOff>10844</xdr:colOff>
      <xdr:row>235</xdr:row>
      <xdr:rowOff>29308</xdr:rowOff>
    </xdr:from>
    <xdr:to>
      <xdr:col>30</xdr:col>
      <xdr:colOff>195629</xdr:colOff>
      <xdr:row>235</xdr:row>
      <xdr:rowOff>123585</xdr:rowOff>
    </xdr:to>
    <xdr:sp macro="" textlink="">
      <xdr:nvSpPr>
        <xdr:cNvPr id="43" name="正方形/長方形 42">
          <a:extLst>
            <a:ext uri="{FF2B5EF4-FFF2-40B4-BE49-F238E27FC236}">
              <a16:creationId xmlns:a16="http://schemas.microsoft.com/office/drawing/2014/main" id="{FCD1AF50-398C-4E9B-AC05-86EA7920A256}"/>
            </a:ext>
          </a:extLst>
        </xdr:cNvPr>
        <xdr:cNvSpPr/>
      </xdr:nvSpPr>
      <xdr:spPr>
        <a:xfrm>
          <a:off x="6868844" y="40320058"/>
          <a:ext cx="184785" cy="9427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202955</xdr:colOff>
      <xdr:row>234</xdr:row>
      <xdr:rowOff>68166</xdr:rowOff>
    </xdr:from>
    <xdr:to>
      <xdr:col>21</xdr:col>
      <xdr:colOff>15240</xdr:colOff>
      <xdr:row>234</xdr:row>
      <xdr:rowOff>70072</xdr:rowOff>
    </xdr:to>
    <xdr:cxnSp macro="">
      <xdr:nvCxnSpPr>
        <xdr:cNvPr id="44" name="直線コネクタ 43">
          <a:extLst>
            <a:ext uri="{FF2B5EF4-FFF2-40B4-BE49-F238E27FC236}">
              <a16:creationId xmlns:a16="http://schemas.microsoft.com/office/drawing/2014/main" id="{120B9EFF-4333-4EFD-A00A-C4814DE3C4C1}"/>
            </a:ext>
          </a:extLst>
        </xdr:cNvPr>
        <xdr:cNvCxnSpPr>
          <a:cxnSpLocks/>
          <a:stCxn id="45" idx="3"/>
          <a:endCxn id="39" idx="1"/>
        </xdr:cNvCxnSpPr>
      </xdr:nvCxnSpPr>
      <xdr:spPr>
        <a:xfrm flipV="1">
          <a:off x="4546355" y="40187466"/>
          <a:ext cx="269485" cy="1906"/>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21980</xdr:colOff>
      <xdr:row>234</xdr:row>
      <xdr:rowOff>21981</xdr:rowOff>
    </xdr:from>
    <xdr:to>
      <xdr:col>19</xdr:col>
      <xdr:colOff>201050</xdr:colOff>
      <xdr:row>234</xdr:row>
      <xdr:rowOff>120068</xdr:rowOff>
    </xdr:to>
    <xdr:sp macro="" textlink="">
      <xdr:nvSpPr>
        <xdr:cNvPr id="45" name="正方形/長方形 44">
          <a:extLst>
            <a:ext uri="{FF2B5EF4-FFF2-40B4-BE49-F238E27FC236}">
              <a16:creationId xmlns:a16="http://schemas.microsoft.com/office/drawing/2014/main" id="{0D8E3E1F-BC38-407D-9F1F-CE7F0D314C74}"/>
            </a:ext>
          </a:extLst>
        </xdr:cNvPr>
        <xdr:cNvSpPr/>
      </xdr:nvSpPr>
      <xdr:spPr>
        <a:xfrm>
          <a:off x="4365380" y="40141281"/>
          <a:ext cx="179070" cy="98087"/>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206472</xdr:colOff>
      <xdr:row>234</xdr:row>
      <xdr:rowOff>61793</xdr:rowOff>
    </xdr:from>
    <xdr:to>
      <xdr:col>30</xdr:col>
      <xdr:colOff>20663</xdr:colOff>
      <xdr:row>234</xdr:row>
      <xdr:rowOff>62744</xdr:rowOff>
    </xdr:to>
    <xdr:cxnSp macro="">
      <xdr:nvCxnSpPr>
        <xdr:cNvPr id="46" name="直線コネクタ 45">
          <a:extLst>
            <a:ext uri="{FF2B5EF4-FFF2-40B4-BE49-F238E27FC236}">
              <a16:creationId xmlns:a16="http://schemas.microsoft.com/office/drawing/2014/main" id="{583D3A61-AE1C-43E2-ABA0-20B4221177BC}"/>
            </a:ext>
          </a:extLst>
        </xdr:cNvPr>
        <xdr:cNvCxnSpPr>
          <a:cxnSpLocks/>
          <a:stCxn id="40" idx="3"/>
          <a:endCxn id="41" idx="1"/>
        </xdr:cNvCxnSpPr>
      </xdr:nvCxnSpPr>
      <xdr:spPr>
        <a:xfrm flipV="1">
          <a:off x="6607272" y="40181093"/>
          <a:ext cx="271391" cy="951"/>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206766</xdr:colOff>
      <xdr:row>235</xdr:row>
      <xdr:rowOff>76447</xdr:rowOff>
    </xdr:from>
    <xdr:to>
      <xdr:col>30</xdr:col>
      <xdr:colOff>12749</xdr:colOff>
      <xdr:row>236</xdr:row>
      <xdr:rowOff>62744</xdr:rowOff>
    </xdr:to>
    <xdr:cxnSp macro="">
      <xdr:nvCxnSpPr>
        <xdr:cNvPr id="47" name="直線コネクタ 31">
          <a:extLst>
            <a:ext uri="{FF2B5EF4-FFF2-40B4-BE49-F238E27FC236}">
              <a16:creationId xmlns:a16="http://schemas.microsoft.com/office/drawing/2014/main" id="{DC3C0960-0764-45EF-BD06-D492261080C5}"/>
            </a:ext>
          </a:extLst>
        </xdr:cNvPr>
        <xdr:cNvCxnSpPr>
          <a:stCxn id="43" idx="1"/>
          <a:endCxn id="42" idx="3"/>
        </xdr:cNvCxnSpPr>
      </xdr:nvCxnSpPr>
      <xdr:spPr>
        <a:xfrm rot="10800000" flipV="1">
          <a:off x="6607566" y="40367197"/>
          <a:ext cx="263183" cy="157747"/>
        </a:xfrm>
        <a:prstGeom prst="bentConnector3">
          <a:avLst>
            <a:gd name="adj1" fmla="val 50000"/>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14653</xdr:colOff>
      <xdr:row>240</xdr:row>
      <xdr:rowOff>18464</xdr:rowOff>
    </xdr:from>
    <xdr:to>
      <xdr:col>12</xdr:col>
      <xdr:colOff>184198</xdr:colOff>
      <xdr:row>240</xdr:row>
      <xdr:rowOff>103216</xdr:rowOff>
    </xdr:to>
    <xdr:sp macro="" textlink="">
      <xdr:nvSpPr>
        <xdr:cNvPr id="48" name="正方形/長方形 47">
          <a:extLst>
            <a:ext uri="{FF2B5EF4-FFF2-40B4-BE49-F238E27FC236}">
              <a16:creationId xmlns:a16="http://schemas.microsoft.com/office/drawing/2014/main" id="{61BD38C2-DED2-4131-A02A-E19B80A5ADDB}"/>
            </a:ext>
          </a:extLst>
        </xdr:cNvPr>
        <xdr:cNvSpPr/>
      </xdr:nvSpPr>
      <xdr:spPr>
        <a:xfrm>
          <a:off x="2757853" y="41166464"/>
          <a:ext cx="169545" cy="84752"/>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21980</xdr:colOff>
      <xdr:row>247</xdr:row>
      <xdr:rowOff>21981</xdr:rowOff>
    </xdr:from>
    <xdr:to>
      <xdr:col>12</xdr:col>
      <xdr:colOff>191525</xdr:colOff>
      <xdr:row>247</xdr:row>
      <xdr:rowOff>110543</xdr:rowOff>
    </xdr:to>
    <xdr:sp macro="" textlink="">
      <xdr:nvSpPr>
        <xdr:cNvPr id="49" name="正方形/長方形 48">
          <a:extLst>
            <a:ext uri="{FF2B5EF4-FFF2-40B4-BE49-F238E27FC236}">
              <a16:creationId xmlns:a16="http://schemas.microsoft.com/office/drawing/2014/main" id="{3BA54D02-77B7-4326-B83F-85A7769CDCA1}"/>
            </a:ext>
          </a:extLst>
        </xdr:cNvPr>
        <xdr:cNvSpPr/>
      </xdr:nvSpPr>
      <xdr:spPr>
        <a:xfrm>
          <a:off x="2765180" y="42370131"/>
          <a:ext cx="169545" cy="88562"/>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14653</xdr:colOff>
      <xdr:row>254</xdr:row>
      <xdr:rowOff>7327</xdr:rowOff>
    </xdr:from>
    <xdr:to>
      <xdr:col>12</xdr:col>
      <xdr:colOff>184198</xdr:colOff>
      <xdr:row>254</xdr:row>
      <xdr:rowOff>95889</xdr:rowOff>
    </xdr:to>
    <xdr:sp macro="" textlink="">
      <xdr:nvSpPr>
        <xdr:cNvPr id="50" name="正方形/長方形 49">
          <a:extLst>
            <a:ext uri="{FF2B5EF4-FFF2-40B4-BE49-F238E27FC236}">
              <a16:creationId xmlns:a16="http://schemas.microsoft.com/office/drawing/2014/main" id="{EF700DA9-1278-4375-9284-2E01C6F88A22}"/>
            </a:ext>
          </a:extLst>
        </xdr:cNvPr>
        <xdr:cNvSpPr/>
      </xdr:nvSpPr>
      <xdr:spPr>
        <a:xfrm>
          <a:off x="2757853" y="43555627"/>
          <a:ext cx="169545" cy="88562"/>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14653</xdr:colOff>
      <xdr:row>261</xdr:row>
      <xdr:rowOff>14654</xdr:rowOff>
    </xdr:from>
    <xdr:to>
      <xdr:col>12</xdr:col>
      <xdr:colOff>184198</xdr:colOff>
      <xdr:row>261</xdr:row>
      <xdr:rowOff>103216</xdr:rowOff>
    </xdr:to>
    <xdr:sp macro="" textlink="">
      <xdr:nvSpPr>
        <xdr:cNvPr id="51" name="正方形/長方形 50">
          <a:extLst>
            <a:ext uri="{FF2B5EF4-FFF2-40B4-BE49-F238E27FC236}">
              <a16:creationId xmlns:a16="http://schemas.microsoft.com/office/drawing/2014/main" id="{286675D2-C536-46DB-9EA2-850D47882607}"/>
            </a:ext>
          </a:extLst>
        </xdr:cNvPr>
        <xdr:cNvSpPr/>
      </xdr:nvSpPr>
      <xdr:spPr>
        <a:xfrm>
          <a:off x="2757853" y="44763104"/>
          <a:ext cx="169545" cy="88562"/>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7326</xdr:colOff>
      <xdr:row>268</xdr:row>
      <xdr:rowOff>21982</xdr:rowOff>
    </xdr:from>
    <xdr:to>
      <xdr:col>12</xdr:col>
      <xdr:colOff>176871</xdr:colOff>
      <xdr:row>268</xdr:row>
      <xdr:rowOff>110544</xdr:rowOff>
    </xdr:to>
    <xdr:sp macro="" textlink="">
      <xdr:nvSpPr>
        <xdr:cNvPr id="52" name="正方形/長方形 51">
          <a:extLst>
            <a:ext uri="{FF2B5EF4-FFF2-40B4-BE49-F238E27FC236}">
              <a16:creationId xmlns:a16="http://schemas.microsoft.com/office/drawing/2014/main" id="{9BD5D12B-37F9-46D6-A87C-06B1B9A80349}"/>
            </a:ext>
          </a:extLst>
        </xdr:cNvPr>
        <xdr:cNvSpPr/>
      </xdr:nvSpPr>
      <xdr:spPr>
        <a:xfrm>
          <a:off x="2750526" y="45970582"/>
          <a:ext cx="169545" cy="88562"/>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210282</xdr:colOff>
      <xdr:row>234</xdr:row>
      <xdr:rowOff>67508</xdr:rowOff>
    </xdr:from>
    <xdr:to>
      <xdr:col>12</xdr:col>
      <xdr:colOff>18463</xdr:colOff>
      <xdr:row>240</xdr:row>
      <xdr:rowOff>61793</xdr:rowOff>
    </xdr:to>
    <xdr:cxnSp macro="">
      <xdr:nvCxnSpPr>
        <xdr:cNvPr id="53" name="直線コネクタ 31">
          <a:extLst>
            <a:ext uri="{FF2B5EF4-FFF2-40B4-BE49-F238E27FC236}">
              <a16:creationId xmlns:a16="http://schemas.microsoft.com/office/drawing/2014/main" id="{0F4E68A5-41E1-4EEA-8FDB-F17B72502E5F}"/>
            </a:ext>
          </a:extLst>
        </xdr:cNvPr>
        <xdr:cNvCxnSpPr>
          <a:cxnSpLocks/>
          <a:stCxn id="36" idx="3"/>
          <a:endCxn id="48" idx="1"/>
        </xdr:cNvCxnSpPr>
      </xdr:nvCxnSpPr>
      <xdr:spPr>
        <a:xfrm>
          <a:off x="2496282" y="40186808"/>
          <a:ext cx="265381" cy="1022985"/>
        </a:xfrm>
        <a:prstGeom prst="bentConnector3">
          <a:avLst>
            <a:gd name="adj1" fmla="val 50000"/>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210282</xdr:colOff>
      <xdr:row>234</xdr:row>
      <xdr:rowOff>67508</xdr:rowOff>
    </xdr:from>
    <xdr:to>
      <xdr:col>12</xdr:col>
      <xdr:colOff>18170</xdr:colOff>
      <xdr:row>247</xdr:row>
      <xdr:rowOff>64357</xdr:rowOff>
    </xdr:to>
    <xdr:cxnSp macro="">
      <xdr:nvCxnSpPr>
        <xdr:cNvPr id="54" name="直線コネクタ 31">
          <a:extLst>
            <a:ext uri="{FF2B5EF4-FFF2-40B4-BE49-F238E27FC236}">
              <a16:creationId xmlns:a16="http://schemas.microsoft.com/office/drawing/2014/main" id="{5EFD36E8-2635-4C5F-86C0-1232FFC09727}"/>
            </a:ext>
          </a:extLst>
        </xdr:cNvPr>
        <xdr:cNvCxnSpPr>
          <a:cxnSpLocks/>
          <a:stCxn id="36" idx="3"/>
          <a:endCxn id="49" idx="1"/>
        </xdr:cNvCxnSpPr>
      </xdr:nvCxnSpPr>
      <xdr:spPr>
        <a:xfrm>
          <a:off x="2496282" y="40186808"/>
          <a:ext cx="265088" cy="2225699"/>
        </a:xfrm>
        <a:prstGeom prst="bentConnector3">
          <a:avLst>
            <a:gd name="adj1" fmla="val 50000"/>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210282</xdr:colOff>
      <xdr:row>234</xdr:row>
      <xdr:rowOff>67508</xdr:rowOff>
    </xdr:from>
    <xdr:to>
      <xdr:col>12</xdr:col>
      <xdr:colOff>18463</xdr:colOff>
      <xdr:row>254</xdr:row>
      <xdr:rowOff>50656</xdr:rowOff>
    </xdr:to>
    <xdr:cxnSp macro="">
      <xdr:nvCxnSpPr>
        <xdr:cNvPr id="55" name="直線コネクタ 31">
          <a:extLst>
            <a:ext uri="{FF2B5EF4-FFF2-40B4-BE49-F238E27FC236}">
              <a16:creationId xmlns:a16="http://schemas.microsoft.com/office/drawing/2014/main" id="{217A91AF-211A-498E-948E-C283683050BA}"/>
            </a:ext>
          </a:extLst>
        </xdr:cNvPr>
        <xdr:cNvCxnSpPr>
          <a:cxnSpLocks/>
          <a:stCxn id="36" idx="3"/>
          <a:endCxn id="50" idx="1"/>
        </xdr:cNvCxnSpPr>
      </xdr:nvCxnSpPr>
      <xdr:spPr>
        <a:xfrm>
          <a:off x="2496282" y="40186808"/>
          <a:ext cx="265381" cy="3412148"/>
        </a:xfrm>
        <a:prstGeom prst="bentConnector3">
          <a:avLst>
            <a:gd name="adj1" fmla="val 50000"/>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210282</xdr:colOff>
      <xdr:row>234</xdr:row>
      <xdr:rowOff>67508</xdr:rowOff>
    </xdr:from>
    <xdr:to>
      <xdr:col>12</xdr:col>
      <xdr:colOff>18463</xdr:colOff>
      <xdr:row>261</xdr:row>
      <xdr:rowOff>59888</xdr:rowOff>
    </xdr:to>
    <xdr:cxnSp macro="">
      <xdr:nvCxnSpPr>
        <xdr:cNvPr id="56" name="直線コネクタ 31">
          <a:extLst>
            <a:ext uri="{FF2B5EF4-FFF2-40B4-BE49-F238E27FC236}">
              <a16:creationId xmlns:a16="http://schemas.microsoft.com/office/drawing/2014/main" id="{630D6CF5-35C4-4866-B5F2-E7834E4C9538}"/>
            </a:ext>
          </a:extLst>
        </xdr:cNvPr>
        <xdr:cNvCxnSpPr>
          <a:cxnSpLocks/>
          <a:stCxn id="36" idx="3"/>
          <a:endCxn id="51" idx="1"/>
        </xdr:cNvCxnSpPr>
      </xdr:nvCxnSpPr>
      <xdr:spPr>
        <a:xfrm>
          <a:off x="2496282" y="40186808"/>
          <a:ext cx="265381" cy="4621530"/>
        </a:xfrm>
        <a:prstGeom prst="bentConnector3">
          <a:avLst>
            <a:gd name="adj1" fmla="val 50000"/>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210282</xdr:colOff>
      <xdr:row>234</xdr:row>
      <xdr:rowOff>67508</xdr:rowOff>
    </xdr:from>
    <xdr:to>
      <xdr:col>12</xdr:col>
      <xdr:colOff>9231</xdr:colOff>
      <xdr:row>268</xdr:row>
      <xdr:rowOff>64358</xdr:rowOff>
    </xdr:to>
    <xdr:cxnSp macro="">
      <xdr:nvCxnSpPr>
        <xdr:cNvPr id="57" name="直線コネクタ 31">
          <a:extLst>
            <a:ext uri="{FF2B5EF4-FFF2-40B4-BE49-F238E27FC236}">
              <a16:creationId xmlns:a16="http://schemas.microsoft.com/office/drawing/2014/main" id="{6DC9B384-0898-4E61-8C7C-3781BE50B1EC}"/>
            </a:ext>
          </a:extLst>
        </xdr:cNvPr>
        <xdr:cNvCxnSpPr>
          <a:cxnSpLocks/>
          <a:stCxn id="36" idx="3"/>
          <a:endCxn id="52" idx="1"/>
        </xdr:cNvCxnSpPr>
      </xdr:nvCxnSpPr>
      <xdr:spPr>
        <a:xfrm>
          <a:off x="2496282" y="40186808"/>
          <a:ext cx="256149" cy="5826150"/>
        </a:xfrm>
        <a:prstGeom prst="bentConnector3">
          <a:avLst>
            <a:gd name="adj1" fmla="val 50000"/>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14947</xdr:colOff>
      <xdr:row>302</xdr:row>
      <xdr:rowOff>16266</xdr:rowOff>
    </xdr:from>
    <xdr:to>
      <xdr:col>13</xdr:col>
      <xdr:colOff>171157</xdr:colOff>
      <xdr:row>302</xdr:row>
      <xdr:rowOff>104828</xdr:rowOff>
    </xdr:to>
    <xdr:sp macro="" textlink="">
      <xdr:nvSpPr>
        <xdr:cNvPr id="58" name="正方形/長方形 57">
          <a:extLst>
            <a:ext uri="{FF2B5EF4-FFF2-40B4-BE49-F238E27FC236}">
              <a16:creationId xmlns:a16="http://schemas.microsoft.com/office/drawing/2014/main" id="{9C4AC57F-C465-4BCD-8EE1-4D9472B9093F}"/>
            </a:ext>
          </a:extLst>
        </xdr:cNvPr>
        <xdr:cNvSpPr/>
      </xdr:nvSpPr>
      <xdr:spPr>
        <a:xfrm>
          <a:off x="2986747" y="51794166"/>
          <a:ext cx="156210" cy="88562"/>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14654</xdr:colOff>
      <xdr:row>302</xdr:row>
      <xdr:rowOff>7327</xdr:rowOff>
    </xdr:from>
    <xdr:to>
      <xdr:col>22</xdr:col>
      <xdr:colOff>182294</xdr:colOff>
      <xdr:row>302</xdr:row>
      <xdr:rowOff>92079</xdr:rowOff>
    </xdr:to>
    <xdr:sp macro="" textlink="">
      <xdr:nvSpPr>
        <xdr:cNvPr id="59" name="正方形/長方形 58">
          <a:extLst>
            <a:ext uri="{FF2B5EF4-FFF2-40B4-BE49-F238E27FC236}">
              <a16:creationId xmlns:a16="http://schemas.microsoft.com/office/drawing/2014/main" id="{39A36A57-5485-4A07-80EC-0369A3BCA202}"/>
            </a:ext>
          </a:extLst>
        </xdr:cNvPr>
        <xdr:cNvSpPr/>
      </xdr:nvSpPr>
      <xdr:spPr>
        <a:xfrm>
          <a:off x="5043854" y="51785227"/>
          <a:ext cx="167640" cy="84752"/>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13042</xdr:colOff>
      <xdr:row>302</xdr:row>
      <xdr:rowOff>34730</xdr:rowOff>
    </xdr:from>
    <xdr:to>
      <xdr:col>31</xdr:col>
      <xdr:colOff>171157</xdr:colOff>
      <xdr:row>302</xdr:row>
      <xdr:rowOff>113767</xdr:rowOff>
    </xdr:to>
    <xdr:sp macro="" textlink="">
      <xdr:nvSpPr>
        <xdr:cNvPr id="60" name="正方形/長方形 59">
          <a:extLst>
            <a:ext uri="{FF2B5EF4-FFF2-40B4-BE49-F238E27FC236}">
              <a16:creationId xmlns:a16="http://schemas.microsoft.com/office/drawing/2014/main" id="{A5EF9397-C292-4D89-8495-744A2A1F8F54}"/>
            </a:ext>
          </a:extLst>
        </xdr:cNvPr>
        <xdr:cNvSpPr/>
      </xdr:nvSpPr>
      <xdr:spPr>
        <a:xfrm>
          <a:off x="7099642" y="51812630"/>
          <a:ext cx="158115" cy="79037"/>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11138</xdr:colOff>
      <xdr:row>303</xdr:row>
      <xdr:rowOff>18170</xdr:rowOff>
    </xdr:from>
    <xdr:to>
      <xdr:col>31</xdr:col>
      <xdr:colOff>173063</xdr:colOff>
      <xdr:row>303</xdr:row>
      <xdr:rowOff>104827</xdr:rowOff>
    </xdr:to>
    <xdr:sp macro="" textlink="">
      <xdr:nvSpPr>
        <xdr:cNvPr id="61" name="正方形/長方形 60">
          <a:extLst>
            <a:ext uri="{FF2B5EF4-FFF2-40B4-BE49-F238E27FC236}">
              <a16:creationId xmlns:a16="http://schemas.microsoft.com/office/drawing/2014/main" id="{1528B221-134B-485E-BC82-9CE973CFDC0A}"/>
            </a:ext>
          </a:extLst>
        </xdr:cNvPr>
        <xdr:cNvSpPr/>
      </xdr:nvSpPr>
      <xdr:spPr>
        <a:xfrm>
          <a:off x="7097738" y="51967520"/>
          <a:ext cx="161925" cy="8665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29307</xdr:colOff>
      <xdr:row>294</xdr:row>
      <xdr:rowOff>14654</xdr:rowOff>
    </xdr:from>
    <xdr:to>
      <xdr:col>11</xdr:col>
      <xdr:colOff>206472</xdr:colOff>
      <xdr:row>294</xdr:row>
      <xdr:rowOff>116551</xdr:rowOff>
    </xdr:to>
    <xdr:sp macro="" textlink="">
      <xdr:nvSpPr>
        <xdr:cNvPr id="62" name="正方形/長方形 61">
          <a:extLst>
            <a:ext uri="{FF2B5EF4-FFF2-40B4-BE49-F238E27FC236}">
              <a16:creationId xmlns:a16="http://schemas.microsoft.com/office/drawing/2014/main" id="{CA5FAE30-A9CA-4D0B-A78E-0E4F4658C658}"/>
            </a:ext>
          </a:extLst>
        </xdr:cNvPr>
        <xdr:cNvSpPr/>
      </xdr:nvSpPr>
      <xdr:spPr>
        <a:xfrm>
          <a:off x="2543907" y="50420954"/>
          <a:ext cx="177165" cy="101897"/>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14946</xdr:colOff>
      <xdr:row>294</xdr:row>
      <xdr:rowOff>27403</xdr:rowOff>
    </xdr:from>
    <xdr:to>
      <xdr:col>13</xdr:col>
      <xdr:colOff>192111</xdr:colOff>
      <xdr:row>294</xdr:row>
      <xdr:rowOff>112155</xdr:rowOff>
    </xdr:to>
    <xdr:sp macro="" textlink="">
      <xdr:nvSpPr>
        <xdr:cNvPr id="63" name="正方形/長方形 62">
          <a:extLst>
            <a:ext uri="{FF2B5EF4-FFF2-40B4-BE49-F238E27FC236}">
              <a16:creationId xmlns:a16="http://schemas.microsoft.com/office/drawing/2014/main" id="{652126EC-C39A-445A-9658-CA18E3FD0031}"/>
            </a:ext>
          </a:extLst>
        </xdr:cNvPr>
        <xdr:cNvSpPr/>
      </xdr:nvSpPr>
      <xdr:spPr>
        <a:xfrm>
          <a:off x="2986746" y="50433703"/>
          <a:ext cx="177165" cy="84752"/>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210282</xdr:colOff>
      <xdr:row>294</xdr:row>
      <xdr:rowOff>67508</xdr:rowOff>
    </xdr:from>
    <xdr:to>
      <xdr:col>13</xdr:col>
      <xdr:colOff>18756</xdr:colOff>
      <xdr:row>294</xdr:row>
      <xdr:rowOff>68827</xdr:rowOff>
    </xdr:to>
    <xdr:cxnSp macro="">
      <xdr:nvCxnSpPr>
        <xdr:cNvPr id="64" name="直線コネクタ 63">
          <a:extLst>
            <a:ext uri="{FF2B5EF4-FFF2-40B4-BE49-F238E27FC236}">
              <a16:creationId xmlns:a16="http://schemas.microsoft.com/office/drawing/2014/main" id="{55FB6E82-FAC6-4118-93B7-36325E1E3FBD}"/>
            </a:ext>
          </a:extLst>
        </xdr:cNvPr>
        <xdr:cNvCxnSpPr>
          <a:cxnSpLocks/>
          <a:stCxn id="62" idx="3"/>
          <a:endCxn id="63" idx="1"/>
        </xdr:cNvCxnSpPr>
      </xdr:nvCxnSpPr>
      <xdr:spPr>
        <a:xfrm>
          <a:off x="2724882" y="50473808"/>
          <a:ext cx="265674" cy="1319"/>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15240</xdr:colOff>
      <xdr:row>294</xdr:row>
      <xdr:rowOff>26626</xdr:rowOff>
    </xdr:from>
    <xdr:to>
      <xdr:col>22</xdr:col>
      <xdr:colOff>182880</xdr:colOff>
      <xdr:row>294</xdr:row>
      <xdr:rowOff>118998</xdr:rowOff>
    </xdr:to>
    <xdr:sp macro="" textlink="">
      <xdr:nvSpPr>
        <xdr:cNvPr id="65" name="正方形/長方形 64">
          <a:extLst>
            <a:ext uri="{FF2B5EF4-FFF2-40B4-BE49-F238E27FC236}">
              <a16:creationId xmlns:a16="http://schemas.microsoft.com/office/drawing/2014/main" id="{453C5E40-3D1E-4C23-AE9E-89BA3F2FB37D}"/>
            </a:ext>
          </a:extLst>
        </xdr:cNvPr>
        <xdr:cNvSpPr/>
      </xdr:nvSpPr>
      <xdr:spPr>
        <a:xfrm>
          <a:off x="5044440" y="50432926"/>
          <a:ext cx="167640" cy="92372"/>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29307</xdr:colOff>
      <xdr:row>294</xdr:row>
      <xdr:rowOff>14653</xdr:rowOff>
    </xdr:from>
    <xdr:to>
      <xdr:col>29</xdr:col>
      <xdr:colOff>210282</xdr:colOff>
      <xdr:row>294</xdr:row>
      <xdr:rowOff>108930</xdr:rowOff>
    </xdr:to>
    <xdr:sp macro="" textlink="">
      <xdr:nvSpPr>
        <xdr:cNvPr id="66" name="正方形/長方形 65">
          <a:extLst>
            <a:ext uri="{FF2B5EF4-FFF2-40B4-BE49-F238E27FC236}">
              <a16:creationId xmlns:a16="http://schemas.microsoft.com/office/drawing/2014/main" id="{1F3788CD-4073-4B48-A83D-07FBE567F43B}"/>
            </a:ext>
          </a:extLst>
        </xdr:cNvPr>
        <xdr:cNvSpPr/>
      </xdr:nvSpPr>
      <xdr:spPr>
        <a:xfrm>
          <a:off x="6658707" y="50420953"/>
          <a:ext cx="180975" cy="94277"/>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16853</xdr:colOff>
      <xdr:row>294</xdr:row>
      <xdr:rowOff>10844</xdr:rowOff>
    </xdr:from>
    <xdr:to>
      <xdr:col>31</xdr:col>
      <xdr:colOff>188303</xdr:colOff>
      <xdr:row>294</xdr:row>
      <xdr:rowOff>110836</xdr:rowOff>
    </xdr:to>
    <xdr:sp macro="" textlink="">
      <xdr:nvSpPr>
        <xdr:cNvPr id="67" name="正方形/長方形 66">
          <a:extLst>
            <a:ext uri="{FF2B5EF4-FFF2-40B4-BE49-F238E27FC236}">
              <a16:creationId xmlns:a16="http://schemas.microsoft.com/office/drawing/2014/main" id="{FC9CCCA0-B674-4C4B-82B9-D27AEC205775}"/>
            </a:ext>
          </a:extLst>
        </xdr:cNvPr>
        <xdr:cNvSpPr/>
      </xdr:nvSpPr>
      <xdr:spPr>
        <a:xfrm>
          <a:off x="7103453" y="50417144"/>
          <a:ext cx="171450" cy="99992"/>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21981</xdr:colOff>
      <xdr:row>296</xdr:row>
      <xdr:rowOff>14653</xdr:rowOff>
    </xdr:from>
    <xdr:to>
      <xdr:col>29</xdr:col>
      <xdr:colOff>202956</xdr:colOff>
      <xdr:row>296</xdr:row>
      <xdr:rowOff>108930</xdr:rowOff>
    </xdr:to>
    <xdr:sp macro="" textlink="">
      <xdr:nvSpPr>
        <xdr:cNvPr id="68" name="正方形/長方形 67">
          <a:extLst>
            <a:ext uri="{FF2B5EF4-FFF2-40B4-BE49-F238E27FC236}">
              <a16:creationId xmlns:a16="http://schemas.microsoft.com/office/drawing/2014/main" id="{ABE9CDBC-E080-45A2-8137-A5484AFC3BF5}"/>
            </a:ext>
          </a:extLst>
        </xdr:cNvPr>
        <xdr:cNvSpPr/>
      </xdr:nvSpPr>
      <xdr:spPr>
        <a:xfrm>
          <a:off x="6651381" y="50763853"/>
          <a:ext cx="180975" cy="9427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10844</xdr:colOff>
      <xdr:row>295</xdr:row>
      <xdr:rowOff>29308</xdr:rowOff>
    </xdr:from>
    <xdr:to>
      <xdr:col>31</xdr:col>
      <xdr:colOff>195629</xdr:colOff>
      <xdr:row>295</xdr:row>
      <xdr:rowOff>123585</xdr:rowOff>
    </xdr:to>
    <xdr:sp macro="" textlink="">
      <xdr:nvSpPr>
        <xdr:cNvPr id="69" name="正方形/長方形 68">
          <a:extLst>
            <a:ext uri="{FF2B5EF4-FFF2-40B4-BE49-F238E27FC236}">
              <a16:creationId xmlns:a16="http://schemas.microsoft.com/office/drawing/2014/main" id="{B6327FE3-8019-4502-B2C9-CB87F716950C}"/>
            </a:ext>
          </a:extLst>
        </xdr:cNvPr>
        <xdr:cNvSpPr/>
      </xdr:nvSpPr>
      <xdr:spPr>
        <a:xfrm>
          <a:off x="7097444" y="50607058"/>
          <a:ext cx="184785" cy="9427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202955</xdr:colOff>
      <xdr:row>294</xdr:row>
      <xdr:rowOff>70072</xdr:rowOff>
    </xdr:from>
    <xdr:to>
      <xdr:col>22</xdr:col>
      <xdr:colOff>19050</xdr:colOff>
      <xdr:row>294</xdr:row>
      <xdr:rowOff>71860</xdr:rowOff>
    </xdr:to>
    <xdr:cxnSp macro="">
      <xdr:nvCxnSpPr>
        <xdr:cNvPr id="70" name="直線コネクタ 69">
          <a:extLst>
            <a:ext uri="{FF2B5EF4-FFF2-40B4-BE49-F238E27FC236}">
              <a16:creationId xmlns:a16="http://schemas.microsoft.com/office/drawing/2014/main" id="{84611CC6-95B2-43B1-8925-97ECA1FE98E8}"/>
            </a:ext>
          </a:extLst>
        </xdr:cNvPr>
        <xdr:cNvCxnSpPr>
          <a:cxnSpLocks/>
          <a:stCxn id="71" idx="3"/>
          <a:endCxn id="65" idx="1"/>
        </xdr:cNvCxnSpPr>
      </xdr:nvCxnSpPr>
      <xdr:spPr>
        <a:xfrm>
          <a:off x="4774955" y="50476372"/>
          <a:ext cx="273295" cy="1788"/>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21980</xdr:colOff>
      <xdr:row>294</xdr:row>
      <xdr:rowOff>21981</xdr:rowOff>
    </xdr:from>
    <xdr:to>
      <xdr:col>20</xdr:col>
      <xdr:colOff>201050</xdr:colOff>
      <xdr:row>294</xdr:row>
      <xdr:rowOff>120068</xdr:rowOff>
    </xdr:to>
    <xdr:sp macro="" textlink="">
      <xdr:nvSpPr>
        <xdr:cNvPr id="71" name="正方形/長方形 70">
          <a:extLst>
            <a:ext uri="{FF2B5EF4-FFF2-40B4-BE49-F238E27FC236}">
              <a16:creationId xmlns:a16="http://schemas.microsoft.com/office/drawing/2014/main" id="{058499BC-9C06-4B8C-8774-9DC2EC445F2A}"/>
            </a:ext>
          </a:extLst>
        </xdr:cNvPr>
        <xdr:cNvSpPr/>
      </xdr:nvSpPr>
      <xdr:spPr>
        <a:xfrm>
          <a:off x="4593980" y="50428281"/>
          <a:ext cx="179070" cy="98087"/>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206472</xdr:colOff>
      <xdr:row>294</xdr:row>
      <xdr:rowOff>61793</xdr:rowOff>
    </xdr:from>
    <xdr:to>
      <xdr:col>31</xdr:col>
      <xdr:colOff>20663</xdr:colOff>
      <xdr:row>294</xdr:row>
      <xdr:rowOff>62744</xdr:rowOff>
    </xdr:to>
    <xdr:cxnSp macro="">
      <xdr:nvCxnSpPr>
        <xdr:cNvPr id="72" name="直線コネクタ 71">
          <a:extLst>
            <a:ext uri="{FF2B5EF4-FFF2-40B4-BE49-F238E27FC236}">
              <a16:creationId xmlns:a16="http://schemas.microsoft.com/office/drawing/2014/main" id="{5678EA44-A829-4CC6-B698-389231BEA7F5}"/>
            </a:ext>
          </a:extLst>
        </xdr:cNvPr>
        <xdr:cNvCxnSpPr>
          <a:cxnSpLocks/>
          <a:stCxn id="66" idx="3"/>
          <a:endCxn id="67" idx="1"/>
        </xdr:cNvCxnSpPr>
      </xdr:nvCxnSpPr>
      <xdr:spPr>
        <a:xfrm flipV="1">
          <a:off x="6835872" y="50468093"/>
          <a:ext cx="271391" cy="951"/>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206766</xdr:colOff>
      <xdr:row>295</xdr:row>
      <xdr:rowOff>76447</xdr:rowOff>
    </xdr:from>
    <xdr:to>
      <xdr:col>31</xdr:col>
      <xdr:colOff>12749</xdr:colOff>
      <xdr:row>296</xdr:row>
      <xdr:rowOff>62744</xdr:rowOff>
    </xdr:to>
    <xdr:cxnSp macro="">
      <xdr:nvCxnSpPr>
        <xdr:cNvPr id="73" name="直線コネクタ 31">
          <a:extLst>
            <a:ext uri="{FF2B5EF4-FFF2-40B4-BE49-F238E27FC236}">
              <a16:creationId xmlns:a16="http://schemas.microsoft.com/office/drawing/2014/main" id="{B0D49F88-E576-42C7-A7D6-704C4A069A06}"/>
            </a:ext>
          </a:extLst>
        </xdr:cNvPr>
        <xdr:cNvCxnSpPr>
          <a:stCxn id="69" idx="1"/>
          <a:endCxn id="68" idx="3"/>
        </xdr:cNvCxnSpPr>
      </xdr:nvCxnSpPr>
      <xdr:spPr>
        <a:xfrm rot="10800000" flipV="1">
          <a:off x="6836166" y="50654197"/>
          <a:ext cx="263183" cy="157747"/>
        </a:xfrm>
        <a:prstGeom prst="bentConnector3">
          <a:avLst>
            <a:gd name="adj1" fmla="val 50000"/>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43962</xdr:colOff>
      <xdr:row>303</xdr:row>
      <xdr:rowOff>131884</xdr:rowOff>
    </xdr:from>
    <xdr:to>
      <xdr:col>29</xdr:col>
      <xdr:colOff>207792</xdr:colOff>
      <xdr:row>304</xdr:row>
      <xdr:rowOff>88561</xdr:rowOff>
    </xdr:to>
    <xdr:sp macro="" textlink="">
      <xdr:nvSpPr>
        <xdr:cNvPr id="74" name="正方形/長方形 73">
          <a:extLst>
            <a:ext uri="{FF2B5EF4-FFF2-40B4-BE49-F238E27FC236}">
              <a16:creationId xmlns:a16="http://schemas.microsoft.com/office/drawing/2014/main" id="{E3A7001C-0675-4599-A960-F484F4441255}"/>
            </a:ext>
          </a:extLst>
        </xdr:cNvPr>
        <xdr:cNvSpPr/>
      </xdr:nvSpPr>
      <xdr:spPr>
        <a:xfrm>
          <a:off x="6673362" y="52081234"/>
          <a:ext cx="163830" cy="12812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210283</xdr:colOff>
      <xdr:row>294</xdr:row>
      <xdr:rowOff>67508</xdr:rowOff>
    </xdr:from>
    <xdr:to>
      <xdr:col>13</xdr:col>
      <xdr:colOff>18758</xdr:colOff>
      <xdr:row>302</xdr:row>
      <xdr:rowOff>61500</xdr:rowOff>
    </xdr:to>
    <xdr:cxnSp macro="">
      <xdr:nvCxnSpPr>
        <xdr:cNvPr id="75" name="直線コネクタ 31">
          <a:extLst>
            <a:ext uri="{FF2B5EF4-FFF2-40B4-BE49-F238E27FC236}">
              <a16:creationId xmlns:a16="http://schemas.microsoft.com/office/drawing/2014/main" id="{1A51FD84-DEA8-49C5-9CC8-CB1B628F89CA}"/>
            </a:ext>
          </a:extLst>
        </xdr:cNvPr>
        <xdr:cNvCxnSpPr>
          <a:stCxn id="58" idx="1"/>
          <a:endCxn id="62" idx="3"/>
        </xdr:cNvCxnSpPr>
      </xdr:nvCxnSpPr>
      <xdr:spPr>
        <a:xfrm rot="10800000">
          <a:off x="2724883" y="50473808"/>
          <a:ext cx="265675" cy="1365592"/>
        </a:xfrm>
        <a:prstGeom prst="bentConnector3">
          <a:avLst>
            <a:gd name="adj1" fmla="val 50000"/>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202955</xdr:colOff>
      <xdr:row>294</xdr:row>
      <xdr:rowOff>70073</xdr:rowOff>
    </xdr:from>
    <xdr:to>
      <xdr:col>22</xdr:col>
      <xdr:colOff>18464</xdr:colOff>
      <xdr:row>302</xdr:row>
      <xdr:rowOff>52562</xdr:rowOff>
    </xdr:to>
    <xdr:cxnSp macro="">
      <xdr:nvCxnSpPr>
        <xdr:cNvPr id="76" name="直線コネクタ 31">
          <a:extLst>
            <a:ext uri="{FF2B5EF4-FFF2-40B4-BE49-F238E27FC236}">
              <a16:creationId xmlns:a16="http://schemas.microsoft.com/office/drawing/2014/main" id="{2F86C746-FA40-4D89-BD5A-E2A8CAE6713A}"/>
            </a:ext>
          </a:extLst>
        </xdr:cNvPr>
        <xdr:cNvCxnSpPr>
          <a:stCxn id="59" idx="1"/>
          <a:endCxn id="71" idx="3"/>
        </xdr:cNvCxnSpPr>
      </xdr:nvCxnSpPr>
      <xdr:spPr>
        <a:xfrm rot="10800000">
          <a:off x="4774955" y="50476373"/>
          <a:ext cx="272709" cy="1354089"/>
        </a:xfrm>
        <a:prstGeom prst="bentConnector3">
          <a:avLst>
            <a:gd name="adj1" fmla="val 31719"/>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43961</xdr:colOff>
      <xdr:row>302</xdr:row>
      <xdr:rowOff>29307</xdr:rowOff>
    </xdr:from>
    <xdr:to>
      <xdr:col>29</xdr:col>
      <xdr:colOff>207791</xdr:colOff>
      <xdr:row>302</xdr:row>
      <xdr:rowOff>117869</xdr:rowOff>
    </xdr:to>
    <xdr:sp macro="" textlink="">
      <xdr:nvSpPr>
        <xdr:cNvPr id="77" name="正方形/長方形 76">
          <a:extLst>
            <a:ext uri="{FF2B5EF4-FFF2-40B4-BE49-F238E27FC236}">
              <a16:creationId xmlns:a16="http://schemas.microsoft.com/office/drawing/2014/main" id="{76F133ED-EF4D-42C4-AFF0-273444969884}"/>
            </a:ext>
          </a:extLst>
        </xdr:cNvPr>
        <xdr:cNvSpPr/>
      </xdr:nvSpPr>
      <xdr:spPr>
        <a:xfrm>
          <a:off x="6673361" y="51807207"/>
          <a:ext cx="163830" cy="88562"/>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211601</xdr:colOff>
      <xdr:row>302</xdr:row>
      <xdr:rowOff>72636</xdr:rowOff>
    </xdr:from>
    <xdr:to>
      <xdr:col>31</xdr:col>
      <xdr:colOff>16852</xdr:colOff>
      <xdr:row>302</xdr:row>
      <xdr:rowOff>74249</xdr:rowOff>
    </xdr:to>
    <xdr:cxnSp macro="">
      <xdr:nvCxnSpPr>
        <xdr:cNvPr id="78" name="直線コネクタ 77">
          <a:extLst>
            <a:ext uri="{FF2B5EF4-FFF2-40B4-BE49-F238E27FC236}">
              <a16:creationId xmlns:a16="http://schemas.microsoft.com/office/drawing/2014/main" id="{B1BD998C-BDED-4C78-B722-4FD94B4C4683}"/>
            </a:ext>
          </a:extLst>
        </xdr:cNvPr>
        <xdr:cNvCxnSpPr>
          <a:cxnSpLocks/>
          <a:stCxn id="77" idx="3"/>
          <a:endCxn id="60" idx="1"/>
        </xdr:cNvCxnSpPr>
      </xdr:nvCxnSpPr>
      <xdr:spPr>
        <a:xfrm>
          <a:off x="6841001" y="51850536"/>
          <a:ext cx="262451" cy="1613"/>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211602</xdr:colOff>
      <xdr:row>303</xdr:row>
      <xdr:rowOff>62451</xdr:rowOff>
    </xdr:from>
    <xdr:to>
      <xdr:col>31</xdr:col>
      <xdr:colOff>13043</xdr:colOff>
      <xdr:row>304</xdr:row>
      <xdr:rowOff>48090</xdr:rowOff>
    </xdr:to>
    <xdr:cxnSp macro="">
      <xdr:nvCxnSpPr>
        <xdr:cNvPr id="79" name="直線コネクタ 31">
          <a:extLst>
            <a:ext uri="{FF2B5EF4-FFF2-40B4-BE49-F238E27FC236}">
              <a16:creationId xmlns:a16="http://schemas.microsoft.com/office/drawing/2014/main" id="{B1809A34-55E6-4376-9963-8829251C936C}"/>
            </a:ext>
          </a:extLst>
        </xdr:cNvPr>
        <xdr:cNvCxnSpPr>
          <a:stCxn id="61" idx="1"/>
          <a:endCxn id="74" idx="3"/>
        </xdr:cNvCxnSpPr>
      </xdr:nvCxnSpPr>
      <xdr:spPr>
        <a:xfrm rot="10800000" flipV="1">
          <a:off x="6841002" y="52011801"/>
          <a:ext cx="258641" cy="157089"/>
        </a:xfrm>
        <a:prstGeom prst="bentConnector3">
          <a:avLst>
            <a:gd name="adj1" fmla="val 50000"/>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14947</xdr:colOff>
      <xdr:row>328</xdr:row>
      <xdr:rowOff>16266</xdr:rowOff>
    </xdr:from>
    <xdr:to>
      <xdr:col>13</xdr:col>
      <xdr:colOff>171157</xdr:colOff>
      <xdr:row>328</xdr:row>
      <xdr:rowOff>104828</xdr:rowOff>
    </xdr:to>
    <xdr:sp macro="" textlink="">
      <xdr:nvSpPr>
        <xdr:cNvPr id="80" name="正方形/長方形 79">
          <a:extLst>
            <a:ext uri="{FF2B5EF4-FFF2-40B4-BE49-F238E27FC236}">
              <a16:creationId xmlns:a16="http://schemas.microsoft.com/office/drawing/2014/main" id="{E657E13F-47D6-472E-9771-A775E02F923F}"/>
            </a:ext>
          </a:extLst>
        </xdr:cNvPr>
        <xdr:cNvSpPr/>
      </xdr:nvSpPr>
      <xdr:spPr>
        <a:xfrm>
          <a:off x="2986747" y="56251866"/>
          <a:ext cx="156210" cy="88562"/>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14654</xdr:colOff>
      <xdr:row>328</xdr:row>
      <xdr:rowOff>7327</xdr:rowOff>
    </xdr:from>
    <xdr:to>
      <xdr:col>22</xdr:col>
      <xdr:colOff>182294</xdr:colOff>
      <xdr:row>328</xdr:row>
      <xdr:rowOff>92079</xdr:rowOff>
    </xdr:to>
    <xdr:sp macro="" textlink="">
      <xdr:nvSpPr>
        <xdr:cNvPr id="81" name="正方形/長方形 80">
          <a:extLst>
            <a:ext uri="{FF2B5EF4-FFF2-40B4-BE49-F238E27FC236}">
              <a16:creationId xmlns:a16="http://schemas.microsoft.com/office/drawing/2014/main" id="{B37F3EA7-B5F1-4AD5-8119-35E2C7574F35}"/>
            </a:ext>
          </a:extLst>
        </xdr:cNvPr>
        <xdr:cNvSpPr/>
      </xdr:nvSpPr>
      <xdr:spPr>
        <a:xfrm>
          <a:off x="5043854" y="56242927"/>
          <a:ext cx="167640" cy="84752"/>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13042</xdr:colOff>
      <xdr:row>328</xdr:row>
      <xdr:rowOff>34730</xdr:rowOff>
    </xdr:from>
    <xdr:to>
      <xdr:col>31</xdr:col>
      <xdr:colOff>171157</xdr:colOff>
      <xdr:row>328</xdr:row>
      <xdr:rowOff>113767</xdr:rowOff>
    </xdr:to>
    <xdr:sp macro="" textlink="">
      <xdr:nvSpPr>
        <xdr:cNvPr id="82" name="正方形/長方形 81">
          <a:extLst>
            <a:ext uri="{FF2B5EF4-FFF2-40B4-BE49-F238E27FC236}">
              <a16:creationId xmlns:a16="http://schemas.microsoft.com/office/drawing/2014/main" id="{345AE307-A7C8-4EBF-A811-5D2F7E239390}"/>
            </a:ext>
          </a:extLst>
        </xdr:cNvPr>
        <xdr:cNvSpPr/>
      </xdr:nvSpPr>
      <xdr:spPr>
        <a:xfrm>
          <a:off x="7099642" y="56270330"/>
          <a:ext cx="158115" cy="79037"/>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11138</xdr:colOff>
      <xdr:row>329</xdr:row>
      <xdr:rowOff>18170</xdr:rowOff>
    </xdr:from>
    <xdr:to>
      <xdr:col>31</xdr:col>
      <xdr:colOff>173063</xdr:colOff>
      <xdr:row>329</xdr:row>
      <xdr:rowOff>104827</xdr:rowOff>
    </xdr:to>
    <xdr:sp macro="" textlink="">
      <xdr:nvSpPr>
        <xdr:cNvPr id="83" name="正方形/長方形 82">
          <a:extLst>
            <a:ext uri="{FF2B5EF4-FFF2-40B4-BE49-F238E27FC236}">
              <a16:creationId xmlns:a16="http://schemas.microsoft.com/office/drawing/2014/main" id="{D226CB34-BC8B-48E2-B8D0-1ABCF340F970}"/>
            </a:ext>
          </a:extLst>
        </xdr:cNvPr>
        <xdr:cNvSpPr/>
      </xdr:nvSpPr>
      <xdr:spPr>
        <a:xfrm>
          <a:off x="7097738" y="56425220"/>
          <a:ext cx="161925" cy="8665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29307</xdr:colOff>
      <xdr:row>320</xdr:row>
      <xdr:rowOff>14654</xdr:rowOff>
    </xdr:from>
    <xdr:to>
      <xdr:col>11</xdr:col>
      <xdr:colOff>206472</xdr:colOff>
      <xdr:row>320</xdr:row>
      <xdr:rowOff>116551</xdr:rowOff>
    </xdr:to>
    <xdr:sp macro="" textlink="">
      <xdr:nvSpPr>
        <xdr:cNvPr id="84" name="正方形/長方形 83">
          <a:extLst>
            <a:ext uri="{FF2B5EF4-FFF2-40B4-BE49-F238E27FC236}">
              <a16:creationId xmlns:a16="http://schemas.microsoft.com/office/drawing/2014/main" id="{C10F2EF3-7D98-4A96-BA51-18CF323A2B94}"/>
            </a:ext>
          </a:extLst>
        </xdr:cNvPr>
        <xdr:cNvSpPr/>
      </xdr:nvSpPr>
      <xdr:spPr>
        <a:xfrm>
          <a:off x="2543907" y="54878654"/>
          <a:ext cx="177165" cy="101897"/>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14946</xdr:colOff>
      <xdr:row>320</xdr:row>
      <xdr:rowOff>27403</xdr:rowOff>
    </xdr:from>
    <xdr:to>
      <xdr:col>13</xdr:col>
      <xdr:colOff>192111</xdr:colOff>
      <xdr:row>320</xdr:row>
      <xdr:rowOff>112155</xdr:rowOff>
    </xdr:to>
    <xdr:sp macro="" textlink="">
      <xdr:nvSpPr>
        <xdr:cNvPr id="85" name="正方形/長方形 84">
          <a:extLst>
            <a:ext uri="{FF2B5EF4-FFF2-40B4-BE49-F238E27FC236}">
              <a16:creationId xmlns:a16="http://schemas.microsoft.com/office/drawing/2014/main" id="{60A408DC-B893-4C71-B724-7A4EFEAD8DFD}"/>
            </a:ext>
          </a:extLst>
        </xdr:cNvPr>
        <xdr:cNvSpPr/>
      </xdr:nvSpPr>
      <xdr:spPr>
        <a:xfrm>
          <a:off x="2986746" y="54891403"/>
          <a:ext cx="177165" cy="84752"/>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210282</xdr:colOff>
      <xdr:row>320</xdr:row>
      <xdr:rowOff>67508</xdr:rowOff>
    </xdr:from>
    <xdr:to>
      <xdr:col>13</xdr:col>
      <xdr:colOff>18756</xdr:colOff>
      <xdr:row>320</xdr:row>
      <xdr:rowOff>68827</xdr:rowOff>
    </xdr:to>
    <xdr:cxnSp macro="">
      <xdr:nvCxnSpPr>
        <xdr:cNvPr id="86" name="直線コネクタ 85">
          <a:extLst>
            <a:ext uri="{FF2B5EF4-FFF2-40B4-BE49-F238E27FC236}">
              <a16:creationId xmlns:a16="http://schemas.microsoft.com/office/drawing/2014/main" id="{01ACE476-8A26-4311-ABCC-FB9F9CA781AD}"/>
            </a:ext>
          </a:extLst>
        </xdr:cNvPr>
        <xdr:cNvCxnSpPr>
          <a:cxnSpLocks/>
          <a:stCxn id="84" idx="3"/>
          <a:endCxn id="85" idx="1"/>
        </xdr:cNvCxnSpPr>
      </xdr:nvCxnSpPr>
      <xdr:spPr>
        <a:xfrm>
          <a:off x="2724882" y="54931508"/>
          <a:ext cx="265674" cy="1319"/>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11430</xdr:colOff>
      <xdr:row>320</xdr:row>
      <xdr:rowOff>18170</xdr:rowOff>
    </xdr:from>
    <xdr:to>
      <xdr:col>22</xdr:col>
      <xdr:colOff>184785</xdr:colOff>
      <xdr:row>320</xdr:row>
      <xdr:rowOff>114352</xdr:rowOff>
    </xdr:to>
    <xdr:sp macro="" textlink="">
      <xdr:nvSpPr>
        <xdr:cNvPr id="87" name="正方形/長方形 86">
          <a:extLst>
            <a:ext uri="{FF2B5EF4-FFF2-40B4-BE49-F238E27FC236}">
              <a16:creationId xmlns:a16="http://schemas.microsoft.com/office/drawing/2014/main" id="{078F70F9-558D-4877-908E-4664DF0D3128}"/>
            </a:ext>
          </a:extLst>
        </xdr:cNvPr>
        <xdr:cNvSpPr/>
      </xdr:nvSpPr>
      <xdr:spPr>
        <a:xfrm>
          <a:off x="5040630" y="54882170"/>
          <a:ext cx="173355" cy="96182"/>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29307</xdr:colOff>
      <xdr:row>320</xdr:row>
      <xdr:rowOff>14653</xdr:rowOff>
    </xdr:from>
    <xdr:to>
      <xdr:col>29</xdr:col>
      <xdr:colOff>210282</xdr:colOff>
      <xdr:row>320</xdr:row>
      <xdr:rowOff>108930</xdr:rowOff>
    </xdr:to>
    <xdr:sp macro="" textlink="">
      <xdr:nvSpPr>
        <xdr:cNvPr id="88" name="正方形/長方形 87">
          <a:extLst>
            <a:ext uri="{FF2B5EF4-FFF2-40B4-BE49-F238E27FC236}">
              <a16:creationId xmlns:a16="http://schemas.microsoft.com/office/drawing/2014/main" id="{218658E7-8F69-46EF-9311-9AE66647513C}"/>
            </a:ext>
          </a:extLst>
        </xdr:cNvPr>
        <xdr:cNvSpPr/>
      </xdr:nvSpPr>
      <xdr:spPr>
        <a:xfrm>
          <a:off x="6658707" y="54878653"/>
          <a:ext cx="180975" cy="94277"/>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16853</xdr:colOff>
      <xdr:row>320</xdr:row>
      <xdr:rowOff>10844</xdr:rowOff>
    </xdr:from>
    <xdr:to>
      <xdr:col>31</xdr:col>
      <xdr:colOff>188303</xdr:colOff>
      <xdr:row>320</xdr:row>
      <xdr:rowOff>110836</xdr:rowOff>
    </xdr:to>
    <xdr:sp macro="" textlink="">
      <xdr:nvSpPr>
        <xdr:cNvPr id="89" name="正方形/長方形 88">
          <a:extLst>
            <a:ext uri="{FF2B5EF4-FFF2-40B4-BE49-F238E27FC236}">
              <a16:creationId xmlns:a16="http://schemas.microsoft.com/office/drawing/2014/main" id="{3FA20206-AC4B-4FA1-A1D1-AE2CF6AABDA9}"/>
            </a:ext>
          </a:extLst>
        </xdr:cNvPr>
        <xdr:cNvSpPr/>
      </xdr:nvSpPr>
      <xdr:spPr>
        <a:xfrm>
          <a:off x="7103453" y="54874844"/>
          <a:ext cx="171450" cy="99992"/>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21981</xdr:colOff>
      <xdr:row>322</xdr:row>
      <xdr:rowOff>14653</xdr:rowOff>
    </xdr:from>
    <xdr:to>
      <xdr:col>29</xdr:col>
      <xdr:colOff>202956</xdr:colOff>
      <xdr:row>322</xdr:row>
      <xdr:rowOff>108930</xdr:rowOff>
    </xdr:to>
    <xdr:sp macro="" textlink="">
      <xdr:nvSpPr>
        <xdr:cNvPr id="90" name="正方形/長方形 89">
          <a:extLst>
            <a:ext uri="{FF2B5EF4-FFF2-40B4-BE49-F238E27FC236}">
              <a16:creationId xmlns:a16="http://schemas.microsoft.com/office/drawing/2014/main" id="{AF88D871-9290-4E33-9184-A148EF2E4CB8}"/>
            </a:ext>
          </a:extLst>
        </xdr:cNvPr>
        <xdr:cNvSpPr/>
      </xdr:nvSpPr>
      <xdr:spPr>
        <a:xfrm>
          <a:off x="6651381" y="55221553"/>
          <a:ext cx="180975" cy="9427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10844</xdr:colOff>
      <xdr:row>321</xdr:row>
      <xdr:rowOff>29308</xdr:rowOff>
    </xdr:from>
    <xdr:to>
      <xdr:col>31</xdr:col>
      <xdr:colOff>195629</xdr:colOff>
      <xdr:row>321</xdr:row>
      <xdr:rowOff>123585</xdr:rowOff>
    </xdr:to>
    <xdr:sp macro="" textlink="">
      <xdr:nvSpPr>
        <xdr:cNvPr id="91" name="正方形/長方形 90">
          <a:extLst>
            <a:ext uri="{FF2B5EF4-FFF2-40B4-BE49-F238E27FC236}">
              <a16:creationId xmlns:a16="http://schemas.microsoft.com/office/drawing/2014/main" id="{1D4F6FE1-C0FE-4DC0-B339-A2ADFF3CD709}"/>
            </a:ext>
          </a:extLst>
        </xdr:cNvPr>
        <xdr:cNvSpPr/>
      </xdr:nvSpPr>
      <xdr:spPr>
        <a:xfrm>
          <a:off x="7097444" y="55064758"/>
          <a:ext cx="184785" cy="9427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210575</xdr:colOff>
      <xdr:row>320</xdr:row>
      <xdr:rowOff>67701</xdr:rowOff>
    </xdr:from>
    <xdr:to>
      <xdr:col>22</xdr:col>
      <xdr:colOff>15240</xdr:colOff>
      <xdr:row>320</xdr:row>
      <xdr:rowOff>68166</xdr:rowOff>
    </xdr:to>
    <xdr:cxnSp macro="">
      <xdr:nvCxnSpPr>
        <xdr:cNvPr id="92" name="直線コネクタ 91">
          <a:extLst>
            <a:ext uri="{FF2B5EF4-FFF2-40B4-BE49-F238E27FC236}">
              <a16:creationId xmlns:a16="http://schemas.microsoft.com/office/drawing/2014/main" id="{E58D27B4-1A07-4361-92F2-30797F54F245}"/>
            </a:ext>
          </a:extLst>
        </xdr:cNvPr>
        <xdr:cNvCxnSpPr>
          <a:cxnSpLocks/>
          <a:stCxn id="93" idx="3"/>
          <a:endCxn id="87" idx="1"/>
        </xdr:cNvCxnSpPr>
      </xdr:nvCxnSpPr>
      <xdr:spPr>
        <a:xfrm>
          <a:off x="4782575" y="54931701"/>
          <a:ext cx="261865" cy="465"/>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18170</xdr:colOff>
      <xdr:row>320</xdr:row>
      <xdr:rowOff>25498</xdr:rowOff>
    </xdr:from>
    <xdr:to>
      <xdr:col>20</xdr:col>
      <xdr:colOff>210575</xdr:colOff>
      <xdr:row>320</xdr:row>
      <xdr:rowOff>109904</xdr:rowOff>
    </xdr:to>
    <xdr:sp macro="" textlink="">
      <xdr:nvSpPr>
        <xdr:cNvPr id="93" name="正方形/長方形 92">
          <a:extLst>
            <a:ext uri="{FF2B5EF4-FFF2-40B4-BE49-F238E27FC236}">
              <a16:creationId xmlns:a16="http://schemas.microsoft.com/office/drawing/2014/main" id="{1F3870B7-4BA6-4D61-9E1C-8C8E35942A50}"/>
            </a:ext>
          </a:extLst>
        </xdr:cNvPr>
        <xdr:cNvSpPr/>
      </xdr:nvSpPr>
      <xdr:spPr>
        <a:xfrm>
          <a:off x="4590170" y="54889498"/>
          <a:ext cx="192405" cy="84406"/>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206472</xdr:colOff>
      <xdr:row>320</xdr:row>
      <xdr:rowOff>61793</xdr:rowOff>
    </xdr:from>
    <xdr:to>
      <xdr:col>31</xdr:col>
      <xdr:colOff>20663</xdr:colOff>
      <xdr:row>320</xdr:row>
      <xdr:rowOff>62744</xdr:rowOff>
    </xdr:to>
    <xdr:cxnSp macro="">
      <xdr:nvCxnSpPr>
        <xdr:cNvPr id="94" name="直線コネクタ 93">
          <a:extLst>
            <a:ext uri="{FF2B5EF4-FFF2-40B4-BE49-F238E27FC236}">
              <a16:creationId xmlns:a16="http://schemas.microsoft.com/office/drawing/2014/main" id="{756F47CD-C974-4217-A83F-67606E1CEA5F}"/>
            </a:ext>
          </a:extLst>
        </xdr:cNvPr>
        <xdr:cNvCxnSpPr>
          <a:cxnSpLocks/>
          <a:stCxn id="88" idx="3"/>
          <a:endCxn id="89" idx="1"/>
        </xdr:cNvCxnSpPr>
      </xdr:nvCxnSpPr>
      <xdr:spPr>
        <a:xfrm flipV="1">
          <a:off x="6835872" y="54925793"/>
          <a:ext cx="271391" cy="951"/>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206766</xdr:colOff>
      <xdr:row>321</xdr:row>
      <xdr:rowOff>76447</xdr:rowOff>
    </xdr:from>
    <xdr:to>
      <xdr:col>31</xdr:col>
      <xdr:colOff>12749</xdr:colOff>
      <xdr:row>322</xdr:row>
      <xdr:rowOff>62744</xdr:rowOff>
    </xdr:to>
    <xdr:cxnSp macro="">
      <xdr:nvCxnSpPr>
        <xdr:cNvPr id="95" name="直線コネクタ 31">
          <a:extLst>
            <a:ext uri="{FF2B5EF4-FFF2-40B4-BE49-F238E27FC236}">
              <a16:creationId xmlns:a16="http://schemas.microsoft.com/office/drawing/2014/main" id="{3BDFB8FA-2B9C-437D-AC2F-2B2521D86990}"/>
            </a:ext>
          </a:extLst>
        </xdr:cNvPr>
        <xdr:cNvCxnSpPr>
          <a:stCxn id="91" idx="1"/>
          <a:endCxn id="90" idx="3"/>
        </xdr:cNvCxnSpPr>
      </xdr:nvCxnSpPr>
      <xdr:spPr>
        <a:xfrm rot="10800000" flipV="1">
          <a:off x="6836166" y="55111897"/>
          <a:ext cx="263183" cy="157747"/>
        </a:xfrm>
        <a:prstGeom prst="bentConnector3">
          <a:avLst>
            <a:gd name="adj1" fmla="val 50000"/>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43962</xdr:colOff>
      <xdr:row>329</xdr:row>
      <xdr:rowOff>131884</xdr:rowOff>
    </xdr:from>
    <xdr:to>
      <xdr:col>29</xdr:col>
      <xdr:colOff>207792</xdr:colOff>
      <xdr:row>330</xdr:row>
      <xdr:rowOff>88561</xdr:rowOff>
    </xdr:to>
    <xdr:sp macro="" textlink="">
      <xdr:nvSpPr>
        <xdr:cNvPr id="96" name="正方形/長方形 95">
          <a:extLst>
            <a:ext uri="{FF2B5EF4-FFF2-40B4-BE49-F238E27FC236}">
              <a16:creationId xmlns:a16="http://schemas.microsoft.com/office/drawing/2014/main" id="{3BE53321-D737-4996-BC68-DF651DDB82F4}"/>
            </a:ext>
          </a:extLst>
        </xdr:cNvPr>
        <xdr:cNvSpPr/>
      </xdr:nvSpPr>
      <xdr:spPr>
        <a:xfrm>
          <a:off x="6673362" y="56538934"/>
          <a:ext cx="163830" cy="12812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210283</xdr:colOff>
      <xdr:row>320</xdr:row>
      <xdr:rowOff>67508</xdr:rowOff>
    </xdr:from>
    <xdr:to>
      <xdr:col>13</xdr:col>
      <xdr:colOff>18758</xdr:colOff>
      <xdr:row>328</xdr:row>
      <xdr:rowOff>61500</xdr:rowOff>
    </xdr:to>
    <xdr:cxnSp macro="">
      <xdr:nvCxnSpPr>
        <xdr:cNvPr id="97" name="直線コネクタ 31">
          <a:extLst>
            <a:ext uri="{FF2B5EF4-FFF2-40B4-BE49-F238E27FC236}">
              <a16:creationId xmlns:a16="http://schemas.microsoft.com/office/drawing/2014/main" id="{9EEF098A-09C8-4657-B438-D40A41717D7D}"/>
            </a:ext>
          </a:extLst>
        </xdr:cNvPr>
        <xdr:cNvCxnSpPr>
          <a:stCxn id="80" idx="1"/>
          <a:endCxn id="84" idx="3"/>
        </xdr:cNvCxnSpPr>
      </xdr:nvCxnSpPr>
      <xdr:spPr>
        <a:xfrm rot="10800000">
          <a:off x="2724883" y="54931508"/>
          <a:ext cx="265675" cy="1365592"/>
        </a:xfrm>
        <a:prstGeom prst="bentConnector3">
          <a:avLst>
            <a:gd name="adj1" fmla="val 50000"/>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210576</xdr:colOff>
      <xdr:row>320</xdr:row>
      <xdr:rowOff>67702</xdr:rowOff>
    </xdr:from>
    <xdr:to>
      <xdr:col>22</xdr:col>
      <xdr:colOff>18465</xdr:colOff>
      <xdr:row>328</xdr:row>
      <xdr:rowOff>52562</xdr:rowOff>
    </xdr:to>
    <xdr:cxnSp macro="">
      <xdr:nvCxnSpPr>
        <xdr:cNvPr id="98" name="直線コネクタ 31">
          <a:extLst>
            <a:ext uri="{FF2B5EF4-FFF2-40B4-BE49-F238E27FC236}">
              <a16:creationId xmlns:a16="http://schemas.microsoft.com/office/drawing/2014/main" id="{BEAFA7C4-044A-4983-9C5D-F2438190F4E5}"/>
            </a:ext>
          </a:extLst>
        </xdr:cNvPr>
        <xdr:cNvCxnSpPr>
          <a:stCxn id="81" idx="1"/>
          <a:endCxn id="93" idx="3"/>
        </xdr:cNvCxnSpPr>
      </xdr:nvCxnSpPr>
      <xdr:spPr>
        <a:xfrm rot="10800000">
          <a:off x="4782576" y="54931702"/>
          <a:ext cx="265089" cy="1356460"/>
        </a:xfrm>
        <a:prstGeom prst="bentConnector3">
          <a:avLst>
            <a:gd name="adj1" fmla="val 34766"/>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43961</xdr:colOff>
      <xdr:row>328</xdr:row>
      <xdr:rowOff>29307</xdr:rowOff>
    </xdr:from>
    <xdr:to>
      <xdr:col>29</xdr:col>
      <xdr:colOff>207791</xdr:colOff>
      <xdr:row>328</xdr:row>
      <xdr:rowOff>117869</xdr:rowOff>
    </xdr:to>
    <xdr:sp macro="" textlink="">
      <xdr:nvSpPr>
        <xdr:cNvPr id="99" name="正方形/長方形 98">
          <a:extLst>
            <a:ext uri="{FF2B5EF4-FFF2-40B4-BE49-F238E27FC236}">
              <a16:creationId xmlns:a16="http://schemas.microsoft.com/office/drawing/2014/main" id="{7714EE7E-FC3E-4C30-AEAB-EF44733C820F}"/>
            </a:ext>
          </a:extLst>
        </xdr:cNvPr>
        <xdr:cNvSpPr/>
      </xdr:nvSpPr>
      <xdr:spPr>
        <a:xfrm>
          <a:off x="6673361" y="56264907"/>
          <a:ext cx="163830" cy="88562"/>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211601</xdr:colOff>
      <xdr:row>328</xdr:row>
      <xdr:rowOff>72636</xdr:rowOff>
    </xdr:from>
    <xdr:to>
      <xdr:col>31</xdr:col>
      <xdr:colOff>16852</xdr:colOff>
      <xdr:row>328</xdr:row>
      <xdr:rowOff>74249</xdr:rowOff>
    </xdr:to>
    <xdr:cxnSp macro="">
      <xdr:nvCxnSpPr>
        <xdr:cNvPr id="100" name="直線コネクタ 99">
          <a:extLst>
            <a:ext uri="{FF2B5EF4-FFF2-40B4-BE49-F238E27FC236}">
              <a16:creationId xmlns:a16="http://schemas.microsoft.com/office/drawing/2014/main" id="{7B642B4F-BC0C-4AC7-99B7-37E2E7E4FD55}"/>
            </a:ext>
          </a:extLst>
        </xdr:cNvPr>
        <xdr:cNvCxnSpPr>
          <a:cxnSpLocks/>
          <a:stCxn id="99" idx="3"/>
          <a:endCxn id="82" idx="1"/>
        </xdr:cNvCxnSpPr>
      </xdr:nvCxnSpPr>
      <xdr:spPr>
        <a:xfrm>
          <a:off x="6841001" y="56308236"/>
          <a:ext cx="262451" cy="1613"/>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211602</xdr:colOff>
      <xdr:row>329</xdr:row>
      <xdr:rowOff>62451</xdr:rowOff>
    </xdr:from>
    <xdr:to>
      <xdr:col>31</xdr:col>
      <xdr:colOff>13043</xdr:colOff>
      <xdr:row>330</xdr:row>
      <xdr:rowOff>48090</xdr:rowOff>
    </xdr:to>
    <xdr:cxnSp macro="">
      <xdr:nvCxnSpPr>
        <xdr:cNvPr id="101" name="直線コネクタ 31">
          <a:extLst>
            <a:ext uri="{FF2B5EF4-FFF2-40B4-BE49-F238E27FC236}">
              <a16:creationId xmlns:a16="http://schemas.microsoft.com/office/drawing/2014/main" id="{95B90A80-6916-42C0-8C68-0E154CAAAFC6}"/>
            </a:ext>
          </a:extLst>
        </xdr:cNvPr>
        <xdr:cNvCxnSpPr>
          <a:stCxn id="83" idx="1"/>
          <a:endCxn id="96" idx="3"/>
        </xdr:cNvCxnSpPr>
      </xdr:nvCxnSpPr>
      <xdr:spPr>
        <a:xfrm rot="10800000" flipV="1">
          <a:off x="6841002" y="56469501"/>
          <a:ext cx="258641" cy="157089"/>
        </a:xfrm>
        <a:prstGeom prst="bentConnector3">
          <a:avLst>
            <a:gd name="adj1" fmla="val 50000"/>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22274</xdr:colOff>
      <xdr:row>125</xdr:row>
      <xdr:rowOff>31213</xdr:rowOff>
    </xdr:from>
    <xdr:to>
      <xdr:col>21</xdr:col>
      <xdr:colOff>180389</xdr:colOff>
      <xdr:row>125</xdr:row>
      <xdr:rowOff>131206</xdr:rowOff>
    </xdr:to>
    <xdr:sp macro="" textlink="">
      <xdr:nvSpPr>
        <xdr:cNvPr id="102" name="正方形/長方形 101">
          <a:extLst>
            <a:ext uri="{FF2B5EF4-FFF2-40B4-BE49-F238E27FC236}">
              <a16:creationId xmlns:a16="http://schemas.microsoft.com/office/drawing/2014/main" id="{265624A5-5CE7-43E4-9BB6-3D76FFED713D}"/>
            </a:ext>
          </a:extLst>
        </xdr:cNvPr>
        <xdr:cNvSpPr/>
      </xdr:nvSpPr>
      <xdr:spPr>
        <a:xfrm>
          <a:off x="4822874" y="21462463"/>
          <a:ext cx="158115" cy="9999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25</xdr:col>
      <xdr:colOff>106388</xdr:colOff>
      <xdr:row>183</xdr:row>
      <xdr:rowOff>18464</xdr:rowOff>
    </xdr:from>
    <xdr:to>
      <xdr:col>26</xdr:col>
      <xdr:colOff>137601</xdr:colOff>
      <xdr:row>196</xdr:row>
      <xdr:rowOff>18757</xdr:rowOff>
    </xdr:to>
    <xdr:sp macro="" textlink="">
      <xdr:nvSpPr>
        <xdr:cNvPr id="103" name="右中かっこ 102">
          <a:extLst>
            <a:ext uri="{FF2B5EF4-FFF2-40B4-BE49-F238E27FC236}">
              <a16:creationId xmlns:a16="http://schemas.microsoft.com/office/drawing/2014/main" id="{6094AE94-DDD7-4BC8-89A1-0432C9712481}"/>
            </a:ext>
          </a:extLst>
        </xdr:cNvPr>
        <xdr:cNvSpPr/>
      </xdr:nvSpPr>
      <xdr:spPr>
        <a:xfrm>
          <a:off x="5821388" y="31393814"/>
          <a:ext cx="259813" cy="2229143"/>
        </a:xfrm>
        <a:prstGeom prst="righ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27</xdr:col>
      <xdr:colOff>9232</xdr:colOff>
      <xdr:row>129</xdr:row>
      <xdr:rowOff>107999</xdr:rowOff>
    </xdr:from>
    <xdr:to>
      <xdr:col>27</xdr:col>
      <xdr:colOff>247211</xdr:colOff>
      <xdr:row>143</xdr:row>
      <xdr:rowOff>21980</xdr:rowOff>
    </xdr:to>
    <xdr:sp macro="" textlink="">
      <xdr:nvSpPr>
        <xdr:cNvPr id="104" name="右中かっこ 103">
          <a:extLst>
            <a:ext uri="{FF2B5EF4-FFF2-40B4-BE49-F238E27FC236}">
              <a16:creationId xmlns:a16="http://schemas.microsoft.com/office/drawing/2014/main" id="{E6C4E94B-9766-42AD-B621-EFD48D8DCA68}"/>
            </a:ext>
          </a:extLst>
        </xdr:cNvPr>
        <xdr:cNvSpPr/>
      </xdr:nvSpPr>
      <xdr:spPr>
        <a:xfrm>
          <a:off x="6181432" y="22225049"/>
          <a:ext cx="218929" cy="2314281"/>
        </a:xfrm>
        <a:prstGeom prst="righ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19</xdr:col>
      <xdr:colOff>21982</xdr:colOff>
      <xdr:row>125</xdr:row>
      <xdr:rowOff>29308</xdr:rowOff>
    </xdr:from>
    <xdr:to>
      <xdr:col>19</xdr:col>
      <xdr:colOff>204862</xdr:colOff>
      <xdr:row>125</xdr:row>
      <xdr:rowOff>131205</xdr:rowOff>
    </xdr:to>
    <xdr:sp macro="" textlink="">
      <xdr:nvSpPr>
        <xdr:cNvPr id="105" name="正方形/長方形 104">
          <a:extLst>
            <a:ext uri="{FF2B5EF4-FFF2-40B4-BE49-F238E27FC236}">
              <a16:creationId xmlns:a16="http://schemas.microsoft.com/office/drawing/2014/main" id="{DDB89381-4358-459C-9F10-28386141A421}"/>
            </a:ext>
          </a:extLst>
        </xdr:cNvPr>
        <xdr:cNvSpPr/>
      </xdr:nvSpPr>
      <xdr:spPr>
        <a:xfrm>
          <a:off x="4365382" y="21460558"/>
          <a:ext cx="182880" cy="10189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208672</xdr:colOff>
      <xdr:row>125</xdr:row>
      <xdr:rowOff>81209</xdr:rowOff>
    </xdr:from>
    <xdr:to>
      <xdr:col>21</xdr:col>
      <xdr:colOff>18464</xdr:colOff>
      <xdr:row>125</xdr:row>
      <xdr:rowOff>82162</xdr:rowOff>
    </xdr:to>
    <xdr:cxnSp macro="">
      <xdr:nvCxnSpPr>
        <xdr:cNvPr id="106" name="直線コネクタ 105">
          <a:extLst>
            <a:ext uri="{FF2B5EF4-FFF2-40B4-BE49-F238E27FC236}">
              <a16:creationId xmlns:a16="http://schemas.microsoft.com/office/drawing/2014/main" id="{D67D375A-13CA-4A71-AC11-A8CF7DD1794B}"/>
            </a:ext>
          </a:extLst>
        </xdr:cNvPr>
        <xdr:cNvCxnSpPr>
          <a:cxnSpLocks/>
          <a:stCxn id="105" idx="3"/>
          <a:endCxn id="102" idx="1"/>
        </xdr:cNvCxnSpPr>
      </xdr:nvCxnSpPr>
      <xdr:spPr>
        <a:xfrm>
          <a:off x="4552072" y="21512459"/>
          <a:ext cx="266992" cy="953"/>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22274</xdr:colOff>
      <xdr:row>179</xdr:row>
      <xdr:rowOff>31213</xdr:rowOff>
    </xdr:from>
    <xdr:to>
      <xdr:col>21</xdr:col>
      <xdr:colOff>180389</xdr:colOff>
      <xdr:row>179</xdr:row>
      <xdr:rowOff>131206</xdr:rowOff>
    </xdr:to>
    <xdr:sp macro="" textlink="">
      <xdr:nvSpPr>
        <xdr:cNvPr id="107" name="正方形/長方形 106">
          <a:extLst>
            <a:ext uri="{FF2B5EF4-FFF2-40B4-BE49-F238E27FC236}">
              <a16:creationId xmlns:a16="http://schemas.microsoft.com/office/drawing/2014/main" id="{734A8BEC-5BBB-4636-93C0-C58B7CE18262}"/>
            </a:ext>
          </a:extLst>
        </xdr:cNvPr>
        <xdr:cNvSpPr/>
      </xdr:nvSpPr>
      <xdr:spPr>
        <a:xfrm>
          <a:off x="4822874" y="30720763"/>
          <a:ext cx="158115" cy="9999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21982</xdr:colOff>
      <xdr:row>179</xdr:row>
      <xdr:rowOff>29308</xdr:rowOff>
    </xdr:from>
    <xdr:to>
      <xdr:col>19</xdr:col>
      <xdr:colOff>204862</xdr:colOff>
      <xdr:row>179</xdr:row>
      <xdr:rowOff>131205</xdr:rowOff>
    </xdr:to>
    <xdr:sp macro="" textlink="">
      <xdr:nvSpPr>
        <xdr:cNvPr id="108" name="正方形/長方形 107">
          <a:extLst>
            <a:ext uri="{FF2B5EF4-FFF2-40B4-BE49-F238E27FC236}">
              <a16:creationId xmlns:a16="http://schemas.microsoft.com/office/drawing/2014/main" id="{C5206A15-7C68-4B5D-A069-B2312F69B10D}"/>
            </a:ext>
          </a:extLst>
        </xdr:cNvPr>
        <xdr:cNvSpPr/>
      </xdr:nvSpPr>
      <xdr:spPr>
        <a:xfrm>
          <a:off x="4365382" y="30718858"/>
          <a:ext cx="182880" cy="10189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208672</xdr:colOff>
      <xdr:row>179</xdr:row>
      <xdr:rowOff>81209</xdr:rowOff>
    </xdr:from>
    <xdr:to>
      <xdr:col>21</xdr:col>
      <xdr:colOff>18464</xdr:colOff>
      <xdr:row>179</xdr:row>
      <xdr:rowOff>82162</xdr:rowOff>
    </xdr:to>
    <xdr:cxnSp macro="">
      <xdr:nvCxnSpPr>
        <xdr:cNvPr id="109" name="直線コネクタ 108">
          <a:extLst>
            <a:ext uri="{FF2B5EF4-FFF2-40B4-BE49-F238E27FC236}">
              <a16:creationId xmlns:a16="http://schemas.microsoft.com/office/drawing/2014/main" id="{563CE6C2-9DC8-450D-87E9-48555DB6686F}"/>
            </a:ext>
          </a:extLst>
        </xdr:cNvPr>
        <xdr:cNvCxnSpPr>
          <a:cxnSpLocks/>
          <a:stCxn id="108" idx="3"/>
          <a:endCxn id="107" idx="1"/>
        </xdr:cNvCxnSpPr>
      </xdr:nvCxnSpPr>
      <xdr:spPr>
        <a:xfrm>
          <a:off x="4552072" y="30770759"/>
          <a:ext cx="266992" cy="953"/>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22274</xdr:colOff>
      <xdr:row>235</xdr:row>
      <xdr:rowOff>31213</xdr:rowOff>
    </xdr:from>
    <xdr:to>
      <xdr:col>21</xdr:col>
      <xdr:colOff>180389</xdr:colOff>
      <xdr:row>235</xdr:row>
      <xdr:rowOff>131206</xdr:rowOff>
    </xdr:to>
    <xdr:sp macro="" textlink="">
      <xdr:nvSpPr>
        <xdr:cNvPr id="110" name="正方形/長方形 109">
          <a:extLst>
            <a:ext uri="{FF2B5EF4-FFF2-40B4-BE49-F238E27FC236}">
              <a16:creationId xmlns:a16="http://schemas.microsoft.com/office/drawing/2014/main" id="{D5506902-1EFD-428E-86D8-2DC054C0357C}"/>
            </a:ext>
          </a:extLst>
        </xdr:cNvPr>
        <xdr:cNvSpPr/>
      </xdr:nvSpPr>
      <xdr:spPr>
        <a:xfrm>
          <a:off x="4822874" y="40321963"/>
          <a:ext cx="158115" cy="9999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21982</xdr:colOff>
      <xdr:row>235</xdr:row>
      <xdr:rowOff>29308</xdr:rowOff>
    </xdr:from>
    <xdr:to>
      <xdr:col>19</xdr:col>
      <xdr:colOff>204862</xdr:colOff>
      <xdr:row>235</xdr:row>
      <xdr:rowOff>131205</xdr:rowOff>
    </xdr:to>
    <xdr:sp macro="" textlink="">
      <xdr:nvSpPr>
        <xdr:cNvPr id="111" name="正方形/長方形 110">
          <a:extLst>
            <a:ext uri="{FF2B5EF4-FFF2-40B4-BE49-F238E27FC236}">
              <a16:creationId xmlns:a16="http://schemas.microsoft.com/office/drawing/2014/main" id="{AF485E52-5578-414F-A79F-B0682340C87A}"/>
            </a:ext>
          </a:extLst>
        </xdr:cNvPr>
        <xdr:cNvSpPr/>
      </xdr:nvSpPr>
      <xdr:spPr>
        <a:xfrm>
          <a:off x="4365382" y="40320058"/>
          <a:ext cx="182880" cy="10189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208672</xdr:colOff>
      <xdr:row>235</xdr:row>
      <xdr:rowOff>81209</xdr:rowOff>
    </xdr:from>
    <xdr:to>
      <xdr:col>21</xdr:col>
      <xdr:colOff>18464</xdr:colOff>
      <xdr:row>235</xdr:row>
      <xdr:rowOff>82162</xdr:rowOff>
    </xdr:to>
    <xdr:cxnSp macro="">
      <xdr:nvCxnSpPr>
        <xdr:cNvPr id="112" name="直線コネクタ 111">
          <a:extLst>
            <a:ext uri="{FF2B5EF4-FFF2-40B4-BE49-F238E27FC236}">
              <a16:creationId xmlns:a16="http://schemas.microsoft.com/office/drawing/2014/main" id="{51DD24A6-E456-4A7D-AA1D-173179F06FFA}"/>
            </a:ext>
          </a:extLst>
        </xdr:cNvPr>
        <xdr:cNvCxnSpPr>
          <a:cxnSpLocks/>
          <a:stCxn id="111" idx="3"/>
          <a:endCxn id="110" idx="1"/>
        </xdr:cNvCxnSpPr>
      </xdr:nvCxnSpPr>
      <xdr:spPr>
        <a:xfrm>
          <a:off x="4552072" y="40371959"/>
          <a:ext cx="266992" cy="953"/>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106388</xdr:colOff>
      <xdr:row>239</xdr:row>
      <xdr:rowOff>18464</xdr:rowOff>
    </xdr:from>
    <xdr:to>
      <xdr:col>27</xdr:col>
      <xdr:colOff>137601</xdr:colOff>
      <xdr:row>252</xdr:row>
      <xdr:rowOff>18757</xdr:rowOff>
    </xdr:to>
    <xdr:sp macro="" textlink="">
      <xdr:nvSpPr>
        <xdr:cNvPr id="113" name="右中かっこ 112">
          <a:extLst>
            <a:ext uri="{FF2B5EF4-FFF2-40B4-BE49-F238E27FC236}">
              <a16:creationId xmlns:a16="http://schemas.microsoft.com/office/drawing/2014/main" id="{28450D96-0B02-4142-B282-3A10A64B6806}"/>
            </a:ext>
          </a:extLst>
        </xdr:cNvPr>
        <xdr:cNvSpPr/>
      </xdr:nvSpPr>
      <xdr:spPr>
        <a:xfrm>
          <a:off x="6049988" y="40995014"/>
          <a:ext cx="259813" cy="2229143"/>
        </a:xfrm>
        <a:prstGeom prst="righ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27</xdr:col>
      <xdr:colOff>9232</xdr:colOff>
      <xdr:row>259</xdr:row>
      <xdr:rowOff>107999</xdr:rowOff>
    </xdr:from>
    <xdr:to>
      <xdr:col>27</xdr:col>
      <xdr:colOff>247211</xdr:colOff>
      <xdr:row>273</xdr:row>
      <xdr:rowOff>14654</xdr:rowOff>
    </xdr:to>
    <xdr:sp macro="" textlink="">
      <xdr:nvSpPr>
        <xdr:cNvPr id="114" name="右中かっこ 113">
          <a:extLst>
            <a:ext uri="{FF2B5EF4-FFF2-40B4-BE49-F238E27FC236}">
              <a16:creationId xmlns:a16="http://schemas.microsoft.com/office/drawing/2014/main" id="{CD2B1DFE-74D1-476E-83FE-CE9A0D2D3E0D}"/>
            </a:ext>
          </a:extLst>
        </xdr:cNvPr>
        <xdr:cNvSpPr/>
      </xdr:nvSpPr>
      <xdr:spPr>
        <a:xfrm>
          <a:off x="6181432" y="44513549"/>
          <a:ext cx="218929" cy="2306955"/>
        </a:xfrm>
        <a:prstGeom prst="righ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12</xdr:col>
      <xdr:colOff>0</xdr:colOff>
      <xdr:row>101</xdr:row>
      <xdr:rowOff>19050</xdr:rowOff>
    </xdr:from>
    <xdr:to>
      <xdr:col>12</xdr:col>
      <xdr:colOff>180975</xdr:colOff>
      <xdr:row>102</xdr:row>
      <xdr:rowOff>19050</xdr:rowOff>
    </xdr:to>
    <xdr:sp macro="" textlink="">
      <xdr:nvSpPr>
        <xdr:cNvPr id="115" name="正方形/長方形 114">
          <a:extLst>
            <a:ext uri="{FF2B5EF4-FFF2-40B4-BE49-F238E27FC236}">
              <a16:creationId xmlns:a16="http://schemas.microsoft.com/office/drawing/2014/main" id="{209EEAD2-2935-4CAB-8754-76A26FF2F517}"/>
            </a:ext>
          </a:extLst>
        </xdr:cNvPr>
        <xdr:cNvSpPr/>
      </xdr:nvSpPr>
      <xdr:spPr>
        <a:xfrm>
          <a:off x="2743200" y="17335500"/>
          <a:ext cx="180975" cy="171450"/>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199094</xdr:colOff>
      <xdr:row>16</xdr:row>
      <xdr:rowOff>65237</xdr:rowOff>
    </xdr:from>
    <xdr:to>
      <xdr:col>12</xdr:col>
      <xdr:colOff>22273</xdr:colOff>
      <xdr:row>16</xdr:row>
      <xdr:rowOff>68944</xdr:rowOff>
    </xdr:to>
    <xdr:cxnSp macro="">
      <xdr:nvCxnSpPr>
        <xdr:cNvPr id="116" name="直線コネクタ 115">
          <a:extLst>
            <a:ext uri="{FF2B5EF4-FFF2-40B4-BE49-F238E27FC236}">
              <a16:creationId xmlns:a16="http://schemas.microsoft.com/office/drawing/2014/main" id="{D73907EB-3C42-4DD6-96A8-0F100EA6B1B7}"/>
            </a:ext>
          </a:extLst>
        </xdr:cNvPr>
        <xdr:cNvCxnSpPr>
          <a:cxnSpLocks/>
          <a:stCxn id="118" idx="3"/>
          <a:endCxn id="127" idx="1"/>
        </xdr:cNvCxnSpPr>
      </xdr:nvCxnSpPr>
      <xdr:spPr>
        <a:xfrm flipV="1">
          <a:off x="2485094" y="2808437"/>
          <a:ext cx="280379" cy="3707"/>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201051</xdr:colOff>
      <xdr:row>16</xdr:row>
      <xdr:rowOff>67508</xdr:rowOff>
    </xdr:from>
    <xdr:to>
      <xdr:col>21</xdr:col>
      <xdr:colOff>22567</xdr:colOff>
      <xdr:row>16</xdr:row>
      <xdr:rowOff>70238</xdr:rowOff>
    </xdr:to>
    <xdr:cxnSp macro="">
      <xdr:nvCxnSpPr>
        <xdr:cNvPr id="117" name="直線コネクタ 116">
          <a:extLst>
            <a:ext uri="{FF2B5EF4-FFF2-40B4-BE49-F238E27FC236}">
              <a16:creationId xmlns:a16="http://schemas.microsoft.com/office/drawing/2014/main" id="{3EAC4AEB-569A-43DC-AA3B-A49E2759A68F}"/>
            </a:ext>
          </a:extLst>
        </xdr:cNvPr>
        <xdr:cNvCxnSpPr>
          <a:cxnSpLocks/>
          <a:stCxn id="119" idx="3"/>
          <a:endCxn id="120" idx="1"/>
        </xdr:cNvCxnSpPr>
      </xdr:nvCxnSpPr>
      <xdr:spPr>
        <a:xfrm>
          <a:off x="4544451" y="2810708"/>
          <a:ext cx="278716" cy="2730"/>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23834</xdr:colOff>
      <xdr:row>16</xdr:row>
      <xdr:rowOff>13233</xdr:rowOff>
    </xdr:from>
    <xdr:to>
      <xdr:col>10</xdr:col>
      <xdr:colOff>197189</xdr:colOff>
      <xdr:row>16</xdr:row>
      <xdr:rowOff>118940</xdr:rowOff>
    </xdr:to>
    <xdr:sp macro="" textlink="">
      <xdr:nvSpPr>
        <xdr:cNvPr id="118" name="正方形/長方形 117">
          <a:extLst>
            <a:ext uri="{FF2B5EF4-FFF2-40B4-BE49-F238E27FC236}">
              <a16:creationId xmlns:a16="http://schemas.microsoft.com/office/drawing/2014/main" id="{8D01564B-A2F2-47CE-B9D5-B60EF64687B0}"/>
            </a:ext>
          </a:extLst>
        </xdr:cNvPr>
        <xdr:cNvSpPr/>
      </xdr:nvSpPr>
      <xdr:spPr>
        <a:xfrm>
          <a:off x="2309834" y="2756433"/>
          <a:ext cx="173355" cy="10570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21981</xdr:colOff>
      <xdr:row>16</xdr:row>
      <xdr:rowOff>14654</xdr:rowOff>
    </xdr:from>
    <xdr:to>
      <xdr:col>19</xdr:col>
      <xdr:colOff>199146</xdr:colOff>
      <xdr:row>16</xdr:row>
      <xdr:rowOff>116551</xdr:rowOff>
    </xdr:to>
    <xdr:sp macro="" textlink="">
      <xdr:nvSpPr>
        <xdr:cNvPr id="119" name="正方形/長方形 118">
          <a:extLst>
            <a:ext uri="{FF2B5EF4-FFF2-40B4-BE49-F238E27FC236}">
              <a16:creationId xmlns:a16="http://schemas.microsoft.com/office/drawing/2014/main" id="{D47E6C3C-F76A-42A2-B5E1-C64257D13C1D}"/>
            </a:ext>
          </a:extLst>
        </xdr:cNvPr>
        <xdr:cNvSpPr/>
      </xdr:nvSpPr>
      <xdr:spPr>
        <a:xfrm>
          <a:off x="4365381" y="2757854"/>
          <a:ext cx="17716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xdr:col>
      <xdr:colOff>18757</xdr:colOff>
      <xdr:row>16</xdr:row>
      <xdr:rowOff>20242</xdr:rowOff>
    </xdr:from>
    <xdr:to>
      <xdr:col>21</xdr:col>
      <xdr:colOff>192112</xdr:colOff>
      <xdr:row>16</xdr:row>
      <xdr:rowOff>122139</xdr:rowOff>
    </xdr:to>
    <xdr:sp macro="" textlink="">
      <xdr:nvSpPr>
        <xdr:cNvPr id="120" name="正方形/長方形 119">
          <a:extLst>
            <a:ext uri="{FF2B5EF4-FFF2-40B4-BE49-F238E27FC236}">
              <a16:creationId xmlns:a16="http://schemas.microsoft.com/office/drawing/2014/main" id="{6CCEB84F-87B8-4297-A07F-D25EEA09FE9C}"/>
            </a:ext>
          </a:extLst>
        </xdr:cNvPr>
        <xdr:cNvSpPr/>
      </xdr:nvSpPr>
      <xdr:spPr>
        <a:xfrm>
          <a:off x="4819357" y="2763442"/>
          <a:ext cx="17335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30</xdr:col>
      <xdr:colOff>11137</xdr:colOff>
      <xdr:row>16</xdr:row>
      <xdr:rowOff>9232</xdr:rowOff>
    </xdr:from>
    <xdr:to>
      <xdr:col>30</xdr:col>
      <xdr:colOff>174967</xdr:colOff>
      <xdr:row>16</xdr:row>
      <xdr:rowOff>103509</xdr:rowOff>
    </xdr:to>
    <xdr:sp macro="" textlink="">
      <xdr:nvSpPr>
        <xdr:cNvPr id="121" name="正方形/長方形 120">
          <a:extLst>
            <a:ext uri="{FF2B5EF4-FFF2-40B4-BE49-F238E27FC236}">
              <a16:creationId xmlns:a16="http://schemas.microsoft.com/office/drawing/2014/main" id="{55FF8EC1-C943-4053-9062-CEAD0C7F4A0A}"/>
            </a:ext>
          </a:extLst>
        </xdr:cNvPr>
        <xdr:cNvSpPr/>
      </xdr:nvSpPr>
      <xdr:spPr>
        <a:xfrm>
          <a:off x="6869137" y="2752432"/>
          <a:ext cx="163830"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27402</xdr:colOff>
      <xdr:row>16</xdr:row>
      <xdr:rowOff>11137</xdr:rowOff>
    </xdr:from>
    <xdr:to>
      <xdr:col>28</xdr:col>
      <xdr:colOff>200757</xdr:colOff>
      <xdr:row>16</xdr:row>
      <xdr:rowOff>105414</xdr:rowOff>
    </xdr:to>
    <xdr:sp macro="" textlink="">
      <xdr:nvSpPr>
        <xdr:cNvPr id="122" name="正方形/長方形 121">
          <a:extLst>
            <a:ext uri="{FF2B5EF4-FFF2-40B4-BE49-F238E27FC236}">
              <a16:creationId xmlns:a16="http://schemas.microsoft.com/office/drawing/2014/main" id="{302FE277-172D-47D9-A186-79F349FC2CC0}"/>
            </a:ext>
          </a:extLst>
        </xdr:cNvPr>
        <xdr:cNvSpPr/>
      </xdr:nvSpPr>
      <xdr:spPr>
        <a:xfrm>
          <a:off x="6428202" y="2754337"/>
          <a:ext cx="17335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29308</xdr:colOff>
      <xdr:row>18</xdr:row>
      <xdr:rowOff>14655</xdr:rowOff>
    </xdr:from>
    <xdr:to>
      <xdr:col>28</xdr:col>
      <xdr:colOff>198853</xdr:colOff>
      <xdr:row>18</xdr:row>
      <xdr:rowOff>112742</xdr:rowOff>
    </xdr:to>
    <xdr:sp macro="" textlink="">
      <xdr:nvSpPr>
        <xdr:cNvPr id="123" name="正方形/長方形 122">
          <a:extLst>
            <a:ext uri="{FF2B5EF4-FFF2-40B4-BE49-F238E27FC236}">
              <a16:creationId xmlns:a16="http://schemas.microsoft.com/office/drawing/2014/main" id="{405B1C79-C954-4ADA-9012-6A719A5A5E25}"/>
            </a:ext>
          </a:extLst>
        </xdr:cNvPr>
        <xdr:cNvSpPr/>
      </xdr:nvSpPr>
      <xdr:spPr>
        <a:xfrm>
          <a:off x="6430108" y="310075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30</xdr:col>
      <xdr:colOff>5715</xdr:colOff>
      <xdr:row>17</xdr:row>
      <xdr:rowOff>21980</xdr:rowOff>
    </xdr:from>
    <xdr:to>
      <xdr:col>30</xdr:col>
      <xdr:colOff>163830</xdr:colOff>
      <xdr:row>17</xdr:row>
      <xdr:rowOff>123877</xdr:rowOff>
    </xdr:to>
    <xdr:sp macro="" textlink="">
      <xdr:nvSpPr>
        <xdr:cNvPr id="124" name="正方形/長方形 123">
          <a:extLst>
            <a:ext uri="{FF2B5EF4-FFF2-40B4-BE49-F238E27FC236}">
              <a16:creationId xmlns:a16="http://schemas.microsoft.com/office/drawing/2014/main" id="{6187AAB7-9DC4-417F-96EA-65BDB5F9B9AC}"/>
            </a:ext>
          </a:extLst>
        </xdr:cNvPr>
        <xdr:cNvSpPr/>
      </xdr:nvSpPr>
      <xdr:spPr>
        <a:xfrm>
          <a:off x="6863715" y="2936630"/>
          <a:ext cx="158115" cy="10189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202662</xdr:colOff>
      <xdr:row>16</xdr:row>
      <xdr:rowOff>56371</xdr:rowOff>
    </xdr:from>
    <xdr:to>
      <xdr:col>30</xdr:col>
      <xdr:colOff>13042</xdr:colOff>
      <xdr:row>16</xdr:row>
      <xdr:rowOff>58276</xdr:rowOff>
    </xdr:to>
    <xdr:cxnSp macro="">
      <xdr:nvCxnSpPr>
        <xdr:cNvPr id="125" name="直線コネクタ 124">
          <a:extLst>
            <a:ext uri="{FF2B5EF4-FFF2-40B4-BE49-F238E27FC236}">
              <a16:creationId xmlns:a16="http://schemas.microsoft.com/office/drawing/2014/main" id="{377BE310-6E1A-49C5-9209-E75ACCD1E0C1}"/>
            </a:ext>
          </a:extLst>
        </xdr:cNvPr>
        <xdr:cNvCxnSpPr>
          <a:stCxn id="121" idx="1"/>
          <a:endCxn id="122" idx="3"/>
        </xdr:cNvCxnSpPr>
      </xdr:nvCxnSpPr>
      <xdr:spPr>
        <a:xfrm flipH="1">
          <a:off x="6603462" y="2799571"/>
          <a:ext cx="267580" cy="1905"/>
        </a:xfrm>
        <a:prstGeom prst="line">
          <a:avLst/>
        </a:prstGeom>
        <a:ln>
          <a:solidFill>
            <a:srgbClr val="FF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199094</xdr:colOff>
      <xdr:row>16</xdr:row>
      <xdr:rowOff>68944</xdr:rowOff>
    </xdr:from>
    <xdr:to>
      <xdr:col>11</xdr:col>
      <xdr:colOff>83162</xdr:colOff>
      <xdr:row>51</xdr:row>
      <xdr:rowOff>36634</xdr:rowOff>
    </xdr:to>
    <xdr:cxnSp macro="">
      <xdr:nvCxnSpPr>
        <xdr:cNvPr id="126" name="直線コネクタ 31">
          <a:extLst>
            <a:ext uri="{FF2B5EF4-FFF2-40B4-BE49-F238E27FC236}">
              <a16:creationId xmlns:a16="http://schemas.microsoft.com/office/drawing/2014/main" id="{3C1B96A3-6BBC-49E8-B866-63B2BA90852B}"/>
            </a:ext>
          </a:extLst>
        </xdr:cNvPr>
        <xdr:cNvCxnSpPr>
          <a:cxnSpLocks/>
          <a:stCxn id="118" idx="3"/>
          <a:endCxn id="211" idx="0"/>
        </xdr:cNvCxnSpPr>
      </xdr:nvCxnSpPr>
      <xdr:spPr>
        <a:xfrm>
          <a:off x="2485094" y="2812144"/>
          <a:ext cx="112668" cy="5968440"/>
        </a:xfrm>
        <a:prstGeom prst="bentConnector2">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18463</xdr:colOff>
      <xdr:row>16</xdr:row>
      <xdr:rowOff>22861</xdr:rowOff>
    </xdr:from>
    <xdr:to>
      <xdr:col>12</xdr:col>
      <xdr:colOff>191818</xdr:colOff>
      <xdr:row>16</xdr:row>
      <xdr:rowOff>111423</xdr:rowOff>
    </xdr:to>
    <xdr:sp macro="" textlink="">
      <xdr:nvSpPr>
        <xdr:cNvPr id="127" name="正方形/長方形 126">
          <a:extLst>
            <a:ext uri="{FF2B5EF4-FFF2-40B4-BE49-F238E27FC236}">
              <a16:creationId xmlns:a16="http://schemas.microsoft.com/office/drawing/2014/main" id="{161A15C0-FBB6-4420-8828-F06F1B00A41C}"/>
            </a:ext>
          </a:extLst>
        </xdr:cNvPr>
        <xdr:cNvSpPr/>
      </xdr:nvSpPr>
      <xdr:spPr>
        <a:xfrm>
          <a:off x="2761663" y="2766061"/>
          <a:ext cx="173355" cy="8856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xdr:col>
      <xdr:colOff>21981</xdr:colOff>
      <xdr:row>17</xdr:row>
      <xdr:rowOff>23885</xdr:rowOff>
    </xdr:from>
    <xdr:to>
      <xdr:col>21</xdr:col>
      <xdr:colOff>191526</xdr:colOff>
      <xdr:row>17</xdr:row>
      <xdr:rowOff>127688</xdr:rowOff>
    </xdr:to>
    <xdr:sp macro="" textlink="">
      <xdr:nvSpPr>
        <xdr:cNvPr id="128" name="正方形/長方形 127">
          <a:extLst>
            <a:ext uri="{FF2B5EF4-FFF2-40B4-BE49-F238E27FC236}">
              <a16:creationId xmlns:a16="http://schemas.microsoft.com/office/drawing/2014/main" id="{B477410E-CE02-40B6-9F12-5E81CA027D01}"/>
            </a:ext>
          </a:extLst>
        </xdr:cNvPr>
        <xdr:cNvSpPr/>
      </xdr:nvSpPr>
      <xdr:spPr>
        <a:xfrm>
          <a:off x="4822581" y="293853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21981</xdr:colOff>
      <xdr:row>17</xdr:row>
      <xdr:rowOff>29308</xdr:rowOff>
    </xdr:from>
    <xdr:to>
      <xdr:col>19</xdr:col>
      <xdr:colOff>210576</xdr:colOff>
      <xdr:row>17</xdr:row>
      <xdr:rowOff>121680</xdr:rowOff>
    </xdr:to>
    <xdr:sp macro="" textlink="">
      <xdr:nvSpPr>
        <xdr:cNvPr id="129" name="正方形/長方形 128">
          <a:extLst>
            <a:ext uri="{FF2B5EF4-FFF2-40B4-BE49-F238E27FC236}">
              <a16:creationId xmlns:a16="http://schemas.microsoft.com/office/drawing/2014/main" id="{4E798008-D554-4CCB-ABF4-B33B7D4C3CE2}"/>
            </a:ext>
          </a:extLst>
        </xdr:cNvPr>
        <xdr:cNvSpPr/>
      </xdr:nvSpPr>
      <xdr:spPr>
        <a:xfrm>
          <a:off x="4365381" y="2943958"/>
          <a:ext cx="188595" cy="9237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206766</xdr:colOff>
      <xdr:row>17</xdr:row>
      <xdr:rowOff>75494</xdr:rowOff>
    </xdr:from>
    <xdr:to>
      <xdr:col>21</xdr:col>
      <xdr:colOff>18171</xdr:colOff>
      <xdr:row>17</xdr:row>
      <xdr:rowOff>75787</xdr:rowOff>
    </xdr:to>
    <xdr:cxnSp macro="">
      <xdr:nvCxnSpPr>
        <xdr:cNvPr id="130" name="直線コネクタ 129">
          <a:extLst>
            <a:ext uri="{FF2B5EF4-FFF2-40B4-BE49-F238E27FC236}">
              <a16:creationId xmlns:a16="http://schemas.microsoft.com/office/drawing/2014/main" id="{DA482009-38C1-4506-9830-977BE642F705}"/>
            </a:ext>
          </a:extLst>
        </xdr:cNvPr>
        <xdr:cNvCxnSpPr>
          <a:cxnSpLocks/>
          <a:stCxn id="129" idx="3"/>
          <a:endCxn id="128" idx="1"/>
        </xdr:cNvCxnSpPr>
      </xdr:nvCxnSpPr>
      <xdr:spPr>
        <a:xfrm>
          <a:off x="4550166" y="2990144"/>
          <a:ext cx="268605" cy="293"/>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30</xdr:col>
      <xdr:colOff>11137</xdr:colOff>
      <xdr:row>44</xdr:row>
      <xdr:rowOff>9232</xdr:rowOff>
    </xdr:from>
    <xdr:to>
      <xdr:col>30</xdr:col>
      <xdr:colOff>174967</xdr:colOff>
      <xdr:row>44</xdr:row>
      <xdr:rowOff>103509</xdr:rowOff>
    </xdr:to>
    <xdr:sp macro="" textlink="">
      <xdr:nvSpPr>
        <xdr:cNvPr id="131" name="正方形/長方形 130">
          <a:extLst>
            <a:ext uri="{FF2B5EF4-FFF2-40B4-BE49-F238E27FC236}">
              <a16:creationId xmlns:a16="http://schemas.microsoft.com/office/drawing/2014/main" id="{9D5118EC-F908-472B-BBFF-D48116F5EA52}"/>
            </a:ext>
          </a:extLst>
        </xdr:cNvPr>
        <xdr:cNvSpPr/>
      </xdr:nvSpPr>
      <xdr:spPr>
        <a:xfrm>
          <a:off x="6869137" y="7553032"/>
          <a:ext cx="163830"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30</xdr:col>
      <xdr:colOff>5715</xdr:colOff>
      <xdr:row>45</xdr:row>
      <xdr:rowOff>21980</xdr:rowOff>
    </xdr:from>
    <xdr:to>
      <xdr:col>30</xdr:col>
      <xdr:colOff>163830</xdr:colOff>
      <xdr:row>45</xdr:row>
      <xdr:rowOff>123877</xdr:rowOff>
    </xdr:to>
    <xdr:sp macro="" textlink="">
      <xdr:nvSpPr>
        <xdr:cNvPr id="132" name="正方形/長方形 131">
          <a:extLst>
            <a:ext uri="{FF2B5EF4-FFF2-40B4-BE49-F238E27FC236}">
              <a16:creationId xmlns:a16="http://schemas.microsoft.com/office/drawing/2014/main" id="{9561F6AA-B73C-466E-B851-27C39D2902B4}"/>
            </a:ext>
          </a:extLst>
        </xdr:cNvPr>
        <xdr:cNvSpPr/>
      </xdr:nvSpPr>
      <xdr:spPr>
        <a:xfrm>
          <a:off x="6863715" y="7737230"/>
          <a:ext cx="158115" cy="10189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xdr:col>
      <xdr:colOff>14947</xdr:colOff>
      <xdr:row>24</xdr:row>
      <xdr:rowOff>16265</xdr:rowOff>
    </xdr:from>
    <xdr:to>
      <xdr:col>21</xdr:col>
      <xdr:colOff>192112</xdr:colOff>
      <xdr:row>24</xdr:row>
      <xdr:rowOff>120067</xdr:rowOff>
    </xdr:to>
    <xdr:sp macro="" textlink="">
      <xdr:nvSpPr>
        <xdr:cNvPr id="133" name="正方形/長方形 132">
          <a:extLst>
            <a:ext uri="{FF2B5EF4-FFF2-40B4-BE49-F238E27FC236}">
              <a16:creationId xmlns:a16="http://schemas.microsoft.com/office/drawing/2014/main" id="{ECC4B2FA-60DD-448F-99C6-59BE307D76D8}"/>
            </a:ext>
          </a:extLst>
        </xdr:cNvPr>
        <xdr:cNvSpPr/>
      </xdr:nvSpPr>
      <xdr:spPr>
        <a:xfrm>
          <a:off x="4815547" y="4131065"/>
          <a:ext cx="177165" cy="10380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27402</xdr:colOff>
      <xdr:row>24</xdr:row>
      <xdr:rowOff>11137</xdr:rowOff>
    </xdr:from>
    <xdr:to>
      <xdr:col>28</xdr:col>
      <xdr:colOff>200757</xdr:colOff>
      <xdr:row>24</xdr:row>
      <xdr:rowOff>105414</xdr:rowOff>
    </xdr:to>
    <xdr:sp macro="" textlink="">
      <xdr:nvSpPr>
        <xdr:cNvPr id="134" name="正方形/長方形 133">
          <a:extLst>
            <a:ext uri="{FF2B5EF4-FFF2-40B4-BE49-F238E27FC236}">
              <a16:creationId xmlns:a16="http://schemas.microsoft.com/office/drawing/2014/main" id="{3AE5D5C9-C40E-450F-ABDA-7B04436D4FC7}"/>
            </a:ext>
          </a:extLst>
        </xdr:cNvPr>
        <xdr:cNvSpPr/>
      </xdr:nvSpPr>
      <xdr:spPr>
        <a:xfrm>
          <a:off x="6428202" y="4125937"/>
          <a:ext cx="17335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29308</xdr:colOff>
      <xdr:row>26</xdr:row>
      <xdr:rowOff>14655</xdr:rowOff>
    </xdr:from>
    <xdr:to>
      <xdr:col>28</xdr:col>
      <xdr:colOff>198853</xdr:colOff>
      <xdr:row>26</xdr:row>
      <xdr:rowOff>112742</xdr:rowOff>
    </xdr:to>
    <xdr:sp macro="" textlink="">
      <xdr:nvSpPr>
        <xdr:cNvPr id="135" name="正方形/長方形 134">
          <a:extLst>
            <a:ext uri="{FF2B5EF4-FFF2-40B4-BE49-F238E27FC236}">
              <a16:creationId xmlns:a16="http://schemas.microsoft.com/office/drawing/2014/main" id="{7C350596-8823-41A7-A5F3-808536AC270C}"/>
            </a:ext>
          </a:extLst>
        </xdr:cNvPr>
        <xdr:cNvSpPr/>
      </xdr:nvSpPr>
      <xdr:spPr>
        <a:xfrm>
          <a:off x="6430108" y="447235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xdr:col>
      <xdr:colOff>21981</xdr:colOff>
      <xdr:row>25</xdr:row>
      <xdr:rowOff>23885</xdr:rowOff>
    </xdr:from>
    <xdr:to>
      <xdr:col>21</xdr:col>
      <xdr:colOff>191526</xdr:colOff>
      <xdr:row>25</xdr:row>
      <xdr:rowOff>127688</xdr:rowOff>
    </xdr:to>
    <xdr:sp macro="" textlink="">
      <xdr:nvSpPr>
        <xdr:cNvPr id="136" name="正方形/長方形 135">
          <a:extLst>
            <a:ext uri="{FF2B5EF4-FFF2-40B4-BE49-F238E27FC236}">
              <a16:creationId xmlns:a16="http://schemas.microsoft.com/office/drawing/2014/main" id="{E73EE2D0-44BA-49E9-8D0F-DF9176796F73}"/>
            </a:ext>
          </a:extLst>
        </xdr:cNvPr>
        <xdr:cNvSpPr/>
      </xdr:nvSpPr>
      <xdr:spPr>
        <a:xfrm>
          <a:off x="4822581" y="431013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xdr:col>
      <xdr:colOff>14947</xdr:colOff>
      <xdr:row>32</xdr:row>
      <xdr:rowOff>16265</xdr:rowOff>
    </xdr:from>
    <xdr:to>
      <xdr:col>21</xdr:col>
      <xdr:colOff>192112</xdr:colOff>
      <xdr:row>32</xdr:row>
      <xdr:rowOff>120067</xdr:rowOff>
    </xdr:to>
    <xdr:sp macro="" textlink="">
      <xdr:nvSpPr>
        <xdr:cNvPr id="137" name="正方形/長方形 136">
          <a:extLst>
            <a:ext uri="{FF2B5EF4-FFF2-40B4-BE49-F238E27FC236}">
              <a16:creationId xmlns:a16="http://schemas.microsoft.com/office/drawing/2014/main" id="{A8432D59-FCC9-4B45-A2EF-ECC631BFF4FB}"/>
            </a:ext>
          </a:extLst>
        </xdr:cNvPr>
        <xdr:cNvSpPr/>
      </xdr:nvSpPr>
      <xdr:spPr>
        <a:xfrm>
          <a:off x="4815547" y="5502665"/>
          <a:ext cx="177165" cy="10380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27402</xdr:colOff>
      <xdr:row>32</xdr:row>
      <xdr:rowOff>11137</xdr:rowOff>
    </xdr:from>
    <xdr:to>
      <xdr:col>28</xdr:col>
      <xdr:colOff>200757</xdr:colOff>
      <xdr:row>32</xdr:row>
      <xdr:rowOff>105414</xdr:rowOff>
    </xdr:to>
    <xdr:sp macro="" textlink="">
      <xdr:nvSpPr>
        <xdr:cNvPr id="138" name="正方形/長方形 137">
          <a:extLst>
            <a:ext uri="{FF2B5EF4-FFF2-40B4-BE49-F238E27FC236}">
              <a16:creationId xmlns:a16="http://schemas.microsoft.com/office/drawing/2014/main" id="{8A7ECF5E-FDF4-4554-A5F0-17EE99A68210}"/>
            </a:ext>
          </a:extLst>
        </xdr:cNvPr>
        <xdr:cNvSpPr/>
      </xdr:nvSpPr>
      <xdr:spPr>
        <a:xfrm>
          <a:off x="6428202" y="5497537"/>
          <a:ext cx="17335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29308</xdr:colOff>
      <xdr:row>34</xdr:row>
      <xdr:rowOff>14655</xdr:rowOff>
    </xdr:from>
    <xdr:to>
      <xdr:col>28</xdr:col>
      <xdr:colOff>198853</xdr:colOff>
      <xdr:row>34</xdr:row>
      <xdr:rowOff>112742</xdr:rowOff>
    </xdr:to>
    <xdr:sp macro="" textlink="">
      <xdr:nvSpPr>
        <xdr:cNvPr id="139" name="正方形/長方形 138">
          <a:extLst>
            <a:ext uri="{FF2B5EF4-FFF2-40B4-BE49-F238E27FC236}">
              <a16:creationId xmlns:a16="http://schemas.microsoft.com/office/drawing/2014/main" id="{35CDED95-EBC5-45C2-B0A3-527B9FDFEDEB}"/>
            </a:ext>
          </a:extLst>
        </xdr:cNvPr>
        <xdr:cNvSpPr/>
      </xdr:nvSpPr>
      <xdr:spPr>
        <a:xfrm>
          <a:off x="6430108" y="584395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xdr:col>
      <xdr:colOff>21981</xdr:colOff>
      <xdr:row>33</xdr:row>
      <xdr:rowOff>23885</xdr:rowOff>
    </xdr:from>
    <xdr:to>
      <xdr:col>21</xdr:col>
      <xdr:colOff>191526</xdr:colOff>
      <xdr:row>33</xdr:row>
      <xdr:rowOff>127688</xdr:rowOff>
    </xdr:to>
    <xdr:sp macro="" textlink="">
      <xdr:nvSpPr>
        <xdr:cNvPr id="140" name="正方形/長方形 139">
          <a:extLst>
            <a:ext uri="{FF2B5EF4-FFF2-40B4-BE49-F238E27FC236}">
              <a16:creationId xmlns:a16="http://schemas.microsoft.com/office/drawing/2014/main" id="{F2B1379A-059A-470C-9599-55241AF6DF8D}"/>
            </a:ext>
          </a:extLst>
        </xdr:cNvPr>
        <xdr:cNvSpPr/>
      </xdr:nvSpPr>
      <xdr:spPr>
        <a:xfrm>
          <a:off x="4822581" y="568173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xdr:col>
      <xdr:colOff>14947</xdr:colOff>
      <xdr:row>44</xdr:row>
      <xdr:rowOff>16265</xdr:rowOff>
    </xdr:from>
    <xdr:to>
      <xdr:col>21</xdr:col>
      <xdr:colOff>192112</xdr:colOff>
      <xdr:row>44</xdr:row>
      <xdr:rowOff>120067</xdr:rowOff>
    </xdr:to>
    <xdr:sp macro="" textlink="">
      <xdr:nvSpPr>
        <xdr:cNvPr id="141" name="正方形/長方形 140">
          <a:extLst>
            <a:ext uri="{FF2B5EF4-FFF2-40B4-BE49-F238E27FC236}">
              <a16:creationId xmlns:a16="http://schemas.microsoft.com/office/drawing/2014/main" id="{D67728A1-CA90-4ACA-A833-8490FDDD8122}"/>
            </a:ext>
          </a:extLst>
        </xdr:cNvPr>
        <xdr:cNvSpPr/>
      </xdr:nvSpPr>
      <xdr:spPr>
        <a:xfrm>
          <a:off x="4815547" y="7560065"/>
          <a:ext cx="177165" cy="10380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27402</xdr:colOff>
      <xdr:row>44</xdr:row>
      <xdr:rowOff>11137</xdr:rowOff>
    </xdr:from>
    <xdr:to>
      <xdr:col>28</xdr:col>
      <xdr:colOff>200757</xdr:colOff>
      <xdr:row>44</xdr:row>
      <xdr:rowOff>105414</xdr:rowOff>
    </xdr:to>
    <xdr:sp macro="" textlink="">
      <xdr:nvSpPr>
        <xdr:cNvPr id="142" name="正方形/長方形 141">
          <a:extLst>
            <a:ext uri="{FF2B5EF4-FFF2-40B4-BE49-F238E27FC236}">
              <a16:creationId xmlns:a16="http://schemas.microsoft.com/office/drawing/2014/main" id="{2BB0A480-B6C0-419C-8425-DBD7667E385A}"/>
            </a:ext>
          </a:extLst>
        </xdr:cNvPr>
        <xdr:cNvSpPr/>
      </xdr:nvSpPr>
      <xdr:spPr>
        <a:xfrm>
          <a:off x="6428202" y="7554937"/>
          <a:ext cx="17335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29308</xdr:colOff>
      <xdr:row>46</xdr:row>
      <xdr:rowOff>14655</xdr:rowOff>
    </xdr:from>
    <xdr:to>
      <xdr:col>28</xdr:col>
      <xdr:colOff>198853</xdr:colOff>
      <xdr:row>46</xdr:row>
      <xdr:rowOff>112742</xdr:rowOff>
    </xdr:to>
    <xdr:sp macro="" textlink="">
      <xdr:nvSpPr>
        <xdr:cNvPr id="143" name="正方形/長方形 142">
          <a:extLst>
            <a:ext uri="{FF2B5EF4-FFF2-40B4-BE49-F238E27FC236}">
              <a16:creationId xmlns:a16="http://schemas.microsoft.com/office/drawing/2014/main" id="{C981AA5E-C659-4482-8F19-6B36B0B715EA}"/>
            </a:ext>
          </a:extLst>
        </xdr:cNvPr>
        <xdr:cNvSpPr/>
      </xdr:nvSpPr>
      <xdr:spPr>
        <a:xfrm>
          <a:off x="6430108" y="790135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xdr:col>
      <xdr:colOff>21981</xdr:colOff>
      <xdr:row>45</xdr:row>
      <xdr:rowOff>23885</xdr:rowOff>
    </xdr:from>
    <xdr:to>
      <xdr:col>21</xdr:col>
      <xdr:colOff>191526</xdr:colOff>
      <xdr:row>45</xdr:row>
      <xdr:rowOff>127688</xdr:rowOff>
    </xdr:to>
    <xdr:sp macro="" textlink="">
      <xdr:nvSpPr>
        <xdr:cNvPr id="144" name="正方形/長方形 143">
          <a:extLst>
            <a:ext uri="{FF2B5EF4-FFF2-40B4-BE49-F238E27FC236}">
              <a16:creationId xmlns:a16="http://schemas.microsoft.com/office/drawing/2014/main" id="{BFED31D4-8AD0-4F9C-8F78-935CF145A028}"/>
            </a:ext>
          </a:extLst>
        </xdr:cNvPr>
        <xdr:cNvSpPr/>
      </xdr:nvSpPr>
      <xdr:spPr>
        <a:xfrm>
          <a:off x="4822581" y="773913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200759</xdr:colOff>
      <xdr:row>17</xdr:row>
      <xdr:rowOff>71976</xdr:rowOff>
    </xdr:from>
    <xdr:to>
      <xdr:col>30</xdr:col>
      <xdr:colOff>7621</xdr:colOff>
      <xdr:row>34</xdr:row>
      <xdr:rowOff>65604</xdr:rowOff>
    </xdr:to>
    <xdr:cxnSp macro="">
      <xdr:nvCxnSpPr>
        <xdr:cNvPr id="145" name="直線コネクタ 31">
          <a:extLst>
            <a:ext uri="{FF2B5EF4-FFF2-40B4-BE49-F238E27FC236}">
              <a16:creationId xmlns:a16="http://schemas.microsoft.com/office/drawing/2014/main" id="{94D00F7B-2C9B-48C5-8864-4E89E8AD8472}"/>
            </a:ext>
          </a:extLst>
        </xdr:cNvPr>
        <xdr:cNvCxnSpPr>
          <a:stCxn id="124" idx="1"/>
          <a:endCxn id="139" idx="3"/>
        </xdr:cNvCxnSpPr>
      </xdr:nvCxnSpPr>
      <xdr:spPr>
        <a:xfrm rot="10800000" flipV="1">
          <a:off x="6601559" y="2986626"/>
          <a:ext cx="264062" cy="2908278"/>
        </a:xfrm>
        <a:prstGeom prst="bentConnector3">
          <a:avLst>
            <a:gd name="adj1" fmla="val 25708"/>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200757</xdr:colOff>
      <xdr:row>16</xdr:row>
      <xdr:rowOff>56370</xdr:rowOff>
    </xdr:from>
    <xdr:to>
      <xdr:col>30</xdr:col>
      <xdr:colOff>11137</xdr:colOff>
      <xdr:row>32</xdr:row>
      <xdr:rowOff>58275</xdr:rowOff>
    </xdr:to>
    <xdr:cxnSp macro="">
      <xdr:nvCxnSpPr>
        <xdr:cNvPr id="146" name="直線コネクタ 31">
          <a:extLst>
            <a:ext uri="{FF2B5EF4-FFF2-40B4-BE49-F238E27FC236}">
              <a16:creationId xmlns:a16="http://schemas.microsoft.com/office/drawing/2014/main" id="{0E1E9464-8F23-4E95-8D7B-3E2F98C48F96}"/>
            </a:ext>
          </a:extLst>
        </xdr:cNvPr>
        <xdr:cNvCxnSpPr>
          <a:stCxn id="121" idx="1"/>
          <a:endCxn id="138" idx="3"/>
        </xdr:cNvCxnSpPr>
      </xdr:nvCxnSpPr>
      <xdr:spPr>
        <a:xfrm rot="10800000" flipV="1">
          <a:off x="6601557" y="2799570"/>
          <a:ext cx="267580" cy="2745105"/>
        </a:xfrm>
        <a:prstGeom prst="bentConnector3">
          <a:avLst>
            <a:gd name="adj1" fmla="val 63280"/>
          </a:avLst>
        </a:prstGeom>
        <a:ln>
          <a:solidFill>
            <a:srgbClr val="FF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0</xdr:colOff>
      <xdr:row>24</xdr:row>
      <xdr:rowOff>57509</xdr:rowOff>
    </xdr:from>
    <xdr:to>
      <xdr:col>29</xdr:col>
      <xdr:colOff>77638</xdr:colOff>
      <xdr:row>24</xdr:row>
      <xdr:rowOff>58615</xdr:rowOff>
    </xdr:to>
    <xdr:cxnSp macro="">
      <xdr:nvCxnSpPr>
        <xdr:cNvPr id="147" name="直線コネクタ 146">
          <a:extLst>
            <a:ext uri="{FF2B5EF4-FFF2-40B4-BE49-F238E27FC236}">
              <a16:creationId xmlns:a16="http://schemas.microsoft.com/office/drawing/2014/main" id="{8748570A-DCC8-420C-889A-B76B2F7A3AB2}"/>
            </a:ext>
          </a:extLst>
        </xdr:cNvPr>
        <xdr:cNvCxnSpPr>
          <a:cxnSpLocks/>
        </xdr:cNvCxnSpPr>
      </xdr:nvCxnSpPr>
      <xdr:spPr>
        <a:xfrm flipV="1">
          <a:off x="6629400" y="4172309"/>
          <a:ext cx="77638" cy="1106"/>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201283</xdr:colOff>
      <xdr:row>18</xdr:row>
      <xdr:rowOff>61491</xdr:rowOff>
    </xdr:from>
    <xdr:to>
      <xdr:col>29</xdr:col>
      <xdr:colOff>149525</xdr:colOff>
      <xdr:row>18</xdr:row>
      <xdr:rowOff>63261</xdr:rowOff>
    </xdr:to>
    <xdr:cxnSp macro="">
      <xdr:nvCxnSpPr>
        <xdr:cNvPr id="148" name="直線コネクタ 147">
          <a:extLst>
            <a:ext uri="{FF2B5EF4-FFF2-40B4-BE49-F238E27FC236}">
              <a16:creationId xmlns:a16="http://schemas.microsoft.com/office/drawing/2014/main" id="{02B19BE8-B2AF-43E6-83A7-61BA46410E6B}"/>
            </a:ext>
          </a:extLst>
        </xdr:cNvPr>
        <xdr:cNvCxnSpPr>
          <a:cxnSpLocks/>
        </xdr:cNvCxnSpPr>
      </xdr:nvCxnSpPr>
      <xdr:spPr>
        <a:xfrm>
          <a:off x="6602083" y="3147591"/>
          <a:ext cx="176842" cy="177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204158</xdr:colOff>
      <xdr:row>26</xdr:row>
      <xdr:rowOff>71886</xdr:rowOff>
    </xdr:from>
    <xdr:to>
      <xdr:col>29</xdr:col>
      <xdr:colOff>152400</xdr:colOff>
      <xdr:row>26</xdr:row>
      <xdr:rowOff>73656</xdr:rowOff>
    </xdr:to>
    <xdr:cxnSp macro="">
      <xdr:nvCxnSpPr>
        <xdr:cNvPr id="149" name="直線コネクタ 148">
          <a:extLst>
            <a:ext uri="{FF2B5EF4-FFF2-40B4-BE49-F238E27FC236}">
              <a16:creationId xmlns:a16="http://schemas.microsoft.com/office/drawing/2014/main" id="{50FED15F-8C72-4E07-A977-503AA2CBB01F}"/>
            </a:ext>
          </a:extLst>
        </xdr:cNvPr>
        <xdr:cNvCxnSpPr>
          <a:cxnSpLocks/>
        </xdr:cNvCxnSpPr>
      </xdr:nvCxnSpPr>
      <xdr:spPr>
        <a:xfrm>
          <a:off x="6604958" y="4529586"/>
          <a:ext cx="176842" cy="177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198853</xdr:colOff>
      <xdr:row>45</xdr:row>
      <xdr:rowOff>72929</xdr:rowOff>
    </xdr:from>
    <xdr:to>
      <xdr:col>30</xdr:col>
      <xdr:colOff>5715</xdr:colOff>
      <xdr:row>46</xdr:row>
      <xdr:rowOff>63699</xdr:rowOff>
    </xdr:to>
    <xdr:cxnSp macro="">
      <xdr:nvCxnSpPr>
        <xdr:cNvPr id="150" name="直線コネクタ 31">
          <a:extLst>
            <a:ext uri="{FF2B5EF4-FFF2-40B4-BE49-F238E27FC236}">
              <a16:creationId xmlns:a16="http://schemas.microsoft.com/office/drawing/2014/main" id="{9E04889C-4BC4-4BE4-987E-58B65FC593D1}"/>
            </a:ext>
          </a:extLst>
        </xdr:cNvPr>
        <xdr:cNvCxnSpPr>
          <a:stCxn id="132" idx="1"/>
          <a:endCxn id="143" idx="3"/>
        </xdr:cNvCxnSpPr>
      </xdr:nvCxnSpPr>
      <xdr:spPr>
        <a:xfrm rot="10800000" flipV="1">
          <a:off x="6599653" y="7788179"/>
          <a:ext cx="264062" cy="162220"/>
        </a:xfrm>
        <a:prstGeom prst="bentConnector3">
          <a:avLst>
            <a:gd name="adj1" fmla="val 50000"/>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200757</xdr:colOff>
      <xdr:row>44</xdr:row>
      <xdr:rowOff>56371</xdr:rowOff>
    </xdr:from>
    <xdr:to>
      <xdr:col>30</xdr:col>
      <xdr:colOff>11137</xdr:colOff>
      <xdr:row>44</xdr:row>
      <xdr:rowOff>58276</xdr:rowOff>
    </xdr:to>
    <xdr:cxnSp macro="">
      <xdr:nvCxnSpPr>
        <xdr:cNvPr id="151" name="直線コネクタ 150">
          <a:extLst>
            <a:ext uri="{FF2B5EF4-FFF2-40B4-BE49-F238E27FC236}">
              <a16:creationId xmlns:a16="http://schemas.microsoft.com/office/drawing/2014/main" id="{C92462FC-8471-4356-AC7E-39F3AA11B9E3}"/>
            </a:ext>
          </a:extLst>
        </xdr:cNvPr>
        <xdr:cNvCxnSpPr>
          <a:cxnSpLocks/>
          <a:stCxn id="142" idx="3"/>
          <a:endCxn id="131" idx="1"/>
        </xdr:cNvCxnSpPr>
      </xdr:nvCxnSpPr>
      <xdr:spPr>
        <a:xfrm flipV="1">
          <a:off x="6601557" y="7600171"/>
          <a:ext cx="267580" cy="1905"/>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201051</xdr:colOff>
      <xdr:row>16</xdr:row>
      <xdr:rowOff>67508</xdr:rowOff>
    </xdr:from>
    <xdr:to>
      <xdr:col>21</xdr:col>
      <xdr:colOff>18757</xdr:colOff>
      <xdr:row>44</xdr:row>
      <xdr:rowOff>71024</xdr:rowOff>
    </xdr:to>
    <xdr:cxnSp macro="">
      <xdr:nvCxnSpPr>
        <xdr:cNvPr id="152" name="直線コネクタ 31">
          <a:extLst>
            <a:ext uri="{FF2B5EF4-FFF2-40B4-BE49-F238E27FC236}">
              <a16:creationId xmlns:a16="http://schemas.microsoft.com/office/drawing/2014/main" id="{7649AAE1-70E4-4BE2-95A6-9F5BC55D8282}"/>
            </a:ext>
          </a:extLst>
        </xdr:cNvPr>
        <xdr:cNvCxnSpPr>
          <a:stCxn id="119" idx="3"/>
          <a:endCxn id="141" idx="1"/>
        </xdr:cNvCxnSpPr>
      </xdr:nvCxnSpPr>
      <xdr:spPr>
        <a:xfrm>
          <a:off x="4544451" y="2810708"/>
          <a:ext cx="274906" cy="4804116"/>
        </a:xfrm>
        <a:prstGeom prst="bentConnector3">
          <a:avLst>
            <a:gd name="adj1" fmla="val 50000"/>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206766</xdr:colOff>
      <xdr:row>17</xdr:row>
      <xdr:rowOff>75494</xdr:rowOff>
    </xdr:from>
    <xdr:to>
      <xdr:col>21</xdr:col>
      <xdr:colOff>18171</xdr:colOff>
      <xdr:row>45</xdr:row>
      <xdr:rowOff>75787</xdr:rowOff>
    </xdr:to>
    <xdr:cxnSp macro="">
      <xdr:nvCxnSpPr>
        <xdr:cNvPr id="153" name="直線コネクタ 31">
          <a:extLst>
            <a:ext uri="{FF2B5EF4-FFF2-40B4-BE49-F238E27FC236}">
              <a16:creationId xmlns:a16="http://schemas.microsoft.com/office/drawing/2014/main" id="{A1D32C85-FE88-48D4-A88E-E6881F028CF5}"/>
            </a:ext>
          </a:extLst>
        </xdr:cNvPr>
        <xdr:cNvCxnSpPr>
          <a:cxnSpLocks/>
          <a:stCxn id="129" idx="3"/>
          <a:endCxn id="144" idx="1"/>
        </xdr:cNvCxnSpPr>
      </xdr:nvCxnSpPr>
      <xdr:spPr>
        <a:xfrm>
          <a:off x="4550166" y="2990144"/>
          <a:ext cx="268605" cy="4800893"/>
        </a:xfrm>
        <a:prstGeom prst="bentConnector3">
          <a:avLst>
            <a:gd name="adj1" fmla="val 22816"/>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297366</xdr:colOff>
      <xdr:row>25</xdr:row>
      <xdr:rowOff>74341</xdr:rowOff>
    </xdr:from>
    <xdr:to>
      <xdr:col>21</xdr:col>
      <xdr:colOff>16795</xdr:colOff>
      <xdr:row>25</xdr:row>
      <xdr:rowOff>75787</xdr:rowOff>
    </xdr:to>
    <xdr:cxnSp macro="">
      <xdr:nvCxnSpPr>
        <xdr:cNvPr id="154" name="直線コネクタ 153">
          <a:extLst>
            <a:ext uri="{FF2B5EF4-FFF2-40B4-BE49-F238E27FC236}">
              <a16:creationId xmlns:a16="http://schemas.microsoft.com/office/drawing/2014/main" id="{28B71CBB-5A66-4916-A912-ADFB7B319FE6}"/>
            </a:ext>
          </a:extLst>
        </xdr:cNvPr>
        <xdr:cNvCxnSpPr>
          <a:cxnSpLocks/>
        </xdr:cNvCxnSpPr>
      </xdr:nvCxnSpPr>
      <xdr:spPr>
        <a:xfrm>
          <a:off x="4574091" y="4360591"/>
          <a:ext cx="243304" cy="1446"/>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297366</xdr:colOff>
      <xdr:row>33</xdr:row>
      <xdr:rowOff>74341</xdr:rowOff>
    </xdr:from>
    <xdr:to>
      <xdr:col>21</xdr:col>
      <xdr:colOff>20605</xdr:colOff>
      <xdr:row>33</xdr:row>
      <xdr:rowOff>75787</xdr:rowOff>
    </xdr:to>
    <xdr:cxnSp macro="">
      <xdr:nvCxnSpPr>
        <xdr:cNvPr id="155" name="直線コネクタ 154">
          <a:extLst>
            <a:ext uri="{FF2B5EF4-FFF2-40B4-BE49-F238E27FC236}">
              <a16:creationId xmlns:a16="http://schemas.microsoft.com/office/drawing/2014/main" id="{9321BB73-5D5B-4F5A-A92D-AF2E92C0DBAF}"/>
            </a:ext>
          </a:extLst>
        </xdr:cNvPr>
        <xdr:cNvCxnSpPr>
          <a:cxnSpLocks/>
        </xdr:cNvCxnSpPr>
      </xdr:nvCxnSpPr>
      <xdr:spPr>
        <a:xfrm>
          <a:off x="4574091" y="5732191"/>
          <a:ext cx="247114" cy="1446"/>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51289</xdr:colOff>
      <xdr:row>24</xdr:row>
      <xdr:rowOff>73269</xdr:rowOff>
    </xdr:from>
    <xdr:to>
      <xdr:col>21</xdr:col>
      <xdr:colOff>19382</xdr:colOff>
      <xdr:row>24</xdr:row>
      <xdr:rowOff>75787</xdr:rowOff>
    </xdr:to>
    <xdr:cxnSp macro="">
      <xdr:nvCxnSpPr>
        <xdr:cNvPr id="156" name="直線コネクタ 155">
          <a:extLst>
            <a:ext uri="{FF2B5EF4-FFF2-40B4-BE49-F238E27FC236}">
              <a16:creationId xmlns:a16="http://schemas.microsoft.com/office/drawing/2014/main" id="{7DFB5B92-874E-455C-B39D-6AB3F545C1D1}"/>
            </a:ext>
          </a:extLst>
        </xdr:cNvPr>
        <xdr:cNvCxnSpPr>
          <a:cxnSpLocks/>
        </xdr:cNvCxnSpPr>
      </xdr:nvCxnSpPr>
      <xdr:spPr>
        <a:xfrm>
          <a:off x="4623289" y="4188069"/>
          <a:ext cx="196693" cy="2518"/>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60402</xdr:colOff>
      <xdr:row>32</xdr:row>
      <xdr:rowOff>74342</xdr:rowOff>
    </xdr:from>
    <xdr:to>
      <xdr:col>21</xdr:col>
      <xdr:colOff>17822</xdr:colOff>
      <xdr:row>32</xdr:row>
      <xdr:rowOff>75787</xdr:rowOff>
    </xdr:to>
    <xdr:cxnSp macro="">
      <xdr:nvCxnSpPr>
        <xdr:cNvPr id="157" name="直線コネクタ 156">
          <a:extLst>
            <a:ext uri="{FF2B5EF4-FFF2-40B4-BE49-F238E27FC236}">
              <a16:creationId xmlns:a16="http://schemas.microsoft.com/office/drawing/2014/main" id="{F9966ABB-40FD-4136-B0C9-969D0DA240CD}"/>
            </a:ext>
          </a:extLst>
        </xdr:cNvPr>
        <xdr:cNvCxnSpPr>
          <a:cxnSpLocks/>
        </xdr:cNvCxnSpPr>
      </xdr:nvCxnSpPr>
      <xdr:spPr>
        <a:xfrm>
          <a:off x="4632402" y="5560742"/>
          <a:ext cx="186020" cy="1445"/>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14654</xdr:colOff>
      <xdr:row>303</xdr:row>
      <xdr:rowOff>7327</xdr:rowOff>
    </xdr:from>
    <xdr:to>
      <xdr:col>22</xdr:col>
      <xdr:colOff>182294</xdr:colOff>
      <xdr:row>303</xdr:row>
      <xdr:rowOff>92079</xdr:rowOff>
    </xdr:to>
    <xdr:sp macro="" textlink="">
      <xdr:nvSpPr>
        <xdr:cNvPr id="158" name="正方形/長方形 157">
          <a:extLst>
            <a:ext uri="{FF2B5EF4-FFF2-40B4-BE49-F238E27FC236}">
              <a16:creationId xmlns:a16="http://schemas.microsoft.com/office/drawing/2014/main" id="{7628B884-BE96-4A25-8738-9E12D784F932}"/>
            </a:ext>
          </a:extLst>
        </xdr:cNvPr>
        <xdr:cNvSpPr/>
      </xdr:nvSpPr>
      <xdr:spPr>
        <a:xfrm>
          <a:off x="5043854" y="51956677"/>
          <a:ext cx="167640" cy="8475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18171</xdr:colOff>
      <xdr:row>295</xdr:row>
      <xdr:rowOff>25497</xdr:rowOff>
    </xdr:from>
    <xdr:to>
      <xdr:col>20</xdr:col>
      <xdr:colOff>208671</xdr:colOff>
      <xdr:row>296</xdr:row>
      <xdr:rowOff>1224</xdr:rowOff>
    </xdr:to>
    <xdr:sp macro="" textlink="">
      <xdr:nvSpPr>
        <xdr:cNvPr id="159" name="正方形/長方形 158">
          <a:extLst>
            <a:ext uri="{FF2B5EF4-FFF2-40B4-BE49-F238E27FC236}">
              <a16:creationId xmlns:a16="http://schemas.microsoft.com/office/drawing/2014/main" id="{A1F4B329-47B5-40D9-889C-9AE0556F3D28}"/>
            </a:ext>
          </a:extLst>
        </xdr:cNvPr>
        <xdr:cNvSpPr/>
      </xdr:nvSpPr>
      <xdr:spPr>
        <a:xfrm>
          <a:off x="4590171" y="50603247"/>
          <a:ext cx="190500" cy="14717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11138</xdr:colOff>
      <xdr:row>295</xdr:row>
      <xdr:rowOff>23653</xdr:rowOff>
    </xdr:from>
    <xdr:to>
      <xdr:col>22</xdr:col>
      <xdr:colOff>190208</xdr:colOff>
      <xdr:row>296</xdr:row>
      <xdr:rowOff>4141</xdr:rowOff>
    </xdr:to>
    <xdr:sp macro="" textlink="">
      <xdr:nvSpPr>
        <xdr:cNvPr id="160" name="正方形/長方形 159">
          <a:extLst>
            <a:ext uri="{FF2B5EF4-FFF2-40B4-BE49-F238E27FC236}">
              <a16:creationId xmlns:a16="http://schemas.microsoft.com/office/drawing/2014/main" id="{BE3375E4-E031-4E64-A4FE-9F6C0F933417}"/>
            </a:ext>
          </a:extLst>
        </xdr:cNvPr>
        <xdr:cNvSpPr/>
      </xdr:nvSpPr>
      <xdr:spPr>
        <a:xfrm>
          <a:off x="5040338" y="50601403"/>
          <a:ext cx="179070" cy="151938"/>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xdr:col>
      <xdr:colOff>3395</xdr:colOff>
      <xdr:row>295</xdr:row>
      <xdr:rowOff>78828</xdr:rowOff>
    </xdr:from>
    <xdr:to>
      <xdr:col>22</xdr:col>
      <xdr:colOff>13043</xdr:colOff>
      <xdr:row>295</xdr:row>
      <xdr:rowOff>80317</xdr:rowOff>
    </xdr:to>
    <xdr:cxnSp macro="">
      <xdr:nvCxnSpPr>
        <xdr:cNvPr id="161" name="直線コネクタ 160">
          <a:extLst>
            <a:ext uri="{FF2B5EF4-FFF2-40B4-BE49-F238E27FC236}">
              <a16:creationId xmlns:a16="http://schemas.microsoft.com/office/drawing/2014/main" id="{57A65B02-3656-4A5F-B2EC-6000BDB2EB8B}"/>
            </a:ext>
          </a:extLst>
        </xdr:cNvPr>
        <xdr:cNvCxnSpPr>
          <a:cxnSpLocks/>
          <a:stCxn id="159" idx="3"/>
          <a:endCxn id="160" idx="1"/>
        </xdr:cNvCxnSpPr>
      </xdr:nvCxnSpPr>
      <xdr:spPr>
        <a:xfrm>
          <a:off x="4803995" y="50656578"/>
          <a:ext cx="238248" cy="1489"/>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1</xdr:colOff>
      <xdr:row>295</xdr:row>
      <xdr:rowOff>77398</xdr:rowOff>
    </xdr:from>
    <xdr:to>
      <xdr:col>22</xdr:col>
      <xdr:colOff>18465</xdr:colOff>
      <xdr:row>303</xdr:row>
      <xdr:rowOff>52561</xdr:rowOff>
    </xdr:to>
    <xdr:cxnSp macro="">
      <xdr:nvCxnSpPr>
        <xdr:cNvPr id="162" name="直線コネクタ 31">
          <a:extLst>
            <a:ext uri="{FF2B5EF4-FFF2-40B4-BE49-F238E27FC236}">
              <a16:creationId xmlns:a16="http://schemas.microsoft.com/office/drawing/2014/main" id="{7F6AEED7-2902-4F05-A920-F9E98A902A8B}"/>
            </a:ext>
          </a:extLst>
        </xdr:cNvPr>
        <xdr:cNvCxnSpPr>
          <a:stCxn id="158" idx="1"/>
          <a:endCxn id="159" idx="3"/>
        </xdr:cNvCxnSpPr>
      </xdr:nvCxnSpPr>
      <xdr:spPr>
        <a:xfrm rot="10800000">
          <a:off x="4800601" y="50655148"/>
          <a:ext cx="247064" cy="1346763"/>
        </a:xfrm>
        <a:prstGeom prst="bentConnector3">
          <a:avLst>
            <a:gd name="adj1" fmla="val 65606"/>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206766</xdr:colOff>
      <xdr:row>321</xdr:row>
      <xdr:rowOff>76447</xdr:rowOff>
    </xdr:from>
    <xdr:to>
      <xdr:col>31</xdr:col>
      <xdr:colOff>12749</xdr:colOff>
      <xdr:row>322</xdr:row>
      <xdr:rowOff>62744</xdr:rowOff>
    </xdr:to>
    <xdr:cxnSp macro="">
      <xdr:nvCxnSpPr>
        <xdr:cNvPr id="163" name="直線コネクタ 31">
          <a:extLst>
            <a:ext uri="{FF2B5EF4-FFF2-40B4-BE49-F238E27FC236}">
              <a16:creationId xmlns:a16="http://schemas.microsoft.com/office/drawing/2014/main" id="{5CDC6441-B492-44BC-BD7C-710FAE2897B1}"/>
            </a:ext>
          </a:extLst>
        </xdr:cNvPr>
        <xdr:cNvCxnSpPr/>
      </xdr:nvCxnSpPr>
      <xdr:spPr>
        <a:xfrm rot="10800000" flipV="1">
          <a:off x="6836166" y="55111897"/>
          <a:ext cx="263183" cy="157747"/>
        </a:xfrm>
        <a:prstGeom prst="bentConnector3">
          <a:avLst>
            <a:gd name="adj1" fmla="val 50000"/>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21981</xdr:colOff>
      <xdr:row>321</xdr:row>
      <xdr:rowOff>36635</xdr:rowOff>
    </xdr:from>
    <xdr:to>
      <xdr:col>20</xdr:col>
      <xdr:colOff>204861</xdr:colOff>
      <xdr:row>321</xdr:row>
      <xdr:rowOff>124851</xdr:rowOff>
    </xdr:to>
    <xdr:sp macro="" textlink="">
      <xdr:nvSpPr>
        <xdr:cNvPr id="164" name="正方形/長方形 163">
          <a:extLst>
            <a:ext uri="{FF2B5EF4-FFF2-40B4-BE49-F238E27FC236}">
              <a16:creationId xmlns:a16="http://schemas.microsoft.com/office/drawing/2014/main" id="{415EB567-6DF9-4BBD-A820-7DEA3843DF6A}"/>
            </a:ext>
          </a:extLst>
        </xdr:cNvPr>
        <xdr:cNvSpPr/>
      </xdr:nvSpPr>
      <xdr:spPr>
        <a:xfrm>
          <a:off x="4593981" y="55072085"/>
          <a:ext cx="182880" cy="8821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14653</xdr:colOff>
      <xdr:row>321</xdr:row>
      <xdr:rowOff>36634</xdr:rowOff>
    </xdr:from>
    <xdr:to>
      <xdr:col>22</xdr:col>
      <xdr:colOff>197533</xdr:colOff>
      <xdr:row>321</xdr:row>
      <xdr:rowOff>124850</xdr:rowOff>
    </xdr:to>
    <xdr:sp macro="" textlink="">
      <xdr:nvSpPr>
        <xdr:cNvPr id="165" name="正方形/長方形 164">
          <a:extLst>
            <a:ext uri="{FF2B5EF4-FFF2-40B4-BE49-F238E27FC236}">
              <a16:creationId xmlns:a16="http://schemas.microsoft.com/office/drawing/2014/main" id="{7E595032-FC90-4F09-9A78-7644DD030F3F}"/>
            </a:ext>
          </a:extLst>
        </xdr:cNvPr>
        <xdr:cNvSpPr/>
      </xdr:nvSpPr>
      <xdr:spPr>
        <a:xfrm>
          <a:off x="5043853" y="55072084"/>
          <a:ext cx="182880" cy="8821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21980</xdr:colOff>
      <xdr:row>329</xdr:row>
      <xdr:rowOff>7327</xdr:rowOff>
    </xdr:from>
    <xdr:to>
      <xdr:col>22</xdr:col>
      <xdr:colOff>212480</xdr:colOff>
      <xdr:row>329</xdr:row>
      <xdr:rowOff>101258</xdr:rowOff>
    </xdr:to>
    <xdr:sp macro="" textlink="">
      <xdr:nvSpPr>
        <xdr:cNvPr id="166" name="正方形/長方形 165">
          <a:extLst>
            <a:ext uri="{FF2B5EF4-FFF2-40B4-BE49-F238E27FC236}">
              <a16:creationId xmlns:a16="http://schemas.microsoft.com/office/drawing/2014/main" id="{989B2BAD-7125-42C5-B429-57E7BAEB7D5C}"/>
            </a:ext>
          </a:extLst>
        </xdr:cNvPr>
        <xdr:cNvSpPr/>
      </xdr:nvSpPr>
      <xdr:spPr>
        <a:xfrm>
          <a:off x="5051180" y="56414377"/>
          <a:ext cx="190500" cy="93931"/>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208672</xdr:colOff>
      <xdr:row>321</xdr:row>
      <xdr:rowOff>81697</xdr:rowOff>
    </xdr:from>
    <xdr:to>
      <xdr:col>22</xdr:col>
      <xdr:colOff>18171</xdr:colOff>
      <xdr:row>329</xdr:row>
      <xdr:rowOff>53341</xdr:rowOff>
    </xdr:to>
    <xdr:cxnSp macro="">
      <xdr:nvCxnSpPr>
        <xdr:cNvPr id="167" name="直線コネクタ 31">
          <a:extLst>
            <a:ext uri="{FF2B5EF4-FFF2-40B4-BE49-F238E27FC236}">
              <a16:creationId xmlns:a16="http://schemas.microsoft.com/office/drawing/2014/main" id="{6DBB1BC4-31D3-44A4-9FEC-7B3407D620ED}"/>
            </a:ext>
          </a:extLst>
        </xdr:cNvPr>
        <xdr:cNvCxnSpPr>
          <a:stCxn id="166" idx="1"/>
          <a:endCxn id="164" idx="3"/>
        </xdr:cNvCxnSpPr>
      </xdr:nvCxnSpPr>
      <xdr:spPr>
        <a:xfrm rot="10800000">
          <a:off x="4780672" y="55117147"/>
          <a:ext cx="266699" cy="1343244"/>
        </a:xfrm>
        <a:prstGeom prst="bentConnector3">
          <a:avLst>
            <a:gd name="adj1" fmla="val 65625"/>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853</xdr:colOff>
      <xdr:row>321</xdr:row>
      <xdr:rowOff>81695</xdr:rowOff>
    </xdr:from>
    <xdr:to>
      <xdr:col>22</xdr:col>
      <xdr:colOff>18463</xdr:colOff>
      <xdr:row>321</xdr:row>
      <xdr:rowOff>81696</xdr:rowOff>
    </xdr:to>
    <xdr:cxnSp macro="">
      <xdr:nvCxnSpPr>
        <xdr:cNvPr id="168" name="直線コネクタ 167">
          <a:extLst>
            <a:ext uri="{FF2B5EF4-FFF2-40B4-BE49-F238E27FC236}">
              <a16:creationId xmlns:a16="http://schemas.microsoft.com/office/drawing/2014/main" id="{9EBB10D5-C166-410D-A544-EC90679B6963}"/>
            </a:ext>
          </a:extLst>
        </xdr:cNvPr>
        <xdr:cNvCxnSpPr>
          <a:cxnSpLocks/>
          <a:stCxn id="164" idx="3"/>
          <a:endCxn id="165" idx="1"/>
        </xdr:cNvCxnSpPr>
      </xdr:nvCxnSpPr>
      <xdr:spPr>
        <a:xfrm flipV="1">
          <a:off x="4801453" y="55117145"/>
          <a:ext cx="246210" cy="1"/>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201051</xdr:colOff>
      <xdr:row>62</xdr:row>
      <xdr:rowOff>67508</xdr:rowOff>
    </xdr:from>
    <xdr:to>
      <xdr:col>21</xdr:col>
      <xdr:colOff>18757</xdr:colOff>
      <xdr:row>88</xdr:row>
      <xdr:rowOff>71024</xdr:rowOff>
    </xdr:to>
    <xdr:cxnSp macro="">
      <xdr:nvCxnSpPr>
        <xdr:cNvPr id="169" name="直線コネクタ 31">
          <a:extLst>
            <a:ext uri="{FF2B5EF4-FFF2-40B4-BE49-F238E27FC236}">
              <a16:creationId xmlns:a16="http://schemas.microsoft.com/office/drawing/2014/main" id="{BEADA184-B5B4-4ACC-B8E2-AD783AE02E31}"/>
            </a:ext>
          </a:extLst>
        </xdr:cNvPr>
        <xdr:cNvCxnSpPr>
          <a:cxnSpLocks/>
          <a:stCxn id="172" idx="3"/>
          <a:endCxn id="190" idx="1"/>
        </xdr:cNvCxnSpPr>
      </xdr:nvCxnSpPr>
      <xdr:spPr>
        <a:xfrm>
          <a:off x="4544451" y="10697408"/>
          <a:ext cx="274906" cy="4461216"/>
        </a:xfrm>
        <a:prstGeom prst="bentConnector3">
          <a:avLst>
            <a:gd name="adj1" fmla="val 55522"/>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206766</xdr:colOff>
      <xdr:row>63</xdr:row>
      <xdr:rowOff>75494</xdr:rowOff>
    </xdr:from>
    <xdr:to>
      <xdr:col>21</xdr:col>
      <xdr:colOff>18171</xdr:colOff>
      <xdr:row>89</xdr:row>
      <xdr:rowOff>75787</xdr:rowOff>
    </xdr:to>
    <xdr:cxnSp macro="">
      <xdr:nvCxnSpPr>
        <xdr:cNvPr id="170" name="直線コネクタ 31">
          <a:extLst>
            <a:ext uri="{FF2B5EF4-FFF2-40B4-BE49-F238E27FC236}">
              <a16:creationId xmlns:a16="http://schemas.microsoft.com/office/drawing/2014/main" id="{BF9FA24E-6781-4D26-B749-DD0A1796FB5A}"/>
            </a:ext>
          </a:extLst>
        </xdr:cNvPr>
        <xdr:cNvCxnSpPr>
          <a:cxnSpLocks/>
          <a:stCxn id="181" idx="3"/>
          <a:endCxn id="193" idx="1"/>
        </xdr:cNvCxnSpPr>
      </xdr:nvCxnSpPr>
      <xdr:spPr>
        <a:xfrm>
          <a:off x="4550166" y="10876844"/>
          <a:ext cx="268605" cy="4457993"/>
        </a:xfrm>
        <a:prstGeom prst="bentConnector3">
          <a:avLst>
            <a:gd name="adj1" fmla="val 30931"/>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66604</xdr:colOff>
      <xdr:row>60</xdr:row>
      <xdr:rowOff>59202</xdr:rowOff>
    </xdr:from>
    <xdr:to>
      <xdr:col>12</xdr:col>
      <xdr:colOff>1</xdr:colOff>
      <xdr:row>101</xdr:row>
      <xdr:rowOff>81182</xdr:rowOff>
    </xdr:to>
    <xdr:cxnSp macro="">
      <xdr:nvCxnSpPr>
        <xdr:cNvPr id="171" name="直線コネクタ 31">
          <a:extLst>
            <a:ext uri="{FF2B5EF4-FFF2-40B4-BE49-F238E27FC236}">
              <a16:creationId xmlns:a16="http://schemas.microsoft.com/office/drawing/2014/main" id="{3230BCB3-63DF-4B1A-94CB-9B7FBC27E789}"/>
            </a:ext>
          </a:extLst>
        </xdr:cNvPr>
        <xdr:cNvCxnSpPr>
          <a:cxnSpLocks/>
          <a:stCxn id="203" idx="2"/>
          <a:endCxn id="115" idx="1"/>
        </xdr:cNvCxnSpPr>
      </xdr:nvCxnSpPr>
      <xdr:spPr>
        <a:xfrm rot="16200000" flipH="1">
          <a:off x="-863512" y="13790918"/>
          <a:ext cx="7051430" cy="161997"/>
        </a:xfrm>
        <a:prstGeom prst="bentConnector2">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21981</xdr:colOff>
      <xdr:row>62</xdr:row>
      <xdr:rowOff>14654</xdr:rowOff>
    </xdr:from>
    <xdr:to>
      <xdr:col>19</xdr:col>
      <xdr:colOff>199146</xdr:colOff>
      <xdr:row>62</xdr:row>
      <xdr:rowOff>116551</xdr:rowOff>
    </xdr:to>
    <xdr:sp macro="" textlink="">
      <xdr:nvSpPr>
        <xdr:cNvPr id="172" name="正方形/長方形 171">
          <a:extLst>
            <a:ext uri="{FF2B5EF4-FFF2-40B4-BE49-F238E27FC236}">
              <a16:creationId xmlns:a16="http://schemas.microsoft.com/office/drawing/2014/main" id="{31042ED2-16C6-4C5C-908C-03B8B200B941}"/>
            </a:ext>
          </a:extLst>
        </xdr:cNvPr>
        <xdr:cNvSpPr/>
      </xdr:nvSpPr>
      <xdr:spPr>
        <a:xfrm>
          <a:off x="4365381" y="10644554"/>
          <a:ext cx="17716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xdr:col>
      <xdr:colOff>22567</xdr:colOff>
      <xdr:row>62</xdr:row>
      <xdr:rowOff>12102</xdr:rowOff>
    </xdr:from>
    <xdr:to>
      <xdr:col>21</xdr:col>
      <xdr:colOff>192112</xdr:colOff>
      <xdr:row>62</xdr:row>
      <xdr:rowOff>119714</xdr:rowOff>
    </xdr:to>
    <xdr:sp macro="" textlink="">
      <xdr:nvSpPr>
        <xdr:cNvPr id="173" name="正方形/長方形 172">
          <a:extLst>
            <a:ext uri="{FF2B5EF4-FFF2-40B4-BE49-F238E27FC236}">
              <a16:creationId xmlns:a16="http://schemas.microsoft.com/office/drawing/2014/main" id="{7F008A14-71DB-48FF-A52B-D7719B7E1246}"/>
            </a:ext>
          </a:extLst>
        </xdr:cNvPr>
        <xdr:cNvSpPr/>
      </xdr:nvSpPr>
      <xdr:spPr>
        <a:xfrm>
          <a:off x="4823167" y="10642002"/>
          <a:ext cx="169545" cy="10761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30</xdr:col>
      <xdr:colOff>11137</xdr:colOff>
      <xdr:row>62</xdr:row>
      <xdr:rowOff>9232</xdr:rowOff>
    </xdr:from>
    <xdr:to>
      <xdr:col>30</xdr:col>
      <xdr:colOff>174967</xdr:colOff>
      <xdr:row>62</xdr:row>
      <xdr:rowOff>103509</xdr:rowOff>
    </xdr:to>
    <xdr:sp macro="" textlink="">
      <xdr:nvSpPr>
        <xdr:cNvPr id="174" name="正方形/長方形 173">
          <a:extLst>
            <a:ext uri="{FF2B5EF4-FFF2-40B4-BE49-F238E27FC236}">
              <a16:creationId xmlns:a16="http://schemas.microsoft.com/office/drawing/2014/main" id="{AFEB2884-08E3-4ACC-9A14-8FC48B86464B}"/>
            </a:ext>
          </a:extLst>
        </xdr:cNvPr>
        <xdr:cNvSpPr/>
      </xdr:nvSpPr>
      <xdr:spPr>
        <a:xfrm>
          <a:off x="6869137" y="10639132"/>
          <a:ext cx="163830"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27402</xdr:colOff>
      <xdr:row>62</xdr:row>
      <xdr:rowOff>11137</xdr:rowOff>
    </xdr:from>
    <xdr:to>
      <xdr:col>28</xdr:col>
      <xdr:colOff>200757</xdr:colOff>
      <xdr:row>62</xdr:row>
      <xdr:rowOff>105414</xdr:rowOff>
    </xdr:to>
    <xdr:sp macro="" textlink="">
      <xdr:nvSpPr>
        <xdr:cNvPr id="175" name="正方形/長方形 174">
          <a:extLst>
            <a:ext uri="{FF2B5EF4-FFF2-40B4-BE49-F238E27FC236}">
              <a16:creationId xmlns:a16="http://schemas.microsoft.com/office/drawing/2014/main" id="{BC283B7C-9B43-4AB4-B3FC-A1CC755427CC}"/>
            </a:ext>
          </a:extLst>
        </xdr:cNvPr>
        <xdr:cNvSpPr/>
      </xdr:nvSpPr>
      <xdr:spPr>
        <a:xfrm>
          <a:off x="6428202" y="10641037"/>
          <a:ext cx="17335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29308</xdr:colOff>
      <xdr:row>64</xdr:row>
      <xdr:rowOff>14655</xdr:rowOff>
    </xdr:from>
    <xdr:to>
      <xdr:col>28</xdr:col>
      <xdr:colOff>198853</xdr:colOff>
      <xdr:row>64</xdr:row>
      <xdr:rowOff>112742</xdr:rowOff>
    </xdr:to>
    <xdr:sp macro="" textlink="">
      <xdr:nvSpPr>
        <xdr:cNvPr id="176" name="正方形/長方形 175">
          <a:extLst>
            <a:ext uri="{FF2B5EF4-FFF2-40B4-BE49-F238E27FC236}">
              <a16:creationId xmlns:a16="http://schemas.microsoft.com/office/drawing/2014/main" id="{879EE4E2-3F1A-4042-B17A-5F3B2348C595}"/>
            </a:ext>
          </a:extLst>
        </xdr:cNvPr>
        <xdr:cNvSpPr/>
      </xdr:nvSpPr>
      <xdr:spPr>
        <a:xfrm>
          <a:off x="6430108" y="1098745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30</xdr:col>
      <xdr:colOff>5715</xdr:colOff>
      <xdr:row>63</xdr:row>
      <xdr:rowOff>21980</xdr:rowOff>
    </xdr:from>
    <xdr:to>
      <xdr:col>30</xdr:col>
      <xdr:colOff>163830</xdr:colOff>
      <xdr:row>63</xdr:row>
      <xdr:rowOff>123877</xdr:rowOff>
    </xdr:to>
    <xdr:sp macro="" textlink="">
      <xdr:nvSpPr>
        <xdr:cNvPr id="177" name="正方形/長方形 176">
          <a:extLst>
            <a:ext uri="{FF2B5EF4-FFF2-40B4-BE49-F238E27FC236}">
              <a16:creationId xmlns:a16="http://schemas.microsoft.com/office/drawing/2014/main" id="{74D37355-38DA-4BAC-A1F9-606A1DA3B345}"/>
            </a:ext>
          </a:extLst>
        </xdr:cNvPr>
        <xdr:cNvSpPr/>
      </xdr:nvSpPr>
      <xdr:spPr>
        <a:xfrm>
          <a:off x="6863715" y="10823330"/>
          <a:ext cx="158115" cy="10189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202662</xdr:colOff>
      <xdr:row>62</xdr:row>
      <xdr:rowOff>56371</xdr:rowOff>
    </xdr:from>
    <xdr:to>
      <xdr:col>30</xdr:col>
      <xdr:colOff>13042</xdr:colOff>
      <xdr:row>62</xdr:row>
      <xdr:rowOff>58276</xdr:rowOff>
    </xdr:to>
    <xdr:cxnSp macro="">
      <xdr:nvCxnSpPr>
        <xdr:cNvPr id="178" name="直線コネクタ 177">
          <a:extLst>
            <a:ext uri="{FF2B5EF4-FFF2-40B4-BE49-F238E27FC236}">
              <a16:creationId xmlns:a16="http://schemas.microsoft.com/office/drawing/2014/main" id="{58ECCE3D-9595-4C14-A4AF-FD7DC17FB09F}"/>
            </a:ext>
          </a:extLst>
        </xdr:cNvPr>
        <xdr:cNvCxnSpPr>
          <a:stCxn id="174" idx="1"/>
          <a:endCxn id="175" idx="3"/>
        </xdr:cNvCxnSpPr>
      </xdr:nvCxnSpPr>
      <xdr:spPr>
        <a:xfrm flipH="1">
          <a:off x="6603462" y="10686271"/>
          <a:ext cx="267580" cy="1905"/>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18463</xdr:colOff>
      <xdr:row>62</xdr:row>
      <xdr:rowOff>22861</xdr:rowOff>
    </xdr:from>
    <xdr:to>
      <xdr:col>12</xdr:col>
      <xdr:colOff>191818</xdr:colOff>
      <xdr:row>62</xdr:row>
      <xdr:rowOff>111423</xdr:rowOff>
    </xdr:to>
    <xdr:sp macro="" textlink="">
      <xdr:nvSpPr>
        <xdr:cNvPr id="179" name="正方形/長方形 178">
          <a:extLst>
            <a:ext uri="{FF2B5EF4-FFF2-40B4-BE49-F238E27FC236}">
              <a16:creationId xmlns:a16="http://schemas.microsoft.com/office/drawing/2014/main" id="{598EC559-0744-4A27-91EF-A939044A1085}"/>
            </a:ext>
          </a:extLst>
        </xdr:cNvPr>
        <xdr:cNvSpPr/>
      </xdr:nvSpPr>
      <xdr:spPr>
        <a:xfrm>
          <a:off x="2761663" y="10652761"/>
          <a:ext cx="173355" cy="8856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xdr:col>
      <xdr:colOff>21981</xdr:colOff>
      <xdr:row>63</xdr:row>
      <xdr:rowOff>23885</xdr:rowOff>
    </xdr:from>
    <xdr:to>
      <xdr:col>21</xdr:col>
      <xdr:colOff>191526</xdr:colOff>
      <xdr:row>63</xdr:row>
      <xdr:rowOff>127688</xdr:rowOff>
    </xdr:to>
    <xdr:sp macro="" textlink="">
      <xdr:nvSpPr>
        <xdr:cNvPr id="180" name="正方形/長方形 179">
          <a:extLst>
            <a:ext uri="{FF2B5EF4-FFF2-40B4-BE49-F238E27FC236}">
              <a16:creationId xmlns:a16="http://schemas.microsoft.com/office/drawing/2014/main" id="{DC4713FD-864C-41E1-99A9-AD376C4650EC}"/>
            </a:ext>
          </a:extLst>
        </xdr:cNvPr>
        <xdr:cNvSpPr/>
      </xdr:nvSpPr>
      <xdr:spPr>
        <a:xfrm>
          <a:off x="4822581" y="1082523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21981</xdr:colOff>
      <xdr:row>63</xdr:row>
      <xdr:rowOff>29308</xdr:rowOff>
    </xdr:from>
    <xdr:to>
      <xdr:col>19</xdr:col>
      <xdr:colOff>210576</xdr:colOff>
      <xdr:row>63</xdr:row>
      <xdr:rowOff>121680</xdr:rowOff>
    </xdr:to>
    <xdr:sp macro="" textlink="">
      <xdr:nvSpPr>
        <xdr:cNvPr id="181" name="正方形/長方形 180">
          <a:extLst>
            <a:ext uri="{FF2B5EF4-FFF2-40B4-BE49-F238E27FC236}">
              <a16:creationId xmlns:a16="http://schemas.microsoft.com/office/drawing/2014/main" id="{9FFE5454-2037-41B6-A94D-27ADE505546F}"/>
            </a:ext>
          </a:extLst>
        </xdr:cNvPr>
        <xdr:cNvSpPr/>
      </xdr:nvSpPr>
      <xdr:spPr>
        <a:xfrm>
          <a:off x="4365381" y="10830658"/>
          <a:ext cx="188595" cy="9237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xdr:col>
      <xdr:colOff>14947</xdr:colOff>
      <xdr:row>70</xdr:row>
      <xdr:rowOff>16265</xdr:rowOff>
    </xdr:from>
    <xdr:to>
      <xdr:col>21</xdr:col>
      <xdr:colOff>192112</xdr:colOff>
      <xdr:row>70</xdr:row>
      <xdr:rowOff>120067</xdr:rowOff>
    </xdr:to>
    <xdr:sp macro="" textlink="">
      <xdr:nvSpPr>
        <xdr:cNvPr id="182" name="正方形/長方形 181">
          <a:extLst>
            <a:ext uri="{FF2B5EF4-FFF2-40B4-BE49-F238E27FC236}">
              <a16:creationId xmlns:a16="http://schemas.microsoft.com/office/drawing/2014/main" id="{EB7021BE-51FC-43C9-97C7-14B6ABDA3FF0}"/>
            </a:ext>
          </a:extLst>
        </xdr:cNvPr>
        <xdr:cNvSpPr/>
      </xdr:nvSpPr>
      <xdr:spPr>
        <a:xfrm>
          <a:off x="4815547" y="12017765"/>
          <a:ext cx="177165" cy="10380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27402</xdr:colOff>
      <xdr:row>70</xdr:row>
      <xdr:rowOff>11137</xdr:rowOff>
    </xdr:from>
    <xdr:to>
      <xdr:col>28</xdr:col>
      <xdr:colOff>200757</xdr:colOff>
      <xdr:row>70</xdr:row>
      <xdr:rowOff>105414</xdr:rowOff>
    </xdr:to>
    <xdr:sp macro="" textlink="">
      <xdr:nvSpPr>
        <xdr:cNvPr id="183" name="正方形/長方形 182">
          <a:extLst>
            <a:ext uri="{FF2B5EF4-FFF2-40B4-BE49-F238E27FC236}">
              <a16:creationId xmlns:a16="http://schemas.microsoft.com/office/drawing/2014/main" id="{4977FA05-3358-4B2B-9C72-7B3F658336C6}"/>
            </a:ext>
          </a:extLst>
        </xdr:cNvPr>
        <xdr:cNvSpPr/>
      </xdr:nvSpPr>
      <xdr:spPr>
        <a:xfrm>
          <a:off x="6428202" y="12012637"/>
          <a:ext cx="17335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29308</xdr:colOff>
      <xdr:row>72</xdr:row>
      <xdr:rowOff>14655</xdr:rowOff>
    </xdr:from>
    <xdr:to>
      <xdr:col>28</xdr:col>
      <xdr:colOff>198853</xdr:colOff>
      <xdr:row>72</xdr:row>
      <xdr:rowOff>112742</xdr:rowOff>
    </xdr:to>
    <xdr:sp macro="" textlink="">
      <xdr:nvSpPr>
        <xdr:cNvPr id="184" name="正方形/長方形 183">
          <a:extLst>
            <a:ext uri="{FF2B5EF4-FFF2-40B4-BE49-F238E27FC236}">
              <a16:creationId xmlns:a16="http://schemas.microsoft.com/office/drawing/2014/main" id="{286820A2-4ECF-41BA-BCE5-DCE12A9FC808}"/>
            </a:ext>
          </a:extLst>
        </xdr:cNvPr>
        <xdr:cNvSpPr/>
      </xdr:nvSpPr>
      <xdr:spPr>
        <a:xfrm>
          <a:off x="6430108" y="1235905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xdr:col>
      <xdr:colOff>21981</xdr:colOff>
      <xdr:row>71</xdr:row>
      <xdr:rowOff>23885</xdr:rowOff>
    </xdr:from>
    <xdr:to>
      <xdr:col>21</xdr:col>
      <xdr:colOff>191526</xdr:colOff>
      <xdr:row>71</xdr:row>
      <xdr:rowOff>127688</xdr:rowOff>
    </xdr:to>
    <xdr:sp macro="" textlink="">
      <xdr:nvSpPr>
        <xdr:cNvPr id="185" name="正方形/長方形 184">
          <a:extLst>
            <a:ext uri="{FF2B5EF4-FFF2-40B4-BE49-F238E27FC236}">
              <a16:creationId xmlns:a16="http://schemas.microsoft.com/office/drawing/2014/main" id="{B6A7FCEF-DAB1-48EB-B65B-980A419591E3}"/>
            </a:ext>
          </a:extLst>
        </xdr:cNvPr>
        <xdr:cNvSpPr/>
      </xdr:nvSpPr>
      <xdr:spPr>
        <a:xfrm>
          <a:off x="4822581" y="1219683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xdr:col>
      <xdr:colOff>14947</xdr:colOff>
      <xdr:row>78</xdr:row>
      <xdr:rowOff>16265</xdr:rowOff>
    </xdr:from>
    <xdr:to>
      <xdr:col>21</xdr:col>
      <xdr:colOff>192112</xdr:colOff>
      <xdr:row>78</xdr:row>
      <xdr:rowOff>120067</xdr:rowOff>
    </xdr:to>
    <xdr:sp macro="" textlink="">
      <xdr:nvSpPr>
        <xdr:cNvPr id="186" name="正方形/長方形 185">
          <a:extLst>
            <a:ext uri="{FF2B5EF4-FFF2-40B4-BE49-F238E27FC236}">
              <a16:creationId xmlns:a16="http://schemas.microsoft.com/office/drawing/2014/main" id="{8D8B5CCB-4577-4B51-9ACC-EC4487304CC0}"/>
            </a:ext>
          </a:extLst>
        </xdr:cNvPr>
        <xdr:cNvSpPr/>
      </xdr:nvSpPr>
      <xdr:spPr>
        <a:xfrm>
          <a:off x="4815547" y="13389365"/>
          <a:ext cx="177165" cy="10380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27402</xdr:colOff>
      <xdr:row>78</xdr:row>
      <xdr:rowOff>11137</xdr:rowOff>
    </xdr:from>
    <xdr:to>
      <xdr:col>28</xdr:col>
      <xdr:colOff>200757</xdr:colOff>
      <xdr:row>78</xdr:row>
      <xdr:rowOff>105414</xdr:rowOff>
    </xdr:to>
    <xdr:sp macro="" textlink="">
      <xdr:nvSpPr>
        <xdr:cNvPr id="187" name="正方形/長方形 186">
          <a:extLst>
            <a:ext uri="{FF2B5EF4-FFF2-40B4-BE49-F238E27FC236}">
              <a16:creationId xmlns:a16="http://schemas.microsoft.com/office/drawing/2014/main" id="{F983E2BF-2049-46B2-9160-EF50881D0F9F}"/>
            </a:ext>
          </a:extLst>
        </xdr:cNvPr>
        <xdr:cNvSpPr/>
      </xdr:nvSpPr>
      <xdr:spPr>
        <a:xfrm>
          <a:off x="6428202" y="13384237"/>
          <a:ext cx="17335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29308</xdr:colOff>
      <xdr:row>80</xdr:row>
      <xdr:rowOff>14655</xdr:rowOff>
    </xdr:from>
    <xdr:to>
      <xdr:col>28</xdr:col>
      <xdr:colOff>198853</xdr:colOff>
      <xdr:row>80</xdr:row>
      <xdr:rowOff>112742</xdr:rowOff>
    </xdr:to>
    <xdr:sp macro="" textlink="">
      <xdr:nvSpPr>
        <xdr:cNvPr id="188" name="正方形/長方形 187">
          <a:extLst>
            <a:ext uri="{FF2B5EF4-FFF2-40B4-BE49-F238E27FC236}">
              <a16:creationId xmlns:a16="http://schemas.microsoft.com/office/drawing/2014/main" id="{6F5F6A56-6410-4573-A66E-B2321519D524}"/>
            </a:ext>
          </a:extLst>
        </xdr:cNvPr>
        <xdr:cNvSpPr/>
      </xdr:nvSpPr>
      <xdr:spPr>
        <a:xfrm>
          <a:off x="6430108" y="1373065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xdr:col>
      <xdr:colOff>21981</xdr:colOff>
      <xdr:row>79</xdr:row>
      <xdr:rowOff>23885</xdr:rowOff>
    </xdr:from>
    <xdr:to>
      <xdr:col>21</xdr:col>
      <xdr:colOff>191526</xdr:colOff>
      <xdr:row>79</xdr:row>
      <xdr:rowOff>127688</xdr:rowOff>
    </xdr:to>
    <xdr:sp macro="" textlink="">
      <xdr:nvSpPr>
        <xdr:cNvPr id="189" name="正方形/長方形 188">
          <a:extLst>
            <a:ext uri="{FF2B5EF4-FFF2-40B4-BE49-F238E27FC236}">
              <a16:creationId xmlns:a16="http://schemas.microsoft.com/office/drawing/2014/main" id="{C262688B-8836-4F9B-AF64-8B8444673956}"/>
            </a:ext>
          </a:extLst>
        </xdr:cNvPr>
        <xdr:cNvSpPr/>
      </xdr:nvSpPr>
      <xdr:spPr>
        <a:xfrm>
          <a:off x="4822581" y="1356843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xdr:col>
      <xdr:colOff>14947</xdr:colOff>
      <xdr:row>88</xdr:row>
      <xdr:rowOff>16265</xdr:rowOff>
    </xdr:from>
    <xdr:to>
      <xdr:col>21</xdr:col>
      <xdr:colOff>192112</xdr:colOff>
      <xdr:row>88</xdr:row>
      <xdr:rowOff>120067</xdr:rowOff>
    </xdr:to>
    <xdr:sp macro="" textlink="">
      <xdr:nvSpPr>
        <xdr:cNvPr id="190" name="正方形/長方形 189">
          <a:extLst>
            <a:ext uri="{FF2B5EF4-FFF2-40B4-BE49-F238E27FC236}">
              <a16:creationId xmlns:a16="http://schemas.microsoft.com/office/drawing/2014/main" id="{0FC63FB8-C859-4DC4-8656-084D79487773}"/>
            </a:ext>
          </a:extLst>
        </xdr:cNvPr>
        <xdr:cNvSpPr/>
      </xdr:nvSpPr>
      <xdr:spPr>
        <a:xfrm>
          <a:off x="4815547" y="15103865"/>
          <a:ext cx="177165" cy="10380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27402</xdr:colOff>
      <xdr:row>88</xdr:row>
      <xdr:rowOff>11137</xdr:rowOff>
    </xdr:from>
    <xdr:to>
      <xdr:col>28</xdr:col>
      <xdr:colOff>200757</xdr:colOff>
      <xdr:row>88</xdr:row>
      <xdr:rowOff>105414</xdr:rowOff>
    </xdr:to>
    <xdr:sp macro="" textlink="">
      <xdr:nvSpPr>
        <xdr:cNvPr id="191" name="正方形/長方形 190">
          <a:extLst>
            <a:ext uri="{FF2B5EF4-FFF2-40B4-BE49-F238E27FC236}">
              <a16:creationId xmlns:a16="http://schemas.microsoft.com/office/drawing/2014/main" id="{AF8E69F1-D824-4CB2-9EDE-2C12EDF8096B}"/>
            </a:ext>
          </a:extLst>
        </xdr:cNvPr>
        <xdr:cNvSpPr/>
      </xdr:nvSpPr>
      <xdr:spPr>
        <a:xfrm>
          <a:off x="6428202" y="15098737"/>
          <a:ext cx="17335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29308</xdr:colOff>
      <xdr:row>90</xdr:row>
      <xdr:rowOff>14655</xdr:rowOff>
    </xdr:from>
    <xdr:to>
      <xdr:col>28</xdr:col>
      <xdr:colOff>198853</xdr:colOff>
      <xdr:row>90</xdr:row>
      <xdr:rowOff>112742</xdr:rowOff>
    </xdr:to>
    <xdr:sp macro="" textlink="">
      <xdr:nvSpPr>
        <xdr:cNvPr id="192" name="正方形/長方形 191">
          <a:extLst>
            <a:ext uri="{FF2B5EF4-FFF2-40B4-BE49-F238E27FC236}">
              <a16:creationId xmlns:a16="http://schemas.microsoft.com/office/drawing/2014/main" id="{1227C285-146F-4C98-BF81-AA71D0F73641}"/>
            </a:ext>
          </a:extLst>
        </xdr:cNvPr>
        <xdr:cNvSpPr/>
      </xdr:nvSpPr>
      <xdr:spPr>
        <a:xfrm>
          <a:off x="6430108" y="1544515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xdr:col>
      <xdr:colOff>21981</xdr:colOff>
      <xdr:row>89</xdr:row>
      <xdr:rowOff>23885</xdr:rowOff>
    </xdr:from>
    <xdr:to>
      <xdr:col>21</xdr:col>
      <xdr:colOff>191526</xdr:colOff>
      <xdr:row>89</xdr:row>
      <xdr:rowOff>127688</xdr:rowOff>
    </xdr:to>
    <xdr:sp macro="" textlink="">
      <xdr:nvSpPr>
        <xdr:cNvPr id="193" name="正方形/長方形 192">
          <a:extLst>
            <a:ext uri="{FF2B5EF4-FFF2-40B4-BE49-F238E27FC236}">
              <a16:creationId xmlns:a16="http://schemas.microsoft.com/office/drawing/2014/main" id="{5C2220F5-AAD3-4D0B-A597-562C6228F05B}"/>
            </a:ext>
          </a:extLst>
        </xdr:cNvPr>
        <xdr:cNvSpPr/>
      </xdr:nvSpPr>
      <xdr:spPr>
        <a:xfrm>
          <a:off x="4822581" y="1528293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200759</xdr:colOff>
      <xdr:row>63</xdr:row>
      <xdr:rowOff>71976</xdr:rowOff>
    </xdr:from>
    <xdr:to>
      <xdr:col>30</xdr:col>
      <xdr:colOff>7621</xdr:colOff>
      <xdr:row>80</xdr:row>
      <xdr:rowOff>65604</xdr:rowOff>
    </xdr:to>
    <xdr:cxnSp macro="">
      <xdr:nvCxnSpPr>
        <xdr:cNvPr id="194" name="直線コネクタ 31">
          <a:extLst>
            <a:ext uri="{FF2B5EF4-FFF2-40B4-BE49-F238E27FC236}">
              <a16:creationId xmlns:a16="http://schemas.microsoft.com/office/drawing/2014/main" id="{ECDCC5B9-A21B-4788-AE2E-8FB123B9E47D}"/>
            </a:ext>
          </a:extLst>
        </xdr:cNvPr>
        <xdr:cNvCxnSpPr>
          <a:stCxn id="177" idx="1"/>
          <a:endCxn id="188" idx="3"/>
        </xdr:cNvCxnSpPr>
      </xdr:nvCxnSpPr>
      <xdr:spPr>
        <a:xfrm rot="10800000" flipV="1">
          <a:off x="6601559" y="10873326"/>
          <a:ext cx="264062" cy="2908278"/>
        </a:xfrm>
        <a:prstGeom prst="bentConnector3">
          <a:avLst>
            <a:gd name="adj1" fmla="val 25708"/>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200757</xdr:colOff>
      <xdr:row>62</xdr:row>
      <xdr:rowOff>56370</xdr:rowOff>
    </xdr:from>
    <xdr:to>
      <xdr:col>30</xdr:col>
      <xdr:colOff>11137</xdr:colOff>
      <xdr:row>78</xdr:row>
      <xdr:rowOff>58275</xdr:rowOff>
    </xdr:to>
    <xdr:cxnSp macro="">
      <xdr:nvCxnSpPr>
        <xdr:cNvPr id="195" name="直線コネクタ 31">
          <a:extLst>
            <a:ext uri="{FF2B5EF4-FFF2-40B4-BE49-F238E27FC236}">
              <a16:creationId xmlns:a16="http://schemas.microsoft.com/office/drawing/2014/main" id="{19C710AB-FFD2-4668-833D-E4984DC04D5A}"/>
            </a:ext>
          </a:extLst>
        </xdr:cNvPr>
        <xdr:cNvCxnSpPr>
          <a:stCxn id="174" idx="1"/>
          <a:endCxn id="187" idx="3"/>
        </xdr:cNvCxnSpPr>
      </xdr:nvCxnSpPr>
      <xdr:spPr>
        <a:xfrm rot="10800000" flipV="1">
          <a:off x="6601557" y="10686270"/>
          <a:ext cx="267580" cy="2745105"/>
        </a:xfrm>
        <a:prstGeom prst="bentConnector3">
          <a:avLst>
            <a:gd name="adj1" fmla="val 63280"/>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0</xdr:colOff>
      <xdr:row>70</xdr:row>
      <xdr:rowOff>57509</xdr:rowOff>
    </xdr:from>
    <xdr:to>
      <xdr:col>29</xdr:col>
      <xdr:colOff>77638</xdr:colOff>
      <xdr:row>70</xdr:row>
      <xdr:rowOff>58615</xdr:rowOff>
    </xdr:to>
    <xdr:cxnSp macro="">
      <xdr:nvCxnSpPr>
        <xdr:cNvPr id="196" name="直線コネクタ 195">
          <a:extLst>
            <a:ext uri="{FF2B5EF4-FFF2-40B4-BE49-F238E27FC236}">
              <a16:creationId xmlns:a16="http://schemas.microsoft.com/office/drawing/2014/main" id="{57311E76-78BD-4849-94B7-13E37453D5D0}"/>
            </a:ext>
          </a:extLst>
        </xdr:cNvPr>
        <xdr:cNvCxnSpPr>
          <a:cxnSpLocks/>
        </xdr:cNvCxnSpPr>
      </xdr:nvCxnSpPr>
      <xdr:spPr>
        <a:xfrm flipV="1">
          <a:off x="6629400" y="12059009"/>
          <a:ext cx="77638" cy="1106"/>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201283</xdr:colOff>
      <xdr:row>64</xdr:row>
      <xdr:rowOff>61491</xdr:rowOff>
    </xdr:from>
    <xdr:to>
      <xdr:col>29</xdr:col>
      <xdr:colOff>149525</xdr:colOff>
      <xdr:row>64</xdr:row>
      <xdr:rowOff>63261</xdr:rowOff>
    </xdr:to>
    <xdr:cxnSp macro="">
      <xdr:nvCxnSpPr>
        <xdr:cNvPr id="197" name="直線コネクタ 196">
          <a:extLst>
            <a:ext uri="{FF2B5EF4-FFF2-40B4-BE49-F238E27FC236}">
              <a16:creationId xmlns:a16="http://schemas.microsoft.com/office/drawing/2014/main" id="{264B3A4E-5A9F-4C9E-B7BA-420C4A555DF8}"/>
            </a:ext>
          </a:extLst>
        </xdr:cNvPr>
        <xdr:cNvCxnSpPr>
          <a:cxnSpLocks/>
        </xdr:cNvCxnSpPr>
      </xdr:nvCxnSpPr>
      <xdr:spPr>
        <a:xfrm>
          <a:off x="6602083" y="11034291"/>
          <a:ext cx="176842" cy="177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200758</xdr:colOff>
      <xdr:row>72</xdr:row>
      <xdr:rowOff>65604</xdr:rowOff>
    </xdr:from>
    <xdr:to>
      <xdr:col>29</xdr:col>
      <xdr:colOff>154557</xdr:colOff>
      <xdr:row>72</xdr:row>
      <xdr:rowOff>68293</xdr:rowOff>
    </xdr:to>
    <xdr:cxnSp macro="">
      <xdr:nvCxnSpPr>
        <xdr:cNvPr id="198" name="直線コネクタ 197">
          <a:extLst>
            <a:ext uri="{FF2B5EF4-FFF2-40B4-BE49-F238E27FC236}">
              <a16:creationId xmlns:a16="http://schemas.microsoft.com/office/drawing/2014/main" id="{1A0651AD-FC39-4B9A-A920-5081887ABB51}"/>
            </a:ext>
          </a:extLst>
        </xdr:cNvPr>
        <xdr:cNvCxnSpPr>
          <a:cxnSpLocks/>
          <a:stCxn id="184" idx="3"/>
        </xdr:cNvCxnSpPr>
      </xdr:nvCxnSpPr>
      <xdr:spPr>
        <a:xfrm>
          <a:off x="6601558" y="12410004"/>
          <a:ext cx="182399" cy="2689"/>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311305</xdr:colOff>
      <xdr:row>71</xdr:row>
      <xdr:rowOff>74341</xdr:rowOff>
    </xdr:from>
    <xdr:to>
      <xdr:col>21</xdr:col>
      <xdr:colOff>21645</xdr:colOff>
      <xdr:row>71</xdr:row>
      <xdr:rowOff>75787</xdr:rowOff>
    </xdr:to>
    <xdr:cxnSp macro="">
      <xdr:nvCxnSpPr>
        <xdr:cNvPr id="199" name="直線コネクタ 198">
          <a:extLst>
            <a:ext uri="{FF2B5EF4-FFF2-40B4-BE49-F238E27FC236}">
              <a16:creationId xmlns:a16="http://schemas.microsoft.com/office/drawing/2014/main" id="{1BA82398-94C3-4B0A-A87E-F2F70A13E12C}"/>
            </a:ext>
          </a:extLst>
        </xdr:cNvPr>
        <xdr:cNvCxnSpPr>
          <a:cxnSpLocks/>
        </xdr:cNvCxnSpPr>
      </xdr:nvCxnSpPr>
      <xdr:spPr>
        <a:xfrm>
          <a:off x="4568980" y="12247291"/>
          <a:ext cx="253265" cy="1446"/>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315952</xdr:colOff>
      <xdr:row>79</xdr:row>
      <xdr:rowOff>75787</xdr:rowOff>
    </xdr:from>
    <xdr:to>
      <xdr:col>21</xdr:col>
      <xdr:colOff>25222</xdr:colOff>
      <xdr:row>79</xdr:row>
      <xdr:rowOff>78988</xdr:rowOff>
    </xdr:to>
    <xdr:cxnSp macro="">
      <xdr:nvCxnSpPr>
        <xdr:cNvPr id="200" name="直線コネクタ 199">
          <a:extLst>
            <a:ext uri="{FF2B5EF4-FFF2-40B4-BE49-F238E27FC236}">
              <a16:creationId xmlns:a16="http://schemas.microsoft.com/office/drawing/2014/main" id="{384D6D12-CA7D-40FA-9B2E-A545898080B3}"/>
            </a:ext>
          </a:extLst>
        </xdr:cNvPr>
        <xdr:cNvCxnSpPr>
          <a:cxnSpLocks/>
        </xdr:cNvCxnSpPr>
      </xdr:nvCxnSpPr>
      <xdr:spPr>
        <a:xfrm flipV="1">
          <a:off x="4573627" y="13620337"/>
          <a:ext cx="252195" cy="3201"/>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60402</xdr:colOff>
      <xdr:row>70</xdr:row>
      <xdr:rowOff>74341</xdr:rowOff>
    </xdr:from>
    <xdr:to>
      <xdr:col>21</xdr:col>
      <xdr:colOff>35837</xdr:colOff>
      <xdr:row>70</xdr:row>
      <xdr:rowOff>75787</xdr:rowOff>
    </xdr:to>
    <xdr:cxnSp macro="">
      <xdr:nvCxnSpPr>
        <xdr:cNvPr id="201" name="直線コネクタ 200">
          <a:extLst>
            <a:ext uri="{FF2B5EF4-FFF2-40B4-BE49-F238E27FC236}">
              <a16:creationId xmlns:a16="http://schemas.microsoft.com/office/drawing/2014/main" id="{5F17529D-80A7-42CA-8359-97EF895AC80B}"/>
            </a:ext>
          </a:extLst>
        </xdr:cNvPr>
        <xdr:cNvCxnSpPr>
          <a:cxnSpLocks/>
        </xdr:cNvCxnSpPr>
      </xdr:nvCxnSpPr>
      <xdr:spPr>
        <a:xfrm>
          <a:off x="4632402" y="12075841"/>
          <a:ext cx="204035" cy="1446"/>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69695</xdr:colOff>
      <xdr:row>78</xdr:row>
      <xdr:rowOff>75787</xdr:rowOff>
    </xdr:from>
    <xdr:to>
      <xdr:col>21</xdr:col>
      <xdr:colOff>35837</xdr:colOff>
      <xdr:row>78</xdr:row>
      <xdr:rowOff>78988</xdr:rowOff>
    </xdr:to>
    <xdr:cxnSp macro="">
      <xdr:nvCxnSpPr>
        <xdr:cNvPr id="202" name="直線コネクタ 201">
          <a:extLst>
            <a:ext uri="{FF2B5EF4-FFF2-40B4-BE49-F238E27FC236}">
              <a16:creationId xmlns:a16="http://schemas.microsoft.com/office/drawing/2014/main" id="{D2524449-2BA1-4539-A965-C56552AD6A36}"/>
            </a:ext>
          </a:extLst>
        </xdr:cNvPr>
        <xdr:cNvCxnSpPr>
          <a:cxnSpLocks/>
        </xdr:cNvCxnSpPr>
      </xdr:nvCxnSpPr>
      <xdr:spPr>
        <a:xfrm flipV="1">
          <a:off x="4641695" y="13448887"/>
          <a:ext cx="194742" cy="3201"/>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153865</xdr:colOff>
      <xdr:row>58</xdr:row>
      <xdr:rowOff>65943</xdr:rowOff>
    </xdr:from>
    <xdr:to>
      <xdr:col>11</xdr:col>
      <xdr:colOff>191821</xdr:colOff>
      <xdr:row>60</xdr:row>
      <xdr:rowOff>55393</xdr:rowOff>
    </xdr:to>
    <xdr:sp macro="" textlink="">
      <xdr:nvSpPr>
        <xdr:cNvPr id="203" name="フローチャート: 他ページ結合子 202">
          <a:extLst>
            <a:ext uri="{FF2B5EF4-FFF2-40B4-BE49-F238E27FC236}">
              <a16:creationId xmlns:a16="http://schemas.microsoft.com/office/drawing/2014/main" id="{3C5C2A3D-BA0B-44AB-9064-BEDAF60AF933}"/>
            </a:ext>
          </a:extLst>
        </xdr:cNvPr>
        <xdr:cNvSpPr/>
      </xdr:nvSpPr>
      <xdr:spPr>
        <a:xfrm>
          <a:off x="2439865" y="10010043"/>
          <a:ext cx="266556" cy="332350"/>
        </a:xfrm>
        <a:prstGeom prst="flowChartOffpageConnector">
          <a:avLst/>
        </a:prstGeom>
        <a:solidFill>
          <a:sysClr val="window" lastClr="FFFFFF"/>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b="1">
              <a:solidFill>
                <a:sysClr val="windowText" lastClr="000000"/>
              </a:solidFill>
            </a:rPr>
            <a:t>①</a:t>
          </a:r>
        </a:p>
      </xdr:txBody>
    </xdr:sp>
    <xdr:clientData/>
  </xdr:twoCellAnchor>
  <xdr:twoCellAnchor>
    <xdr:from>
      <xdr:col>11</xdr:col>
      <xdr:colOff>64943</xdr:colOff>
      <xdr:row>62</xdr:row>
      <xdr:rowOff>64943</xdr:rowOff>
    </xdr:from>
    <xdr:to>
      <xdr:col>11</xdr:col>
      <xdr:colOff>197944</xdr:colOff>
      <xdr:row>62</xdr:row>
      <xdr:rowOff>67368</xdr:rowOff>
    </xdr:to>
    <xdr:cxnSp macro="">
      <xdr:nvCxnSpPr>
        <xdr:cNvPr id="204" name="直線コネクタ 203">
          <a:extLst>
            <a:ext uri="{FF2B5EF4-FFF2-40B4-BE49-F238E27FC236}">
              <a16:creationId xmlns:a16="http://schemas.microsoft.com/office/drawing/2014/main" id="{B3045953-E769-4F02-BCE5-AD9236D55326}"/>
            </a:ext>
          </a:extLst>
        </xdr:cNvPr>
        <xdr:cNvCxnSpPr>
          <a:cxnSpLocks/>
        </xdr:cNvCxnSpPr>
      </xdr:nvCxnSpPr>
      <xdr:spPr>
        <a:xfrm>
          <a:off x="2579543" y="10694843"/>
          <a:ext cx="133001" cy="2425"/>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201051</xdr:colOff>
      <xdr:row>62</xdr:row>
      <xdr:rowOff>67508</xdr:rowOff>
    </xdr:from>
    <xdr:to>
      <xdr:col>21</xdr:col>
      <xdr:colOff>18757</xdr:colOff>
      <xdr:row>62</xdr:row>
      <xdr:rowOff>68766</xdr:rowOff>
    </xdr:to>
    <xdr:cxnSp macro="">
      <xdr:nvCxnSpPr>
        <xdr:cNvPr id="205" name="直線コネクタ 204">
          <a:extLst>
            <a:ext uri="{FF2B5EF4-FFF2-40B4-BE49-F238E27FC236}">
              <a16:creationId xmlns:a16="http://schemas.microsoft.com/office/drawing/2014/main" id="{86DD1982-CD9C-47C9-BD8D-CEF2B1F48C6A}"/>
            </a:ext>
          </a:extLst>
        </xdr:cNvPr>
        <xdr:cNvCxnSpPr>
          <a:cxnSpLocks/>
          <a:stCxn id="172" idx="3"/>
          <a:endCxn id="173" idx="1"/>
        </xdr:cNvCxnSpPr>
      </xdr:nvCxnSpPr>
      <xdr:spPr>
        <a:xfrm>
          <a:off x="4544451" y="10697408"/>
          <a:ext cx="274906" cy="1258"/>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206766</xdr:colOff>
      <xdr:row>63</xdr:row>
      <xdr:rowOff>75494</xdr:rowOff>
    </xdr:from>
    <xdr:to>
      <xdr:col>21</xdr:col>
      <xdr:colOff>18171</xdr:colOff>
      <xdr:row>63</xdr:row>
      <xdr:rowOff>75787</xdr:rowOff>
    </xdr:to>
    <xdr:cxnSp macro="">
      <xdr:nvCxnSpPr>
        <xdr:cNvPr id="206" name="直線コネクタ 205">
          <a:extLst>
            <a:ext uri="{FF2B5EF4-FFF2-40B4-BE49-F238E27FC236}">
              <a16:creationId xmlns:a16="http://schemas.microsoft.com/office/drawing/2014/main" id="{B9A2153C-1491-47EE-894A-DABFEC7A1863}"/>
            </a:ext>
          </a:extLst>
        </xdr:cNvPr>
        <xdr:cNvCxnSpPr>
          <a:cxnSpLocks/>
          <a:stCxn id="181" idx="3"/>
          <a:endCxn id="180" idx="1"/>
        </xdr:cNvCxnSpPr>
      </xdr:nvCxnSpPr>
      <xdr:spPr>
        <a:xfrm>
          <a:off x="4550166" y="10876844"/>
          <a:ext cx="268605" cy="293"/>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172311</xdr:colOff>
      <xdr:row>37</xdr:row>
      <xdr:rowOff>113488</xdr:rowOff>
    </xdr:from>
    <xdr:to>
      <xdr:col>29</xdr:col>
      <xdr:colOff>134464</xdr:colOff>
      <xdr:row>39</xdr:row>
      <xdr:rowOff>69999</xdr:rowOff>
    </xdr:to>
    <xdr:sp macro="" textlink="">
      <xdr:nvSpPr>
        <xdr:cNvPr id="207" name="フローチャート: 他ページ結合子 206">
          <a:extLst>
            <a:ext uri="{FF2B5EF4-FFF2-40B4-BE49-F238E27FC236}">
              <a16:creationId xmlns:a16="http://schemas.microsoft.com/office/drawing/2014/main" id="{4E531122-7C47-41EA-9D54-E780D03BA781}"/>
            </a:ext>
          </a:extLst>
        </xdr:cNvPr>
        <xdr:cNvSpPr/>
      </xdr:nvSpPr>
      <xdr:spPr>
        <a:xfrm>
          <a:off x="6573111" y="6457138"/>
          <a:ext cx="190753" cy="299411"/>
        </a:xfrm>
        <a:prstGeom prst="flowChartOffpageConnector">
          <a:avLst/>
        </a:prstGeom>
        <a:solidFill>
          <a:sysClr val="window" lastClr="FFFFFF"/>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b="1">
              <a:solidFill>
                <a:sysClr val="windowText" lastClr="000000"/>
              </a:solidFill>
            </a:rPr>
            <a:t>③</a:t>
          </a:r>
        </a:p>
      </xdr:txBody>
    </xdr:sp>
    <xdr:clientData/>
  </xdr:twoCellAnchor>
  <xdr:twoCellAnchor>
    <xdr:from>
      <xdr:col>29</xdr:col>
      <xdr:colOff>95574</xdr:colOff>
      <xdr:row>40</xdr:row>
      <xdr:rowOff>8106</xdr:rowOff>
    </xdr:from>
    <xdr:to>
      <xdr:col>30</xdr:col>
      <xdr:colOff>37849</xdr:colOff>
      <xdr:row>41</xdr:row>
      <xdr:rowOff>88831</xdr:rowOff>
    </xdr:to>
    <xdr:sp macro="" textlink="">
      <xdr:nvSpPr>
        <xdr:cNvPr id="208" name="フローチャート: 他ページ結合子 207">
          <a:extLst>
            <a:ext uri="{FF2B5EF4-FFF2-40B4-BE49-F238E27FC236}">
              <a16:creationId xmlns:a16="http://schemas.microsoft.com/office/drawing/2014/main" id="{62E00405-478F-45E0-8C67-90048225BE0D}"/>
            </a:ext>
          </a:extLst>
        </xdr:cNvPr>
        <xdr:cNvSpPr/>
      </xdr:nvSpPr>
      <xdr:spPr>
        <a:xfrm>
          <a:off x="6724974" y="6866106"/>
          <a:ext cx="170875" cy="252175"/>
        </a:xfrm>
        <a:prstGeom prst="flowChartOffpageConnector">
          <a:avLst/>
        </a:prstGeom>
        <a:solidFill>
          <a:sysClr val="window" lastClr="FFFFFF"/>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b="1">
              <a:solidFill>
                <a:sysClr val="windowText" lastClr="000000"/>
              </a:solidFill>
            </a:rPr>
            <a:t>②</a:t>
          </a:r>
        </a:p>
      </xdr:txBody>
    </xdr:sp>
    <xdr:clientData/>
  </xdr:twoCellAnchor>
  <xdr:twoCellAnchor>
    <xdr:from>
      <xdr:col>29</xdr:col>
      <xdr:colOff>172096</xdr:colOff>
      <xdr:row>41</xdr:row>
      <xdr:rowOff>88831</xdr:rowOff>
    </xdr:from>
    <xdr:to>
      <xdr:col>30</xdr:col>
      <xdr:colOff>13043</xdr:colOff>
      <xdr:row>44</xdr:row>
      <xdr:rowOff>56371</xdr:rowOff>
    </xdr:to>
    <xdr:cxnSp macro="">
      <xdr:nvCxnSpPr>
        <xdr:cNvPr id="209" name="直線コネクタ 31">
          <a:extLst>
            <a:ext uri="{FF2B5EF4-FFF2-40B4-BE49-F238E27FC236}">
              <a16:creationId xmlns:a16="http://schemas.microsoft.com/office/drawing/2014/main" id="{D0CD2AA6-5E61-43BA-BC2E-D7BC8D48FFE6}"/>
            </a:ext>
          </a:extLst>
        </xdr:cNvPr>
        <xdr:cNvCxnSpPr>
          <a:stCxn id="131" idx="1"/>
          <a:endCxn id="208" idx="2"/>
        </xdr:cNvCxnSpPr>
      </xdr:nvCxnSpPr>
      <xdr:spPr>
        <a:xfrm rot="10800000">
          <a:off x="6801496" y="7118281"/>
          <a:ext cx="69547" cy="481890"/>
        </a:xfrm>
        <a:prstGeom prst="bentConnector2">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48006</xdr:colOff>
      <xdr:row>39</xdr:row>
      <xdr:rowOff>70000</xdr:rowOff>
    </xdr:from>
    <xdr:to>
      <xdr:col>30</xdr:col>
      <xdr:colOff>7621</xdr:colOff>
      <xdr:row>45</xdr:row>
      <xdr:rowOff>71977</xdr:rowOff>
    </xdr:to>
    <xdr:cxnSp macro="">
      <xdr:nvCxnSpPr>
        <xdr:cNvPr id="210" name="直線コネクタ 31">
          <a:extLst>
            <a:ext uri="{FF2B5EF4-FFF2-40B4-BE49-F238E27FC236}">
              <a16:creationId xmlns:a16="http://schemas.microsoft.com/office/drawing/2014/main" id="{6BCDD908-79DB-46CE-877C-70E261E5D380}"/>
            </a:ext>
          </a:extLst>
        </xdr:cNvPr>
        <xdr:cNvCxnSpPr>
          <a:stCxn id="132" idx="1"/>
          <a:endCxn id="207" idx="2"/>
        </xdr:cNvCxnSpPr>
      </xdr:nvCxnSpPr>
      <xdr:spPr>
        <a:xfrm rot="10800000">
          <a:off x="6677406" y="6756550"/>
          <a:ext cx="188215" cy="1030677"/>
        </a:xfrm>
        <a:prstGeom prst="bentConnector2">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168519</xdr:colOff>
      <xdr:row>51</xdr:row>
      <xdr:rowOff>36634</xdr:rowOff>
    </xdr:from>
    <xdr:to>
      <xdr:col>11</xdr:col>
      <xdr:colOff>202665</xdr:colOff>
      <xdr:row>53</xdr:row>
      <xdr:rowOff>57297</xdr:rowOff>
    </xdr:to>
    <xdr:sp macro="" textlink="">
      <xdr:nvSpPr>
        <xdr:cNvPr id="211" name="フローチャート: 他ページ結合子 210">
          <a:extLst>
            <a:ext uri="{FF2B5EF4-FFF2-40B4-BE49-F238E27FC236}">
              <a16:creationId xmlns:a16="http://schemas.microsoft.com/office/drawing/2014/main" id="{F3945AEC-2761-4A9D-A3E7-F963A6E3A4F2}"/>
            </a:ext>
          </a:extLst>
        </xdr:cNvPr>
        <xdr:cNvSpPr/>
      </xdr:nvSpPr>
      <xdr:spPr>
        <a:xfrm>
          <a:off x="2454519" y="8780584"/>
          <a:ext cx="262746" cy="363563"/>
        </a:xfrm>
        <a:prstGeom prst="flowChartOffpageConnector">
          <a:avLst/>
        </a:prstGeom>
        <a:solidFill>
          <a:sysClr val="window" lastClr="FFFFFF"/>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b="1">
              <a:solidFill>
                <a:sysClr val="windowText" lastClr="000000"/>
              </a:solidFill>
            </a:rPr>
            <a:t>①</a:t>
          </a:r>
        </a:p>
      </xdr:txBody>
    </xdr:sp>
    <xdr:clientData/>
  </xdr:twoCellAnchor>
  <xdr:twoCellAnchor>
    <xdr:from>
      <xdr:col>31</xdr:col>
      <xdr:colOff>205154</xdr:colOff>
      <xdr:row>93</xdr:row>
      <xdr:rowOff>109904</xdr:rowOff>
    </xdr:from>
    <xdr:to>
      <xdr:col>32</xdr:col>
      <xdr:colOff>163496</xdr:colOff>
      <xdr:row>95</xdr:row>
      <xdr:rowOff>66415</xdr:rowOff>
    </xdr:to>
    <xdr:sp macro="" textlink="">
      <xdr:nvSpPr>
        <xdr:cNvPr id="212" name="フローチャート: 他ページ結合子 211">
          <a:extLst>
            <a:ext uri="{FF2B5EF4-FFF2-40B4-BE49-F238E27FC236}">
              <a16:creationId xmlns:a16="http://schemas.microsoft.com/office/drawing/2014/main" id="{1D7E9865-73C1-4111-9E0B-AB6226A1F9A9}"/>
            </a:ext>
          </a:extLst>
        </xdr:cNvPr>
        <xdr:cNvSpPr/>
      </xdr:nvSpPr>
      <xdr:spPr>
        <a:xfrm>
          <a:off x="7291754" y="16054754"/>
          <a:ext cx="186942" cy="299411"/>
        </a:xfrm>
        <a:prstGeom prst="flowChartOffpageConnector">
          <a:avLst/>
        </a:prstGeom>
        <a:solidFill>
          <a:sysClr val="window" lastClr="FFFFFF"/>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b="1">
              <a:solidFill>
                <a:sysClr val="windowText" lastClr="000000"/>
              </a:solidFill>
            </a:rPr>
            <a:t>②</a:t>
          </a:r>
        </a:p>
      </xdr:txBody>
    </xdr:sp>
    <xdr:clientData/>
  </xdr:twoCellAnchor>
  <xdr:twoCellAnchor>
    <xdr:from>
      <xdr:col>30</xdr:col>
      <xdr:colOff>60521</xdr:colOff>
      <xdr:row>93</xdr:row>
      <xdr:rowOff>111809</xdr:rowOff>
    </xdr:from>
    <xdr:to>
      <xdr:col>31</xdr:col>
      <xdr:colOff>10416</xdr:colOff>
      <xdr:row>95</xdr:row>
      <xdr:rowOff>62555</xdr:rowOff>
    </xdr:to>
    <xdr:sp macro="" textlink="">
      <xdr:nvSpPr>
        <xdr:cNvPr id="213" name="フローチャート: 他ページ結合子 212">
          <a:extLst>
            <a:ext uri="{FF2B5EF4-FFF2-40B4-BE49-F238E27FC236}">
              <a16:creationId xmlns:a16="http://schemas.microsoft.com/office/drawing/2014/main" id="{B9DE5359-F9B9-4160-9954-7FB35120F64F}"/>
            </a:ext>
          </a:extLst>
        </xdr:cNvPr>
        <xdr:cNvSpPr/>
      </xdr:nvSpPr>
      <xdr:spPr>
        <a:xfrm>
          <a:off x="6918521" y="16056659"/>
          <a:ext cx="178495" cy="293646"/>
        </a:xfrm>
        <a:prstGeom prst="flowChartOffpageConnector">
          <a:avLst/>
        </a:prstGeom>
        <a:solidFill>
          <a:sysClr val="window" lastClr="FFFFFF"/>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b="1">
              <a:solidFill>
                <a:sysClr val="windowText" lastClr="000000"/>
              </a:solidFill>
            </a:rPr>
            <a:t>③</a:t>
          </a:r>
        </a:p>
      </xdr:txBody>
    </xdr:sp>
    <xdr:clientData/>
  </xdr:twoCellAnchor>
  <xdr:twoCellAnchor>
    <xdr:from>
      <xdr:col>28</xdr:col>
      <xdr:colOff>202662</xdr:colOff>
      <xdr:row>88</xdr:row>
      <xdr:rowOff>58276</xdr:rowOff>
    </xdr:from>
    <xdr:to>
      <xdr:col>32</xdr:col>
      <xdr:colOff>80942</xdr:colOff>
      <xdr:row>93</xdr:row>
      <xdr:rowOff>107999</xdr:rowOff>
    </xdr:to>
    <xdr:cxnSp macro="">
      <xdr:nvCxnSpPr>
        <xdr:cNvPr id="214" name="直線コネクタ 31">
          <a:extLst>
            <a:ext uri="{FF2B5EF4-FFF2-40B4-BE49-F238E27FC236}">
              <a16:creationId xmlns:a16="http://schemas.microsoft.com/office/drawing/2014/main" id="{885740B7-8879-4182-AE4E-FD9E37CD672A}"/>
            </a:ext>
          </a:extLst>
        </xdr:cNvPr>
        <xdr:cNvCxnSpPr>
          <a:stCxn id="191" idx="3"/>
          <a:endCxn id="212" idx="0"/>
        </xdr:cNvCxnSpPr>
      </xdr:nvCxnSpPr>
      <xdr:spPr>
        <a:xfrm>
          <a:off x="6603462" y="15145876"/>
          <a:ext cx="792680" cy="906973"/>
        </a:xfrm>
        <a:prstGeom prst="bentConnector2">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200758</xdr:colOff>
      <xdr:row>90</xdr:row>
      <xdr:rowOff>65604</xdr:rowOff>
    </xdr:from>
    <xdr:to>
      <xdr:col>30</xdr:col>
      <xdr:colOff>140757</xdr:colOff>
      <xdr:row>93</xdr:row>
      <xdr:rowOff>111809</xdr:rowOff>
    </xdr:to>
    <xdr:cxnSp macro="">
      <xdr:nvCxnSpPr>
        <xdr:cNvPr id="215" name="直線コネクタ 31">
          <a:extLst>
            <a:ext uri="{FF2B5EF4-FFF2-40B4-BE49-F238E27FC236}">
              <a16:creationId xmlns:a16="http://schemas.microsoft.com/office/drawing/2014/main" id="{9170B614-DF8D-4BC9-B36A-ED27FDB4D2AF}"/>
            </a:ext>
          </a:extLst>
        </xdr:cNvPr>
        <xdr:cNvCxnSpPr>
          <a:stCxn id="192" idx="3"/>
          <a:endCxn id="213" idx="0"/>
        </xdr:cNvCxnSpPr>
      </xdr:nvCxnSpPr>
      <xdr:spPr>
        <a:xfrm>
          <a:off x="6601558" y="15496104"/>
          <a:ext cx="397199" cy="560555"/>
        </a:xfrm>
        <a:prstGeom prst="bentConnector2">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42</xdr:col>
      <xdr:colOff>172036</xdr:colOff>
      <xdr:row>59</xdr:row>
      <xdr:rowOff>126463</xdr:rowOff>
    </xdr:from>
    <xdr:to>
      <xdr:col>43</xdr:col>
      <xdr:colOff>207059</xdr:colOff>
      <xdr:row>85</xdr:row>
      <xdr:rowOff>51288</xdr:rowOff>
    </xdr:to>
    <xdr:sp macro="" textlink="">
      <xdr:nvSpPr>
        <xdr:cNvPr id="216" name="右中かっこ 215">
          <a:extLst>
            <a:ext uri="{FF2B5EF4-FFF2-40B4-BE49-F238E27FC236}">
              <a16:creationId xmlns:a16="http://schemas.microsoft.com/office/drawing/2014/main" id="{D715E281-85C8-40DF-9ADE-88788D4D149D}"/>
            </a:ext>
          </a:extLst>
        </xdr:cNvPr>
        <xdr:cNvSpPr/>
      </xdr:nvSpPr>
      <xdr:spPr>
        <a:xfrm>
          <a:off x="9773236" y="10242013"/>
          <a:ext cx="263623" cy="4382525"/>
        </a:xfrm>
        <a:prstGeom prst="righ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42</xdr:col>
      <xdr:colOff>185077</xdr:colOff>
      <xdr:row>13</xdr:row>
      <xdr:rowOff>124558</xdr:rowOff>
    </xdr:from>
    <xdr:to>
      <xdr:col>44</xdr:col>
      <xdr:colOff>13334</xdr:colOff>
      <xdr:row>37</xdr:row>
      <xdr:rowOff>49383</xdr:rowOff>
    </xdr:to>
    <xdr:sp macro="" textlink="">
      <xdr:nvSpPr>
        <xdr:cNvPr id="217" name="右中かっこ 216">
          <a:extLst>
            <a:ext uri="{FF2B5EF4-FFF2-40B4-BE49-F238E27FC236}">
              <a16:creationId xmlns:a16="http://schemas.microsoft.com/office/drawing/2014/main" id="{60C68DB3-0AEB-4C79-9AAA-56ECB8C38676}"/>
            </a:ext>
          </a:extLst>
        </xdr:cNvPr>
        <xdr:cNvSpPr/>
      </xdr:nvSpPr>
      <xdr:spPr>
        <a:xfrm>
          <a:off x="9786277" y="2353408"/>
          <a:ext cx="285457" cy="4039625"/>
        </a:xfrm>
        <a:prstGeom prst="righ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42</xdr:col>
      <xdr:colOff>146539</xdr:colOff>
      <xdr:row>40</xdr:row>
      <xdr:rowOff>65943</xdr:rowOff>
    </xdr:from>
    <xdr:to>
      <xdr:col>43</xdr:col>
      <xdr:colOff>191087</xdr:colOff>
      <xdr:row>52</xdr:row>
      <xdr:rowOff>108000</xdr:rowOff>
    </xdr:to>
    <xdr:sp macro="" textlink="">
      <xdr:nvSpPr>
        <xdr:cNvPr id="218" name="右中かっこ 217">
          <a:extLst>
            <a:ext uri="{FF2B5EF4-FFF2-40B4-BE49-F238E27FC236}">
              <a16:creationId xmlns:a16="http://schemas.microsoft.com/office/drawing/2014/main" id="{3C3E82F6-7696-492E-BD73-DA404FD0B942}"/>
            </a:ext>
          </a:extLst>
        </xdr:cNvPr>
        <xdr:cNvSpPr/>
      </xdr:nvSpPr>
      <xdr:spPr>
        <a:xfrm>
          <a:off x="9747739" y="6923943"/>
          <a:ext cx="273148" cy="2099457"/>
        </a:xfrm>
        <a:prstGeom prst="righ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4</xdr:col>
      <xdr:colOff>66261</xdr:colOff>
      <xdr:row>521</xdr:row>
      <xdr:rowOff>38100</xdr:rowOff>
    </xdr:from>
    <xdr:to>
      <xdr:col>5</xdr:col>
      <xdr:colOff>133350</xdr:colOff>
      <xdr:row>558</xdr:row>
      <xdr:rowOff>28575</xdr:rowOff>
    </xdr:to>
    <xdr:sp macro="" textlink="">
      <xdr:nvSpPr>
        <xdr:cNvPr id="219" name="矢印: 下 218">
          <a:extLst>
            <a:ext uri="{FF2B5EF4-FFF2-40B4-BE49-F238E27FC236}">
              <a16:creationId xmlns:a16="http://schemas.microsoft.com/office/drawing/2014/main" id="{01432B99-27E5-452A-A84C-F300FD33DEE4}"/>
            </a:ext>
          </a:extLst>
        </xdr:cNvPr>
        <xdr:cNvSpPr/>
      </xdr:nvSpPr>
      <xdr:spPr>
        <a:xfrm>
          <a:off x="980661" y="89363550"/>
          <a:ext cx="295689" cy="6334125"/>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vert="vert270" wrap="none" rtlCol="0" anchor="ctr"/>
        <a:lstStyle/>
        <a:p>
          <a:pPr algn="ctr"/>
          <a:r>
            <a:rPr kumimoji="1" lang="ja-JP" altLang="en-US" sz="1100"/>
            <a:t>時間経過</a:t>
          </a:r>
        </a:p>
      </xdr:txBody>
    </xdr:sp>
    <xdr:clientData/>
  </xdr:twoCellAnchor>
  <xdr:twoCellAnchor>
    <xdr:from>
      <xdr:col>13</xdr:col>
      <xdr:colOff>14947</xdr:colOff>
      <xdr:row>360</xdr:row>
      <xdr:rowOff>16266</xdr:rowOff>
    </xdr:from>
    <xdr:to>
      <xdr:col>13</xdr:col>
      <xdr:colOff>171157</xdr:colOff>
      <xdr:row>360</xdr:row>
      <xdr:rowOff>104828</xdr:rowOff>
    </xdr:to>
    <xdr:sp macro="" textlink="">
      <xdr:nvSpPr>
        <xdr:cNvPr id="220" name="正方形/長方形 219">
          <a:extLst>
            <a:ext uri="{FF2B5EF4-FFF2-40B4-BE49-F238E27FC236}">
              <a16:creationId xmlns:a16="http://schemas.microsoft.com/office/drawing/2014/main" id="{FD8CB6D6-1951-4097-9DED-BBF9AF8C4910}"/>
            </a:ext>
          </a:extLst>
        </xdr:cNvPr>
        <xdr:cNvSpPr/>
      </xdr:nvSpPr>
      <xdr:spPr>
        <a:xfrm>
          <a:off x="2986747" y="61738266"/>
          <a:ext cx="156210" cy="8856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14654</xdr:colOff>
      <xdr:row>360</xdr:row>
      <xdr:rowOff>7327</xdr:rowOff>
    </xdr:from>
    <xdr:to>
      <xdr:col>22</xdr:col>
      <xdr:colOff>182294</xdr:colOff>
      <xdr:row>360</xdr:row>
      <xdr:rowOff>92079</xdr:rowOff>
    </xdr:to>
    <xdr:sp macro="" textlink="">
      <xdr:nvSpPr>
        <xdr:cNvPr id="221" name="正方形/長方形 220">
          <a:extLst>
            <a:ext uri="{FF2B5EF4-FFF2-40B4-BE49-F238E27FC236}">
              <a16:creationId xmlns:a16="http://schemas.microsoft.com/office/drawing/2014/main" id="{DF19DBCF-F0B2-4B19-9A29-323E18C03188}"/>
            </a:ext>
          </a:extLst>
        </xdr:cNvPr>
        <xdr:cNvSpPr/>
      </xdr:nvSpPr>
      <xdr:spPr>
        <a:xfrm>
          <a:off x="5043854" y="61729327"/>
          <a:ext cx="167640" cy="8475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13042</xdr:colOff>
      <xdr:row>360</xdr:row>
      <xdr:rowOff>34730</xdr:rowOff>
    </xdr:from>
    <xdr:to>
      <xdr:col>31</xdr:col>
      <xdr:colOff>171157</xdr:colOff>
      <xdr:row>360</xdr:row>
      <xdr:rowOff>113767</xdr:rowOff>
    </xdr:to>
    <xdr:sp macro="" textlink="">
      <xdr:nvSpPr>
        <xdr:cNvPr id="222" name="正方形/長方形 221">
          <a:extLst>
            <a:ext uri="{FF2B5EF4-FFF2-40B4-BE49-F238E27FC236}">
              <a16:creationId xmlns:a16="http://schemas.microsoft.com/office/drawing/2014/main" id="{6DAD0079-61E7-4652-A303-031B61C4A362}"/>
            </a:ext>
          </a:extLst>
        </xdr:cNvPr>
        <xdr:cNvSpPr/>
      </xdr:nvSpPr>
      <xdr:spPr>
        <a:xfrm>
          <a:off x="7099642" y="61756730"/>
          <a:ext cx="158115" cy="7903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11138</xdr:colOff>
      <xdr:row>361</xdr:row>
      <xdr:rowOff>18170</xdr:rowOff>
    </xdr:from>
    <xdr:to>
      <xdr:col>31</xdr:col>
      <xdr:colOff>173063</xdr:colOff>
      <xdr:row>361</xdr:row>
      <xdr:rowOff>104827</xdr:rowOff>
    </xdr:to>
    <xdr:sp macro="" textlink="">
      <xdr:nvSpPr>
        <xdr:cNvPr id="223" name="正方形/長方形 222">
          <a:extLst>
            <a:ext uri="{FF2B5EF4-FFF2-40B4-BE49-F238E27FC236}">
              <a16:creationId xmlns:a16="http://schemas.microsoft.com/office/drawing/2014/main" id="{341BB412-0201-42D3-9425-610108A9952F}"/>
            </a:ext>
          </a:extLst>
        </xdr:cNvPr>
        <xdr:cNvSpPr/>
      </xdr:nvSpPr>
      <xdr:spPr>
        <a:xfrm>
          <a:off x="7097738" y="61911620"/>
          <a:ext cx="161925" cy="8665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29307</xdr:colOff>
      <xdr:row>352</xdr:row>
      <xdr:rowOff>14654</xdr:rowOff>
    </xdr:from>
    <xdr:to>
      <xdr:col>11</xdr:col>
      <xdr:colOff>206472</xdr:colOff>
      <xdr:row>352</xdr:row>
      <xdr:rowOff>116551</xdr:rowOff>
    </xdr:to>
    <xdr:sp macro="" textlink="">
      <xdr:nvSpPr>
        <xdr:cNvPr id="224" name="正方形/長方形 223">
          <a:extLst>
            <a:ext uri="{FF2B5EF4-FFF2-40B4-BE49-F238E27FC236}">
              <a16:creationId xmlns:a16="http://schemas.microsoft.com/office/drawing/2014/main" id="{1581B2F7-F14D-45AF-A5A6-6971486F4DDF}"/>
            </a:ext>
          </a:extLst>
        </xdr:cNvPr>
        <xdr:cNvSpPr/>
      </xdr:nvSpPr>
      <xdr:spPr>
        <a:xfrm>
          <a:off x="2543907" y="60365054"/>
          <a:ext cx="17716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14946</xdr:colOff>
      <xdr:row>352</xdr:row>
      <xdr:rowOff>27403</xdr:rowOff>
    </xdr:from>
    <xdr:to>
      <xdr:col>13</xdr:col>
      <xdr:colOff>192111</xdr:colOff>
      <xdr:row>352</xdr:row>
      <xdr:rowOff>112155</xdr:rowOff>
    </xdr:to>
    <xdr:sp macro="" textlink="">
      <xdr:nvSpPr>
        <xdr:cNvPr id="225" name="正方形/長方形 224">
          <a:extLst>
            <a:ext uri="{FF2B5EF4-FFF2-40B4-BE49-F238E27FC236}">
              <a16:creationId xmlns:a16="http://schemas.microsoft.com/office/drawing/2014/main" id="{11B0CA66-107C-4E39-9505-DEEB6A4A8320}"/>
            </a:ext>
          </a:extLst>
        </xdr:cNvPr>
        <xdr:cNvSpPr/>
      </xdr:nvSpPr>
      <xdr:spPr>
        <a:xfrm>
          <a:off x="2986746" y="60377803"/>
          <a:ext cx="177165" cy="8475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210282</xdr:colOff>
      <xdr:row>352</xdr:row>
      <xdr:rowOff>67508</xdr:rowOff>
    </xdr:from>
    <xdr:to>
      <xdr:col>13</xdr:col>
      <xdr:colOff>18756</xdr:colOff>
      <xdr:row>352</xdr:row>
      <xdr:rowOff>68827</xdr:rowOff>
    </xdr:to>
    <xdr:cxnSp macro="">
      <xdr:nvCxnSpPr>
        <xdr:cNvPr id="226" name="直線コネクタ 225">
          <a:extLst>
            <a:ext uri="{FF2B5EF4-FFF2-40B4-BE49-F238E27FC236}">
              <a16:creationId xmlns:a16="http://schemas.microsoft.com/office/drawing/2014/main" id="{85410DC3-9CDD-4346-97F5-1B39A5902616}"/>
            </a:ext>
          </a:extLst>
        </xdr:cNvPr>
        <xdr:cNvCxnSpPr>
          <a:cxnSpLocks/>
          <a:stCxn id="224" idx="3"/>
          <a:endCxn id="225" idx="1"/>
        </xdr:cNvCxnSpPr>
      </xdr:nvCxnSpPr>
      <xdr:spPr>
        <a:xfrm>
          <a:off x="2724882" y="60417908"/>
          <a:ext cx="265674" cy="1319"/>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15240</xdr:colOff>
      <xdr:row>352</xdr:row>
      <xdr:rowOff>26626</xdr:rowOff>
    </xdr:from>
    <xdr:to>
      <xdr:col>22</xdr:col>
      <xdr:colOff>182880</xdr:colOff>
      <xdr:row>352</xdr:row>
      <xdr:rowOff>118998</xdr:rowOff>
    </xdr:to>
    <xdr:sp macro="" textlink="">
      <xdr:nvSpPr>
        <xdr:cNvPr id="227" name="正方形/長方形 226">
          <a:extLst>
            <a:ext uri="{FF2B5EF4-FFF2-40B4-BE49-F238E27FC236}">
              <a16:creationId xmlns:a16="http://schemas.microsoft.com/office/drawing/2014/main" id="{D9FC6231-DD06-4862-A475-7BEE6407ACB4}"/>
            </a:ext>
          </a:extLst>
        </xdr:cNvPr>
        <xdr:cNvSpPr/>
      </xdr:nvSpPr>
      <xdr:spPr>
        <a:xfrm>
          <a:off x="5044440" y="60377026"/>
          <a:ext cx="167640" cy="9237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29307</xdr:colOff>
      <xdr:row>352</xdr:row>
      <xdr:rowOff>14653</xdr:rowOff>
    </xdr:from>
    <xdr:to>
      <xdr:col>29</xdr:col>
      <xdr:colOff>210282</xdr:colOff>
      <xdr:row>352</xdr:row>
      <xdr:rowOff>108930</xdr:rowOff>
    </xdr:to>
    <xdr:sp macro="" textlink="">
      <xdr:nvSpPr>
        <xdr:cNvPr id="228" name="正方形/長方形 227">
          <a:extLst>
            <a:ext uri="{FF2B5EF4-FFF2-40B4-BE49-F238E27FC236}">
              <a16:creationId xmlns:a16="http://schemas.microsoft.com/office/drawing/2014/main" id="{588565FF-E640-46C7-97D1-2C403B6F56F5}"/>
            </a:ext>
          </a:extLst>
        </xdr:cNvPr>
        <xdr:cNvSpPr/>
      </xdr:nvSpPr>
      <xdr:spPr>
        <a:xfrm>
          <a:off x="6658707" y="60365053"/>
          <a:ext cx="18097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16853</xdr:colOff>
      <xdr:row>352</xdr:row>
      <xdr:rowOff>10844</xdr:rowOff>
    </xdr:from>
    <xdr:to>
      <xdr:col>31</xdr:col>
      <xdr:colOff>188303</xdr:colOff>
      <xdr:row>352</xdr:row>
      <xdr:rowOff>110836</xdr:rowOff>
    </xdr:to>
    <xdr:sp macro="" textlink="">
      <xdr:nvSpPr>
        <xdr:cNvPr id="229" name="正方形/長方形 228">
          <a:extLst>
            <a:ext uri="{FF2B5EF4-FFF2-40B4-BE49-F238E27FC236}">
              <a16:creationId xmlns:a16="http://schemas.microsoft.com/office/drawing/2014/main" id="{16F06C23-EE24-4672-8456-C86E481609E2}"/>
            </a:ext>
          </a:extLst>
        </xdr:cNvPr>
        <xdr:cNvSpPr/>
      </xdr:nvSpPr>
      <xdr:spPr>
        <a:xfrm>
          <a:off x="7103453" y="60361244"/>
          <a:ext cx="171450" cy="9999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21981</xdr:colOff>
      <xdr:row>354</xdr:row>
      <xdr:rowOff>14653</xdr:rowOff>
    </xdr:from>
    <xdr:to>
      <xdr:col>29</xdr:col>
      <xdr:colOff>202956</xdr:colOff>
      <xdr:row>354</xdr:row>
      <xdr:rowOff>108930</xdr:rowOff>
    </xdr:to>
    <xdr:sp macro="" textlink="">
      <xdr:nvSpPr>
        <xdr:cNvPr id="230" name="正方形/長方形 229">
          <a:extLst>
            <a:ext uri="{FF2B5EF4-FFF2-40B4-BE49-F238E27FC236}">
              <a16:creationId xmlns:a16="http://schemas.microsoft.com/office/drawing/2014/main" id="{93D6C0AF-B607-4A2D-BDAE-B3478714CB3B}"/>
            </a:ext>
          </a:extLst>
        </xdr:cNvPr>
        <xdr:cNvSpPr/>
      </xdr:nvSpPr>
      <xdr:spPr>
        <a:xfrm>
          <a:off x="6651381" y="60707953"/>
          <a:ext cx="180975" cy="9427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10844</xdr:colOff>
      <xdr:row>353</xdr:row>
      <xdr:rowOff>29308</xdr:rowOff>
    </xdr:from>
    <xdr:to>
      <xdr:col>31</xdr:col>
      <xdr:colOff>195629</xdr:colOff>
      <xdr:row>353</xdr:row>
      <xdr:rowOff>123585</xdr:rowOff>
    </xdr:to>
    <xdr:sp macro="" textlink="">
      <xdr:nvSpPr>
        <xdr:cNvPr id="231" name="正方形/長方形 230">
          <a:extLst>
            <a:ext uri="{FF2B5EF4-FFF2-40B4-BE49-F238E27FC236}">
              <a16:creationId xmlns:a16="http://schemas.microsoft.com/office/drawing/2014/main" id="{6C101498-B352-49B8-A3F6-B1B7EC4E0335}"/>
            </a:ext>
          </a:extLst>
        </xdr:cNvPr>
        <xdr:cNvSpPr/>
      </xdr:nvSpPr>
      <xdr:spPr>
        <a:xfrm>
          <a:off x="7097444" y="60551158"/>
          <a:ext cx="184785" cy="9427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202955</xdr:colOff>
      <xdr:row>352</xdr:row>
      <xdr:rowOff>70072</xdr:rowOff>
    </xdr:from>
    <xdr:to>
      <xdr:col>22</xdr:col>
      <xdr:colOff>19050</xdr:colOff>
      <xdr:row>352</xdr:row>
      <xdr:rowOff>71860</xdr:rowOff>
    </xdr:to>
    <xdr:cxnSp macro="">
      <xdr:nvCxnSpPr>
        <xdr:cNvPr id="232" name="直線コネクタ 231">
          <a:extLst>
            <a:ext uri="{FF2B5EF4-FFF2-40B4-BE49-F238E27FC236}">
              <a16:creationId xmlns:a16="http://schemas.microsoft.com/office/drawing/2014/main" id="{19E86F69-D5DF-44CD-AC81-B877E1DCAFAC}"/>
            </a:ext>
          </a:extLst>
        </xdr:cNvPr>
        <xdr:cNvCxnSpPr>
          <a:cxnSpLocks/>
          <a:stCxn id="233" idx="3"/>
          <a:endCxn id="227" idx="1"/>
        </xdr:cNvCxnSpPr>
      </xdr:nvCxnSpPr>
      <xdr:spPr>
        <a:xfrm>
          <a:off x="4774955" y="60420472"/>
          <a:ext cx="273295" cy="1788"/>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21980</xdr:colOff>
      <xdr:row>352</xdr:row>
      <xdr:rowOff>21981</xdr:rowOff>
    </xdr:from>
    <xdr:to>
      <xdr:col>20</xdr:col>
      <xdr:colOff>201050</xdr:colOff>
      <xdr:row>352</xdr:row>
      <xdr:rowOff>120068</xdr:rowOff>
    </xdr:to>
    <xdr:sp macro="" textlink="">
      <xdr:nvSpPr>
        <xdr:cNvPr id="233" name="正方形/長方形 232">
          <a:extLst>
            <a:ext uri="{FF2B5EF4-FFF2-40B4-BE49-F238E27FC236}">
              <a16:creationId xmlns:a16="http://schemas.microsoft.com/office/drawing/2014/main" id="{A34F9231-F4FB-4797-8854-676EF6894863}"/>
            </a:ext>
          </a:extLst>
        </xdr:cNvPr>
        <xdr:cNvSpPr/>
      </xdr:nvSpPr>
      <xdr:spPr>
        <a:xfrm>
          <a:off x="4593980" y="60372381"/>
          <a:ext cx="179070" cy="9808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206472</xdr:colOff>
      <xdr:row>352</xdr:row>
      <xdr:rowOff>61793</xdr:rowOff>
    </xdr:from>
    <xdr:to>
      <xdr:col>31</xdr:col>
      <xdr:colOff>20663</xdr:colOff>
      <xdr:row>352</xdr:row>
      <xdr:rowOff>62744</xdr:rowOff>
    </xdr:to>
    <xdr:cxnSp macro="">
      <xdr:nvCxnSpPr>
        <xdr:cNvPr id="234" name="直線コネクタ 233">
          <a:extLst>
            <a:ext uri="{FF2B5EF4-FFF2-40B4-BE49-F238E27FC236}">
              <a16:creationId xmlns:a16="http://schemas.microsoft.com/office/drawing/2014/main" id="{08E7DCF9-0D41-42A8-8FAB-DE5F5B75F292}"/>
            </a:ext>
          </a:extLst>
        </xdr:cNvPr>
        <xdr:cNvCxnSpPr>
          <a:cxnSpLocks/>
          <a:stCxn id="228" idx="3"/>
          <a:endCxn id="229" idx="1"/>
        </xdr:cNvCxnSpPr>
      </xdr:nvCxnSpPr>
      <xdr:spPr>
        <a:xfrm flipV="1">
          <a:off x="6835872" y="60412193"/>
          <a:ext cx="271391" cy="951"/>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206766</xdr:colOff>
      <xdr:row>353</xdr:row>
      <xdr:rowOff>76447</xdr:rowOff>
    </xdr:from>
    <xdr:to>
      <xdr:col>31</xdr:col>
      <xdr:colOff>12749</xdr:colOff>
      <xdr:row>354</xdr:row>
      <xdr:rowOff>62744</xdr:rowOff>
    </xdr:to>
    <xdr:cxnSp macro="">
      <xdr:nvCxnSpPr>
        <xdr:cNvPr id="235" name="直線コネクタ 31">
          <a:extLst>
            <a:ext uri="{FF2B5EF4-FFF2-40B4-BE49-F238E27FC236}">
              <a16:creationId xmlns:a16="http://schemas.microsoft.com/office/drawing/2014/main" id="{B3223DEA-11CB-468F-B81D-4477FEC2C7B9}"/>
            </a:ext>
          </a:extLst>
        </xdr:cNvPr>
        <xdr:cNvCxnSpPr>
          <a:stCxn id="231" idx="1"/>
          <a:endCxn id="230" idx="3"/>
        </xdr:cNvCxnSpPr>
      </xdr:nvCxnSpPr>
      <xdr:spPr>
        <a:xfrm rot="10800000" flipV="1">
          <a:off x="6836166" y="60598297"/>
          <a:ext cx="263183" cy="157747"/>
        </a:xfrm>
        <a:prstGeom prst="bentConnector3">
          <a:avLst>
            <a:gd name="adj1" fmla="val 50000"/>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43962</xdr:colOff>
      <xdr:row>361</xdr:row>
      <xdr:rowOff>131884</xdr:rowOff>
    </xdr:from>
    <xdr:to>
      <xdr:col>29</xdr:col>
      <xdr:colOff>207792</xdr:colOff>
      <xdr:row>362</xdr:row>
      <xdr:rowOff>88561</xdr:rowOff>
    </xdr:to>
    <xdr:sp macro="" textlink="">
      <xdr:nvSpPr>
        <xdr:cNvPr id="236" name="正方形/長方形 235">
          <a:extLst>
            <a:ext uri="{FF2B5EF4-FFF2-40B4-BE49-F238E27FC236}">
              <a16:creationId xmlns:a16="http://schemas.microsoft.com/office/drawing/2014/main" id="{16AE93A8-BF9E-4000-B82D-C2F3B05D792F}"/>
            </a:ext>
          </a:extLst>
        </xdr:cNvPr>
        <xdr:cNvSpPr/>
      </xdr:nvSpPr>
      <xdr:spPr>
        <a:xfrm>
          <a:off x="6673362" y="62025334"/>
          <a:ext cx="163830" cy="12812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210283</xdr:colOff>
      <xdr:row>352</xdr:row>
      <xdr:rowOff>67508</xdr:rowOff>
    </xdr:from>
    <xdr:to>
      <xdr:col>13</xdr:col>
      <xdr:colOff>18758</xdr:colOff>
      <xdr:row>360</xdr:row>
      <xdr:rowOff>61500</xdr:rowOff>
    </xdr:to>
    <xdr:cxnSp macro="">
      <xdr:nvCxnSpPr>
        <xdr:cNvPr id="237" name="直線コネクタ 31">
          <a:extLst>
            <a:ext uri="{FF2B5EF4-FFF2-40B4-BE49-F238E27FC236}">
              <a16:creationId xmlns:a16="http://schemas.microsoft.com/office/drawing/2014/main" id="{56D467E7-AD89-4818-A1F8-EDE64687EBFE}"/>
            </a:ext>
          </a:extLst>
        </xdr:cNvPr>
        <xdr:cNvCxnSpPr>
          <a:stCxn id="220" idx="1"/>
          <a:endCxn id="224" idx="3"/>
        </xdr:cNvCxnSpPr>
      </xdr:nvCxnSpPr>
      <xdr:spPr>
        <a:xfrm rot="10800000">
          <a:off x="2724883" y="60417908"/>
          <a:ext cx="265675" cy="1365592"/>
        </a:xfrm>
        <a:prstGeom prst="bentConnector3">
          <a:avLst>
            <a:gd name="adj1" fmla="val 50000"/>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202955</xdr:colOff>
      <xdr:row>352</xdr:row>
      <xdr:rowOff>70073</xdr:rowOff>
    </xdr:from>
    <xdr:to>
      <xdr:col>22</xdr:col>
      <xdr:colOff>18464</xdr:colOff>
      <xdr:row>360</xdr:row>
      <xdr:rowOff>52562</xdr:rowOff>
    </xdr:to>
    <xdr:cxnSp macro="">
      <xdr:nvCxnSpPr>
        <xdr:cNvPr id="238" name="直線コネクタ 31">
          <a:extLst>
            <a:ext uri="{FF2B5EF4-FFF2-40B4-BE49-F238E27FC236}">
              <a16:creationId xmlns:a16="http://schemas.microsoft.com/office/drawing/2014/main" id="{D2FF68BA-325F-490B-97F9-68A85A2900D9}"/>
            </a:ext>
          </a:extLst>
        </xdr:cNvPr>
        <xdr:cNvCxnSpPr>
          <a:stCxn id="221" idx="1"/>
          <a:endCxn id="233" idx="3"/>
        </xdr:cNvCxnSpPr>
      </xdr:nvCxnSpPr>
      <xdr:spPr>
        <a:xfrm rot="10800000">
          <a:off x="4774955" y="60420473"/>
          <a:ext cx="272709" cy="1354089"/>
        </a:xfrm>
        <a:prstGeom prst="bentConnector3">
          <a:avLst>
            <a:gd name="adj1" fmla="val 31719"/>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43961</xdr:colOff>
      <xdr:row>360</xdr:row>
      <xdr:rowOff>29307</xdr:rowOff>
    </xdr:from>
    <xdr:to>
      <xdr:col>29</xdr:col>
      <xdr:colOff>207791</xdr:colOff>
      <xdr:row>360</xdr:row>
      <xdr:rowOff>117869</xdr:rowOff>
    </xdr:to>
    <xdr:sp macro="" textlink="">
      <xdr:nvSpPr>
        <xdr:cNvPr id="239" name="正方形/長方形 238">
          <a:extLst>
            <a:ext uri="{FF2B5EF4-FFF2-40B4-BE49-F238E27FC236}">
              <a16:creationId xmlns:a16="http://schemas.microsoft.com/office/drawing/2014/main" id="{4C491146-57D5-4E36-BD11-5F5FC0134B27}"/>
            </a:ext>
          </a:extLst>
        </xdr:cNvPr>
        <xdr:cNvSpPr/>
      </xdr:nvSpPr>
      <xdr:spPr>
        <a:xfrm>
          <a:off x="6673361" y="61751307"/>
          <a:ext cx="163830" cy="8856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211601</xdr:colOff>
      <xdr:row>360</xdr:row>
      <xdr:rowOff>72636</xdr:rowOff>
    </xdr:from>
    <xdr:to>
      <xdr:col>31</xdr:col>
      <xdr:colOff>16852</xdr:colOff>
      <xdr:row>360</xdr:row>
      <xdr:rowOff>74249</xdr:rowOff>
    </xdr:to>
    <xdr:cxnSp macro="">
      <xdr:nvCxnSpPr>
        <xdr:cNvPr id="240" name="直線コネクタ 239">
          <a:extLst>
            <a:ext uri="{FF2B5EF4-FFF2-40B4-BE49-F238E27FC236}">
              <a16:creationId xmlns:a16="http://schemas.microsoft.com/office/drawing/2014/main" id="{AF6D9248-83E1-4994-9A8B-36B337A7D196}"/>
            </a:ext>
          </a:extLst>
        </xdr:cNvPr>
        <xdr:cNvCxnSpPr>
          <a:cxnSpLocks/>
          <a:stCxn id="239" idx="3"/>
          <a:endCxn id="222" idx="1"/>
        </xdr:cNvCxnSpPr>
      </xdr:nvCxnSpPr>
      <xdr:spPr>
        <a:xfrm>
          <a:off x="6841001" y="61794636"/>
          <a:ext cx="262451" cy="1613"/>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211602</xdr:colOff>
      <xdr:row>361</xdr:row>
      <xdr:rowOff>62451</xdr:rowOff>
    </xdr:from>
    <xdr:to>
      <xdr:col>31</xdr:col>
      <xdr:colOff>13043</xdr:colOff>
      <xdr:row>362</xdr:row>
      <xdr:rowOff>48090</xdr:rowOff>
    </xdr:to>
    <xdr:cxnSp macro="">
      <xdr:nvCxnSpPr>
        <xdr:cNvPr id="241" name="直線コネクタ 31">
          <a:extLst>
            <a:ext uri="{FF2B5EF4-FFF2-40B4-BE49-F238E27FC236}">
              <a16:creationId xmlns:a16="http://schemas.microsoft.com/office/drawing/2014/main" id="{B8157FA5-2DD4-4152-A1F2-4004BD6E443E}"/>
            </a:ext>
          </a:extLst>
        </xdr:cNvPr>
        <xdr:cNvCxnSpPr>
          <a:stCxn id="223" idx="1"/>
          <a:endCxn id="236" idx="3"/>
        </xdr:cNvCxnSpPr>
      </xdr:nvCxnSpPr>
      <xdr:spPr>
        <a:xfrm rot="10800000" flipV="1">
          <a:off x="6841002" y="61955901"/>
          <a:ext cx="258641" cy="157089"/>
        </a:xfrm>
        <a:prstGeom prst="bentConnector3">
          <a:avLst>
            <a:gd name="adj1" fmla="val 50000"/>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14947</xdr:colOff>
      <xdr:row>386</xdr:row>
      <xdr:rowOff>16266</xdr:rowOff>
    </xdr:from>
    <xdr:to>
      <xdr:col>13</xdr:col>
      <xdr:colOff>171157</xdr:colOff>
      <xdr:row>386</xdr:row>
      <xdr:rowOff>104828</xdr:rowOff>
    </xdr:to>
    <xdr:sp macro="" textlink="">
      <xdr:nvSpPr>
        <xdr:cNvPr id="242" name="正方形/長方形 241">
          <a:extLst>
            <a:ext uri="{FF2B5EF4-FFF2-40B4-BE49-F238E27FC236}">
              <a16:creationId xmlns:a16="http://schemas.microsoft.com/office/drawing/2014/main" id="{6718ADE6-45FD-423C-B5C9-A1E85C15AC73}"/>
            </a:ext>
          </a:extLst>
        </xdr:cNvPr>
        <xdr:cNvSpPr/>
      </xdr:nvSpPr>
      <xdr:spPr>
        <a:xfrm>
          <a:off x="2986747" y="66195966"/>
          <a:ext cx="156210" cy="8856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13042</xdr:colOff>
      <xdr:row>386</xdr:row>
      <xdr:rowOff>34730</xdr:rowOff>
    </xdr:from>
    <xdr:to>
      <xdr:col>31</xdr:col>
      <xdr:colOff>171157</xdr:colOff>
      <xdr:row>386</xdr:row>
      <xdr:rowOff>113767</xdr:rowOff>
    </xdr:to>
    <xdr:sp macro="" textlink="">
      <xdr:nvSpPr>
        <xdr:cNvPr id="243" name="正方形/長方形 242">
          <a:extLst>
            <a:ext uri="{FF2B5EF4-FFF2-40B4-BE49-F238E27FC236}">
              <a16:creationId xmlns:a16="http://schemas.microsoft.com/office/drawing/2014/main" id="{CB82EC08-B521-4841-BC48-2A8AA35903AB}"/>
            </a:ext>
          </a:extLst>
        </xdr:cNvPr>
        <xdr:cNvSpPr/>
      </xdr:nvSpPr>
      <xdr:spPr>
        <a:xfrm>
          <a:off x="7099642" y="66214430"/>
          <a:ext cx="158115" cy="7903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11138</xdr:colOff>
      <xdr:row>387</xdr:row>
      <xdr:rowOff>18170</xdr:rowOff>
    </xdr:from>
    <xdr:to>
      <xdr:col>31</xdr:col>
      <xdr:colOff>173063</xdr:colOff>
      <xdr:row>387</xdr:row>
      <xdr:rowOff>104827</xdr:rowOff>
    </xdr:to>
    <xdr:sp macro="" textlink="">
      <xdr:nvSpPr>
        <xdr:cNvPr id="244" name="正方形/長方形 243">
          <a:extLst>
            <a:ext uri="{FF2B5EF4-FFF2-40B4-BE49-F238E27FC236}">
              <a16:creationId xmlns:a16="http://schemas.microsoft.com/office/drawing/2014/main" id="{2904F777-15EC-4924-B244-003ED790EFA1}"/>
            </a:ext>
          </a:extLst>
        </xdr:cNvPr>
        <xdr:cNvSpPr/>
      </xdr:nvSpPr>
      <xdr:spPr>
        <a:xfrm>
          <a:off x="7097738" y="66369320"/>
          <a:ext cx="161925" cy="8665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29307</xdr:colOff>
      <xdr:row>378</xdr:row>
      <xdr:rowOff>14654</xdr:rowOff>
    </xdr:from>
    <xdr:to>
      <xdr:col>11</xdr:col>
      <xdr:colOff>206472</xdr:colOff>
      <xdr:row>378</xdr:row>
      <xdr:rowOff>116551</xdr:rowOff>
    </xdr:to>
    <xdr:sp macro="" textlink="">
      <xdr:nvSpPr>
        <xdr:cNvPr id="245" name="正方形/長方形 244">
          <a:extLst>
            <a:ext uri="{FF2B5EF4-FFF2-40B4-BE49-F238E27FC236}">
              <a16:creationId xmlns:a16="http://schemas.microsoft.com/office/drawing/2014/main" id="{C80A6AB0-8D54-4036-8F95-D1E0A81EA85E}"/>
            </a:ext>
          </a:extLst>
        </xdr:cNvPr>
        <xdr:cNvSpPr/>
      </xdr:nvSpPr>
      <xdr:spPr>
        <a:xfrm>
          <a:off x="2543907" y="64822754"/>
          <a:ext cx="17716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14946</xdr:colOff>
      <xdr:row>378</xdr:row>
      <xdr:rowOff>27403</xdr:rowOff>
    </xdr:from>
    <xdr:to>
      <xdr:col>13</xdr:col>
      <xdr:colOff>192111</xdr:colOff>
      <xdr:row>378</xdr:row>
      <xdr:rowOff>112155</xdr:rowOff>
    </xdr:to>
    <xdr:sp macro="" textlink="">
      <xdr:nvSpPr>
        <xdr:cNvPr id="246" name="正方形/長方形 245">
          <a:extLst>
            <a:ext uri="{FF2B5EF4-FFF2-40B4-BE49-F238E27FC236}">
              <a16:creationId xmlns:a16="http://schemas.microsoft.com/office/drawing/2014/main" id="{A8CE15B3-A78A-4249-9140-616ED4EC8631}"/>
            </a:ext>
          </a:extLst>
        </xdr:cNvPr>
        <xdr:cNvSpPr/>
      </xdr:nvSpPr>
      <xdr:spPr>
        <a:xfrm>
          <a:off x="2986746" y="64835503"/>
          <a:ext cx="177165" cy="8475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210282</xdr:colOff>
      <xdr:row>378</xdr:row>
      <xdr:rowOff>67508</xdr:rowOff>
    </xdr:from>
    <xdr:to>
      <xdr:col>13</xdr:col>
      <xdr:colOff>18756</xdr:colOff>
      <xdr:row>378</xdr:row>
      <xdr:rowOff>68827</xdr:rowOff>
    </xdr:to>
    <xdr:cxnSp macro="">
      <xdr:nvCxnSpPr>
        <xdr:cNvPr id="247" name="直線コネクタ 246">
          <a:extLst>
            <a:ext uri="{FF2B5EF4-FFF2-40B4-BE49-F238E27FC236}">
              <a16:creationId xmlns:a16="http://schemas.microsoft.com/office/drawing/2014/main" id="{086EFD92-AB5F-4F23-B44C-0A152A78358E}"/>
            </a:ext>
          </a:extLst>
        </xdr:cNvPr>
        <xdr:cNvCxnSpPr>
          <a:cxnSpLocks/>
          <a:stCxn id="245" idx="3"/>
          <a:endCxn id="246" idx="1"/>
        </xdr:cNvCxnSpPr>
      </xdr:nvCxnSpPr>
      <xdr:spPr>
        <a:xfrm>
          <a:off x="2724882" y="64875608"/>
          <a:ext cx="265674" cy="1319"/>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11430</xdr:colOff>
      <xdr:row>378</xdr:row>
      <xdr:rowOff>18170</xdr:rowOff>
    </xdr:from>
    <xdr:to>
      <xdr:col>22</xdr:col>
      <xdr:colOff>184785</xdr:colOff>
      <xdr:row>378</xdr:row>
      <xdr:rowOff>114352</xdr:rowOff>
    </xdr:to>
    <xdr:sp macro="" textlink="">
      <xdr:nvSpPr>
        <xdr:cNvPr id="248" name="正方形/長方形 247">
          <a:extLst>
            <a:ext uri="{FF2B5EF4-FFF2-40B4-BE49-F238E27FC236}">
              <a16:creationId xmlns:a16="http://schemas.microsoft.com/office/drawing/2014/main" id="{FB9A395F-3340-4C10-AC23-8BBD265AB0B0}"/>
            </a:ext>
          </a:extLst>
        </xdr:cNvPr>
        <xdr:cNvSpPr/>
      </xdr:nvSpPr>
      <xdr:spPr>
        <a:xfrm>
          <a:off x="5040630" y="64826270"/>
          <a:ext cx="173355" cy="9618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29307</xdr:colOff>
      <xdr:row>378</xdr:row>
      <xdr:rowOff>14653</xdr:rowOff>
    </xdr:from>
    <xdr:to>
      <xdr:col>29</xdr:col>
      <xdr:colOff>210282</xdr:colOff>
      <xdr:row>378</xdr:row>
      <xdr:rowOff>108930</xdr:rowOff>
    </xdr:to>
    <xdr:sp macro="" textlink="">
      <xdr:nvSpPr>
        <xdr:cNvPr id="249" name="正方形/長方形 248">
          <a:extLst>
            <a:ext uri="{FF2B5EF4-FFF2-40B4-BE49-F238E27FC236}">
              <a16:creationId xmlns:a16="http://schemas.microsoft.com/office/drawing/2014/main" id="{237D9E29-7908-41BB-BAC0-091DA6CF691F}"/>
            </a:ext>
          </a:extLst>
        </xdr:cNvPr>
        <xdr:cNvSpPr/>
      </xdr:nvSpPr>
      <xdr:spPr>
        <a:xfrm>
          <a:off x="6658707" y="64822753"/>
          <a:ext cx="18097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16853</xdr:colOff>
      <xdr:row>378</xdr:row>
      <xdr:rowOff>10844</xdr:rowOff>
    </xdr:from>
    <xdr:to>
      <xdr:col>31</xdr:col>
      <xdr:colOff>188303</xdr:colOff>
      <xdr:row>378</xdr:row>
      <xdr:rowOff>110836</xdr:rowOff>
    </xdr:to>
    <xdr:sp macro="" textlink="">
      <xdr:nvSpPr>
        <xdr:cNvPr id="250" name="正方形/長方形 249">
          <a:extLst>
            <a:ext uri="{FF2B5EF4-FFF2-40B4-BE49-F238E27FC236}">
              <a16:creationId xmlns:a16="http://schemas.microsoft.com/office/drawing/2014/main" id="{3C01D0F4-E401-4B19-844D-EF4A394A07C5}"/>
            </a:ext>
          </a:extLst>
        </xdr:cNvPr>
        <xdr:cNvSpPr/>
      </xdr:nvSpPr>
      <xdr:spPr>
        <a:xfrm>
          <a:off x="7103453" y="64818944"/>
          <a:ext cx="171450" cy="9999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21981</xdr:colOff>
      <xdr:row>380</xdr:row>
      <xdr:rowOff>14653</xdr:rowOff>
    </xdr:from>
    <xdr:to>
      <xdr:col>29</xdr:col>
      <xdr:colOff>202956</xdr:colOff>
      <xdr:row>380</xdr:row>
      <xdr:rowOff>108930</xdr:rowOff>
    </xdr:to>
    <xdr:sp macro="" textlink="">
      <xdr:nvSpPr>
        <xdr:cNvPr id="251" name="正方形/長方形 250">
          <a:extLst>
            <a:ext uri="{FF2B5EF4-FFF2-40B4-BE49-F238E27FC236}">
              <a16:creationId xmlns:a16="http://schemas.microsoft.com/office/drawing/2014/main" id="{7777113B-3A47-4FF0-8739-0EFE111AF94C}"/>
            </a:ext>
          </a:extLst>
        </xdr:cNvPr>
        <xdr:cNvSpPr/>
      </xdr:nvSpPr>
      <xdr:spPr>
        <a:xfrm>
          <a:off x="6651381" y="65165653"/>
          <a:ext cx="180975" cy="9427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10844</xdr:colOff>
      <xdr:row>379</xdr:row>
      <xdr:rowOff>29308</xdr:rowOff>
    </xdr:from>
    <xdr:to>
      <xdr:col>31</xdr:col>
      <xdr:colOff>195629</xdr:colOff>
      <xdr:row>379</xdr:row>
      <xdr:rowOff>123585</xdr:rowOff>
    </xdr:to>
    <xdr:sp macro="" textlink="">
      <xdr:nvSpPr>
        <xdr:cNvPr id="252" name="正方形/長方形 251">
          <a:extLst>
            <a:ext uri="{FF2B5EF4-FFF2-40B4-BE49-F238E27FC236}">
              <a16:creationId xmlns:a16="http://schemas.microsoft.com/office/drawing/2014/main" id="{07F925D1-E452-4B35-8FCA-10944FA7CD4F}"/>
            </a:ext>
          </a:extLst>
        </xdr:cNvPr>
        <xdr:cNvSpPr/>
      </xdr:nvSpPr>
      <xdr:spPr>
        <a:xfrm>
          <a:off x="7097444" y="65008858"/>
          <a:ext cx="184785" cy="9427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210575</xdr:colOff>
      <xdr:row>378</xdr:row>
      <xdr:rowOff>67701</xdr:rowOff>
    </xdr:from>
    <xdr:to>
      <xdr:col>22</xdr:col>
      <xdr:colOff>15240</xdr:colOff>
      <xdr:row>378</xdr:row>
      <xdr:rowOff>68166</xdr:rowOff>
    </xdr:to>
    <xdr:cxnSp macro="">
      <xdr:nvCxnSpPr>
        <xdr:cNvPr id="253" name="直線コネクタ 252">
          <a:extLst>
            <a:ext uri="{FF2B5EF4-FFF2-40B4-BE49-F238E27FC236}">
              <a16:creationId xmlns:a16="http://schemas.microsoft.com/office/drawing/2014/main" id="{54860AD3-76B3-4A79-BCB7-76DF2D45F7F4}"/>
            </a:ext>
          </a:extLst>
        </xdr:cNvPr>
        <xdr:cNvCxnSpPr>
          <a:cxnSpLocks/>
          <a:stCxn id="254" idx="3"/>
          <a:endCxn id="248" idx="1"/>
        </xdr:cNvCxnSpPr>
      </xdr:nvCxnSpPr>
      <xdr:spPr>
        <a:xfrm>
          <a:off x="4782575" y="64875801"/>
          <a:ext cx="261865" cy="465"/>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18170</xdr:colOff>
      <xdr:row>378</xdr:row>
      <xdr:rowOff>25498</xdr:rowOff>
    </xdr:from>
    <xdr:to>
      <xdr:col>20</xdr:col>
      <xdr:colOff>210575</xdr:colOff>
      <xdr:row>378</xdr:row>
      <xdr:rowOff>109904</xdr:rowOff>
    </xdr:to>
    <xdr:sp macro="" textlink="">
      <xdr:nvSpPr>
        <xdr:cNvPr id="254" name="正方形/長方形 253">
          <a:extLst>
            <a:ext uri="{FF2B5EF4-FFF2-40B4-BE49-F238E27FC236}">
              <a16:creationId xmlns:a16="http://schemas.microsoft.com/office/drawing/2014/main" id="{8E427875-FAB9-4928-850D-DDC9AF83612F}"/>
            </a:ext>
          </a:extLst>
        </xdr:cNvPr>
        <xdr:cNvSpPr/>
      </xdr:nvSpPr>
      <xdr:spPr>
        <a:xfrm>
          <a:off x="4590170" y="64833598"/>
          <a:ext cx="192405" cy="84406"/>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206472</xdr:colOff>
      <xdr:row>378</xdr:row>
      <xdr:rowOff>61793</xdr:rowOff>
    </xdr:from>
    <xdr:to>
      <xdr:col>31</xdr:col>
      <xdr:colOff>20663</xdr:colOff>
      <xdr:row>378</xdr:row>
      <xdr:rowOff>62744</xdr:rowOff>
    </xdr:to>
    <xdr:cxnSp macro="">
      <xdr:nvCxnSpPr>
        <xdr:cNvPr id="255" name="直線コネクタ 254">
          <a:extLst>
            <a:ext uri="{FF2B5EF4-FFF2-40B4-BE49-F238E27FC236}">
              <a16:creationId xmlns:a16="http://schemas.microsoft.com/office/drawing/2014/main" id="{05C42BAC-3B23-4EF1-8DC1-D29A7FE82A85}"/>
            </a:ext>
          </a:extLst>
        </xdr:cNvPr>
        <xdr:cNvCxnSpPr>
          <a:cxnSpLocks/>
          <a:stCxn id="249" idx="3"/>
          <a:endCxn id="250" idx="1"/>
        </xdr:cNvCxnSpPr>
      </xdr:nvCxnSpPr>
      <xdr:spPr>
        <a:xfrm flipV="1">
          <a:off x="6835872" y="64869893"/>
          <a:ext cx="271391" cy="951"/>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206766</xdr:colOff>
      <xdr:row>379</xdr:row>
      <xdr:rowOff>76447</xdr:rowOff>
    </xdr:from>
    <xdr:to>
      <xdr:col>31</xdr:col>
      <xdr:colOff>12749</xdr:colOff>
      <xdr:row>380</xdr:row>
      <xdr:rowOff>62744</xdr:rowOff>
    </xdr:to>
    <xdr:cxnSp macro="">
      <xdr:nvCxnSpPr>
        <xdr:cNvPr id="256" name="直線コネクタ 31">
          <a:extLst>
            <a:ext uri="{FF2B5EF4-FFF2-40B4-BE49-F238E27FC236}">
              <a16:creationId xmlns:a16="http://schemas.microsoft.com/office/drawing/2014/main" id="{53301253-394B-4784-BAF1-A57B68E8CB53}"/>
            </a:ext>
          </a:extLst>
        </xdr:cNvPr>
        <xdr:cNvCxnSpPr>
          <a:stCxn id="252" idx="1"/>
          <a:endCxn id="251" idx="3"/>
        </xdr:cNvCxnSpPr>
      </xdr:nvCxnSpPr>
      <xdr:spPr>
        <a:xfrm rot="10800000" flipV="1">
          <a:off x="6836166" y="65055997"/>
          <a:ext cx="263183" cy="157747"/>
        </a:xfrm>
        <a:prstGeom prst="bentConnector3">
          <a:avLst>
            <a:gd name="adj1" fmla="val 50000"/>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210283</xdr:colOff>
      <xdr:row>378</xdr:row>
      <xdr:rowOff>67508</xdr:rowOff>
    </xdr:from>
    <xdr:to>
      <xdr:col>13</xdr:col>
      <xdr:colOff>18758</xdr:colOff>
      <xdr:row>386</xdr:row>
      <xdr:rowOff>61500</xdr:rowOff>
    </xdr:to>
    <xdr:cxnSp macro="">
      <xdr:nvCxnSpPr>
        <xdr:cNvPr id="257" name="直線コネクタ 31">
          <a:extLst>
            <a:ext uri="{FF2B5EF4-FFF2-40B4-BE49-F238E27FC236}">
              <a16:creationId xmlns:a16="http://schemas.microsoft.com/office/drawing/2014/main" id="{7803E0B1-FFD5-4FFD-BDCC-6DE1990D6E3A}"/>
            </a:ext>
          </a:extLst>
        </xdr:cNvPr>
        <xdr:cNvCxnSpPr>
          <a:stCxn id="242" idx="1"/>
          <a:endCxn id="245" idx="3"/>
        </xdr:cNvCxnSpPr>
      </xdr:nvCxnSpPr>
      <xdr:spPr>
        <a:xfrm rot="10800000">
          <a:off x="2724883" y="64875608"/>
          <a:ext cx="265675" cy="1365592"/>
        </a:xfrm>
        <a:prstGeom prst="bentConnector3">
          <a:avLst>
            <a:gd name="adj1" fmla="val 50000"/>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210575</xdr:colOff>
      <xdr:row>378</xdr:row>
      <xdr:rowOff>67702</xdr:rowOff>
    </xdr:from>
    <xdr:to>
      <xdr:col>31</xdr:col>
      <xdr:colOff>13042</xdr:colOff>
      <xdr:row>386</xdr:row>
      <xdr:rowOff>74250</xdr:rowOff>
    </xdr:to>
    <xdr:cxnSp macro="">
      <xdr:nvCxnSpPr>
        <xdr:cNvPr id="258" name="直線コネクタ 31">
          <a:extLst>
            <a:ext uri="{FF2B5EF4-FFF2-40B4-BE49-F238E27FC236}">
              <a16:creationId xmlns:a16="http://schemas.microsoft.com/office/drawing/2014/main" id="{0A5CC256-06A1-4772-A0AD-B9FAE9A8E4B2}"/>
            </a:ext>
          </a:extLst>
        </xdr:cNvPr>
        <xdr:cNvCxnSpPr>
          <a:cxnSpLocks/>
          <a:stCxn id="243" idx="1"/>
          <a:endCxn id="254" idx="3"/>
        </xdr:cNvCxnSpPr>
      </xdr:nvCxnSpPr>
      <xdr:spPr>
        <a:xfrm rot="10800000">
          <a:off x="4782575" y="64875802"/>
          <a:ext cx="2317067" cy="1378148"/>
        </a:xfrm>
        <a:prstGeom prst="bentConnector3">
          <a:avLst>
            <a:gd name="adj1" fmla="val 92640"/>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14654</xdr:colOff>
      <xdr:row>361</xdr:row>
      <xdr:rowOff>7327</xdr:rowOff>
    </xdr:from>
    <xdr:to>
      <xdr:col>22</xdr:col>
      <xdr:colOff>182294</xdr:colOff>
      <xdr:row>361</xdr:row>
      <xdr:rowOff>92079</xdr:rowOff>
    </xdr:to>
    <xdr:sp macro="" textlink="">
      <xdr:nvSpPr>
        <xdr:cNvPr id="259" name="正方形/長方形 258">
          <a:extLst>
            <a:ext uri="{FF2B5EF4-FFF2-40B4-BE49-F238E27FC236}">
              <a16:creationId xmlns:a16="http://schemas.microsoft.com/office/drawing/2014/main" id="{AB59C1C7-6B52-4531-8B64-47256E0B682B}"/>
            </a:ext>
          </a:extLst>
        </xdr:cNvPr>
        <xdr:cNvSpPr/>
      </xdr:nvSpPr>
      <xdr:spPr>
        <a:xfrm>
          <a:off x="5043854" y="61900777"/>
          <a:ext cx="167640" cy="8475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18171</xdr:colOff>
      <xdr:row>353</xdr:row>
      <xdr:rowOff>25497</xdr:rowOff>
    </xdr:from>
    <xdr:to>
      <xdr:col>20</xdr:col>
      <xdr:colOff>208671</xdr:colOff>
      <xdr:row>354</xdr:row>
      <xdr:rowOff>1224</xdr:rowOff>
    </xdr:to>
    <xdr:sp macro="" textlink="">
      <xdr:nvSpPr>
        <xdr:cNvPr id="260" name="正方形/長方形 259">
          <a:extLst>
            <a:ext uri="{FF2B5EF4-FFF2-40B4-BE49-F238E27FC236}">
              <a16:creationId xmlns:a16="http://schemas.microsoft.com/office/drawing/2014/main" id="{EAB78533-3E9A-46C9-BD4B-A2E8CA053D8D}"/>
            </a:ext>
          </a:extLst>
        </xdr:cNvPr>
        <xdr:cNvSpPr/>
      </xdr:nvSpPr>
      <xdr:spPr>
        <a:xfrm>
          <a:off x="4590171" y="60547347"/>
          <a:ext cx="190500" cy="14717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11138</xdr:colOff>
      <xdr:row>353</xdr:row>
      <xdr:rowOff>23653</xdr:rowOff>
    </xdr:from>
    <xdr:to>
      <xdr:col>22</xdr:col>
      <xdr:colOff>190208</xdr:colOff>
      <xdr:row>354</xdr:row>
      <xdr:rowOff>4141</xdr:rowOff>
    </xdr:to>
    <xdr:sp macro="" textlink="">
      <xdr:nvSpPr>
        <xdr:cNvPr id="261" name="正方形/長方形 260">
          <a:extLst>
            <a:ext uri="{FF2B5EF4-FFF2-40B4-BE49-F238E27FC236}">
              <a16:creationId xmlns:a16="http://schemas.microsoft.com/office/drawing/2014/main" id="{25E7A1AD-A621-450F-B84E-B9188328EDEC}"/>
            </a:ext>
          </a:extLst>
        </xdr:cNvPr>
        <xdr:cNvSpPr/>
      </xdr:nvSpPr>
      <xdr:spPr>
        <a:xfrm>
          <a:off x="5040338" y="60545503"/>
          <a:ext cx="179070" cy="151938"/>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xdr:col>
      <xdr:colOff>3395</xdr:colOff>
      <xdr:row>353</xdr:row>
      <xdr:rowOff>78828</xdr:rowOff>
    </xdr:from>
    <xdr:to>
      <xdr:col>22</xdr:col>
      <xdr:colOff>13043</xdr:colOff>
      <xdr:row>353</xdr:row>
      <xdr:rowOff>80317</xdr:rowOff>
    </xdr:to>
    <xdr:cxnSp macro="">
      <xdr:nvCxnSpPr>
        <xdr:cNvPr id="262" name="直線コネクタ 261">
          <a:extLst>
            <a:ext uri="{FF2B5EF4-FFF2-40B4-BE49-F238E27FC236}">
              <a16:creationId xmlns:a16="http://schemas.microsoft.com/office/drawing/2014/main" id="{0107A103-67F9-4C56-856D-9A8DC2ABB0B6}"/>
            </a:ext>
          </a:extLst>
        </xdr:cNvPr>
        <xdr:cNvCxnSpPr>
          <a:cxnSpLocks/>
          <a:stCxn id="260" idx="3"/>
          <a:endCxn id="261" idx="1"/>
        </xdr:cNvCxnSpPr>
      </xdr:nvCxnSpPr>
      <xdr:spPr>
        <a:xfrm>
          <a:off x="4803995" y="60600678"/>
          <a:ext cx="238248" cy="1489"/>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1</xdr:colOff>
      <xdr:row>353</xdr:row>
      <xdr:rowOff>77398</xdr:rowOff>
    </xdr:from>
    <xdr:to>
      <xdr:col>22</xdr:col>
      <xdr:colOff>18465</xdr:colOff>
      <xdr:row>361</xdr:row>
      <xdr:rowOff>52561</xdr:rowOff>
    </xdr:to>
    <xdr:cxnSp macro="">
      <xdr:nvCxnSpPr>
        <xdr:cNvPr id="263" name="直線コネクタ 31">
          <a:extLst>
            <a:ext uri="{FF2B5EF4-FFF2-40B4-BE49-F238E27FC236}">
              <a16:creationId xmlns:a16="http://schemas.microsoft.com/office/drawing/2014/main" id="{2F8558A3-E14F-41CE-88D5-CF5725418F11}"/>
            </a:ext>
          </a:extLst>
        </xdr:cNvPr>
        <xdr:cNvCxnSpPr>
          <a:stCxn id="259" idx="1"/>
          <a:endCxn id="260" idx="3"/>
        </xdr:cNvCxnSpPr>
      </xdr:nvCxnSpPr>
      <xdr:spPr>
        <a:xfrm rot="10800000">
          <a:off x="4800601" y="60599248"/>
          <a:ext cx="247064" cy="1346763"/>
        </a:xfrm>
        <a:prstGeom prst="bentConnector3">
          <a:avLst>
            <a:gd name="adj1" fmla="val 65606"/>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206766</xdr:colOff>
      <xdr:row>379</xdr:row>
      <xdr:rowOff>76447</xdr:rowOff>
    </xdr:from>
    <xdr:to>
      <xdr:col>31</xdr:col>
      <xdr:colOff>12749</xdr:colOff>
      <xdr:row>380</xdr:row>
      <xdr:rowOff>62744</xdr:rowOff>
    </xdr:to>
    <xdr:cxnSp macro="">
      <xdr:nvCxnSpPr>
        <xdr:cNvPr id="264" name="直線コネクタ 31">
          <a:extLst>
            <a:ext uri="{FF2B5EF4-FFF2-40B4-BE49-F238E27FC236}">
              <a16:creationId xmlns:a16="http://schemas.microsoft.com/office/drawing/2014/main" id="{1FE2165A-9200-40E7-B351-624BA9C9C335}"/>
            </a:ext>
          </a:extLst>
        </xdr:cNvPr>
        <xdr:cNvCxnSpPr/>
      </xdr:nvCxnSpPr>
      <xdr:spPr>
        <a:xfrm rot="10800000" flipV="1">
          <a:off x="6836166" y="65055997"/>
          <a:ext cx="263183" cy="157747"/>
        </a:xfrm>
        <a:prstGeom prst="bentConnector3">
          <a:avLst>
            <a:gd name="adj1" fmla="val 50000"/>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21981</xdr:colOff>
      <xdr:row>379</xdr:row>
      <xdr:rowOff>36635</xdr:rowOff>
    </xdr:from>
    <xdr:to>
      <xdr:col>20</xdr:col>
      <xdr:colOff>204861</xdr:colOff>
      <xdr:row>379</xdr:row>
      <xdr:rowOff>124851</xdr:rowOff>
    </xdr:to>
    <xdr:sp macro="" textlink="">
      <xdr:nvSpPr>
        <xdr:cNvPr id="265" name="正方形/長方形 264">
          <a:extLst>
            <a:ext uri="{FF2B5EF4-FFF2-40B4-BE49-F238E27FC236}">
              <a16:creationId xmlns:a16="http://schemas.microsoft.com/office/drawing/2014/main" id="{311D0E6B-FA51-4F7A-84F0-B9D239890AF1}"/>
            </a:ext>
          </a:extLst>
        </xdr:cNvPr>
        <xdr:cNvSpPr/>
      </xdr:nvSpPr>
      <xdr:spPr>
        <a:xfrm>
          <a:off x="4593981" y="65016185"/>
          <a:ext cx="182880" cy="8821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14653</xdr:colOff>
      <xdr:row>379</xdr:row>
      <xdr:rowOff>36634</xdr:rowOff>
    </xdr:from>
    <xdr:to>
      <xdr:col>22</xdr:col>
      <xdr:colOff>197533</xdr:colOff>
      <xdr:row>379</xdr:row>
      <xdr:rowOff>124850</xdr:rowOff>
    </xdr:to>
    <xdr:sp macro="" textlink="">
      <xdr:nvSpPr>
        <xdr:cNvPr id="266" name="正方形/長方形 265">
          <a:extLst>
            <a:ext uri="{FF2B5EF4-FFF2-40B4-BE49-F238E27FC236}">
              <a16:creationId xmlns:a16="http://schemas.microsoft.com/office/drawing/2014/main" id="{9D00436F-9EDB-43AE-9C22-B280CE583C10}"/>
            </a:ext>
          </a:extLst>
        </xdr:cNvPr>
        <xdr:cNvSpPr/>
      </xdr:nvSpPr>
      <xdr:spPr>
        <a:xfrm>
          <a:off x="5043853" y="65016184"/>
          <a:ext cx="182880" cy="8821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204861</xdr:colOff>
      <xdr:row>379</xdr:row>
      <xdr:rowOff>80744</xdr:rowOff>
    </xdr:from>
    <xdr:to>
      <xdr:col>31</xdr:col>
      <xdr:colOff>11138</xdr:colOff>
      <xdr:row>387</xdr:row>
      <xdr:rowOff>61500</xdr:rowOff>
    </xdr:to>
    <xdr:cxnSp macro="">
      <xdr:nvCxnSpPr>
        <xdr:cNvPr id="267" name="直線コネクタ 31">
          <a:extLst>
            <a:ext uri="{FF2B5EF4-FFF2-40B4-BE49-F238E27FC236}">
              <a16:creationId xmlns:a16="http://schemas.microsoft.com/office/drawing/2014/main" id="{695A5C30-D094-4B4D-AC2E-85B92E301BE9}"/>
            </a:ext>
          </a:extLst>
        </xdr:cNvPr>
        <xdr:cNvCxnSpPr>
          <a:cxnSpLocks/>
          <a:stCxn id="244" idx="1"/>
          <a:endCxn id="265" idx="3"/>
        </xdr:cNvCxnSpPr>
      </xdr:nvCxnSpPr>
      <xdr:spPr>
        <a:xfrm rot="10800000">
          <a:off x="4776861" y="65060294"/>
          <a:ext cx="2320877" cy="1352356"/>
        </a:xfrm>
        <a:prstGeom prst="bentConnector3">
          <a:avLst>
            <a:gd name="adj1" fmla="val 95298"/>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853</xdr:colOff>
      <xdr:row>379</xdr:row>
      <xdr:rowOff>81695</xdr:rowOff>
    </xdr:from>
    <xdr:to>
      <xdr:col>22</xdr:col>
      <xdr:colOff>18463</xdr:colOff>
      <xdr:row>379</xdr:row>
      <xdr:rowOff>81696</xdr:rowOff>
    </xdr:to>
    <xdr:cxnSp macro="">
      <xdr:nvCxnSpPr>
        <xdr:cNvPr id="268" name="直線コネクタ 267">
          <a:extLst>
            <a:ext uri="{FF2B5EF4-FFF2-40B4-BE49-F238E27FC236}">
              <a16:creationId xmlns:a16="http://schemas.microsoft.com/office/drawing/2014/main" id="{CEAF2CF2-91CB-44DB-95B2-C04927967CF4}"/>
            </a:ext>
          </a:extLst>
        </xdr:cNvPr>
        <xdr:cNvCxnSpPr>
          <a:cxnSpLocks/>
          <a:stCxn id="265" idx="3"/>
          <a:endCxn id="266" idx="1"/>
        </xdr:cNvCxnSpPr>
      </xdr:nvCxnSpPr>
      <xdr:spPr>
        <a:xfrm flipV="1">
          <a:off x="4801453" y="65061245"/>
          <a:ext cx="246210" cy="1"/>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14947</xdr:colOff>
      <xdr:row>422</xdr:row>
      <xdr:rowOff>16266</xdr:rowOff>
    </xdr:from>
    <xdr:to>
      <xdr:col>13</xdr:col>
      <xdr:colOff>171157</xdr:colOff>
      <xdr:row>422</xdr:row>
      <xdr:rowOff>104828</xdr:rowOff>
    </xdr:to>
    <xdr:sp macro="" textlink="">
      <xdr:nvSpPr>
        <xdr:cNvPr id="269" name="正方形/長方形 268">
          <a:extLst>
            <a:ext uri="{FF2B5EF4-FFF2-40B4-BE49-F238E27FC236}">
              <a16:creationId xmlns:a16="http://schemas.microsoft.com/office/drawing/2014/main" id="{E0603378-4BFC-4B7D-BE8F-E169698E2997}"/>
            </a:ext>
          </a:extLst>
        </xdr:cNvPr>
        <xdr:cNvSpPr/>
      </xdr:nvSpPr>
      <xdr:spPr>
        <a:xfrm>
          <a:off x="2986747" y="72368166"/>
          <a:ext cx="156210" cy="8856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14654</xdr:colOff>
      <xdr:row>422</xdr:row>
      <xdr:rowOff>7327</xdr:rowOff>
    </xdr:from>
    <xdr:to>
      <xdr:col>22</xdr:col>
      <xdr:colOff>182294</xdr:colOff>
      <xdr:row>422</xdr:row>
      <xdr:rowOff>92079</xdr:rowOff>
    </xdr:to>
    <xdr:sp macro="" textlink="">
      <xdr:nvSpPr>
        <xdr:cNvPr id="270" name="正方形/長方形 269">
          <a:extLst>
            <a:ext uri="{FF2B5EF4-FFF2-40B4-BE49-F238E27FC236}">
              <a16:creationId xmlns:a16="http://schemas.microsoft.com/office/drawing/2014/main" id="{800CFA8B-D1C9-4CD7-AAB5-9340857A7F32}"/>
            </a:ext>
          </a:extLst>
        </xdr:cNvPr>
        <xdr:cNvSpPr/>
      </xdr:nvSpPr>
      <xdr:spPr>
        <a:xfrm>
          <a:off x="5043854" y="72359227"/>
          <a:ext cx="167640" cy="8475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13042</xdr:colOff>
      <xdr:row>422</xdr:row>
      <xdr:rowOff>34730</xdr:rowOff>
    </xdr:from>
    <xdr:to>
      <xdr:col>31</xdr:col>
      <xdr:colOff>171157</xdr:colOff>
      <xdr:row>422</xdr:row>
      <xdr:rowOff>113767</xdr:rowOff>
    </xdr:to>
    <xdr:sp macro="" textlink="">
      <xdr:nvSpPr>
        <xdr:cNvPr id="271" name="正方形/長方形 270">
          <a:extLst>
            <a:ext uri="{FF2B5EF4-FFF2-40B4-BE49-F238E27FC236}">
              <a16:creationId xmlns:a16="http://schemas.microsoft.com/office/drawing/2014/main" id="{3698D4B4-E61E-44DE-853C-173B0B09EBFA}"/>
            </a:ext>
          </a:extLst>
        </xdr:cNvPr>
        <xdr:cNvSpPr/>
      </xdr:nvSpPr>
      <xdr:spPr>
        <a:xfrm>
          <a:off x="7099642" y="72386630"/>
          <a:ext cx="158115" cy="7903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11138</xdr:colOff>
      <xdr:row>423</xdr:row>
      <xdr:rowOff>18170</xdr:rowOff>
    </xdr:from>
    <xdr:to>
      <xdr:col>31</xdr:col>
      <xdr:colOff>173063</xdr:colOff>
      <xdr:row>423</xdr:row>
      <xdr:rowOff>104827</xdr:rowOff>
    </xdr:to>
    <xdr:sp macro="" textlink="">
      <xdr:nvSpPr>
        <xdr:cNvPr id="272" name="正方形/長方形 271">
          <a:extLst>
            <a:ext uri="{FF2B5EF4-FFF2-40B4-BE49-F238E27FC236}">
              <a16:creationId xmlns:a16="http://schemas.microsoft.com/office/drawing/2014/main" id="{485153E9-51EC-4451-BBB7-53D96DAE73B5}"/>
            </a:ext>
          </a:extLst>
        </xdr:cNvPr>
        <xdr:cNvSpPr/>
      </xdr:nvSpPr>
      <xdr:spPr>
        <a:xfrm>
          <a:off x="7097738" y="72541520"/>
          <a:ext cx="161925" cy="8665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29307</xdr:colOff>
      <xdr:row>414</xdr:row>
      <xdr:rowOff>14654</xdr:rowOff>
    </xdr:from>
    <xdr:to>
      <xdr:col>11</xdr:col>
      <xdr:colOff>206472</xdr:colOff>
      <xdr:row>414</xdr:row>
      <xdr:rowOff>116551</xdr:rowOff>
    </xdr:to>
    <xdr:sp macro="" textlink="">
      <xdr:nvSpPr>
        <xdr:cNvPr id="273" name="正方形/長方形 272">
          <a:extLst>
            <a:ext uri="{FF2B5EF4-FFF2-40B4-BE49-F238E27FC236}">
              <a16:creationId xmlns:a16="http://schemas.microsoft.com/office/drawing/2014/main" id="{3B195E0F-5B6F-45C0-8609-EC3DB9B49DFE}"/>
            </a:ext>
          </a:extLst>
        </xdr:cNvPr>
        <xdr:cNvSpPr/>
      </xdr:nvSpPr>
      <xdr:spPr>
        <a:xfrm>
          <a:off x="2543907" y="70994954"/>
          <a:ext cx="17716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14946</xdr:colOff>
      <xdr:row>414</xdr:row>
      <xdr:rowOff>27403</xdr:rowOff>
    </xdr:from>
    <xdr:to>
      <xdr:col>13</xdr:col>
      <xdr:colOff>192111</xdr:colOff>
      <xdr:row>414</xdr:row>
      <xdr:rowOff>112155</xdr:rowOff>
    </xdr:to>
    <xdr:sp macro="" textlink="">
      <xdr:nvSpPr>
        <xdr:cNvPr id="274" name="正方形/長方形 273">
          <a:extLst>
            <a:ext uri="{FF2B5EF4-FFF2-40B4-BE49-F238E27FC236}">
              <a16:creationId xmlns:a16="http://schemas.microsoft.com/office/drawing/2014/main" id="{37FABA78-1BE1-4521-BD6D-3A4D059BFE36}"/>
            </a:ext>
          </a:extLst>
        </xdr:cNvPr>
        <xdr:cNvSpPr/>
      </xdr:nvSpPr>
      <xdr:spPr>
        <a:xfrm>
          <a:off x="2986746" y="71007703"/>
          <a:ext cx="177165" cy="8475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210282</xdr:colOff>
      <xdr:row>414</xdr:row>
      <xdr:rowOff>67508</xdr:rowOff>
    </xdr:from>
    <xdr:to>
      <xdr:col>13</xdr:col>
      <xdr:colOff>18756</xdr:colOff>
      <xdr:row>414</xdr:row>
      <xdr:rowOff>68827</xdr:rowOff>
    </xdr:to>
    <xdr:cxnSp macro="">
      <xdr:nvCxnSpPr>
        <xdr:cNvPr id="275" name="直線コネクタ 274">
          <a:extLst>
            <a:ext uri="{FF2B5EF4-FFF2-40B4-BE49-F238E27FC236}">
              <a16:creationId xmlns:a16="http://schemas.microsoft.com/office/drawing/2014/main" id="{0E0A5502-085E-4AAF-820F-841D318517C2}"/>
            </a:ext>
          </a:extLst>
        </xdr:cNvPr>
        <xdr:cNvCxnSpPr>
          <a:cxnSpLocks/>
          <a:stCxn id="273" idx="3"/>
          <a:endCxn id="274" idx="1"/>
        </xdr:cNvCxnSpPr>
      </xdr:nvCxnSpPr>
      <xdr:spPr>
        <a:xfrm>
          <a:off x="2724882" y="71047808"/>
          <a:ext cx="265674" cy="1319"/>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11430</xdr:colOff>
      <xdr:row>414</xdr:row>
      <xdr:rowOff>18170</xdr:rowOff>
    </xdr:from>
    <xdr:to>
      <xdr:col>22</xdr:col>
      <xdr:colOff>184785</xdr:colOff>
      <xdr:row>414</xdr:row>
      <xdr:rowOff>114352</xdr:rowOff>
    </xdr:to>
    <xdr:sp macro="" textlink="">
      <xdr:nvSpPr>
        <xdr:cNvPr id="276" name="正方形/長方形 275">
          <a:extLst>
            <a:ext uri="{FF2B5EF4-FFF2-40B4-BE49-F238E27FC236}">
              <a16:creationId xmlns:a16="http://schemas.microsoft.com/office/drawing/2014/main" id="{34D3D64B-7A8D-4924-B76A-DCD57D64EBAE}"/>
            </a:ext>
          </a:extLst>
        </xdr:cNvPr>
        <xdr:cNvSpPr/>
      </xdr:nvSpPr>
      <xdr:spPr>
        <a:xfrm>
          <a:off x="5040630" y="70998470"/>
          <a:ext cx="173355" cy="9618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29307</xdr:colOff>
      <xdr:row>414</xdr:row>
      <xdr:rowOff>14653</xdr:rowOff>
    </xdr:from>
    <xdr:to>
      <xdr:col>29</xdr:col>
      <xdr:colOff>210282</xdr:colOff>
      <xdr:row>414</xdr:row>
      <xdr:rowOff>108930</xdr:rowOff>
    </xdr:to>
    <xdr:sp macro="" textlink="">
      <xdr:nvSpPr>
        <xdr:cNvPr id="277" name="正方形/長方形 276">
          <a:extLst>
            <a:ext uri="{FF2B5EF4-FFF2-40B4-BE49-F238E27FC236}">
              <a16:creationId xmlns:a16="http://schemas.microsoft.com/office/drawing/2014/main" id="{57833B28-ABA1-4DB2-8A5B-0D55864A665A}"/>
            </a:ext>
          </a:extLst>
        </xdr:cNvPr>
        <xdr:cNvSpPr/>
      </xdr:nvSpPr>
      <xdr:spPr>
        <a:xfrm>
          <a:off x="6658707" y="70994953"/>
          <a:ext cx="18097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16853</xdr:colOff>
      <xdr:row>414</xdr:row>
      <xdr:rowOff>10844</xdr:rowOff>
    </xdr:from>
    <xdr:to>
      <xdr:col>31</xdr:col>
      <xdr:colOff>188303</xdr:colOff>
      <xdr:row>414</xdr:row>
      <xdr:rowOff>110836</xdr:rowOff>
    </xdr:to>
    <xdr:sp macro="" textlink="">
      <xdr:nvSpPr>
        <xdr:cNvPr id="278" name="正方形/長方形 277">
          <a:extLst>
            <a:ext uri="{FF2B5EF4-FFF2-40B4-BE49-F238E27FC236}">
              <a16:creationId xmlns:a16="http://schemas.microsoft.com/office/drawing/2014/main" id="{B1122064-463D-47C0-9273-0B5930B76FC9}"/>
            </a:ext>
          </a:extLst>
        </xdr:cNvPr>
        <xdr:cNvSpPr/>
      </xdr:nvSpPr>
      <xdr:spPr>
        <a:xfrm>
          <a:off x="7103453" y="70991144"/>
          <a:ext cx="171450" cy="9999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21981</xdr:colOff>
      <xdr:row>416</xdr:row>
      <xdr:rowOff>14653</xdr:rowOff>
    </xdr:from>
    <xdr:to>
      <xdr:col>29</xdr:col>
      <xdr:colOff>202956</xdr:colOff>
      <xdr:row>416</xdr:row>
      <xdr:rowOff>108930</xdr:rowOff>
    </xdr:to>
    <xdr:sp macro="" textlink="">
      <xdr:nvSpPr>
        <xdr:cNvPr id="279" name="正方形/長方形 278">
          <a:extLst>
            <a:ext uri="{FF2B5EF4-FFF2-40B4-BE49-F238E27FC236}">
              <a16:creationId xmlns:a16="http://schemas.microsoft.com/office/drawing/2014/main" id="{3FE34768-BA71-4DE3-B727-553A896B64B3}"/>
            </a:ext>
          </a:extLst>
        </xdr:cNvPr>
        <xdr:cNvSpPr/>
      </xdr:nvSpPr>
      <xdr:spPr>
        <a:xfrm>
          <a:off x="6651381" y="71337853"/>
          <a:ext cx="180975" cy="9427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10844</xdr:colOff>
      <xdr:row>415</xdr:row>
      <xdr:rowOff>29308</xdr:rowOff>
    </xdr:from>
    <xdr:to>
      <xdr:col>31</xdr:col>
      <xdr:colOff>195629</xdr:colOff>
      <xdr:row>415</xdr:row>
      <xdr:rowOff>123585</xdr:rowOff>
    </xdr:to>
    <xdr:sp macro="" textlink="">
      <xdr:nvSpPr>
        <xdr:cNvPr id="280" name="正方形/長方形 279">
          <a:extLst>
            <a:ext uri="{FF2B5EF4-FFF2-40B4-BE49-F238E27FC236}">
              <a16:creationId xmlns:a16="http://schemas.microsoft.com/office/drawing/2014/main" id="{A6D03D6A-5458-4BA4-ACC5-0A9D24A7F2C3}"/>
            </a:ext>
          </a:extLst>
        </xdr:cNvPr>
        <xdr:cNvSpPr/>
      </xdr:nvSpPr>
      <xdr:spPr>
        <a:xfrm>
          <a:off x="7097444" y="71181058"/>
          <a:ext cx="184785" cy="9427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210575</xdr:colOff>
      <xdr:row>414</xdr:row>
      <xdr:rowOff>67701</xdr:rowOff>
    </xdr:from>
    <xdr:to>
      <xdr:col>22</xdr:col>
      <xdr:colOff>15240</xdr:colOff>
      <xdr:row>414</xdr:row>
      <xdr:rowOff>68166</xdr:rowOff>
    </xdr:to>
    <xdr:cxnSp macro="">
      <xdr:nvCxnSpPr>
        <xdr:cNvPr id="281" name="直線コネクタ 280">
          <a:extLst>
            <a:ext uri="{FF2B5EF4-FFF2-40B4-BE49-F238E27FC236}">
              <a16:creationId xmlns:a16="http://schemas.microsoft.com/office/drawing/2014/main" id="{A2DB02D1-05BD-4B1E-9CAB-75C87B1111A1}"/>
            </a:ext>
          </a:extLst>
        </xdr:cNvPr>
        <xdr:cNvCxnSpPr>
          <a:cxnSpLocks/>
          <a:stCxn id="282" idx="3"/>
          <a:endCxn id="276" idx="1"/>
        </xdr:cNvCxnSpPr>
      </xdr:nvCxnSpPr>
      <xdr:spPr>
        <a:xfrm>
          <a:off x="4782575" y="71048001"/>
          <a:ext cx="261865" cy="465"/>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18170</xdr:colOff>
      <xdr:row>414</xdr:row>
      <xdr:rowOff>25498</xdr:rowOff>
    </xdr:from>
    <xdr:to>
      <xdr:col>20</xdr:col>
      <xdr:colOff>210575</xdr:colOff>
      <xdr:row>414</xdr:row>
      <xdr:rowOff>109904</xdr:rowOff>
    </xdr:to>
    <xdr:sp macro="" textlink="">
      <xdr:nvSpPr>
        <xdr:cNvPr id="282" name="正方形/長方形 281">
          <a:extLst>
            <a:ext uri="{FF2B5EF4-FFF2-40B4-BE49-F238E27FC236}">
              <a16:creationId xmlns:a16="http://schemas.microsoft.com/office/drawing/2014/main" id="{C63CFEC6-4589-4B88-A9EB-43313D905041}"/>
            </a:ext>
          </a:extLst>
        </xdr:cNvPr>
        <xdr:cNvSpPr/>
      </xdr:nvSpPr>
      <xdr:spPr>
        <a:xfrm>
          <a:off x="4590170" y="71005798"/>
          <a:ext cx="192405" cy="84406"/>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206472</xdr:colOff>
      <xdr:row>414</xdr:row>
      <xdr:rowOff>61793</xdr:rowOff>
    </xdr:from>
    <xdr:to>
      <xdr:col>31</xdr:col>
      <xdr:colOff>20663</xdr:colOff>
      <xdr:row>414</xdr:row>
      <xdr:rowOff>62744</xdr:rowOff>
    </xdr:to>
    <xdr:cxnSp macro="">
      <xdr:nvCxnSpPr>
        <xdr:cNvPr id="283" name="直線コネクタ 282">
          <a:extLst>
            <a:ext uri="{FF2B5EF4-FFF2-40B4-BE49-F238E27FC236}">
              <a16:creationId xmlns:a16="http://schemas.microsoft.com/office/drawing/2014/main" id="{1186DA27-2FBE-4D0D-86FC-3D2DFFD4BCE4}"/>
            </a:ext>
          </a:extLst>
        </xdr:cNvPr>
        <xdr:cNvCxnSpPr>
          <a:cxnSpLocks/>
          <a:stCxn id="277" idx="3"/>
          <a:endCxn id="278" idx="1"/>
        </xdr:cNvCxnSpPr>
      </xdr:nvCxnSpPr>
      <xdr:spPr>
        <a:xfrm flipV="1">
          <a:off x="6835872" y="71042093"/>
          <a:ext cx="271391" cy="951"/>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206766</xdr:colOff>
      <xdr:row>415</xdr:row>
      <xdr:rowOff>76447</xdr:rowOff>
    </xdr:from>
    <xdr:to>
      <xdr:col>31</xdr:col>
      <xdr:colOff>12749</xdr:colOff>
      <xdr:row>416</xdr:row>
      <xdr:rowOff>62744</xdr:rowOff>
    </xdr:to>
    <xdr:cxnSp macro="">
      <xdr:nvCxnSpPr>
        <xdr:cNvPr id="284" name="直線コネクタ 31">
          <a:extLst>
            <a:ext uri="{FF2B5EF4-FFF2-40B4-BE49-F238E27FC236}">
              <a16:creationId xmlns:a16="http://schemas.microsoft.com/office/drawing/2014/main" id="{40F5171F-352E-48D4-94FA-1156DEE1D152}"/>
            </a:ext>
          </a:extLst>
        </xdr:cNvPr>
        <xdr:cNvCxnSpPr>
          <a:stCxn id="280" idx="1"/>
          <a:endCxn id="279" idx="3"/>
        </xdr:cNvCxnSpPr>
      </xdr:nvCxnSpPr>
      <xdr:spPr>
        <a:xfrm rot="10800000" flipV="1">
          <a:off x="6836166" y="71228197"/>
          <a:ext cx="263183" cy="157747"/>
        </a:xfrm>
        <a:prstGeom prst="bentConnector3">
          <a:avLst>
            <a:gd name="adj1" fmla="val 50000"/>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43962</xdr:colOff>
      <xdr:row>423</xdr:row>
      <xdr:rowOff>131884</xdr:rowOff>
    </xdr:from>
    <xdr:to>
      <xdr:col>29</xdr:col>
      <xdr:colOff>207792</xdr:colOff>
      <xdr:row>424</xdr:row>
      <xdr:rowOff>88561</xdr:rowOff>
    </xdr:to>
    <xdr:sp macro="" textlink="">
      <xdr:nvSpPr>
        <xdr:cNvPr id="285" name="正方形/長方形 284">
          <a:extLst>
            <a:ext uri="{FF2B5EF4-FFF2-40B4-BE49-F238E27FC236}">
              <a16:creationId xmlns:a16="http://schemas.microsoft.com/office/drawing/2014/main" id="{956AAABD-2289-44D5-B838-991D2A2C971F}"/>
            </a:ext>
          </a:extLst>
        </xdr:cNvPr>
        <xdr:cNvSpPr/>
      </xdr:nvSpPr>
      <xdr:spPr>
        <a:xfrm>
          <a:off x="6673362" y="72655234"/>
          <a:ext cx="163830" cy="12812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210283</xdr:colOff>
      <xdr:row>414</xdr:row>
      <xdr:rowOff>67508</xdr:rowOff>
    </xdr:from>
    <xdr:to>
      <xdr:col>13</xdr:col>
      <xdr:colOff>18758</xdr:colOff>
      <xdr:row>422</xdr:row>
      <xdr:rowOff>61500</xdr:rowOff>
    </xdr:to>
    <xdr:cxnSp macro="">
      <xdr:nvCxnSpPr>
        <xdr:cNvPr id="286" name="直線コネクタ 31">
          <a:extLst>
            <a:ext uri="{FF2B5EF4-FFF2-40B4-BE49-F238E27FC236}">
              <a16:creationId xmlns:a16="http://schemas.microsoft.com/office/drawing/2014/main" id="{E1BB6A52-95DD-466C-80CB-B3947E07BC37}"/>
            </a:ext>
          </a:extLst>
        </xdr:cNvPr>
        <xdr:cNvCxnSpPr>
          <a:stCxn id="269" idx="1"/>
          <a:endCxn id="273" idx="3"/>
        </xdr:cNvCxnSpPr>
      </xdr:nvCxnSpPr>
      <xdr:spPr>
        <a:xfrm rot="10800000">
          <a:off x="2724883" y="71047808"/>
          <a:ext cx="265675" cy="1365592"/>
        </a:xfrm>
        <a:prstGeom prst="bentConnector3">
          <a:avLst>
            <a:gd name="adj1" fmla="val 50000"/>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210576</xdr:colOff>
      <xdr:row>414</xdr:row>
      <xdr:rowOff>67702</xdr:rowOff>
    </xdr:from>
    <xdr:to>
      <xdr:col>22</xdr:col>
      <xdr:colOff>18465</xdr:colOff>
      <xdr:row>422</xdr:row>
      <xdr:rowOff>52562</xdr:rowOff>
    </xdr:to>
    <xdr:cxnSp macro="">
      <xdr:nvCxnSpPr>
        <xdr:cNvPr id="287" name="直線コネクタ 31">
          <a:extLst>
            <a:ext uri="{FF2B5EF4-FFF2-40B4-BE49-F238E27FC236}">
              <a16:creationId xmlns:a16="http://schemas.microsoft.com/office/drawing/2014/main" id="{1EEC4CCE-7622-4637-87A4-E7EAC8F3D5B0}"/>
            </a:ext>
          </a:extLst>
        </xdr:cNvPr>
        <xdr:cNvCxnSpPr>
          <a:stCxn id="270" idx="1"/>
          <a:endCxn id="282" idx="3"/>
        </xdr:cNvCxnSpPr>
      </xdr:nvCxnSpPr>
      <xdr:spPr>
        <a:xfrm rot="10800000">
          <a:off x="4782576" y="71048002"/>
          <a:ext cx="265089" cy="1356460"/>
        </a:xfrm>
        <a:prstGeom prst="bentConnector3">
          <a:avLst>
            <a:gd name="adj1" fmla="val 34766"/>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43961</xdr:colOff>
      <xdr:row>422</xdr:row>
      <xdr:rowOff>29307</xdr:rowOff>
    </xdr:from>
    <xdr:to>
      <xdr:col>29</xdr:col>
      <xdr:colOff>207791</xdr:colOff>
      <xdr:row>422</xdr:row>
      <xdr:rowOff>117869</xdr:rowOff>
    </xdr:to>
    <xdr:sp macro="" textlink="">
      <xdr:nvSpPr>
        <xdr:cNvPr id="288" name="正方形/長方形 287">
          <a:extLst>
            <a:ext uri="{FF2B5EF4-FFF2-40B4-BE49-F238E27FC236}">
              <a16:creationId xmlns:a16="http://schemas.microsoft.com/office/drawing/2014/main" id="{E01770AE-8966-46EB-A8FD-150E0E8AD763}"/>
            </a:ext>
          </a:extLst>
        </xdr:cNvPr>
        <xdr:cNvSpPr/>
      </xdr:nvSpPr>
      <xdr:spPr>
        <a:xfrm>
          <a:off x="6673361" y="72381207"/>
          <a:ext cx="163830" cy="8856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211601</xdr:colOff>
      <xdr:row>422</xdr:row>
      <xdr:rowOff>72636</xdr:rowOff>
    </xdr:from>
    <xdr:to>
      <xdr:col>31</xdr:col>
      <xdr:colOff>16852</xdr:colOff>
      <xdr:row>422</xdr:row>
      <xdr:rowOff>74249</xdr:rowOff>
    </xdr:to>
    <xdr:cxnSp macro="">
      <xdr:nvCxnSpPr>
        <xdr:cNvPr id="289" name="直線コネクタ 288">
          <a:extLst>
            <a:ext uri="{FF2B5EF4-FFF2-40B4-BE49-F238E27FC236}">
              <a16:creationId xmlns:a16="http://schemas.microsoft.com/office/drawing/2014/main" id="{41837B3A-C633-4244-964E-A7C1F65A516E}"/>
            </a:ext>
          </a:extLst>
        </xdr:cNvPr>
        <xdr:cNvCxnSpPr>
          <a:cxnSpLocks/>
          <a:stCxn id="288" idx="3"/>
          <a:endCxn id="271" idx="1"/>
        </xdr:cNvCxnSpPr>
      </xdr:nvCxnSpPr>
      <xdr:spPr>
        <a:xfrm>
          <a:off x="6841001" y="72424536"/>
          <a:ext cx="262451" cy="1613"/>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211602</xdr:colOff>
      <xdr:row>423</xdr:row>
      <xdr:rowOff>62451</xdr:rowOff>
    </xdr:from>
    <xdr:to>
      <xdr:col>31</xdr:col>
      <xdr:colOff>13043</xdr:colOff>
      <xdr:row>424</xdr:row>
      <xdr:rowOff>48090</xdr:rowOff>
    </xdr:to>
    <xdr:cxnSp macro="">
      <xdr:nvCxnSpPr>
        <xdr:cNvPr id="290" name="直線コネクタ 31">
          <a:extLst>
            <a:ext uri="{FF2B5EF4-FFF2-40B4-BE49-F238E27FC236}">
              <a16:creationId xmlns:a16="http://schemas.microsoft.com/office/drawing/2014/main" id="{FD7211D9-8A47-4814-9D5A-EE288A3B2BA0}"/>
            </a:ext>
          </a:extLst>
        </xdr:cNvPr>
        <xdr:cNvCxnSpPr>
          <a:stCxn id="272" idx="1"/>
          <a:endCxn id="285" idx="3"/>
        </xdr:cNvCxnSpPr>
      </xdr:nvCxnSpPr>
      <xdr:spPr>
        <a:xfrm rot="10800000" flipV="1">
          <a:off x="6841002" y="72585801"/>
          <a:ext cx="258641" cy="157089"/>
        </a:xfrm>
        <a:prstGeom prst="bentConnector3">
          <a:avLst>
            <a:gd name="adj1" fmla="val 50000"/>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206766</xdr:colOff>
      <xdr:row>415</xdr:row>
      <xdr:rowOff>76447</xdr:rowOff>
    </xdr:from>
    <xdr:to>
      <xdr:col>31</xdr:col>
      <xdr:colOff>12749</xdr:colOff>
      <xdr:row>416</xdr:row>
      <xdr:rowOff>62744</xdr:rowOff>
    </xdr:to>
    <xdr:cxnSp macro="">
      <xdr:nvCxnSpPr>
        <xdr:cNvPr id="291" name="直線コネクタ 31">
          <a:extLst>
            <a:ext uri="{FF2B5EF4-FFF2-40B4-BE49-F238E27FC236}">
              <a16:creationId xmlns:a16="http://schemas.microsoft.com/office/drawing/2014/main" id="{22DA362A-CCFE-4524-9CC6-CFF5A25A66A2}"/>
            </a:ext>
          </a:extLst>
        </xdr:cNvPr>
        <xdr:cNvCxnSpPr/>
      </xdr:nvCxnSpPr>
      <xdr:spPr>
        <a:xfrm rot="10800000" flipV="1">
          <a:off x="6836166" y="71228197"/>
          <a:ext cx="263183" cy="157747"/>
        </a:xfrm>
        <a:prstGeom prst="bentConnector3">
          <a:avLst>
            <a:gd name="adj1" fmla="val 50000"/>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21981</xdr:colOff>
      <xdr:row>415</xdr:row>
      <xdr:rowOff>36635</xdr:rowOff>
    </xdr:from>
    <xdr:to>
      <xdr:col>20</xdr:col>
      <xdr:colOff>204861</xdr:colOff>
      <xdr:row>415</xdr:row>
      <xdr:rowOff>124851</xdr:rowOff>
    </xdr:to>
    <xdr:sp macro="" textlink="">
      <xdr:nvSpPr>
        <xdr:cNvPr id="292" name="正方形/長方形 291">
          <a:extLst>
            <a:ext uri="{FF2B5EF4-FFF2-40B4-BE49-F238E27FC236}">
              <a16:creationId xmlns:a16="http://schemas.microsoft.com/office/drawing/2014/main" id="{B0E6B267-6837-45B0-9597-37CE3CAE74DB}"/>
            </a:ext>
          </a:extLst>
        </xdr:cNvPr>
        <xdr:cNvSpPr/>
      </xdr:nvSpPr>
      <xdr:spPr>
        <a:xfrm>
          <a:off x="4593981" y="71188385"/>
          <a:ext cx="182880" cy="8821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14653</xdr:colOff>
      <xdr:row>415</xdr:row>
      <xdr:rowOff>36634</xdr:rowOff>
    </xdr:from>
    <xdr:to>
      <xdr:col>22</xdr:col>
      <xdr:colOff>197533</xdr:colOff>
      <xdr:row>415</xdr:row>
      <xdr:rowOff>124850</xdr:rowOff>
    </xdr:to>
    <xdr:sp macro="" textlink="">
      <xdr:nvSpPr>
        <xdr:cNvPr id="293" name="正方形/長方形 292">
          <a:extLst>
            <a:ext uri="{FF2B5EF4-FFF2-40B4-BE49-F238E27FC236}">
              <a16:creationId xmlns:a16="http://schemas.microsoft.com/office/drawing/2014/main" id="{1050FBC8-83B1-42C6-B197-EFF28F62172A}"/>
            </a:ext>
          </a:extLst>
        </xdr:cNvPr>
        <xdr:cNvSpPr/>
      </xdr:nvSpPr>
      <xdr:spPr>
        <a:xfrm>
          <a:off x="5043853" y="71188384"/>
          <a:ext cx="182880" cy="8821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21980</xdr:colOff>
      <xdr:row>423</xdr:row>
      <xdr:rowOff>7327</xdr:rowOff>
    </xdr:from>
    <xdr:to>
      <xdr:col>22</xdr:col>
      <xdr:colOff>212480</xdr:colOff>
      <xdr:row>423</xdr:row>
      <xdr:rowOff>101258</xdr:rowOff>
    </xdr:to>
    <xdr:sp macro="" textlink="">
      <xdr:nvSpPr>
        <xdr:cNvPr id="294" name="正方形/長方形 293">
          <a:extLst>
            <a:ext uri="{FF2B5EF4-FFF2-40B4-BE49-F238E27FC236}">
              <a16:creationId xmlns:a16="http://schemas.microsoft.com/office/drawing/2014/main" id="{A19C4AD1-AF00-401B-B943-DA086AA05D14}"/>
            </a:ext>
          </a:extLst>
        </xdr:cNvPr>
        <xdr:cNvSpPr/>
      </xdr:nvSpPr>
      <xdr:spPr>
        <a:xfrm>
          <a:off x="5051180" y="72530677"/>
          <a:ext cx="190500" cy="93931"/>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208672</xdr:colOff>
      <xdr:row>415</xdr:row>
      <xdr:rowOff>81697</xdr:rowOff>
    </xdr:from>
    <xdr:to>
      <xdr:col>22</xdr:col>
      <xdr:colOff>18171</xdr:colOff>
      <xdr:row>423</xdr:row>
      <xdr:rowOff>53341</xdr:rowOff>
    </xdr:to>
    <xdr:cxnSp macro="">
      <xdr:nvCxnSpPr>
        <xdr:cNvPr id="295" name="直線コネクタ 31">
          <a:extLst>
            <a:ext uri="{FF2B5EF4-FFF2-40B4-BE49-F238E27FC236}">
              <a16:creationId xmlns:a16="http://schemas.microsoft.com/office/drawing/2014/main" id="{5F6370F3-56D0-45B1-AAB5-BB89AA4D771B}"/>
            </a:ext>
          </a:extLst>
        </xdr:cNvPr>
        <xdr:cNvCxnSpPr>
          <a:stCxn id="294" idx="1"/>
          <a:endCxn id="292" idx="3"/>
        </xdr:cNvCxnSpPr>
      </xdr:nvCxnSpPr>
      <xdr:spPr>
        <a:xfrm rot="10800000">
          <a:off x="4780672" y="71233447"/>
          <a:ext cx="266699" cy="1343244"/>
        </a:xfrm>
        <a:prstGeom prst="bentConnector3">
          <a:avLst>
            <a:gd name="adj1" fmla="val 65625"/>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853</xdr:colOff>
      <xdr:row>415</xdr:row>
      <xdr:rowOff>81695</xdr:rowOff>
    </xdr:from>
    <xdr:to>
      <xdr:col>22</xdr:col>
      <xdr:colOff>18463</xdr:colOff>
      <xdr:row>415</xdr:row>
      <xdr:rowOff>81696</xdr:rowOff>
    </xdr:to>
    <xdr:cxnSp macro="">
      <xdr:nvCxnSpPr>
        <xdr:cNvPr id="296" name="直線コネクタ 295">
          <a:extLst>
            <a:ext uri="{FF2B5EF4-FFF2-40B4-BE49-F238E27FC236}">
              <a16:creationId xmlns:a16="http://schemas.microsoft.com/office/drawing/2014/main" id="{CBC856EB-9DB1-40E8-8838-CCB91C88F374}"/>
            </a:ext>
          </a:extLst>
        </xdr:cNvPr>
        <xdr:cNvCxnSpPr>
          <a:cxnSpLocks/>
          <a:stCxn id="292" idx="3"/>
          <a:endCxn id="293" idx="1"/>
        </xdr:cNvCxnSpPr>
      </xdr:nvCxnSpPr>
      <xdr:spPr>
        <a:xfrm flipV="1">
          <a:off x="4801453" y="71233445"/>
          <a:ext cx="246210" cy="1"/>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14654</xdr:colOff>
      <xdr:row>431</xdr:row>
      <xdr:rowOff>7327</xdr:rowOff>
    </xdr:from>
    <xdr:to>
      <xdr:col>22</xdr:col>
      <xdr:colOff>182294</xdr:colOff>
      <xdr:row>431</xdr:row>
      <xdr:rowOff>92079</xdr:rowOff>
    </xdr:to>
    <xdr:sp macro="" textlink="">
      <xdr:nvSpPr>
        <xdr:cNvPr id="297" name="正方形/長方形 296">
          <a:extLst>
            <a:ext uri="{FF2B5EF4-FFF2-40B4-BE49-F238E27FC236}">
              <a16:creationId xmlns:a16="http://schemas.microsoft.com/office/drawing/2014/main" id="{FC8A7B3C-CC66-4BA7-8219-BE8D52ADB462}"/>
            </a:ext>
          </a:extLst>
        </xdr:cNvPr>
        <xdr:cNvSpPr/>
      </xdr:nvSpPr>
      <xdr:spPr>
        <a:xfrm>
          <a:off x="5043854" y="73902277"/>
          <a:ext cx="167640" cy="8475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13042</xdr:colOff>
      <xdr:row>431</xdr:row>
      <xdr:rowOff>34730</xdr:rowOff>
    </xdr:from>
    <xdr:to>
      <xdr:col>31</xdr:col>
      <xdr:colOff>171157</xdr:colOff>
      <xdr:row>431</xdr:row>
      <xdr:rowOff>113767</xdr:rowOff>
    </xdr:to>
    <xdr:sp macro="" textlink="">
      <xdr:nvSpPr>
        <xdr:cNvPr id="298" name="正方形/長方形 297">
          <a:extLst>
            <a:ext uri="{FF2B5EF4-FFF2-40B4-BE49-F238E27FC236}">
              <a16:creationId xmlns:a16="http://schemas.microsoft.com/office/drawing/2014/main" id="{3308E39A-EEE3-4F5E-A96D-708DA4D5E99A}"/>
            </a:ext>
          </a:extLst>
        </xdr:cNvPr>
        <xdr:cNvSpPr/>
      </xdr:nvSpPr>
      <xdr:spPr>
        <a:xfrm>
          <a:off x="7099642" y="73929680"/>
          <a:ext cx="158115" cy="7903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11138</xdr:colOff>
      <xdr:row>432</xdr:row>
      <xdr:rowOff>18170</xdr:rowOff>
    </xdr:from>
    <xdr:to>
      <xdr:col>31</xdr:col>
      <xdr:colOff>173063</xdr:colOff>
      <xdr:row>432</xdr:row>
      <xdr:rowOff>104827</xdr:rowOff>
    </xdr:to>
    <xdr:sp macro="" textlink="">
      <xdr:nvSpPr>
        <xdr:cNvPr id="299" name="正方形/長方形 298">
          <a:extLst>
            <a:ext uri="{FF2B5EF4-FFF2-40B4-BE49-F238E27FC236}">
              <a16:creationId xmlns:a16="http://schemas.microsoft.com/office/drawing/2014/main" id="{F1759BE3-F892-443C-8E09-23A0781192BC}"/>
            </a:ext>
          </a:extLst>
        </xdr:cNvPr>
        <xdr:cNvSpPr/>
      </xdr:nvSpPr>
      <xdr:spPr>
        <a:xfrm>
          <a:off x="7097738" y="74084570"/>
          <a:ext cx="161925" cy="8665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43962</xdr:colOff>
      <xdr:row>432</xdr:row>
      <xdr:rowOff>131884</xdr:rowOff>
    </xdr:from>
    <xdr:to>
      <xdr:col>29</xdr:col>
      <xdr:colOff>207792</xdr:colOff>
      <xdr:row>433</xdr:row>
      <xdr:rowOff>88561</xdr:rowOff>
    </xdr:to>
    <xdr:sp macro="" textlink="">
      <xdr:nvSpPr>
        <xdr:cNvPr id="300" name="正方形/長方形 299">
          <a:extLst>
            <a:ext uri="{FF2B5EF4-FFF2-40B4-BE49-F238E27FC236}">
              <a16:creationId xmlns:a16="http://schemas.microsoft.com/office/drawing/2014/main" id="{4984187C-B01E-4D21-88B1-11CA4482BD41}"/>
            </a:ext>
          </a:extLst>
        </xdr:cNvPr>
        <xdr:cNvSpPr/>
      </xdr:nvSpPr>
      <xdr:spPr>
        <a:xfrm>
          <a:off x="6673362" y="74198284"/>
          <a:ext cx="163830" cy="12812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43961</xdr:colOff>
      <xdr:row>431</xdr:row>
      <xdr:rowOff>29307</xdr:rowOff>
    </xdr:from>
    <xdr:to>
      <xdr:col>29</xdr:col>
      <xdr:colOff>207791</xdr:colOff>
      <xdr:row>431</xdr:row>
      <xdr:rowOff>117869</xdr:rowOff>
    </xdr:to>
    <xdr:sp macro="" textlink="">
      <xdr:nvSpPr>
        <xdr:cNvPr id="301" name="正方形/長方形 300">
          <a:extLst>
            <a:ext uri="{FF2B5EF4-FFF2-40B4-BE49-F238E27FC236}">
              <a16:creationId xmlns:a16="http://schemas.microsoft.com/office/drawing/2014/main" id="{8B727DDD-FACE-4D56-9B34-A0EFFEA0BF94}"/>
            </a:ext>
          </a:extLst>
        </xdr:cNvPr>
        <xdr:cNvSpPr/>
      </xdr:nvSpPr>
      <xdr:spPr>
        <a:xfrm>
          <a:off x="6673361" y="73924257"/>
          <a:ext cx="163830" cy="8856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211601</xdr:colOff>
      <xdr:row>431</xdr:row>
      <xdr:rowOff>72636</xdr:rowOff>
    </xdr:from>
    <xdr:to>
      <xdr:col>31</xdr:col>
      <xdr:colOff>16852</xdr:colOff>
      <xdr:row>431</xdr:row>
      <xdr:rowOff>74249</xdr:rowOff>
    </xdr:to>
    <xdr:cxnSp macro="">
      <xdr:nvCxnSpPr>
        <xdr:cNvPr id="302" name="直線コネクタ 301">
          <a:extLst>
            <a:ext uri="{FF2B5EF4-FFF2-40B4-BE49-F238E27FC236}">
              <a16:creationId xmlns:a16="http://schemas.microsoft.com/office/drawing/2014/main" id="{5624D96A-6B17-41B5-B0F4-DCF0F38D92C5}"/>
            </a:ext>
          </a:extLst>
        </xdr:cNvPr>
        <xdr:cNvCxnSpPr>
          <a:cxnSpLocks/>
          <a:stCxn id="301" idx="3"/>
          <a:endCxn id="298" idx="1"/>
        </xdr:cNvCxnSpPr>
      </xdr:nvCxnSpPr>
      <xdr:spPr>
        <a:xfrm>
          <a:off x="6841001" y="73967586"/>
          <a:ext cx="262451" cy="1613"/>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211602</xdr:colOff>
      <xdr:row>432</xdr:row>
      <xdr:rowOff>62451</xdr:rowOff>
    </xdr:from>
    <xdr:to>
      <xdr:col>31</xdr:col>
      <xdr:colOff>13043</xdr:colOff>
      <xdr:row>433</xdr:row>
      <xdr:rowOff>48090</xdr:rowOff>
    </xdr:to>
    <xdr:cxnSp macro="">
      <xdr:nvCxnSpPr>
        <xdr:cNvPr id="303" name="直線コネクタ 31">
          <a:extLst>
            <a:ext uri="{FF2B5EF4-FFF2-40B4-BE49-F238E27FC236}">
              <a16:creationId xmlns:a16="http://schemas.microsoft.com/office/drawing/2014/main" id="{B9AFEA19-EDCB-452F-8900-2D715E82EF70}"/>
            </a:ext>
          </a:extLst>
        </xdr:cNvPr>
        <xdr:cNvCxnSpPr>
          <a:stCxn id="299" idx="1"/>
          <a:endCxn id="300" idx="3"/>
        </xdr:cNvCxnSpPr>
      </xdr:nvCxnSpPr>
      <xdr:spPr>
        <a:xfrm rot="10800000" flipV="1">
          <a:off x="6841002" y="74128851"/>
          <a:ext cx="258641" cy="157089"/>
        </a:xfrm>
        <a:prstGeom prst="bentConnector3">
          <a:avLst>
            <a:gd name="adj1" fmla="val 50000"/>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21980</xdr:colOff>
      <xdr:row>432</xdr:row>
      <xdr:rowOff>7327</xdr:rowOff>
    </xdr:from>
    <xdr:to>
      <xdr:col>22</xdr:col>
      <xdr:colOff>212480</xdr:colOff>
      <xdr:row>432</xdr:row>
      <xdr:rowOff>101258</xdr:rowOff>
    </xdr:to>
    <xdr:sp macro="" textlink="">
      <xdr:nvSpPr>
        <xdr:cNvPr id="304" name="正方形/長方形 303">
          <a:extLst>
            <a:ext uri="{FF2B5EF4-FFF2-40B4-BE49-F238E27FC236}">
              <a16:creationId xmlns:a16="http://schemas.microsoft.com/office/drawing/2014/main" id="{BABF50CD-6DAD-4630-83FD-35BC633E8936}"/>
            </a:ext>
          </a:extLst>
        </xdr:cNvPr>
        <xdr:cNvSpPr/>
      </xdr:nvSpPr>
      <xdr:spPr>
        <a:xfrm>
          <a:off x="5051180" y="74073727"/>
          <a:ext cx="190500" cy="93931"/>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210576</xdr:colOff>
      <xdr:row>414</xdr:row>
      <xdr:rowOff>67701</xdr:rowOff>
    </xdr:from>
    <xdr:to>
      <xdr:col>22</xdr:col>
      <xdr:colOff>14655</xdr:colOff>
      <xdr:row>431</xdr:row>
      <xdr:rowOff>49703</xdr:rowOff>
    </xdr:to>
    <xdr:cxnSp macro="">
      <xdr:nvCxnSpPr>
        <xdr:cNvPr id="305" name="直線コネクタ 31">
          <a:extLst>
            <a:ext uri="{FF2B5EF4-FFF2-40B4-BE49-F238E27FC236}">
              <a16:creationId xmlns:a16="http://schemas.microsoft.com/office/drawing/2014/main" id="{753C4D69-787E-483E-AA7D-A5DE51B0FB30}"/>
            </a:ext>
          </a:extLst>
        </xdr:cNvPr>
        <xdr:cNvCxnSpPr>
          <a:stCxn id="297" idx="1"/>
          <a:endCxn id="282" idx="3"/>
        </xdr:cNvCxnSpPr>
      </xdr:nvCxnSpPr>
      <xdr:spPr>
        <a:xfrm rot="10800000">
          <a:off x="4782576" y="71048001"/>
          <a:ext cx="261279" cy="2896652"/>
        </a:xfrm>
        <a:prstGeom prst="bentConnector3">
          <a:avLst>
            <a:gd name="adj1" fmla="val 34542"/>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204862</xdr:colOff>
      <xdr:row>415</xdr:row>
      <xdr:rowOff>80744</xdr:rowOff>
    </xdr:from>
    <xdr:to>
      <xdr:col>22</xdr:col>
      <xdr:colOff>21981</xdr:colOff>
      <xdr:row>432</xdr:row>
      <xdr:rowOff>54294</xdr:rowOff>
    </xdr:to>
    <xdr:cxnSp macro="">
      <xdr:nvCxnSpPr>
        <xdr:cNvPr id="306" name="直線コネクタ 31">
          <a:extLst>
            <a:ext uri="{FF2B5EF4-FFF2-40B4-BE49-F238E27FC236}">
              <a16:creationId xmlns:a16="http://schemas.microsoft.com/office/drawing/2014/main" id="{2FCE8D3E-FBC9-4E36-A974-58D258B2C59E}"/>
            </a:ext>
          </a:extLst>
        </xdr:cNvPr>
        <xdr:cNvCxnSpPr>
          <a:stCxn id="304" idx="1"/>
          <a:endCxn id="292" idx="3"/>
        </xdr:cNvCxnSpPr>
      </xdr:nvCxnSpPr>
      <xdr:spPr>
        <a:xfrm rot="10800000">
          <a:off x="4776862" y="71232494"/>
          <a:ext cx="274319" cy="2888200"/>
        </a:xfrm>
        <a:prstGeom prst="bentConnector3">
          <a:avLst>
            <a:gd name="adj1" fmla="val 67689"/>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40</xdr:col>
      <xdr:colOff>33129</xdr:colOff>
      <xdr:row>356</xdr:row>
      <xdr:rowOff>41413</xdr:rowOff>
    </xdr:from>
    <xdr:to>
      <xdr:col>54</xdr:col>
      <xdr:colOff>149087</xdr:colOff>
      <xdr:row>359</xdr:row>
      <xdr:rowOff>99391</xdr:rowOff>
    </xdr:to>
    <xdr:sp macro="" textlink="">
      <xdr:nvSpPr>
        <xdr:cNvPr id="307" name="吹き出し: 角を丸めた四角形 306">
          <a:extLst>
            <a:ext uri="{FF2B5EF4-FFF2-40B4-BE49-F238E27FC236}">
              <a16:creationId xmlns:a16="http://schemas.microsoft.com/office/drawing/2014/main" id="{50F01AA4-0B3D-4C4C-AE98-0860DCB86741}"/>
            </a:ext>
          </a:extLst>
        </xdr:cNvPr>
        <xdr:cNvSpPr/>
      </xdr:nvSpPr>
      <xdr:spPr>
        <a:xfrm>
          <a:off x="9177129" y="61077613"/>
          <a:ext cx="3316358" cy="572328"/>
        </a:xfrm>
        <a:prstGeom prst="wedgeRoundRectCallout">
          <a:avLst>
            <a:gd name="adj1" fmla="val -56062"/>
            <a:gd name="adj2" fmla="val 85723"/>
            <a:gd name="adj3" fmla="val 1666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rtlCol="0" anchor="t"/>
        <a:lstStyle/>
        <a:p>
          <a:pPr algn="l"/>
          <a:r>
            <a:rPr kumimoji="1" lang="en-US" altLang="ja-JP" sz="1100"/>
            <a:t>MANUAL_PRICE/</a:t>
          </a:r>
          <a:r>
            <a:rPr kumimoji="1" lang="ja-JP" altLang="en-US" sz="1100"/>
            <a:t>価格変更情報は作成せず、代わりに</a:t>
          </a:r>
          <a:r>
            <a:rPr kumimoji="1" lang="en-US" altLang="ja-JP" sz="1100"/>
            <a:t>LN_DISCOUNT/</a:t>
          </a:r>
          <a:r>
            <a:rPr kumimoji="1" lang="ja-JP" altLang="en-US" sz="1100"/>
            <a:t>値引情報を作成する</a:t>
          </a:r>
        </a:p>
      </xdr:txBody>
    </xdr:sp>
    <xdr:clientData/>
  </xdr:twoCellAnchor>
  <xdr:twoCellAnchor>
    <xdr:from>
      <xdr:col>13</xdr:col>
      <xdr:colOff>14947</xdr:colOff>
      <xdr:row>479</xdr:row>
      <xdr:rowOff>16266</xdr:rowOff>
    </xdr:from>
    <xdr:to>
      <xdr:col>13</xdr:col>
      <xdr:colOff>171157</xdr:colOff>
      <xdr:row>479</xdr:row>
      <xdr:rowOff>104828</xdr:rowOff>
    </xdr:to>
    <xdr:sp macro="" textlink="">
      <xdr:nvSpPr>
        <xdr:cNvPr id="308" name="正方形/長方形 307">
          <a:extLst>
            <a:ext uri="{FF2B5EF4-FFF2-40B4-BE49-F238E27FC236}">
              <a16:creationId xmlns:a16="http://schemas.microsoft.com/office/drawing/2014/main" id="{522D680E-0654-45CF-863B-EECCD9DC0B41}"/>
            </a:ext>
          </a:extLst>
        </xdr:cNvPr>
        <xdr:cNvSpPr/>
      </xdr:nvSpPr>
      <xdr:spPr>
        <a:xfrm>
          <a:off x="2986747" y="82140816"/>
          <a:ext cx="156210" cy="8856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14654</xdr:colOff>
      <xdr:row>479</xdr:row>
      <xdr:rowOff>7327</xdr:rowOff>
    </xdr:from>
    <xdr:to>
      <xdr:col>22</xdr:col>
      <xdr:colOff>182294</xdr:colOff>
      <xdr:row>479</xdr:row>
      <xdr:rowOff>92079</xdr:rowOff>
    </xdr:to>
    <xdr:sp macro="" textlink="">
      <xdr:nvSpPr>
        <xdr:cNvPr id="309" name="正方形/長方形 308">
          <a:extLst>
            <a:ext uri="{FF2B5EF4-FFF2-40B4-BE49-F238E27FC236}">
              <a16:creationId xmlns:a16="http://schemas.microsoft.com/office/drawing/2014/main" id="{D4A2F05B-F3A2-4AFC-9ADF-503602A3513B}"/>
            </a:ext>
          </a:extLst>
        </xdr:cNvPr>
        <xdr:cNvSpPr/>
      </xdr:nvSpPr>
      <xdr:spPr>
        <a:xfrm>
          <a:off x="5043854" y="82131877"/>
          <a:ext cx="167640" cy="8475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13042</xdr:colOff>
      <xdr:row>479</xdr:row>
      <xdr:rowOff>34730</xdr:rowOff>
    </xdr:from>
    <xdr:to>
      <xdr:col>31</xdr:col>
      <xdr:colOff>171157</xdr:colOff>
      <xdr:row>479</xdr:row>
      <xdr:rowOff>113767</xdr:rowOff>
    </xdr:to>
    <xdr:sp macro="" textlink="">
      <xdr:nvSpPr>
        <xdr:cNvPr id="310" name="正方形/長方形 309">
          <a:extLst>
            <a:ext uri="{FF2B5EF4-FFF2-40B4-BE49-F238E27FC236}">
              <a16:creationId xmlns:a16="http://schemas.microsoft.com/office/drawing/2014/main" id="{977F45F7-54E1-4D6A-B59B-E53593AA55FF}"/>
            </a:ext>
          </a:extLst>
        </xdr:cNvPr>
        <xdr:cNvSpPr/>
      </xdr:nvSpPr>
      <xdr:spPr>
        <a:xfrm>
          <a:off x="7099642" y="82159280"/>
          <a:ext cx="158115" cy="7903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11138</xdr:colOff>
      <xdr:row>480</xdr:row>
      <xdr:rowOff>18170</xdr:rowOff>
    </xdr:from>
    <xdr:to>
      <xdr:col>31</xdr:col>
      <xdr:colOff>173063</xdr:colOff>
      <xdr:row>480</xdr:row>
      <xdr:rowOff>104827</xdr:rowOff>
    </xdr:to>
    <xdr:sp macro="" textlink="">
      <xdr:nvSpPr>
        <xdr:cNvPr id="311" name="正方形/長方形 310">
          <a:extLst>
            <a:ext uri="{FF2B5EF4-FFF2-40B4-BE49-F238E27FC236}">
              <a16:creationId xmlns:a16="http://schemas.microsoft.com/office/drawing/2014/main" id="{7530D3BB-3AFE-4DAA-8CE1-BACC864F2AF1}"/>
            </a:ext>
          </a:extLst>
        </xdr:cNvPr>
        <xdr:cNvSpPr/>
      </xdr:nvSpPr>
      <xdr:spPr>
        <a:xfrm>
          <a:off x="7097738" y="82314170"/>
          <a:ext cx="161925" cy="8665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29307</xdr:colOff>
      <xdr:row>471</xdr:row>
      <xdr:rowOff>14654</xdr:rowOff>
    </xdr:from>
    <xdr:to>
      <xdr:col>11</xdr:col>
      <xdr:colOff>206472</xdr:colOff>
      <xdr:row>471</xdr:row>
      <xdr:rowOff>116551</xdr:rowOff>
    </xdr:to>
    <xdr:sp macro="" textlink="">
      <xdr:nvSpPr>
        <xdr:cNvPr id="312" name="正方形/長方形 311">
          <a:extLst>
            <a:ext uri="{FF2B5EF4-FFF2-40B4-BE49-F238E27FC236}">
              <a16:creationId xmlns:a16="http://schemas.microsoft.com/office/drawing/2014/main" id="{CC44B5B1-EDBA-4DEC-A5B8-FCF23356B67E}"/>
            </a:ext>
          </a:extLst>
        </xdr:cNvPr>
        <xdr:cNvSpPr/>
      </xdr:nvSpPr>
      <xdr:spPr>
        <a:xfrm>
          <a:off x="2543907" y="80767604"/>
          <a:ext cx="17716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14946</xdr:colOff>
      <xdr:row>471</xdr:row>
      <xdr:rowOff>27403</xdr:rowOff>
    </xdr:from>
    <xdr:to>
      <xdr:col>13</xdr:col>
      <xdr:colOff>192111</xdr:colOff>
      <xdr:row>471</xdr:row>
      <xdr:rowOff>112155</xdr:rowOff>
    </xdr:to>
    <xdr:sp macro="" textlink="">
      <xdr:nvSpPr>
        <xdr:cNvPr id="313" name="正方形/長方形 312">
          <a:extLst>
            <a:ext uri="{FF2B5EF4-FFF2-40B4-BE49-F238E27FC236}">
              <a16:creationId xmlns:a16="http://schemas.microsoft.com/office/drawing/2014/main" id="{85A279E2-F0FF-497B-B63A-0F1648BFD685}"/>
            </a:ext>
          </a:extLst>
        </xdr:cNvPr>
        <xdr:cNvSpPr/>
      </xdr:nvSpPr>
      <xdr:spPr>
        <a:xfrm>
          <a:off x="2986746" y="80780353"/>
          <a:ext cx="177165" cy="8475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210282</xdr:colOff>
      <xdr:row>471</xdr:row>
      <xdr:rowOff>67508</xdr:rowOff>
    </xdr:from>
    <xdr:to>
      <xdr:col>13</xdr:col>
      <xdr:colOff>18756</xdr:colOff>
      <xdr:row>471</xdr:row>
      <xdr:rowOff>68827</xdr:rowOff>
    </xdr:to>
    <xdr:cxnSp macro="">
      <xdr:nvCxnSpPr>
        <xdr:cNvPr id="314" name="直線コネクタ 313">
          <a:extLst>
            <a:ext uri="{FF2B5EF4-FFF2-40B4-BE49-F238E27FC236}">
              <a16:creationId xmlns:a16="http://schemas.microsoft.com/office/drawing/2014/main" id="{6739B494-FB0D-441D-BABD-80AE24EACE51}"/>
            </a:ext>
          </a:extLst>
        </xdr:cNvPr>
        <xdr:cNvCxnSpPr>
          <a:cxnSpLocks/>
          <a:stCxn id="312" idx="3"/>
          <a:endCxn id="313" idx="1"/>
        </xdr:cNvCxnSpPr>
      </xdr:nvCxnSpPr>
      <xdr:spPr>
        <a:xfrm>
          <a:off x="2724882" y="80820458"/>
          <a:ext cx="265674" cy="1319"/>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11430</xdr:colOff>
      <xdr:row>471</xdr:row>
      <xdr:rowOff>18170</xdr:rowOff>
    </xdr:from>
    <xdr:to>
      <xdr:col>22</xdr:col>
      <xdr:colOff>184785</xdr:colOff>
      <xdr:row>471</xdr:row>
      <xdr:rowOff>114352</xdr:rowOff>
    </xdr:to>
    <xdr:sp macro="" textlink="">
      <xdr:nvSpPr>
        <xdr:cNvPr id="315" name="正方形/長方形 314">
          <a:extLst>
            <a:ext uri="{FF2B5EF4-FFF2-40B4-BE49-F238E27FC236}">
              <a16:creationId xmlns:a16="http://schemas.microsoft.com/office/drawing/2014/main" id="{F7C6D357-8E9B-4CC2-B88A-35E2B77216D2}"/>
            </a:ext>
          </a:extLst>
        </xdr:cNvPr>
        <xdr:cNvSpPr/>
      </xdr:nvSpPr>
      <xdr:spPr>
        <a:xfrm>
          <a:off x="5040630" y="80771120"/>
          <a:ext cx="173355" cy="9618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29307</xdr:colOff>
      <xdr:row>471</xdr:row>
      <xdr:rowOff>14653</xdr:rowOff>
    </xdr:from>
    <xdr:to>
      <xdr:col>29</xdr:col>
      <xdr:colOff>210282</xdr:colOff>
      <xdr:row>471</xdr:row>
      <xdr:rowOff>108930</xdr:rowOff>
    </xdr:to>
    <xdr:sp macro="" textlink="">
      <xdr:nvSpPr>
        <xdr:cNvPr id="316" name="正方形/長方形 315">
          <a:extLst>
            <a:ext uri="{FF2B5EF4-FFF2-40B4-BE49-F238E27FC236}">
              <a16:creationId xmlns:a16="http://schemas.microsoft.com/office/drawing/2014/main" id="{9579D566-E647-4C38-8F00-FF9F4C269AFA}"/>
            </a:ext>
          </a:extLst>
        </xdr:cNvPr>
        <xdr:cNvSpPr/>
      </xdr:nvSpPr>
      <xdr:spPr>
        <a:xfrm>
          <a:off x="6658707" y="80767603"/>
          <a:ext cx="18097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16853</xdr:colOff>
      <xdr:row>471</xdr:row>
      <xdr:rowOff>10844</xdr:rowOff>
    </xdr:from>
    <xdr:to>
      <xdr:col>31</xdr:col>
      <xdr:colOff>188303</xdr:colOff>
      <xdr:row>471</xdr:row>
      <xdr:rowOff>110836</xdr:rowOff>
    </xdr:to>
    <xdr:sp macro="" textlink="">
      <xdr:nvSpPr>
        <xdr:cNvPr id="317" name="正方形/長方形 316">
          <a:extLst>
            <a:ext uri="{FF2B5EF4-FFF2-40B4-BE49-F238E27FC236}">
              <a16:creationId xmlns:a16="http://schemas.microsoft.com/office/drawing/2014/main" id="{2E1F8EBB-A0D7-4A3C-81E7-09C25A166A4B}"/>
            </a:ext>
          </a:extLst>
        </xdr:cNvPr>
        <xdr:cNvSpPr/>
      </xdr:nvSpPr>
      <xdr:spPr>
        <a:xfrm>
          <a:off x="7103453" y="80763794"/>
          <a:ext cx="171450" cy="9999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21981</xdr:colOff>
      <xdr:row>473</xdr:row>
      <xdr:rowOff>14653</xdr:rowOff>
    </xdr:from>
    <xdr:to>
      <xdr:col>29</xdr:col>
      <xdr:colOff>202956</xdr:colOff>
      <xdr:row>473</xdr:row>
      <xdr:rowOff>108930</xdr:rowOff>
    </xdr:to>
    <xdr:sp macro="" textlink="">
      <xdr:nvSpPr>
        <xdr:cNvPr id="318" name="正方形/長方形 317">
          <a:extLst>
            <a:ext uri="{FF2B5EF4-FFF2-40B4-BE49-F238E27FC236}">
              <a16:creationId xmlns:a16="http://schemas.microsoft.com/office/drawing/2014/main" id="{197EC241-D1C2-4B8E-A7F9-496DBB8ADDDB}"/>
            </a:ext>
          </a:extLst>
        </xdr:cNvPr>
        <xdr:cNvSpPr/>
      </xdr:nvSpPr>
      <xdr:spPr>
        <a:xfrm>
          <a:off x="6651381" y="81110503"/>
          <a:ext cx="180975" cy="9427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10844</xdr:colOff>
      <xdr:row>472</xdr:row>
      <xdr:rowOff>29308</xdr:rowOff>
    </xdr:from>
    <xdr:to>
      <xdr:col>31</xdr:col>
      <xdr:colOff>195629</xdr:colOff>
      <xdr:row>472</xdr:row>
      <xdr:rowOff>123585</xdr:rowOff>
    </xdr:to>
    <xdr:sp macro="" textlink="">
      <xdr:nvSpPr>
        <xdr:cNvPr id="319" name="正方形/長方形 318">
          <a:extLst>
            <a:ext uri="{FF2B5EF4-FFF2-40B4-BE49-F238E27FC236}">
              <a16:creationId xmlns:a16="http://schemas.microsoft.com/office/drawing/2014/main" id="{BC92B621-B43E-4497-9E5A-9C93F9A0E31C}"/>
            </a:ext>
          </a:extLst>
        </xdr:cNvPr>
        <xdr:cNvSpPr/>
      </xdr:nvSpPr>
      <xdr:spPr>
        <a:xfrm>
          <a:off x="7097444" y="80953708"/>
          <a:ext cx="184785" cy="9427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210575</xdr:colOff>
      <xdr:row>471</xdr:row>
      <xdr:rowOff>67701</xdr:rowOff>
    </xdr:from>
    <xdr:to>
      <xdr:col>22</xdr:col>
      <xdr:colOff>15240</xdr:colOff>
      <xdr:row>471</xdr:row>
      <xdr:rowOff>68166</xdr:rowOff>
    </xdr:to>
    <xdr:cxnSp macro="">
      <xdr:nvCxnSpPr>
        <xdr:cNvPr id="320" name="直線コネクタ 319">
          <a:extLst>
            <a:ext uri="{FF2B5EF4-FFF2-40B4-BE49-F238E27FC236}">
              <a16:creationId xmlns:a16="http://schemas.microsoft.com/office/drawing/2014/main" id="{3362D1F5-9E17-4269-B3BA-EB6A49C6876D}"/>
            </a:ext>
          </a:extLst>
        </xdr:cNvPr>
        <xdr:cNvCxnSpPr>
          <a:cxnSpLocks/>
          <a:stCxn id="321" idx="3"/>
          <a:endCxn id="315" idx="1"/>
        </xdr:cNvCxnSpPr>
      </xdr:nvCxnSpPr>
      <xdr:spPr>
        <a:xfrm>
          <a:off x="4782575" y="80820651"/>
          <a:ext cx="261865" cy="465"/>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18170</xdr:colOff>
      <xdr:row>471</xdr:row>
      <xdr:rowOff>25498</xdr:rowOff>
    </xdr:from>
    <xdr:to>
      <xdr:col>20</xdr:col>
      <xdr:colOff>210575</xdr:colOff>
      <xdr:row>471</xdr:row>
      <xdr:rowOff>109904</xdr:rowOff>
    </xdr:to>
    <xdr:sp macro="" textlink="">
      <xdr:nvSpPr>
        <xdr:cNvPr id="321" name="正方形/長方形 320">
          <a:extLst>
            <a:ext uri="{FF2B5EF4-FFF2-40B4-BE49-F238E27FC236}">
              <a16:creationId xmlns:a16="http://schemas.microsoft.com/office/drawing/2014/main" id="{C203566D-E955-450D-8668-3ABABDA69A1E}"/>
            </a:ext>
          </a:extLst>
        </xdr:cNvPr>
        <xdr:cNvSpPr/>
      </xdr:nvSpPr>
      <xdr:spPr>
        <a:xfrm>
          <a:off x="4590170" y="80778448"/>
          <a:ext cx="192405" cy="84406"/>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206472</xdr:colOff>
      <xdr:row>471</xdr:row>
      <xdr:rowOff>61793</xdr:rowOff>
    </xdr:from>
    <xdr:to>
      <xdr:col>31</xdr:col>
      <xdr:colOff>20663</xdr:colOff>
      <xdr:row>471</xdr:row>
      <xdr:rowOff>62744</xdr:rowOff>
    </xdr:to>
    <xdr:cxnSp macro="">
      <xdr:nvCxnSpPr>
        <xdr:cNvPr id="322" name="直線コネクタ 321">
          <a:extLst>
            <a:ext uri="{FF2B5EF4-FFF2-40B4-BE49-F238E27FC236}">
              <a16:creationId xmlns:a16="http://schemas.microsoft.com/office/drawing/2014/main" id="{18F619AA-52E8-40B5-AA95-056BFBC78DA5}"/>
            </a:ext>
          </a:extLst>
        </xdr:cNvPr>
        <xdr:cNvCxnSpPr>
          <a:cxnSpLocks/>
          <a:stCxn id="316" idx="3"/>
          <a:endCxn id="317" idx="1"/>
        </xdr:cNvCxnSpPr>
      </xdr:nvCxnSpPr>
      <xdr:spPr>
        <a:xfrm flipV="1">
          <a:off x="6835872" y="80814743"/>
          <a:ext cx="271391" cy="951"/>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206766</xdr:colOff>
      <xdr:row>472</xdr:row>
      <xdr:rowOff>76447</xdr:rowOff>
    </xdr:from>
    <xdr:to>
      <xdr:col>31</xdr:col>
      <xdr:colOff>12749</xdr:colOff>
      <xdr:row>473</xdr:row>
      <xdr:rowOff>62744</xdr:rowOff>
    </xdr:to>
    <xdr:cxnSp macro="">
      <xdr:nvCxnSpPr>
        <xdr:cNvPr id="323" name="直線コネクタ 31">
          <a:extLst>
            <a:ext uri="{FF2B5EF4-FFF2-40B4-BE49-F238E27FC236}">
              <a16:creationId xmlns:a16="http://schemas.microsoft.com/office/drawing/2014/main" id="{8498DE31-9BD6-4DCB-BE90-8E7572BA1047}"/>
            </a:ext>
          </a:extLst>
        </xdr:cNvPr>
        <xdr:cNvCxnSpPr>
          <a:stCxn id="319" idx="1"/>
          <a:endCxn id="318" idx="3"/>
        </xdr:cNvCxnSpPr>
      </xdr:nvCxnSpPr>
      <xdr:spPr>
        <a:xfrm rot="10800000" flipV="1">
          <a:off x="6836166" y="81000847"/>
          <a:ext cx="263183" cy="157747"/>
        </a:xfrm>
        <a:prstGeom prst="bentConnector3">
          <a:avLst>
            <a:gd name="adj1" fmla="val 50000"/>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43962</xdr:colOff>
      <xdr:row>480</xdr:row>
      <xdr:rowOff>131884</xdr:rowOff>
    </xdr:from>
    <xdr:to>
      <xdr:col>29</xdr:col>
      <xdr:colOff>207792</xdr:colOff>
      <xdr:row>481</xdr:row>
      <xdr:rowOff>88561</xdr:rowOff>
    </xdr:to>
    <xdr:sp macro="" textlink="">
      <xdr:nvSpPr>
        <xdr:cNvPr id="324" name="正方形/長方形 323">
          <a:extLst>
            <a:ext uri="{FF2B5EF4-FFF2-40B4-BE49-F238E27FC236}">
              <a16:creationId xmlns:a16="http://schemas.microsoft.com/office/drawing/2014/main" id="{99C639C5-2768-4AFC-AD33-E4D292DC9B52}"/>
            </a:ext>
          </a:extLst>
        </xdr:cNvPr>
        <xdr:cNvSpPr/>
      </xdr:nvSpPr>
      <xdr:spPr>
        <a:xfrm>
          <a:off x="6673362" y="82427884"/>
          <a:ext cx="163830" cy="12812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210283</xdr:colOff>
      <xdr:row>471</xdr:row>
      <xdr:rowOff>67508</xdr:rowOff>
    </xdr:from>
    <xdr:to>
      <xdr:col>13</xdr:col>
      <xdr:colOff>18758</xdr:colOff>
      <xdr:row>479</xdr:row>
      <xdr:rowOff>61500</xdr:rowOff>
    </xdr:to>
    <xdr:cxnSp macro="">
      <xdr:nvCxnSpPr>
        <xdr:cNvPr id="325" name="直線コネクタ 31">
          <a:extLst>
            <a:ext uri="{FF2B5EF4-FFF2-40B4-BE49-F238E27FC236}">
              <a16:creationId xmlns:a16="http://schemas.microsoft.com/office/drawing/2014/main" id="{19A3C2DA-774C-445F-94D0-842C47AF1184}"/>
            </a:ext>
          </a:extLst>
        </xdr:cNvPr>
        <xdr:cNvCxnSpPr>
          <a:stCxn id="308" idx="1"/>
          <a:endCxn id="312" idx="3"/>
        </xdr:cNvCxnSpPr>
      </xdr:nvCxnSpPr>
      <xdr:spPr>
        <a:xfrm rot="10800000">
          <a:off x="2724883" y="80820458"/>
          <a:ext cx="265675" cy="1365592"/>
        </a:xfrm>
        <a:prstGeom prst="bentConnector3">
          <a:avLst>
            <a:gd name="adj1" fmla="val 50000"/>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210576</xdr:colOff>
      <xdr:row>471</xdr:row>
      <xdr:rowOff>67702</xdr:rowOff>
    </xdr:from>
    <xdr:to>
      <xdr:col>22</xdr:col>
      <xdr:colOff>18465</xdr:colOff>
      <xdr:row>479</xdr:row>
      <xdr:rowOff>52562</xdr:rowOff>
    </xdr:to>
    <xdr:cxnSp macro="">
      <xdr:nvCxnSpPr>
        <xdr:cNvPr id="326" name="直線コネクタ 31">
          <a:extLst>
            <a:ext uri="{FF2B5EF4-FFF2-40B4-BE49-F238E27FC236}">
              <a16:creationId xmlns:a16="http://schemas.microsoft.com/office/drawing/2014/main" id="{5514ECD6-366F-4D15-808E-F14B8B3FED95}"/>
            </a:ext>
          </a:extLst>
        </xdr:cNvPr>
        <xdr:cNvCxnSpPr>
          <a:stCxn id="309" idx="1"/>
          <a:endCxn id="321" idx="3"/>
        </xdr:cNvCxnSpPr>
      </xdr:nvCxnSpPr>
      <xdr:spPr>
        <a:xfrm rot="10800000">
          <a:off x="4782576" y="80820652"/>
          <a:ext cx="265089" cy="1356460"/>
        </a:xfrm>
        <a:prstGeom prst="bentConnector3">
          <a:avLst>
            <a:gd name="adj1" fmla="val 34766"/>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43961</xdr:colOff>
      <xdr:row>479</xdr:row>
      <xdr:rowOff>29307</xdr:rowOff>
    </xdr:from>
    <xdr:to>
      <xdr:col>29</xdr:col>
      <xdr:colOff>207791</xdr:colOff>
      <xdr:row>479</xdr:row>
      <xdr:rowOff>117869</xdr:rowOff>
    </xdr:to>
    <xdr:sp macro="" textlink="">
      <xdr:nvSpPr>
        <xdr:cNvPr id="327" name="正方形/長方形 326">
          <a:extLst>
            <a:ext uri="{FF2B5EF4-FFF2-40B4-BE49-F238E27FC236}">
              <a16:creationId xmlns:a16="http://schemas.microsoft.com/office/drawing/2014/main" id="{FEFB587D-35BA-4DEC-81DF-2F9FDA89697E}"/>
            </a:ext>
          </a:extLst>
        </xdr:cNvPr>
        <xdr:cNvSpPr/>
      </xdr:nvSpPr>
      <xdr:spPr>
        <a:xfrm>
          <a:off x="6673361" y="82153857"/>
          <a:ext cx="163830" cy="8856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211601</xdr:colOff>
      <xdr:row>479</xdr:row>
      <xdr:rowOff>72636</xdr:rowOff>
    </xdr:from>
    <xdr:to>
      <xdr:col>31</xdr:col>
      <xdr:colOff>16852</xdr:colOff>
      <xdr:row>479</xdr:row>
      <xdr:rowOff>74249</xdr:rowOff>
    </xdr:to>
    <xdr:cxnSp macro="">
      <xdr:nvCxnSpPr>
        <xdr:cNvPr id="328" name="直線コネクタ 327">
          <a:extLst>
            <a:ext uri="{FF2B5EF4-FFF2-40B4-BE49-F238E27FC236}">
              <a16:creationId xmlns:a16="http://schemas.microsoft.com/office/drawing/2014/main" id="{773E1EA4-C838-4BE0-AAEE-BD31471CA790}"/>
            </a:ext>
          </a:extLst>
        </xdr:cNvPr>
        <xdr:cNvCxnSpPr>
          <a:cxnSpLocks/>
          <a:stCxn id="327" idx="3"/>
          <a:endCxn id="310" idx="1"/>
        </xdr:cNvCxnSpPr>
      </xdr:nvCxnSpPr>
      <xdr:spPr>
        <a:xfrm>
          <a:off x="6841001" y="82197186"/>
          <a:ext cx="262451" cy="1613"/>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211602</xdr:colOff>
      <xdr:row>480</xdr:row>
      <xdr:rowOff>62451</xdr:rowOff>
    </xdr:from>
    <xdr:to>
      <xdr:col>31</xdr:col>
      <xdr:colOff>13043</xdr:colOff>
      <xdr:row>481</xdr:row>
      <xdr:rowOff>48090</xdr:rowOff>
    </xdr:to>
    <xdr:cxnSp macro="">
      <xdr:nvCxnSpPr>
        <xdr:cNvPr id="329" name="直線コネクタ 31">
          <a:extLst>
            <a:ext uri="{FF2B5EF4-FFF2-40B4-BE49-F238E27FC236}">
              <a16:creationId xmlns:a16="http://schemas.microsoft.com/office/drawing/2014/main" id="{E597CAC3-7D37-4267-89FE-ED516E823163}"/>
            </a:ext>
          </a:extLst>
        </xdr:cNvPr>
        <xdr:cNvCxnSpPr>
          <a:stCxn id="311" idx="1"/>
          <a:endCxn id="324" idx="3"/>
        </xdr:cNvCxnSpPr>
      </xdr:nvCxnSpPr>
      <xdr:spPr>
        <a:xfrm rot="10800000" flipV="1">
          <a:off x="6841002" y="82358451"/>
          <a:ext cx="258641" cy="157089"/>
        </a:xfrm>
        <a:prstGeom prst="bentConnector3">
          <a:avLst>
            <a:gd name="adj1" fmla="val 50000"/>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206766</xdr:colOff>
      <xdr:row>472</xdr:row>
      <xdr:rowOff>76447</xdr:rowOff>
    </xdr:from>
    <xdr:to>
      <xdr:col>31</xdr:col>
      <xdr:colOff>12749</xdr:colOff>
      <xdr:row>473</xdr:row>
      <xdr:rowOff>62744</xdr:rowOff>
    </xdr:to>
    <xdr:cxnSp macro="">
      <xdr:nvCxnSpPr>
        <xdr:cNvPr id="330" name="直線コネクタ 31">
          <a:extLst>
            <a:ext uri="{FF2B5EF4-FFF2-40B4-BE49-F238E27FC236}">
              <a16:creationId xmlns:a16="http://schemas.microsoft.com/office/drawing/2014/main" id="{A0BA90DC-05E5-412E-AD1D-989758AC29BA}"/>
            </a:ext>
          </a:extLst>
        </xdr:cNvPr>
        <xdr:cNvCxnSpPr/>
      </xdr:nvCxnSpPr>
      <xdr:spPr>
        <a:xfrm rot="10800000" flipV="1">
          <a:off x="6836166" y="81000847"/>
          <a:ext cx="263183" cy="157747"/>
        </a:xfrm>
        <a:prstGeom prst="bentConnector3">
          <a:avLst>
            <a:gd name="adj1" fmla="val 50000"/>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21981</xdr:colOff>
      <xdr:row>472</xdr:row>
      <xdr:rowOff>36635</xdr:rowOff>
    </xdr:from>
    <xdr:to>
      <xdr:col>20</xdr:col>
      <xdr:colOff>204861</xdr:colOff>
      <xdr:row>472</xdr:row>
      <xdr:rowOff>124851</xdr:rowOff>
    </xdr:to>
    <xdr:sp macro="" textlink="">
      <xdr:nvSpPr>
        <xdr:cNvPr id="331" name="正方形/長方形 330">
          <a:extLst>
            <a:ext uri="{FF2B5EF4-FFF2-40B4-BE49-F238E27FC236}">
              <a16:creationId xmlns:a16="http://schemas.microsoft.com/office/drawing/2014/main" id="{9AB8C781-4ABB-4A73-9C85-91450CCCAC36}"/>
            </a:ext>
          </a:extLst>
        </xdr:cNvPr>
        <xdr:cNvSpPr/>
      </xdr:nvSpPr>
      <xdr:spPr>
        <a:xfrm>
          <a:off x="4593981" y="80961035"/>
          <a:ext cx="182880" cy="8821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14653</xdr:colOff>
      <xdr:row>472</xdr:row>
      <xdr:rowOff>36634</xdr:rowOff>
    </xdr:from>
    <xdr:to>
      <xdr:col>22</xdr:col>
      <xdr:colOff>197533</xdr:colOff>
      <xdr:row>472</xdr:row>
      <xdr:rowOff>124850</xdr:rowOff>
    </xdr:to>
    <xdr:sp macro="" textlink="">
      <xdr:nvSpPr>
        <xdr:cNvPr id="332" name="正方形/長方形 331">
          <a:extLst>
            <a:ext uri="{FF2B5EF4-FFF2-40B4-BE49-F238E27FC236}">
              <a16:creationId xmlns:a16="http://schemas.microsoft.com/office/drawing/2014/main" id="{50E6AB49-6D89-4CE9-9262-58D9D493145A}"/>
            </a:ext>
          </a:extLst>
        </xdr:cNvPr>
        <xdr:cNvSpPr/>
      </xdr:nvSpPr>
      <xdr:spPr>
        <a:xfrm>
          <a:off x="5043853" y="80961034"/>
          <a:ext cx="182880" cy="8821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21980</xdr:colOff>
      <xdr:row>480</xdr:row>
      <xdr:rowOff>7327</xdr:rowOff>
    </xdr:from>
    <xdr:to>
      <xdr:col>22</xdr:col>
      <xdr:colOff>212480</xdr:colOff>
      <xdr:row>480</xdr:row>
      <xdr:rowOff>101258</xdr:rowOff>
    </xdr:to>
    <xdr:sp macro="" textlink="">
      <xdr:nvSpPr>
        <xdr:cNvPr id="333" name="正方形/長方形 332">
          <a:extLst>
            <a:ext uri="{FF2B5EF4-FFF2-40B4-BE49-F238E27FC236}">
              <a16:creationId xmlns:a16="http://schemas.microsoft.com/office/drawing/2014/main" id="{D65E2E7A-330C-4F11-8A7E-E8C98A0DB361}"/>
            </a:ext>
          </a:extLst>
        </xdr:cNvPr>
        <xdr:cNvSpPr/>
      </xdr:nvSpPr>
      <xdr:spPr>
        <a:xfrm>
          <a:off x="5051180" y="82303327"/>
          <a:ext cx="190500" cy="93931"/>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208672</xdr:colOff>
      <xdr:row>472</xdr:row>
      <xdr:rowOff>81697</xdr:rowOff>
    </xdr:from>
    <xdr:to>
      <xdr:col>22</xdr:col>
      <xdr:colOff>18171</xdr:colOff>
      <xdr:row>480</xdr:row>
      <xdr:rowOff>53341</xdr:rowOff>
    </xdr:to>
    <xdr:cxnSp macro="">
      <xdr:nvCxnSpPr>
        <xdr:cNvPr id="334" name="直線コネクタ 31">
          <a:extLst>
            <a:ext uri="{FF2B5EF4-FFF2-40B4-BE49-F238E27FC236}">
              <a16:creationId xmlns:a16="http://schemas.microsoft.com/office/drawing/2014/main" id="{91785B38-54FF-4699-9FDB-DD14B513F931}"/>
            </a:ext>
          </a:extLst>
        </xdr:cNvPr>
        <xdr:cNvCxnSpPr>
          <a:stCxn id="333" idx="1"/>
          <a:endCxn id="331" idx="3"/>
        </xdr:cNvCxnSpPr>
      </xdr:nvCxnSpPr>
      <xdr:spPr>
        <a:xfrm rot="10800000">
          <a:off x="4780672" y="81006097"/>
          <a:ext cx="266699" cy="1343244"/>
        </a:xfrm>
        <a:prstGeom prst="bentConnector3">
          <a:avLst>
            <a:gd name="adj1" fmla="val 65625"/>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853</xdr:colOff>
      <xdr:row>472</xdr:row>
      <xdr:rowOff>81695</xdr:rowOff>
    </xdr:from>
    <xdr:to>
      <xdr:col>22</xdr:col>
      <xdr:colOff>18463</xdr:colOff>
      <xdr:row>472</xdr:row>
      <xdr:rowOff>81696</xdr:rowOff>
    </xdr:to>
    <xdr:cxnSp macro="">
      <xdr:nvCxnSpPr>
        <xdr:cNvPr id="335" name="直線コネクタ 334">
          <a:extLst>
            <a:ext uri="{FF2B5EF4-FFF2-40B4-BE49-F238E27FC236}">
              <a16:creationId xmlns:a16="http://schemas.microsoft.com/office/drawing/2014/main" id="{4CAEE49C-A698-492D-A640-D1246E166BF8}"/>
            </a:ext>
          </a:extLst>
        </xdr:cNvPr>
        <xdr:cNvCxnSpPr>
          <a:cxnSpLocks/>
          <a:stCxn id="331" idx="3"/>
          <a:endCxn id="332" idx="1"/>
        </xdr:cNvCxnSpPr>
      </xdr:nvCxnSpPr>
      <xdr:spPr>
        <a:xfrm flipV="1">
          <a:off x="4801453" y="81006095"/>
          <a:ext cx="246210" cy="1"/>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210575</xdr:colOff>
      <xdr:row>471</xdr:row>
      <xdr:rowOff>67702</xdr:rowOff>
    </xdr:from>
    <xdr:to>
      <xdr:col>31</xdr:col>
      <xdr:colOff>13042</xdr:colOff>
      <xdr:row>488</xdr:row>
      <xdr:rowOff>74250</xdr:rowOff>
    </xdr:to>
    <xdr:cxnSp macro="">
      <xdr:nvCxnSpPr>
        <xdr:cNvPr id="336" name="直線コネクタ 31">
          <a:extLst>
            <a:ext uri="{FF2B5EF4-FFF2-40B4-BE49-F238E27FC236}">
              <a16:creationId xmlns:a16="http://schemas.microsoft.com/office/drawing/2014/main" id="{BEBA9C7E-0175-44BD-8C10-311C60FAE4BB}"/>
            </a:ext>
          </a:extLst>
        </xdr:cNvPr>
        <xdr:cNvCxnSpPr>
          <a:cxnSpLocks/>
          <a:stCxn id="338" idx="1"/>
          <a:endCxn id="321" idx="3"/>
        </xdr:cNvCxnSpPr>
      </xdr:nvCxnSpPr>
      <xdr:spPr>
        <a:xfrm rot="10800000">
          <a:off x="4782575" y="80820652"/>
          <a:ext cx="2317067" cy="2921198"/>
        </a:xfrm>
        <a:prstGeom prst="bentConnector3">
          <a:avLst>
            <a:gd name="adj1" fmla="val 92640"/>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204861</xdr:colOff>
      <xdr:row>472</xdr:row>
      <xdr:rowOff>80743</xdr:rowOff>
    </xdr:from>
    <xdr:to>
      <xdr:col>31</xdr:col>
      <xdr:colOff>11138</xdr:colOff>
      <xdr:row>489</xdr:row>
      <xdr:rowOff>61499</xdr:rowOff>
    </xdr:to>
    <xdr:cxnSp macro="">
      <xdr:nvCxnSpPr>
        <xdr:cNvPr id="337" name="直線コネクタ 31">
          <a:extLst>
            <a:ext uri="{FF2B5EF4-FFF2-40B4-BE49-F238E27FC236}">
              <a16:creationId xmlns:a16="http://schemas.microsoft.com/office/drawing/2014/main" id="{CA485852-2B7F-4104-836B-969816E7B107}"/>
            </a:ext>
          </a:extLst>
        </xdr:cNvPr>
        <xdr:cNvCxnSpPr>
          <a:cxnSpLocks/>
          <a:stCxn id="339" idx="1"/>
          <a:endCxn id="331" idx="3"/>
        </xdr:cNvCxnSpPr>
      </xdr:nvCxnSpPr>
      <xdr:spPr>
        <a:xfrm rot="10800000">
          <a:off x="4776861" y="81005143"/>
          <a:ext cx="2320877" cy="2895406"/>
        </a:xfrm>
        <a:prstGeom prst="bentConnector3">
          <a:avLst>
            <a:gd name="adj1" fmla="val 95979"/>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31</xdr:col>
      <xdr:colOff>13042</xdr:colOff>
      <xdr:row>488</xdr:row>
      <xdr:rowOff>34730</xdr:rowOff>
    </xdr:from>
    <xdr:to>
      <xdr:col>31</xdr:col>
      <xdr:colOff>171157</xdr:colOff>
      <xdr:row>488</xdr:row>
      <xdr:rowOff>113767</xdr:rowOff>
    </xdr:to>
    <xdr:sp macro="" textlink="">
      <xdr:nvSpPr>
        <xdr:cNvPr id="338" name="正方形/長方形 337">
          <a:extLst>
            <a:ext uri="{FF2B5EF4-FFF2-40B4-BE49-F238E27FC236}">
              <a16:creationId xmlns:a16="http://schemas.microsoft.com/office/drawing/2014/main" id="{47F2837E-36B8-4549-AF4E-18D42EB56F4C}"/>
            </a:ext>
          </a:extLst>
        </xdr:cNvPr>
        <xdr:cNvSpPr/>
      </xdr:nvSpPr>
      <xdr:spPr>
        <a:xfrm>
          <a:off x="7099642" y="83702330"/>
          <a:ext cx="158115" cy="7903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11138</xdr:colOff>
      <xdr:row>489</xdr:row>
      <xdr:rowOff>18170</xdr:rowOff>
    </xdr:from>
    <xdr:to>
      <xdr:col>31</xdr:col>
      <xdr:colOff>173063</xdr:colOff>
      <xdr:row>489</xdr:row>
      <xdr:rowOff>104827</xdr:rowOff>
    </xdr:to>
    <xdr:sp macro="" textlink="">
      <xdr:nvSpPr>
        <xdr:cNvPr id="339" name="正方形/長方形 338">
          <a:extLst>
            <a:ext uri="{FF2B5EF4-FFF2-40B4-BE49-F238E27FC236}">
              <a16:creationId xmlns:a16="http://schemas.microsoft.com/office/drawing/2014/main" id="{4BA469AD-C30F-4EFA-AA57-E337FEF1F24C}"/>
            </a:ext>
          </a:extLst>
        </xdr:cNvPr>
        <xdr:cNvSpPr/>
      </xdr:nvSpPr>
      <xdr:spPr>
        <a:xfrm>
          <a:off x="7097738" y="83857220"/>
          <a:ext cx="161925" cy="8665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18171</xdr:colOff>
      <xdr:row>379</xdr:row>
      <xdr:rowOff>25497</xdr:rowOff>
    </xdr:from>
    <xdr:to>
      <xdr:col>20</xdr:col>
      <xdr:colOff>208671</xdr:colOff>
      <xdr:row>380</xdr:row>
      <xdr:rowOff>1224</xdr:rowOff>
    </xdr:to>
    <xdr:sp macro="" textlink="">
      <xdr:nvSpPr>
        <xdr:cNvPr id="340" name="正方形/長方形 339">
          <a:extLst>
            <a:ext uri="{FF2B5EF4-FFF2-40B4-BE49-F238E27FC236}">
              <a16:creationId xmlns:a16="http://schemas.microsoft.com/office/drawing/2014/main" id="{60F4DE69-2395-4622-817F-B6C8F60DFEB8}"/>
            </a:ext>
          </a:extLst>
        </xdr:cNvPr>
        <xdr:cNvSpPr/>
      </xdr:nvSpPr>
      <xdr:spPr>
        <a:xfrm>
          <a:off x="4590171" y="65005047"/>
          <a:ext cx="190500" cy="14717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18171</xdr:colOff>
      <xdr:row>415</xdr:row>
      <xdr:rowOff>25497</xdr:rowOff>
    </xdr:from>
    <xdr:to>
      <xdr:col>20</xdr:col>
      <xdr:colOff>208671</xdr:colOff>
      <xdr:row>416</xdr:row>
      <xdr:rowOff>1224</xdr:rowOff>
    </xdr:to>
    <xdr:sp macro="" textlink="">
      <xdr:nvSpPr>
        <xdr:cNvPr id="341" name="正方形/長方形 340">
          <a:extLst>
            <a:ext uri="{FF2B5EF4-FFF2-40B4-BE49-F238E27FC236}">
              <a16:creationId xmlns:a16="http://schemas.microsoft.com/office/drawing/2014/main" id="{2C45C220-85FE-46EC-8A4B-B82B82724438}"/>
            </a:ext>
          </a:extLst>
        </xdr:cNvPr>
        <xdr:cNvSpPr/>
      </xdr:nvSpPr>
      <xdr:spPr>
        <a:xfrm>
          <a:off x="4590171" y="71177247"/>
          <a:ext cx="190500" cy="14717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18171</xdr:colOff>
      <xdr:row>472</xdr:row>
      <xdr:rowOff>25497</xdr:rowOff>
    </xdr:from>
    <xdr:to>
      <xdr:col>20</xdr:col>
      <xdr:colOff>208671</xdr:colOff>
      <xdr:row>473</xdr:row>
      <xdr:rowOff>1224</xdr:rowOff>
    </xdr:to>
    <xdr:sp macro="" textlink="">
      <xdr:nvSpPr>
        <xdr:cNvPr id="342" name="正方形/長方形 341">
          <a:extLst>
            <a:ext uri="{FF2B5EF4-FFF2-40B4-BE49-F238E27FC236}">
              <a16:creationId xmlns:a16="http://schemas.microsoft.com/office/drawing/2014/main" id="{E6153175-BF6A-4754-B339-5725D6E012AD}"/>
            </a:ext>
          </a:extLst>
        </xdr:cNvPr>
        <xdr:cNvSpPr/>
      </xdr:nvSpPr>
      <xdr:spPr>
        <a:xfrm>
          <a:off x="4590171" y="80949897"/>
          <a:ext cx="190500" cy="14717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40</xdr:col>
      <xdr:colOff>17253</xdr:colOff>
      <xdr:row>382</xdr:row>
      <xdr:rowOff>1725</xdr:rowOff>
    </xdr:from>
    <xdr:to>
      <xdr:col>54</xdr:col>
      <xdr:colOff>133211</xdr:colOff>
      <xdr:row>385</xdr:row>
      <xdr:rowOff>59703</xdr:rowOff>
    </xdr:to>
    <xdr:sp macro="" textlink="">
      <xdr:nvSpPr>
        <xdr:cNvPr id="343" name="吹き出し: 角を丸めた四角形 342">
          <a:extLst>
            <a:ext uri="{FF2B5EF4-FFF2-40B4-BE49-F238E27FC236}">
              <a16:creationId xmlns:a16="http://schemas.microsoft.com/office/drawing/2014/main" id="{6FD025AE-2904-4F9D-AC72-CF8D5D1198EF}"/>
            </a:ext>
          </a:extLst>
        </xdr:cNvPr>
        <xdr:cNvSpPr/>
      </xdr:nvSpPr>
      <xdr:spPr>
        <a:xfrm>
          <a:off x="9161253" y="65495625"/>
          <a:ext cx="3316358" cy="572328"/>
        </a:xfrm>
        <a:prstGeom prst="wedgeRoundRectCallout">
          <a:avLst>
            <a:gd name="adj1" fmla="val -56062"/>
            <a:gd name="adj2" fmla="val 85723"/>
            <a:gd name="adj3" fmla="val 1666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rtlCol="0" anchor="t"/>
        <a:lstStyle/>
        <a:p>
          <a:pPr algn="l"/>
          <a:r>
            <a:rPr kumimoji="1" lang="en-US" altLang="ja-JP" sz="1100"/>
            <a:t>LN_DISCOUNT/</a:t>
          </a:r>
          <a:r>
            <a:rPr kumimoji="1" lang="ja-JP" altLang="en-US" sz="1100"/>
            <a:t>値引情報は作成せず、代わりに</a:t>
          </a:r>
          <a:r>
            <a:rPr kumimoji="1" lang="en-US" altLang="ja-JP" sz="1100"/>
            <a:t>MANUAL_PRICE/</a:t>
          </a:r>
          <a:r>
            <a:rPr kumimoji="1" lang="ja-JP" altLang="en-US" sz="1100"/>
            <a:t>価格変更情報を作成する</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10</xdr:col>
      <xdr:colOff>281009</xdr:colOff>
      <xdr:row>27</xdr:row>
      <xdr:rowOff>66087</xdr:rowOff>
    </xdr:from>
    <xdr:to>
      <xdr:col>12</xdr:col>
      <xdr:colOff>18463</xdr:colOff>
      <xdr:row>27</xdr:row>
      <xdr:rowOff>67142</xdr:rowOff>
    </xdr:to>
    <xdr:cxnSp macro="">
      <xdr:nvCxnSpPr>
        <xdr:cNvPr id="2" name="直線コネクタ 1">
          <a:extLst>
            <a:ext uri="{FF2B5EF4-FFF2-40B4-BE49-F238E27FC236}">
              <a16:creationId xmlns:a16="http://schemas.microsoft.com/office/drawing/2014/main" id="{3BD060F8-0F5B-48DE-9174-5756071C8C42}"/>
            </a:ext>
          </a:extLst>
        </xdr:cNvPr>
        <xdr:cNvCxnSpPr>
          <a:cxnSpLocks/>
          <a:stCxn id="4" idx="3"/>
          <a:endCxn id="12" idx="1"/>
        </xdr:cNvCxnSpPr>
      </xdr:nvCxnSpPr>
      <xdr:spPr>
        <a:xfrm>
          <a:off x="2509859" y="4695237"/>
          <a:ext cx="251804" cy="1055"/>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201051</xdr:colOff>
      <xdr:row>27</xdr:row>
      <xdr:rowOff>67508</xdr:rowOff>
    </xdr:from>
    <xdr:to>
      <xdr:col>22</xdr:col>
      <xdr:colOff>22567</xdr:colOff>
      <xdr:row>27</xdr:row>
      <xdr:rowOff>70238</xdr:rowOff>
    </xdr:to>
    <xdr:cxnSp macro="">
      <xdr:nvCxnSpPr>
        <xdr:cNvPr id="3" name="直線コネクタ 2">
          <a:extLst>
            <a:ext uri="{FF2B5EF4-FFF2-40B4-BE49-F238E27FC236}">
              <a16:creationId xmlns:a16="http://schemas.microsoft.com/office/drawing/2014/main" id="{F9C2DAF9-5C6E-4222-8ADB-D59411FC8C40}"/>
            </a:ext>
          </a:extLst>
        </xdr:cNvPr>
        <xdr:cNvCxnSpPr>
          <a:cxnSpLocks/>
          <a:stCxn id="5" idx="3"/>
          <a:endCxn id="6" idx="1"/>
        </xdr:cNvCxnSpPr>
      </xdr:nvCxnSpPr>
      <xdr:spPr>
        <a:xfrm>
          <a:off x="4773051" y="4696658"/>
          <a:ext cx="278716" cy="2730"/>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107654</xdr:colOff>
      <xdr:row>27</xdr:row>
      <xdr:rowOff>13233</xdr:rowOff>
    </xdr:from>
    <xdr:to>
      <xdr:col>10</xdr:col>
      <xdr:colOff>281009</xdr:colOff>
      <xdr:row>27</xdr:row>
      <xdr:rowOff>118940</xdr:rowOff>
    </xdr:to>
    <xdr:sp macro="" textlink="">
      <xdr:nvSpPr>
        <xdr:cNvPr id="4" name="正方形/長方形 3">
          <a:extLst>
            <a:ext uri="{FF2B5EF4-FFF2-40B4-BE49-F238E27FC236}">
              <a16:creationId xmlns:a16="http://schemas.microsoft.com/office/drawing/2014/main" id="{621171DC-6BF2-4867-9FC4-04E9AF1F10E5}"/>
            </a:ext>
          </a:extLst>
        </xdr:cNvPr>
        <xdr:cNvSpPr/>
      </xdr:nvSpPr>
      <xdr:spPr>
        <a:xfrm>
          <a:off x="2393654" y="4642383"/>
          <a:ext cx="116205" cy="10570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21981</xdr:colOff>
      <xdr:row>27</xdr:row>
      <xdr:rowOff>14654</xdr:rowOff>
    </xdr:from>
    <xdr:to>
      <xdr:col>20</xdr:col>
      <xdr:colOff>199146</xdr:colOff>
      <xdr:row>27</xdr:row>
      <xdr:rowOff>116551</xdr:rowOff>
    </xdr:to>
    <xdr:sp macro="" textlink="">
      <xdr:nvSpPr>
        <xdr:cNvPr id="5" name="正方形/長方形 4">
          <a:extLst>
            <a:ext uri="{FF2B5EF4-FFF2-40B4-BE49-F238E27FC236}">
              <a16:creationId xmlns:a16="http://schemas.microsoft.com/office/drawing/2014/main" id="{1C162B11-72C2-4D14-9A4C-596E83233B78}"/>
            </a:ext>
          </a:extLst>
        </xdr:cNvPr>
        <xdr:cNvSpPr/>
      </xdr:nvSpPr>
      <xdr:spPr>
        <a:xfrm>
          <a:off x="4593981" y="4643804"/>
          <a:ext cx="17716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18757</xdr:colOff>
      <xdr:row>27</xdr:row>
      <xdr:rowOff>20242</xdr:rowOff>
    </xdr:from>
    <xdr:to>
      <xdr:col>22</xdr:col>
      <xdr:colOff>192112</xdr:colOff>
      <xdr:row>27</xdr:row>
      <xdr:rowOff>122139</xdr:rowOff>
    </xdr:to>
    <xdr:sp macro="" textlink="">
      <xdr:nvSpPr>
        <xdr:cNvPr id="6" name="正方形/長方形 5">
          <a:extLst>
            <a:ext uri="{FF2B5EF4-FFF2-40B4-BE49-F238E27FC236}">
              <a16:creationId xmlns:a16="http://schemas.microsoft.com/office/drawing/2014/main" id="{442FDF8F-FFC2-4DEF-9247-C0A4382AE700}"/>
            </a:ext>
          </a:extLst>
        </xdr:cNvPr>
        <xdr:cNvSpPr/>
      </xdr:nvSpPr>
      <xdr:spPr>
        <a:xfrm>
          <a:off x="5047957" y="4649392"/>
          <a:ext cx="17335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18757</xdr:colOff>
      <xdr:row>27</xdr:row>
      <xdr:rowOff>9232</xdr:rowOff>
    </xdr:from>
    <xdr:to>
      <xdr:col>32</xdr:col>
      <xdr:colOff>182587</xdr:colOff>
      <xdr:row>27</xdr:row>
      <xdr:rowOff>103509</xdr:rowOff>
    </xdr:to>
    <xdr:sp macro="" textlink="">
      <xdr:nvSpPr>
        <xdr:cNvPr id="7" name="正方形/長方形 6">
          <a:extLst>
            <a:ext uri="{FF2B5EF4-FFF2-40B4-BE49-F238E27FC236}">
              <a16:creationId xmlns:a16="http://schemas.microsoft.com/office/drawing/2014/main" id="{B30D7E25-21C8-433B-94D7-B57E3ED4D12A}"/>
            </a:ext>
          </a:extLst>
        </xdr:cNvPr>
        <xdr:cNvSpPr/>
      </xdr:nvSpPr>
      <xdr:spPr>
        <a:xfrm>
          <a:off x="7333957" y="4638382"/>
          <a:ext cx="163830"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27402</xdr:colOff>
      <xdr:row>27</xdr:row>
      <xdr:rowOff>11137</xdr:rowOff>
    </xdr:from>
    <xdr:to>
      <xdr:col>29</xdr:col>
      <xdr:colOff>200757</xdr:colOff>
      <xdr:row>27</xdr:row>
      <xdr:rowOff>105414</xdr:rowOff>
    </xdr:to>
    <xdr:sp macro="" textlink="">
      <xdr:nvSpPr>
        <xdr:cNvPr id="8" name="正方形/長方形 7">
          <a:extLst>
            <a:ext uri="{FF2B5EF4-FFF2-40B4-BE49-F238E27FC236}">
              <a16:creationId xmlns:a16="http://schemas.microsoft.com/office/drawing/2014/main" id="{E5A8EB35-ADE5-4AAB-8BB3-70DD6633DE89}"/>
            </a:ext>
          </a:extLst>
        </xdr:cNvPr>
        <xdr:cNvSpPr/>
      </xdr:nvSpPr>
      <xdr:spPr>
        <a:xfrm>
          <a:off x="6656802" y="4640287"/>
          <a:ext cx="17335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29</xdr:row>
      <xdr:rowOff>14655</xdr:rowOff>
    </xdr:from>
    <xdr:to>
      <xdr:col>29</xdr:col>
      <xdr:colOff>198853</xdr:colOff>
      <xdr:row>29</xdr:row>
      <xdr:rowOff>112742</xdr:rowOff>
    </xdr:to>
    <xdr:sp macro="" textlink="">
      <xdr:nvSpPr>
        <xdr:cNvPr id="9" name="正方形/長方形 8">
          <a:extLst>
            <a:ext uri="{FF2B5EF4-FFF2-40B4-BE49-F238E27FC236}">
              <a16:creationId xmlns:a16="http://schemas.microsoft.com/office/drawing/2014/main" id="{ABB006F6-2282-46EB-BACB-6DDC5749A78F}"/>
            </a:ext>
          </a:extLst>
        </xdr:cNvPr>
        <xdr:cNvSpPr/>
      </xdr:nvSpPr>
      <xdr:spPr>
        <a:xfrm>
          <a:off x="6658708" y="498670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13335</xdr:colOff>
      <xdr:row>28</xdr:row>
      <xdr:rowOff>21980</xdr:rowOff>
    </xdr:from>
    <xdr:to>
      <xdr:col>32</xdr:col>
      <xdr:colOff>171450</xdr:colOff>
      <xdr:row>28</xdr:row>
      <xdr:rowOff>123877</xdr:rowOff>
    </xdr:to>
    <xdr:sp macro="" textlink="">
      <xdr:nvSpPr>
        <xdr:cNvPr id="10" name="正方形/長方形 9">
          <a:extLst>
            <a:ext uri="{FF2B5EF4-FFF2-40B4-BE49-F238E27FC236}">
              <a16:creationId xmlns:a16="http://schemas.microsoft.com/office/drawing/2014/main" id="{AA7375F7-02AE-4155-A65A-A0DB3FA7C647}"/>
            </a:ext>
          </a:extLst>
        </xdr:cNvPr>
        <xdr:cNvSpPr/>
      </xdr:nvSpPr>
      <xdr:spPr>
        <a:xfrm>
          <a:off x="7328535" y="4822580"/>
          <a:ext cx="158115" cy="10189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200757</xdr:colOff>
      <xdr:row>27</xdr:row>
      <xdr:rowOff>56371</xdr:rowOff>
    </xdr:from>
    <xdr:to>
      <xdr:col>32</xdr:col>
      <xdr:colOff>18757</xdr:colOff>
      <xdr:row>27</xdr:row>
      <xdr:rowOff>58276</xdr:rowOff>
    </xdr:to>
    <xdr:cxnSp macro="">
      <xdr:nvCxnSpPr>
        <xdr:cNvPr id="11" name="直線コネクタ 10">
          <a:extLst>
            <a:ext uri="{FF2B5EF4-FFF2-40B4-BE49-F238E27FC236}">
              <a16:creationId xmlns:a16="http://schemas.microsoft.com/office/drawing/2014/main" id="{97EAC3AA-F21C-4ADD-A5A4-B222F93EBC33}"/>
            </a:ext>
          </a:extLst>
        </xdr:cNvPr>
        <xdr:cNvCxnSpPr>
          <a:stCxn id="7" idx="1"/>
          <a:endCxn id="8" idx="3"/>
        </xdr:cNvCxnSpPr>
      </xdr:nvCxnSpPr>
      <xdr:spPr>
        <a:xfrm flipH="1">
          <a:off x="6830157" y="4685521"/>
          <a:ext cx="503800" cy="1905"/>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18463</xdr:colOff>
      <xdr:row>27</xdr:row>
      <xdr:rowOff>22861</xdr:rowOff>
    </xdr:from>
    <xdr:to>
      <xdr:col>12</xdr:col>
      <xdr:colOff>191818</xdr:colOff>
      <xdr:row>27</xdr:row>
      <xdr:rowOff>111423</xdr:rowOff>
    </xdr:to>
    <xdr:sp macro="" textlink="">
      <xdr:nvSpPr>
        <xdr:cNvPr id="12" name="正方形/長方形 11">
          <a:extLst>
            <a:ext uri="{FF2B5EF4-FFF2-40B4-BE49-F238E27FC236}">
              <a16:creationId xmlns:a16="http://schemas.microsoft.com/office/drawing/2014/main" id="{AFDAC5AD-D285-46B4-A452-94FD1002081E}"/>
            </a:ext>
          </a:extLst>
        </xdr:cNvPr>
        <xdr:cNvSpPr/>
      </xdr:nvSpPr>
      <xdr:spPr>
        <a:xfrm>
          <a:off x="2761663" y="4652011"/>
          <a:ext cx="173355" cy="8856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21981</xdr:colOff>
      <xdr:row>28</xdr:row>
      <xdr:rowOff>23885</xdr:rowOff>
    </xdr:from>
    <xdr:to>
      <xdr:col>22</xdr:col>
      <xdr:colOff>191526</xdr:colOff>
      <xdr:row>28</xdr:row>
      <xdr:rowOff>127688</xdr:rowOff>
    </xdr:to>
    <xdr:sp macro="" textlink="">
      <xdr:nvSpPr>
        <xdr:cNvPr id="13" name="正方形/長方形 12">
          <a:extLst>
            <a:ext uri="{FF2B5EF4-FFF2-40B4-BE49-F238E27FC236}">
              <a16:creationId xmlns:a16="http://schemas.microsoft.com/office/drawing/2014/main" id="{B0110FEA-6C98-44AB-8513-7245906E5860}"/>
            </a:ext>
          </a:extLst>
        </xdr:cNvPr>
        <xdr:cNvSpPr/>
      </xdr:nvSpPr>
      <xdr:spPr>
        <a:xfrm>
          <a:off x="5051181" y="482448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21981</xdr:colOff>
      <xdr:row>28</xdr:row>
      <xdr:rowOff>29308</xdr:rowOff>
    </xdr:from>
    <xdr:to>
      <xdr:col>20</xdr:col>
      <xdr:colOff>210576</xdr:colOff>
      <xdr:row>28</xdr:row>
      <xdr:rowOff>121680</xdr:rowOff>
    </xdr:to>
    <xdr:sp macro="" textlink="">
      <xdr:nvSpPr>
        <xdr:cNvPr id="14" name="正方形/長方形 13">
          <a:extLst>
            <a:ext uri="{FF2B5EF4-FFF2-40B4-BE49-F238E27FC236}">
              <a16:creationId xmlns:a16="http://schemas.microsoft.com/office/drawing/2014/main" id="{66FF1688-EE16-4C31-BA36-D18CFBE4DBB6}"/>
            </a:ext>
          </a:extLst>
        </xdr:cNvPr>
        <xdr:cNvSpPr/>
      </xdr:nvSpPr>
      <xdr:spPr>
        <a:xfrm>
          <a:off x="4593981" y="4829908"/>
          <a:ext cx="188595" cy="9237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206766</xdr:colOff>
      <xdr:row>28</xdr:row>
      <xdr:rowOff>75494</xdr:rowOff>
    </xdr:from>
    <xdr:to>
      <xdr:col>22</xdr:col>
      <xdr:colOff>18171</xdr:colOff>
      <xdr:row>28</xdr:row>
      <xdr:rowOff>75787</xdr:rowOff>
    </xdr:to>
    <xdr:cxnSp macro="">
      <xdr:nvCxnSpPr>
        <xdr:cNvPr id="15" name="直線コネクタ 14">
          <a:extLst>
            <a:ext uri="{FF2B5EF4-FFF2-40B4-BE49-F238E27FC236}">
              <a16:creationId xmlns:a16="http://schemas.microsoft.com/office/drawing/2014/main" id="{6B01ED26-69E2-4468-A21D-198F5E96DC91}"/>
            </a:ext>
          </a:extLst>
        </xdr:cNvPr>
        <xdr:cNvCxnSpPr>
          <a:cxnSpLocks/>
          <a:stCxn id="14" idx="3"/>
          <a:endCxn id="13" idx="1"/>
        </xdr:cNvCxnSpPr>
      </xdr:nvCxnSpPr>
      <xdr:spPr>
        <a:xfrm>
          <a:off x="4778766" y="4876094"/>
          <a:ext cx="268605" cy="293"/>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281009</xdr:colOff>
      <xdr:row>27</xdr:row>
      <xdr:rowOff>66087</xdr:rowOff>
    </xdr:from>
    <xdr:to>
      <xdr:col>12</xdr:col>
      <xdr:colOff>18463</xdr:colOff>
      <xdr:row>224</xdr:row>
      <xdr:rowOff>67142</xdr:rowOff>
    </xdr:to>
    <xdr:cxnSp macro="">
      <xdr:nvCxnSpPr>
        <xdr:cNvPr id="16" name="直線コネクタ 31">
          <a:extLst>
            <a:ext uri="{FF2B5EF4-FFF2-40B4-BE49-F238E27FC236}">
              <a16:creationId xmlns:a16="http://schemas.microsoft.com/office/drawing/2014/main" id="{8C58E52E-C714-44F6-A6E3-AFCF2B397225}"/>
            </a:ext>
          </a:extLst>
        </xdr:cNvPr>
        <xdr:cNvCxnSpPr>
          <a:stCxn id="4" idx="3"/>
          <a:endCxn id="230" idx="1"/>
        </xdr:cNvCxnSpPr>
      </xdr:nvCxnSpPr>
      <xdr:spPr>
        <a:xfrm>
          <a:off x="2509859" y="4695237"/>
          <a:ext cx="251804" cy="33776705"/>
        </a:xfrm>
        <a:prstGeom prst="bentConnector3">
          <a:avLst>
            <a:gd name="adj1" fmla="val 50000"/>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198853</xdr:colOff>
      <xdr:row>28</xdr:row>
      <xdr:rowOff>72929</xdr:rowOff>
    </xdr:from>
    <xdr:to>
      <xdr:col>32</xdr:col>
      <xdr:colOff>13335</xdr:colOff>
      <xdr:row>29</xdr:row>
      <xdr:rowOff>63699</xdr:rowOff>
    </xdr:to>
    <xdr:cxnSp macro="">
      <xdr:nvCxnSpPr>
        <xdr:cNvPr id="17" name="直線コネクタ 31">
          <a:extLst>
            <a:ext uri="{FF2B5EF4-FFF2-40B4-BE49-F238E27FC236}">
              <a16:creationId xmlns:a16="http://schemas.microsoft.com/office/drawing/2014/main" id="{85251F1F-2FFC-49D1-B384-DCE7CE1B8111}"/>
            </a:ext>
          </a:extLst>
        </xdr:cNvPr>
        <xdr:cNvCxnSpPr>
          <a:stCxn id="9" idx="3"/>
          <a:endCxn id="10" idx="1"/>
        </xdr:cNvCxnSpPr>
      </xdr:nvCxnSpPr>
      <xdr:spPr>
        <a:xfrm flipV="1">
          <a:off x="6828253" y="4873529"/>
          <a:ext cx="500282" cy="162220"/>
        </a:xfrm>
        <a:prstGeom prst="bentConnector3">
          <a:avLst>
            <a:gd name="adj1" fmla="val 69416"/>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44</xdr:col>
      <xdr:colOff>167309</xdr:colOff>
      <xdr:row>25</xdr:row>
      <xdr:rowOff>124238</xdr:rowOff>
    </xdr:from>
    <xdr:to>
      <xdr:col>46</xdr:col>
      <xdr:colOff>21739</xdr:colOff>
      <xdr:row>34</xdr:row>
      <xdr:rowOff>83820</xdr:rowOff>
    </xdr:to>
    <xdr:sp macro="" textlink="">
      <xdr:nvSpPr>
        <xdr:cNvPr id="18" name="右中かっこ 17">
          <a:extLst>
            <a:ext uri="{FF2B5EF4-FFF2-40B4-BE49-F238E27FC236}">
              <a16:creationId xmlns:a16="http://schemas.microsoft.com/office/drawing/2014/main" id="{5CEFE5A8-BB2B-43EE-A438-A3D6B9577947}"/>
            </a:ext>
          </a:extLst>
        </xdr:cNvPr>
        <xdr:cNvSpPr/>
      </xdr:nvSpPr>
      <xdr:spPr>
        <a:xfrm>
          <a:off x="10225709" y="4410488"/>
          <a:ext cx="311630" cy="1502632"/>
        </a:xfrm>
        <a:prstGeom prst="righ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10</xdr:col>
      <xdr:colOff>281009</xdr:colOff>
      <xdr:row>27</xdr:row>
      <xdr:rowOff>66087</xdr:rowOff>
    </xdr:from>
    <xdr:to>
      <xdr:col>12</xdr:col>
      <xdr:colOff>18463</xdr:colOff>
      <xdr:row>213</xdr:row>
      <xdr:rowOff>67142</xdr:rowOff>
    </xdr:to>
    <xdr:cxnSp macro="">
      <xdr:nvCxnSpPr>
        <xdr:cNvPr id="19" name="直線コネクタ 31">
          <a:extLst>
            <a:ext uri="{FF2B5EF4-FFF2-40B4-BE49-F238E27FC236}">
              <a16:creationId xmlns:a16="http://schemas.microsoft.com/office/drawing/2014/main" id="{25583640-8772-437E-9AAE-9DF1020D393F}"/>
            </a:ext>
          </a:extLst>
        </xdr:cNvPr>
        <xdr:cNvCxnSpPr>
          <a:stCxn id="4" idx="3"/>
          <a:endCxn id="220" idx="1"/>
        </xdr:cNvCxnSpPr>
      </xdr:nvCxnSpPr>
      <xdr:spPr>
        <a:xfrm>
          <a:off x="2509859" y="4695237"/>
          <a:ext cx="251804" cy="31890755"/>
        </a:xfrm>
        <a:prstGeom prst="bentConnector3">
          <a:avLst>
            <a:gd name="adj1" fmla="val 50000"/>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201051</xdr:colOff>
      <xdr:row>38</xdr:row>
      <xdr:rowOff>67508</xdr:rowOff>
    </xdr:from>
    <xdr:to>
      <xdr:col>22</xdr:col>
      <xdr:colOff>22567</xdr:colOff>
      <xdr:row>38</xdr:row>
      <xdr:rowOff>70238</xdr:rowOff>
    </xdr:to>
    <xdr:cxnSp macro="">
      <xdr:nvCxnSpPr>
        <xdr:cNvPr id="20" name="直線コネクタ 19">
          <a:extLst>
            <a:ext uri="{FF2B5EF4-FFF2-40B4-BE49-F238E27FC236}">
              <a16:creationId xmlns:a16="http://schemas.microsoft.com/office/drawing/2014/main" id="{D7F0DA13-67E6-4D55-B87C-5AA88CED412D}"/>
            </a:ext>
          </a:extLst>
        </xdr:cNvPr>
        <xdr:cNvCxnSpPr>
          <a:cxnSpLocks/>
          <a:stCxn id="21" idx="3"/>
          <a:endCxn id="22" idx="1"/>
        </xdr:cNvCxnSpPr>
      </xdr:nvCxnSpPr>
      <xdr:spPr>
        <a:xfrm>
          <a:off x="4773051" y="6582608"/>
          <a:ext cx="278716" cy="2730"/>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21981</xdr:colOff>
      <xdr:row>38</xdr:row>
      <xdr:rowOff>14654</xdr:rowOff>
    </xdr:from>
    <xdr:to>
      <xdr:col>20</xdr:col>
      <xdr:colOff>199146</xdr:colOff>
      <xdr:row>38</xdr:row>
      <xdr:rowOff>116551</xdr:rowOff>
    </xdr:to>
    <xdr:sp macro="" textlink="">
      <xdr:nvSpPr>
        <xdr:cNvPr id="21" name="正方形/長方形 20">
          <a:extLst>
            <a:ext uri="{FF2B5EF4-FFF2-40B4-BE49-F238E27FC236}">
              <a16:creationId xmlns:a16="http://schemas.microsoft.com/office/drawing/2014/main" id="{BECCC7AE-503F-4C63-A2BE-1514F58A0141}"/>
            </a:ext>
          </a:extLst>
        </xdr:cNvPr>
        <xdr:cNvSpPr/>
      </xdr:nvSpPr>
      <xdr:spPr>
        <a:xfrm>
          <a:off x="4593981" y="6529754"/>
          <a:ext cx="17716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18757</xdr:colOff>
      <xdr:row>38</xdr:row>
      <xdr:rowOff>20242</xdr:rowOff>
    </xdr:from>
    <xdr:to>
      <xdr:col>22</xdr:col>
      <xdr:colOff>192112</xdr:colOff>
      <xdr:row>38</xdr:row>
      <xdr:rowOff>122139</xdr:rowOff>
    </xdr:to>
    <xdr:sp macro="" textlink="">
      <xdr:nvSpPr>
        <xdr:cNvPr id="22" name="正方形/長方形 21">
          <a:extLst>
            <a:ext uri="{FF2B5EF4-FFF2-40B4-BE49-F238E27FC236}">
              <a16:creationId xmlns:a16="http://schemas.microsoft.com/office/drawing/2014/main" id="{EE4BD4ED-4D00-4CC3-B9B8-3FC6A5496860}"/>
            </a:ext>
          </a:extLst>
        </xdr:cNvPr>
        <xdr:cNvSpPr/>
      </xdr:nvSpPr>
      <xdr:spPr>
        <a:xfrm>
          <a:off x="5047957" y="6535342"/>
          <a:ext cx="17335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27402</xdr:colOff>
      <xdr:row>38</xdr:row>
      <xdr:rowOff>11137</xdr:rowOff>
    </xdr:from>
    <xdr:to>
      <xdr:col>29</xdr:col>
      <xdr:colOff>200757</xdr:colOff>
      <xdr:row>38</xdr:row>
      <xdr:rowOff>105414</xdr:rowOff>
    </xdr:to>
    <xdr:sp macro="" textlink="">
      <xdr:nvSpPr>
        <xdr:cNvPr id="23" name="正方形/長方形 22">
          <a:extLst>
            <a:ext uri="{FF2B5EF4-FFF2-40B4-BE49-F238E27FC236}">
              <a16:creationId xmlns:a16="http://schemas.microsoft.com/office/drawing/2014/main" id="{19F4250F-8679-4208-975D-532A8A4F703C}"/>
            </a:ext>
          </a:extLst>
        </xdr:cNvPr>
        <xdr:cNvSpPr/>
      </xdr:nvSpPr>
      <xdr:spPr>
        <a:xfrm>
          <a:off x="6656802" y="6526237"/>
          <a:ext cx="17335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40</xdr:row>
      <xdr:rowOff>14655</xdr:rowOff>
    </xdr:from>
    <xdr:to>
      <xdr:col>29</xdr:col>
      <xdr:colOff>198853</xdr:colOff>
      <xdr:row>40</xdr:row>
      <xdr:rowOff>112742</xdr:rowOff>
    </xdr:to>
    <xdr:sp macro="" textlink="">
      <xdr:nvSpPr>
        <xdr:cNvPr id="24" name="正方形/長方形 23">
          <a:extLst>
            <a:ext uri="{FF2B5EF4-FFF2-40B4-BE49-F238E27FC236}">
              <a16:creationId xmlns:a16="http://schemas.microsoft.com/office/drawing/2014/main" id="{95CF31D8-F298-4732-AB73-065716895A08}"/>
            </a:ext>
          </a:extLst>
        </xdr:cNvPr>
        <xdr:cNvSpPr/>
      </xdr:nvSpPr>
      <xdr:spPr>
        <a:xfrm>
          <a:off x="6658708" y="687265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18463</xdr:colOff>
      <xdr:row>38</xdr:row>
      <xdr:rowOff>22861</xdr:rowOff>
    </xdr:from>
    <xdr:to>
      <xdr:col>12</xdr:col>
      <xdr:colOff>191818</xdr:colOff>
      <xdr:row>38</xdr:row>
      <xdr:rowOff>111423</xdr:rowOff>
    </xdr:to>
    <xdr:sp macro="" textlink="">
      <xdr:nvSpPr>
        <xdr:cNvPr id="25" name="正方形/長方形 24">
          <a:extLst>
            <a:ext uri="{FF2B5EF4-FFF2-40B4-BE49-F238E27FC236}">
              <a16:creationId xmlns:a16="http://schemas.microsoft.com/office/drawing/2014/main" id="{6D374580-B2AE-49EA-96B4-9DD28ADC9C27}"/>
            </a:ext>
          </a:extLst>
        </xdr:cNvPr>
        <xdr:cNvSpPr/>
      </xdr:nvSpPr>
      <xdr:spPr>
        <a:xfrm>
          <a:off x="2761663" y="6537961"/>
          <a:ext cx="173355" cy="8856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21981</xdr:colOff>
      <xdr:row>39</xdr:row>
      <xdr:rowOff>23885</xdr:rowOff>
    </xdr:from>
    <xdr:to>
      <xdr:col>22</xdr:col>
      <xdr:colOff>191526</xdr:colOff>
      <xdr:row>39</xdr:row>
      <xdr:rowOff>127688</xdr:rowOff>
    </xdr:to>
    <xdr:sp macro="" textlink="">
      <xdr:nvSpPr>
        <xdr:cNvPr id="26" name="正方形/長方形 25">
          <a:extLst>
            <a:ext uri="{FF2B5EF4-FFF2-40B4-BE49-F238E27FC236}">
              <a16:creationId xmlns:a16="http://schemas.microsoft.com/office/drawing/2014/main" id="{D87A1EDF-3822-493B-BE9D-1AC26B4217B3}"/>
            </a:ext>
          </a:extLst>
        </xdr:cNvPr>
        <xdr:cNvSpPr/>
      </xdr:nvSpPr>
      <xdr:spPr>
        <a:xfrm>
          <a:off x="5051181" y="671043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21981</xdr:colOff>
      <xdr:row>39</xdr:row>
      <xdr:rowOff>29308</xdr:rowOff>
    </xdr:from>
    <xdr:to>
      <xdr:col>20</xdr:col>
      <xdr:colOff>210576</xdr:colOff>
      <xdr:row>39</xdr:row>
      <xdr:rowOff>121680</xdr:rowOff>
    </xdr:to>
    <xdr:sp macro="" textlink="">
      <xdr:nvSpPr>
        <xdr:cNvPr id="27" name="正方形/長方形 26">
          <a:extLst>
            <a:ext uri="{FF2B5EF4-FFF2-40B4-BE49-F238E27FC236}">
              <a16:creationId xmlns:a16="http://schemas.microsoft.com/office/drawing/2014/main" id="{61968FAE-6A27-4A25-9FF6-47D03820148C}"/>
            </a:ext>
          </a:extLst>
        </xdr:cNvPr>
        <xdr:cNvSpPr/>
      </xdr:nvSpPr>
      <xdr:spPr>
        <a:xfrm>
          <a:off x="4593981" y="6715858"/>
          <a:ext cx="188595" cy="9237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206766</xdr:colOff>
      <xdr:row>39</xdr:row>
      <xdr:rowOff>75494</xdr:rowOff>
    </xdr:from>
    <xdr:to>
      <xdr:col>22</xdr:col>
      <xdr:colOff>18171</xdr:colOff>
      <xdr:row>39</xdr:row>
      <xdr:rowOff>75787</xdr:rowOff>
    </xdr:to>
    <xdr:cxnSp macro="">
      <xdr:nvCxnSpPr>
        <xdr:cNvPr id="28" name="直線コネクタ 27">
          <a:extLst>
            <a:ext uri="{FF2B5EF4-FFF2-40B4-BE49-F238E27FC236}">
              <a16:creationId xmlns:a16="http://schemas.microsoft.com/office/drawing/2014/main" id="{DBFDDCA4-9F5F-45B0-9779-404CB4476B62}"/>
            </a:ext>
          </a:extLst>
        </xdr:cNvPr>
        <xdr:cNvCxnSpPr>
          <a:cxnSpLocks/>
          <a:stCxn id="27" idx="3"/>
          <a:endCxn id="26" idx="1"/>
        </xdr:cNvCxnSpPr>
      </xdr:nvCxnSpPr>
      <xdr:spPr>
        <a:xfrm>
          <a:off x="4778766" y="6762044"/>
          <a:ext cx="268605" cy="293"/>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198853</xdr:colOff>
      <xdr:row>28</xdr:row>
      <xdr:rowOff>72929</xdr:rowOff>
    </xdr:from>
    <xdr:to>
      <xdr:col>32</xdr:col>
      <xdr:colOff>13335</xdr:colOff>
      <xdr:row>40</xdr:row>
      <xdr:rowOff>63699</xdr:rowOff>
    </xdr:to>
    <xdr:cxnSp macro="">
      <xdr:nvCxnSpPr>
        <xdr:cNvPr id="29" name="直線コネクタ 31">
          <a:extLst>
            <a:ext uri="{FF2B5EF4-FFF2-40B4-BE49-F238E27FC236}">
              <a16:creationId xmlns:a16="http://schemas.microsoft.com/office/drawing/2014/main" id="{EF49269E-FF1B-4163-A117-9F53F6637323}"/>
            </a:ext>
          </a:extLst>
        </xdr:cNvPr>
        <xdr:cNvCxnSpPr>
          <a:cxnSpLocks/>
          <a:stCxn id="24" idx="3"/>
          <a:endCxn id="10" idx="1"/>
        </xdr:cNvCxnSpPr>
      </xdr:nvCxnSpPr>
      <xdr:spPr>
        <a:xfrm flipV="1">
          <a:off x="6828253" y="4873529"/>
          <a:ext cx="500282" cy="2048170"/>
        </a:xfrm>
        <a:prstGeom prst="bentConnector3">
          <a:avLst>
            <a:gd name="adj1" fmla="val 69416"/>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200757</xdr:colOff>
      <xdr:row>27</xdr:row>
      <xdr:rowOff>56371</xdr:rowOff>
    </xdr:from>
    <xdr:to>
      <xdr:col>32</xdr:col>
      <xdr:colOff>18757</xdr:colOff>
      <xdr:row>38</xdr:row>
      <xdr:rowOff>58276</xdr:rowOff>
    </xdr:to>
    <xdr:cxnSp macro="">
      <xdr:nvCxnSpPr>
        <xdr:cNvPr id="30" name="直線コネクタ 31">
          <a:extLst>
            <a:ext uri="{FF2B5EF4-FFF2-40B4-BE49-F238E27FC236}">
              <a16:creationId xmlns:a16="http://schemas.microsoft.com/office/drawing/2014/main" id="{A60A9B75-3083-4ED0-B437-B563562114D6}"/>
            </a:ext>
          </a:extLst>
        </xdr:cNvPr>
        <xdr:cNvCxnSpPr>
          <a:cxnSpLocks/>
          <a:stCxn id="23" idx="3"/>
          <a:endCxn id="7" idx="1"/>
        </xdr:cNvCxnSpPr>
      </xdr:nvCxnSpPr>
      <xdr:spPr>
        <a:xfrm flipV="1">
          <a:off x="6830157" y="4685521"/>
          <a:ext cx="503800" cy="1887855"/>
        </a:xfrm>
        <a:prstGeom prst="bentConnector3">
          <a:avLst>
            <a:gd name="adj1" fmla="val 37744"/>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201051</xdr:colOff>
      <xdr:row>49</xdr:row>
      <xdr:rowOff>67508</xdr:rowOff>
    </xdr:from>
    <xdr:to>
      <xdr:col>22</xdr:col>
      <xdr:colOff>22567</xdr:colOff>
      <xdr:row>49</xdr:row>
      <xdr:rowOff>70238</xdr:rowOff>
    </xdr:to>
    <xdr:cxnSp macro="">
      <xdr:nvCxnSpPr>
        <xdr:cNvPr id="31" name="直線コネクタ 30">
          <a:extLst>
            <a:ext uri="{FF2B5EF4-FFF2-40B4-BE49-F238E27FC236}">
              <a16:creationId xmlns:a16="http://schemas.microsoft.com/office/drawing/2014/main" id="{11495086-D80B-49E2-B533-FBEB6D044D87}"/>
            </a:ext>
          </a:extLst>
        </xdr:cNvPr>
        <xdr:cNvCxnSpPr>
          <a:cxnSpLocks/>
          <a:stCxn id="32" idx="3"/>
          <a:endCxn id="33" idx="1"/>
        </xdr:cNvCxnSpPr>
      </xdr:nvCxnSpPr>
      <xdr:spPr>
        <a:xfrm>
          <a:off x="4773051" y="8468558"/>
          <a:ext cx="278716" cy="2730"/>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21981</xdr:colOff>
      <xdr:row>49</xdr:row>
      <xdr:rowOff>14654</xdr:rowOff>
    </xdr:from>
    <xdr:to>
      <xdr:col>20</xdr:col>
      <xdr:colOff>199146</xdr:colOff>
      <xdr:row>49</xdr:row>
      <xdr:rowOff>116551</xdr:rowOff>
    </xdr:to>
    <xdr:sp macro="" textlink="">
      <xdr:nvSpPr>
        <xdr:cNvPr id="32" name="正方形/長方形 31">
          <a:extLst>
            <a:ext uri="{FF2B5EF4-FFF2-40B4-BE49-F238E27FC236}">
              <a16:creationId xmlns:a16="http://schemas.microsoft.com/office/drawing/2014/main" id="{E404A517-1AD2-46AC-AC92-E680EC5D75FD}"/>
            </a:ext>
          </a:extLst>
        </xdr:cNvPr>
        <xdr:cNvSpPr/>
      </xdr:nvSpPr>
      <xdr:spPr>
        <a:xfrm>
          <a:off x="4593981" y="8415704"/>
          <a:ext cx="17716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18757</xdr:colOff>
      <xdr:row>49</xdr:row>
      <xdr:rowOff>20242</xdr:rowOff>
    </xdr:from>
    <xdr:to>
      <xdr:col>22</xdr:col>
      <xdr:colOff>192112</xdr:colOff>
      <xdr:row>49</xdr:row>
      <xdr:rowOff>122139</xdr:rowOff>
    </xdr:to>
    <xdr:sp macro="" textlink="">
      <xdr:nvSpPr>
        <xdr:cNvPr id="33" name="正方形/長方形 32">
          <a:extLst>
            <a:ext uri="{FF2B5EF4-FFF2-40B4-BE49-F238E27FC236}">
              <a16:creationId xmlns:a16="http://schemas.microsoft.com/office/drawing/2014/main" id="{05DAED7D-2DD7-475D-95BB-422129F07A11}"/>
            </a:ext>
          </a:extLst>
        </xdr:cNvPr>
        <xdr:cNvSpPr/>
      </xdr:nvSpPr>
      <xdr:spPr>
        <a:xfrm>
          <a:off x="5047957" y="8421292"/>
          <a:ext cx="17335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11137</xdr:colOff>
      <xdr:row>49</xdr:row>
      <xdr:rowOff>9232</xdr:rowOff>
    </xdr:from>
    <xdr:to>
      <xdr:col>32</xdr:col>
      <xdr:colOff>174967</xdr:colOff>
      <xdr:row>49</xdr:row>
      <xdr:rowOff>103509</xdr:rowOff>
    </xdr:to>
    <xdr:sp macro="" textlink="">
      <xdr:nvSpPr>
        <xdr:cNvPr id="34" name="正方形/長方形 33">
          <a:extLst>
            <a:ext uri="{FF2B5EF4-FFF2-40B4-BE49-F238E27FC236}">
              <a16:creationId xmlns:a16="http://schemas.microsoft.com/office/drawing/2014/main" id="{81E02BDD-7D58-48B7-AC75-855B9F0CAB2D}"/>
            </a:ext>
          </a:extLst>
        </xdr:cNvPr>
        <xdr:cNvSpPr/>
      </xdr:nvSpPr>
      <xdr:spPr>
        <a:xfrm>
          <a:off x="7326337" y="8410282"/>
          <a:ext cx="163830"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27402</xdr:colOff>
      <xdr:row>49</xdr:row>
      <xdr:rowOff>11137</xdr:rowOff>
    </xdr:from>
    <xdr:to>
      <xdr:col>29</xdr:col>
      <xdr:colOff>200757</xdr:colOff>
      <xdr:row>49</xdr:row>
      <xdr:rowOff>105414</xdr:rowOff>
    </xdr:to>
    <xdr:sp macro="" textlink="">
      <xdr:nvSpPr>
        <xdr:cNvPr id="35" name="正方形/長方形 34">
          <a:extLst>
            <a:ext uri="{FF2B5EF4-FFF2-40B4-BE49-F238E27FC236}">
              <a16:creationId xmlns:a16="http://schemas.microsoft.com/office/drawing/2014/main" id="{7B66E1CA-4089-4232-A73E-EE799AC33D99}"/>
            </a:ext>
          </a:extLst>
        </xdr:cNvPr>
        <xdr:cNvSpPr/>
      </xdr:nvSpPr>
      <xdr:spPr>
        <a:xfrm>
          <a:off x="6656802" y="8412187"/>
          <a:ext cx="17335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51</xdr:row>
      <xdr:rowOff>14655</xdr:rowOff>
    </xdr:from>
    <xdr:to>
      <xdr:col>29</xdr:col>
      <xdr:colOff>198853</xdr:colOff>
      <xdr:row>51</xdr:row>
      <xdr:rowOff>112742</xdr:rowOff>
    </xdr:to>
    <xdr:sp macro="" textlink="">
      <xdr:nvSpPr>
        <xdr:cNvPr id="36" name="正方形/長方形 35">
          <a:extLst>
            <a:ext uri="{FF2B5EF4-FFF2-40B4-BE49-F238E27FC236}">
              <a16:creationId xmlns:a16="http://schemas.microsoft.com/office/drawing/2014/main" id="{1B069084-2F6E-40B7-9333-1837348FA10C}"/>
            </a:ext>
          </a:extLst>
        </xdr:cNvPr>
        <xdr:cNvSpPr/>
      </xdr:nvSpPr>
      <xdr:spPr>
        <a:xfrm>
          <a:off x="6658708" y="875860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5715</xdr:colOff>
      <xdr:row>50</xdr:row>
      <xdr:rowOff>21980</xdr:rowOff>
    </xdr:from>
    <xdr:to>
      <xdr:col>32</xdr:col>
      <xdr:colOff>163830</xdr:colOff>
      <xdr:row>50</xdr:row>
      <xdr:rowOff>123877</xdr:rowOff>
    </xdr:to>
    <xdr:sp macro="" textlink="">
      <xdr:nvSpPr>
        <xdr:cNvPr id="37" name="正方形/長方形 36">
          <a:extLst>
            <a:ext uri="{FF2B5EF4-FFF2-40B4-BE49-F238E27FC236}">
              <a16:creationId xmlns:a16="http://schemas.microsoft.com/office/drawing/2014/main" id="{3197D312-8B26-41F0-8933-8A9E57DBB73F}"/>
            </a:ext>
          </a:extLst>
        </xdr:cNvPr>
        <xdr:cNvSpPr/>
      </xdr:nvSpPr>
      <xdr:spPr>
        <a:xfrm>
          <a:off x="7320915" y="8594480"/>
          <a:ext cx="158115" cy="10189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200757</xdr:colOff>
      <xdr:row>49</xdr:row>
      <xdr:rowOff>56371</xdr:rowOff>
    </xdr:from>
    <xdr:to>
      <xdr:col>32</xdr:col>
      <xdr:colOff>11137</xdr:colOff>
      <xdr:row>49</xdr:row>
      <xdr:rowOff>58276</xdr:rowOff>
    </xdr:to>
    <xdr:cxnSp macro="">
      <xdr:nvCxnSpPr>
        <xdr:cNvPr id="38" name="直線コネクタ 37">
          <a:extLst>
            <a:ext uri="{FF2B5EF4-FFF2-40B4-BE49-F238E27FC236}">
              <a16:creationId xmlns:a16="http://schemas.microsoft.com/office/drawing/2014/main" id="{DF7CDEE4-B87B-4F0C-B7C8-902F8DA06F37}"/>
            </a:ext>
          </a:extLst>
        </xdr:cNvPr>
        <xdr:cNvCxnSpPr>
          <a:stCxn id="34" idx="1"/>
          <a:endCxn id="35" idx="3"/>
        </xdr:cNvCxnSpPr>
      </xdr:nvCxnSpPr>
      <xdr:spPr>
        <a:xfrm flipH="1">
          <a:off x="6830157" y="8457421"/>
          <a:ext cx="496180" cy="1905"/>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18463</xdr:colOff>
      <xdr:row>49</xdr:row>
      <xdr:rowOff>22861</xdr:rowOff>
    </xdr:from>
    <xdr:to>
      <xdr:col>12</xdr:col>
      <xdr:colOff>191818</xdr:colOff>
      <xdr:row>49</xdr:row>
      <xdr:rowOff>111423</xdr:rowOff>
    </xdr:to>
    <xdr:sp macro="" textlink="">
      <xdr:nvSpPr>
        <xdr:cNvPr id="39" name="正方形/長方形 38">
          <a:extLst>
            <a:ext uri="{FF2B5EF4-FFF2-40B4-BE49-F238E27FC236}">
              <a16:creationId xmlns:a16="http://schemas.microsoft.com/office/drawing/2014/main" id="{4ECEBBCD-B259-43F0-8977-684012BF01E6}"/>
            </a:ext>
          </a:extLst>
        </xdr:cNvPr>
        <xdr:cNvSpPr/>
      </xdr:nvSpPr>
      <xdr:spPr>
        <a:xfrm>
          <a:off x="2761663" y="8423911"/>
          <a:ext cx="173355" cy="8856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21981</xdr:colOff>
      <xdr:row>50</xdr:row>
      <xdr:rowOff>23885</xdr:rowOff>
    </xdr:from>
    <xdr:to>
      <xdr:col>22</xdr:col>
      <xdr:colOff>191526</xdr:colOff>
      <xdr:row>50</xdr:row>
      <xdr:rowOff>127688</xdr:rowOff>
    </xdr:to>
    <xdr:sp macro="" textlink="">
      <xdr:nvSpPr>
        <xdr:cNvPr id="40" name="正方形/長方形 39">
          <a:extLst>
            <a:ext uri="{FF2B5EF4-FFF2-40B4-BE49-F238E27FC236}">
              <a16:creationId xmlns:a16="http://schemas.microsoft.com/office/drawing/2014/main" id="{DCACF288-0645-4A45-A17B-A0F6080AF3F2}"/>
            </a:ext>
          </a:extLst>
        </xdr:cNvPr>
        <xdr:cNvSpPr/>
      </xdr:nvSpPr>
      <xdr:spPr>
        <a:xfrm>
          <a:off x="5051181" y="859638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21981</xdr:colOff>
      <xdr:row>50</xdr:row>
      <xdr:rowOff>29308</xdr:rowOff>
    </xdr:from>
    <xdr:to>
      <xdr:col>20</xdr:col>
      <xdr:colOff>210576</xdr:colOff>
      <xdr:row>50</xdr:row>
      <xdr:rowOff>121680</xdr:rowOff>
    </xdr:to>
    <xdr:sp macro="" textlink="">
      <xdr:nvSpPr>
        <xdr:cNvPr id="41" name="正方形/長方形 40">
          <a:extLst>
            <a:ext uri="{FF2B5EF4-FFF2-40B4-BE49-F238E27FC236}">
              <a16:creationId xmlns:a16="http://schemas.microsoft.com/office/drawing/2014/main" id="{7D1C7457-5F5F-4614-95F9-A952F71CDCF4}"/>
            </a:ext>
          </a:extLst>
        </xdr:cNvPr>
        <xdr:cNvSpPr/>
      </xdr:nvSpPr>
      <xdr:spPr>
        <a:xfrm>
          <a:off x="4593981" y="8601808"/>
          <a:ext cx="188595" cy="9237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206766</xdr:colOff>
      <xdr:row>50</xdr:row>
      <xdr:rowOff>75494</xdr:rowOff>
    </xdr:from>
    <xdr:to>
      <xdr:col>22</xdr:col>
      <xdr:colOff>18171</xdr:colOff>
      <xdr:row>50</xdr:row>
      <xdr:rowOff>75787</xdr:rowOff>
    </xdr:to>
    <xdr:cxnSp macro="">
      <xdr:nvCxnSpPr>
        <xdr:cNvPr id="42" name="直線コネクタ 41">
          <a:extLst>
            <a:ext uri="{FF2B5EF4-FFF2-40B4-BE49-F238E27FC236}">
              <a16:creationId xmlns:a16="http://schemas.microsoft.com/office/drawing/2014/main" id="{E953C8E9-BEEF-4CB7-989C-69FDA0C7AD05}"/>
            </a:ext>
          </a:extLst>
        </xdr:cNvPr>
        <xdr:cNvCxnSpPr>
          <a:cxnSpLocks/>
          <a:stCxn id="41" idx="3"/>
          <a:endCxn id="40" idx="1"/>
        </xdr:cNvCxnSpPr>
      </xdr:nvCxnSpPr>
      <xdr:spPr>
        <a:xfrm>
          <a:off x="4778766" y="8647994"/>
          <a:ext cx="268605" cy="293"/>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198853</xdr:colOff>
      <xdr:row>50</xdr:row>
      <xdr:rowOff>72929</xdr:rowOff>
    </xdr:from>
    <xdr:to>
      <xdr:col>32</xdr:col>
      <xdr:colOff>5715</xdr:colOff>
      <xdr:row>51</xdr:row>
      <xdr:rowOff>63699</xdr:rowOff>
    </xdr:to>
    <xdr:cxnSp macro="">
      <xdr:nvCxnSpPr>
        <xdr:cNvPr id="43" name="直線コネクタ 31">
          <a:extLst>
            <a:ext uri="{FF2B5EF4-FFF2-40B4-BE49-F238E27FC236}">
              <a16:creationId xmlns:a16="http://schemas.microsoft.com/office/drawing/2014/main" id="{45E292FC-CDB3-4B2D-BAB7-AE60639D4016}"/>
            </a:ext>
          </a:extLst>
        </xdr:cNvPr>
        <xdr:cNvCxnSpPr>
          <a:stCxn id="36" idx="3"/>
          <a:endCxn id="37" idx="1"/>
        </xdr:cNvCxnSpPr>
      </xdr:nvCxnSpPr>
      <xdr:spPr>
        <a:xfrm flipV="1">
          <a:off x="6828253" y="8645429"/>
          <a:ext cx="492662" cy="162220"/>
        </a:xfrm>
        <a:prstGeom prst="bentConnector3">
          <a:avLst>
            <a:gd name="adj1" fmla="val 69765"/>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201051</xdr:colOff>
      <xdr:row>60</xdr:row>
      <xdr:rowOff>67508</xdr:rowOff>
    </xdr:from>
    <xdr:to>
      <xdr:col>22</xdr:col>
      <xdr:colOff>22567</xdr:colOff>
      <xdr:row>60</xdr:row>
      <xdr:rowOff>70238</xdr:rowOff>
    </xdr:to>
    <xdr:cxnSp macro="">
      <xdr:nvCxnSpPr>
        <xdr:cNvPr id="44" name="直線コネクタ 43">
          <a:extLst>
            <a:ext uri="{FF2B5EF4-FFF2-40B4-BE49-F238E27FC236}">
              <a16:creationId xmlns:a16="http://schemas.microsoft.com/office/drawing/2014/main" id="{CE2DA020-79C5-4D1F-9664-DDA73816FEA3}"/>
            </a:ext>
          </a:extLst>
        </xdr:cNvPr>
        <xdr:cNvCxnSpPr>
          <a:cxnSpLocks/>
          <a:stCxn id="45" idx="3"/>
          <a:endCxn id="46" idx="1"/>
        </xdr:cNvCxnSpPr>
      </xdr:nvCxnSpPr>
      <xdr:spPr>
        <a:xfrm>
          <a:off x="4773051" y="10354508"/>
          <a:ext cx="278716" cy="2730"/>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21981</xdr:colOff>
      <xdr:row>60</xdr:row>
      <xdr:rowOff>14654</xdr:rowOff>
    </xdr:from>
    <xdr:to>
      <xdr:col>20</xdr:col>
      <xdr:colOff>199146</xdr:colOff>
      <xdr:row>60</xdr:row>
      <xdr:rowOff>116551</xdr:rowOff>
    </xdr:to>
    <xdr:sp macro="" textlink="">
      <xdr:nvSpPr>
        <xdr:cNvPr id="45" name="正方形/長方形 44">
          <a:extLst>
            <a:ext uri="{FF2B5EF4-FFF2-40B4-BE49-F238E27FC236}">
              <a16:creationId xmlns:a16="http://schemas.microsoft.com/office/drawing/2014/main" id="{CE8553AE-B908-46CF-A865-2812C3626609}"/>
            </a:ext>
          </a:extLst>
        </xdr:cNvPr>
        <xdr:cNvSpPr/>
      </xdr:nvSpPr>
      <xdr:spPr>
        <a:xfrm>
          <a:off x="4593981" y="10301654"/>
          <a:ext cx="17716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18757</xdr:colOff>
      <xdr:row>60</xdr:row>
      <xdr:rowOff>20242</xdr:rowOff>
    </xdr:from>
    <xdr:to>
      <xdr:col>22</xdr:col>
      <xdr:colOff>192112</xdr:colOff>
      <xdr:row>60</xdr:row>
      <xdr:rowOff>122139</xdr:rowOff>
    </xdr:to>
    <xdr:sp macro="" textlink="">
      <xdr:nvSpPr>
        <xdr:cNvPr id="46" name="正方形/長方形 45">
          <a:extLst>
            <a:ext uri="{FF2B5EF4-FFF2-40B4-BE49-F238E27FC236}">
              <a16:creationId xmlns:a16="http://schemas.microsoft.com/office/drawing/2014/main" id="{488D5775-D137-4C05-A407-2BF2710F3608}"/>
            </a:ext>
          </a:extLst>
        </xdr:cNvPr>
        <xdr:cNvSpPr/>
      </xdr:nvSpPr>
      <xdr:spPr>
        <a:xfrm>
          <a:off x="5047957" y="10307242"/>
          <a:ext cx="17335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27402</xdr:colOff>
      <xdr:row>60</xdr:row>
      <xdr:rowOff>11137</xdr:rowOff>
    </xdr:from>
    <xdr:to>
      <xdr:col>29</xdr:col>
      <xdr:colOff>200757</xdr:colOff>
      <xdr:row>60</xdr:row>
      <xdr:rowOff>105414</xdr:rowOff>
    </xdr:to>
    <xdr:sp macro="" textlink="">
      <xdr:nvSpPr>
        <xdr:cNvPr id="47" name="正方形/長方形 46">
          <a:extLst>
            <a:ext uri="{FF2B5EF4-FFF2-40B4-BE49-F238E27FC236}">
              <a16:creationId xmlns:a16="http://schemas.microsoft.com/office/drawing/2014/main" id="{31E0EE84-F261-4CE6-A6D4-D87F34977AB6}"/>
            </a:ext>
          </a:extLst>
        </xdr:cNvPr>
        <xdr:cNvSpPr/>
      </xdr:nvSpPr>
      <xdr:spPr>
        <a:xfrm>
          <a:off x="6656802" y="10298137"/>
          <a:ext cx="17335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62</xdr:row>
      <xdr:rowOff>14655</xdr:rowOff>
    </xdr:from>
    <xdr:to>
      <xdr:col>29</xdr:col>
      <xdr:colOff>198853</xdr:colOff>
      <xdr:row>62</xdr:row>
      <xdr:rowOff>112742</xdr:rowOff>
    </xdr:to>
    <xdr:sp macro="" textlink="">
      <xdr:nvSpPr>
        <xdr:cNvPr id="48" name="正方形/長方形 47">
          <a:extLst>
            <a:ext uri="{FF2B5EF4-FFF2-40B4-BE49-F238E27FC236}">
              <a16:creationId xmlns:a16="http://schemas.microsoft.com/office/drawing/2014/main" id="{EBFCEAB0-F707-4383-9295-216114D397EA}"/>
            </a:ext>
          </a:extLst>
        </xdr:cNvPr>
        <xdr:cNvSpPr/>
      </xdr:nvSpPr>
      <xdr:spPr>
        <a:xfrm>
          <a:off x="6658708" y="1064455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18463</xdr:colOff>
      <xdr:row>60</xdr:row>
      <xdr:rowOff>22861</xdr:rowOff>
    </xdr:from>
    <xdr:to>
      <xdr:col>12</xdr:col>
      <xdr:colOff>191818</xdr:colOff>
      <xdr:row>60</xdr:row>
      <xdr:rowOff>111423</xdr:rowOff>
    </xdr:to>
    <xdr:sp macro="" textlink="">
      <xdr:nvSpPr>
        <xdr:cNvPr id="49" name="正方形/長方形 48">
          <a:extLst>
            <a:ext uri="{FF2B5EF4-FFF2-40B4-BE49-F238E27FC236}">
              <a16:creationId xmlns:a16="http://schemas.microsoft.com/office/drawing/2014/main" id="{1FA621CF-9F87-4767-921F-743FD8512741}"/>
            </a:ext>
          </a:extLst>
        </xdr:cNvPr>
        <xdr:cNvSpPr/>
      </xdr:nvSpPr>
      <xdr:spPr>
        <a:xfrm>
          <a:off x="2761663" y="10309861"/>
          <a:ext cx="173355" cy="8856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21981</xdr:colOff>
      <xdr:row>61</xdr:row>
      <xdr:rowOff>23885</xdr:rowOff>
    </xdr:from>
    <xdr:to>
      <xdr:col>22</xdr:col>
      <xdr:colOff>191526</xdr:colOff>
      <xdr:row>61</xdr:row>
      <xdr:rowOff>127688</xdr:rowOff>
    </xdr:to>
    <xdr:sp macro="" textlink="">
      <xdr:nvSpPr>
        <xdr:cNvPr id="50" name="正方形/長方形 49">
          <a:extLst>
            <a:ext uri="{FF2B5EF4-FFF2-40B4-BE49-F238E27FC236}">
              <a16:creationId xmlns:a16="http://schemas.microsoft.com/office/drawing/2014/main" id="{7842CB3C-4501-46F5-B62E-B2D3ED275ED7}"/>
            </a:ext>
          </a:extLst>
        </xdr:cNvPr>
        <xdr:cNvSpPr/>
      </xdr:nvSpPr>
      <xdr:spPr>
        <a:xfrm>
          <a:off x="5051181" y="1048233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21981</xdr:colOff>
      <xdr:row>61</xdr:row>
      <xdr:rowOff>29308</xdr:rowOff>
    </xdr:from>
    <xdr:to>
      <xdr:col>20</xdr:col>
      <xdr:colOff>210576</xdr:colOff>
      <xdr:row>61</xdr:row>
      <xdr:rowOff>121680</xdr:rowOff>
    </xdr:to>
    <xdr:sp macro="" textlink="">
      <xdr:nvSpPr>
        <xdr:cNvPr id="51" name="正方形/長方形 50">
          <a:extLst>
            <a:ext uri="{FF2B5EF4-FFF2-40B4-BE49-F238E27FC236}">
              <a16:creationId xmlns:a16="http://schemas.microsoft.com/office/drawing/2014/main" id="{D260749A-E0AC-48B5-A4F3-EC380F8EE517}"/>
            </a:ext>
          </a:extLst>
        </xdr:cNvPr>
        <xdr:cNvSpPr/>
      </xdr:nvSpPr>
      <xdr:spPr>
        <a:xfrm>
          <a:off x="4593981" y="10487758"/>
          <a:ext cx="188595" cy="9237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206766</xdr:colOff>
      <xdr:row>61</xdr:row>
      <xdr:rowOff>75494</xdr:rowOff>
    </xdr:from>
    <xdr:to>
      <xdr:col>22</xdr:col>
      <xdr:colOff>18171</xdr:colOff>
      <xdr:row>61</xdr:row>
      <xdr:rowOff>75787</xdr:rowOff>
    </xdr:to>
    <xdr:cxnSp macro="">
      <xdr:nvCxnSpPr>
        <xdr:cNvPr id="52" name="直線コネクタ 51">
          <a:extLst>
            <a:ext uri="{FF2B5EF4-FFF2-40B4-BE49-F238E27FC236}">
              <a16:creationId xmlns:a16="http://schemas.microsoft.com/office/drawing/2014/main" id="{A4611B9D-BD8E-4F9E-8B46-6EC3B3AA1907}"/>
            </a:ext>
          </a:extLst>
        </xdr:cNvPr>
        <xdr:cNvCxnSpPr>
          <a:cxnSpLocks/>
          <a:stCxn id="51" idx="3"/>
          <a:endCxn id="50" idx="1"/>
        </xdr:cNvCxnSpPr>
      </xdr:nvCxnSpPr>
      <xdr:spPr>
        <a:xfrm>
          <a:off x="4778766" y="10533944"/>
          <a:ext cx="268605" cy="293"/>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198853</xdr:colOff>
      <xdr:row>50</xdr:row>
      <xdr:rowOff>72929</xdr:rowOff>
    </xdr:from>
    <xdr:to>
      <xdr:col>32</xdr:col>
      <xdr:colOff>5715</xdr:colOff>
      <xdr:row>62</xdr:row>
      <xdr:rowOff>63699</xdr:rowOff>
    </xdr:to>
    <xdr:cxnSp macro="">
      <xdr:nvCxnSpPr>
        <xdr:cNvPr id="53" name="直線コネクタ 31">
          <a:extLst>
            <a:ext uri="{FF2B5EF4-FFF2-40B4-BE49-F238E27FC236}">
              <a16:creationId xmlns:a16="http://schemas.microsoft.com/office/drawing/2014/main" id="{28644B61-60D0-4AA3-8365-EF93CA1F49E6}"/>
            </a:ext>
          </a:extLst>
        </xdr:cNvPr>
        <xdr:cNvCxnSpPr>
          <a:cxnSpLocks/>
          <a:stCxn id="48" idx="3"/>
          <a:endCxn id="37" idx="1"/>
        </xdr:cNvCxnSpPr>
      </xdr:nvCxnSpPr>
      <xdr:spPr>
        <a:xfrm flipV="1">
          <a:off x="6828253" y="8645429"/>
          <a:ext cx="492662" cy="2048170"/>
        </a:xfrm>
        <a:prstGeom prst="bentConnector3">
          <a:avLst>
            <a:gd name="adj1" fmla="val 69765"/>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200757</xdr:colOff>
      <xdr:row>49</xdr:row>
      <xdr:rowOff>56371</xdr:rowOff>
    </xdr:from>
    <xdr:to>
      <xdr:col>32</xdr:col>
      <xdr:colOff>11137</xdr:colOff>
      <xdr:row>60</xdr:row>
      <xdr:rowOff>58276</xdr:rowOff>
    </xdr:to>
    <xdr:cxnSp macro="">
      <xdr:nvCxnSpPr>
        <xdr:cNvPr id="54" name="直線コネクタ 31">
          <a:extLst>
            <a:ext uri="{FF2B5EF4-FFF2-40B4-BE49-F238E27FC236}">
              <a16:creationId xmlns:a16="http://schemas.microsoft.com/office/drawing/2014/main" id="{D3D35DB5-F9F5-423B-872D-469688642130}"/>
            </a:ext>
          </a:extLst>
        </xdr:cNvPr>
        <xdr:cNvCxnSpPr>
          <a:cxnSpLocks/>
          <a:stCxn id="47" idx="3"/>
          <a:endCxn id="34" idx="1"/>
        </xdr:cNvCxnSpPr>
      </xdr:nvCxnSpPr>
      <xdr:spPr>
        <a:xfrm flipV="1">
          <a:off x="6830157" y="8457421"/>
          <a:ext cx="496180" cy="1887855"/>
        </a:xfrm>
        <a:prstGeom prst="bentConnector3">
          <a:avLst>
            <a:gd name="adj1" fmla="val 37526"/>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281009</xdr:colOff>
      <xdr:row>27</xdr:row>
      <xdr:rowOff>66087</xdr:rowOff>
    </xdr:from>
    <xdr:to>
      <xdr:col>12</xdr:col>
      <xdr:colOff>18463</xdr:colOff>
      <xdr:row>38</xdr:row>
      <xdr:rowOff>67142</xdr:rowOff>
    </xdr:to>
    <xdr:cxnSp macro="">
      <xdr:nvCxnSpPr>
        <xdr:cNvPr id="55" name="直線コネクタ 31">
          <a:extLst>
            <a:ext uri="{FF2B5EF4-FFF2-40B4-BE49-F238E27FC236}">
              <a16:creationId xmlns:a16="http://schemas.microsoft.com/office/drawing/2014/main" id="{16802716-EFC4-4C96-90D4-39084954E35C}"/>
            </a:ext>
          </a:extLst>
        </xdr:cNvPr>
        <xdr:cNvCxnSpPr>
          <a:stCxn id="4" idx="3"/>
          <a:endCxn id="25" idx="1"/>
        </xdr:cNvCxnSpPr>
      </xdr:nvCxnSpPr>
      <xdr:spPr>
        <a:xfrm>
          <a:off x="2509859" y="4695237"/>
          <a:ext cx="251804" cy="1887005"/>
        </a:xfrm>
        <a:prstGeom prst="bentConnector3">
          <a:avLst>
            <a:gd name="adj1" fmla="val 50000"/>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281009</xdr:colOff>
      <xdr:row>27</xdr:row>
      <xdr:rowOff>66087</xdr:rowOff>
    </xdr:from>
    <xdr:to>
      <xdr:col>12</xdr:col>
      <xdr:colOff>18463</xdr:colOff>
      <xdr:row>49</xdr:row>
      <xdr:rowOff>67142</xdr:rowOff>
    </xdr:to>
    <xdr:cxnSp macro="">
      <xdr:nvCxnSpPr>
        <xdr:cNvPr id="56" name="直線コネクタ 31">
          <a:extLst>
            <a:ext uri="{FF2B5EF4-FFF2-40B4-BE49-F238E27FC236}">
              <a16:creationId xmlns:a16="http://schemas.microsoft.com/office/drawing/2014/main" id="{1E9C9955-2258-4D29-8AFA-44B22EC97467}"/>
            </a:ext>
          </a:extLst>
        </xdr:cNvPr>
        <xdr:cNvCxnSpPr>
          <a:stCxn id="4" idx="3"/>
          <a:endCxn id="39" idx="1"/>
        </xdr:cNvCxnSpPr>
      </xdr:nvCxnSpPr>
      <xdr:spPr>
        <a:xfrm>
          <a:off x="2509859" y="4695237"/>
          <a:ext cx="251804" cy="3772955"/>
        </a:xfrm>
        <a:prstGeom prst="bentConnector3">
          <a:avLst>
            <a:gd name="adj1" fmla="val 50000"/>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281009</xdr:colOff>
      <xdr:row>27</xdr:row>
      <xdr:rowOff>66087</xdr:rowOff>
    </xdr:from>
    <xdr:to>
      <xdr:col>12</xdr:col>
      <xdr:colOff>18463</xdr:colOff>
      <xdr:row>60</xdr:row>
      <xdr:rowOff>67142</xdr:rowOff>
    </xdr:to>
    <xdr:cxnSp macro="">
      <xdr:nvCxnSpPr>
        <xdr:cNvPr id="57" name="直線コネクタ 31">
          <a:extLst>
            <a:ext uri="{FF2B5EF4-FFF2-40B4-BE49-F238E27FC236}">
              <a16:creationId xmlns:a16="http://schemas.microsoft.com/office/drawing/2014/main" id="{140891FE-6124-48B2-ACDA-23020657F5B5}"/>
            </a:ext>
          </a:extLst>
        </xdr:cNvPr>
        <xdr:cNvCxnSpPr>
          <a:stCxn id="4" idx="3"/>
          <a:endCxn id="49" idx="1"/>
        </xdr:cNvCxnSpPr>
      </xdr:nvCxnSpPr>
      <xdr:spPr>
        <a:xfrm>
          <a:off x="2509859" y="4695237"/>
          <a:ext cx="251804" cy="5658905"/>
        </a:xfrm>
        <a:prstGeom prst="bentConnector3">
          <a:avLst>
            <a:gd name="adj1" fmla="val 50000"/>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44</xdr:col>
      <xdr:colOff>167309</xdr:colOff>
      <xdr:row>46</xdr:row>
      <xdr:rowOff>124238</xdr:rowOff>
    </xdr:from>
    <xdr:to>
      <xdr:col>46</xdr:col>
      <xdr:colOff>21739</xdr:colOff>
      <xdr:row>56</xdr:row>
      <xdr:rowOff>68580</xdr:rowOff>
    </xdr:to>
    <xdr:sp macro="" textlink="">
      <xdr:nvSpPr>
        <xdr:cNvPr id="58" name="右中かっこ 57">
          <a:extLst>
            <a:ext uri="{FF2B5EF4-FFF2-40B4-BE49-F238E27FC236}">
              <a16:creationId xmlns:a16="http://schemas.microsoft.com/office/drawing/2014/main" id="{1A08AFDC-0A4C-4D6A-9768-165AA5ABCD3B}"/>
            </a:ext>
          </a:extLst>
        </xdr:cNvPr>
        <xdr:cNvSpPr/>
      </xdr:nvSpPr>
      <xdr:spPr>
        <a:xfrm>
          <a:off x="10225709" y="8010938"/>
          <a:ext cx="311630" cy="1658842"/>
        </a:xfrm>
        <a:prstGeom prst="righ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20</xdr:col>
      <xdr:colOff>201051</xdr:colOff>
      <xdr:row>72</xdr:row>
      <xdr:rowOff>67508</xdr:rowOff>
    </xdr:from>
    <xdr:to>
      <xdr:col>22</xdr:col>
      <xdr:colOff>22567</xdr:colOff>
      <xdr:row>72</xdr:row>
      <xdr:rowOff>70238</xdr:rowOff>
    </xdr:to>
    <xdr:cxnSp macro="">
      <xdr:nvCxnSpPr>
        <xdr:cNvPr id="59" name="直線コネクタ 58">
          <a:extLst>
            <a:ext uri="{FF2B5EF4-FFF2-40B4-BE49-F238E27FC236}">
              <a16:creationId xmlns:a16="http://schemas.microsoft.com/office/drawing/2014/main" id="{C358A9CB-E6BC-4BC5-AB55-25836FF85185}"/>
            </a:ext>
          </a:extLst>
        </xdr:cNvPr>
        <xdr:cNvCxnSpPr>
          <a:cxnSpLocks/>
          <a:stCxn id="60" idx="3"/>
          <a:endCxn id="61" idx="1"/>
        </xdr:cNvCxnSpPr>
      </xdr:nvCxnSpPr>
      <xdr:spPr>
        <a:xfrm>
          <a:off x="4773051" y="12411908"/>
          <a:ext cx="278716" cy="2730"/>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21981</xdr:colOff>
      <xdr:row>72</xdr:row>
      <xdr:rowOff>14654</xdr:rowOff>
    </xdr:from>
    <xdr:to>
      <xdr:col>20</xdr:col>
      <xdr:colOff>199146</xdr:colOff>
      <xdr:row>72</xdr:row>
      <xdr:rowOff>116551</xdr:rowOff>
    </xdr:to>
    <xdr:sp macro="" textlink="">
      <xdr:nvSpPr>
        <xdr:cNvPr id="60" name="正方形/長方形 59">
          <a:extLst>
            <a:ext uri="{FF2B5EF4-FFF2-40B4-BE49-F238E27FC236}">
              <a16:creationId xmlns:a16="http://schemas.microsoft.com/office/drawing/2014/main" id="{69E823D1-4410-4808-8208-224EB736B45B}"/>
            </a:ext>
          </a:extLst>
        </xdr:cNvPr>
        <xdr:cNvSpPr/>
      </xdr:nvSpPr>
      <xdr:spPr>
        <a:xfrm>
          <a:off x="4593981" y="12359054"/>
          <a:ext cx="17716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18757</xdr:colOff>
      <xdr:row>72</xdr:row>
      <xdr:rowOff>20242</xdr:rowOff>
    </xdr:from>
    <xdr:to>
      <xdr:col>22</xdr:col>
      <xdr:colOff>192112</xdr:colOff>
      <xdr:row>72</xdr:row>
      <xdr:rowOff>122139</xdr:rowOff>
    </xdr:to>
    <xdr:sp macro="" textlink="">
      <xdr:nvSpPr>
        <xdr:cNvPr id="61" name="正方形/長方形 60">
          <a:extLst>
            <a:ext uri="{FF2B5EF4-FFF2-40B4-BE49-F238E27FC236}">
              <a16:creationId xmlns:a16="http://schemas.microsoft.com/office/drawing/2014/main" id="{F8B701D0-EC50-4F50-A3E8-60FD726B105C}"/>
            </a:ext>
          </a:extLst>
        </xdr:cNvPr>
        <xdr:cNvSpPr/>
      </xdr:nvSpPr>
      <xdr:spPr>
        <a:xfrm>
          <a:off x="5047957" y="12364642"/>
          <a:ext cx="17335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18757</xdr:colOff>
      <xdr:row>72</xdr:row>
      <xdr:rowOff>9232</xdr:rowOff>
    </xdr:from>
    <xdr:to>
      <xdr:col>32</xdr:col>
      <xdr:colOff>182587</xdr:colOff>
      <xdr:row>72</xdr:row>
      <xdr:rowOff>103509</xdr:rowOff>
    </xdr:to>
    <xdr:sp macro="" textlink="">
      <xdr:nvSpPr>
        <xdr:cNvPr id="62" name="正方形/長方形 61">
          <a:extLst>
            <a:ext uri="{FF2B5EF4-FFF2-40B4-BE49-F238E27FC236}">
              <a16:creationId xmlns:a16="http://schemas.microsoft.com/office/drawing/2014/main" id="{39F1909B-435F-4871-A4FB-CC2C59651E52}"/>
            </a:ext>
          </a:extLst>
        </xdr:cNvPr>
        <xdr:cNvSpPr/>
      </xdr:nvSpPr>
      <xdr:spPr>
        <a:xfrm>
          <a:off x="7333957" y="12353632"/>
          <a:ext cx="163830"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27402</xdr:colOff>
      <xdr:row>72</xdr:row>
      <xdr:rowOff>11137</xdr:rowOff>
    </xdr:from>
    <xdr:to>
      <xdr:col>29</xdr:col>
      <xdr:colOff>200757</xdr:colOff>
      <xdr:row>72</xdr:row>
      <xdr:rowOff>105414</xdr:rowOff>
    </xdr:to>
    <xdr:sp macro="" textlink="">
      <xdr:nvSpPr>
        <xdr:cNvPr id="63" name="正方形/長方形 62">
          <a:extLst>
            <a:ext uri="{FF2B5EF4-FFF2-40B4-BE49-F238E27FC236}">
              <a16:creationId xmlns:a16="http://schemas.microsoft.com/office/drawing/2014/main" id="{DA927185-9803-4FFA-8F5E-A712E845F8EE}"/>
            </a:ext>
          </a:extLst>
        </xdr:cNvPr>
        <xdr:cNvSpPr/>
      </xdr:nvSpPr>
      <xdr:spPr>
        <a:xfrm>
          <a:off x="6656802" y="12355537"/>
          <a:ext cx="17335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74</xdr:row>
      <xdr:rowOff>14655</xdr:rowOff>
    </xdr:from>
    <xdr:to>
      <xdr:col>29</xdr:col>
      <xdr:colOff>198853</xdr:colOff>
      <xdr:row>74</xdr:row>
      <xdr:rowOff>112742</xdr:rowOff>
    </xdr:to>
    <xdr:sp macro="" textlink="">
      <xdr:nvSpPr>
        <xdr:cNvPr id="64" name="正方形/長方形 63">
          <a:extLst>
            <a:ext uri="{FF2B5EF4-FFF2-40B4-BE49-F238E27FC236}">
              <a16:creationId xmlns:a16="http://schemas.microsoft.com/office/drawing/2014/main" id="{2C56E6E2-251C-4D46-9AC5-B7D487B89BBA}"/>
            </a:ext>
          </a:extLst>
        </xdr:cNvPr>
        <xdr:cNvSpPr/>
      </xdr:nvSpPr>
      <xdr:spPr>
        <a:xfrm>
          <a:off x="6658708" y="1270195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13335</xdr:colOff>
      <xdr:row>73</xdr:row>
      <xdr:rowOff>21980</xdr:rowOff>
    </xdr:from>
    <xdr:to>
      <xdr:col>32</xdr:col>
      <xdr:colOff>171450</xdr:colOff>
      <xdr:row>73</xdr:row>
      <xdr:rowOff>123877</xdr:rowOff>
    </xdr:to>
    <xdr:sp macro="" textlink="">
      <xdr:nvSpPr>
        <xdr:cNvPr id="65" name="正方形/長方形 64">
          <a:extLst>
            <a:ext uri="{FF2B5EF4-FFF2-40B4-BE49-F238E27FC236}">
              <a16:creationId xmlns:a16="http://schemas.microsoft.com/office/drawing/2014/main" id="{50E29068-A857-4827-8277-F94ACA2F4E9D}"/>
            </a:ext>
          </a:extLst>
        </xdr:cNvPr>
        <xdr:cNvSpPr/>
      </xdr:nvSpPr>
      <xdr:spPr>
        <a:xfrm>
          <a:off x="7328535" y="12537830"/>
          <a:ext cx="158115" cy="10189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200757</xdr:colOff>
      <xdr:row>72</xdr:row>
      <xdr:rowOff>56371</xdr:rowOff>
    </xdr:from>
    <xdr:to>
      <xdr:col>32</xdr:col>
      <xdr:colOff>18757</xdr:colOff>
      <xdr:row>72</xdr:row>
      <xdr:rowOff>58276</xdr:rowOff>
    </xdr:to>
    <xdr:cxnSp macro="">
      <xdr:nvCxnSpPr>
        <xdr:cNvPr id="66" name="直線コネクタ 65">
          <a:extLst>
            <a:ext uri="{FF2B5EF4-FFF2-40B4-BE49-F238E27FC236}">
              <a16:creationId xmlns:a16="http://schemas.microsoft.com/office/drawing/2014/main" id="{90EEBEA0-B068-4E12-9E34-27D1B7FC731A}"/>
            </a:ext>
          </a:extLst>
        </xdr:cNvPr>
        <xdr:cNvCxnSpPr>
          <a:stCxn id="62" idx="1"/>
          <a:endCxn id="63" idx="3"/>
        </xdr:cNvCxnSpPr>
      </xdr:nvCxnSpPr>
      <xdr:spPr>
        <a:xfrm flipH="1">
          <a:off x="6830157" y="12400771"/>
          <a:ext cx="503800" cy="1905"/>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18463</xdr:colOff>
      <xdr:row>72</xdr:row>
      <xdr:rowOff>22861</xdr:rowOff>
    </xdr:from>
    <xdr:to>
      <xdr:col>12</xdr:col>
      <xdr:colOff>191818</xdr:colOff>
      <xdr:row>72</xdr:row>
      <xdr:rowOff>111423</xdr:rowOff>
    </xdr:to>
    <xdr:sp macro="" textlink="">
      <xdr:nvSpPr>
        <xdr:cNvPr id="67" name="正方形/長方形 66">
          <a:extLst>
            <a:ext uri="{FF2B5EF4-FFF2-40B4-BE49-F238E27FC236}">
              <a16:creationId xmlns:a16="http://schemas.microsoft.com/office/drawing/2014/main" id="{74CF4FD6-583E-4D16-9F89-9B6B4F111ABD}"/>
            </a:ext>
          </a:extLst>
        </xdr:cNvPr>
        <xdr:cNvSpPr/>
      </xdr:nvSpPr>
      <xdr:spPr>
        <a:xfrm>
          <a:off x="2761663" y="12367261"/>
          <a:ext cx="173355" cy="8856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21981</xdr:colOff>
      <xdr:row>73</xdr:row>
      <xdr:rowOff>23885</xdr:rowOff>
    </xdr:from>
    <xdr:to>
      <xdr:col>22</xdr:col>
      <xdr:colOff>191526</xdr:colOff>
      <xdr:row>73</xdr:row>
      <xdr:rowOff>127688</xdr:rowOff>
    </xdr:to>
    <xdr:sp macro="" textlink="">
      <xdr:nvSpPr>
        <xdr:cNvPr id="68" name="正方形/長方形 67">
          <a:extLst>
            <a:ext uri="{FF2B5EF4-FFF2-40B4-BE49-F238E27FC236}">
              <a16:creationId xmlns:a16="http://schemas.microsoft.com/office/drawing/2014/main" id="{3078910E-7543-40BA-984E-6C8128E9E88A}"/>
            </a:ext>
          </a:extLst>
        </xdr:cNvPr>
        <xdr:cNvSpPr/>
      </xdr:nvSpPr>
      <xdr:spPr>
        <a:xfrm>
          <a:off x="5051181" y="1253973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21981</xdr:colOff>
      <xdr:row>73</xdr:row>
      <xdr:rowOff>29308</xdr:rowOff>
    </xdr:from>
    <xdr:to>
      <xdr:col>20</xdr:col>
      <xdr:colOff>210576</xdr:colOff>
      <xdr:row>73</xdr:row>
      <xdr:rowOff>121680</xdr:rowOff>
    </xdr:to>
    <xdr:sp macro="" textlink="">
      <xdr:nvSpPr>
        <xdr:cNvPr id="69" name="正方形/長方形 68">
          <a:extLst>
            <a:ext uri="{FF2B5EF4-FFF2-40B4-BE49-F238E27FC236}">
              <a16:creationId xmlns:a16="http://schemas.microsoft.com/office/drawing/2014/main" id="{602B5242-4EE2-4196-918C-3B6FDE0EE97B}"/>
            </a:ext>
          </a:extLst>
        </xdr:cNvPr>
        <xdr:cNvSpPr/>
      </xdr:nvSpPr>
      <xdr:spPr>
        <a:xfrm>
          <a:off x="4593981" y="12545158"/>
          <a:ext cx="188595" cy="9237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206766</xdr:colOff>
      <xdr:row>73</xdr:row>
      <xdr:rowOff>75494</xdr:rowOff>
    </xdr:from>
    <xdr:to>
      <xdr:col>22</xdr:col>
      <xdr:colOff>18171</xdr:colOff>
      <xdr:row>73</xdr:row>
      <xdr:rowOff>75787</xdr:rowOff>
    </xdr:to>
    <xdr:cxnSp macro="">
      <xdr:nvCxnSpPr>
        <xdr:cNvPr id="70" name="直線コネクタ 69">
          <a:extLst>
            <a:ext uri="{FF2B5EF4-FFF2-40B4-BE49-F238E27FC236}">
              <a16:creationId xmlns:a16="http://schemas.microsoft.com/office/drawing/2014/main" id="{FF74F734-9026-4711-A611-4C0C555D111A}"/>
            </a:ext>
          </a:extLst>
        </xdr:cNvPr>
        <xdr:cNvCxnSpPr>
          <a:cxnSpLocks/>
          <a:stCxn id="69" idx="3"/>
          <a:endCxn id="68" idx="1"/>
        </xdr:cNvCxnSpPr>
      </xdr:nvCxnSpPr>
      <xdr:spPr>
        <a:xfrm>
          <a:off x="4778766" y="12591344"/>
          <a:ext cx="268605" cy="293"/>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198853</xdr:colOff>
      <xdr:row>73</xdr:row>
      <xdr:rowOff>72929</xdr:rowOff>
    </xdr:from>
    <xdr:to>
      <xdr:col>32</xdr:col>
      <xdr:colOff>13335</xdr:colOff>
      <xdr:row>74</xdr:row>
      <xdr:rowOff>63699</xdr:rowOff>
    </xdr:to>
    <xdr:cxnSp macro="">
      <xdr:nvCxnSpPr>
        <xdr:cNvPr id="71" name="直線コネクタ 31">
          <a:extLst>
            <a:ext uri="{FF2B5EF4-FFF2-40B4-BE49-F238E27FC236}">
              <a16:creationId xmlns:a16="http://schemas.microsoft.com/office/drawing/2014/main" id="{C0F25530-A618-48EE-829B-9F9AC4A7961A}"/>
            </a:ext>
          </a:extLst>
        </xdr:cNvPr>
        <xdr:cNvCxnSpPr>
          <a:stCxn id="64" idx="3"/>
          <a:endCxn id="65" idx="1"/>
        </xdr:cNvCxnSpPr>
      </xdr:nvCxnSpPr>
      <xdr:spPr>
        <a:xfrm flipV="1">
          <a:off x="6828253" y="12588779"/>
          <a:ext cx="500282" cy="162220"/>
        </a:xfrm>
        <a:prstGeom prst="bentConnector3">
          <a:avLst>
            <a:gd name="adj1" fmla="val 36187"/>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18757</xdr:colOff>
      <xdr:row>80</xdr:row>
      <xdr:rowOff>20242</xdr:rowOff>
    </xdr:from>
    <xdr:to>
      <xdr:col>22</xdr:col>
      <xdr:colOff>192112</xdr:colOff>
      <xdr:row>80</xdr:row>
      <xdr:rowOff>122139</xdr:rowOff>
    </xdr:to>
    <xdr:sp macro="" textlink="">
      <xdr:nvSpPr>
        <xdr:cNvPr id="72" name="正方形/長方形 71">
          <a:extLst>
            <a:ext uri="{FF2B5EF4-FFF2-40B4-BE49-F238E27FC236}">
              <a16:creationId xmlns:a16="http://schemas.microsoft.com/office/drawing/2014/main" id="{A7CDC09E-0C54-4FD3-8B1B-43944D6E8210}"/>
            </a:ext>
          </a:extLst>
        </xdr:cNvPr>
        <xdr:cNvSpPr/>
      </xdr:nvSpPr>
      <xdr:spPr>
        <a:xfrm>
          <a:off x="5047957" y="13736242"/>
          <a:ext cx="17335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27402</xdr:colOff>
      <xdr:row>80</xdr:row>
      <xdr:rowOff>11137</xdr:rowOff>
    </xdr:from>
    <xdr:to>
      <xdr:col>29</xdr:col>
      <xdr:colOff>200757</xdr:colOff>
      <xdr:row>80</xdr:row>
      <xdr:rowOff>105414</xdr:rowOff>
    </xdr:to>
    <xdr:sp macro="" textlink="">
      <xdr:nvSpPr>
        <xdr:cNvPr id="73" name="正方形/長方形 72">
          <a:extLst>
            <a:ext uri="{FF2B5EF4-FFF2-40B4-BE49-F238E27FC236}">
              <a16:creationId xmlns:a16="http://schemas.microsoft.com/office/drawing/2014/main" id="{1EB7F0ED-CB96-4324-9654-287F6377F8C4}"/>
            </a:ext>
          </a:extLst>
        </xdr:cNvPr>
        <xdr:cNvSpPr/>
      </xdr:nvSpPr>
      <xdr:spPr>
        <a:xfrm>
          <a:off x="6656802" y="13727137"/>
          <a:ext cx="17335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82</xdr:row>
      <xdr:rowOff>14655</xdr:rowOff>
    </xdr:from>
    <xdr:to>
      <xdr:col>29</xdr:col>
      <xdr:colOff>198853</xdr:colOff>
      <xdr:row>82</xdr:row>
      <xdr:rowOff>112742</xdr:rowOff>
    </xdr:to>
    <xdr:sp macro="" textlink="">
      <xdr:nvSpPr>
        <xdr:cNvPr id="74" name="正方形/長方形 73">
          <a:extLst>
            <a:ext uri="{FF2B5EF4-FFF2-40B4-BE49-F238E27FC236}">
              <a16:creationId xmlns:a16="http://schemas.microsoft.com/office/drawing/2014/main" id="{0CFACB6C-E1D8-48C7-9753-AB7BFBA82D59}"/>
            </a:ext>
          </a:extLst>
        </xdr:cNvPr>
        <xdr:cNvSpPr/>
      </xdr:nvSpPr>
      <xdr:spPr>
        <a:xfrm>
          <a:off x="6658708" y="1407355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21981</xdr:colOff>
      <xdr:row>81</xdr:row>
      <xdr:rowOff>23885</xdr:rowOff>
    </xdr:from>
    <xdr:to>
      <xdr:col>22</xdr:col>
      <xdr:colOff>191526</xdr:colOff>
      <xdr:row>81</xdr:row>
      <xdr:rowOff>127688</xdr:rowOff>
    </xdr:to>
    <xdr:sp macro="" textlink="">
      <xdr:nvSpPr>
        <xdr:cNvPr id="75" name="正方形/長方形 74">
          <a:extLst>
            <a:ext uri="{FF2B5EF4-FFF2-40B4-BE49-F238E27FC236}">
              <a16:creationId xmlns:a16="http://schemas.microsoft.com/office/drawing/2014/main" id="{27C1A40B-B2FC-4365-A0C4-58ABDD728F85}"/>
            </a:ext>
          </a:extLst>
        </xdr:cNvPr>
        <xdr:cNvSpPr/>
      </xdr:nvSpPr>
      <xdr:spPr>
        <a:xfrm>
          <a:off x="5051181" y="1391133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3517</xdr:colOff>
      <xdr:row>89</xdr:row>
      <xdr:rowOff>20242</xdr:rowOff>
    </xdr:from>
    <xdr:to>
      <xdr:col>22</xdr:col>
      <xdr:colOff>176872</xdr:colOff>
      <xdr:row>89</xdr:row>
      <xdr:rowOff>122139</xdr:rowOff>
    </xdr:to>
    <xdr:sp macro="" textlink="">
      <xdr:nvSpPr>
        <xdr:cNvPr id="76" name="正方形/長方形 75">
          <a:extLst>
            <a:ext uri="{FF2B5EF4-FFF2-40B4-BE49-F238E27FC236}">
              <a16:creationId xmlns:a16="http://schemas.microsoft.com/office/drawing/2014/main" id="{B0B9952A-4D37-4709-BACA-F6F4E6E2468B}"/>
            </a:ext>
          </a:extLst>
        </xdr:cNvPr>
        <xdr:cNvSpPr/>
      </xdr:nvSpPr>
      <xdr:spPr>
        <a:xfrm>
          <a:off x="5032717" y="15279292"/>
          <a:ext cx="17335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27402</xdr:colOff>
      <xdr:row>89</xdr:row>
      <xdr:rowOff>11137</xdr:rowOff>
    </xdr:from>
    <xdr:to>
      <xdr:col>29</xdr:col>
      <xdr:colOff>200757</xdr:colOff>
      <xdr:row>89</xdr:row>
      <xdr:rowOff>105414</xdr:rowOff>
    </xdr:to>
    <xdr:sp macro="" textlink="">
      <xdr:nvSpPr>
        <xdr:cNvPr id="77" name="正方形/長方形 76">
          <a:extLst>
            <a:ext uri="{FF2B5EF4-FFF2-40B4-BE49-F238E27FC236}">
              <a16:creationId xmlns:a16="http://schemas.microsoft.com/office/drawing/2014/main" id="{ED3B9A23-CED3-4AFD-9645-963FC226451F}"/>
            </a:ext>
          </a:extLst>
        </xdr:cNvPr>
        <xdr:cNvSpPr/>
      </xdr:nvSpPr>
      <xdr:spPr>
        <a:xfrm>
          <a:off x="6656802" y="15270187"/>
          <a:ext cx="17335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91</xdr:row>
      <xdr:rowOff>14655</xdr:rowOff>
    </xdr:from>
    <xdr:to>
      <xdr:col>29</xdr:col>
      <xdr:colOff>198853</xdr:colOff>
      <xdr:row>91</xdr:row>
      <xdr:rowOff>112742</xdr:rowOff>
    </xdr:to>
    <xdr:sp macro="" textlink="">
      <xdr:nvSpPr>
        <xdr:cNvPr id="78" name="正方形/長方形 77">
          <a:extLst>
            <a:ext uri="{FF2B5EF4-FFF2-40B4-BE49-F238E27FC236}">
              <a16:creationId xmlns:a16="http://schemas.microsoft.com/office/drawing/2014/main" id="{4BEC44FD-EA61-47DB-A4C8-AE634269265F}"/>
            </a:ext>
          </a:extLst>
        </xdr:cNvPr>
        <xdr:cNvSpPr/>
      </xdr:nvSpPr>
      <xdr:spPr>
        <a:xfrm>
          <a:off x="6658708" y="1561660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21981</xdr:colOff>
      <xdr:row>90</xdr:row>
      <xdr:rowOff>23885</xdr:rowOff>
    </xdr:from>
    <xdr:to>
      <xdr:col>22</xdr:col>
      <xdr:colOff>191526</xdr:colOff>
      <xdr:row>90</xdr:row>
      <xdr:rowOff>127688</xdr:rowOff>
    </xdr:to>
    <xdr:sp macro="" textlink="">
      <xdr:nvSpPr>
        <xdr:cNvPr id="79" name="正方形/長方形 78">
          <a:extLst>
            <a:ext uri="{FF2B5EF4-FFF2-40B4-BE49-F238E27FC236}">
              <a16:creationId xmlns:a16="http://schemas.microsoft.com/office/drawing/2014/main" id="{E0A99C2E-6CAD-467C-A7CB-E5E65F801A86}"/>
            </a:ext>
          </a:extLst>
        </xdr:cNvPr>
        <xdr:cNvSpPr/>
      </xdr:nvSpPr>
      <xdr:spPr>
        <a:xfrm>
          <a:off x="5051181" y="1545438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18757</xdr:colOff>
      <xdr:row>98</xdr:row>
      <xdr:rowOff>20242</xdr:rowOff>
    </xdr:from>
    <xdr:to>
      <xdr:col>22</xdr:col>
      <xdr:colOff>192112</xdr:colOff>
      <xdr:row>98</xdr:row>
      <xdr:rowOff>122139</xdr:rowOff>
    </xdr:to>
    <xdr:sp macro="" textlink="">
      <xdr:nvSpPr>
        <xdr:cNvPr id="80" name="正方形/長方形 79">
          <a:extLst>
            <a:ext uri="{FF2B5EF4-FFF2-40B4-BE49-F238E27FC236}">
              <a16:creationId xmlns:a16="http://schemas.microsoft.com/office/drawing/2014/main" id="{FCCB309B-2926-4044-992A-FDF582C0E8A2}"/>
            </a:ext>
          </a:extLst>
        </xdr:cNvPr>
        <xdr:cNvSpPr/>
      </xdr:nvSpPr>
      <xdr:spPr>
        <a:xfrm>
          <a:off x="5047957" y="16822342"/>
          <a:ext cx="17335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27402</xdr:colOff>
      <xdr:row>98</xdr:row>
      <xdr:rowOff>11137</xdr:rowOff>
    </xdr:from>
    <xdr:to>
      <xdr:col>29</xdr:col>
      <xdr:colOff>200757</xdr:colOff>
      <xdr:row>98</xdr:row>
      <xdr:rowOff>105414</xdr:rowOff>
    </xdr:to>
    <xdr:sp macro="" textlink="">
      <xdr:nvSpPr>
        <xdr:cNvPr id="81" name="正方形/長方形 80">
          <a:extLst>
            <a:ext uri="{FF2B5EF4-FFF2-40B4-BE49-F238E27FC236}">
              <a16:creationId xmlns:a16="http://schemas.microsoft.com/office/drawing/2014/main" id="{B8DDF13A-A4AC-46AC-8091-06B80C703B6F}"/>
            </a:ext>
          </a:extLst>
        </xdr:cNvPr>
        <xdr:cNvSpPr/>
      </xdr:nvSpPr>
      <xdr:spPr>
        <a:xfrm>
          <a:off x="6656802" y="16813237"/>
          <a:ext cx="17335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100</xdr:row>
      <xdr:rowOff>14655</xdr:rowOff>
    </xdr:from>
    <xdr:to>
      <xdr:col>29</xdr:col>
      <xdr:colOff>198853</xdr:colOff>
      <xdr:row>100</xdr:row>
      <xdr:rowOff>112742</xdr:rowOff>
    </xdr:to>
    <xdr:sp macro="" textlink="">
      <xdr:nvSpPr>
        <xdr:cNvPr id="82" name="正方形/長方形 81">
          <a:extLst>
            <a:ext uri="{FF2B5EF4-FFF2-40B4-BE49-F238E27FC236}">
              <a16:creationId xmlns:a16="http://schemas.microsoft.com/office/drawing/2014/main" id="{72C17DF6-9045-4999-891F-8D7D473C474B}"/>
            </a:ext>
          </a:extLst>
        </xdr:cNvPr>
        <xdr:cNvSpPr/>
      </xdr:nvSpPr>
      <xdr:spPr>
        <a:xfrm>
          <a:off x="6658708" y="1715965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21981</xdr:colOff>
      <xdr:row>99</xdr:row>
      <xdr:rowOff>23885</xdr:rowOff>
    </xdr:from>
    <xdr:to>
      <xdr:col>22</xdr:col>
      <xdr:colOff>191526</xdr:colOff>
      <xdr:row>99</xdr:row>
      <xdr:rowOff>127688</xdr:rowOff>
    </xdr:to>
    <xdr:sp macro="" textlink="">
      <xdr:nvSpPr>
        <xdr:cNvPr id="83" name="正方形/長方形 82">
          <a:extLst>
            <a:ext uri="{FF2B5EF4-FFF2-40B4-BE49-F238E27FC236}">
              <a16:creationId xmlns:a16="http://schemas.microsoft.com/office/drawing/2014/main" id="{20D98953-6FDA-4B15-938C-7C10F87C7658}"/>
            </a:ext>
          </a:extLst>
        </xdr:cNvPr>
        <xdr:cNvSpPr/>
      </xdr:nvSpPr>
      <xdr:spPr>
        <a:xfrm>
          <a:off x="5051181" y="1699743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199146</xdr:colOff>
      <xdr:row>72</xdr:row>
      <xdr:rowOff>65603</xdr:rowOff>
    </xdr:from>
    <xdr:to>
      <xdr:col>22</xdr:col>
      <xdr:colOff>18757</xdr:colOff>
      <xdr:row>80</xdr:row>
      <xdr:rowOff>71191</xdr:rowOff>
    </xdr:to>
    <xdr:cxnSp macro="">
      <xdr:nvCxnSpPr>
        <xdr:cNvPr id="84" name="直線コネクタ 31">
          <a:extLst>
            <a:ext uri="{FF2B5EF4-FFF2-40B4-BE49-F238E27FC236}">
              <a16:creationId xmlns:a16="http://schemas.microsoft.com/office/drawing/2014/main" id="{4D0BC92A-B332-4FD2-8CF4-F94D4FF15E6B}"/>
            </a:ext>
          </a:extLst>
        </xdr:cNvPr>
        <xdr:cNvCxnSpPr>
          <a:cxnSpLocks/>
          <a:stCxn id="60" idx="3"/>
          <a:endCxn id="72" idx="1"/>
        </xdr:cNvCxnSpPr>
      </xdr:nvCxnSpPr>
      <xdr:spPr>
        <a:xfrm>
          <a:off x="4771146" y="12410003"/>
          <a:ext cx="276811" cy="1377188"/>
        </a:xfrm>
        <a:prstGeom prst="bentConnector3">
          <a:avLst>
            <a:gd name="adj1" fmla="val 50000"/>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210576</xdr:colOff>
      <xdr:row>73</xdr:row>
      <xdr:rowOff>75494</xdr:rowOff>
    </xdr:from>
    <xdr:to>
      <xdr:col>22</xdr:col>
      <xdr:colOff>21981</xdr:colOff>
      <xdr:row>81</xdr:row>
      <xdr:rowOff>75787</xdr:rowOff>
    </xdr:to>
    <xdr:cxnSp macro="">
      <xdr:nvCxnSpPr>
        <xdr:cNvPr id="85" name="直線コネクタ 31">
          <a:extLst>
            <a:ext uri="{FF2B5EF4-FFF2-40B4-BE49-F238E27FC236}">
              <a16:creationId xmlns:a16="http://schemas.microsoft.com/office/drawing/2014/main" id="{34BB466C-25EC-4597-91CD-34285AB383DE}"/>
            </a:ext>
          </a:extLst>
        </xdr:cNvPr>
        <xdr:cNvCxnSpPr>
          <a:cxnSpLocks/>
          <a:stCxn id="69" idx="3"/>
          <a:endCxn id="75" idx="1"/>
        </xdr:cNvCxnSpPr>
      </xdr:nvCxnSpPr>
      <xdr:spPr>
        <a:xfrm>
          <a:off x="4782576" y="12591344"/>
          <a:ext cx="268605" cy="1371893"/>
        </a:xfrm>
        <a:prstGeom prst="bentConnector3">
          <a:avLst>
            <a:gd name="adj1" fmla="val 69460"/>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210576</xdr:colOff>
      <xdr:row>73</xdr:row>
      <xdr:rowOff>75494</xdr:rowOff>
    </xdr:from>
    <xdr:to>
      <xdr:col>22</xdr:col>
      <xdr:colOff>3517</xdr:colOff>
      <xdr:row>89</xdr:row>
      <xdr:rowOff>71191</xdr:rowOff>
    </xdr:to>
    <xdr:cxnSp macro="">
      <xdr:nvCxnSpPr>
        <xdr:cNvPr id="86" name="直線コネクタ 31">
          <a:extLst>
            <a:ext uri="{FF2B5EF4-FFF2-40B4-BE49-F238E27FC236}">
              <a16:creationId xmlns:a16="http://schemas.microsoft.com/office/drawing/2014/main" id="{250CBD18-F0EB-45CC-BC2D-4EBEB5AEDEDB}"/>
            </a:ext>
          </a:extLst>
        </xdr:cNvPr>
        <xdr:cNvCxnSpPr>
          <a:cxnSpLocks/>
          <a:stCxn id="69" idx="3"/>
          <a:endCxn id="76" idx="1"/>
        </xdr:cNvCxnSpPr>
      </xdr:nvCxnSpPr>
      <xdr:spPr>
        <a:xfrm>
          <a:off x="4782576" y="12591344"/>
          <a:ext cx="250141" cy="2738897"/>
        </a:xfrm>
        <a:prstGeom prst="bentConnector3">
          <a:avLst>
            <a:gd name="adj1" fmla="val 50000"/>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210576</xdr:colOff>
      <xdr:row>73</xdr:row>
      <xdr:rowOff>75494</xdr:rowOff>
    </xdr:from>
    <xdr:to>
      <xdr:col>22</xdr:col>
      <xdr:colOff>21981</xdr:colOff>
      <xdr:row>90</xdr:row>
      <xdr:rowOff>75787</xdr:rowOff>
    </xdr:to>
    <xdr:cxnSp macro="">
      <xdr:nvCxnSpPr>
        <xdr:cNvPr id="87" name="直線コネクタ 31">
          <a:extLst>
            <a:ext uri="{FF2B5EF4-FFF2-40B4-BE49-F238E27FC236}">
              <a16:creationId xmlns:a16="http://schemas.microsoft.com/office/drawing/2014/main" id="{687AED6C-0258-4EA3-8D13-6979D73D6133}"/>
            </a:ext>
          </a:extLst>
        </xdr:cNvPr>
        <xdr:cNvCxnSpPr>
          <a:cxnSpLocks/>
          <a:stCxn id="69" idx="3"/>
          <a:endCxn id="79" idx="1"/>
        </xdr:cNvCxnSpPr>
      </xdr:nvCxnSpPr>
      <xdr:spPr>
        <a:xfrm>
          <a:off x="4782576" y="12591344"/>
          <a:ext cx="268605" cy="2914943"/>
        </a:xfrm>
        <a:prstGeom prst="bentConnector3">
          <a:avLst>
            <a:gd name="adj1" fmla="val 69460"/>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199146</xdr:colOff>
      <xdr:row>72</xdr:row>
      <xdr:rowOff>65603</xdr:rowOff>
    </xdr:from>
    <xdr:to>
      <xdr:col>22</xdr:col>
      <xdr:colOff>18757</xdr:colOff>
      <xdr:row>98</xdr:row>
      <xdr:rowOff>71191</xdr:rowOff>
    </xdr:to>
    <xdr:cxnSp macro="">
      <xdr:nvCxnSpPr>
        <xdr:cNvPr id="88" name="直線コネクタ 31">
          <a:extLst>
            <a:ext uri="{FF2B5EF4-FFF2-40B4-BE49-F238E27FC236}">
              <a16:creationId xmlns:a16="http://schemas.microsoft.com/office/drawing/2014/main" id="{CBD7C2F8-27D7-4003-B891-9627A9C49E72}"/>
            </a:ext>
          </a:extLst>
        </xdr:cNvPr>
        <xdr:cNvCxnSpPr>
          <a:cxnSpLocks/>
          <a:stCxn id="60" idx="3"/>
          <a:endCxn id="80" idx="1"/>
        </xdr:cNvCxnSpPr>
      </xdr:nvCxnSpPr>
      <xdr:spPr>
        <a:xfrm>
          <a:off x="4771146" y="12410003"/>
          <a:ext cx="276811" cy="4463288"/>
        </a:xfrm>
        <a:prstGeom prst="bentConnector3">
          <a:avLst>
            <a:gd name="adj1" fmla="val 50000"/>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210576</xdr:colOff>
      <xdr:row>73</xdr:row>
      <xdr:rowOff>75494</xdr:rowOff>
    </xdr:from>
    <xdr:to>
      <xdr:col>22</xdr:col>
      <xdr:colOff>21981</xdr:colOff>
      <xdr:row>99</xdr:row>
      <xdr:rowOff>75787</xdr:rowOff>
    </xdr:to>
    <xdr:cxnSp macro="">
      <xdr:nvCxnSpPr>
        <xdr:cNvPr id="89" name="直線コネクタ 31">
          <a:extLst>
            <a:ext uri="{FF2B5EF4-FFF2-40B4-BE49-F238E27FC236}">
              <a16:creationId xmlns:a16="http://schemas.microsoft.com/office/drawing/2014/main" id="{00DFB49E-1EEE-4CEF-9027-051166912CA3}"/>
            </a:ext>
          </a:extLst>
        </xdr:cNvPr>
        <xdr:cNvCxnSpPr>
          <a:cxnSpLocks/>
          <a:stCxn id="69" idx="3"/>
          <a:endCxn id="83" idx="1"/>
        </xdr:cNvCxnSpPr>
      </xdr:nvCxnSpPr>
      <xdr:spPr>
        <a:xfrm>
          <a:off x="4782576" y="12591344"/>
          <a:ext cx="268605" cy="4457993"/>
        </a:xfrm>
        <a:prstGeom prst="bentConnector3">
          <a:avLst>
            <a:gd name="adj1" fmla="val 69460"/>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201051</xdr:colOff>
      <xdr:row>107</xdr:row>
      <xdr:rowOff>67508</xdr:rowOff>
    </xdr:from>
    <xdr:to>
      <xdr:col>22</xdr:col>
      <xdr:colOff>22567</xdr:colOff>
      <xdr:row>107</xdr:row>
      <xdr:rowOff>70238</xdr:rowOff>
    </xdr:to>
    <xdr:cxnSp macro="">
      <xdr:nvCxnSpPr>
        <xdr:cNvPr id="90" name="直線コネクタ 89">
          <a:extLst>
            <a:ext uri="{FF2B5EF4-FFF2-40B4-BE49-F238E27FC236}">
              <a16:creationId xmlns:a16="http://schemas.microsoft.com/office/drawing/2014/main" id="{F550D059-AC8F-425A-AF44-3B00C5B7C0FC}"/>
            </a:ext>
          </a:extLst>
        </xdr:cNvPr>
        <xdr:cNvCxnSpPr>
          <a:cxnSpLocks/>
          <a:stCxn id="91" idx="3"/>
          <a:endCxn id="92" idx="1"/>
        </xdr:cNvCxnSpPr>
      </xdr:nvCxnSpPr>
      <xdr:spPr>
        <a:xfrm>
          <a:off x="4773051" y="18412658"/>
          <a:ext cx="278716" cy="2730"/>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21981</xdr:colOff>
      <xdr:row>107</xdr:row>
      <xdr:rowOff>14654</xdr:rowOff>
    </xdr:from>
    <xdr:to>
      <xdr:col>20</xdr:col>
      <xdr:colOff>199146</xdr:colOff>
      <xdr:row>107</xdr:row>
      <xdr:rowOff>116551</xdr:rowOff>
    </xdr:to>
    <xdr:sp macro="" textlink="">
      <xdr:nvSpPr>
        <xdr:cNvPr id="91" name="正方形/長方形 90">
          <a:extLst>
            <a:ext uri="{FF2B5EF4-FFF2-40B4-BE49-F238E27FC236}">
              <a16:creationId xmlns:a16="http://schemas.microsoft.com/office/drawing/2014/main" id="{361F35AB-BE14-45C2-BB42-3C92B14239C5}"/>
            </a:ext>
          </a:extLst>
        </xdr:cNvPr>
        <xdr:cNvSpPr/>
      </xdr:nvSpPr>
      <xdr:spPr>
        <a:xfrm>
          <a:off x="4593981" y="18359804"/>
          <a:ext cx="17716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18757</xdr:colOff>
      <xdr:row>107</xdr:row>
      <xdr:rowOff>20242</xdr:rowOff>
    </xdr:from>
    <xdr:to>
      <xdr:col>22</xdr:col>
      <xdr:colOff>192112</xdr:colOff>
      <xdr:row>107</xdr:row>
      <xdr:rowOff>122139</xdr:rowOff>
    </xdr:to>
    <xdr:sp macro="" textlink="">
      <xdr:nvSpPr>
        <xdr:cNvPr id="92" name="正方形/長方形 91">
          <a:extLst>
            <a:ext uri="{FF2B5EF4-FFF2-40B4-BE49-F238E27FC236}">
              <a16:creationId xmlns:a16="http://schemas.microsoft.com/office/drawing/2014/main" id="{09DCF913-52B0-45AC-823C-7BBD70D41EDF}"/>
            </a:ext>
          </a:extLst>
        </xdr:cNvPr>
        <xdr:cNvSpPr/>
      </xdr:nvSpPr>
      <xdr:spPr>
        <a:xfrm>
          <a:off x="5047957" y="18365392"/>
          <a:ext cx="17335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27402</xdr:colOff>
      <xdr:row>107</xdr:row>
      <xdr:rowOff>11137</xdr:rowOff>
    </xdr:from>
    <xdr:to>
      <xdr:col>29</xdr:col>
      <xdr:colOff>200757</xdr:colOff>
      <xdr:row>107</xdr:row>
      <xdr:rowOff>105414</xdr:rowOff>
    </xdr:to>
    <xdr:sp macro="" textlink="">
      <xdr:nvSpPr>
        <xdr:cNvPr id="93" name="正方形/長方形 92">
          <a:extLst>
            <a:ext uri="{FF2B5EF4-FFF2-40B4-BE49-F238E27FC236}">
              <a16:creationId xmlns:a16="http://schemas.microsoft.com/office/drawing/2014/main" id="{9031BE98-BC5E-4084-AA4F-5C23F9DFEAD1}"/>
            </a:ext>
          </a:extLst>
        </xdr:cNvPr>
        <xdr:cNvSpPr/>
      </xdr:nvSpPr>
      <xdr:spPr>
        <a:xfrm>
          <a:off x="6656802" y="18356287"/>
          <a:ext cx="17335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109</xdr:row>
      <xdr:rowOff>14655</xdr:rowOff>
    </xdr:from>
    <xdr:to>
      <xdr:col>29</xdr:col>
      <xdr:colOff>198853</xdr:colOff>
      <xdr:row>109</xdr:row>
      <xdr:rowOff>112742</xdr:rowOff>
    </xdr:to>
    <xdr:sp macro="" textlink="">
      <xdr:nvSpPr>
        <xdr:cNvPr id="94" name="正方形/長方形 93">
          <a:extLst>
            <a:ext uri="{FF2B5EF4-FFF2-40B4-BE49-F238E27FC236}">
              <a16:creationId xmlns:a16="http://schemas.microsoft.com/office/drawing/2014/main" id="{3A2D028F-8C49-4415-8E31-14AFCA3093EF}"/>
            </a:ext>
          </a:extLst>
        </xdr:cNvPr>
        <xdr:cNvSpPr/>
      </xdr:nvSpPr>
      <xdr:spPr>
        <a:xfrm>
          <a:off x="6658708" y="1870270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18463</xdr:colOff>
      <xdr:row>107</xdr:row>
      <xdr:rowOff>22861</xdr:rowOff>
    </xdr:from>
    <xdr:to>
      <xdr:col>12</xdr:col>
      <xdr:colOff>191818</xdr:colOff>
      <xdr:row>107</xdr:row>
      <xdr:rowOff>111423</xdr:rowOff>
    </xdr:to>
    <xdr:sp macro="" textlink="">
      <xdr:nvSpPr>
        <xdr:cNvPr id="95" name="正方形/長方形 94">
          <a:extLst>
            <a:ext uri="{FF2B5EF4-FFF2-40B4-BE49-F238E27FC236}">
              <a16:creationId xmlns:a16="http://schemas.microsoft.com/office/drawing/2014/main" id="{4B102BD4-64F1-4697-BCB5-4164F6787D84}"/>
            </a:ext>
          </a:extLst>
        </xdr:cNvPr>
        <xdr:cNvSpPr/>
      </xdr:nvSpPr>
      <xdr:spPr>
        <a:xfrm>
          <a:off x="2761663" y="18368011"/>
          <a:ext cx="173355" cy="8856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21981</xdr:colOff>
      <xdr:row>108</xdr:row>
      <xdr:rowOff>23885</xdr:rowOff>
    </xdr:from>
    <xdr:to>
      <xdr:col>22</xdr:col>
      <xdr:colOff>191526</xdr:colOff>
      <xdr:row>108</xdr:row>
      <xdr:rowOff>127688</xdr:rowOff>
    </xdr:to>
    <xdr:sp macro="" textlink="">
      <xdr:nvSpPr>
        <xdr:cNvPr id="96" name="正方形/長方形 95">
          <a:extLst>
            <a:ext uri="{FF2B5EF4-FFF2-40B4-BE49-F238E27FC236}">
              <a16:creationId xmlns:a16="http://schemas.microsoft.com/office/drawing/2014/main" id="{C5E40292-0EAA-4825-997C-796E5AE787FF}"/>
            </a:ext>
          </a:extLst>
        </xdr:cNvPr>
        <xdr:cNvSpPr/>
      </xdr:nvSpPr>
      <xdr:spPr>
        <a:xfrm>
          <a:off x="5051181" y="1854048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21981</xdr:colOff>
      <xdr:row>108</xdr:row>
      <xdr:rowOff>29308</xdr:rowOff>
    </xdr:from>
    <xdr:to>
      <xdr:col>20</xdr:col>
      <xdr:colOff>210576</xdr:colOff>
      <xdr:row>108</xdr:row>
      <xdr:rowOff>121680</xdr:rowOff>
    </xdr:to>
    <xdr:sp macro="" textlink="">
      <xdr:nvSpPr>
        <xdr:cNvPr id="97" name="正方形/長方形 96">
          <a:extLst>
            <a:ext uri="{FF2B5EF4-FFF2-40B4-BE49-F238E27FC236}">
              <a16:creationId xmlns:a16="http://schemas.microsoft.com/office/drawing/2014/main" id="{5AFF9435-0CB2-4F4D-9340-C1ADEF1ABFBC}"/>
            </a:ext>
          </a:extLst>
        </xdr:cNvPr>
        <xdr:cNvSpPr/>
      </xdr:nvSpPr>
      <xdr:spPr>
        <a:xfrm>
          <a:off x="4593981" y="18545908"/>
          <a:ext cx="188595" cy="9237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206766</xdr:colOff>
      <xdr:row>108</xdr:row>
      <xdr:rowOff>75494</xdr:rowOff>
    </xdr:from>
    <xdr:to>
      <xdr:col>22</xdr:col>
      <xdr:colOff>18171</xdr:colOff>
      <xdr:row>108</xdr:row>
      <xdr:rowOff>75787</xdr:rowOff>
    </xdr:to>
    <xdr:cxnSp macro="">
      <xdr:nvCxnSpPr>
        <xdr:cNvPr id="98" name="直線コネクタ 97">
          <a:extLst>
            <a:ext uri="{FF2B5EF4-FFF2-40B4-BE49-F238E27FC236}">
              <a16:creationId xmlns:a16="http://schemas.microsoft.com/office/drawing/2014/main" id="{122645B8-85A8-44AE-9069-1A93C8D7F536}"/>
            </a:ext>
          </a:extLst>
        </xdr:cNvPr>
        <xdr:cNvCxnSpPr>
          <a:cxnSpLocks/>
          <a:stCxn id="97" idx="3"/>
          <a:endCxn id="96" idx="1"/>
        </xdr:cNvCxnSpPr>
      </xdr:nvCxnSpPr>
      <xdr:spPr>
        <a:xfrm>
          <a:off x="4778766" y="18592094"/>
          <a:ext cx="268605" cy="293"/>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200757</xdr:colOff>
      <xdr:row>72</xdr:row>
      <xdr:rowOff>56371</xdr:rowOff>
    </xdr:from>
    <xdr:to>
      <xdr:col>32</xdr:col>
      <xdr:colOff>18757</xdr:colOff>
      <xdr:row>107</xdr:row>
      <xdr:rowOff>58276</xdr:rowOff>
    </xdr:to>
    <xdr:cxnSp macro="">
      <xdr:nvCxnSpPr>
        <xdr:cNvPr id="99" name="直線コネクタ 31">
          <a:extLst>
            <a:ext uri="{FF2B5EF4-FFF2-40B4-BE49-F238E27FC236}">
              <a16:creationId xmlns:a16="http://schemas.microsoft.com/office/drawing/2014/main" id="{66840622-1250-4B07-8701-2DFA155A8FBD}"/>
            </a:ext>
          </a:extLst>
        </xdr:cNvPr>
        <xdr:cNvCxnSpPr>
          <a:cxnSpLocks/>
          <a:stCxn id="93" idx="3"/>
          <a:endCxn id="62" idx="1"/>
        </xdr:cNvCxnSpPr>
      </xdr:nvCxnSpPr>
      <xdr:spPr>
        <a:xfrm flipV="1">
          <a:off x="6830157" y="12400771"/>
          <a:ext cx="503800" cy="6002655"/>
        </a:xfrm>
        <a:prstGeom prst="bentConnector3">
          <a:avLst>
            <a:gd name="adj1" fmla="val 16720"/>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18757</xdr:colOff>
      <xdr:row>115</xdr:row>
      <xdr:rowOff>20242</xdr:rowOff>
    </xdr:from>
    <xdr:to>
      <xdr:col>22</xdr:col>
      <xdr:colOff>192112</xdr:colOff>
      <xdr:row>115</xdr:row>
      <xdr:rowOff>122139</xdr:rowOff>
    </xdr:to>
    <xdr:sp macro="" textlink="">
      <xdr:nvSpPr>
        <xdr:cNvPr id="100" name="正方形/長方形 99">
          <a:extLst>
            <a:ext uri="{FF2B5EF4-FFF2-40B4-BE49-F238E27FC236}">
              <a16:creationId xmlns:a16="http://schemas.microsoft.com/office/drawing/2014/main" id="{F83FBD58-D100-4A57-AB8D-794EA918337A}"/>
            </a:ext>
          </a:extLst>
        </xdr:cNvPr>
        <xdr:cNvSpPr/>
      </xdr:nvSpPr>
      <xdr:spPr>
        <a:xfrm>
          <a:off x="5047957" y="19736992"/>
          <a:ext cx="17335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27402</xdr:colOff>
      <xdr:row>115</xdr:row>
      <xdr:rowOff>11137</xdr:rowOff>
    </xdr:from>
    <xdr:to>
      <xdr:col>29</xdr:col>
      <xdr:colOff>200757</xdr:colOff>
      <xdr:row>115</xdr:row>
      <xdr:rowOff>105414</xdr:rowOff>
    </xdr:to>
    <xdr:sp macro="" textlink="">
      <xdr:nvSpPr>
        <xdr:cNvPr id="101" name="正方形/長方形 100">
          <a:extLst>
            <a:ext uri="{FF2B5EF4-FFF2-40B4-BE49-F238E27FC236}">
              <a16:creationId xmlns:a16="http://schemas.microsoft.com/office/drawing/2014/main" id="{FC14787C-C684-4998-A23A-906AC68EC9D9}"/>
            </a:ext>
          </a:extLst>
        </xdr:cNvPr>
        <xdr:cNvSpPr/>
      </xdr:nvSpPr>
      <xdr:spPr>
        <a:xfrm>
          <a:off x="6656802" y="19727887"/>
          <a:ext cx="17335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117</xdr:row>
      <xdr:rowOff>14655</xdr:rowOff>
    </xdr:from>
    <xdr:to>
      <xdr:col>29</xdr:col>
      <xdr:colOff>198853</xdr:colOff>
      <xdr:row>117</xdr:row>
      <xdr:rowOff>112742</xdr:rowOff>
    </xdr:to>
    <xdr:sp macro="" textlink="">
      <xdr:nvSpPr>
        <xdr:cNvPr id="102" name="正方形/長方形 101">
          <a:extLst>
            <a:ext uri="{FF2B5EF4-FFF2-40B4-BE49-F238E27FC236}">
              <a16:creationId xmlns:a16="http://schemas.microsoft.com/office/drawing/2014/main" id="{358DBC9E-2CC1-4A05-8056-2FCC6E9BE769}"/>
            </a:ext>
          </a:extLst>
        </xdr:cNvPr>
        <xdr:cNvSpPr/>
      </xdr:nvSpPr>
      <xdr:spPr>
        <a:xfrm>
          <a:off x="6658708" y="2007430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21981</xdr:colOff>
      <xdr:row>116</xdr:row>
      <xdr:rowOff>23885</xdr:rowOff>
    </xdr:from>
    <xdr:to>
      <xdr:col>22</xdr:col>
      <xdr:colOff>191526</xdr:colOff>
      <xdr:row>116</xdr:row>
      <xdr:rowOff>127688</xdr:rowOff>
    </xdr:to>
    <xdr:sp macro="" textlink="">
      <xdr:nvSpPr>
        <xdr:cNvPr id="103" name="正方形/長方形 102">
          <a:extLst>
            <a:ext uri="{FF2B5EF4-FFF2-40B4-BE49-F238E27FC236}">
              <a16:creationId xmlns:a16="http://schemas.microsoft.com/office/drawing/2014/main" id="{9C7AECD7-EF40-48CA-9F83-904DB121B1E0}"/>
            </a:ext>
          </a:extLst>
        </xdr:cNvPr>
        <xdr:cNvSpPr/>
      </xdr:nvSpPr>
      <xdr:spPr>
        <a:xfrm>
          <a:off x="5051181" y="1991208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3517</xdr:colOff>
      <xdr:row>124</xdr:row>
      <xdr:rowOff>20242</xdr:rowOff>
    </xdr:from>
    <xdr:to>
      <xdr:col>22</xdr:col>
      <xdr:colOff>176872</xdr:colOff>
      <xdr:row>124</xdr:row>
      <xdr:rowOff>122139</xdr:rowOff>
    </xdr:to>
    <xdr:sp macro="" textlink="">
      <xdr:nvSpPr>
        <xdr:cNvPr id="104" name="正方形/長方形 103">
          <a:extLst>
            <a:ext uri="{FF2B5EF4-FFF2-40B4-BE49-F238E27FC236}">
              <a16:creationId xmlns:a16="http://schemas.microsoft.com/office/drawing/2014/main" id="{55F79FA0-35F8-408F-BB1A-471E6470575C}"/>
            </a:ext>
          </a:extLst>
        </xdr:cNvPr>
        <xdr:cNvSpPr/>
      </xdr:nvSpPr>
      <xdr:spPr>
        <a:xfrm>
          <a:off x="5032717" y="21280042"/>
          <a:ext cx="17335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27402</xdr:colOff>
      <xdr:row>124</xdr:row>
      <xdr:rowOff>11137</xdr:rowOff>
    </xdr:from>
    <xdr:to>
      <xdr:col>29</xdr:col>
      <xdr:colOff>200757</xdr:colOff>
      <xdr:row>124</xdr:row>
      <xdr:rowOff>105414</xdr:rowOff>
    </xdr:to>
    <xdr:sp macro="" textlink="">
      <xdr:nvSpPr>
        <xdr:cNvPr id="105" name="正方形/長方形 104">
          <a:extLst>
            <a:ext uri="{FF2B5EF4-FFF2-40B4-BE49-F238E27FC236}">
              <a16:creationId xmlns:a16="http://schemas.microsoft.com/office/drawing/2014/main" id="{CBA4DD39-EFF4-4D66-A6C8-46E57FCB2333}"/>
            </a:ext>
          </a:extLst>
        </xdr:cNvPr>
        <xdr:cNvSpPr/>
      </xdr:nvSpPr>
      <xdr:spPr>
        <a:xfrm>
          <a:off x="6656802" y="21270937"/>
          <a:ext cx="17335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126</xdr:row>
      <xdr:rowOff>14655</xdr:rowOff>
    </xdr:from>
    <xdr:to>
      <xdr:col>29</xdr:col>
      <xdr:colOff>198853</xdr:colOff>
      <xdr:row>126</xdr:row>
      <xdr:rowOff>112742</xdr:rowOff>
    </xdr:to>
    <xdr:sp macro="" textlink="">
      <xdr:nvSpPr>
        <xdr:cNvPr id="106" name="正方形/長方形 105">
          <a:extLst>
            <a:ext uri="{FF2B5EF4-FFF2-40B4-BE49-F238E27FC236}">
              <a16:creationId xmlns:a16="http://schemas.microsoft.com/office/drawing/2014/main" id="{C878DF9E-7EFE-4688-A178-803B67CFB2ED}"/>
            </a:ext>
          </a:extLst>
        </xdr:cNvPr>
        <xdr:cNvSpPr/>
      </xdr:nvSpPr>
      <xdr:spPr>
        <a:xfrm>
          <a:off x="6658708" y="2161735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21981</xdr:colOff>
      <xdr:row>125</xdr:row>
      <xdr:rowOff>23885</xdr:rowOff>
    </xdr:from>
    <xdr:to>
      <xdr:col>22</xdr:col>
      <xdr:colOff>191526</xdr:colOff>
      <xdr:row>125</xdr:row>
      <xdr:rowOff>127688</xdr:rowOff>
    </xdr:to>
    <xdr:sp macro="" textlink="">
      <xdr:nvSpPr>
        <xdr:cNvPr id="107" name="正方形/長方形 106">
          <a:extLst>
            <a:ext uri="{FF2B5EF4-FFF2-40B4-BE49-F238E27FC236}">
              <a16:creationId xmlns:a16="http://schemas.microsoft.com/office/drawing/2014/main" id="{836B9461-9809-4EF6-B55A-FF334E22C9B4}"/>
            </a:ext>
          </a:extLst>
        </xdr:cNvPr>
        <xdr:cNvSpPr/>
      </xdr:nvSpPr>
      <xdr:spPr>
        <a:xfrm>
          <a:off x="5051181" y="2145513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18757</xdr:colOff>
      <xdr:row>133</xdr:row>
      <xdr:rowOff>20242</xdr:rowOff>
    </xdr:from>
    <xdr:to>
      <xdr:col>22</xdr:col>
      <xdr:colOff>192112</xdr:colOff>
      <xdr:row>133</xdr:row>
      <xdr:rowOff>122139</xdr:rowOff>
    </xdr:to>
    <xdr:sp macro="" textlink="">
      <xdr:nvSpPr>
        <xdr:cNvPr id="108" name="正方形/長方形 107">
          <a:extLst>
            <a:ext uri="{FF2B5EF4-FFF2-40B4-BE49-F238E27FC236}">
              <a16:creationId xmlns:a16="http://schemas.microsoft.com/office/drawing/2014/main" id="{33D2B7C1-413C-4306-A8E5-FE22B69775EB}"/>
            </a:ext>
          </a:extLst>
        </xdr:cNvPr>
        <xdr:cNvSpPr/>
      </xdr:nvSpPr>
      <xdr:spPr>
        <a:xfrm>
          <a:off x="5047957" y="22823092"/>
          <a:ext cx="17335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27402</xdr:colOff>
      <xdr:row>133</xdr:row>
      <xdr:rowOff>11137</xdr:rowOff>
    </xdr:from>
    <xdr:to>
      <xdr:col>29</xdr:col>
      <xdr:colOff>200757</xdr:colOff>
      <xdr:row>133</xdr:row>
      <xdr:rowOff>105414</xdr:rowOff>
    </xdr:to>
    <xdr:sp macro="" textlink="">
      <xdr:nvSpPr>
        <xdr:cNvPr id="109" name="正方形/長方形 108">
          <a:extLst>
            <a:ext uri="{FF2B5EF4-FFF2-40B4-BE49-F238E27FC236}">
              <a16:creationId xmlns:a16="http://schemas.microsoft.com/office/drawing/2014/main" id="{8528B199-607B-4373-BD59-607EBD407DF8}"/>
            </a:ext>
          </a:extLst>
        </xdr:cNvPr>
        <xdr:cNvSpPr/>
      </xdr:nvSpPr>
      <xdr:spPr>
        <a:xfrm>
          <a:off x="6656802" y="22813987"/>
          <a:ext cx="17335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135</xdr:row>
      <xdr:rowOff>14655</xdr:rowOff>
    </xdr:from>
    <xdr:to>
      <xdr:col>29</xdr:col>
      <xdr:colOff>198853</xdr:colOff>
      <xdr:row>135</xdr:row>
      <xdr:rowOff>112742</xdr:rowOff>
    </xdr:to>
    <xdr:sp macro="" textlink="">
      <xdr:nvSpPr>
        <xdr:cNvPr id="110" name="正方形/長方形 109">
          <a:extLst>
            <a:ext uri="{FF2B5EF4-FFF2-40B4-BE49-F238E27FC236}">
              <a16:creationId xmlns:a16="http://schemas.microsoft.com/office/drawing/2014/main" id="{190FDA72-AF43-48A6-87D3-FB095B09B22D}"/>
            </a:ext>
          </a:extLst>
        </xdr:cNvPr>
        <xdr:cNvSpPr/>
      </xdr:nvSpPr>
      <xdr:spPr>
        <a:xfrm>
          <a:off x="6658708" y="2316040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21981</xdr:colOff>
      <xdr:row>134</xdr:row>
      <xdr:rowOff>23885</xdr:rowOff>
    </xdr:from>
    <xdr:to>
      <xdr:col>22</xdr:col>
      <xdr:colOff>191526</xdr:colOff>
      <xdr:row>134</xdr:row>
      <xdr:rowOff>127688</xdr:rowOff>
    </xdr:to>
    <xdr:sp macro="" textlink="">
      <xdr:nvSpPr>
        <xdr:cNvPr id="111" name="正方形/長方形 110">
          <a:extLst>
            <a:ext uri="{FF2B5EF4-FFF2-40B4-BE49-F238E27FC236}">
              <a16:creationId xmlns:a16="http://schemas.microsoft.com/office/drawing/2014/main" id="{EEA4498A-441A-4CA7-BD03-6BD9811EA183}"/>
            </a:ext>
          </a:extLst>
        </xdr:cNvPr>
        <xdr:cNvSpPr/>
      </xdr:nvSpPr>
      <xdr:spPr>
        <a:xfrm>
          <a:off x="5051181" y="2299818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199146</xdr:colOff>
      <xdr:row>107</xdr:row>
      <xdr:rowOff>65603</xdr:rowOff>
    </xdr:from>
    <xdr:to>
      <xdr:col>22</xdr:col>
      <xdr:colOff>18757</xdr:colOff>
      <xdr:row>115</xdr:row>
      <xdr:rowOff>71191</xdr:rowOff>
    </xdr:to>
    <xdr:cxnSp macro="">
      <xdr:nvCxnSpPr>
        <xdr:cNvPr id="112" name="直線コネクタ 31">
          <a:extLst>
            <a:ext uri="{FF2B5EF4-FFF2-40B4-BE49-F238E27FC236}">
              <a16:creationId xmlns:a16="http://schemas.microsoft.com/office/drawing/2014/main" id="{AFED89B2-4316-4415-8136-0417F691F167}"/>
            </a:ext>
          </a:extLst>
        </xdr:cNvPr>
        <xdr:cNvCxnSpPr>
          <a:cxnSpLocks/>
          <a:stCxn id="91" idx="3"/>
          <a:endCxn id="100" idx="1"/>
        </xdr:cNvCxnSpPr>
      </xdr:nvCxnSpPr>
      <xdr:spPr>
        <a:xfrm>
          <a:off x="4771146" y="18410753"/>
          <a:ext cx="276811" cy="1377188"/>
        </a:xfrm>
        <a:prstGeom prst="bentConnector3">
          <a:avLst>
            <a:gd name="adj1" fmla="val 50000"/>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210576</xdr:colOff>
      <xdr:row>108</xdr:row>
      <xdr:rowOff>75494</xdr:rowOff>
    </xdr:from>
    <xdr:to>
      <xdr:col>22</xdr:col>
      <xdr:colOff>21981</xdr:colOff>
      <xdr:row>116</xdr:row>
      <xdr:rowOff>75787</xdr:rowOff>
    </xdr:to>
    <xdr:cxnSp macro="">
      <xdr:nvCxnSpPr>
        <xdr:cNvPr id="113" name="直線コネクタ 31">
          <a:extLst>
            <a:ext uri="{FF2B5EF4-FFF2-40B4-BE49-F238E27FC236}">
              <a16:creationId xmlns:a16="http://schemas.microsoft.com/office/drawing/2014/main" id="{D2B13174-62CF-49FA-8025-83C599DAD4A8}"/>
            </a:ext>
          </a:extLst>
        </xdr:cNvPr>
        <xdr:cNvCxnSpPr>
          <a:cxnSpLocks/>
          <a:stCxn id="97" idx="3"/>
          <a:endCxn id="103" idx="1"/>
        </xdr:cNvCxnSpPr>
      </xdr:nvCxnSpPr>
      <xdr:spPr>
        <a:xfrm>
          <a:off x="4782576" y="18592094"/>
          <a:ext cx="268605" cy="1371893"/>
        </a:xfrm>
        <a:prstGeom prst="bentConnector3">
          <a:avLst>
            <a:gd name="adj1" fmla="val 69460"/>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210576</xdr:colOff>
      <xdr:row>108</xdr:row>
      <xdr:rowOff>75494</xdr:rowOff>
    </xdr:from>
    <xdr:to>
      <xdr:col>22</xdr:col>
      <xdr:colOff>3517</xdr:colOff>
      <xdr:row>124</xdr:row>
      <xdr:rowOff>71191</xdr:rowOff>
    </xdr:to>
    <xdr:cxnSp macro="">
      <xdr:nvCxnSpPr>
        <xdr:cNvPr id="114" name="直線コネクタ 31">
          <a:extLst>
            <a:ext uri="{FF2B5EF4-FFF2-40B4-BE49-F238E27FC236}">
              <a16:creationId xmlns:a16="http://schemas.microsoft.com/office/drawing/2014/main" id="{00EC0D35-0E8E-4541-944C-B62AA6B36949}"/>
            </a:ext>
          </a:extLst>
        </xdr:cNvPr>
        <xdr:cNvCxnSpPr>
          <a:cxnSpLocks/>
          <a:stCxn id="97" idx="3"/>
          <a:endCxn id="104" idx="1"/>
        </xdr:cNvCxnSpPr>
      </xdr:nvCxnSpPr>
      <xdr:spPr>
        <a:xfrm>
          <a:off x="4782576" y="18592094"/>
          <a:ext cx="250141" cy="2738897"/>
        </a:xfrm>
        <a:prstGeom prst="bentConnector3">
          <a:avLst>
            <a:gd name="adj1" fmla="val 50000"/>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210576</xdr:colOff>
      <xdr:row>108</xdr:row>
      <xdr:rowOff>75494</xdr:rowOff>
    </xdr:from>
    <xdr:to>
      <xdr:col>22</xdr:col>
      <xdr:colOff>21981</xdr:colOff>
      <xdr:row>125</xdr:row>
      <xdr:rowOff>75787</xdr:rowOff>
    </xdr:to>
    <xdr:cxnSp macro="">
      <xdr:nvCxnSpPr>
        <xdr:cNvPr id="115" name="直線コネクタ 31">
          <a:extLst>
            <a:ext uri="{FF2B5EF4-FFF2-40B4-BE49-F238E27FC236}">
              <a16:creationId xmlns:a16="http://schemas.microsoft.com/office/drawing/2014/main" id="{14798DED-702C-4C87-8B5F-205D7D4A7D78}"/>
            </a:ext>
          </a:extLst>
        </xdr:cNvPr>
        <xdr:cNvCxnSpPr>
          <a:cxnSpLocks/>
          <a:stCxn id="97" idx="3"/>
          <a:endCxn id="107" idx="1"/>
        </xdr:cNvCxnSpPr>
      </xdr:nvCxnSpPr>
      <xdr:spPr>
        <a:xfrm>
          <a:off x="4782576" y="18592094"/>
          <a:ext cx="268605" cy="2914943"/>
        </a:xfrm>
        <a:prstGeom prst="bentConnector3">
          <a:avLst>
            <a:gd name="adj1" fmla="val 69460"/>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199146</xdr:colOff>
      <xdr:row>107</xdr:row>
      <xdr:rowOff>65603</xdr:rowOff>
    </xdr:from>
    <xdr:to>
      <xdr:col>22</xdr:col>
      <xdr:colOff>18757</xdr:colOff>
      <xdr:row>133</xdr:row>
      <xdr:rowOff>71191</xdr:rowOff>
    </xdr:to>
    <xdr:cxnSp macro="">
      <xdr:nvCxnSpPr>
        <xdr:cNvPr id="116" name="直線コネクタ 31">
          <a:extLst>
            <a:ext uri="{FF2B5EF4-FFF2-40B4-BE49-F238E27FC236}">
              <a16:creationId xmlns:a16="http://schemas.microsoft.com/office/drawing/2014/main" id="{D6D54E6C-6A51-4B1B-A703-9AFCDBB0D1D5}"/>
            </a:ext>
          </a:extLst>
        </xdr:cNvPr>
        <xdr:cNvCxnSpPr>
          <a:cxnSpLocks/>
          <a:stCxn id="91" idx="3"/>
          <a:endCxn id="108" idx="1"/>
        </xdr:cNvCxnSpPr>
      </xdr:nvCxnSpPr>
      <xdr:spPr>
        <a:xfrm>
          <a:off x="4771146" y="18410753"/>
          <a:ext cx="276811" cy="4463288"/>
        </a:xfrm>
        <a:prstGeom prst="bentConnector3">
          <a:avLst>
            <a:gd name="adj1" fmla="val 50000"/>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210576</xdr:colOff>
      <xdr:row>108</xdr:row>
      <xdr:rowOff>75494</xdr:rowOff>
    </xdr:from>
    <xdr:to>
      <xdr:col>22</xdr:col>
      <xdr:colOff>21981</xdr:colOff>
      <xdr:row>134</xdr:row>
      <xdr:rowOff>75787</xdr:rowOff>
    </xdr:to>
    <xdr:cxnSp macro="">
      <xdr:nvCxnSpPr>
        <xdr:cNvPr id="117" name="直線コネクタ 31">
          <a:extLst>
            <a:ext uri="{FF2B5EF4-FFF2-40B4-BE49-F238E27FC236}">
              <a16:creationId xmlns:a16="http://schemas.microsoft.com/office/drawing/2014/main" id="{D20E8D19-E9C3-4CD6-92F9-A4C935A4FD55}"/>
            </a:ext>
          </a:extLst>
        </xdr:cNvPr>
        <xdr:cNvCxnSpPr>
          <a:cxnSpLocks/>
          <a:stCxn id="97" idx="3"/>
          <a:endCxn id="111" idx="1"/>
        </xdr:cNvCxnSpPr>
      </xdr:nvCxnSpPr>
      <xdr:spPr>
        <a:xfrm>
          <a:off x="4782576" y="18592094"/>
          <a:ext cx="268605" cy="4457993"/>
        </a:xfrm>
        <a:prstGeom prst="bentConnector3">
          <a:avLst>
            <a:gd name="adj1" fmla="val 69460"/>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201051</xdr:colOff>
      <xdr:row>142</xdr:row>
      <xdr:rowOff>67508</xdr:rowOff>
    </xdr:from>
    <xdr:to>
      <xdr:col>22</xdr:col>
      <xdr:colOff>22567</xdr:colOff>
      <xdr:row>142</xdr:row>
      <xdr:rowOff>70238</xdr:rowOff>
    </xdr:to>
    <xdr:cxnSp macro="">
      <xdr:nvCxnSpPr>
        <xdr:cNvPr id="118" name="直線コネクタ 117">
          <a:extLst>
            <a:ext uri="{FF2B5EF4-FFF2-40B4-BE49-F238E27FC236}">
              <a16:creationId xmlns:a16="http://schemas.microsoft.com/office/drawing/2014/main" id="{6E7E6355-9006-4D0B-BFFB-1620255CAB1D}"/>
            </a:ext>
          </a:extLst>
        </xdr:cNvPr>
        <xdr:cNvCxnSpPr>
          <a:cxnSpLocks/>
          <a:stCxn id="119" idx="3"/>
          <a:endCxn id="120" idx="1"/>
        </xdr:cNvCxnSpPr>
      </xdr:nvCxnSpPr>
      <xdr:spPr>
        <a:xfrm>
          <a:off x="4773051" y="24413408"/>
          <a:ext cx="278716" cy="2730"/>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21981</xdr:colOff>
      <xdr:row>142</xdr:row>
      <xdr:rowOff>14654</xdr:rowOff>
    </xdr:from>
    <xdr:to>
      <xdr:col>20</xdr:col>
      <xdr:colOff>199146</xdr:colOff>
      <xdr:row>142</xdr:row>
      <xdr:rowOff>116551</xdr:rowOff>
    </xdr:to>
    <xdr:sp macro="" textlink="">
      <xdr:nvSpPr>
        <xdr:cNvPr id="119" name="正方形/長方形 118">
          <a:extLst>
            <a:ext uri="{FF2B5EF4-FFF2-40B4-BE49-F238E27FC236}">
              <a16:creationId xmlns:a16="http://schemas.microsoft.com/office/drawing/2014/main" id="{043C1376-1B0D-4422-A061-79BB3E9D5F96}"/>
            </a:ext>
          </a:extLst>
        </xdr:cNvPr>
        <xdr:cNvSpPr/>
      </xdr:nvSpPr>
      <xdr:spPr>
        <a:xfrm>
          <a:off x="4593981" y="24360554"/>
          <a:ext cx="17716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18757</xdr:colOff>
      <xdr:row>142</xdr:row>
      <xdr:rowOff>20242</xdr:rowOff>
    </xdr:from>
    <xdr:to>
      <xdr:col>22</xdr:col>
      <xdr:colOff>192112</xdr:colOff>
      <xdr:row>142</xdr:row>
      <xdr:rowOff>122139</xdr:rowOff>
    </xdr:to>
    <xdr:sp macro="" textlink="">
      <xdr:nvSpPr>
        <xdr:cNvPr id="120" name="正方形/長方形 119">
          <a:extLst>
            <a:ext uri="{FF2B5EF4-FFF2-40B4-BE49-F238E27FC236}">
              <a16:creationId xmlns:a16="http://schemas.microsoft.com/office/drawing/2014/main" id="{03033902-9673-4E53-9677-D2C7666D9FB7}"/>
            </a:ext>
          </a:extLst>
        </xdr:cNvPr>
        <xdr:cNvSpPr/>
      </xdr:nvSpPr>
      <xdr:spPr>
        <a:xfrm>
          <a:off x="5047957" y="24366142"/>
          <a:ext cx="17335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18757</xdr:colOff>
      <xdr:row>142</xdr:row>
      <xdr:rowOff>9232</xdr:rowOff>
    </xdr:from>
    <xdr:to>
      <xdr:col>32</xdr:col>
      <xdr:colOff>182587</xdr:colOff>
      <xdr:row>142</xdr:row>
      <xdr:rowOff>103509</xdr:rowOff>
    </xdr:to>
    <xdr:sp macro="" textlink="">
      <xdr:nvSpPr>
        <xdr:cNvPr id="121" name="正方形/長方形 120">
          <a:extLst>
            <a:ext uri="{FF2B5EF4-FFF2-40B4-BE49-F238E27FC236}">
              <a16:creationId xmlns:a16="http://schemas.microsoft.com/office/drawing/2014/main" id="{4CBA8E16-FA53-4FB9-970B-309DCC55D2CE}"/>
            </a:ext>
          </a:extLst>
        </xdr:cNvPr>
        <xdr:cNvSpPr/>
      </xdr:nvSpPr>
      <xdr:spPr>
        <a:xfrm>
          <a:off x="7333957" y="24355132"/>
          <a:ext cx="163830"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27402</xdr:colOff>
      <xdr:row>142</xdr:row>
      <xdr:rowOff>11137</xdr:rowOff>
    </xdr:from>
    <xdr:to>
      <xdr:col>29</xdr:col>
      <xdr:colOff>200757</xdr:colOff>
      <xdr:row>142</xdr:row>
      <xdr:rowOff>105414</xdr:rowOff>
    </xdr:to>
    <xdr:sp macro="" textlink="">
      <xdr:nvSpPr>
        <xdr:cNvPr id="122" name="正方形/長方形 121">
          <a:extLst>
            <a:ext uri="{FF2B5EF4-FFF2-40B4-BE49-F238E27FC236}">
              <a16:creationId xmlns:a16="http://schemas.microsoft.com/office/drawing/2014/main" id="{DF33E503-55F8-4016-96C3-8D75FEAB389D}"/>
            </a:ext>
          </a:extLst>
        </xdr:cNvPr>
        <xdr:cNvSpPr/>
      </xdr:nvSpPr>
      <xdr:spPr>
        <a:xfrm>
          <a:off x="6656802" y="24357037"/>
          <a:ext cx="17335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144</xdr:row>
      <xdr:rowOff>14655</xdr:rowOff>
    </xdr:from>
    <xdr:to>
      <xdr:col>29</xdr:col>
      <xdr:colOff>198853</xdr:colOff>
      <xdr:row>144</xdr:row>
      <xdr:rowOff>112742</xdr:rowOff>
    </xdr:to>
    <xdr:sp macro="" textlink="">
      <xdr:nvSpPr>
        <xdr:cNvPr id="123" name="正方形/長方形 122">
          <a:extLst>
            <a:ext uri="{FF2B5EF4-FFF2-40B4-BE49-F238E27FC236}">
              <a16:creationId xmlns:a16="http://schemas.microsoft.com/office/drawing/2014/main" id="{FABED97D-4A10-45EA-882E-B8B28619C88C}"/>
            </a:ext>
          </a:extLst>
        </xdr:cNvPr>
        <xdr:cNvSpPr/>
      </xdr:nvSpPr>
      <xdr:spPr>
        <a:xfrm>
          <a:off x="6658708" y="2470345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13335</xdr:colOff>
      <xdr:row>143</xdr:row>
      <xdr:rowOff>21980</xdr:rowOff>
    </xdr:from>
    <xdr:to>
      <xdr:col>32</xdr:col>
      <xdr:colOff>171450</xdr:colOff>
      <xdr:row>143</xdr:row>
      <xdr:rowOff>123877</xdr:rowOff>
    </xdr:to>
    <xdr:sp macro="" textlink="">
      <xdr:nvSpPr>
        <xdr:cNvPr id="124" name="正方形/長方形 123">
          <a:extLst>
            <a:ext uri="{FF2B5EF4-FFF2-40B4-BE49-F238E27FC236}">
              <a16:creationId xmlns:a16="http://schemas.microsoft.com/office/drawing/2014/main" id="{A50006A1-721F-4760-BEDF-4C527DA81C45}"/>
            </a:ext>
          </a:extLst>
        </xdr:cNvPr>
        <xdr:cNvSpPr/>
      </xdr:nvSpPr>
      <xdr:spPr>
        <a:xfrm>
          <a:off x="7328535" y="24539330"/>
          <a:ext cx="158115" cy="10189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200757</xdr:colOff>
      <xdr:row>142</xdr:row>
      <xdr:rowOff>56371</xdr:rowOff>
    </xdr:from>
    <xdr:to>
      <xdr:col>32</xdr:col>
      <xdr:colOff>18757</xdr:colOff>
      <xdr:row>142</xdr:row>
      <xdr:rowOff>58276</xdr:rowOff>
    </xdr:to>
    <xdr:cxnSp macro="">
      <xdr:nvCxnSpPr>
        <xdr:cNvPr id="125" name="直線コネクタ 124">
          <a:extLst>
            <a:ext uri="{FF2B5EF4-FFF2-40B4-BE49-F238E27FC236}">
              <a16:creationId xmlns:a16="http://schemas.microsoft.com/office/drawing/2014/main" id="{273A0E23-84CF-4ED6-9EE3-2ED6F0A0E9EF}"/>
            </a:ext>
          </a:extLst>
        </xdr:cNvPr>
        <xdr:cNvCxnSpPr>
          <a:stCxn id="121" idx="1"/>
          <a:endCxn id="122" idx="3"/>
        </xdr:cNvCxnSpPr>
      </xdr:nvCxnSpPr>
      <xdr:spPr>
        <a:xfrm flipH="1">
          <a:off x="6830157" y="24402271"/>
          <a:ext cx="503800" cy="1905"/>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18463</xdr:colOff>
      <xdr:row>142</xdr:row>
      <xdr:rowOff>22861</xdr:rowOff>
    </xdr:from>
    <xdr:to>
      <xdr:col>12</xdr:col>
      <xdr:colOff>191818</xdr:colOff>
      <xdr:row>142</xdr:row>
      <xdr:rowOff>111423</xdr:rowOff>
    </xdr:to>
    <xdr:sp macro="" textlink="">
      <xdr:nvSpPr>
        <xdr:cNvPr id="126" name="正方形/長方形 125">
          <a:extLst>
            <a:ext uri="{FF2B5EF4-FFF2-40B4-BE49-F238E27FC236}">
              <a16:creationId xmlns:a16="http://schemas.microsoft.com/office/drawing/2014/main" id="{F2ED0BCA-0BF5-4107-9EEC-9CFFB952718B}"/>
            </a:ext>
          </a:extLst>
        </xdr:cNvPr>
        <xdr:cNvSpPr/>
      </xdr:nvSpPr>
      <xdr:spPr>
        <a:xfrm>
          <a:off x="2761663" y="24368761"/>
          <a:ext cx="173355" cy="8856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21981</xdr:colOff>
      <xdr:row>143</xdr:row>
      <xdr:rowOff>23885</xdr:rowOff>
    </xdr:from>
    <xdr:to>
      <xdr:col>22</xdr:col>
      <xdr:colOff>191526</xdr:colOff>
      <xdr:row>143</xdr:row>
      <xdr:rowOff>127688</xdr:rowOff>
    </xdr:to>
    <xdr:sp macro="" textlink="">
      <xdr:nvSpPr>
        <xdr:cNvPr id="127" name="正方形/長方形 126">
          <a:extLst>
            <a:ext uri="{FF2B5EF4-FFF2-40B4-BE49-F238E27FC236}">
              <a16:creationId xmlns:a16="http://schemas.microsoft.com/office/drawing/2014/main" id="{AC8576A7-58E5-4B7F-B1BC-B34AB51756FB}"/>
            </a:ext>
          </a:extLst>
        </xdr:cNvPr>
        <xdr:cNvSpPr/>
      </xdr:nvSpPr>
      <xdr:spPr>
        <a:xfrm>
          <a:off x="5051181" y="2454123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21981</xdr:colOff>
      <xdr:row>143</xdr:row>
      <xdr:rowOff>29308</xdr:rowOff>
    </xdr:from>
    <xdr:to>
      <xdr:col>20</xdr:col>
      <xdr:colOff>210576</xdr:colOff>
      <xdr:row>143</xdr:row>
      <xdr:rowOff>121680</xdr:rowOff>
    </xdr:to>
    <xdr:sp macro="" textlink="">
      <xdr:nvSpPr>
        <xdr:cNvPr id="128" name="正方形/長方形 127">
          <a:extLst>
            <a:ext uri="{FF2B5EF4-FFF2-40B4-BE49-F238E27FC236}">
              <a16:creationId xmlns:a16="http://schemas.microsoft.com/office/drawing/2014/main" id="{1C10FF2F-B424-43CA-BA17-80006699FE73}"/>
            </a:ext>
          </a:extLst>
        </xdr:cNvPr>
        <xdr:cNvSpPr/>
      </xdr:nvSpPr>
      <xdr:spPr>
        <a:xfrm>
          <a:off x="4593981" y="24546658"/>
          <a:ext cx="188595" cy="9237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206766</xdr:colOff>
      <xdr:row>143</xdr:row>
      <xdr:rowOff>75494</xdr:rowOff>
    </xdr:from>
    <xdr:to>
      <xdr:col>22</xdr:col>
      <xdr:colOff>18171</xdr:colOff>
      <xdr:row>143</xdr:row>
      <xdr:rowOff>75787</xdr:rowOff>
    </xdr:to>
    <xdr:cxnSp macro="">
      <xdr:nvCxnSpPr>
        <xdr:cNvPr id="129" name="直線コネクタ 128">
          <a:extLst>
            <a:ext uri="{FF2B5EF4-FFF2-40B4-BE49-F238E27FC236}">
              <a16:creationId xmlns:a16="http://schemas.microsoft.com/office/drawing/2014/main" id="{F20088D3-B2E4-46BE-A9BD-4193965E1456}"/>
            </a:ext>
          </a:extLst>
        </xdr:cNvPr>
        <xdr:cNvCxnSpPr>
          <a:cxnSpLocks/>
          <a:stCxn id="128" idx="3"/>
          <a:endCxn id="127" idx="1"/>
        </xdr:cNvCxnSpPr>
      </xdr:nvCxnSpPr>
      <xdr:spPr>
        <a:xfrm>
          <a:off x="4778766" y="24592844"/>
          <a:ext cx="268605" cy="293"/>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198853</xdr:colOff>
      <xdr:row>143</xdr:row>
      <xdr:rowOff>72929</xdr:rowOff>
    </xdr:from>
    <xdr:to>
      <xdr:col>32</xdr:col>
      <xdr:colOff>13335</xdr:colOff>
      <xdr:row>144</xdr:row>
      <xdr:rowOff>63699</xdr:rowOff>
    </xdr:to>
    <xdr:cxnSp macro="">
      <xdr:nvCxnSpPr>
        <xdr:cNvPr id="130" name="直線コネクタ 31">
          <a:extLst>
            <a:ext uri="{FF2B5EF4-FFF2-40B4-BE49-F238E27FC236}">
              <a16:creationId xmlns:a16="http://schemas.microsoft.com/office/drawing/2014/main" id="{0C36C754-59B5-4F80-9314-2BF9432B4DB2}"/>
            </a:ext>
          </a:extLst>
        </xdr:cNvPr>
        <xdr:cNvCxnSpPr>
          <a:stCxn id="123" idx="3"/>
          <a:endCxn id="124" idx="1"/>
        </xdr:cNvCxnSpPr>
      </xdr:nvCxnSpPr>
      <xdr:spPr>
        <a:xfrm flipV="1">
          <a:off x="6828253" y="24590279"/>
          <a:ext cx="500282" cy="162220"/>
        </a:xfrm>
        <a:prstGeom prst="bentConnector3">
          <a:avLst>
            <a:gd name="adj1" fmla="val 36761"/>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18757</xdr:colOff>
      <xdr:row>150</xdr:row>
      <xdr:rowOff>20242</xdr:rowOff>
    </xdr:from>
    <xdr:to>
      <xdr:col>22</xdr:col>
      <xdr:colOff>192112</xdr:colOff>
      <xdr:row>150</xdr:row>
      <xdr:rowOff>122139</xdr:rowOff>
    </xdr:to>
    <xdr:sp macro="" textlink="">
      <xdr:nvSpPr>
        <xdr:cNvPr id="131" name="正方形/長方形 130">
          <a:extLst>
            <a:ext uri="{FF2B5EF4-FFF2-40B4-BE49-F238E27FC236}">
              <a16:creationId xmlns:a16="http://schemas.microsoft.com/office/drawing/2014/main" id="{2B0189A0-FEE1-4FC3-A8FA-539DEDFD0249}"/>
            </a:ext>
          </a:extLst>
        </xdr:cNvPr>
        <xdr:cNvSpPr/>
      </xdr:nvSpPr>
      <xdr:spPr>
        <a:xfrm>
          <a:off x="5047957" y="25737742"/>
          <a:ext cx="17335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27402</xdr:colOff>
      <xdr:row>150</xdr:row>
      <xdr:rowOff>11137</xdr:rowOff>
    </xdr:from>
    <xdr:to>
      <xdr:col>29</xdr:col>
      <xdr:colOff>200757</xdr:colOff>
      <xdr:row>150</xdr:row>
      <xdr:rowOff>105414</xdr:rowOff>
    </xdr:to>
    <xdr:sp macro="" textlink="">
      <xdr:nvSpPr>
        <xdr:cNvPr id="132" name="正方形/長方形 131">
          <a:extLst>
            <a:ext uri="{FF2B5EF4-FFF2-40B4-BE49-F238E27FC236}">
              <a16:creationId xmlns:a16="http://schemas.microsoft.com/office/drawing/2014/main" id="{2740026F-FC02-472C-BB83-04CA11C1F3A0}"/>
            </a:ext>
          </a:extLst>
        </xdr:cNvPr>
        <xdr:cNvSpPr/>
      </xdr:nvSpPr>
      <xdr:spPr>
        <a:xfrm>
          <a:off x="6656802" y="25728637"/>
          <a:ext cx="17335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152</xdr:row>
      <xdr:rowOff>14655</xdr:rowOff>
    </xdr:from>
    <xdr:to>
      <xdr:col>29</xdr:col>
      <xdr:colOff>198853</xdr:colOff>
      <xdr:row>152</xdr:row>
      <xdr:rowOff>112742</xdr:rowOff>
    </xdr:to>
    <xdr:sp macro="" textlink="">
      <xdr:nvSpPr>
        <xdr:cNvPr id="133" name="正方形/長方形 132">
          <a:extLst>
            <a:ext uri="{FF2B5EF4-FFF2-40B4-BE49-F238E27FC236}">
              <a16:creationId xmlns:a16="http://schemas.microsoft.com/office/drawing/2014/main" id="{C6E9BA12-496C-4144-A90F-8DC46ED4AF4B}"/>
            </a:ext>
          </a:extLst>
        </xdr:cNvPr>
        <xdr:cNvSpPr/>
      </xdr:nvSpPr>
      <xdr:spPr>
        <a:xfrm>
          <a:off x="6658708" y="2607505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21981</xdr:colOff>
      <xdr:row>151</xdr:row>
      <xdr:rowOff>23885</xdr:rowOff>
    </xdr:from>
    <xdr:to>
      <xdr:col>22</xdr:col>
      <xdr:colOff>191526</xdr:colOff>
      <xdr:row>151</xdr:row>
      <xdr:rowOff>127688</xdr:rowOff>
    </xdr:to>
    <xdr:sp macro="" textlink="">
      <xdr:nvSpPr>
        <xdr:cNvPr id="134" name="正方形/長方形 133">
          <a:extLst>
            <a:ext uri="{FF2B5EF4-FFF2-40B4-BE49-F238E27FC236}">
              <a16:creationId xmlns:a16="http://schemas.microsoft.com/office/drawing/2014/main" id="{B26D9EDE-4920-4D8D-BC33-C31C79857C7B}"/>
            </a:ext>
          </a:extLst>
        </xdr:cNvPr>
        <xdr:cNvSpPr/>
      </xdr:nvSpPr>
      <xdr:spPr>
        <a:xfrm>
          <a:off x="5051181" y="2591283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3517</xdr:colOff>
      <xdr:row>159</xdr:row>
      <xdr:rowOff>20242</xdr:rowOff>
    </xdr:from>
    <xdr:to>
      <xdr:col>22</xdr:col>
      <xdr:colOff>176872</xdr:colOff>
      <xdr:row>159</xdr:row>
      <xdr:rowOff>122139</xdr:rowOff>
    </xdr:to>
    <xdr:sp macro="" textlink="">
      <xdr:nvSpPr>
        <xdr:cNvPr id="135" name="正方形/長方形 134">
          <a:extLst>
            <a:ext uri="{FF2B5EF4-FFF2-40B4-BE49-F238E27FC236}">
              <a16:creationId xmlns:a16="http://schemas.microsoft.com/office/drawing/2014/main" id="{00187982-6183-4CA0-8F86-E895DE423629}"/>
            </a:ext>
          </a:extLst>
        </xdr:cNvPr>
        <xdr:cNvSpPr/>
      </xdr:nvSpPr>
      <xdr:spPr>
        <a:xfrm>
          <a:off x="5032717" y="27280792"/>
          <a:ext cx="17335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27402</xdr:colOff>
      <xdr:row>159</xdr:row>
      <xdr:rowOff>11137</xdr:rowOff>
    </xdr:from>
    <xdr:to>
      <xdr:col>29</xdr:col>
      <xdr:colOff>200757</xdr:colOff>
      <xdr:row>159</xdr:row>
      <xdr:rowOff>105414</xdr:rowOff>
    </xdr:to>
    <xdr:sp macro="" textlink="">
      <xdr:nvSpPr>
        <xdr:cNvPr id="136" name="正方形/長方形 135">
          <a:extLst>
            <a:ext uri="{FF2B5EF4-FFF2-40B4-BE49-F238E27FC236}">
              <a16:creationId xmlns:a16="http://schemas.microsoft.com/office/drawing/2014/main" id="{F2EE687C-5452-408B-8429-0179659BF1DD}"/>
            </a:ext>
          </a:extLst>
        </xdr:cNvPr>
        <xdr:cNvSpPr/>
      </xdr:nvSpPr>
      <xdr:spPr>
        <a:xfrm>
          <a:off x="6656802" y="27271687"/>
          <a:ext cx="17335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161</xdr:row>
      <xdr:rowOff>14655</xdr:rowOff>
    </xdr:from>
    <xdr:to>
      <xdr:col>29</xdr:col>
      <xdr:colOff>198853</xdr:colOff>
      <xdr:row>161</xdr:row>
      <xdr:rowOff>112742</xdr:rowOff>
    </xdr:to>
    <xdr:sp macro="" textlink="">
      <xdr:nvSpPr>
        <xdr:cNvPr id="137" name="正方形/長方形 136">
          <a:extLst>
            <a:ext uri="{FF2B5EF4-FFF2-40B4-BE49-F238E27FC236}">
              <a16:creationId xmlns:a16="http://schemas.microsoft.com/office/drawing/2014/main" id="{CA496310-5C7D-49C1-B326-74D961EFA5C9}"/>
            </a:ext>
          </a:extLst>
        </xdr:cNvPr>
        <xdr:cNvSpPr/>
      </xdr:nvSpPr>
      <xdr:spPr>
        <a:xfrm>
          <a:off x="6658708" y="2761810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21981</xdr:colOff>
      <xdr:row>160</xdr:row>
      <xdr:rowOff>23885</xdr:rowOff>
    </xdr:from>
    <xdr:to>
      <xdr:col>22</xdr:col>
      <xdr:colOff>191526</xdr:colOff>
      <xdr:row>160</xdr:row>
      <xdr:rowOff>127688</xdr:rowOff>
    </xdr:to>
    <xdr:sp macro="" textlink="">
      <xdr:nvSpPr>
        <xdr:cNvPr id="138" name="正方形/長方形 137">
          <a:extLst>
            <a:ext uri="{FF2B5EF4-FFF2-40B4-BE49-F238E27FC236}">
              <a16:creationId xmlns:a16="http://schemas.microsoft.com/office/drawing/2014/main" id="{21544689-F847-47EB-8B27-CF2A96DBFF55}"/>
            </a:ext>
          </a:extLst>
        </xdr:cNvPr>
        <xdr:cNvSpPr/>
      </xdr:nvSpPr>
      <xdr:spPr>
        <a:xfrm>
          <a:off x="5051181" y="2745588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18757</xdr:colOff>
      <xdr:row>168</xdr:row>
      <xdr:rowOff>20242</xdr:rowOff>
    </xdr:from>
    <xdr:to>
      <xdr:col>22</xdr:col>
      <xdr:colOff>192112</xdr:colOff>
      <xdr:row>168</xdr:row>
      <xdr:rowOff>122139</xdr:rowOff>
    </xdr:to>
    <xdr:sp macro="" textlink="">
      <xdr:nvSpPr>
        <xdr:cNvPr id="139" name="正方形/長方形 138">
          <a:extLst>
            <a:ext uri="{FF2B5EF4-FFF2-40B4-BE49-F238E27FC236}">
              <a16:creationId xmlns:a16="http://schemas.microsoft.com/office/drawing/2014/main" id="{25777149-E90F-440D-AE82-DCE517FB7916}"/>
            </a:ext>
          </a:extLst>
        </xdr:cNvPr>
        <xdr:cNvSpPr/>
      </xdr:nvSpPr>
      <xdr:spPr>
        <a:xfrm>
          <a:off x="5047957" y="28823842"/>
          <a:ext cx="17335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27402</xdr:colOff>
      <xdr:row>168</xdr:row>
      <xdr:rowOff>11137</xdr:rowOff>
    </xdr:from>
    <xdr:to>
      <xdr:col>29</xdr:col>
      <xdr:colOff>200757</xdr:colOff>
      <xdr:row>168</xdr:row>
      <xdr:rowOff>105414</xdr:rowOff>
    </xdr:to>
    <xdr:sp macro="" textlink="">
      <xdr:nvSpPr>
        <xdr:cNvPr id="140" name="正方形/長方形 139">
          <a:extLst>
            <a:ext uri="{FF2B5EF4-FFF2-40B4-BE49-F238E27FC236}">
              <a16:creationId xmlns:a16="http://schemas.microsoft.com/office/drawing/2014/main" id="{C29F4E0B-1560-40CC-8677-7F6A0F367811}"/>
            </a:ext>
          </a:extLst>
        </xdr:cNvPr>
        <xdr:cNvSpPr/>
      </xdr:nvSpPr>
      <xdr:spPr>
        <a:xfrm>
          <a:off x="6656802" y="28814737"/>
          <a:ext cx="17335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170</xdr:row>
      <xdr:rowOff>14655</xdr:rowOff>
    </xdr:from>
    <xdr:to>
      <xdr:col>29</xdr:col>
      <xdr:colOff>198853</xdr:colOff>
      <xdr:row>170</xdr:row>
      <xdr:rowOff>112742</xdr:rowOff>
    </xdr:to>
    <xdr:sp macro="" textlink="">
      <xdr:nvSpPr>
        <xdr:cNvPr id="141" name="正方形/長方形 140">
          <a:extLst>
            <a:ext uri="{FF2B5EF4-FFF2-40B4-BE49-F238E27FC236}">
              <a16:creationId xmlns:a16="http://schemas.microsoft.com/office/drawing/2014/main" id="{3B552B6D-A3AE-4BFC-AC33-5DC587FDB6A0}"/>
            </a:ext>
          </a:extLst>
        </xdr:cNvPr>
        <xdr:cNvSpPr/>
      </xdr:nvSpPr>
      <xdr:spPr>
        <a:xfrm>
          <a:off x="6658708" y="2916115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21981</xdr:colOff>
      <xdr:row>169</xdr:row>
      <xdr:rowOff>23885</xdr:rowOff>
    </xdr:from>
    <xdr:to>
      <xdr:col>22</xdr:col>
      <xdr:colOff>191526</xdr:colOff>
      <xdr:row>169</xdr:row>
      <xdr:rowOff>127688</xdr:rowOff>
    </xdr:to>
    <xdr:sp macro="" textlink="">
      <xdr:nvSpPr>
        <xdr:cNvPr id="142" name="正方形/長方形 141">
          <a:extLst>
            <a:ext uri="{FF2B5EF4-FFF2-40B4-BE49-F238E27FC236}">
              <a16:creationId xmlns:a16="http://schemas.microsoft.com/office/drawing/2014/main" id="{2D6C2DD0-29B1-4A72-8580-ADAF64C8DD8F}"/>
            </a:ext>
          </a:extLst>
        </xdr:cNvPr>
        <xdr:cNvSpPr/>
      </xdr:nvSpPr>
      <xdr:spPr>
        <a:xfrm>
          <a:off x="5051181" y="2899893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199146</xdr:colOff>
      <xdr:row>142</xdr:row>
      <xdr:rowOff>65603</xdr:rowOff>
    </xdr:from>
    <xdr:to>
      <xdr:col>22</xdr:col>
      <xdr:colOff>18757</xdr:colOff>
      <xdr:row>150</xdr:row>
      <xdr:rowOff>71191</xdr:rowOff>
    </xdr:to>
    <xdr:cxnSp macro="">
      <xdr:nvCxnSpPr>
        <xdr:cNvPr id="143" name="直線コネクタ 31">
          <a:extLst>
            <a:ext uri="{FF2B5EF4-FFF2-40B4-BE49-F238E27FC236}">
              <a16:creationId xmlns:a16="http://schemas.microsoft.com/office/drawing/2014/main" id="{A4E8A3A7-664C-44A2-A294-6DE4FA7ADB8A}"/>
            </a:ext>
          </a:extLst>
        </xdr:cNvPr>
        <xdr:cNvCxnSpPr>
          <a:cxnSpLocks/>
          <a:stCxn id="119" idx="3"/>
          <a:endCxn id="131" idx="1"/>
        </xdr:cNvCxnSpPr>
      </xdr:nvCxnSpPr>
      <xdr:spPr>
        <a:xfrm>
          <a:off x="4771146" y="24411503"/>
          <a:ext cx="276811" cy="1377188"/>
        </a:xfrm>
        <a:prstGeom prst="bentConnector3">
          <a:avLst>
            <a:gd name="adj1" fmla="val 50000"/>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210576</xdr:colOff>
      <xdr:row>143</xdr:row>
      <xdr:rowOff>75494</xdr:rowOff>
    </xdr:from>
    <xdr:to>
      <xdr:col>22</xdr:col>
      <xdr:colOff>21981</xdr:colOff>
      <xdr:row>151</xdr:row>
      <xdr:rowOff>75787</xdr:rowOff>
    </xdr:to>
    <xdr:cxnSp macro="">
      <xdr:nvCxnSpPr>
        <xdr:cNvPr id="144" name="直線コネクタ 31">
          <a:extLst>
            <a:ext uri="{FF2B5EF4-FFF2-40B4-BE49-F238E27FC236}">
              <a16:creationId xmlns:a16="http://schemas.microsoft.com/office/drawing/2014/main" id="{4F20BD5E-1FF0-4D2C-AD0D-7C08D71E9B0A}"/>
            </a:ext>
          </a:extLst>
        </xdr:cNvPr>
        <xdr:cNvCxnSpPr>
          <a:cxnSpLocks/>
          <a:stCxn id="128" idx="3"/>
          <a:endCxn id="134" idx="1"/>
        </xdr:cNvCxnSpPr>
      </xdr:nvCxnSpPr>
      <xdr:spPr>
        <a:xfrm>
          <a:off x="4782576" y="24592844"/>
          <a:ext cx="268605" cy="1371893"/>
        </a:xfrm>
        <a:prstGeom prst="bentConnector3">
          <a:avLst>
            <a:gd name="adj1" fmla="val 69460"/>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210576</xdr:colOff>
      <xdr:row>143</xdr:row>
      <xdr:rowOff>75494</xdr:rowOff>
    </xdr:from>
    <xdr:to>
      <xdr:col>22</xdr:col>
      <xdr:colOff>3517</xdr:colOff>
      <xdr:row>159</xdr:row>
      <xdr:rowOff>71191</xdr:rowOff>
    </xdr:to>
    <xdr:cxnSp macro="">
      <xdr:nvCxnSpPr>
        <xdr:cNvPr id="145" name="直線コネクタ 31">
          <a:extLst>
            <a:ext uri="{FF2B5EF4-FFF2-40B4-BE49-F238E27FC236}">
              <a16:creationId xmlns:a16="http://schemas.microsoft.com/office/drawing/2014/main" id="{8B1711CB-074E-45D8-AFB4-4723BD74D591}"/>
            </a:ext>
          </a:extLst>
        </xdr:cNvPr>
        <xdr:cNvCxnSpPr>
          <a:cxnSpLocks/>
          <a:stCxn id="128" idx="3"/>
          <a:endCxn id="135" idx="1"/>
        </xdr:cNvCxnSpPr>
      </xdr:nvCxnSpPr>
      <xdr:spPr>
        <a:xfrm>
          <a:off x="4782576" y="24592844"/>
          <a:ext cx="250141" cy="2738897"/>
        </a:xfrm>
        <a:prstGeom prst="bentConnector3">
          <a:avLst>
            <a:gd name="adj1" fmla="val 50000"/>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210576</xdr:colOff>
      <xdr:row>143</xdr:row>
      <xdr:rowOff>75494</xdr:rowOff>
    </xdr:from>
    <xdr:to>
      <xdr:col>22</xdr:col>
      <xdr:colOff>21981</xdr:colOff>
      <xdr:row>160</xdr:row>
      <xdr:rowOff>75787</xdr:rowOff>
    </xdr:to>
    <xdr:cxnSp macro="">
      <xdr:nvCxnSpPr>
        <xdr:cNvPr id="146" name="直線コネクタ 31">
          <a:extLst>
            <a:ext uri="{FF2B5EF4-FFF2-40B4-BE49-F238E27FC236}">
              <a16:creationId xmlns:a16="http://schemas.microsoft.com/office/drawing/2014/main" id="{FFA00E43-85E7-4EA3-8D19-A05B60F567A3}"/>
            </a:ext>
          </a:extLst>
        </xdr:cNvPr>
        <xdr:cNvCxnSpPr>
          <a:cxnSpLocks/>
          <a:stCxn id="128" idx="3"/>
          <a:endCxn id="138" idx="1"/>
        </xdr:cNvCxnSpPr>
      </xdr:nvCxnSpPr>
      <xdr:spPr>
        <a:xfrm>
          <a:off x="4782576" y="24592844"/>
          <a:ext cx="268605" cy="2914943"/>
        </a:xfrm>
        <a:prstGeom prst="bentConnector3">
          <a:avLst>
            <a:gd name="adj1" fmla="val 69460"/>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199146</xdr:colOff>
      <xdr:row>142</xdr:row>
      <xdr:rowOff>65603</xdr:rowOff>
    </xdr:from>
    <xdr:to>
      <xdr:col>22</xdr:col>
      <xdr:colOff>18757</xdr:colOff>
      <xdr:row>168</xdr:row>
      <xdr:rowOff>71191</xdr:rowOff>
    </xdr:to>
    <xdr:cxnSp macro="">
      <xdr:nvCxnSpPr>
        <xdr:cNvPr id="147" name="直線コネクタ 31">
          <a:extLst>
            <a:ext uri="{FF2B5EF4-FFF2-40B4-BE49-F238E27FC236}">
              <a16:creationId xmlns:a16="http://schemas.microsoft.com/office/drawing/2014/main" id="{CF75AB55-1E4C-4194-9FB3-6957247D3F67}"/>
            </a:ext>
          </a:extLst>
        </xdr:cNvPr>
        <xdr:cNvCxnSpPr>
          <a:cxnSpLocks/>
          <a:stCxn id="119" idx="3"/>
          <a:endCxn id="139" idx="1"/>
        </xdr:cNvCxnSpPr>
      </xdr:nvCxnSpPr>
      <xdr:spPr>
        <a:xfrm>
          <a:off x="4771146" y="24411503"/>
          <a:ext cx="276811" cy="4463288"/>
        </a:xfrm>
        <a:prstGeom prst="bentConnector3">
          <a:avLst>
            <a:gd name="adj1" fmla="val 50000"/>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210576</xdr:colOff>
      <xdr:row>143</xdr:row>
      <xdr:rowOff>75494</xdr:rowOff>
    </xdr:from>
    <xdr:to>
      <xdr:col>22</xdr:col>
      <xdr:colOff>21981</xdr:colOff>
      <xdr:row>169</xdr:row>
      <xdr:rowOff>75787</xdr:rowOff>
    </xdr:to>
    <xdr:cxnSp macro="">
      <xdr:nvCxnSpPr>
        <xdr:cNvPr id="148" name="直線コネクタ 31">
          <a:extLst>
            <a:ext uri="{FF2B5EF4-FFF2-40B4-BE49-F238E27FC236}">
              <a16:creationId xmlns:a16="http://schemas.microsoft.com/office/drawing/2014/main" id="{E3531B68-4A13-4676-9BA4-51600688E2DA}"/>
            </a:ext>
          </a:extLst>
        </xdr:cNvPr>
        <xdr:cNvCxnSpPr>
          <a:cxnSpLocks/>
          <a:stCxn id="128" idx="3"/>
          <a:endCxn id="142" idx="1"/>
        </xdr:cNvCxnSpPr>
      </xdr:nvCxnSpPr>
      <xdr:spPr>
        <a:xfrm>
          <a:off x="4782576" y="24592844"/>
          <a:ext cx="268605" cy="4457993"/>
        </a:xfrm>
        <a:prstGeom prst="bentConnector3">
          <a:avLst>
            <a:gd name="adj1" fmla="val 69460"/>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34</xdr:col>
      <xdr:colOff>18757</xdr:colOff>
      <xdr:row>99</xdr:row>
      <xdr:rowOff>9232</xdr:rowOff>
    </xdr:from>
    <xdr:to>
      <xdr:col>34</xdr:col>
      <xdr:colOff>182587</xdr:colOff>
      <xdr:row>99</xdr:row>
      <xdr:rowOff>103509</xdr:rowOff>
    </xdr:to>
    <xdr:sp macro="" textlink="">
      <xdr:nvSpPr>
        <xdr:cNvPr id="149" name="正方形/長方形 148">
          <a:extLst>
            <a:ext uri="{FF2B5EF4-FFF2-40B4-BE49-F238E27FC236}">
              <a16:creationId xmlns:a16="http://schemas.microsoft.com/office/drawing/2014/main" id="{844E21A1-31B4-4B21-9FF6-22C296D9F8D1}"/>
            </a:ext>
          </a:extLst>
        </xdr:cNvPr>
        <xdr:cNvSpPr/>
      </xdr:nvSpPr>
      <xdr:spPr>
        <a:xfrm>
          <a:off x="7791157" y="16982782"/>
          <a:ext cx="163830" cy="9427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18757</xdr:colOff>
      <xdr:row>98</xdr:row>
      <xdr:rowOff>9232</xdr:rowOff>
    </xdr:from>
    <xdr:to>
      <xdr:col>34</xdr:col>
      <xdr:colOff>182587</xdr:colOff>
      <xdr:row>98</xdr:row>
      <xdr:rowOff>103509</xdr:rowOff>
    </xdr:to>
    <xdr:sp macro="" textlink="">
      <xdr:nvSpPr>
        <xdr:cNvPr id="150" name="正方形/長方形 149">
          <a:extLst>
            <a:ext uri="{FF2B5EF4-FFF2-40B4-BE49-F238E27FC236}">
              <a16:creationId xmlns:a16="http://schemas.microsoft.com/office/drawing/2014/main" id="{4F225762-322E-4092-8096-185405CFAA12}"/>
            </a:ext>
          </a:extLst>
        </xdr:cNvPr>
        <xdr:cNvSpPr/>
      </xdr:nvSpPr>
      <xdr:spPr>
        <a:xfrm>
          <a:off x="7791157" y="16811332"/>
          <a:ext cx="163830"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201051</xdr:colOff>
      <xdr:row>177</xdr:row>
      <xdr:rowOff>67508</xdr:rowOff>
    </xdr:from>
    <xdr:to>
      <xdr:col>22</xdr:col>
      <xdr:colOff>22567</xdr:colOff>
      <xdr:row>177</xdr:row>
      <xdr:rowOff>70238</xdr:rowOff>
    </xdr:to>
    <xdr:cxnSp macro="">
      <xdr:nvCxnSpPr>
        <xdr:cNvPr id="151" name="直線コネクタ 150">
          <a:extLst>
            <a:ext uri="{FF2B5EF4-FFF2-40B4-BE49-F238E27FC236}">
              <a16:creationId xmlns:a16="http://schemas.microsoft.com/office/drawing/2014/main" id="{1680AB03-6BE3-4723-836B-FDA44D732D82}"/>
            </a:ext>
          </a:extLst>
        </xdr:cNvPr>
        <xdr:cNvCxnSpPr>
          <a:cxnSpLocks/>
          <a:stCxn id="152" idx="3"/>
          <a:endCxn id="153" idx="1"/>
        </xdr:cNvCxnSpPr>
      </xdr:nvCxnSpPr>
      <xdr:spPr>
        <a:xfrm>
          <a:off x="4773051" y="30414158"/>
          <a:ext cx="278716" cy="2730"/>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21981</xdr:colOff>
      <xdr:row>177</xdr:row>
      <xdr:rowOff>14654</xdr:rowOff>
    </xdr:from>
    <xdr:to>
      <xdr:col>20</xdr:col>
      <xdr:colOff>199146</xdr:colOff>
      <xdr:row>177</xdr:row>
      <xdr:rowOff>116551</xdr:rowOff>
    </xdr:to>
    <xdr:sp macro="" textlink="">
      <xdr:nvSpPr>
        <xdr:cNvPr id="152" name="正方形/長方形 151">
          <a:extLst>
            <a:ext uri="{FF2B5EF4-FFF2-40B4-BE49-F238E27FC236}">
              <a16:creationId xmlns:a16="http://schemas.microsoft.com/office/drawing/2014/main" id="{F85BE818-BAF9-4AF7-90BB-1FA127D87353}"/>
            </a:ext>
          </a:extLst>
        </xdr:cNvPr>
        <xdr:cNvSpPr/>
      </xdr:nvSpPr>
      <xdr:spPr>
        <a:xfrm>
          <a:off x="4593981" y="30361304"/>
          <a:ext cx="17716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18757</xdr:colOff>
      <xdr:row>177</xdr:row>
      <xdr:rowOff>20242</xdr:rowOff>
    </xdr:from>
    <xdr:to>
      <xdr:col>22</xdr:col>
      <xdr:colOff>192112</xdr:colOff>
      <xdr:row>177</xdr:row>
      <xdr:rowOff>122139</xdr:rowOff>
    </xdr:to>
    <xdr:sp macro="" textlink="">
      <xdr:nvSpPr>
        <xdr:cNvPr id="153" name="正方形/長方形 152">
          <a:extLst>
            <a:ext uri="{FF2B5EF4-FFF2-40B4-BE49-F238E27FC236}">
              <a16:creationId xmlns:a16="http://schemas.microsoft.com/office/drawing/2014/main" id="{38B2479A-32A2-4B3F-90E8-F2F0C4FB4D11}"/>
            </a:ext>
          </a:extLst>
        </xdr:cNvPr>
        <xdr:cNvSpPr/>
      </xdr:nvSpPr>
      <xdr:spPr>
        <a:xfrm>
          <a:off x="5047957" y="30366892"/>
          <a:ext cx="17335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18757</xdr:colOff>
      <xdr:row>177</xdr:row>
      <xdr:rowOff>9232</xdr:rowOff>
    </xdr:from>
    <xdr:to>
      <xdr:col>32</xdr:col>
      <xdr:colOff>182587</xdr:colOff>
      <xdr:row>177</xdr:row>
      <xdr:rowOff>103509</xdr:rowOff>
    </xdr:to>
    <xdr:sp macro="" textlink="">
      <xdr:nvSpPr>
        <xdr:cNvPr id="154" name="正方形/長方形 153">
          <a:extLst>
            <a:ext uri="{FF2B5EF4-FFF2-40B4-BE49-F238E27FC236}">
              <a16:creationId xmlns:a16="http://schemas.microsoft.com/office/drawing/2014/main" id="{A982CB3C-8D01-42FD-80F6-8D8157C07D34}"/>
            </a:ext>
          </a:extLst>
        </xdr:cNvPr>
        <xdr:cNvSpPr/>
      </xdr:nvSpPr>
      <xdr:spPr>
        <a:xfrm>
          <a:off x="7333957" y="30355882"/>
          <a:ext cx="163830"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27402</xdr:colOff>
      <xdr:row>177</xdr:row>
      <xdr:rowOff>11137</xdr:rowOff>
    </xdr:from>
    <xdr:to>
      <xdr:col>29</xdr:col>
      <xdr:colOff>200757</xdr:colOff>
      <xdr:row>177</xdr:row>
      <xdr:rowOff>105414</xdr:rowOff>
    </xdr:to>
    <xdr:sp macro="" textlink="">
      <xdr:nvSpPr>
        <xdr:cNvPr id="155" name="正方形/長方形 154">
          <a:extLst>
            <a:ext uri="{FF2B5EF4-FFF2-40B4-BE49-F238E27FC236}">
              <a16:creationId xmlns:a16="http://schemas.microsoft.com/office/drawing/2014/main" id="{74ECD5F1-348D-430E-AC7E-FAABDB2D9670}"/>
            </a:ext>
          </a:extLst>
        </xdr:cNvPr>
        <xdr:cNvSpPr/>
      </xdr:nvSpPr>
      <xdr:spPr>
        <a:xfrm>
          <a:off x="6656802" y="30357787"/>
          <a:ext cx="17335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179</xdr:row>
      <xdr:rowOff>14655</xdr:rowOff>
    </xdr:from>
    <xdr:to>
      <xdr:col>29</xdr:col>
      <xdr:colOff>198853</xdr:colOff>
      <xdr:row>179</xdr:row>
      <xdr:rowOff>112742</xdr:rowOff>
    </xdr:to>
    <xdr:sp macro="" textlink="">
      <xdr:nvSpPr>
        <xdr:cNvPr id="156" name="正方形/長方形 155">
          <a:extLst>
            <a:ext uri="{FF2B5EF4-FFF2-40B4-BE49-F238E27FC236}">
              <a16:creationId xmlns:a16="http://schemas.microsoft.com/office/drawing/2014/main" id="{414C3B7E-A0C9-4E6A-B547-6B950B509C47}"/>
            </a:ext>
          </a:extLst>
        </xdr:cNvPr>
        <xdr:cNvSpPr/>
      </xdr:nvSpPr>
      <xdr:spPr>
        <a:xfrm>
          <a:off x="6658708" y="3070420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13335</xdr:colOff>
      <xdr:row>178</xdr:row>
      <xdr:rowOff>21980</xdr:rowOff>
    </xdr:from>
    <xdr:to>
      <xdr:col>32</xdr:col>
      <xdr:colOff>171450</xdr:colOff>
      <xdr:row>178</xdr:row>
      <xdr:rowOff>123877</xdr:rowOff>
    </xdr:to>
    <xdr:sp macro="" textlink="">
      <xdr:nvSpPr>
        <xdr:cNvPr id="157" name="正方形/長方形 156">
          <a:extLst>
            <a:ext uri="{FF2B5EF4-FFF2-40B4-BE49-F238E27FC236}">
              <a16:creationId xmlns:a16="http://schemas.microsoft.com/office/drawing/2014/main" id="{E7AF4163-6A35-475B-B5B6-2D63F5F8F42C}"/>
            </a:ext>
          </a:extLst>
        </xdr:cNvPr>
        <xdr:cNvSpPr/>
      </xdr:nvSpPr>
      <xdr:spPr>
        <a:xfrm>
          <a:off x="7328535" y="30540080"/>
          <a:ext cx="158115" cy="10189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200757</xdr:colOff>
      <xdr:row>177</xdr:row>
      <xdr:rowOff>56371</xdr:rowOff>
    </xdr:from>
    <xdr:to>
      <xdr:col>32</xdr:col>
      <xdr:colOff>18757</xdr:colOff>
      <xdr:row>177</xdr:row>
      <xdr:rowOff>58276</xdr:rowOff>
    </xdr:to>
    <xdr:cxnSp macro="">
      <xdr:nvCxnSpPr>
        <xdr:cNvPr id="158" name="直線コネクタ 157">
          <a:extLst>
            <a:ext uri="{FF2B5EF4-FFF2-40B4-BE49-F238E27FC236}">
              <a16:creationId xmlns:a16="http://schemas.microsoft.com/office/drawing/2014/main" id="{E2DBD613-1693-435C-A5F9-D6AFB85B983C}"/>
            </a:ext>
          </a:extLst>
        </xdr:cNvPr>
        <xdr:cNvCxnSpPr>
          <a:stCxn id="154" idx="1"/>
          <a:endCxn id="155" idx="3"/>
        </xdr:cNvCxnSpPr>
      </xdr:nvCxnSpPr>
      <xdr:spPr>
        <a:xfrm flipH="1">
          <a:off x="6830157" y="30403021"/>
          <a:ext cx="503800" cy="1905"/>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18463</xdr:colOff>
      <xdr:row>177</xdr:row>
      <xdr:rowOff>22861</xdr:rowOff>
    </xdr:from>
    <xdr:to>
      <xdr:col>12</xdr:col>
      <xdr:colOff>191818</xdr:colOff>
      <xdr:row>177</xdr:row>
      <xdr:rowOff>111423</xdr:rowOff>
    </xdr:to>
    <xdr:sp macro="" textlink="">
      <xdr:nvSpPr>
        <xdr:cNvPr id="159" name="正方形/長方形 158">
          <a:extLst>
            <a:ext uri="{FF2B5EF4-FFF2-40B4-BE49-F238E27FC236}">
              <a16:creationId xmlns:a16="http://schemas.microsoft.com/office/drawing/2014/main" id="{583CE2BB-D5B4-4000-92D2-73265DA48B98}"/>
            </a:ext>
          </a:extLst>
        </xdr:cNvPr>
        <xdr:cNvSpPr/>
      </xdr:nvSpPr>
      <xdr:spPr>
        <a:xfrm>
          <a:off x="2761663" y="30369511"/>
          <a:ext cx="173355" cy="8856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21981</xdr:colOff>
      <xdr:row>178</xdr:row>
      <xdr:rowOff>23885</xdr:rowOff>
    </xdr:from>
    <xdr:to>
      <xdr:col>22</xdr:col>
      <xdr:colOff>191526</xdr:colOff>
      <xdr:row>178</xdr:row>
      <xdr:rowOff>127688</xdr:rowOff>
    </xdr:to>
    <xdr:sp macro="" textlink="">
      <xdr:nvSpPr>
        <xdr:cNvPr id="160" name="正方形/長方形 159">
          <a:extLst>
            <a:ext uri="{FF2B5EF4-FFF2-40B4-BE49-F238E27FC236}">
              <a16:creationId xmlns:a16="http://schemas.microsoft.com/office/drawing/2014/main" id="{68459B41-7A25-49A1-8C10-665A2C53783D}"/>
            </a:ext>
          </a:extLst>
        </xdr:cNvPr>
        <xdr:cNvSpPr/>
      </xdr:nvSpPr>
      <xdr:spPr>
        <a:xfrm>
          <a:off x="5051181" y="3054198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21981</xdr:colOff>
      <xdr:row>178</xdr:row>
      <xdr:rowOff>29308</xdr:rowOff>
    </xdr:from>
    <xdr:to>
      <xdr:col>20</xdr:col>
      <xdr:colOff>210576</xdr:colOff>
      <xdr:row>178</xdr:row>
      <xdr:rowOff>121680</xdr:rowOff>
    </xdr:to>
    <xdr:sp macro="" textlink="">
      <xdr:nvSpPr>
        <xdr:cNvPr id="161" name="正方形/長方形 160">
          <a:extLst>
            <a:ext uri="{FF2B5EF4-FFF2-40B4-BE49-F238E27FC236}">
              <a16:creationId xmlns:a16="http://schemas.microsoft.com/office/drawing/2014/main" id="{51AA1A1A-944F-442E-80F5-8FF935142B4A}"/>
            </a:ext>
          </a:extLst>
        </xdr:cNvPr>
        <xdr:cNvSpPr/>
      </xdr:nvSpPr>
      <xdr:spPr>
        <a:xfrm>
          <a:off x="4593981" y="30547408"/>
          <a:ext cx="188595" cy="9237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206766</xdr:colOff>
      <xdr:row>178</xdr:row>
      <xdr:rowOff>75494</xdr:rowOff>
    </xdr:from>
    <xdr:to>
      <xdr:col>22</xdr:col>
      <xdr:colOff>18171</xdr:colOff>
      <xdr:row>178</xdr:row>
      <xdr:rowOff>75787</xdr:rowOff>
    </xdr:to>
    <xdr:cxnSp macro="">
      <xdr:nvCxnSpPr>
        <xdr:cNvPr id="162" name="直線コネクタ 161">
          <a:extLst>
            <a:ext uri="{FF2B5EF4-FFF2-40B4-BE49-F238E27FC236}">
              <a16:creationId xmlns:a16="http://schemas.microsoft.com/office/drawing/2014/main" id="{5BFF90F7-887F-4225-BBB9-EBC6B7042650}"/>
            </a:ext>
          </a:extLst>
        </xdr:cNvPr>
        <xdr:cNvCxnSpPr>
          <a:cxnSpLocks/>
          <a:stCxn id="161" idx="3"/>
          <a:endCxn id="160" idx="1"/>
        </xdr:cNvCxnSpPr>
      </xdr:nvCxnSpPr>
      <xdr:spPr>
        <a:xfrm>
          <a:off x="4778766" y="30593594"/>
          <a:ext cx="268605" cy="293"/>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198853</xdr:colOff>
      <xdr:row>178</xdr:row>
      <xdr:rowOff>72929</xdr:rowOff>
    </xdr:from>
    <xdr:to>
      <xdr:col>32</xdr:col>
      <xdr:colOff>13335</xdr:colOff>
      <xdr:row>179</xdr:row>
      <xdr:rowOff>63699</xdr:rowOff>
    </xdr:to>
    <xdr:cxnSp macro="">
      <xdr:nvCxnSpPr>
        <xdr:cNvPr id="163" name="直線コネクタ 31">
          <a:extLst>
            <a:ext uri="{FF2B5EF4-FFF2-40B4-BE49-F238E27FC236}">
              <a16:creationId xmlns:a16="http://schemas.microsoft.com/office/drawing/2014/main" id="{50084FE6-583E-459E-9646-8F420964F837}"/>
            </a:ext>
          </a:extLst>
        </xdr:cNvPr>
        <xdr:cNvCxnSpPr>
          <a:stCxn id="156" idx="3"/>
          <a:endCxn id="157" idx="1"/>
        </xdr:cNvCxnSpPr>
      </xdr:nvCxnSpPr>
      <xdr:spPr>
        <a:xfrm flipV="1">
          <a:off x="6828253" y="30591029"/>
          <a:ext cx="500282" cy="162220"/>
        </a:xfrm>
        <a:prstGeom prst="bentConnector3">
          <a:avLst>
            <a:gd name="adj1" fmla="val 41174"/>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18757</xdr:colOff>
      <xdr:row>185</xdr:row>
      <xdr:rowOff>20242</xdr:rowOff>
    </xdr:from>
    <xdr:to>
      <xdr:col>22</xdr:col>
      <xdr:colOff>192112</xdr:colOff>
      <xdr:row>185</xdr:row>
      <xdr:rowOff>122139</xdr:rowOff>
    </xdr:to>
    <xdr:sp macro="" textlink="">
      <xdr:nvSpPr>
        <xdr:cNvPr id="164" name="正方形/長方形 163">
          <a:extLst>
            <a:ext uri="{FF2B5EF4-FFF2-40B4-BE49-F238E27FC236}">
              <a16:creationId xmlns:a16="http://schemas.microsoft.com/office/drawing/2014/main" id="{FDAD8CF3-4D68-41D9-A755-CEC06737BBDA}"/>
            </a:ext>
          </a:extLst>
        </xdr:cNvPr>
        <xdr:cNvSpPr/>
      </xdr:nvSpPr>
      <xdr:spPr>
        <a:xfrm>
          <a:off x="5047957" y="31738492"/>
          <a:ext cx="17335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27402</xdr:colOff>
      <xdr:row>185</xdr:row>
      <xdr:rowOff>11137</xdr:rowOff>
    </xdr:from>
    <xdr:to>
      <xdr:col>29</xdr:col>
      <xdr:colOff>200757</xdr:colOff>
      <xdr:row>185</xdr:row>
      <xdr:rowOff>105414</xdr:rowOff>
    </xdr:to>
    <xdr:sp macro="" textlink="">
      <xdr:nvSpPr>
        <xdr:cNvPr id="165" name="正方形/長方形 164">
          <a:extLst>
            <a:ext uri="{FF2B5EF4-FFF2-40B4-BE49-F238E27FC236}">
              <a16:creationId xmlns:a16="http://schemas.microsoft.com/office/drawing/2014/main" id="{72F212C6-41AE-4ADA-9767-C985036EA7C4}"/>
            </a:ext>
          </a:extLst>
        </xdr:cNvPr>
        <xdr:cNvSpPr/>
      </xdr:nvSpPr>
      <xdr:spPr>
        <a:xfrm>
          <a:off x="6656802" y="31729387"/>
          <a:ext cx="17335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187</xdr:row>
      <xdr:rowOff>14655</xdr:rowOff>
    </xdr:from>
    <xdr:to>
      <xdr:col>29</xdr:col>
      <xdr:colOff>198853</xdr:colOff>
      <xdr:row>187</xdr:row>
      <xdr:rowOff>112742</xdr:rowOff>
    </xdr:to>
    <xdr:sp macro="" textlink="">
      <xdr:nvSpPr>
        <xdr:cNvPr id="166" name="正方形/長方形 165">
          <a:extLst>
            <a:ext uri="{FF2B5EF4-FFF2-40B4-BE49-F238E27FC236}">
              <a16:creationId xmlns:a16="http://schemas.microsoft.com/office/drawing/2014/main" id="{250C9EFC-8EB2-4F90-9BA8-DD648B67C0DE}"/>
            </a:ext>
          </a:extLst>
        </xdr:cNvPr>
        <xdr:cNvSpPr/>
      </xdr:nvSpPr>
      <xdr:spPr>
        <a:xfrm>
          <a:off x="6658708" y="3207580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21981</xdr:colOff>
      <xdr:row>186</xdr:row>
      <xdr:rowOff>23885</xdr:rowOff>
    </xdr:from>
    <xdr:to>
      <xdr:col>22</xdr:col>
      <xdr:colOff>191526</xdr:colOff>
      <xdr:row>186</xdr:row>
      <xdr:rowOff>127688</xdr:rowOff>
    </xdr:to>
    <xdr:sp macro="" textlink="">
      <xdr:nvSpPr>
        <xdr:cNvPr id="167" name="正方形/長方形 166">
          <a:extLst>
            <a:ext uri="{FF2B5EF4-FFF2-40B4-BE49-F238E27FC236}">
              <a16:creationId xmlns:a16="http://schemas.microsoft.com/office/drawing/2014/main" id="{550B1B4C-9770-4886-BB86-B64AC4C993AC}"/>
            </a:ext>
          </a:extLst>
        </xdr:cNvPr>
        <xdr:cNvSpPr/>
      </xdr:nvSpPr>
      <xdr:spPr>
        <a:xfrm>
          <a:off x="5051181" y="3191358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3517</xdr:colOff>
      <xdr:row>194</xdr:row>
      <xdr:rowOff>20242</xdr:rowOff>
    </xdr:from>
    <xdr:to>
      <xdr:col>22</xdr:col>
      <xdr:colOff>176872</xdr:colOff>
      <xdr:row>194</xdr:row>
      <xdr:rowOff>122139</xdr:rowOff>
    </xdr:to>
    <xdr:sp macro="" textlink="">
      <xdr:nvSpPr>
        <xdr:cNvPr id="168" name="正方形/長方形 167">
          <a:extLst>
            <a:ext uri="{FF2B5EF4-FFF2-40B4-BE49-F238E27FC236}">
              <a16:creationId xmlns:a16="http://schemas.microsoft.com/office/drawing/2014/main" id="{E1E9B7A9-A0E1-452F-892F-12F2863374FE}"/>
            </a:ext>
          </a:extLst>
        </xdr:cNvPr>
        <xdr:cNvSpPr/>
      </xdr:nvSpPr>
      <xdr:spPr>
        <a:xfrm>
          <a:off x="5032717" y="33281542"/>
          <a:ext cx="17335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27402</xdr:colOff>
      <xdr:row>194</xdr:row>
      <xdr:rowOff>11137</xdr:rowOff>
    </xdr:from>
    <xdr:to>
      <xdr:col>29</xdr:col>
      <xdr:colOff>200757</xdr:colOff>
      <xdr:row>194</xdr:row>
      <xdr:rowOff>105414</xdr:rowOff>
    </xdr:to>
    <xdr:sp macro="" textlink="">
      <xdr:nvSpPr>
        <xdr:cNvPr id="169" name="正方形/長方形 168">
          <a:extLst>
            <a:ext uri="{FF2B5EF4-FFF2-40B4-BE49-F238E27FC236}">
              <a16:creationId xmlns:a16="http://schemas.microsoft.com/office/drawing/2014/main" id="{0EF6DDA3-59D3-47E1-B77D-CD5E67C88CAE}"/>
            </a:ext>
          </a:extLst>
        </xdr:cNvPr>
        <xdr:cNvSpPr/>
      </xdr:nvSpPr>
      <xdr:spPr>
        <a:xfrm>
          <a:off x="6656802" y="33272437"/>
          <a:ext cx="17335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196</xdr:row>
      <xdr:rowOff>14655</xdr:rowOff>
    </xdr:from>
    <xdr:to>
      <xdr:col>29</xdr:col>
      <xdr:colOff>198853</xdr:colOff>
      <xdr:row>196</xdr:row>
      <xdr:rowOff>112742</xdr:rowOff>
    </xdr:to>
    <xdr:sp macro="" textlink="">
      <xdr:nvSpPr>
        <xdr:cNvPr id="170" name="正方形/長方形 169">
          <a:extLst>
            <a:ext uri="{FF2B5EF4-FFF2-40B4-BE49-F238E27FC236}">
              <a16:creationId xmlns:a16="http://schemas.microsoft.com/office/drawing/2014/main" id="{10CC1E00-5B29-4AE7-9194-2933AF858E51}"/>
            </a:ext>
          </a:extLst>
        </xdr:cNvPr>
        <xdr:cNvSpPr/>
      </xdr:nvSpPr>
      <xdr:spPr>
        <a:xfrm>
          <a:off x="6658708" y="3361885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21981</xdr:colOff>
      <xdr:row>195</xdr:row>
      <xdr:rowOff>23885</xdr:rowOff>
    </xdr:from>
    <xdr:to>
      <xdr:col>22</xdr:col>
      <xdr:colOff>191526</xdr:colOff>
      <xdr:row>195</xdr:row>
      <xdr:rowOff>127688</xdr:rowOff>
    </xdr:to>
    <xdr:sp macro="" textlink="">
      <xdr:nvSpPr>
        <xdr:cNvPr id="171" name="正方形/長方形 170">
          <a:extLst>
            <a:ext uri="{FF2B5EF4-FFF2-40B4-BE49-F238E27FC236}">
              <a16:creationId xmlns:a16="http://schemas.microsoft.com/office/drawing/2014/main" id="{C5D23EDF-BF40-47E4-9323-770422021E94}"/>
            </a:ext>
          </a:extLst>
        </xdr:cNvPr>
        <xdr:cNvSpPr/>
      </xdr:nvSpPr>
      <xdr:spPr>
        <a:xfrm>
          <a:off x="5051181" y="3345663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18757</xdr:colOff>
      <xdr:row>203</xdr:row>
      <xdr:rowOff>20242</xdr:rowOff>
    </xdr:from>
    <xdr:to>
      <xdr:col>22</xdr:col>
      <xdr:colOff>192112</xdr:colOff>
      <xdr:row>203</xdr:row>
      <xdr:rowOff>122139</xdr:rowOff>
    </xdr:to>
    <xdr:sp macro="" textlink="">
      <xdr:nvSpPr>
        <xdr:cNvPr id="172" name="正方形/長方形 171">
          <a:extLst>
            <a:ext uri="{FF2B5EF4-FFF2-40B4-BE49-F238E27FC236}">
              <a16:creationId xmlns:a16="http://schemas.microsoft.com/office/drawing/2014/main" id="{5CD0C00D-06E0-4E9E-855C-851DB0BF845E}"/>
            </a:ext>
          </a:extLst>
        </xdr:cNvPr>
        <xdr:cNvSpPr/>
      </xdr:nvSpPr>
      <xdr:spPr>
        <a:xfrm>
          <a:off x="5047957" y="34824592"/>
          <a:ext cx="17335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27402</xdr:colOff>
      <xdr:row>203</xdr:row>
      <xdr:rowOff>11137</xdr:rowOff>
    </xdr:from>
    <xdr:to>
      <xdr:col>29</xdr:col>
      <xdr:colOff>200757</xdr:colOff>
      <xdr:row>203</xdr:row>
      <xdr:rowOff>105414</xdr:rowOff>
    </xdr:to>
    <xdr:sp macro="" textlink="">
      <xdr:nvSpPr>
        <xdr:cNvPr id="173" name="正方形/長方形 172">
          <a:extLst>
            <a:ext uri="{FF2B5EF4-FFF2-40B4-BE49-F238E27FC236}">
              <a16:creationId xmlns:a16="http://schemas.microsoft.com/office/drawing/2014/main" id="{1539EBEC-BE87-42D8-90F4-FE0EA62B62E1}"/>
            </a:ext>
          </a:extLst>
        </xdr:cNvPr>
        <xdr:cNvSpPr/>
      </xdr:nvSpPr>
      <xdr:spPr>
        <a:xfrm>
          <a:off x="6656802" y="34815487"/>
          <a:ext cx="17335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205</xdr:row>
      <xdr:rowOff>14655</xdr:rowOff>
    </xdr:from>
    <xdr:to>
      <xdr:col>29</xdr:col>
      <xdr:colOff>198853</xdr:colOff>
      <xdr:row>205</xdr:row>
      <xdr:rowOff>112742</xdr:rowOff>
    </xdr:to>
    <xdr:sp macro="" textlink="">
      <xdr:nvSpPr>
        <xdr:cNvPr id="174" name="正方形/長方形 173">
          <a:extLst>
            <a:ext uri="{FF2B5EF4-FFF2-40B4-BE49-F238E27FC236}">
              <a16:creationId xmlns:a16="http://schemas.microsoft.com/office/drawing/2014/main" id="{1E0CE973-4237-4417-8A17-A5BD7F38F873}"/>
            </a:ext>
          </a:extLst>
        </xdr:cNvPr>
        <xdr:cNvSpPr/>
      </xdr:nvSpPr>
      <xdr:spPr>
        <a:xfrm>
          <a:off x="6658708" y="3516190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21981</xdr:colOff>
      <xdr:row>204</xdr:row>
      <xdr:rowOff>23885</xdr:rowOff>
    </xdr:from>
    <xdr:to>
      <xdr:col>22</xdr:col>
      <xdr:colOff>191526</xdr:colOff>
      <xdr:row>204</xdr:row>
      <xdr:rowOff>127688</xdr:rowOff>
    </xdr:to>
    <xdr:sp macro="" textlink="">
      <xdr:nvSpPr>
        <xdr:cNvPr id="175" name="正方形/長方形 174">
          <a:extLst>
            <a:ext uri="{FF2B5EF4-FFF2-40B4-BE49-F238E27FC236}">
              <a16:creationId xmlns:a16="http://schemas.microsoft.com/office/drawing/2014/main" id="{249BF7AA-22B2-43EE-A23A-8F1A27B7E144}"/>
            </a:ext>
          </a:extLst>
        </xdr:cNvPr>
        <xdr:cNvSpPr/>
      </xdr:nvSpPr>
      <xdr:spPr>
        <a:xfrm>
          <a:off x="5051181" y="3499968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199146</xdr:colOff>
      <xdr:row>177</xdr:row>
      <xdr:rowOff>65603</xdr:rowOff>
    </xdr:from>
    <xdr:to>
      <xdr:col>22</xdr:col>
      <xdr:colOff>18757</xdr:colOff>
      <xdr:row>185</xdr:row>
      <xdr:rowOff>71191</xdr:rowOff>
    </xdr:to>
    <xdr:cxnSp macro="">
      <xdr:nvCxnSpPr>
        <xdr:cNvPr id="176" name="直線コネクタ 31">
          <a:extLst>
            <a:ext uri="{FF2B5EF4-FFF2-40B4-BE49-F238E27FC236}">
              <a16:creationId xmlns:a16="http://schemas.microsoft.com/office/drawing/2014/main" id="{07E13382-1A35-4F71-8D14-54EEFB35A1A2}"/>
            </a:ext>
          </a:extLst>
        </xdr:cNvPr>
        <xdr:cNvCxnSpPr>
          <a:cxnSpLocks/>
          <a:stCxn id="152" idx="3"/>
          <a:endCxn id="164" idx="1"/>
        </xdr:cNvCxnSpPr>
      </xdr:nvCxnSpPr>
      <xdr:spPr>
        <a:xfrm>
          <a:off x="4771146" y="30412253"/>
          <a:ext cx="276811" cy="1377188"/>
        </a:xfrm>
        <a:prstGeom prst="bentConnector3">
          <a:avLst>
            <a:gd name="adj1" fmla="val 50000"/>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210576</xdr:colOff>
      <xdr:row>178</xdr:row>
      <xdr:rowOff>75494</xdr:rowOff>
    </xdr:from>
    <xdr:to>
      <xdr:col>22</xdr:col>
      <xdr:colOff>21981</xdr:colOff>
      <xdr:row>186</xdr:row>
      <xdr:rowOff>75787</xdr:rowOff>
    </xdr:to>
    <xdr:cxnSp macro="">
      <xdr:nvCxnSpPr>
        <xdr:cNvPr id="177" name="直線コネクタ 31">
          <a:extLst>
            <a:ext uri="{FF2B5EF4-FFF2-40B4-BE49-F238E27FC236}">
              <a16:creationId xmlns:a16="http://schemas.microsoft.com/office/drawing/2014/main" id="{939F9296-FF99-49A2-BB34-CC3D43D52E06}"/>
            </a:ext>
          </a:extLst>
        </xdr:cNvPr>
        <xdr:cNvCxnSpPr>
          <a:cxnSpLocks/>
          <a:stCxn id="161" idx="3"/>
          <a:endCxn id="167" idx="1"/>
        </xdr:cNvCxnSpPr>
      </xdr:nvCxnSpPr>
      <xdr:spPr>
        <a:xfrm>
          <a:off x="4782576" y="30593594"/>
          <a:ext cx="268605" cy="1371893"/>
        </a:xfrm>
        <a:prstGeom prst="bentConnector3">
          <a:avLst>
            <a:gd name="adj1" fmla="val 69460"/>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210576</xdr:colOff>
      <xdr:row>178</xdr:row>
      <xdr:rowOff>75494</xdr:rowOff>
    </xdr:from>
    <xdr:to>
      <xdr:col>22</xdr:col>
      <xdr:colOff>3517</xdr:colOff>
      <xdr:row>194</xdr:row>
      <xdr:rowOff>71191</xdr:rowOff>
    </xdr:to>
    <xdr:cxnSp macro="">
      <xdr:nvCxnSpPr>
        <xdr:cNvPr id="178" name="直線コネクタ 31">
          <a:extLst>
            <a:ext uri="{FF2B5EF4-FFF2-40B4-BE49-F238E27FC236}">
              <a16:creationId xmlns:a16="http://schemas.microsoft.com/office/drawing/2014/main" id="{914F358E-8EAB-49FA-91FB-4EDC78867D05}"/>
            </a:ext>
          </a:extLst>
        </xdr:cNvPr>
        <xdr:cNvCxnSpPr>
          <a:cxnSpLocks/>
          <a:stCxn id="161" idx="3"/>
          <a:endCxn id="168" idx="1"/>
        </xdr:cNvCxnSpPr>
      </xdr:nvCxnSpPr>
      <xdr:spPr>
        <a:xfrm>
          <a:off x="4782576" y="30593594"/>
          <a:ext cx="250141" cy="2738897"/>
        </a:xfrm>
        <a:prstGeom prst="bentConnector3">
          <a:avLst>
            <a:gd name="adj1" fmla="val 50000"/>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210576</xdr:colOff>
      <xdr:row>178</xdr:row>
      <xdr:rowOff>75494</xdr:rowOff>
    </xdr:from>
    <xdr:to>
      <xdr:col>22</xdr:col>
      <xdr:colOff>21981</xdr:colOff>
      <xdr:row>195</xdr:row>
      <xdr:rowOff>75787</xdr:rowOff>
    </xdr:to>
    <xdr:cxnSp macro="">
      <xdr:nvCxnSpPr>
        <xdr:cNvPr id="179" name="直線コネクタ 31">
          <a:extLst>
            <a:ext uri="{FF2B5EF4-FFF2-40B4-BE49-F238E27FC236}">
              <a16:creationId xmlns:a16="http://schemas.microsoft.com/office/drawing/2014/main" id="{2185CBB8-E060-4BCA-A91E-E7E2B40B330F}"/>
            </a:ext>
          </a:extLst>
        </xdr:cNvPr>
        <xdr:cNvCxnSpPr>
          <a:cxnSpLocks/>
          <a:stCxn id="161" idx="3"/>
          <a:endCxn id="171" idx="1"/>
        </xdr:cNvCxnSpPr>
      </xdr:nvCxnSpPr>
      <xdr:spPr>
        <a:xfrm>
          <a:off x="4782576" y="30593594"/>
          <a:ext cx="268605" cy="2914943"/>
        </a:xfrm>
        <a:prstGeom prst="bentConnector3">
          <a:avLst>
            <a:gd name="adj1" fmla="val 69460"/>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199146</xdr:colOff>
      <xdr:row>177</xdr:row>
      <xdr:rowOff>65603</xdr:rowOff>
    </xdr:from>
    <xdr:to>
      <xdr:col>22</xdr:col>
      <xdr:colOff>18757</xdr:colOff>
      <xdr:row>203</xdr:row>
      <xdr:rowOff>71191</xdr:rowOff>
    </xdr:to>
    <xdr:cxnSp macro="">
      <xdr:nvCxnSpPr>
        <xdr:cNvPr id="180" name="直線コネクタ 31">
          <a:extLst>
            <a:ext uri="{FF2B5EF4-FFF2-40B4-BE49-F238E27FC236}">
              <a16:creationId xmlns:a16="http://schemas.microsoft.com/office/drawing/2014/main" id="{BF05FBD0-34EF-47ED-BCA4-C3B66B2AA010}"/>
            </a:ext>
          </a:extLst>
        </xdr:cNvPr>
        <xdr:cNvCxnSpPr>
          <a:cxnSpLocks/>
          <a:stCxn id="152" idx="3"/>
          <a:endCxn id="172" idx="1"/>
        </xdr:cNvCxnSpPr>
      </xdr:nvCxnSpPr>
      <xdr:spPr>
        <a:xfrm>
          <a:off x="4771146" y="30412253"/>
          <a:ext cx="276811" cy="4463288"/>
        </a:xfrm>
        <a:prstGeom prst="bentConnector3">
          <a:avLst>
            <a:gd name="adj1" fmla="val 50000"/>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210576</xdr:colOff>
      <xdr:row>178</xdr:row>
      <xdr:rowOff>75494</xdr:rowOff>
    </xdr:from>
    <xdr:to>
      <xdr:col>22</xdr:col>
      <xdr:colOff>21981</xdr:colOff>
      <xdr:row>204</xdr:row>
      <xdr:rowOff>75787</xdr:rowOff>
    </xdr:to>
    <xdr:cxnSp macro="">
      <xdr:nvCxnSpPr>
        <xdr:cNvPr id="181" name="直線コネクタ 31">
          <a:extLst>
            <a:ext uri="{FF2B5EF4-FFF2-40B4-BE49-F238E27FC236}">
              <a16:creationId xmlns:a16="http://schemas.microsoft.com/office/drawing/2014/main" id="{741574A5-49C4-4C56-8FEA-FD2433BB9DFD}"/>
            </a:ext>
          </a:extLst>
        </xdr:cNvPr>
        <xdr:cNvCxnSpPr>
          <a:cxnSpLocks/>
          <a:stCxn id="161" idx="3"/>
          <a:endCxn id="175" idx="1"/>
        </xdr:cNvCxnSpPr>
      </xdr:nvCxnSpPr>
      <xdr:spPr>
        <a:xfrm>
          <a:off x="4782576" y="30593594"/>
          <a:ext cx="268605" cy="4457993"/>
        </a:xfrm>
        <a:prstGeom prst="bentConnector3">
          <a:avLst>
            <a:gd name="adj1" fmla="val 69460"/>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281009</xdr:colOff>
      <xdr:row>27</xdr:row>
      <xdr:rowOff>66087</xdr:rowOff>
    </xdr:from>
    <xdr:to>
      <xdr:col>12</xdr:col>
      <xdr:colOff>18463</xdr:colOff>
      <xdr:row>72</xdr:row>
      <xdr:rowOff>67142</xdr:rowOff>
    </xdr:to>
    <xdr:cxnSp macro="">
      <xdr:nvCxnSpPr>
        <xdr:cNvPr id="182" name="直線コネクタ 31">
          <a:extLst>
            <a:ext uri="{FF2B5EF4-FFF2-40B4-BE49-F238E27FC236}">
              <a16:creationId xmlns:a16="http://schemas.microsoft.com/office/drawing/2014/main" id="{FC9048B6-AE4E-42D3-96E2-875BE4271522}"/>
            </a:ext>
          </a:extLst>
        </xdr:cNvPr>
        <xdr:cNvCxnSpPr>
          <a:stCxn id="4" idx="3"/>
          <a:endCxn id="67" idx="1"/>
        </xdr:cNvCxnSpPr>
      </xdr:nvCxnSpPr>
      <xdr:spPr>
        <a:xfrm>
          <a:off x="2509859" y="4695237"/>
          <a:ext cx="251804" cy="7716305"/>
        </a:xfrm>
        <a:prstGeom prst="bentConnector3">
          <a:avLst>
            <a:gd name="adj1" fmla="val 50000"/>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281009</xdr:colOff>
      <xdr:row>27</xdr:row>
      <xdr:rowOff>66087</xdr:rowOff>
    </xdr:from>
    <xdr:to>
      <xdr:col>12</xdr:col>
      <xdr:colOff>18463</xdr:colOff>
      <xdr:row>107</xdr:row>
      <xdr:rowOff>67142</xdr:rowOff>
    </xdr:to>
    <xdr:cxnSp macro="">
      <xdr:nvCxnSpPr>
        <xdr:cNvPr id="183" name="直線コネクタ 31">
          <a:extLst>
            <a:ext uri="{FF2B5EF4-FFF2-40B4-BE49-F238E27FC236}">
              <a16:creationId xmlns:a16="http://schemas.microsoft.com/office/drawing/2014/main" id="{7BE6778B-D721-40F4-B97E-1E99DD5EC949}"/>
            </a:ext>
          </a:extLst>
        </xdr:cNvPr>
        <xdr:cNvCxnSpPr>
          <a:stCxn id="4" idx="3"/>
          <a:endCxn id="95" idx="1"/>
        </xdr:cNvCxnSpPr>
      </xdr:nvCxnSpPr>
      <xdr:spPr>
        <a:xfrm>
          <a:off x="2509859" y="4695237"/>
          <a:ext cx="251804" cy="13717055"/>
        </a:xfrm>
        <a:prstGeom prst="bentConnector3">
          <a:avLst>
            <a:gd name="adj1" fmla="val 50000"/>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281009</xdr:colOff>
      <xdr:row>27</xdr:row>
      <xdr:rowOff>66087</xdr:rowOff>
    </xdr:from>
    <xdr:to>
      <xdr:col>12</xdr:col>
      <xdr:colOff>18463</xdr:colOff>
      <xdr:row>142</xdr:row>
      <xdr:rowOff>67142</xdr:rowOff>
    </xdr:to>
    <xdr:cxnSp macro="">
      <xdr:nvCxnSpPr>
        <xdr:cNvPr id="184" name="直線コネクタ 31">
          <a:extLst>
            <a:ext uri="{FF2B5EF4-FFF2-40B4-BE49-F238E27FC236}">
              <a16:creationId xmlns:a16="http://schemas.microsoft.com/office/drawing/2014/main" id="{AB26F58A-4E11-4122-B466-76EFADA71073}"/>
            </a:ext>
          </a:extLst>
        </xdr:cNvPr>
        <xdr:cNvCxnSpPr>
          <a:stCxn id="4" idx="3"/>
          <a:endCxn id="126" idx="1"/>
        </xdr:cNvCxnSpPr>
      </xdr:nvCxnSpPr>
      <xdr:spPr>
        <a:xfrm>
          <a:off x="2509859" y="4695237"/>
          <a:ext cx="251804" cy="19717805"/>
        </a:xfrm>
        <a:prstGeom prst="bentConnector3">
          <a:avLst>
            <a:gd name="adj1" fmla="val 50000"/>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281009</xdr:colOff>
      <xdr:row>27</xdr:row>
      <xdr:rowOff>66087</xdr:rowOff>
    </xdr:from>
    <xdr:to>
      <xdr:col>12</xdr:col>
      <xdr:colOff>18463</xdr:colOff>
      <xdr:row>177</xdr:row>
      <xdr:rowOff>67142</xdr:rowOff>
    </xdr:to>
    <xdr:cxnSp macro="">
      <xdr:nvCxnSpPr>
        <xdr:cNvPr id="185" name="直線コネクタ 31">
          <a:extLst>
            <a:ext uri="{FF2B5EF4-FFF2-40B4-BE49-F238E27FC236}">
              <a16:creationId xmlns:a16="http://schemas.microsoft.com/office/drawing/2014/main" id="{C7E4A7C8-78BA-4B6A-85CD-3348A99F9E0F}"/>
            </a:ext>
          </a:extLst>
        </xdr:cNvPr>
        <xdr:cNvCxnSpPr>
          <a:stCxn id="4" idx="3"/>
          <a:endCxn id="159" idx="1"/>
        </xdr:cNvCxnSpPr>
      </xdr:nvCxnSpPr>
      <xdr:spPr>
        <a:xfrm>
          <a:off x="2509859" y="4695237"/>
          <a:ext cx="251804" cy="25718555"/>
        </a:xfrm>
        <a:prstGeom prst="bentConnector3">
          <a:avLst>
            <a:gd name="adj1" fmla="val 50000"/>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200757</xdr:colOff>
      <xdr:row>72</xdr:row>
      <xdr:rowOff>56371</xdr:rowOff>
    </xdr:from>
    <xdr:to>
      <xdr:col>32</xdr:col>
      <xdr:colOff>18757</xdr:colOff>
      <xdr:row>80</xdr:row>
      <xdr:rowOff>58276</xdr:rowOff>
    </xdr:to>
    <xdr:cxnSp macro="">
      <xdr:nvCxnSpPr>
        <xdr:cNvPr id="186" name="直線コネクタ 31">
          <a:extLst>
            <a:ext uri="{FF2B5EF4-FFF2-40B4-BE49-F238E27FC236}">
              <a16:creationId xmlns:a16="http://schemas.microsoft.com/office/drawing/2014/main" id="{F485DF00-01E1-4C3F-93A2-C2E40CFB1283}"/>
            </a:ext>
          </a:extLst>
        </xdr:cNvPr>
        <xdr:cNvCxnSpPr>
          <a:cxnSpLocks/>
          <a:stCxn id="73" idx="3"/>
          <a:endCxn id="62" idx="1"/>
        </xdr:cNvCxnSpPr>
      </xdr:nvCxnSpPr>
      <xdr:spPr>
        <a:xfrm flipV="1">
          <a:off x="6830157" y="12400771"/>
          <a:ext cx="503800" cy="1373505"/>
        </a:xfrm>
        <a:prstGeom prst="bentConnector3">
          <a:avLst>
            <a:gd name="adj1" fmla="val 17609"/>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198853</xdr:colOff>
      <xdr:row>73</xdr:row>
      <xdr:rowOff>72929</xdr:rowOff>
    </xdr:from>
    <xdr:to>
      <xdr:col>32</xdr:col>
      <xdr:colOff>13335</xdr:colOff>
      <xdr:row>82</xdr:row>
      <xdr:rowOff>63699</xdr:rowOff>
    </xdr:to>
    <xdr:cxnSp macro="">
      <xdr:nvCxnSpPr>
        <xdr:cNvPr id="187" name="直線コネクタ 31">
          <a:extLst>
            <a:ext uri="{FF2B5EF4-FFF2-40B4-BE49-F238E27FC236}">
              <a16:creationId xmlns:a16="http://schemas.microsoft.com/office/drawing/2014/main" id="{FC494757-316A-4404-BED7-266A6191B5D6}"/>
            </a:ext>
          </a:extLst>
        </xdr:cNvPr>
        <xdr:cNvCxnSpPr>
          <a:cxnSpLocks/>
          <a:stCxn id="74" idx="3"/>
          <a:endCxn id="65" idx="1"/>
        </xdr:cNvCxnSpPr>
      </xdr:nvCxnSpPr>
      <xdr:spPr>
        <a:xfrm flipV="1">
          <a:off x="6828253" y="12588779"/>
          <a:ext cx="500282" cy="1533820"/>
        </a:xfrm>
        <a:prstGeom prst="bentConnector3">
          <a:avLst>
            <a:gd name="adj1" fmla="val 34996"/>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200757</xdr:colOff>
      <xdr:row>72</xdr:row>
      <xdr:rowOff>56371</xdr:rowOff>
    </xdr:from>
    <xdr:to>
      <xdr:col>32</xdr:col>
      <xdr:colOff>18757</xdr:colOff>
      <xdr:row>89</xdr:row>
      <xdr:rowOff>58276</xdr:rowOff>
    </xdr:to>
    <xdr:cxnSp macro="">
      <xdr:nvCxnSpPr>
        <xdr:cNvPr id="188" name="直線コネクタ 31">
          <a:extLst>
            <a:ext uri="{FF2B5EF4-FFF2-40B4-BE49-F238E27FC236}">
              <a16:creationId xmlns:a16="http://schemas.microsoft.com/office/drawing/2014/main" id="{F650CD60-5687-486E-ABAD-123C95EE9B50}"/>
            </a:ext>
          </a:extLst>
        </xdr:cNvPr>
        <xdr:cNvCxnSpPr>
          <a:cxnSpLocks/>
          <a:stCxn id="77" idx="3"/>
          <a:endCxn id="62" idx="1"/>
        </xdr:cNvCxnSpPr>
      </xdr:nvCxnSpPr>
      <xdr:spPr>
        <a:xfrm flipV="1">
          <a:off x="6830157" y="12400771"/>
          <a:ext cx="503800" cy="2916555"/>
        </a:xfrm>
        <a:prstGeom prst="bentConnector3">
          <a:avLst>
            <a:gd name="adj1" fmla="val 17596"/>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198853</xdr:colOff>
      <xdr:row>73</xdr:row>
      <xdr:rowOff>72929</xdr:rowOff>
    </xdr:from>
    <xdr:to>
      <xdr:col>32</xdr:col>
      <xdr:colOff>13335</xdr:colOff>
      <xdr:row>91</xdr:row>
      <xdr:rowOff>63699</xdr:rowOff>
    </xdr:to>
    <xdr:cxnSp macro="">
      <xdr:nvCxnSpPr>
        <xdr:cNvPr id="189" name="直線コネクタ 31">
          <a:extLst>
            <a:ext uri="{FF2B5EF4-FFF2-40B4-BE49-F238E27FC236}">
              <a16:creationId xmlns:a16="http://schemas.microsoft.com/office/drawing/2014/main" id="{38D3496E-EB15-4671-BFF3-2A0EA5CB9520}"/>
            </a:ext>
          </a:extLst>
        </xdr:cNvPr>
        <xdr:cNvCxnSpPr>
          <a:cxnSpLocks/>
          <a:stCxn id="78" idx="3"/>
          <a:endCxn id="65" idx="1"/>
        </xdr:cNvCxnSpPr>
      </xdr:nvCxnSpPr>
      <xdr:spPr>
        <a:xfrm flipV="1">
          <a:off x="6828253" y="12588779"/>
          <a:ext cx="500282" cy="3076870"/>
        </a:xfrm>
        <a:prstGeom prst="bentConnector3">
          <a:avLst>
            <a:gd name="adj1" fmla="val 35879"/>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198853</xdr:colOff>
      <xdr:row>99</xdr:row>
      <xdr:rowOff>56371</xdr:rowOff>
    </xdr:from>
    <xdr:to>
      <xdr:col>34</xdr:col>
      <xdr:colOff>18757</xdr:colOff>
      <xdr:row>100</xdr:row>
      <xdr:rowOff>63699</xdr:rowOff>
    </xdr:to>
    <xdr:cxnSp macro="">
      <xdr:nvCxnSpPr>
        <xdr:cNvPr id="190" name="直線コネクタ 31">
          <a:extLst>
            <a:ext uri="{FF2B5EF4-FFF2-40B4-BE49-F238E27FC236}">
              <a16:creationId xmlns:a16="http://schemas.microsoft.com/office/drawing/2014/main" id="{E8C5A533-06CD-40A2-8AB1-586A06D1736C}"/>
            </a:ext>
          </a:extLst>
        </xdr:cNvPr>
        <xdr:cNvCxnSpPr>
          <a:cxnSpLocks/>
          <a:stCxn id="82" idx="3"/>
          <a:endCxn id="149" idx="1"/>
        </xdr:cNvCxnSpPr>
      </xdr:nvCxnSpPr>
      <xdr:spPr>
        <a:xfrm flipV="1">
          <a:off x="6828253" y="17029921"/>
          <a:ext cx="962904" cy="178778"/>
        </a:xfrm>
        <a:prstGeom prst="bentConnector3">
          <a:avLst>
            <a:gd name="adj1" fmla="val 30245"/>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200757</xdr:colOff>
      <xdr:row>98</xdr:row>
      <xdr:rowOff>56371</xdr:rowOff>
    </xdr:from>
    <xdr:to>
      <xdr:col>34</xdr:col>
      <xdr:colOff>18757</xdr:colOff>
      <xdr:row>98</xdr:row>
      <xdr:rowOff>58276</xdr:rowOff>
    </xdr:to>
    <xdr:cxnSp macro="">
      <xdr:nvCxnSpPr>
        <xdr:cNvPr id="191" name="直線コネクタ 190">
          <a:extLst>
            <a:ext uri="{FF2B5EF4-FFF2-40B4-BE49-F238E27FC236}">
              <a16:creationId xmlns:a16="http://schemas.microsoft.com/office/drawing/2014/main" id="{063B7091-FB1B-4A4E-BF9F-5C6A0A4A1F3B}"/>
            </a:ext>
          </a:extLst>
        </xdr:cNvPr>
        <xdr:cNvCxnSpPr>
          <a:stCxn id="150" idx="1"/>
          <a:endCxn id="81" idx="3"/>
        </xdr:cNvCxnSpPr>
      </xdr:nvCxnSpPr>
      <xdr:spPr>
        <a:xfrm flipH="1">
          <a:off x="6830157" y="16858471"/>
          <a:ext cx="961000" cy="1905"/>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198853</xdr:colOff>
      <xdr:row>73</xdr:row>
      <xdr:rowOff>72929</xdr:rowOff>
    </xdr:from>
    <xdr:to>
      <xdr:col>32</xdr:col>
      <xdr:colOff>13335</xdr:colOff>
      <xdr:row>109</xdr:row>
      <xdr:rowOff>63699</xdr:rowOff>
    </xdr:to>
    <xdr:cxnSp macro="">
      <xdr:nvCxnSpPr>
        <xdr:cNvPr id="192" name="直線コネクタ 31">
          <a:extLst>
            <a:ext uri="{FF2B5EF4-FFF2-40B4-BE49-F238E27FC236}">
              <a16:creationId xmlns:a16="http://schemas.microsoft.com/office/drawing/2014/main" id="{A0E26853-2A52-4AC8-8177-4370D2FB8A19}"/>
            </a:ext>
          </a:extLst>
        </xdr:cNvPr>
        <xdr:cNvCxnSpPr>
          <a:cxnSpLocks/>
          <a:stCxn id="94" idx="3"/>
          <a:endCxn id="65" idx="1"/>
        </xdr:cNvCxnSpPr>
      </xdr:nvCxnSpPr>
      <xdr:spPr>
        <a:xfrm flipV="1">
          <a:off x="6828253" y="12588779"/>
          <a:ext cx="500282" cy="6162970"/>
        </a:xfrm>
        <a:prstGeom prst="bentConnector3">
          <a:avLst>
            <a:gd name="adj1" fmla="val 35879"/>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200757</xdr:colOff>
      <xdr:row>72</xdr:row>
      <xdr:rowOff>56371</xdr:rowOff>
    </xdr:from>
    <xdr:to>
      <xdr:col>32</xdr:col>
      <xdr:colOff>18757</xdr:colOff>
      <xdr:row>115</xdr:row>
      <xdr:rowOff>58276</xdr:rowOff>
    </xdr:to>
    <xdr:cxnSp macro="">
      <xdr:nvCxnSpPr>
        <xdr:cNvPr id="193" name="直線コネクタ 31">
          <a:extLst>
            <a:ext uri="{FF2B5EF4-FFF2-40B4-BE49-F238E27FC236}">
              <a16:creationId xmlns:a16="http://schemas.microsoft.com/office/drawing/2014/main" id="{B56D5D2D-9019-4DCD-BC44-BAA9E63DEB9F}"/>
            </a:ext>
          </a:extLst>
        </xdr:cNvPr>
        <xdr:cNvCxnSpPr>
          <a:cxnSpLocks/>
          <a:stCxn id="101" idx="3"/>
          <a:endCxn id="62" idx="1"/>
        </xdr:cNvCxnSpPr>
      </xdr:nvCxnSpPr>
      <xdr:spPr>
        <a:xfrm flipV="1">
          <a:off x="6830157" y="12400771"/>
          <a:ext cx="503800" cy="7374255"/>
        </a:xfrm>
        <a:prstGeom prst="bentConnector3">
          <a:avLst>
            <a:gd name="adj1" fmla="val 17595"/>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198853</xdr:colOff>
      <xdr:row>73</xdr:row>
      <xdr:rowOff>72929</xdr:rowOff>
    </xdr:from>
    <xdr:to>
      <xdr:col>32</xdr:col>
      <xdr:colOff>13335</xdr:colOff>
      <xdr:row>117</xdr:row>
      <xdr:rowOff>63699</xdr:rowOff>
    </xdr:to>
    <xdr:cxnSp macro="">
      <xdr:nvCxnSpPr>
        <xdr:cNvPr id="194" name="直線コネクタ 31">
          <a:extLst>
            <a:ext uri="{FF2B5EF4-FFF2-40B4-BE49-F238E27FC236}">
              <a16:creationId xmlns:a16="http://schemas.microsoft.com/office/drawing/2014/main" id="{0CC75210-A863-449E-A13B-FA1770EE65D2}"/>
            </a:ext>
          </a:extLst>
        </xdr:cNvPr>
        <xdr:cNvCxnSpPr>
          <a:cxnSpLocks/>
          <a:stCxn id="102" idx="3"/>
          <a:endCxn id="65" idx="1"/>
        </xdr:cNvCxnSpPr>
      </xdr:nvCxnSpPr>
      <xdr:spPr>
        <a:xfrm flipV="1">
          <a:off x="6828253" y="12588779"/>
          <a:ext cx="500282" cy="7534570"/>
        </a:xfrm>
        <a:prstGeom prst="bentConnector3">
          <a:avLst>
            <a:gd name="adj1" fmla="val 36761"/>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200757</xdr:colOff>
      <xdr:row>72</xdr:row>
      <xdr:rowOff>56371</xdr:rowOff>
    </xdr:from>
    <xdr:to>
      <xdr:col>32</xdr:col>
      <xdr:colOff>18757</xdr:colOff>
      <xdr:row>124</xdr:row>
      <xdr:rowOff>58276</xdr:rowOff>
    </xdr:to>
    <xdr:cxnSp macro="">
      <xdr:nvCxnSpPr>
        <xdr:cNvPr id="195" name="直線コネクタ 31">
          <a:extLst>
            <a:ext uri="{FF2B5EF4-FFF2-40B4-BE49-F238E27FC236}">
              <a16:creationId xmlns:a16="http://schemas.microsoft.com/office/drawing/2014/main" id="{A9072B93-65DE-4BA3-8C49-FC843E50F285}"/>
            </a:ext>
          </a:extLst>
        </xdr:cNvPr>
        <xdr:cNvCxnSpPr>
          <a:cxnSpLocks/>
          <a:stCxn id="105" idx="3"/>
          <a:endCxn id="62" idx="1"/>
        </xdr:cNvCxnSpPr>
      </xdr:nvCxnSpPr>
      <xdr:spPr>
        <a:xfrm flipV="1">
          <a:off x="6830157" y="12400771"/>
          <a:ext cx="503800" cy="8917305"/>
        </a:xfrm>
        <a:prstGeom prst="bentConnector3">
          <a:avLst>
            <a:gd name="adj1" fmla="val 18105"/>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198853</xdr:colOff>
      <xdr:row>73</xdr:row>
      <xdr:rowOff>72929</xdr:rowOff>
    </xdr:from>
    <xdr:to>
      <xdr:col>32</xdr:col>
      <xdr:colOff>13335</xdr:colOff>
      <xdr:row>126</xdr:row>
      <xdr:rowOff>63699</xdr:rowOff>
    </xdr:to>
    <xdr:cxnSp macro="">
      <xdr:nvCxnSpPr>
        <xdr:cNvPr id="196" name="直線コネクタ 31">
          <a:extLst>
            <a:ext uri="{FF2B5EF4-FFF2-40B4-BE49-F238E27FC236}">
              <a16:creationId xmlns:a16="http://schemas.microsoft.com/office/drawing/2014/main" id="{FB0F2C48-7EE8-4BE3-AE7A-06EF260C057D}"/>
            </a:ext>
          </a:extLst>
        </xdr:cNvPr>
        <xdr:cNvCxnSpPr>
          <a:cxnSpLocks/>
          <a:stCxn id="106" idx="3"/>
          <a:endCxn id="65" idx="1"/>
        </xdr:cNvCxnSpPr>
      </xdr:nvCxnSpPr>
      <xdr:spPr>
        <a:xfrm flipV="1">
          <a:off x="6828253" y="12588779"/>
          <a:ext cx="500282" cy="9077620"/>
        </a:xfrm>
        <a:prstGeom prst="bentConnector3">
          <a:avLst>
            <a:gd name="adj1" fmla="val 36078"/>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198853</xdr:colOff>
      <xdr:row>99</xdr:row>
      <xdr:rowOff>56371</xdr:rowOff>
    </xdr:from>
    <xdr:to>
      <xdr:col>34</xdr:col>
      <xdr:colOff>18757</xdr:colOff>
      <xdr:row>135</xdr:row>
      <xdr:rowOff>63699</xdr:rowOff>
    </xdr:to>
    <xdr:cxnSp macro="">
      <xdr:nvCxnSpPr>
        <xdr:cNvPr id="197" name="直線コネクタ 31">
          <a:extLst>
            <a:ext uri="{FF2B5EF4-FFF2-40B4-BE49-F238E27FC236}">
              <a16:creationId xmlns:a16="http://schemas.microsoft.com/office/drawing/2014/main" id="{6A812B91-2360-469D-8414-A1CE91D6B526}"/>
            </a:ext>
          </a:extLst>
        </xdr:cNvPr>
        <xdr:cNvCxnSpPr>
          <a:cxnSpLocks/>
          <a:stCxn id="110" idx="3"/>
          <a:endCxn id="149" idx="1"/>
        </xdr:cNvCxnSpPr>
      </xdr:nvCxnSpPr>
      <xdr:spPr>
        <a:xfrm flipV="1">
          <a:off x="6828253" y="17029921"/>
          <a:ext cx="962904" cy="6179528"/>
        </a:xfrm>
        <a:prstGeom prst="bentConnector3">
          <a:avLst>
            <a:gd name="adj1" fmla="val 30245"/>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200757</xdr:colOff>
      <xdr:row>98</xdr:row>
      <xdr:rowOff>56371</xdr:rowOff>
    </xdr:from>
    <xdr:to>
      <xdr:col>34</xdr:col>
      <xdr:colOff>18757</xdr:colOff>
      <xdr:row>133</xdr:row>
      <xdr:rowOff>58276</xdr:rowOff>
    </xdr:to>
    <xdr:cxnSp macro="">
      <xdr:nvCxnSpPr>
        <xdr:cNvPr id="198" name="直線コネクタ 31">
          <a:extLst>
            <a:ext uri="{FF2B5EF4-FFF2-40B4-BE49-F238E27FC236}">
              <a16:creationId xmlns:a16="http://schemas.microsoft.com/office/drawing/2014/main" id="{D5149E08-065E-42EC-BB28-4F54882CB1C4}"/>
            </a:ext>
          </a:extLst>
        </xdr:cNvPr>
        <xdr:cNvCxnSpPr>
          <a:cxnSpLocks/>
          <a:stCxn id="109" idx="3"/>
          <a:endCxn id="150" idx="1"/>
        </xdr:cNvCxnSpPr>
      </xdr:nvCxnSpPr>
      <xdr:spPr>
        <a:xfrm flipV="1">
          <a:off x="6830157" y="16858471"/>
          <a:ext cx="961000" cy="6002655"/>
        </a:xfrm>
        <a:prstGeom prst="bentConnector3">
          <a:avLst>
            <a:gd name="adj1" fmla="val 8983"/>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3810</xdr:colOff>
      <xdr:row>31</xdr:row>
      <xdr:rowOff>49530</xdr:rowOff>
    </xdr:from>
    <xdr:to>
      <xdr:col>10</xdr:col>
      <xdr:colOff>80010</xdr:colOff>
      <xdr:row>92</xdr:row>
      <xdr:rowOff>22860</xdr:rowOff>
    </xdr:to>
    <xdr:sp macro="" textlink="">
      <xdr:nvSpPr>
        <xdr:cNvPr id="199" name="テキスト ボックス 198">
          <a:extLst>
            <a:ext uri="{FF2B5EF4-FFF2-40B4-BE49-F238E27FC236}">
              <a16:creationId xmlns:a16="http://schemas.microsoft.com/office/drawing/2014/main" id="{43407BAD-D6A3-4C90-ACA5-341336C25340}"/>
            </a:ext>
          </a:extLst>
        </xdr:cNvPr>
        <xdr:cNvSpPr txBox="1"/>
      </xdr:nvSpPr>
      <xdr:spPr>
        <a:xfrm>
          <a:off x="461010" y="5364480"/>
          <a:ext cx="1905000" cy="10431780"/>
        </a:xfrm>
        <a:prstGeom prst="rect">
          <a:avLst/>
        </a:prstGeom>
        <a:solidFill>
          <a:srgbClr val="FFFFC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lstStyle/>
        <a:p>
          <a:r>
            <a:rPr kumimoji="1" lang="en-US" altLang="ja-JP" sz="900">
              <a:latin typeface="ＭＳ ゴシック" panose="020B0609070205080204" pitchFamily="49" charset="-128"/>
              <a:ea typeface="ＭＳ ゴシック" panose="020B0609070205080204" pitchFamily="49" charset="-128"/>
            </a:rPr>
            <a:t>【</a:t>
          </a:r>
          <a:r>
            <a:rPr kumimoji="1" lang="ja-JP" altLang="en-US" sz="900">
              <a:latin typeface="ＭＳ ゴシック" panose="020B0609070205080204" pitchFamily="49" charset="-128"/>
              <a:ea typeface="ＭＳ ゴシック" panose="020B0609070205080204" pitchFamily="49" charset="-128"/>
            </a:rPr>
            <a:t>ジャーナル印字イメージ</a:t>
          </a:r>
          <a:r>
            <a:rPr kumimoji="1" lang="en-US" altLang="ja-JP" sz="900">
              <a:latin typeface="ＭＳ ゴシック" panose="020B0609070205080204" pitchFamily="49" charset="-128"/>
              <a:ea typeface="ＭＳ ゴシック" panose="020B0609070205080204" pitchFamily="49" charset="-128"/>
            </a:rPr>
            <a:t>】</a:t>
          </a:r>
        </a:p>
        <a:p>
          <a:r>
            <a:rPr kumimoji="1" lang="ja-JP" altLang="en-US" sz="900">
              <a:latin typeface="ＭＳ ゴシック" panose="020B0609070205080204" pitchFamily="49" charset="-128"/>
              <a:ea typeface="ＭＳ ゴシック" panose="020B0609070205080204" pitchFamily="49" charset="-128"/>
            </a:rPr>
            <a:t> </a:t>
          </a:r>
          <a:r>
            <a:rPr kumimoji="1" lang="en-US" altLang="ja-JP" sz="900">
              <a:latin typeface="ＭＳ ゴシック" panose="020B0609070205080204" pitchFamily="49" charset="-128"/>
              <a:ea typeface="ＭＳ ゴシック" panose="020B0609070205080204" pitchFamily="49" charset="-128"/>
            </a:rPr>
            <a:t>2024</a:t>
          </a:r>
          <a:r>
            <a:rPr kumimoji="1" lang="ja-JP" altLang="en-US" sz="900">
              <a:latin typeface="ＭＳ ゴシック" panose="020B0609070205080204" pitchFamily="49" charset="-128"/>
              <a:ea typeface="ＭＳ ゴシック" panose="020B0609070205080204" pitchFamily="49" charset="-128"/>
            </a:rPr>
            <a:t>年</a:t>
          </a:r>
          <a:r>
            <a:rPr kumimoji="1" lang="en-US" altLang="ja-JP" sz="900">
              <a:latin typeface="ＭＳ ゴシック" panose="020B0609070205080204" pitchFamily="49" charset="-128"/>
              <a:ea typeface="ＭＳ ゴシック" panose="020B0609070205080204" pitchFamily="49" charset="-128"/>
            </a:rPr>
            <a:t>10</a:t>
          </a:r>
          <a:r>
            <a:rPr kumimoji="1" lang="ja-JP" altLang="en-US" sz="900">
              <a:latin typeface="ＭＳ ゴシック" panose="020B0609070205080204" pitchFamily="49" charset="-128"/>
              <a:ea typeface="ＭＳ ゴシック" panose="020B0609070205080204" pitchFamily="49" charset="-128"/>
            </a:rPr>
            <a:t>月</a:t>
          </a:r>
          <a:r>
            <a:rPr kumimoji="1" lang="en-US" altLang="ja-JP" sz="900">
              <a:latin typeface="ＭＳ ゴシック" panose="020B0609070205080204" pitchFamily="49" charset="-128"/>
              <a:ea typeface="ＭＳ ゴシック" panose="020B0609070205080204" pitchFamily="49" charset="-128"/>
            </a:rPr>
            <a:t>13</a:t>
          </a:r>
          <a:r>
            <a:rPr kumimoji="1" lang="ja-JP" altLang="en-US" sz="900">
              <a:latin typeface="ＭＳ ゴシック" panose="020B0609070205080204" pitchFamily="49" charset="-128"/>
              <a:ea typeface="ＭＳ ゴシック" panose="020B0609070205080204" pitchFamily="49" charset="-128"/>
            </a:rPr>
            <a:t>日（日） </a:t>
          </a:r>
          <a:r>
            <a:rPr kumimoji="1" lang="en-US" altLang="ja-JP" sz="900">
              <a:latin typeface="ＭＳ ゴシック" panose="020B0609070205080204" pitchFamily="49" charset="-128"/>
              <a:ea typeface="ＭＳ ゴシック" panose="020B0609070205080204" pitchFamily="49" charset="-128"/>
            </a:rPr>
            <a:t>11:18     </a:t>
          </a:r>
        </a:p>
        <a:p>
          <a:r>
            <a:rPr kumimoji="1" lang="en-US" altLang="ja-JP" sz="900">
              <a:latin typeface="ＭＳ ゴシック" panose="020B0609070205080204" pitchFamily="49" charset="-128"/>
              <a:ea typeface="ＭＳ ゴシック" panose="020B0609070205080204" pitchFamily="49" charset="-128"/>
            </a:rPr>
            <a:t>   01 x</a:t>
          </a:r>
          <a:r>
            <a:rPr kumimoji="1" lang="ja-JP" altLang="en-US" sz="900">
              <a:latin typeface="ＭＳ ゴシック" panose="020B0609070205080204" pitchFamily="49" charset="-128"/>
              <a:ea typeface="ＭＳ ゴシック" panose="020B0609070205080204" pitchFamily="49" charset="-128"/>
            </a:rPr>
            <a:t>商品Ａ                   </a:t>
          </a:r>
        </a:p>
        <a:p>
          <a:r>
            <a:rPr kumimoji="1" lang="ja-JP" altLang="en-US" sz="900">
              <a:latin typeface="ＭＳ ゴシック" panose="020B0609070205080204" pitchFamily="49" charset="-128"/>
              <a:ea typeface="ＭＳ ゴシック" panose="020B0609070205080204" pitchFamily="49" charset="-128"/>
            </a:rPr>
            <a:t>   </a:t>
          </a:r>
          <a:r>
            <a:rPr kumimoji="1" lang="en-US" altLang="ja-JP" sz="900">
              <a:latin typeface="ＭＳ ゴシック" panose="020B0609070205080204" pitchFamily="49" charset="-128"/>
              <a:ea typeface="ＭＳ ゴシック" panose="020B0609070205080204" pitchFamily="49" charset="-128"/>
            </a:rPr>
            <a:t>4900000007015                </a:t>
          </a:r>
        </a:p>
        <a:p>
          <a:r>
            <a:rPr kumimoji="1" lang="en-US" altLang="ja-JP" sz="900">
              <a:latin typeface="ＭＳ ゴシック" panose="020B0609070205080204" pitchFamily="49" charset="-128"/>
              <a:ea typeface="ＭＳ ゴシック" panose="020B0609070205080204" pitchFamily="49" charset="-128"/>
            </a:rPr>
            <a:t>        \100   2</a:t>
          </a:r>
          <a:r>
            <a:rPr kumimoji="1" lang="ja-JP" altLang="en-US" sz="900">
              <a:latin typeface="ＭＳ ゴシック" panose="020B0609070205080204" pitchFamily="49" charset="-128"/>
              <a:ea typeface="ＭＳ ゴシック" panose="020B0609070205080204" pitchFamily="49" charset="-128"/>
            </a:rPr>
            <a:t>個         </a:t>
          </a:r>
          <a:r>
            <a:rPr kumimoji="1" lang="en-US" altLang="ja-JP" sz="900">
              <a:latin typeface="ＭＳ ゴシック" panose="020B0609070205080204" pitchFamily="49" charset="-128"/>
              <a:ea typeface="ＭＳ ゴシック" panose="020B0609070205080204" pitchFamily="49" charset="-128"/>
            </a:rPr>
            <a:t>\200 </a:t>
          </a:r>
        </a:p>
        <a:p>
          <a:r>
            <a:rPr kumimoji="1" lang="en-US" altLang="ja-JP" sz="900">
              <a:latin typeface="ＭＳ ゴシック" panose="020B0609070205080204" pitchFamily="49" charset="-128"/>
              <a:ea typeface="ＭＳ ゴシック" panose="020B0609070205080204" pitchFamily="49" charset="-128"/>
            </a:rPr>
            <a:t>   01 x</a:t>
          </a:r>
          <a:r>
            <a:rPr kumimoji="1" lang="ja-JP" altLang="en-US" sz="900">
              <a:latin typeface="ＭＳ ゴシック" panose="020B0609070205080204" pitchFamily="49" charset="-128"/>
              <a:ea typeface="ＭＳ ゴシック" panose="020B0609070205080204" pitchFamily="49" charset="-128"/>
            </a:rPr>
            <a:t>商品Ｂ                   </a:t>
          </a:r>
        </a:p>
        <a:p>
          <a:r>
            <a:rPr kumimoji="1" lang="ja-JP" altLang="en-US" sz="900">
              <a:latin typeface="ＭＳ ゴシック" panose="020B0609070205080204" pitchFamily="49" charset="-128"/>
              <a:ea typeface="ＭＳ ゴシック" panose="020B0609070205080204" pitchFamily="49" charset="-128"/>
            </a:rPr>
            <a:t>   </a:t>
          </a:r>
          <a:r>
            <a:rPr kumimoji="1" lang="en-US" altLang="ja-JP" sz="900">
              <a:latin typeface="ＭＳ ゴシック" panose="020B0609070205080204" pitchFamily="49" charset="-128"/>
              <a:ea typeface="ＭＳ ゴシック" panose="020B0609070205080204" pitchFamily="49" charset="-128"/>
            </a:rPr>
            <a:t>4900000007060                </a:t>
          </a:r>
        </a:p>
        <a:p>
          <a:r>
            <a:rPr kumimoji="1" lang="en-US" altLang="ja-JP" sz="900">
              <a:latin typeface="ＭＳ ゴシック" panose="020B0609070205080204" pitchFamily="49" charset="-128"/>
              <a:ea typeface="ＭＳ ゴシック" panose="020B0609070205080204" pitchFamily="49" charset="-128"/>
            </a:rPr>
            <a:t>         \95   2</a:t>
          </a:r>
          <a:r>
            <a:rPr kumimoji="1" lang="ja-JP" altLang="en-US" sz="900">
              <a:latin typeface="ＭＳ ゴシック" panose="020B0609070205080204" pitchFamily="49" charset="-128"/>
              <a:ea typeface="ＭＳ ゴシック" panose="020B0609070205080204" pitchFamily="49" charset="-128"/>
            </a:rPr>
            <a:t>個         </a:t>
          </a:r>
          <a:r>
            <a:rPr kumimoji="1" lang="en-US" altLang="ja-JP" sz="900">
              <a:latin typeface="ＭＳ ゴシック" panose="020B0609070205080204" pitchFamily="49" charset="-128"/>
              <a:ea typeface="ＭＳ ゴシック" panose="020B0609070205080204" pitchFamily="49" charset="-128"/>
            </a:rPr>
            <a:t>\190 </a:t>
          </a:r>
        </a:p>
        <a:p>
          <a:r>
            <a:rPr kumimoji="1" lang="en-US" altLang="ja-JP" sz="900">
              <a:latin typeface="ＭＳ ゴシック" panose="020B0609070205080204" pitchFamily="49" charset="-128"/>
              <a:ea typeface="ＭＳ ゴシック" panose="020B0609070205080204" pitchFamily="49" charset="-128"/>
            </a:rPr>
            <a:t>   07  </a:t>
          </a:r>
          <a:r>
            <a:rPr kumimoji="1" lang="ja-JP" altLang="en-US" sz="900">
              <a:latin typeface="ＭＳ ゴシック" panose="020B0609070205080204" pitchFamily="49" charset="-128"/>
              <a:ea typeface="ＭＳ ゴシック" panose="020B0609070205080204" pitchFamily="49" charset="-128"/>
            </a:rPr>
            <a:t>商品Ｃ                   </a:t>
          </a:r>
        </a:p>
        <a:p>
          <a:r>
            <a:rPr kumimoji="1" lang="ja-JP" altLang="en-US" sz="900">
              <a:latin typeface="ＭＳ ゴシック" panose="020B0609070205080204" pitchFamily="49" charset="-128"/>
              <a:ea typeface="ＭＳ ゴシック" panose="020B0609070205080204" pitchFamily="49" charset="-128"/>
            </a:rPr>
            <a:t>   </a:t>
          </a:r>
          <a:r>
            <a:rPr kumimoji="1" lang="en-US" altLang="ja-JP" sz="900">
              <a:latin typeface="ＭＳ ゴシック" panose="020B0609070205080204" pitchFamily="49" charset="-128"/>
              <a:ea typeface="ＭＳ ゴシック" panose="020B0609070205080204" pitchFamily="49" charset="-128"/>
            </a:rPr>
            <a:t>4900000007022                </a:t>
          </a:r>
        </a:p>
        <a:p>
          <a:r>
            <a:rPr kumimoji="1" lang="en-US" altLang="ja-JP" sz="900">
              <a:latin typeface="ＭＳ ゴシック" panose="020B0609070205080204" pitchFamily="49" charset="-128"/>
              <a:ea typeface="ＭＳ ゴシック" panose="020B0609070205080204" pitchFamily="49" charset="-128"/>
            </a:rPr>
            <a:t>        \100   2</a:t>
          </a:r>
          <a:r>
            <a:rPr kumimoji="1" lang="ja-JP" altLang="en-US" sz="900">
              <a:latin typeface="ＭＳ ゴシック" panose="020B0609070205080204" pitchFamily="49" charset="-128"/>
              <a:ea typeface="ＭＳ ゴシック" panose="020B0609070205080204" pitchFamily="49" charset="-128"/>
            </a:rPr>
            <a:t>個         </a:t>
          </a:r>
          <a:r>
            <a:rPr kumimoji="1" lang="en-US" altLang="ja-JP" sz="900">
              <a:latin typeface="ＭＳ ゴシック" panose="020B0609070205080204" pitchFamily="49" charset="-128"/>
              <a:ea typeface="ＭＳ ゴシック" panose="020B0609070205080204" pitchFamily="49" charset="-128"/>
            </a:rPr>
            <a:t>\200 </a:t>
          </a:r>
        </a:p>
        <a:p>
          <a:r>
            <a:rPr kumimoji="1" lang="en-US" altLang="ja-JP" sz="900">
              <a:latin typeface="ＭＳ ゴシック" panose="020B0609070205080204" pitchFamily="49" charset="-128"/>
              <a:ea typeface="ＭＳ ゴシック" panose="020B0609070205080204" pitchFamily="49" charset="-128"/>
            </a:rPr>
            <a:t>   01  </a:t>
          </a:r>
          <a:r>
            <a:rPr kumimoji="1" lang="ja-JP" altLang="en-US" sz="900">
              <a:latin typeface="ＭＳ ゴシック" panose="020B0609070205080204" pitchFamily="49" charset="-128"/>
              <a:ea typeface="ＭＳ ゴシック" panose="020B0609070205080204" pitchFamily="49" charset="-128"/>
            </a:rPr>
            <a:t>商品Ａ                   </a:t>
          </a:r>
        </a:p>
        <a:p>
          <a:r>
            <a:rPr kumimoji="1" lang="ja-JP" altLang="en-US" sz="900">
              <a:latin typeface="ＭＳ ゴシック" panose="020B0609070205080204" pitchFamily="49" charset="-128"/>
              <a:ea typeface="ＭＳ ゴシック" panose="020B0609070205080204" pitchFamily="49" charset="-128"/>
            </a:rPr>
            <a:t>   </a:t>
          </a:r>
          <a:r>
            <a:rPr kumimoji="1" lang="en-US" altLang="ja-JP" sz="900">
              <a:latin typeface="ＭＳ ゴシック" panose="020B0609070205080204" pitchFamily="49" charset="-128"/>
              <a:ea typeface="ＭＳ ゴシック" panose="020B0609070205080204" pitchFamily="49" charset="-128"/>
            </a:rPr>
            <a:t>4900000007015                </a:t>
          </a:r>
        </a:p>
        <a:p>
          <a:r>
            <a:rPr kumimoji="1" lang="en-US" altLang="ja-JP" sz="900">
              <a:latin typeface="ＭＳ ゴシック" panose="020B0609070205080204" pitchFamily="49" charset="-128"/>
              <a:ea typeface="ＭＳ ゴシック" panose="020B0609070205080204" pitchFamily="49" charset="-128"/>
            </a:rPr>
            <a:t>        \100   3</a:t>
          </a:r>
          <a:r>
            <a:rPr kumimoji="1" lang="ja-JP" altLang="en-US" sz="900">
              <a:latin typeface="ＭＳ ゴシック" panose="020B0609070205080204" pitchFamily="49" charset="-128"/>
              <a:ea typeface="ＭＳ ゴシック" panose="020B0609070205080204" pitchFamily="49" charset="-128"/>
            </a:rPr>
            <a:t>個         </a:t>
          </a:r>
          <a:r>
            <a:rPr kumimoji="1" lang="en-US" altLang="ja-JP" sz="900">
              <a:latin typeface="ＭＳ ゴシック" panose="020B0609070205080204" pitchFamily="49" charset="-128"/>
              <a:ea typeface="ＭＳ ゴシック" panose="020B0609070205080204" pitchFamily="49" charset="-128"/>
            </a:rPr>
            <a:t>\300 </a:t>
          </a:r>
        </a:p>
        <a:p>
          <a:r>
            <a:rPr kumimoji="1" lang="en-US" altLang="ja-JP" sz="900">
              <a:latin typeface="ＭＳ ゴシック" panose="020B0609070205080204" pitchFamily="49" charset="-128"/>
              <a:ea typeface="ＭＳ ゴシック" panose="020B0609070205080204" pitchFamily="49" charset="-128"/>
            </a:rPr>
            <a:t>   29</a:t>
          </a:r>
          <a:r>
            <a:rPr kumimoji="1" lang="ja-JP" altLang="en-US" sz="900">
              <a:latin typeface="ＭＳ ゴシック" panose="020B0609070205080204" pitchFamily="49" charset="-128"/>
              <a:ea typeface="ＭＳ ゴシック" panose="020B0609070205080204" pitchFamily="49" charset="-128"/>
            </a:rPr>
            <a:t>内商品Ｄ                  </a:t>
          </a:r>
          <a:r>
            <a:rPr kumimoji="1" lang="en-US" altLang="ja-JP" sz="900">
              <a:latin typeface="ＭＳ ゴシック" panose="020B0609070205080204" pitchFamily="49" charset="-128"/>
              <a:ea typeface="ＭＳ ゴシック" panose="020B0609070205080204" pitchFamily="49" charset="-128"/>
            </a:rPr>
            <a:t>J</a:t>
          </a:r>
        </a:p>
        <a:p>
          <a:r>
            <a:rPr kumimoji="1" lang="en-US" altLang="ja-JP" sz="900">
              <a:latin typeface="ＭＳ ゴシック" panose="020B0609070205080204" pitchFamily="49" charset="-128"/>
              <a:ea typeface="ＭＳ ゴシック" panose="020B0609070205080204" pitchFamily="49" charset="-128"/>
            </a:rPr>
            <a:t>   4900000007039                </a:t>
          </a:r>
        </a:p>
        <a:p>
          <a:r>
            <a:rPr kumimoji="1" lang="en-US" altLang="ja-JP" sz="900">
              <a:latin typeface="ＭＳ ゴシック" panose="020B0609070205080204" pitchFamily="49" charset="-128"/>
              <a:ea typeface="ＭＳ ゴシック" panose="020B0609070205080204" pitchFamily="49" charset="-128"/>
            </a:rPr>
            <a:t>        \100   2</a:t>
          </a:r>
          <a:r>
            <a:rPr kumimoji="1" lang="ja-JP" altLang="en-US" sz="900">
              <a:latin typeface="ＭＳ ゴシック" panose="020B0609070205080204" pitchFamily="49" charset="-128"/>
              <a:ea typeface="ＭＳ ゴシック" panose="020B0609070205080204" pitchFamily="49" charset="-128"/>
            </a:rPr>
            <a:t>個         </a:t>
          </a:r>
          <a:r>
            <a:rPr kumimoji="1" lang="en-US" altLang="ja-JP" sz="900">
              <a:latin typeface="ＭＳ ゴシック" panose="020B0609070205080204" pitchFamily="49" charset="-128"/>
              <a:ea typeface="ＭＳ ゴシック" panose="020B0609070205080204" pitchFamily="49" charset="-128"/>
            </a:rPr>
            <a:t>\200 </a:t>
          </a:r>
        </a:p>
        <a:p>
          <a:r>
            <a:rPr kumimoji="1" lang="en-US" altLang="ja-JP" sz="900">
              <a:latin typeface="ＭＳ ゴシック" panose="020B0609070205080204" pitchFamily="49" charset="-128"/>
              <a:ea typeface="ＭＳ ゴシック" panose="020B0609070205080204" pitchFamily="49" charset="-128"/>
            </a:rPr>
            <a:t>   29</a:t>
          </a:r>
          <a:r>
            <a:rPr kumimoji="1" lang="ja-JP" altLang="en-US" sz="900">
              <a:latin typeface="ＭＳ ゴシック" panose="020B0609070205080204" pitchFamily="49" charset="-128"/>
              <a:ea typeface="ＭＳ ゴシック" panose="020B0609070205080204" pitchFamily="49" charset="-128"/>
            </a:rPr>
            <a:t>内商品Ｅ                  </a:t>
          </a:r>
          <a:r>
            <a:rPr kumimoji="1" lang="en-US" altLang="ja-JP" sz="900">
              <a:latin typeface="ＭＳ ゴシック" panose="020B0609070205080204" pitchFamily="49" charset="-128"/>
              <a:ea typeface="ＭＳ ゴシック" panose="020B0609070205080204" pitchFamily="49" charset="-128"/>
            </a:rPr>
            <a:t>J</a:t>
          </a:r>
        </a:p>
        <a:p>
          <a:r>
            <a:rPr kumimoji="1" lang="en-US" altLang="ja-JP" sz="900">
              <a:latin typeface="ＭＳ ゴシック" panose="020B0609070205080204" pitchFamily="49" charset="-128"/>
              <a:ea typeface="ＭＳ ゴシック" panose="020B0609070205080204" pitchFamily="49" charset="-128"/>
            </a:rPr>
            <a:t>   4900000007084                </a:t>
          </a:r>
        </a:p>
        <a:p>
          <a:r>
            <a:rPr kumimoji="1" lang="en-US" altLang="ja-JP" sz="900">
              <a:latin typeface="ＭＳ ゴシック" panose="020B0609070205080204" pitchFamily="49" charset="-128"/>
              <a:ea typeface="ＭＳ ゴシック" panose="020B0609070205080204" pitchFamily="49" charset="-128"/>
            </a:rPr>
            <a:t>         \95   2</a:t>
          </a:r>
          <a:r>
            <a:rPr kumimoji="1" lang="ja-JP" altLang="en-US" sz="900">
              <a:latin typeface="ＭＳ ゴシック" panose="020B0609070205080204" pitchFamily="49" charset="-128"/>
              <a:ea typeface="ＭＳ ゴシック" panose="020B0609070205080204" pitchFamily="49" charset="-128"/>
            </a:rPr>
            <a:t>個         </a:t>
          </a:r>
          <a:r>
            <a:rPr kumimoji="1" lang="en-US" altLang="ja-JP" sz="900">
              <a:latin typeface="ＭＳ ゴシック" panose="020B0609070205080204" pitchFamily="49" charset="-128"/>
              <a:ea typeface="ＭＳ ゴシック" panose="020B0609070205080204" pitchFamily="49" charset="-128"/>
            </a:rPr>
            <a:t>\190 </a:t>
          </a:r>
        </a:p>
        <a:p>
          <a:r>
            <a:rPr kumimoji="1" lang="en-US" altLang="ja-JP" sz="900">
              <a:latin typeface="ＭＳ ゴシック" panose="020B0609070205080204" pitchFamily="49" charset="-128"/>
              <a:ea typeface="ＭＳ ゴシック" panose="020B0609070205080204" pitchFamily="49" charset="-128"/>
            </a:rPr>
            <a:t>   29</a:t>
          </a:r>
          <a:r>
            <a:rPr kumimoji="1" lang="ja-JP" altLang="en-US" sz="900">
              <a:latin typeface="ＭＳ ゴシック" panose="020B0609070205080204" pitchFamily="49" charset="-128"/>
              <a:ea typeface="ＭＳ ゴシック" panose="020B0609070205080204" pitchFamily="49" charset="-128"/>
            </a:rPr>
            <a:t>内商品Ｆ                  </a:t>
          </a:r>
          <a:r>
            <a:rPr kumimoji="1" lang="en-US" altLang="ja-JP" sz="900">
              <a:latin typeface="ＭＳ ゴシック" panose="020B0609070205080204" pitchFamily="49" charset="-128"/>
              <a:ea typeface="ＭＳ ゴシック" panose="020B0609070205080204" pitchFamily="49" charset="-128"/>
            </a:rPr>
            <a:t>J</a:t>
          </a:r>
        </a:p>
        <a:p>
          <a:r>
            <a:rPr kumimoji="1" lang="en-US" altLang="ja-JP" sz="900">
              <a:latin typeface="ＭＳ ゴシック" panose="020B0609070205080204" pitchFamily="49" charset="-128"/>
              <a:ea typeface="ＭＳ ゴシック" panose="020B0609070205080204" pitchFamily="49" charset="-128"/>
            </a:rPr>
            <a:t>   4900000007046                </a:t>
          </a:r>
        </a:p>
        <a:p>
          <a:r>
            <a:rPr kumimoji="1" lang="en-US" altLang="ja-JP" sz="900">
              <a:latin typeface="ＭＳ ゴシック" panose="020B0609070205080204" pitchFamily="49" charset="-128"/>
              <a:ea typeface="ＭＳ ゴシック" panose="020B0609070205080204" pitchFamily="49" charset="-128"/>
            </a:rPr>
            <a:t>        \100   2</a:t>
          </a:r>
          <a:r>
            <a:rPr kumimoji="1" lang="ja-JP" altLang="en-US" sz="900">
              <a:latin typeface="ＭＳ ゴシック" panose="020B0609070205080204" pitchFamily="49" charset="-128"/>
              <a:ea typeface="ＭＳ ゴシック" panose="020B0609070205080204" pitchFamily="49" charset="-128"/>
            </a:rPr>
            <a:t>個         </a:t>
          </a:r>
          <a:r>
            <a:rPr kumimoji="1" lang="en-US" altLang="ja-JP" sz="900">
              <a:latin typeface="ＭＳ ゴシック" panose="020B0609070205080204" pitchFamily="49" charset="-128"/>
              <a:ea typeface="ＭＳ ゴシック" panose="020B0609070205080204" pitchFamily="49" charset="-128"/>
            </a:rPr>
            <a:t>\200 </a:t>
          </a:r>
        </a:p>
        <a:p>
          <a:r>
            <a:rPr kumimoji="1" lang="en-US" altLang="ja-JP" sz="900">
              <a:latin typeface="ＭＳ ゴシック" panose="020B0609070205080204" pitchFamily="49" charset="-128"/>
              <a:ea typeface="ＭＳ ゴシック" panose="020B0609070205080204" pitchFamily="49" charset="-128"/>
            </a:rPr>
            <a:t>   29</a:t>
          </a:r>
          <a:r>
            <a:rPr kumimoji="1" lang="ja-JP" altLang="en-US" sz="900">
              <a:latin typeface="ＭＳ ゴシック" panose="020B0609070205080204" pitchFamily="49" charset="-128"/>
              <a:ea typeface="ＭＳ ゴシック" panose="020B0609070205080204" pitchFamily="49" charset="-128"/>
            </a:rPr>
            <a:t>内商品Ｄ                  </a:t>
          </a:r>
          <a:r>
            <a:rPr kumimoji="1" lang="en-US" altLang="ja-JP" sz="900">
              <a:latin typeface="ＭＳ ゴシック" panose="020B0609070205080204" pitchFamily="49" charset="-128"/>
              <a:ea typeface="ＭＳ ゴシック" panose="020B0609070205080204" pitchFamily="49" charset="-128"/>
            </a:rPr>
            <a:t>J</a:t>
          </a:r>
        </a:p>
        <a:p>
          <a:r>
            <a:rPr kumimoji="1" lang="en-US" altLang="ja-JP" sz="900">
              <a:latin typeface="ＭＳ ゴシック" panose="020B0609070205080204" pitchFamily="49" charset="-128"/>
              <a:ea typeface="ＭＳ ゴシック" panose="020B0609070205080204" pitchFamily="49" charset="-128"/>
            </a:rPr>
            <a:t>   4900000007039                </a:t>
          </a:r>
        </a:p>
        <a:p>
          <a:r>
            <a:rPr kumimoji="1" lang="en-US" altLang="ja-JP" sz="900">
              <a:latin typeface="ＭＳ ゴシック" panose="020B0609070205080204" pitchFamily="49" charset="-128"/>
              <a:ea typeface="ＭＳ ゴシック" panose="020B0609070205080204" pitchFamily="49" charset="-128"/>
            </a:rPr>
            <a:t>        \100   3</a:t>
          </a:r>
          <a:r>
            <a:rPr kumimoji="1" lang="ja-JP" altLang="en-US" sz="900">
              <a:latin typeface="ＭＳ ゴシック" panose="020B0609070205080204" pitchFamily="49" charset="-128"/>
              <a:ea typeface="ＭＳ ゴシック" panose="020B0609070205080204" pitchFamily="49" charset="-128"/>
            </a:rPr>
            <a:t>個         </a:t>
          </a:r>
          <a:r>
            <a:rPr kumimoji="1" lang="en-US" altLang="ja-JP" sz="900">
              <a:latin typeface="ＭＳ ゴシック" panose="020B0609070205080204" pitchFamily="49" charset="-128"/>
              <a:ea typeface="ＭＳ ゴシック" panose="020B0609070205080204" pitchFamily="49" charset="-128"/>
            </a:rPr>
            <a:t>\300 </a:t>
          </a:r>
        </a:p>
        <a:p>
          <a:r>
            <a:rPr kumimoji="1" lang="en-US" altLang="ja-JP" sz="900">
              <a:latin typeface="ＭＳ ゴシック" panose="020B0609070205080204" pitchFamily="49" charset="-128"/>
              <a:ea typeface="ＭＳ ゴシック" panose="020B0609070205080204" pitchFamily="49" charset="-128"/>
            </a:rPr>
            <a:t>   33</a:t>
          </a:r>
          <a:r>
            <a:rPr kumimoji="1" lang="ja-JP" altLang="en-US" sz="900">
              <a:latin typeface="ＭＳ ゴシック" panose="020B0609070205080204" pitchFamily="49" charset="-128"/>
              <a:ea typeface="ＭＳ ゴシック" panose="020B0609070205080204" pitchFamily="49" charset="-128"/>
            </a:rPr>
            <a:t>非商品Ｇ                  </a:t>
          </a:r>
          <a:r>
            <a:rPr kumimoji="1" lang="en-US" altLang="ja-JP" sz="900">
              <a:latin typeface="ＭＳ ゴシック" panose="020B0609070205080204" pitchFamily="49" charset="-128"/>
              <a:ea typeface="ＭＳ ゴシック" panose="020B0609070205080204" pitchFamily="49" charset="-128"/>
            </a:rPr>
            <a:t>J</a:t>
          </a:r>
        </a:p>
        <a:p>
          <a:r>
            <a:rPr kumimoji="1" lang="en-US" altLang="ja-JP" sz="900">
              <a:latin typeface="ＭＳ ゴシック" panose="020B0609070205080204" pitchFamily="49" charset="-128"/>
              <a:ea typeface="ＭＳ ゴシック" panose="020B0609070205080204" pitchFamily="49" charset="-128"/>
            </a:rPr>
            <a:t>   4900000007053                </a:t>
          </a:r>
        </a:p>
        <a:p>
          <a:r>
            <a:rPr kumimoji="1" lang="en-US" altLang="ja-JP" sz="900">
              <a:latin typeface="ＭＳ ゴシック" panose="020B0609070205080204" pitchFamily="49" charset="-128"/>
              <a:ea typeface="ＭＳ ゴシック" panose="020B0609070205080204" pitchFamily="49" charset="-128"/>
            </a:rPr>
            <a:t>        \100   2</a:t>
          </a:r>
          <a:r>
            <a:rPr kumimoji="1" lang="ja-JP" altLang="en-US" sz="900">
              <a:latin typeface="ＭＳ ゴシック" panose="020B0609070205080204" pitchFamily="49" charset="-128"/>
              <a:ea typeface="ＭＳ ゴシック" panose="020B0609070205080204" pitchFamily="49" charset="-128"/>
            </a:rPr>
            <a:t>個         </a:t>
          </a:r>
          <a:r>
            <a:rPr kumimoji="1" lang="en-US" altLang="ja-JP" sz="900">
              <a:latin typeface="ＭＳ ゴシック" panose="020B0609070205080204" pitchFamily="49" charset="-128"/>
              <a:ea typeface="ＭＳ ゴシック" panose="020B0609070205080204" pitchFamily="49" charset="-128"/>
            </a:rPr>
            <a:t>\200 </a:t>
          </a:r>
        </a:p>
        <a:p>
          <a:r>
            <a:rPr kumimoji="1" lang="en-US" altLang="ja-JP" sz="900">
              <a:latin typeface="ＭＳ ゴシック" panose="020B0609070205080204" pitchFamily="49" charset="-128"/>
              <a:ea typeface="ＭＳ ゴシック" panose="020B0609070205080204" pitchFamily="49" charset="-128"/>
            </a:rPr>
            <a:t>   33</a:t>
          </a:r>
          <a:r>
            <a:rPr kumimoji="1" lang="ja-JP" altLang="en-US" sz="900">
              <a:latin typeface="ＭＳ ゴシック" panose="020B0609070205080204" pitchFamily="49" charset="-128"/>
              <a:ea typeface="ＭＳ ゴシック" panose="020B0609070205080204" pitchFamily="49" charset="-128"/>
            </a:rPr>
            <a:t>非商品Ｈ                  </a:t>
          </a:r>
          <a:r>
            <a:rPr kumimoji="1" lang="en-US" altLang="ja-JP" sz="900">
              <a:latin typeface="ＭＳ ゴシック" panose="020B0609070205080204" pitchFamily="49" charset="-128"/>
              <a:ea typeface="ＭＳ ゴシック" panose="020B0609070205080204" pitchFamily="49" charset="-128"/>
            </a:rPr>
            <a:t>J</a:t>
          </a:r>
        </a:p>
        <a:p>
          <a:r>
            <a:rPr kumimoji="1" lang="en-US" altLang="ja-JP" sz="900">
              <a:latin typeface="ＭＳ ゴシック" panose="020B0609070205080204" pitchFamily="49" charset="-128"/>
              <a:ea typeface="ＭＳ ゴシック" panose="020B0609070205080204" pitchFamily="49" charset="-128"/>
            </a:rPr>
            <a:t>   4900000007107                </a:t>
          </a:r>
        </a:p>
        <a:p>
          <a:r>
            <a:rPr kumimoji="1" lang="en-US" altLang="ja-JP" sz="900">
              <a:latin typeface="ＭＳ ゴシック" panose="020B0609070205080204" pitchFamily="49" charset="-128"/>
              <a:ea typeface="ＭＳ ゴシック" panose="020B0609070205080204" pitchFamily="49" charset="-128"/>
            </a:rPr>
            <a:t>         \95   3</a:t>
          </a:r>
          <a:r>
            <a:rPr kumimoji="1" lang="ja-JP" altLang="en-US" sz="900">
              <a:latin typeface="ＭＳ ゴシック" panose="020B0609070205080204" pitchFamily="49" charset="-128"/>
              <a:ea typeface="ＭＳ ゴシック" panose="020B0609070205080204" pitchFamily="49" charset="-128"/>
            </a:rPr>
            <a:t>個         </a:t>
          </a:r>
          <a:r>
            <a:rPr kumimoji="1" lang="en-US" altLang="ja-JP" sz="900">
              <a:latin typeface="ＭＳ ゴシック" panose="020B0609070205080204" pitchFamily="49" charset="-128"/>
              <a:ea typeface="ＭＳ ゴシック" panose="020B0609070205080204" pitchFamily="49" charset="-128"/>
            </a:rPr>
            <a:t>\285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小計      </a:t>
          </a:r>
          <a:r>
            <a:rPr kumimoji="1" lang="en-US" altLang="ja-JP" sz="900">
              <a:latin typeface="ＭＳ ゴシック" panose="020B0609070205080204" pitchFamily="49" charset="-128"/>
              <a:ea typeface="ＭＳ ゴシック" panose="020B0609070205080204" pitchFamily="49" charset="-128"/>
            </a:rPr>
            <a:t>23</a:t>
          </a:r>
          <a:r>
            <a:rPr kumimoji="1" lang="ja-JP" altLang="en-US" sz="900">
              <a:latin typeface="ＭＳ ゴシック" panose="020B0609070205080204" pitchFamily="49" charset="-128"/>
              <a:ea typeface="ＭＳ ゴシック" panose="020B0609070205080204" pitchFamily="49" charset="-128"/>
            </a:rPr>
            <a:t>点          </a:t>
          </a:r>
          <a:r>
            <a:rPr kumimoji="1" lang="en-US" altLang="ja-JP" sz="900">
              <a:latin typeface="ＭＳ ゴシック" panose="020B0609070205080204" pitchFamily="49" charset="-128"/>
              <a:ea typeface="ＭＳ ゴシック" panose="020B0609070205080204" pitchFamily="49" charset="-128"/>
            </a:rPr>
            <a:t>\2,265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外税 </a:t>
          </a:r>
          <a:r>
            <a:rPr kumimoji="1" lang="en-US" altLang="ja-JP" sz="900">
              <a:latin typeface="ＭＳ ゴシック" panose="020B0609070205080204" pitchFamily="49" charset="-128"/>
              <a:ea typeface="ＭＳ ゴシック" panose="020B0609070205080204" pitchFamily="49" charset="-128"/>
            </a:rPr>
            <a:t>8.0%</a:t>
          </a:r>
          <a:r>
            <a:rPr kumimoji="1" lang="ja-JP" altLang="en-US" sz="900">
              <a:latin typeface="ＭＳ ゴシック" panose="020B0609070205080204" pitchFamily="49" charset="-128"/>
              <a:ea typeface="ＭＳ ゴシック" panose="020B0609070205080204" pitchFamily="49" charset="-128"/>
            </a:rPr>
            <a:t>対象額         </a:t>
          </a:r>
          <a:r>
            <a:rPr kumimoji="1" lang="en-US" altLang="ja-JP" sz="900">
              <a:latin typeface="ＭＳ ゴシック" panose="020B0609070205080204" pitchFamily="49" charset="-128"/>
              <a:ea typeface="ＭＳ ゴシック" panose="020B0609070205080204" pitchFamily="49" charset="-128"/>
            </a:rPr>
            <a:t>\390)</a:t>
          </a:r>
        </a:p>
        <a:p>
          <a:r>
            <a:rPr kumimoji="1" lang="en-US" altLang="ja-JP" sz="900">
              <a:latin typeface="ＭＳ ゴシック" panose="020B0609070205080204" pitchFamily="49" charset="-128"/>
              <a:ea typeface="ＭＳ ゴシック" panose="020B0609070205080204" pitchFamily="49" charset="-128"/>
            </a:rPr>
            <a:t>      8.0% </a:t>
          </a:r>
          <a:r>
            <a:rPr kumimoji="1" lang="ja-JP" altLang="en-US" sz="900">
              <a:latin typeface="ＭＳ ゴシック" panose="020B0609070205080204" pitchFamily="49" charset="-128"/>
              <a:ea typeface="ＭＳ ゴシック" panose="020B0609070205080204" pitchFamily="49" charset="-128"/>
            </a:rPr>
            <a:t>消費税等         </a:t>
          </a:r>
          <a:r>
            <a:rPr kumimoji="1" lang="en-US" altLang="ja-JP" sz="900">
              <a:latin typeface="ＭＳ ゴシック" panose="020B0609070205080204" pitchFamily="49" charset="-128"/>
              <a:ea typeface="ＭＳ ゴシック" panose="020B0609070205080204" pitchFamily="49" charset="-128"/>
            </a:rPr>
            <a:t>\31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外税</a:t>
          </a:r>
          <a:r>
            <a:rPr kumimoji="1" lang="en-US" altLang="ja-JP" sz="900">
              <a:latin typeface="ＭＳ ゴシック" panose="020B0609070205080204" pitchFamily="49" charset="-128"/>
              <a:ea typeface="ＭＳ ゴシック" panose="020B0609070205080204" pitchFamily="49" charset="-128"/>
            </a:rPr>
            <a:t>10.0%</a:t>
          </a:r>
          <a:r>
            <a:rPr kumimoji="1" lang="ja-JP" altLang="en-US" sz="900">
              <a:latin typeface="ＭＳ ゴシック" panose="020B0609070205080204" pitchFamily="49" charset="-128"/>
              <a:ea typeface="ＭＳ ゴシック" panose="020B0609070205080204" pitchFamily="49" charset="-128"/>
            </a:rPr>
            <a:t>対象額         </a:t>
          </a:r>
          <a:r>
            <a:rPr kumimoji="1" lang="en-US" altLang="ja-JP" sz="900">
              <a:latin typeface="ＭＳ ゴシック" panose="020B0609070205080204" pitchFamily="49" charset="-128"/>
              <a:ea typeface="ＭＳ ゴシック" panose="020B0609070205080204" pitchFamily="49" charset="-128"/>
            </a:rPr>
            <a:t>\500)</a:t>
          </a:r>
        </a:p>
        <a:p>
          <a:r>
            <a:rPr kumimoji="1" lang="en-US" altLang="ja-JP" sz="900">
              <a:latin typeface="ＭＳ ゴシック" panose="020B0609070205080204" pitchFamily="49" charset="-128"/>
              <a:ea typeface="ＭＳ ゴシック" panose="020B0609070205080204" pitchFamily="49" charset="-128"/>
            </a:rPr>
            <a:t>     10.0% </a:t>
          </a:r>
          <a:r>
            <a:rPr kumimoji="1" lang="ja-JP" altLang="en-US" sz="900">
              <a:latin typeface="ＭＳ ゴシック" panose="020B0609070205080204" pitchFamily="49" charset="-128"/>
              <a:ea typeface="ＭＳ ゴシック" panose="020B0609070205080204" pitchFamily="49" charset="-128"/>
            </a:rPr>
            <a:t>消費税等         </a:t>
          </a:r>
          <a:r>
            <a:rPr kumimoji="1" lang="en-US" altLang="ja-JP" sz="900">
              <a:latin typeface="ＭＳ ゴシック" panose="020B0609070205080204" pitchFamily="49" charset="-128"/>
              <a:ea typeface="ＭＳ ゴシック" panose="020B0609070205080204" pitchFamily="49" charset="-128"/>
            </a:rPr>
            <a:t>\50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外税額計                   </a:t>
          </a:r>
          <a:r>
            <a:rPr kumimoji="1" lang="en-US" altLang="ja-JP" sz="900">
              <a:latin typeface="ＭＳ ゴシック" panose="020B0609070205080204" pitchFamily="49" charset="-128"/>
              <a:ea typeface="ＭＳ ゴシック" panose="020B0609070205080204" pitchFamily="49" charset="-128"/>
            </a:rPr>
            <a:t>\81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内税 </a:t>
          </a:r>
          <a:r>
            <a:rPr kumimoji="1" lang="en-US" altLang="ja-JP" sz="900">
              <a:latin typeface="ＭＳ ゴシック" panose="020B0609070205080204" pitchFamily="49" charset="-128"/>
              <a:ea typeface="ＭＳ ゴシック" panose="020B0609070205080204" pitchFamily="49" charset="-128"/>
            </a:rPr>
            <a:t>8.0%</a:t>
          </a:r>
          <a:r>
            <a:rPr kumimoji="1" lang="ja-JP" altLang="en-US" sz="900">
              <a:latin typeface="ＭＳ ゴシック" panose="020B0609070205080204" pitchFamily="49" charset="-128"/>
              <a:ea typeface="ＭＳ ゴシック" panose="020B0609070205080204" pitchFamily="49" charset="-128"/>
            </a:rPr>
            <a:t>対象額         </a:t>
          </a:r>
          <a:r>
            <a:rPr kumimoji="1" lang="en-US" altLang="ja-JP" sz="900">
              <a:latin typeface="ＭＳ ゴシック" panose="020B0609070205080204" pitchFamily="49" charset="-128"/>
              <a:ea typeface="ＭＳ ゴシック" panose="020B0609070205080204" pitchFamily="49" charset="-128"/>
            </a:rPr>
            <a:t>\390)</a:t>
          </a:r>
        </a:p>
        <a:p>
          <a:r>
            <a:rPr kumimoji="1" lang="en-US" altLang="ja-JP" sz="900">
              <a:latin typeface="ＭＳ ゴシック" panose="020B0609070205080204" pitchFamily="49" charset="-128"/>
              <a:ea typeface="ＭＳ ゴシック" panose="020B0609070205080204" pitchFamily="49" charset="-128"/>
            </a:rPr>
            <a:t>    ( 8.0% </a:t>
          </a:r>
          <a:r>
            <a:rPr kumimoji="1" lang="ja-JP" altLang="en-US" sz="900">
              <a:latin typeface="ＭＳ ゴシック" panose="020B0609070205080204" pitchFamily="49" charset="-128"/>
              <a:ea typeface="ＭＳ ゴシック" panose="020B0609070205080204" pitchFamily="49" charset="-128"/>
            </a:rPr>
            <a:t>消費税等         </a:t>
          </a:r>
          <a:r>
            <a:rPr kumimoji="1" lang="en-US" altLang="ja-JP" sz="900">
              <a:latin typeface="ＭＳ ゴシック" panose="020B0609070205080204" pitchFamily="49" charset="-128"/>
              <a:ea typeface="ＭＳ ゴシック" panose="020B0609070205080204" pitchFamily="49" charset="-128"/>
            </a:rPr>
            <a:t>\29)</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内税</a:t>
          </a:r>
          <a:r>
            <a:rPr kumimoji="1" lang="en-US" altLang="ja-JP" sz="900">
              <a:latin typeface="ＭＳ ゴシック" panose="020B0609070205080204" pitchFamily="49" charset="-128"/>
              <a:ea typeface="ＭＳ ゴシック" panose="020B0609070205080204" pitchFamily="49" charset="-128"/>
            </a:rPr>
            <a:t>10.0%</a:t>
          </a:r>
          <a:r>
            <a:rPr kumimoji="1" lang="ja-JP" altLang="en-US" sz="900">
              <a:latin typeface="ＭＳ ゴシック" panose="020B0609070205080204" pitchFamily="49" charset="-128"/>
              <a:ea typeface="ＭＳ ゴシック" panose="020B0609070205080204" pitchFamily="49" charset="-128"/>
            </a:rPr>
            <a:t>対象額         </a:t>
          </a:r>
          <a:r>
            <a:rPr kumimoji="1" lang="en-US" altLang="ja-JP" sz="900">
              <a:latin typeface="ＭＳ ゴシック" panose="020B0609070205080204" pitchFamily="49" charset="-128"/>
              <a:ea typeface="ＭＳ ゴシック" panose="020B0609070205080204" pitchFamily="49" charset="-128"/>
            </a:rPr>
            <a:t>\500)</a:t>
          </a:r>
        </a:p>
        <a:p>
          <a:r>
            <a:rPr kumimoji="1" lang="en-US" altLang="ja-JP" sz="900">
              <a:latin typeface="ＭＳ ゴシック" panose="020B0609070205080204" pitchFamily="49" charset="-128"/>
              <a:ea typeface="ＭＳ ゴシック" panose="020B0609070205080204" pitchFamily="49" charset="-128"/>
            </a:rPr>
            <a:t>    (10.0% </a:t>
          </a:r>
          <a:r>
            <a:rPr kumimoji="1" lang="ja-JP" altLang="en-US" sz="900">
              <a:latin typeface="ＭＳ ゴシック" panose="020B0609070205080204" pitchFamily="49" charset="-128"/>
              <a:ea typeface="ＭＳ ゴシック" panose="020B0609070205080204" pitchFamily="49" charset="-128"/>
            </a:rPr>
            <a:t>消費税等         </a:t>
          </a:r>
          <a:r>
            <a:rPr kumimoji="1" lang="en-US" altLang="ja-JP" sz="900">
              <a:latin typeface="ＭＳ ゴシック" panose="020B0609070205080204" pitchFamily="49" charset="-128"/>
              <a:ea typeface="ＭＳ ゴシック" panose="020B0609070205080204" pitchFamily="49" charset="-128"/>
            </a:rPr>
            <a:t>\45)</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内税額計                   </a:t>
          </a:r>
          <a:r>
            <a:rPr kumimoji="1" lang="en-US" altLang="ja-JP" sz="900">
              <a:latin typeface="ＭＳ ゴシック" panose="020B0609070205080204" pitchFamily="49" charset="-128"/>
              <a:ea typeface="ＭＳ ゴシック" panose="020B0609070205080204" pitchFamily="49" charset="-128"/>
            </a:rPr>
            <a:t>\74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非課税対象額            </a:t>
          </a:r>
          <a:r>
            <a:rPr kumimoji="1" lang="en-US" altLang="ja-JP" sz="900">
              <a:latin typeface="ＭＳ ゴシック" panose="020B0609070205080204" pitchFamily="49" charset="-128"/>
              <a:ea typeface="ＭＳ ゴシック" panose="020B0609070205080204" pitchFamily="49" charset="-128"/>
            </a:rPr>
            <a:t>\485)</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税込小計                </a:t>
          </a:r>
          <a:r>
            <a:rPr kumimoji="1" lang="en-US" altLang="ja-JP" sz="900">
              <a:latin typeface="ＭＳ ゴシック" panose="020B0609070205080204" pitchFamily="49" charset="-128"/>
              <a:ea typeface="ＭＳ ゴシック" panose="020B0609070205080204" pitchFamily="49" charset="-128"/>
            </a:rPr>
            <a:t>\2,346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税込 </a:t>
          </a:r>
          <a:r>
            <a:rPr kumimoji="1" lang="en-US" altLang="ja-JP" sz="900">
              <a:latin typeface="ＭＳ ゴシック" panose="020B0609070205080204" pitchFamily="49" charset="-128"/>
              <a:ea typeface="ＭＳ ゴシック" panose="020B0609070205080204" pitchFamily="49" charset="-128"/>
            </a:rPr>
            <a:t>8.0%</a:t>
          </a:r>
          <a:r>
            <a:rPr kumimoji="1" lang="ja-JP" altLang="en-US" sz="900">
              <a:latin typeface="ＭＳ ゴシック" panose="020B0609070205080204" pitchFamily="49" charset="-128"/>
              <a:ea typeface="ＭＳ ゴシック" panose="020B0609070205080204" pitchFamily="49" charset="-128"/>
            </a:rPr>
            <a:t>対象額         </a:t>
          </a:r>
          <a:r>
            <a:rPr kumimoji="1" lang="en-US" altLang="ja-JP" sz="900">
              <a:latin typeface="ＭＳ ゴシック" panose="020B0609070205080204" pitchFamily="49" charset="-128"/>
              <a:ea typeface="ＭＳ ゴシック" panose="020B0609070205080204" pitchFamily="49" charset="-128"/>
            </a:rPr>
            <a:t>\811)</a:t>
          </a:r>
        </a:p>
        <a:p>
          <a:r>
            <a:rPr kumimoji="1" lang="en-US" altLang="ja-JP" sz="900">
              <a:latin typeface="ＭＳ ゴシック" panose="020B0609070205080204" pitchFamily="49" charset="-128"/>
              <a:ea typeface="ＭＳ ゴシック" panose="020B0609070205080204" pitchFamily="49" charset="-128"/>
            </a:rPr>
            <a:t>      8.0% </a:t>
          </a:r>
          <a:r>
            <a:rPr kumimoji="1" lang="ja-JP" altLang="en-US" sz="900">
              <a:latin typeface="ＭＳ ゴシック" panose="020B0609070205080204" pitchFamily="49" charset="-128"/>
              <a:ea typeface="ＭＳ ゴシック" panose="020B0609070205080204" pitchFamily="49" charset="-128"/>
            </a:rPr>
            <a:t>消費税等         </a:t>
          </a:r>
          <a:r>
            <a:rPr kumimoji="1" lang="en-US" altLang="ja-JP" sz="900">
              <a:latin typeface="ＭＳ ゴシック" panose="020B0609070205080204" pitchFamily="49" charset="-128"/>
              <a:ea typeface="ＭＳ ゴシック" panose="020B0609070205080204" pitchFamily="49" charset="-128"/>
            </a:rPr>
            <a:t>\60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税込</a:t>
          </a:r>
          <a:r>
            <a:rPr kumimoji="1" lang="en-US" altLang="ja-JP" sz="900">
              <a:latin typeface="ＭＳ ゴシック" panose="020B0609070205080204" pitchFamily="49" charset="-128"/>
              <a:ea typeface="ＭＳ ゴシック" panose="020B0609070205080204" pitchFamily="49" charset="-128"/>
            </a:rPr>
            <a:t>10.0%</a:t>
          </a:r>
          <a:r>
            <a:rPr kumimoji="1" lang="ja-JP" altLang="en-US" sz="900">
              <a:latin typeface="ＭＳ ゴシック" panose="020B0609070205080204" pitchFamily="49" charset="-128"/>
              <a:ea typeface="ＭＳ ゴシック" panose="020B0609070205080204" pitchFamily="49" charset="-128"/>
            </a:rPr>
            <a:t>対象額       </a:t>
          </a:r>
          <a:r>
            <a:rPr kumimoji="1" lang="en-US" altLang="ja-JP" sz="900">
              <a:latin typeface="ＭＳ ゴシック" panose="020B0609070205080204" pitchFamily="49" charset="-128"/>
              <a:ea typeface="ＭＳ ゴシック" panose="020B0609070205080204" pitchFamily="49" charset="-128"/>
            </a:rPr>
            <a:t>\1,050)</a:t>
          </a:r>
        </a:p>
        <a:p>
          <a:r>
            <a:rPr kumimoji="1" lang="en-US" altLang="ja-JP" sz="900">
              <a:latin typeface="ＭＳ ゴシック" panose="020B0609070205080204" pitchFamily="49" charset="-128"/>
              <a:ea typeface="ＭＳ ゴシック" panose="020B0609070205080204" pitchFamily="49" charset="-128"/>
            </a:rPr>
            <a:t>     10.0% </a:t>
          </a:r>
          <a:r>
            <a:rPr kumimoji="1" lang="ja-JP" altLang="en-US" sz="900">
              <a:latin typeface="ＭＳ ゴシック" panose="020B0609070205080204" pitchFamily="49" charset="-128"/>
              <a:ea typeface="ＭＳ ゴシック" panose="020B0609070205080204" pitchFamily="49" charset="-128"/>
            </a:rPr>
            <a:t>消費税等         </a:t>
          </a:r>
          <a:r>
            <a:rPr kumimoji="1" lang="en-US" altLang="ja-JP" sz="900">
              <a:latin typeface="ＭＳ ゴシック" panose="020B0609070205080204" pitchFamily="49" charset="-128"/>
              <a:ea typeface="ＭＳ ゴシック" panose="020B0609070205080204" pitchFamily="49" charset="-128"/>
            </a:rPr>
            <a:t>\95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税額計                    </a:t>
          </a:r>
          <a:r>
            <a:rPr kumimoji="1" lang="en-US" altLang="ja-JP" sz="900">
              <a:latin typeface="ＭＳ ゴシック" panose="020B0609070205080204" pitchFamily="49" charset="-128"/>
              <a:ea typeface="ＭＳ ゴシック" panose="020B0609070205080204" pitchFamily="49" charset="-128"/>
            </a:rPr>
            <a:t>\155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非課税対象額            </a:t>
          </a:r>
          <a:r>
            <a:rPr kumimoji="1" lang="en-US" altLang="ja-JP" sz="900">
              <a:latin typeface="ＭＳ ゴシック" panose="020B0609070205080204" pitchFamily="49" charset="-128"/>
              <a:ea typeface="ＭＳ ゴシック" panose="020B0609070205080204" pitchFamily="49" charset="-128"/>
            </a:rPr>
            <a:t>\485)</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a:t>
          </a:r>
          <a:r>
            <a:rPr kumimoji="1" lang="en-US" altLang="ja-JP" sz="900">
              <a:latin typeface="ＭＳ ゴシック" panose="020B0609070205080204" pitchFamily="49" charset="-128"/>
              <a:ea typeface="ＭＳ ゴシック" panose="020B0609070205080204" pitchFamily="49" charset="-128"/>
            </a:rPr>
            <a:t>x</a:t>
          </a:r>
          <a:r>
            <a:rPr kumimoji="1" lang="ja-JP" altLang="en-US" sz="900">
              <a:latin typeface="ＭＳ ゴシック" panose="020B0609070205080204" pitchFamily="49" charset="-128"/>
              <a:ea typeface="ＭＳ ゴシック" panose="020B0609070205080204" pitchFamily="49" charset="-128"/>
            </a:rPr>
            <a:t>」は軽減税率対象商品です    </a:t>
          </a:r>
        </a:p>
        <a:p>
          <a:r>
            <a:rPr kumimoji="1" lang="ja-JP" altLang="en-US" sz="900">
              <a:latin typeface="ＭＳ ゴシック" panose="020B0609070205080204" pitchFamily="49" charset="-128"/>
              <a:ea typeface="ＭＳ ゴシック" panose="020B0609070205080204" pitchFamily="49" charset="-128"/>
            </a:rPr>
            <a:t> 合計              </a:t>
          </a:r>
          <a:r>
            <a:rPr kumimoji="1" lang="en-US" altLang="ja-JP" sz="900">
              <a:latin typeface="ＭＳ ゴシック" panose="020B0609070205080204" pitchFamily="49" charset="-128"/>
              <a:ea typeface="ＭＳ ゴシック" panose="020B0609070205080204" pitchFamily="49" charset="-128"/>
            </a:rPr>
            <a:t>\2,346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お預り            </a:t>
          </a:r>
          <a:r>
            <a:rPr kumimoji="1" lang="en-US" altLang="ja-JP" sz="900">
              <a:latin typeface="ＭＳ ゴシック" panose="020B0609070205080204" pitchFamily="49" charset="-128"/>
              <a:ea typeface="ＭＳ ゴシック" panose="020B0609070205080204" pitchFamily="49" charset="-128"/>
            </a:rPr>
            <a:t>\2,346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お釣り                    </a:t>
          </a:r>
          <a:r>
            <a:rPr kumimoji="1" lang="en-US" altLang="ja-JP" sz="900">
              <a:latin typeface="ＭＳ ゴシック" panose="020B0609070205080204" pitchFamily="49" charset="-128"/>
              <a:ea typeface="ＭＳ ゴシック" panose="020B0609070205080204" pitchFamily="49" charset="-128"/>
            </a:rPr>
            <a:t>\0   </a:t>
          </a:r>
        </a:p>
        <a:p>
          <a:endParaRPr kumimoji="1" lang="ja-JP" altLang="en-US" sz="900">
            <a:latin typeface="ＭＳ ゴシック" panose="020B0609070205080204" pitchFamily="49" charset="-128"/>
            <a:ea typeface="ＭＳ ゴシック" panose="020B0609070205080204" pitchFamily="49" charset="-128"/>
          </a:endParaRPr>
        </a:p>
      </xdr:txBody>
    </xdr:sp>
    <xdr:clientData/>
  </xdr:twoCellAnchor>
  <xdr:twoCellAnchor>
    <xdr:from>
      <xdr:col>29</xdr:col>
      <xdr:colOff>200757</xdr:colOff>
      <xdr:row>142</xdr:row>
      <xdr:rowOff>56371</xdr:rowOff>
    </xdr:from>
    <xdr:to>
      <xdr:col>32</xdr:col>
      <xdr:colOff>18757</xdr:colOff>
      <xdr:row>150</xdr:row>
      <xdr:rowOff>58276</xdr:rowOff>
    </xdr:to>
    <xdr:cxnSp macro="">
      <xdr:nvCxnSpPr>
        <xdr:cNvPr id="200" name="直線コネクタ 31">
          <a:extLst>
            <a:ext uri="{FF2B5EF4-FFF2-40B4-BE49-F238E27FC236}">
              <a16:creationId xmlns:a16="http://schemas.microsoft.com/office/drawing/2014/main" id="{033B9D64-AE15-42E8-8C19-0093BBDD555B}"/>
            </a:ext>
          </a:extLst>
        </xdr:cNvPr>
        <xdr:cNvCxnSpPr>
          <a:stCxn id="132" idx="3"/>
          <a:endCxn id="121" idx="1"/>
        </xdr:cNvCxnSpPr>
      </xdr:nvCxnSpPr>
      <xdr:spPr>
        <a:xfrm flipV="1">
          <a:off x="6830157" y="24402271"/>
          <a:ext cx="503800" cy="1373505"/>
        </a:xfrm>
        <a:prstGeom prst="bentConnector3">
          <a:avLst>
            <a:gd name="adj1" fmla="val 17609"/>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198853</xdr:colOff>
      <xdr:row>143</xdr:row>
      <xdr:rowOff>72929</xdr:rowOff>
    </xdr:from>
    <xdr:to>
      <xdr:col>32</xdr:col>
      <xdr:colOff>13335</xdr:colOff>
      <xdr:row>152</xdr:row>
      <xdr:rowOff>63699</xdr:rowOff>
    </xdr:to>
    <xdr:cxnSp macro="">
      <xdr:nvCxnSpPr>
        <xdr:cNvPr id="201" name="直線コネクタ 31">
          <a:extLst>
            <a:ext uri="{FF2B5EF4-FFF2-40B4-BE49-F238E27FC236}">
              <a16:creationId xmlns:a16="http://schemas.microsoft.com/office/drawing/2014/main" id="{E91E7334-7C27-4290-9FAD-B5911B40E874}"/>
            </a:ext>
          </a:extLst>
        </xdr:cNvPr>
        <xdr:cNvCxnSpPr>
          <a:stCxn id="133" idx="3"/>
          <a:endCxn id="124" idx="1"/>
        </xdr:cNvCxnSpPr>
      </xdr:nvCxnSpPr>
      <xdr:spPr>
        <a:xfrm flipV="1">
          <a:off x="6828253" y="24590279"/>
          <a:ext cx="500282" cy="1533820"/>
        </a:xfrm>
        <a:prstGeom prst="bentConnector3">
          <a:avLst>
            <a:gd name="adj1" fmla="val 35879"/>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200757</xdr:colOff>
      <xdr:row>142</xdr:row>
      <xdr:rowOff>56371</xdr:rowOff>
    </xdr:from>
    <xdr:to>
      <xdr:col>32</xdr:col>
      <xdr:colOff>18757</xdr:colOff>
      <xdr:row>159</xdr:row>
      <xdr:rowOff>58276</xdr:rowOff>
    </xdr:to>
    <xdr:cxnSp macro="">
      <xdr:nvCxnSpPr>
        <xdr:cNvPr id="202" name="直線コネクタ 31">
          <a:extLst>
            <a:ext uri="{FF2B5EF4-FFF2-40B4-BE49-F238E27FC236}">
              <a16:creationId xmlns:a16="http://schemas.microsoft.com/office/drawing/2014/main" id="{A82377F8-39B7-40C3-82C7-694185AD07CC}"/>
            </a:ext>
          </a:extLst>
        </xdr:cNvPr>
        <xdr:cNvCxnSpPr>
          <a:stCxn id="136" idx="3"/>
          <a:endCxn id="121" idx="1"/>
        </xdr:cNvCxnSpPr>
      </xdr:nvCxnSpPr>
      <xdr:spPr>
        <a:xfrm flipV="1">
          <a:off x="6830157" y="24402271"/>
          <a:ext cx="503800" cy="2916555"/>
        </a:xfrm>
        <a:prstGeom prst="bentConnector3">
          <a:avLst>
            <a:gd name="adj1" fmla="val 19027"/>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198853</xdr:colOff>
      <xdr:row>143</xdr:row>
      <xdr:rowOff>72929</xdr:rowOff>
    </xdr:from>
    <xdr:to>
      <xdr:col>32</xdr:col>
      <xdr:colOff>13335</xdr:colOff>
      <xdr:row>161</xdr:row>
      <xdr:rowOff>63699</xdr:rowOff>
    </xdr:to>
    <xdr:cxnSp macro="">
      <xdr:nvCxnSpPr>
        <xdr:cNvPr id="203" name="直線コネクタ 31">
          <a:extLst>
            <a:ext uri="{FF2B5EF4-FFF2-40B4-BE49-F238E27FC236}">
              <a16:creationId xmlns:a16="http://schemas.microsoft.com/office/drawing/2014/main" id="{261DBFCF-7AEF-4EFE-A478-D9798BB516D1}"/>
            </a:ext>
          </a:extLst>
        </xdr:cNvPr>
        <xdr:cNvCxnSpPr>
          <a:stCxn id="137" idx="3"/>
          <a:endCxn id="124" idx="1"/>
        </xdr:cNvCxnSpPr>
      </xdr:nvCxnSpPr>
      <xdr:spPr>
        <a:xfrm flipV="1">
          <a:off x="6828253" y="24590279"/>
          <a:ext cx="500282" cy="3076870"/>
        </a:xfrm>
        <a:prstGeom prst="bentConnector3">
          <a:avLst>
            <a:gd name="adj1" fmla="val 36124"/>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200757</xdr:colOff>
      <xdr:row>98</xdr:row>
      <xdr:rowOff>56371</xdr:rowOff>
    </xdr:from>
    <xdr:to>
      <xdr:col>34</xdr:col>
      <xdr:colOff>18757</xdr:colOff>
      <xdr:row>168</xdr:row>
      <xdr:rowOff>58276</xdr:rowOff>
    </xdr:to>
    <xdr:cxnSp macro="">
      <xdr:nvCxnSpPr>
        <xdr:cNvPr id="204" name="直線コネクタ 31">
          <a:extLst>
            <a:ext uri="{FF2B5EF4-FFF2-40B4-BE49-F238E27FC236}">
              <a16:creationId xmlns:a16="http://schemas.microsoft.com/office/drawing/2014/main" id="{CB499752-3780-4285-B138-5C1AF7BEBFB9}"/>
            </a:ext>
          </a:extLst>
        </xdr:cNvPr>
        <xdr:cNvCxnSpPr>
          <a:stCxn id="140" idx="3"/>
          <a:endCxn id="150" idx="1"/>
        </xdr:cNvCxnSpPr>
      </xdr:nvCxnSpPr>
      <xdr:spPr>
        <a:xfrm flipV="1">
          <a:off x="6830157" y="16858471"/>
          <a:ext cx="961000" cy="12003405"/>
        </a:xfrm>
        <a:prstGeom prst="bentConnector3">
          <a:avLst>
            <a:gd name="adj1" fmla="val 9213"/>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198853</xdr:colOff>
      <xdr:row>99</xdr:row>
      <xdr:rowOff>56371</xdr:rowOff>
    </xdr:from>
    <xdr:to>
      <xdr:col>34</xdr:col>
      <xdr:colOff>18757</xdr:colOff>
      <xdr:row>170</xdr:row>
      <xdr:rowOff>63699</xdr:rowOff>
    </xdr:to>
    <xdr:cxnSp macro="">
      <xdr:nvCxnSpPr>
        <xdr:cNvPr id="205" name="直線コネクタ 31">
          <a:extLst>
            <a:ext uri="{FF2B5EF4-FFF2-40B4-BE49-F238E27FC236}">
              <a16:creationId xmlns:a16="http://schemas.microsoft.com/office/drawing/2014/main" id="{F9FF22DA-DBC1-47AB-9329-12D1495E916D}"/>
            </a:ext>
          </a:extLst>
        </xdr:cNvPr>
        <xdr:cNvCxnSpPr>
          <a:stCxn id="141" idx="3"/>
          <a:endCxn id="149" idx="1"/>
        </xdr:cNvCxnSpPr>
      </xdr:nvCxnSpPr>
      <xdr:spPr>
        <a:xfrm flipV="1">
          <a:off x="6828253" y="17029921"/>
          <a:ext cx="962904" cy="12180278"/>
        </a:xfrm>
        <a:prstGeom prst="bentConnector3">
          <a:avLst>
            <a:gd name="adj1" fmla="val 30536"/>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200757</xdr:colOff>
      <xdr:row>177</xdr:row>
      <xdr:rowOff>56371</xdr:rowOff>
    </xdr:from>
    <xdr:to>
      <xdr:col>32</xdr:col>
      <xdr:colOff>18757</xdr:colOff>
      <xdr:row>185</xdr:row>
      <xdr:rowOff>58276</xdr:rowOff>
    </xdr:to>
    <xdr:cxnSp macro="">
      <xdr:nvCxnSpPr>
        <xdr:cNvPr id="206" name="直線コネクタ 31">
          <a:extLst>
            <a:ext uri="{FF2B5EF4-FFF2-40B4-BE49-F238E27FC236}">
              <a16:creationId xmlns:a16="http://schemas.microsoft.com/office/drawing/2014/main" id="{9E8FAD1B-E581-46E0-98C2-58203AA50A1D}"/>
            </a:ext>
          </a:extLst>
        </xdr:cNvPr>
        <xdr:cNvCxnSpPr>
          <a:stCxn id="165" idx="3"/>
          <a:endCxn id="154" idx="1"/>
        </xdr:cNvCxnSpPr>
      </xdr:nvCxnSpPr>
      <xdr:spPr>
        <a:xfrm flipV="1">
          <a:off x="6830157" y="30403021"/>
          <a:ext cx="503800" cy="1373505"/>
        </a:xfrm>
        <a:prstGeom prst="bentConnector3">
          <a:avLst>
            <a:gd name="adj1" fmla="val 20236"/>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200757</xdr:colOff>
      <xdr:row>177</xdr:row>
      <xdr:rowOff>56371</xdr:rowOff>
    </xdr:from>
    <xdr:to>
      <xdr:col>32</xdr:col>
      <xdr:colOff>18757</xdr:colOff>
      <xdr:row>194</xdr:row>
      <xdr:rowOff>58276</xdr:rowOff>
    </xdr:to>
    <xdr:cxnSp macro="">
      <xdr:nvCxnSpPr>
        <xdr:cNvPr id="207" name="直線コネクタ 31">
          <a:extLst>
            <a:ext uri="{FF2B5EF4-FFF2-40B4-BE49-F238E27FC236}">
              <a16:creationId xmlns:a16="http://schemas.microsoft.com/office/drawing/2014/main" id="{E7BF6EB4-E61A-4493-A389-477A03B30686}"/>
            </a:ext>
          </a:extLst>
        </xdr:cNvPr>
        <xdr:cNvCxnSpPr>
          <a:stCxn id="169" idx="3"/>
          <a:endCxn id="154" idx="1"/>
        </xdr:cNvCxnSpPr>
      </xdr:nvCxnSpPr>
      <xdr:spPr>
        <a:xfrm flipV="1">
          <a:off x="6830157" y="30403021"/>
          <a:ext cx="503800" cy="2916555"/>
        </a:xfrm>
        <a:prstGeom prst="bentConnector3">
          <a:avLst>
            <a:gd name="adj1" fmla="val 20236"/>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200757</xdr:colOff>
      <xdr:row>98</xdr:row>
      <xdr:rowOff>56371</xdr:rowOff>
    </xdr:from>
    <xdr:to>
      <xdr:col>34</xdr:col>
      <xdr:colOff>18757</xdr:colOff>
      <xdr:row>203</xdr:row>
      <xdr:rowOff>58276</xdr:rowOff>
    </xdr:to>
    <xdr:cxnSp macro="">
      <xdr:nvCxnSpPr>
        <xdr:cNvPr id="208" name="直線コネクタ 31">
          <a:extLst>
            <a:ext uri="{FF2B5EF4-FFF2-40B4-BE49-F238E27FC236}">
              <a16:creationId xmlns:a16="http://schemas.microsoft.com/office/drawing/2014/main" id="{295534BA-B211-42B9-BACE-955D30F0EAED}"/>
            </a:ext>
          </a:extLst>
        </xdr:cNvPr>
        <xdr:cNvCxnSpPr>
          <a:stCxn id="173" idx="3"/>
          <a:endCxn id="150" idx="1"/>
        </xdr:cNvCxnSpPr>
      </xdr:nvCxnSpPr>
      <xdr:spPr>
        <a:xfrm flipV="1">
          <a:off x="6830157" y="16858471"/>
          <a:ext cx="961000" cy="18004155"/>
        </a:xfrm>
        <a:prstGeom prst="bentConnector3">
          <a:avLst>
            <a:gd name="adj1" fmla="val 9502"/>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198853</xdr:colOff>
      <xdr:row>178</xdr:row>
      <xdr:rowOff>72929</xdr:rowOff>
    </xdr:from>
    <xdr:to>
      <xdr:col>32</xdr:col>
      <xdr:colOff>13335</xdr:colOff>
      <xdr:row>187</xdr:row>
      <xdr:rowOff>63699</xdr:rowOff>
    </xdr:to>
    <xdr:cxnSp macro="">
      <xdr:nvCxnSpPr>
        <xdr:cNvPr id="209" name="直線コネクタ 31">
          <a:extLst>
            <a:ext uri="{FF2B5EF4-FFF2-40B4-BE49-F238E27FC236}">
              <a16:creationId xmlns:a16="http://schemas.microsoft.com/office/drawing/2014/main" id="{44FB8703-50E8-4485-82CD-32184B05CA1A}"/>
            </a:ext>
          </a:extLst>
        </xdr:cNvPr>
        <xdr:cNvCxnSpPr>
          <a:stCxn id="166" idx="3"/>
          <a:endCxn id="157" idx="1"/>
        </xdr:cNvCxnSpPr>
      </xdr:nvCxnSpPr>
      <xdr:spPr>
        <a:xfrm flipV="1">
          <a:off x="6828253" y="30591029"/>
          <a:ext cx="500282" cy="1533820"/>
        </a:xfrm>
        <a:prstGeom prst="bentConnector3">
          <a:avLst>
            <a:gd name="adj1" fmla="val 39409"/>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198853</xdr:colOff>
      <xdr:row>178</xdr:row>
      <xdr:rowOff>72929</xdr:rowOff>
    </xdr:from>
    <xdr:to>
      <xdr:col>32</xdr:col>
      <xdr:colOff>13335</xdr:colOff>
      <xdr:row>196</xdr:row>
      <xdr:rowOff>63699</xdr:rowOff>
    </xdr:to>
    <xdr:cxnSp macro="">
      <xdr:nvCxnSpPr>
        <xdr:cNvPr id="210" name="直線コネクタ 31">
          <a:extLst>
            <a:ext uri="{FF2B5EF4-FFF2-40B4-BE49-F238E27FC236}">
              <a16:creationId xmlns:a16="http://schemas.microsoft.com/office/drawing/2014/main" id="{60D3C4FE-702C-48B8-ADB8-5543AE2146F9}"/>
            </a:ext>
          </a:extLst>
        </xdr:cNvPr>
        <xdr:cNvCxnSpPr>
          <a:stCxn id="170" idx="3"/>
          <a:endCxn id="157" idx="1"/>
        </xdr:cNvCxnSpPr>
      </xdr:nvCxnSpPr>
      <xdr:spPr>
        <a:xfrm flipV="1">
          <a:off x="6828253" y="30591029"/>
          <a:ext cx="500282" cy="3076870"/>
        </a:xfrm>
        <a:prstGeom prst="bentConnector3">
          <a:avLst>
            <a:gd name="adj1" fmla="val 39409"/>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198853</xdr:colOff>
      <xdr:row>99</xdr:row>
      <xdr:rowOff>56371</xdr:rowOff>
    </xdr:from>
    <xdr:to>
      <xdr:col>34</xdr:col>
      <xdr:colOff>18757</xdr:colOff>
      <xdr:row>205</xdr:row>
      <xdr:rowOff>63699</xdr:rowOff>
    </xdr:to>
    <xdr:cxnSp macro="">
      <xdr:nvCxnSpPr>
        <xdr:cNvPr id="211" name="直線コネクタ 31">
          <a:extLst>
            <a:ext uri="{FF2B5EF4-FFF2-40B4-BE49-F238E27FC236}">
              <a16:creationId xmlns:a16="http://schemas.microsoft.com/office/drawing/2014/main" id="{00BB8A1C-07A3-4798-9FFA-70B3DCE9E8E6}"/>
            </a:ext>
          </a:extLst>
        </xdr:cNvPr>
        <xdr:cNvCxnSpPr>
          <a:stCxn id="174" idx="3"/>
          <a:endCxn id="149" idx="1"/>
        </xdr:cNvCxnSpPr>
      </xdr:nvCxnSpPr>
      <xdr:spPr>
        <a:xfrm flipV="1">
          <a:off x="6828253" y="17029921"/>
          <a:ext cx="962904" cy="18181028"/>
        </a:xfrm>
        <a:prstGeom prst="bentConnector3">
          <a:avLst>
            <a:gd name="adj1" fmla="val 30245"/>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201051</xdr:colOff>
      <xdr:row>213</xdr:row>
      <xdr:rowOff>67508</xdr:rowOff>
    </xdr:from>
    <xdr:to>
      <xdr:col>22</xdr:col>
      <xdr:colOff>22567</xdr:colOff>
      <xdr:row>213</xdr:row>
      <xdr:rowOff>70238</xdr:rowOff>
    </xdr:to>
    <xdr:cxnSp macro="">
      <xdr:nvCxnSpPr>
        <xdr:cNvPr id="212" name="直線コネクタ 211">
          <a:extLst>
            <a:ext uri="{FF2B5EF4-FFF2-40B4-BE49-F238E27FC236}">
              <a16:creationId xmlns:a16="http://schemas.microsoft.com/office/drawing/2014/main" id="{1C5869E2-3503-4CD8-8576-3659C0D617A1}"/>
            </a:ext>
          </a:extLst>
        </xdr:cNvPr>
        <xdr:cNvCxnSpPr>
          <a:cxnSpLocks/>
          <a:stCxn id="213" idx="3"/>
          <a:endCxn id="214" idx="1"/>
        </xdr:cNvCxnSpPr>
      </xdr:nvCxnSpPr>
      <xdr:spPr>
        <a:xfrm>
          <a:off x="4773051" y="36586358"/>
          <a:ext cx="278716" cy="2730"/>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21981</xdr:colOff>
      <xdr:row>213</xdr:row>
      <xdr:rowOff>14654</xdr:rowOff>
    </xdr:from>
    <xdr:to>
      <xdr:col>20</xdr:col>
      <xdr:colOff>199146</xdr:colOff>
      <xdr:row>213</xdr:row>
      <xdr:rowOff>116551</xdr:rowOff>
    </xdr:to>
    <xdr:sp macro="" textlink="">
      <xdr:nvSpPr>
        <xdr:cNvPr id="213" name="正方形/長方形 212">
          <a:extLst>
            <a:ext uri="{FF2B5EF4-FFF2-40B4-BE49-F238E27FC236}">
              <a16:creationId xmlns:a16="http://schemas.microsoft.com/office/drawing/2014/main" id="{13DEA05C-0EA0-44BB-AF6D-B6CAA5D62134}"/>
            </a:ext>
          </a:extLst>
        </xdr:cNvPr>
        <xdr:cNvSpPr/>
      </xdr:nvSpPr>
      <xdr:spPr>
        <a:xfrm>
          <a:off x="4593981" y="36533504"/>
          <a:ext cx="17716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18757</xdr:colOff>
      <xdr:row>213</xdr:row>
      <xdr:rowOff>20242</xdr:rowOff>
    </xdr:from>
    <xdr:to>
      <xdr:col>22</xdr:col>
      <xdr:colOff>192112</xdr:colOff>
      <xdr:row>213</xdr:row>
      <xdr:rowOff>122139</xdr:rowOff>
    </xdr:to>
    <xdr:sp macro="" textlink="">
      <xdr:nvSpPr>
        <xdr:cNvPr id="214" name="正方形/長方形 213">
          <a:extLst>
            <a:ext uri="{FF2B5EF4-FFF2-40B4-BE49-F238E27FC236}">
              <a16:creationId xmlns:a16="http://schemas.microsoft.com/office/drawing/2014/main" id="{D36A177C-AFF7-4D28-99B8-1B5C52AF6CDC}"/>
            </a:ext>
          </a:extLst>
        </xdr:cNvPr>
        <xdr:cNvSpPr/>
      </xdr:nvSpPr>
      <xdr:spPr>
        <a:xfrm>
          <a:off x="5047957" y="36539092"/>
          <a:ext cx="17335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11137</xdr:colOff>
      <xdr:row>213</xdr:row>
      <xdr:rowOff>9232</xdr:rowOff>
    </xdr:from>
    <xdr:to>
      <xdr:col>32</xdr:col>
      <xdr:colOff>174967</xdr:colOff>
      <xdr:row>213</xdr:row>
      <xdr:rowOff>103509</xdr:rowOff>
    </xdr:to>
    <xdr:sp macro="" textlink="">
      <xdr:nvSpPr>
        <xdr:cNvPr id="215" name="正方形/長方形 214">
          <a:extLst>
            <a:ext uri="{FF2B5EF4-FFF2-40B4-BE49-F238E27FC236}">
              <a16:creationId xmlns:a16="http://schemas.microsoft.com/office/drawing/2014/main" id="{6B3A79BE-F16A-4665-AE2B-567F84F2356D}"/>
            </a:ext>
          </a:extLst>
        </xdr:cNvPr>
        <xdr:cNvSpPr/>
      </xdr:nvSpPr>
      <xdr:spPr>
        <a:xfrm>
          <a:off x="7326337" y="36528082"/>
          <a:ext cx="163830"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27402</xdr:colOff>
      <xdr:row>213</xdr:row>
      <xdr:rowOff>11137</xdr:rowOff>
    </xdr:from>
    <xdr:to>
      <xdr:col>29</xdr:col>
      <xdr:colOff>200757</xdr:colOff>
      <xdr:row>213</xdr:row>
      <xdr:rowOff>105414</xdr:rowOff>
    </xdr:to>
    <xdr:sp macro="" textlink="">
      <xdr:nvSpPr>
        <xdr:cNvPr id="216" name="正方形/長方形 215">
          <a:extLst>
            <a:ext uri="{FF2B5EF4-FFF2-40B4-BE49-F238E27FC236}">
              <a16:creationId xmlns:a16="http://schemas.microsoft.com/office/drawing/2014/main" id="{82EB2823-733F-4679-8281-D2B1E1945BF8}"/>
            </a:ext>
          </a:extLst>
        </xdr:cNvPr>
        <xdr:cNvSpPr/>
      </xdr:nvSpPr>
      <xdr:spPr>
        <a:xfrm>
          <a:off x="6656802" y="36529987"/>
          <a:ext cx="17335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215</xdr:row>
      <xdr:rowOff>14655</xdr:rowOff>
    </xdr:from>
    <xdr:to>
      <xdr:col>29</xdr:col>
      <xdr:colOff>198853</xdr:colOff>
      <xdr:row>215</xdr:row>
      <xdr:rowOff>112742</xdr:rowOff>
    </xdr:to>
    <xdr:sp macro="" textlink="">
      <xdr:nvSpPr>
        <xdr:cNvPr id="217" name="正方形/長方形 216">
          <a:extLst>
            <a:ext uri="{FF2B5EF4-FFF2-40B4-BE49-F238E27FC236}">
              <a16:creationId xmlns:a16="http://schemas.microsoft.com/office/drawing/2014/main" id="{D8BA3F69-67E4-4273-BBD5-91B9365B2398}"/>
            </a:ext>
          </a:extLst>
        </xdr:cNvPr>
        <xdr:cNvSpPr/>
      </xdr:nvSpPr>
      <xdr:spPr>
        <a:xfrm>
          <a:off x="6658708" y="3687640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5715</xdr:colOff>
      <xdr:row>214</xdr:row>
      <xdr:rowOff>21980</xdr:rowOff>
    </xdr:from>
    <xdr:to>
      <xdr:col>32</xdr:col>
      <xdr:colOff>163830</xdr:colOff>
      <xdr:row>214</xdr:row>
      <xdr:rowOff>123877</xdr:rowOff>
    </xdr:to>
    <xdr:sp macro="" textlink="">
      <xdr:nvSpPr>
        <xdr:cNvPr id="218" name="正方形/長方形 217">
          <a:extLst>
            <a:ext uri="{FF2B5EF4-FFF2-40B4-BE49-F238E27FC236}">
              <a16:creationId xmlns:a16="http://schemas.microsoft.com/office/drawing/2014/main" id="{D636D2C5-0F88-44EE-918D-43763492A887}"/>
            </a:ext>
          </a:extLst>
        </xdr:cNvPr>
        <xdr:cNvSpPr/>
      </xdr:nvSpPr>
      <xdr:spPr>
        <a:xfrm>
          <a:off x="7320915" y="36712280"/>
          <a:ext cx="158115" cy="10189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200757</xdr:colOff>
      <xdr:row>213</xdr:row>
      <xdr:rowOff>56371</xdr:rowOff>
    </xdr:from>
    <xdr:to>
      <xdr:col>32</xdr:col>
      <xdr:colOff>11137</xdr:colOff>
      <xdr:row>213</xdr:row>
      <xdr:rowOff>58276</xdr:rowOff>
    </xdr:to>
    <xdr:cxnSp macro="">
      <xdr:nvCxnSpPr>
        <xdr:cNvPr id="219" name="直線コネクタ 218">
          <a:extLst>
            <a:ext uri="{FF2B5EF4-FFF2-40B4-BE49-F238E27FC236}">
              <a16:creationId xmlns:a16="http://schemas.microsoft.com/office/drawing/2014/main" id="{771BC96C-B2D4-4AC9-B5F0-AE5EDDF7238D}"/>
            </a:ext>
          </a:extLst>
        </xdr:cNvPr>
        <xdr:cNvCxnSpPr>
          <a:stCxn id="215" idx="1"/>
          <a:endCxn id="216" idx="3"/>
        </xdr:cNvCxnSpPr>
      </xdr:nvCxnSpPr>
      <xdr:spPr>
        <a:xfrm flipH="1">
          <a:off x="6830157" y="36575221"/>
          <a:ext cx="496180" cy="1905"/>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18463</xdr:colOff>
      <xdr:row>213</xdr:row>
      <xdr:rowOff>22861</xdr:rowOff>
    </xdr:from>
    <xdr:to>
      <xdr:col>12</xdr:col>
      <xdr:colOff>191818</xdr:colOff>
      <xdr:row>213</xdr:row>
      <xdr:rowOff>111423</xdr:rowOff>
    </xdr:to>
    <xdr:sp macro="" textlink="">
      <xdr:nvSpPr>
        <xdr:cNvPr id="220" name="正方形/長方形 219">
          <a:extLst>
            <a:ext uri="{FF2B5EF4-FFF2-40B4-BE49-F238E27FC236}">
              <a16:creationId xmlns:a16="http://schemas.microsoft.com/office/drawing/2014/main" id="{CBA9FE3F-BA6F-4AEA-8CE2-1A14F5B20AFD}"/>
            </a:ext>
          </a:extLst>
        </xdr:cNvPr>
        <xdr:cNvSpPr/>
      </xdr:nvSpPr>
      <xdr:spPr>
        <a:xfrm>
          <a:off x="2761663" y="36541711"/>
          <a:ext cx="173355" cy="8856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21981</xdr:colOff>
      <xdr:row>214</xdr:row>
      <xdr:rowOff>23885</xdr:rowOff>
    </xdr:from>
    <xdr:to>
      <xdr:col>22</xdr:col>
      <xdr:colOff>191526</xdr:colOff>
      <xdr:row>214</xdr:row>
      <xdr:rowOff>127688</xdr:rowOff>
    </xdr:to>
    <xdr:sp macro="" textlink="">
      <xdr:nvSpPr>
        <xdr:cNvPr id="221" name="正方形/長方形 220">
          <a:extLst>
            <a:ext uri="{FF2B5EF4-FFF2-40B4-BE49-F238E27FC236}">
              <a16:creationId xmlns:a16="http://schemas.microsoft.com/office/drawing/2014/main" id="{A0424ED7-2E03-4B7E-A521-B1C48F804D46}"/>
            </a:ext>
          </a:extLst>
        </xdr:cNvPr>
        <xdr:cNvSpPr/>
      </xdr:nvSpPr>
      <xdr:spPr>
        <a:xfrm>
          <a:off x="5051181" y="3671418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21981</xdr:colOff>
      <xdr:row>214</xdr:row>
      <xdr:rowOff>29308</xdr:rowOff>
    </xdr:from>
    <xdr:to>
      <xdr:col>20</xdr:col>
      <xdr:colOff>210576</xdr:colOff>
      <xdr:row>214</xdr:row>
      <xdr:rowOff>121680</xdr:rowOff>
    </xdr:to>
    <xdr:sp macro="" textlink="">
      <xdr:nvSpPr>
        <xdr:cNvPr id="222" name="正方形/長方形 221">
          <a:extLst>
            <a:ext uri="{FF2B5EF4-FFF2-40B4-BE49-F238E27FC236}">
              <a16:creationId xmlns:a16="http://schemas.microsoft.com/office/drawing/2014/main" id="{FCAA2225-91D3-43A0-B248-0AFF1AA4B40E}"/>
            </a:ext>
          </a:extLst>
        </xdr:cNvPr>
        <xdr:cNvSpPr/>
      </xdr:nvSpPr>
      <xdr:spPr>
        <a:xfrm>
          <a:off x="4593981" y="36719608"/>
          <a:ext cx="188595" cy="9237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206766</xdr:colOff>
      <xdr:row>214</xdr:row>
      <xdr:rowOff>75494</xdr:rowOff>
    </xdr:from>
    <xdr:to>
      <xdr:col>22</xdr:col>
      <xdr:colOff>18171</xdr:colOff>
      <xdr:row>214</xdr:row>
      <xdr:rowOff>75787</xdr:rowOff>
    </xdr:to>
    <xdr:cxnSp macro="">
      <xdr:nvCxnSpPr>
        <xdr:cNvPr id="223" name="直線コネクタ 222">
          <a:extLst>
            <a:ext uri="{FF2B5EF4-FFF2-40B4-BE49-F238E27FC236}">
              <a16:creationId xmlns:a16="http://schemas.microsoft.com/office/drawing/2014/main" id="{A06DDF2A-FC07-4C48-9EE4-D34BF0C3392F}"/>
            </a:ext>
          </a:extLst>
        </xdr:cNvPr>
        <xdr:cNvCxnSpPr>
          <a:cxnSpLocks/>
          <a:stCxn id="222" idx="3"/>
          <a:endCxn id="221" idx="1"/>
        </xdr:cNvCxnSpPr>
      </xdr:nvCxnSpPr>
      <xdr:spPr>
        <a:xfrm>
          <a:off x="4778766" y="36765794"/>
          <a:ext cx="268605" cy="293"/>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198853</xdr:colOff>
      <xdr:row>214</xdr:row>
      <xdr:rowOff>72929</xdr:rowOff>
    </xdr:from>
    <xdr:to>
      <xdr:col>32</xdr:col>
      <xdr:colOff>5715</xdr:colOff>
      <xdr:row>215</xdr:row>
      <xdr:rowOff>63699</xdr:rowOff>
    </xdr:to>
    <xdr:cxnSp macro="">
      <xdr:nvCxnSpPr>
        <xdr:cNvPr id="224" name="直線コネクタ 31">
          <a:extLst>
            <a:ext uri="{FF2B5EF4-FFF2-40B4-BE49-F238E27FC236}">
              <a16:creationId xmlns:a16="http://schemas.microsoft.com/office/drawing/2014/main" id="{5091DAD9-11A7-431F-AE04-DEC8F9A10CB7}"/>
            </a:ext>
          </a:extLst>
        </xdr:cNvPr>
        <xdr:cNvCxnSpPr>
          <a:stCxn id="217" idx="3"/>
          <a:endCxn id="218" idx="1"/>
        </xdr:cNvCxnSpPr>
      </xdr:nvCxnSpPr>
      <xdr:spPr>
        <a:xfrm flipV="1">
          <a:off x="6828253" y="36763229"/>
          <a:ext cx="492662" cy="162220"/>
        </a:xfrm>
        <a:prstGeom prst="bentConnector3">
          <a:avLst>
            <a:gd name="adj1" fmla="val 69765"/>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201051</xdr:colOff>
      <xdr:row>224</xdr:row>
      <xdr:rowOff>67508</xdr:rowOff>
    </xdr:from>
    <xdr:to>
      <xdr:col>22</xdr:col>
      <xdr:colOff>22567</xdr:colOff>
      <xdr:row>224</xdr:row>
      <xdr:rowOff>70238</xdr:rowOff>
    </xdr:to>
    <xdr:cxnSp macro="">
      <xdr:nvCxnSpPr>
        <xdr:cNvPr id="225" name="直線コネクタ 224">
          <a:extLst>
            <a:ext uri="{FF2B5EF4-FFF2-40B4-BE49-F238E27FC236}">
              <a16:creationId xmlns:a16="http://schemas.microsoft.com/office/drawing/2014/main" id="{6FC81478-AEFC-492E-853A-E562C9A57253}"/>
            </a:ext>
          </a:extLst>
        </xdr:cNvPr>
        <xdr:cNvCxnSpPr>
          <a:cxnSpLocks/>
          <a:stCxn id="226" idx="3"/>
          <a:endCxn id="227" idx="1"/>
        </xdr:cNvCxnSpPr>
      </xdr:nvCxnSpPr>
      <xdr:spPr>
        <a:xfrm>
          <a:off x="4773051" y="38472308"/>
          <a:ext cx="278716" cy="2730"/>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21981</xdr:colOff>
      <xdr:row>224</xdr:row>
      <xdr:rowOff>14654</xdr:rowOff>
    </xdr:from>
    <xdr:to>
      <xdr:col>20</xdr:col>
      <xdr:colOff>199146</xdr:colOff>
      <xdr:row>224</xdr:row>
      <xdr:rowOff>116551</xdr:rowOff>
    </xdr:to>
    <xdr:sp macro="" textlink="">
      <xdr:nvSpPr>
        <xdr:cNvPr id="226" name="正方形/長方形 225">
          <a:extLst>
            <a:ext uri="{FF2B5EF4-FFF2-40B4-BE49-F238E27FC236}">
              <a16:creationId xmlns:a16="http://schemas.microsoft.com/office/drawing/2014/main" id="{25076A97-925D-4A37-B21C-9D4434461C29}"/>
            </a:ext>
          </a:extLst>
        </xdr:cNvPr>
        <xdr:cNvSpPr/>
      </xdr:nvSpPr>
      <xdr:spPr>
        <a:xfrm>
          <a:off x="4593981" y="38419454"/>
          <a:ext cx="17716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18757</xdr:colOff>
      <xdr:row>224</xdr:row>
      <xdr:rowOff>20242</xdr:rowOff>
    </xdr:from>
    <xdr:to>
      <xdr:col>22</xdr:col>
      <xdr:colOff>192112</xdr:colOff>
      <xdr:row>224</xdr:row>
      <xdr:rowOff>122139</xdr:rowOff>
    </xdr:to>
    <xdr:sp macro="" textlink="">
      <xdr:nvSpPr>
        <xdr:cNvPr id="227" name="正方形/長方形 226">
          <a:extLst>
            <a:ext uri="{FF2B5EF4-FFF2-40B4-BE49-F238E27FC236}">
              <a16:creationId xmlns:a16="http://schemas.microsoft.com/office/drawing/2014/main" id="{427AB1B3-3BCB-4A76-8F87-5AFCE1B92B07}"/>
            </a:ext>
          </a:extLst>
        </xdr:cNvPr>
        <xdr:cNvSpPr/>
      </xdr:nvSpPr>
      <xdr:spPr>
        <a:xfrm>
          <a:off x="5047957" y="38425042"/>
          <a:ext cx="17335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27402</xdr:colOff>
      <xdr:row>224</xdr:row>
      <xdr:rowOff>11137</xdr:rowOff>
    </xdr:from>
    <xdr:to>
      <xdr:col>29</xdr:col>
      <xdr:colOff>200757</xdr:colOff>
      <xdr:row>224</xdr:row>
      <xdr:rowOff>105414</xdr:rowOff>
    </xdr:to>
    <xdr:sp macro="" textlink="">
      <xdr:nvSpPr>
        <xdr:cNvPr id="228" name="正方形/長方形 227">
          <a:extLst>
            <a:ext uri="{FF2B5EF4-FFF2-40B4-BE49-F238E27FC236}">
              <a16:creationId xmlns:a16="http://schemas.microsoft.com/office/drawing/2014/main" id="{8D273545-7085-489F-BAEA-F66B88C0CB24}"/>
            </a:ext>
          </a:extLst>
        </xdr:cNvPr>
        <xdr:cNvSpPr/>
      </xdr:nvSpPr>
      <xdr:spPr>
        <a:xfrm>
          <a:off x="6656802" y="38415937"/>
          <a:ext cx="17335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226</xdr:row>
      <xdr:rowOff>14655</xdr:rowOff>
    </xdr:from>
    <xdr:to>
      <xdr:col>29</xdr:col>
      <xdr:colOff>198853</xdr:colOff>
      <xdr:row>226</xdr:row>
      <xdr:rowOff>112742</xdr:rowOff>
    </xdr:to>
    <xdr:sp macro="" textlink="">
      <xdr:nvSpPr>
        <xdr:cNvPr id="229" name="正方形/長方形 228">
          <a:extLst>
            <a:ext uri="{FF2B5EF4-FFF2-40B4-BE49-F238E27FC236}">
              <a16:creationId xmlns:a16="http://schemas.microsoft.com/office/drawing/2014/main" id="{6745AC69-596C-408E-91F6-021E89001A1D}"/>
            </a:ext>
          </a:extLst>
        </xdr:cNvPr>
        <xdr:cNvSpPr/>
      </xdr:nvSpPr>
      <xdr:spPr>
        <a:xfrm>
          <a:off x="6658708" y="3876235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18463</xdr:colOff>
      <xdr:row>224</xdr:row>
      <xdr:rowOff>22861</xdr:rowOff>
    </xdr:from>
    <xdr:to>
      <xdr:col>12</xdr:col>
      <xdr:colOff>191818</xdr:colOff>
      <xdr:row>224</xdr:row>
      <xdr:rowOff>111423</xdr:rowOff>
    </xdr:to>
    <xdr:sp macro="" textlink="">
      <xdr:nvSpPr>
        <xdr:cNvPr id="230" name="正方形/長方形 229">
          <a:extLst>
            <a:ext uri="{FF2B5EF4-FFF2-40B4-BE49-F238E27FC236}">
              <a16:creationId xmlns:a16="http://schemas.microsoft.com/office/drawing/2014/main" id="{5C02B423-B1BD-440E-B3A8-1E50A855571A}"/>
            </a:ext>
          </a:extLst>
        </xdr:cNvPr>
        <xdr:cNvSpPr/>
      </xdr:nvSpPr>
      <xdr:spPr>
        <a:xfrm>
          <a:off x="2761663" y="38427661"/>
          <a:ext cx="173355" cy="8856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21981</xdr:colOff>
      <xdr:row>225</xdr:row>
      <xdr:rowOff>23885</xdr:rowOff>
    </xdr:from>
    <xdr:to>
      <xdr:col>22</xdr:col>
      <xdr:colOff>191526</xdr:colOff>
      <xdr:row>225</xdr:row>
      <xdr:rowOff>127688</xdr:rowOff>
    </xdr:to>
    <xdr:sp macro="" textlink="">
      <xdr:nvSpPr>
        <xdr:cNvPr id="231" name="正方形/長方形 230">
          <a:extLst>
            <a:ext uri="{FF2B5EF4-FFF2-40B4-BE49-F238E27FC236}">
              <a16:creationId xmlns:a16="http://schemas.microsoft.com/office/drawing/2014/main" id="{E95032A1-45E8-4E3A-9A41-15F1FE768FD2}"/>
            </a:ext>
          </a:extLst>
        </xdr:cNvPr>
        <xdr:cNvSpPr/>
      </xdr:nvSpPr>
      <xdr:spPr>
        <a:xfrm>
          <a:off x="5051181" y="3860013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21981</xdr:colOff>
      <xdr:row>225</xdr:row>
      <xdr:rowOff>29308</xdr:rowOff>
    </xdr:from>
    <xdr:to>
      <xdr:col>20</xdr:col>
      <xdr:colOff>210576</xdr:colOff>
      <xdr:row>225</xdr:row>
      <xdr:rowOff>121680</xdr:rowOff>
    </xdr:to>
    <xdr:sp macro="" textlink="">
      <xdr:nvSpPr>
        <xdr:cNvPr id="232" name="正方形/長方形 231">
          <a:extLst>
            <a:ext uri="{FF2B5EF4-FFF2-40B4-BE49-F238E27FC236}">
              <a16:creationId xmlns:a16="http://schemas.microsoft.com/office/drawing/2014/main" id="{28CB2A92-CBEF-426C-867C-D907A997AC84}"/>
            </a:ext>
          </a:extLst>
        </xdr:cNvPr>
        <xdr:cNvSpPr/>
      </xdr:nvSpPr>
      <xdr:spPr>
        <a:xfrm>
          <a:off x="4593981" y="38605558"/>
          <a:ext cx="188595" cy="9237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206766</xdr:colOff>
      <xdr:row>225</xdr:row>
      <xdr:rowOff>75494</xdr:rowOff>
    </xdr:from>
    <xdr:to>
      <xdr:col>22</xdr:col>
      <xdr:colOff>18171</xdr:colOff>
      <xdr:row>225</xdr:row>
      <xdr:rowOff>75787</xdr:rowOff>
    </xdr:to>
    <xdr:cxnSp macro="">
      <xdr:nvCxnSpPr>
        <xdr:cNvPr id="233" name="直線コネクタ 232">
          <a:extLst>
            <a:ext uri="{FF2B5EF4-FFF2-40B4-BE49-F238E27FC236}">
              <a16:creationId xmlns:a16="http://schemas.microsoft.com/office/drawing/2014/main" id="{04584F81-3CBD-4FAB-8E80-FBA980598598}"/>
            </a:ext>
          </a:extLst>
        </xdr:cNvPr>
        <xdr:cNvCxnSpPr>
          <a:cxnSpLocks/>
          <a:stCxn id="232" idx="3"/>
          <a:endCxn id="231" idx="1"/>
        </xdr:cNvCxnSpPr>
      </xdr:nvCxnSpPr>
      <xdr:spPr>
        <a:xfrm>
          <a:off x="4778766" y="38651744"/>
          <a:ext cx="268605" cy="293"/>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198853</xdr:colOff>
      <xdr:row>214</xdr:row>
      <xdr:rowOff>72929</xdr:rowOff>
    </xdr:from>
    <xdr:to>
      <xdr:col>32</xdr:col>
      <xdr:colOff>5715</xdr:colOff>
      <xdr:row>226</xdr:row>
      <xdr:rowOff>63699</xdr:rowOff>
    </xdr:to>
    <xdr:cxnSp macro="">
      <xdr:nvCxnSpPr>
        <xdr:cNvPr id="234" name="直線コネクタ 31">
          <a:extLst>
            <a:ext uri="{FF2B5EF4-FFF2-40B4-BE49-F238E27FC236}">
              <a16:creationId xmlns:a16="http://schemas.microsoft.com/office/drawing/2014/main" id="{EF896AE2-53B6-4402-969F-DA825F049877}"/>
            </a:ext>
          </a:extLst>
        </xdr:cNvPr>
        <xdr:cNvCxnSpPr>
          <a:cxnSpLocks/>
          <a:stCxn id="229" idx="3"/>
          <a:endCxn id="218" idx="1"/>
        </xdr:cNvCxnSpPr>
      </xdr:nvCxnSpPr>
      <xdr:spPr>
        <a:xfrm flipV="1">
          <a:off x="6828253" y="36763229"/>
          <a:ext cx="492662" cy="2048170"/>
        </a:xfrm>
        <a:prstGeom prst="bentConnector3">
          <a:avLst>
            <a:gd name="adj1" fmla="val 69765"/>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200757</xdr:colOff>
      <xdr:row>213</xdr:row>
      <xdr:rowOff>56371</xdr:rowOff>
    </xdr:from>
    <xdr:to>
      <xdr:col>32</xdr:col>
      <xdr:colOff>11137</xdr:colOff>
      <xdr:row>224</xdr:row>
      <xdr:rowOff>58276</xdr:rowOff>
    </xdr:to>
    <xdr:cxnSp macro="">
      <xdr:nvCxnSpPr>
        <xdr:cNvPr id="235" name="直線コネクタ 31">
          <a:extLst>
            <a:ext uri="{FF2B5EF4-FFF2-40B4-BE49-F238E27FC236}">
              <a16:creationId xmlns:a16="http://schemas.microsoft.com/office/drawing/2014/main" id="{D3A4D08D-271C-4687-8412-634382FD7B23}"/>
            </a:ext>
          </a:extLst>
        </xdr:cNvPr>
        <xdr:cNvCxnSpPr>
          <a:cxnSpLocks/>
          <a:stCxn id="228" idx="3"/>
          <a:endCxn id="215" idx="1"/>
        </xdr:cNvCxnSpPr>
      </xdr:nvCxnSpPr>
      <xdr:spPr>
        <a:xfrm flipV="1">
          <a:off x="6830157" y="36575221"/>
          <a:ext cx="496180" cy="1887855"/>
        </a:xfrm>
        <a:prstGeom prst="bentConnector3">
          <a:avLst>
            <a:gd name="adj1" fmla="val 37526"/>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44</xdr:col>
      <xdr:colOff>144449</xdr:colOff>
      <xdr:row>211</xdr:row>
      <xdr:rowOff>40418</xdr:rowOff>
    </xdr:from>
    <xdr:to>
      <xdr:col>45</xdr:col>
      <xdr:colOff>204619</xdr:colOff>
      <xdr:row>220</xdr:row>
      <xdr:rowOff>121920</xdr:rowOff>
    </xdr:to>
    <xdr:sp macro="" textlink="">
      <xdr:nvSpPr>
        <xdr:cNvPr id="236" name="右中かっこ 235">
          <a:extLst>
            <a:ext uri="{FF2B5EF4-FFF2-40B4-BE49-F238E27FC236}">
              <a16:creationId xmlns:a16="http://schemas.microsoft.com/office/drawing/2014/main" id="{4F1EC7C1-2FF4-4E4E-9646-10799688D88C}"/>
            </a:ext>
          </a:extLst>
        </xdr:cNvPr>
        <xdr:cNvSpPr/>
      </xdr:nvSpPr>
      <xdr:spPr>
        <a:xfrm>
          <a:off x="10202849" y="36216368"/>
          <a:ext cx="288770" cy="1624552"/>
        </a:xfrm>
        <a:prstGeom prst="righ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48</xdr:col>
      <xdr:colOff>103812</xdr:colOff>
      <xdr:row>96</xdr:row>
      <xdr:rowOff>132176</xdr:rowOff>
    </xdr:from>
    <xdr:to>
      <xdr:col>49</xdr:col>
      <xdr:colOff>188429</xdr:colOff>
      <xdr:row>105</xdr:row>
      <xdr:rowOff>91758</xdr:rowOff>
    </xdr:to>
    <xdr:sp macro="" textlink="">
      <xdr:nvSpPr>
        <xdr:cNvPr id="237" name="右中かっこ 236">
          <a:extLst>
            <a:ext uri="{FF2B5EF4-FFF2-40B4-BE49-F238E27FC236}">
              <a16:creationId xmlns:a16="http://schemas.microsoft.com/office/drawing/2014/main" id="{A8DF4C9A-9496-4C62-A9FD-6496327491E3}"/>
            </a:ext>
          </a:extLst>
        </xdr:cNvPr>
        <xdr:cNvSpPr/>
      </xdr:nvSpPr>
      <xdr:spPr>
        <a:xfrm>
          <a:off x="11076612" y="16591376"/>
          <a:ext cx="313217" cy="1502632"/>
        </a:xfrm>
        <a:prstGeom prst="righ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47</xdr:col>
      <xdr:colOff>64121</xdr:colOff>
      <xdr:row>176</xdr:row>
      <xdr:rowOff>21051</xdr:rowOff>
    </xdr:from>
    <xdr:to>
      <xdr:col>48</xdr:col>
      <xdr:colOff>148739</xdr:colOff>
      <xdr:row>184</xdr:row>
      <xdr:rowOff>123508</xdr:rowOff>
    </xdr:to>
    <xdr:sp macro="" textlink="">
      <xdr:nvSpPr>
        <xdr:cNvPr id="238" name="右中かっこ 237">
          <a:extLst>
            <a:ext uri="{FF2B5EF4-FFF2-40B4-BE49-F238E27FC236}">
              <a16:creationId xmlns:a16="http://schemas.microsoft.com/office/drawing/2014/main" id="{70B02C87-2B40-4002-91E4-51DE640FCD92}"/>
            </a:ext>
          </a:extLst>
        </xdr:cNvPr>
        <xdr:cNvSpPr/>
      </xdr:nvSpPr>
      <xdr:spPr>
        <a:xfrm>
          <a:off x="10808321" y="30196251"/>
          <a:ext cx="313218" cy="1474057"/>
        </a:xfrm>
        <a:prstGeom prst="righ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10</xdr:col>
      <xdr:colOff>281009</xdr:colOff>
      <xdr:row>23</xdr:row>
      <xdr:rowOff>66087</xdr:rowOff>
    </xdr:from>
    <xdr:to>
      <xdr:col>12</xdr:col>
      <xdr:colOff>18463</xdr:colOff>
      <xdr:row>23</xdr:row>
      <xdr:rowOff>67142</xdr:rowOff>
    </xdr:to>
    <xdr:cxnSp macro="">
      <xdr:nvCxnSpPr>
        <xdr:cNvPr id="2" name="直線コネクタ 1">
          <a:extLst>
            <a:ext uri="{FF2B5EF4-FFF2-40B4-BE49-F238E27FC236}">
              <a16:creationId xmlns:a16="http://schemas.microsoft.com/office/drawing/2014/main" id="{20C83B16-AB9E-4C11-B809-855C0EDCDFF9}"/>
            </a:ext>
          </a:extLst>
        </xdr:cNvPr>
        <xdr:cNvCxnSpPr>
          <a:cxnSpLocks/>
          <a:stCxn id="4" idx="3"/>
          <a:endCxn id="12" idx="1"/>
        </xdr:cNvCxnSpPr>
      </xdr:nvCxnSpPr>
      <xdr:spPr>
        <a:xfrm>
          <a:off x="2509859" y="4009437"/>
          <a:ext cx="251804" cy="1055"/>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201051</xdr:colOff>
      <xdr:row>23</xdr:row>
      <xdr:rowOff>67508</xdr:rowOff>
    </xdr:from>
    <xdr:to>
      <xdr:col>22</xdr:col>
      <xdr:colOff>22567</xdr:colOff>
      <xdr:row>23</xdr:row>
      <xdr:rowOff>70238</xdr:rowOff>
    </xdr:to>
    <xdr:cxnSp macro="">
      <xdr:nvCxnSpPr>
        <xdr:cNvPr id="3" name="直線コネクタ 2">
          <a:extLst>
            <a:ext uri="{FF2B5EF4-FFF2-40B4-BE49-F238E27FC236}">
              <a16:creationId xmlns:a16="http://schemas.microsoft.com/office/drawing/2014/main" id="{D480EAD8-7900-4FF4-B203-308009BB448F}"/>
            </a:ext>
          </a:extLst>
        </xdr:cNvPr>
        <xdr:cNvCxnSpPr>
          <a:cxnSpLocks/>
          <a:stCxn id="5" idx="3"/>
          <a:endCxn id="6" idx="1"/>
        </xdr:cNvCxnSpPr>
      </xdr:nvCxnSpPr>
      <xdr:spPr>
        <a:xfrm>
          <a:off x="4773051" y="4010858"/>
          <a:ext cx="278716" cy="2730"/>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107654</xdr:colOff>
      <xdr:row>23</xdr:row>
      <xdr:rowOff>13233</xdr:rowOff>
    </xdr:from>
    <xdr:to>
      <xdr:col>10</xdr:col>
      <xdr:colOff>281009</xdr:colOff>
      <xdr:row>23</xdr:row>
      <xdr:rowOff>118940</xdr:rowOff>
    </xdr:to>
    <xdr:sp macro="" textlink="">
      <xdr:nvSpPr>
        <xdr:cNvPr id="4" name="正方形/長方形 3">
          <a:extLst>
            <a:ext uri="{FF2B5EF4-FFF2-40B4-BE49-F238E27FC236}">
              <a16:creationId xmlns:a16="http://schemas.microsoft.com/office/drawing/2014/main" id="{61EFF22B-821C-4237-9160-93110350ED58}"/>
            </a:ext>
          </a:extLst>
        </xdr:cNvPr>
        <xdr:cNvSpPr/>
      </xdr:nvSpPr>
      <xdr:spPr>
        <a:xfrm>
          <a:off x="2393654" y="3956583"/>
          <a:ext cx="116205" cy="10570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21981</xdr:colOff>
      <xdr:row>23</xdr:row>
      <xdr:rowOff>14654</xdr:rowOff>
    </xdr:from>
    <xdr:to>
      <xdr:col>20</xdr:col>
      <xdr:colOff>199146</xdr:colOff>
      <xdr:row>23</xdr:row>
      <xdr:rowOff>116551</xdr:rowOff>
    </xdr:to>
    <xdr:sp macro="" textlink="">
      <xdr:nvSpPr>
        <xdr:cNvPr id="5" name="正方形/長方形 4">
          <a:extLst>
            <a:ext uri="{FF2B5EF4-FFF2-40B4-BE49-F238E27FC236}">
              <a16:creationId xmlns:a16="http://schemas.microsoft.com/office/drawing/2014/main" id="{1EBC1E8E-A1BD-447C-9490-E216E79DF62D}"/>
            </a:ext>
          </a:extLst>
        </xdr:cNvPr>
        <xdr:cNvSpPr/>
      </xdr:nvSpPr>
      <xdr:spPr>
        <a:xfrm>
          <a:off x="4593981" y="3958004"/>
          <a:ext cx="17716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18757</xdr:colOff>
      <xdr:row>23</xdr:row>
      <xdr:rowOff>20242</xdr:rowOff>
    </xdr:from>
    <xdr:to>
      <xdr:col>22</xdr:col>
      <xdr:colOff>192112</xdr:colOff>
      <xdr:row>23</xdr:row>
      <xdr:rowOff>122139</xdr:rowOff>
    </xdr:to>
    <xdr:sp macro="" textlink="">
      <xdr:nvSpPr>
        <xdr:cNvPr id="6" name="正方形/長方形 5">
          <a:extLst>
            <a:ext uri="{FF2B5EF4-FFF2-40B4-BE49-F238E27FC236}">
              <a16:creationId xmlns:a16="http://schemas.microsoft.com/office/drawing/2014/main" id="{D1231697-604B-4F98-AC70-C63ECA8D6F31}"/>
            </a:ext>
          </a:extLst>
        </xdr:cNvPr>
        <xdr:cNvSpPr/>
      </xdr:nvSpPr>
      <xdr:spPr>
        <a:xfrm>
          <a:off x="5047957" y="3963592"/>
          <a:ext cx="17335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18757</xdr:colOff>
      <xdr:row>23</xdr:row>
      <xdr:rowOff>9232</xdr:rowOff>
    </xdr:from>
    <xdr:to>
      <xdr:col>32</xdr:col>
      <xdr:colOff>182587</xdr:colOff>
      <xdr:row>23</xdr:row>
      <xdr:rowOff>103509</xdr:rowOff>
    </xdr:to>
    <xdr:sp macro="" textlink="">
      <xdr:nvSpPr>
        <xdr:cNvPr id="7" name="正方形/長方形 6">
          <a:extLst>
            <a:ext uri="{FF2B5EF4-FFF2-40B4-BE49-F238E27FC236}">
              <a16:creationId xmlns:a16="http://schemas.microsoft.com/office/drawing/2014/main" id="{DD4CF383-2566-4452-8DCE-53A3E93D80B4}"/>
            </a:ext>
          </a:extLst>
        </xdr:cNvPr>
        <xdr:cNvSpPr/>
      </xdr:nvSpPr>
      <xdr:spPr>
        <a:xfrm>
          <a:off x="7333957" y="3952582"/>
          <a:ext cx="163830"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27402</xdr:colOff>
      <xdr:row>23</xdr:row>
      <xdr:rowOff>11137</xdr:rowOff>
    </xdr:from>
    <xdr:to>
      <xdr:col>29</xdr:col>
      <xdr:colOff>200757</xdr:colOff>
      <xdr:row>23</xdr:row>
      <xdr:rowOff>105414</xdr:rowOff>
    </xdr:to>
    <xdr:sp macro="" textlink="">
      <xdr:nvSpPr>
        <xdr:cNvPr id="8" name="正方形/長方形 7">
          <a:extLst>
            <a:ext uri="{FF2B5EF4-FFF2-40B4-BE49-F238E27FC236}">
              <a16:creationId xmlns:a16="http://schemas.microsoft.com/office/drawing/2014/main" id="{A772269A-64A3-47F0-B0E4-B8B0085296F5}"/>
            </a:ext>
          </a:extLst>
        </xdr:cNvPr>
        <xdr:cNvSpPr/>
      </xdr:nvSpPr>
      <xdr:spPr>
        <a:xfrm>
          <a:off x="6656802" y="3954487"/>
          <a:ext cx="17335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25</xdr:row>
      <xdr:rowOff>14655</xdr:rowOff>
    </xdr:from>
    <xdr:to>
      <xdr:col>29</xdr:col>
      <xdr:colOff>198853</xdr:colOff>
      <xdr:row>25</xdr:row>
      <xdr:rowOff>112742</xdr:rowOff>
    </xdr:to>
    <xdr:sp macro="" textlink="">
      <xdr:nvSpPr>
        <xdr:cNvPr id="9" name="正方形/長方形 8">
          <a:extLst>
            <a:ext uri="{FF2B5EF4-FFF2-40B4-BE49-F238E27FC236}">
              <a16:creationId xmlns:a16="http://schemas.microsoft.com/office/drawing/2014/main" id="{631F789F-C0DB-4EA2-85AE-1E693E38933B}"/>
            </a:ext>
          </a:extLst>
        </xdr:cNvPr>
        <xdr:cNvSpPr/>
      </xdr:nvSpPr>
      <xdr:spPr>
        <a:xfrm>
          <a:off x="6658708" y="430090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13335</xdr:colOff>
      <xdr:row>24</xdr:row>
      <xdr:rowOff>21980</xdr:rowOff>
    </xdr:from>
    <xdr:to>
      <xdr:col>32</xdr:col>
      <xdr:colOff>171450</xdr:colOff>
      <xdr:row>24</xdr:row>
      <xdr:rowOff>123877</xdr:rowOff>
    </xdr:to>
    <xdr:sp macro="" textlink="">
      <xdr:nvSpPr>
        <xdr:cNvPr id="10" name="正方形/長方形 9">
          <a:extLst>
            <a:ext uri="{FF2B5EF4-FFF2-40B4-BE49-F238E27FC236}">
              <a16:creationId xmlns:a16="http://schemas.microsoft.com/office/drawing/2014/main" id="{80AD3255-CBB9-42A2-9D94-4A378C8B344D}"/>
            </a:ext>
          </a:extLst>
        </xdr:cNvPr>
        <xdr:cNvSpPr/>
      </xdr:nvSpPr>
      <xdr:spPr>
        <a:xfrm>
          <a:off x="7328535" y="4136780"/>
          <a:ext cx="158115" cy="10189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200757</xdr:colOff>
      <xdr:row>23</xdr:row>
      <xdr:rowOff>56371</xdr:rowOff>
    </xdr:from>
    <xdr:to>
      <xdr:col>32</xdr:col>
      <xdr:colOff>18757</xdr:colOff>
      <xdr:row>23</xdr:row>
      <xdr:rowOff>58276</xdr:rowOff>
    </xdr:to>
    <xdr:cxnSp macro="">
      <xdr:nvCxnSpPr>
        <xdr:cNvPr id="11" name="直線コネクタ 10">
          <a:extLst>
            <a:ext uri="{FF2B5EF4-FFF2-40B4-BE49-F238E27FC236}">
              <a16:creationId xmlns:a16="http://schemas.microsoft.com/office/drawing/2014/main" id="{6DDC496C-B016-493E-8C99-F7F7C6D43723}"/>
            </a:ext>
          </a:extLst>
        </xdr:cNvPr>
        <xdr:cNvCxnSpPr>
          <a:stCxn id="7" idx="1"/>
          <a:endCxn id="8" idx="3"/>
        </xdr:cNvCxnSpPr>
      </xdr:nvCxnSpPr>
      <xdr:spPr>
        <a:xfrm flipH="1">
          <a:off x="6830157" y="3999721"/>
          <a:ext cx="503800" cy="1905"/>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18463</xdr:colOff>
      <xdr:row>23</xdr:row>
      <xdr:rowOff>22861</xdr:rowOff>
    </xdr:from>
    <xdr:to>
      <xdr:col>12</xdr:col>
      <xdr:colOff>191818</xdr:colOff>
      <xdr:row>23</xdr:row>
      <xdr:rowOff>111423</xdr:rowOff>
    </xdr:to>
    <xdr:sp macro="" textlink="">
      <xdr:nvSpPr>
        <xdr:cNvPr id="12" name="正方形/長方形 11">
          <a:extLst>
            <a:ext uri="{FF2B5EF4-FFF2-40B4-BE49-F238E27FC236}">
              <a16:creationId xmlns:a16="http://schemas.microsoft.com/office/drawing/2014/main" id="{FD82AA85-764B-446C-BDC8-5994938B757E}"/>
            </a:ext>
          </a:extLst>
        </xdr:cNvPr>
        <xdr:cNvSpPr/>
      </xdr:nvSpPr>
      <xdr:spPr>
        <a:xfrm>
          <a:off x="2761663" y="3966211"/>
          <a:ext cx="173355" cy="8856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21981</xdr:colOff>
      <xdr:row>24</xdr:row>
      <xdr:rowOff>23885</xdr:rowOff>
    </xdr:from>
    <xdr:to>
      <xdr:col>22</xdr:col>
      <xdr:colOff>191526</xdr:colOff>
      <xdr:row>24</xdr:row>
      <xdr:rowOff>127688</xdr:rowOff>
    </xdr:to>
    <xdr:sp macro="" textlink="">
      <xdr:nvSpPr>
        <xdr:cNvPr id="13" name="正方形/長方形 12">
          <a:extLst>
            <a:ext uri="{FF2B5EF4-FFF2-40B4-BE49-F238E27FC236}">
              <a16:creationId xmlns:a16="http://schemas.microsoft.com/office/drawing/2014/main" id="{28535498-5581-44DD-B45D-9DF0BEE97A3D}"/>
            </a:ext>
          </a:extLst>
        </xdr:cNvPr>
        <xdr:cNvSpPr/>
      </xdr:nvSpPr>
      <xdr:spPr>
        <a:xfrm>
          <a:off x="5051181" y="413868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21981</xdr:colOff>
      <xdr:row>24</xdr:row>
      <xdr:rowOff>29308</xdr:rowOff>
    </xdr:from>
    <xdr:to>
      <xdr:col>20</xdr:col>
      <xdr:colOff>210576</xdr:colOff>
      <xdr:row>24</xdr:row>
      <xdr:rowOff>121680</xdr:rowOff>
    </xdr:to>
    <xdr:sp macro="" textlink="">
      <xdr:nvSpPr>
        <xdr:cNvPr id="14" name="正方形/長方形 13">
          <a:extLst>
            <a:ext uri="{FF2B5EF4-FFF2-40B4-BE49-F238E27FC236}">
              <a16:creationId xmlns:a16="http://schemas.microsoft.com/office/drawing/2014/main" id="{FA1F2A4E-6560-4D18-9035-484CF67705C4}"/>
            </a:ext>
          </a:extLst>
        </xdr:cNvPr>
        <xdr:cNvSpPr/>
      </xdr:nvSpPr>
      <xdr:spPr>
        <a:xfrm>
          <a:off x="4593981" y="4144108"/>
          <a:ext cx="188595" cy="9237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206766</xdr:colOff>
      <xdr:row>24</xdr:row>
      <xdr:rowOff>75494</xdr:rowOff>
    </xdr:from>
    <xdr:to>
      <xdr:col>22</xdr:col>
      <xdr:colOff>18171</xdr:colOff>
      <xdr:row>24</xdr:row>
      <xdr:rowOff>75787</xdr:rowOff>
    </xdr:to>
    <xdr:cxnSp macro="">
      <xdr:nvCxnSpPr>
        <xdr:cNvPr id="15" name="直線コネクタ 14">
          <a:extLst>
            <a:ext uri="{FF2B5EF4-FFF2-40B4-BE49-F238E27FC236}">
              <a16:creationId xmlns:a16="http://schemas.microsoft.com/office/drawing/2014/main" id="{5AFE3ACA-01DF-460D-88AC-C0E76981F463}"/>
            </a:ext>
          </a:extLst>
        </xdr:cNvPr>
        <xdr:cNvCxnSpPr>
          <a:cxnSpLocks/>
          <a:stCxn id="14" idx="3"/>
          <a:endCxn id="13" idx="1"/>
        </xdr:cNvCxnSpPr>
      </xdr:nvCxnSpPr>
      <xdr:spPr>
        <a:xfrm>
          <a:off x="4778766" y="4190294"/>
          <a:ext cx="268605" cy="293"/>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198853</xdr:colOff>
      <xdr:row>24</xdr:row>
      <xdr:rowOff>72929</xdr:rowOff>
    </xdr:from>
    <xdr:to>
      <xdr:col>32</xdr:col>
      <xdr:colOff>13335</xdr:colOff>
      <xdr:row>25</xdr:row>
      <xdr:rowOff>63699</xdr:rowOff>
    </xdr:to>
    <xdr:cxnSp macro="">
      <xdr:nvCxnSpPr>
        <xdr:cNvPr id="16" name="直線コネクタ 31">
          <a:extLst>
            <a:ext uri="{FF2B5EF4-FFF2-40B4-BE49-F238E27FC236}">
              <a16:creationId xmlns:a16="http://schemas.microsoft.com/office/drawing/2014/main" id="{EC706A70-2774-4967-95B7-D7F4CA57DB16}"/>
            </a:ext>
          </a:extLst>
        </xdr:cNvPr>
        <xdr:cNvCxnSpPr>
          <a:stCxn id="9" idx="3"/>
          <a:endCxn id="10" idx="1"/>
        </xdr:cNvCxnSpPr>
      </xdr:nvCxnSpPr>
      <xdr:spPr>
        <a:xfrm flipV="1">
          <a:off x="6828253" y="4187729"/>
          <a:ext cx="500282" cy="162220"/>
        </a:xfrm>
        <a:prstGeom prst="bentConnector3">
          <a:avLst>
            <a:gd name="adj1" fmla="val 69416"/>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41</xdr:col>
      <xdr:colOff>88880</xdr:colOff>
      <xdr:row>34</xdr:row>
      <xdr:rowOff>69946</xdr:rowOff>
    </xdr:from>
    <xdr:to>
      <xdr:col>42</xdr:col>
      <xdr:colOff>149049</xdr:colOff>
      <xdr:row>58</xdr:row>
      <xdr:rowOff>63500</xdr:rowOff>
    </xdr:to>
    <xdr:sp macro="" textlink="">
      <xdr:nvSpPr>
        <xdr:cNvPr id="17" name="右中かっこ 16">
          <a:extLst>
            <a:ext uri="{FF2B5EF4-FFF2-40B4-BE49-F238E27FC236}">
              <a16:creationId xmlns:a16="http://schemas.microsoft.com/office/drawing/2014/main" id="{4D7C7C75-8AD4-4F01-888D-C86CA27E6FC0}"/>
            </a:ext>
          </a:extLst>
        </xdr:cNvPr>
        <xdr:cNvSpPr/>
      </xdr:nvSpPr>
      <xdr:spPr>
        <a:xfrm>
          <a:off x="9461480" y="5899246"/>
          <a:ext cx="288769" cy="4108354"/>
        </a:xfrm>
        <a:prstGeom prst="righ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20</xdr:col>
      <xdr:colOff>230505</xdr:colOff>
      <xdr:row>36</xdr:row>
      <xdr:rowOff>66190</xdr:rowOff>
    </xdr:from>
    <xdr:to>
      <xdr:col>22</xdr:col>
      <xdr:colOff>21981</xdr:colOff>
      <xdr:row>41</xdr:row>
      <xdr:rowOff>75788</xdr:rowOff>
    </xdr:to>
    <xdr:cxnSp macro="">
      <xdr:nvCxnSpPr>
        <xdr:cNvPr id="18" name="直線コネクタ 31">
          <a:extLst>
            <a:ext uri="{FF2B5EF4-FFF2-40B4-BE49-F238E27FC236}">
              <a16:creationId xmlns:a16="http://schemas.microsoft.com/office/drawing/2014/main" id="{4669B60C-E558-40FF-9DBB-1A5C7BB55B1F}"/>
            </a:ext>
          </a:extLst>
        </xdr:cNvPr>
        <xdr:cNvCxnSpPr>
          <a:cxnSpLocks/>
          <a:stCxn id="89" idx="1"/>
          <a:endCxn id="22" idx="3"/>
        </xdr:cNvCxnSpPr>
      </xdr:nvCxnSpPr>
      <xdr:spPr>
        <a:xfrm rot="10800000">
          <a:off x="4802505" y="6238390"/>
          <a:ext cx="248676" cy="866848"/>
        </a:xfrm>
        <a:prstGeom prst="bentConnector3">
          <a:avLst>
            <a:gd name="adj1" fmla="val 50000"/>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281009</xdr:colOff>
      <xdr:row>23</xdr:row>
      <xdr:rowOff>66087</xdr:rowOff>
    </xdr:from>
    <xdr:to>
      <xdr:col>12</xdr:col>
      <xdr:colOff>21980</xdr:colOff>
      <xdr:row>37</xdr:row>
      <xdr:rowOff>71976</xdr:rowOff>
    </xdr:to>
    <xdr:cxnSp macro="">
      <xdr:nvCxnSpPr>
        <xdr:cNvPr id="19" name="直線コネクタ 31">
          <a:extLst>
            <a:ext uri="{FF2B5EF4-FFF2-40B4-BE49-F238E27FC236}">
              <a16:creationId xmlns:a16="http://schemas.microsoft.com/office/drawing/2014/main" id="{27D93137-2770-42B7-95B2-2B47C5A13922}"/>
            </a:ext>
          </a:extLst>
        </xdr:cNvPr>
        <xdr:cNvCxnSpPr>
          <a:cxnSpLocks/>
          <a:stCxn id="4" idx="3"/>
          <a:endCxn id="21" idx="1"/>
        </xdr:cNvCxnSpPr>
      </xdr:nvCxnSpPr>
      <xdr:spPr>
        <a:xfrm>
          <a:off x="2509859" y="4009437"/>
          <a:ext cx="255321" cy="2406189"/>
        </a:xfrm>
        <a:prstGeom prst="bentConnector3">
          <a:avLst>
            <a:gd name="adj1" fmla="val 50000"/>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24765</xdr:colOff>
      <xdr:row>27</xdr:row>
      <xdr:rowOff>127634</xdr:rowOff>
    </xdr:from>
    <xdr:to>
      <xdr:col>10</xdr:col>
      <xdr:colOff>112395</xdr:colOff>
      <xdr:row>52</xdr:row>
      <xdr:rowOff>87312</xdr:rowOff>
    </xdr:to>
    <xdr:sp macro="" textlink="">
      <xdr:nvSpPr>
        <xdr:cNvPr id="20" name="テキスト ボックス 19">
          <a:extLst>
            <a:ext uri="{FF2B5EF4-FFF2-40B4-BE49-F238E27FC236}">
              <a16:creationId xmlns:a16="http://schemas.microsoft.com/office/drawing/2014/main" id="{094D06FF-308F-4AD5-AC05-CE9E8182E88E}"/>
            </a:ext>
          </a:extLst>
        </xdr:cNvPr>
        <xdr:cNvSpPr txBox="1"/>
      </xdr:nvSpPr>
      <xdr:spPr>
        <a:xfrm>
          <a:off x="481965" y="4756784"/>
          <a:ext cx="1916430" cy="4245928"/>
        </a:xfrm>
        <a:prstGeom prst="rect">
          <a:avLst/>
        </a:prstGeom>
        <a:solidFill>
          <a:srgbClr val="FFFFC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lstStyle/>
        <a:p>
          <a:r>
            <a:rPr kumimoji="1" lang="en-US" altLang="ja-JP" sz="900">
              <a:latin typeface="ＭＳ ゴシック" panose="020B0609070205080204" pitchFamily="49" charset="-128"/>
              <a:ea typeface="ＭＳ ゴシック" panose="020B0609070205080204" pitchFamily="49" charset="-128"/>
            </a:rPr>
            <a:t>【</a:t>
          </a:r>
          <a:r>
            <a:rPr kumimoji="1" lang="ja-JP" altLang="en-US" sz="900">
              <a:latin typeface="ＭＳ ゴシック" panose="020B0609070205080204" pitchFamily="49" charset="-128"/>
              <a:ea typeface="ＭＳ ゴシック" panose="020B0609070205080204" pitchFamily="49" charset="-128"/>
            </a:rPr>
            <a:t>ジャーナル印字イメージ</a:t>
          </a:r>
          <a:r>
            <a:rPr kumimoji="1" lang="en-US" altLang="ja-JP" sz="900">
              <a:latin typeface="ＭＳ ゴシック" panose="020B0609070205080204" pitchFamily="49" charset="-128"/>
              <a:ea typeface="ＭＳ ゴシック" panose="020B0609070205080204" pitchFamily="49" charset="-128"/>
            </a:rPr>
            <a:t>】</a:t>
          </a:r>
        </a:p>
        <a:p>
          <a:r>
            <a:rPr kumimoji="1" lang="ja-JP" altLang="en-US" sz="900">
              <a:latin typeface="ＭＳ ゴシック" panose="020B0609070205080204" pitchFamily="49" charset="-128"/>
              <a:ea typeface="ＭＳ ゴシック" panose="020B0609070205080204" pitchFamily="49" charset="-128"/>
            </a:rPr>
            <a:t> </a:t>
          </a:r>
          <a:r>
            <a:rPr kumimoji="1" lang="en-US" altLang="ja-JP" sz="900">
              <a:latin typeface="ＭＳ ゴシック" panose="020B0609070205080204" pitchFamily="49" charset="-128"/>
              <a:ea typeface="ＭＳ ゴシック" panose="020B0609070205080204" pitchFamily="49" charset="-128"/>
            </a:rPr>
            <a:t>2024</a:t>
          </a:r>
          <a:r>
            <a:rPr kumimoji="1" lang="ja-JP" altLang="en-US" sz="900">
              <a:latin typeface="ＭＳ ゴシック" panose="020B0609070205080204" pitchFamily="49" charset="-128"/>
              <a:ea typeface="ＭＳ ゴシック" panose="020B0609070205080204" pitchFamily="49" charset="-128"/>
            </a:rPr>
            <a:t>年</a:t>
          </a:r>
          <a:r>
            <a:rPr kumimoji="1" lang="en-US" altLang="ja-JP" sz="900">
              <a:latin typeface="ＭＳ ゴシック" panose="020B0609070205080204" pitchFamily="49" charset="-128"/>
              <a:ea typeface="ＭＳ ゴシック" panose="020B0609070205080204" pitchFamily="49" charset="-128"/>
            </a:rPr>
            <a:t>10</a:t>
          </a:r>
          <a:r>
            <a:rPr kumimoji="1" lang="ja-JP" altLang="en-US" sz="900">
              <a:latin typeface="ＭＳ ゴシック" panose="020B0609070205080204" pitchFamily="49" charset="-128"/>
              <a:ea typeface="ＭＳ ゴシック" panose="020B0609070205080204" pitchFamily="49" charset="-128"/>
            </a:rPr>
            <a:t>月</a:t>
          </a:r>
          <a:r>
            <a:rPr kumimoji="1" lang="en-US" altLang="ja-JP" sz="900">
              <a:latin typeface="ＭＳ ゴシック" panose="020B0609070205080204" pitchFamily="49" charset="-128"/>
              <a:ea typeface="ＭＳ ゴシック" panose="020B0609070205080204" pitchFamily="49" charset="-128"/>
            </a:rPr>
            <a:t>13</a:t>
          </a:r>
          <a:r>
            <a:rPr kumimoji="1" lang="ja-JP" altLang="en-US" sz="900">
              <a:latin typeface="ＭＳ ゴシック" panose="020B0609070205080204" pitchFamily="49" charset="-128"/>
              <a:ea typeface="ＭＳ ゴシック" panose="020B0609070205080204" pitchFamily="49" charset="-128"/>
            </a:rPr>
            <a:t>日（日） </a:t>
          </a:r>
          <a:r>
            <a:rPr kumimoji="1" lang="en-US" altLang="ja-JP" sz="900">
              <a:latin typeface="ＭＳ ゴシック" panose="020B0609070205080204" pitchFamily="49" charset="-128"/>
              <a:ea typeface="ＭＳ ゴシック" panose="020B0609070205080204" pitchFamily="49" charset="-128"/>
            </a:rPr>
            <a:t>15:36     </a:t>
          </a:r>
        </a:p>
        <a:p>
          <a:r>
            <a:rPr kumimoji="1" lang="en-US" altLang="ja-JP" sz="900">
              <a:latin typeface="ＭＳ ゴシック" panose="020B0609070205080204" pitchFamily="49" charset="-128"/>
              <a:ea typeface="ＭＳ ゴシック" panose="020B0609070205080204" pitchFamily="49" charset="-128"/>
            </a:rPr>
            <a:t>   01 x</a:t>
          </a:r>
          <a:r>
            <a:rPr kumimoji="1" lang="ja-JP" altLang="en-US" sz="900">
              <a:latin typeface="ＭＳ ゴシック" panose="020B0609070205080204" pitchFamily="49" charset="-128"/>
              <a:ea typeface="ＭＳ ゴシック" panose="020B0609070205080204" pitchFamily="49" charset="-128"/>
            </a:rPr>
            <a:t>商品Ａ</a:t>
          </a:r>
          <a:r>
            <a:rPr kumimoji="1" lang="en-US" altLang="ja-JP" sz="900">
              <a:latin typeface="ＭＳ ゴシック" panose="020B0609070205080204" pitchFamily="49" charset="-128"/>
              <a:ea typeface="ＭＳ ゴシック" panose="020B0609070205080204" pitchFamily="49" charset="-128"/>
            </a:rPr>
            <a:t>                   </a:t>
          </a:r>
        </a:p>
        <a:p>
          <a:r>
            <a:rPr kumimoji="1" lang="en-US" altLang="ja-JP" sz="900">
              <a:latin typeface="ＭＳ ゴシック" panose="020B0609070205080204" pitchFamily="49" charset="-128"/>
              <a:ea typeface="ＭＳ ゴシック" panose="020B0609070205080204" pitchFamily="49" charset="-128"/>
            </a:rPr>
            <a:t>   4900000007015                </a:t>
          </a:r>
        </a:p>
        <a:p>
          <a:r>
            <a:rPr kumimoji="1" lang="en-US" altLang="ja-JP" sz="900">
              <a:latin typeface="ＭＳ ゴシック" panose="020B0609070205080204" pitchFamily="49" charset="-128"/>
              <a:ea typeface="ＭＳ ゴシック" panose="020B0609070205080204" pitchFamily="49" charset="-128"/>
            </a:rPr>
            <a:t>        \100  30</a:t>
          </a:r>
          <a:r>
            <a:rPr kumimoji="1" lang="ja-JP" altLang="en-US" sz="900">
              <a:latin typeface="ＭＳ ゴシック" panose="020B0609070205080204" pitchFamily="49" charset="-128"/>
              <a:ea typeface="ＭＳ ゴシック" panose="020B0609070205080204" pitchFamily="49" charset="-128"/>
            </a:rPr>
            <a:t>個       </a:t>
          </a:r>
          <a:r>
            <a:rPr kumimoji="1" lang="en-US" altLang="ja-JP" sz="900">
              <a:latin typeface="ＭＳ ゴシック" panose="020B0609070205080204" pitchFamily="49" charset="-128"/>
              <a:ea typeface="ＭＳ ゴシック" panose="020B0609070205080204" pitchFamily="49" charset="-128"/>
            </a:rPr>
            <a:t>\3,000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小計      </a:t>
          </a:r>
          <a:r>
            <a:rPr kumimoji="1" lang="en-US" altLang="ja-JP" sz="900">
              <a:latin typeface="ＭＳ ゴシック" panose="020B0609070205080204" pitchFamily="49" charset="-128"/>
              <a:ea typeface="ＭＳ ゴシック" panose="020B0609070205080204" pitchFamily="49" charset="-128"/>
            </a:rPr>
            <a:t>30</a:t>
          </a:r>
          <a:r>
            <a:rPr kumimoji="1" lang="ja-JP" altLang="en-US" sz="900">
              <a:latin typeface="ＭＳ ゴシック" panose="020B0609070205080204" pitchFamily="49" charset="-128"/>
              <a:ea typeface="ＭＳ ゴシック" panose="020B0609070205080204" pitchFamily="49" charset="-128"/>
            </a:rPr>
            <a:t>点          </a:t>
          </a:r>
          <a:r>
            <a:rPr kumimoji="1" lang="en-US" altLang="ja-JP" sz="900">
              <a:latin typeface="ＭＳ ゴシック" panose="020B0609070205080204" pitchFamily="49" charset="-128"/>
              <a:ea typeface="ＭＳ ゴシック" panose="020B0609070205080204" pitchFamily="49" charset="-128"/>
            </a:rPr>
            <a:t>\3,000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外税 </a:t>
          </a:r>
          <a:r>
            <a:rPr kumimoji="1" lang="en-US" altLang="ja-JP" sz="900">
              <a:latin typeface="ＭＳ ゴシック" panose="020B0609070205080204" pitchFamily="49" charset="-128"/>
              <a:ea typeface="ＭＳ ゴシック" panose="020B0609070205080204" pitchFamily="49" charset="-128"/>
            </a:rPr>
            <a:t>8.0%</a:t>
          </a:r>
          <a:r>
            <a:rPr kumimoji="1" lang="ja-JP" altLang="en-US" sz="900">
              <a:latin typeface="ＭＳ ゴシック" panose="020B0609070205080204" pitchFamily="49" charset="-128"/>
              <a:ea typeface="ＭＳ ゴシック" panose="020B0609070205080204" pitchFamily="49" charset="-128"/>
            </a:rPr>
            <a:t>対象額       </a:t>
          </a:r>
          <a:r>
            <a:rPr kumimoji="1" lang="en-US" altLang="ja-JP" sz="900">
              <a:latin typeface="ＭＳ ゴシック" panose="020B0609070205080204" pitchFamily="49" charset="-128"/>
              <a:ea typeface="ＭＳ ゴシック" panose="020B0609070205080204" pitchFamily="49" charset="-128"/>
            </a:rPr>
            <a:t>\3,000)</a:t>
          </a:r>
        </a:p>
        <a:p>
          <a:r>
            <a:rPr kumimoji="1" lang="en-US" altLang="ja-JP" sz="900">
              <a:latin typeface="ＭＳ ゴシック" panose="020B0609070205080204" pitchFamily="49" charset="-128"/>
              <a:ea typeface="ＭＳ ゴシック" panose="020B0609070205080204" pitchFamily="49" charset="-128"/>
            </a:rPr>
            <a:t>      8.0% </a:t>
          </a:r>
          <a:r>
            <a:rPr kumimoji="1" lang="ja-JP" altLang="en-US" sz="900">
              <a:latin typeface="ＭＳ ゴシック" panose="020B0609070205080204" pitchFamily="49" charset="-128"/>
              <a:ea typeface="ＭＳ ゴシック" panose="020B0609070205080204" pitchFamily="49" charset="-128"/>
            </a:rPr>
            <a:t>消費税等        </a:t>
          </a:r>
          <a:r>
            <a:rPr kumimoji="1" lang="en-US" altLang="ja-JP" sz="900">
              <a:latin typeface="ＭＳ ゴシック" panose="020B0609070205080204" pitchFamily="49" charset="-128"/>
              <a:ea typeface="ＭＳ ゴシック" panose="020B0609070205080204" pitchFamily="49" charset="-128"/>
            </a:rPr>
            <a:t>\240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外税額計                  </a:t>
          </a:r>
          <a:r>
            <a:rPr kumimoji="1" lang="en-US" altLang="ja-JP" sz="900">
              <a:latin typeface="ＭＳ ゴシック" panose="020B0609070205080204" pitchFamily="49" charset="-128"/>
              <a:ea typeface="ＭＳ ゴシック" panose="020B0609070205080204" pitchFamily="49" charset="-128"/>
            </a:rPr>
            <a:t>\240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税込小計                </a:t>
          </a:r>
          <a:r>
            <a:rPr kumimoji="1" lang="en-US" altLang="ja-JP" sz="900">
              <a:latin typeface="ＭＳ ゴシック" panose="020B0609070205080204" pitchFamily="49" charset="-128"/>
              <a:ea typeface="ＭＳ ゴシック" panose="020B0609070205080204" pitchFamily="49" charset="-128"/>
            </a:rPr>
            <a:t>\3,240 </a:t>
          </a:r>
        </a:p>
        <a:p>
          <a:r>
            <a:rPr kumimoji="1" lang="en-US" altLang="ja-JP" sz="900">
              <a:solidFill>
                <a:srgbClr val="FF0000"/>
              </a:solidFill>
              <a:latin typeface="ＭＳ ゴシック" panose="020B0609070205080204" pitchFamily="49" charset="-128"/>
              <a:ea typeface="ＭＳ ゴシック" panose="020B0609070205080204" pitchFamily="49" charset="-128"/>
            </a:rPr>
            <a:t> </a:t>
          </a:r>
          <a:r>
            <a:rPr kumimoji="1" lang="ja-JP" altLang="en-US" sz="900">
              <a:solidFill>
                <a:srgbClr val="FF0000"/>
              </a:solidFill>
              <a:latin typeface="ＭＳ ゴシック" panose="020B0609070205080204" pitchFamily="49" charset="-128"/>
              <a:ea typeface="ＭＳ ゴシック" panose="020B0609070205080204" pitchFamily="49" charset="-128"/>
            </a:rPr>
            <a:t>ご優待券      </a:t>
          </a:r>
          <a:r>
            <a:rPr kumimoji="1" lang="en-US" altLang="ja-JP" sz="900">
              <a:solidFill>
                <a:srgbClr val="FF0000"/>
              </a:solidFill>
              <a:latin typeface="ＭＳ ゴシック" panose="020B0609070205080204" pitchFamily="49" charset="-128"/>
              <a:ea typeface="ＭＳ ゴシック" panose="020B0609070205080204" pitchFamily="49" charset="-128"/>
            </a:rPr>
            <a:t>5</a:t>
          </a:r>
          <a:r>
            <a:rPr kumimoji="1" lang="ja-JP" altLang="en-US" sz="900">
              <a:solidFill>
                <a:srgbClr val="FF0000"/>
              </a:solidFill>
              <a:latin typeface="ＭＳ ゴシック" panose="020B0609070205080204" pitchFamily="49" charset="-128"/>
              <a:ea typeface="ＭＳ ゴシック" panose="020B0609070205080204" pitchFamily="49" charset="-128"/>
            </a:rPr>
            <a:t>枚        </a:t>
          </a:r>
          <a:r>
            <a:rPr kumimoji="1" lang="en-US" altLang="ja-JP" sz="900">
              <a:solidFill>
                <a:srgbClr val="FF0000"/>
              </a:solidFill>
              <a:latin typeface="ＭＳ ゴシック" panose="020B0609070205080204" pitchFamily="49" charset="-128"/>
              <a:ea typeface="ＭＳ ゴシック" panose="020B0609070205080204" pitchFamily="49" charset="-128"/>
            </a:rPr>
            <a:t>-\500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値引後税込小計          </a:t>
          </a:r>
          <a:r>
            <a:rPr kumimoji="1" lang="en-US" altLang="ja-JP" sz="900">
              <a:latin typeface="ＭＳ ゴシック" panose="020B0609070205080204" pitchFamily="49" charset="-128"/>
              <a:ea typeface="ＭＳ ゴシック" panose="020B0609070205080204" pitchFamily="49" charset="-128"/>
            </a:rPr>
            <a:t>\2,740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税込 </a:t>
          </a:r>
          <a:r>
            <a:rPr kumimoji="1" lang="en-US" altLang="ja-JP" sz="900">
              <a:latin typeface="ＭＳ ゴシック" panose="020B0609070205080204" pitchFamily="49" charset="-128"/>
              <a:ea typeface="ＭＳ ゴシック" panose="020B0609070205080204" pitchFamily="49" charset="-128"/>
            </a:rPr>
            <a:t>8.0%</a:t>
          </a:r>
          <a:r>
            <a:rPr kumimoji="1" lang="ja-JP" altLang="en-US" sz="900">
              <a:latin typeface="ＭＳ ゴシック" panose="020B0609070205080204" pitchFamily="49" charset="-128"/>
              <a:ea typeface="ＭＳ ゴシック" panose="020B0609070205080204" pitchFamily="49" charset="-128"/>
            </a:rPr>
            <a:t>対象額       </a:t>
          </a:r>
          <a:r>
            <a:rPr kumimoji="1" lang="en-US" altLang="ja-JP" sz="900">
              <a:latin typeface="ＭＳ ゴシック" panose="020B0609070205080204" pitchFamily="49" charset="-128"/>
              <a:ea typeface="ＭＳ ゴシック" panose="020B0609070205080204" pitchFamily="49" charset="-128"/>
            </a:rPr>
            <a:t>\2,740)</a:t>
          </a:r>
        </a:p>
        <a:p>
          <a:r>
            <a:rPr kumimoji="1" lang="en-US" altLang="ja-JP" sz="900">
              <a:latin typeface="ＭＳ ゴシック" panose="020B0609070205080204" pitchFamily="49" charset="-128"/>
              <a:ea typeface="ＭＳ ゴシック" panose="020B0609070205080204" pitchFamily="49" charset="-128"/>
            </a:rPr>
            <a:t>      8.0% </a:t>
          </a:r>
          <a:r>
            <a:rPr kumimoji="1" lang="ja-JP" altLang="en-US" sz="900">
              <a:latin typeface="ＭＳ ゴシック" panose="020B0609070205080204" pitchFamily="49" charset="-128"/>
              <a:ea typeface="ＭＳ ゴシック" panose="020B0609070205080204" pitchFamily="49" charset="-128"/>
            </a:rPr>
            <a:t>消費税等        </a:t>
          </a:r>
          <a:r>
            <a:rPr kumimoji="1" lang="en-US" altLang="ja-JP" sz="900">
              <a:latin typeface="ＭＳ ゴシック" panose="020B0609070205080204" pitchFamily="49" charset="-128"/>
              <a:ea typeface="ＭＳ ゴシック" panose="020B0609070205080204" pitchFamily="49" charset="-128"/>
            </a:rPr>
            <a:t>\202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税額計                    </a:t>
          </a:r>
          <a:r>
            <a:rPr kumimoji="1" lang="en-US" altLang="ja-JP" sz="900">
              <a:latin typeface="ＭＳ ゴシック" panose="020B0609070205080204" pitchFamily="49" charset="-128"/>
              <a:ea typeface="ＭＳ ゴシック" panose="020B0609070205080204" pitchFamily="49" charset="-128"/>
            </a:rPr>
            <a:t>\202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a:t>
          </a:r>
          <a:r>
            <a:rPr kumimoji="1" lang="en-US" altLang="ja-JP" sz="900">
              <a:latin typeface="ＭＳ ゴシック" panose="020B0609070205080204" pitchFamily="49" charset="-128"/>
              <a:ea typeface="ＭＳ ゴシック" panose="020B0609070205080204" pitchFamily="49" charset="-128"/>
            </a:rPr>
            <a:t>x</a:t>
          </a:r>
          <a:r>
            <a:rPr kumimoji="1" lang="ja-JP" altLang="en-US" sz="900">
              <a:latin typeface="ＭＳ ゴシック" panose="020B0609070205080204" pitchFamily="49" charset="-128"/>
              <a:ea typeface="ＭＳ ゴシック" panose="020B0609070205080204" pitchFamily="49" charset="-128"/>
            </a:rPr>
            <a:t>」は軽減税率対象商品です    </a:t>
          </a:r>
        </a:p>
        <a:p>
          <a:r>
            <a:rPr kumimoji="1" lang="ja-JP" altLang="en-US" sz="900">
              <a:latin typeface="ＭＳ ゴシック" panose="020B0609070205080204" pitchFamily="49" charset="-128"/>
              <a:ea typeface="ＭＳ ゴシック" panose="020B0609070205080204" pitchFamily="49" charset="-128"/>
            </a:rPr>
            <a:t> 合計              </a:t>
          </a:r>
          <a:r>
            <a:rPr kumimoji="1" lang="en-US" altLang="ja-JP" sz="900">
              <a:latin typeface="ＭＳ ゴシック" panose="020B0609070205080204" pitchFamily="49" charset="-128"/>
              <a:ea typeface="ＭＳ ゴシック" panose="020B0609070205080204" pitchFamily="49" charset="-128"/>
            </a:rPr>
            <a:t>\2,740       </a:t>
          </a:r>
        </a:p>
        <a:p>
          <a:r>
            <a:rPr kumimoji="1" lang="en-US" altLang="ja-JP" sz="900">
              <a:solidFill>
                <a:srgbClr val="FF0000"/>
              </a:solidFill>
              <a:latin typeface="ＭＳ ゴシック" panose="020B0609070205080204" pitchFamily="49" charset="-128"/>
              <a:ea typeface="ＭＳ ゴシック" panose="020B0609070205080204" pitchFamily="49" charset="-128"/>
            </a:rPr>
            <a:t> </a:t>
          </a:r>
          <a:r>
            <a:rPr kumimoji="1" lang="ja-JP" altLang="en-US" sz="900">
              <a:solidFill>
                <a:srgbClr val="FF0000"/>
              </a:solidFill>
              <a:latin typeface="ＭＳ ゴシック" panose="020B0609070205080204" pitchFamily="49" charset="-128"/>
              <a:ea typeface="ＭＳ ゴシック" panose="020B0609070205080204" pitchFamily="49" charset="-128"/>
            </a:rPr>
            <a:t>ギフト券      </a:t>
          </a:r>
          <a:r>
            <a:rPr kumimoji="1" lang="en-US" altLang="ja-JP" sz="900">
              <a:solidFill>
                <a:srgbClr val="FF0000"/>
              </a:solidFill>
              <a:latin typeface="ＭＳ ゴシック" panose="020B0609070205080204" pitchFamily="49" charset="-128"/>
              <a:ea typeface="ＭＳ ゴシック" panose="020B0609070205080204" pitchFamily="49" charset="-128"/>
            </a:rPr>
            <a:t>1</a:t>
          </a:r>
          <a:r>
            <a:rPr kumimoji="1" lang="ja-JP" altLang="en-US" sz="900">
              <a:solidFill>
                <a:srgbClr val="FF0000"/>
              </a:solidFill>
              <a:latin typeface="ＭＳ ゴシック" panose="020B0609070205080204" pitchFamily="49" charset="-128"/>
              <a:ea typeface="ＭＳ ゴシック" panose="020B0609070205080204" pitchFamily="49" charset="-128"/>
            </a:rPr>
            <a:t>枚        </a:t>
          </a:r>
          <a:r>
            <a:rPr kumimoji="1" lang="en-US" altLang="ja-JP" sz="900">
              <a:solidFill>
                <a:srgbClr val="FF0000"/>
              </a:solidFill>
              <a:latin typeface="ＭＳ ゴシック" panose="020B0609070205080204" pitchFamily="49" charset="-128"/>
              <a:ea typeface="ＭＳ ゴシック" panose="020B0609070205080204" pitchFamily="49" charset="-128"/>
            </a:rPr>
            <a:t>-\500 </a:t>
          </a:r>
        </a:p>
        <a:p>
          <a:r>
            <a:rPr kumimoji="1" lang="en-US" altLang="ja-JP" sz="900">
              <a:solidFill>
                <a:srgbClr val="FF0000"/>
              </a:solidFill>
              <a:latin typeface="ＭＳ ゴシック" panose="020B0609070205080204" pitchFamily="49" charset="-128"/>
              <a:ea typeface="ＭＳ ゴシック" panose="020B0609070205080204" pitchFamily="49" charset="-128"/>
            </a:rPr>
            <a:t> </a:t>
          </a:r>
          <a:r>
            <a:rPr kumimoji="1" lang="ja-JP" altLang="en-US" sz="900">
              <a:solidFill>
                <a:srgbClr val="FF0000"/>
              </a:solidFill>
              <a:latin typeface="ＭＳ ゴシック" panose="020B0609070205080204" pitchFamily="49" charset="-128"/>
              <a:ea typeface="ＭＳ ゴシック" panose="020B0609070205080204" pitchFamily="49" charset="-128"/>
            </a:rPr>
            <a:t>ギフト券      </a:t>
          </a:r>
          <a:r>
            <a:rPr kumimoji="1" lang="en-US" altLang="ja-JP" sz="900">
              <a:solidFill>
                <a:srgbClr val="FF0000"/>
              </a:solidFill>
              <a:latin typeface="ＭＳ ゴシック" panose="020B0609070205080204" pitchFamily="49" charset="-128"/>
              <a:ea typeface="ＭＳ ゴシック" panose="020B0609070205080204" pitchFamily="49" charset="-128"/>
            </a:rPr>
            <a:t>1</a:t>
          </a:r>
          <a:r>
            <a:rPr kumimoji="1" lang="ja-JP" altLang="en-US" sz="900">
              <a:solidFill>
                <a:srgbClr val="FF0000"/>
              </a:solidFill>
              <a:latin typeface="ＭＳ ゴシック" panose="020B0609070205080204" pitchFamily="49" charset="-128"/>
              <a:ea typeface="ＭＳ ゴシック" panose="020B0609070205080204" pitchFamily="49" charset="-128"/>
            </a:rPr>
            <a:t>枚        </a:t>
          </a:r>
          <a:r>
            <a:rPr kumimoji="1" lang="en-US" altLang="ja-JP" sz="900">
              <a:solidFill>
                <a:srgbClr val="FF0000"/>
              </a:solidFill>
              <a:latin typeface="ＭＳ ゴシック" panose="020B0609070205080204" pitchFamily="49" charset="-128"/>
              <a:ea typeface="ＭＳ ゴシック" panose="020B0609070205080204" pitchFamily="49" charset="-128"/>
            </a:rPr>
            <a:t>-\100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現計              </a:t>
          </a:r>
          <a:r>
            <a:rPr kumimoji="1" lang="en-US" altLang="ja-JP" sz="900">
              <a:latin typeface="ＭＳ ゴシック" panose="020B0609070205080204" pitchFamily="49" charset="-128"/>
              <a:ea typeface="ＭＳ ゴシック" panose="020B0609070205080204" pitchFamily="49" charset="-128"/>
            </a:rPr>
            <a:t>\2,140       </a:t>
          </a:r>
        </a:p>
        <a:p>
          <a:r>
            <a:rPr kumimoji="1" lang="en-US" altLang="ja-JP" sz="900">
              <a:solidFill>
                <a:srgbClr val="FF0000"/>
              </a:solidFill>
              <a:latin typeface="ＭＳ ゴシック" panose="020B0609070205080204" pitchFamily="49" charset="-128"/>
              <a:ea typeface="ＭＳ ゴシック" panose="020B0609070205080204" pitchFamily="49" charset="-128"/>
            </a:rPr>
            <a:t> </a:t>
          </a:r>
          <a:r>
            <a:rPr kumimoji="1" lang="ja-JP" altLang="en-US" sz="900">
              <a:solidFill>
                <a:srgbClr val="FF0000"/>
              </a:solidFill>
              <a:latin typeface="ＭＳ ゴシック" panose="020B0609070205080204" pitchFamily="49" charset="-128"/>
              <a:ea typeface="ＭＳ ゴシック" panose="020B0609070205080204" pitchFamily="49" charset="-128"/>
            </a:rPr>
            <a:t>お預り            </a:t>
          </a:r>
          <a:r>
            <a:rPr kumimoji="1" lang="en-US" altLang="ja-JP" sz="900">
              <a:solidFill>
                <a:srgbClr val="FF0000"/>
              </a:solidFill>
              <a:latin typeface="ＭＳ ゴシック" panose="020B0609070205080204" pitchFamily="49" charset="-128"/>
              <a:ea typeface="ＭＳ ゴシック" panose="020B0609070205080204" pitchFamily="49" charset="-128"/>
            </a:rPr>
            <a:t>\3,000       </a:t>
          </a:r>
        </a:p>
        <a:p>
          <a:r>
            <a:rPr kumimoji="1" lang="en-US" altLang="ja-JP" sz="900">
              <a:solidFill>
                <a:srgbClr val="FF0000"/>
              </a:solidFill>
              <a:latin typeface="ＭＳ ゴシック" panose="020B0609070205080204" pitchFamily="49" charset="-128"/>
              <a:ea typeface="ＭＳ ゴシック" panose="020B0609070205080204" pitchFamily="49" charset="-128"/>
            </a:rPr>
            <a:t> </a:t>
          </a:r>
          <a:r>
            <a:rPr kumimoji="1" lang="ja-JP" altLang="en-US" sz="900">
              <a:solidFill>
                <a:srgbClr val="FF0000"/>
              </a:solidFill>
              <a:latin typeface="ＭＳ ゴシック" panose="020B0609070205080204" pitchFamily="49" charset="-128"/>
              <a:ea typeface="ＭＳ ゴシック" panose="020B0609070205080204" pitchFamily="49" charset="-128"/>
            </a:rPr>
            <a:t>お釣り                </a:t>
          </a:r>
          <a:r>
            <a:rPr kumimoji="1" lang="en-US" altLang="ja-JP" sz="900">
              <a:solidFill>
                <a:srgbClr val="FF0000"/>
              </a:solidFill>
              <a:latin typeface="ＭＳ ゴシック" panose="020B0609070205080204" pitchFamily="49" charset="-128"/>
              <a:ea typeface="ＭＳ ゴシック" panose="020B0609070205080204" pitchFamily="49" charset="-128"/>
            </a:rPr>
            <a:t>\860     </a:t>
          </a:r>
        </a:p>
        <a:p>
          <a:endParaRPr kumimoji="1" lang="en-US" altLang="ja-JP" sz="900">
            <a:latin typeface="ＭＳ ゴシック" panose="020B0609070205080204" pitchFamily="49" charset="-128"/>
            <a:ea typeface="ＭＳ ゴシック" panose="020B0609070205080204" pitchFamily="49" charset="-128"/>
          </a:endParaRPr>
        </a:p>
      </xdr:txBody>
    </xdr:sp>
    <xdr:clientData/>
  </xdr:twoCellAnchor>
  <xdr:twoCellAnchor>
    <xdr:from>
      <xdr:col>12</xdr:col>
      <xdr:colOff>21980</xdr:colOff>
      <xdr:row>37</xdr:row>
      <xdr:rowOff>29600</xdr:rowOff>
    </xdr:from>
    <xdr:to>
      <xdr:col>12</xdr:col>
      <xdr:colOff>191525</xdr:colOff>
      <xdr:row>37</xdr:row>
      <xdr:rowOff>114352</xdr:rowOff>
    </xdr:to>
    <xdr:sp macro="" textlink="">
      <xdr:nvSpPr>
        <xdr:cNvPr id="21" name="正方形/長方形 20">
          <a:extLst>
            <a:ext uri="{FF2B5EF4-FFF2-40B4-BE49-F238E27FC236}">
              <a16:creationId xmlns:a16="http://schemas.microsoft.com/office/drawing/2014/main" id="{DD687DAB-D887-43BC-87C1-0406E0041F59}"/>
            </a:ext>
          </a:extLst>
        </xdr:cNvPr>
        <xdr:cNvSpPr/>
      </xdr:nvSpPr>
      <xdr:spPr>
        <a:xfrm>
          <a:off x="2765180" y="6373250"/>
          <a:ext cx="169545" cy="8475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53340</xdr:colOff>
      <xdr:row>36</xdr:row>
      <xdr:rowOff>15240</xdr:rowOff>
    </xdr:from>
    <xdr:to>
      <xdr:col>20</xdr:col>
      <xdr:colOff>230505</xdr:colOff>
      <xdr:row>36</xdr:row>
      <xdr:rowOff>117137</xdr:rowOff>
    </xdr:to>
    <xdr:sp macro="" textlink="">
      <xdr:nvSpPr>
        <xdr:cNvPr id="22" name="正方形/長方形 21">
          <a:extLst>
            <a:ext uri="{FF2B5EF4-FFF2-40B4-BE49-F238E27FC236}">
              <a16:creationId xmlns:a16="http://schemas.microsoft.com/office/drawing/2014/main" id="{3D08546D-7AA0-43E8-BB28-1192DDE7B962}"/>
            </a:ext>
          </a:extLst>
        </xdr:cNvPr>
        <xdr:cNvSpPr/>
      </xdr:nvSpPr>
      <xdr:spPr>
        <a:xfrm>
          <a:off x="4625340" y="6187440"/>
          <a:ext cx="177165" cy="10189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53340</xdr:colOff>
      <xdr:row>37</xdr:row>
      <xdr:rowOff>29894</xdr:rowOff>
    </xdr:from>
    <xdr:to>
      <xdr:col>20</xdr:col>
      <xdr:colOff>241935</xdr:colOff>
      <xdr:row>37</xdr:row>
      <xdr:rowOff>122266</xdr:rowOff>
    </xdr:to>
    <xdr:sp macro="" textlink="">
      <xdr:nvSpPr>
        <xdr:cNvPr id="23" name="正方形/長方形 22">
          <a:extLst>
            <a:ext uri="{FF2B5EF4-FFF2-40B4-BE49-F238E27FC236}">
              <a16:creationId xmlns:a16="http://schemas.microsoft.com/office/drawing/2014/main" id="{91DA5FE4-7AB5-4A3D-B43C-65C9A5EF447F}"/>
            </a:ext>
          </a:extLst>
        </xdr:cNvPr>
        <xdr:cNvSpPr/>
      </xdr:nvSpPr>
      <xdr:spPr>
        <a:xfrm>
          <a:off x="4625340" y="6373544"/>
          <a:ext cx="179070" cy="9237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21980</xdr:colOff>
      <xdr:row>50</xdr:row>
      <xdr:rowOff>29600</xdr:rowOff>
    </xdr:from>
    <xdr:to>
      <xdr:col>12</xdr:col>
      <xdr:colOff>191525</xdr:colOff>
      <xdr:row>50</xdr:row>
      <xdr:rowOff>114352</xdr:rowOff>
    </xdr:to>
    <xdr:sp macro="" textlink="">
      <xdr:nvSpPr>
        <xdr:cNvPr id="24" name="正方形/長方形 23">
          <a:extLst>
            <a:ext uri="{FF2B5EF4-FFF2-40B4-BE49-F238E27FC236}">
              <a16:creationId xmlns:a16="http://schemas.microsoft.com/office/drawing/2014/main" id="{4AD25C8E-27DF-44D2-98E2-A2A0BDD51A2E}"/>
            </a:ext>
          </a:extLst>
        </xdr:cNvPr>
        <xdr:cNvSpPr/>
      </xdr:nvSpPr>
      <xdr:spPr>
        <a:xfrm>
          <a:off x="2765180" y="8602100"/>
          <a:ext cx="169545" cy="8475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53340</xdr:colOff>
      <xdr:row>49</xdr:row>
      <xdr:rowOff>15240</xdr:rowOff>
    </xdr:from>
    <xdr:to>
      <xdr:col>20</xdr:col>
      <xdr:colOff>230505</xdr:colOff>
      <xdr:row>49</xdr:row>
      <xdr:rowOff>117137</xdr:rowOff>
    </xdr:to>
    <xdr:sp macro="" textlink="">
      <xdr:nvSpPr>
        <xdr:cNvPr id="25" name="正方形/長方形 24">
          <a:extLst>
            <a:ext uri="{FF2B5EF4-FFF2-40B4-BE49-F238E27FC236}">
              <a16:creationId xmlns:a16="http://schemas.microsoft.com/office/drawing/2014/main" id="{0DC8FCE4-FCD6-4176-9E7B-91BA64F947B6}"/>
            </a:ext>
          </a:extLst>
        </xdr:cNvPr>
        <xdr:cNvSpPr/>
      </xdr:nvSpPr>
      <xdr:spPr>
        <a:xfrm>
          <a:off x="4625340" y="8416290"/>
          <a:ext cx="177165" cy="10189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53340</xdr:colOff>
      <xdr:row>50</xdr:row>
      <xdr:rowOff>29894</xdr:rowOff>
    </xdr:from>
    <xdr:to>
      <xdr:col>20</xdr:col>
      <xdr:colOff>241935</xdr:colOff>
      <xdr:row>50</xdr:row>
      <xdr:rowOff>122266</xdr:rowOff>
    </xdr:to>
    <xdr:sp macro="" textlink="">
      <xdr:nvSpPr>
        <xdr:cNvPr id="26" name="正方形/長方形 25">
          <a:extLst>
            <a:ext uri="{FF2B5EF4-FFF2-40B4-BE49-F238E27FC236}">
              <a16:creationId xmlns:a16="http://schemas.microsoft.com/office/drawing/2014/main" id="{EBD893E3-D61F-4901-BCBE-63A7F05F87AE}"/>
            </a:ext>
          </a:extLst>
        </xdr:cNvPr>
        <xdr:cNvSpPr/>
      </xdr:nvSpPr>
      <xdr:spPr>
        <a:xfrm>
          <a:off x="4625340" y="8602394"/>
          <a:ext cx="179070" cy="9237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21980</xdr:colOff>
      <xdr:row>63</xdr:row>
      <xdr:rowOff>29600</xdr:rowOff>
    </xdr:from>
    <xdr:to>
      <xdr:col>12</xdr:col>
      <xdr:colOff>191525</xdr:colOff>
      <xdr:row>63</xdr:row>
      <xdr:rowOff>114352</xdr:rowOff>
    </xdr:to>
    <xdr:sp macro="" textlink="">
      <xdr:nvSpPr>
        <xdr:cNvPr id="27" name="正方形/長方形 26">
          <a:extLst>
            <a:ext uri="{FF2B5EF4-FFF2-40B4-BE49-F238E27FC236}">
              <a16:creationId xmlns:a16="http://schemas.microsoft.com/office/drawing/2014/main" id="{B6AA9B45-5B37-4917-892C-A382EE8BBB52}"/>
            </a:ext>
          </a:extLst>
        </xdr:cNvPr>
        <xdr:cNvSpPr/>
      </xdr:nvSpPr>
      <xdr:spPr>
        <a:xfrm>
          <a:off x="2765180" y="10830950"/>
          <a:ext cx="169545" cy="8475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53340</xdr:colOff>
      <xdr:row>62</xdr:row>
      <xdr:rowOff>15240</xdr:rowOff>
    </xdr:from>
    <xdr:to>
      <xdr:col>20</xdr:col>
      <xdr:colOff>230505</xdr:colOff>
      <xdr:row>62</xdr:row>
      <xdr:rowOff>117137</xdr:rowOff>
    </xdr:to>
    <xdr:sp macro="" textlink="">
      <xdr:nvSpPr>
        <xdr:cNvPr id="28" name="正方形/長方形 27">
          <a:extLst>
            <a:ext uri="{FF2B5EF4-FFF2-40B4-BE49-F238E27FC236}">
              <a16:creationId xmlns:a16="http://schemas.microsoft.com/office/drawing/2014/main" id="{A746B687-043B-4141-8D9B-B173DFF11AB6}"/>
            </a:ext>
          </a:extLst>
        </xdr:cNvPr>
        <xdr:cNvSpPr/>
      </xdr:nvSpPr>
      <xdr:spPr>
        <a:xfrm>
          <a:off x="4625340" y="10645140"/>
          <a:ext cx="177165" cy="10189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53340</xdr:colOff>
      <xdr:row>63</xdr:row>
      <xdr:rowOff>29894</xdr:rowOff>
    </xdr:from>
    <xdr:to>
      <xdr:col>20</xdr:col>
      <xdr:colOff>241935</xdr:colOff>
      <xdr:row>63</xdr:row>
      <xdr:rowOff>122266</xdr:rowOff>
    </xdr:to>
    <xdr:sp macro="" textlink="">
      <xdr:nvSpPr>
        <xdr:cNvPr id="29" name="正方形/長方形 28">
          <a:extLst>
            <a:ext uri="{FF2B5EF4-FFF2-40B4-BE49-F238E27FC236}">
              <a16:creationId xmlns:a16="http://schemas.microsoft.com/office/drawing/2014/main" id="{4FFF833C-5EF6-4224-97F0-FA5538B064A0}"/>
            </a:ext>
          </a:extLst>
        </xdr:cNvPr>
        <xdr:cNvSpPr/>
      </xdr:nvSpPr>
      <xdr:spPr>
        <a:xfrm>
          <a:off x="4625340" y="10831244"/>
          <a:ext cx="179070" cy="9237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21980</xdr:colOff>
      <xdr:row>76</xdr:row>
      <xdr:rowOff>29600</xdr:rowOff>
    </xdr:from>
    <xdr:to>
      <xdr:col>12</xdr:col>
      <xdr:colOff>191525</xdr:colOff>
      <xdr:row>76</xdr:row>
      <xdr:rowOff>114352</xdr:rowOff>
    </xdr:to>
    <xdr:sp macro="" textlink="">
      <xdr:nvSpPr>
        <xdr:cNvPr id="30" name="正方形/長方形 29">
          <a:extLst>
            <a:ext uri="{FF2B5EF4-FFF2-40B4-BE49-F238E27FC236}">
              <a16:creationId xmlns:a16="http://schemas.microsoft.com/office/drawing/2014/main" id="{732D5385-784D-4E69-9120-9C658767B87D}"/>
            </a:ext>
          </a:extLst>
        </xdr:cNvPr>
        <xdr:cNvSpPr/>
      </xdr:nvSpPr>
      <xdr:spPr>
        <a:xfrm>
          <a:off x="2765180" y="13059800"/>
          <a:ext cx="169545" cy="8475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53340</xdr:colOff>
      <xdr:row>75</xdr:row>
      <xdr:rowOff>15240</xdr:rowOff>
    </xdr:from>
    <xdr:to>
      <xdr:col>20</xdr:col>
      <xdr:colOff>230505</xdr:colOff>
      <xdr:row>75</xdr:row>
      <xdr:rowOff>117137</xdr:rowOff>
    </xdr:to>
    <xdr:sp macro="" textlink="">
      <xdr:nvSpPr>
        <xdr:cNvPr id="31" name="正方形/長方形 30">
          <a:extLst>
            <a:ext uri="{FF2B5EF4-FFF2-40B4-BE49-F238E27FC236}">
              <a16:creationId xmlns:a16="http://schemas.microsoft.com/office/drawing/2014/main" id="{4F6693E6-E13A-4DA9-9695-5CD14D9D13F6}"/>
            </a:ext>
          </a:extLst>
        </xdr:cNvPr>
        <xdr:cNvSpPr/>
      </xdr:nvSpPr>
      <xdr:spPr>
        <a:xfrm>
          <a:off x="4625340" y="12873990"/>
          <a:ext cx="177165" cy="10189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53340</xdr:colOff>
      <xdr:row>76</xdr:row>
      <xdr:rowOff>29894</xdr:rowOff>
    </xdr:from>
    <xdr:to>
      <xdr:col>20</xdr:col>
      <xdr:colOff>241935</xdr:colOff>
      <xdr:row>76</xdr:row>
      <xdr:rowOff>122266</xdr:rowOff>
    </xdr:to>
    <xdr:sp macro="" textlink="">
      <xdr:nvSpPr>
        <xdr:cNvPr id="32" name="正方形/長方形 31">
          <a:extLst>
            <a:ext uri="{FF2B5EF4-FFF2-40B4-BE49-F238E27FC236}">
              <a16:creationId xmlns:a16="http://schemas.microsoft.com/office/drawing/2014/main" id="{BBA0B26F-5DE8-4EB2-B909-FAE2C79DEF1C}"/>
            </a:ext>
          </a:extLst>
        </xdr:cNvPr>
        <xdr:cNvSpPr/>
      </xdr:nvSpPr>
      <xdr:spPr>
        <a:xfrm>
          <a:off x="4625340" y="13060094"/>
          <a:ext cx="179070" cy="9237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21980</xdr:colOff>
      <xdr:row>89</xdr:row>
      <xdr:rowOff>29600</xdr:rowOff>
    </xdr:from>
    <xdr:to>
      <xdr:col>12</xdr:col>
      <xdr:colOff>191525</xdr:colOff>
      <xdr:row>89</xdr:row>
      <xdr:rowOff>114352</xdr:rowOff>
    </xdr:to>
    <xdr:sp macro="" textlink="">
      <xdr:nvSpPr>
        <xdr:cNvPr id="33" name="正方形/長方形 32">
          <a:extLst>
            <a:ext uri="{FF2B5EF4-FFF2-40B4-BE49-F238E27FC236}">
              <a16:creationId xmlns:a16="http://schemas.microsoft.com/office/drawing/2014/main" id="{DE9B7CBC-AD4C-4B4A-825B-B7227EB15B45}"/>
            </a:ext>
          </a:extLst>
        </xdr:cNvPr>
        <xdr:cNvSpPr/>
      </xdr:nvSpPr>
      <xdr:spPr>
        <a:xfrm>
          <a:off x="2765180" y="15288650"/>
          <a:ext cx="169545" cy="8475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53340</xdr:colOff>
      <xdr:row>88</xdr:row>
      <xdr:rowOff>15240</xdr:rowOff>
    </xdr:from>
    <xdr:to>
      <xdr:col>20</xdr:col>
      <xdr:colOff>230505</xdr:colOff>
      <xdr:row>88</xdr:row>
      <xdr:rowOff>117137</xdr:rowOff>
    </xdr:to>
    <xdr:sp macro="" textlink="">
      <xdr:nvSpPr>
        <xdr:cNvPr id="34" name="正方形/長方形 33">
          <a:extLst>
            <a:ext uri="{FF2B5EF4-FFF2-40B4-BE49-F238E27FC236}">
              <a16:creationId xmlns:a16="http://schemas.microsoft.com/office/drawing/2014/main" id="{1FC0345A-3C3E-4E73-89BD-C98E8E939D74}"/>
            </a:ext>
          </a:extLst>
        </xdr:cNvPr>
        <xdr:cNvSpPr/>
      </xdr:nvSpPr>
      <xdr:spPr>
        <a:xfrm>
          <a:off x="4625340" y="15102840"/>
          <a:ext cx="177165" cy="10189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53340</xdr:colOff>
      <xdr:row>89</xdr:row>
      <xdr:rowOff>29894</xdr:rowOff>
    </xdr:from>
    <xdr:to>
      <xdr:col>20</xdr:col>
      <xdr:colOff>241935</xdr:colOff>
      <xdr:row>89</xdr:row>
      <xdr:rowOff>122266</xdr:rowOff>
    </xdr:to>
    <xdr:sp macro="" textlink="">
      <xdr:nvSpPr>
        <xdr:cNvPr id="35" name="正方形/長方形 34">
          <a:extLst>
            <a:ext uri="{FF2B5EF4-FFF2-40B4-BE49-F238E27FC236}">
              <a16:creationId xmlns:a16="http://schemas.microsoft.com/office/drawing/2014/main" id="{9BA0A876-22DC-4652-AAAC-F4CFF5C13319}"/>
            </a:ext>
          </a:extLst>
        </xdr:cNvPr>
        <xdr:cNvSpPr/>
      </xdr:nvSpPr>
      <xdr:spPr>
        <a:xfrm>
          <a:off x="4625340" y="15288944"/>
          <a:ext cx="179070" cy="9237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21980</xdr:colOff>
      <xdr:row>102</xdr:row>
      <xdr:rowOff>29600</xdr:rowOff>
    </xdr:from>
    <xdr:to>
      <xdr:col>12</xdr:col>
      <xdr:colOff>191525</xdr:colOff>
      <xdr:row>102</xdr:row>
      <xdr:rowOff>114352</xdr:rowOff>
    </xdr:to>
    <xdr:sp macro="" textlink="">
      <xdr:nvSpPr>
        <xdr:cNvPr id="36" name="正方形/長方形 35">
          <a:extLst>
            <a:ext uri="{FF2B5EF4-FFF2-40B4-BE49-F238E27FC236}">
              <a16:creationId xmlns:a16="http://schemas.microsoft.com/office/drawing/2014/main" id="{8D51597C-3363-47AF-8050-F8F32FCDAF1D}"/>
            </a:ext>
          </a:extLst>
        </xdr:cNvPr>
        <xdr:cNvSpPr/>
      </xdr:nvSpPr>
      <xdr:spPr>
        <a:xfrm>
          <a:off x="2765180" y="17517500"/>
          <a:ext cx="169545" cy="8475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53340</xdr:colOff>
      <xdr:row>101</xdr:row>
      <xdr:rowOff>15240</xdr:rowOff>
    </xdr:from>
    <xdr:to>
      <xdr:col>20</xdr:col>
      <xdr:colOff>230505</xdr:colOff>
      <xdr:row>101</xdr:row>
      <xdr:rowOff>117137</xdr:rowOff>
    </xdr:to>
    <xdr:sp macro="" textlink="">
      <xdr:nvSpPr>
        <xdr:cNvPr id="37" name="正方形/長方形 36">
          <a:extLst>
            <a:ext uri="{FF2B5EF4-FFF2-40B4-BE49-F238E27FC236}">
              <a16:creationId xmlns:a16="http://schemas.microsoft.com/office/drawing/2014/main" id="{37B8D5A2-F43E-454E-A718-BB2673B8F447}"/>
            </a:ext>
          </a:extLst>
        </xdr:cNvPr>
        <xdr:cNvSpPr/>
      </xdr:nvSpPr>
      <xdr:spPr>
        <a:xfrm>
          <a:off x="4625340" y="17331690"/>
          <a:ext cx="177165" cy="10189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53340</xdr:colOff>
      <xdr:row>102</xdr:row>
      <xdr:rowOff>29894</xdr:rowOff>
    </xdr:from>
    <xdr:to>
      <xdr:col>20</xdr:col>
      <xdr:colOff>241935</xdr:colOff>
      <xdr:row>102</xdr:row>
      <xdr:rowOff>122266</xdr:rowOff>
    </xdr:to>
    <xdr:sp macro="" textlink="">
      <xdr:nvSpPr>
        <xdr:cNvPr id="38" name="正方形/長方形 37">
          <a:extLst>
            <a:ext uri="{FF2B5EF4-FFF2-40B4-BE49-F238E27FC236}">
              <a16:creationId xmlns:a16="http://schemas.microsoft.com/office/drawing/2014/main" id="{5C834728-B748-4A7E-936F-06C824A8FE22}"/>
            </a:ext>
          </a:extLst>
        </xdr:cNvPr>
        <xdr:cNvSpPr/>
      </xdr:nvSpPr>
      <xdr:spPr>
        <a:xfrm>
          <a:off x="4625340" y="17517794"/>
          <a:ext cx="179070" cy="9237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21980</xdr:colOff>
      <xdr:row>115</xdr:row>
      <xdr:rowOff>29600</xdr:rowOff>
    </xdr:from>
    <xdr:to>
      <xdr:col>12</xdr:col>
      <xdr:colOff>191525</xdr:colOff>
      <xdr:row>115</xdr:row>
      <xdr:rowOff>114352</xdr:rowOff>
    </xdr:to>
    <xdr:sp macro="" textlink="">
      <xdr:nvSpPr>
        <xdr:cNvPr id="39" name="正方形/長方形 38">
          <a:extLst>
            <a:ext uri="{FF2B5EF4-FFF2-40B4-BE49-F238E27FC236}">
              <a16:creationId xmlns:a16="http://schemas.microsoft.com/office/drawing/2014/main" id="{503BCDD1-1E99-4D78-AAA8-94037C286D30}"/>
            </a:ext>
          </a:extLst>
        </xdr:cNvPr>
        <xdr:cNvSpPr/>
      </xdr:nvSpPr>
      <xdr:spPr>
        <a:xfrm>
          <a:off x="2765180" y="19746350"/>
          <a:ext cx="169545" cy="8475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53340</xdr:colOff>
      <xdr:row>114</xdr:row>
      <xdr:rowOff>15240</xdr:rowOff>
    </xdr:from>
    <xdr:to>
      <xdr:col>20</xdr:col>
      <xdr:colOff>230505</xdr:colOff>
      <xdr:row>114</xdr:row>
      <xdr:rowOff>117137</xdr:rowOff>
    </xdr:to>
    <xdr:sp macro="" textlink="">
      <xdr:nvSpPr>
        <xdr:cNvPr id="40" name="正方形/長方形 39">
          <a:extLst>
            <a:ext uri="{FF2B5EF4-FFF2-40B4-BE49-F238E27FC236}">
              <a16:creationId xmlns:a16="http://schemas.microsoft.com/office/drawing/2014/main" id="{2B5E3B94-0C5D-46E2-8AB5-18049E0C6938}"/>
            </a:ext>
          </a:extLst>
        </xdr:cNvPr>
        <xdr:cNvSpPr/>
      </xdr:nvSpPr>
      <xdr:spPr>
        <a:xfrm>
          <a:off x="4625340" y="19560540"/>
          <a:ext cx="177165" cy="10189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53340</xdr:colOff>
      <xdr:row>115</xdr:row>
      <xdr:rowOff>29894</xdr:rowOff>
    </xdr:from>
    <xdr:to>
      <xdr:col>20</xdr:col>
      <xdr:colOff>241935</xdr:colOff>
      <xdr:row>115</xdr:row>
      <xdr:rowOff>122266</xdr:rowOff>
    </xdr:to>
    <xdr:sp macro="" textlink="">
      <xdr:nvSpPr>
        <xdr:cNvPr id="41" name="正方形/長方形 40">
          <a:extLst>
            <a:ext uri="{FF2B5EF4-FFF2-40B4-BE49-F238E27FC236}">
              <a16:creationId xmlns:a16="http://schemas.microsoft.com/office/drawing/2014/main" id="{CBE1BA66-9D5E-4265-910A-393CB83D95E6}"/>
            </a:ext>
          </a:extLst>
        </xdr:cNvPr>
        <xdr:cNvSpPr/>
      </xdr:nvSpPr>
      <xdr:spPr>
        <a:xfrm>
          <a:off x="4625340" y="19746644"/>
          <a:ext cx="179070" cy="9237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21980</xdr:colOff>
      <xdr:row>128</xdr:row>
      <xdr:rowOff>29600</xdr:rowOff>
    </xdr:from>
    <xdr:to>
      <xdr:col>12</xdr:col>
      <xdr:colOff>191525</xdr:colOff>
      <xdr:row>128</xdr:row>
      <xdr:rowOff>114352</xdr:rowOff>
    </xdr:to>
    <xdr:sp macro="" textlink="">
      <xdr:nvSpPr>
        <xdr:cNvPr id="42" name="正方形/長方形 41">
          <a:extLst>
            <a:ext uri="{FF2B5EF4-FFF2-40B4-BE49-F238E27FC236}">
              <a16:creationId xmlns:a16="http://schemas.microsoft.com/office/drawing/2014/main" id="{A1EAAF8F-3FCF-4100-840B-672AA8F2ED49}"/>
            </a:ext>
          </a:extLst>
        </xdr:cNvPr>
        <xdr:cNvSpPr/>
      </xdr:nvSpPr>
      <xdr:spPr>
        <a:xfrm>
          <a:off x="2765180" y="21975200"/>
          <a:ext cx="169545" cy="8475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53340</xdr:colOff>
      <xdr:row>127</xdr:row>
      <xdr:rowOff>15240</xdr:rowOff>
    </xdr:from>
    <xdr:to>
      <xdr:col>20</xdr:col>
      <xdr:colOff>230505</xdr:colOff>
      <xdr:row>127</xdr:row>
      <xdr:rowOff>117137</xdr:rowOff>
    </xdr:to>
    <xdr:sp macro="" textlink="">
      <xdr:nvSpPr>
        <xdr:cNvPr id="43" name="正方形/長方形 42">
          <a:extLst>
            <a:ext uri="{FF2B5EF4-FFF2-40B4-BE49-F238E27FC236}">
              <a16:creationId xmlns:a16="http://schemas.microsoft.com/office/drawing/2014/main" id="{3373D474-E42F-4FED-B744-568C026A7357}"/>
            </a:ext>
          </a:extLst>
        </xdr:cNvPr>
        <xdr:cNvSpPr/>
      </xdr:nvSpPr>
      <xdr:spPr>
        <a:xfrm>
          <a:off x="4625340" y="21789390"/>
          <a:ext cx="177165" cy="10189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53340</xdr:colOff>
      <xdr:row>128</xdr:row>
      <xdr:rowOff>29894</xdr:rowOff>
    </xdr:from>
    <xdr:to>
      <xdr:col>20</xdr:col>
      <xdr:colOff>241935</xdr:colOff>
      <xdr:row>128</xdr:row>
      <xdr:rowOff>122266</xdr:rowOff>
    </xdr:to>
    <xdr:sp macro="" textlink="">
      <xdr:nvSpPr>
        <xdr:cNvPr id="44" name="正方形/長方形 43">
          <a:extLst>
            <a:ext uri="{FF2B5EF4-FFF2-40B4-BE49-F238E27FC236}">
              <a16:creationId xmlns:a16="http://schemas.microsoft.com/office/drawing/2014/main" id="{67176AF3-9F9E-4885-A759-A6C90B5568F1}"/>
            </a:ext>
          </a:extLst>
        </xdr:cNvPr>
        <xdr:cNvSpPr/>
      </xdr:nvSpPr>
      <xdr:spPr>
        <a:xfrm>
          <a:off x="4625340" y="21975494"/>
          <a:ext cx="179070" cy="9237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21980</xdr:colOff>
      <xdr:row>141</xdr:row>
      <xdr:rowOff>29600</xdr:rowOff>
    </xdr:from>
    <xdr:to>
      <xdr:col>12</xdr:col>
      <xdr:colOff>191525</xdr:colOff>
      <xdr:row>141</xdr:row>
      <xdr:rowOff>114352</xdr:rowOff>
    </xdr:to>
    <xdr:sp macro="" textlink="">
      <xdr:nvSpPr>
        <xdr:cNvPr id="45" name="正方形/長方形 44">
          <a:extLst>
            <a:ext uri="{FF2B5EF4-FFF2-40B4-BE49-F238E27FC236}">
              <a16:creationId xmlns:a16="http://schemas.microsoft.com/office/drawing/2014/main" id="{AB8BB6C0-70C1-46FF-8C27-1AAF0106E9AA}"/>
            </a:ext>
          </a:extLst>
        </xdr:cNvPr>
        <xdr:cNvSpPr/>
      </xdr:nvSpPr>
      <xdr:spPr>
        <a:xfrm>
          <a:off x="2765180" y="24204050"/>
          <a:ext cx="169545" cy="8475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53340</xdr:colOff>
      <xdr:row>140</xdr:row>
      <xdr:rowOff>15240</xdr:rowOff>
    </xdr:from>
    <xdr:to>
      <xdr:col>20</xdr:col>
      <xdr:colOff>230505</xdr:colOff>
      <xdr:row>140</xdr:row>
      <xdr:rowOff>117137</xdr:rowOff>
    </xdr:to>
    <xdr:sp macro="" textlink="">
      <xdr:nvSpPr>
        <xdr:cNvPr id="46" name="正方形/長方形 45">
          <a:extLst>
            <a:ext uri="{FF2B5EF4-FFF2-40B4-BE49-F238E27FC236}">
              <a16:creationId xmlns:a16="http://schemas.microsoft.com/office/drawing/2014/main" id="{2054221C-0192-40C4-9228-0416BA619222}"/>
            </a:ext>
          </a:extLst>
        </xdr:cNvPr>
        <xdr:cNvSpPr/>
      </xdr:nvSpPr>
      <xdr:spPr>
        <a:xfrm>
          <a:off x="4625340" y="24018240"/>
          <a:ext cx="177165" cy="10189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53340</xdr:colOff>
      <xdr:row>141</xdr:row>
      <xdr:rowOff>29894</xdr:rowOff>
    </xdr:from>
    <xdr:to>
      <xdr:col>20</xdr:col>
      <xdr:colOff>241935</xdr:colOff>
      <xdr:row>141</xdr:row>
      <xdr:rowOff>122266</xdr:rowOff>
    </xdr:to>
    <xdr:sp macro="" textlink="">
      <xdr:nvSpPr>
        <xdr:cNvPr id="47" name="正方形/長方形 46">
          <a:extLst>
            <a:ext uri="{FF2B5EF4-FFF2-40B4-BE49-F238E27FC236}">
              <a16:creationId xmlns:a16="http://schemas.microsoft.com/office/drawing/2014/main" id="{E0A98257-0E7A-4E0E-82D9-76B3E674D580}"/>
            </a:ext>
          </a:extLst>
        </xdr:cNvPr>
        <xdr:cNvSpPr/>
      </xdr:nvSpPr>
      <xdr:spPr>
        <a:xfrm>
          <a:off x="4625340" y="24204344"/>
          <a:ext cx="179070" cy="9237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21980</xdr:colOff>
      <xdr:row>206</xdr:row>
      <xdr:rowOff>29600</xdr:rowOff>
    </xdr:from>
    <xdr:to>
      <xdr:col>12</xdr:col>
      <xdr:colOff>191525</xdr:colOff>
      <xdr:row>206</xdr:row>
      <xdr:rowOff>114352</xdr:rowOff>
    </xdr:to>
    <xdr:sp macro="" textlink="">
      <xdr:nvSpPr>
        <xdr:cNvPr id="48" name="正方形/長方形 47">
          <a:extLst>
            <a:ext uri="{FF2B5EF4-FFF2-40B4-BE49-F238E27FC236}">
              <a16:creationId xmlns:a16="http://schemas.microsoft.com/office/drawing/2014/main" id="{C5538EFD-E8BC-4201-A66A-F73C7F4D790A}"/>
            </a:ext>
          </a:extLst>
        </xdr:cNvPr>
        <xdr:cNvSpPr/>
      </xdr:nvSpPr>
      <xdr:spPr>
        <a:xfrm>
          <a:off x="2765180" y="35348300"/>
          <a:ext cx="169545" cy="8475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53340</xdr:colOff>
      <xdr:row>205</xdr:row>
      <xdr:rowOff>15240</xdr:rowOff>
    </xdr:from>
    <xdr:to>
      <xdr:col>20</xdr:col>
      <xdr:colOff>230505</xdr:colOff>
      <xdr:row>205</xdr:row>
      <xdr:rowOff>117137</xdr:rowOff>
    </xdr:to>
    <xdr:sp macro="" textlink="">
      <xdr:nvSpPr>
        <xdr:cNvPr id="49" name="正方形/長方形 48">
          <a:extLst>
            <a:ext uri="{FF2B5EF4-FFF2-40B4-BE49-F238E27FC236}">
              <a16:creationId xmlns:a16="http://schemas.microsoft.com/office/drawing/2014/main" id="{0BCC8478-3965-4E04-9480-B7D3050EBAA6}"/>
            </a:ext>
          </a:extLst>
        </xdr:cNvPr>
        <xdr:cNvSpPr/>
      </xdr:nvSpPr>
      <xdr:spPr>
        <a:xfrm>
          <a:off x="4625340" y="35162490"/>
          <a:ext cx="177165" cy="10189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53340</xdr:colOff>
      <xdr:row>206</xdr:row>
      <xdr:rowOff>29894</xdr:rowOff>
    </xdr:from>
    <xdr:to>
      <xdr:col>20</xdr:col>
      <xdr:colOff>241935</xdr:colOff>
      <xdr:row>206</xdr:row>
      <xdr:rowOff>122266</xdr:rowOff>
    </xdr:to>
    <xdr:sp macro="" textlink="">
      <xdr:nvSpPr>
        <xdr:cNvPr id="50" name="正方形/長方形 49">
          <a:extLst>
            <a:ext uri="{FF2B5EF4-FFF2-40B4-BE49-F238E27FC236}">
              <a16:creationId xmlns:a16="http://schemas.microsoft.com/office/drawing/2014/main" id="{7495AA3A-604F-42E3-A465-7E1E3371C479}"/>
            </a:ext>
          </a:extLst>
        </xdr:cNvPr>
        <xdr:cNvSpPr/>
      </xdr:nvSpPr>
      <xdr:spPr>
        <a:xfrm>
          <a:off x="4625340" y="35348594"/>
          <a:ext cx="179070" cy="9237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21980</xdr:colOff>
      <xdr:row>219</xdr:row>
      <xdr:rowOff>29600</xdr:rowOff>
    </xdr:from>
    <xdr:to>
      <xdr:col>12</xdr:col>
      <xdr:colOff>191525</xdr:colOff>
      <xdr:row>219</xdr:row>
      <xdr:rowOff>114352</xdr:rowOff>
    </xdr:to>
    <xdr:sp macro="" textlink="">
      <xdr:nvSpPr>
        <xdr:cNvPr id="51" name="正方形/長方形 50">
          <a:extLst>
            <a:ext uri="{FF2B5EF4-FFF2-40B4-BE49-F238E27FC236}">
              <a16:creationId xmlns:a16="http://schemas.microsoft.com/office/drawing/2014/main" id="{370E8099-C362-4169-A77B-B99BE6B0F479}"/>
            </a:ext>
          </a:extLst>
        </xdr:cNvPr>
        <xdr:cNvSpPr/>
      </xdr:nvSpPr>
      <xdr:spPr>
        <a:xfrm>
          <a:off x="2765180" y="37577150"/>
          <a:ext cx="169545" cy="8475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53340</xdr:colOff>
      <xdr:row>218</xdr:row>
      <xdr:rowOff>15240</xdr:rowOff>
    </xdr:from>
    <xdr:to>
      <xdr:col>20</xdr:col>
      <xdr:colOff>230505</xdr:colOff>
      <xdr:row>218</xdr:row>
      <xdr:rowOff>117137</xdr:rowOff>
    </xdr:to>
    <xdr:sp macro="" textlink="">
      <xdr:nvSpPr>
        <xdr:cNvPr id="52" name="正方形/長方形 51">
          <a:extLst>
            <a:ext uri="{FF2B5EF4-FFF2-40B4-BE49-F238E27FC236}">
              <a16:creationId xmlns:a16="http://schemas.microsoft.com/office/drawing/2014/main" id="{798D6623-86E1-471F-9978-1EC0B894F76D}"/>
            </a:ext>
          </a:extLst>
        </xdr:cNvPr>
        <xdr:cNvSpPr/>
      </xdr:nvSpPr>
      <xdr:spPr>
        <a:xfrm>
          <a:off x="4625340" y="37391340"/>
          <a:ext cx="177165" cy="10189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53340</xdr:colOff>
      <xdr:row>219</xdr:row>
      <xdr:rowOff>29894</xdr:rowOff>
    </xdr:from>
    <xdr:to>
      <xdr:col>20</xdr:col>
      <xdr:colOff>241935</xdr:colOff>
      <xdr:row>219</xdr:row>
      <xdr:rowOff>122266</xdr:rowOff>
    </xdr:to>
    <xdr:sp macro="" textlink="">
      <xdr:nvSpPr>
        <xdr:cNvPr id="53" name="正方形/長方形 52">
          <a:extLst>
            <a:ext uri="{FF2B5EF4-FFF2-40B4-BE49-F238E27FC236}">
              <a16:creationId xmlns:a16="http://schemas.microsoft.com/office/drawing/2014/main" id="{48219FEA-49F3-4795-9102-7C47B87F25D6}"/>
            </a:ext>
          </a:extLst>
        </xdr:cNvPr>
        <xdr:cNvSpPr/>
      </xdr:nvSpPr>
      <xdr:spPr>
        <a:xfrm>
          <a:off x="4625340" y="37577444"/>
          <a:ext cx="179070" cy="9237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281009</xdr:colOff>
      <xdr:row>23</xdr:row>
      <xdr:rowOff>66087</xdr:rowOff>
    </xdr:from>
    <xdr:to>
      <xdr:col>12</xdr:col>
      <xdr:colOff>21980</xdr:colOff>
      <xdr:row>50</xdr:row>
      <xdr:rowOff>71976</xdr:rowOff>
    </xdr:to>
    <xdr:cxnSp macro="">
      <xdr:nvCxnSpPr>
        <xdr:cNvPr id="54" name="直線コネクタ 31">
          <a:extLst>
            <a:ext uri="{FF2B5EF4-FFF2-40B4-BE49-F238E27FC236}">
              <a16:creationId xmlns:a16="http://schemas.microsoft.com/office/drawing/2014/main" id="{33D45803-B7DE-4FFD-BDAD-28C3B438382B}"/>
            </a:ext>
          </a:extLst>
        </xdr:cNvPr>
        <xdr:cNvCxnSpPr>
          <a:cxnSpLocks/>
          <a:stCxn id="4" idx="3"/>
          <a:endCxn id="24" idx="1"/>
        </xdr:cNvCxnSpPr>
      </xdr:nvCxnSpPr>
      <xdr:spPr>
        <a:xfrm>
          <a:off x="2509859" y="4009437"/>
          <a:ext cx="255321" cy="4635039"/>
        </a:xfrm>
        <a:prstGeom prst="bentConnector3">
          <a:avLst>
            <a:gd name="adj1" fmla="val 50000"/>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281009</xdr:colOff>
      <xdr:row>23</xdr:row>
      <xdr:rowOff>66087</xdr:rowOff>
    </xdr:from>
    <xdr:to>
      <xdr:col>12</xdr:col>
      <xdr:colOff>21980</xdr:colOff>
      <xdr:row>63</xdr:row>
      <xdr:rowOff>71976</xdr:rowOff>
    </xdr:to>
    <xdr:cxnSp macro="">
      <xdr:nvCxnSpPr>
        <xdr:cNvPr id="55" name="直線コネクタ 31">
          <a:extLst>
            <a:ext uri="{FF2B5EF4-FFF2-40B4-BE49-F238E27FC236}">
              <a16:creationId xmlns:a16="http://schemas.microsoft.com/office/drawing/2014/main" id="{857C7394-8D0F-467A-9EB1-56EE97D4EE44}"/>
            </a:ext>
          </a:extLst>
        </xdr:cNvPr>
        <xdr:cNvCxnSpPr>
          <a:cxnSpLocks/>
          <a:stCxn id="4" idx="3"/>
          <a:endCxn id="27" idx="1"/>
        </xdr:cNvCxnSpPr>
      </xdr:nvCxnSpPr>
      <xdr:spPr>
        <a:xfrm>
          <a:off x="2509859" y="4009437"/>
          <a:ext cx="255321" cy="6863889"/>
        </a:xfrm>
        <a:prstGeom prst="bentConnector3">
          <a:avLst>
            <a:gd name="adj1" fmla="val 50000"/>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281009</xdr:colOff>
      <xdr:row>23</xdr:row>
      <xdr:rowOff>66087</xdr:rowOff>
    </xdr:from>
    <xdr:to>
      <xdr:col>12</xdr:col>
      <xdr:colOff>21980</xdr:colOff>
      <xdr:row>76</xdr:row>
      <xdr:rowOff>71976</xdr:rowOff>
    </xdr:to>
    <xdr:cxnSp macro="">
      <xdr:nvCxnSpPr>
        <xdr:cNvPr id="56" name="直線コネクタ 31">
          <a:extLst>
            <a:ext uri="{FF2B5EF4-FFF2-40B4-BE49-F238E27FC236}">
              <a16:creationId xmlns:a16="http://schemas.microsoft.com/office/drawing/2014/main" id="{4B25CF53-258E-4BD0-A993-4CAA5C9170EE}"/>
            </a:ext>
          </a:extLst>
        </xdr:cNvPr>
        <xdr:cNvCxnSpPr>
          <a:cxnSpLocks/>
          <a:stCxn id="4" idx="3"/>
          <a:endCxn id="30" idx="1"/>
        </xdr:cNvCxnSpPr>
      </xdr:nvCxnSpPr>
      <xdr:spPr>
        <a:xfrm>
          <a:off x="2509859" y="4009437"/>
          <a:ext cx="255321" cy="9092739"/>
        </a:xfrm>
        <a:prstGeom prst="bentConnector3">
          <a:avLst>
            <a:gd name="adj1" fmla="val 50000"/>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281009</xdr:colOff>
      <xdr:row>23</xdr:row>
      <xdr:rowOff>66087</xdr:rowOff>
    </xdr:from>
    <xdr:to>
      <xdr:col>12</xdr:col>
      <xdr:colOff>21980</xdr:colOff>
      <xdr:row>89</xdr:row>
      <xdr:rowOff>71976</xdr:rowOff>
    </xdr:to>
    <xdr:cxnSp macro="">
      <xdr:nvCxnSpPr>
        <xdr:cNvPr id="57" name="直線コネクタ 31">
          <a:extLst>
            <a:ext uri="{FF2B5EF4-FFF2-40B4-BE49-F238E27FC236}">
              <a16:creationId xmlns:a16="http://schemas.microsoft.com/office/drawing/2014/main" id="{E67969BF-71C0-413B-B940-7E1EF9945E21}"/>
            </a:ext>
          </a:extLst>
        </xdr:cNvPr>
        <xdr:cNvCxnSpPr>
          <a:cxnSpLocks/>
          <a:stCxn id="4" idx="3"/>
          <a:endCxn id="33" idx="1"/>
        </xdr:cNvCxnSpPr>
      </xdr:nvCxnSpPr>
      <xdr:spPr>
        <a:xfrm>
          <a:off x="2509859" y="4009437"/>
          <a:ext cx="255321" cy="11321589"/>
        </a:xfrm>
        <a:prstGeom prst="bentConnector3">
          <a:avLst>
            <a:gd name="adj1" fmla="val 50000"/>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281009</xdr:colOff>
      <xdr:row>23</xdr:row>
      <xdr:rowOff>66087</xdr:rowOff>
    </xdr:from>
    <xdr:to>
      <xdr:col>12</xdr:col>
      <xdr:colOff>21980</xdr:colOff>
      <xdr:row>102</xdr:row>
      <xdr:rowOff>71976</xdr:rowOff>
    </xdr:to>
    <xdr:cxnSp macro="">
      <xdr:nvCxnSpPr>
        <xdr:cNvPr id="58" name="直線コネクタ 31">
          <a:extLst>
            <a:ext uri="{FF2B5EF4-FFF2-40B4-BE49-F238E27FC236}">
              <a16:creationId xmlns:a16="http://schemas.microsoft.com/office/drawing/2014/main" id="{5E2A4636-8776-45D8-907E-49AA9E193AD1}"/>
            </a:ext>
          </a:extLst>
        </xdr:cNvPr>
        <xdr:cNvCxnSpPr>
          <a:cxnSpLocks/>
          <a:stCxn id="4" idx="3"/>
          <a:endCxn id="36" idx="1"/>
        </xdr:cNvCxnSpPr>
      </xdr:nvCxnSpPr>
      <xdr:spPr>
        <a:xfrm>
          <a:off x="2509859" y="4009437"/>
          <a:ext cx="255321" cy="13550439"/>
        </a:xfrm>
        <a:prstGeom prst="bentConnector3">
          <a:avLst>
            <a:gd name="adj1" fmla="val 50000"/>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281009</xdr:colOff>
      <xdr:row>23</xdr:row>
      <xdr:rowOff>66087</xdr:rowOff>
    </xdr:from>
    <xdr:to>
      <xdr:col>12</xdr:col>
      <xdr:colOff>21980</xdr:colOff>
      <xdr:row>115</xdr:row>
      <xdr:rowOff>71976</xdr:rowOff>
    </xdr:to>
    <xdr:cxnSp macro="">
      <xdr:nvCxnSpPr>
        <xdr:cNvPr id="59" name="直線コネクタ 31">
          <a:extLst>
            <a:ext uri="{FF2B5EF4-FFF2-40B4-BE49-F238E27FC236}">
              <a16:creationId xmlns:a16="http://schemas.microsoft.com/office/drawing/2014/main" id="{D95FBE51-6EA9-49AF-9E25-2143CA3224D5}"/>
            </a:ext>
          </a:extLst>
        </xdr:cNvPr>
        <xdr:cNvCxnSpPr>
          <a:cxnSpLocks/>
          <a:stCxn id="4" idx="3"/>
          <a:endCxn id="39" idx="1"/>
        </xdr:cNvCxnSpPr>
      </xdr:nvCxnSpPr>
      <xdr:spPr>
        <a:xfrm>
          <a:off x="2509859" y="4009437"/>
          <a:ext cx="255321" cy="15779289"/>
        </a:xfrm>
        <a:prstGeom prst="bentConnector3">
          <a:avLst>
            <a:gd name="adj1" fmla="val 50000"/>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281009</xdr:colOff>
      <xdr:row>23</xdr:row>
      <xdr:rowOff>66087</xdr:rowOff>
    </xdr:from>
    <xdr:to>
      <xdr:col>12</xdr:col>
      <xdr:colOff>21980</xdr:colOff>
      <xdr:row>128</xdr:row>
      <xdr:rowOff>71976</xdr:rowOff>
    </xdr:to>
    <xdr:cxnSp macro="">
      <xdr:nvCxnSpPr>
        <xdr:cNvPr id="60" name="直線コネクタ 31">
          <a:extLst>
            <a:ext uri="{FF2B5EF4-FFF2-40B4-BE49-F238E27FC236}">
              <a16:creationId xmlns:a16="http://schemas.microsoft.com/office/drawing/2014/main" id="{23C3DF17-7905-4DCC-A906-A6BCD19ECB7A}"/>
            </a:ext>
          </a:extLst>
        </xdr:cNvPr>
        <xdr:cNvCxnSpPr>
          <a:cxnSpLocks/>
          <a:stCxn id="4" idx="3"/>
          <a:endCxn id="42" idx="1"/>
        </xdr:cNvCxnSpPr>
      </xdr:nvCxnSpPr>
      <xdr:spPr>
        <a:xfrm>
          <a:off x="2509859" y="4009437"/>
          <a:ext cx="255321" cy="18008139"/>
        </a:xfrm>
        <a:prstGeom prst="bentConnector3">
          <a:avLst>
            <a:gd name="adj1" fmla="val 50000"/>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281009</xdr:colOff>
      <xdr:row>23</xdr:row>
      <xdr:rowOff>66087</xdr:rowOff>
    </xdr:from>
    <xdr:to>
      <xdr:col>12</xdr:col>
      <xdr:colOff>21980</xdr:colOff>
      <xdr:row>154</xdr:row>
      <xdr:rowOff>71976</xdr:rowOff>
    </xdr:to>
    <xdr:cxnSp macro="">
      <xdr:nvCxnSpPr>
        <xdr:cNvPr id="61" name="直線コネクタ 31">
          <a:extLst>
            <a:ext uri="{FF2B5EF4-FFF2-40B4-BE49-F238E27FC236}">
              <a16:creationId xmlns:a16="http://schemas.microsoft.com/office/drawing/2014/main" id="{F2267EE3-35FC-47F3-A658-F0D115DD513B}"/>
            </a:ext>
          </a:extLst>
        </xdr:cNvPr>
        <xdr:cNvCxnSpPr>
          <a:cxnSpLocks/>
          <a:stCxn id="4" idx="3"/>
          <a:endCxn id="69" idx="1"/>
        </xdr:cNvCxnSpPr>
      </xdr:nvCxnSpPr>
      <xdr:spPr>
        <a:xfrm>
          <a:off x="2509859" y="4009437"/>
          <a:ext cx="255321" cy="22465839"/>
        </a:xfrm>
        <a:prstGeom prst="bentConnector3">
          <a:avLst>
            <a:gd name="adj1" fmla="val 50000"/>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281009</xdr:colOff>
      <xdr:row>23</xdr:row>
      <xdr:rowOff>66087</xdr:rowOff>
    </xdr:from>
    <xdr:to>
      <xdr:col>12</xdr:col>
      <xdr:colOff>21980</xdr:colOff>
      <xdr:row>141</xdr:row>
      <xdr:rowOff>71976</xdr:rowOff>
    </xdr:to>
    <xdr:cxnSp macro="">
      <xdr:nvCxnSpPr>
        <xdr:cNvPr id="62" name="直線コネクタ 31">
          <a:extLst>
            <a:ext uri="{FF2B5EF4-FFF2-40B4-BE49-F238E27FC236}">
              <a16:creationId xmlns:a16="http://schemas.microsoft.com/office/drawing/2014/main" id="{9722ABD1-EC37-416B-9E29-DD95FAEA2218}"/>
            </a:ext>
          </a:extLst>
        </xdr:cNvPr>
        <xdr:cNvCxnSpPr>
          <a:cxnSpLocks/>
          <a:stCxn id="4" idx="3"/>
          <a:endCxn id="45" idx="1"/>
        </xdr:cNvCxnSpPr>
      </xdr:nvCxnSpPr>
      <xdr:spPr>
        <a:xfrm>
          <a:off x="2509859" y="4009437"/>
          <a:ext cx="255321" cy="20236989"/>
        </a:xfrm>
        <a:prstGeom prst="bentConnector3">
          <a:avLst>
            <a:gd name="adj1" fmla="val 50000"/>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281009</xdr:colOff>
      <xdr:row>23</xdr:row>
      <xdr:rowOff>66087</xdr:rowOff>
    </xdr:from>
    <xdr:to>
      <xdr:col>12</xdr:col>
      <xdr:colOff>21980</xdr:colOff>
      <xdr:row>206</xdr:row>
      <xdr:rowOff>71976</xdr:rowOff>
    </xdr:to>
    <xdr:cxnSp macro="">
      <xdr:nvCxnSpPr>
        <xdr:cNvPr id="63" name="直線コネクタ 31">
          <a:extLst>
            <a:ext uri="{FF2B5EF4-FFF2-40B4-BE49-F238E27FC236}">
              <a16:creationId xmlns:a16="http://schemas.microsoft.com/office/drawing/2014/main" id="{953FB846-BC72-4737-8FF3-949F75515345}"/>
            </a:ext>
          </a:extLst>
        </xdr:cNvPr>
        <xdr:cNvCxnSpPr>
          <a:cxnSpLocks/>
          <a:stCxn id="4" idx="3"/>
          <a:endCxn id="48" idx="1"/>
        </xdr:cNvCxnSpPr>
      </xdr:nvCxnSpPr>
      <xdr:spPr>
        <a:xfrm>
          <a:off x="2509859" y="4009437"/>
          <a:ext cx="255321" cy="31381239"/>
        </a:xfrm>
        <a:prstGeom prst="bentConnector3">
          <a:avLst>
            <a:gd name="adj1" fmla="val 50000"/>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7621</xdr:colOff>
      <xdr:row>203</xdr:row>
      <xdr:rowOff>99060</xdr:rowOff>
    </xdr:from>
    <xdr:to>
      <xdr:col>23</xdr:col>
      <xdr:colOff>182881</xdr:colOff>
      <xdr:row>227</xdr:row>
      <xdr:rowOff>99060</xdr:rowOff>
    </xdr:to>
    <xdr:sp macro="" textlink="">
      <xdr:nvSpPr>
        <xdr:cNvPr id="64" name="右中かっこ 63">
          <a:extLst>
            <a:ext uri="{FF2B5EF4-FFF2-40B4-BE49-F238E27FC236}">
              <a16:creationId xmlns:a16="http://schemas.microsoft.com/office/drawing/2014/main" id="{DEA13E9E-D01C-4428-A129-297313B72C70}"/>
            </a:ext>
          </a:extLst>
        </xdr:cNvPr>
        <xdr:cNvSpPr/>
      </xdr:nvSpPr>
      <xdr:spPr>
        <a:xfrm>
          <a:off x="5265421" y="34903410"/>
          <a:ext cx="175260" cy="4114800"/>
        </a:xfrm>
        <a:prstGeom prst="righ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41</xdr:col>
      <xdr:colOff>87934</xdr:colOff>
      <xdr:row>99</xdr:row>
      <xdr:rowOff>17558</xdr:rowOff>
    </xdr:from>
    <xdr:to>
      <xdr:col>42</xdr:col>
      <xdr:colOff>172551</xdr:colOff>
      <xdr:row>110</xdr:row>
      <xdr:rowOff>91440</xdr:rowOff>
    </xdr:to>
    <xdr:sp macro="" textlink="">
      <xdr:nvSpPr>
        <xdr:cNvPr id="65" name="右中かっこ 64">
          <a:extLst>
            <a:ext uri="{FF2B5EF4-FFF2-40B4-BE49-F238E27FC236}">
              <a16:creationId xmlns:a16="http://schemas.microsoft.com/office/drawing/2014/main" id="{F82F6832-7C89-4B83-88F3-1F693603207F}"/>
            </a:ext>
          </a:extLst>
        </xdr:cNvPr>
        <xdr:cNvSpPr/>
      </xdr:nvSpPr>
      <xdr:spPr>
        <a:xfrm>
          <a:off x="9460534" y="16991108"/>
          <a:ext cx="313217" cy="1959832"/>
        </a:xfrm>
        <a:prstGeom prst="righ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41</xdr:col>
      <xdr:colOff>113652</xdr:colOff>
      <xdr:row>73</xdr:row>
      <xdr:rowOff>71437</xdr:rowOff>
    </xdr:from>
    <xdr:to>
      <xdr:col>42</xdr:col>
      <xdr:colOff>173821</xdr:colOff>
      <xdr:row>97</xdr:row>
      <xdr:rowOff>71437</xdr:rowOff>
    </xdr:to>
    <xdr:sp macro="" textlink="">
      <xdr:nvSpPr>
        <xdr:cNvPr id="66" name="右中かっこ 65">
          <a:extLst>
            <a:ext uri="{FF2B5EF4-FFF2-40B4-BE49-F238E27FC236}">
              <a16:creationId xmlns:a16="http://schemas.microsoft.com/office/drawing/2014/main" id="{B89586C8-E255-4B78-822C-9CDE33DBF6A4}"/>
            </a:ext>
          </a:extLst>
        </xdr:cNvPr>
        <xdr:cNvSpPr/>
      </xdr:nvSpPr>
      <xdr:spPr>
        <a:xfrm>
          <a:off x="9486252" y="12587287"/>
          <a:ext cx="288769" cy="4114800"/>
        </a:xfrm>
        <a:prstGeom prst="righ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32</xdr:col>
      <xdr:colOff>10816</xdr:colOff>
      <xdr:row>37</xdr:row>
      <xdr:rowOff>25107</xdr:rowOff>
    </xdr:from>
    <xdr:to>
      <xdr:col>32</xdr:col>
      <xdr:colOff>174646</xdr:colOff>
      <xdr:row>37</xdr:row>
      <xdr:rowOff>119384</xdr:rowOff>
    </xdr:to>
    <xdr:sp macro="" textlink="">
      <xdr:nvSpPr>
        <xdr:cNvPr id="67" name="正方形/長方形 66">
          <a:extLst>
            <a:ext uri="{FF2B5EF4-FFF2-40B4-BE49-F238E27FC236}">
              <a16:creationId xmlns:a16="http://schemas.microsoft.com/office/drawing/2014/main" id="{03BC23FF-3B75-49F0-8E2F-BA635D631D3D}"/>
            </a:ext>
          </a:extLst>
        </xdr:cNvPr>
        <xdr:cNvSpPr/>
      </xdr:nvSpPr>
      <xdr:spPr>
        <a:xfrm>
          <a:off x="7326016" y="6368757"/>
          <a:ext cx="163830"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13333</xdr:colOff>
      <xdr:row>36</xdr:row>
      <xdr:rowOff>14043</xdr:rowOff>
    </xdr:from>
    <xdr:to>
      <xdr:col>32</xdr:col>
      <xdr:colOff>171448</xdr:colOff>
      <xdr:row>36</xdr:row>
      <xdr:rowOff>115940</xdr:rowOff>
    </xdr:to>
    <xdr:sp macro="" textlink="">
      <xdr:nvSpPr>
        <xdr:cNvPr id="68" name="正方形/長方形 67">
          <a:extLst>
            <a:ext uri="{FF2B5EF4-FFF2-40B4-BE49-F238E27FC236}">
              <a16:creationId xmlns:a16="http://schemas.microsoft.com/office/drawing/2014/main" id="{83232ACC-3D8F-4203-ADC3-8C85AA205FD9}"/>
            </a:ext>
          </a:extLst>
        </xdr:cNvPr>
        <xdr:cNvSpPr/>
      </xdr:nvSpPr>
      <xdr:spPr>
        <a:xfrm>
          <a:off x="7328533" y="6186243"/>
          <a:ext cx="158115" cy="10189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21980</xdr:colOff>
      <xdr:row>154</xdr:row>
      <xdr:rowOff>29600</xdr:rowOff>
    </xdr:from>
    <xdr:to>
      <xdr:col>12</xdr:col>
      <xdr:colOff>191525</xdr:colOff>
      <xdr:row>154</xdr:row>
      <xdr:rowOff>114352</xdr:rowOff>
    </xdr:to>
    <xdr:sp macro="" textlink="">
      <xdr:nvSpPr>
        <xdr:cNvPr id="69" name="正方形/長方形 68">
          <a:extLst>
            <a:ext uri="{FF2B5EF4-FFF2-40B4-BE49-F238E27FC236}">
              <a16:creationId xmlns:a16="http://schemas.microsoft.com/office/drawing/2014/main" id="{7B5E9DFB-E86B-4CD0-AE79-F6110914CEAA}"/>
            </a:ext>
          </a:extLst>
        </xdr:cNvPr>
        <xdr:cNvSpPr/>
      </xdr:nvSpPr>
      <xdr:spPr>
        <a:xfrm>
          <a:off x="2765180" y="26432900"/>
          <a:ext cx="169545" cy="8475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53340</xdr:colOff>
      <xdr:row>153</xdr:row>
      <xdr:rowOff>15240</xdr:rowOff>
    </xdr:from>
    <xdr:to>
      <xdr:col>20</xdr:col>
      <xdr:colOff>230505</xdr:colOff>
      <xdr:row>153</xdr:row>
      <xdr:rowOff>117137</xdr:rowOff>
    </xdr:to>
    <xdr:sp macro="" textlink="">
      <xdr:nvSpPr>
        <xdr:cNvPr id="70" name="正方形/長方形 69">
          <a:extLst>
            <a:ext uri="{FF2B5EF4-FFF2-40B4-BE49-F238E27FC236}">
              <a16:creationId xmlns:a16="http://schemas.microsoft.com/office/drawing/2014/main" id="{7E7609D5-CEFB-4A1B-972A-CE0589A483F2}"/>
            </a:ext>
          </a:extLst>
        </xdr:cNvPr>
        <xdr:cNvSpPr/>
      </xdr:nvSpPr>
      <xdr:spPr>
        <a:xfrm>
          <a:off x="4625340" y="26247090"/>
          <a:ext cx="177165" cy="10189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53340</xdr:colOff>
      <xdr:row>154</xdr:row>
      <xdr:rowOff>29894</xdr:rowOff>
    </xdr:from>
    <xdr:to>
      <xdr:col>20</xdr:col>
      <xdr:colOff>241935</xdr:colOff>
      <xdr:row>154</xdr:row>
      <xdr:rowOff>122266</xdr:rowOff>
    </xdr:to>
    <xdr:sp macro="" textlink="">
      <xdr:nvSpPr>
        <xdr:cNvPr id="71" name="正方形/長方形 70">
          <a:extLst>
            <a:ext uri="{FF2B5EF4-FFF2-40B4-BE49-F238E27FC236}">
              <a16:creationId xmlns:a16="http://schemas.microsoft.com/office/drawing/2014/main" id="{F9AC85A4-81DF-421D-A7F8-553E0D3DF6D6}"/>
            </a:ext>
          </a:extLst>
        </xdr:cNvPr>
        <xdr:cNvSpPr/>
      </xdr:nvSpPr>
      <xdr:spPr>
        <a:xfrm>
          <a:off x="4625340" y="26433194"/>
          <a:ext cx="179070" cy="9237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21980</xdr:colOff>
      <xdr:row>167</xdr:row>
      <xdr:rowOff>29600</xdr:rowOff>
    </xdr:from>
    <xdr:to>
      <xdr:col>12</xdr:col>
      <xdr:colOff>191525</xdr:colOff>
      <xdr:row>167</xdr:row>
      <xdr:rowOff>114352</xdr:rowOff>
    </xdr:to>
    <xdr:sp macro="" textlink="">
      <xdr:nvSpPr>
        <xdr:cNvPr id="72" name="正方形/長方形 71">
          <a:extLst>
            <a:ext uri="{FF2B5EF4-FFF2-40B4-BE49-F238E27FC236}">
              <a16:creationId xmlns:a16="http://schemas.microsoft.com/office/drawing/2014/main" id="{4C6CB933-0789-4CAC-9E91-60CD8BB64185}"/>
            </a:ext>
          </a:extLst>
        </xdr:cNvPr>
        <xdr:cNvSpPr/>
      </xdr:nvSpPr>
      <xdr:spPr>
        <a:xfrm>
          <a:off x="2765180" y="28661750"/>
          <a:ext cx="169545" cy="8475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53340</xdr:colOff>
      <xdr:row>166</xdr:row>
      <xdr:rowOff>15240</xdr:rowOff>
    </xdr:from>
    <xdr:to>
      <xdr:col>20</xdr:col>
      <xdr:colOff>230505</xdr:colOff>
      <xdr:row>166</xdr:row>
      <xdr:rowOff>117137</xdr:rowOff>
    </xdr:to>
    <xdr:sp macro="" textlink="">
      <xdr:nvSpPr>
        <xdr:cNvPr id="73" name="正方形/長方形 72">
          <a:extLst>
            <a:ext uri="{FF2B5EF4-FFF2-40B4-BE49-F238E27FC236}">
              <a16:creationId xmlns:a16="http://schemas.microsoft.com/office/drawing/2014/main" id="{8677036D-1572-4E47-A73E-2FD9FFE8E5DE}"/>
            </a:ext>
          </a:extLst>
        </xdr:cNvPr>
        <xdr:cNvSpPr/>
      </xdr:nvSpPr>
      <xdr:spPr>
        <a:xfrm>
          <a:off x="4625340" y="28475940"/>
          <a:ext cx="177165" cy="10189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53340</xdr:colOff>
      <xdr:row>167</xdr:row>
      <xdr:rowOff>29894</xdr:rowOff>
    </xdr:from>
    <xdr:to>
      <xdr:col>20</xdr:col>
      <xdr:colOff>241935</xdr:colOff>
      <xdr:row>167</xdr:row>
      <xdr:rowOff>122266</xdr:rowOff>
    </xdr:to>
    <xdr:sp macro="" textlink="">
      <xdr:nvSpPr>
        <xdr:cNvPr id="74" name="正方形/長方形 73">
          <a:extLst>
            <a:ext uri="{FF2B5EF4-FFF2-40B4-BE49-F238E27FC236}">
              <a16:creationId xmlns:a16="http://schemas.microsoft.com/office/drawing/2014/main" id="{23A1571D-C651-4A4A-960A-E3EB0C0579D1}"/>
            </a:ext>
          </a:extLst>
        </xdr:cNvPr>
        <xdr:cNvSpPr/>
      </xdr:nvSpPr>
      <xdr:spPr>
        <a:xfrm>
          <a:off x="4625340" y="28662044"/>
          <a:ext cx="179070" cy="9237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21980</xdr:colOff>
      <xdr:row>180</xdr:row>
      <xdr:rowOff>29600</xdr:rowOff>
    </xdr:from>
    <xdr:to>
      <xdr:col>12</xdr:col>
      <xdr:colOff>191525</xdr:colOff>
      <xdr:row>180</xdr:row>
      <xdr:rowOff>114352</xdr:rowOff>
    </xdr:to>
    <xdr:sp macro="" textlink="">
      <xdr:nvSpPr>
        <xdr:cNvPr id="75" name="正方形/長方形 74">
          <a:extLst>
            <a:ext uri="{FF2B5EF4-FFF2-40B4-BE49-F238E27FC236}">
              <a16:creationId xmlns:a16="http://schemas.microsoft.com/office/drawing/2014/main" id="{AB87D0F4-A267-48B3-8FBE-2140B4F01370}"/>
            </a:ext>
          </a:extLst>
        </xdr:cNvPr>
        <xdr:cNvSpPr/>
      </xdr:nvSpPr>
      <xdr:spPr>
        <a:xfrm>
          <a:off x="2765180" y="30890600"/>
          <a:ext cx="169545" cy="8475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53340</xdr:colOff>
      <xdr:row>179</xdr:row>
      <xdr:rowOff>15240</xdr:rowOff>
    </xdr:from>
    <xdr:to>
      <xdr:col>20</xdr:col>
      <xdr:colOff>230505</xdr:colOff>
      <xdr:row>179</xdr:row>
      <xdr:rowOff>117137</xdr:rowOff>
    </xdr:to>
    <xdr:sp macro="" textlink="">
      <xdr:nvSpPr>
        <xdr:cNvPr id="76" name="正方形/長方形 75">
          <a:extLst>
            <a:ext uri="{FF2B5EF4-FFF2-40B4-BE49-F238E27FC236}">
              <a16:creationId xmlns:a16="http://schemas.microsoft.com/office/drawing/2014/main" id="{E40E832F-32F9-42DF-AE79-B9F28C51ACEC}"/>
            </a:ext>
          </a:extLst>
        </xdr:cNvPr>
        <xdr:cNvSpPr/>
      </xdr:nvSpPr>
      <xdr:spPr>
        <a:xfrm>
          <a:off x="4625340" y="30704790"/>
          <a:ext cx="177165" cy="10189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53340</xdr:colOff>
      <xdr:row>180</xdr:row>
      <xdr:rowOff>29894</xdr:rowOff>
    </xdr:from>
    <xdr:to>
      <xdr:col>20</xdr:col>
      <xdr:colOff>241935</xdr:colOff>
      <xdr:row>180</xdr:row>
      <xdr:rowOff>122266</xdr:rowOff>
    </xdr:to>
    <xdr:sp macro="" textlink="">
      <xdr:nvSpPr>
        <xdr:cNvPr id="77" name="正方形/長方形 76">
          <a:extLst>
            <a:ext uri="{FF2B5EF4-FFF2-40B4-BE49-F238E27FC236}">
              <a16:creationId xmlns:a16="http://schemas.microsoft.com/office/drawing/2014/main" id="{44DA05B1-9BD8-4D19-9F5B-7D55EEFF8073}"/>
            </a:ext>
          </a:extLst>
        </xdr:cNvPr>
        <xdr:cNvSpPr/>
      </xdr:nvSpPr>
      <xdr:spPr>
        <a:xfrm>
          <a:off x="4625340" y="30890894"/>
          <a:ext cx="179070" cy="9237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21980</xdr:colOff>
      <xdr:row>193</xdr:row>
      <xdr:rowOff>29600</xdr:rowOff>
    </xdr:from>
    <xdr:to>
      <xdr:col>12</xdr:col>
      <xdr:colOff>191525</xdr:colOff>
      <xdr:row>193</xdr:row>
      <xdr:rowOff>114352</xdr:rowOff>
    </xdr:to>
    <xdr:sp macro="" textlink="">
      <xdr:nvSpPr>
        <xdr:cNvPr id="78" name="正方形/長方形 77">
          <a:extLst>
            <a:ext uri="{FF2B5EF4-FFF2-40B4-BE49-F238E27FC236}">
              <a16:creationId xmlns:a16="http://schemas.microsoft.com/office/drawing/2014/main" id="{55C07BE7-41E6-4766-AEFD-616FB386F720}"/>
            </a:ext>
          </a:extLst>
        </xdr:cNvPr>
        <xdr:cNvSpPr/>
      </xdr:nvSpPr>
      <xdr:spPr>
        <a:xfrm>
          <a:off x="2765180" y="33119450"/>
          <a:ext cx="169545" cy="8475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53340</xdr:colOff>
      <xdr:row>192</xdr:row>
      <xdr:rowOff>15240</xdr:rowOff>
    </xdr:from>
    <xdr:to>
      <xdr:col>20</xdr:col>
      <xdr:colOff>230505</xdr:colOff>
      <xdr:row>192</xdr:row>
      <xdr:rowOff>117137</xdr:rowOff>
    </xdr:to>
    <xdr:sp macro="" textlink="">
      <xdr:nvSpPr>
        <xdr:cNvPr id="79" name="正方形/長方形 78">
          <a:extLst>
            <a:ext uri="{FF2B5EF4-FFF2-40B4-BE49-F238E27FC236}">
              <a16:creationId xmlns:a16="http://schemas.microsoft.com/office/drawing/2014/main" id="{0D7B7C96-1A53-4854-AC95-08FCECA7D9B9}"/>
            </a:ext>
          </a:extLst>
        </xdr:cNvPr>
        <xdr:cNvSpPr/>
      </xdr:nvSpPr>
      <xdr:spPr>
        <a:xfrm>
          <a:off x="4625340" y="32933640"/>
          <a:ext cx="177165" cy="10189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53340</xdr:colOff>
      <xdr:row>193</xdr:row>
      <xdr:rowOff>29894</xdr:rowOff>
    </xdr:from>
    <xdr:to>
      <xdr:col>20</xdr:col>
      <xdr:colOff>241935</xdr:colOff>
      <xdr:row>193</xdr:row>
      <xdr:rowOff>122266</xdr:rowOff>
    </xdr:to>
    <xdr:sp macro="" textlink="">
      <xdr:nvSpPr>
        <xdr:cNvPr id="80" name="正方形/長方形 79">
          <a:extLst>
            <a:ext uri="{FF2B5EF4-FFF2-40B4-BE49-F238E27FC236}">
              <a16:creationId xmlns:a16="http://schemas.microsoft.com/office/drawing/2014/main" id="{0B04F103-10BE-4D8E-9DD1-49CD9FC0B96A}"/>
            </a:ext>
          </a:extLst>
        </xdr:cNvPr>
        <xdr:cNvSpPr/>
      </xdr:nvSpPr>
      <xdr:spPr>
        <a:xfrm>
          <a:off x="4625340" y="33119744"/>
          <a:ext cx="179070" cy="9237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41</xdr:row>
      <xdr:rowOff>14655</xdr:rowOff>
    </xdr:from>
    <xdr:to>
      <xdr:col>29</xdr:col>
      <xdr:colOff>198853</xdr:colOff>
      <xdr:row>41</xdr:row>
      <xdr:rowOff>112742</xdr:rowOff>
    </xdr:to>
    <xdr:sp macro="" textlink="">
      <xdr:nvSpPr>
        <xdr:cNvPr id="81" name="正方形/長方形 80">
          <a:extLst>
            <a:ext uri="{FF2B5EF4-FFF2-40B4-BE49-F238E27FC236}">
              <a16:creationId xmlns:a16="http://schemas.microsoft.com/office/drawing/2014/main" id="{375C285C-7B41-4FAD-A85B-FBCBA5466F24}"/>
            </a:ext>
          </a:extLst>
        </xdr:cNvPr>
        <xdr:cNvSpPr/>
      </xdr:nvSpPr>
      <xdr:spPr>
        <a:xfrm>
          <a:off x="6658708" y="704410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21981</xdr:colOff>
      <xdr:row>40</xdr:row>
      <xdr:rowOff>23885</xdr:rowOff>
    </xdr:from>
    <xdr:to>
      <xdr:col>22</xdr:col>
      <xdr:colOff>191526</xdr:colOff>
      <xdr:row>40</xdr:row>
      <xdr:rowOff>127688</xdr:rowOff>
    </xdr:to>
    <xdr:sp macro="" textlink="">
      <xdr:nvSpPr>
        <xdr:cNvPr id="82" name="正方形/長方形 81">
          <a:extLst>
            <a:ext uri="{FF2B5EF4-FFF2-40B4-BE49-F238E27FC236}">
              <a16:creationId xmlns:a16="http://schemas.microsoft.com/office/drawing/2014/main" id="{8CF90DE7-7EE3-4A30-A872-71DA92E8DE75}"/>
            </a:ext>
          </a:extLst>
        </xdr:cNvPr>
        <xdr:cNvSpPr/>
      </xdr:nvSpPr>
      <xdr:spPr>
        <a:xfrm>
          <a:off x="5051181" y="6881885"/>
          <a:ext cx="169545" cy="103803"/>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54</xdr:row>
      <xdr:rowOff>14655</xdr:rowOff>
    </xdr:from>
    <xdr:to>
      <xdr:col>29</xdr:col>
      <xdr:colOff>198853</xdr:colOff>
      <xdr:row>54</xdr:row>
      <xdr:rowOff>112742</xdr:rowOff>
    </xdr:to>
    <xdr:sp macro="" textlink="">
      <xdr:nvSpPr>
        <xdr:cNvPr id="83" name="正方形/長方形 82">
          <a:extLst>
            <a:ext uri="{FF2B5EF4-FFF2-40B4-BE49-F238E27FC236}">
              <a16:creationId xmlns:a16="http://schemas.microsoft.com/office/drawing/2014/main" id="{5ED214BC-2AB9-4D75-8514-A16E40203403}"/>
            </a:ext>
          </a:extLst>
        </xdr:cNvPr>
        <xdr:cNvSpPr/>
      </xdr:nvSpPr>
      <xdr:spPr>
        <a:xfrm>
          <a:off x="6658708" y="927295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21981</xdr:colOff>
      <xdr:row>53</xdr:row>
      <xdr:rowOff>23885</xdr:rowOff>
    </xdr:from>
    <xdr:to>
      <xdr:col>22</xdr:col>
      <xdr:colOff>191526</xdr:colOff>
      <xdr:row>53</xdr:row>
      <xdr:rowOff>127688</xdr:rowOff>
    </xdr:to>
    <xdr:sp macro="" textlink="">
      <xdr:nvSpPr>
        <xdr:cNvPr id="84" name="正方形/長方形 83">
          <a:extLst>
            <a:ext uri="{FF2B5EF4-FFF2-40B4-BE49-F238E27FC236}">
              <a16:creationId xmlns:a16="http://schemas.microsoft.com/office/drawing/2014/main" id="{F4981BE7-B35E-4BFB-B445-B2F84AD5DDF1}"/>
            </a:ext>
          </a:extLst>
        </xdr:cNvPr>
        <xdr:cNvSpPr/>
      </xdr:nvSpPr>
      <xdr:spPr>
        <a:xfrm>
          <a:off x="5051181" y="9110735"/>
          <a:ext cx="169545" cy="103803"/>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230505</xdr:colOff>
      <xdr:row>36</xdr:row>
      <xdr:rowOff>64992</xdr:rowOff>
    </xdr:from>
    <xdr:to>
      <xdr:col>32</xdr:col>
      <xdr:colOff>13333</xdr:colOff>
      <xdr:row>36</xdr:row>
      <xdr:rowOff>66189</xdr:rowOff>
    </xdr:to>
    <xdr:cxnSp macro="">
      <xdr:nvCxnSpPr>
        <xdr:cNvPr id="85" name="直線コネクタ 84">
          <a:extLst>
            <a:ext uri="{FF2B5EF4-FFF2-40B4-BE49-F238E27FC236}">
              <a16:creationId xmlns:a16="http://schemas.microsoft.com/office/drawing/2014/main" id="{513D919B-F25E-4E87-A6A1-0FEE6FE58CCD}"/>
            </a:ext>
          </a:extLst>
        </xdr:cNvPr>
        <xdr:cNvCxnSpPr>
          <a:cxnSpLocks/>
          <a:stCxn id="22" idx="3"/>
          <a:endCxn id="68" idx="1"/>
        </xdr:cNvCxnSpPr>
      </xdr:nvCxnSpPr>
      <xdr:spPr>
        <a:xfrm flipV="1">
          <a:off x="4802505" y="6237192"/>
          <a:ext cx="2526028" cy="1197"/>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241935</xdr:colOff>
      <xdr:row>37</xdr:row>
      <xdr:rowOff>72246</xdr:rowOff>
    </xdr:from>
    <xdr:to>
      <xdr:col>32</xdr:col>
      <xdr:colOff>10816</xdr:colOff>
      <xdr:row>37</xdr:row>
      <xdr:rowOff>76080</xdr:rowOff>
    </xdr:to>
    <xdr:cxnSp macro="">
      <xdr:nvCxnSpPr>
        <xdr:cNvPr id="86" name="直線コネクタ 85">
          <a:extLst>
            <a:ext uri="{FF2B5EF4-FFF2-40B4-BE49-F238E27FC236}">
              <a16:creationId xmlns:a16="http://schemas.microsoft.com/office/drawing/2014/main" id="{D03C8B23-F46A-4FD3-A0F1-22B94744104D}"/>
            </a:ext>
          </a:extLst>
        </xdr:cNvPr>
        <xdr:cNvCxnSpPr>
          <a:cxnSpLocks/>
          <a:stCxn id="23" idx="3"/>
          <a:endCxn id="67" idx="1"/>
        </xdr:cNvCxnSpPr>
      </xdr:nvCxnSpPr>
      <xdr:spPr>
        <a:xfrm flipV="1">
          <a:off x="4804410" y="6415896"/>
          <a:ext cx="2521606" cy="3834"/>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230505</xdr:colOff>
      <xdr:row>42</xdr:row>
      <xdr:rowOff>63699</xdr:rowOff>
    </xdr:from>
    <xdr:to>
      <xdr:col>29</xdr:col>
      <xdr:colOff>198853</xdr:colOff>
      <xdr:row>49</xdr:row>
      <xdr:rowOff>66189</xdr:rowOff>
    </xdr:to>
    <xdr:cxnSp macro="">
      <xdr:nvCxnSpPr>
        <xdr:cNvPr id="87" name="直線コネクタ 31">
          <a:extLst>
            <a:ext uri="{FF2B5EF4-FFF2-40B4-BE49-F238E27FC236}">
              <a16:creationId xmlns:a16="http://schemas.microsoft.com/office/drawing/2014/main" id="{139C3B6F-9CA5-4771-82EB-13E06260F6A4}"/>
            </a:ext>
          </a:extLst>
        </xdr:cNvPr>
        <xdr:cNvCxnSpPr>
          <a:cxnSpLocks/>
          <a:stCxn id="25" idx="3"/>
          <a:endCxn id="88" idx="3"/>
        </xdr:cNvCxnSpPr>
      </xdr:nvCxnSpPr>
      <xdr:spPr>
        <a:xfrm flipV="1">
          <a:off x="4802505" y="7264599"/>
          <a:ext cx="2025748" cy="1202640"/>
        </a:xfrm>
        <a:prstGeom prst="bentConnector3">
          <a:avLst>
            <a:gd name="adj1" fmla="val 106416"/>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29308</xdr:colOff>
      <xdr:row>42</xdr:row>
      <xdr:rowOff>14655</xdr:rowOff>
    </xdr:from>
    <xdr:to>
      <xdr:col>29</xdr:col>
      <xdr:colOff>198853</xdr:colOff>
      <xdr:row>42</xdr:row>
      <xdr:rowOff>112742</xdr:rowOff>
    </xdr:to>
    <xdr:sp macro="" textlink="">
      <xdr:nvSpPr>
        <xdr:cNvPr id="88" name="正方形/長方形 87">
          <a:extLst>
            <a:ext uri="{FF2B5EF4-FFF2-40B4-BE49-F238E27FC236}">
              <a16:creationId xmlns:a16="http://schemas.microsoft.com/office/drawing/2014/main" id="{CF316F89-B913-48B1-97AE-56B40EA8C3A1}"/>
            </a:ext>
          </a:extLst>
        </xdr:cNvPr>
        <xdr:cNvSpPr/>
      </xdr:nvSpPr>
      <xdr:spPr>
        <a:xfrm>
          <a:off x="6658708" y="721555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21981</xdr:colOff>
      <xdr:row>41</xdr:row>
      <xdr:rowOff>23885</xdr:rowOff>
    </xdr:from>
    <xdr:to>
      <xdr:col>22</xdr:col>
      <xdr:colOff>191526</xdr:colOff>
      <xdr:row>41</xdr:row>
      <xdr:rowOff>127688</xdr:rowOff>
    </xdr:to>
    <xdr:sp macro="" textlink="">
      <xdr:nvSpPr>
        <xdr:cNvPr id="89" name="正方形/長方形 88">
          <a:extLst>
            <a:ext uri="{FF2B5EF4-FFF2-40B4-BE49-F238E27FC236}">
              <a16:creationId xmlns:a16="http://schemas.microsoft.com/office/drawing/2014/main" id="{9E78ED95-D38C-4EBA-BF52-1424A8FEAEBC}"/>
            </a:ext>
          </a:extLst>
        </xdr:cNvPr>
        <xdr:cNvSpPr/>
      </xdr:nvSpPr>
      <xdr:spPr>
        <a:xfrm>
          <a:off x="5051181" y="705333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55</xdr:row>
      <xdr:rowOff>14655</xdr:rowOff>
    </xdr:from>
    <xdr:to>
      <xdr:col>29</xdr:col>
      <xdr:colOff>198853</xdr:colOff>
      <xdr:row>55</xdr:row>
      <xdr:rowOff>112742</xdr:rowOff>
    </xdr:to>
    <xdr:sp macro="" textlink="">
      <xdr:nvSpPr>
        <xdr:cNvPr id="90" name="正方形/長方形 89">
          <a:extLst>
            <a:ext uri="{FF2B5EF4-FFF2-40B4-BE49-F238E27FC236}">
              <a16:creationId xmlns:a16="http://schemas.microsoft.com/office/drawing/2014/main" id="{6DAECEBE-D0D8-4158-83E6-37C78EC5FB15}"/>
            </a:ext>
          </a:extLst>
        </xdr:cNvPr>
        <xdr:cNvSpPr/>
      </xdr:nvSpPr>
      <xdr:spPr>
        <a:xfrm>
          <a:off x="6658708" y="944440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21981</xdr:colOff>
      <xdr:row>54</xdr:row>
      <xdr:rowOff>23885</xdr:rowOff>
    </xdr:from>
    <xdr:to>
      <xdr:col>22</xdr:col>
      <xdr:colOff>191526</xdr:colOff>
      <xdr:row>54</xdr:row>
      <xdr:rowOff>127688</xdr:rowOff>
    </xdr:to>
    <xdr:sp macro="" textlink="">
      <xdr:nvSpPr>
        <xdr:cNvPr id="91" name="正方形/長方形 90">
          <a:extLst>
            <a:ext uri="{FF2B5EF4-FFF2-40B4-BE49-F238E27FC236}">
              <a16:creationId xmlns:a16="http://schemas.microsoft.com/office/drawing/2014/main" id="{91DF5C39-4D4C-4664-BE18-836436D15EC1}"/>
            </a:ext>
          </a:extLst>
        </xdr:cNvPr>
        <xdr:cNvSpPr/>
      </xdr:nvSpPr>
      <xdr:spPr>
        <a:xfrm>
          <a:off x="5051181" y="928218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198854</xdr:colOff>
      <xdr:row>36</xdr:row>
      <xdr:rowOff>71437</xdr:rowOff>
    </xdr:from>
    <xdr:to>
      <xdr:col>30</xdr:col>
      <xdr:colOff>214314</xdr:colOff>
      <xdr:row>55</xdr:row>
      <xdr:rowOff>63699</xdr:rowOff>
    </xdr:to>
    <xdr:cxnSp macro="">
      <xdr:nvCxnSpPr>
        <xdr:cNvPr id="92" name="直線コネクタ 31">
          <a:extLst>
            <a:ext uri="{FF2B5EF4-FFF2-40B4-BE49-F238E27FC236}">
              <a16:creationId xmlns:a16="http://schemas.microsoft.com/office/drawing/2014/main" id="{8C7AC13C-D367-441B-94FC-3D2540234ECC}"/>
            </a:ext>
          </a:extLst>
        </xdr:cNvPr>
        <xdr:cNvCxnSpPr>
          <a:cxnSpLocks/>
          <a:endCxn id="90" idx="3"/>
        </xdr:cNvCxnSpPr>
      </xdr:nvCxnSpPr>
      <xdr:spPr>
        <a:xfrm rot="5400000">
          <a:off x="5325378" y="7746513"/>
          <a:ext cx="3249812" cy="244060"/>
        </a:xfrm>
        <a:prstGeom prst="bentConnector2">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230505</xdr:colOff>
      <xdr:row>49</xdr:row>
      <xdr:rowOff>66190</xdr:rowOff>
    </xdr:from>
    <xdr:to>
      <xdr:col>22</xdr:col>
      <xdr:colOff>21981</xdr:colOff>
      <xdr:row>54</xdr:row>
      <xdr:rowOff>75788</xdr:rowOff>
    </xdr:to>
    <xdr:cxnSp macro="">
      <xdr:nvCxnSpPr>
        <xdr:cNvPr id="93" name="直線コネクタ 31">
          <a:extLst>
            <a:ext uri="{FF2B5EF4-FFF2-40B4-BE49-F238E27FC236}">
              <a16:creationId xmlns:a16="http://schemas.microsoft.com/office/drawing/2014/main" id="{9D1F0BB8-4B03-49B2-A391-9A0B4AE11598}"/>
            </a:ext>
          </a:extLst>
        </xdr:cNvPr>
        <xdr:cNvCxnSpPr>
          <a:cxnSpLocks/>
          <a:stCxn id="91" idx="1"/>
          <a:endCxn id="25" idx="3"/>
        </xdr:cNvCxnSpPr>
      </xdr:nvCxnSpPr>
      <xdr:spPr>
        <a:xfrm rot="10800000">
          <a:off x="4802505" y="8467240"/>
          <a:ext cx="248676" cy="866848"/>
        </a:xfrm>
        <a:prstGeom prst="bentConnector3">
          <a:avLst>
            <a:gd name="adj1" fmla="val 50000"/>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147639</xdr:colOff>
      <xdr:row>37</xdr:row>
      <xdr:rowOff>122266</xdr:rowOff>
    </xdr:from>
    <xdr:to>
      <xdr:col>22</xdr:col>
      <xdr:colOff>21982</xdr:colOff>
      <xdr:row>40</xdr:row>
      <xdr:rowOff>75787</xdr:rowOff>
    </xdr:to>
    <xdr:cxnSp macro="">
      <xdr:nvCxnSpPr>
        <xdr:cNvPr id="94" name="直線コネクタ 31">
          <a:extLst>
            <a:ext uri="{FF2B5EF4-FFF2-40B4-BE49-F238E27FC236}">
              <a16:creationId xmlns:a16="http://schemas.microsoft.com/office/drawing/2014/main" id="{A9EB42FA-7DBE-4BD3-86ED-58D304E43F31}"/>
            </a:ext>
          </a:extLst>
        </xdr:cNvPr>
        <xdr:cNvCxnSpPr>
          <a:cxnSpLocks/>
          <a:stCxn id="82" idx="1"/>
          <a:endCxn id="23" idx="2"/>
        </xdr:cNvCxnSpPr>
      </xdr:nvCxnSpPr>
      <xdr:spPr>
        <a:xfrm rot="10800000">
          <a:off x="4719639" y="6465916"/>
          <a:ext cx="331543" cy="467871"/>
        </a:xfrm>
        <a:prstGeom prst="bentConnector2">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147639</xdr:colOff>
      <xdr:row>50</xdr:row>
      <xdr:rowOff>122266</xdr:rowOff>
    </xdr:from>
    <xdr:to>
      <xdr:col>22</xdr:col>
      <xdr:colOff>21982</xdr:colOff>
      <xdr:row>53</xdr:row>
      <xdr:rowOff>75787</xdr:rowOff>
    </xdr:to>
    <xdr:cxnSp macro="">
      <xdr:nvCxnSpPr>
        <xdr:cNvPr id="95" name="直線コネクタ 31">
          <a:extLst>
            <a:ext uri="{FF2B5EF4-FFF2-40B4-BE49-F238E27FC236}">
              <a16:creationId xmlns:a16="http://schemas.microsoft.com/office/drawing/2014/main" id="{A26374A8-D4ED-45EB-948E-DAA5D181448F}"/>
            </a:ext>
          </a:extLst>
        </xdr:cNvPr>
        <xdr:cNvCxnSpPr>
          <a:cxnSpLocks/>
          <a:stCxn id="84" idx="1"/>
          <a:endCxn id="26" idx="2"/>
        </xdr:cNvCxnSpPr>
      </xdr:nvCxnSpPr>
      <xdr:spPr>
        <a:xfrm rot="10800000">
          <a:off x="4719639" y="8694766"/>
          <a:ext cx="331543" cy="467871"/>
        </a:xfrm>
        <a:prstGeom prst="bentConnector2">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41</xdr:col>
      <xdr:colOff>113652</xdr:colOff>
      <xdr:row>112</xdr:row>
      <xdr:rowOff>31749</xdr:rowOff>
    </xdr:from>
    <xdr:to>
      <xdr:col>42</xdr:col>
      <xdr:colOff>173821</xdr:colOff>
      <xdr:row>136</xdr:row>
      <xdr:rowOff>47624</xdr:rowOff>
    </xdr:to>
    <xdr:sp macro="" textlink="">
      <xdr:nvSpPr>
        <xdr:cNvPr id="96" name="右中かっこ 95">
          <a:extLst>
            <a:ext uri="{FF2B5EF4-FFF2-40B4-BE49-F238E27FC236}">
              <a16:creationId xmlns:a16="http://schemas.microsoft.com/office/drawing/2014/main" id="{61677511-EFD7-4D30-A6BB-6B5C03A281FD}"/>
            </a:ext>
          </a:extLst>
        </xdr:cNvPr>
        <xdr:cNvSpPr/>
      </xdr:nvSpPr>
      <xdr:spPr>
        <a:xfrm>
          <a:off x="9486252" y="19234149"/>
          <a:ext cx="288769" cy="4130675"/>
        </a:xfrm>
        <a:prstGeom prst="righ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41</xdr:col>
      <xdr:colOff>113652</xdr:colOff>
      <xdr:row>151</xdr:row>
      <xdr:rowOff>127000</xdr:rowOff>
    </xdr:from>
    <xdr:to>
      <xdr:col>42</xdr:col>
      <xdr:colOff>173821</xdr:colOff>
      <xdr:row>175</xdr:row>
      <xdr:rowOff>23812</xdr:rowOff>
    </xdr:to>
    <xdr:sp macro="" textlink="">
      <xdr:nvSpPr>
        <xdr:cNvPr id="97" name="右中かっこ 96">
          <a:extLst>
            <a:ext uri="{FF2B5EF4-FFF2-40B4-BE49-F238E27FC236}">
              <a16:creationId xmlns:a16="http://schemas.microsoft.com/office/drawing/2014/main" id="{89199E13-A4D9-4785-81A6-426066C7CFBA}"/>
            </a:ext>
          </a:extLst>
        </xdr:cNvPr>
        <xdr:cNvSpPr/>
      </xdr:nvSpPr>
      <xdr:spPr>
        <a:xfrm>
          <a:off x="9486252" y="26015950"/>
          <a:ext cx="288769" cy="4011612"/>
        </a:xfrm>
        <a:prstGeom prst="righ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41</xdr:col>
      <xdr:colOff>113652</xdr:colOff>
      <xdr:row>190</xdr:row>
      <xdr:rowOff>55561</xdr:rowOff>
    </xdr:from>
    <xdr:to>
      <xdr:col>42</xdr:col>
      <xdr:colOff>173821</xdr:colOff>
      <xdr:row>201</xdr:row>
      <xdr:rowOff>47625</xdr:rowOff>
    </xdr:to>
    <xdr:sp macro="" textlink="">
      <xdr:nvSpPr>
        <xdr:cNvPr id="98" name="右中かっこ 97">
          <a:extLst>
            <a:ext uri="{FF2B5EF4-FFF2-40B4-BE49-F238E27FC236}">
              <a16:creationId xmlns:a16="http://schemas.microsoft.com/office/drawing/2014/main" id="{FA0E8400-EE35-43F9-BF86-F2F1074E7372}"/>
            </a:ext>
          </a:extLst>
        </xdr:cNvPr>
        <xdr:cNvSpPr/>
      </xdr:nvSpPr>
      <xdr:spPr>
        <a:xfrm>
          <a:off x="9486252" y="32631061"/>
          <a:ext cx="288769" cy="1878014"/>
        </a:xfrm>
        <a:prstGeom prst="righ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32</xdr:col>
      <xdr:colOff>10816</xdr:colOff>
      <xdr:row>50</xdr:row>
      <xdr:rowOff>25107</xdr:rowOff>
    </xdr:from>
    <xdr:to>
      <xdr:col>32</xdr:col>
      <xdr:colOff>174646</xdr:colOff>
      <xdr:row>50</xdr:row>
      <xdr:rowOff>119384</xdr:rowOff>
    </xdr:to>
    <xdr:sp macro="" textlink="">
      <xdr:nvSpPr>
        <xdr:cNvPr id="99" name="正方形/長方形 98">
          <a:extLst>
            <a:ext uri="{FF2B5EF4-FFF2-40B4-BE49-F238E27FC236}">
              <a16:creationId xmlns:a16="http://schemas.microsoft.com/office/drawing/2014/main" id="{997F22D5-A943-4130-A406-4BDB2D62D9C7}"/>
            </a:ext>
          </a:extLst>
        </xdr:cNvPr>
        <xdr:cNvSpPr/>
      </xdr:nvSpPr>
      <xdr:spPr>
        <a:xfrm>
          <a:off x="7326016" y="8597607"/>
          <a:ext cx="163830"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13333</xdr:colOff>
      <xdr:row>49</xdr:row>
      <xdr:rowOff>14043</xdr:rowOff>
    </xdr:from>
    <xdr:to>
      <xdr:col>32</xdr:col>
      <xdr:colOff>171448</xdr:colOff>
      <xdr:row>49</xdr:row>
      <xdr:rowOff>115940</xdr:rowOff>
    </xdr:to>
    <xdr:sp macro="" textlink="">
      <xdr:nvSpPr>
        <xdr:cNvPr id="100" name="正方形/長方形 99">
          <a:extLst>
            <a:ext uri="{FF2B5EF4-FFF2-40B4-BE49-F238E27FC236}">
              <a16:creationId xmlns:a16="http://schemas.microsoft.com/office/drawing/2014/main" id="{6D0E5F63-F315-4123-B9DE-0194F4FEB9B8}"/>
            </a:ext>
          </a:extLst>
        </xdr:cNvPr>
        <xdr:cNvSpPr/>
      </xdr:nvSpPr>
      <xdr:spPr>
        <a:xfrm>
          <a:off x="7328533" y="8415093"/>
          <a:ext cx="158115" cy="10189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10816</xdr:colOff>
      <xdr:row>63</xdr:row>
      <xdr:rowOff>25107</xdr:rowOff>
    </xdr:from>
    <xdr:to>
      <xdr:col>32</xdr:col>
      <xdr:colOff>174646</xdr:colOff>
      <xdr:row>63</xdr:row>
      <xdr:rowOff>119384</xdr:rowOff>
    </xdr:to>
    <xdr:sp macro="" textlink="">
      <xdr:nvSpPr>
        <xdr:cNvPr id="101" name="正方形/長方形 100">
          <a:extLst>
            <a:ext uri="{FF2B5EF4-FFF2-40B4-BE49-F238E27FC236}">
              <a16:creationId xmlns:a16="http://schemas.microsoft.com/office/drawing/2014/main" id="{C8D13BFE-D576-4AAF-97F6-55771E63A52A}"/>
            </a:ext>
          </a:extLst>
        </xdr:cNvPr>
        <xdr:cNvSpPr/>
      </xdr:nvSpPr>
      <xdr:spPr>
        <a:xfrm>
          <a:off x="7326016" y="10826457"/>
          <a:ext cx="163830"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13333</xdr:colOff>
      <xdr:row>62</xdr:row>
      <xdr:rowOff>14043</xdr:rowOff>
    </xdr:from>
    <xdr:to>
      <xdr:col>32</xdr:col>
      <xdr:colOff>171448</xdr:colOff>
      <xdr:row>62</xdr:row>
      <xdr:rowOff>115940</xdr:rowOff>
    </xdr:to>
    <xdr:sp macro="" textlink="">
      <xdr:nvSpPr>
        <xdr:cNvPr id="102" name="正方形/長方形 101">
          <a:extLst>
            <a:ext uri="{FF2B5EF4-FFF2-40B4-BE49-F238E27FC236}">
              <a16:creationId xmlns:a16="http://schemas.microsoft.com/office/drawing/2014/main" id="{E4C46040-F77D-4D86-BDF2-7516D4955A75}"/>
            </a:ext>
          </a:extLst>
        </xdr:cNvPr>
        <xdr:cNvSpPr/>
      </xdr:nvSpPr>
      <xdr:spPr>
        <a:xfrm>
          <a:off x="7328533" y="10643943"/>
          <a:ext cx="158115" cy="10189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10816</xdr:colOff>
      <xdr:row>76</xdr:row>
      <xdr:rowOff>25107</xdr:rowOff>
    </xdr:from>
    <xdr:to>
      <xdr:col>32</xdr:col>
      <xdr:colOff>174646</xdr:colOff>
      <xdr:row>76</xdr:row>
      <xdr:rowOff>119384</xdr:rowOff>
    </xdr:to>
    <xdr:sp macro="" textlink="">
      <xdr:nvSpPr>
        <xdr:cNvPr id="103" name="正方形/長方形 102">
          <a:extLst>
            <a:ext uri="{FF2B5EF4-FFF2-40B4-BE49-F238E27FC236}">
              <a16:creationId xmlns:a16="http://schemas.microsoft.com/office/drawing/2014/main" id="{5AD9C99C-D36E-464B-8CCE-0D0C0BD30614}"/>
            </a:ext>
          </a:extLst>
        </xdr:cNvPr>
        <xdr:cNvSpPr/>
      </xdr:nvSpPr>
      <xdr:spPr>
        <a:xfrm>
          <a:off x="7326016" y="13055307"/>
          <a:ext cx="163830"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13333</xdr:colOff>
      <xdr:row>75</xdr:row>
      <xdr:rowOff>14043</xdr:rowOff>
    </xdr:from>
    <xdr:to>
      <xdr:col>32</xdr:col>
      <xdr:colOff>171448</xdr:colOff>
      <xdr:row>75</xdr:row>
      <xdr:rowOff>115940</xdr:rowOff>
    </xdr:to>
    <xdr:sp macro="" textlink="">
      <xdr:nvSpPr>
        <xdr:cNvPr id="104" name="正方形/長方形 103">
          <a:extLst>
            <a:ext uri="{FF2B5EF4-FFF2-40B4-BE49-F238E27FC236}">
              <a16:creationId xmlns:a16="http://schemas.microsoft.com/office/drawing/2014/main" id="{E1226109-6BF7-4651-A4F0-9465C2399C7E}"/>
            </a:ext>
          </a:extLst>
        </xdr:cNvPr>
        <xdr:cNvSpPr/>
      </xdr:nvSpPr>
      <xdr:spPr>
        <a:xfrm>
          <a:off x="7328533" y="12872793"/>
          <a:ext cx="158115" cy="10189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10816</xdr:colOff>
      <xdr:row>89</xdr:row>
      <xdr:rowOff>25107</xdr:rowOff>
    </xdr:from>
    <xdr:to>
      <xdr:col>32</xdr:col>
      <xdr:colOff>174646</xdr:colOff>
      <xdr:row>89</xdr:row>
      <xdr:rowOff>119384</xdr:rowOff>
    </xdr:to>
    <xdr:sp macro="" textlink="">
      <xdr:nvSpPr>
        <xdr:cNvPr id="105" name="正方形/長方形 104">
          <a:extLst>
            <a:ext uri="{FF2B5EF4-FFF2-40B4-BE49-F238E27FC236}">
              <a16:creationId xmlns:a16="http://schemas.microsoft.com/office/drawing/2014/main" id="{E88AB2CB-484C-4111-8FA3-923D9A76069D}"/>
            </a:ext>
          </a:extLst>
        </xdr:cNvPr>
        <xdr:cNvSpPr/>
      </xdr:nvSpPr>
      <xdr:spPr>
        <a:xfrm>
          <a:off x="7326016" y="15284157"/>
          <a:ext cx="163830"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13333</xdr:colOff>
      <xdr:row>88</xdr:row>
      <xdr:rowOff>14043</xdr:rowOff>
    </xdr:from>
    <xdr:to>
      <xdr:col>32</xdr:col>
      <xdr:colOff>171448</xdr:colOff>
      <xdr:row>88</xdr:row>
      <xdr:rowOff>115940</xdr:rowOff>
    </xdr:to>
    <xdr:sp macro="" textlink="">
      <xdr:nvSpPr>
        <xdr:cNvPr id="106" name="正方形/長方形 105">
          <a:extLst>
            <a:ext uri="{FF2B5EF4-FFF2-40B4-BE49-F238E27FC236}">
              <a16:creationId xmlns:a16="http://schemas.microsoft.com/office/drawing/2014/main" id="{41A56739-C700-4D68-BA74-1D5648830E70}"/>
            </a:ext>
          </a:extLst>
        </xdr:cNvPr>
        <xdr:cNvSpPr/>
      </xdr:nvSpPr>
      <xdr:spPr>
        <a:xfrm>
          <a:off x="7328533" y="15101643"/>
          <a:ext cx="158115" cy="10189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10816</xdr:colOff>
      <xdr:row>102</xdr:row>
      <xdr:rowOff>25107</xdr:rowOff>
    </xdr:from>
    <xdr:to>
      <xdr:col>32</xdr:col>
      <xdr:colOff>174646</xdr:colOff>
      <xdr:row>102</xdr:row>
      <xdr:rowOff>119384</xdr:rowOff>
    </xdr:to>
    <xdr:sp macro="" textlink="">
      <xdr:nvSpPr>
        <xdr:cNvPr id="107" name="正方形/長方形 106">
          <a:extLst>
            <a:ext uri="{FF2B5EF4-FFF2-40B4-BE49-F238E27FC236}">
              <a16:creationId xmlns:a16="http://schemas.microsoft.com/office/drawing/2014/main" id="{C6CAFDB5-44D4-408A-9E89-50521E09EDDD}"/>
            </a:ext>
          </a:extLst>
        </xdr:cNvPr>
        <xdr:cNvSpPr/>
      </xdr:nvSpPr>
      <xdr:spPr>
        <a:xfrm>
          <a:off x="7326016" y="17513007"/>
          <a:ext cx="163830"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13333</xdr:colOff>
      <xdr:row>101</xdr:row>
      <xdr:rowOff>14043</xdr:rowOff>
    </xdr:from>
    <xdr:to>
      <xdr:col>32</xdr:col>
      <xdr:colOff>171448</xdr:colOff>
      <xdr:row>101</xdr:row>
      <xdr:rowOff>115940</xdr:rowOff>
    </xdr:to>
    <xdr:sp macro="" textlink="">
      <xdr:nvSpPr>
        <xdr:cNvPr id="108" name="正方形/長方形 107">
          <a:extLst>
            <a:ext uri="{FF2B5EF4-FFF2-40B4-BE49-F238E27FC236}">
              <a16:creationId xmlns:a16="http://schemas.microsoft.com/office/drawing/2014/main" id="{44B6CAF3-8ACC-42AB-8D2E-D945F64771D6}"/>
            </a:ext>
          </a:extLst>
        </xdr:cNvPr>
        <xdr:cNvSpPr/>
      </xdr:nvSpPr>
      <xdr:spPr>
        <a:xfrm>
          <a:off x="7328533" y="17330493"/>
          <a:ext cx="158115" cy="10189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10816</xdr:colOff>
      <xdr:row>115</xdr:row>
      <xdr:rowOff>25107</xdr:rowOff>
    </xdr:from>
    <xdr:to>
      <xdr:col>32</xdr:col>
      <xdr:colOff>174646</xdr:colOff>
      <xdr:row>115</xdr:row>
      <xdr:rowOff>119384</xdr:rowOff>
    </xdr:to>
    <xdr:sp macro="" textlink="">
      <xdr:nvSpPr>
        <xdr:cNvPr id="109" name="正方形/長方形 108">
          <a:extLst>
            <a:ext uri="{FF2B5EF4-FFF2-40B4-BE49-F238E27FC236}">
              <a16:creationId xmlns:a16="http://schemas.microsoft.com/office/drawing/2014/main" id="{91B2F259-6E77-4517-AB2D-8AA1C1BA79A0}"/>
            </a:ext>
          </a:extLst>
        </xdr:cNvPr>
        <xdr:cNvSpPr/>
      </xdr:nvSpPr>
      <xdr:spPr>
        <a:xfrm>
          <a:off x="7326016" y="19741857"/>
          <a:ext cx="163830"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13333</xdr:colOff>
      <xdr:row>114</xdr:row>
      <xdr:rowOff>14043</xdr:rowOff>
    </xdr:from>
    <xdr:to>
      <xdr:col>32</xdr:col>
      <xdr:colOff>171448</xdr:colOff>
      <xdr:row>114</xdr:row>
      <xdr:rowOff>115940</xdr:rowOff>
    </xdr:to>
    <xdr:sp macro="" textlink="">
      <xdr:nvSpPr>
        <xdr:cNvPr id="110" name="正方形/長方形 109">
          <a:extLst>
            <a:ext uri="{FF2B5EF4-FFF2-40B4-BE49-F238E27FC236}">
              <a16:creationId xmlns:a16="http://schemas.microsoft.com/office/drawing/2014/main" id="{D06454F1-514B-47F8-B38F-638CB686C723}"/>
            </a:ext>
          </a:extLst>
        </xdr:cNvPr>
        <xdr:cNvSpPr/>
      </xdr:nvSpPr>
      <xdr:spPr>
        <a:xfrm>
          <a:off x="7328533" y="19559343"/>
          <a:ext cx="158115" cy="10189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10816</xdr:colOff>
      <xdr:row>128</xdr:row>
      <xdr:rowOff>25107</xdr:rowOff>
    </xdr:from>
    <xdr:to>
      <xdr:col>32</xdr:col>
      <xdr:colOff>174646</xdr:colOff>
      <xdr:row>128</xdr:row>
      <xdr:rowOff>119384</xdr:rowOff>
    </xdr:to>
    <xdr:sp macro="" textlink="">
      <xdr:nvSpPr>
        <xdr:cNvPr id="111" name="正方形/長方形 110">
          <a:extLst>
            <a:ext uri="{FF2B5EF4-FFF2-40B4-BE49-F238E27FC236}">
              <a16:creationId xmlns:a16="http://schemas.microsoft.com/office/drawing/2014/main" id="{A1E931E3-6FB0-4EFA-998A-820A1AADEFFC}"/>
            </a:ext>
          </a:extLst>
        </xdr:cNvPr>
        <xdr:cNvSpPr/>
      </xdr:nvSpPr>
      <xdr:spPr>
        <a:xfrm>
          <a:off x="7326016" y="21970707"/>
          <a:ext cx="163830"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13333</xdr:colOff>
      <xdr:row>127</xdr:row>
      <xdr:rowOff>14043</xdr:rowOff>
    </xdr:from>
    <xdr:to>
      <xdr:col>32</xdr:col>
      <xdr:colOff>171448</xdr:colOff>
      <xdr:row>127</xdr:row>
      <xdr:rowOff>115940</xdr:rowOff>
    </xdr:to>
    <xdr:sp macro="" textlink="">
      <xdr:nvSpPr>
        <xdr:cNvPr id="112" name="正方形/長方形 111">
          <a:extLst>
            <a:ext uri="{FF2B5EF4-FFF2-40B4-BE49-F238E27FC236}">
              <a16:creationId xmlns:a16="http://schemas.microsoft.com/office/drawing/2014/main" id="{AD3F21D0-77F1-4831-A114-FB619ED06DF3}"/>
            </a:ext>
          </a:extLst>
        </xdr:cNvPr>
        <xdr:cNvSpPr/>
      </xdr:nvSpPr>
      <xdr:spPr>
        <a:xfrm>
          <a:off x="7328533" y="21788193"/>
          <a:ext cx="158115" cy="10189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10816</xdr:colOff>
      <xdr:row>141</xdr:row>
      <xdr:rowOff>25107</xdr:rowOff>
    </xdr:from>
    <xdr:to>
      <xdr:col>32</xdr:col>
      <xdr:colOff>174646</xdr:colOff>
      <xdr:row>141</xdr:row>
      <xdr:rowOff>119384</xdr:rowOff>
    </xdr:to>
    <xdr:sp macro="" textlink="">
      <xdr:nvSpPr>
        <xdr:cNvPr id="113" name="正方形/長方形 112">
          <a:extLst>
            <a:ext uri="{FF2B5EF4-FFF2-40B4-BE49-F238E27FC236}">
              <a16:creationId xmlns:a16="http://schemas.microsoft.com/office/drawing/2014/main" id="{A4FBB32B-7CE4-406E-AFBE-D7CAF0530B9D}"/>
            </a:ext>
          </a:extLst>
        </xdr:cNvPr>
        <xdr:cNvSpPr/>
      </xdr:nvSpPr>
      <xdr:spPr>
        <a:xfrm>
          <a:off x="7326016" y="24199557"/>
          <a:ext cx="163830"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13333</xdr:colOff>
      <xdr:row>140</xdr:row>
      <xdr:rowOff>14043</xdr:rowOff>
    </xdr:from>
    <xdr:to>
      <xdr:col>32</xdr:col>
      <xdr:colOff>171448</xdr:colOff>
      <xdr:row>140</xdr:row>
      <xdr:rowOff>115940</xdr:rowOff>
    </xdr:to>
    <xdr:sp macro="" textlink="">
      <xdr:nvSpPr>
        <xdr:cNvPr id="114" name="正方形/長方形 113">
          <a:extLst>
            <a:ext uri="{FF2B5EF4-FFF2-40B4-BE49-F238E27FC236}">
              <a16:creationId xmlns:a16="http://schemas.microsoft.com/office/drawing/2014/main" id="{0059AEA2-B753-42F0-A793-902480891184}"/>
            </a:ext>
          </a:extLst>
        </xdr:cNvPr>
        <xdr:cNvSpPr/>
      </xdr:nvSpPr>
      <xdr:spPr>
        <a:xfrm>
          <a:off x="7328533" y="24017043"/>
          <a:ext cx="158115" cy="10189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10816</xdr:colOff>
      <xdr:row>154</xdr:row>
      <xdr:rowOff>25107</xdr:rowOff>
    </xdr:from>
    <xdr:to>
      <xdr:col>32</xdr:col>
      <xdr:colOff>174646</xdr:colOff>
      <xdr:row>154</xdr:row>
      <xdr:rowOff>119384</xdr:rowOff>
    </xdr:to>
    <xdr:sp macro="" textlink="">
      <xdr:nvSpPr>
        <xdr:cNvPr id="115" name="正方形/長方形 114">
          <a:extLst>
            <a:ext uri="{FF2B5EF4-FFF2-40B4-BE49-F238E27FC236}">
              <a16:creationId xmlns:a16="http://schemas.microsoft.com/office/drawing/2014/main" id="{6DE85C7D-6628-4077-978D-A11AC71954A8}"/>
            </a:ext>
          </a:extLst>
        </xdr:cNvPr>
        <xdr:cNvSpPr/>
      </xdr:nvSpPr>
      <xdr:spPr>
        <a:xfrm>
          <a:off x="7326016" y="26428407"/>
          <a:ext cx="163830"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13333</xdr:colOff>
      <xdr:row>153</xdr:row>
      <xdr:rowOff>14043</xdr:rowOff>
    </xdr:from>
    <xdr:to>
      <xdr:col>32</xdr:col>
      <xdr:colOff>171448</xdr:colOff>
      <xdr:row>153</xdr:row>
      <xdr:rowOff>115940</xdr:rowOff>
    </xdr:to>
    <xdr:sp macro="" textlink="">
      <xdr:nvSpPr>
        <xdr:cNvPr id="116" name="正方形/長方形 115">
          <a:extLst>
            <a:ext uri="{FF2B5EF4-FFF2-40B4-BE49-F238E27FC236}">
              <a16:creationId xmlns:a16="http://schemas.microsoft.com/office/drawing/2014/main" id="{D72A1F95-95CA-4C78-8812-A286678AF355}"/>
            </a:ext>
          </a:extLst>
        </xdr:cNvPr>
        <xdr:cNvSpPr/>
      </xdr:nvSpPr>
      <xdr:spPr>
        <a:xfrm>
          <a:off x="7328533" y="26245893"/>
          <a:ext cx="158115" cy="10189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10816</xdr:colOff>
      <xdr:row>167</xdr:row>
      <xdr:rowOff>25107</xdr:rowOff>
    </xdr:from>
    <xdr:to>
      <xdr:col>32</xdr:col>
      <xdr:colOff>174646</xdr:colOff>
      <xdr:row>167</xdr:row>
      <xdr:rowOff>119384</xdr:rowOff>
    </xdr:to>
    <xdr:sp macro="" textlink="">
      <xdr:nvSpPr>
        <xdr:cNvPr id="117" name="正方形/長方形 116">
          <a:extLst>
            <a:ext uri="{FF2B5EF4-FFF2-40B4-BE49-F238E27FC236}">
              <a16:creationId xmlns:a16="http://schemas.microsoft.com/office/drawing/2014/main" id="{DEBCAF6C-3B15-4B7A-99D1-AE79CE347835}"/>
            </a:ext>
          </a:extLst>
        </xdr:cNvPr>
        <xdr:cNvSpPr/>
      </xdr:nvSpPr>
      <xdr:spPr>
        <a:xfrm>
          <a:off x="7326016" y="28657257"/>
          <a:ext cx="163830"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13333</xdr:colOff>
      <xdr:row>166</xdr:row>
      <xdr:rowOff>14043</xdr:rowOff>
    </xdr:from>
    <xdr:to>
      <xdr:col>32</xdr:col>
      <xdr:colOff>171448</xdr:colOff>
      <xdr:row>166</xdr:row>
      <xdr:rowOff>115940</xdr:rowOff>
    </xdr:to>
    <xdr:sp macro="" textlink="">
      <xdr:nvSpPr>
        <xdr:cNvPr id="118" name="正方形/長方形 117">
          <a:extLst>
            <a:ext uri="{FF2B5EF4-FFF2-40B4-BE49-F238E27FC236}">
              <a16:creationId xmlns:a16="http://schemas.microsoft.com/office/drawing/2014/main" id="{2B1DF3FE-0C0A-4C6A-9ECC-E8EF7DB5BC09}"/>
            </a:ext>
          </a:extLst>
        </xdr:cNvPr>
        <xdr:cNvSpPr/>
      </xdr:nvSpPr>
      <xdr:spPr>
        <a:xfrm>
          <a:off x="7328533" y="28474743"/>
          <a:ext cx="158115" cy="10189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10816</xdr:colOff>
      <xdr:row>180</xdr:row>
      <xdr:rowOff>25107</xdr:rowOff>
    </xdr:from>
    <xdr:to>
      <xdr:col>32</xdr:col>
      <xdr:colOff>174646</xdr:colOff>
      <xdr:row>180</xdr:row>
      <xdr:rowOff>119384</xdr:rowOff>
    </xdr:to>
    <xdr:sp macro="" textlink="">
      <xdr:nvSpPr>
        <xdr:cNvPr id="119" name="正方形/長方形 118">
          <a:extLst>
            <a:ext uri="{FF2B5EF4-FFF2-40B4-BE49-F238E27FC236}">
              <a16:creationId xmlns:a16="http://schemas.microsoft.com/office/drawing/2014/main" id="{C81DB898-C636-4806-94EE-D19F83612C4D}"/>
            </a:ext>
          </a:extLst>
        </xdr:cNvPr>
        <xdr:cNvSpPr/>
      </xdr:nvSpPr>
      <xdr:spPr>
        <a:xfrm>
          <a:off x="7326016" y="30886107"/>
          <a:ext cx="163830"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13333</xdr:colOff>
      <xdr:row>179</xdr:row>
      <xdr:rowOff>14043</xdr:rowOff>
    </xdr:from>
    <xdr:to>
      <xdr:col>32</xdr:col>
      <xdr:colOff>171448</xdr:colOff>
      <xdr:row>179</xdr:row>
      <xdr:rowOff>115940</xdr:rowOff>
    </xdr:to>
    <xdr:sp macro="" textlink="">
      <xdr:nvSpPr>
        <xdr:cNvPr id="120" name="正方形/長方形 119">
          <a:extLst>
            <a:ext uri="{FF2B5EF4-FFF2-40B4-BE49-F238E27FC236}">
              <a16:creationId xmlns:a16="http://schemas.microsoft.com/office/drawing/2014/main" id="{6EAF9FA6-14C4-4BBE-BD2D-21572D5B680F}"/>
            </a:ext>
          </a:extLst>
        </xdr:cNvPr>
        <xdr:cNvSpPr/>
      </xdr:nvSpPr>
      <xdr:spPr>
        <a:xfrm>
          <a:off x="7328533" y="30703593"/>
          <a:ext cx="158115" cy="10189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10816</xdr:colOff>
      <xdr:row>193</xdr:row>
      <xdr:rowOff>25107</xdr:rowOff>
    </xdr:from>
    <xdr:to>
      <xdr:col>32</xdr:col>
      <xdr:colOff>174646</xdr:colOff>
      <xdr:row>193</xdr:row>
      <xdr:rowOff>119384</xdr:rowOff>
    </xdr:to>
    <xdr:sp macro="" textlink="">
      <xdr:nvSpPr>
        <xdr:cNvPr id="121" name="正方形/長方形 120">
          <a:extLst>
            <a:ext uri="{FF2B5EF4-FFF2-40B4-BE49-F238E27FC236}">
              <a16:creationId xmlns:a16="http://schemas.microsoft.com/office/drawing/2014/main" id="{23ED1399-C21C-46EB-B969-4C1DC04E3E70}"/>
            </a:ext>
          </a:extLst>
        </xdr:cNvPr>
        <xdr:cNvSpPr/>
      </xdr:nvSpPr>
      <xdr:spPr>
        <a:xfrm>
          <a:off x="7326016" y="33114957"/>
          <a:ext cx="163830"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13333</xdr:colOff>
      <xdr:row>192</xdr:row>
      <xdr:rowOff>14043</xdr:rowOff>
    </xdr:from>
    <xdr:to>
      <xdr:col>32</xdr:col>
      <xdr:colOff>171448</xdr:colOff>
      <xdr:row>192</xdr:row>
      <xdr:rowOff>115940</xdr:rowOff>
    </xdr:to>
    <xdr:sp macro="" textlink="">
      <xdr:nvSpPr>
        <xdr:cNvPr id="122" name="正方形/長方形 121">
          <a:extLst>
            <a:ext uri="{FF2B5EF4-FFF2-40B4-BE49-F238E27FC236}">
              <a16:creationId xmlns:a16="http://schemas.microsoft.com/office/drawing/2014/main" id="{18876C51-8E3D-4AC0-8AE5-F3044C4CB8D8}"/>
            </a:ext>
          </a:extLst>
        </xdr:cNvPr>
        <xdr:cNvSpPr/>
      </xdr:nvSpPr>
      <xdr:spPr>
        <a:xfrm>
          <a:off x="7328533" y="32932443"/>
          <a:ext cx="158115" cy="10189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230505</xdr:colOff>
      <xdr:row>49</xdr:row>
      <xdr:rowOff>64992</xdr:rowOff>
    </xdr:from>
    <xdr:to>
      <xdr:col>32</xdr:col>
      <xdr:colOff>13333</xdr:colOff>
      <xdr:row>49</xdr:row>
      <xdr:rowOff>66189</xdr:rowOff>
    </xdr:to>
    <xdr:cxnSp macro="">
      <xdr:nvCxnSpPr>
        <xdr:cNvPr id="123" name="直線コネクタ 122">
          <a:extLst>
            <a:ext uri="{FF2B5EF4-FFF2-40B4-BE49-F238E27FC236}">
              <a16:creationId xmlns:a16="http://schemas.microsoft.com/office/drawing/2014/main" id="{3A6D14B6-7DCB-4FF6-ACD1-E4AACE2476E5}"/>
            </a:ext>
          </a:extLst>
        </xdr:cNvPr>
        <xdr:cNvCxnSpPr>
          <a:cxnSpLocks/>
          <a:stCxn id="25" idx="3"/>
          <a:endCxn id="100" idx="1"/>
        </xdr:cNvCxnSpPr>
      </xdr:nvCxnSpPr>
      <xdr:spPr>
        <a:xfrm flipV="1">
          <a:off x="4802505" y="8466042"/>
          <a:ext cx="2526028" cy="1197"/>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241935</xdr:colOff>
      <xdr:row>50</xdr:row>
      <xdr:rowOff>72246</xdr:rowOff>
    </xdr:from>
    <xdr:to>
      <xdr:col>32</xdr:col>
      <xdr:colOff>10816</xdr:colOff>
      <xdr:row>50</xdr:row>
      <xdr:rowOff>76080</xdr:rowOff>
    </xdr:to>
    <xdr:cxnSp macro="">
      <xdr:nvCxnSpPr>
        <xdr:cNvPr id="124" name="直線コネクタ 123">
          <a:extLst>
            <a:ext uri="{FF2B5EF4-FFF2-40B4-BE49-F238E27FC236}">
              <a16:creationId xmlns:a16="http://schemas.microsoft.com/office/drawing/2014/main" id="{05AB9092-B53C-4D9A-A295-F2DC44287EC4}"/>
            </a:ext>
          </a:extLst>
        </xdr:cNvPr>
        <xdr:cNvCxnSpPr>
          <a:cxnSpLocks/>
          <a:stCxn id="26" idx="3"/>
          <a:endCxn id="99" idx="1"/>
        </xdr:cNvCxnSpPr>
      </xdr:nvCxnSpPr>
      <xdr:spPr>
        <a:xfrm flipV="1">
          <a:off x="4804410" y="8644746"/>
          <a:ext cx="2521606" cy="3834"/>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230505</xdr:colOff>
      <xdr:row>62</xdr:row>
      <xdr:rowOff>64992</xdr:rowOff>
    </xdr:from>
    <xdr:to>
      <xdr:col>32</xdr:col>
      <xdr:colOff>13333</xdr:colOff>
      <xdr:row>62</xdr:row>
      <xdr:rowOff>66189</xdr:rowOff>
    </xdr:to>
    <xdr:cxnSp macro="">
      <xdr:nvCxnSpPr>
        <xdr:cNvPr id="125" name="直線コネクタ 124">
          <a:extLst>
            <a:ext uri="{FF2B5EF4-FFF2-40B4-BE49-F238E27FC236}">
              <a16:creationId xmlns:a16="http://schemas.microsoft.com/office/drawing/2014/main" id="{082418DA-9EE3-4842-94AF-A5A5E2F88FE3}"/>
            </a:ext>
          </a:extLst>
        </xdr:cNvPr>
        <xdr:cNvCxnSpPr>
          <a:cxnSpLocks/>
          <a:stCxn id="28" idx="3"/>
          <a:endCxn id="102" idx="1"/>
        </xdr:cNvCxnSpPr>
      </xdr:nvCxnSpPr>
      <xdr:spPr>
        <a:xfrm flipV="1">
          <a:off x="4802505" y="10694892"/>
          <a:ext cx="2526028" cy="1197"/>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241935</xdr:colOff>
      <xdr:row>63</xdr:row>
      <xdr:rowOff>72246</xdr:rowOff>
    </xdr:from>
    <xdr:to>
      <xdr:col>32</xdr:col>
      <xdr:colOff>10816</xdr:colOff>
      <xdr:row>63</xdr:row>
      <xdr:rowOff>76080</xdr:rowOff>
    </xdr:to>
    <xdr:cxnSp macro="">
      <xdr:nvCxnSpPr>
        <xdr:cNvPr id="126" name="直線コネクタ 125">
          <a:extLst>
            <a:ext uri="{FF2B5EF4-FFF2-40B4-BE49-F238E27FC236}">
              <a16:creationId xmlns:a16="http://schemas.microsoft.com/office/drawing/2014/main" id="{D2F1581B-AF09-4945-A5D4-29251B47807B}"/>
            </a:ext>
          </a:extLst>
        </xdr:cNvPr>
        <xdr:cNvCxnSpPr>
          <a:cxnSpLocks/>
          <a:stCxn id="29" idx="3"/>
          <a:endCxn id="101" idx="1"/>
        </xdr:cNvCxnSpPr>
      </xdr:nvCxnSpPr>
      <xdr:spPr>
        <a:xfrm flipV="1">
          <a:off x="4804410" y="10873596"/>
          <a:ext cx="2521606" cy="3834"/>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18757</xdr:colOff>
      <xdr:row>79</xdr:row>
      <xdr:rowOff>20242</xdr:rowOff>
    </xdr:from>
    <xdr:to>
      <xdr:col>22</xdr:col>
      <xdr:colOff>192112</xdr:colOff>
      <xdr:row>79</xdr:row>
      <xdr:rowOff>122139</xdr:rowOff>
    </xdr:to>
    <xdr:sp macro="" textlink="">
      <xdr:nvSpPr>
        <xdr:cNvPr id="127" name="正方形/長方形 126">
          <a:extLst>
            <a:ext uri="{FF2B5EF4-FFF2-40B4-BE49-F238E27FC236}">
              <a16:creationId xmlns:a16="http://schemas.microsoft.com/office/drawing/2014/main" id="{6BDA3814-473C-437F-A5BC-CB8605832AD7}"/>
            </a:ext>
          </a:extLst>
        </xdr:cNvPr>
        <xdr:cNvSpPr/>
      </xdr:nvSpPr>
      <xdr:spPr>
        <a:xfrm>
          <a:off x="5047957" y="13564792"/>
          <a:ext cx="17335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81</xdr:row>
      <xdr:rowOff>14655</xdr:rowOff>
    </xdr:from>
    <xdr:to>
      <xdr:col>29</xdr:col>
      <xdr:colOff>198853</xdr:colOff>
      <xdr:row>81</xdr:row>
      <xdr:rowOff>112742</xdr:rowOff>
    </xdr:to>
    <xdr:sp macro="" textlink="">
      <xdr:nvSpPr>
        <xdr:cNvPr id="128" name="正方形/長方形 127">
          <a:extLst>
            <a:ext uri="{FF2B5EF4-FFF2-40B4-BE49-F238E27FC236}">
              <a16:creationId xmlns:a16="http://schemas.microsoft.com/office/drawing/2014/main" id="{AF0B0C10-CE03-4ADC-A377-33C074FF9945}"/>
            </a:ext>
          </a:extLst>
        </xdr:cNvPr>
        <xdr:cNvSpPr/>
      </xdr:nvSpPr>
      <xdr:spPr>
        <a:xfrm>
          <a:off x="6658708" y="1390210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21981</xdr:colOff>
      <xdr:row>80</xdr:row>
      <xdr:rowOff>23885</xdr:rowOff>
    </xdr:from>
    <xdr:to>
      <xdr:col>22</xdr:col>
      <xdr:colOff>191526</xdr:colOff>
      <xdr:row>80</xdr:row>
      <xdr:rowOff>127688</xdr:rowOff>
    </xdr:to>
    <xdr:sp macro="" textlink="">
      <xdr:nvSpPr>
        <xdr:cNvPr id="129" name="正方形/長方形 128">
          <a:extLst>
            <a:ext uri="{FF2B5EF4-FFF2-40B4-BE49-F238E27FC236}">
              <a16:creationId xmlns:a16="http://schemas.microsoft.com/office/drawing/2014/main" id="{7E2889F5-149B-4615-8849-B238BACDA23B}"/>
            </a:ext>
          </a:extLst>
        </xdr:cNvPr>
        <xdr:cNvSpPr/>
      </xdr:nvSpPr>
      <xdr:spPr>
        <a:xfrm>
          <a:off x="5051181" y="1373988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18757</xdr:colOff>
      <xdr:row>92</xdr:row>
      <xdr:rowOff>20242</xdr:rowOff>
    </xdr:from>
    <xdr:to>
      <xdr:col>22</xdr:col>
      <xdr:colOff>192112</xdr:colOff>
      <xdr:row>92</xdr:row>
      <xdr:rowOff>122139</xdr:rowOff>
    </xdr:to>
    <xdr:sp macro="" textlink="">
      <xdr:nvSpPr>
        <xdr:cNvPr id="130" name="正方形/長方形 129">
          <a:extLst>
            <a:ext uri="{FF2B5EF4-FFF2-40B4-BE49-F238E27FC236}">
              <a16:creationId xmlns:a16="http://schemas.microsoft.com/office/drawing/2014/main" id="{840A27F3-1A34-4E80-9F27-35743F9E78D1}"/>
            </a:ext>
          </a:extLst>
        </xdr:cNvPr>
        <xdr:cNvSpPr/>
      </xdr:nvSpPr>
      <xdr:spPr>
        <a:xfrm>
          <a:off x="5047957" y="15793642"/>
          <a:ext cx="17335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94</xdr:row>
      <xdr:rowOff>14655</xdr:rowOff>
    </xdr:from>
    <xdr:to>
      <xdr:col>29</xdr:col>
      <xdr:colOff>198853</xdr:colOff>
      <xdr:row>94</xdr:row>
      <xdr:rowOff>112742</xdr:rowOff>
    </xdr:to>
    <xdr:sp macro="" textlink="">
      <xdr:nvSpPr>
        <xdr:cNvPr id="131" name="正方形/長方形 130">
          <a:extLst>
            <a:ext uri="{FF2B5EF4-FFF2-40B4-BE49-F238E27FC236}">
              <a16:creationId xmlns:a16="http://schemas.microsoft.com/office/drawing/2014/main" id="{D6A1D189-5D0F-4FB7-83A1-1FC6AA5ED493}"/>
            </a:ext>
          </a:extLst>
        </xdr:cNvPr>
        <xdr:cNvSpPr/>
      </xdr:nvSpPr>
      <xdr:spPr>
        <a:xfrm>
          <a:off x="6658708" y="1613095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21981</xdr:colOff>
      <xdr:row>93</xdr:row>
      <xdr:rowOff>23885</xdr:rowOff>
    </xdr:from>
    <xdr:to>
      <xdr:col>22</xdr:col>
      <xdr:colOff>191526</xdr:colOff>
      <xdr:row>93</xdr:row>
      <xdr:rowOff>127688</xdr:rowOff>
    </xdr:to>
    <xdr:sp macro="" textlink="">
      <xdr:nvSpPr>
        <xdr:cNvPr id="132" name="正方形/長方形 131">
          <a:extLst>
            <a:ext uri="{FF2B5EF4-FFF2-40B4-BE49-F238E27FC236}">
              <a16:creationId xmlns:a16="http://schemas.microsoft.com/office/drawing/2014/main" id="{6D3D334C-3975-4B7D-BF71-80D9A0826CBA}"/>
            </a:ext>
          </a:extLst>
        </xdr:cNvPr>
        <xdr:cNvSpPr/>
      </xdr:nvSpPr>
      <xdr:spPr>
        <a:xfrm>
          <a:off x="5051181" y="1596873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18757</xdr:colOff>
      <xdr:row>118</xdr:row>
      <xdr:rowOff>20242</xdr:rowOff>
    </xdr:from>
    <xdr:to>
      <xdr:col>22</xdr:col>
      <xdr:colOff>192112</xdr:colOff>
      <xdr:row>118</xdr:row>
      <xdr:rowOff>122139</xdr:rowOff>
    </xdr:to>
    <xdr:sp macro="" textlink="">
      <xdr:nvSpPr>
        <xdr:cNvPr id="133" name="正方形/長方形 132">
          <a:extLst>
            <a:ext uri="{FF2B5EF4-FFF2-40B4-BE49-F238E27FC236}">
              <a16:creationId xmlns:a16="http://schemas.microsoft.com/office/drawing/2014/main" id="{29DC40DE-D8F6-4736-9137-EF144CC90EA2}"/>
            </a:ext>
          </a:extLst>
        </xdr:cNvPr>
        <xdr:cNvSpPr/>
      </xdr:nvSpPr>
      <xdr:spPr>
        <a:xfrm>
          <a:off x="5047957" y="20251342"/>
          <a:ext cx="17335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120</xdr:row>
      <xdr:rowOff>14655</xdr:rowOff>
    </xdr:from>
    <xdr:to>
      <xdr:col>29</xdr:col>
      <xdr:colOff>198853</xdr:colOff>
      <xdr:row>120</xdr:row>
      <xdr:rowOff>112742</xdr:rowOff>
    </xdr:to>
    <xdr:sp macro="" textlink="">
      <xdr:nvSpPr>
        <xdr:cNvPr id="134" name="正方形/長方形 133">
          <a:extLst>
            <a:ext uri="{FF2B5EF4-FFF2-40B4-BE49-F238E27FC236}">
              <a16:creationId xmlns:a16="http://schemas.microsoft.com/office/drawing/2014/main" id="{ED3839B5-716E-4189-92BC-10BFFF32125A}"/>
            </a:ext>
          </a:extLst>
        </xdr:cNvPr>
        <xdr:cNvSpPr/>
      </xdr:nvSpPr>
      <xdr:spPr>
        <a:xfrm>
          <a:off x="6658708" y="2058865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21981</xdr:colOff>
      <xdr:row>119</xdr:row>
      <xdr:rowOff>23885</xdr:rowOff>
    </xdr:from>
    <xdr:to>
      <xdr:col>22</xdr:col>
      <xdr:colOff>191526</xdr:colOff>
      <xdr:row>119</xdr:row>
      <xdr:rowOff>127688</xdr:rowOff>
    </xdr:to>
    <xdr:sp macro="" textlink="">
      <xdr:nvSpPr>
        <xdr:cNvPr id="135" name="正方形/長方形 134">
          <a:extLst>
            <a:ext uri="{FF2B5EF4-FFF2-40B4-BE49-F238E27FC236}">
              <a16:creationId xmlns:a16="http://schemas.microsoft.com/office/drawing/2014/main" id="{6A44133E-272E-44CB-BA9E-050DC2E12CE8}"/>
            </a:ext>
          </a:extLst>
        </xdr:cNvPr>
        <xdr:cNvSpPr/>
      </xdr:nvSpPr>
      <xdr:spPr>
        <a:xfrm>
          <a:off x="5051181" y="2042643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18757</xdr:colOff>
      <xdr:row>131</xdr:row>
      <xdr:rowOff>20242</xdr:rowOff>
    </xdr:from>
    <xdr:to>
      <xdr:col>22</xdr:col>
      <xdr:colOff>192112</xdr:colOff>
      <xdr:row>131</xdr:row>
      <xdr:rowOff>122139</xdr:rowOff>
    </xdr:to>
    <xdr:sp macro="" textlink="">
      <xdr:nvSpPr>
        <xdr:cNvPr id="136" name="正方形/長方形 135">
          <a:extLst>
            <a:ext uri="{FF2B5EF4-FFF2-40B4-BE49-F238E27FC236}">
              <a16:creationId xmlns:a16="http://schemas.microsoft.com/office/drawing/2014/main" id="{E982FFA4-0F3D-4F88-9584-238974731938}"/>
            </a:ext>
          </a:extLst>
        </xdr:cNvPr>
        <xdr:cNvSpPr/>
      </xdr:nvSpPr>
      <xdr:spPr>
        <a:xfrm>
          <a:off x="5047957" y="22480192"/>
          <a:ext cx="17335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133</xdr:row>
      <xdr:rowOff>14655</xdr:rowOff>
    </xdr:from>
    <xdr:to>
      <xdr:col>29</xdr:col>
      <xdr:colOff>198853</xdr:colOff>
      <xdr:row>133</xdr:row>
      <xdr:rowOff>112742</xdr:rowOff>
    </xdr:to>
    <xdr:sp macro="" textlink="">
      <xdr:nvSpPr>
        <xdr:cNvPr id="137" name="正方形/長方形 136">
          <a:extLst>
            <a:ext uri="{FF2B5EF4-FFF2-40B4-BE49-F238E27FC236}">
              <a16:creationId xmlns:a16="http://schemas.microsoft.com/office/drawing/2014/main" id="{FE1C3808-4ED2-4E2E-9D6C-551A37CE7ABA}"/>
            </a:ext>
          </a:extLst>
        </xdr:cNvPr>
        <xdr:cNvSpPr/>
      </xdr:nvSpPr>
      <xdr:spPr>
        <a:xfrm>
          <a:off x="6658708" y="2281750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21981</xdr:colOff>
      <xdr:row>132</xdr:row>
      <xdr:rowOff>23885</xdr:rowOff>
    </xdr:from>
    <xdr:to>
      <xdr:col>22</xdr:col>
      <xdr:colOff>191526</xdr:colOff>
      <xdr:row>132</xdr:row>
      <xdr:rowOff>127688</xdr:rowOff>
    </xdr:to>
    <xdr:sp macro="" textlink="">
      <xdr:nvSpPr>
        <xdr:cNvPr id="138" name="正方形/長方形 137">
          <a:extLst>
            <a:ext uri="{FF2B5EF4-FFF2-40B4-BE49-F238E27FC236}">
              <a16:creationId xmlns:a16="http://schemas.microsoft.com/office/drawing/2014/main" id="{23DF489C-7962-4AA0-857B-AFB1DAB7751D}"/>
            </a:ext>
          </a:extLst>
        </xdr:cNvPr>
        <xdr:cNvSpPr/>
      </xdr:nvSpPr>
      <xdr:spPr>
        <a:xfrm>
          <a:off x="5051181" y="2265528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18757</xdr:colOff>
      <xdr:row>157</xdr:row>
      <xdr:rowOff>20242</xdr:rowOff>
    </xdr:from>
    <xdr:to>
      <xdr:col>22</xdr:col>
      <xdr:colOff>192112</xdr:colOff>
      <xdr:row>157</xdr:row>
      <xdr:rowOff>122139</xdr:rowOff>
    </xdr:to>
    <xdr:sp macro="" textlink="">
      <xdr:nvSpPr>
        <xdr:cNvPr id="139" name="正方形/長方形 138">
          <a:extLst>
            <a:ext uri="{FF2B5EF4-FFF2-40B4-BE49-F238E27FC236}">
              <a16:creationId xmlns:a16="http://schemas.microsoft.com/office/drawing/2014/main" id="{C507F0D4-2B40-4C04-8ABF-FFCCA9B51CD3}"/>
            </a:ext>
          </a:extLst>
        </xdr:cNvPr>
        <xdr:cNvSpPr/>
      </xdr:nvSpPr>
      <xdr:spPr>
        <a:xfrm>
          <a:off x="5047957" y="26937892"/>
          <a:ext cx="17335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159</xdr:row>
      <xdr:rowOff>14655</xdr:rowOff>
    </xdr:from>
    <xdr:to>
      <xdr:col>29</xdr:col>
      <xdr:colOff>198853</xdr:colOff>
      <xdr:row>159</xdr:row>
      <xdr:rowOff>112742</xdr:rowOff>
    </xdr:to>
    <xdr:sp macro="" textlink="">
      <xdr:nvSpPr>
        <xdr:cNvPr id="140" name="正方形/長方形 139">
          <a:extLst>
            <a:ext uri="{FF2B5EF4-FFF2-40B4-BE49-F238E27FC236}">
              <a16:creationId xmlns:a16="http://schemas.microsoft.com/office/drawing/2014/main" id="{F5A59AA3-5A72-4AE3-B049-C5D249EBF8AF}"/>
            </a:ext>
          </a:extLst>
        </xdr:cNvPr>
        <xdr:cNvSpPr/>
      </xdr:nvSpPr>
      <xdr:spPr>
        <a:xfrm>
          <a:off x="6658708" y="2727520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21981</xdr:colOff>
      <xdr:row>158</xdr:row>
      <xdr:rowOff>23885</xdr:rowOff>
    </xdr:from>
    <xdr:to>
      <xdr:col>22</xdr:col>
      <xdr:colOff>191526</xdr:colOff>
      <xdr:row>158</xdr:row>
      <xdr:rowOff>127688</xdr:rowOff>
    </xdr:to>
    <xdr:sp macro="" textlink="">
      <xdr:nvSpPr>
        <xdr:cNvPr id="141" name="正方形/長方形 140">
          <a:extLst>
            <a:ext uri="{FF2B5EF4-FFF2-40B4-BE49-F238E27FC236}">
              <a16:creationId xmlns:a16="http://schemas.microsoft.com/office/drawing/2014/main" id="{C914B695-49B2-4F7C-8852-A52D72BDFDB7}"/>
            </a:ext>
          </a:extLst>
        </xdr:cNvPr>
        <xdr:cNvSpPr/>
      </xdr:nvSpPr>
      <xdr:spPr>
        <a:xfrm>
          <a:off x="5051181" y="2711298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18757</xdr:colOff>
      <xdr:row>170</xdr:row>
      <xdr:rowOff>20242</xdr:rowOff>
    </xdr:from>
    <xdr:to>
      <xdr:col>22</xdr:col>
      <xdr:colOff>192112</xdr:colOff>
      <xdr:row>170</xdr:row>
      <xdr:rowOff>122139</xdr:rowOff>
    </xdr:to>
    <xdr:sp macro="" textlink="">
      <xdr:nvSpPr>
        <xdr:cNvPr id="142" name="正方形/長方形 141">
          <a:extLst>
            <a:ext uri="{FF2B5EF4-FFF2-40B4-BE49-F238E27FC236}">
              <a16:creationId xmlns:a16="http://schemas.microsoft.com/office/drawing/2014/main" id="{799A3BC0-722A-468C-8B11-A00F98BB6D99}"/>
            </a:ext>
          </a:extLst>
        </xdr:cNvPr>
        <xdr:cNvSpPr/>
      </xdr:nvSpPr>
      <xdr:spPr>
        <a:xfrm>
          <a:off x="5047957" y="29166742"/>
          <a:ext cx="17335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172</xdr:row>
      <xdr:rowOff>14655</xdr:rowOff>
    </xdr:from>
    <xdr:to>
      <xdr:col>29</xdr:col>
      <xdr:colOff>198853</xdr:colOff>
      <xdr:row>172</xdr:row>
      <xdr:rowOff>112742</xdr:rowOff>
    </xdr:to>
    <xdr:sp macro="" textlink="">
      <xdr:nvSpPr>
        <xdr:cNvPr id="143" name="正方形/長方形 142">
          <a:extLst>
            <a:ext uri="{FF2B5EF4-FFF2-40B4-BE49-F238E27FC236}">
              <a16:creationId xmlns:a16="http://schemas.microsoft.com/office/drawing/2014/main" id="{18137A40-4F5E-46D9-8C4A-89224B8975BA}"/>
            </a:ext>
          </a:extLst>
        </xdr:cNvPr>
        <xdr:cNvSpPr/>
      </xdr:nvSpPr>
      <xdr:spPr>
        <a:xfrm>
          <a:off x="6658708" y="2950405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21981</xdr:colOff>
      <xdr:row>171</xdr:row>
      <xdr:rowOff>23885</xdr:rowOff>
    </xdr:from>
    <xdr:to>
      <xdr:col>22</xdr:col>
      <xdr:colOff>191526</xdr:colOff>
      <xdr:row>171</xdr:row>
      <xdr:rowOff>127688</xdr:rowOff>
    </xdr:to>
    <xdr:sp macro="" textlink="">
      <xdr:nvSpPr>
        <xdr:cNvPr id="144" name="正方形/長方形 143">
          <a:extLst>
            <a:ext uri="{FF2B5EF4-FFF2-40B4-BE49-F238E27FC236}">
              <a16:creationId xmlns:a16="http://schemas.microsoft.com/office/drawing/2014/main" id="{2A6DBB36-EA85-4170-BEC5-F82DD5A62BC4}"/>
            </a:ext>
          </a:extLst>
        </xdr:cNvPr>
        <xdr:cNvSpPr/>
      </xdr:nvSpPr>
      <xdr:spPr>
        <a:xfrm>
          <a:off x="5051181" y="2934183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18757</xdr:colOff>
      <xdr:row>183</xdr:row>
      <xdr:rowOff>20242</xdr:rowOff>
    </xdr:from>
    <xdr:to>
      <xdr:col>22</xdr:col>
      <xdr:colOff>192112</xdr:colOff>
      <xdr:row>183</xdr:row>
      <xdr:rowOff>122139</xdr:rowOff>
    </xdr:to>
    <xdr:sp macro="" textlink="">
      <xdr:nvSpPr>
        <xdr:cNvPr id="145" name="正方形/長方形 144">
          <a:extLst>
            <a:ext uri="{FF2B5EF4-FFF2-40B4-BE49-F238E27FC236}">
              <a16:creationId xmlns:a16="http://schemas.microsoft.com/office/drawing/2014/main" id="{649EDB13-7738-4E34-ABDE-FDEBCC91511F}"/>
            </a:ext>
          </a:extLst>
        </xdr:cNvPr>
        <xdr:cNvSpPr/>
      </xdr:nvSpPr>
      <xdr:spPr>
        <a:xfrm>
          <a:off x="5047957" y="31395592"/>
          <a:ext cx="17335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185</xdr:row>
      <xdr:rowOff>14655</xdr:rowOff>
    </xdr:from>
    <xdr:to>
      <xdr:col>29</xdr:col>
      <xdr:colOff>198853</xdr:colOff>
      <xdr:row>185</xdr:row>
      <xdr:rowOff>112742</xdr:rowOff>
    </xdr:to>
    <xdr:sp macro="" textlink="">
      <xdr:nvSpPr>
        <xdr:cNvPr id="146" name="正方形/長方形 145">
          <a:extLst>
            <a:ext uri="{FF2B5EF4-FFF2-40B4-BE49-F238E27FC236}">
              <a16:creationId xmlns:a16="http://schemas.microsoft.com/office/drawing/2014/main" id="{55D24368-76AA-4ABA-A757-6DD144DEB88E}"/>
            </a:ext>
          </a:extLst>
        </xdr:cNvPr>
        <xdr:cNvSpPr/>
      </xdr:nvSpPr>
      <xdr:spPr>
        <a:xfrm>
          <a:off x="6658708" y="3173290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21981</xdr:colOff>
      <xdr:row>184</xdr:row>
      <xdr:rowOff>23885</xdr:rowOff>
    </xdr:from>
    <xdr:to>
      <xdr:col>22</xdr:col>
      <xdr:colOff>191526</xdr:colOff>
      <xdr:row>184</xdr:row>
      <xdr:rowOff>127688</xdr:rowOff>
    </xdr:to>
    <xdr:sp macro="" textlink="">
      <xdr:nvSpPr>
        <xdr:cNvPr id="147" name="正方形/長方形 146">
          <a:extLst>
            <a:ext uri="{FF2B5EF4-FFF2-40B4-BE49-F238E27FC236}">
              <a16:creationId xmlns:a16="http://schemas.microsoft.com/office/drawing/2014/main" id="{AF4284A0-7816-490F-A071-0DF0DD88EE8B}"/>
            </a:ext>
          </a:extLst>
        </xdr:cNvPr>
        <xdr:cNvSpPr/>
      </xdr:nvSpPr>
      <xdr:spPr>
        <a:xfrm>
          <a:off x="5051181" y="3157068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18757</xdr:colOff>
      <xdr:row>196</xdr:row>
      <xdr:rowOff>20242</xdr:rowOff>
    </xdr:from>
    <xdr:to>
      <xdr:col>22</xdr:col>
      <xdr:colOff>192112</xdr:colOff>
      <xdr:row>196</xdr:row>
      <xdr:rowOff>122139</xdr:rowOff>
    </xdr:to>
    <xdr:sp macro="" textlink="">
      <xdr:nvSpPr>
        <xdr:cNvPr id="148" name="正方形/長方形 147">
          <a:extLst>
            <a:ext uri="{FF2B5EF4-FFF2-40B4-BE49-F238E27FC236}">
              <a16:creationId xmlns:a16="http://schemas.microsoft.com/office/drawing/2014/main" id="{729C119D-53E1-4DEF-B1E8-10ABDCF2EB27}"/>
            </a:ext>
          </a:extLst>
        </xdr:cNvPr>
        <xdr:cNvSpPr/>
      </xdr:nvSpPr>
      <xdr:spPr>
        <a:xfrm>
          <a:off x="5047957" y="33624442"/>
          <a:ext cx="17335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198</xdr:row>
      <xdr:rowOff>14655</xdr:rowOff>
    </xdr:from>
    <xdr:to>
      <xdr:col>29</xdr:col>
      <xdr:colOff>198853</xdr:colOff>
      <xdr:row>198</xdr:row>
      <xdr:rowOff>112742</xdr:rowOff>
    </xdr:to>
    <xdr:sp macro="" textlink="">
      <xdr:nvSpPr>
        <xdr:cNvPr id="149" name="正方形/長方形 148">
          <a:extLst>
            <a:ext uri="{FF2B5EF4-FFF2-40B4-BE49-F238E27FC236}">
              <a16:creationId xmlns:a16="http://schemas.microsoft.com/office/drawing/2014/main" id="{F2D48586-C4A8-40E4-B432-585E367B6435}"/>
            </a:ext>
          </a:extLst>
        </xdr:cNvPr>
        <xdr:cNvSpPr/>
      </xdr:nvSpPr>
      <xdr:spPr>
        <a:xfrm>
          <a:off x="6658708" y="3396175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21981</xdr:colOff>
      <xdr:row>197</xdr:row>
      <xdr:rowOff>23885</xdr:rowOff>
    </xdr:from>
    <xdr:to>
      <xdr:col>22</xdr:col>
      <xdr:colOff>191526</xdr:colOff>
      <xdr:row>197</xdr:row>
      <xdr:rowOff>127688</xdr:rowOff>
    </xdr:to>
    <xdr:sp macro="" textlink="">
      <xdr:nvSpPr>
        <xdr:cNvPr id="150" name="正方形/長方形 149">
          <a:extLst>
            <a:ext uri="{FF2B5EF4-FFF2-40B4-BE49-F238E27FC236}">
              <a16:creationId xmlns:a16="http://schemas.microsoft.com/office/drawing/2014/main" id="{87217EB0-2E13-42DF-91AB-88F752046799}"/>
            </a:ext>
          </a:extLst>
        </xdr:cNvPr>
        <xdr:cNvSpPr/>
      </xdr:nvSpPr>
      <xdr:spPr>
        <a:xfrm>
          <a:off x="5051181" y="3379953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230505</xdr:colOff>
      <xdr:row>75</xdr:row>
      <xdr:rowOff>64992</xdr:rowOff>
    </xdr:from>
    <xdr:to>
      <xdr:col>32</xdr:col>
      <xdr:colOff>13333</xdr:colOff>
      <xdr:row>75</xdr:row>
      <xdr:rowOff>66189</xdr:rowOff>
    </xdr:to>
    <xdr:cxnSp macro="">
      <xdr:nvCxnSpPr>
        <xdr:cNvPr id="151" name="直線コネクタ 150">
          <a:extLst>
            <a:ext uri="{FF2B5EF4-FFF2-40B4-BE49-F238E27FC236}">
              <a16:creationId xmlns:a16="http://schemas.microsoft.com/office/drawing/2014/main" id="{19486FD0-0BCD-48ED-A764-9976D00FB949}"/>
            </a:ext>
          </a:extLst>
        </xdr:cNvPr>
        <xdr:cNvCxnSpPr>
          <a:cxnSpLocks/>
          <a:stCxn id="31" idx="3"/>
          <a:endCxn id="104" idx="1"/>
        </xdr:cNvCxnSpPr>
      </xdr:nvCxnSpPr>
      <xdr:spPr>
        <a:xfrm flipV="1">
          <a:off x="4802505" y="12923742"/>
          <a:ext cx="2526028" cy="1197"/>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241935</xdr:colOff>
      <xdr:row>76</xdr:row>
      <xdr:rowOff>72246</xdr:rowOff>
    </xdr:from>
    <xdr:to>
      <xdr:col>32</xdr:col>
      <xdr:colOff>10816</xdr:colOff>
      <xdr:row>76</xdr:row>
      <xdr:rowOff>76080</xdr:rowOff>
    </xdr:to>
    <xdr:cxnSp macro="">
      <xdr:nvCxnSpPr>
        <xdr:cNvPr id="152" name="直線コネクタ 151">
          <a:extLst>
            <a:ext uri="{FF2B5EF4-FFF2-40B4-BE49-F238E27FC236}">
              <a16:creationId xmlns:a16="http://schemas.microsoft.com/office/drawing/2014/main" id="{A3D22096-29D2-456C-B3D7-051F119A548C}"/>
            </a:ext>
          </a:extLst>
        </xdr:cNvPr>
        <xdr:cNvCxnSpPr>
          <a:cxnSpLocks/>
          <a:stCxn id="32" idx="3"/>
          <a:endCxn id="103" idx="1"/>
        </xdr:cNvCxnSpPr>
      </xdr:nvCxnSpPr>
      <xdr:spPr>
        <a:xfrm flipV="1">
          <a:off x="4804410" y="13102446"/>
          <a:ext cx="2521606" cy="3834"/>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230505</xdr:colOff>
      <xdr:row>88</xdr:row>
      <xdr:rowOff>64992</xdr:rowOff>
    </xdr:from>
    <xdr:to>
      <xdr:col>32</xdr:col>
      <xdr:colOff>13333</xdr:colOff>
      <xdr:row>88</xdr:row>
      <xdr:rowOff>66189</xdr:rowOff>
    </xdr:to>
    <xdr:cxnSp macro="">
      <xdr:nvCxnSpPr>
        <xdr:cNvPr id="153" name="直線コネクタ 152">
          <a:extLst>
            <a:ext uri="{FF2B5EF4-FFF2-40B4-BE49-F238E27FC236}">
              <a16:creationId xmlns:a16="http://schemas.microsoft.com/office/drawing/2014/main" id="{A8E5370E-A7CA-409F-B5EF-78D3981568E3}"/>
            </a:ext>
          </a:extLst>
        </xdr:cNvPr>
        <xdr:cNvCxnSpPr>
          <a:cxnSpLocks/>
          <a:stCxn id="34" idx="3"/>
          <a:endCxn id="106" idx="1"/>
        </xdr:cNvCxnSpPr>
      </xdr:nvCxnSpPr>
      <xdr:spPr>
        <a:xfrm flipV="1">
          <a:off x="4802505" y="15152592"/>
          <a:ext cx="2526028" cy="1197"/>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241935</xdr:colOff>
      <xdr:row>89</xdr:row>
      <xdr:rowOff>72246</xdr:rowOff>
    </xdr:from>
    <xdr:to>
      <xdr:col>32</xdr:col>
      <xdr:colOff>10816</xdr:colOff>
      <xdr:row>89</xdr:row>
      <xdr:rowOff>76080</xdr:rowOff>
    </xdr:to>
    <xdr:cxnSp macro="">
      <xdr:nvCxnSpPr>
        <xdr:cNvPr id="154" name="直線コネクタ 153">
          <a:extLst>
            <a:ext uri="{FF2B5EF4-FFF2-40B4-BE49-F238E27FC236}">
              <a16:creationId xmlns:a16="http://schemas.microsoft.com/office/drawing/2014/main" id="{C958A614-1261-4739-B252-209603EC6ADD}"/>
            </a:ext>
          </a:extLst>
        </xdr:cNvPr>
        <xdr:cNvCxnSpPr>
          <a:cxnSpLocks/>
          <a:stCxn id="35" idx="3"/>
          <a:endCxn id="105" idx="1"/>
        </xdr:cNvCxnSpPr>
      </xdr:nvCxnSpPr>
      <xdr:spPr>
        <a:xfrm flipV="1">
          <a:off x="4804410" y="15331296"/>
          <a:ext cx="2521606" cy="3834"/>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230505</xdr:colOff>
      <xdr:row>101</xdr:row>
      <xdr:rowOff>64992</xdr:rowOff>
    </xdr:from>
    <xdr:to>
      <xdr:col>32</xdr:col>
      <xdr:colOff>13333</xdr:colOff>
      <xdr:row>101</xdr:row>
      <xdr:rowOff>66189</xdr:rowOff>
    </xdr:to>
    <xdr:cxnSp macro="">
      <xdr:nvCxnSpPr>
        <xdr:cNvPr id="155" name="直線コネクタ 154">
          <a:extLst>
            <a:ext uri="{FF2B5EF4-FFF2-40B4-BE49-F238E27FC236}">
              <a16:creationId xmlns:a16="http://schemas.microsoft.com/office/drawing/2014/main" id="{38CF07ED-59D0-4EFC-B241-82962D16569A}"/>
            </a:ext>
          </a:extLst>
        </xdr:cNvPr>
        <xdr:cNvCxnSpPr>
          <a:cxnSpLocks/>
          <a:stCxn id="37" idx="3"/>
          <a:endCxn id="108" idx="1"/>
        </xdr:cNvCxnSpPr>
      </xdr:nvCxnSpPr>
      <xdr:spPr>
        <a:xfrm flipV="1">
          <a:off x="4802505" y="17381442"/>
          <a:ext cx="2526028" cy="1197"/>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241935</xdr:colOff>
      <xdr:row>102</xdr:row>
      <xdr:rowOff>72246</xdr:rowOff>
    </xdr:from>
    <xdr:to>
      <xdr:col>32</xdr:col>
      <xdr:colOff>10816</xdr:colOff>
      <xdr:row>102</xdr:row>
      <xdr:rowOff>76080</xdr:rowOff>
    </xdr:to>
    <xdr:cxnSp macro="">
      <xdr:nvCxnSpPr>
        <xdr:cNvPr id="156" name="直線コネクタ 155">
          <a:extLst>
            <a:ext uri="{FF2B5EF4-FFF2-40B4-BE49-F238E27FC236}">
              <a16:creationId xmlns:a16="http://schemas.microsoft.com/office/drawing/2014/main" id="{1A7A6F37-572B-4109-A135-5725C7BD520C}"/>
            </a:ext>
          </a:extLst>
        </xdr:cNvPr>
        <xdr:cNvCxnSpPr>
          <a:cxnSpLocks/>
          <a:stCxn id="38" idx="3"/>
          <a:endCxn id="107" idx="1"/>
        </xdr:cNvCxnSpPr>
      </xdr:nvCxnSpPr>
      <xdr:spPr>
        <a:xfrm flipV="1">
          <a:off x="4804410" y="17560146"/>
          <a:ext cx="2521606" cy="3834"/>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230505</xdr:colOff>
      <xdr:row>114</xdr:row>
      <xdr:rowOff>64992</xdr:rowOff>
    </xdr:from>
    <xdr:to>
      <xdr:col>32</xdr:col>
      <xdr:colOff>13333</xdr:colOff>
      <xdr:row>114</xdr:row>
      <xdr:rowOff>66189</xdr:rowOff>
    </xdr:to>
    <xdr:cxnSp macro="">
      <xdr:nvCxnSpPr>
        <xdr:cNvPr id="157" name="直線コネクタ 156">
          <a:extLst>
            <a:ext uri="{FF2B5EF4-FFF2-40B4-BE49-F238E27FC236}">
              <a16:creationId xmlns:a16="http://schemas.microsoft.com/office/drawing/2014/main" id="{4728A753-FFCE-4253-98D5-F11476619568}"/>
            </a:ext>
          </a:extLst>
        </xdr:cNvPr>
        <xdr:cNvCxnSpPr>
          <a:cxnSpLocks/>
          <a:stCxn id="40" idx="3"/>
          <a:endCxn id="110" idx="1"/>
        </xdr:cNvCxnSpPr>
      </xdr:nvCxnSpPr>
      <xdr:spPr>
        <a:xfrm flipV="1">
          <a:off x="4802505" y="19610292"/>
          <a:ext cx="2526028" cy="1197"/>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293688</xdr:colOff>
      <xdr:row>115</xdr:row>
      <xdr:rowOff>71437</xdr:rowOff>
    </xdr:from>
    <xdr:to>
      <xdr:col>32</xdr:col>
      <xdr:colOff>10816</xdr:colOff>
      <xdr:row>115</xdr:row>
      <xdr:rowOff>72246</xdr:rowOff>
    </xdr:to>
    <xdr:cxnSp macro="">
      <xdr:nvCxnSpPr>
        <xdr:cNvPr id="158" name="直線コネクタ 157">
          <a:extLst>
            <a:ext uri="{FF2B5EF4-FFF2-40B4-BE49-F238E27FC236}">
              <a16:creationId xmlns:a16="http://schemas.microsoft.com/office/drawing/2014/main" id="{851627E3-A25C-4882-A327-0139B4308808}"/>
            </a:ext>
          </a:extLst>
        </xdr:cNvPr>
        <xdr:cNvCxnSpPr>
          <a:cxnSpLocks/>
          <a:endCxn id="109" idx="1"/>
        </xdr:cNvCxnSpPr>
      </xdr:nvCxnSpPr>
      <xdr:spPr>
        <a:xfrm>
          <a:off x="4799013" y="19788187"/>
          <a:ext cx="2527003" cy="809"/>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230505</xdr:colOff>
      <xdr:row>127</xdr:row>
      <xdr:rowOff>64992</xdr:rowOff>
    </xdr:from>
    <xdr:to>
      <xdr:col>32</xdr:col>
      <xdr:colOff>13333</xdr:colOff>
      <xdr:row>127</xdr:row>
      <xdr:rowOff>66189</xdr:rowOff>
    </xdr:to>
    <xdr:cxnSp macro="">
      <xdr:nvCxnSpPr>
        <xdr:cNvPr id="159" name="直線コネクタ 158">
          <a:extLst>
            <a:ext uri="{FF2B5EF4-FFF2-40B4-BE49-F238E27FC236}">
              <a16:creationId xmlns:a16="http://schemas.microsoft.com/office/drawing/2014/main" id="{E3FD78CA-7B70-45A5-AC1E-A04496BC9183}"/>
            </a:ext>
          </a:extLst>
        </xdr:cNvPr>
        <xdr:cNvCxnSpPr>
          <a:cxnSpLocks/>
          <a:stCxn id="43" idx="3"/>
          <a:endCxn id="112" idx="1"/>
        </xdr:cNvCxnSpPr>
      </xdr:nvCxnSpPr>
      <xdr:spPr>
        <a:xfrm flipV="1">
          <a:off x="4802505" y="21839142"/>
          <a:ext cx="2526028" cy="1197"/>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241935</xdr:colOff>
      <xdr:row>128</xdr:row>
      <xdr:rowOff>72246</xdr:rowOff>
    </xdr:from>
    <xdr:to>
      <xdr:col>32</xdr:col>
      <xdr:colOff>10816</xdr:colOff>
      <xdr:row>128</xdr:row>
      <xdr:rowOff>76080</xdr:rowOff>
    </xdr:to>
    <xdr:cxnSp macro="">
      <xdr:nvCxnSpPr>
        <xdr:cNvPr id="160" name="直線コネクタ 159">
          <a:extLst>
            <a:ext uri="{FF2B5EF4-FFF2-40B4-BE49-F238E27FC236}">
              <a16:creationId xmlns:a16="http://schemas.microsoft.com/office/drawing/2014/main" id="{2DE4F2BA-B71E-455F-8AEE-97893A2DD488}"/>
            </a:ext>
          </a:extLst>
        </xdr:cNvPr>
        <xdr:cNvCxnSpPr>
          <a:cxnSpLocks/>
          <a:stCxn id="44" idx="3"/>
          <a:endCxn id="111" idx="1"/>
        </xdr:cNvCxnSpPr>
      </xdr:nvCxnSpPr>
      <xdr:spPr>
        <a:xfrm flipV="1">
          <a:off x="4804410" y="22017846"/>
          <a:ext cx="2521606" cy="3834"/>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230505</xdr:colOff>
      <xdr:row>140</xdr:row>
      <xdr:rowOff>64992</xdr:rowOff>
    </xdr:from>
    <xdr:to>
      <xdr:col>32</xdr:col>
      <xdr:colOff>13333</xdr:colOff>
      <xdr:row>140</xdr:row>
      <xdr:rowOff>66189</xdr:rowOff>
    </xdr:to>
    <xdr:cxnSp macro="">
      <xdr:nvCxnSpPr>
        <xdr:cNvPr id="161" name="直線コネクタ 160">
          <a:extLst>
            <a:ext uri="{FF2B5EF4-FFF2-40B4-BE49-F238E27FC236}">
              <a16:creationId xmlns:a16="http://schemas.microsoft.com/office/drawing/2014/main" id="{85D2E10A-0034-4789-BC31-1B1EE6609804}"/>
            </a:ext>
          </a:extLst>
        </xdr:cNvPr>
        <xdr:cNvCxnSpPr>
          <a:cxnSpLocks/>
          <a:stCxn id="46" idx="3"/>
          <a:endCxn id="114" idx="1"/>
        </xdr:cNvCxnSpPr>
      </xdr:nvCxnSpPr>
      <xdr:spPr>
        <a:xfrm flipV="1">
          <a:off x="4802505" y="24067992"/>
          <a:ext cx="2526028" cy="1197"/>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241935</xdr:colOff>
      <xdr:row>141</xdr:row>
      <xdr:rowOff>72246</xdr:rowOff>
    </xdr:from>
    <xdr:to>
      <xdr:col>32</xdr:col>
      <xdr:colOff>10816</xdr:colOff>
      <xdr:row>141</xdr:row>
      <xdr:rowOff>76080</xdr:rowOff>
    </xdr:to>
    <xdr:cxnSp macro="">
      <xdr:nvCxnSpPr>
        <xdr:cNvPr id="162" name="直線コネクタ 161">
          <a:extLst>
            <a:ext uri="{FF2B5EF4-FFF2-40B4-BE49-F238E27FC236}">
              <a16:creationId xmlns:a16="http://schemas.microsoft.com/office/drawing/2014/main" id="{45CF7C33-F588-480A-89DC-24F13194C3AF}"/>
            </a:ext>
          </a:extLst>
        </xdr:cNvPr>
        <xdr:cNvCxnSpPr>
          <a:cxnSpLocks/>
          <a:stCxn id="47" idx="3"/>
          <a:endCxn id="113" idx="1"/>
        </xdr:cNvCxnSpPr>
      </xdr:nvCxnSpPr>
      <xdr:spPr>
        <a:xfrm flipV="1">
          <a:off x="4804410" y="24246696"/>
          <a:ext cx="2521606" cy="3834"/>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230505</xdr:colOff>
      <xdr:row>153</xdr:row>
      <xdr:rowOff>64992</xdr:rowOff>
    </xdr:from>
    <xdr:to>
      <xdr:col>32</xdr:col>
      <xdr:colOff>13333</xdr:colOff>
      <xdr:row>153</xdr:row>
      <xdr:rowOff>66189</xdr:rowOff>
    </xdr:to>
    <xdr:cxnSp macro="">
      <xdr:nvCxnSpPr>
        <xdr:cNvPr id="163" name="直線コネクタ 162">
          <a:extLst>
            <a:ext uri="{FF2B5EF4-FFF2-40B4-BE49-F238E27FC236}">
              <a16:creationId xmlns:a16="http://schemas.microsoft.com/office/drawing/2014/main" id="{CC19585D-77D0-401A-86F7-5E96AD7901F0}"/>
            </a:ext>
          </a:extLst>
        </xdr:cNvPr>
        <xdr:cNvCxnSpPr>
          <a:cxnSpLocks/>
          <a:stCxn id="70" idx="3"/>
          <a:endCxn id="116" idx="1"/>
        </xdr:cNvCxnSpPr>
      </xdr:nvCxnSpPr>
      <xdr:spPr>
        <a:xfrm flipV="1">
          <a:off x="4802505" y="26296842"/>
          <a:ext cx="2526028" cy="1197"/>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265747</xdr:colOff>
      <xdr:row>154</xdr:row>
      <xdr:rowOff>72246</xdr:rowOff>
    </xdr:from>
    <xdr:to>
      <xdr:col>32</xdr:col>
      <xdr:colOff>10816</xdr:colOff>
      <xdr:row>154</xdr:row>
      <xdr:rowOff>76080</xdr:rowOff>
    </xdr:to>
    <xdr:cxnSp macro="">
      <xdr:nvCxnSpPr>
        <xdr:cNvPr id="164" name="直線コネクタ 163">
          <a:extLst>
            <a:ext uri="{FF2B5EF4-FFF2-40B4-BE49-F238E27FC236}">
              <a16:creationId xmlns:a16="http://schemas.microsoft.com/office/drawing/2014/main" id="{36B9DE5D-6CEA-4658-B788-A0B8803123A1}"/>
            </a:ext>
          </a:extLst>
        </xdr:cNvPr>
        <xdr:cNvCxnSpPr>
          <a:cxnSpLocks/>
          <a:endCxn id="115" idx="1"/>
        </xdr:cNvCxnSpPr>
      </xdr:nvCxnSpPr>
      <xdr:spPr>
        <a:xfrm flipV="1">
          <a:off x="4799647" y="26475546"/>
          <a:ext cx="2526369" cy="3834"/>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230505</xdr:colOff>
      <xdr:row>166</xdr:row>
      <xdr:rowOff>64992</xdr:rowOff>
    </xdr:from>
    <xdr:to>
      <xdr:col>32</xdr:col>
      <xdr:colOff>13333</xdr:colOff>
      <xdr:row>166</xdr:row>
      <xdr:rowOff>66189</xdr:rowOff>
    </xdr:to>
    <xdr:cxnSp macro="">
      <xdr:nvCxnSpPr>
        <xdr:cNvPr id="165" name="直線コネクタ 164">
          <a:extLst>
            <a:ext uri="{FF2B5EF4-FFF2-40B4-BE49-F238E27FC236}">
              <a16:creationId xmlns:a16="http://schemas.microsoft.com/office/drawing/2014/main" id="{02C5848F-975C-405D-81EF-342AD856430C}"/>
            </a:ext>
          </a:extLst>
        </xdr:cNvPr>
        <xdr:cNvCxnSpPr>
          <a:cxnSpLocks/>
          <a:stCxn id="73" idx="3"/>
          <a:endCxn id="118" idx="1"/>
        </xdr:cNvCxnSpPr>
      </xdr:nvCxnSpPr>
      <xdr:spPr>
        <a:xfrm flipV="1">
          <a:off x="4802505" y="28525692"/>
          <a:ext cx="2526028" cy="1197"/>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241935</xdr:colOff>
      <xdr:row>167</xdr:row>
      <xdr:rowOff>72246</xdr:rowOff>
    </xdr:from>
    <xdr:to>
      <xdr:col>32</xdr:col>
      <xdr:colOff>10816</xdr:colOff>
      <xdr:row>167</xdr:row>
      <xdr:rowOff>76080</xdr:rowOff>
    </xdr:to>
    <xdr:cxnSp macro="">
      <xdr:nvCxnSpPr>
        <xdr:cNvPr id="166" name="直線コネクタ 165">
          <a:extLst>
            <a:ext uri="{FF2B5EF4-FFF2-40B4-BE49-F238E27FC236}">
              <a16:creationId xmlns:a16="http://schemas.microsoft.com/office/drawing/2014/main" id="{02F651BE-4F13-437A-BEDB-27F38B5CEA85}"/>
            </a:ext>
          </a:extLst>
        </xdr:cNvPr>
        <xdr:cNvCxnSpPr>
          <a:cxnSpLocks/>
          <a:stCxn id="74" idx="3"/>
          <a:endCxn id="117" idx="1"/>
        </xdr:cNvCxnSpPr>
      </xdr:nvCxnSpPr>
      <xdr:spPr>
        <a:xfrm flipV="1">
          <a:off x="4804410" y="28704396"/>
          <a:ext cx="2521606" cy="3834"/>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230505</xdr:colOff>
      <xdr:row>179</xdr:row>
      <xdr:rowOff>64992</xdr:rowOff>
    </xdr:from>
    <xdr:to>
      <xdr:col>32</xdr:col>
      <xdr:colOff>13333</xdr:colOff>
      <xdr:row>179</xdr:row>
      <xdr:rowOff>66189</xdr:rowOff>
    </xdr:to>
    <xdr:cxnSp macro="">
      <xdr:nvCxnSpPr>
        <xdr:cNvPr id="167" name="直線コネクタ 166">
          <a:extLst>
            <a:ext uri="{FF2B5EF4-FFF2-40B4-BE49-F238E27FC236}">
              <a16:creationId xmlns:a16="http://schemas.microsoft.com/office/drawing/2014/main" id="{6E8B5945-A8F0-4CCD-8C39-3CDB2F265B7F}"/>
            </a:ext>
          </a:extLst>
        </xdr:cNvPr>
        <xdr:cNvCxnSpPr>
          <a:cxnSpLocks/>
          <a:stCxn id="76" idx="3"/>
          <a:endCxn id="120" idx="1"/>
        </xdr:cNvCxnSpPr>
      </xdr:nvCxnSpPr>
      <xdr:spPr>
        <a:xfrm flipV="1">
          <a:off x="4802505" y="30754542"/>
          <a:ext cx="2526028" cy="1197"/>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241935</xdr:colOff>
      <xdr:row>180</xdr:row>
      <xdr:rowOff>72246</xdr:rowOff>
    </xdr:from>
    <xdr:to>
      <xdr:col>32</xdr:col>
      <xdr:colOff>10816</xdr:colOff>
      <xdr:row>180</xdr:row>
      <xdr:rowOff>76080</xdr:rowOff>
    </xdr:to>
    <xdr:cxnSp macro="">
      <xdr:nvCxnSpPr>
        <xdr:cNvPr id="168" name="直線コネクタ 167">
          <a:extLst>
            <a:ext uri="{FF2B5EF4-FFF2-40B4-BE49-F238E27FC236}">
              <a16:creationId xmlns:a16="http://schemas.microsoft.com/office/drawing/2014/main" id="{9128A5A0-571F-490A-B75B-2681A4F01419}"/>
            </a:ext>
          </a:extLst>
        </xdr:cNvPr>
        <xdr:cNvCxnSpPr>
          <a:cxnSpLocks/>
          <a:stCxn id="77" idx="3"/>
          <a:endCxn id="119" idx="1"/>
        </xdr:cNvCxnSpPr>
      </xdr:nvCxnSpPr>
      <xdr:spPr>
        <a:xfrm flipV="1">
          <a:off x="4804410" y="30933246"/>
          <a:ext cx="2521606" cy="3834"/>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230505</xdr:colOff>
      <xdr:row>192</xdr:row>
      <xdr:rowOff>64992</xdr:rowOff>
    </xdr:from>
    <xdr:to>
      <xdr:col>32</xdr:col>
      <xdr:colOff>13333</xdr:colOff>
      <xdr:row>192</xdr:row>
      <xdr:rowOff>66189</xdr:rowOff>
    </xdr:to>
    <xdr:cxnSp macro="">
      <xdr:nvCxnSpPr>
        <xdr:cNvPr id="169" name="直線コネクタ 168">
          <a:extLst>
            <a:ext uri="{FF2B5EF4-FFF2-40B4-BE49-F238E27FC236}">
              <a16:creationId xmlns:a16="http://schemas.microsoft.com/office/drawing/2014/main" id="{3123C073-AFD1-4CDF-9A65-945A5CB35CC3}"/>
            </a:ext>
          </a:extLst>
        </xdr:cNvPr>
        <xdr:cNvCxnSpPr>
          <a:cxnSpLocks/>
          <a:stCxn id="79" idx="3"/>
          <a:endCxn id="122" idx="1"/>
        </xdr:cNvCxnSpPr>
      </xdr:nvCxnSpPr>
      <xdr:spPr>
        <a:xfrm flipV="1">
          <a:off x="4802505" y="32983392"/>
          <a:ext cx="2526028" cy="1197"/>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241935</xdr:colOff>
      <xdr:row>193</xdr:row>
      <xdr:rowOff>72246</xdr:rowOff>
    </xdr:from>
    <xdr:to>
      <xdr:col>32</xdr:col>
      <xdr:colOff>10816</xdr:colOff>
      <xdr:row>193</xdr:row>
      <xdr:rowOff>76080</xdr:rowOff>
    </xdr:to>
    <xdr:cxnSp macro="">
      <xdr:nvCxnSpPr>
        <xdr:cNvPr id="170" name="直線コネクタ 169">
          <a:extLst>
            <a:ext uri="{FF2B5EF4-FFF2-40B4-BE49-F238E27FC236}">
              <a16:creationId xmlns:a16="http://schemas.microsoft.com/office/drawing/2014/main" id="{27B18961-83C1-438B-A2A0-0278F6795C6F}"/>
            </a:ext>
          </a:extLst>
        </xdr:cNvPr>
        <xdr:cNvCxnSpPr>
          <a:cxnSpLocks/>
          <a:stCxn id="80" idx="3"/>
          <a:endCxn id="121" idx="1"/>
        </xdr:cNvCxnSpPr>
      </xdr:nvCxnSpPr>
      <xdr:spPr>
        <a:xfrm flipV="1">
          <a:off x="4804410" y="33162096"/>
          <a:ext cx="2521606" cy="3834"/>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214630</xdr:colOff>
      <xdr:row>75</xdr:row>
      <xdr:rowOff>66190</xdr:rowOff>
    </xdr:from>
    <xdr:to>
      <xdr:col>22</xdr:col>
      <xdr:colOff>6106</xdr:colOff>
      <xdr:row>80</xdr:row>
      <xdr:rowOff>75788</xdr:rowOff>
    </xdr:to>
    <xdr:cxnSp macro="">
      <xdr:nvCxnSpPr>
        <xdr:cNvPr id="171" name="直線コネクタ 31">
          <a:extLst>
            <a:ext uri="{FF2B5EF4-FFF2-40B4-BE49-F238E27FC236}">
              <a16:creationId xmlns:a16="http://schemas.microsoft.com/office/drawing/2014/main" id="{58BC7508-5EC3-46E6-BAD2-3568957B8BA6}"/>
            </a:ext>
          </a:extLst>
        </xdr:cNvPr>
        <xdr:cNvCxnSpPr>
          <a:cxnSpLocks/>
        </xdr:cNvCxnSpPr>
      </xdr:nvCxnSpPr>
      <xdr:spPr>
        <a:xfrm rot="10800000">
          <a:off x="4786630" y="12924940"/>
          <a:ext cx="248676" cy="866848"/>
        </a:xfrm>
        <a:prstGeom prst="bentConnector3">
          <a:avLst>
            <a:gd name="adj1" fmla="val 50000"/>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214630</xdr:colOff>
      <xdr:row>81</xdr:row>
      <xdr:rowOff>63699</xdr:rowOff>
    </xdr:from>
    <xdr:to>
      <xdr:col>29</xdr:col>
      <xdr:colOff>182978</xdr:colOff>
      <xdr:row>88</xdr:row>
      <xdr:rowOff>66189</xdr:rowOff>
    </xdr:to>
    <xdr:cxnSp macro="">
      <xdr:nvCxnSpPr>
        <xdr:cNvPr id="172" name="直線コネクタ 31">
          <a:extLst>
            <a:ext uri="{FF2B5EF4-FFF2-40B4-BE49-F238E27FC236}">
              <a16:creationId xmlns:a16="http://schemas.microsoft.com/office/drawing/2014/main" id="{1C07D074-B35E-44B0-8DC1-B2FAA65B8FEF}"/>
            </a:ext>
          </a:extLst>
        </xdr:cNvPr>
        <xdr:cNvCxnSpPr>
          <a:cxnSpLocks/>
        </xdr:cNvCxnSpPr>
      </xdr:nvCxnSpPr>
      <xdr:spPr>
        <a:xfrm flipV="1">
          <a:off x="4786630" y="13951149"/>
          <a:ext cx="2025748" cy="1202640"/>
        </a:xfrm>
        <a:prstGeom prst="bentConnector3">
          <a:avLst>
            <a:gd name="adj1" fmla="val 106416"/>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182979</xdr:colOff>
      <xdr:row>75</xdr:row>
      <xdr:rowOff>71437</xdr:rowOff>
    </xdr:from>
    <xdr:to>
      <xdr:col>30</xdr:col>
      <xdr:colOff>198439</xdr:colOff>
      <xdr:row>94</xdr:row>
      <xdr:rowOff>63699</xdr:rowOff>
    </xdr:to>
    <xdr:cxnSp macro="">
      <xdr:nvCxnSpPr>
        <xdr:cNvPr id="173" name="直線コネクタ 31">
          <a:extLst>
            <a:ext uri="{FF2B5EF4-FFF2-40B4-BE49-F238E27FC236}">
              <a16:creationId xmlns:a16="http://schemas.microsoft.com/office/drawing/2014/main" id="{771345DF-96C6-453A-AACA-D89E92BADFC6}"/>
            </a:ext>
          </a:extLst>
        </xdr:cNvPr>
        <xdr:cNvCxnSpPr>
          <a:cxnSpLocks/>
        </xdr:cNvCxnSpPr>
      </xdr:nvCxnSpPr>
      <xdr:spPr>
        <a:xfrm rot="5400000">
          <a:off x="5309503" y="14433063"/>
          <a:ext cx="3249812" cy="244060"/>
        </a:xfrm>
        <a:prstGeom prst="bentConnector2">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214630</xdr:colOff>
      <xdr:row>88</xdr:row>
      <xdr:rowOff>66190</xdr:rowOff>
    </xdr:from>
    <xdr:to>
      <xdr:col>22</xdr:col>
      <xdr:colOff>6106</xdr:colOff>
      <xdr:row>93</xdr:row>
      <xdr:rowOff>75788</xdr:rowOff>
    </xdr:to>
    <xdr:cxnSp macro="">
      <xdr:nvCxnSpPr>
        <xdr:cNvPr id="174" name="直線コネクタ 31">
          <a:extLst>
            <a:ext uri="{FF2B5EF4-FFF2-40B4-BE49-F238E27FC236}">
              <a16:creationId xmlns:a16="http://schemas.microsoft.com/office/drawing/2014/main" id="{80007989-0258-4075-8C3D-2D9D306480B5}"/>
            </a:ext>
          </a:extLst>
        </xdr:cNvPr>
        <xdr:cNvCxnSpPr>
          <a:cxnSpLocks/>
        </xdr:cNvCxnSpPr>
      </xdr:nvCxnSpPr>
      <xdr:spPr>
        <a:xfrm rot="10800000">
          <a:off x="4786630" y="15153790"/>
          <a:ext cx="248676" cy="866848"/>
        </a:xfrm>
        <a:prstGeom prst="bentConnector3">
          <a:avLst>
            <a:gd name="adj1" fmla="val 50000"/>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131764</xdr:colOff>
      <xdr:row>76</xdr:row>
      <xdr:rowOff>122266</xdr:rowOff>
    </xdr:from>
    <xdr:to>
      <xdr:col>22</xdr:col>
      <xdr:colOff>6107</xdr:colOff>
      <xdr:row>79</xdr:row>
      <xdr:rowOff>75787</xdr:rowOff>
    </xdr:to>
    <xdr:cxnSp macro="">
      <xdr:nvCxnSpPr>
        <xdr:cNvPr id="175" name="直線コネクタ 31">
          <a:extLst>
            <a:ext uri="{FF2B5EF4-FFF2-40B4-BE49-F238E27FC236}">
              <a16:creationId xmlns:a16="http://schemas.microsoft.com/office/drawing/2014/main" id="{651CB9E0-2786-494A-AC69-E5F35A2E50BC}"/>
            </a:ext>
          </a:extLst>
        </xdr:cNvPr>
        <xdr:cNvCxnSpPr>
          <a:cxnSpLocks/>
        </xdr:cNvCxnSpPr>
      </xdr:nvCxnSpPr>
      <xdr:spPr>
        <a:xfrm rot="10800000">
          <a:off x="4703764" y="13152466"/>
          <a:ext cx="331543" cy="467871"/>
        </a:xfrm>
        <a:prstGeom prst="bentConnector2">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131764</xdr:colOff>
      <xdr:row>89</xdr:row>
      <xdr:rowOff>122266</xdr:rowOff>
    </xdr:from>
    <xdr:to>
      <xdr:col>22</xdr:col>
      <xdr:colOff>6107</xdr:colOff>
      <xdr:row>92</xdr:row>
      <xdr:rowOff>75787</xdr:rowOff>
    </xdr:to>
    <xdr:cxnSp macro="">
      <xdr:nvCxnSpPr>
        <xdr:cNvPr id="176" name="直線コネクタ 31">
          <a:extLst>
            <a:ext uri="{FF2B5EF4-FFF2-40B4-BE49-F238E27FC236}">
              <a16:creationId xmlns:a16="http://schemas.microsoft.com/office/drawing/2014/main" id="{2AAD2FB2-6EE1-4025-BB0A-2E93B699A7C6}"/>
            </a:ext>
          </a:extLst>
        </xdr:cNvPr>
        <xdr:cNvCxnSpPr>
          <a:cxnSpLocks/>
        </xdr:cNvCxnSpPr>
      </xdr:nvCxnSpPr>
      <xdr:spPr>
        <a:xfrm rot="10800000">
          <a:off x="4703764" y="15381316"/>
          <a:ext cx="331543" cy="467871"/>
        </a:xfrm>
        <a:prstGeom prst="bentConnector2">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246380</xdr:colOff>
      <xdr:row>114</xdr:row>
      <xdr:rowOff>66190</xdr:rowOff>
    </xdr:from>
    <xdr:to>
      <xdr:col>22</xdr:col>
      <xdr:colOff>37856</xdr:colOff>
      <xdr:row>119</xdr:row>
      <xdr:rowOff>75788</xdr:rowOff>
    </xdr:to>
    <xdr:cxnSp macro="">
      <xdr:nvCxnSpPr>
        <xdr:cNvPr id="177" name="直線コネクタ 31">
          <a:extLst>
            <a:ext uri="{FF2B5EF4-FFF2-40B4-BE49-F238E27FC236}">
              <a16:creationId xmlns:a16="http://schemas.microsoft.com/office/drawing/2014/main" id="{6DED4E67-55E6-4988-B695-C72B52733CE9}"/>
            </a:ext>
          </a:extLst>
        </xdr:cNvPr>
        <xdr:cNvCxnSpPr>
          <a:cxnSpLocks/>
        </xdr:cNvCxnSpPr>
      </xdr:nvCxnSpPr>
      <xdr:spPr>
        <a:xfrm rot="10800000">
          <a:off x="4799330" y="19611490"/>
          <a:ext cx="267726" cy="866848"/>
        </a:xfrm>
        <a:prstGeom prst="bentConnector3">
          <a:avLst>
            <a:gd name="adj1" fmla="val 50000"/>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246380</xdr:colOff>
      <xdr:row>120</xdr:row>
      <xdr:rowOff>63699</xdr:rowOff>
    </xdr:from>
    <xdr:to>
      <xdr:col>29</xdr:col>
      <xdr:colOff>214728</xdr:colOff>
      <xdr:row>127</xdr:row>
      <xdr:rowOff>66189</xdr:rowOff>
    </xdr:to>
    <xdr:cxnSp macro="">
      <xdr:nvCxnSpPr>
        <xdr:cNvPr id="178" name="直線コネクタ 31">
          <a:extLst>
            <a:ext uri="{FF2B5EF4-FFF2-40B4-BE49-F238E27FC236}">
              <a16:creationId xmlns:a16="http://schemas.microsoft.com/office/drawing/2014/main" id="{10A27FFD-3D3F-4BF1-A408-37A7C489695C}"/>
            </a:ext>
          </a:extLst>
        </xdr:cNvPr>
        <xdr:cNvCxnSpPr>
          <a:cxnSpLocks/>
        </xdr:cNvCxnSpPr>
      </xdr:nvCxnSpPr>
      <xdr:spPr>
        <a:xfrm flipV="1">
          <a:off x="4799330" y="20637699"/>
          <a:ext cx="2044798" cy="1202640"/>
        </a:xfrm>
        <a:prstGeom prst="bentConnector3">
          <a:avLst>
            <a:gd name="adj1" fmla="val 106416"/>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214729</xdr:colOff>
      <xdr:row>114</xdr:row>
      <xdr:rowOff>71437</xdr:rowOff>
    </xdr:from>
    <xdr:to>
      <xdr:col>31</xdr:col>
      <xdr:colOff>1</xdr:colOff>
      <xdr:row>133</xdr:row>
      <xdr:rowOff>63699</xdr:rowOff>
    </xdr:to>
    <xdr:cxnSp macro="">
      <xdr:nvCxnSpPr>
        <xdr:cNvPr id="179" name="直線コネクタ 31">
          <a:extLst>
            <a:ext uri="{FF2B5EF4-FFF2-40B4-BE49-F238E27FC236}">
              <a16:creationId xmlns:a16="http://schemas.microsoft.com/office/drawing/2014/main" id="{4B281712-CBB9-4B96-874C-B42B54657C16}"/>
            </a:ext>
          </a:extLst>
        </xdr:cNvPr>
        <xdr:cNvCxnSpPr>
          <a:cxnSpLocks/>
        </xdr:cNvCxnSpPr>
      </xdr:nvCxnSpPr>
      <xdr:spPr>
        <a:xfrm rot="5400000">
          <a:off x="5340459" y="21120407"/>
          <a:ext cx="3249812" cy="242472"/>
        </a:xfrm>
        <a:prstGeom prst="bentConnector2">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246380</xdr:colOff>
      <xdr:row>127</xdr:row>
      <xdr:rowOff>66190</xdr:rowOff>
    </xdr:from>
    <xdr:to>
      <xdr:col>22</xdr:col>
      <xdr:colOff>37856</xdr:colOff>
      <xdr:row>132</xdr:row>
      <xdr:rowOff>75788</xdr:rowOff>
    </xdr:to>
    <xdr:cxnSp macro="">
      <xdr:nvCxnSpPr>
        <xdr:cNvPr id="180" name="直線コネクタ 31">
          <a:extLst>
            <a:ext uri="{FF2B5EF4-FFF2-40B4-BE49-F238E27FC236}">
              <a16:creationId xmlns:a16="http://schemas.microsoft.com/office/drawing/2014/main" id="{0BB718D3-6C01-431E-8064-819AD9FAE6C5}"/>
            </a:ext>
          </a:extLst>
        </xdr:cNvPr>
        <xdr:cNvCxnSpPr>
          <a:cxnSpLocks/>
        </xdr:cNvCxnSpPr>
      </xdr:nvCxnSpPr>
      <xdr:spPr>
        <a:xfrm rot="10800000">
          <a:off x="4799330" y="21840340"/>
          <a:ext cx="267726" cy="866848"/>
        </a:xfrm>
        <a:prstGeom prst="bentConnector3">
          <a:avLst>
            <a:gd name="adj1" fmla="val 50000"/>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163514</xdr:colOff>
      <xdr:row>115</xdr:row>
      <xdr:rowOff>122266</xdr:rowOff>
    </xdr:from>
    <xdr:to>
      <xdr:col>22</xdr:col>
      <xdr:colOff>37857</xdr:colOff>
      <xdr:row>118</xdr:row>
      <xdr:rowOff>75787</xdr:rowOff>
    </xdr:to>
    <xdr:cxnSp macro="">
      <xdr:nvCxnSpPr>
        <xdr:cNvPr id="181" name="直線コネクタ 31">
          <a:extLst>
            <a:ext uri="{FF2B5EF4-FFF2-40B4-BE49-F238E27FC236}">
              <a16:creationId xmlns:a16="http://schemas.microsoft.com/office/drawing/2014/main" id="{D35E41EA-7A0E-46A2-8234-DF59CEBA5BC8}"/>
            </a:ext>
          </a:extLst>
        </xdr:cNvPr>
        <xdr:cNvCxnSpPr>
          <a:cxnSpLocks/>
        </xdr:cNvCxnSpPr>
      </xdr:nvCxnSpPr>
      <xdr:spPr>
        <a:xfrm rot="10800000">
          <a:off x="4735514" y="19839016"/>
          <a:ext cx="331543" cy="467871"/>
        </a:xfrm>
        <a:prstGeom prst="bentConnector2">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163514</xdr:colOff>
      <xdr:row>128</xdr:row>
      <xdr:rowOff>122266</xdr:rowOff>
    </xdr:from>
    <xdr:to>
      <xdr:col>22</xdr:col>
      <xdr:colOff>37857</xdr:colOff>
      <xdr:row>131</xdr:row>
      <xdr:rowOff>75787</xdr:rowOff>
    </xdr:to>
    <xdr:cxnSp macro="">
      <xdr:nvCxnSpPr>
        <xdr:cNvPr id="182" name="直線コネクタ 31">
          <a:extLst>
            <a:ext uri="{FF2B5EF4-FFF2-40B4-BE49-F238E27FC236}">
              <a16:creationId xmlns:a16="http://schemas.microsoft.com/office/drawing/2014/main" id="{33000948-4069-48B5-8F40-582FEB00DBF5}"/>
            </a:ext>
          </a:extLst>
        </xdr:cNvPr>
        <xdr:cNvCxnSpPr>
          <a:cxnSpLocks/>
        </xdr:cNvCxnSpPr>
      </xdr:nvCxnSpPr>
      <xdr:spPr>
        <a:xfrm rot="10800000">
          <a:off x="4735514" y="22067866"/>
          <a:ext cx="331543" cy="467871"/>
        </a:xfrm>
        <a:prstGeom prst="bentConnector2">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230505</xdr:colOff>
      <xdr:row>153</xdr:row>
      <xdr:rowOff>66190</xdr:rowOff>
    </xdr:from>
    <xdr:to>
      <xdr:col>22</xdr:col>
      <xdr:colOff>21981</xdr:colOff>
      <xdr:row>158</xdr:row>
      <xdr:rowOff>75788</xdr:rowOff>
    </xdr:to>
    <xdr:cxnSp macro="">
      <xdr:nvCxnSpPr>
        <xdr:cNvPr id="183" name="直線コネクタ 31">
          <a:extLst>
            <a:ext uri="{FF2B5EF4-FFF2-40B4-BE49-F238E27FC236}">
              <a16:creationId xmlns:a16="http://schemas.microsoft.com/office/drawing/2014/main" id="{38CC7161-4758-4EC0-86BA-9CC7DC406BA0}"/>
            </a:ext>
          </a:extLst>
        </xdr:cNvPr>
        <xdr:cNvCxnSpPr>
          <a:cxnSpLocks/>
        </xdr:cNvCxnSpPr>
      </xdr:nvCxnSpPr>
      <xdr:spPr>
        <a:xfrm rot="10800000">
          <a:off x="4802505" y="26298040"/>
          <a:ext cx="248676" cy="866848"/>
        </a:xfrm>
        <a:prstGeom prst="bentConnector3">
          <a:avLst>
            <a:gd name="adj1" fmla="val 50000"/>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230505</xdr:colOff>
      <xdr:row>159</xdr:row>
      <xdr:rowOff>63699</xdr:rowOff>
    </xdr:from>
    <xdr:to>
      <xdr:col>29</xdr:col>
      <xdr:colOff>198853</xdr:colOff>
      <xdr:row>166</xdr:row>
      <xdr:rowOff>66189</xdr:rowOff>
    </xdr:to>
    <xdr:cxnSp macro="">
      <xdr:nvCxnSpPr>
        <xdr:cNvPr id="184" name="直線コネクタ 31">
          <a:extLst>
            <a:ext uri="{FF2B5EF4-FFF2-40B4-BE49-F238E27FC236}">
              <a16:creationId xmlns:a16="http://schemas.microsoft.com/office/drawing/2014/main" id="{7902F051-14C0-4FD5-8395-B8DA4498E119}"/>
            </a:ext>
          </a:extLst>
        </xdr:cNvPr>
        <xdr:cNvCxnSpPr>
          <a:cxnSpLocks/>
        </xdr:cNvCxnSpPr>
      </xdr:nvCxnSpPr>
      <xdr:spPr>
        <a:xfrm flipV="1">
          <a:off x="4802505" y="27324249"/>
          <a:ext cx="2025748" cy="1202640"/>
        </a:xfrm>
        <a:prstGeom prst="bentConnector3">
          <a:avLst>
            <a:gd name="adj1" fmla="val 106416"/>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198854</xdr:colOff>
      <xdr:row>153</xdr:row>
      <xdr:rowOff>71437</xdr:rowOff>
    </xdr:from>
    <xdr:to>
      <xdr:col>30</xdr:col>
      <xdr:colOff>214314</xdr:colOff>
      <xdr:row>172</xdr:row>
      <xdr:rowOff>63699</xdr:rowOff>
    </xdr:to>
    <xdr:cxnSp macro="">
      <xdr:nvCxnSpPr>
        <xdr:cNvPr id="185" name="直線コネクタ 31">
          <a:extLst>
            <a:ext uri="{FF2B5EF4-FFF2-40B4-BE49-F238E27FC236}">
              <a16:creationId xmlns:a16="http://schemas.microsoft.com/office/drawing/2014/main" id="{5D45BB22-6B93-421F-BDA9-88C052D49F34}"/>
            </a:ext>
          </a:extLst>
        </xdr:cNvPr>
        <xdr:cNvCxnSpPr>
          <a:cxnSpLocks/>
        </xdr:cNvCxnSpPr>
      </xdr:nvCxnSpPr>
      <xdr:spPr>
        <a:xfrm rot="5400000">
          <a:off x="5325378" y="27806163"/>
          <a:ext cx="3249812" cy="244060"/>
        </a:xfrm>
        <a:prstGeom prst="bentConnector2">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230505</xdr:colOff>
      <xdr:row>166</xdr:row>
      <xdr:rowOff>66190</xdr:rowOff>
    </xdr:from>
    <xdr:to>
      <xdr:col>22</xdr:col>
      <xdr:colOff>21981</xdr:colOff>
      <xdr:row>171</xdr:row>
      <xdr:rowOff>75788</xdr:rowOff>
    </xdr:to>
    <xdr:cxnSp macro="">
      <xdr:nvCxnSpPr>
        <xdr:cNvPr id="186" name="直線コネクタ 31">
          <a:extLst>
            <a:ext uri="{FF2B5EF4-FFF2-40B4-BE49-F238E27FC236}">
              <a16:creationId xmlns:a16="http://schemas.microsoft.com/office/drawing/2014/main" id="{4EAAC7FC-4C25-4989-AEFA-500776D021B3}"/>
            </a:ext>
          </a:extLst>
        </xdr:cNvPr>
        <xdr:cNvCxnSpPr>
          <a:cxnSpLocks/>
        </xdr:cNvCxnSpPr>
      </xdr:nvCxnSpPr>
      <xdr:spPr>
        <a:xfrm rot="10800000">
          <a:off x="4802505" y="28526890"/>
          <a:ext cx="248676" cy="866848"/>
        </a:xfrm>
        <a:prstGeom prst="bentConnector3">
          <a:avLst>
            <a:gd name="adj1" fmla="val 50000"/>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147639</xdr:colOff>
      <xdr:row>154</xdr:row>
      <xdr:rowOff>122266</xdr:rowOff>
    </xdr:from>
    <xdr:to>
      <xdr:col>22</xdr:col>
      <xdr:colOff>21982</xdr:colOff>
      <xdr:row>157</xdr:row>
      <xdr:rowOff>75787</xdr:rowOff>
    </xdr:to>
    <xdr:cxnSp macro="">
      <xdr:nvCxnSpPr>
        <xdr:cNvPr id="187" name="直線コネクタ 31">
          <a:extLst>
            <a:ext uri="{FF2B5EF4-FFF2-40B4-BE49-F238E27FC236}">
              <a16:creationId xmlns:a16="http://schemas.microsoft.com/office/drawing/2014/main" id="{0357B1C0-7B52-4F71-A313-9F5639F5E9C8}"/>
            </a:ext>
          </a:extLst>
        </xdr:cNvPr>
        <xdr:cNvCxnSpPr>
          <a:cxnSpLocks/>
        </xdr:cNvCxnSpPr>
      </xdr:nvCxnSpPr>
      <xdr:spPr>
        <a:xfrm rot="10800000">
          <a:off x="4719639" y="26525566"/>
          <a:ext cx="331543" cy="467871"/>
        </a:xfrm>
        <a:prstGeom prst="bentConnector2">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147639</xdr:colOff>
      <xdr:row>167</xdr:row>
      <xdr:rowOff>122266</xdr:rowOff>
    </xdr:from>
    <xdr:to>
      <xdr:col>22</xdr:col>
      <xdr:colOff>21982</xdr:colOff>
      <xdr:row>170</xdr:row>
      <xdr:rowOff>75787</xdr:rowOff>
    </xdr:to>
    <xdr:cxnSp macro="">
      <xdr:nvCxnSpPr>
        <xdr:cNvPr id="188" name="直線コネクタ 31">
          <a:extLst>
            <a:ext uri="{FF2B5EF4-FFF2-40B4-BE49-F238E27FC236}">
              <a16:creationId xmlns:a16="http://schemas.microsoft.com/office/drawing/2014/main" id="{51F22BC6-FD34-4F60-BFF1-E34EB337AE80}"/>
            </a:ext>
          </a:extLst>
        </xdr:cNvPr>
        <xdr:cNvCxnSpPr>
          <a:cxnSpLocks/>
        </xdr:cNvCxnSpPr>
      </xdr:nvCxnSpPr>
      <xdr:spPr>
        <a:xfrm rot="10800000">
          <a:off x="4719639" y="28754416"/>
          <a:ext cx="331543" cy="467871"/>
        </a:xfrm>
        <a:prstGeom prst="bentConnector2">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230505</xdr:colOff>
      <xdr:row>179</xdr:row>
      <xdr:rowOff>66190</xdr:rowOff>
    </xdr:from>
    <xdr:to>
      <xdr:col>22</xdr:col>
      <xdr:colOff>21981</xdr:colOff>
      <xdr:row>184</xdr:row>
      <xdr:rowOff>75788</xdr:rowOff>
    </xdr:to>
    <xdr:cxnSp macro="">
      <xdr:nvCxnSpPr>
        <xdr:cNvPr id="189" name="直線コネクタ 31">
          <a:extLst>
            <a:ext uri="{FF2B5EF4-FFF2-40B4-BE49-F238E27FC236}">
              <a16:creationId xmlns:a16="http://schemas.microsoft.com/office/drawing/2014/main" id="{7FB10C3B-B438-4525-9B8D-EB36E42C8CD9}"/>
            </a:ext>
          </a:extLst>
        </xdr:cNvPr>
        <xdr:cNvCxnSpPr>
          <a:cxnSpLocks/>
          <a:stCxn id="147" idx="1"/>
          <a:endCxn id="76" idx="3"/>
        </xdr:cNvCxnSpPr>
      </xdr:nvCxnSpPr>
      <xdr:spPr>
        <a:xfrm rot="10800000">
          <a:off x="4802505" y="30755740"/>
          <a:ext cx="248676" cy="866848"/>
        </a:xfrm>
        <a:prstGeom prst="bentConnector3">
          <a:avLst>
            <a:gd name="adj1" fmla="val 50000"/>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230505</xdr:colOff>
      <xdr:row>185</xdr:row>
      <xdr:rowOff>63699</xdr:rowOff>
    </xdr:from>
    <xdr:to>
      <xdr:col>29</xdr:col>
      <xdr:colOff>198853</xdr:colOff>
      <xdr:row>192</xdr:row>
      <xdr:rowOff>66189</xdr:rowOff>
    </xdr:to>
    <xdr:cxnSp macro="">
      <xdr:nvCxnSpPr>
        <xdr:cNvPr id="190" name="直線コネクタ 31">
          <a:extLst>
            <a:ext uri="{FF2B5EF4-FFF2-40B4-BE49-F238E27FC236}">
              <a16:creationId xmlns:a16="http://schemas.microsoft.com/office/drawing/2014/main" id="{B3F709FF-C7A9-4194-BE8D-A171DAC1B6A0}"/>
            </a:ext>
          </a:extLst>
        </xdr:cNvPr>
        <xdr:cNvCxnSpPr>
          <a:cxnSpLocks/>
          <a:stCxn id="79" idx="3"/>
          <a:endCxn id="146" idx="3"/>
        </xdr:cNvCxnSpPr>
      </xdr:nvCxnSpPr>
      <xdr:spPr>
        <a:xfrm flipV="1">
          <a:off x="4802505" y="31781949"/>
          <a:ext cx="2025748" cy="1202640"/>
        </a:xfrm>
        <a:prstGeom prst="bentConnector3">
          <a:avLst>
            <a:gd name="adj1" fmla="val 107099"/>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198854</xdr:colOff>
      <xdr:row>179</xdr:row>
      <xdr:rowOff>71436</xdr:rowOff>
    </xdr:from>
    <xdr:to>
      <xdr:col>31</xdr:col>
      <xdr:colOff>3</xdr:colOff>
      <xdr:row>198</xdr:row>
      <xdr:rowOff>63698</xdr:rowOff>
    </xdr:to>
    <xdr:cxnSp macro="">
      <xdr:nvCxnSpPr>
        <xdr:cNvPr id="191" name="直線コネクタ 31">
          <a:extLst>
            <a:ext uri="{FF2B5EF4-FFF2-40B4-BE49-F238E27FC236}">
              <a16:creationId xmlns:a16="http://schemas.microsoft.com/office/drawing/2014/main" id="{71DBB411-5121-4E2F-A5B3-C88C5ECDBC10}"/>
            </a:ext>
          </a:extLst>
        </xdr:cNvPr>
        <xdr:cNvCxnSpPr>
          <a:cxnSpLocks/>
          <a:endCxn id="149" idx="3"/>
        </xdr:cNvCxnSpPr>
      </xdr:nvCxnSpPr>
      <xdr:spPr>
        <a:xfrm rot="5400000">
          <a:off x="5332523" y="32256717"/>
          <a:ext cx="3249812" cy="258349"/>
        </a:xfrm>
        <a:prstGeom prst="bentConnector2">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230505</xdr:colOff>
      <xdr:row>192</xdr:row>
      <xdr:rowOff>66190</xdr:rowOff>
    </xdr:from>
    <xdr:to>
      <xdr:col>22</xdr:col>
      <xdr:colOff>21981</xdr:colOff>
      <xdr:row>197</xdr:row>
      <xdr:rowOff>75788</xdr:rowOff>
    </xdr:to>
    <xdr:cxnSp macro="">
      <xdr:nvCxnSpPr>
        <xdr:cNvPr id="192" name="直線コネクタ 31">
          <a:extLst>
            <a:ext uri="{FF2B5EF4-FFF2-40B4-BE49-F238E27FC236}">
              <a16:creationId xmlns:a16="http://schemas.microsoft.com/office/drawing/2014/main" id="{6FACCA24-3701-420D-991F-6F91B731FC32}"/>
            </a:ext>
          </a:extLst>
        </xdr:cNvPr>
        <xdr:cNvCxnSpPr>
          <a:cxnSpLocks/>
          <a:stCxn id="150" idx="1"/>
          <a:endCxn id="79" idx="3"/>
        </xdr:cNvCxnSpPr>
      </xdr:nvCxnSpPr>
      <xdr:spPr>
        <a:xfrm rot="10800000">
          <a:off x="4802505" y="32984590"/>
          <a:ext cx="248676" cy="866848"/>
        </a:xfrm>
        <a:prstGeom prst="bentConnector3">
          <a:avLst>
            <a:gd name="adj1" fmla="val 50000"/>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147639</xdr:colOff>
      <xdr:row>180</xdr:row>
      <xdr:rowOff>122266</xdr:rowOff>
    </xdr:from>
    <xdr:to>
      <xdr:col>22</xdr:col>
      <xdr:colOff>18758</xdr:colOff>
      <xdr:row>183</xdr:row>
      <xdr:rowOff>71191</xdr:rowOff>
    </xdr:to>
    <xdr:cxnSp macro="">
      <xdr:nvCxnSpPr>
        <xdr:cNvPr id="193" name="直線コネクタ 31">
          <a:extLst>
            <a:ext uri="{FF2B5EF4-FFF2-40B4-BE49-F238E27FC236}">
              <a16:creationId xmlns:a16="http://schemas.microsoft.com/office/drawing/2014/main" id="{44EF6258-4613-4845-BC7A-A653AF29EBD1}"/>
            </a:ext>
          </a:extLst>
        </xdr:cNvPr>
        <xdr:cNvCxnSpPr>
          <a:cxnSpLocks/>
          <a:stCxn id="145" idx="1"/>
          <a:endCxn id="77" idx="2"/>
        </xdr:cNvCxnSpPr>
      </xdr:nvCxnSpPr>
      <xdr:spPr>
        <a:xfrm rot="10800000">
          <a:off x="4719639" y="30983266"/>
          <a:ext cx="328319" cy="463275"/>
        </a:xfrm>
        <a:prstGeom prst="bentConnector2">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147639</xdr:colOff>
      <xdr:row>193</xdr:row>
      <xdr:rowOff>122266</xdr:rowOff>
    </xdr:from>
    <xdr:to>
      <xdr:col>22</xdr:col>
      <xdr:colOff>18758</xdr:colOff>
      <xdr:row>196</xdr:row>
      <xdr:rowOff>71191</xdr:rowOff>
    </xdr:to>
    <xdr:cxnSp macro="">
      <xdr:nvCxnSpPr>
        <xdr:cNvPr id="194" name="直線コネクタ 31">
          <a:extLst>
            <a:ext uri="{FF2B5EF4-FFF2-40B4-BE49-F238E27FC236}">
              <a16:creationId xmlns:a16="http://schemas.microsoft.com/office/drawing/2014/main" id="{44781302-F827-4F3B-AA3D-75D6EEB1E4A6}"/>
            </a:ext>
          </a:extLst>
        </xdr:cNvPr>
        <xdr:cNvCxnSpPr>
          <a:cxnSpLocks/>
          <a:stCxn id="148" idx="1"/>
          <a:endCxn id="80" idx="2"/>
        </xdr:cNvCxnSpPr>
      </xdr:nvCxnSpPr>
      <xdr:spPr>
        <a:xfrm rot="10800000">
          <a:off x="4719639" y="33212116"/>
          <a:ext cx="328319" cy="463275"/>
        </a:xfrm>
        <a:prstGeom prst="bentConnector2">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281009</xdr:colOff>
      <xdr:row>23</xdr:row>
      <xdr:rowOff>66087</xdr:rowOff>
    </xdr:from>
    <xdr:to>
      <xdr:col>12</xdr:col>
      <xdr:colOff>21980</xdr:colOff>
      <xdr:row>167</xdr:row>
      <xdr:rowOff>71976</xdr:rowOff>
    </xdr:to>
    <xdr:cxnSp macro="">
      <xdr:nvCxnSpPr>
        <xdr:cNvPr id="195" name="直線コネクタ 31">
          <a:extLst>
            <a:ext uri="{FF2B5EF4-FFF2-40B4-BE49-F238E27FC236}">
              <a16:creationId xmlns:a16="http://schemas.microsoft.com/office/drawing/2014/main" id="{799F164C-F264-490F-BA31-CF03B86F0297}"/>
            </a:ext>
          </a:extLst>
        </xdr:cNvPr>
        <xdr:cNvCxnSpPr>
          <a:cxnSpLocks/>
          <a:stCxn id="4" idx="3"/>
          <a:endCxn id="72" idx="1"/>
        </xdr:cNvCxnSpPr>
      </xdr:nvCxnSpPr>
      <xdr:spPr>
        <a:xfrm>
          <a:off x="2509859" y="4009437"/>
          <a:ext cx="255321" cy="24694689"/>
        </a:xfrm>
        <a:prstGeom prst="bentConnector3">
          <a:avLst>
            <a:gd name="adj1" fmla="val 50000"/>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281009</xdr:colOff>
      <xdr:row>23</xdr:row>
      <xdr:rowOff>66087</xdr:rowOff>
    </xdr:from>
    <xdr:to>
      <xdr:col>12</xdr:col>
      <xdr:colOff>21980</xdr:colOff>
      <xdr:row>193</xdr:row>
      <xdr:rowOff>71976</xdr:rowOff>
    </xdr:to>
    <xdr:cxnSp macro="">
      <xdr:nvCxnSpPr>
        <xdr:cNvPr id="196" name="直線コネクタ 31">
          <a:extLst>
            <a:ext uri="{FF2B5EF4-FFF2-40B4-BE49-F238E27FC236}">
              <a16:creationId xmlns:a16="http://schemas.microsoft.com/office/drawing/2014/main" id="{E1A8213B-0CCB-4BF4-B1DD-D6D45BEC1268}"/>
            </a:ext>
          </a:extLst>
        </xdr:cNvPr>
        <xdr:cNvCxnSpPr>
          <a:cxnSpLocks/>
          <a:stCxn id="4" idx="3"/>
          <a:endCxn id="78" idx="1"/>
        </xdr:cNvCxnSpPr>
      </xdr:nvCxnSpPr>
      <xdr:spPr>
        <a:xfrm>
          <a:off x="2509859" y="4009437"/>
          <a:ext cx="255321" cy="29152389"/>
        </a:xfrm>
        <a:prstGeom prst="bentConnector3">
          <a:avLst>
            <a:gd name="adj1" fmla="val 50000"/>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281009</xdr:colOff>
      <xdr:row>23</xdr:row>
      <xdr:rowOff>66087</xdr:rowOff>
    </xdr:from>
    <xdr:to>
      <xdr:col>12</xdr:col>
      <xdr:colOff>21980</xdr:colOff>
      <xdr:row>219</xdr:row>
      <xdr:rowOff>71976</xdr:rowOff>
    </xdr:to>
    <xdr:cxnSp macro="">
      <xdr:nvCxnSpPr>
        <xdr:cNvPr id="197" name="直線コネクタ 31">
          <a:extLst>
            <a:ext uri="{FF2B5EF4-FFF2-40B4-BE49-F238E27FC236}">
              <a16:creationId xmlns:a16="http://schemas.microsoft.com/office/drawing/2014/main" id="{6DABE6E7-B505-4A0B-A6D4-684CD978E197}"/>
            </a:ext>
          </a:extLst>
        </xdr:cNvPr>
        <xdr:cNvCxnSpPr>
          <a:cxnSpLocks/>
          <a:stCxn id="4" idx="3"/>
          <a:endCxn id="51" idx="1"/>
        </xdr:cNvCxnSpPr>
      </xdr:nvCxnSpPr>
      <xdr:spPr>
        <a:xfrm>
          <a:off x="2509859" y="4009437"/>
          <a:ext cx="255321" cy="33610089"/>
        </a:xfrm>
        <a:prstGeom prst="bentConnector3">
          <a:avLst>
            <a:gd name="adj1" fmla="val 50000"/>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281009</xdr:colOff>
      <xdr:row>23</xdr:row>
      <xdr:rowOff>66087</xdr:rowOff>
    </xdr:from>
    <xdr:to>
      <xdr:col>12</xdr:col>
      <xdr:colOff>21980</xdr:colOff>
      <xdr:row>180</xdr:row>
      <xdr:rowOff>71976</xdr:rowOff>
    </xdr:to>
    <xdr:cxnSp macro="">
      <xdr:nvCxnSpPr>
        <xdr:cNvPr id="198" name="直線コネクタ 31">
          <a:extLst>
            <a:ext uri="{FF2B5EF4-FFF2-40B4-BE49-F238E27FC236}">
              <a16:creationId xmlns:a16="http://schemas.microsoft.com/office/drawing/2014/main" id="{73D20CFC-B185-4083-B581-F0563E4AF1A0}"/>
            </a:ext>
          </a:extLst>
        </xdr:cNvPr>
        <xdr:cNvCxnSpPr>
          <a:cxnSpLocks/>
          <a:stCxn id="4" idx="3"/>
          <a:endCxn id="75" idx="1"/>
        </xdr:cNvCxnSpPr>
      </xdr:nvCxnSpPr>
      <xdr:spPr>
        <a:xfrm>
          <a:off x="2509859" y="4009437"/>
          <a:ext cx="255321" cy="26923539"/>
        </a:xfrm>
        <a:prstGeom prst="bentConnector3">
          <a:avLst>
            <a:gd name="adj1" fmla="val 50000"/>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oneCellAnchor>
        <xdr:from>
          <xdr:col>2</xdr:col>
          <xdr:colOff>134111</xdr:colOff>
          <xdr:row>5</xdr:row>
          <xdr:rowOff>98434</xdr:rowOff>
        </xdr:from>
        <xdr:ext cx="12456795" cy="7095173"/>
        <xdr:pic>
          <xdr:nvPicPr>
            <xdr:cNvPr id="2" name="図 1">
              <a:extLst>
                <a:ext uri="{FF2B5EF4-FFF2-40B4-BE49-F238E27FC236}">
                  <a16:creationId xmlns:a16="http://schemas.microsoft.com/office/drawing/2014/main" id="{4306D8C0-0AA6-4225-9F19-C7F0366CC54A}"/>
                </a:ext>
              </a:extLst>
            </xdr:cNvPr>
            <xdr:cNvPicPr>
              <a:picLocks noChangeAspect="1" noChangeArrowheads="1"/>
              <a:extLst>
                <a:ext uri="{84589F7E-364E-4C9E-8A38-B11213B215E9}">
                  <a14:cameraTool cellRange="《貼付元》価格マトリクス!$B$2:$R$39" spid="_x0000_s22951"/>
                </a:ext>
              </a:extLst>
            </xdr:cNvPicPr>
          </xdr:nvPicPr>
          <xdr:blipFill>
            <a:blip xmlns:r="http://schemas.openxmlformats.org/officeDocument/2006/relationships" r:embed="rId1"/>
            <a:srcRect/>
            <a:stretch>
              <a:fillRect/>
            </a:stretch>
          </xdr:blipFill>
          <xdr:spPr bwMode="auto">
            <a:xfrm>
              <a:off x="591311" y="860434"/>
              <a:ext cx="12456795" cy="7095173"/>
            </a:xfrm>
            <a:prstGeom prst="rect">
              <a:avLst/>
            </a:prstGeom>
            <a:noFill/>
            <a:extLst>
              <a:ext uri="{909E8E84-426E-40DD-AFC4-6F175D3DCCD1}">
                <a14:hiddenFill>
                  <a:solidFill>
                    <a:srgbClr val="FFFFFF"/>
                  </a:solidFill>
                </a14:hiddenFill>
              </a:ext>
            </a:extLst>
          </xdr:spPr>
        </xdr:pic>
        <xdr:clientData/>
      </xdr:oneCellAnchor>
    </mc:Choice>
    <mc:Fallback/>
  </mc:AlternateContent>
  <xdr:twoCellAnchor>
    <xdr:from>
      <xdr:col>20</xdr:col>
      <xdr:colOff>210576</xdr:colOff>
      <xdr:row>83</xdr:row>
      <xdr:rowOff>75494</xdr:rowOff>
    </xdr:from>
    <xdr:to>
      <xdr:col>22</xdr:col>
      <xdr:colOff>21981</xdr:colOff>
      <xdr:row>94</xdr:row>
      <xdr:rowOff>75787</xdr:rowOff>
    </xdr:to>
    <xdr:cxnSp macro="">
      <xdr:nvCxnSpPr>
        <xdr:cNvPr id="3" name="直線コネクタ 31">
          <a:extLst>
            <a:ext uri="{FF2B5EF4-FFF2-40B4-BE49-F238E27FC236}">
              <a16:creationId xmlns:a16="http://schemas.microsoft.com/office/drawing/2014/main" id="{F9231D5E-673B-4EAE-B08E-A8634FD0C269}"/>
            </a:ext>
          </a:extLst>
        </xdr:cNvPr>
        <xdr:cNvCxnSpPr>
          <a:stCxn id="24" idx="1"/>
          <a:endCxn id="15" idx="3"/>
        </xdr:cNvCxnSpPr>
      </xdr:nvCxnSpPr>
      <xdr:spPr>
        <a:xfrm rot="10800000">
          <a:off x="4782576" y="14305844"/>
          <a:ext cx="268605" cy="1886243"/>
        </a:xfrm>
        <a:prstGeom prst="bentConnector3">
          <a:avLst>
            <a:gd name="adj1" fmla="val 67523"/>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281009</xdr:colOff>
      <xdr:row>82</xdr:row>
      <xdr:rowOff>66087</xdr:rowOff>
    </xdr:from>
    <xdr:to>
      <xdr:col>12</xdr:col>
      <xdr:colOff>18463</xdr:colOff>
      <xdr:row>82</xdr:row>
      <xdr:rowOff>67142</xdr:rowOff>
    </xdr:to>
    <xdr:cxnSp macro="">
      <xdr:nvCxnSpPr>
        <xdr:cNvPr id="4" name="直線コネクタ 3">
          <a:extLst>
            <a:ext uri="{FF2B5EF4-FFF2-40B4-BE49-F238E27FC236}">
              <a16:creationId xmlns:a16="http://schemas.microsoft.com/office/drawing/2014/main" id="{39DC9C62-C2C7-4D26-A29C-A9EDA233FFA5}"/>
            </a:ext>
          </a:extLst>
        </xdr:cNvPr>
        <xdr:cNvCxnSpPr>
          <a:cxnSpLocks/>
          <a:stCxn id="5" idx="3"/>
          <a:endCxn id="13" idx="1"/>
        </xdr:cNvCxnSpPr>
      </xdr:nvCxnSpPr>
      <xdr:spPr>
        <a:xfrm>
          <a:off x="2509859" y="14124987"/>
          <a:ext cx="251804" cy="1055"/>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107654</xdr:colOff>
      <xdr:row>82</xdr:row>
      <xdr:rowOff>13233</xdr:rowOff>
    </xdr:from>
    <xdr:to>
      <xdr:col>10</xdr:col>
      <xdr:colOff>281009</xdr:colOff>
      <xdr:row>82</xdr:row>
      <xdr:rowOff>118940</xdr:rowOff>
    </xdr:to>
    <xdr:sp macro="" textlink="">
      <xdr:nvSpPr>
        <xdr:cNvPr id="5" name="正方形/長方形 4">
          <a:extLst>
            <a:ext uri="{FF2B5EF4-FFF2-40B4-BE49-F238E27FC236}">
              <a16:creationId xmlns:a16="http://schemas.microsoft.com/office/drawing/2014/main" id="{715C8943-404E-4C50-8058-B8303C5CBA99}"/>
            </a:ext>
          </a:extLst>
        </xdr:cNvPr>
        <xdr:cNvSpPr/>
      </xdr:nvSpPr>
      <xdr:spPr>
        <a:xfrm>
          <a:off x="2393654" y="14072133"/>
          <a:ext cx="116205" cy="10570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21981</xdr:colOff>
      <xdr:row>82</xdr:row>
      <xdr:rowOff>14654</xdr:rowOff>
    </xdr:from>
    <xdr:to>
      <xdr:col>20</xdr:col>
      <xdr:colOff>199146</xdr:colOff>
      <xdr:row>82</xdr:row>
      <xdr:rowOff>116551</xdr:rowOff>
    </xdr:to>
    <xdr:sp macro="" textlink="">
      <xdr:nvSpPr>
        <xdr:cNvPr id="6" name="正方形/長方形 5">
          <a:extLst>
            <a:ext uri="{FF2B5EF4-FFF2-40B4-BE49-F238E27FC236}">
              <a16:creationId xmlns:a16="http://schemas.microsoft.com/office/drawing/2014/main" id="{B5047230-5A64-47BA-B9BC-9A23F9923B96}"/>
            </a:ext>
          </a:extLst>
        </xdr:cNvPr>
        <xdr:cNvSpPr/>
      </xdr:nvSpPr>
      <xdr:spPr>
        <a:xfrm>
          <a:off x="4593981" y="14073554"/>
          <a:ext cx="17716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18757</xdr:colOff>
      <xdr:row>82</xdr:row>
      <xdr:rowOff>20242</xdr:rowOff>
    </xdr:from>
    <xdr:to>
      <xdr:col>22</xdr:col>
      <xdr:colOff>192112</xdr:colOff>
      <xdr:row>82</xdr:row>
      <xdr:rowOff>122139</xdr:rowOff>
    </xdr:to>
    <xdr:sp macro="" textlink="">
      <xdr:nvSpPr>
        <xdr:cNvPr id="7" name="正方形/長方形 6">
          <a:extLst>
            <a:ext uri="{FF2B5EF4-FFF2-40B4-BE49-F238E27FC236}">
              <a16:creationId xmlns:a16="http://schemas.microsoft.com/office/drawing/2014/main" id="{6568CB88-9AF5-49A7-B1AE-9574AF580983}"/>
            </a:ext>
          </a:extLst>
        </xdr:cNvPr>
        <xdr:cNvSpPr/>
      </xdr:nvSpPr>
      <xdr:spPr>
        <a:xfrm>
          <a:off x="5047957" y="14079142"/>
          <a:ext cx="17335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18764</xdr:colOff>
      <xdr:row>82</xdr:row>
      <xdr:rowOff>9232</xdr:rowOff>
    </xdr:from>
    <xdr:to>
      <xdr:col>33</xdr:col>
      <xdr:colOff>182594</xdr:colOff>
      <xdr:row>82</xdr:row>
      <xdr:rowOff>103509</xdr:rowOff>
    </xdr:to>
    <xdr:sp macro="" textlink="">
      <xdr:nvSpPr>
        <xdr:cNvPr id="8" name="正方形/長方形 7">
          <a:extLst>
            <a:ext uri="{FF2B5EF4-FFF2-40B4-BE49-F238E27FC236}">
              <a16:creationId xmlns:a16="http://schemas.microsoft.com/office/drawing/2014/main" id="{A5DF330B-C1D2-4EAA-AA8D-519D7FF06EFC}"/>
            </a:ext>
          </a:extLst>
        </xdr:cNvPr>
        <xdr:cNvSpPr/>
      </xdr:nvSpPr>
      <xdr:spPr>
        <a:xfrm>
          <a:off x="7562564" y="14068132"/>
          <a:ext cx="163830"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27402</xdr:colOff>
      <xdr:row>82</xdr:row>
      <xdr:rowOff>11137</xdr:rowOff>
    </xdr:from>
    <xdr:to>
      <xdr:col>29</xdr:col>
      <xdr:colOff>200757</xdr:colOff>
      <xdr:row>82</xdr:row>
      <xdr:rowOff>105414</xdr:rowOff>
    </xdr:to>
    <xdr:sp macro="" textlink="">
      <xdr:nvSpPr>
        <xdr:cNvPr id="9" name="正方形/長方形 8">
          <a:extLst>
            <a:ext uri="{FF2B5EF4-FFF2-40B4-BE49-F238E27FC236}">
              <a16:creationId xmlns:a16="http://schemas.microsoft.com/office/drawing/2014/main" id="{5BAD6083-CA4D-4537-8B37-39CBD81C645C}"/>
            </a:ext>
          </a:extLst>
        </xdr:cNvPr>
        <xdr:cNvSpPr/>
      </xdr:nvSpPr>
      <xdr:spPr>
        <a:xfrm>
          <a:off x="6656802" y="14070037"/>
          <a:ext cx="17335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84</xdr:row>
      <xdr:rowOff>14655</xdr:rowOff>
    </xdr:from>
    <xdr:to>
      <xdr:col>29</xdr:col>
      <xdr:colOff>198853</xdr:colOff>
      <xdr:row>84</xdr:row>
      <xdr:rowOff>112742</xdr:rowOff>
    </xdr:to>
    <xdr:sp macro="" textlink="">
      <xdr:nvSpPr>
        <xdr:cNvPr id="10" name="正方形/長方形 9">
          <a:extLst>
            <a:ext uri="{FF2B5EF4-FFF2-40B4-BE49-F238E27FC236}">
              <a16:creationId xmlns:a16="http://schemas.microsoft.com/office/drawing/2014/main" id="{E57BC923-F5AF-4117-9A7D-9A4E2C74AE20}"/>
            </a:ext>
          </a:extLst>
        </xdr:cNvPr>
        <xdr:cNvSpPr/>
      </xdr:nvSpPr>
      <xdr:spPr>
        <a:xfrm>
          <a:off x="6658708" y="1441645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13342</xdr:colOff>
      <xdr:row>83</xdr:row>
      <xdr:rowOff>21980</xdr:rowOff>
    </xdr:from>
    <xdr:to>
      <xdr:col>33</xdr:col>
      <xdr:colOff>171457</xdr:colOff>
      <xdr:row>83</xdr:row>
      <xdr:rowOff>123877</xdr:rowOff>
    </xdr:to>
    <xdr:sp macro="" textlink="">
      <xdr:nvSpPr>
        <xdr:cNvPr id="11" name="正方形/長方形 10">
          <a:extLst>
            <a:ext uri="{FF2B5EF4-FFF2-40B4-BE49-F238E27FC236}">
              <a16:creationId xmlns:a16="http://schemas.microsoft.com/office/drawing/2014/main" id="{ED4C96B2-0014-43C6-BBAD-572EC722E7C2}"/>
            </a:ext>
          </a:extLst>
        </xdr:cNvPr>
        <xdr:cNvSpPr/>
      </xdr:nvSpPr>
      <xdr:spPr>
        <a:xfrm>
          <a:off x="7557142" y="14252330"/>
          <a:ext cx="158115" cy="10189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200757</xdr:colOff>
      <xdr:row>82</xdr:row>
      <xdr:rowOff>56371</xdr:rowOff>
    </xdr:from>
    <xdr:to>
      <xdr:col>33</xdr:col>
      <xdr:colOff>18764</xdr:colOff>
      <xdr:row>82</xdr:row>
      <xdr:rowOff>58276</xdr:rowOff>
    </xdr:to>
    <xdr:cxnSp macro="">
      <xdr:nvCxnSpPr>
        <xdr:cNvPr id="12" name="直線コネクタ 11">
          <a:extLst>
            <a:ext uri="{FF2B5EF4-FFF2-40B4-BE49-F238E27FC236}">
              <a16:creationId xmlns:a16="http://schemas.microsoft.com/office/drawing/2014/main" id="{334113EC-FE66-4C7C-B561-FE4D18FA5FE7}"/>
            </a:ext>
          </a:extLst>
        </xdr:cNvPr>
        <xdr:cNvCxnSpPr>
          <a:stCxn id="8" idx="1"/>
          <a:endCxn id="9" idx="3"/>
        </xdr:cNvCxnSpPr>
      </xdr:nvCxnSpPr>
      <xdr:spPr>
        <a:xfrm flipH="1">
          <a:off x="6830157" y="14115271"/>
          <a:ext cx="732407" cy="1905"/>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18463</xdr:colOff>
      <xdr:row>82</xdr:row>
      <xdr:rowOff>22861</xdr:rowOff>
    </xdr:from>
    <xdr:to>
      <xdr:col>12</xdr:col>
      <xdr:colOff>191818</xdr:colOff>
      <xdr:row>82</xdr:row>
      <xdr:rowOff>111423</xdr:rowOff>
    </xdr:to>
    <xdr:sp macro="" textlink="">
      <xdr:nvSpPr>
        <xdr:cNvPr id="13" name="正方形/長方形 12">
          <a:extLst>
            <a:ext uri="{FF2B5EF4-FFF2-40B4-BE49-F238E27FC236}">
              <a16:creationId xmlns:a16="http://schemas.microsoft.com/office/drawing/2014/main" id="{308A0503-78E7-46FB-A94F-F21A76DFE67D}"/>
            </a:ext>
          </a:extLst>
        </xdr:cNvPr>
        <xdr:cNvSpPr/>
      </xdr:nvSpPr>
      <xdr:spPr>
        <a:xfrm>
          <a:off x="2761663" y="14081761"/>
          <a:ext cx="173355" cy="8856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21981</xdr:colOff>
      <xdr:row>83</xdr:row>
      <xdr:rowOff>23885</xdr:rowOff>
    </xdr:from>
    <xdr:to>
      <xdr:col>22</xdr:col>
      <xdr:colOff>191526</xdr:colOff>
      <xdr:row>83</xdr:row>
      <xdr:rowOff>127688</xdr:rowOff>
    </xdr:to>
    <xdr:sp macro="" textlink="">
      <xdr:nvSpPr>
        <xdr:cNvPr id="14" name="正方形/長方形 13">
          <a:extLst>
            <a:ext uri="{FF2B5EF4-FFF2-40B4-BE49-F238E27FC236}">
              <a16:creationId xmlns:a16="http://schemas.microsoft.com/office/drawing/2014/main" id="{4F3F957F-5D6C-4074-8B5A-BB58C88943CF}"/>
            </a:ext>
          </a:extLst>
        </xdr:cNvPr>
        <xdr:cNvSpPr/>
      </xdr:nvSpPr>
      <xdr:spPr>
        <a:xfrm>
          <a:off x="5051181" y="1425423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21981</xdr:colOff>
      <xdr:row>83</xdr:row>
      <xdr:rowOff>29308</xdr:rowOff>
    </xdr:from>
    <xdr:to>
      <xdr:col>20</xdr:col>
      <xdr:colOff>210576</xdr:colOff>
      <xdr:row>83</xdr:row>
      <xdr:rowOff>121680</xdr:rowOff>
    </xdr:to>
    <xdr:sp macro="" textlink="">
      <xdr:nvSpPr>
        <xdr:cNvPr id="15" name="正方形/長方形 14">
          <a:extLst>
            <a:ext uri="{FF2B5EF4-FFF2-40B4-BE49-F238E27FC236}">
              <a16:creationId xmlns:a16="http://schemas.microsoft.com/office/drawing/2014/main" id="{7DC59E41-284D-49E7-8A5B-542FDE2E8698}"/>
            </a:ext>
          </a:extLst>
        </xdr:cNvPr>
        <xdr:cNvSpPr/>
      </xdr:nvSpPr>
      <xdr:spPr>
        <a:xfrm>
          <a:off x="4593981" y="14259658"/>
          <a:ext cx="188595" cy="9237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206766</xdr:colOff>
      <xdr:row>83</xdr:row>
      <xdr:rowOff>75494</xdr:rowOff>
    </xdr:from>
    <xdr:to>
      <xdr:col>22</xdr:col>
      <xdr:colOff>18171</xdr:colOff>
      <xdr:row>83</xdr:row>
      <xdr:rowOff>75787</xdr:rowOff>
    </xdr:to>
    <xdr:cxnSp macro="">
      <xdr:nvCxnSpPr>
        <xdr:cNvPr id="16" name="直線コネクタ 15">
          <a:extLst>
            <a:ext uri="{FF2B5EF4-FFF2-40B4-BE49-F238E27FC236}">
              <a16:creationId xmlns:a16="http://schemas.microsoft.com/office/drawing/2014/main" id="{9C9BE361-7875-4981-A291-57CCEF9F17AE}"/>
            </a:ext>
          </a:extLst>
        </xdr:cNvPr>
        <xdr:cNvCxnSpPr>
          <a:cxnSpLocks/>
          <a:stCxn id="15" idx="3"/>
          <a:endCxn id="14" idx="1"/>
        </xdr:cNvCxnSpPr>
      </xdr:nvCxnSpPr>
      <xdr:spPr>
        <a:xfrm>
          <a:off x="4778766" y="14305844"/>
          <a:ext cx="268605" cy="293"/>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198853</xdr:colOff>
      <xdr:row>83</xdr:row>
      <xdr:rowOff>72929</xdr:rowOff>
    </xdr:from>
    <xdr:to>
      <xdr:col>33</xdr:col>
      <xdr:colOff>13342</xdr:colOff>
      <xdr:row>84</xdr:row>
      <xdr:rowOff>63699</xdr:rowOff>
    </xdr:to>
    <xdr:cxnSp macro="">
      <xdr:nvCxnSpPr>
        <xdr:cNvPr id="17" name="直線コネクタ 31">
          <a:extLst>
            <a:ext uri="{FF2B5EF4-FFF2-40B4-BE49-F238E27FC236}">
              <a16:creationId xmlns:a16="http://schemas.microsoft.com/office/drawing/2014/main" id="{34F1A8B8-AC77-41E4-99C6-38645F8E59C8}"/>
            </a:ext>
          </a:extLst>
        </xdr:cNvPr>
        <xdr:cNvCxnSpPr>
          <a:stCxn id="10" idx="3"/>
          <a:endCxn id="11" idx="1"/>
        </xdr:cNvCxnSpPr>
      </xdr:nvCxnSpPr>
      <xdr:spPr>
        <a:xfrm flipV="1">
          <a:off x="6828253" y="14303279"/>
          <a:ext cx="728889" cy="162220"/>
        </a:xfrm>
        <a:prstGeom prst="bentConnector3">
          <a:avLst>
            <a:gd name="adj1" fmla="val 50000"/>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18757</xdr:colOff>
      <xdr:row>93</xdr:row>
      <xdr:rowOff>20242</xdr:rowOff>
    </xdr:from>
    <xdr:to>
      <xdr:col>22</xdr:col>
      <xdr:colOff>192112</xdr:colOff>
      <xdr:row>93</xdr:row>
      <xdr:rowOff>122139</xdr:rowOff>
    </xdr:to>
    <xdr:sp macro="" textlink="">
      <xdr:nvSpPr>
        <xdr:cNvPr id="18" name="正方形/長方形 17">
          <a:extLst>
            <a:ext uri="{FF2B5EF4-FFF2-40B4-BE49-F238E27FC236}">
              <a16:creationId xmlns:a16="http://schemas.microsoft.com/office/drawing/2014/main" id="{59EC5464-DF7A-4713-9733-1527537158F4}"/>
            </a:ext>
          </a:extLst>
        </xdr:cNvPr>
        <xdr:cNvSpPr/>
      </xdr:nvSpPr>
      <xdr:spPr>
        <a:xfrm>
          <a:off x="5047957" y="15965092"/>
          <a:ext cx="17335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18764</xdr:colOff>
      <xdr:row>93</xdr:row>
      <xdr:rowOff>9232</xdr:rowOff>
    </xdr:from>
    <xdr:to>
      <xdr:col>33</xdr:col>
      <xdr:colOff>182594</xdr:colOff>
      <xdr:row>93</xdr:row>
      <xdr:rowOff>103509</xdr:rowOff>
    </xdr:to>
    <xdr:sp macro="" textlink="">
      <xdr:nvSpPr>
        <xdr:cNvPr id="19" name="正方形/長方形 18">
          <a:extLst>
            <a:ext uri="{FF2B5EF4-FFF2-40B4-BE49-F238E27FC236}">
              <a16:creationId xmlns:a16="http://schemas.microsoft.com/office/drawing/2014/main" id="{94BC9D13-EFA9-4C69-A770-0A1D165BC26E}"/>
            </a:ext>
          </a:extLst>
        </xdr:cNvPr>
        <xdr:cNvSpPr/>
      </xdr:nvSpPr>
      <xdr:spPr>
        <a:xfrm>
          <a:off x="7562564" y="15954082"/>
          <a:ext cx="163830"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27402</xdr:colOff>
      <xdr:row>93</xdr:row>
      <xdr:rowOff>11137</xdr:rowOff>
    </xdr:from>
    <xdr:to>
      <xdr:col>29</xdr:col>
      <xdr:colOff>200757</xdr:colOff>
      <xdr:row>93</xdr:row>
      <xdr:rowOff>105414</xdr:rowOff>
    </xdr:to>
    <xdr:sp macro="" textlink="">
      <xdr:nvSpPr>
        <xdr:cNvPr id="20" name="正方形/長方形 19">
          <a:extLst>
            <a:ext uri="{FF2B5EF4-FFF2-40B4-BE49-F238E27FC236}">
              <a16:creationId xmlns:a16="http://schemas.microsoft.com/office/drawing/2014/main" id="{487CF8E9-FDD1-4626-97A9-E5EA9F118134}"/>
            </a:ext>
          </a:extLst>
        </xdr:cNvPr>
        <xdr:cNvSpPr/>
      </xdr:nvSpPr>
      <xdr:spPr>
        <a:xfrm>
          <a:off x="6656802" y="15955987"/>
          <a:ext cx="17335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95</xdr:row>
      <xdr:rowOff>14655</xdr:rowOff>
    </xdr:from>
    <xdr:to>
      <xdr:col>29</xdr:col>
      <xdr:colOff>198853</xdr:colOff>
      <xdr:row>95</xdr:row>
      <xdr:rowOff>112742</xdr:rowOff>
    </xdr:to>
    <xdr:sp macro="" textlink="">
      <xdr:nvSpPr>
        <xdr:cNvPr id="21" name="正方形/長方形 20">
          <a:extLst>
            <a:ext uri="{FF2B5EF4-FFF2-40B4-BE49-F238E27FC236}">
              <a16:creationId xmlns:a16="http://schemas.microsoft.com/office/drawing/2014/main" id="{5002F8C0-E9E7-414E-BE05-63AE8D588EB4}"/>
            </a:ext>
          </a:extLst>
        </xdr:cNvPr>
        <xdr:cNvSpPr/>
      </xdr:nvSpPr>
      <xdr:spPr>
        <a:xfrm>
          <a:off x="6658708" y="1630240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13342</xdr:colOff>
      <xdr:row>94</xdr:row>
      <xdr:rowOff>21980</xdr:rowOff>
    </xdr:from>
    <xdr:to>
      <xdr:col>33</xdr:col>
      <xdr:colOff>171457</xdr:colOff>
      <xdr:row>94</xdr:row>
      <xdr:rowOff>123877</xdr:rowOff>
    </xdr:to>
    <xdr:sp macro="" textlink="">
      <xdr:nvSpPr>
        <xdr:cNvPr id="22" name="正方形/長方形 21">
          <a:extLst>
            <a:ext uri="{FF2B5EF4-FFF2-40B4-BE49-F238E27FC236}">
              <a16:creationId xmlns:a16="http://schemas.microsoft.com/office/drawing/2014/main" id="{F1D01BC2-68CC-48ED-87A8-AA0FDCF3AD72}"/>
            </a:ext>
          </a:extLst>
        </xdr:cNvPr>
        <xdr:cNvSpPr/>
      </xdr:nvSpPr>
      <xdr:spPr>
        <a:xfrm>
          <a:off x="7557142" y="16138280"/>
          <a:ext cx="158115" cy="10189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200757</xdr:colOff>
      <xdr:row>93</xdr:row>
      <xdr:rowOff>56371</xdr:rowOff>
    </xdr:from>
    <xdr:to>
      <xdr:col>33</xdr:col>
      <xdr:colOff>18764</xdr:colOff>
      <xdr:row>93</xdr:row>
      <xdr:rowOff>58276</xdr:rowOff>
    </xdr:to>
    <xdr:cxnSp macro="">
      <xdr:nvCxnSpPr>
        <xdr:cNvPr id="23" name="直線コネクタ 22">
          <a:extLst>
            <a:ext uri="{FF2B5EF4-FFF2-40B4-BE49-F238E27FC236}">
              <a16:creationId xmlns:a16="http://schemas.microsoft.com/office/drawing/2014/main" id="{D12F632C-FDF5-4652-8148-997917C8C86F}"/>
            </a:ext>
          </a:extLst>
        </xdr:cNvPr>
        <xdr:cNvCxnSpPr>
          <a:stCxn id="19" idx="1"/>
          <a:endCxn id="20" idx="3"/>
        </xdr:cNvCxnSpPr>
      </xdr:nvCxnSpPr>
      <xdr:spPr>
        <a:xfrm flipH="1">
          <a:off x="6830157" y="16001221"/>
          <a:ext cx="732407" cy="1905"/>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21981</xdr:colOff>
      <xdr:row>94</xdr:row>
      <xdr:rowOff>23885</xdr:rowOff>
    </xdr:from>
    <xdr:to>
      <xdr:col>22</xdr:col>
      <xdr:colOff>191526</xdr:colOff>
      <xdr:row>94</xdr:row>
      <xdr:rowOff>127688</xdr:rowOff>
    </xdr:to>
    <xdr:sp macro="" textlink="">
      <xdr:nvSpPr>
        <xdr:cNvPr id="24" name="正方形/長方形 23">
          <a:extLst>
            <a:ext uri="{FF2B5EF4-FFF2-40B4-BE49-F238E27FC236}">
              <a16:creationId xmlns:a16="http://schemas.microsoft.com/office/drawing/2014/main" id="{A624CF2C-99CD-47DB-812D-341BAD43BAA3}"/>
            </a:ext>
          </a:extLst>
        </xdr:cNvPr>
        <xdr:cNvSpPr/>
      </xdr:nvSpPr>
      <xdr:spPr>
        <a:xfrm>
          <a:off x="5051181" y="1614018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198853</xdr:colOff>
      <xdr:row>94</xdr:row>
      <xdr:rowOff>72929</xdr:rowOff>
    </xdr:from>
    <xdr:to>
      <xdr:col>33</xdr:col>
      <xdr:colOff>13342</xdr:colOff>
      <xdr:row>95</xdr:row>
      <xdr:rowOff>63699</xdr:rowOff>
    </xdr:to>
    <xdr:cxnSp macro="">
      <xdr:nvCxnSpPr>
        <xdr:cNvPr id="25" name="直線コネクタ 31">
          <a:extLst>
            <a:ext uri="{FF2B5EF4-FFF2-40B4-BE49-F238E27FC236}">
              <a16:creationId xmlns:a16="http://schemas.microsoft.com/office/drawing/2014/main" id="{54437454-97A8-441F-A9AD-2DC64E755E73}"/>
            </a:ext>
          </a:extLst>
        </xdr:cNvPr>
        <xdr:cNvCxnSpPr>
          <a:stCxn id="21" idx="3"/>
          <a:endCxn id="22" idx="1"/>
        </xdr:cNvCxnSpPr>
      </xdr:nvCxnSpPr>
      <xdr:spPr>
        <a:xfrm flipV="1">
          <a:off x="6828253" y="16189229"/>
          <a:ext cx="728889" cy="162220"/>
        </a:xfrm>
        <a:prstGeom prst="bentConnector3">
          <a:avLst>
            <a:gd name="adj1" fmla="val 50000"/>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18757</xdr:colOff>
      <xdr:row>104</xdr:row>
      <xdr:rowOff>20242</xdr:rowOff>
    </xdr:from>
    <xdr:to>
      <xdr:col>22</xdr:col>
      <xdr:colOff>192112</xdr:colOff>
      <xdr:row>104</xdr:row>
      <xdr:rowOff>122139</xdr:rowOff>
    </xdr:to>
    <xdr:sp macro="" textlink="">
      <xdr:nvSpPr>
        <xdr:cNvPr id="26" name="正方形/長方形 25">
          <a:extLst>
            <a:ext uri="{FF2B5EF4-FFF2-40B4-BE49-F238E27FC236}">
              <a16:creationId xmlns:a16="http://schemas.microsoft.com/office/drawing/2014/main" id="{2FDB65B8-6E37-439F-BAA3-6DC227012E69}"/>
            </a:ext>
          </a:extLst>
        </xdr:cNvPr>
        <xdr:cNvSpPr/>
      </xdr:nvSpPr>
      <xdr:spPr>
        <a:xfrm>
          <a:off x="5047957" y="17851042"/>
          <a:ext cx="17335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18764</xdr:colOff>
      <xdr:row>104</xdr:row>
      <xdr:rowOff>9232</xdr:rowOff>
    </xdr:from>
    <xdr:to>
      <xdr:col>33</xdr:col>
      <xdr:colOff>182594</xdr:colOff>
      <xdr:row>104</xdr:row>
      <xdr:rowOff>103509</xdr:rowOff>
    </xdr:to>
    <xdr:sp macro="" textlink="">
      <xdr:nvSpPr>
        <xdr:cNvPr id="27" name="正方形/長方形 26">
          <a:extLst>
            <a:ext uri="{FF2B5EF4-FFF2-40B4-BE49-F238E27FC236}">
              <a16:creationId xmlns:a16="http://schemas.microsoft.com/office/drawing/2014/main" id="{69AC0E6D-A210-466D-ABAC-93D29A877F49}"/>
            </a:ext>
          </a:extLst>
        </xdr:cNvPr>
        <xdr:cNvSpPr/>
      </xdr:nvSpPr>
      <xdr:spPr>
        <a:xfrm>
          <a:off x="7562564" y="17840032"/>
          <a:ext cx="163830"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27402</xdr:colOff>
      <xdr:row>104</xdr:row>
      <xdr:rowOff>11137</xdr:rowOff>
    </xdr:from>
    <xdr:to>
      <xdr:col>29</xdr:col>
      <xdr:colOff>200757</xdr:colOff>
      <xdr:row>104</xdr:row>
      <xdr:rowOff>105414</xdr:rowOff>
    </xdr:to>
    <xdr:sp macro="" textlink="">
      <xdr:nvSpPr>
        <xdr:cNvPr id="28" name="正方形/長方形 27">
          <a:extLst>
            <a:ext uri="{FF2B5EF4-FFF2-40B4-BE49-F238E27FC236}">
              <a16:creationId xmlns:a16="http://schemas.microsoft.com/office/drawing/2014/main" id="{D9FBCD42-C6A3-4BC1-AB63-3666D3837350}"/>
            </a:ext>
          </a:extLst>
        </xdr:cNvPr>
        <xdr:cNvSpPr/>
      </xdr:nvSpPr>
      <xdr:spPr>
        <a:xfrm>
          <a:off x="6656802" y="17841937"/>
          <a:ext cx="17335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106</xdr:row>
      <xdr:rowOff>14655</xdr:rowOff>
    </xdr:from>
    <xdr:to>
      <xdr:col>29</xdr:col>
      <xdr:colOff>198853</xdr:colOff>
      <xdr:row>106</xdr:row>
      <xdr:rowOff>112742</xdr:rowOff>
    </xdr:to>
    <xdr:sp macro="" textlink="">
      <xdr:nvSpPr>
        <xdr:cNvPr id="29" name="正方形/長方形 28">
          <a:extLst>
            <a:ext uri="{FF2B5EF4-FFF2-40B4-BE49-F238E27FC236}">
              <a16:creationId xmlns:a16="http://schemas.microsoft.com/office/drawing/2014/main" id="{D52D0996-F804-4D7A-9298-FF28001A66C8}"/>
            </a:ext>
          </a:extLst>
        </xdr:cNvPr>
        <xdr:cNvSpPr/>
      </xdr:nvSpPr>
      <xdr:spPr>
        <a:xfrm>
          <a:off x="6658708" y="1818835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13342</xdr:colOff>
      <xdr:row>105</xdr:row>
      <xdr:rowOff>21980</xdr:rowOff>
    </xdr:from>
    <xdr:to>
      <xdr:col>33</xdr:col>
      <xdr:colOff>171457</xdr:colOff>
      <xdr:row>105</xdr:row>
      <xdr:rowOff>123877</xdr:rowOff>
    </xdr:to>
    <xdr:sp macro="" textlink="">
      <xdr:nvSpPr>
        <xdr:cNvPr id="30" name="正方形/長方形 29">
          <a:extLst>
            <a:ext uri="{FF2B5EF4-FFF2-40B4-BE49-F238E27FC236}">
              <a16:creationId xmlns:a16="http://schemas.microsoft.com/office/drawing/2014/main" id="{50A39E9B-88DF-4E97-9048-03566FFE9315}"/>
            </a:ext>
          </a:extLst>
        </xdr:cNvPr>
        <xdr:cNvSpPr/>
      </xdr:nvSpPr>
      <xdr:spPr>
        <a:xfrm>
          <a:off x="7557142" y="18024230"/>
          <a:ext cx="158115" cy="10189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200757</xdr:colOff>
      <xdr:row>104</xdr:row>
      <xdr:rowOff>56371</xdr:rowOff>
    </xdr:from>
    <xdr:to>
      <xdr:col>33</xdr:col>
      <xdr:colOff>18764</xdr:colOff>
      <xdr:row>104</xdr:row>
      <xdr:rowOff>58276</xdr:rowOff>
    </xdr:to>
    <xdr:cxnSp macro="">
      <xdr:nvCxnSpPr>
        <xdr:cNvPr id="31" name="直線コネクタ 30">
          <a:extLst>
            <a:ext uri="{FF2B5EF4-FFF2-40B4-BE49-F238E27FC236}">
              <a16:creationId xmlns:a16="http://schemas.microsoft.com/office/drawing/2014/main" id="{09219ECE-9230-4B0F-92F3-F65BEF65F607}"/>
            </a:ext>
          </a:extLst>
        </xdr:cNvPr>
        <xdr:cNvCxnSpPr>
          <a:stCxn id="27" idx="1"/>
          <a:endCxn id="28" idx="3"/>
        </xdr:cNvCxnSpPr>
      </xdr:nvCxnSpPr>
      <xdr:spPr>
        <a:xfrm flipH="1">
          <a:off x="6830157" y="17887171"/>
          <a:ext cx="732407" cy="1905"/>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21981</xdr:colOff>
      <xdr:row>105</xdr:row>
      <xdr:rowOff>23885</xdr:rowOff>
    </xdr:from>
    <xdr:to>
      <xdr:col>22</xdr:col>
      <xdr:colOff>191526</xdr:colOff>
      <xdr:row>105</xdr:row>
      <xdr:rowOff>127688</xdr:rowOff>
    </xdr:to>
    <xdr:sp macro="" textlink="">
      <xdr:nvSpPr>
        <xdr:cNvPr id="32" name="正方形/長方形 31">
          <a:extLst>
            <a:ext uri="{FF2B5EF4-FFF2-40B4-BE49-F238E27FC236}">
              <a16:creationId xmlns:a16="http://schemas.microsoft.com/office/drawing/2014/main" id="{BDB8A92E-F472-474B-9E51-21FA7434A7CC}"/>
            </a:ext>
          </a:extLst>
        </xdr:cNvPr>
        <xdr:cNvSpPr/>
      </xdr:nvSpPr>
      <xdr:spPr>
        <a:xfrm>
          <a:off x="5051181" y="1802613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198853</xdr:colOff>
      <xdr:row>105</xdr:row>
      <xdr:rowOff>72929</xdr:rowOff>
    </xdr:from>
    <xdr:to>
      <xdr:col>33</xdr:col>
      <xdr:colOff>13342</xdr:colOff>
      <xdr:row>106</xdr:row>
      <xdr:rowOff>63699</xdr:rowOff>
    </xdr:to>
    <xdr:cxnSp macro="">
      <xdr:nvCxnSpPr>
        <xdr:cNvPr id="33" name="直線コネクタ 31">
          <a:extLst>
            <a:ext uri="{FF2B5EF4-FFF2-40B4-BE49-F238E27FC236}">
              <a16:creationId xmlns:a16="http://schemas.microsoft.com/office/drawing/2014/main" id="{FA3D3A8F-BE93-4C26-946D-699172F0CA23}"/>
            </a:ext>
          </a:extLst>
        </xdr:cNvPr>
        <xdr:cNvCxnSpPr>
          <a:stCxn id="29" idx="3"/>
          <a:endCxn id="30" idx="1"/>
        </xdr:cNvCxnSpPr>
      </xdr:nvCxnSpPr>
      <xdr:spPr>
        <a:xfrm flipV="1">
          <a:off x="6828253" y="18075179"/>
          <a:ext cx="728889" cy="162220"/>
        </a:xfrm>
        <a:prstGeom prst="bentConnector3">
          <a:avLst>
            <a:gd name="adj1" fmla="val 50000"/>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210576</xdr:colOff>
      <xdr:row>83</xdr:row>
      <xdr:rowOff>75495</xdr:rowOff>
    </xdr:from>
    <xdr:to>
      <xdr:col>22</xdr:col>
      <xdr:colOff>21981</xdr:colOff>
      <xdr:row>105</xdr:row>
      <xdr:rowOff>75788</xdr:rowOff>
    </xdr:to>
    <xdr:cxnSp macro="">
      <xdr:nvCxnSpPr>
        <xdr:cNvPr id="34" name="直線コネクタ 31">
          <a:extLst>
            <a:ext uri="{FF2B5EF4-FFF2-40B4-BE49-F238E27FC236}">
              <a16:creationId xmlns:a16="http://schemas.microsoft.com/office/drawing/2014/main" id="{FBBAA4F6-A3E5-4969-A238-253482434745}"/>
            </a:ext>
          </a:extLst>
        </xdr:cNvPr>
        <xdr:cNvCxnSpPr>
          <a:stCxn id="32" idx="1"/>
          <a:endCxn id="15" idx="3"/>
        </xdr:cNvCxnSpPr>
      </xdr:nvCxnSpPr>
      <xdr:spPr>
        <a:xfrm rot="10800000">
          <a:off x="4782576" y="14305845"/>
          <a:ext cx="268605" cy="3772193"/>
        </a:xfrm>
        <a:prstGeom prst="bentConnector3">
          <a:avLst>
            <a:gd name="adj1" fmla="val 67523"/>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199146</xdr:colOff>
      <xdr:row>82</xdr:row>
      <xdr:rowOff>65603</xdr:rowOff>
    </xdr:from>
    <xdr:to>
      <xdr:col>22</xdr:col>
      <xdr:colOff>18757</xdr:colOff>
      <xdr:row>104</xdr:row>
      <xdr:rowOff>71191</xdr:rowOff>
    </xdr:to>
    <xdr:cxnSp macro="">
      <xdr:nvCxnSpPr>
        <xdr:cNvPr id="35" name="直線コネクタ 31">
          <a:extLst>
            <a:ext uri="{FF2B5EF4-FFF2-40B4-BE49-F238E27FC236}">
              <a16:creationId xmlns:a16="http://schemas.microsoft.com/office/drawing/2014/main" id="{B71A64AE-833E-4D46-8270-F688C507EDEF}"/>
            </a:ext>
          </a:extLst>
        </xdr:cNvPr>
        <xdr:cNvCxnSpPr>
          <a:stCxn id="26" idx="1"/>
          <a:endCxn id="6" idx="3"/>
        </xdr:cNvCxnSpPr>
      </xdr:nvCxnSpPr>
      <xdr:spPr>
        <a:xfrm rot="10800000">
          <a:off x="4771146" y="14124503"/>
          <a:ext cx="276811" cy="3777488"/>
        </a:xfrm>
        <a:prstGeom prst="bentConnector3">
          <a:avLst>
            <a:gd name="adj1" fmla="val 30155"/>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199146</xdr:colOff>
      <xdr:row>82</xdr:row>
      <xdr:rowOff>65604</xdr:rowOff>
    </xdr:from>
    <xdr:to>
      <xdr:col>22</xdr:col>
      <xdr:colOff>18757</xdr:colOff>
      <xdr:row>93</xdr:row>
      <xdr:rowOff>71192</xdr:rowOff>
    </xdr:to>
    <xdr:cxnSp macro="">
      <xdr:nvCxnSpPr>
        <xdr:cNvPr id="36" name="直線コネクタ 31">
          <a:extLst>
            <a:ext uri="{FF2B5EF4-FFF2-40B4-BE49-F238E27FC236}">
              <a16:creationId xmlns:a16="http://schemas.microsoft.com/office/drawing/2014/main" id="{2402D2A5-AE37-4B40-920B-ED9A76B67B25}"/>
            </a:ext>
          </a:extLst>
        </xdr:cNvPr>
        <xdr:cNvCxnSpPr>
          <a:stCxn id="18" idx="1"/>
          <a:endCxn id="6" idx="3"/>
        </xdr:cNvCxnSpPr>
      </xdr:nvCxnSpPr>
      <xdr:spPr>
        <a:xfrm rot="10800000">
          <a:off x="4771146" y="14124504"/>
          <a:ext cx="276811" cy="1891538"/>
        </a:xfrm>
        <a:prstGeom prst="bentConnector3">
          <a:avLst>
            <a:gd name="adj1" fmla="val 30155"/>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201051</xdr:colOff>
      <xdr:row>82</xdr:row>
      <xdr:rowOff>67508</xdr:rowOff>
    </xdr:from>
    <xdr:to>
      <xdr:col>22</xdr:col>
      <xdr:colOff>22567</xdr:colOff>
      <xdr:row>82</xdr:row>
      <xdr:rowOff>70238</xdr:rowOff>
    </xdr:to>
    <xdr:cxnSp macro="">
      <xdr:nvCxnSpPr>
        <xdr:cNvPr id="37" name="直線コネクタ 36">
          <a:extLst>
            <a:ext uri="{FF2B5EF4-FFF2-40B4-BE49-F238E27FC236}">
              <a16:creationId xmlns:a16="http://schemas.microsoft.com/office/drawing/2014/main" id="{26CC1555-CF5F-4A22-8F4B-298E29865322}"/>
            </a:ext>
          </a:extLst>
        </xdr:cNvPr>
        <xdr:cNvCxnSpPr>
          <a:cxnSpLocks/>
          <a:stCxn id="6" idx="3"/>
          <a:endCxn id="7" idx="1"/>
        </xdr:cNvCxnSpPr>
      </xdr:nvCxnSpPr>
      <xdr:spPr>
        <a:xfrm>
          <a:off x="4773051" y="14126408"/>
          <a:ext cx="278716" cy="2730"/>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210576</xdr:colOff>
      <xdr:row>143</xdr:row>
      <xdr:rowOff>75494</xdr:rowOff>
    </xdr:from>
    <xdr:to>
      <xdr:col>22</xdr:col>
      <xdr:colOff>21981</xdr:colOff>
      <xdr:row>154</xdr:row>
      <xdr:rowOff>75787</xdr:rowOff>
    </xdr:to>
    <xdr:cxnSp macro="">
      <xdr:nvCxnSpPr>
        <xdr:cNvPr id="38" name="直線コネクタ 31">
          <a:extLst>
            <a:ext uri="{FF2B5EF4-FFF2-40B4-BE49-F238E27FC236}">
              <a16:creationId xmlns:a16="http://schemas.microsoft.com/office/drawing/2014/main" id="{0D72CA04-BB25-4A33-B540-B6201D1617EB}"/>
            </a:ext>
          </a:extLst>
        </xdr:cNvPr>
        <xdr:cNvCxnSpPr>
          <a:stCxn id="59" idx="1"/>
          <a:endCxn id="50" idx="3"/>
        </xdr:cNvCxnSpPr>
      </xdr:nvCxnSpPr>
      <xdr:spPr>
        <a:xfrm rot="10800000">
          <a:off x="4782576" y="24592844"/>
          <a:ext cx="268605" cy="1886243"/>
        </a:xfrm>
        <a:prstGeom prst="bentConnector3">
          <a:avLst>
            <a:gd name="adj1" fmla="val 67523"/>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281009</xdr:colOff>
      <xdr:row>142</xdr:row>
      <xdr:rowOff>66087</xdr:rowOff>
    </xdr:from>
    <xdr:to>
      <xdr:col>12</xdr:col>
      <xdr:colOff>18463</xdr:colOff>
      <xdr:row>142</xdr:row>
      <xdr:rowOff>67142</xdr:rowOff>
    </xdr:to>
    <xdr:cxnSp macro="">
      <xdr:nvCxnSpPr>
        <xdr:cNvPr id="39" name="直線コネクタ 38">
          <a:extLst>
            <a:ext uri="{FF2B5EF4-FFF2-40B4-BE49-F238E27FC236}">
              <a16:creationId xmlns:a16="http://schemas.microsoft.com/office/drawing/2014/main" id="{8FC8E2B3-764A-4A14-A45B-74BFD0C96B69}"/>
            </a:ext>
          </a:extLst>
        </xdr:cNvPr>
        <xdr:cNvCxnSpPr>
          <a:cxnSpLocks/>
          <a:stCxn id="40" idx="3"/>
          <a:endCxn id="48" idx="1"/>
        </xdr:cNvCxnSpPr>
      </xdr:nvCxnSpPr>
      <xdr:spPr>
        <a:xfrm>
          <a:off x="2509859" y="24411987"/>
          <a:ext cx="251804" cy="1055"/>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107654</xdr:colOff>
      <xdr:row>142</xdr:row>
      <xdr:rowOff>13233</xdr:rowOff>
    </xdr:from>
    <xdr:to>
      <xdr:col>10</xdr:col>
      <xdr:colOff>281009</xdr:colOff>
      <xdr:row>142</xdr:row>
      <xdr:rowOff>118940</xdr:rowOff>
    </xdr:to>
    <xdr:sp macro="" textlink="">
      <xdr:nvSpPr>
        <xdr:cNvPr id="40" name="正方形/長方形 39">
          <a:extLst>
            <a:ext uri="{FF2B5EF4-FFF2-40B4-BE49-F238E27FC236}">
              <a16:creationId xmlns:a16="http://schemas.microsoft.com/office/drawing/2014/main" id="{2CFEED6B-EDF1-4A0B-B00C-1141226EECAA}"/>
            </a:ext>
          </a:extLst>
        </xdr:cNvPr>
        <xdr:cNvSpPr/>
      </xdr:nvSpPr>
      <xdr:spPr>
        <a:xfrm>
          <a:off x="2393654" y="24359133"/>
          <a:ext cx="116205" cy="10570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21981</xdr:colOff>
      <xdr:row>142</xdr:row>
      <xdr:rowOff>14654</xdr:rowOff>
    </xdr:from>
    <xdr:to>
      <xdr:col>20</xdr:col>
      <xdr:colOff>199146</xdr:colOff>
      <xdr:row>142</xdr:row>
      <xdr:rowOff>116551</xdr:rowOff>
    </xdr:to>
    <xdr:sp macro="" textlink="">
      <xdr:nvSpPr>
        <xdr:cNvPr id="41" name="正方形/長方形 40">
          <a:extLst>
            <a:ext uri="{FF2B5EF4-FFF2-40B4-BE49-F238E27FC236}">
              <a16:creationId xmlns:a16="http://schemas.microsoft.com/office/drawing/2014/main" id="{B0EF21C3-C4D4-47F7-93BE-DEB9A2904A7D}"/>
            </a:ext>
          </a:extLst>
        </xdr:cNvPr>
        <xdr:cNvSpPr/>
      </xdr:nvSpPr>
      <xdr:spPr>
        <a:xfrm>
          <a:off x="4593981" y="24360554"/>
          <a:ext cx="17716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18757</xdr:colOff>
      <xdr:row>142</xdr:row>
      <xdr:rowOff>20242</xdr:rowOff>
    </xdr:from>
    <xdr:to>
      <xdr:col>22</xdr:col>
      <xdr:colOff>192112</xdr:colOff>
      <xdr:row>142</xdr:row>
      <xdr:rowOff>122139</xdr:rowOff>
    </xdr:to>
    <xdr:sp macro="" textlink="">
      <xdr:nvSpPr>
        <xdr:cNvPr id="42" name="正方形/長方形 41">
          <a:extLst>
            <a:ext uri="{FF2B5EF4-FFF2-40B4-BE49-F238E27FC236}">
              <a16:creationId xmlns:a16="http://schemas.microsoft.com/office/drawing/2014/main" id="{AF29C7E3-7C06-44C2-9D3F-3E89DD2400F7}"/>
            </a:ext>
          </a:extLst>
        </xdr:cNvPr>
        <xdr:cNvSpPr/>
      </xdr:nvSpPr>
      <xdr:spPr>
        <a:xfrm>
          <a:off x="5047957" y="24366142"/>
          <a:ext cx="17335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18758</xdr:colOff>
      <xdr:row>142</xdr:row>
      <xdr:rowOff>9232</xdr:rowOff>
    </xdr:from>
    <xdr:to>
      <xdr:col>33</xdr:col>
      <xdr:colOff>182588</xdr:colOff>
      <xdr:row>142</xdr:row>
      <xdr:rowOff>103509</xdr:rowOff>
    </xdr:to>
    <xdr:sp macro="" textlink="">
      <xdr:nvSpPr>
        <xdr:cNvPr id="43" name="正方形/長方形 42">
          <a:extLst>
            <a:ext uri="{FF2B5EF4-FFF2-40B4-BE49-F238E27FC236}">
              <a16:creationId xmlns:a16="http://schemas.microsoft.com/office/drawing/2014/main" id="{E9C232D7-6C5A-4201-B724-7E032C96546F}"/>
            </a:ext>
          </a:extLst>
        </xdr:cNvPr>
        <xdr:cNvSpPr/>
      </xdr:nvSpPr>
      <xdr:spPr>
        <a:xfrm>
          <a:off x="7562558" y="24355132"/>
          <a:ext cx="163830"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27402</xdr:colOff>
      <xdr:row>142</xdr:row>
      <xdr:rowOff>11137</xdr:rowOff>
    </xdr:from>
    <xdr:to>
      <xdr:col>29</xdr:col>
      <xdr:colOff>200757</xdr:colOff>
      <xdr:row>142</xdr:row>
      <xdr:rowOff>105414</xdr:rowOff>
    </xdr:to>
    <xdr:sp macro="" textlink="">
      <xdr:nvSpPr>
        <xdr:cNvPr id="44" name="正方形/長方形 43">
          <a:extLst>
            <a:ext uri="{FF2B5EF4-FFF2-40B4-BE49-F238E27FC236}">
              <a16:creationId xmlns:a16="http://schemas.microsoft.com/office/drawing/2014/main" id="{F5451CEB-BC5C-4EDF-BE5A-ADE4BA7EFFD3}"/>
            </a:ext>
          </a:extLst>
        </xdr:cNvPr>
        <xdr:cNvSpPr/>
      </xdr:nvSpPr>
      <xdr:spPr>
        <a:xfrm>
          <a:off x="6656802" y="24357037"/>
          <a:ext cx="17335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144</xdr:row>
      <xdr:rowOff>14655</xdr:rowOff>
    </xdr:from>
    <xdr:to>
      <xdr:col>29</xdr:col>
      <xdr:colOff>198853</xdr:colOff>
      <xdr:row>144</xdr:row>
      <xdr:rowOff>112742</xdr:rowOff>
    </xdr:to>
    <xdr:sp macro="" textlink="">
      <xdr:nvSpPr>
        <xdr:cNvPr id="45" name="正方形/長方形 44">
          <a:extLst>
            <a:ext uri="{FF2B5EF4-FFF2-40B4-BE49-F238E27FC236}">
              <a16:creationId xmlns:a16="http://schemas.microsoft.com/office/drawing/2014/main" id="{1D6582A1-312C-40EB-BC20-5DC4FEBCEBD4}"/>
            </a:ext>
          </a:extLst>
        </xdr:cNvPr>
        <xdr:cNvSpPr/>
      </xdr:nvSpPr>
      <xdr:spPr>
        <a:xfrm>
          <a:off x="6658708" y="2470345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13336</xdr:colOff>
      <xdr:row>143</xdr:row>
      <xdr:rowOff>21980</xdr:rowOff>
    </xdr:from>
    <xdr:to>
      <xdr:col>33</xdr:col>
      <xdr:colOff>171451</xdr:colOff>
      <xdr:row>143</xdr:row>
      <xdr:rowOff>123877</xdr:rowOff>
    </xdr:to>
    <xdr:sp macro="" textlink="">
      <xdr:nvSpPr>
        <xdr:cNvPr id="46" name="正方形/長方形 45">
          <a:extLst>
            <a:ext uri="{FF2B5EF4-FFF2-40B4-BE49-F238E27FC236}">
              <a16:creationId xmlns:a16="http://schemas.microsoft.com/office/drawing/2014/main" id="{4CF309B9-912E-4207-8743-B0533BA0658B}"/>
            </a:ext>
          </a:extLst>
        </xdr:cNvPr>
        <xdr:cNvSpPr/>
      </xdr:nvSpPr>
      <xdr:spPr>
        <a:xfrm>
          <a:off x="7557136" y="24539330"/>
          <a:ext cx="158115" cy="10189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200757</xdr:colOff>
      <xdr:row>142</xdr:row>
      <xdr:rowOff>56371</xdr:rowOff>
    </xdr:from>
    <xdr:to>
      <xdr:col>33</xdr:col>
      <xdr:colOff>18758</xdr:colOff>
      <xdr:row>142</xdr:row>
      <xdr:rowOff>58276</xdr:rowOff>
    </xdr:to>
    <xdr:cxnSp macro="">
      <xdr:nvCxnSpPr>
        <xdr:cNvPr id="47" name="直線コネクタ 46">
          <a:extLst>
            <a:ext uri="{FF2B5EF4-FFF2-40B4-BE49-F238E27FC236}">
              <a16:creationId xmlns:a16="http://schemas.microsoft.com/office/drawing/2014/main" id="{DBAE7D83-DC78-41B4-AE6F-5634C3E5BEE1}"/>
            </a:ext>
          </a:extLst>
        </xdr:cNvPr>
        <xdr:cNvCxnSpPr>
          <a:stCxn id="43" idx="1"/>
          <a:endCxn id="44" idx="3"/>
        </xdr:cNvCxnSpPr>
      </xdr:nvCxnSpPr>
      <xdr:spPr>
        <a:xfrm flipH="1">
          <a:off x="6830157" y="24402271"/>
          <a:ext cx="732401" cy="1905"/>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18463</xdr:colOff>
      <xdr:row>142</xdr:row>
      <xdr:rowOff>22861</xdr:rowOff>
    </xdr:from>
    <xdr:to>
      <xdr:col>12</xdr:col>
      <xdr:colOff>191818</xdr:colOff>
      <xdr:row>142</xdr:row>
      <xdr:rowOff>111423</xdr:rowOff>
    </xdr:to>
    <xdr:sp macro="" textlink="">
      <xdr:nvSpPr>
        <xdr:cNvPr id="48" name="正方形/長方形 47">
          <a:extLst>
            <a:ext uri="{FF2B5EF4-FFF2-40B4-BE49-F238E27FC236}">
              <a16:creationId xmlns:a16="http://schemas.microsoft.com/office/drawing/2014/main" id="{BFAFA08A-3867-491D-B528-1AD20BA58185}"/>
            </a:ext>
          </a:extLst>
        </xdr:cNvPr>
        <xdr:cNvSpPr/>
      </xdr:nvSpPr>
      <xdr:spPr>
        <a:xfrm>
          <a:off x="2761663" y="24368761"/>
          <a:ext cx="173355" cy="8856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21981</xdr:colOff>
      <xdr:row>143</xdr:row>
      <xdr:rowOff>23885</xdr:rowOff>
    </xdr:from>
    <xdr:to>
      <xdr:col>22</xdr:col>
      <xdr:colOff>191526</xdr:colOff>
      <xdr:row>143</xdr:row>
      <xdr:rowOff>127688</xdr:rowOff>
    </xdr:to>
    <xdr:sp macro="" textlink="">
      <xdr:nvSpPr>
        <xdr:cNvPr id="49" name="正方形/長方形 48">
          <a:extLst>
            <a:ext uri="{FF2B5EF4-FFF2-40B4-BE49-F238E27FC236}">
              <a16:creationId xmlns:a16="http://schemas.microsoft.com/office/drawing/2014/main" id="{7249A7D5-626E-4B90-98CC-36D873562B6D}"/>
            </a:ext>
          </a:extLst>
        </xdr:cNvPr>
        <xdr:cNvSpPr/>
      </xdr:nvSpPr>
      <xdr:spPr>
        <a:xfrm>
          <a:off x="5051181" y="2454123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21981</xdr:colOff>
      <xdr:row>143</xdr:row>
      <xdr:rowOff>29308</xdr:rowOff>
    </xdr:from>
    <xdr:to>
      <xdr:col>20</xdr:col>
      <xdr:colOff>210576</xdr:colOff>
      <xdr:row>143</xdr:row>
      <xdr:rowOff>121680</xdr:rowOff>
    </xdr:to>
    <xdr:sp macro="" textlink="">
      <xdr:nvSpPr>
        <xdr:cNvPr id="50" name="正方形/長方形 49">
          <a:extLst>
            <a:ext uri="{FF2B5EF4-FFF2-40B4-BE49-F238E27FC236}">
              <a16:creationId xmlns:a16="http://schemas.microsoft.com/office/drawing/2014/main" id="{1797BCE3-9AC2-4878-8C51-1BC88B673FC1}"/>
            </a:ext>
          </a:extLst>
        </xdr:cNvPr>
        <xdr:cNvSpPr/>
      </xdr:nvSpPr>
      <xdr:spPr>
        <a:xfrm>
          <a:off x="4593981" y="24546658"/>
          <a:ext cx="188595" cy="9237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206766</xdr:colOff>
      <xdr:row>143</xdr:row>
      <xdr:rowOff>75494</xdr:rowOff>
    </xdr:from>
    <xdr:to>
      <xdr:col>22</xdr:col>
      <xdr:colOff>18171</xdr:colOff>
      <xdr:row>143</xdr:row>
      <xdr:rowOff>75787</xdr:rowOff>
    </xdr:to>
    <xdr:cxnSp macro="">
      <xdr:nvCxnSpPr>
        <xdr:cNvPr id="51" name="直線コネクタ 50">
          <a:extLst>
            <a:ext uri="{FF2B5EF4-FFF2-40B4-BE49-F238E27FC236}">
              <a16:creationId xmlns:a16="http://schemas.microsoft.com/office/drawing/2014/main" id="{78772CAD-539D-4BBE-BABD-B050890B3587}"/>
            </a:ext>
          </a:extLst>
        </xdr:cNvPr>
        <xdr:cNvCxnSpPr>
          <a:cxnSpLocks/>
          <a:stCxn id="50" idx="3"/>
          <a:endCxn id="49" idx="1"/>
        </xdr:cNvCxnSpPr>
      </xdr:nvCxnSpPr>
      <xdr:spPr>
        <a:xfrm>
          <a:off x="4778766" y="24592844"/>
          <a:ext cx="268605" cy="293"/>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198853</xdr:colOff>
      <xdr:row>143</xdr:row>
      <xdr:rowOff>72929</xdr:rowOff>
    </xdr:from>
    <xdr:to>
      <xdr:col>33</xdr:col>
      <xdr:colOff>13336</xdr:colOff>
      <xdr:row>144</xdr:row>
      <xdr:rowOff>63699</xdr:rowOff>
    </xdr:to>
    <xdr:cxnSp macro="">
      <xdr:nvCxnSpPr>
        <xdr:cNvPr id="52" name="直線コネクタ 31">
          <a:extLst>
            <a:ext uri="{FF2B5EF4-FFF2-40B4-BE49-F238E27FC236}">
              <a16:creationId xmlns:a16="http://schemas.microsoft.com/office/drawing/2014/main" id="{14046FA2-1BB4-400E-B8D6-9E9370571161}"/>
            </a:ext>
          </a:extLst>
        </xdr:cNvPr>
        <xdr:cNvCxnSpPr>
          <a:stCxn id="45" idx="3"/>
          <a:endCxn id="46" idx="1"/>
        </xdr:cNvCxnSpPr>
      </xdr:nvCxnSpPr>
      <xdr:spPr>
        <a:xfrm flipV="1">
          <a:off x="6828253" y="24590279"/>
          <a:ext cx="728883" cy="162220"/>
        </a:xfrm>
        <a:prstGeom prst="bentConnector3">
          <a:avLst>
            <a:gd name="adj1" fmla="val 50000"/>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18757</xdr:colOff>
      <xdr:row>153</xdr:row>
      <xdr:rowOff>20242</xdr:rowOff>
    </xdr:from>
    <xdr:to>
      <xdr:col>22</xdr:col>
      <xdr:colOff>192112</xdr:colOff>
      <xdr:row>153</xdr:row>
      <xdr:rowOff>122139</xdr:rowOff>
    </xdr:to>
    <xdr:sp macro="" textlink="">
      <xdr:nvSpPr>
        <xdr:cNvPr id="53" name="正方形/長方形 52">
          <a:extLst>
            <a:ext uri="{FF2B5EF4-FFF2-40B4-BE49-F238E27FC236}">
              <a16:creationId xmlns:a16="http://schemas.microsoft.com/office/drawing/2014/main" id="{4984BE47-BED6-43B5-A1E6-4B9D709F0775}"/>
            </a:ext>
          </a:extLst>
        </xdr:cNvPr>
        <xdr:cNvSpPr/>
      </xdr:nvSpPr>
      <xdr:spPr>
        <a:xfrm>
          <a:off x="5047957" y="26252092"/>
          <a:ext cx="17335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18758</xdr:colOff>
      <xdr:row>153</xdr:row>
      <xdr:rowOff>9232</xdr:rowOff>
    </xdr:from>
    <xdr:to>
      <xdr:col>33</xdr:col>
      <xdr:colOff>182588</xdr:colOff>
      <xdr:row>153</xdr:row>
      <xdr:rowOff>103509</xdr:rowOff>
    </xdr:to>
    <xdr:sp macro="" textlink="">
      <xdr:nvSpPr>
        <xdr:cNvPr id="54" name="正方形/長方形 53">
          <a:extLst>
            <a:ext uri="{FF2B5EF4-FFF2-40B4-BE49-F238E27FC236}">
              <a16:creationId xmlns:a16="http://schemas.microsoft.com/office/drawing/2014/main" id="{409C207C-D0BD-4D10-9062-ACEAA666FA43}"/>
            </a:ext>
          </a:extLst>
        </xdr:cNvPr>
        <xdr:cNvSpPr/>
      </xdr:nvSpPr>
      <xdr:spPr>
        <a:xfrm>
          <a:off x="7562558" y="26241082"/>
          <a:ext cx="163830"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27402</xdr:colOff>
      <xdr:row>153</xdr:row>
      <xdr:rowOff>11137</xdr:rowOff>
    </xdr:from>
    <xdr:to>
      <xdr:col>29</xdr:col>
      <xdr:colOff>200757</xdr:colOff>
      <xdr:row>153</xdr:row>
      <xdr:rowOff>105414</xdr:rowOff>
    </xdr:to>
    <xdr:sp macro="" textlink="">
      <xdr:nvSpPr>
        <xdr:cNvPr id="55" name="正方形/長方形 54">
          <a:extLst>
            <a:ext uri="{FF2B5EF4-FFF2-40B4-BE49-F238E27FC236}">
              <a16:creationId xmlns:a16="http://schemas.microsoft.com/office/drawing/2014/main" id="{C1FCE902-D43C-4D68-8FD4-08D2F0D5906B}"/>
            </a:ext>
          </a:extLst>
        </xdr:cNvPr>
        <xdr:cNvSpPr/>
      </xdr:nvSpPr>
      <xdr:spPr>
        <a:xfrm>
          <a:off x="6656802" y="26242987"/>
          <a:ext cx="17335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155</xdr:row>
      <xdr:rowOff>14655</xdr:rowOff>
    </xdr:from>
    <xdr:to>
      <xdr:col>29</xdr:col>
      <xdr:colOff>198853</xdr:colOff>
      <xdr:row>155</xdr:row>
      <xdr:rowOff>112742</xdr:rowOff>
    </xdr:to>
    <xdr:sp macro="" textlink="">
      <xdr:nvSpPr>
        <xdr:cNvPr id="56" name="正方形/長方形 55">
          <a:extLst>
            <a:ext uri="{FF2B5EF4-FFF2-40B4-BE49-F238E27FC236}">
              <a16:creationId xmlns:a16="http://schemas.microsoft.com/office/drawing/2014/main" id="{CEE8A18D-79B7-47F7-A4E6-87044BFBB75C}"/>
            </a:ext>
          </a:extLst>
        </xdr:cNvPr>
        <xdr:cNvSpPr/>
      </xdr:nvSpPr>
      <xdr:spPr>
        <a:xfrm>
          <a:off x="6658708" y="2658940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13336</xdr:colOff>
      <xdr:row>154</xdr:row>
      <xdr:rowOff>21980</xdr:rowOff>
    </xdr:from>
    <xdr:to>
      <xdr:col>33</xdr:col>
      <xdr:colOff>171451</xdr:colOff>
      <xdr:row>154</xdr:row>
      <xdr:rowOff>123877</xdr:rowOff>
    </xdr:to>
    <xdr:sp macro="" textlink="">
      <xdr:nvSpPr>
        <xdr:cNvPr id="57" name="正方形/長方形 56">
          <a:extLst>
            <a:ext uri="{FF2B5EF4-FFF2-40B4-BE49-F238E27FC236}">
              <a16:creationId xmlns:a16="http://schemas.microsoft.com/office/drawing/2014/main" id="{B5095BC9-CA7E-4FC9-8A35-91F190AC970A}"/>
            </a:ext>
          </a:extLst>
        </xdr:cNvPr>
        <xdr:cNvSpPr/>
      </xdr:nvSpPr>
      <xdr:spPr>
        <a:xfrm>
          <a:off x="7557136" y="26425280"/>
          <a:ext cx="158115" cy="10189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200757</xdr:colOff>
      <xdr:row>153</xdr:row>
      <xdr:rowOff>56371</xdr:rowOff>
    </xdr:from>
    <xdr:to>
      <xdr:col>33</xdr:col>
      <xdr:colOff>18758</xdr:colOff>
      <xdr:row>153</xdr:row>
      <xdr:rowOff>58276</xdr:rowOff>
    </xdr:to>
    <xdr:cxnSp macro="">
      <xdr:nvCxnSpPr>
        <xdr:cNvPr id="58" name="直線コネクタ 57">
          <a:extLst>
            <a:ext uri="{FF2B5EF4-FFF2-40B4-BE49-F238E27FC236}">
              <a16:creationId xmlns:a16="http://schemas.microsoft.com/office/drawing/2014/main" id="{F3D6CD1F-F876-433D-886D-762EC406565A}"/>
            </a:ext>
          </a:extLst>
        </xdr:cNvPr>
        <xdr:cNvCxnSpPr>
          <a:stCxn id="54" idx="1"/>
          <a:endCxn id="55" idx="3"/>
        </xdr:cNvCxnSpPr>
      </xdr:nvCxnSpPr>
      <xdr:spPr>
        <a:xfrm flipH="1">
          <a:off x="6830157" y="26288221"/>
          <a:ext cx="732401" cy="1905"/>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21981</xdr:colOff>
      <xdr:row>154</xdr:row>
      <xdr:rowOff>23885</xdr:rowOff>
    </xdr:from>
    <xdr:to>
      <xdr:col>22</xdr:col>
      <xdr:colOff>191526</xdr:colOff>
      <xdr:row>154</xdr:row>
      <xdr:rowOff>127688</xdr:rowOff>
    </xdr:to>
    <xdr:sp macro="" textlink="">
      <xdr:nvSpPr>
        <xdr:cNvPr id="59" name="正方形/長方形 58">
          <a:extLst>
            <a:ext uri="{FF2B5EF4-FFF2-40B4-BE49-F238E27FC236}">
              <a16:creationId xmlns:a16="http://schemas.microsoft.com/office/drawing/2014/main" id="{5C206742-A6CB-4FCB-962E-38D707840EDD}"/>
            </a:ext>
          </a:extLst>
        </xdr:cNvPr>
        <xdr:cNvSpPr/>
      </xdr:nvSpPr>
      <xdr:spPr>
        <a:xfrm>
          <a:off x="5051181" y="2642718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198853</xdr:colOff>
      <xdr:row>154</xdr:row>
      <xdr:rowOff>72929</xdr:rowOff>
    </xdr:from>
    <xdr:to>
      <xdr:col>33</xdr:col>
      <xdr:colOff>13336</xdr:colOff>
      <xdr:row>155</xdr:row>
      <xdr:rowOff>63699</xdr:rowOff>
    </xdr:to>
    <xdr:cxnSp macro="">
      <xdr:nvCxnSpPr>
        <xdr:cNvPr id="60" name="直線コネクタ 31">
          <a:extLst>
            <a:ext uri="{FF2B5EF4-FFF2-40B4-BE49-F238E27FC236}">
              <a16:creationId xmlns:a16="http://schemas.microsoft.com/office/drawing/2014/main" id="{16A69E79-AE0A-4CF0-AD3C-7AD23C5843CD}"/>
            </a:ext>
          </a:extLst>
        </xdr:cNvPr>
        <xdr:cNvCxnSpPr>
          <a:stCxn id="56" idx="3"/>
          <a:endCxn id="57" idx="1"/>
        </xdr:cNvCxnSpPr>
      </xdr:nvCxnSpPr>
      <xdr:spPr>
        <a:xfrm flipV="1">
          <a:off x="6828253" y="26476229"/>
          <a:ext cx="728883" cy="162220"/>
        </a:xfrm>
        <a:prstGeom prst="bentConnector3">
          <a:avLst>
            <a:gd name="adj1" fmla="val 50000"/>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199146</xdr:colOff>
      <xdr:row>142</xdr:row>
      <xdr:rowOff>65604</xdr:rowOff>
    </xdr:from>
    <xdr:to>
      <xdr:col>22</xdr:col>
      <xdr:colOff>18757</xdr:colOff>
      <xdr:row>153</xdr:row>
      <xdr:rowOff>71192</xdr:rowOff>
    </xdr:to>
    <xdr:cxnSp macro="">
      <xdr:nvCxnSpPr>
        <xdr:cNvPr id="61" name="直線コネクタ 31">
          <a:extLst>
            <a:ext uri="{FF2B5EF4-FFF2-40B4-BE49-F238E27FC236}">
              <a16:creationId xmlns:a16="http://schemas.microsoft.com/office/drawing/2014/main" id="{611D5A67-82A1-4A33-B30F-862FBAC4445A}"/>
            </a:ext>
          </a:extLst>
        </xdr:cNvPr>
        <xdr:cNvCxnSpPr>
          <a:stCxn id="53" idx="1"/>
          <a:endCxn id="41" idx="3"/>
        </xdr:cNvCxnSpPr>
      </xdr:nvCxnSpPr>
      <xdr:spPr>
        <a:xfrm rot="10800000">
          <a:off x="4771146" y="24411504"/>
          <a:ext cx="276811" cy="1891538"/>
        </a:xfrm>
        <a:prstGeom prst="bentConnector3">
          <a:avLst>
            <a:gd name="adj1" fmla="val 30155"/>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201051</xdr:colOff>
      <xdr:row>142</xdr:row>
      <xdr:rowOff>67508</xdr:rowOff>
    </xdr:from>
    <xdr:to>
      <xdr:col>22</xdr:col>
      <xdr:colOff>22567</xdr:colOff>
      <xdr:row>142</xdr:row>
      <xdr:rowOff>70238</xdr:rowOff>
    </xdr:to>
    <xdr:cxnSp macro="">
      <xdr:nvCxnSpPr>
        <xdr:cNvPr id="62" name="直線コネクタ 61">
          <a:extLst>
            <a:ext uri="{FF2B5EF4-FFF2-40B4-BE49-F238E27FC236}">
              <a16:creationId xmlns:a16="http://schemas.microsoft.com/office/drawing/2014/main" id="{01E9133D-E3C8-43D9-8DE1-833D6E59EA1B}"/>
            </a:ext>
          </a:extLst>
        </xdr:cNvPr>
        <xdr:cNvCxnSpPr>
          <a:cxnSpLocks/>
          <a:stCxn id="41" idx="3"/>
          <a:endCxn id="42" idx="1"/>
        </xdr:cNvCxnSpPr>
      </xdr:nvCxnSpPr>
      <xdr:spPr>
        <a:xfrm>
          <a:off x="4773051" y="24413408"/>
          <a:ext cx="278716" cy="2730"/>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210576</xdr:colOff>
      <xdr:row>213</xdr:row>
      <xdr:rowOff>75494</xdr:rowOff>
    </xdr:from>
    <xdr:to>
      <xdr:col>22</xdr:col>
      <xdr:colOff>21981</xdr:colOff>
      <xdr:row>224</xdr:row>
      <xdr:rowOff>75787</xdr:rowOff>
    </xdr:to>
    <xdr:cxnSp macro="">
      <xdr:nvCxnSpPr>
        <xdr:cNvPr id="63" name="直線コネクタ 31">
          <a:extLst>
            <a:ext uri="{FF2B5EF4-FFF2-40B4-BE49-F238E27FC236}">
              <a16:creationId xmlns:a16="http://schemas.microsoft.com/office/drawing/2014/main" id="{CD3DF603-6D9F-4013-BA5A-DFEC8C1DE791}"/>
            </a:ext>
          </a:extLst>
        </xdr:cNvPr>
        <xdr:cNvCxnSpPr>
          <a:stCxn id="84" idx="1"/>
          <a:endCxn id="75" idx="3"/>
        </xdr:cNvCxnSpPr>
      </xdr:nvCxnSpPr>
      <xdr:spPr>
        <a:xfrm rot="10800000">
          <a:off x="4782576" y="36594344"/>
          <a:ext cx="268605" cy="1886243"/>
        </a:xfrm>
        <a:prstGeom prst="bentConnector3">
          <a:avLst>
            <a:gd name="adj1" fmla="val 67523"/>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281009</xdr:colOff>
      <xdr:row>212</xdr:row>
      <xdr:rowOff>66087</xdr:rowOff>
    </xdr:from>
    <xdr:to>
      <xdr:col>12</xdr:col>
      <xdr:colOff>18463</xdr:colOff>
      <xdr:row>212</xdr:row>
      <xdr:rowOff>67142</xdr:rowOff>
    </xdr:to>
    <xdr:cxnSp macro="">
      <xdr:nvCxnSpPr>
        <xdr:cNvPr id="64" name="直線コネクタ 63">
          <a:extLst>
            <a:ext uri="{FF2B5EF4-FFF2-40B4-BE49-F238E27FC236}">
              <a16:creationId xmlns:a16="http://schemas.microsoft.com/office/drawing/2014/main" id="{B8FBA2B7-47C4-4D08-930B-360DABB389E0}"/>
            </a:ext>
          </a:extLst>
        </xdr:cNvPr>
        <xdr:cNvCxnSpPr>
          <a:cxnSpLocks/>
          <a:stCxn id="65" idx="3"/>
          <a:endCxn id="73" idx="1"/>
        </xdr:cNvCxnSpPr>
      </xdr:nvCxnSpPr>
      <xdr:spPr>
        <a:xfrm>
          <a:off x="2509859" y="36413487"/>
          <a:ext cx="251804" cy="1055"/>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107654</xdr:colOff>
      <xdr:row>212</xdr:row>
      <xdr:rowOff>13233</xdr:rowOff>
    </xdr:from>
    <xdr:to>
      <xdr:col>10</xdr:col>
      <xdr:colOff>281009</xdr:colOff>
      <xdr:row>212</xdr:row>
      <xdr:rowOff>118940</xdr:rowOff>
    </xdr:to>
    <xdr:sp macro="" textlink="">
      <xdr:nvSpPr>
        <xdr:cNvPr id="65" name="正方形/長方形 64">
          <a:extLst>
            <a:ext uri="{FF2B5EF4-FFF2-40B4-BE49-F238E27FC236}">
              <a16:creationId xmlns:a16="http://schemas.microsoft.com/office/drawing/2014/main" id="{9FB04024-78FF-4D6E-87C9-A14ED1BA18BA}"/>
            </a:ext>
          </a:extLst>
        </xdr:cNvPr>
        <xdr:cNvSpPr/>
      </xdr:nvSpPr>
      <xdr:spPr>
        <a:xfrm>
          <a:off x="2393654" y="36360633"/>
          <a:ext cx="116205" cy="10570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21981</xdr:colOff>
      <xdr:row>212</xdr:row>
      <xdr:rowOff>14654</xdr:rowOff>
    </xdr:from>
    <xdr:to>
      <xdr:col>20</xdr:col>
      <xdr:colOff>199146</xdr:colOff>
      <xdr:row>212</xdr:row>
      <xdr:rowOff>116551</xdr:rowOff>
    </xdr:to>
    <xdr:sp macro="" textlink="">
      <xdr:nvSpPr>
        <xdr:cNvPr id="66" name="正方形/長方形 65">
          <a:extLst>
            <a:ext uri="{FF2B5EF4-FFF2-40B4-BE49-F238E27FC236}">
              <a16:creationId xmlns:a16="http://schemas.microsoft.com/office/drawing/2014/main" id="{9F2E19C7-D5BE-4F57-AD29-7E8955D1BDB9}"/>
            </a:ext>
          </a:extLst>
        </xdr:cNvPr>
        <xdr:cNvSpPr/>
      </xdr:nvSpPr>
      <xdr:spPr>
        <a:xfrm>
          <a:off x="4593981" y="36362054"/>
          <a:ext cx="17716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18757</xdr:colOff>
      <xdr:row>212</xdr:row>
      <xdr:rowOff>20242</xdr:rowOff>
    </xdr:from>
    <xdr:to>
      <xdr:col>22</xdr:col>
      <xdr:colOff>192112</xdr:colOff>
      <xdr:row>212</xdr:row>
      <xdr:rowOff>122139</xdr:rowOff>
    </xdr:to>
    <xdr:sp macro="" textlink="">
      <xdr:nvSpPr>
        <xdr:cNvPr id="67" name="正方形/長方形 66">
          <a:extLst>
            <a:ext uri="{FF2B5EF4-FFF2-40B4-BE49-F238E27FC236}">
              <a16:creationId xmlns:a16="http://schemas.microsoft.com/office/drawing/2014/main" id="{C4FA6E6A-DDFC-4013-B3E7-FFE683483290}"/>
            </a:ext>
          </a:extLst>
        </xdr:cNvPr>
        <xdr:cNvSpPr/>
      </xdr:nvSpPr>
      <xdr:spPr>
        <a:xfrm>
          <a:off x="5047957" y="36367642"/>
          <a:ext cx="17335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18758</xdr:colOff>
      <xdr:row>212</xdr:row>
      <xdr:rowOff>9232</xdr:rowOff>
    </xdr:from>
    <xdr:to>
      <xdr:col>33</xdr:col>
      <xdr:colOff>182588</xdr:colOff>
      <xdr:row>212</xdr:row>
      <xdr:rowOff>103509</xdr:rowOff>
    </xdr:to>
    <xdr:sp macro="" textlink="">
      <xdr:nvSpPr>
        <xdr:cNvPr id="68" name="正方形/長方形 67">
          <a:extLst>
            <a:ext uri="{FF2B5EF4-FFF2-40B4-BE49-F238E27FC236}">
              <a16:creationId xmlns:a16="http://schemas.microsoft.com/office/drawing/2014/main" id="{A04E2F09-5640-4F87-AC99-E4DC3B6B5A54}"/>
            </a:ext>
          </a:extLst>
        </xdr:cNvPr>
        <xdr:cNvSpPr/>
      </xdr:nvSpPr>
      <xdr:spPr>
        <a:xfrm>
          <a:off x="7562558" y="36356632"/>
          <a:ext cx="163830"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27402</xdr:colOff>
      <xdr:row>212</xdr:row>
      <xdr:rowOff>11137</xdr:rowOff>
    </xdr:from>
    <xdr:to>
      <xdr:col>29</xdr:col>
      <xdr:colOff>200757</xdr:colOff>
      <xdr:row>212</xdr:row>
      <xdr:rowOff>105414</xdr:rowOff>
    </xdr:to>
    <xdr:sp macro="" textlink="">
      <xdr:nvSpPr>
        <xdr:cNvPr id="69" name="正方形/長方形 68">
          <a:extLst>
            <a:ext uri="{FF2B5EF4-FFF2-40B4-BE49-F238E27FC236}">
              <a16:creationId xmlns:a16="http://schemas.microsoft.com/office/drawing/2014/main" id="{9C6542D1-E5D9-479A-9132-FAC4CF5ABDA4}"/>
            </a:ext>
          </a:extLst>
        </xdr:cNvPr>
        <xdr:cNvSpPr/>
      </xdr:nvSpPr>
      <xdr:spPr>
        <a:xfrm>
          <a:off x="6656802" y="36358537"/>
          <a:ext cx="17335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214</xdr:row>
      <xdr:rowOff>14655</xdr:rowOff>
    </xdr:from>
    <xdr:to>
      <xdr:col>29</xdr:col>
      <xdr:colOff>198853</xdr:colOff>
      <xdr:row>214</xdr:row>
      <xdr:rowOff>112742</xdr:rowOff>
    </xdr:to>
    <xdr:sp macro="" textlink="">
      <xdr:nvSpPr>
        <xdr:cNvPr id="70" name="正方形/長方形 69">
          <a:extLst>
            <a:ext uri="{FF2B5EF4-FFF2-40B4-BE49-F238E27FC236}">
              <a16:creationId xmlns:a16="http://schemas.microsoft.com/office/drawing/2014/main" id="{46B7FE69-6AA7-4A64-84E8-1685EC06F2BA}"/>
            </a:ext>
          </a:extLst>
        </xdr:cNvPr>
        <xdr:cNvSpPr/>
      </xdr:nvSpPr>
      <xdr:spPr>
        <a:xfrm>
          <a:off x="6658708" y="3670495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13336</xdr:colOff>
      <xdr:row>213</xdr:row>
      <xdr:rowOff>21980</xdr:rowOff>
    </xdr:from>
    <xdr:to>
      <xdr:col>33</xdr:col>
      <xdr:colOff>171451</xdr:colOff>
      <xdr:row>213</xdr:row>
      <xdr:rowOff>123877</xdr:rowOff>
    </xdr:to>
    <xdr:sp macro="" textlink="">
      <xdr:nvSpPr>
        <xdr:cNvPr id="71" name="正方形/長方形 70">
          <a:extLst>
            <a:ext uri="{FF2B5EF4-FFF2-40B4-BE49-F238E27FC236}">
              <a16:creationId xmlns:a16="http://schemas.microsoft.com/office/drawing/2014/main" id="{A6CB4CC6-3191-4450-8D8D-0BCEE83EA02B}"/>
            </a:ext>
          </a:extLst>
        </xdr:cNvPr>
        <xdr:cNvSpPr/>
      </xdr:nvSpPr>
      <xdr:spPr>
        <a:xfrm>
          <a:off x="7557136" y="36540830"/>
          <a:ext cx="158115" cy="10189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200757</xdr:colOff>
      <xdr:row>212</xdr:row>
      <xdr:rowOff>56371</xdr:rowOff>
    </xdr:from>
    <xdr:to>
      <xdr:col>33</xdr:col>
      <xdr:colOff>18758</xdr:colOff>
      <xdr:row>212</xdr:row>
      <xdr:rowOff>58276</xdr:rowOff>
    </xdr:to>
    <xdr:cxnSp macro="">
      <xdr:nvCxnSpPr>
        <xdr:cNvPr id="72" name="直線コネクタ 71">
          <a:extLst>
            <a:ext uri="{FF2B5EF4-FFF2-40B4-BE49-F238E27FC236}">
              <a16:creationId xmlns:a16="http://schemas.microsoft.com/office/drawing/2014/main" id="{C7E0D461-2C7E-4FC4-8478-2B7D94E5E45C}"/>
            </a:ext>
          </a:extLst>
        </xdr:cNvPr>
        <xdr:cNvCxnSpPr>
          <a:stCxn id="68" idx="1"/>
          <a:endCxn id="69" idx="3"/>
        </xdr:cNvCxnSpPr>
      </xdr:nvCxnSpPr>
      <xdr:spPr>
        <a:xfrm flipH="1">
          <a:off x="6830157" y="36403771"/>
          <a:ext cx="732401" cy="1905"/>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18463</xdr:colOff>
      <xdr:row>212</xdr:row>
      <xdr:rowOff>22861</xdr:rowOff>
    </xdr:from>
    <xdr:to>
      <xdr:col>12</xdr:col>
      <xdr:colOff>191818</xdr:colOff>
      <xdr:row>212</xdr:row>
      <xdr:rowOff>111423</xdr:rowOff>
    </xdr:to>
    <xdr:sp macro="" textlink="">
      <xdr:nvSpPr>
        <xdr:cNvPr id="73" name="正方形/長方形 72">
          <a:extLst>
            <a:ext uri="{FF2B5EF4-FFF2-40B4-BE49-F238E27FC236}">
              <a16:creationId xmlns:a16="http://schemas.microsoft.com/office/drawing/2014/main" id="{71F49FD0-28C3-44B8-B7C0-605CA7752053}"/>
            </a:ext>
          </a:extLst>
        </xdr:cNvPr>
        <xdr:cNvSpPr/>
      </xdr:nvSpPr>
      <xdr:spPr>
        <a:xfrm>
          <a:off x="2761663" y="36370261"/>
          <a:ext cx="173355" cy="8856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21981</xdr:colOff>
      <xdr:row>213</xdr:row>
      <xdr:rowOff>23885</xdr:rowOff>
    </xdr:from>
    <xdr:to>
      <xdr:col>22</xdr:col>
      <xdr:colOff>191526</xdr:colOff>
      <xdr:row>213</xdr:row>
      <xdr:rowOff>127688</xdr:rowOff>
    </xdr:to>
    <xdr:sp macro="" textlink="">
      <xdr:nvSpPr>
        <xdr:cNvPr id="74" name="正方形/長方形 73">
          <a:extLst>
            <a:ext uri="{FF2B5EF4-FFF2-40B4-BE49-F238E27FC236}">
              <a16:creationId xmlns:a16="http://schemas.microsoft.com/office/drawing/2014/main" id="{9A74316A-CA90-4E34-8FAA-2CEA65052B65}"/>
            </a:ext>
          </a:extLst>
        </xdr:cNvPr>
        <xdr:cNvSpPr/>
      </xdr:nvSpPr>
      <xdr:spPr>
        <a:xfrm>
          <a:off x="5051181" y="3654273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21981</xdr:colOff>
      <xdr:row>213</xdr:row>
      <xdr:rowOff>29308</xdr:rowOff>
    </xdr:from>
    <xdr:to>
      <xdr:col>20</xdr:col>
      <xdr:colOff>210576</xdr:colOff>
      <xdr:row>213</xdr:row>
      <xdr:rowOff>121680</xdr:rowOff>
    </xdr:to>
    <xdr:sp macro="" textlink="">
      <xdr:nvSpPr>
        <xdr:cNvPr id="75" name="正方形/長方形 74">
          <a:extLst>
            <a:ext uri="{FF2B5EF4-FFF2-40B4-BE49-F238E27FC236}">
              <a16:creationId xmlns:a16="http://schemas.microsoft.com/office/drawing/2014/main" id="{EC764854-A892-4A56-9DC7-CBAB5051523F}"/>
            </a:ext>
          </a:extLst>
        </xdr:cNvPr>
        <xdr:cNvSpPr/>
      </xdr:nvSpPr>
      <xdr:spPr>
        <a:xfrm>
          <a:off x="4593981" y="36548158"/>
          <a:ext cx="188595" cy="9237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206766</xdr:colOff>
      <xdr:row>213</xdr:row>
      <xdr:rowOff>75494</xdr:rowOff>
    </xdr:from>
    <xdr:to>
      <xdr:col>22</xdr:col>
      <xdr:colOff>18171</xdr:colOff>
      <xdr:row>213</xdr:row>
      <xdr:rowOff>75787</xdr:rowOff>
    </xdr:to>
    <xdr:cxnSp macro="">
      <xdr:nvCxnSpPr>
        <xdr:cNvPr id="76" name="直線コネクタ 75">
          <a:extLst>
            <a:ext uri="{FF2B5EF4-FFF2-40B4-BE49-F238E27FC236}">
              <a16:creationId xmlns:a16="http://schemas.microsoft.com/office/drawing/2014/main" id="{E32E3E65-EA49-4C33-A9AD-5B2987C94FC1}"/>
            </a:ext>
          </a:extLst>
        </xdr:cNvPr>
        <xdr:cNvCxnSpPr>
          <a:cxnSpLocks/>
          <a:stCxn id="75" idx="3"/>
          <a:endCxn id="74" idx="1"/>
        </xdr:cNvCxnSpPr>
      </xdr:nvCxnSpPr>
      <xdr:spPr>
        <a:xfrm>
          <a:off x="4778766" y="36594344"/>
          <a:ext cx="268605" cy="293"/>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198853</xdr:colOff>
      <xdr:row>213</xdr:row>
      <xdr:rowOff>72929</xdr:rowOff>
    </xdr:from>
    <xdr:to>
      <xdr:col>33</xdr:col>
      <xdr:colOff>13336</xdr:colOff>
      <xdr:row>214</xdr:row>
      <xdr:rowOff>63699</xdr:rowOff>
    </xdr:to>
    <xdr:cxnSp macro="">
      <xdr:nvCxnSpPr>
        <xdr:cNvPr id="77" name="直線コネクタ 31">
          <a:extLst>
            <a:ext uri="{FF2B5EF4-FFF2-40B4-BE49-F238E27FC236}">
              <a16:creationId xmlns:a16="http://schemas.microsoft.com/office/drawing/2014/main" id="{2DC584C0-B1DD-4E72-A0A8-EB5B18E97447}"/>
            </a:ext>
          </a:extLst>
        </xdr:cNvPr>
        <xdr:cNvCxnSpPr>
          <a:stCxn id="70" idx="3"/>
          <a:endCxn id="71" idx="1"/>
        </xdr:cNvCxnSpPr>
      </xdr:nvCxnSpPr>
      <xdr:spPr>
        <a:xfrm flipV="1">
          <a:off x="6828253" y="36591779"/>
          <a:ext cx="728883" cy="162220"/>
        </a:xfrm>
        <a:prstGeom prst="bentConnector3">
          <a:avLst>
            <a:gd name="adj1" fmla="val 50000"/>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18757</xdr:colOff>
      <xdr:row>223</xdr:row>
      <xdr:rowOff>20242</xdr:rowOff>
    </xdr:from>
    <xdr:to>
      <xdr:col>22</xdr:col>
      <xdr:colOff>192112</xdr:colOff>
      <xdr:row>223</xdr:row>
      <xdr:rowOff>122139</xdr:rowOff>
    </xdr:to>
    <xdr:sp macro="" textlink="">
      <xdr:nvSpPr>
        <xdr:cNvPr id="78" name="正方形/長方形 77">
          <a:extLst>
            <a:ext uri="{FF2B5EF4-FFF2-40B4-BE49-F238E27FC236}">
              <a16:creationId xmlns:a16="http://schemas.microsoft.com/office/drawing/2014/main" id="{146C6D13-2EFC-447B-B9A2-BFDD6CE41F4A}"/>
            </a:ext>
          </a:extLst>
        </xdr:cNvPr>
        <xdr:cNvSpPr/>
      </xdr:nvSpPr>
      <xdr:spPr>
        <a:xfrm>
          <a:off x="5047957" y="38253592"/>
          <a:ext cx="17335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18758</xdr:colOff>
      <xdr:row>223</xdr:row>
      <xdr:rowOff>9232</xdr:rowOff>
    </xdr:from>
    <xdr:to>
      <xdr:col>33</xdr:col>
      <xdr:colOff>182588</xdr:colOff>
      <xdr:row>223</xdr:row>
      <xdr:rowOff>103509</xdr:rowOff>
    </xdr:to>
    <xdr:sp macro="" textlink="">
      <xdr:nvSpPr>
        <xdr:cNvPr id="79" name="正方形/長方形 78">
          <a:extLst>
            <a:ext uri="{FF2B5EF4-FFF2-40B4-BE49-F238E27FC236}">
              <a16:creationId xmlns:a16="http://schemas.microsoft.com/office/drawing/2014/main" id="{6908C67B-95F2-4374-B729-C3A82C3668E7}"/>
            </a:ext>
          </a:extLst>
        </xdr:cNvPr>
        <xdr:cNvSpPr/>
      </xdr:nvSpPr>
      <xdr:spPr>
        <a:xfrm>
          <a:off x="7562558" y="38242582"/>
          <a:ext cx="163830"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27402</xdr:colOff>
      <xdr:row>223</xdr:row>
      <xdr:rowOff>11137</xdr:rowOff>
    </xdr:from>
    <xdr:to>
      <xdr:col>29</xdr:col>
      <xdr:colOff>200757</xdr:colOff>
      <xdr:row>223</xdr:row>
      <xdr:rowOff>105414</xdr:rowOff>
    </xdr:to>
    <xdr:sp macro="" textlink="">
      <xdr:nvSpPr>
        <xdr:cNvPr id="80" name="正方形/長方形 79">
          <a:extLst>
            <a:ext uri="{FF2B5EF4-FFF2-40B4-BE49-F238E27FC236}">
              <a16:creationId xmlns:a16="http://schemas.microsoft.com/office/drawing/2014/main" id="{FD5D2C18-0AE9-4717-B336-FEC51A4FFC92}"/>
            </a:ext>
          </a:extLst>
        </xdr:cNvPr>
        <xdr:cNvSpPr/>
      </xdr:nvSpPr>
      <xdr:spPr>
        <a:xfrm>
          <a:off x="6656802" y="38244487"/>
          <a:ext cx="17335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225</xdr:row>
      <xdr:rowOff>14655</xdr:rowOff>
    </xdr:from>
    <xdr:to>
      <xdr:col>29</xdr:col>
      <xdr:colOff>198853</xdr:colOff>
      <xdr:row>225</xdr:row>
      <xdr:rowOff>112742</xdr:rowOff>
    </xdr:to>
    <xdr:sp macro="" textlink="">
      <xdr:nvSpPr>
        <xdr:cNvPr id="81" name="正方形/長方形 80">
          <a:extLst>
            <a:ext uri="{FF2B5EF4-FFF2-40B4-BE49-F238E27FC236}">
              <a16:creationId xmlns:a16="http://schemas.microsoft.com/office/drawing/2014/main" id="{C7581CD1-F726-4098-9BD8-AFD219895F7D}"/>
            </a:ext>
          </a:extLst>
        </xdr:cNvPr>
        <xdr:cNvSpPr/>
      </xdr:nvSpPr>
      <xdr:spPr>
        <a:xfrm>
          <a:off x="6658708" y="3859090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13336</xdr:colOff>
      <xdr:row>224</xdr:row>
      <xdr:rowOff>21980</xdr:rowOff>
    </xdr:from>
    <xdr:to>
      <xdr:col>33</xdr:col>
      <xdr:colOff>171451</xdr:colOff>
      <xdr:row>224</xdr:row>
      <xdr:rowOff>123877</xdr:rowOff>
    </xdr:to>
    <xdr:sp macro="" textlink="">
      <xdr:nvSpPr>
        <xdr:cNvPr id="82" name="正方形/長方形 81">
          <a:extLst>
            <a:ext uri="{FF2B5EF4-FFF2-40B4-BE49-F238E27FC236}">
              <a16:creationId xmlns:a16="http://schemas.microsoft.com/office/drawing/2014/main" id="{CC4E4B13-632F-4994-B55C-B1078A5A8498}"/>
            </a:ext>
          </a:extLst>
        </xdr:cNvPr>
        <xdr:cNvSpPr/>
      </xdr:nvSpPr>
      <xdr:spPr>
        <a:xfrm>
          <a:off x="7557136" y="38426780"/>
          <a:ext cx="158115" cy="10189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200757</xdr:colOff>
      <xdr:row>223</xdr:row>
      <xdr:rowOff>56371</xdr:rowOff>
    </xdr:from>
    <xdr:to>
      <xdr:col>33</xdr:col>
      <xdr:colOff>18758</xdr:colOff>
      <xdr:row>223</xdr:row>
      <xdr:rowOff>58276</xdr:rowOff>
    </xdr:to>
    <xdr:cxnSp macro="">
      <xdr:nvCxnSpPr>
        <xdr:cNvPr id="83" name="直線コネクタ 82">
          <a:extLst>
            <a:ext uri="{FF2B5EF4-FFF2-40B4-BE49-F238E27FC236}">
              <a16:creationId xmlns:a16="http://schemas.microsoft.com/office/drawing/2014/main" id="{4C43BF01-0294-432D-B2A4-C8CFA1E27BC5}"/>
            </a:ext>
          </a:extLst>
        </xdr:cNvPr>
        <xdr:cNvCxnSpPr>
          <a:stCxn id="79" idx="1"/>
          <a:endCxn id="80" idx="3"/>
        </xdr:cNvCxnSpPr>
      </xdr:nvCxnSpPr>
      <xdr:spPr>
        <a:xfrm flipH="1">
          <a:off x="6830157" y="38289721"/>
          <a:ext cx="732401" cy="1905"/>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21981</xdr:colOff>
      <xdr:row>224</xdr:row>
      <xdr:rowOff>23885</xdr:rowOff>
    </xdr:from>
    <xdr:to>
      <xdr:col>22</xdr:col>
      <xdr:colOff>191526</xdr:colOff>
      <xdr:row>224</xdr:row>
      <xdr:rowOff>127688</xdr:rowOff>
    </xdr:to>
    <xdr:sp macro="" textlink="">
      <xdr:nvSpPr>
        <xdr:cNvPr id="84" name="正方形/長方形 83">
          <a:extLst>
            <a:ext uri="{FF2B5EF4-FFF2-40B4-BE49-F238E27FC236}">
              <a16:creationId xmlns:a16="http://schemas.microsoft.com/office/drawing/2014/main" id="{12768856-A944-4ABC-AAA5-29D9EEAE3445}"/>
            </a:ext>
          </a:extLst>
        </xdr:cNvPr>
        <xdr:cNvSpPr/>
      </xdr:nvSpPr>
      <xdr:spPr>
        <a:xfrm>
          <a:off x="5051181" y="3842868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198853</xdr:colOff>
      <xdr:row>224</xdr:row>
      <xdr:rowOff>72929</xdr:rowOff>
    </xdr:from>
    <xdr:to>
      <xdr:col>33</xdr:col>
      <xdr:colOff>13336</xdr:colOff>
      <xdr:row>225</xdr:row>
      <xdr:rowOff>63699</xdr:rowOff>
    </xdr:to>
    <xdr:cxnSp macro="">
      <xdr:nvCxnSpPr>
        <xdr:cNvPr id="85" name="直線コネクタ 31">
          <a:extLst>
            <a:ext uri="{FF2B5EF4-FFF2-40B4-BE49-F238E27FC236}">
              <a16:creationId xmlns:a16="http://schemas.microsoft.com/office/drawing/2014/main" id="{15053275-91E5-43A3-A1AC-580116E554ED}"/>
            </a:ext>
          </a:extLst>
        </xdr:cNvPr>
        <xdr:cNvCxnSpPr>
          <a:stCxn id="81" idx="3"/>
          <a:endCxn id="82" idx="1"/>
        </xdr:cNvCxnSpPr>
      </xdr:nvCxnSpPr>
      <xdr:spPr>
        <a:xfrm flipV="1">
          <a:off x="6828253" y="38477729"/>
          <a:ext cx="728883" cy="162220"/>
        </a:xfrm>
        <a:prstGeom prst="bentConnector3">
          <a:avLst>
            <a:gd name="adj1" fmla="val 71153"/>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199146</xdr:colOff>
      <xdr:row>212</xdr:row>
      <xdr:rowOff>65604</xdr:rowOff>
    </xdr:from>
    <xdr:to>
      <xdr:col>22</xdr:col>
      <xdr:colOff>18757</xdr:colOff>
      <xdr:row>223</xdr:row>
      <xdr:rowOff>71192</xdr:rowOff>
    </xdr:to>
    <xdr:cxnSp macro="">
      <xdr:nvCxnSpPr>
        <xdr:cNvPr id="86" name="直線コネクタ 31">
          <a:extLst>
            <a:ext uri="{FF2B5EF4-FFF2-40B4-BE49-F238E27FC236}">
              <a16:creationId xmlns:a16="http://schemas.microsoft.com/office/drawing/2014/main" id="{14B72A75-642B-4193-85AA-EFA4C7CAD85A}"/>
            </a:ext>
          </a:extLst>
        </xdr:cNvPr>
        <xdr:cNvCxnSpPr>
          <a:stCxn id="78" idx="1"/>
          <a:endCxn id="66" idx="3"/>
        </xdr:cNvCxnSpPr>
      </xdr:nvCxnSpPr>
      <xdr:spPr>
        <a:xfrm rot="10800000">
          <a:off x="4771146" y="36413004"/>
          <a:ext cx="276811" cy="1891538"/>
        </a:xfrm>
        <a:prstGeom prst="bentConnector3">
          <a:avLst>
            <a:gd name="adj1" fmla="val 30155"/>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201051</xdr:colOff>
      <xdr:row>212</xdr:row>
      <xdr:rowOff>67508</xdr:rowOff>
    </xdr:from>
    <xdr:to>
      <xdr:col>22</xdr:col>
      <xdr:colOff>22567</xdr:colOff>
      <xdr:row>212</xdr:row>
      <xdr:rowOff>70238</xdr:rowOff>
    </xdr:to>
    <xdr:cxnSp macro="">
      <xdr:nvCxnSpPr>
        <xdr:cNvPr id="87" name="直線コネクタ 86">
          <a:extLst>
            <a:ext uri="{FF2B5EF4-FFF2-40B4-BE49-F238E27FC236}">
              <a16:creationId xmlns:a16="http://schemas.microsoft.com/office/drawing/2014/main" id="{2B07B00F-0F43-44B4-BCCA-650E403E9DA1}"/>
            </a:ext>
          </a:extLst>
        </xdr:cNvPr>
        <xdr:cNvCxnSpPr>
          <a:cxnSpLocks/>
          <a:stCxn id="66" idx="3"/>
          <a:endCxn id="67" idx="1"/>
        </xdr:cNvCxnSpPr>
      </xdr:nvCxnSpPr>
      <xdr:spPr>
        <a:xfrm>
          <a:off x="4773051" y="36414908"/>
          <a:ext cx="278716" cy="2730"/>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88446</xdr:colOff>
      <xdr:row>91</xdr:row>
      <xdr:rowOff>129269</xdr:rowOff>
    </xdr:from>
    <xdr:to>
      <xdr:col>10</xdr:col>
      <xdr:colOff>210003</xdr:colOff>
      <xdr:row>109</xdr:row>
      <xdr:rowOff>115662</xdr:rowOff>
    </xdr:to>
    <xdr:sp macro="" textlink="">
      <xdr:nvSpPr>
        <xdr:cNvPr id="88" name="テキスト ボックス 87">
          <a:extLst>
            <a:ext uri="{FF2B5EF4-FFF2-40B4-BE49-F238E27FC236}">
              <a16:creationId xmlns:a16="http://schemas.microsoft.com/office/drawing/2014/main" id="{0F512948-0E9D-4596-94CE-3ADC041137E5}"/>
            </a:ext>
          </a:extLst>
        </xdr:cNvPr>
        <xdr:cNvSpPr txBox="1"/>
      </xdr:nvSpPr>
      <xdr:spPr>
        <a:xfrm>
          <a:off x="317046" y="15731219"/>
          <a:ext cx="2178957" cy="3072493"/>
        </a:xfrm>
        <a:prstGeom prst="rect">
          <a:avLst/>
        </a:prstGeom>
        <a:solidFill>
          <a:srgbClr val="FFFFC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lstStyle/>
        <a:p>
          <a:r>
            <a:rPr kumimoji="1" lang="en-US" altLang="ja-JP" sz="900">
              <a:latin typeface="ＭＳ ゴシック" panose="020B0609070205080204" pitchFamily="49" charset="-128"/>
              <a:ea typeface="ＭＳ ゴシック" panose="020B0609070205080204" pitchFamily="49" charset="-128"/>
            </a:rPr>
            <a:t>【</a:t>
          </a:r>
          <a:r>
            <a:rPr kumimoji="1" lang="ja-JP" altLang="en-US" sz="900">
              <a:latin typeface="ＭＳ ゴシック" panose="020B0609070205080204" pitchFamily="49" charset="-128"/>
              <a:ea typeface="ＭＳ ゴシック" panose="020B0609070205080204" pitchFamily="49" charset="-128"/>
            </a:rPr>
            <a:t>ジャーナル印字イメージ</a:t>
          </a:r>
          <a:r>
            <a:rPr kumimoji="1" lang="en-US" altLang="ja-JP" sz="900">
              <a:latin typeface="ＭＳ ゴシック" panose="020B0609070205080204" pitchFamily="49" charset="-128"/>
              <a:ea typeface="ＭＳ ゴシック" panose="020B0609070205080204" pitchFamily="49" charset="-128"/>
            </a:rPr>
            <a:t>】</a:t>
          </a:r>
        </a:p>
        <a:p>
          <a:r>
            <a:rPr kumimoji="1" lang="ja-JP" altLang="en-US" sz="900">
              <a:latin typeface="ＭＳ ゴシック" panose="020B0609070205080204" pitchFamily="49" charset="-128"/>
              <a:ea typeface="ＭＳ ゴシック" panose="020B0609070205080204" pitchFamily="49" charset="-128"/>
            </a:rPr>
            <a:t> </a:t>
          </a:r>
          <a:r>
            <a:rPr kumimoji="1" lang="en-US" altLang="ja-JP" sz="900">
              <a:latin typeface="ＭＳ ゴシック" panose="020B0609070205080204" pitchFamily="49" charset="-128"/>
              <a:ea typeface="ＭＳ ゴシック" panose="020B0609070205080204" pitchFamily="49" charset="-128"/>
            </a:rPr>
            <a:t>2024</a:t>
          </a:r>
          <a:r>
            <a:rPr kumimoji="1" lang="ja-JP" altLang="en-US" sz="900">
              <a:latin typeface="ＭＳ ゴシック" panose="020B0609070205080204" pitchFamily="49" charset="-128"/>
              <a:ea typeface="ＭＳ ゴシック" panose="020B0609070205080204" pitchFamily="49" charset="-128"/>
            </a:rPr>
            <a:t>年</a:t>
          </a:r>
          <a:r>
            <a:rPr kumimoji="1" lang="en-US" altLang="ja-JP" sz="900">
              <a:latin typeface="ＭＳ ゴシック" panose="020B0609070205080204" pitchFamily="49" charset="-128"/>
              <a:ea typeface="ＭＳ ゴシック" panose="020B0609070205080204" pitchFamily="49" charset="-128"/>
            </a:rPr>
            <a:t>10</a:t>
          </a:r>
          <a:r>
            <a:rPr kumimoji="1" lang="ja-JP" altLang="en-US" sz="900">
              <a:latin typeface="ＭＳ ゴシック" panose="020B0609070205080204" pitchFamily="49" charset="-128"/>
              <a:ea typeface="ＭＳ ゴシック" panose="020B0609070205080204" pitchFamily="49" charset="-128"/>
            </a:rPr>
            <a:t>月</a:t>
          </a:r>
          <a:r>
            <a:rPr kumimoji="1" lang="en-US" altLang="ja-JP" sz="900">
              <a:latin typeface="ＭＳ ゴシック" panose="020B0609070205080204" pitchFamily="49" charset="-128"/>
              <a:ea typeface="ＭＳ ゴシック" panose="020B0609070205080204" pitchFamily="49" charset="-128"/>
            </a:rPr>
            <a:t>21</a:t>
          </a:r>
          <a:r>
            <a:rPr kumimoji="1" lang="ja-JP" altLang="en-US" sz="900">
              <a:latin typeface="ＭＳ ゴシック" panose="020B0609070205080204" pitchFamily="49" charset="-128"/>
              <a:ea typeface="ＭＳ ゴシック" panose="020B0609070205080204" pitchFamily="49" charset="-128"/>
            </a:rPr>
            <a:t>日（月） </a:t>
          </a:r>
          <a:r>
            <a:rPr kumimoji="1" lang="en-US" altLang="ja-JP" sz="900">
              <a:latin typeface="ＭＳ ゴシック" panose="020B0609070205080204" pitchFamily="49" charset="-128"/>
              <a:ea typeface="ＭＳ ゴシック" panose="020B0609070205080204" pitchFamily="49" charset="-128"/>
            </a:rPr>
            <a:t>19:32     </a:t>
          </a:r>
        </a:p>
        <a:p>
          <a:r>
            <a:rPr kumimoji="1" lang="en-US" altLang="ja-JP" sz="900">
              <a:latin typeface="ＭＳ ゴシック" panose="020B0609070205080204" pitchFamily="49" charset="-128"/>
              <a:ea typeface="ＭＳ ゴシック" panose="020B0609070205080204" pitchFamily="49" charset="-128"/>
            </a:rPr>
            <a:t>   01 x</a:t>
          </a:r>
          <a:r>
            <a:rPr kumimoji="1" lang="ja-JP" altLang="en-US" sz="900">
              <a:latin typeface="ＭＳ ゴシック" panose="020B0609070205080204" pitchFamily="49" charset="-128"/>
              <a:ea typeface="ＭＳ ゴシック" panose="020B0609070205080204" pitchFamily="49" charset="-128"/>
            </a:rPr>
            <a:t>商品Ａ               </a:t>
          </a:r>
          <a:r>
            <a:rPr kumimoji="1" lang="en-US" altLang="ja-JP" sz="900">
              <a:latin typeface="ＭＳ ゴシック" panose="020B0609070205080204" pitchFamily="49" charset="-128"/>
              <a:ea typeface="ＭＳ ゴシック" panose="020B0609070205080204" pitchFamily="49" charset="-128"/>
            </a:rPr>
            <a:t>\99 </a:t>
          </a:r>
        </a:p>
        <a:p>
          <a:r>
            <a:rPr kumimoji="1" lang="en-US" altLang="ja-JP" sz="900">
              <a:latin typeface="ＭＳ ゴシック" panose="020B0609070205080204" pitchFamily="49" charset="-128"/>
              <a:ea typeface="ＭＳ ゴシック" panose="020B0609070205080204" pitchFamily="49" charset="-128"/>
            </a:rPr>
            <a:t>   4900000007244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小計       </a:t>
          </a:r>
          <a:r>
            <a:rPr kumimoji="1" lang="en-US" altLang="ja-JP" sz="900">
              <a:latin typeface="ＭＳ ゴシック" panose="020B0609070205080204" pitchFamily="49" charset="-128"/>
              <a:ea typeface="ＭＳ ゴシック" panose="020B0609070205080204" pitchFamily="49" charset="-128"/>
            </a:rPr>
            <a:t>1</a:t>
          </a:r>
          <a:r>
            <a:rPr kumimoji="1" lang="ja-JP" altLang="en-US" sz="900">
              <a:latin typeface="ＭＳ ゴシック" panose="020B0609070205080204" pitchFamily="49" charset="-128"/>
              <a:ea typeface="ＭＳ ゴシック" panose="020B0609070205080204" pitchFamily="49" charset="-128"/>
            </a:rPr>
            <a:t>点             </a:t>
          </a:r>
          <a:r>
            <a:rPr kumimoji="1" lang="en-US" altLang="ja-JP" sz="900">
              <a:latin typeface="ＭＳ ゴシック" panose="020B0609070205080204" pitchFamily="49" charset="-128"/>
              <a:ea typeface="ＭＳ ゴシック" panose="020B0609070205080204" pitchFamily="49" charset="-128"/>
            </a:rPr>
            <a:t>\99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外税 </a:t>
          </a:r>
          <a:r>
            <a:rPr kumimoji="1" lang="en-US" altLang="ja-JP" sz="900">
              <a:latin typeface="ＭＳ ゴシック" panose="020B0609070205080204" pitchFamily="49" charset="-128"/>
              <a:ea typeface="ＭＳ ゴシック" panose="020B0609070205080204" pitchFamily="49" charset="-128"/>
            </a:rPr>
            <a:t>8.0%</a:t>
          </a:r>
          <a:r>
            <a:rPr kumimoji="1" lang="ja-JP" altLang="en-US" sz="900">
              <a:latin typeface="ＭＳ ゴシック" panose="020B0609070205080204" pitchFamily="49" charset="-128"/>
              <a:ea typeface="ＭＳ ゴシック" panose="020B0609070205080204" pitchFamily="49" charset="-128"/>
            </a:rPr>
            <a:t>対象額          </a:t>
          </a:r>
          <a:r>
            <a:rPr kumimoji="1" lang="en-US" altLang="ja-JP" sz="900">
              <a:latin typeface="ＭＳ ゴシック" panose="020B0609070205080204" pitchFamily="49" charset="-128"/>
              <a:ea typeface="ＭＳ ゴシック" panose="020B0609070205080204" pitchFamily="49" charset="-128"/>
            </a:rPr>
            <a:t>\99)</a:t>
          </a:r>
        </a:p>
        <a:p>
          <a:r>
            <a:rPr kumimoji="1" lang="en-US" altLang="ja-JP" sz="900">
              <a:latin typeface="ＭＳ ゴシック" panose="020B0609070205080204" pitchFamily="49" charset="-128"/>
              <a:ea typeface="ＭＳ ゴシック" panose="020B0609070205080204" pitchFamily="49" charset="-128"/>
            </a:rPr>
            <a:t>      8.0% </a:t>
          </a:r>
          <a:r>
            <a:rPr kumimoji="1" lang="ja-JP" altLang="en-US" sz="900">
              <a:latin typeface="ＭＳ ゴシック" panose="020B0609070205080204" pitchFamily="49" charset="-128"/>
              <a:ea typeface="ＭＳ ゴシック" panose="020B0609070205080204" pitchFamily="49" charset="-128"/>
            </a:rPr>
            <a:t>消費税等          </a:t>
          </a:r>
          <a:r>
            <a:rPr kumimoji="1" lang="en-US" altLang="ja-JP" sz="900">
              <a:latin typeface="ＭＳ ゴシック" panose="020B0609070205080204" pitchFamily="49" charset="-128"/>
              <a:ea typeface="ＭＳ ゴシック" panose="020B0609070205080204" pitchFamily="49" charset="-128"/>
            </a:rPr>
            <a:t>\7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外税額計                    </a:t>
          </a:r>
          <a:r>
            <a:rPr kumimoji="1" lang="en-US" altLang="ja-JP" sz="900">
              <a:latin typeface="ＭＳ ゴシック" panose="020B0609070205080204" pitchFamily="49" charset="-128"/>
              <a:ea typeface="ＭＳ ゴシック" panose="020B0609070205080204" pitchFamily="49" charset="-128"/>
            </a:rPr>
            <a:t>\7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税込小計                  </a:t>
          </a:r>
          <a:r>
            <a:rPr kumimoji="1" lang="en-US" altLang="ja-JP" sz="900">
              <a:latin typeface="ＭＳ ゴシック" panose="020B0609070205080204" pitchFamily="49" charset="-128"/>
              <a:ea typeface="ＭＳ ゴシック" panose="020B0609070205080204" pitchFamily="49" charset="-128"/>
            </a:rPr>
            <a:t>\106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税込 </a:t>
          </a:r>
          <a:r>
            <a:rPr kumimoji="1" lang="en-US" altLang="ja-JP" sz="900">
              <a:latin typeface="ＭＳ ゴシック" panose="020B0609070205080204" pitchFamily="49" charset="-128"/>
              <a:ea typeface="ＭＳ ゴシック" panose="020B0609070205080204" pitchFamily="49" charset="-128"/>
            </a:rPr>
            <a:t>8.0%</a:t>
          </a:r>
          <a:r>
            <a:rPr kumimoji="1" lang="ja-JP" altLang="en-US" sz="900">
              <a:latin typeface="ＭＳ ゴシック" panose="020B0609070205080204" pitchFamily="49" charset="-128"/>
              <a:ea typeface="ＭＳ ゴシック" panose="020B0609070205080204" pitchFamily="49" charset="-128"/>
            </a:rPr>
            <a:t>対象額         </a:t>
          </a:r>
          <a:r>
            <a:rPr kumimoji="1" lang="en-US" altLang="ja-JP" sz="900">
              <a:latin typeface="ＭＳ ゴシック" panose="020B0609070205080204" pitchFamily="49" charset="-128"/>
              <a:ea typeface="ＭＳ ゴシック" panose="020B0609070205080204" pitchFamily="49" charset="-128"/>
            </a:rPr>
            <a:t>\106)</a:t>
          </a:r>
        </a:p>
        <a:p>
          <a:r>
            <a:rPr kumimoji="1" lang="en-US" altLang="ja-JP" sz="900">
              <a:latin typeface="ＭＳ ゴシック" panose="020B0609070205080204" pitchFamily="49" charset="-128"/>
              <a:ea typeface="ＭＳ ゴシック" panose="020B0609070205080204" pitchFamily="49" charset="-128"/>
            </a:rPr>
            <a:t>      8.0% </a:t>
          </a:r>
          <a:r>
            <a:rPr kumimoji="1" lang="ja-JP" altLang="en-US" sz="900">
              <a:latin typeface="ＭＳ ゴシック" panose="020B0609070205080204" pitchFamily="49" charset="-128"/>
              <a:ea typeface="ＭＳ ゴシック" panose="020B0609070205080204" pitchFamily="49" charset="-128"/>
            </a:rPr>
            <a:t>消費税等          </a:t>
          </a:r>
          <a:r>
            <a:rPr kumimoji="1" lang="en-US" altLang="ja-JP" sz="900">
              <a:latin typeface="ＭＳ ゴシック" panose="020B0609070205080204" pitchFamily="49" charset="-128"/>
              <a:ea typeface="ＭＳ ゴシック" panose="020B0609070205080204" pitchFamily="49" charset="-128"/>
            </a:rPr>
            <a:t>\7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税額計                      </a:t>
          </a:r>
          <a:r>
            <a:rPr kumimoji="1" lang="en-US" altLang="ja-JP" sz="900">
              <a:latin typeface="ＭＳ ゴシック" panose="020B0609070205080204" pitchFamily="49" charset="-128"/>
              <a:ea typeface="ＭＳ ゴシック" panose="020B0609070205080204" pitchFamily="49" charset="-128"/>
            </a:rPr>
            <a:t>\7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a:t>
          </a:r>
          <a:r>
            <a:rPr kumimoji="1" lang="en-US" altLang="ja-JP" sz="900">
              <a:latin typeface="ＭＳ ゴシック" panose="020B0609070205080204" pitchFamily="49" charset="-128"/>
              <a:ea typeface="ＭＳ ゴシック" panose="020B0609070205080204" pitchFamily="49" charset="-128"/>
            </a:rPr>
            <a:t>x</a:t>
          </a:r>
          <a:r>
            <a:rPr kumimoji="1" lang="ja-JP" altLang="en-US" sz="900">
              <a:latin typeface="ＭＳ ゴシック" panose="020B0609070205080204" pitchFamily="49" charset="-128"/>
              <a:ea typeface="ＭＳ ゴシック" panose="020B0609070205080204" pitchFamily="49" charset="-128"/>
            </a:rPr>
            <a:t>」は軽減税率対象商品です    </a:t>
          </a:r>
        </a:p>
        <a:p>
          <a:r>
            <a:rPr kumimoji="1" lang="ja-JP" altLang="en-US" sz="900">
              <a:latin typeface="ＭＳ ゴシック" panose="020B0609070205080204" pitchFamily="49" charset="-128"/>
              <a:ea typeface="ＭＳ ゴシック" panose="020B0609070205080204" pitchFamily="49" charset="-128"/>
            </a:rPr>
            <a:t> 合計                  </a:t>
          </a:r>
          <a:r>
            <a:rPr kumimoji="1" lang="en-US" altLang="ja-JP" sz="900">
              <a:latin typeface="ＭＳ ゴシック" panose="020B0609070205080204" pitchFamily="49" charset="-128"/>
              <a:ea typeface="ＭＳ ゴシック" panose="020B0609070205080204" pitchFamily="49" charset="-128"/>
            </a:rPr>
            <a:t>\106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お預り                </a:t>
          </a:r>
          <a:r>
            <a:rPr kumimoji="1" lang="en-US" altLang="ja-JP" sz="900">
              <a:latin typeface="ＭＳ ゴシック" panose="020B0609070205080204" pitchFamily="49" charset="-128"/>
              <a:ea typeface="ＭＳ ゴシック" panose="020B0609070205080204" pitchFamily="49" charset="-128"/>
            </a:rPr>
            <a:t>\106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お釣り                    </a:t>
          </a:r>
          <a:r>
            <a:rPr kumimoji="1" lang="en-US" altLang="ja-JP" sz="900">
              <a:latin typeface="ＭＳ ゴシック" panose="020B0609070205080204" pitchFamily="49" charset="-128"/>
              <a:ea typeface="ＭＳ ゴシック" panose="020B0609070205080204" pitchFamily="49" charset="-128"/>
            </a:rPr>
            <a:t>\0   </a:t>
          </a:r>
        </a:p>
        <a:p>
          <a:endParaRPr kumimoji="1" lang="en-US" altLang="ja-JP" sz="900">
            <a:latin typeface="ＭＳ ゴシック" panose="020B0609070205080204" pitchFamily="49" charset="-128"/>
            <a:ea typeface="ＭＳ ゴシック" panose="020B0609070205080204" pitchFamily="49" charset="-128"/>
          </a:endParaRPr>
        </a:p>
      </xdr:txBody>
    </xdr:sp>
    <xdr:clientData/>
  </xdr:twoCellAnchor>
  <xdr:twoCellAnchor>
    <xdr:from>
      <xdr:col>1</xdr:col>
      <xdr:colOff>122464</xdr:colOff>
      <xdr:row>151</xdr:row>
      <xdr:rowOff>54429</xdr:rowOff>
    </xdr:from>
    <xdr:to>
      <xdr:col>11</xdr:col>
      <xdr:colOff>12699</xdr:colOff>
      <xdr:row>168</xdr:row>
      <xdr:rowOff>102054</xdr:rowOff>
    </xdr:to>
    <xdr:sp macro="" textlink="">
      <xdr:nvSpPr>
        <xdr:cNvPr id="89" name="テキスト ボックス 88">
          <a:extLst>
            <a:ext uri="{FF2B5EF4-FFF2-40B4-BE49-F238E27FC236}">
              <a16:creationId xmlns:a16="http://schemas.microsoft.com/office/drawing/2014/main" id="{09F6056C-B6E7-47ED-B5F9-6E0EF03139EF}"/>
            </a:ext>
          </a:extLst>
        </xdr:cNvPr>
        <xdr:cNvSpPr txBox="1"/>
      </xdr:nvSpPr>
      <xdr:spPr>
        <a:xfrm>
          <a:off x="351064" y="25943379"/>
          <a:ext cx="2176235" cy="2962275"/>
        </a:xfrm>
        <a:prstGeom prst="rect">
          <a:avLst/>
        </a:prstGeom>
        <a:solidFill>
          <a:srgbClr val="FFFFC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lstStyle/>
        <a:p>
          <a:r>
            <a:rPr kumimoji="1" lang="en-US" altLang="ja-JP" sz="900">
              <a:latin typeface="ＭＳ ゴシック" panose="020B0609070205080204" pitchFamily="49" charset="-128"/>
              <a:ea typeface="ＭＳ ゴシック" panose="020B0609070205080204" pitchFamily="49" charset="-128"/>
            </a:rPr>
            <a:t>【</a:t>
          </a:r>
          <a:r>
            <a:rPr kumimoji="1" lang="ja-JP" altLang="en-US" sz="900">
              <a:latin typeface="ＭＳ ゴシック" panose="020B0609070205080204" pitchFamily="49" charset="-128"/>
              <a:ea typeface="ＭＳ ゴシック" panose="020B0609070205080204" pitchFamily="49" charset="-128"/>
            </a:rPr>
            <a:t>ジャーナル印字イメージ</a:t>
          </a:r>
          <a:r>
            <a:rPr kumimoji="1" lang="en-US" altLang="ja-JP" sz="900">
              <a:latin typeface="ＭＳ ゴシック" panose="020B0609070205080204" pitchFamily="49" charset="-128"/>
              <a:ea typeface="ＭＳ ゴシック" panose="020B0609070205080204" pitchFamily="49" charset="-128"/>
            </a:rPr>
            <a:t>】</a:t>
          </a:r>
        </a:p>
        <a:p>
          <a:r>
            <a:rPr kumimoji="1" lang="ja-JP" altLang="en-US" sz="900">
              <a:latin typeface="ＭＳ ゴシック" panose="020B0609070205080204" pitchFamily="49" charset="-128"/>
              <a:ea typeface="ＭＳ ゴシック" panose="020B0609070205080204" pitchFamily="49" charset="-128"/>
            </a:rPr>
            <a:t> </a:t>
          </a:r>
          <a:r>
            <a:rPr kumimoji="1" lang="en-US" altLang="ja-JP" sz="900">
              <a:latin typeface="ＭＳ ゴシック" panose="020B0609070205080204" pitchFamily="49" charset="-128"/>
              <a:ea typeface="ＭＳ ゴシック" panose="020B0609070205080204" pitchFamily="49" charset="-128"/>
            </a:rPr>
            <a:t>2024</a:t>
          </a:r>
          <a:r>
            <a:rPr kumimoji="1" lang="ja-JP" altLang="en-US" sz="900">
              <a:latin typeface="ＭＳ ゴシック" panose="020B0609070205080204" pitchFamily="49" charset="-128"/>
              <a:ea typeface="ＭＳ ゴシック" panose="020B0609070205080204" pitchFamily="49" charset="-128"/>
            </a:rPr>
            <a:t>年</a:t>
          </a:r>
          <a:r>
            <a:rPr kumimoji="1" lang="en-US" altLang="ja-JP" sz="900">
              <a:latin typeface="ＭＳ ゴシック" panose="020B0609070205080204" pitchFamily="49" charset="-128"/>
              <a:ea typeface="ＭＳ ゴシック" panose="020B0609070205080204" pitchFamily="49" charset="-128"/>
            </a:rPr>
            <a:t>10</a:t>
          </a:r>
          <a:r>
            <a:rPr kumimoji="1" lang="ja-JP" altLang="en-US" sz="900">
              <a:latin typeface="ＭＳ ゴシック" panose="020B0609070205080204" pitchFamily="49" charset="-128"/>
              <a:ea typeface="ＭＳ ゴシック" panose="020B0609070205080204" pitchFamily="49" charset="-128"/>
            </a:rPr>
            <a:t>月</a:t>
          </a:r>
          <a:r>
            <a:rPr kumimoji="1" lang="en-US" altLang="ja-JP" sz="900">
              <a:latin typeface="ＭＳ ゴシック" panose="020B0609070205080204" pitchFamily="49" charset="-128"/>
              <a:ea typeface="ＭＳ ゴシック" panose="020B0609070205080204" pitchFamily="49" charset="-128"/>
            </a:rPr>
            <a:t>21</a:t>
          </a:r>
          <a:r>
            <a:rPr kumimoji="1" lang="ja-JP" altLang="en-US" sz="900">
              <a:latin typeface="ＭＳ ゴシック" panose="020B0609070205080204" pitchFamily="49" charset="-128"/>
              <a:ea typeface="ＭＳ ゴシック" panose="020B0609070205080204" pitchFamily="49" charset="-128"/>
            </a:rPr>
            <a:t>日（月） </a:t>
          </a:r>
          <a:r>
            <a:rPr kumimoji="1" lang="en-US" altLang="ja-JP" sz="900">
              <a:latin typeface="ＭＳ ゴシック" panose="020B0609070205080204" pitchFamily="49" charset="-128"/>
              <a:ea typeface="ＭＳ ゴシック" panose="020B0609070205080204" pitchFamily="49" charset="-128"/>
            </a:rPr>
            <a:t>20:34     </a:t>
          </a:r>
        </a:p>
        <a:p>
          <a:r>
            <a:rPr kumimoji="1" lang="en-US" altLang="ja-JP" sz="900">
              <a:latin typeface="ＭＳ ゴシック" panose="020B0609070205080204" pitchFamily="49" charset="-128"/>
              <a:ea typeface="ＭＳ ゴシック" panose="020B0609070205080204" pitchFamily="49" charset="-128"/>
            </a:rPr>
            <a:t>   01 x</a:t>
          </a:r>
          <a:r>
            <a:rPr kumimoji="1" lang="ja-JP" altLang="en-US" sz="900">
              <a:latin typeface="ＭＳ ゴシック" panose="020B0609070205080204" pitchFamily="49" charset="-128"/>
              <a:ea typeface="ＭＳ ゴシック" panose="020B0609070205080204" pitchFamily="49" charset="-128"/>
            </a:rPr>
            <a:t>商品Ｂ               </a:t>
          </a:r>
          <a:r>
            <a:rPr kumimoji="1" lang="en-US" altLang="ja-JP" sz="900">
              <a:latin typeface="ＭＳ ゴシック" panose="020B0609070205080204" pitchFamily="49" charset="-128"/>
              <a:ea typeface="ＭＳ ゴシック" panose="020B0609070205080204" pitchFamily="49" charset="-128"/>
            </a:rPr>
            <a:t>\93 </a:t>
          </a:r>
        </a:p>
        <a:p>
          <a:r>
            <a:rPr kumimoji="1" lang="en-US" altLang="ja-JP" sz="900">
              <a:latin typeface="ＭＳ ゴシック" panose="020B0609070205080204" pitchFamily="49" charset="-128"/>
              <a:ea typeface="ＭＳ ゴシック" panose="020B0609070205080204" pitchFamily="49" charset="-128"/>
            </a:rPr>
            <a:t>   4900000007275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小計       </a:t>
          </a:r>
          <a:r>
            <a:rPr kumimoji="1" lang="en-US" altLang="ja-JP" sz="900">
              <a:latin typeface="ＭＳ ゴシック" panose="020B0609070205080204" pitchFamily="49" charset="-128"/>
              <a:ea typeface="ＭＳ ゴシック" panose="020B0609070205080204" pitchFamily="49" charset="-128"/>
            </a:rPr>
            <a:t>1</a:t>
          </a:r>
          <a:r>
            <a:rPr kumimoji="1" lang="ja-JP" altLang="en-US" sz="900">
              <a:latin typeface="ＭＳ ゴシック" panose="020B0609070205080204" pitchFamily="49" charset="-128"/>
              <a:ea typeface="ＭＳ ゴシック" panose="020B0609070205080204" pitchFamily="49" charset="-128"/>
            </a:rPr>
            <a:t>点             </a:t>
          </a:r>
          <a:r>
            <a:rPr kumimoji="1" lang="en-US" altLang="ja-JP" sz="900">
              <a:latin typeface="ＭＳ ゴシック" panose="020B0609070205080204" pitchFamily="49" charset="-128"/>
              <a:ea typeface="ＭＳ ゴシック" panose="020B0609070205080204" pitchFamily="49" charset="-128"/>
            </a:rPr>
            <a:t>\93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外税 </a:t>
          </a:r>
          <a:r>
            <a:rPr kumimoji="1" lang="en-US" altLang="ja-JP" sz="900">
              <a:latin typeface="ＭＳ ゴシック" panose="020B0609070205080204" pitchFamily="49" charset="-128"/>
              <a:ea typeface="ＭＳ ゴシック" panose="020B0609070205080204" pitchFamily="49" charset="-128"/>
            </a:rPr>
            <a:t>8.0%</a:t>
          </a:r>
          <a:r>
            <a:rPr kumimoji="1" lang="ja-JP" altLang="en-US" sz="900">
              <a:latin typeface="ＭＳ ゴシック" panose="020B0609070205080204" pitchFamily="49" charset="-128"/>
              <a:ea typeface="ＭＳ ゴシック" panose="020B0609070205080204" pitchFamily="49" charset="-128"/>
            </a:rPr>
            <a:t>対象額          </a:t>
          </a:r>
          <a:r>
            <a:rPr kumimoji="1" lang="en-US" altLang="ja-JP" sz="900">
              <a:latin typeface="ＭＳ ゴシック" panose="020B0609070205080204" pitchFamily="49" charset="-128"/>
              <a:ea typeface="ＭＳ ゴシック" panose="020B0609070205080204" pitchFamily="49" charset="-128"/>
            </a:rPr>
            <a:t>\93)</a:t>
          </a:r>
        </a:p>
        <a:p>
          <a:r>
            <a:rPr kumimoji="1" lang="en-US" altLang="ja-JP" sz="900">
              <a:latin typeface="ＭＳ ゴシック" panose="020B0609070205080204" pitchFamily="49" charset="-128"/>
              <a:ea typeface="ＭＳ ゴシック" panose="020B0609070205080204" pitchFamily="49" charset="-128"/>
            </a:rPr>
            <a:t>      8.0% </a:t>
          </a:r>
          <a:r>
            <a:rPr kumimoji="1" lang="ja-JP" altLang="en-US" sz="900">
              <a:latin typeface="ＭＳ ゴシック" panose="020B0609070205080204" pitchFamily="49" charset="-128"/>
              <a:ea typeface="ＭＳ ゴシック" panose="020B0609070205080204" pitchFamily="49" charset="-128"/>
            </a:rPr>
            <a:t>消費税等          </a:t>
          </a:r>
          <a:r>
            <a:rPr kumimoji="1" lang="en-US" altLang="ja-JP" sz="900">
              <a:latin typeface="ＭＳ ゴシック" panose="020B0609070205080204" pitchFamily="49" charset="-128"/>
              <a:ea typeface="ＭＳ ゴシック" panose="020B0609070205080204" pitchFamily="49" charset="-128"/>
            </a:rPr>
            <a:t>\7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外税額計                    </a:t>
          </a:r>
          <a:r>
            <a:rPr kumimoji="1" lang="en-US" altLang="ja-JP" sz="900">
              <a:latin typeface="ＭＳ ゴシック" panose="020B0609070205080204" pitchFamily="49" charset="-128"/>
              <a:ea typeface="ＭＳ ゴシック" panose="020B0609070205080204" pitchFamily="49" charset="-128"/>
            </a:rPr>
            <a:t>\7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税込小計                  </a:t>
          </a:r>
          <a:r>
            <a:rPr kumimoji="1" lang="en-US" altLang="ja-JP" sz="900">
              <a:latin typeface="ＭＳ ゴシック" panose="020B0609070205080204" pitchFamily="49" charset="-128"/>
              <a:ea typeface="ＭＳ ゴシック" panose="020B0609070205080204" pitchFamily="49" charset="-128"/>
            </a:rPr>
            <a:t>\100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税込 </a:t>
          </a:r>
          <a:r>
            <a:rPr kumimoji="1" lang="en-US" altLang="ja-JP" sz="900">
              <a:latin typeface="ＭＳ ゴシック" panose="020B0609070205080204" pitchFamily="49" charset="-128"/>
              <a:ea typeface="ＭＳ ゴシック" panose="020B0609070205080204" pitchFamily="49" charset="-128"/>
            </a:rPr>
            <a:t>8.0%</a:t>
          </a:r>
          <a:r>
            <a:rPr kumimoji="1" lang="ja-JP" altLang="en-US" sz="900">
              <a:latin typeface="ＭＳ ゴシック" panose="020B0609070205080204" pitchFamily="49" charset="-128"/>
              <a:ea typeface="ＭＳ ゴシック" panose="020B0609070205080204" pitchFamily="49" charset="-128"/>
            </a:rPr>
            <a:t>対象額         </a:t>
          </a:r>
          <a:r>
            <a:rPr kumimoji="1" lang="en-US" altLang="ja-JP" sz="900">
              <a:latin typeface="ＭＳ ゴシック" panose="020B0609070205080204" pitchFamily="49" charset="-128"/>
              <a:ea typeface="ＭＳ ゴシック" panose="020B0609070205080204" pitchFamily="49" charset="-128"/>
            </a:rPr>
            <a:t>\100)</a:t>
          </a:r>
        </a:p>
        <a:p>
          <a:r>
            <a:rPr kumimoji="1" lang="en-US" altLang="ja-JP" sz="900">
              <a:latin typeface="ＭＳ ゴシック" panose="020B0609070205080204" pitchFamily="49" charset="-128"/>
              <a:ea typeface="ＭＳ ゴシック" panose="020B0609070205080204" pitchFamily="49" charset="-128"/>
            </a:rPr>
            <a:t>      8.0% </a:t>
          </a:r>
          <a:r>
            <a:rPr kumimoji="1" lang="ja-JP" altLang="en-US" sz="900">
              <a:latin typeface="ＭＳ ゴシック" panose="020B0609070205080204" pitchFamily="49" charset="-128"/>
              <a:ea typeface="ＭＳ ゴシック" panose="020B0609070205080204" pitchFamily="49" charset="-128"/>
            </a:rPr>
            <a:t>消費税等          </a:t>
          </a:r>
          <a:r>
            <a:rPr kumimoji="1" lang="en-US" altLang="ja-JP" sz="900">
              <a:latin typeface="ＭＳ ゴシック" panose="020B0609070205080204" pitchFamily="49" charset="-128"/>
              <a:ea typeface="ＭＳ ゴシック" panose="020B0609070205080204" pitchFamily="49" charset="-128"/>
            </a:rPr>
            <a:t>\7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税額計                      </a:t>
          </a:r>
          <a:r>
            <a:rPr kumimoji="1" lang="en-US" altLang="ja-JP" sz="900">
              <a:latin typeface="ＭＳ ゴシック" panose="020B0609070205080204" pitchFamily="49" charset="-128"/>
              <a:ea typeface="ＭＳ ゴシック" panose="020B0609070205080204" pitchFamily="49" charset="-128"/>
            </a:rPr>
            <a:t>\7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a:t>
          </a:r>
          <a:r>
            <a:rPr kumimoji="1" lang="en-US" altLang="ja-JP" sz="900">
              <a:latin typeface="ＭＳ ゴシック" panose="020B0609070205080204" pitchFamily="49" charset="-128"/>
              <a:ea typeface="ＭＳ ゴシック" panose="020B0609070205080204" pitchFamily="49" charset="-128"/>
            </a:rPr>
            <a:t>x</a:t>
          </a:r>
          <a:r>
            <a:rPr kumimoji="1" lang="ja-JP" altLang="en-US" sz="900">
              <a:latin typeface="ＭＳ ゴシック" panose="020B0609070205080204" pitchFamily="49" charset="-128"/>
              <a:ea typeface="ＭＳ ゴシック" panose="020B0609070205080204" pitchFamily="49" charset="-128"/>
            </a:rPr>
            <a:t>」は軽減税率対象商品です    </a:t>
          </a:r>
        </a:p>
        <a:p>
          <a:r>
            <a:rPr kumimoji="1" lang="ja-JP" altLang="en-US" sz="900">
              <a:latin typeface="ＭＳ ゴシック" panose="020B0609070205080204" pitchFamily="49" charset="-128"/>
              <a:ea typeface="ＭＳ ゴシック" panose="020B0609070205080204" pitchFamily="49" charset="-128"/>
            </a:rPr>
            <a:t> 合計                  </a:t>
          </a:r>
          <a:r>
            <a:rPr kumimoji="1" lang="en-US" altLang="ja-JP" sz="900">
              <a:latin typeface="ＭＳ ゴシック" panose="020B0609070205080204" pitchFamily="49" charset="-128"/>
              <a:ea typeface="ＭＳ ゴシック" panose="020B0609070205080204" pitchFamily="49" charset="-128"/>
            </a:rPr>
            <a:t>\100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お預り                </a:t>
          </a:r>
          <a:r>
            <a:rPr kumimoji="1" lang="en-US" altLang="ja-JP" sz="900">
              <a:latin typeface="ＭＳ ゴシック" panose="020B0609070205080204" pitchFamily="49" charset="-128"/>
              <a:ea typeface="ＭＳ ゴシック" panose="020B0609070205080204" pitchFamily="49" charset="-128"/>
            </a:rPr>
            <a:t>\100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お釣り                    </a:t>
          </a:r>
          <a:r>
            <a:rPr kumimoji="1" lang="en-US" altLang="ja-JP" sz="900">
              <a:latin typeface="ＭＳ ゴシック" panose="020B0609070205080204" pitchFamily="49" charset="-128"/>
              <a:ea typeface="ＭＳ ゴシック" panose="020B0609070205080204" pitchFamily="49" charset="-128"/>
            </a:rPr>
            <a:t>\0   </a:t>
          </a:r>
        </a:p>
      </xdr:txBody>
    </xdr:sp>
    <xdr:clientData/>
  </xdr:twoCellAnchor>
  <xdr:twoCellAnchor>
    <xdr:from>
      <xdr:col>1</xdr:col>
      <xdr:colOff>95250</xdr:colOff>
      <xdr:row>216</xdr:row>
      <xdr:rowOff>34017</xdr:rowOff>
    </xdr:from>
    <xdr:to>
      <xdr:col>10</xdr:col>
      <xdr:colOff>216807</xdr:colOff>
      <xdr:row>246</xdr:row>
      <xdr:rowOff>68036</xdr:rowOff>
    </xdr:to>
    <xdr:sp macro="" textlink="">
      <xdr:nvSpPr>
        <xdr:cNvPr id="90" name="テキスト ボックス 89">
          <a:extLst>
            <a:ext uri="{FF2B5EF4-FFF2-40B4-BE49-F238E27FC236}">
              <a16:creationId xmlns:a16="http://schemas.microsoft.com/office/drawing/2014/main" id="{B1F2E789-FB03-4D08-A00B-77B3D97CD92A}"/>
            </a:ext>
          </a:extLst>
        </xdr:cNvPr>
        <xdr:cNvSpPr txBox="1"/>
      </xdr:nvSpPr>
      <xdr:spPr>
        <a:xfrm>
          <a:off x="323850" y="37067217"/>
          <a:ext cx="2178957" cy="5177519"/>
        </a:xfrm>
        <a:prstGeom prst="rect">
          <a:avLst/>
        </a:prstGeom>
        <a:solidFill>
          <a:srgbClr val="FFFFC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lstStyle/>
        <a:p>
          <a:r>
            <a:rPr kumimoji="1" lang="en-US" altLang="ja-JP" sz="900">
              <a:latin typeface="ＭＳ ゴシック" panose="020B0609070205080204" pitchFamily="49" charset="-128"/>
              <a:ea typeface="ＭＳ ゴシック" panose="020B0609070205080204" pitchFamily="49" charset="-128"/>
            </a:rPr>
            <a:t>【</a:t>
          </a:r>
          <a:r>
            <a:rPr kumimoji="1" lang="ja-JP" altLang="en-US" sz="900">
              <a:latin typeface="ＭＳ ゴシック" panose="020B0609070205080204" pitchFamily="49" charset="-128"/>
              <a:ea typeface="ＭＳ ゴシック" panose="020B0609070205080204" pitchFamily="49" charset="-128"/>
            </a:rPr>
            <a:t>ジャーナル印字イメージ</a:t>
          </a:r>
          <a:r>
            <a:rPr kumimoji="1" lang="en-US" altLang="ja-JP" sz="900">
              <a:latin typeface="ＭＳ ゴシック" panose="020B0609070205080204" pitchFamily="49" charset="-128"/>
              <a:ea typeface="ＭＳ ゴシック" panose="020B0609070205080204" pitchFamily="49" charset="-128"/>
            </a:rPr>
            <a:t>】</a:t>
          </a:r>
        </a:p>
        <a:p>
          <a:r>
            <a:rPr kumimoji="1" lang="ja-JP" altLang="en-US" sz="900">
              <a:latin typeface="ＭＳ ゴシック" panose="020B0609070205080204" pitchFamily="49" charset="-128"/>
              <a:ea typeface="ＭＳ ゴシック" panose="020B0609070205080204" pitchFamily="49" charset="-128"/>
            </a:rPr>
            <a:t> </a:t>
          </a:r>
          <a:r>
            <a:rPr kumimoji="1" lang="en-US" altLang="ja-JP" sz="900">
              <a:latin typeface="ＭＳ ゴシック" panose="020B0609070205080204" pitchFamily="49" charset="-128"/>
              <a:ea typeface="ＭＳ ゴシック" panose="020B0609070205080204" pitchFamily="49" charset="-128"/>
            </a:rPr>
            <a:t>2024</a:t>
          </a:r>
          <a:r>
            <a:rPr kumimoji="1" lang="ja-JP" altLang="en-US" sz="900">
              <a:latin typeface="ＭＳ ゴシック" panose="020B0609070205080204" pitchFamily="49" charset="-128"/>
              <a:ea typeface="ＭＳ ゴシック" panose="020B0609070205080204" pitchFamily="49" charset="-128"/>
            </a:rPr>
            <a:t>年</a:t>
          </a:r>
          <a:r>
            <a:rPr kumimoji="1" lang="en-US" altLang="ja-JP" sz="900">
              <a:latin typeface="ＭＳ ゴシック" panose="020B0609070205080204" pitchFamily="49" charset="-128"/>
              <a:ea typeface="ＭＳ ゴシック" panose="020B0609070205080204" pitchFamily="49" charset="-128"/>
            </a:rPr>
            <a:t>10</a:t>
          </a:r>
          <a:r>
            <a:rPr kumimoji="1" lang="ja-JP" altLang="en-US" sz="900">
              <a:latin typeface="ＭＳ ゴシック" panose="020B0609070205080204" pitchFamily="49" charset="-128"/>
              <a:ea typeface="ＭＳ ゴシック" panose="020B0609070205080204" pitchFamily="49" charset="-128"/>
            </a:rPr>
            <a:t>月</a:t>
          </a:r>
          <a:r>
            <a:rPr kumimoji="1" lang="en-US" altLang="ja-JP" sz="900">
              <a:latin typeface="ＭＳ ゴシック" panose="020B0609070205080204" pitchFamily="49" charset="-128"/>
              <a:ea typeface="ＭＳ ゴシック" panose="020B0609070205080204" pitchFamily="49" charset="-128"/>
            </a:rPr>
            <a:t>21</a:t>
          </a:r>
          <a:r>
            <a:rPr kumimoji="1" lang="ja-JP" altLang="en-US" sz="900">
              <a:latin typeface="ＭＳ ゴシック" panose="020B0609070205080204" pitchFamily="49" charset="-128"/>
              <a:ea typeface="ＭＳ ゴシック" panose="020B0609070205080204" pitchFamily="49" charset="-128"/>
            </a:rPr>
            <a:t>日（月） </a:t>
          </a:r>
          <a:r>
            <a:rPr kumimoji="1" lang="en-US" altLang="ja-JP" sz="900">
              <a:latin typeface="ＭＳ ゴシック" panose="020B0609070205080204" pitchFamily="49" charset="-128"/>
              <a:ea typeface="ＭＳ ゴシック" panose="020B0609070205080204" pitchFamily="49" charset="-128"/>
            </a:rPr>
            <a:t>22:04     </a:t>
          </a:r>
        </a:p>
        <a:p>
          <a:r>
            <a:rPr kumimoji="1" lang="en-US" altLang="ja-JP" sz="900">
              <a:latin typeface="ＭＳ ゴシック" panose="020B0609070205080204" pitchFamily="49" charset="-128"/>
              <a:ea typeface="ＭＳ ゴシック" panose="020B0609070205080204" pitchFamily="49" charset="-128"/>
            </a:rPr>
            <a:t>   01 x</a:t>
          </a:r>
          <a:r>
            <a:rPr kumimoji="1" lang="ja-JP" altLang="en-US" sz="900">
              <a:latin typeface="ＭＳ ゴシック" panose="020B0609070205080204" pitchFamily="49" charset="-128"/>
              <a:ea typeface="ＭＳ ゴシック" panose="020B0609070205080204" pitchFamily="49" charset="-128"/>
            </a:rPr>
            <a:t>商品Ｂ               </a:t>
          </a:r>
          <a:r>
            <a:rPr kumimoji="1" lang="en-US" altLang="ja-JP" sz="900">
              <a:latin typeface="ＭＳ ゴシック" panose="020B0609070205080204" pitchFamily="49" charset="-128"/>
              <a:ea typeface="ＭＳ ゴシック" panose="020B0609070205080204" pitchFamily="49" charset="-128"/>
            </a:rPr>
            <a:t>\93 </a:t>
          </a:r>
        </a:p>
        <a:p>
          <a:r>
            <a:rPr kumimoji="1" lang="en-US" altLang="ja-JP" sz="900">
              <a:latin typeface="ＭＳ ゴシック" panose="020B0609070205080204" pitchFamily="49" charset="-128"/>
              <a:ea typeface="ＭＳ ゴシック" panose="020B0609070205080204" pitchFamily="49" charset="-128"/>
            </a:rPr>
            <a:t>   4900000007275                </a:t>
          </a:r>
        </a:p>
        <a:p>
          <a:r>
            <a:rPr kumimoji="1" lang="en-US" altLang="ja-JP" sz="900">
              <a:latin typeface="ＭＳ ゴシック" panose="020B0609070205080204" pitchFamily="49" charset="-128"/>
              <a:ea typeface="ＭＳ ゴシック" panose="020B0609070205080204" pitchFamily="49" charset="-128"/>
            </a:rPr>
            <a:t>   01 x</a:t>
          </a:r>
          <a:r>
            <a:rPr kumimoji="1" lang="ja-JP" altLang="en-US" sz="900">
              <a:latin typeface="ＭＳ ゴシック" panose="020B0609070205080204" pitchFamily="49" charset="-128"/>
              <a:ea typeface="ＭＳ ゴシック" panose="020B0609070205080204" pitchFamily="49" charset="-128"/>
            </a:rPr>
            <a:t>商品Ｃ     </a:t>
          </a:r>
          <a:r>
            <a:rPr kumimoji="1" lang="en-US" altLang="ja-JP" sz="900">
              <a:latin typeface="ＭＳ ゴシック" panose="020B0609070205080204" pitchFamily="49" charset="-128"/>
              <a:ea typeface="ＭＳ ゴシック" panose="020B0609070205080204" pitchFamily="49" charset="-128"/>
            </a:rPr>
            <a:t>         \100 </a:t>
          </a:r>
        </a:p>
        <a:p>
          <a:r>
            <a:rPr kumimoji="1" lang="en-US" altLang="ja-JP" sz="900">
              <a:latin typeface="ＭＳ ゴシック" panose="020B0609070205080204" pitchFamily="49" charset="-128"/>
              <a:ea typeface="ＭＳ ゴシック" panose="020B0609070205080204" pitchFamily="49" charset="-128"/>
            </a:rPr>
            <a:t>   4900000007466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部門値引   </a:t>
          </a:r>
          <a:r>
            <a:rPr kumimoji="1" lang="en-US" altLang="ja-JP" sz="900">
              <a:latin typeface="ＭＳ ゴシック" panose="020B0609070205080204" pitchFamily="49" charset="-128"/>
              <a:ea typeface="ＭＳ ゴシック" panose="020B0609070205080204" pitchFamily="49" charset="-128"/>
            </a:rPr>
            <a:t>15%         -\15 </a:t>
          </a:r>
        </a:p>
        <a:p>
          <a:r>
            <a:rPr kumimoji="1" lang="en-US" altLang="ja-JP" sz="900">
              <a:latin typeface="ＭＳ ゴシック" panose="020B0609070205080204" pitchFamily="49" charset="-128"/>
              <a:ea typeface="ＭＳ ゴシック" panose="020B0609070205080204" pitchFamily="49" charset="-128"/>
            </a:rPr>
            <a:t>   01 x</a:t>
          </a:r>
          <a:r>
            <a:rPr kumimoji="1" lang="ja-JP" altLang="en-US" sz="900">
              <a:latin typeface="ＭＳ ゴシック" panose="020B0609070205080204" pitchFamily="49" charset="-128"/>
              <a:ea typeface="ＭＳ ゴシック" panose="020B0609070205080204" pitchFamily="49" charset="-128"/>
            </a:rPr>
            <a:t>商品Ｄ</a:t>
          </a:r>
          <a:r>
            <a:rPr kumimoji="1" lang="en-US" altLang="ja-JP" sz="900">
              <a:latin typeface="ＭＳ ゴシック" panose="020B0609070205080204" pitchFamily="49" charset="-128"/>
              <a:ea typeface="ＭＳ ゴシック" panose="020B0609070205080204" pitchFamily="49" charset="-128"/>
            </a:rPr>
            <a:t>                   </a:t>
          </a:r>
        </a:p>
        <a:p>
          <a:r>
            <a:rPr kumimoji="1" lang="en-US" altLang="ja-JP" sz="900">
              <a:latin typeface="ＭＳ ゴシック" panose="020B0609070205080204" pitchFamily="49" charset="-128"/>
              <a:ea typeface="ＭＳ ゴシック" panose="020B0609070205080204" pitchFamily="49" charset="-128"/>
            </a:rPr>
            <a:t>   4900000007473                </a:t>
          </a:r>
        </a:p>
        <a:p>
          <a:r>
            <a:rPr kumimoji="1" lang="en-US" altLang="ja-JP" sz="900">
              <a:latin typeface="ＭＳ ゴシック" panose="020B0609070205080204" pitchFamily="49" charset="-128"/>
              <a:ea typeface="ＭＳ ゴシック" panose="020B0609070205080204" pitchFamily="49" charset="-128"/>
            </a:rPr>
            <a:t>        \100   3</a:t>
          </a:r>
          <a:r>
            <a:rPr kumimoji="1" lang="ja-JP" altLang="en-US" sz="900">
              <a:latin typeface="ＭＳ ゴシック" panose="020B0609070205080204" pitchFamily="49" charset="-128"/>
              <a:ea typeface="ＭＳ ゴシック" panose="020B0609070205080204" pitchFamily="49" charset="-128"/>
            </a:rPr>
            <a:t>個         </a:t>
          </a:r>
          <a:r>
            <a:rPr kumimoji="1" lang="en-US" altLang="ja-JP" sz="900">
              <a:latin typeface="ＭＳ ゴシック" panose="020B0609070205080204" pitchFamily="49" charset="-128"/>
              <a:ea typeface="ＭＳ ゴシック" panose="020B0609070205080204" pitchFamily="49" charset="-128"/>
            </a:rPr>
            <a:t>\300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部門値引   </a:t>
          </a:r>
          <a:r>
            <a:rPr kumimoji="1" lang="en-US" altLang="ja-JP" sz="900">
              <a:latin typeface="ＭＳ ゴシック" panose="020B0609070205080204" pitchFamily="49" charset="-128"/>
              <a:ea typeface="ＭＳ ゴシック" panose="020B0609070205080204" pitchFamily="49" charset="-128"/>
            </a:rPr>
            <a:t>15%         -\45 </a:t>
          </a:r>
        </a:p>
        <a:p>
          <a:r>
            <a:rPr kumimoji="1" lang="en-US" altLang="ja-JP" sz="900">
              <a:latin typeface="ＭＳ ゴシック" panose="020B0609070205080204" pitchFamily="49" charset="-128"/>
              <a:ea typeface="ＭＳ ゴシック" panose="020B0609070205080204" pitchFamily="49" charset="-128"/>
            </a:rPr>
            <a:t>   01 x</a:t>
          </a:r>
          <a:r>
            <a:rPr kumimoji="1" lang="ja-JP" altLang="en-US" sz="900">
              <a:latin typeface="ＭＳ ゴシック" panose="020B0609070205080204" pitchFamily="49" charset="-128"/>
              <a:ea typeface="ＭＳ ゴシック" panose="020B0609070205080204" pitchFamily="49" charset="-128"/>
            </a:rPr>
            <a:t>商品Ｅ</a:t>
          </a:r>
          <a:r>
            <a:rPr kumimoji="1" lang="en-US" altLang="ja-JP" sz="900">
              <a:latin typeface="ＭＳ ゴシック" panose="020B0609070205080204" pitchFamily="49" charset="-128"/>
              <a:ea typeface="ＭＳ ゴシック" panose="020B0609070205080204" pitchFamily="49" charset="-128"/>
            </a:rPr>
            <a:t>                   </a:t>
          </a:r>
        </a:p>
        <a:p>
          <a:r>
            <a:rPr kumimoji="1" lang="en-US" altLang="ja-JP" sz="900">
              <a:latin typeface="ＭＳ ゴシック" panose="020B0609070205080204" pitchFamily="49" charset="-128"/>
              <a:ea typeface="ＭＳ ゴシック" panose="020B0609070205080204" pitchFamily="49" charset="-128"/>
            </a:rPr>
            <a:t>   4900000007480                </a:t>
          </a:r>
        </a:p>
        <a:p>
          <a:r>
            <a:rPr kumimoji="1" lang="en-US" altLang="ja-JP" sz="900">
              <a:latin typeface="ＭＳ ゴシック" panose="020B0609070205080204" pitchFamily="49" charset="-128"/>
              <a:ea typeface="ＭＳ ゴシック" panose="020B0609070205080204" pitchFamily="49" charset="-128"/>
            </a:rPr>
            <a:t>        \100   2</a:t>
          </a:r>
          <a:r>
            <a:rPr kumimoji="1" lang="ja-JP" altLang="en-US" sz="900">
              <a:latin typeface="ＭＳ ゴシック" panose="020B0609070205080204" pitchFamily="49" charset="-128"/>
              <a:ea typeface="ＭＳ ゴシック" panose="020B0609070205080204" pitchFamily="49" charset="-128"/>
            </a:rPr>
            <a:t>個         </a:t>
          </a:r>
          <a:r>
            <a:rPr kumimoji="1" lang="en-US" altLang="ja-JP" sz="900">
              <a:latin typeface="ＭＳ ゴシック" panose="020B0609070205080204" pitchFamily="49" charset="-128"/>
              <a:ea typeface="ＭＳ ゴシック" panose="020B0609070205080204" pitchFamily="49" charset="-128"/>
            </a:rPr>
            <a:t>\200 </a:t>
          </a:r>
        </a:p>
        <a:p>
          <a:r>
            <a:rPr kumimoji="1" lang="en-US" altLang="ja-JP" sz="900">
              <a:latin typeface="ＭＳ ゴシック" panose="020B0609070205080204" pitchFamily="49" charset="-128"/>
              <a:ea typeface="ＭＳ ゴシック" panose="020B0609070205080204" pitchFamily="49" charset="-128"/>
            </a:rPr>
            <a:t>   01 x</a:t>
          </a:r>
          <a:r>
            <a:rPr kumimoji="1" lang="ja-JP" altLang="en-US" sz="900">
              <a:latin typeface="ＭＳ ゴシック" panose="020B0609070205080204" pitchFamily="49" charset="-128"/>
              <a:ea typeface="ＭＳ ゴシック" panose="020B0609070205080204" pitchFamily="49" charset="-128"/>
            </a:rPr>
            <a:t>商品Ｆ       </a:t>
          </a:r>
          <a:r>
            <a:rPr kumimoji="1" lang="en-US" altLang="ja-JP" sz="900">
              <a:latin typeface="ＭＳ ゴシック" panose="020B0609070205080204" pitchFamily="49" charset="-128"/>
              <a:ea typeface="ＭＳ ゴシック" panose="020B0609070205080204" pitchFamily="49" charset="-128"/>
            </a:rPr>
            <a:t>       \100 </a:t>
          </a:r>
        </a:p>
        <a:p>
          <a:r>
            <a:rPr kumimoji="1" lang="en-US" altLang="ja-JP" sz="900">
              <a:latin typeface="ＭＳ ゴシック" panose="020B0609070205080204" pitchFamily="49" charset="-128"/>
              <a:ea typeface="ＭＳ ゴシック" panose="020B0609070205080204" pitchFamily="49" charset="-128"/>
            </a:rPr>
            <a:t>   4900000007497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小計       </a:t>
          </a:r>
          <a:r>
            <a:rPr kumimoji="1" lang="en-US" altLang="ja-JP" sz="900">
              <a:latin typeface="ＭＳ ゴシック" panose="020B0609070205080204" pitchFamily="49" charset="-128"/>
              <a:ea typeface="ＭＳ ゴシック" panose="020B0609070205080204" pitchFamily="49" charset="-128"/>
            </a:rPr>
            <a:t>8</a:t>
          </a:r>
          <a:r>
            <a:rPr kumimoji="1" lang="ja-JP" altLang="en-US" sz="900">
              <a:latin typeface="ＭＳ ゴシック" panose="020B0609070205080204" pitchFamily="49" charset="-128"/>
              <a:ea typeface="ＭＳ ゴシック" panose="020B0609070205080204" pitchFamily="49" charset="-128"/>
            </a:rPr>
            <a:t>点            </a:t>
          </a:r>
          <a:r>
            <a:rPr kumimoji="1" lang="en-US" altLang="ja-JP" sz="900">
              <a:latin typeface="ＭＳ ゴシック" panose="020B0609070205080204" pitchFamily="49" charset="-128"/>
              <a:ea typeface="ＭＳ ゴシック" panose="020B0609070205080204" pitchFamily="49" charset="-128"/>
            </a:rPr>
            <a:t>\733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外税 </a:t>
          </a:r>
          <a:r>
            <a:rPr kumimoji="1" lang="en-US" altLang="ja-JP" sz="900">
              <a:latin typeface="ＭＳ ゴシック" panose="020B0609070205080204" pitchFamily="49" charset="-128"/>
              <a:ea typeface="ＭＳ ゴシック" panose="020B0609070205080204" pitchFamily="49" charset="-128"/>
            </a:rPr>
            <a:t>8.0%</a:t>
          </a:r>
          <a:r>
            <a:rPr kumimoji="1" lang="ja-JP" altLang="en-US" sz="900">
              <a:latin typeface="ＭＳ ゴシック" panose="020B0609070205080204" pitchFamily="49" charset="-128"/>
              <a:ea typeface="ＭＳ ゴシック" panose="020B0609070205080204" pitchFamily="49" charset="-128"/>
            </a:rPr>
            <a:t>対象額         </a:t>
          </a:r>
          <a:r>
            <a:rPr kumimoji="1" lang="en-US" altLang="ja-JP" sz="900">
              <a:latin typeface="ＭＳ ゴシック" panose="020B0609070205080204" pitchFamily="49" charset="-128"/>
              <a:ea typeface="ＭＳ ゴシック" panose="020B0609070205080204" pitchFamily="49" charset="-128"/>
            </a:rPr>
            <a:t>\733)</a:t>
          </a:r>
        </a:p>
        <a:p>
          <a:r>
            <a:rPr kumimoji="1" lang="en-US" altLang="ja-JP" sz="900">
              <a:latin typeface="ＭＳ ゴシック" panose="020B0609070205080204" pitchFamily="49" charset="-128"/>
              <a:ea typeface="ＭＳ ゴシック" panose="020B0609070205080204" pitchFamily="49" charset="-128"/>
            </a:rPr>
            <a:t>      8.0% </a:t>
          </a:r>
          <a:r>
            <a:rPr kumimoji="1" lang="ja-JP" altLang="en-US" sz="900">
              <a:latin typeface="ＭＳ ゴシック" panose="020B0609070205080204" pitchFamily="49" charset="-128"/>
              <a:ea typeface="ＭＳ ゴシック" panose="020B0609070205080204" pitchFamily="49" charset="-128"/>
            </a:rPr>
            <a:t>消費税等         </a:t>
          </a:r>
          <a:r>
            <a:rPr kumimoji="1" lang="en-US" altLang="ja-JP" sz="900">
              <a:latin typeface="ＭＳ ゴシック" panose="020B0609070205080204" pitchFamily="49" charset="-128"/>
              <a:ea typeface="ＭＳ ゴシック" panose="020B0609070205080204" pitchFamily="49" charset="-128"/>
            </a:rPr>
            <a:t>\58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外税額計                   </a:t>
          </a:r>
          <a:r>
            <a:rPr kumimoji="1" lang="en-US" altLang="ja-JP" sz="900">
              <a:latin typeface="ＭＳ ゴシック" panose="020B0609070205080204" pitchFamily="49" charset="-128"/>
              <a:ea typeface="ＭＳ ゴシック" panose="020B0609070205080204" pitchFamily="49" charset="-128"/>
            </a:rPr>
            <a:t>\58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税込小計                  </a:t>
          </a:r>
          <a:r>
            <a:rPr kumimoji="1" lang="en-US" altLang="ja-JP" sz="900">
              <a:latin typeface="ＭＳ ゴシック" panose="020B0609070205080204" pitchFamily="49" charset="-128"/>
              <a:ea typeface="ＭＳ ゴシック" panose="020B0609070205080204" pitchFamily="49" charset="-128"/>
            </a:rPr>
            <a:t>\791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税込 </a:t>
          </a:r>
          <a:r>
            <a:rPr kumimoji="1" lang="en-US" altLang="ja-JP" sz="900">
              <a:latin typeface="ＭＳ ゴシック" panose="020B0609070205080204" pitchFamily="49" charset="-128"/>
              <a:ea typeface="ＭＳ ゴシック" panose="020B0609070205080204" pitchFamily="49" charset="-128"/>
            </a:rPr>
            <a:t>8.0%</a:t>
          </a:r>
          <a:r>
            <a:rPr kumimoji="1" lang="ja-JP" altLang="en-US" sz="900">
              <a:latin typeface="ＭＳ ゴシック" panose="020B0609070205080204" pitchFamily="49" charset="-128"/>
              <a:ea typeface="ＭＳ ゴシック" panose="020B0609070205080204" pitchFamily="49" charset="-128"/>
            </a:rPr>
            <a:t>対象額         </a:t>
          </a:r>
          <a:r>
            <a:rPr kumimoji="1" lang="en-US" altLang="ja-JP" sz="900">
              <a:latin typeface="ＭＳ ゴシック" panose="020B0609070205080204" pitchFamily="49" charset="-128"/>
              <a:ea typeface="ＭＳ ゴシック" panose="020B0609070205080204" pitchFamily="49" charset="-128"/>
            </a:rPr>
            <a:t>\791)</a:t>
          </a:r>
        </a:p>
        <a:p>
          <a:r>
            <a:rPr kumimoji="1" lang="en-US" altLang="ja-JP" sz="900">
              <a:latin typeface="ＭＳ ゴシック" panose="020B0609070205080204" pitchFamily="49" charset="-128"/>
              <a:ea typeface="ＭＳ ゴシック" panose="020B0609070205080204" pitchFamily="49" charset="-128"/>
            </a:rPr>
            <a:t>      8.0% </a:t>
          </a:r>
          <a:r>
            <a:rPr kumimoji="1" lang="ja-JP" altLang="en-US" sz="900">
              <a:latin typeface="ＭＳ ゴシック" panose="020B0609070205080204" pitchFamily="49" charset="-128"/>
              <a:ea typeface="ＭＳ ゴシック" panose="020B0609070205080204" pitchFamily="49" charset="-128"/>
            </a:rPr>
            <a:t>消費税等         </a:t>
          </a:r>
          <a:r>
            <a:rPr kumimoji="1" lang="en-US" altLang="ja-JP" sz="900">
              <a:latin typeface="ＭＳ ゴシック" panose="020B0609070205080204" pitchFamily="49" charset="-128"/>
              <a:ea typeface="ＭＳ ゴシック" panose="020B0609070205080204" pitchFamily="49" charset="-128"/>
            </a:rPr>
            <a:t>\58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税額計                     </a:t>
          </a:r>
          <a:r>
            <a:rPr kumimoji="1" lang="en-US" altLang="ja-JP" sz="900">
              <a:latin typeface="ＭＳ ゴシック" panose="020B0609070205080204" pitchFamily="49" charset="-128"/>
              <a:ea typeface="ＭＳ ゴシック" panose="020B0609070205080204" pitchFamily="49" charset="-128"/>
            </a:rPr>
            <a:t>\58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a:t>
          </a:r>
          <a:r>
            <a:rPr kumimoji="1" lang="en-US" altLang="ja-JP" sz="900">
              <a:latin typeface="ＭＳ ゴシック" panose="020B0609070205080204" pitchFamily="49" charset="-128"/>
              <a:ea typeface="ＭＳ ゴシック" panose="020B0609070205080204" pitchFamily="49" charset="-128"/>
            </a:rPr>
            <a:t>x</a:t>
          </a:r>
          <a:r>
            <a:rPr kumimoji="1" lang="ja-JP" altLang="en-US" sz="900">
              <a:latin typeface="ＭＳ ゴシック" panose="020B0609070205080204" pitchFamily="49" charset="-128"/>
              <a:ea typeface="ＭＳ ゴシック" panose="020B0609070205080204" pitchFamily="49" charset="-128"/>
            </a:rPr>
            <a:t>」は軽減税率対象商品です    </a:t>
          </a:r>
        </a:p>
        <a:p>
          <a:r>
            <a:rPr kumimoji="1" lang="ja-JP" altLang="en-US" sz="900">
              <a:latin typeface="ＭＳ ゴシック" panose="020B0609070205080204" pitchFamily="49" charset="-128"/>
              <a:ea typeface="ＭＳ ゴシック" panose="020B0609070205080204" pitchFamily="49" charset="-128"/>
            </a:rPr>
            <a:t> 合計                  </a:t>
          </a:r>
          <a:r>
            <a:rPr kumimoji="1" lang="en-US" altLang="ja-JP" sz="900">
              <a:latin typeface="ＭＳ ゴシック" panose="020B0609070205080204" pitchFamily="49" charset="-128"/>
              <a:ea typeface="ＭＳ ゴシック" panose="020B0609070205080204" pitchFamily="49" charset="-128"/>
            </a:rPr>
            <a:t>\791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お預り                </a:t>
          </a:r>
          <a:r>
            <a:rPr kumimoji="1" lang="en-US" altLang="ja-JP" sz="900">
              <a:latin typeface="ＭＳ ゴシック" panose="020B0609070205080204" pitchFamily="49" charset="-128"/>
              <a:ea typeface="ＭＳ ゴシック" panose="020B0609070205080204" pitchFamily="49" charset="-128"/>
            </a:rPr>
            <a:t>\791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お釣り                    </a:t>
          </a:r>
          <a:r>
            <a:rPr kumimoji="1" lang="en-US" altLang="ja-JP" sz="900">
              <a:latin typeface="ＭＳ ゴシック" panose="020B0609070205080204" pitchFamily="49" charset="-128"/>
              <a:ea typeface="ＭＳ ゴシック" panose="020B0609070205080204" pitchFamily="49" charset="-128"/>
            </a:rPr>
            <a:t>\0   </a:t>
          </a:r>
        </a:p>
        <a:p>
          <a:endParaRPr kumimoji="1" lang="en-US" altLang="ja-JP" sz="900">
            <a:latin typeface="ＭＳ ゴシック" panose="020B0609070205080204" pitchFamily="49" charset="-128"/>
            <a:ea typeface="ＭＳ ゴシック" panose="020B0609070205080204" pitchFamily="49" charset="-128"/>
          </a:endParaRPr>
        </a:p>
      </xdr:txBody>
    </xdr:sp>
    <xdr:clientData/>
  </xdr:twoCellAnchor>
  <xdr:twoCellAnchor>
    <xdr:from>
      <xdr:col>22</xdr:col>
      <xdr:colOff>18757</xdr:colOff>
      <xdr:row>232</xdr:row>
      <xdr:rowOff>20242</xdr:rowOff>
    </xdr:from>
    <xdr:to>
      <xdr:col>22</xdr:col>
      <xdr:colOff>192112</xdr:colOff>
      <xdr:row>232</xdr:row>
      <xdr:rowOff>122139</xdr:rowOff>
    </xdr:to>
    <xdr:sp macro="" textlink="">
      <xdr:nvSpPr>
        <xdr:cNvPr id="91" name="正方形/長方形 90">
          <a:extLst>
            <a:ext uri="{FF2B5EF4-FFF2-40B4-BE49-F238E27FC236}">
              <a16:creationId xmlns:a16="http://schemas.microsoft.com/office/drawing/2014/main" id="{F4F015F9-168A-4F63-A0F0-73CD214CA709}"/>
            </a:ext>
          </a:extLst>
        </xdr:cNvPr>
        <xdr:cNvSpPr/>
      </xdr:nvSpPr>
      <xdr:spPr>
        <a:xfrm>
          <a:off x="5047957" y="39796642"/>
          <a:ext cx="17335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27402</xdr:colOff>
      <xdr:row>232</xdr:row>
      <xdr:rowOff>11137</xdr:rowOff>
    </xdr:from>
    <xdr:to>
      <xdr:col>29</xdr:col>
      <xdr:colOff>200757</xdr:colOff>
      <xdr:row>232</xdr:row>
      <xdr:rowOff>105414</xdr:rowOff>
    </xdr:to>
    <xdr:sp macro="" textlink="">
      <xdr:nvSpPr>
        <xdr:cNvPr id="92" name="正方形/長方形 91">
          <a:extLst>
            <a:ext uri="{FF2B5EF4-FFF2-40B4-BE49-F238E27FC236}">
              <a16:creationId xmlns:a16="http://schemas.microsoft.com/office/drawing/2014/main" id="{683FB809-F569-4BC0-B074-6BCAE82385FC}"/>
            </a:ext>
          </a:extLst>
        </xdr:cNvPr>
        <xdr:cNvSpPr/>
      </xdr:nvSpPr>
      <xdr:spPr>
        <a:xfrm>
          <a:off x="6656802" y="39787537"/>
          <a:ext cx="17335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234</xdr:row>
      <xdr:rowOff>14655</xdr:rowOff>
    </xdr:from>
    <xdr:to>
      <xdr:col>29</xdr:col>
      <xdr:colOff>198853</xdr:colOff>
      <xdr:row>234</xdr:row>
      <xdr:rowOff>112742</xdr:rowOff>
    </xdr:to>
    <xdr:sp macro="" textlink="">
      <xdr:nvSpPr>
        <xdr:cNvPr id="93" name="正方形/長方形 92">
          <a:extLst>
            <a:ext uri="{FF2B5EF4-FFF2-40B4-BE49-F238E27FC236}">
              <a16:creationId xmlns:a16="http://schemas.microsoft.com/office/drawing/2014/main" id="{87E8EABA-216E-4815-A7CD-6456964BF971}"/>
            </a:ext>
          </a:extLst>
        </xdr:cNvPr>
        <xdr:cNvSpPr/>
      </xdr:nvSpPr>
      <xdr:spPr>
        <a:xfrm>
          <a:off x="6658708" y="4013395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21981</xdr:colOff>
      <xdr:row>233</xdr:row>
      <xdr:rowOff>23885</xdr:rowOff>
    </xdr:from>
    <xdr:to>
      <xdr:col>22</xdr:col>
      <xdr:colOff>191526</xdr:colOff>
      <xdr:row>233</xdr:row>
      <xdr:rowOff>127688</xdr:rowOff>
    </xdr:to>
    <xdr:sp macro="" textlink="">
      <xdr:nvSpPr>
        <xdr:cNvPr id="94" name="正方形/長方形 93">
          <a:extLst>
            <a:ext uri="{FF2B5EF4-FFF2-40B4-BE49-F238E27FC236}">
              <a16:creationId xmlns:a16="http://schemas.microsoft.com/office/drawing/2014/main" id="{1E3DACB4-B874-4A64-AE1F-6C4DE6EA410E}"/>
            </a:ext>
          </a:extLst>
        </xdr:cNvPr>
        <xdr:cNvSpPr/>
      </xdr:nvSpPr>
      <xdr:spPr>
        <a:xfrm>
          <a:off x="5051181" y="3997173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198853</xdr:colOff>
      <xdr:row>224</xdr:row>
      <xdr:rowOff>72929</xdr:rowOff>
    </xdr:from>
    <xdr:to>
      <xdr:col>33</xdr:col>
      <xdr:colOff>13336</xdr:colOff>
      <xdr:row>234</xdr:row>
      <xdr:rowOff>63699</xdr:rowOff>
    </xdr:to>
    <xdr:cxnSp macro="">
      <xdr:nvCxnSpPr>
        <xdr:cNvPr id="95" name="直線コネクタ 31">
          <a:extLst>
            <a:ext uri="{FF2B5EF4-FFF2-40B4-BE49-F238E27FC236}">
              <a16:creationId xmlns:a16="http://schemas.microsoft.com/office/drawing/2014/main" id="{C9B767DC-2950-4E91-BD4D-A9463B0EE91C}"/>
            </a:ext>
          </a:extLst>
        </xdr:cNvPr>
        <xdr:cNvCxnSpPr>
          <a:cxnSpLocks/>
          <a:stCxn id="93" idx="3"/>
          <a:endCxn id="82" idx="1"/>
        </xdr:cNvCxnSpPr>
      </xdr:nvCxnSpPr>
      <xdr:spPr>
        <a:xfrm flipV="1">
          <a:off x="6828253" y="38477729"/>
          <a:ext cx="728883" cy="1705270"/>
        </a:xfrm>
        <a:prstGeom prst="bentConnector3">
          <a:avLst>
            <a:gd name="adj1" fmla="val 71153"/>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18757</xdr:colOff>
      <xdr:row>241</xdr:row>
      <xdr:rowOff>20242</xdr:rowOff>
    </xdr:from>
    <xdr:to>
      <xdr:col>22</xdr:col>
      <xdr:colOff>192112</xdr:colOff>
      <xdr:row>241</xdr:row>
      <xdr:rowOff>122139</xdr:rowOff>
    </xdr:to>
    <xdr:sp macro="" textlink="">
      <xdr:nvSpPr>
        <xdr:cNvPr id="96" name="正方形/長方形 95">
          <a:extLst>
            <a:ext uri="{FF2B5EF4-FFF2-40B4-BE49-F238E27FC236}">
              <a16:creationId xmlns:a16="http://schemas.microsoft.com/office/drawing/2014/main" id="{236A5846-1351-430C-9931-6010C5FFEC2A}"/>
            </a:ext>
          </a:extLst>
        </xdr:cNvPr>
        <xdr:cNvSpPr/>
      </xdr:nvSpPr>
      <xdr:spPr>
        <a:xfrm>
          <a:off x="5047957" y="41339692"/>
          <a:ext cx="17335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27402</xdr:colOff>
      <xdr:row>241</xdr:row>
      <xdr:rowOff>11137</xdr:rowOff>
    </xdr:from>
    <xdr:to>
      <xdr:col>29</xdr:col>
      <xdr:colOff>200757</xdr:colOff>
      <xdr:row>241</xdr:row>
      <xdr:rowOff>105414</xdr:rowOff>
    </xdr:to>
    <xdr:sp macro="" textlink="">
      <xdr:nvSpPr>
        <xdr:cNvPr id="97" name="正方形/長方形 96">
          <a:extLst>
            <a:ext uri="{FF2B5EF4-FFF2-40B4-BE49-F238E27FC236}">
              <a16:creationId xmlns:a16="http://schemas.microsoft.com/office/drawing/2014/main" id="{33998817-7E8C-4A87-B77A-7F0BCCE586D6}"/>
            </a:ext>
          </a:extLst>
        </xdr:cNvPr>
        <xdr:cNvSpPr/>
      </xdr:nvSpPr>
      <xdr:spPr>
        <a:xfrm>
          <a:off x="6656802" y="41330587"/>
          <a:ext cx="17335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243</xdr:row>
      <xdr:rowOff>14655</xdr:rowOff>
    </xdr:from>
    <xdr:to>
      <xdr:col>29</xdr:col>
      <xdr:colOff>198853</xdr:colOff>
      <xdr:row>243</xdr:row>
      <xdr:rowOff>112742</xdr:rowOff>
    </xdr:to>
    <xdr:sp macro="" textlink="">
      <xdr:nvSpPr>
        <xdr:cNvPr id="98" name="正方形/長方形 97">
          <a:extLst>
            <a:ext uri="{FF2B5EF4-FFF2-40B4-BE49-F238E27FC236}">
              <a16:creationId xmlns:a16="http://schemas.microsoft.com/office/drawing/2014/main" id="{A5720927-356C-4748-9557-9F307E74475F}"/>
            </a:ext>
          </a:extLst>
        </xdr:cNvPr>
        <xdr:cNvSpPr/>
      </xdr:nvSpPr>
      <xdr:spPr>
        <a:xfrm>
          <a:off x="6658708" y="4167700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21981</xdr:colOff>
      <xdr:row>242</xdr:row>
      <xdr:rowOff>23885</xdr:rowOff>
    </xdr:from>
    <xdr:to>
      <xdr:col>22</xdr:col>
      <xdr:colOff>191526</xdr:colOff>
      <xdr:row>242</xdr:row>
      <xdr:rowOff>127688</xdr:rowOff>
    </xdr:to>
    <xdr:sp macro="" textlink="">
      <xdr:nvSpPr>
        <xdr:cNvPr id="99" name="正方形/長方形 98">
          <a:extLst>
            <a:ext uri="{FF2B5EF4-FFF2-40B4-BE49-F238E27FC236}">
              <a16:creationId xmlns:a16="http://schemas.microsoft.com/office/drawing/2014/main" id="{4E17AD74-32ED-4A0F-9531-45B51CDF77D8}"/>
            </a:ext>
          </a:extLst>
        </xdr:cNvPr>
        <xdr:cNvSpPr/>
      </xdr:nvSpPr>
      <xdr:spPr>
        <a:xfrm>
          <a:off x="5051181" y="4151478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198853</xdr:colOff>
      <xdr:row>224</xdr:row>
      <xdr:rowOff>72929</xdr:rowOff>
    </xdr:from>
    <xdr:to>
      <xdr:col>33</xdr:col>
      <xdr:colOff>13336</xdr:colOff>
      <xdr:row>243</xdr:row>
      <xdr:rowOff>63699</xdr:rowOff>
    </xdr:to>
    <xdr:cxnSp macro="">
      <xdr:nvCxnSpPr>
        <xdr:cNvPr id="100" name="直線コネクタ 31">
          <a:extLst>
            <a:ext uri="{FF2B5EF4-FFF2-40B4-BE49-F238E27FC236}">
              <a16:creationId xmlns:a16="http://schemas.microsoft.com/office/drawing/2014/main" id="{3AC6468A-3619-4E4A-9F27-4222EB962F25}"/>
            </a:ext>
          </a:extLst>
        </xdr:cNvPr>
        <xdr:cNvCxnSpPr>
          <a:cxnSpLocks/>
          <a:stCxn id="98" idx="3"/>
          <a:endCxn id="82" idx="1"/>
        </xdr:cNvCxnSpPr>
      </xdr:nvCxnSpPr>
      <xdr:spPr>
        <a:xfrm flipV="1">
          <a:off x="6828253" y="38477729"/>
          <a:ext cx="728883" cy="3248320"/>
        </a:xfrm>
        <a:prstGeom prst="bentConnector3">
          <a:avLst>
            <a:gd name="adj1" fmla="val 71153"/>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18757</xdr:colOff>
      <xdr:row>250</xdr:row>
      <xdr:rowOff>20242</xdr:rowOff>
    </xdr:from>
    <xdr:to>
      <xdr:col>22</xdr:col>
      <xdr:colOff>192112</xdr:colOff>
      <xdr:row>250</xdr:row>
      <xdr:rowOff>122139</xdr:rowOff>
    </xdr:to>
    <xdr:sp macro="" textlink="">
      <xdr:nvSpPr>
        <xdr:cNvPr id="101" name="正方形/長方形 100">
          <a:extLst>
            <a:ext uri="{FF2B5EF4-FFF2-40B4-BE49-F238E27FC236}">
              <a16:creationId xmlns:a16="http://schemas.microsoft.com/office/drawing/2014/main" id="{221151F5-71E4-4147-BE06-3F9FBC0FE374}"/>
            </a:ext>
          </a:extLst>
        </xdr:cNvPr>
        <xdr:cNvSpPr/>
      </xdr:nvSpPr>
      <xdr:spPr>
        <a:xfrm>
          <a:off x="5047957" y="42882742"/>
          <a:ext cx="17335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27402</xdr:colOff>
      <xdr:row>250</xdr:row>
      <xdr:rowOff>11137</xdr:rowOff>
    </xdr:from>
    <xdr:to>
      <xdr:col>29</xdr:col>
      <xdr:colOff>200757</xdr:colOff>
      <xdr:row>250</xdr:row>
      <xdr:rowOff>105414</xdr:rowOff>
    </xdr:to>
    <xdr:sp macro="" textlink="">
      <xdr:nvSpPr>
        <xdr:cNvPr id="102" name="正方形/長方形 101">
          <a:extLst>
            <a:ext uri="{FF2B5EF4-FFF2-40B4-BE49-F238E27FC236}">
              <a16:creationId xmlns:a16="http://schemas.microsoft.com/office/drawing/2014/main" id="{E21113DC-8726-4187-A4FD-20077F78A4AE}"/>
            </a:ext>
          </a:extLst>
        </xdr:cNvPr>
        <xdr:cNvSpPr/>
      </xdr:nvSpPr>
      <xdr:spPr>
        <a:xfrm>
          <a:off x="6656802" y="42873637"/>
          <a:ext cx="17335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252</xdr:row>
      <xdr:rowOff>14655</xdr:rowOff>
    </xdr:from>
    <xdr:to>
      <xdr:col>29</xdr:col>
      <xdr:colOff>198853</xdr:colOff>
      <xdr:row>252</xdr:row>
      <xdr:rowOff>112742</xdr:rowOff>
    </xdr:to>
    <xdr:sp macro="" textlink="">
      <xdr:nvSpPr>
        <xdr:cNvPr id="103" name="正方形/長方形 102">
          <a:extLst>
            <a:ext uri="{FF2B5EF4-FFF2-40B4-BE49-F238E27FC236}">
              <a16:creationId xmlns:a16="http://schemas.microsoft.com/office/drawing/2014/main" id="{2E753AB0-BEB5-4ABB-AE82-5C221D9E0D80}"/>
            </a:ext>
          </a:extLst>
        </xdr:cNvPr>
        <xdr:cNvSpPr/>
      </xdr:nvSpPr>
      <xdr:spPr>
        <a:xfrm>
          <a:off x="6658708" y="4322005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21981</xdr:colOff>
      <xdr:row>251</xdr:row>
      <xdr:rowOff>23885</xdr:rowOff>
    </xdr:from>
    <xdr:to>
      <xdr:col>22</xdr:col>
      <xdr:colOff>191526</xdr:colOff>
      <xdr:row>251</xdr:row>
      <xdr:rowOff>127688</xdr:rowOff>
    </xdr:to>
    <xdr:sp macro="" textlink="">
      <xdr:nvSpPr>
        <xdr:cNvPr id="104" name="正方形/長方形 103">
          <a:extLst>
            <a:ext uri="{FF2B5EF4-FFF2-40B4-BE49-F238E27FC236}">
              <a16:creationId xmlns:a16="http://schemas.microsoft.com/office/drawing/2014/main" id="{BA97C594-77DD-4711-A0EC-9465284C78E9}"/>
            </a:ext>
          </a:extLst>
        </xdr:cNvPr>
        <xdr:cNvSpPr/>
      </xdr:nvSpPr>
      <xdr:spPr>
        <a:xfrm>
          <a:off x="5051181" y="4305783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198853</xdr:colOff>
      <xdr:row>224</xdr:row>
      <xdr:rowOff>72929</xdr:rowOff>
    </xdr:from>
    <xdr:to>
      <xdr:col>33</xdr:col>
      <xdr:colOff>13336</xdr:colOff>
      <xdr:row>252</xdr:row>
      <xdr:rowOff>63699</xdr:rowOff>
    </xdr:to>
    <xdr:cxnSp macro="">
      <xdr:nvCxnSpPr>
        <xdr:cNvPr id="105" name="直線コネクタ 31">
          <a:extLst>
            <a:ext uri="{FF2B5EF4-FFF2-40B4-BE49-F238E27FC236}">
              <a16:creationId xmlns:a16="http://schemas.microsoft.com/office/drawing/2014/main" id="{88C59D7C-B496-41D8-9D7E-7855AEB53F28}"/>
            </a:ext>
          </a:extLst>
        </xdr:cNvPr>
        <xdr:cNvCxnSpPr>
          <a:cxnSpLocks/>
          <a:stCxn id="103" idx="3"/>
          <a:endCxn id="82" idx="1"/>
        </xdr:cNvCxnSpPr>
      </xdr:nvCxnSpPr>
      <xdr:spPr>
        <a:xfrm flipV="1">
          <a:off x="6828253" y="38477729"/>
          <a:ext cx="728883" cy="4791370"/>
        </a:xfrm>
        <a:prstGeom prst="bentConnector3">
          <a:avLst>
            <a:gd name="adj1" fmla="val 71153"/>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18757</xdr:colOff>
      <xdr:row>259</xdr:row>
      <xdr:rowOff>20242</xdr:rowOff>
    </xdr:from>
    <xdr:to>
      <xdr:col>22</xdr:col>
      <xdr:colOff>192112</xdr:colOff>
      <xdr:row>259</xdr:row>
      <xdr:rowOff>122139</xdr:rowOff>
    </xdr:to>
    <xdr:sp macro="" textlink="">
      <xdr:nvSpPr>
        <xdr:cNvPr id="106" name="正方形/長方形 105">
          <a:extLst>
            <a:ext uri="{FF2B5EF4-FFF2-40B4-BE49-F238E27FC236}">
              <a16:creationId xmlns:a16="http://schemas.microsoft.com/office/drawing/2014/main" id="{676DA12A-1D2B-4F41-93D1-243E07703CE4}"/>
            </a:ext>
          </a:extLst>
        </xdr:cNvPr>
        <xdr:cNvSpPr/>
      </xdr:nvSpPr>
      <xdr:spPr>
        <a:xfrm>
          <a:off x="5047957" y="44425792"/>
          <a:ext cx="17335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18758</xdr:colOff>
      <xdr:row>259</xdr:row>
      <xdr:rowOff>9232</xdr:rowOff>
    </xdr:from>
    <xdr:to>
      <xdr:col>33</xdr:col>
      <xdr:colOff>182588</xdr:colOff>
      <xdr:row>259</xdr:row>
      <xdr:rowOff>103509</xdr:rowOff>
    </xdr:to>
    <xdr:sp macro="" textlink="">
      <xdr:nvSpPr>
        <xdr:cNvPr id="107" name="正方形/長方形 106">
          <a:extLst>
            <a:ext uri="{FF2B5EF4-FFF2-40B4-BE49-F238E27FC236}">
              <a16:creationId xmlns:a16="http://schemas.microsoft.com/office/drawing/2014/main" id="{3D6F1231-D2D2-41F3-8599-453869BBCF8E}"/>
            </a:ext>
          </a:extLst>
        </xdr:cNvPr>
        <xdr:cNvSpPr/>
      </xdr:nvSpPr>
      <xdr:spPr>
        <a:xfrm>
          <a:off x="7562558" y="44414782"/>
          <a:ext cx="163830"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27402</xdr:colOff>
      <xdr:row>259</xdr:row>
      <xdr:rowOff>11137</xdr:rowOff>
    </xdr:from>
    <xdr:to>
      <xdr:col>29</xdr:col>
      <xdr:colOff>200757</xdr:colOff>
      <xdr:row>259</xdr:row>
      <xdr:rowOff>105414</xdr:rowOff>
    </xdr:to>
    <xdr:sp macro="" textlink="">
      <xdr:nvSpPr>
        <xdr:cNvPr id="108" name="正方形/長方形 107">
          <a:extLst>
            <a:ext uri="{FF2B5EF4-FFF2-40B4-BE49-F238E27FC236}">
              <a16:creationId xmlns:a16="http://schemas.microsoft.com/office/drawing/2014/main" id="{2B974128-92D4-4637-AA8A-816E727AEDE8}"/>
            </a:ext>
          </a:extLst>
        </xdr:cNvPr>
        <xdr:cNvSpPr/>
      </xdr:nvSpPr>
      <xdr:spPr>
        <a:xfrm>
          <a:off x="6656802" y="44416687"/>
          <a:ext cx="17335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261</xdr:row>
      <xdr:rowOff>14655</xdr:rowOff>
    </xdr:from>
    <xdr:to>
      <xdr:col>29</xdr:col>
      <xdr:colOff>198853</xdr:colOff>
      <xdr:row>261</xdr:row>
      <xdr:rowOff>112742</xdr:rowOff>
    </xdr:to>
    <xdr:sp macro="" textlink="">
      <xdr:nvSpPr>
        <xdr:cNvPr id="109" name="正方形/長方形 108">
          <a:extLst>
            <a:ext uri="{FF2B5EF4-FFF2-40B4-BE49-F238E27FC236}">
              <a16:creationId xmlns:a16="http://schemas.microsoft.com/office/drawing/2014/main" id="{E36C03DE-371E-4AD5-A39D-BA44E8C333FC}"/>
            </a:ext>
          </a:extLst>
        </xdr:cNvPr>
        <xdr:cNvSpPr/>
      </xdr:nvSpPr>
      <xdr:spPr>
        <a:xfrm>
          <a:off x="6658708" y="4476310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13336</xdr:colOff>
      <xdr:row>260</xdr:row>
      <xdr:rowOff>21980</xdr:rowOff>
    </xdr:from>
    <xdr:to>
      <xdr:col>33</xdr:col>
      <xdr:colOff>171451</xdr:colOff>
      <xdr:row>260</xdr:row>
      <xdr:rowOff>123877</xdr:rowOff>
    </xdr:to>
    <xdr:sp macro="" textlink="">
      <xdr:nvSpPr>
        <xdr:cNvPr id="110" name="正方形/長方形 109">
          <a:extLst>
            <a:ext uri="{FF2B5EF4-FFF2-40B4-BE49-F238E27FC236}">
              <a16:creationId xmlns:a16="http://schemas.microsoft.com/office/drawing/2014/main" id="{C2111D1D-E759-48EB-BD1A-A32127DEEEE5}"/>
            </a:ext>
          </a:extLst>
        </xdr:cNvPr>
        <xdr:cNvSpPr/>
      </xdr:nvSpPr>
      <xdr:spPr>
        <a:xfrm>
          <a:off x="7557136" y="44598980"/>
          <a:ext cx="158115" cy="10189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200757</xdr:colOff>
      <xdr:row>259</xdr:row>
      <xdr:rowOff>56371</xdr:rowOff>
    </xdr:from>
    <xdr:to>
      <xdr:col>33</xdr:col>
      <xdr:colOff>18758</xdr:colOff>
      <xdr:row>259</xdr:row>
      <xdr:rowOff>58276</xdr:rowOff>
    </xdr:to>
    <xdr:cxnSp macro="">
      <xdr:nvCxnSpPr>
        <xdr:cNvPr id="111" name="直線コネクタ 110">
          <a:extLst>
            <a:ext uri="{FF2B5EF4-FFF2-40B4-BE49-F238E27FC236}">
              <a16:creationId xmlns:a16="http://schemas.microsoft.com/office/drawing/2014/main" id="{1B57D861-ADDA-44DA-8B69-A2A9BA0EEB33}"/>
            </a:ext>
          </a:extLst>
        </xdr:cNvPr>
        <xdr:cNvCxnSpPr>
          <a:stCxn id="107" idx="1"/>
          <a:endCxn id="108" idx="3"/>
        </xdr:cNvCxnSpPr>
      </xdr:nvCxnSpPr>
      <xdr:spPr>
        <a:xfrm flipH="1">
          <a:off x="6830157" y="44461921"/>
          <a:ext cx="732401" cy="1905"/>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21981</xdr:colOff>
      <xdr:row>260</xdr:row>
      <xdr:rowOff>23885</xdr:rowOff>
    </xdr:from>
    <xdr:to>
      <xdr:col>22</xdr:col>
      <xdr:colOff>191526</xdr:colOff>
      <xdr:row>260</xdr:row>
      <xdr:rowOff>127688</xdr:rowOff>
    </xdr:to>
    <xdr:sp macro="" textlink="">
      <xdr:nvSpPr>
        <xdr:cNvPr id="112" name="正方形/長方形 111">
          <a:extLst>
            <a:ext uri="{FF2B5EF4-FFF2-40B4-BE49-F238E27FC236}">
              <a16:creationId xmlns:a16="http://schemas.microsoft.com/office/drawing/2014/main" id="{ECD675C9-884C-4935-A086-1DEED25F23A7}"/>
            </a:ext>
          </a:extLst>
        </xdr:cNvPr>
        <xdr:cNvSpPr/>
      </xdr:nvSpPr>
      <xdr:spPr>
        <a:xfrm>
          <a:off x="5051181" y="4460088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198853</xdr:colOff>
      <xdr:row>260</xdr:row>
      <xdr:rowOff>72929</xdr:rowOff>
    </xdr:from>
    <xdr:to>
      <xdr:col>33</xdr:col>
      <xdr:colOff>13336</xdr:colOff>
      <xdr:row>261</xdr:row>
      <xdr:rowOff>63699</xdr:rowOff>
    </xdr:to>
    <xdr:cxnSp macro="">
      <xdr:nvCxnSpPr>
        <xdr:cNvPr id="113" name="直線コネクタ 31">
          <a:extLst>
            <a:ext uri="{FF2B5EF4-FFF2-40B4-BE49-F238E27FC236}">
              <a16:creationId xmlns:a16="http://schemas.microsoft.com/office/drawing/2014/main" id="{65FF4691-C16A-4E8C-8110-A4C74265AEBA}"/>
            </a:ext>
          </a:extLst>
        </xdr:cNvPr>
        <xdr:cNvCxnSpPr>
          <a:stCxn id="109" idx="3"/>
          <a:endCxn id="110" idx="1"/>
        </xdr:cNvCxnSpPr>
      </xdr:nvCxnSpPr>
      <xdr:spPr>
        <a:xfrm flipV="1">
          <a:off x="6828253" y="44649929"/>
          <a:ext cx="728883" cy="162220"/>
        </a:xfrm>
        <a:prstGeom prst="bentConnector3">
          <a:avLst>
            <a:gd name="adj1" fmla="val 50000"/>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18757</xdr:colOff>
      <xdr:row>268</xdr:row>
      <xdr:rowOff>20242</xdr:rowOff>
    </xdr:from>
    <xdr:to>
      <xdr:col>22</xdr:col>
      <xdr:colOff>192112</xdr:colOff>
      <xdr:row>268</xdr:row>
      <xdr:rowOff>122139</xdr:rowOff>
    </xdr:to>
    <xdr:sp macro="" textlink="">
      <xdr:nvSpPr>
        <xdr:cNvPr id="114" name="正方形/長方形 113">
          <a:extLst>
            <a:ext uri="{FF2B5EF4-FFF2-40B4-BE49-F238E27FC236}">
              <a16:creationId xmlns:a16="http://schemas.microsoft.com/office/drawing/2014/main" id="{D252109F-6875-4CF4-85EF-FF3BA24D6795}"/>
            </a:ext>
          </a:extLst>
        </xdr:cNvPr>
        <xdr:cNvSpPr/>
      </xdr:nvSpPr>
      <xdr:spPr>
        <a:xfrm>
          <a:off x="5047957" y="45968842"/>
          <a:ext cx="17335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27402</xdr:colOff>
      <xdr:row>268</xdr:row>
      <xdr:rowOff>11137</xdr:rowOff>
    </xdr:from>
    <xdr:to>
      <xdr:col>29</xdr:col>
      <xdr:colOff>200757</xdr:colOff>
      <xdr:row>268</xdr:row>
      <xdr:rowOff>105414</xdr:rowOff>
    </xdr:to>
    <xdr:sp macro="" textlink="">
      <xdr:nvSpPr>
        <xdr:cNvPr id="115" name="正方形/長方形 114">
          <a:extLst>
            <a:ext uri="{FF2B5EF4-FFF2-40B4-BE49-F238E27FC236}">
              <a16:creationId xmlns:a16="http://schemas.microsoft.com/office/drawing/2014/main" id="{79437272-213D-4BAA-8A36-A9A00AB48FE0}"/>
            </a:ext>
          </a:extLst>
        </xdr:cNvPr>
        <xdr:cNvSpPr/>
      </xdr:nvSpPr>
      <xdr:spPr>
        <a:xfrm>
          <a:off x="6656802" y="45959737"/>
          <a:ext cx="17335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270</xdr:row>
      <xdr:rowOff>14655</xdr:rowOff>
    </xdr:from>
    <xdr:to>
      <xdr:col>29</xdr:col>
      <xdr:colOff>198853</xdr:colOff>
      <xdr:row>270</xdr:row>
      <xdr:rowOff>112742</xdr:rowOff>
    </xdr:to>
    <xdr:sp macro="" textlink="">
      <xdr:nvSpPr>
        <xdr:cNvPr id="116" name="正方形/長方形 115">
          <a:extLst>
            <a:ext uri="{FF2B5EF4-FFF2-40B4-BE49-F238E27FC236}">
              <a16:creationId xmlns:a16="http://schemas.microsoft.com/office/drawing/2014/main" id="{826ED157-9820-4354-A224-5C1C62659CB6}"/>
            </a:ext>
          </a:extLst>
        </xdr:cNvPr>
        <xdr:cNvSpPr/>
      </xdr:nvSpPr>
      <xdr:spPr>
        <a:xfrm>
          <a:off x="6658708" y="4630615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21981</xdr:colOff>
      <xdr:row>269</xdr:row>
      <xdr:rowOff>23885</xdr:rowOff>
    </xdr:from>
    <xdr:to>
      <xdr:col>22</xdr:col>
      <xdr:colOff>191526</xdr:colOff>
      <xdr:row>269</xdr:row>
      <xdr:rowOff>127688</xdr:rowOff>
    </xdr:to>
    <xdr:sp macro="" textlink="">
      <xdr:nvSpPr>
        <xdr:cNvPr id="117" name="正方形/長方形 116">
          <a:extLst>
            <a:ext uri="{FF2B5EF4-FFF2-40B4-BE49-F238E27FC236}">
              <a16:creationId xmlns:a16="http://schemas.microsoft.com/office/drawing/2014/main" id="{D1F8EF7D-1530-49C8-AB78-067168B29739}"/>
            </a:ext>
          </a:extLst>
        </xdr:cNvPr>
        <xdr:cNvSpPr/>
      </xdr:nvSpPr>
      <xdr:spPr>
        <a:xfrm>
          <a:off x="5051181" y="4614393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198853</xdr:colOff>
      <xdr:row>224</xdr:row>
      <xdr:rowOff>72929</xdr:rowOff>
    </xdr:from>
    <xdr:to>
      <xdr:col>33</xdr:col>
      <xdr:colOff>13336</xdr:colOff>
      <xdr:row>270</xdr:row>
      <xdr:rowOff>63699</xdr:rowOff>
    </xdr:to>
    <xdr:cxnSp macro="">
      <xdr:nvCxnSpPr>
        <xdr:cNvPr id="118" name="直線コネクタ 31">
          <a:extLst>
            <a:ext uri="{FF2B5EF4-FFF2-40B4-BE49-F238E27FC236}">
              <a16:creationId xmlns:a16="http://schemas.microsoft.com/office/drawing/2014/main" id="{CC45727D-32E3-4C78-9FBC-65B5BBCAC8B3}"/>
            </a:ext>
          </a:extLst>
        </xdr:cNvPr>
        <xdr:cNvCxnSpPr>
          <a:cxnSpLocks/>
          <a:stCxn id="116" idx="3"/>
          <a:endCxn id="82" idx="1"/>
        </xdr:cNvCxnSpPr>
      </xdr:nvCxnSpPr>
      <xdr:spPr>
        <a:xfrm flipV="1">
          <a:off x="6828253" y="38477729"/>
          <a:ext cx="728883" cy="7877470"/>
        </a:xfrm>
        <a:prstGeom prst="bentConnector3">
          <a:avLst>
            <a:gd name="adj1" fmla="val 71153"/>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18757</xdr:colOff>
      <xdr:row>277</xdr:row>
      <xdr:rowOff>20242</xdr:rowOff>
    </xdr:from>
    <xdr:to>
      <xdr:col>22</xdr:col>
      <xdr:colOff>192112</xdr:colOff>
      <xdr:row>277</xdr:row>
      <xdr:rowOff>122139</xdr:rowOff>
    </xdr:to>
    <xdr:sp macro="" textlink="">
      <xdr:nvSpPr>
        <xdr:cNvPr id="119" name="正方形/長方形 118">
          <a:extLst>
            <a:ext uri="{FF2B5EF4-FFF2-40B4-BE49-F238E27FC236}">
              <a16:creationId xmlns:a16="http://schemas.microsoft.com/office/drawing/2014/main" id="{7E815211-2AC9-46ED-B660-E58D0B10F45F}"/>
            </a:ext>
          </a:extLst>
        </xdr:cNvPr>
        <xdr:cNvSpPr/>
      </xdr:nvSpPr>
      <xdr:spPr>
        <a:xfrm>
          <a:off x="5047957" y="47511892"/>
          <a:ext cx="17335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18758</xdr:colOff>
      <xdr:row>277</xdr:row>
      <xdr:rowOff>9232</xdr:rowOff>
    </xdr:from>
    <xdr:to>
      <xdr:col>33</xdr:col>
      <xdr:colOff>182588</xdr:colOff>
      <xdr:row>277</xdr:row>
      <xdr:rowOff>103509</xdr:rowOff>
    </xdr:to>
    <xdr:sp macro="" textlink="">
      <xdr:nvSpPr>
        <xdr:cNvPr id="120" name="正方形/長方形 119">
          <a:extLst>
            <a:ext uri="{FF2B5EF4-FFF2-40B4-BE49-F238E27FC236}">
              <a16:creationId xmlns:a16="http://schemas.microsoft.com/office/drawing/2014/main" id="{AB180FC5-7170-4BED-AE60-4B84722F82C4}"/>
            </a:ext>
          </a:extLst>
        </xdr:cNvPr>
        <xdr:cNvSpPr/>
      </xdr:nvSpPr>
      <xdr:spPr>
        <a:xfrm>
          <a:off x="7562558" y="47500882"/>
          <a:ext cx="163830"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27402</xdr:colOff>
      <xdr:row>277</xdr:row>
      <xdr:rowOff>11137</xdr:rowOff>
    </xdr:from>
    <xdr:to>
      <xdr:col>29</xdr:col>
      <xdr:colOff>200757</xdr:colOff>
      <xdr:row>277</xdr:row>
      <xdr:rowOff>105414</xdr:rowOff>
    </xdr:to>
    <xdr:sp macro="" textlink="">
      <xdr:nvSpPr>
        <xdr:cNvPr id="121" name="正方形/長方形 120">
          <a:extLst>
            <a:ext uri="{FF2B5EF4-FFF2-40B4-BE49-F238E27FC236}">
              <a16:creationId xmlns:a16="http://schemas.microsoft.com/office/drawing/2014/main" id="{D2A1051D-D735-4847-B179-8E01DC057EB5}"/>
            </a:ext>
          </a:extLst>
        </xdr:cNvPr>
        <xdr:cNvSpPr/>
      </xdr:nvSpPr>
      <xdr:spPr>
        <a:xfrm>
          <a:off x="6656802" y="47502787"/>
          <a:ext cx="17335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279</xdr:row>
      <xdr:rowOff>14655</xdr:rowOff>
    </xdr:from>
    <xdr:to>
      <xdr:col>29</xdr:col>
      <xdr:colOff>198853</xdr:colOff>
      <xdr:row>279</xdr:row>
      <xdr:rowOff>112742</xdr:rowOff>
    </xdr:to>
    <xdr:sp macro="" textlink="">
      <xdr:nvSpPr>
        <xdr:cNvPr id="122" name="正方形/長方形 121">
          <a:extLst>
            <a:ext uri="{FF2B5EF4-FFF2-40B4-BE49-F238E27FC236}">
              <a16:creationId xmlns:a16="http://schemas.microsoft.com/office/drawing/2014/main" id="{2772E9CB-F3B2-46C2-8987-70270A2ACC24}"/>
            </a:ext>
          </a:extLst>
        </xdr:cNvPr>
        <xdr:cNvSpPr/>
      </xdr:nvSpPr>
      <xdr:spPr>
        <a:xfrm>
          <a:off x="6658708" y="4784920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13336</xdr:colOff>
      <xdr:row>278</xdr:row>
      <xdr:rowOff>21980</xdr:rowOff>
    </xdr:from>
    <xdr:to>
      <xdr:col>33</xdr:col>
      <xdr:colOff>171451</xdr:colOff>
      <xdr:row>278</xdr:row>
      <xdr:rowOff>123877</xdr:rowOff>
    </xdr:to>
    <xdr:sp macro="" textlink="">
      <xdr:nvSpPr>
        <xdr:cNvPr id="123" name="正方形/長方形 122">
          <a:extLst>
            <a:ext uri="{FF2B5EF4-FFF2-40B4-BE49-F238E27FC236}">
              <a16:creationId xmlns:a16="http://schemas.microsoft.com/office/drawing/2014/main" id="{5BF01E42-64C1-4CEC-9BE7-DBE9B88FAEB1}"/>
            </a:ext>
          </a:extLst>
        </xdr:cNvPr>
        <xdr:cNvSpPr/>
      </xdr:nvSpPr>
      <xdr:spPr>
        <a:xfrm>
          <a:off x="7557136" y="47685080"/>
          <a:ext cx="158115" cy="10189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200757</xdr:colOff>
      <xdr:row>277</xdr:row>
      <xdr:rowOff>56371</xdr:rowOff>
    </xdr:from>
    <xdr:to>
      <xdr:col>33</xdr:col>
      <xdr:colOff>18758</xdr:colOff>
      <xdr:row>277</xdr:row>
      <xdr:rowOff>58276</xdr:rowOff>
    </xdr:to>
    <xdr:cxnSp macro="">
      <xdr:nvCxnSpPr>
        <xdr:cNvPr id="124" name="直線コネクタ 123">
          <a:extLst>
            <a:ext uri="{FF2B5EF4-FFF2-40B4-BE49-F238E27FC236}">
              <a16:creationId xmlns:a16="http://schemas.microsoft.com/office/drawing/2014/main" id="{EBFD6CAF-9B47-4E1A-815F-C4BB2F38E138}"/>
            </a:ext>
          </a:extLst>
        </xdr:cNvPr>
        <xdr:cNvCxnSpPr>
          <a:stCxn id="120" idx="1"/>
          <a:endCxn id="121" idx="3"/>
        </xdr:cNvCxnSpPr>
      </xdr:nvCxnSpPr>
      <xdr:spPr>
        <a:xfrm flipH="1">
          <a:off x="6830157" y="47548021"/>
          <a:ext cx="732401" cy="1905"/>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21981</xdr:colOff>
      <xdr:row>278</xdr:row>
      <xdr:rowOff>23885</xdr:rowOff>
    </xdr:from>
    <xdr:to>
      <xdr:col>22</xdr:col>
      <xdr:colOff>191526</xdr:colOff>
      <xdr:row>278</xdr:row>
      <xdr:rowOff>127688</xdr:rowOff>
    </xdr:to>
    <xdr:sp macro="" textlink="">
      <xdr:nvSpPr>
        <xdr:cNvPr id="125" name="正方形/長方形 124">
          <a:extLst>
            <a:ext uri="{FF2B5EF4-FFF2-40B4-BE49-F238E27FC236}">
              <a16:creationId xmlns:a16="http://schemas.microsoft.com/office/drawing/2014/main" id="{13433BAE-9318-40B8-85F4-B7528036EE2D}"/>
            </a:ext>
          </a:extLst>
        </xdr:cNvPr>
        <xdr:cNvSpPr/>
      </xdr:nvSpPr>
      <xdr:spPr>
        <a:xfrm>
          <a:off x="5051181" y="4768698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198853</xdr:colOff>
      <xdr:row>278</xdr:row>
      <xdr:rowOff>72929</xdr:rowOff>
    </xdr:from>
    <xdr:to>
      <xdr:col>33</xdr:col>
      <xdr:colOff>13336</xdr:colOff>
      <xdr:row>279</xdr:row>
      <xdr:rowOff>63699</xdr:rowOff>
    </xdr:to>
    <xdr:cxnSp macro="">
      <xdr:nvCxnSpPr>
        <xdr:cNvPr id="126" name="直線コネクタ 31">
          <a:extLst>
            <a:ext uri="{FF2B5EF4-FFF2-40B4-BE49-F238E27FC236}">
              <a16:creationId xmlns:a16="http://schemas.microsoft.com/office/drawing/2014/main" id="{FB5D9F96-8469-443B-93EA-2411C0FF69EC}"/>
            </a:ext>
          </a:extLst>
        </xdr:cNvPr>
        <xdr:cNvCxnSpPr>
          <a:stCxn id="122" idx="3"/>
          <a:endCxn id="123" idx="1"/>
        </xdr:cNvCxnSpPr>
      </xdr:nvCxnSpPr>
      <xdr:spPr>
        <a:xfrm flipV="1">
          <a:off x="6828253" y="47736029"/>
          <a:ext cx="728883" cy="162220"/>
        </a:xfrm>
        <a:prstGeom prst="bentConnector3">
          <a:avLst>
            <a:gd name="adj1" fmla="val 50000"/>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200757</xdr:colOff>
      <xdr:row>223</xdr:row>
      <xdr:rowOff>56371</xdr:rowOff>
    </xdr:from>
    <xdr:to>
      <xdr:col>33</xdr:col>
      <xdr:colOff>18758</xdr:colOff>
      <xdr:row>232</xdr:row>
      <xdr:rowOff>58276</xdr:rowOff>
    </xdr:to>
    <xdr:cxnSp macro="">
      <xdr:nvCxnSpPr>
        <xdr:cNvPr id="127" name="直線コネクタ 31">
          <a:extLst>
            <a:ext uri="{FF2B5EF4-FFF2-40B4-BE49-F238E27FC236}">
              <a16:creationId xmlns:a16="http://schemas.microsoft.com/office/drawing/2014/main" id="{FB775224-0A7B-4301-94FB-74A79581AECA}"/>
            </a:ext>
          </a:extLst>
        </xdr:cNvPr>
        <xdr:cNvCxnSpPr>
          <a:cxnSpLocks/>
          <a:stCxn id="92" idx="3"/>
          <a:endCxn id="79" idx="1"/>
        </xdr:cNvCxnSpPr>
      </xdr:nvCxnSpPr>
      <xdr:spPr>
        <a:xfrm flipV="1">
          <a:off x="6830157" y="38289721"/>
          <a:ext cx="732401" cy="1544955"/>
        </a:xfrm>
        <a:prstGeom prst="bentConnector3">
          <a:avLst>
            <a:gd name="adj1" fmla="val 33524"/>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200757</xdr:colOff>
      <xdr:row>223</xdr:row>
      <xdr:rowOff>56371</xdr:rowOff>
    </xdr:from>
    <xdr:to>
      <xdr:col>33</xdr:col>
      <xdr:colOff>18758</xdr:colOff>
      <xdr:row>241</xdr:row>
      <xdr:rowOff>58276</xdr:rowOff>
    </xdr:to>
    <xdr:cxnSp macro="">
      <xdr:nvCxnSpPr>
        <xdr:cNvPr id="128" name="直線コネクタ 31">
          <a:extLst>
            <a:ext uri="{FF2B5EF4-FFF2-40B4-BE49-F238E27FC236}">
              <a16:creationId xmlns:a16="http://schemas.microsoft.com/office/drawing/2014/main" id="{87AB3072-41AE-4D6D-B9CC-0DAB0F68575A}"/>
            </a:ext>
          </a:extLst>
        </xdr:cNvPr>
        <xdr:cNvCxnSpPr>
          <a:cxnSpLocks/>
          <a:stCxn id="97" idx="3"/>
          <a:endCxn id="79" idx="1"/>
        </xdr:cNvCxnSpPr>
      </xdr:nvCxnSpPr>
      <xdr:spPr>
        <a:xfrm flipV="1">
          <a:off x="6830157" y="38289721"/>
          <a:ext cx="732401" cy="3088005"/>
        </a:xfrm>
        <a:prstGeom prst="bentConnector3">
          <a:avLst>
            <a:gd name="adj1" fmla="val 33524"/>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200757</xdr:colOff>
      <xdr:row>223</xdr:row>
      <xdr:rowOff>56371</xdr:rowOff>
    </xdr:from>
    <xdr:to>
      <xdr:col>33</xdr:col>
      <xdr:colOff>18758</xdr:colOff>
      <xdr:row>250</xdr:row>
      <xdr:rowOff>58276</xdr:rowOff>
    </xdr:to>
    <xdr:cxnSp macro="">
      <xdr:nvCxnSpPr>
        <xdr:cNvPr id="129" name="直線コネクタ 31">
          <a:extLst>
            <a:ext uri="{FF2B5EF4-FFF2-40B4-BE49-F238E27FC236}">
              <a16:creationId xmlns:a16="http://schemas.microsoft.com/office/drawing/2014/main" id="{9688D361-829E-4F12-947B-1B7720718968}"/>
            </a:ext>
          </a:extLst>
        </xdr:cNvPr>
        <xdr:cNvCxnSpPr>
          <a:cxnSpLocks/>
          <a:stCxn id="102" idx="3"/>
          <a:endCxn id="79" idx="1"/>
        </xdr:cNvCxnSpPr>
      </xdr:nvCxnSpPr>
      <xdr:spPr>
        <a:xfrm flipV="1">
          <a:off x="6830157" y="38289721"/>
          <a:ext cx="732401" cy="4631055"/>
        </a:xfrm>
        <a:prstGeom prst="bentConnector3">
          <a:avLst>
            <a:gd name="adj1" fmla="val 34439"/>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200757</xdr:colOff>
      <xdr:row>223</xdr:row>
      <xdr:rowOff>56371</xdr:rowOff>
    </xdr:from>
    <xdr:to>
      <xdr:col>33</xdr:col>
      <xdr:colOff>18758</xdr:colOff>
      <xdr:row>268</xdr:row>
      <xdr:rowOff>58276</xdr:rowOff>
    </xdr:to>
    <xdr:cxnSp macro="">
      <xdr:nvCxnSpPr>
        <xdr:cNvPr id="130" name="直線コネクタ 31">
          <a:extLst>
            <a:ext uri="{FF2B5EF4-FFF2-40B4-BE49-F238E27FC236}">
              <a16:creationId xmlns:a16="http://schemas.microsoft.com/office/drawing/2014/main" id="{F2389D34-684F-4E94-8D0D-DACDD180EA5C}"/>
            </a:ext>
          </a:extLst>
        </xdr:cNvPr>
        <xdr:cNvCxnSpPr>
          <a:cxnSpLocks/>
          <a:stCxn id="115" idx="3"/>
          <a:endCxn id="79" idx="1"/>
        </xdr:cNvCxnSpPr>
      </xdr:nvCxnSpPr>
      <xdr:spPr>
        <a:xfrm flipV="1">
          <a:off x="6830157" y="38289721"/>
          <a:ext cx="732401" cy="7717155"/>
        </a:xfrm>
        <a:prstGeom prst="bentConnector3">
          <a:avLst>
            <a:gd name="adj1" fmla="val 34439"/>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21981</xdr:colOff>
      <xdr:row>232</xdr:row>
      <xdr:rowOff>14654</xdr:rowOff>
    </xdr:from>
    <xdr:to>
      <xdr:col>20</xdr:col>
      <xdr:colOff>199146</xdr:colOff>
      <xdr:row>232</xdr:row>
      <xdr:rowOff>116551</xdr:rowOff>
    </xdr:to>
    <xdr:sp macro="" textlink="">
      <xdr:nvSpPr>
        <xdr:cNvPr id="131" name="正方形/長方形 130">
          <a:extLst>
            <a:ext uri="{FF2B5EF4-FFF2-40B4-BE49-F238E27FC236}">
              <a16:creationId xmlns:a16="http://schemas.microsoft.com/office/drawing/2014/main" id="{BB548F9A-01A2-4A41-9724-56B1BB86B268}"/>
            </a:ext>
          </a:extLst>
        </xdr:cNvPr>
        <xdr:cNvSpPr/>
      </xdr:nvSpPr>
      <xdr:spPr>
        <a:xfrm>
          <a:off x="4593981" y="39791054"/>
          <a:ext cx="17716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18463</xdr:colOff>
      <xdr:row>232</xdr:row>
      <xdr:rowOff>22861</xdr:rowOff>
    </xdr:from>
    <xdr:to>
      <xdr:col>12</xdr:col>
      <xdr:colOff>191818</xdr:colOff>
      <xdr:row>232</xdr:row>
      <xdr:rowOff>111423</xdr:rowOff>
    </xdr:to>
    <xdr:sp macro="" textlink="">
      <xdr:nvSpPr>
        <xdr:cNvPr id="132" name="正方形/長方形 131">
          <a:extLst>
            <a:ext uri="{FF2B5EF4-FFF2-40B4-BE49-F238E27FC236}">
              <a16:creationId xmlns:a16="http://schemas.microsoft.com/office/drawing/2014/main" id="{B51B8199-72EE-4B85-87BA-D8FB8FB42391}"/>
            </a:ext>
          </a:extLst>
        </xdr:cNvPr>
        <xdr:cNvSpPr/>
      </xdr:nvSpPr>
      <xdr:spPr>
        <a:xfrm>
          <a:off x="2761663" y="39799261"/>
          <a:ext cx="173355" cy="8856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21981</xdr:colOff>
      <xdr:row>233</xdr:row>
      <xdr:rowOff>29308</xdr:rowOff>
    </xdr:from>
    <xdr:to>
      <xdr:col>20</xdr:col>
      <xdr:colOff>210576</xdr:colOff>
      <xdr:row>233</xdr:row>
      <xdr:rowOff>121680</xdr:rowOff>
    </xdr:to>
    <xdr:sp macro="" textlink="">
      <xdr:nvSpPr>
        <xdr:cNvPr id="133" name="正方形/長方形 132">
          <a:extLst>
            <a:ext uri="{FF2B5EF4-FFF2-40B4-BE49-F238E27FC236}">
              <a16:creationId xmlns:a16="http://schemas.microsoft.com/office/drawing/2014/main" id="{810C9197-6CB2-4F2B-97A0-651DB3089B38}"/>
            </a:ext>
          </a:extLst>
        </xdr:cNvPr>
        <xdr:cNvSpPr/>
      </xdr:nvSpPr>
      <xdr:spPr>
        <a:xfrm>
          <a:off x="4593981" y="39977158"/>
          <a:ext cx="188595" cy="9237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21981</xdr:colOff>
      <xdr:row>241</xdr:row>
      <xdr:rowOff>14654</xdr:rowOff>
    </xdr:from>
    <xdr:to>
      <xdr:col>20</xdr:col>
      <xdr:colOff>199146</xdr:colOff>
      <xdr:row>241</xdr:row>
      <xdr:rowOff>116551</xdr:rowOff>
    </xdr:to>
    <xdr:sp macro="" textlink="">
      <xdr:nvSpPr>
        <xdr:cNvPr id="134" name="正方形/長方形 133">
          <a:extLst>
            <a:ext uri="{FF2B5EF4-FFF2-40B4-BE49-F238E27FC236}">
              <a16:creationId xmlns:a16="http://schemas.microsoft.com/office/drawing/2014/main" id="{DE172524-0AA6-4434-BBC0-CC37ECED3C4A}"/>
            </a:ext>
          </a:extLst>
        </xdr:cNvPr>
        <xdr:cNvSpPr/>
      </xdr:nvSpPr>
      <xdr:spPr>
        <a:xfrm>
          <a:off x="4593981" y="41334104"/>
          <a:ext cx="17716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18463</xdr:colOff>
      <xdr:row>241</xdr:row>
      <xdr:rowOff>22861</xdr:rowOff>
    </xdr:from>
    <xdr:to>
      <xdr:col>12</xdr:col>
      <xdr:colOff>191818</xdr:colOff>
      <xdr:row>241</xdr:row>
      <xdr:rowOff>111423</xdr:rowOff>
    </xdr:to>
    <xdr:sp macro="" textlink="">
      <xdr:nvSpPr>
        <xdr:cNvPr id="135" name="正方形/長方形 134">
          <a:extLst>
            <a:ext uri="{FF2B5EF4-FFF2-40B4-BE49-F238E27FC236}">
              <a16:creationId xmlns:a16="http://schemas.microsoft.com/office/drawing/2014/main" id="{5EC5A3AD-B2A3-4419-820B-E2BBF5B3600D}"/>
            </a:ext>
          </a:extLst>
        </xdr:cNvPr>
        <xdr:cNvSpPr/>
      </xdr:nvSpPr>
      <xdr:spPr>
        <a:xfrm>
          <a:off x="2761663" y="41342311"/>
          <a:ext cx="173355" cy="8856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21981</xdr:colOff>
      <xdr:row>242</xdr:row>
      <xdr:rowOff>29308</xdr:rowOff>
    </xdr:from>
    <xdr:to>
      <xdr:col>20</xdr:col>
      <xdr:colOff>210576</xdr:colOff>
      <xdr:row>242</xdr:row>
      <xdr:rowOff>121680</xdr:rowOff>
    </xdr:to>
    <xdr:sp macro="" textlink="">
      <xdr:nvSpPr>
        <xdr:cNvPr id="136" name="正方形/長方形 135">
          <a:extLst>
            <a:ext uri="{FF2B5EF4-FFF2-40B4-BE49-F238E27FC236}">
              <a16:creationId xmlns:a16="http://schemas.microsoft.com/office/drawing/2014/main" id="{0611AA39-BDD0-455D-9782-F5D8F495DBFD}"/>
            </a:ext>
          </a:extLst>
        </xdr:cNvPr>
        <xdr:cNvSpPr/>
      </xdr:nvSpPr>
      <xdr:spPr>
        <a:xfrm>
          <a:off x="4593981" y="41520208"/>
          <a:ext cx="188595" cy="9237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21981</xdr:colOff>
      <xdr:row>250</xdr:row>
      <xdr:rowOff>14654</xdr:rowOff>
    </xdr:from>
    <xdr:to>
      <xdr:col>20</xdr:col>
      <xdr:colOff>199146</xdr:colOff>
      <xdr:row>250</xdr:row>
      <xdr:rowOff>116551</xdr:rowOff>
    </xdr:to>
    <xdr:sp macro="" textlink="">
      <xdr:nvSpPr>
        <xdr:cNvPr id="137" name="正方形/長方形 136">
          <a:extLst>
            <a:ext uri="{FF2B5EF4-FFF2-40B4-BE49-F238E27FC236}">
              <a16:creationId xmlns:a16="http://schemas.microsoft.com/office/drawing/2014/main" id="{BC00DBF7-B4B8-40F8-A86B-BFB4CF7B2DB1}"/>
            </a:ext>
          </a:extLst>
        </xdr:cNvPr>
        <xdr:cNvSpPr/>
      </xdr:nvSpPr>
      <xdr:spPr>
        <a:xfrm>
          <a:off x="4593981" y="42877154"/>
          <a:ext cx="17716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18463</xdr:colOff>
      <xdr:row>250</xdr:row>
      <xdr:rowOff>22861</xdr:rowOff>
    </xdr:from>
    <xdr:to>
      <xdr:col>12</xdr:col>
      <xdr:colOff>191818</xdr:colOff>
      <xdr:row>250</xdr:row>
      <xdr:rowOff>111423</xdr:rowOff>
    </xdr:to>
    <xdr:sp macro="" textlink="">
      <xdr:nvSpPr>
        <xdr:cNvPr id="138" name="正方形/長方形 137">
          <a:extLst>
            <a:ext uri="{FF2B5EF4-FFF2-40B4-BE49-F238E27FC236}">
              <a16:creationId xmlns:a16="http://schemas.microsoft.com/office/drawing/2014/main" id="{06FCF279-F098-47BC-8A63-1A6653FF7FBA}"/>
            </a:ext>
          </a:extLst>
        </xdr:cNvPr>
        <xdr:cNvSpPr/>
      </xdr:nvSpPr>
      <xdr:spPr>
        <a:xfrm>
          <a:off x="2761663" y="42885361"/>
          <a:ext cx="173355" cy="8856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21981</xdr:colOff>
      <xdr:row>251</xdr:row>
      <xdr:rowOff>29308</xdr:rowOff>
    </xdr:from>
    <xdr:to>
      <xdr:col>20</xdr:col>
      <xdr:colOff>210576</xdr:colOff>
      <xdr:row>251</xdr:row>
      <xdr:rowOff>121680</xdr:rowOff>
    </xdr:to>
    <xdr:sp macro="" textlink="">
      <xdr:nvSpPr>
        <xdr:cNvPr id="139" name="正方形/長方形 138">
          <a:extLst>
            <a:ext uri="{FF2B5EF4-FFF2-40B4-BE49-F238E27FC236}">
              <a16:creationId xmlns:a16="http://schemas.microsoft.com/office/drawing/2014/main" id="{BA03DC08-D290-4C8E-8F15-1D2693857407}"/>
            </a:ext>
          </a:extLst>
        </xdr:cNvPr>
        <xdr:cNvSpPr/>
      </xdr:nvSpPr>
      <xdr:spPr>
        <a:xfrm>
          <a:off x="4593981" y="43063258"/>
          <a:ext cx="188595" cy="9237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21981</xdr:colOff>
      <xdr:row>268</xdr:row>
      <xdr:rowOff>14654</xdr:rowOff>
    </xdr:from>
    <xdr:to>
      <xdr:col>20</xdr:col>
      <xdr:colOff>199146</xdr:colOff>
      <xdr:row>268</xdr:row>
      <xdr:rowOff>116551</xdr:rowOff>
    </xdr:to>
    <xdr:sp macro="" textlink="">
      <xdr:nvSpPr>
        <xdr:cNvPr id="140" name="正方形/長方形 139">
          <a:extLst>
            <a:ext uri="{FF2B5EF4-FFF2-40B4-BE49-F238E27FC236}">
              <a16:creationId xmlns:a16="http://schemas.microsoft.com/office/drawing/2014/main" id="{4DF1EFAA-0C38-4AE7-BF78-77507DE74953}"/>
            </a:ext>
          </a:extLst>
        </xdr:cNvPr>
        <xdr:cNvSpPr/>
      </xdr:nvSpPr>
      <xdr:spPr>
        <a:xfrm>
          <a:off x="4593981" y="45963254"/>
          <a:ext cx="17716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18463</xdr:colOff>
      <xdr:row>268</xdr:row>
      <xdr:rowOff>22861</xdr:rowOff>
    </xdr:from>
    <xdr:to>
      <xdr:col>12</xdr:col>
      <xdr:colOff>191818</xdr:colOff>
      <xdr:row>268</xdr:row>
      <xdr:rowOff>111423</xdr:rowOff>
    </xdr:to>
    <xdr:sp macro="" textlink="">
      <xdr:nvSpPr>
        <xdr:cNvPr id="141" name="正方形/長方形 140">
          <a:extLst>
            <a:ext uri="{FF2B5EF4-FFF2-40B4-BE49-F238E27FC236}">
              <a16:creationId xmlns:a16="http://schemas.microsoft.com/office/drawing/2014/main" id="{50D86430-3184-48AC-8A9D-5F42A39CB54D}"/>
            </a:ext>
          </a:extLst>
        </xdr:cNvPr>
        <xdr:cNvSpPr/>
      </xdr:nvSpPr>
      <xdr:spPr>
        <a:xfrm>
          <a:off x="2761663" y="45971461"/>
          <a:ext cx="173355" cy="8856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21981</xdr:colOff>
      <xdr:row>269</xdr:row>
      <xdr:rowOff>29308</xdr:rowOff>
    </xdr:from>
    <xdr:to>
      <xdr:col>20</xdr:col>
      <xdr:colOff>210576</xdr:colOff>
      <xdr:row>269</xdr:row>
      <xdr:rowOff>121680</xdr:rowOff>
    </xdr:to>
    <xdr:sp macro="" textlink="">
      <xdr:nvSpPr>
        <xdr:cNvPr id="142" name="正方形/長方形 141">
          <a:extLst>
            <a:ext uri="{FF2B5EF4-FFF2-40B4-BE49-F238E27FC236}">
              <a16:creationId xmlns:a16="http://schemas.microsoft.com/office/drawing/2014/main" id="{77EAD7DC-DACA-44C7-85AB-54E06389B4CC}"/>
            </a:ext>
          </a:extLst>
        </xdr:cNvPr>
        <xdr:cNvSpPr/>
      </xdr:nvSpPr>
      <xdr:spPr>
        <a:xfrm>
          <a:off x="4593981" y="46149358"/>
          <a:ext cx="188595" cy="9237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223859</xdr:colOff>
      <xdr:row>212</xdr:row>
      <xdr:rowOff>66087</xdr:rowOff>
    </xdr:from>
    <xdr:to>
      <xdr:col>12</xdr:col>
      <xdr:colOff>18463</xdr:colOff>
      <xdr:row>232</xdr:row>
      <xdr:rowOff>67142</xdr:rowOff>
    </xdr:to>
    <xdr:cxnSp macro="">
      <xdr:nvCxnSpPr>
        <xdr:cNvPr id="143" name="直線コネクタ 31">
          <a:extLst>
            <a:ext uri="{FF2B5EF4-FFF2-40B4-BE49-F238E27FC236}">
              <a16:creationId xmlns:a16="http://schemas.microsoft.com/office/drawing/2014/main" id="{8A08B77F-11A7-4CBE-A913-251C3EEB017A}"/>
            </a:ext>
          </a:extLst>
        </xdr:cNvPr>
        <xdr:cNvCxnSpPr>
          <a:cxnSpLocks/>
          <a:stCxn id="65" idx="3"/>
          <a:endCxn id="132" idx="1"/>
        </xdr:cNvCxnSpPr>
      </xdr:nvCxnSpPr>
      <xdr:spPr>
        <a:xfrm>
          <a:off x="2509859" y="36413487"/>
          <a:ext cx="251804" cy="3430055"/>
        </a:xfrm>
        <a:prstGeom prst="bentConnector3">
          <a:avLst>
            <a:gd name="adj1" fmla="val 50000"/>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223859</xdr:colOff>
      <xdr:row>212</xdr:row>
      <xdr:rowOff>66087</xdr:rowOff>
    </xdr:from>
    <xdr:to>
      <xdr:col>12</xdr:col>
      <xdr:colOff>18463</xdr:colOff>
      <xdr:row>241</xdr:row>
      <xdr:rowOff>67142</xdr:rowOff>
    </xdr:to>
    <xdr:cxnSp macro="">
      <xdr:nvCxnSpPr>
        <xdr:cNvPr id="144" name="直線コネクタ 31">
          <a:extLst>
            <a:ext uri="{FF2B5EF4-FFF2-40B4-BE49-F238E27FC236}">
              <a16:creationId xmlns:a16="http://schemas.microsoft.com/office/drawing/2014/main" id="{010761A4-3703-4AA2-AEC4-8FA8562FEC7E}"/>
            </a:ext>
          </a:extLst>
        </xdr:cNvPr>
        <xdr:cNvCxnSpPr>
          <a:cxnSpLocks/>
          <a:stCxn id="65" idx="3"/>
          <a:endCxn id="135" idx="1"/>
        </xdr:cNvCxnSpPr>
      </xdr:nvCxnSpPr>
      <xdr:spPr>
        <a:xfrm>
          <a:off x="2509859" y="36413487"/>
          <a:ext cx="251804" cy="4973105"/>
        </a:xfrm>
        <a:prstGeom prst="bentConnector3">
          <a:avLst>
            <a:gd name="adj1" fmla="val 50000"/>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223859</xdr:colOff>
      <xdr:row>212</xdr:row>
      <xdr:rowOff>66087</xdr:rowOff>
    </xdr:from>
    <xdr:to>
      <xdr:col>12</xdr:col>
      <xdr:colOff>18463</xdr:colOff>
      <xdr:row>250</xdr:row>
      <xdr:rowOff>67142</xdr:rowOff>
    </xdr:to>
    <xdr:cxnSp macro="">
      <xdr:nvCxnSpPr>
        <xdr:cNvPr id="145" name="直線コネクタ 31">
          <a:extLst>
            <a:ext uri="{FF2B5EF4-FFF2-40B4-BE49-F238E27FC236}">
              <a16:creationId xmlns:a16="http://schemas.microsoft.com/office/drawing/2014/main" id="{39C99BA6-3E98-4C16-A027-9CB7B0E76F40}"/>
            </a:ext>
          </a:extLst>
        </xdr:cNvPr>
        <xdr:cNvCxnSpPr>
          <a:cxnSpLocks/>
          <a:stCxn id="65" idx="3"/>
          <a:endCxn id="138" idx="1"/>
        </xdr:cNvCxnSpPr>
      </xdr:nvCxnSpPr>
      <xdr:spPr>
        <a:xfrm>
          <a:off x="2509859" y="36413487"/>
          <a:ext cx="251804" cy="6516155"/>
        </a:xfrm>
        <a:prstGeom prst="bentConnector3">
          <a:avLst>
            <a:gd name="adj1" fmla="val 50000"/>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223859</xdr:colOff>
      <xdr:row>212</xdr:row>
      <xdr:rowOff>66087</xdr:rowOff>
    </xdr:from>
    <xdr:to>
      <xdr:col>12</xdr:col>
      <xdr:colOff>18463</xdr:colOff>
      <xdr:row>268</xdr:row>
      <xdr:rowOff>67142</xdr:rowOff>
    </xdr:to>
    <xdr:cxnSp macro="">
      <xdr:nvCxnSpPr>
        <xdr:cNvPr id="146" name="直線コネクタ 31">
          <a:extLst>
            <a:ext uri="{FF2B5EF4-FFF2-40B4-BE49-F238E27FC236}">
              <a16:creationId xmlns:a16="http://schemas.microsoft.com/office/drawing/2014/main" id="{993751E7-7F00-4580-AC1E-6F3C92519D36}"/>
            </a:ext>
          </a:extLst>
        </xdr:cNvPr>
        <xdr:cNvCxnSpPr>
          <a:cxnSpLocks/>
          <a:stCxn id="65" idx="3"/>
          <a:endCxn id="141" idx="1"/>
        </xdr:cNvCxnSpPr>
      </xdr:nvCxnSpPr>
      <xdr:spPr>
        <a:xfrm>
          <a:off x="2509859" y="36413487"/>
          <a:ext cx="251804" cy="9602255"/>
        </a:xfrm>
        <a:prstGeom prst="bentConnector3">
          <a:avLst>
            <a:gd name="adj1" fmla="val 50000"/>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190165</xdr:colOff>
      <xdr:row>251</xdr:row>
      <xdr:rowOff>68691</xdr:rowOff>
    </xdr:from>
    <xdr:to>
      <xdr:col>22</xdr:col>
      <xdr:colOff>1570</xdr:colOff>
      <xdr:row>260</xdr:row>
      <xdr:rowOff>68984</xdr:rowOff>
    </xdr:to>
    <xdr:cxnSp macro="">
      <xdr:nvCxnSpPr>
        <xdr:cNvPr id="147" name="直線コネクタ 31">
          <a:extLst>
            <a:ext uri="{FF2B5EF4-FFF2-40B4-BE49-F238E27FC236}">
              <a16:creationId xmlns:a16="http://schemas.microsoft.com/office/drawing/2014/main" id="{6F422AE4-CBAC-4E35-8684-4F6BFC54D21B}"/>
            </a:ext>
          </a:extLst>
        </xdr:cNvPr>
        <xdr:cNvCxnSpPr/>
      </xdr:nvCxnSpPr>
      <xdr:spPr>
        <a:xfrm rot="10800000">
          <a:off x="4762165" y="43102641"/>
          <a:ext cx="268605" cy="1543343"/>
        </a:xfrm>
        <a:prstGeom prst="bentConnector3">
          <a:avLst>
            <a:gd name="adj1" fmla="val 67523"/>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186355</xdr:colOff>
      <xdr:row>251</xdr:row>
      <xdr:rowOff>68691</xdr:rowOff>
    </xdr:from>
    <xdr:to>
      <xdr:col>21</xdr:col>
      <xdr:colOff>229081</xdr:colOff>
      <xdr:row>251</xdr:row>
      <xdr:rowOff>68984</xdr:rowOff>
    </xdr:to>
    <xdr:cxnSp macro="">
      <xdr:nvCxnSpPr>
        <xdr:cNvPr id="148" name="直線コネクタ 147">
          <a:extLst>
            <a:ext uri="{FF2B5EF4-FFF2-40B4-BE49-F238E27FC236}">
              <a16:creationId xmlns:a16="http://schemas.microsoft.com/office/drawing/2014/main" id="{AA4F7811-3026-4C5B-A5A2-02235750C56A}"/>
            </a:ext>
          </a:extLst>
        </xdr:cNvPr>
        <xdr:cNvCxnSpPr>
          <a:cxnSpLocks/>
        </xdr:cNvCxnSpPr>
      </xdr:nvCxnSpPr>
      <xdr:spPr>
        <a:xfrm>
          <a:off x="4758355" y="43102641"/>
          <a:ext cx="271326" cy="293"/>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178735</xdr:colOff>
      <xdr:row>250</xdr:row>
      <xdr:rowOff>58801</xdr:rowOff>
    </xdr:from>
    <xdr:to>
      <xdr:col>21</xdr:col>
      <xdr:colOff>229667</xdr:colOff>
      <xdr:row>259</xdr:row>
      <xdr:rowOff>64389</xdr:rowOff>
    </xdr:to>
    <xdr:cxnSp macro="">
      <xdr:nvCxnSpPr>
        <xdr:cNvPr id="149" name="直線コネクタ 31">
          <a:extLst>
            <a:ext uri="{FF2B5EF4-FFF2-40B4-BE49-F238E27FC236}">
              <a16:creationId xmlns:a16="http://schemas.microsoft.com/office/drawing/2014/main" id="{4E01A1F2-B53F-4120-AC75-04BC040C94E6}"/>
            </a:ext>
          </a:extLst>
        </xdr:cNvPr>
        <xdr:cNvCxnSpPr/>
      </xdr:nvCxnSpPr>
      <xdr:spPr>
        <a:xfrm rot="10800000">
          <a:off x="4750735" y="42921301"/>
          <a:ext cx="279532" cy="1548638"/>
        </a:xfrm>
        <a:prstGeom prst="bentConnector3">
          <a:avLst>
            <a:gd name="adj1" fmla="val 30155"/>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180640</xdr:colOff>
      <xdr:row>250</xdr:row>
      <xdr:rowOff>60705</xdr:rowOff>
    </xdr:from>
    <xdr:to>
      <xdr:col>22</xdr:col>
      <xdr:colOff>2156</xdr:colOff>
      <xdr:row>250</xdr:row>
      <xdr:rowOff>63435</xdr:rowOff>
    </xdr:to>
    <xdr:cxnSp macro="">
      <xdr:nvCxnSpPr>
        <xdr:cNvPr id="150" name="直線コネクタ 149">
          <a:extLst>
            <a:ext uri="{FF2B5EF4-FFF2-40B4-BE49-F238E27FC236}">
              <a16:creationId xmlns:a16="http://schemas.microsoft.com/office/drawing/2014/main" id="{24DC0E6F-30C6-4D45-9FCB-AE3EE7FF6209}"/>
            </a:ext>
          </a:extLst>
        </xdr:cNvPr>
        <xdr:cNvCxnSpPr>
          <a:cxnSpLocks/>
        </xdr:cNvCxnSpPr>
      </xdr:nvCxnSpPr>
      <xdr:spPr>
        <a:xfrm>
          <a:off x="4752640" y="42923205"/>
          <a:ext cx="278716" cy="2730"/>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190165</xdr:colOff>
      <xdr:row>269</xdr:row>
      <xdr:rowOff>75494</xdr:rowOff>
    </xdr:from>
    <xdr:to>
      <xdr:col>22</xdr:col>
      <xdr:colOff>1570</xdr:colOff>
      <xdr:row>278</xdr:row>
      <xdr:rowOff>75787</xdr:rowOff>
    </xdr:to>
    <xdr:cxnSp macro="">
      <xdr:nvCxnSpPr>
        <xdr:cNvPr id="151" name="直線コネクタ 31">
          <a:extLst>
            <a:ext uri="{FF2B5EF4-FFF2-40B4-BE49-F238E27FC236}">
              <a16:creationId xmlns:a16="http://schemas.microsoft.com/office/drawing/2014/main" id="{5CA7B349-2251-4BE1-A143-D1701F9CE243}"/>
            </a:ext>
          </a:extLst>
        </xdr:cNvPr>
        <xdr:cNvCxnSpPr/>
      </xdr:nvCxnSpPr>
      <xdr:spPr>
        <a:xfrm rot="10800000">
          <a:off x="4762165" y="46195544"/>
          <a:ext cx="268605" cy="1543343"/>
        </a:xfrm>
        <a:prstGeom prst="bentConnector3">
          <a:avLst>
            <a:gd name="adj1" fmla="val 67523"/>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186355</xdr:colOff>
      <xdr:row>269</xdr:row>
      <xdr:rowOff>75494</xdr:rowOff>
    </xdr:from>
    <xdr:to>
      <xdr:col>21</xdr:col>
      <xdr:colOff>229081</xdr:colOff>
      <xdr:row>269</xdr:row>
      <xdr:rowOff>75787</xdr:rowOff>
    </xdr:to>
    <xdr:cxnSp macro="">
      <xdr:nvCxnSpPr>
        <xdr:cNvPr id="152" name="直線コネクタ 151">
          <a:extLst>
            <a:ext uri="{FF2B5EF4-FFF2-40B4-BE49-F238E27FC236}">
              <a16:creationId xmlns:a16="http://schemas.microsoft.com/office/drawing/2014/main" id="{38D3FD12-8993-4EAD-9009-4867DF09CDF9}"/>
            </a:ext>
          </a:extLst>
        </xdr:cNvPr>
        <xdr:cNvCxnSpPr>
          <a:cxnSpLocks/>
        </xdr:cNvCxnSpPr>
      </xdr:nvCxnSpPr>
      <xdr:spPr>
        <a:xfrm>
          <a:off x="4758355" y="46195544"/>
          <a:ext cx="271326" cy="293"/>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178735</xdr:colOff>
      <xdr:row>268</xdr:row>
      <xdr:rowOff>65604</xdr:rowOff>
    </xdr:from>
    <xdr:to>
      <xdr:col>21</xdr:col>
      <xdr:colOff>229667</xdr:colOff>
      <xdr:row>277</xdr:row>
      <xdr:rowOff>71192</xdr:rowOff>
    </xdr:to>
    <xdr:cxnSp macro="">
      <xdr:nvCxnSpPr>
        <xdr:cNvPr id="153" name="直線コネクタ 31">
          <a:extLst>
            <a:ext uri="{FF2B5EF4-FFF2-40B4-BE49-F238E27FC236}">
              <a16:creationId xmlns:a16="http://schemas.microsoft.com/office/drawing/2014/main" id="{4A6F583C-1107-4913-87C9-02F33B68C44B}"/>
            </a:ext>
          </a:extLst>
        </xdr:cNvPr>
        <xdr:cNvCxnSpPr/>
      </xdr:nvCxnSpPr>
      <xdr:spPr>
        <a:xfrm rot="10800000">
          <a:off x="4750735" y="46014204"/>
          <a:ext cx="279532" cy="1548638"/>
        </a:xfrm>
        <a:prstGeom prst="bentConnector3">
          <a:avLst>
            <a:gd name="adj1" fmla="val 30155"/>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180640</xdr:colOff>
      <xdr:row>268</xdr:row>
      <xdr:rowOff>67508</xdr:rowOff>
    </xdr:from>
    <xdr:to>
      <xdr:col>22</xdr:col>
      <xdr:colOff>2156</xdr:colOff>
      <xdr:row>268</xdr:row>
      <xdr:rowOff>70238</xdr:rowOff>
    </xdr:to>
    <xdr:cxnSp macro="">
      <xdr:nvCxnSpPr>
        <xdr:cNvPr id="154" name="直線コネクタ 153">
          <a:extLst>
            <a:ext uri="{FF2B5EF4-FFF2-40B4-BE49-F238E27FC236}">
              <a16:creationId xmlns:a16="http://schemas.microsoft.com/office/drawing/2014/main" id="{65C6C8B3-E4C1-45AA-A762-B330BB570FB8}"/>
            </a:ext>
          </a:extLst>
        </xdr:cNvPr>
        <xdr:cNvCxnSpPr>
          <a:cxnSpLocks/>
        </xdr:cNvCxnSpPr>
      </xdr:nvCxnSpPr>
      <xdr:spPr>
        <a:xfrm>
          <a:off x="4752640" y="46016108"/>
          <a:ext cx="278716" cy="2730"/>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220373</xdr:colOff>
      <xdr:row>242</xdr:row>
      <xdr:rowOff>75495</xdr:rowOff>
    </xdr:from>
    <xdr:to>
      <xdr:col>22</xdr:col>
      <xdr:colOff>31778</xdr:colOff>
      <xdr:row>242</xdr:row>
      <xdr:rowOff>75788</xdr:rowOff>
    </xdr:to>
    <xdr:cxnSp macro="">
      <xdr:nvCxnSpPr>
        <xdr:cNvPr id="155" name="直線コネクタ 154">
          <a:extLst>
            <a:ext uri="{FF2B5EF4-FFF2-40B4-BE49-F238E27FC236}">
              <a16:creationId xmlns:a16="http://schemas.microsoft.com/office/drawing/2014/main" id="{10F91470-97AF-4CD1-AB1B-12E9C150FAC6}"/>
            </a:ext>
          </a:extLst>
        </xdr:cNvPr>
        <xdr:cNvCxnSpPr>
          <a:cxnSpLocks/>
        </xdr:cNvCxnSpPr>
      </xdr:nvCxnSpPr>
      <xdr:spPr>
        <a:xfrm>
          <a:off x="4792373" y="41566395"/>
          <a:ext cx="268605" cy="293"/>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214658</xdr:colOff>
      <xdr:row>241</xdr:row>
      <xdr:rowOff>67509</xdr:rowOff>
    </xdr:from>
    <xdr:to>
      <xdr:col>22</xdr:col>
      <xdr:colOff>36174</xdr:colOff>
      <xdr:row>241</xdr:row>
      <xdr:rowOff>70239</xdr:rowOff>
    </xdr:to>
    <xdr:cxnSp macro="">
      <xdr:nvCxnSpPr>
        <xdr:cNvPr id="156" name="直線コネクタ 155">
          <a:extLst>
            <a:ext uri="{FF2B5EF4-FFF2-40B4-BE49-F238E27FC236}">
              <a16:creationId xmlns:a16="http://schemas.microsoft.com/office/drawing/2014/main" id="{4541F502-9C9E-4579-A6D5-5F9AC9A9A54E}"/>
            </a:ext>
          </a:extLst>
        </xdr:cNvPr>
        <xdr:cNvCxnSpPr>
          <a:cxnSpLocks/>
        </xdr:cNvCxnSpPr>
      </xdr:nvCxnSpPr>
      <xdr:spPr>
        <a:xfrm>
          <a:off x="4786658" y="41386959"/>
          <a:ext cx="278716" cy="2730"/>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210576</xdr:colOff>
      <xdr:row>233</xdr:row>
      <xdr:rowOff>75494</xdr:rowOff>
    </xdr:from>
    <xdr:to>
      <xdr:col>22</xdr:col>
      <xdr:colOff>21981</xdr:colOff>
      <xdr:row>233</xdr:row>
      <xdr:rowOff>75787</xdr:rowOff>
    </xdr:to>
    <xdr:cxnSp macro="">
      <xdr:nvCxnSpPr>
        <xdr:cNvPr id="157" name="直線コネクタ 156">
          <a:extLst>
            <a:ext uri="{FF2B5EF4-FFF2-40B4-BE49-F238E27FC236}">
              <a16:creationId xmlns:a16="http://schemas.microsoft.com/office/drawing/2014/main" id="{FF370E56-DEFE-438D-B135-4031A8B80978}"/>
            </a:ext>
          </a:extLst>
        </xdr:cNvPr>
        <xdr:cNvCxnSpPr>
          <a:cxnSpLocks/>
          <a:stCxn id="133" idx="3"/>
          <a:endCxn id="94" idx="1"/>
        </xdr:cNvCxnSpPr>
      </xdr:nvCxnSpPr>
      <xdr:spPr>
        <a:xfrm>
          <a:off x="4782576" y="40023344"/>
          <a:ext cx="268605" cy="293"/>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199146</xdr:colOff>
      <xdr:row>232</xdr:row>
      <xdr:rowOff>65603</xdr:rowOff>
    </xdr:from>
    <xdr:to>
      <xdr:col>22</xdr:col>
      <xdr:colOff>18757</xdr:colOff>
      <xdr:row>232</xdr:row>
      <xdr:rowOff>71191</xdr:rowOff>
    </xdr:to>
    <xdr:cxnSp macro="">
      <xdr:nvCxnSpPr>
        <xdr:cNvPr id="158" name="直線コネクタ 157">
          <a:extLst>
            <a:ext uri="{FF2B5EF4-FFF2-40B4-BE49-F238E27FC236}">
              <a16:creationId xmlns:a16="http://schemas.microsoft.com/office/drawing/2014/main" id="{D6C9D341-D8D0-44EB-A43B-EDDA382FBF41}"/>
            </a:ext>
          </a:extLst>
        </xdr:cNvPr>
        <xdr:cNvCxnSpPr>
          <a:cxnSpLocks/>
          <a:stCxn id="131" idx="3"/>
          <a:endCxn id="91" idx="1"/>
        </xdr:cNvCxnSpPr>
      </xdr:nvCxnSpPr>
      <xdr:spPr>
        <a:xfrm>
          <a:off x="4771146" y="39842003"/>
          <a:ext cx="276811" cy="5588"/>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210576</xdr:colOff>
      <xdr:row>319</xdr:row>
      <xdr:rowOff>75494</xdr:rowOff>
    </xdr:from>
    <xdr:to>
      <xdr:col>22</xdr:col>
      <xdr:colOff>21981</xdr:colOff>
      <xdr:row>330</xdr:row>
      <xdr:rowOff>75787</xdr:rowOff>
    </xdr:to>
    <xdr:cxnSp macro="">
      <xdr:nvCxnSpPr>
        <xdr:cNvPr id="159" name="直線コネクタ 31">
          <a:extLst>
            <a:ext uri="{FF2B5EF4-FFF2-40B4-BE49-F238E27FC236}">
              <a16:creationId xmlns:a16="http://schemas.microsoft.com/office/drawing/2014/main" id="{9FF28714-0EC1-42A9-97F9-0C05A90C06FB}"/>
            </a:ext>
          </a:extLst>
        </xdr:cNvPr>
        <xdr:cNvCxnSpPr>
          <a:stCxn id="180" idx="1"/>
          <a:endCxn id="171" idx="3"/>
        </xdr:cNvCxnSpPr>
      </xdr:nvCxnSpPr>
      <xdr:spPr>
        <a:xfrm rot="10800000">
          <a:off x="4782576" y="54768044"/>
          <a:ext cx="268605" cy="1886243"/>
        </a:xfrm>
        <a:prstGeom prst="bentConnector3">
          <a:avLst>
            <a:gd name="adj1" fmla="val 67523"/>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281009</xdr:colOff>
      <xdr:row>318</xdr:row>
      <xdr:rowOff>66087</xdr:rowOff>
    </xdr:from>
    <xdr:to>
      <xdr:col>12</xdr:col>
      <xdr:colOff>18463</xdr:colOff>
      <xdr:row>318</xdr:row>
      <xdr:rowOff>67142</xdr:rowOff>
    </xdr:to>
    <xdr:cxnSp macro="">
      <xdr:nvCxnSpPr>
        <xdr:cNvPr id="160" name="直線コネクタ 159">
          <a:extLst>
            <a:ext uri="{FF2B5EF4-FFF2-40B4-BE49-F238E27FC236}">
              <a16:creationId xmlns:a16="http://schemas.microsoft.com/office/drawing/2014/main" id="{634012B2-5038-4CC6-BE27-326F719484F2}"/>
            </a:ext>
          </a:extLst>
        </xdr:cNvPr>
        <xdr:cNvCxnSpPr>
          <a:cxnSpLocks/>
          <a:stCxn id="161" idx="3"/>
          <a:endCxn id="169" idx="1"/>
        </xdr:cNvCxnSpPr>
      </xdr:nvCxnSpPr>
      <xdr:spPr>
        <a:xfrm>
          <a:off x="2509859" y="54587187"/>
          <a:ext cx="251804" cy="1055"/>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107654</xdr:colOff>
      <xdr:row>318</xdr:row>
      <xdr:rowOff>13233</xdr:rowOff>
    </xdr:from>
    <xdr:to>
      <xdr:col>10</xdr:col>
      <xdr:colOff>281009</xdr:colOff>
      <xdr:row>318</xdr:row>
      <xdr:rowOff>118940</xdr:rowOff>
    </xdr:to>
    <xdr:sp macro="" textlink="">
      <xdr:nvSpPr>
        <xdr:cNvPr id="161" name="正方形/長方形 160">
          <a:extLst>
            <a:ext uri="{FF2B5EF4-FFF2-40B4-BE49-F238E27FC236}">
              <a16:creationId xmlns:a16="http://schemas.microsoft.com/office/drawing/2014/main" id="{9A6BA492-02E0-4CE5-8B96-5A1DA0EDB27E}"/>
            </a:ext>
          </a:extLst>
        </xdr:cNvPr>
        <xdr:cNvSpPr/>
      </xdr:nvSpPr>
      <xdr:spPr>
        <a:xfrm>
          <a:off x="2393654" y="54534333"/>
          <a:ext cx="116205" cy="10570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21981</xdr:colOff>
      <xdr:row>318</xdr:row>
      <xdr:rowOff>14654</xdr:rowOff>
    </xdr:from>
    <xdr:to>
      <xdr:col>20</xdr:col>
      <xdr:colOff>199146</xdr:colOff>
      <xdr:row>318</xdr:row>
      <xdr:rowOff>116551</xdr:rowOff>
    </xdr:to>
    <xdr:sp macro="" textlink="">
      <xdr:nvSpPr>
        <xdr:cNvPr id="162" name="正方形/長方形 161">
          <a:extLst>
            <a:ext uri="{FF2B5EF4-FFF2-40B4-BE49-F238E27FC236}">
              <a16:creationId xmlns:a16="http://schemas.microsoft.com/office/drawing/2014/main" id="{F241C63B-96F2-4252-85E0-CF3FA59A3C92}"/>
            </a:ext>
          </a:extLst>
        </xdr:cNvPr>
        <xdr:cNvSpPr/>
      </xdr:nvSpPr>
      <xdr:spPr>
        <a:xfrm>
          <a:off x="4593981" y="54535754"/>
          <a:ext cx="17716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18757</xdr:colOff>
      <xdr:row>318</xdr:row>
      <xdr:rowOff>20242</xdr:rowOff>
    </xdr:from>
    <xdr:to>
      <xdr:col>22</xdr:col>
      <xdr:colOff>192112</xdr:colOff>
      <xdr:row>318</xdr:row>
      <xdr:rowOff>122139</xdr:rowOff>
    </xdr:to>
    <xdr:sp macro="" textlink="">
      <xdr:nvSpPr>
        <xdr:cNvPr id="163" name="正方形/長方形 162">
          <a:extLst>
            <a:ext uri="{FF2B5EF4-FFF2-40B4-BE49-F238E27FC236}">
              <a16:creationId xmlns:a16="http://schemas.microsoft.com/office/drawing/2014/main" id="{44AF5EEE-C35D-4894-A8E6-B8DF35705368}"/>
            </a:ext>
          </a:extLst>
        </xdr:cNvPr>
        <xdr:cNvSpPr/>
      </xdr:nvSpPr>
      <xdr:spPr>
        <a:xfrm>
          <a:off x="5047957" y="54541342"/>
          <a:ext cx="17335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18758</xdr:colOff>
      <xdr:row>318</xdr:row>
      <xdr:rowOff>9232</xdr:rowOff>
    </xdr:from>
    <xdr:to>
      <xdr:col>33</xdr:col>
      <xdr:colOff>182588</xdr:colOff>
      <xdr:row>318</xdr:row>
      <xdr:rowOff>103509</xdr:rowOff>
    </xdr:to>
    <xdr:sp macro="" textlink="">
      <xdr:nvSpPr>
        <xdr:cNvPr id="164" name="正方形/長方形 163">
          <a:extLst>
            <a:ext uri="{FF2B5EF4-FFF2-40B4-BE49-F238E27FC236}">
              <a16:creationId xmlns:a16="http://schemas.microsoft.com/office/drawing/2014/main" id="{BC385EBB-F99D-4846-8D4F-AF870FACB8CC}"/>
            </a:ext>
          </a:extLst>
        </xdr:cNvPr>
        <xdr:cNvSpPr/>
      </xdr:nvSpPr>
      <xdr:spPr>
        <a:xfrm>
          <a:off x="7562558" y="54530332"/>
          <a:ext cx="163830"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27402</xdr:colOff>
      <xdr:row>318</xdr:row>
      <xdr:rowOff>11137</xdr:rowOff>
    </xdr:from>
    <xdr:to>
      <xdr:col>29</xdr:col>
      <xdr:colOff>200757</xdr:colOff>
      <xdr:row>318</xdr:row>
      <xdr:rowOff>105414</xdr:rowOff>
    </xdr:to>
    <xdr:sp macro="" textlink="">
      <xdr:nvSpPr>
        <xdr:cNvPr id="165" name="正方形/長方形 164">
          <a:extLst>
            <a:ext uri="{FF2B5EF4-FFF2-40B4-BE49-F238E27FC236}">
              <a16:creationId xmlns:a16="http://schemas.microsoft.com/office/drawing/2014/main" id="{85D782DA-CA6C-4188-A5E8-A068EB4F34D8}"/>
            </a:ext>
          </a:extLst>
        </xdr:cNvPr>
        <xdr:cNvSpPr/>
      </xdr:nvSpPr>
      <xdr:spPr>
        <a:xfrm>
          <a:off x="6656802" y="54532237"/>
          <a:ext cx="17335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320</xdr:row>
      <xdr:rowOff>14655</xdr:rowOff>
    </xdr:from>
    <xdr:to>
      <xdr:col>29</xdr:col>
      <xdr:colOff>198853</xdr:colOff>
      <xdr:row>320</xdr:row>
      <xdr:rowOff>112742</xdr:rowOff>
    </xdr:to>
    <xdr:sp macro="" textlink="">
      <xdr:nvSpPr>
        <xdr:cNvPr id="166" name="正方形/長方形 165">
          <a:extLst>
            <a:ext uri="{FF2B5EF4-FFF2-40B4-BE49-F238E27FC236}">
              <a16:creationId xmlns:a16="http://schemas.microsoft.com/office/drawing/2014/main" id="{6C97A36B-CAF1-4523-8AD7-4AC194D659E6}"/>
            </a:ext>
          </a:extLst>
        </xdr:cNvPr>
        <xdr:cNvSpPr/>
      </xdr:nvSpPr>
      <xdr:spPr>
        <a:xfrm>
          <a:off x="6658708" y="5487865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13336</xdr:colOff>
      <xdr:row>319</xdr:row>
      <xdr:rowOff>21980</xdr:rowOff>
    </xdr:from>
    <xdr:to>
      <xdr:col>33</xdr:col>
      <xdr:colOff>171451</xdr:colOff>
      <xdr:row>319</xdr:row>
      <xdr:rowOff>123877</xdr:rowOff>
    </xdr:to>
    <xdr:sp macro="" textlink="">
      <xdr:nvSpPr>
        <xdr:cNvPr id="167" name="正方形/長方形 166">
          <a:extLst>
            <a:ext uri="{FF2B5EF4-FFF2-40B4-BE49-F238E27FC236}">
              <a16:creationId xmlns:a16="http://schemas.microsoft.com/office/drawing/2014/main" id="{7C859524-4092-46D2-942E-9C8A224A7E15}"/>
            </a:ext>
          </a:extLst>
        </xdr:cNvPr>
        <xdr:cNvSpPr/>
      </xdr:nvSpPr>
      <xdr:spPr>
        <a:xfrm>
          <a:off x="7557136" y="54714530"/>
          <a:ext cx="158115" cy="10189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200757</xdr:colOff>
      <xdr:row>318</xdr:row>
      <xdr:rowOff>56371</xdr:rowOff>
    </xdr:from>
    <xdr:to>
      <xdr:col>33</xdr:col>
      <xdr:colOff>18758</xdr:colOff>
      <xdr:row>318</xdr:row>
      <xdr:rowOff>58276</xdr:rowOff>
    </xdr:to>
    <xdr:cxnSp macro="">
      <xdr:nvCxnSpPr>
        <xdr:cNvPr id="168" name="直線コネクタ 167">
          <a:extLst>
            <a:ext uri="{FF2B5EF4-FFF2-40B4-BE49-F238E27FC236}">
              <a16:creationId xmlns:a16="http://schemas.microsoft.com/office/drawing/2014/main" id="{A1968463-0102-4EE3-9D06-53FD797A57AF}"/>
            </a:ext>
          </a:extLst>
        </xdr:cNvPr>
        <xdr:cNvCxnSpPr>
          <a:stCxn id="164" idx="1"/>
          <a:endCxn id="165" idx="3"/>
        </xdr:cNvCxnSpPr>
      </xdr:nvCxnSpPr>
      <xdr:spPr>
        <a:xfrm flipH="1">
          <a:off x="6830157" y="54577471"/>
          <a:ext cx="732401" cy="1905"/>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18463</xdr:colOff>
      <xdr:row>318</xdr:row>
      <xdr:rowOff>22861</xdr:rowOff>
    </xdr:from>
    <xdr:to>
      <xdr:col>12</xdr:col>
      <xdr:colOff>191818</xdr:colOff>
      <xdr:row>318</xdr:row>
      <xdr:rowOff>111423</xdr:rowOff>
    </xdr:to>
    <xdr:sp macro="" textlink="">
      <xdr:nvSpPr>
        <xdr:cNvPr id="169" name="正方形/長方形 168">
          <a:extLst>
            <a:ext uri="{FF2B5EF4-FFF2-40B4-BE49-F238E27FC236}">
              <a16:creationId xmlns:a16="http://schemas.microsoft.com/office/drawing/2014/main" id="{30DC511B-573E-4F5E-95A8-EB4E21A6FFBC}"/>
            </a:ext>
          </a:extLst>
        </xdr:cNvPr>
        <xdr:cNvSpPr/>
      </xdr:nvSpPr>
      <xdr:spPr>
        <a:xfrm>
          <a:off x="2761663" y="54543961"/>
          <a:ext cx="173355" cy="8856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21981</xdr:colOff>
      <xdr:row>319</xdr:row>
      <xdr:rowOff>23885</xdr:rowOff>
    </xdr:from>
    <xdr:to>
      <xdr:col>22</xdr:col>
      <xdr:colOff>191526</xdr:colOff>
      <xdr:row>319</xdr:row>
      <xdr:rowOff>127688</xdr:rowOff>
    </xdr:to>
    <xdr:sp macro="" textlink="">
      <xdr:nvSpPr>
        <xdr:cNvPr id="170" name="正方形/長方形 169">
          <a:extLst>
            <a:ext uri="{FF2B5EF4-FFF2-40B4-BE49-F238E27FC236}">
              <a16:creationId xmlns:a16="http://schemas.microsoft.com/office/drawing/2014/main" id="{10B67331-916F-4493-89D1-E72267406B90}"/>
            </a:ext>
          </a:extLst>
        </xdr:cNvPr>
        <xdr:cNvSpPr/>
      </xdr:nvSpPr>
      <xdr:spPr>
        <a:xfrm>
          <a:off x="5051181" y="5471643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21981</xdr:colOff>
      <xdr:row>319</xdr:row>
      <xdr:rowOff>29308</xdr:rowOff>
    </xdr:from>
    <xdr:to>
      <xdr:col>20</xdr:col>
      <xdr:colOff>210576</xdr:colOff>
      <xdr:row>319</xdr:row>
      <xdr:rowOff>121680</xdr:rowOff>
    </xdr:to>
    <xdr:sp macro="" textlink="">
      <xdr:nvSpPr>
        <xdr:cNvPr id="171" name="正方形/長方形 170">
          <a:extLst>
            <a:ext uri="{FF2B5EF4-FFF2-40B4-BE49-F238E27FC236}">
              <a16:creationId xmlns:a16="http://schemas.microsoft.com/office/drawing/2014/main" id="{F6182696-FAB1-42E0-B52C-71A05D314B6B}"/>
            </a:ext>
          </a:extLst>
        </xdr:cNvPr>
        <xdr:cNvSpPr/>
      </xdr:nvSpPr>
      <xdr:spPr>
        <a:xfrm>
          <a:off x="4593981" y="54721858"/>
          <a:ext cx="188595" cy="9237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206766</xdr:colOff>
      <xdr:row>319</xdr:row>
      <xdr:rowOff>75494</xdr:rowOff>
    </xdr:from>
    <xdr:to>
      <xdr:col>22</xdr:col>
      <xdr:colOff>18171</xdr:colOff>
      <xdr:row>319</xdr:row>
      <xdr:rowOff>75787</xdr:rowOff>
    </xdr:to>
    <xdr:cxnSp macro="">
      <xdr:nvCxnSpPr>
        <xdr:cNvPr id="172" name="直線コネクタ 171">
          <a:extLst>
            <a:ext uri="{FF2B5EF4-FFF2-40B4-BE49-F238E27FC236}">
              <a16:creationId xmlns:a16="http://schemas.microsoft.com/office/drawing/2014/main" id="{6414CC63-D87F-4E47-B436-7C324923D549}"/>
            </a:ext>
          </a:extLst>
        </xdr:cNvPr>
        <xdr:cNvCxnSpPr>
          <a:cxnSpLocks/>
          <a:stCxn id="171" idx="3"/>
          <a:endCxn id="170" idx="1"/>
        </xdr:cNvCxnSpPr>
      </xdr:nvCxnSpPr>
      <xdr:spPr>
        <a:xfrm>
          <a:off x="4778766" y="54768044"/>
          <a:ext cx="268605" cy="293"/>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198853</xdr:colOff>
      <xdr:row>319</xdr:row>
      <xdr:rowOff>72929</xdr:rowOff>
    </xdr:from>
    <xdr:to>
      <xdr:col>33</xdr:col>
      <xdr:colOff>13336</xdr:colOff>
      <xdr:row>320</xdr:row>
      <xdr:rowOff>63699</xdr:rowOff>
    </xdr:to>
    <xdr:cxnSp macro="">
      <xdr:nvCxnSpPr>
        <xdr:cNvPr id="173" name="直線コネクタ 31">
          <a:extLst>
            <a:ext uri="{FF2B5EF4-FFF2-40B4-BE49-F238E27FC236}">
              <a16:creationId xmlns:a16="http://schemas.microsoft.com/office/drawing/2014/main" id="{457B928B-7FB8-4D38-9F80-1F502D2CD933}"/>
            </a:ext>
          </a:extLst>
        </xdr:cNvPr>
        <xdr:cNvCxnSpPr>
          <a:stCxn id="166" idx="3"/>
          <a:endCxn id="167" idx="1"/>
        </xdr:cNvCxnSpPr>
      </xdr:nvCxnSpPr>
      <xdr:spPr>
        <a:xfrm flipV="1">
          <a:off x="6828253" y="54765479"/>
          <a:ext cx="728883" cy="162220"/>
        </a:xfrm>
        <a:prstGeom prst="bentConnector3">
          <a:avLst>
            <a:gd name="adj1" fmla="val 50000"/>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18757</xdr:colOff>
      <xdr:row>329</xdr:row>
      <xdr:rowOff>20242</xdr:rowOff>
    </xdr:from>
    <xdr:to>
      <xdr:col>22</xdr:col>
      <xdr:colOff>192112</xdr:colOff>
      <xdr:row>329</xdr:row>
      <xdr:rowOff>122139</xdr:rowOff>
    </xdr:to>
    <xdr:sp macro="" textlink="">
      <xdr:nvSpPr>
        <xdr:cNvPr id="174" name="正方形/長方形 173">
          <a:extLst>
            <a:ext uri="{FF2B5EF4-FFF2-40B4-BE49-F238E27FC236}">
              <a16:creationId xmlns:a16="http://schemas.microsoft.com/office/drawing/2014/main" id="{CA9A30F1-6857-4272-BC84-FC8220917233}"/>
            </a:ext>
          </a:extLst>
        </xdr:cNvPr>
        <xdr:cNvSpPr/>
      </xdr:nvSpPr>
      <xdr:spPr>
        <a:xfrm>
          <a:off x="5047957" y="56427292"/>
          <a:ext cx="17335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18758</xdr:colOff>
      <xdr:row>329</xdr:row>
      <xdr:rowOff>9232</xdr:rowOff>
    </xdr:from>
    <xdr:to>
      <xdr:col>33</xdr:col>
      <xdr:colOff>182588</xdr:colOff>
      <xdr:row>329</xdr:row>
      <xdr:rowOff>103509</xdr:rowOff>
    </xdr:to>
    <xdr:sp macro="" textlink="">
      <xdr:nvSpPr>
        <xdr:cNvPr id="175" name="正方形/長方形 174">
          <a:extLst>
            <a:ext uri="{FF2B5EF4-FFF2-40B4-BE49-F238E27FC236}">
              <a16:creationId xmlns:a16="http://schemas.microsoft.com/office/drawing/2014/main" id="{8880E72B-05F1-4717-B1B5-39878C22D1F3}"/>
            </a:ext>
          </a:extLst>
        </xdr:cNvPr>
        <xdr:cNvSpPr/>
      </xdr:nvSpPr>
      <xdr:spPr>
        <a:xfrm>
          <a:off x="7562558" y="56416282"/>
          <a:ext cx="163830"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27402</xdr:colOff>
      <xdr:row>329</xdr:row>
      <xdr:rowOff>11137</xdr:rowOff>
    </xdr:from>
    <xdr:to>
      <xdr:col>29</xdr:col>
      <xdr:colOff>200757</xdr:colOff>
      <xdr:row>329</xdr:row>
      <xdr:rowOff>105414</xdr:rowOff>
    </xdr:to>
    <xdr:sp macro="" textlink="">
      <xdr:nvSpPr>
        <xdr:cNvPr id="176" name="正方形/長方形 175">
          <a:extLst>
            <a:ext uri="{FF2B5EF4-FFF2-40B4-BE49-F238E27FC236}">
              <a16:creationId xmlns:a16="http://schemas.microsoft.com/office/drawing/2014/main" id="{E65E73C9-7A5A-4850-A360-B92ECCE7B5F3}"/>
            </a:ext>
          </a:extLst>
        </xdr:cNvPr>
        <xdr:cNvSpPr/>
      </xdr:nvSpPr>
      <xdr:spPr>
        <a:xfrm>
          <a:off x="6656802" y="56418187"/>
          <a:ext cx="17335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331</xdr:row>
      <xdr:rowOff>14655</xdr:rowOff>
    </xdr:from>
    <xdr:to>
      <xdr:col>29</xdr:col>
      <xdr:colOff>198853</xdr:colOff>
      <xdr:row>331</xdr:row>
      <xdr:rowOff>112742</xdr:rowOff>
    </xdr:to>
    <xdr:sp macro="" textlink="">
      <xdr:nvSpPr>
        <xdr:cNvPr id="177" name="正方形/長方形 176">
          <a:extLst>
            <a:ext uri="{FF2B5EF4-FFF2-40B4-BE49-F238E27FC236}">
              <a16:creationId xmlns:a16="http://schemas.microsoft.com/office/drawing/2014/main" id="{063A6CF7-82D6-4E43-8062-98A72DE05796}"/>
            </a:ext>
          </a:extLst>
        </xdr:cNvPr>
        <xdr:cNvSpPr/>
      </xdr:nvSpPr>
      <xdr:spPr>
        <a:xfrm>
          <a:off x="6658708" y="5676460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13336</xdr:colOff>
      <xdr:row>330</xdr:row>
      <xdr:rowOff>21980</xdr:rowOff>
    </xdr:from>
    <xdr:to>
      <xdr:col>33</xdr:col>
      <xdr:colOff>171451</xdr:colOff>
      <xdr:row>330</xdr:row>
      <xdr:rowOff>123877</xdr:rowOff>
    </xdr:to>
    <xdr:sp macro="" textlink="">
      <xdr:nvSpPr>
        <xdr:cNvPr id="178" name="正方形/長方形 177">
          <a:extLst>
            <a:ext uri="{FF2B5EF4-FFF2-40B4-BE49-F238E27FC236}">
              <a16:creationId xmlns:a16="http://schemas.microsoft.com/office/drawing/2014/main" id="{1ED1247F-E3BD-4527-A08D-D9A713F503A9}"/>
            </a:ext>
          </a:extLst>
        </xdr:cNvPr>
        <xdr:cNvSpPr/>
      </xdr:nvSpPr>
      <xdr:spPr>
        <a:xfrm>
          <a:off x="7557136" y="56600480"/>
          <a:ext cx="158115" cy="10189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200757</xdr:colOff>
      <xdr:row>329</xdr:row>
      <xdr:rowOff>56371</xdr:rowOff>
    </xdr:from>
    <xdr:to>
      <xdr:col>33</xdr:col>
      <xdr:colOff>18758</xdr:colOff>
      <xdr:row>329</xdr:row>
      <xdr:rowOff>58276</xdr:rowOff>
    </xdr:to>
    <xdr:cxnSp macro="">
      <xdr:nvCxnSpPr>
        <xdr:cNvPr id="179" name="直線コネクタ 178">
          <a:extLst>
            <a:ext uri="{FF2B5EF4-FFF2-40B4-BE49-F238E27FC236}">
              <a16:creationId xmlns:a16="http://schemas.microsoft.com/office/drawing/2014/main" id="{F016D94A-F8C9-4F2B-87B9-3CDB63D4FC3E}"/>
            </a:ext>
          </a:extLst>
        </xdr:cNvPr>
        <xdr:cNvCxnSpPr>
          <a:stCxn id="175" idx="1"/>
          <a:endCxn id="176" idx="3"/>
        </xdr:cNvCxnSpPr>
      </xdr:nvCxnSpPr>
      <xdr:spPr>
        <a:xfrm flipH="1">
          <a:off x="6830157" y="56463421"/>
          <a:ext cx="732401" cy="1905"/>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21981</xdr:colOff>
      <xdr:row>330</xdr:row>
      <xdr:rowOff>23885</xdr:rowOff>
    </xdr:from>
    <xdr:to>
      <xdr:col>22</xdr:col>
      <xdr:colOff>191526</xdr:colOff>
      <xdr:row>330</xdr:row>
      <xdr:rowOff>127688</xdr:rowOff>
    </xdr:to>
    <xdr:sp macro="" textlink="">
      <xdr:nvSpPr>
        <xdr:cNvPr id="180" name="正方形/長方形 179">
          <a:extLst>
            <a:ext uri="{FF2B5EF4-FFF2-40B4-BE49-F238E27FC236}">
              <a16:creationId xmlns:a16="http://schemas.microsoft.com/office/drawing/2014/main" id="{C650966C-388B-4C97-A971-CA5BCAEDE7DA}"/>
            </a:ext>
          </a:extLst>
        </xdr:cNvPr>
        <xdr:cNvSpPr/>
      </xdr:nvSpPr>
      <xdr:spPr>
        <a:xfrm>
          <a:off x="5051181" y="5660238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198853</xdr:colOff>
      <xdr:row>330</xdr:row>
      <xdr:rowOff>72929</xdr:rowOff>
    </xdr:from>
    <xdr:to>
      <xdr:col>33</xdr:col>
      <xdr:colOff>13336</xdr:colOff>
      <xdr:row>331</xdr:row>
      <xdr:rowOff>63699</xdr:rowOff>
    </xdr:to>
    <xdr:cxnSp macro="">
      <xdr:nvCxnSpPr>
        <xdr:cNvPr id="181" name="直線コネクタ 31">
          <a:extLst>
            <a:ext uri="{FF2B5EF4-FFF2-40B4-BE49-F238E27FC236}">
              <a16:creationId xmlns:a16="http://schemas.microsoft.com/office/drawing/2014/main" id="{F86CBDD2-0223-4BA7-BD73-655E6F8CA57A}"/>
            </a:ext>
          </a:extLst>
        </xdr:cNvPr>
        <xdr:cNvCxnSpPr>
          <a:stCxn id="177" idx="3"/>
          <a:endCxn id="178" idx="1"/>
        </xdr:cNvCxnSpPr>
      </xdr:nvCxnSpPr>
      <xdr:spPr>
        <a:xfrm flipV="1">
          <a:off x="6828253" y="56651429"/>
          <a:ext cx="728883" cy="162220"/>
        </a:xfrm>
        <a:prstGeom prst="bentConnector3">
          <a:avLst>
            <a:gd name="adj1" fmla="val 70233"/>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199146</xdr:colOff>
      <xdr:row>318</xdr:row>
      <xdr:rowOff>65604</xdr:rowOff>
    </xdr:from>
    <xdr:to>
      <xdr:col>22</xdr:col>
      <xdr:colOff>18757</xdr:colOff>
      <xdr:row>329</xdr:row>
      <xdr:rowOff>71192</xdr:rowOff>
    </xdr:to>
    <xdr:cxnSp macro="">
      <xdr:nvCxnSpPr>
        <xdr:cNvPr id="182" name="直線コネクタ 31">
          <a:extLst>
            <a:ext uri="{FF2B5EF4-FFF2-40B4-BE49-F238E27FC236}">
              <a16:creationId xmlns:a16="http://schemas.microsoft.com/office/drawing/2014/main" id="{D55E47B7-170F-4FB3-916A-4C0109AF301F}"/>
            </a:ext>
          </a:extLst>
        </xdr:cNvPr>
        <xdr:cNvCxnSpPr>
          <a:stCxn id="174" idx="1"/>
          <a:endCxn id="162" idx="3"/>
        </xdr:cNvCxnSpPr>
      </xdr:nvCxnSpPr>
      <xdr:spPr>
        <a:xfrm rot="10800000">
          <a:off x="4771146" y="54586704"/>
          <a:ext cx="276811" cy="1891538"/>
        </a:xfrm>
        <a:prstGeom prst="bentConnector3">
          <a:avLst>
            <a:gd name="adj1" fmla="val 30155"/>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201051</xdr:colOff>
      <xdr:row>318</xdr:row>
      <xdr:rowOff>67508</xdr:rowOff>
    </xdr:from>
    <xdr:to>
      <xdr:col>22</xdr:col>
      <xdr:colOff>22567</xdr:colOff>
      <xdr:row>318</xdr:row>
      <xdr:rowOff>70238</xdr:rowOff>
    </xdr:to>
    <xdr:cxnSp macro="">
      <xdr:nvCxnSpPr>
        <xdr:cNvPr id="183" name="直線コネクタ 182">
          <a:extLst>
            <a:ext uri="{FF2B5EF4-FFF2-40B4-BE49-F238E27FC236}">
              <a16:creationId xmlns:a16="http://schemas.microsoft.com/office/drawing/2014/main" id="{040AC3E7-6CEF-494C-B4B6-8C6EDAA4B2FF}"/>
            </a:ext>
          </a:extLst>
        </xdr:cNvPr>
        <xdr:cNvCxnSpPr>
          <a:cxnSpLocks/>
          <a:stCxn id="162" idx="3"/>
          <a:endCxn id="163" idx="1"/>
        </xdr:cNvCxnSpPr>
      </xdr:nvCxnSpPr>
      <xdr:spPr>
        <a:xfrm>
          <a:off x="4773051" y="54588608"/>
          <a:ext cx="278716" cy="2730"/>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68035</xdr:colOff>
      <xdr:row>322</xdr:row>
      <xdr:rowOff>40821</xdr:rowOff>
    </xdr:from>
    <xdr:to>
      <xdr:col>10</xdr:col>
      <xdr:colOff>189592</xdr:colOff>
      <xdr:row>352</xdr:row>
      <xdr:rowOff>95250</xdr:rowOff>
    </xdr:to>
    <xdr:sp macro="" textlink="">
      <xdr:nvSpPr>
        <xdr:cNvPr id="184" name="テキスト ボックス 183">
          <a:extLst>
            <a:ext uri="{FF2B5EF4-FFF2-40B4-BE49-F238E27FC236}">
              <a16:creationId xmlns:a16="http://schemas.microsoft.com/office/drawing/2014/main" id="{FC1A32EE-B411-4EDB-A77F-868CEE0644F8}"/>
            </a:ext>
          </a:extLst>
        </xdr:cNvPr>
        <xdr:cNvSpPr txBox="1"/>
      </xdr:nvSpPr>
      <xdr:spPr>
        <a:xfrm>
          <a:off x="296635" y="55247721"/>
          <a:ext cx="2178957" cy="5197929"/>
        </a:xfrm>
        <a:prstGeom prst="rect">
          <a:avLst/>
        </a:prstGeom>
        <a:solidFill>
          <a:srgbClr val="FFFFC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lstStyle/>
        <a:p>
          <a:r>
            <a:rPr kumimoji="1" lang="en-US" altLang="ja-JP" sz="900">
              <a:latin typeface="ＭＳ ゴシック" panose="020B0609070205080204" pitchFamily="49" charset="-128"/>
              <a:ea typeface="ＭＳ ゴシック" panose="020B0609070205080204" pitchFamily="49" charset="-128"/>
            </a:rPr>
            <a:t>【</a:t>
          </a:r>
          <a:r>
            <a:rPr kumimoji="1" lang="ja-JP" altLang="en-US" sz="900">
              <a:latin typeface="ＭＳ ゴシック" panose="020B0609070205080204" pitchFamily="49" charset="-128"/>
              <a:ea typeface="ＭＳ ゴシック" panose="020B0609070205080204" pitchFamily="49" charset="-128"/>
            </a:rPr>
            <a:t>ジャーナル印字イメージ</a:t>
          </a:r>
          <a:r>
            <a:rPr kumimoji="1" lang="en-US" altLang="ja-JP" sz="900">
              <a:latin typeface="ＭＳ ゴシック" panose="020B0609070205080204" pitchFamily="49" charset="-128"/>
              <a:ea typeface="ＭＳ ゴシック" panose="020B0609070205080204" pitchFamily="49" charset="-128"/>
            </a:rPr>
            <a:t>】</a:t>
          </a:r>
        </a:p>
        <a:p>
          <a:r>
            <a:rPr kumimoji="1" lang="ja-JP" altLang="en-US" sz="900">
              <a:latin typeface="ＭＳ ゴシック" panose="020B0609070205080204" pitchFamily="49" charset="-128"/>
              <a:ea typeface="ＭＳ ゴシック" panose="020B0609070205080204" pitchFamily="49" charset="-128"/>
            </a:rPr>
            <a:t> </a:t>
          </a:r>
          <a:r>
            <a:rPr kumimoji="1" lang="en-US" altLang="ja-JP" sz="900">
              <a:latin typeface="ＭＳ ゴシック" panose="020B0609070205080204" pitchFamily="49" charset="-128"/>
              <a:ea typeface="ＭＳ ゴシック" panose="020B0609070205080204" pitchFamily="49" charset="-128"/>
            </a:rPr>
            <a:t>2024</a:t>
          </a:r>
          <a:r>
            <a:rPr kumimoji="1" lang="ja-JP" altLang="en-US" sz="900">
              <a:latin typeface="ＭＳ ゴシック" panose="020B0609070205080204" pitchFamily="49" charset="-128"/>
              <a:ea typeface="ＭＳ ゴシック" panose="020B0609070205080204" pitchFamily="49" charset="-128"/>
            </a:rPr>
            <a:t>年</a:t>
          </a:r>
          <a:r>
            <a:rPr kumimoji="1" lang="en-US" altLang="ja-JP" sz="900">
              <a:latin typeface="ＭＳ ゴシック" panose="020B0609070205080204" pitchFamily="49" charset="-128"/>
              <a:ea typeface="ＭＳ ゴシック" panose="020B0609070205080204" pitchFamily="49" charset="-128"/>
            </a:rPr>
            <a:t>10</a:t>
          </a:r>
          <a:r>
            <a:rPr kumimoji="1" lang="ja-JP" altLang="en-US" sz="900">
              <a:latin typeface="ＭＳ ゴシック" panose="020B0609070205080204" pitchFamily="49" charset="-128"/>
              <a:ea typeface="ＭＳ ゴシック" panose="020B0609070205080204" pitchFamily="49" charset="-128"/>
            </a:rPr>
            <a:t>月</a:t>
          </a:r>
          <a:r>
            <a:rPr kumimoji="1" lang="en-US" altLang="ja-JP" sz="900">
              <a:latin typeface="ＭＳ ゴシック" panose="020B0609070205080204" pitchFamily="49" charset="-128"/>
              <a:ea typeface="ＭＳ ゴシック" panose="020B0609070205080204" pitchFamily="49" charset="-128"/>
            </a:rPr>
            <a:t>22</a:t>
          </a:r>
          <a:r>
            <a:rPr kumimoji="1" lang="ja-JP" altLang="en-US" sz="900">
              <a:latin typeface="ＭＳ ゴシック" panose="020B0609070205080204" pitchFamily="49" charset="-128"/>
              <a:ea typeface="ＭＳ ゴシック" panose="020B0609070205080204" pitchFamily="49" charset="-128"/>
            </a:rPr>
            <a:t>日（火） </a:t>
          </a:r>
          <a:r>
            <a:rPr kumimoji="1" lang="en-US" altLang="ja-JP" sz="900">
              <a:latin typeface="ＭＳ ゴシック" panose="020B0609070205080204" pitchFamily="49" charset="-128"/>
              <a:ea typeface="ＭＳ ゴシック" panose="020B0609070205080204" pitchFamily="49" charset="-128"/>
            </a:rPr>
            <a:t>12:21     </a:t>
          </a:r>
        </a:p>
        <a:p>
          <a:r>
            <a:rPr kumimoji="1" lang="en-US" altLang="ja-JP" sz="900">
              <a:latin typeface="ＭＳ ゴシック" panose="020B0609070205080204" pitchFamily="49" charset="-128"/>
              <a:ea typeface="ＭＳ ゴシック" panose="020B0609070205080204" pitchFamily="49" charset="-128"/>
            </a:rPr>
            <a:t>   01 x</a:t>
          </a:r>
          <a:r>
            <a:rPr kumimoji="1" lang="ja-JP" altLang="en-US" sz="900">
              <a:latin typeface="ＭＳ ゴシック" panose="020B0609070205080204" pitchFamily="49" charset="-128"/>
              <a:ea typeface="ＭＳ ゴシック" panose="020B0609070205080204" pitchFamily="49" charset="-128"/>
            </a:rPr>
            <a:t>商品Ｇ               </a:t>
          </a:r>
          <a:r>
            <a:rPr kumimoji="1" lang="en-US" altLang="ja-JP" sz="900">
              <a:latin typeface="ＭＳ ゴシック" panose="020B0609070205080204" pitchFamily="49" charset="-128"/>
              <a:ea typeface="ＭＳ ゴシック" panose="020B0609070205080204" pitchFamily="49" charset="-128"/>
            </a:rPr>
            <a:t>\95 </a:t>
          </a:r>
        </a:p>
        <a:p>
          <a:r>
            <a:rPr kumimoji="1" lang="en-US" altLang="ja-JP" sz="900">
              <a:latin typeface="ＭＳ ゴシック" panose="020B0609070205080204" pitchFamily="49" charset="-128"/>
              <a:ea typeface="ＭＳ ゴシック" panose="020B0609070205080204" pitchFamily="49" charset="-128"/>
            </a:rPr>
            <a:t>   4900000007282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部門値引   </a:t>
          </a:r>
          <a:r>
            <a:rPr kumimoji="1" lang="en-US" altLang="ja-JP" sz="900">
              <a:latin typeface="ＭＳ ゴシック" panose="020B0609070205080204" pitchFamily="49" charset="-128"/>
              <a:ea typeface="ＭＳ ゴシック" panose="020B0609070205080204" pitchFamily="49" charset="-128"/>
            </a:rPr>
            <a:t>15%         -\15 </a:t>
          </a:r>
        </a:p>
        <a:p>
          <a:r>
            <a:rPr kumimoji="1" lang="en-US" altLang="ja-JP" sz="900">
              <a:latin typeface="ＭＳ ゴシック" panose="020B0609070205080204" pitchFamily="49" charset="-128"/>
              <a:ea typeface="ＭＳ ゴシック" panose="020B0609070205080204" pitchFamily="49" charset="-128"/>
            </a:rPr>
            <a:t>   01 x</a:t>
          </a:r>
          <a:r>
            <a:rPr kumimoji="1" lang="ja-JP" altLang="en-US" sz="900">
              <a:latin typeface="ＭＳ ゴシック" panose="020B0609070205080204" pitchFamily="49" charset="-128"/>
              <a:ea typeface="ＭＳ ゴシック" panose="020B0609070205080204" pitchFamily="49" charset="-128"/>
            </a:rPr>
            <a:t>商品Ｈ              </a:t>
          </a:r>
          <a:r>
            <a:rPr kumimoji="1" lang="en-US" altLang="ja-JP" sz="900">
              <a:latin typeface="ＭＳ ゴシック" panose="020B0609070205080204" pitchFamily="49" charset="-128"/>
              <a:ea typeface="ＭＳ ゴシック" panose="020B0609070205080204" pitchFamily="49" charset="-128"/>
            </a:rPr>
            <a:t>\100 </a:t>
          </a:r>
        </a:p>
        <a:p>
          <a:r>
            <a:rPr kumimoji="1" lang="en-US" altLang="ja-JP" sz="900">
              <a:latin typeface="ＭＳ ゴシック" panose="020B0609070205080204" pitchFamily="49" charset="-128"/>
              <a:ea typeface="ＭＳ ゴシック" panose="020B0609070205080204" pitchFamily="49" charset="-128"/>
            </a:rPr>
            <a:t>   4900000007435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品種値引   </a:t>
          </a:r>
          <a:r>
            <a:rPr kumimoji="1" lang="en-US" altLang="ja-JP" sz="900">
              <a:latin typeface="ＭＳ ゴシック" panose="020B0609070205080204" pitchFamily="49" charset="-128"/>
              <a:ea typeface="ＭＳ ゴシック" panose="020B0609070205080204" pitchFamily="49" charset="-128"/>
            </a:rPr>
            <a:t>14%         -\14 </a:t>
          </a:r>
        </a:p>
        <a:p>
          <a:r>
            <a:rPr kumimoji="1" lang="en-US" altLang="ja-JP" sz="900">
              <a:latin typeface="ＭＳ ゴシック" panose="020B0609070205080204" pitchFamily="49" charset="-128"/>
              <a:ea typeface="ＭＳ ゴシック" panose="020B0609070205080204" pitchFamily="49" charset="-128"/>
            </a:rPr>
            <a:t>   01 x</a:t>
          </a:r>
          <a:r>
            <a:rPr kumimoji="1" lang="ja-JP" altLang="en-US" sz="900">
              <a:latin typeface="ＭＳ ゴシック" panose="020B0609070205080204" pitchFamily="49" charset="-128"/>
              <a:ea typeface="ＭＳ ゴシック" panose="020B0609070205080204" pitchFamily="49" charset="-128"/>
            </a:rPr>
            <a:t>商品Ｉ                   </a:t>
          </a:r>
        </a:p>
        <a:p>
          <a:r>
            <a:rPr kumimoji="1" lang="ja-JP" altLang="en-US" sz="900">
              <a:latin typeface="ＭＳ ゴシック" panose="020B0609070205080204" pitchFamily="49" charset="-128"/>
              <a:ea typeface="ＭＳ ゴシック" panose="020B0609070205080204" pitchFamily="49" charset="-128"/>
            </a:rPr>
            <a:t>   </a:t>
          </a:r>
          <a:r>
            <a:rPr kumimoji="1" lang="en-US" altLang="ja-JP" sz="900">
              <a:latin typeface="ＭＳ ゴシック" panose="020B0609070205080204" pitchFamily="49" charset="-128"/>
              <a:ea typeface="ＭＳ ゴシック" panose="020B0609070205080204" pitchFamily="49" charset="-128"/>
            </a:rPr>
            <a:t>4900000007442                </a:t>
          </a:r>
        </a:p>
        <a:p>
          <a:r>
            <a:rPr kumimoji="1" lang="en-US" altLang="ja-JP" sz="900">
              <a:latin typeface="ＭＳ ゴシック" panose="020B0609070205080204" pitchFamily="49" charset="-128"/>
              <a:ea typeface="ＭＳ ゴシック" panose="020B0609070205080204" pitchFamily="49" charset="-128"/>
            </a:rPr>
            <a:t>        \100   3</a:t>
          </a:r>
          <a:r>
            <a:rPr kumimoji="1" lang="ja-JP" altLang="en-US" sz="900">
              <a:latin typeface="ＭＳ ゴシック" panose="020B0609070205080204" pitchFamily="49" charset="-128"/>
              <a:ea typeface="ＭＳ ゴシック" panose="020B0609070205080204" pitchFamily="49" charset="-128"/>
            </a:rPr>
            <a:t>個         </a:t>
          </a:r>
          <a:r>
            <a:rPr kumimoji="1" lang="en-US" altLang="ja-JP" sz="900">
              <a:latin typeface="ＭＳ ゴシック" panose="020B0609070205080204" pitchFamily="49" charset="-128"/>
              <a:ea typeface="ＭＳ ゴシック" panose="020B0609070205080204" pitchFamily="49" charset="-128"/>
            </a:rPr>
            <a:t>\300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品種値引   </a:t>
          </a:r>
          <a:r>
            <a:rPr kumimoji="1" lang="en-US" altLang="ja-JP" sz="900">
              <a:latin typeface="ＭＳ ゴシック" panose="020B0609070205080204" pitchFamily="49" charset="-128"/>
              <a:ea typeface="ＭＳ ゴシック" panose="020B0609070205080204" pitchFamily="49" charset="-128"/>
            </a:rPr>
            <a:t>16%         -\48 </a:t>
          </a:r>
        </a:p>
        <a:p>
          <a:r>
            <a:rPr kumimoji="1" lang="en-US" altLang="ja-JP" sz="900">
              <a:latin typeface="ＭＳ ゴシック" panose="020B0609070205080204" pitchFamily="49" charset="-128"/>
              <a:ea typeface="ＭＳ ゴシック" panose="020B0609070205080204" pitchFamily="49" charset="-128"/>
            </a:rPr>
            <a:t>   01 x</a:t>
          </a:r>
          <a:r>
            <a:rPr kumimoji="1" lang="ja-JP" altLang="en-US" sz="900">
              <a:latin typeface="ＭＳ ゴシック" panose="020B0609070205080204" pitchFamily="49" charset="-128"/>
              <a:ea typeface="ＭＳ ゴシック" panose="020B0609070205080204" pitchFamily="49" charset="-128"/>
            </a:rPr>
            <a:t>商品Ｊ                   </a:t>
          </a:r>
        </a:p>
        <a:p>
          <a:r>
            <a:rPr kumimoji="1" lang="ja-JP" altLang="en-US" sz="900">
              <a:latin typeface="ＭＳ ゴシック" panose="020B0609070205080204" pitchFamily="49" charset="-128"/>
              <a:ea typeface="ＭＳ ゴシック" panose="020B0609070205080204" pitchFamily="49" charset="-128"/>
            </a:rPr>
            <a:t>   </a:t>
          </a:r>
          <a:r>
            <a:rPr kumimoji="1" lang="en-US" altLang="ja-JP" sz="900">
              <a:latin typeface="ＭＳ ゴシック" panose="020B0609070205080204" pitchFamily="49" charset="-128"/>
              <a:ea typeface="ＭＳ ゴシック" panose="020B0609070205080204" pitchFamily="49" charset="-128"/>
            </a:rPr>
            <a:t>4900000007459                </a:t>
          </a:r>
        </a:p>
        <a:p>
          <a:r>
            <a:rPr kumimoji="1" lang="en-US" altLang="ja-JP" sz="900">
              <a:latin typeface="ＭＳ ゴシック" panose="020B0609070205080204" pitchFamily="49" charset="-128"/>
              <a:ea typeface="ＭＳ ゴシック" panose="020B0609070205080204" pitchFamily="49" charset="-128"/>
            </a:rPr>
            <a:t>        \100   2</a:t>
          </a:r>
          <a:r>
            <a:rPr kumimoji="1" lang="ja-JP" altLang="en-US" sz="900">
              <a:latin typeface="ＭＳ ゴシック" panose="020B0609070205080204" pitchFamily="49" charset="-128"/>
              <a:ea typeface="ＭＳ ゴシック" panose="020B0609070205080204" pitchFamily="49" charset="-128"/>
            </a:rPr>
            <a:t>個         </a:t>
          </a:r>
          <a:r>
            <a:rPr kumimoji="1" lang="en-US" altLang="ja-JP" sz="900">
              <a:latin typeface="ＭＳ ゴシック" panose="020B0609070205080204" pitchFamily="49" charset="-128"/>
              <a:ea typeface="ＭＳ ゴシック" panose="020B0609070205080204" pitchFamily="49" charset="-128"/>
            </a:rPr>
            <a:t>\200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部門値引   </a:t>
          </a:r>
          <a:r>
            <a:rPr kumimoji="1" lang="en-US" altLang="ja-JP" sz="900">
              <a:latin typeface="ＭＳ ゴシック" panose="020B0609070205080204" pitchFamily="49" charset="-128"/>
              <a:ea typeface="ＭＳ ゴシック" panose="020B0609070205080204" pitchFamily="49" charset="-128"/>
            </a:rPr>
            <a:t>15%         -\30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小計       </a:t>
          </a:r>
          <a:r>
            <a:rPr kumimoji="1" lang="en-US" altLang="ja-JP" sz="900">
              <a:latin typeface="ＭＳ ゴシック" panose="020B0609070205080204" pitchFamily="49" charset="-128"/>
              <a:ea typeface="ＭＳ ゴシック" panose="020B0609070205080204" pitchFamily="49" charset="-128"/>
            </a:rPr>
            <a:t>7</a:t>
          </a:r>
          <a:r>
            <a:rPr kumimoji="1" lang="ja-JP" altLang="en-US" sz="900">
              <a:latin typeface="ＭＳ ゴシック" panose="020B0609070205080204" pitchFamily="49" charset="-128"/>
              <a:ea typeface="ＭＳ ゴシック" panose="020B0609070205080204" pitchFamily="49" charset="-128"/>
            </a:rPr>
            <a:t>点            </a:t>
          </a:r>
          <a:r>
            <a:rPr kumimoji="1" lang="en-US" altLang="ja-JP" sz="900">
              <a:latin typeface="ＭＳ ゴシック" panose="020B0609070205080204" pitchFamily="49" charset="-128"/>
              <a:ea typeface="ＭＳ ゴシック" panose="020B0609070205080204" pitchFamily="49" charset="-128"/>
            </a:rPr>
            <a:t>\588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外税 </a:t>
          </a:r>
          <a:r>
            <a:rPr kumimoji="1" lang="en-US" altLang="ja-JP" sz="900">
              <a:latin typeface="ＭＳ ゴシック" panose="020B0609070205080204" pitchFamily="49" charset="-128"/>
              <a:ea typeface="ＭＳ ゴシック" panose="020B0609070205080204" pitchFamily="49" charset="-128"/>
            </a:rPr>
            <a:t>8.0%</a:t>
          </a:r>
          <a:r>
            <a:rPr kumimoji="1" lang="ja-JP" altLang="en-US" sz="900">
              <a:latin typeface="ＭＳ ゴシック" panose="020B0609070205080204" pitchFamily="49" charset="-128"/>
              <a:ea typeface="ＭＳ ゴシック" panose="020B0609070205080204" pitchFamily="49" charset="-128"/>
            </a:rPr>
            <a:t>対象額         </a:t>
          </a:r>
          <a:r>
            <a:rPr kumimoji="1" lang="en-US" altLang="ja-JP" sz="900">
              <a:latin typeface="ＭＳ ゴシック" panose="020B0609070205080204" pitchFamily="49" charset="-128"/>
              <a:ea typeface="ＭＳ ゴシック" panose="020B0609070205080204" pitchFamily="49" charset="-128"/>
            </a:rPr>
            <a:t>\588)</a:t>
          </a:r>
        </a:p>
        <a:p>
          <a:r>
            <a:rPr kumimoji="1" lang="en-US" altLang="ja-JP" sz="900">
              <a:latin typeface="ＭＳ ゴシック" panose="020B0609070205080204" pitchFamily="49" charset="-128"/>
              <a:ea typeface="ＭＳ ゴシック" panose="020B0609070205080204" pitchFamily="49" charset="-128"/>
            </a:rPr>
            <a:t>      8.0% </a:t>
          </a:r>
          <a:r>
            <a:rPr kumimoji="1" lang="ja-JP" altLang="en-US" sz="900">
              <a:latin typeface="ＭＳ ゴシック" panose="020B0609070205080204" pitchFamily="49" charset="-128"/>
              <a:ea typeface="ＭＳ ゴシック" panose="020B0609070205080204" pitchFamily="49" charset="-128"/>
            </a:rPr>
            <a:t>消費税等         </a:t>
          </a:r>
          <a:r>
            <a:rPr kumimoji="1" lang="en-US" altLang="ja-JP" sz="900">
              <a:latin typeface="ＭＳ ゴシック" panose="020B0609070205080204" pitchFamily="49" charset="-128"/>
              <a:ea typeface="ＭＳ ゴシック" panose="020B0609070205080204" pitchFamily="49" charset="-128"/>
            </a:rPr>
            <a:t>\47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外税額計                   </a:t>
          </a:r>
          <a:r>
            <a:rPr kumimoji="1" lang="en-US" altLang="ja-JP" sz="900">
              <a:latin typeface="ＭＳ ゴシック" panose="020B0609070205080204" pitchFamily="49" charset="-128"/>
              <a:ea typeface="ＭＳ ゴシック" panose="020B0609070205080204" pitchFamily="49" charset="-128"/>
            </a:rPr>
            <a:t>\47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税込小計                  </a:t>
          </a:r>
          <a:r>
            <a:rPr kumimoji="1" lang="en-US" altLang="ja-JP" sz="900">
              <a:latin typeface="ＭＳ ゴシック" panose="020B0609070205080204" pitchFamily="49" charset="-128"/>
              <a:ea typeface="ＭＳ ゴシック" panose="020B0609070205080204" pitchFamily="49" charset="-128"/>
            </a:rPr>
            <a:t>\635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税込 </a:t>
          </a:r>
          <a:r>
            <a:rPr kumimoji="1" lang="en-US" altLang="ja-JP" sz="900">
              <a:latin typeface="ＭＳ ゴシック" panose="020B0609070205080204" pitchFamily="49" charset="-128"/>
              <a:ea typeface="ＭＳ ゴシック" panose="020B0609070205080204" pitchFamily="49" charset="-128"/>
            </a:rPr>
            <a:t>8.0%</a:t>
          </a:r>
          <a:r>
            <a:rPr kumimoji="1" lang="ja-JP" altLang="en-US" sz="900">
              <a:latin typeface="ＭＳ ゴシック" panose="020B0609070205080204" pitchFamily="49" charset="-128"/>
              <a:ea typeface="ＭＳ ゴシック" panose="020B0609070205080204" pitchFamily="49" charset="-128"/>
            </a:rPr>
            <a:t>対象額         </a:t>
          </a:r>
          <a:r>
            <a:rPr kumimoji="1" lang="en-US" altLang="ja-JP" sz="900">
              <a:latin typeface="ＭＳ ゴシック" panose="020B0609070205080204" pitchFamily="49" charset="-128"/>
              <a:ea typeface="ＭＳ ゴシック" panose="020B0609070205080204" pitchFamily="49" charset="-128"/>
            </a:rPr>
            <a:t>\635)</a:t>
          </a:r>
        </a:p>
        <a:p>
          <a:r>
            <a:rPr kumimoji="1" lang="en-US" altLang="ja-JP" sz="900">
              <a:latin typeface="ＭＳ ゴシック" panose="020B0609070205080204" pitchFamily="49" charset="-128"/>
              <a:ea typeface="ＭＳ ゴシック" panose="020B0609070205080204" pitchFamily="49" charset="-128"/>
            </a:rPr>
            <a:t>      8.0% </a:t>
          </a:r>
          <a:r>
            <a:rPr kumimoji="1" lang="ja-JP" altLang="en-US" sz="900">
              <a:latin typeface="ＭＳ ゴシック" panose="020B0609070205080204" pitchFamily="49" charset="-128"/>
              <a:ea typeface="ＭＳ ゴシック" panose="020B0609070205080204" pitchFamily="49" charset="-128"/>
            </a:rPr>
            <a:t>消費税等         </a:t>
          </a:r>
          <a:r>
            <a:rPr kumimoji="1" lang="en-US" altLang="ja-JP" sz="900">
              <a:latin typeface="ＭＳ ゴシック" panose="020B0609070205080204" pitchFamily="49" charset="-128"/>
              <a:ea typeface="ＭＳ ゴシック" panose="020B0609070205080204" pitchFamily="49" charset="-128"/>
            </a:rPr>
            <a:t>\47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税額計                     </a:t>
          </a:r>
          <a:r>
            <a:rPr kumimoji="1" lang="en-US" altLang="ja-JP" sz="900">
              <a:latin typeface="ＭＳ ゴシック" panose="020B0609070205080204" pitchFamily="49" charset="-128"/>
              <a:ea typeface="ＭＳ ゴシック" panose="020B0609070205080204" pitchFamily="49" charset="-128"/>
            </a:rPr>
            <a:t>\47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a:t>
          </a:r>
          <a:r>
            <a:rPr kumimoji="1" lang="en-US" altLang="ja-JP" sz="900">
              <a:latin typeface="ＭＳ ゴシック" panose="020B0609070205080204" pitchFamily="49" charset="-128"/>
              <a:ea typeface="ＭＳ ゴシック" panose="020B0609070205080204" pitchFamily="49" charset="-128"/>
            </a:rPr>
            <a:t>x</a:t>
          </a:r>
          <a:r>
            <a:rPr kumimoji="1" lang="ja-JP" altLang="en-US" sz="900">
              <a:latin typeface="ＭＳ ゴシック" panose="020B0609070205080204" pitchFamily="49" charset="-128"/>
              <a:ea typeface="ＭＳ ゴシック" panose="020B0609070205080204" pitchFamily="49" charset="-128"/>
            </a:rPr>
            <a:t>」は軽減税率対象商品です    </a:t>
          </a:r>
        </a:p>
        <a:p>
          <a:r>
            <a:rPr kumimoji="1" lang="ja-JP" altLang="en-US" sz="900">
              <a:latin typeface="ＭＳ ゴシック" panose="020B0609070205080204" pitchFamily="49" charset="-128"/>
              <a:ea typeface="ＭＳ ゴシック" panose="020B0609070205080204" pitchFamily="49" charset="-128"/>
            </a:rPr>
            <a:t> 合計                  </a:t>
          </a:r>
          <a:r>
            <a:rPr kumimoji="1" lang="en-US" altLang="ja-JP" sz="900">
              <a:latin typeface="ＭＳ ゴシック" panose="020B0609070205080204" pitchFamily="49" charset="-128"/>
              <a:ea typeface="ＭＳ ゴシック" panose="020B0609070205080204" pitchFamily="49" charset="-128"/>
            </a:rPr>
            <a:t>\635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お預り                </a:t>
          </a:r>
          <a:r>
            <a:rPr kumimoji="1" lang="en-US" altLang="ja-JP" sz="900">
              <a:latin typeface="ＭＳ ゴシック" panose="020B0609070205080204" pitchFamily="49" charset="-128"/>
              <a:ea typeface="ＭＳ ゴシック" panose="020B0609070205080204" pitchFamily="49" charset="-128"/>
            </a:rPr>
            <a:t>\635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お釣り                    </a:t>
          </a:r>
          <a:r>
            <a:rPr kumimoji="1" lang="en-US" altLang="ja-JP" sz="900">
              <a:latin typeface="ＭＳ ゴシック" panose="020B0609070205080204" pitchFamily="49" charset="-128"/>
              <a:ea typeface="ＭＳ ゴシック" panose="020B0609070205080204" pitchFamily="49" charset="-128"/>
            </a:rPr>
            <a:t>\0   </a:t>
          </a:r>
        </a:p>
        <a:p>
          <a:endParaRPr kumimoji="1" lang="en-US" altLang="ja-JP" sz="900">
            <a:latin typeface="ＭＳ ゴシック" panose="020B0609070205080204" pitchFamily="49" charset="-128"/>
            <a:ea typeface="ＭＳ ゴシック" panose="020B0609070205080204" pitchFamily="49" charset="-128"/>
          </a:endParaRPr>
        </a:p>
      </xdr:txBody>
    </xdr:sp>
    <xdr:clientData/>
  </xdr:twoCellAnchor>
  <xdr:twoCellAnchor>
    <xdr:from>
      <xdr:col>22</xdr:col>
      <xdr:colOff>18757</xdr:colOff>
      <xdr:row>339</xdr:row>
      <xdr:rowOff>20242</xdr:rowOff>
    </xdr:from>
    <xdr:to>
      <xdr:col>22</xdr:col>
      <xdr:colOff>192112</xdr:colOff>
      <xdr:row>339</xdr:row>
      <xdr:rowOff>122139</xdr:rowOff>
    </xdr:to>
    <xdr:sp macro="" textlink="">
      <xdr:nvSpPr>
        <xdr:cNvPr id="185" name="正方形/長方形 184">
          <a:extLst>
            <a:ext uri="{FF2B5EF4-FFF2-40B4-BE49-F238E27FC236}">
              <a16:creationId xmlns:a16="http://schemas.microsoft.com/office/drawing/2014/main" id="{ABD77AA8-C21A-4754-9F49-1D7E0C253593}"/>
            </a:ext>
          </a:extLst>
        </xdr:cNvPr>
        <xdr:cNvSpPr/>
      </xdr:nvSpPr>
      <xdr:spPr>
        <a:xfrm>
          <a:off x="5047957" y="58141792"/>
          <a:ext cx="17335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27402</xdr:colOff>
      <xdr:row>339</xdr:row>
      <xdr:rowOff>11137</xdr:rowOff>
    </xdr:from>
    <xdr:to>
      <xdr:col>29</xdr:col>
      <xdr:colOff>200757</xdr:colOff>
      <xdr:row>339</xdr:row>
      <xdr:rowOff>105414</xdr:rowOff>
    </xdr:to>
    <xdr:sp macro="" textlink="">
      <xdr:nvSpPr>
        <xdr:cNvPr id="186" name="正方形/長方形 185">
          <a:extLst>
            <a:ext uri="{FF2B5EF4-FFF2-40B4-BE49-F238E27FC236}">
              <a16:creationId xmlns:a16="http://schemas.microsoft.com/office/drawing/2014/main" id="{75426997-9D15-4F25-907E-1E6E76B10C1F}"/>
            </a:ext>
          </a:extLst>
        </xdr:cNvPr>
        <xdr:cNvSpPr/>
      </xdr:nvSpPr>
      <xdr:spPr>
        <a:xfrm>
          <a:off x="6656802" y="58132687"/>
          <a:ext cx="17335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341</xdr:row>
      <xdr:rowOff>14655</xdr:rowOff>
    </xdr:from>
    <xdr:to>
      <xdr:col>29</xdr:col>
      <xdr:colOff>198853</xdr:colOff>
      <xdr:row>341</xdr:row>
      <xdr:rowOff>112742</xdr:rowOff>
    </xdr:to>
    <xdr:sp macro="" textlink="">
      <xdr:nvSpPr>
        <xdr:cNvPr id="187" name="正方形/長方形 186">
          <a:extLst>
            <a:ext uri="{FF2B5EF4-FFF2-40B4-BE49-F238E27FC236}">
              <a16:creationId xmlns:a16="http://schemas.microsoft.com/office/drawing/2014/main" id="{818ED72A-7F59-406D-8458-E167FE5F3190}"/>
            </a:ext>
          </a:extLst>
        </xdr:cNvPr>
        <xdr:cNvSpPr/>
      </xdr:nvSpPr>
      <xdr:spPr>
        <a:xfrm>
          <a:off x="6658708" y="5847910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21981</xdr:colOff>
      <xdr:row>340</xdr:row>
      <xdr:rowOff>23885</xdr:rowOff>
    </xdr:from>
    <xdr:to>
      <xdr:col>22</xdr:col>
      <xdr:colOff>191526</xdr:colOff>
      <xdr:row>340</xdr:row>
      <xdr:rowOff>127688</xdr:rowOff>
    </xdr:to>
    <xdr:sp macro="" textlink="">
      <xdr:nvSpPr>
        <xdr:cNvPr id="188" name="正方形/長方形 187">
          <a:extLst>
            <a:ext uri="{FF2B5EF4-FFF2-40B4-BE49-F238E27FC236}">
              <a16:creationId xmlns:a16="http://schemas.microsoft.com/office/drawing/2014/main" id="{456D5FB5-6D16-4E77-BC3C-7A2AB3919015}"/>
            </a:ext>
          </a:extLst>
        </xdr:cNvPr>
        <xdr:cNvSpPr/>
      </xdr:nvSpPr>
      <xdr:spPr>
        <a:xfrm>
          <a:off x="5051181" y="5831688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198853</xdr:colOff>
      <xdr:row>340</xdr:row>
      <xdr:rowOff>72929</xdr:rowOff>
    </xdr:from>
    <xdr:to>
      <xdr:col>33</xdr:col>
      <xdr:colOff>13336</xdr:colOff>
      <xdr:row>341</xdr:row>
      <xdr:rowOff>63699</xdr:rowOff>
    </xdr:to>
    <xdr:cxnSp macro="">
      <xdr:nvCxnSpPr>
        <xdr:cNvPr id="189" name="直線コネクタ 31">
          <a:extLst>
            <a:ext uri="{FF2B5EF4-FFF2-40B4-BE49-F238E27FC236}">
              <a16:creationId xmlns:a16="http://schemas.microsoft.com/office/drawing/2014/main" id="{23F2BF5B-6106-48D8-A5D1-E93377C45710}"/>
            </a:ext>
          </a:extLst>
        </xdr:cNvPr>
        <xdr:cNvCxnSpPr>
          <a:cxnSpLocks/>
          <a:stCxn id="187" idx="3"/>
          <a:endCxn id="241" idx="1"/>
        </xdr:cNvCxnSpPr>
      </xdr:nvCxnSpPr>
      <xdr:spPr>
        <a:xfrm flipV="1">
          <a:off x="6828253" y="58365929"/>
          <a:ext cx="728883" cy="162220"/>
        </a:xfrm>
        <a:prstGeom prst="bentConnector3">
          <a:avLst>
            <a:gd name="adj1" fmla="val 50000"/>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18757</xdr:colOff>
      <xdr:row>348</xdr:row>
      <xdr:rowOff>20242</xdr:rowOff>
    </xdr:from>
    <xdr:to>
      <xdr:col>22</xdr:col>
      <xdr:colOff>192112</xdr:colOff>
      <xdr:row>348</xdr:row>
      <xdr:rowOff>122139</xdr:rowOff>
    </xdr:to>
    <xdr:sp macro="" textlink="">
      <xdr:nvSpPr>
        <xdr:cNvPr id="190" name="正方形/長方形 189">
          <a:extLst>
            <a:ext uri="{FF2B5EF4-FFF2-40B4-BE49-F238E27FC236}">
              <a16:creationId xmlns:a16="http://schemas.microsoft.com/office/drawing/2014/main" id="{C1D6979A-0164-48E7-88C7-8F2D37B53A70}"/>
            </a:ext>
          </a:extLst>
        </xdr:cNvPr>
        <xdr:cNvSpPr/>
      </xdr:nvSpPr>
      <xdr:spPr>
        <a:xfrm>
          <a:off x="5047957" y="59684842"/>
          <a:ext cx="17335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27402</xdr:colOff>
      <xdr:row>348</xdr:row>
      <xdr:rowOff>11137</xdr:rowOff>
    </xdr:from>
    <xdr:to>
      <xdr:col>29</xdr:col>
      <xdr:colOff>200757</xdr:colOff>
      <xdr:row>348</xdr:row>
      <xdr:rowOff>105414</xdr:rowOff>
    </xdr:to>
    <xdr:sp macro="" textlink="">
      <xdr:nvSpPr>
        <xdr:cNvPr id="191" name="正方形/長方形 190">
          <a:extLst>
            <a:ext uri="{FF2B5EF4-FFF2-40B4-BE49-F238E27FC236}">
              <a16:creationId xmlns:a16="http://schemas.microsoft.com/office/drawing/2014/main" id="{5BF75516-B7F2-4FF4-8540-16E347433C1C}"/>
            </a:ext>
          </a:extLst>
        </xdr:cNvPr>
        <xdr:cNvSpPr/>
      </xdr:nvSpPr>
      <xdr:spPr>
        <a:xfrm>
          <a:off x="6656802" y="59675737"/>
          <a:ext cx="17335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350</xdr:row>
      <xdr:rowOff>14655</xdr:rowOff>
    </xdr:from>
    <xdr:to>
      <xdr:col>29</xdr:col>
      <xdr:colOff>198853</xdr:colOff>
      <xdr:row>350</xdr:row>
      <xdr:rowOff>112742</xdr:rowOff>
    </xdr:to>
    <xdr:sp macro="" textlink="">
      <xdr:nvSpPr>
        <xdr:cNvPr id="192" name="正方形/長方形 191">
          <a:extLst>
            <a:ext uri="{FF2B5EF4-FFF2-40B4-BE49-F238E27FC236}">
              <a16:creationId xmlns:a16="http://schemas.microsoft.com/office/drawing/2014/main" id="{9CCBFF1B-DFFC-43CE-9EB0-4E055BDC13A4}"/>
            </a:ext>
          </a:extLst>
        </xdr:cNvPr>
        <xdr:cNvSpPr/>
      </xdr:nvSpPr>
      <xdr:spPr>
        <a:xfrm>
          <a:off x="6658708" y="6002215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21981</xdr:colOff>
      <xdr:row>349</xdr:row>
      <xdr:rowOff>23885</xdr:rowOff>
    </xdr:from>
    <xdr:to>
      <xdr:col>22</xdr:col>
      <xdr:colOff>191526</xdr:colOff>
      <xdr:row>349</xdr:row>
      <xdr:rowOff>127688</xdr:rowOff>
    </xdr:to>
    <xdr:sp macro="" textlink="">
      <xdr:nvSpPr>
        <xdr:cNvPr id="193" name="正方形/長方形 192">
          <a:extLst>
            <a:ext uri="{FF2B5EF4-FFF2-40B4-BE49-F238E27FC236}">
              <a16:creationId xmlns:a16="http://schemas.microsoft.com/office/drawing/2014/main" id="{ECE443EA-51B5-4A01-990D-BC5854A9D960}"/>
            </a:ext>
          </a:extLst>
        </xdr:cNvPr>
        <xdr:cNvSpPr/>
      </xdr:nvSpPr>
      <xdr:spPr>
        <a:xfrm>
          <a:off x="5051181" y="5985993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198853</xdr:colOff>
      <xdr:row>330</xdr:row>
      <xdr:rowOff>72929</xdr:rowOff>
    </xdr:from>
    <xdr:to>
      <xdr:col>33</xdr:col>
      <xdr:colOff>13336</xdr:colOff>
      <xdr:row>350</xdr:row>
      <xdr:rowOff>63699</xdr:rowOff>
    </xdr:to>
    <xdr:cxnSp macro="">
      <xdr:nvCxnSpPr>
        <xdr:cNvPr id="194" name="直線コネクタ 31">
          <a:extLst>
            <a:ext uri="{FF2B5EF4-FFF2-40B4-BE49-F238E27FC236}">
              <a16:creationId xmlns:a16="http://schemas.microsoft.com/office/drawing/2014/main" id="{DEEE8125-FF04-4DE9-B94D-ADD73DDCE555}"/>
            </a:ext>
          </a:extLst>
        </xdr:cNvPr>
        <xdr:cNvCxnSpPr>
          <a:cxnSpLocks/>
          <a:stCxn id="192" idx="3"/>
          <a:endCxn id="178" idx="1"/>
        </xdr:cNvCxnSpPr>
      </xdr:nvCxnSpPr>
      <xdr:spPr>
        <a:xfrm flipV="1">
          <a:off x="6828253" y="56651429"/>
          <a:ext cx="728883" cy="3419770"/>
        </a:xfrm>
        <a:prstGeom prst="bentConnector3">
          <a:avLst>
            <a:gd name="adj1" fmla="val 71153"/>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18757</xdr:colOff>
      <xdr:row>357</xdr:row>
      <xdr:rowOff>20242</xdr:rowOff>
    </xdr:from>
    <xdr:to>
      <xdr:col>22</xdr:col>
      <xdr:colOff>192112</xdr:colOff>
      <xdr:row>357</xdr:row>
      <xdr:rowOff>122139</xdr:rowOff>
    </xdr:to>
    <xdr:sp macro="" textlink="">
      <xdr:nvSpPr>
        <xdr:cNvPr id="195" name="正方形/長方形 194">
          <a:extLst>
            <a:ext uri="{FF2B5EF4-FFF2-40B4-BE49-F238E27FC236}">
              <a16:creationId xmlns:a16="http://schemas.microsoft.com/office/drawing/2014/main" id="{BF4FE2DA-6C02-4A6C-B7BF-B077674F186C}"/>
            </a:ext>
          </a:extLst>
        </xdr:cNvPr>
        <xdr:cNvSpPr/>
      </xdr:nvSpPr>
      <xdr:spPr>
        <a:xfrm>
          <a:off x="5047957" y="61227892"/>
          <a:ext cx="17335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18758</xdr:colOff>
      <xdr:row>357</xdr:row>
      <xdr:rowOff>9232</xdr:rowOff>
    </xdr:from>
    <xdr:to>
      <xdr:col>33</xdr:col>
      <xdr:colOff>182588</xdr:colOff>
      <xdr:row>357</xdr:row>
      <xdr:rowOff>103509</xdr:rowOff>
    </xdr:to>
    <xdr:sp macro="" textlink="">
      <xdr:nvSpPr>
        <xdr:cNvPr id="196" name="正方形/長方形 195">
          <a:extLst>
            <a:ext uri="{FF2B5EF4-FFF2-40B4-BE49-F238E27FC236}">
              <a16:creationId xmlns:a16="http://schemas.microsoft.com/office/drawing/2014/main" id="{54C55E1E-53D7-46E1-9E74-75A74E561CFB}"/>
            </a:ext>
          </a:extLst>
        </xdr:cNvPr>
        <xdr:cNvSpPr/>
      </xdr:nvSpPr>
      <xdr:spPr>
        <a:xfrm>
          <a:off x="7562558" y="61216882"/>
          <a:ext cx="163830"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27402</xdr:colOff>
      <xdr:row>357</xdr:row>
      <xdr:rowOff>11137</xdr:rowOff>
    </xdr:from>
    <xdr:to>
      <xdr:col>29</xdr:col>
      <xdr:colOff>200757</xdr:colOff>
      <xdr:row>357</xdr:row>
      <xdr:rowOff>105414</xdr:rowOff>
    </xdr:to>
    <xdr:sp macro="" textlink="">
      <xdr:nvSpPr>
        <xdr:cNvPr id="197" name="正方形/長方形 196">
          <a:extLst>
            <a:ext uri="{FF2B5EF4-FFF2-40B4-BE49-F238E27FC236}">
              <a16:creationId xmlns:a16="http://schemas.microsoft.com/office/drawing/2014/main" id="{94416649-CBD7-4200-B800-E13F3C7B2287}"/>
            </a:ext>
          </a:extLst>
        </xdr:cNvPr>
        <xdr:cNvSpPr/>
      </xdr:nvSpPr>
      <xdr:spPr>
        <a:xfrm>
          <a:off x="6656802" y="61218787"/>
          <a:ext cx="17335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359</xdr:row>
      <xdr:rowOff>14655</xdr:rowOff>
    </xdr:from>
    <xdr:to>
      <xdr:col>29</xdr:col>
      <xdr:colOff>198853</xdr:colOff>
      <xdr:row>359</xdr:row>
      <xdr:rowOff>112742</xdr:rowOff>
    </xdr:to>
    <xdr:sp macro="" textlink="">
      <xdr:nvSpPr>
        <xdr:cNvPr id="198" name="正方形/長方形 197">
          <a:extLst>
            <a:ext uri="{FF2B5EF4-FFF2-40B4-BE49-F238E27FC236}">
              <a16:creationId xmlns:a16="http://schemas.microsoft.com/office/drawing/2014/main" id="{95CB1346-6311-4B79-9177-8E3D49C00981}"/>
            </a:ext>
          </a:extLst>
        </xdr:cNvPr>
        <xdr:cNvSpPr/>
      </xdr:nvSpPr>
      <xdr:spPr>
        <a:xfrm>
          <a:off x="6658708" y="6156520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13336</xdr:colOff>
      <xdr:row>358</xdr:row>
      <xdr:rowOff>21980</xdr:rowOff>
    </xdr:from>
    <xdr:to>
      <xdr:col>33</xdr:col>
      <xdr:colOff>171451</xdr:colOff>
      <xdr:row>358</xdr:row>
      <xdr:rowOff>123877</xdr:rowOff>
    </xdr:to>
    <xdr:sp macro="" textlink="">
      <xdr:nvSpPr>
        <xdr:cNvPr id="199" name="正方形/長方形 198">
          <a:extLst>
            <a:ext uri="{FF2B5EF4-FFF2-40B4-BE49-F238E27FC236}">
              <a16:creationId xmlns:a16="http://schemas.microsoft.com/office/drawing/2014/main" id="{302C16F1-DAB5-43B6-AE4F-557B6FFA8FF1}"/>
            </a:ext>
          </a:extLst>
        </xdr:cNvPr>
        <xdr:cNvSpPr/>
      </xdr:nvSpPr>
      <xdr:spPr>
        <a:xfrm>
          <a:off x="7557136" y="61401080"/>
          <a:ext cx="158115" cy="10189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200757</xdr:colOff>
      <xdr:row>357</xdr:row>
      <xdr:rowOff>56371</xdr:rowOff>
    </xdr:from>
    <xdr:to>
      <xdr:col>33</xdr:col>
      <xdr:colOff>18758</xdr:colOff>
      <xdr:row>357</xdr:row>
      <xdr:rowOff>58276</xdr:rowOff>
    </xdr:to>
    <xdr:cxnSp macro="">
      <xdr:nvCxnSpPr>
        <xdr:cNvPr id="200" name="直線コネクタ 199">
          <a:extLst>
            <a:ext uri="{FF2B5EF4-FFF2-40B4-BE49-F238E27FC236}">
              <a16:creationId xmlns:a16="http://schemas.microsoft.com/office/drawing/2014/main" id="{6CB46047-1360-40FD-90A6-4B79BBB80678}"/>
            </a:ext>
          </a:extLst>
        </xdr:cNvPr>
        <xdr:cNvCxnSpPr>
          <a:stCxn id="196" idx="1"/>
          <a:endCxn id="197" idx="3"/>
        </xdr:cNvCxnSpPr>
      </xdr:nvCxnSpPr>
      <xdr:spPr>
        <a:xfrm flipH="1">
          <a:off x="6830157" y="61264021"/>
          <a:ext cx="732401" cy="1905"/>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21981</xdr:colOff>
      <xdr:row>358</xdr:row>
      <xdr:rowOff>23885</xdr:rowOff>
    </xdr:from>
    <xdr:to>
      <xdr:col>22</xdr:col>
      <xdr:colOff>191526</xdr:colOff>
      <xdr:row>358</xdr:row>
      <xdr:rowOff>127688</xdr:rowOff>
    </xdr:to>
    <xdr:sp macro="" textlink="">
      <xdr:nvSpPr>
        <xdr:cNvPr id="201" name="正方形/長方形 200">
          <a:extLst>
            <a:ext uri="{FF2B5EF4-FFF2-40B4-BE49-F238E27FC236}">
              <a16:creationId xmlns:a16="http://schemas.microsoft.com/office/drawing/2014/main" id="{3937FEB7-B4D6-4365-8CB2-5FC4E56A94E6}"/>
            </a:ext>
          </a:extLst>
        </xdr:cNvPr>
        <xdr:cNvSpPr/>
      </xdr:nvSpPr>
      <xdr:spPr>
        <a:xfrm>
          <a:off x="5051181" y="6140298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198853</xdr:colOff>
      <xdr:row>358</xdr:row>
      <xdr:rowOff>72929</xdr:rowOff>
    </xdr:from>
    <xdr:to>
      <xdr:col>33</xdr:col>
      <xdr:colOff>13336</xdr:colOff>
      <xdr:row>359</xdr:row>
      <xdr:rowOff>63699</xdr:rowOff>
    </xdr:to>
    <xdr:cxnSp macro="">
      <xdr:nvCxnSpPr>
        <xdr:cNvPr id="202" name="直線コネクタ 31">
          <a:extLst>
            <a:ext uri="{FF2B5EF4-FFF2-40B4-BE49-F238E27FC236}">
              <a16:creationId xmlns:a16="http://schemas.microsoft.com/office/drawing/2014/main" id="{61134142-E5E9-4E39-976D-DC9B0E708AFE}"/>
            </a:ext>
          </a:extLst>
        </xdr:cNvPr>
        <xdr:cNvCxnSpPr>
          <a:stCxn id="198" idx="3"/>
          <a:endCxn id="199" idx="1"/>
        </xdr:cNvCxnSpPr>
      </xdr:nvCxnSpPr>
      <xdr:spPr>
        <a:xfrm flipV="1">
          <a:off x="6828253" y="61452029"/>
          <a:ext cx="728883" cy="162220"/>
        </a:xfrm>
        <a:prstGeom prst="bentConnector3">
          <a:avLst>
            <a:gd name="adj1" fmla="val 50000"/>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18757</xdr:colOff>
      <xdr:row>366</xdr:row>
      <xdr:rowOff>20242</xdr:rowOff>
    </xdr:from>
    <xdr:to>
      <xdr:col>22</xdr:col>
      <xdr:colOff>192112</xdr:colOff>
      <xdr:row>366</xdr:row>
      <xdr:rowOff>122139</xdr:rowOff>
    </xdr:to>
    <xdr:sp macro="" textlink="">
      <xdr:nvSpPr>
        <xdr:cNvPr id="203" name="正方形/長方形 202">
          <a:extLst>
            <a:ext uri="{FF2B5EF4-FFF2-40B4-BE49-F238E27FC236}">
              <a16:creationId xmlns:a16="http://schemas.microsoft.com/office/drawing/2014/main" id="{777521A3-8CB7-415C-B3F1-020C02666B12}"/>
            </a:ext>
          </a:extLst>
        </xdr:cNvPr>
        <xdr:cNvSpPr/>
      </xdr:nvSpPr>
      <xdr:spPr>
        <a:xfrm>
          <a:off x="5047957" y="62770942"/>
          <a:ext cx="17335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27402</xdr:colOff>
      <xdr:row>366</xdr:row>
      <xdr:rowOff>11137</xdr:rowOff>
    </xdr:from>
    <xdr:to>
      <xdr:col>29</xdr:col>
      <xdr:colOff>200757</xdr:colOff>
      <xdr:row>366</xdr:row>
      <xdr:rowOff>105414</xdr:rowOff>
    </xdr:to>
    <xdr:sp macro="" textlink="">
      <xdr:nvSpPr>
        <xdr:cNvPr id="204" name="正方形/長方形 203">
          <a:extLst>
            <a:ext uri="{FF2B5EF4-FFF2-40B4-BE49-F238E27FC236}">
              <a16:creationId xmlns:a16="http://schemas.microsoft.com/office/drawing/2014/main" id="{B3CCE804-AA1C-4C01-B88F-F4F7A45AF312}"/>
            </a:ext>
          </a:extLst>
        </xdr:cNvPr>
        <xdr:cNvSpPr/>
      </xdr:nvSpPr>
      <xdr:spPr>
        <a:xfrm>
          <a:off x="6656802" y="62761837"/>
          <a:ext cx="17335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368</xdr:row>
      <xdr:rowOff>14655</xdr:rowOff>
    </xdr:from>
    <xdr:to>
      <xdr:col>29</xdr:col>
      <xdr:colOff>198853</xdr:colOff>
      <xdr:row>368</xdr:row>
      <xdr:rowOff>112742</xdr:rowOff>
    </xdr:to>
    <xdr:sp macro="" textlink="">
      <xdr:nvSpPr>
        <xdr:cNvPr id="205" name="正方形/長方形 204">
          <a:extLst>
            <a:ext uri="{FF2B5EF4-FFF2-40B4-BE49-F238E27FC236}">
              <a16:creationId xmlns:a16="http://schemas.microsoft.com/office/drawing/2014/main" id="{F1337638-355E-48A6-8E39-96626F98D584}"/>
            </a:ext>
          </a:extLst>
        </xdr:cNvPr>
        <xdr:cNvSpPr/>
      </xdr:nvSpPr>
      <xdr:spPr>
        <a:xfrm>
          <a:off x="6658708" y="6310825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21981</xdr:colOff>
      <xdr:row>367</xdr:row>
      <xdr:rowOff>23885</xdr:rowOff>
    </xdr:from>
    <xdr:to>
      <xdr:col>22</xdr:col>
      <xdr:colOff>191526</xdr:colOff>
      <xdr:row>367</xdr:row>
      <xdr:rowOff>127688</xdr:rowOff>
    </xdr:to>
    <xdr:sp macro="" textlink="">
      <xdr:nvSpPr>
        <xdr:cNvPr id="206" name="正方形/長方形 205">
          <a:extLst>
            <a:ext uri="{FF2B5EF4-FFF2-40B4-BE49-F238E27FC236}">
              <a16:creationId xmlns:a16="http://schemas.microsoft.com/office/drawing/2014/main" id="{24DEE4D4-E49C-4C7B-937B-52C0E1A4562D}"/>
            </a:ext>
          </a:extLst>
        </xdr:cNvPr>
        <xdr:cNvSpPr/>
      </xdr:nvSpPr>
      <xdr:spPr>
        <a:xfrm>
          <a:off x="5051181" y="6294603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198853</xdr:colOff>
      <xdr:row>330</xdr:row>
      <xdr:rowOff>72929</xdr:rowOff>
    </xdr:from>
    <xdr:to>
      <xdr:col>33</xdr:col>
      <xdr:colOff>13336</xdr:colOff>
      <xdr:row>368</xdr:row>
      <xdr:rowOff>63699</xdr:rowOff>
    </xdr:to>
    <xdr:cxnSp macro="">
      <xdr:nvCxnSpPr>
        <xdr:cNvPr id="207" name="直線コネクタ 31">
          <a:extLst>
            <a:ext uri="{FF2B5EF4-FFF2-40B4-BE49-F238E27FC236}">
              <a16:creationId xmlns:a16="http://schemas.microsoft.com/office/drawing/2014/main" id="{81D2ECD2-B4D5-4413-A5EC-52FB80EA11B4}"/>
            </a:ext>
          </a:extLst>
        </xdr:cNvPr>
        <xdr:cNvCxnSpPr>
          <a:cxnSpLocks/>
          <a:stCxn id="205" idx="3"/>
          <a:endCxn id="178" idx="1"/>
        </xdr:cNvCxnSpPr>
      </xdr:nvCxnSpPr>
      <xdr:spPr>
        <a:xfrm flipV="1">
          <a:off x="6828253" y="56651429"/>
          <a:ext cx="728883" cy="6505870"/>
        </a:xfrm>
        <a:prstGeom prst="bentConnector3">
          <a:avLst>
            <a:gd name="adj1" fmla="val 71153"/>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18757</xdr:colOff>
      <xdr:row>375</xdr:row>
      <xdr:rowOff>20242</xdr:rowOff>
    </xdr:from>
    <xdr:to>
      <xdr:col>22</xdr:col>
      <xdr:colOff>192112</xdr:colOff>
      <xdr:row>375</xdr:row>
      <xdr:rowOff>122139</xdr:rowOff>
    </xdr:to>
    <xdr:sp macro="" textlink="">
      <xdr:nvSpPr>
        <xdr:cNvPr id="208" name="正方形/長方形 207">
          <a:extLst>
            <a:ext uri="{FF2B5EF4-FFF2-40B4-BE49-F238E27FC236}">
              <a16:creationId xmlns:a16="http://schemas.microsoft.com/office/drawing/2014/main" id="{DFAE4FA5-BB18-450B-A8D7-2FBD676E9269}"/>
            </a:ext>
          </a:extLst>
        </xdr:cNvPr>
        <xdr:cNvSpPr/>
      </xdr:nvSpPr>
      <xdr:spPr>
        <a:xfrm>
          <a:off x="5047957" y="64313992"/>
          <a:ext cx="17335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18758</xdr:colOff>
      <xdr:row>375</xdr:row>
      <xdr:rowOff>9232</xdr:rowOff>
    </xdr:from>
    <xdr:to>
      <xdr:col>33</xdr:col>
      <xdr:colOff>182588</xdr:colOff>
      <xdr:row>375</xdr:row>
      <xdr:rowOff>103509</xdr:rowOff>
    </xdr:to>
    <xdr:sp macro="" textlink="">
      <xdr:nvSpPr>
        <xdr:cNvPr id="209" name="正方形/長方形 208">
          <a:extLst>
            <a:ext uri="{FF2B5EF4-FFF2-40B4-BE49-F238E27FC236}">
              <a16:creationId xmlns:a16="http://schemas.microsoft.com/office/drawing/2014/main" id="{89DD111F-FEB1-4D8D-AED3-67089C6FBCC8}"/>
            </a:ext>
          </a:extLst>
        </xdr:cNvPr>
        <xdr:cNvSpPr/>
      </xdr:nvSpPr>
      <xdr:spPr>
        <a:xfrm>
          <a:off x="7562558" y="64302982"/>
          <a:ext cx="163830"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27402</xdr:colOff>
      <xdr:row>375</xdr:row>
      <xdr:rowOff>11137</xdr:rowOff>
    </xdr:from>
    <xdr:to>
      <xdr:col>29</xdr:col>
      <xdr:colOff>200757</xdr:colOff>
      <xdr:row>375</xdr:row>
      <xdr:rowOff>105414</xdr:rowOff>
    </xdr:to>
    <xdr:sp macro="" textlink="">
      <xdr:nvSpPr>
        <xdr:cNvPr id="210" name="正方形/長方形 209">
          <a:extLst>
            <a:ext uri="{FF2B5EF4-FFF2-40B4-BE49-F238E27FC236}">
              <a16:creationId xmlns:a16="http://schemas.microsoft.com/office/drawing/2014/main" id="{4998161F-1587-4031-9F1C-BDD6F8F24155}"/>
            </a:ext>
          </a:extLst>
        </xdr:cNvPr>
        <xdr:cNvSpPr/>
      </xdr:nvSpPr>
      <xdr:spPr>
        <a:xfrm>
          <a:off x="6656802" y="64304887"/>
          <a:ext cx="17335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377</xdr:row>
      <xdr:rowOff>14655</xdr:rowOff>
    </xdr:from>
    <xdr:to>
      <xdr:col>29</xdr:col>
      <xdr:colOff>198853</xdr:colOff>
      <xdr:row>377</xdr:row>
      <xdr:rowOff>112742</xdr:rowOff>
    </xdr:to>
    <xdr:sp macro="" textlink="">
      <xdr:nvSpPr>
        <xdr:cNvPr id="211" name="正方形/長方形 210">
          <a:extLst>
            <a:ext uri="{FF2B5EF4-FFF2-40B4-BE49-F238E27FC236}">
              <a16:creationId xmlns:a16="http://schemas.microsoft.com/office/drawing/2014/main" id="{F87B29E5-305D-4C78-9614-D02ADA4F7B5C}"/>
            </a:ext>
          </a:extLst>
        </xdr:cNvPr>
        <xdr:cNvSpPr/>
      </xdr:nvSpPr>
      <xdr:spPr>
        <a:xfrm>
          <a:off x="6658708" y="6465130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13336</xdr:colOff>
      <xdr:row>376</xdr:row>
      <xdr:rowOff>21980</xdr:rowOff>
    </xdr:from>
    <xdr:to>
      <xdr:col>33</xdr:col>
      <xdr:colOff>171451</xdr:colOff>
      <xdr:row>376</xdr:row>
      <xdr:rowOff>123877</xdr:rowOff>
    </xdr:to>
    <xdr:sp macro="" textlink="">
      <xdr:nvSpPr>
        <xdr:cNvPr id="212" name="正方形/長方形 211">
          <a:extLst>
            <a:ext uri="{FF2B5EF4-FFF2-40B4-BE49-F238E27FC236}">
              <a16:creationId xmlns:a16="http://schemas.microsoft.com/office/drawing/2014/main" id="{D516F133-291A-4BAC-8628-E44D3F4E8860}"/>
            </a:ext>
          </a:extLst>
        </xdr:cNvPr>
        <xdr:cNvSpPr/>
      </xdr:nvSpPr>
      <xdr:spPr>
        <a:xfrm>
          <a:off x="7557136" y="64487180"/>
          <a:ext cx="158115" cy="10189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200757</xdr:colOff>
      <xdr:row>375</xdr:row>
      <xdr:rowOff>56371</xdr:rowOff>
    </xdr:from>
    <xdr:to>
      <xdr:col>33</xdr:col>
      <xdr:colOff>18758</xdr:colOff>
      <xdr:row>375</xdr:row>
      <xdr:rowOff>58276</xdr:rowOff>
    </xdr:to>
    <xdr:cxnSp macro="">
      <xdr:nvCxnSpPr>
        <xdr:cNvPr id="213" name="直線コネクタ 212">
          <a:extLst>
            <a:ext uri="{FF2B5EF4-FFF2-40B4-BE49-F238E27FC236}">
              <a16:creationId xmlns:a16="http://schemas.microsoft.com/office/drawing/2014/main" id="{DF303303-2DD6-452D-814C-F6094C6FAA37}"/>
            </a:ext>
          </a:extLst>
        </xdr:cNvPr>
        <xdr:cNvCxnSpPr>
          <a:stCxn id="209" idx="1"/>
          <a:endCxn id="210" idx="3"/>
        </xdr:cNvCxnSpPr>
      </xdr:nvCxnSpPr>
      <xdr:spPr>
        <a:xfrm flipH="1">
          <a:off x="6830157" y="64350121"/>
          <a:ext cx="732401" cy="1905"/>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21981</xdr:colOff>
      <xdr:row>376</xdr:row>
      <xdr:rowOff>23885</xdr:rowOff>
    </xdr:from>
    <xdr:to>
      <xdr:col>22</xdr:col>
      <xdr:colOff>191526</xdr:colOff>
      <xdr:row>376</xdr:row>
      <xdr:rowOff>127688</xdr:rowOff>
    </xdr:to>
    <xdr:sp macro="" textlink="">
      <xdr:nvSpPr>
        <xdr:cNvPr id="214" name="正方形/長方形 213">
          <a:extLst>
            <a:ext uri="{FF2B5EF4-FFF2-40B4-BE49-F238E27FC236}">
              <a16:creationId xmlns:a16="http://schemas.microsoft.com/office/drawing/2014/main" id="{CE1A3C18-54C7-4B10-9B4E-3BB600FD4E98}"/>
            </a:ext>
          </a:extLst>
        </xdr:cNvPr>
        <xdr:cNvSpPr/>
      </xdr:nvSpPr>
      <xdr:spPr>
        <a:xfrm>
          <a:off x="5051181" y="6448908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198853</xdr:colOff>
      <xdr:row>376</xdr:row>
      <xdr:rowOff>72929</xdr:rowOff>
    </xdr:from>
    <xdr:to>
      <xdr:col>33</xdr:col>
      <xdr:colOff>13336</xdr:colOff>
      <xdr:row>377</xdr:row>
      <xdr:rowOff>63699</xdr:rowOff>
    </xdr:to>
    <xdr:cxnSp macro="">
      <xdr:nvCxnSpPr>
        <xdr:cNvPr id="215" name="直線コネクタ 31">
          <a:extLst>
            <a:ext uri="{FF2B5EF4-FFF2-40B4-BE49-F238E27FC236}">
              <a16:creationId xmlns:a16="http://schemas.microsoft.com/office/drawing/2014/main" id="{CE04726B-EB6E-414D-B646-DB3D661F0B6E}"/>
            </a:ext>
          </a:extLst>
        </xdr:cNvPr>
        <xdr:cNvCxnSpPr>
          <a:stCxn id="211" idx="3"/>
          <a:endCxn id="212" idx="1"/>
        </xdr:cNvCxnSpPr>
      </xdr:nvCxnSpPr>
      <xdr:spPr>
        <a:xfrm flipV="1">
          <a:off x="6828253" y="64538129"/>
          <a:ext cx="728883" cy="162220"/>
        </a:xfrm>
        <a:prstGeom prst="bentConnector3">
          <a:avLst>
            <a:gd name="adj1" fmla="val 50000"/>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200757</xdr:colOff>
      <xdr:row>329</xdr:row>
      <xdr:rowOff>56371</xdr:rowOff>
    </xdr:from>
    <xdr:to>
      <xdr:col>33</xdr:col>
      <xdr:colOff>18758</xdr:colOff>
      <xdr:row>348</xdr:row>
      <xdr:rowOff>58276</xdr:rowOff>
    </xdr:to>
    <xdr:cxnSp macro="">
      <xdr:nvCxnSpPr>
        <xdr:cNvPr id="216" name="直線コネクタ 31">
          <a:extLst>
            <a:ext uri="{FF2B5EF4-FFF2-40B4-BE49-F238E27FC236}">
              <a16:creationId xmlns:a16="http://schemas.microsoft.com/office/drawing/2014/main" id="{FB7EA5A7-E4A8-4E0F-BEA9-596D0DA7FE00}"/>
            </a:ext>
          </a:extLst>
        </xdr:cNvPr>
        <xdr:cNvCxnSpPr>
          <a:cxnSpLocks/>
          <a:stCxn id="191" idx="3"/>
          <a:endCxn id="175" idx="1"/>
        </xdr:cNvCxnSpPr>
      </xdr:nvCxnSpPr>
      <xdr:spPr>
        <a:xfrm flipV="1">
          <a:off x="6830157" y="56463421"/>
          <a:ext cx="732401" cy="3259455"/>
        </a:xfrm>
        <a:prstGeom prst="bentConnector3">
          <a:avLst>
            <a:gd name="adj1" fmla="val 34439"/>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200757</xdr:colOff>
      <xdr:row>329</xdr:row>
      <xdr:rowOff>56371</xdr:rowOff>
    </xdr:from>
    <xdr:to>
      <xdr:col>33</xdr:col>
      <xdr:colOff>18758</xdr:colOff>
      <xdr:row>366</xdr:row>
      <xdr:rowOff>58276</xdr:rowOff>
    </xdr:to>
    <xdr:cxnSp macro="">
      <xdr:nvCxnSpPr>
        <xdr:cNvPr id="217" name="直線コネクタ 31">
          <a:extLst>
            <a:ext uri="{FF2B5EF4-FFF2-40B4-BE49-F238E27FC236}">
              <a16:creationId xmlns:a16="http://schemas.microsoft.com/office/drawing/2014/main" id="{F6B06868-BE47-4BDD-AAE7-2F34B7600EEF}"/>
            </a:ext>
          </a:extLst>
        </xdr:cNvPr>
        <xdr:cNvCxnSpPr>
          <a:cxnSpLocks/>
          <a:stCxn id="204" idx="3"/>
          <a:endCxn id="175" idx="1"/>
        </xdr:cNvCxnSpPr>
      </xdr:nvCxnSpPr>
      <xdr:spPr>
        <a:xfrm flipV="1">
          <a:off x="6830157" y="56463421"/>
          <a:ext cx="732401" cy="6345555"/>
        </a:xfrm>
        <a:prstGeom prst="bentConnector3">
          <a:avLst>
            <a:gd name="adj1" fmla="val 34439"/>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21981</xdr:colOff>
      <xdr:row>339</xdr:row>
      <xdr:rowOff>14654</xdr:rowOff>
    </xdr:from>
    <xdr:to>
      <xdr:col>20</xdr:col>
      <xdr:colOff>199146</xdr:colOff>
      <xdr:row>339</xdr:row>
      <xdr:rowOff>116551</xdr:rowOff>
    </xdr:to>
    <xdr:sp macro="" textlink="">
      <xdr:nvSpPr>
        <xdr:cNvPr id="218" name="正方形/長方形 217">
          <a:extLst>
            <a:ext uri="{FF2B5EF4-FFF2-40B4-BE49-F238E27FC236}">
              <a16:creationId xmlns:a16="http://schemas.microsoft.com/office/drawing/2014/main" id="{58C2FA92-D9C2-4C3C-8533-9764259EE63A}"/>
            </a:ext>
          </a:extLst>
        </xdr:cNvPr>
        <xdr:cNvSpPr/>
      </xdr:nvSpPr>
      <xdr:spPr>
        <a:xfrm>
          <a:off x="4593981" y="58136204"/>
          <a:ext cx="17716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18463</xdr:colOff>
      <xdr:row>339</xdr:row>
      <xdr:rowOff>22861</xdr:rowOff>
    </xdr:from>
    <xdr:to>
      <xdr:col>12</xdr:col>
      <xdr:colOff>191818</xdr:colOff>
      <xdr:row>339</xdr:row>
      <xdr:rowOff>111423</xdr:rowOff>
    </xdr:to>
    <xdr:sp macro="" textlink="">
      <xdr:nvSpPr>
        <xdr:cNvPr id="219" name="正方形/長方形 218">
          <a:extLst>
            <a:ext uri="{FF2B5EF4-FFF2-40B4-BE49-F238E27FC236}">
              <a16:creationId xmlns:a16="http://schemas.microsoft.com/office/drawing/2014/main" id="{91284D2E-08A7-4B00-B245-1D2A71175D7D}"/>
            </a:ext>
          </a:extLst>
        </xdr:cNvPr>
        <xdr:cNvSpPr/>
      </xdr:nvSpPr>
      <xdr:spPr>
        <a:xfrm>
          <a:off x="2761663" y="58144411"/>
          <a:ext cx="173355" cy="8856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21981</xdr:colOff>
      <xdr:row>340</xdr:row>
      <xdr:rowOff>29308</xdr:rowOff>
    </xdr:from>
    <xdr:to>
      <xdr:col>20</xdr:col>
      <xdr:colOff>210576</xdr:colOff>
      <xdr:row>340</xdr:row>
      <xdr:rowOff>121680</xdr:rowOff>
    </xdr:to>
    <xdr:sp macro="" textlink="">
      <xdr:nvSpPr>
        <xdr:cNvPr id="220" name="正方形/長方形 219">
          <a:extLst>
            <a:ext uri="{FF2B5EF4-FFF2-40B4-BE49-F238E27FC236}">
              <a16:creationId xmlns:a16="http://schemas.microsoft.com/office/drawing/2014/main" id="{C0A49A2A-CC6F-4330-A1FE-3B2B22B23941}"/>
            </a:ext>
          </a:extLst>
        </xdr:cNvPr>
        <xdr:cNvSpPr/>
      </xdr:nvSpPr>
      <xdr:spPr>
        <a:xfrm>
          <a:off x="4593981" y="58322308"/>
          <a:ext cx="188595" cy="9237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21981</xdr:colOff>
      <xdr:row>348</xdr:row>
      <xdr:rowOff>14654</xdr:rowOff>
    </xdr:from>
    <xdr:to>
      <xdr:col>20</xdr:col>
      <xdr:colOff>199146</xdr:colOff>
      <xdr:row>348</xdr:row>
      <xdr:rowOff>116551</xdr:rowOff>
    </xdr:to>
    <xdr:sp macro="" textlink="">
      <xdr:nvSpPr>
        <xdr:cNvPr id="221" name="正方形/長方形 220">
          <a:extLst>
            <a:ext uri="{FF2B5EF4-FFF2-40B4-BE49-F238E27FC236}">
              <a16:creationId xmlns:a16="http://schemas.microsoft.com/office/drawing/2014/main" id="{C03624E5-B2C4-425D-BDEB-58BF0C433584}"/>
            </a:ext>
          </a:extLst>
        </xdr:cNvPr>
        <xdr:cNvSpPr/>
      </xdr:nvSpPr>
      <xdr:spPr>
        <a:xfrm>
          <a:off x="4593981" y="59679254"/>
          <a:ext cx="17716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18463</xdr:colOff>
      <xdr:row>348</xdr:row>
      <xdr:rowOff>22861</xdr:rowOff>
    </xdr:from>
    <xdr:to>
      <xdr:col>12</xdr:col>
      <xdr:colOff>191818</xdr:colOff>
      <xdr:row>348</xdr:row>
      <xdr:rowOff>111423</xdr:rowOff>
    </xdr:to>
    <xdr:sp macro="" textlink="">
      <xdr:nvSpPr>
        <xdr:cNvPr id="222" name="正方形/長方形 221">
          <a:extLst>
            <a:ext uri="{FF2B5EF4-FFF2-40B4-BE49-F238E27FC236}">
              <a16:creationId xmlns:a16="http://schemas.microsoft.com/office/drawing/2014/main" id="{D90079BE-9D0F-42F8-B600-E1294A4D2347}"/>
            </a:ext>
          </a:extLst>
        </xdr:cNvPr>
        <xdr:cNvSpPr/>
      </xdr:nvSpPr>
      <xdr:spPr>
        <a:xfrm>
          <a:off x="2761663" y="59687461"/>
          <a:ext cx="173355" cy="8856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21981</xdr:colOff>
      <xdr:row>349</xdr:row>
      <xdr:rowOff>29308</xdr:rowOff>
    </xdr:from>
    <xdr:to>
      <xdr:col>20</xdr:col>
      <xdr:colOff>210576</xdr:colOff>
      <xdr:row>349</xdr:row>
      <xdr:rowOff>121680</xdr:rowOff>
    </xdr:to>
    <xdr:sp macro="" textlink="">
      <xdr:nvSpPr>
        <xdr:cNvPr id="223" name="正方形/長方形 222">
          <a:extLst>
            <a:ext uri="{FF2B5EF4-FFF2-40B4-BE49-F238E27FC236}">
              <a16:creationId xmlns:a16="http://schemas.microsoft.com/office/drawing/2014/main" id="{D6EFE884-CC10-4567-844E-AC4931FD4309}"/>
            </a:ext>
          </a:extLst>
        </xdr:cNvPr>
        <xdr:cNvSpPr/>
      </xdr:nvSpPr>
      <xdr:spPr>
        <a:xfrm>
          <a:off x="4593981" y="59865358"/>
          <a:ext cx="188595" cy="9237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21981</xdr:colOff>
      <xdr:row>366</xdr:row>
      <xdr:rowOff>14654</xdr:rowOff>
    </xdr:from>
    <xdr:to>
      <xdr:col>20</xdr:col>
      <xdr:colOff>199146</xdr:colOff>
      <xdr:row>366</xdr:row>
      <xdr:rowOff>116551</xdr:rowOff>
    </xdr:to>
    <xdr:sp macro="" textlink="">
      <xdr:nvSpPr>
        <xdr:cNvPr id="224" name="正方形/長方形 223">
          <a:extLst>
            <a:ext uri="{FF2B5EF4-FFF2-40B4-BE49-F238E27FC236}">
              <a16:creationId xmlns:a16="http://schemas.microsoft.com/office/drawing/2014/main" id="{CE9E6500-F98B-4749-8959-71B79313A94F}"/>
            </a:ext>
          </a:extLst>
        </xdr:cNvPr>
        <xdr:cNvSpPr/>
      </xdr:nvSpPr>
      <xdr:spPr>
        <a:xfrm>
          <a:off x="4593981" y="62765354"/>
          <a:ext cx="17716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18463</xdr:colOff>
      <xdr:row>366</xdr:row>
      <xdr:rowOff>22861</xdr:rowOff>
    </xdr:from>
    <xdr:to>
      <xdr:col>12</xdr:col>
      <xdr:colOff>191818</xdr:colOff>
      <xdr:row>366</xdr:row>
      <xdr:rowOff>111423</xdr:rowOff>
    </xdr:to>
    <xdr:sp macro="" textlink="">
      <xdr:nvSpPr>
        <xdr:cNvPr id="225" name="正方形/長方形 224">
          <a:extLst>
            <a:ext uri="{FF2B5EF4-FFF2-40B4-BE49-F238E27FC236}">
              <a16:creationId xmlns:a16="http://schemas.microsoft.com/office/drawing/2014/main" id="{FD598C48-4643-4B93-8199-66A1B89D1441}"/>
            </a:ext>
          </a:extLst>
        </xdr:cNvPr>
        <xdr:cNvSpPr/>
      </xdr:nvSpPr>
      <xdr:spPr>
        <a:xfrm>
          <a:off x="2761663" y="62773561"/>
          <a:ext cx="173355" cy="8856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21981</xdr:colOff>
      <xdr:row>367</xdr:row>
      <xdr:rowOff>29308</xdr:rowOff>
    </xdr:from>
    <xdr:to>
      <xdr:col>20</xdr:col>
      <xdr:colOff>210576</xdr:colOff>
      <xdr:row>367</xdr:row>
      <xdr:rowOff>121680</xdr:rowOff>
    </xdr:to>
    <xdr:sp macro="" textlink="">
      <xdr:nvSpPr>
        <xdr:cNvPr id="226" name="正方形/長方形 225">
          <a:extLst>
            <a:ext uri="{FF2B5EF4-FFF2-40B4-BE49-F238E27FC236}">
              <a16:creationId xmlns:a16="http://schemas.microsoft.com/office/drawing/2014/main" id="{BB97D775-FB77-484F-A3B0-623B7754FA1F}"/>
            </a:ext>
          </a:extLst>
        </xdr:cNvPr>
        <xdr:cNvSpPr/>
      </xdr:nvSpPr>
      <xdr:spPr>
        <a:xfrm>
          <a:off x="4593981" y="62951458"/>
          <a:ext cx="188595" cy="9237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223859</xdr:colOff>
      <xdr:row>318</xdr:row>
      <xdr:rowOff>66087</xdr:rowOff>
    </xdr:from>
    <xdr:to>
      <xdr:col>12</xdr:col>
      <xdr:colOff>18463</xdr:colOff>
      <xdr:row>339</xdr:row>
      <xdr:rowOff>67142</xdr:rowOff>
    </xdr:to>
    <xdr:cxnSp macro="">
      <xdr:nvCxnSpPr>
        <xdr:cNvPr id="227" name="直線コネクタ 31">
          <a:extLst>
            <a:ext uri="{FF2B5EF4-FFF2-40B4-BE49-F238E27FC236}">
              <a16:creationId xmlns:a16="http://schemas.microsoft.com/office/drawing/2014/main" id="{608CD301-188E-49D3-B51C-EFD698AEBA4C}"/>
            </a:ext>
          </a:extLst>
        </xdr:cNvPr>
        <xdr:cNvCxnSpPr>
          <a:cxnSpLocks/>
          <a:stCxn id="161" idx="3"/>
          <a:endCxn id="219" idx="1"/>
        </xdr:cNvCxnSpPr>
      </xdr:nvCxnSpPr>
      <xdr:spPr>
        <a:xfrm>
          <a:off x="2509859" y="54587187"/>
          <a:ext cx="251804" cy="3601505"/>
        </a:xfrm>
        <a:prstGeom prst="bentConnector3">
          <a:avLst>
            <a:gd name="adj1" fmla="val 50000"/>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223859</xdr:colOff>
      <xdr:row>318</xdr:row>
      <xdr:rowOff>66087</xdr:rowOff>
    </xdr:from>
    <xdr:to>
      <xdr:col>12</xdr:col>
      <xdr:colOff>18463</xdr:colOff>
      <xdr:row>348</xdr:row>
      <xdr:rowOff>67142</xdr:rowOff>
    </xdr:to>
    <xdr:cxnSp macro="">
      <xdr:nvCxnSpPr>
        <xdr:cNvPr id="228" name="直線コネクタ 31">
          <a:extLst>
            <a:ext uri="{FF2B5EF4-FFF2-40B4-BE49-F238E27FC236}">
              <a16:creationId xmlns:a16="http://schemas.microsoft.com/office/drawing/2014/main" id="{6F2DED72-2236-4DAD-A203-3DB9FA4769AD}"/>
            </a:ext>
          </a:extLst>
        </xdr:cNvPr>
        <xdr:cNvCxnSpPr>
          <a:cxnSpLocks/>
          <a:stCxn id="161" idx="3"/>
          <a:endCxn id="222" idx="1"/>
        </xdr:cNvCxnSpPr>
      </xdr:nvCxnSpPr>
      <xdr:spPr>
        <a:xfrm>
          <a:off x="2509859" y="54587187"/>
          <a:ext cx="251804" cy="5144555"/>
        </a:xfrm>
        <a:prstGeom prst="bentConnector3">
          <a:avLst>
            <a:gd name="adj1" fmla="val 50000"/>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223859</xdr:colOff>
      <xdr:row>318</xdr:row>
      <xdr:rowOff>66087</xdr:rowOff>
    </xdr:from>
    <xdr:to>
      <xdr:col>12</xdr:col>
      <xdr:colOff>18463</xdr:colOff>
      <xdr:row>366</xdr:row>
      <xdr:rowOff>67142</xdr:rowOff>
    </xdr:to>
    <xdr:cxnSp macro="">
      <xdr:nvCxnSpPr>
        <xdr:cNvPr id="229" name="直線コネクタ 31">
          <a:extLst>
            <a:ext uri="{FF2B5EF4-FFF2-40B4-BE49-F238E27FC236}">
              <a16:creationId xmlns:a16="http://schemas.microsoft.com/office/drawing/2014/main" id="{F3C7AE6B-BC13-4152-B9AC-C9EF5FE5E0B9}"/>
            </a:ext>
          </a:extLst>
        </xdr:cNvPr>
        <xdr:cNvCxnSpPr>
          <a:cxnSpLocks/>
          <a:stCxn id="161" idx="3"/>
          <a:endCxn id="225" idx="1"/>
        </xdr:cNvCxnSpPr>
      </xdr:nvCxnSpPr>
      <xdr:spPr>
        <a:xfrm>
          <a:off x="2509859" y="54587187"/>
          <a:ext cx="251804" cy="8230655"/>
        </a:xfrm>
        <a:prstGeom prst="bentConnector3">
          <a:avLst>
            <a:gd name="adj1" fmla="val 50000"/>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190165</xdr:colOff>
      <xdr:row>349</xdr:row>
      <xdr:rowOff>68691</xdr:rowOff>
    </xdr:from>
    <xdr:to>
      <xdr:col>22</xdr:col>
      <xdr:colOff>1570</xdr:colOff>
      <xdr:row>358</xdr:row>
      <xdr:rowOff>68984</xdr:rowOff>
    </xdr:to>
    <xdr:cxnSp macro="">
      <xdr:nvCxnSpPr>
        <xdr:cNvPr id="230" name="直線コネクタ 31">
          <a:extLst>
            <a:ext uri="{FF2B5EF4-FFF2-40B4-BE49-F238E27FC236}">
              <a16:creationId xmlns:a16="http://schemas.microsoft.com/office/drawing/2014/main" id="{693D9698-362A-427C-B2BA-4375C00E1CD0}"/>
            </a:ext>
          </a:extLst>
        </xdr:cNvPr>
        <xdr:cNvCxnSpPr/>
      </xdr:nvCxnSpPr>
      <xdr:spPr>
        <a:xfrm rot="10800000">
          <a:off x="4762165" y="59904741"/>
          <a:ext cx="268605" cy="1543343"/>
        </a:xfrm>
        <a:prstGeom prst="bentConnector3">
          <a:avLst>
            <a:gd name="adj1" fmla="val 67523"/>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186355</xdr:colOff>
      <xdr:row>349</xdr:row>
      <xdr:rowOff>68691</xdr:rowOff>
    </xdr:from>
    <xdr:to>
      <xdr:col>21</xdr:col>
      <xdr:colOff>229081</xdr:colOff>
      <xdr:row>349</xdr:row>
      <xdr:rowOff>68984</xdr:rowOff>
    </xdr:to>
    <xdr:cxnSp macro="">
      <xdr:nvCxnSpPr>
        <xdr:cNvPr id="231" name="直線コネクタ 230">
          <a:extLst>
            <a:ext uri="{FF2B5EF4-FFF2-40B4-BE49-F238E27FC236}">
              <a16:creationId xmlns:a16="http://schemas.microsoft.com/office/drawing/2014/main" id="{8D48E7FE-71DC-4365-A34C-37A3325C3FBE}"/>
            </a:ext>
          </a:extLst>
        </xdr:cNvPr>
        <xdr:cNvCxnSpPr>
          <a:cxnSpLocks/>
        </xdr:cNvCxnSpPr>
      </xdr:nvCxnSpPr>
      <xdr:spPr>
        <a:xfrm>
          <a:off x="4758355" y="59904741"/>
          <a:ext cx="271326" cy="293"/>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178735</xdr:colOff>
      <xdr:row>348</xdr:row>
      <xdr:rowOff>58801</xdr:rowOff>
    </xdr:from>
    <xdr:to>
      <xdr:col>21</xdr:col>
      <xdr:colOff>229667</xdr:colOff>
      <xdr:row>357</xdr:row>
      <xdr:rowOff>64389</xdr:rowOff>
    </xdr:to>
    <xdr:cxnSp macro="">
      <xdr:nvCxnSpPr>
        <xdr:cNvPr id="232" name="直線コネクタ 31">
          <a:extLst>
            <a:ext uri="{FF2B5EF4-FFF2-40B4-BE49-F238E27FC236}">
              <a16:creationId xmlns:a16="http://schemas.microsoft.com/office/drawing/2014/main" id="{86EE9B2F-4657-4F73-899C-9285ECDE41ED}"/>
            </a:ext>
          </a:extLst>
        </xdr:cNvPr>
        <xdr:cNvCxnSpPr/>
      </xdr:nvCxnSpPr>
      <xdr:spPr>
        <a:xfrm rot="10800000">
          <a:off x="4750735" y="59723401"/>
          <a:ext cx="279532" cy="1548638"/>
        </a:xfrm>
        <a:prstGeom prst="bentConnector3">
          <a:avLst>
            <a:gd name="adj1" fmla="val 30155"/>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180640</xdr:colOff>
      <xdr:row>348</xdr:row>
      <xdr:rowOff>60705</xdr:rowOff>
    </xdr:from>
    <xdr:to>
      <xdr:col>22</xdr:col>
      <xdr:colOff>2156</xdr:colOff>
      <xdr:row>348</xdr:row>
      <xdr:rowOff>63435</xdr:rowOff>
    </xdr:to>
    <xdr:cxnSp macro="">
      <xdr:nvCxnSpPr>
        <xdr:cNvPr id="233" name="直線コネクタ 232">
          <a:extLst>
            <a:ext uri="{FF2B5EF4-FFF2-40B4-BE49-F238E27FC236}">
              <a16:creationId xmlns:a16="http://schemas.microsoft.com/office/drawing/2014/main" id="{29BF40F5-FED1-445C-B849-9A9E35C642F2}"/>
            </a:ext>
          </a:extLst>
        </xdr:cNvPr>
        <xdr:cNvCxnSpPr>
          <a:cxnSpLocks/>
        </xdr:cNvCxnSpPr>
      </xdr:nvCxnSpPr>
      <xdr:spPr>
        <a:xfrm>
          <a:off x="4752640" y="59725305"/>
          <a:ext cx="278716" cy="2730"/>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190165</xdr:colOff>
      <xdr:row>367</xdr:row>
      <xdr:rowOff>75494</xdr:rowOff>
    </xdr:from>
    <xdr:to>
      <xdr:col>22</xdr:col>
      <xdr:colOff>1570</xdr:colOff>
      <xdr:row>376</xdr:row>
      <xdr:rowOff>75787</xdr:rowOff>
    </xdr:to>
    <xdr:cxnSp macro="">
      <xdr:nvCxnSpPr>
        <xdr:cNvPr id="234" name="直線コネクタ 31">
          <a:extLst>
            <a:ext uri="{FF2B5EF4-FFF2-40B4-BE49-F238E27FC236}">
              <a16:creationId xmlns:a16="http://schemas.microsoft.com/office/drawing/2014/main" id="{7BBD871D-57D3-4700-8762-27DE7AE6F761}"/>
            </a:ext>
          </a:extLst>
        </xdr:cNvPr>
        <xdr:cNvCxnSpPr/>
      </xdr:nvCxnSpPr>
      <xdr:spPr>
        <a:xfrm rot="10800000">
          <a:off x="4762165" y="62997644"/>
          <a:ext cx="268605" cy="1543343"/>
        </a:xfrm>
        <a:prstGeom prst="bentConnector3">
          <a:avLst>
            <a:gd name="adj1" fmla="val 67523"/>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186355</xdr:colOff>
      <xdr:row>367</xdr:row>
      <xdr:rowOff>75494</xdr:rowOff>
    </xdr:from>
    <xdr:to>
      <xdr:col>21</xdr:col>
      <xdr:colOff>229081</xdr:colOff>
      <xdr:row>367</xdr:row>
      <xdr:rowOff>75787</xdr:rowOff>
    </xdr:to>
    <xdr:cxnSp macro="">
      <xdr:nvCxnSpPr>
        <xdr:cNvPr id="235" name="直線コネクタ 234">
          <a:extLst>
            <a:ext uri="{FF2B5EF4-FFF2-40B4-BE49-F238E27FC236}">
              <a16:creationId xmlns:a16="http://schemas.microsoft.com/office/drawing/2014/main" id="{217CAEDA-0415-47B4-A64A-E596BBCE6F8C}"/>
            </a:ext>
          </a:extLst>
        </xdr:cNvPr>
        <xdr:cNvCxnSpPr>
          <a:cxnSpLocks/>
        </xdr:cNvCxnSpPr>
      </xdr:nvCxnSpPr>
      <xdr:spPr>
        <a:xfrm>
          <a:off x="4758355" y="62997644"/>
          <a:ext cx="271326" cy="293"/>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178735</xdr:colOff>
      <xdr:row>366</xdr:row>
      <xdr:rowOff>65604</xdr:rowOff>
    </xdr:from>
    <xdr:to>
      <xdr:col>21</xdr:col>
      <xdr:colOff>229667</xdr:colOff>
      <xdr:row>375</xdr:row>
      <xdr:rowOff>71192</xdr:rowOff>
    </xdr:to>
    <xdr:cxnSp macro="">
      <xdr:nvCxnSpPr>
        <xdr:cNvPr id="236" name="直線コネクタ 31">
          <a:extLst>
            <a:ext uri="{FF2B5EF4-FFF2-40B4-BE49-F238E27FC236}">
              <a16:creationId xmlns:a16="http://schemas.microsoft.com/office/drawing/2014/main" id="{C5B49E52-E553-4282-B283-B4AC320CE8D4}"/>
            </a:ext>
          </a:extLst>
        </xdr:cNvPr>
        <xdr:cNvCxnSpPr/>
      </xdr:nvCxnSpPr>
      <xdr:spPr>
        <a:xfrm rot="10800000">
          <a:off x="4750735" y="62816304"/>
          <a:ext cx="279532" cy="1548638"/>
        </a:xfrm>
        <a:prstGeom prst="bentConnector3">
          <a:avLst>
            <a:gd name="adj1" fmla="val 30155"/>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180640</xdr:colOff>
      <xdr:row>366</xdr:row>
      <xdr:rowOff>67508</xdr:rowOff>
    </xdr:from>
    <xdr:to>
      <xdr:col>22</xdr:col>
      <xdr:colOff>2156</xdr:colOff>
      <xdr:row>366</xdr:row>
      <xdr:rowOff>70238</xdr:rowOff>
    </xdr:to>
    <xdr:cxnSp macro="">
      <xdr:nvCxnSpPr>
        <xdr:cNvPr id="237" name="直線コネクタ 236">
          <a:extLst>
            <a:ext uri="{FF2B5EF4-FFF2-40B4-BE49-F238E27FC236}">
              <a16:creationId xmlns:a16="http://schemas.microsoft.com/office/drawing/2014/main" id="{763D2B36-C05C-451F-A5AB-E094DB4F9D33}"/>
            </a:ext>
          </a:extLst>
        </xdr:cNvPr>
        <xdr:cNvCxnSpPr>
          <a:cxnSpLocks/>
        </xdr:cNvCxnSpPr>
      </xdr:nvCxnSpPr>
      <xdr:spPr>
        <a:xfrm>
          <a:off x="4752640" y="62818208"/>
          <a:ext cx="278716" cy="2730"/>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210576</xdr:colOff>
      <xdr:row>340</xdr:row>
      <xdr:rowOff>75494</xdr:rowOff>
    </xdr:from>
    <xdr:to>
      <xdr:col>22</xdr:col>
      <xdr:colOff>21981</xdr:colOff>
      <xdr:row>340</xdr:row>
      <xdr:rowOff>75787</xdr:rowOff>
    </xdr:to>
    <xdr:cxnSp macro="">
      <xdr:nvCxnSpPr>
        <xdr:cNvPr id="238" name="直線コネクタ 237">
          <a:extLst>
            <a:ext uri="{FF2B5EF4-FFF2-40B4-BE49-F238E27FC236}">
              <a16:creationId xmlns:a16="http://schemas.microsoft.com/office/drawing/2014/main" id="{6E2E867D-478C-44C5-A2D4-A41BB7B34845}"/>
            </a:ext>
          </a:extLst>
        </xdr:cNvPr>
        <xdr:cNvCxnSpPr>
          <a:cxnSpLocks/>
          <a:stCxn id="220" idx="3"/>
          <a:endCxn id="188" idx="1"/>
        </xdr:cNvCxnSpPr>
      </xdr:nvCxnSpPr>
      <xdr:spPr>
        <a:xfrm>
          <a:off x="4782576" y="58368494"/>
          <a:ext cx="268605" cy="293"/>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199146</xdr:colOff>
      <xdr:row>339</xdr:row>
      <xdr:rowOff>65603</xdr:rowOff>
    </xdr:from>
    <xdr:to>
      <xdr:col>22</xdr:col>
      <xdr:colOff>18757</xdr:colOff>
      <xdr:row>339</xdr:row>
      <xdr:rowOff>71191</xdr:rowOff>
    </xdr:to>
    <xdr:cxnSp macro="">
      <xdr:nvCxnSpPr>
        <xdr:cNvPr id="239" name="直線コネクタ 238">
          <a:extLst>
            <a:ext uri="{FF2B5EF4-FFF2-40B4-BE49-F238E27FC236}">
              <a16:creationId xmlns:a16="http://schemas.microsoft.com/office/drawing/2014/main" id="{9DE6769C-DAE9-4DE9-9F95-BD1AA84AFC58}"/>
            </a:ext>
          </a:extLst>
        </xdr:cNvPr>
        <xdr:cNvCxnSpPr>
          <a:cxnSpLocks/>
          <a:stCxn id="218" idx="3"/>
          <a:endCxn id="185" idx="1"/>
        </xdr:cNvCxnSpPr>
      </xdr:nvCxnSpPr>
      <xdr:spPr>
        <a:xfrm>
          <a:off x="4771146" y="58187153"/>
          <a:ext cx="276811" cy="5588"/>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18758</xdr:colOff>
      <xdr:row>339</xdr:row>
      <xdr:rowOff>9232</xdr:rowOff>
    </xdr:from>
    <xdr:to>
      <xdr:col>33</xdr:col>
      <xdr:colOff>182588</xdr:colOff>
      <xdr:row>339</xdr:row>
      <xdr:rowOff>103509</xdr:rowOff>
    </xdr:to>
    <xdr:sp macro="" textlink="">
      <xdr:nvSpPr>
        <xdr:cNvPr id="240" name="正方形/長方形 239">
          <a:extLst>
            <a:ext uri="{FF2B5EF4-FFF2-40B4-BE49-F238E27FC236}">
              <a16:creationId xmlns:a16="http://schemas.microsoft.com/office/drawing/2014/main" id="{987EC372-1C73-48CD-A0AE-D4D99AF52DC7}"/>
            </a:ext>
          </a:extLst>
        </xdr:cNvPr>
        <xdr:cNvSpPr/>
      </xdr:nvSpPr>
      <xdr:spPr>
        <a:xfrm>
          <a:off x="7562558" y="58130782"/>
          <a:ext cx="163830"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13336</xdr:colOff>
      <xdr:row>340</xdr:row>
      <xdr:rowOff>21980</xdr:rowOff>
    </xdr:from>
    <xdr:to>
      <xdr:col>33</xdr:col>
      <xdr:colOff>171451</xdr:colOff>
      <xdr:row>340</xdr:row>
      <xdr:rowOff>123877</xdr:rowOff>
    </xdr:to>
    <xdr:sp macro="" textlink="">
      <xdr:nvSpPr>
        <xdr:cNvPr id="241" name="正方形/長方形 240">
          <a:extLst>
            <a:ext uri="{FF2B5EF4-FFF2-40B4-BE49-F238E27FC236}">
              <a16:creationId xmlns:a16="http://schemas.microsoft.com/office/drawing/2014/main" id="{5FA0FC51-07D1-4833-8108-FC62DA08F41F}"/>
            </a:ext>
          </a:extLst>
        </xdr:cNvPr>
        <xdr:cNvSpPr/>
      </xdr:nvSpPr>
      <xdr:spPr>
        <a:xfrm>
          <a:off x="7557136" y="58314980"/>
          <a:ext cx="158115" cy="10189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200757</xdr:colOff>
      <xdr:row>339</xdr:row>
      <xdr:rowOff>56371</xdr:rowOff>
    </xdr:from>
    <xdr:to>
      <xdr:col>33</xdr:col>
      <xdr:colOff>18758</xdr:colOff>
      <xdr:row>339</xdr:row>
      <xdr:rowOff>58276</xdr:rowOff>
    </xdr:to>
    <xdr:cxnSp macro="">
      <xdr:nvCxnSpPr>
        <xdr:cNvPr id="242" name="直線コネクタ 241">
          <a:extLst>
            <a:ext uri="{FF2B5EF4-FFF2-40B4-BE49-F238E27FC236}">
              <a16:creationId xmlns:a16="http://schemas.microsoft.com/office/drawing/2014/main" id="{9692F351-FD0C-42AB-8573-FFD74B1F2A1D}"/>
            </a:ext>
          </a:extLst>
        </xdr:cNvPr>
        <xdr:cNvCxnSpPr>
          <a:stCxn id="240" idx="1"/>
          <a:endCxn id="186" idx="3"/>
        </xdr:cNvCxnSpPr>
      </xdr:nvCxnSpPr>
      <xdr:spPr>
        <a:xfrm flipH="1">
          <a:off x="6830157" y="58177921"/>
          <a:ext cx="732401" cy="1905"/>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210576</xdr:colOff>
      <xdr:row>408</xdr:row>
      <xdr:rowOff>75494</xdr:rowOff>
    </xdr:from>
    <xdr:to>
      <xdr:col>22</xdr:col>
      <xdr:colOff>21981</xdr:colOff>
      <xdr:row>419</xdr:row>
      <xdr:rowOff>75787</xdr:rowOff>
    </xdr:to>
    <xdr:cxnSp macro="">
      <xdr:nvCxnSpPr>
        <xdr:cNvPr id="243" name="直線コネクタ 31">
          <a:extLst>
            <a:ext uri="{FF2B5EF4-FFF2-40B4-BE49-F238E27FC236}">
              <a16:creationId xmlns:a16="http://schemas.microsoft.com/office/drawing/2014/main" id="{FCBF5AF1-A3E5-468C-BC61-EEBA3ECCD9BE}"/>
            </a:ext>
          </a:extLst>
        </xdr:cNvPr>
        <xdr:cNvCxnSpPr>
          <a:stCxn id="264" idx="1"/>
          <a:endCxn id="255" idx="3"/>
        </xdr:cNvCxnSpPr>
      </xdr:nvCxnSpPr>
      <xdr:spPr>
        <a:xfrm rot="10800000">
          <a:off x="4782576" y="70027094"/>
          <a:ext cx="268605" cy="1886243"/>
        </a:xfrm>
        <a:prstGeom prst="bentConnector3">
          <a:avLst>
            <a:gd name="adj1" fmla="val 67523"/>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281009</xdr:colOff>
      <xdr:row>407</xdr:row>
      <xdr:rowOff>66087</xdr:rowOff>
    </xdr:from>
    <xdr:to>
      <xdr:col>12</xdr:col>
      <xdr:colOff>18463</xdr:colOff>
      <xdr:row>407</xdr:row>
      <xdr:rowOff>67142</xdr:rowOff>
    </xdr:to>
    <xdr:cxnSp macro="">
      <xdr:nvCxnSpPr>
        <xdr:cNvPr id="244" name="直線コネクタ 243">
          <a:extLst>
            <a:ext uri="{FF2B5EF4-FFF2-40B4-BE49-F238E27FC236}">
              <a16:creationId xmlns:a16="http://schemas.microsoft.com/office/drawing/2014/main" id="{5408EAF0-47AA-45E6-8622-56A72672903B}"/>
            </a:ext>
          </a:extLst>
        </xdr:cNvPr>
        <xdr:cNvCxnSpPr>
          <a:cxnSpLocks/>
          <a:stCxn id="245" idx="3"/>
          <a:endCxn id="253" idx="1"/>
        </xdr:cNvCxnSpPr>
      </xdr:nvCxnSpPr>
      <xdr:spPr>
        <a:xfrm>
          <a:off x="2509859" y="69846237"/>
          <a:ext cx="251804" cy="1055"/>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107654</xdr:colOff>
      <xdr:row>407</xdr:row>
      <xdr:rowOff>13233</xdr:rowOff>
    </xdr:from>
    <xdr:to>
      <xdr:col>10</xdr:col>
      <xdr:colOff>281009</xdr:colOff>
      <xdr:row>407</xdr:row>
      <xdr:rowOff>118940</xdr:rowOff>
    </xdr:to>
    <xdr:sp macro="" textlink="">
      <xdr:nvSpPr>
        <xdr:cNvPr id="245" name="正方形/長方形 244">
          <a:extLst>
            <a:ext uri="{FF2B5EF4-FFF2-40B4-BE49-F238E27FC236}">
              <a16:creationId xmlns:a16="http://schemas.microsoft.com/office/drawing/2014/main" id="{3529B4CF-D91E-4754-89F7-8241D7A6ACAF}"/>
            </a:ext>
          </a:extLst>
        </xdr:cNvPr>
        <xdr:cNvSpPr/>
      </xdr:nvSpPr>
      <xdr:spPr>
        <a:xfrm>
          <a:off x="2393654" y="69793383"/>
          <a:ext cx="116205" cy="10570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21981</xdr:colOff>
      <xdr:row>407</xdr:row>
      <xdr:rowOff>14654</xdr:rowOff>
    </xdr:from>
    <xdr:to>
      <xdr:col>20</xdr:col>
      <xdr:colOff>199146</xdr:colOff>
      <xdr:row>407</xdr:row>
      <xdr:rowOff>116551</xdr:rowOff>
    </xdr:to>
    <xdr:sp macro="" textlink="">
      <xdr:nvSpPr>
        <xdr:cNvPr id="246" name="正方形/長方形 245">
          <a:extLst>
            <a:ext uri="{FF2B5EF4-FFF2-40B4-BE49-F238E27FC236}">
              <a16:creationId xmlns:a16="http://schemas.microsoft.com/office/drawing/2014/main" id="{AF4FCCE8-43C8-4367-8564-6425443620FE}"/>
            </a:ext>
          </a:extLst>
        </xdr:cNvPr>
        <xdr:cNvSpPr/>
      </xdr:nvSpPr>
      <xdr:spPr>
        <a:xfrm>
          <a:off x="4593981" y="69794804"/>
          <a:ext cx="17716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18757</xdr:colOff>
      <xdr:row>407</xdr:row>
      <xdr:rowOff>20242</xdr:rowOff>
    </xdr:from>
    <xdr:to>
      <xdr:col>22</xdr:col>
      <xdr:colOff>192112</xdr:colOff>
      <xdr:row>407</xdr:row>
      <xdr:rowOff>122139</xdr:rowOff>
    </xdr:to>
    <xdr:sp macro="" textlink="">
      <xdr:nvSpPr>
        <xdr:cNvPr id="247" name="正方形/長方形 246">
          <a:extLst>
            <a:ext uri="{FF2B5EF4-FFF2-40B4-BE49-F238E27FC236}">
              <a16:creationId xmlns:a16="http://schemas.microsoft.com/office/drawing/2014/main" id="{1C160991-1815-421B-AF73-0BB5629CA233}"/>
            </a:ext>
          </a:extLst>
        </xdr:cNvPr>
        <xdr:cNvSpPr/>
      </xdr:nvSpPr>
      <xdr:spPr>
        <a:xfrm>
          <a:off x="5047957" y="69800392"/>
          <a:ext cx="17335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18758</xdr:colOff>
      <xdr:row>407</xdr:row>
      <xdr:rowOff>9232</xdr:rowOff>
    </xdr:from>
    <xdr:to>
      <xdr:col>33</xdr:col>
      <xdr:colOff>182588</xdr:colOff>
      <xdr:row>407</xdr:row>
      <xdr:rowOff>103509</xdr:rowOff>
    </xdr:to>
    <xdr:sp macro="" textlink="">
      <xdr:nvSpPr>
        <xdr:cNvPr id="248" name="正方形/長方形 247">
          <a:extLst>
            <a:ext uri="{FF2B5EF4-FFF2-40B4-BE49-F238E27FC236}">
              <a16:creationId xmlns:a16="http://schemas.microsoft.com/office/drawing/2014/main" id="{4B8488F4-AB91-4525-A36B-BF4A381B9C15}"/>
            </a:ext>
          </a:extLst>
        </xdr:cNvPr>
        <xdr:cNvSpPr/>
      </xdr:nvSpPr>
      <xdr:spPr>
        <a:xfrm>
          <a:off x="7562558" y="69789382"/>
          <a:ext cx="163830"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27402</xdr:colOff>
      <xdr:row>407</xdr:row>
      <xdr:rowOff>11137</xdr:rowOff>
    </xdr:from>
    <xdr:to>
      <xdr:col>29</xdr:col>
      <xdr:colOff>200757</xdr:colOff>
      <xdr:row>407</xdr:row>
      <xdr:rowOff>105414</xdr:rowOff>
    </xdr:to>
    <xdr:sp macro="" textlink="">
      <xdr:nvSpPr>
        <xdr:cNvPr id="249" name="正方形/長方形 248">
          <a:extLst>
            <a:ext uri="{FF2B5EF4-FFF2-40B4-BE49-F238E27FC236}">
              <a16:creationId xmlns:a16="http://schemas.microsoft.com/office/drawing/2014/main" id="{4D01102F-FBC3-4501-8A12-68607CD3E764}"/>
            </a:ext>
          </a:extLst>
        </xdr:cNvPr>
        <xdr:cNvSpPr/>
      </xdr:nvSpPr>
      <xdr:spPr>
        <a:xfrm>
          <a:off x="6656802" y="69791287"/>
          <a:ext cx="17335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409</xdr:row>
      <xdr:rowOff>14655</xdr:rowOff>
    </xdr:from>
    <xdr:to>
      <xdr:col>29</xdr:col>
      <xdr:colOff>198853</xdr:colOff>
      <xdr:row>409</xdr:row>
      <xdr:rowOff>112742</xdr:rowOff>
    </xdr:to>
    <xdr:sp macro="" textlink="">
      <xdr:nvSpPr>
        <xdr:cNvPr id="250" name="正方形/長方形 249">
          <a:extLst>
            <a:ext uri="{FF2B5EF4-FFF2-40B4-BE49-F238E27FC236}">
              <a16:creationId xmlns:a16="http://schemas.microsoft.com/office/drawing/2014/main" id="{05C71B75-77F9-4FF0-BE47-4CFB08ACB9D5}"/>
            </a:ext>
          </a:extLst>
        </xdr:cNvPr>
        <xdr:cNvSpPr/>
      </xdr:nvSpPr>
      <xdr:spPr>
        <a:xfrm>
          <a:off x="6658708" y="7013770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13336</xdr:colOff>
      <xdr:row>408</xdr:row>
      <xdr:rowOff>21980</xdr:rowOff>
    </xdr:from>
    <xdr:to>
      <xdr:col>33</xdr:col>
      <xdr:colOff>171451</xdr:colOff>
      <xdr:row>408</xdr:row>
      <xdr:rowOff>123877</xdr:rowOff>
    </xdr:to>
    <xdr:sp macro="" textlink="">
      <xdr:nvSpPr>
        <xdr:cNvPr id="251" name="正方形/長方形 250">
          <a:extLst>
            <a:ext uri="{FF2B5EF4-FFF2-40B4-BE49-F238E27FC236}">
              <a16:creationId xmlns:a16="http://schemas.microsoft.com/office/drawing/2014/main" id="{A5571370-01D3-49AC-B304-C2C3EAB6C81B}"/>
            </a:ext>
          </a:extLst>
        </xdr:cNvPr>
        <xdr:cNvSpPr/>
      </xdr:nvSpPr>
      <xdr:spPr>
        <a:xfrm>
          <a:off x="7557136" y="69973580"/>
          <a:ext cx="158115" cy="10189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200757</xdr:colOff>
      <xdr:row>407</xdr:row>
      <xdr:rowOff>56371</xdr:rowOff>
    </xdr:from>
    <xdr:to>
      <xdr:col>33</xdr:col>
      <xdr:colOff>18758</xdr:colOff>
      <xdr:row>407</xdr:row>
      <xdr:rowOff>58276</xdr:rowOff>
    </xdr:to>
    <xdr:cxnSp macro="">
      <xdr:nvCxnSpPr>
        <xdr:cNvPr id="252" name="直線コネクタ 251">
          <a:extLst>
            <a:ext uri="{FF2B5EF4-FFF2-40B4-BE49-F238E27FC236}">
              <a16:creationId xmlns:a16="http://schemas.microsoft.com/office/drawing/2014/main" id="{03EB8D22-671C-4CA2-9E57-960323F95BD7}"/>
            </a:ext>
          </a:extLst>
        </xdr:cNvPr>
        <xdr:cNvCxnSpPr>
          <a:stCxn id="248" idx="1"/>
          <a:endCxn id="249" idx="3"/>
        </xdr:cNvCxnSpPr>
      </xdr:nvCxnSpPr>
      <xdr:spPr>
        <a:xfrm flipH="1">
          <a:off x="6830157" y="69836521"/>
          <a:ext cx="732401" cy="1905"/>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18463</xdr:colOff>
      <xdr:row>407</xdr:row>
      <xdr:rowOff>22861</xdr:rowOff>
    </xdr:from>
    <xdr:to>
      <xdr:col>12</xdr:col>
      <xdr:colOff>191818</xdr:colOff>
      <xdr:row>407</xdr:row>
      <xdr:rowOff>111423</xdr:rowOff>
    </xdr:to>
    <xdr:sp macro="" textlink="">
      <xdr:nvSpPr>
        <xdr:cNvPr id="253" name="正方形/長方形 252">
          <a:extLst>
            <a:ext uri="{FF2B5EF4-FFF2-40B4-BE49-F238E27FC236}">
              <a16:creationId xmlns:a16="http://schemas.microsoft.com/office/drawing/2014/main" id="{1FA37EC3-AB78-4737-A027-273885C6BD1E}"/>
            </a:ext>
          </a:extLst>
        </xdr:cNvPr>
        <xdr:cNvSpPr/>
      </xdr:nvSpPr>
      <xdr:spPr>
        <a:xfrm>
          <a:off x="2761663" y="69803011"/>
          <a:ext cx="173355" cy="8856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21981</xdr:colOff>
      <xdr:row>408</xdr:row>
      <xdr:rowOff>23885</xdr:rowOff>
    </xdr:from>
    <xdr:to>
      <xdr:col>22</xdr:col>
      <xdr:colOff>191526</xdr:colOff>
      <xdr:row>408</xdr:row>
      <xdr:rowOff>127688</xdr:rowOff>
    </xdr:to>
    <xdr:sp macro="" textlink="">
      <xdr:nvSpPr>
        <xdr:cNvPr id="254" name="正方形/長方形 253">
          <a:extLst>
            <a:ext uri="{FF2B5EF4-FFF2-40B4-BE49-F238E27FC236}">
              <a16:creationId xmlns:a16="http://schemas.microsoft.com/office/drawing/2014/main" id="{D26139A5-312C-43F0-8AE4-9DE86B4785A9}"/>
            </a:ext>
          </a:extLst>
        </xdr:cNvPr>
        <xdr:cNvSpPr/>
      </xdr:nvSpPr>
      <xdr:spPr>
        <a:xfrm>
          <a:off x="5051181" y="6997548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21981</xdr:colOff>
      <xdr:row>408</xdr:row>
      <xdr:rowOff>29308</xdr:rowOff>
    </xdr:from>
    <xdr:to>
      <xdr:col>20</xdr:col>
      <xdr:colOff>210576</xdr:colOff>
      <xdr:row>408</xdr:row>
      <xdr:rowOff>121680</xdr:rowOff>
    </xdr:to>
    <xdr:sp macro="" textlink="">
      <xdr:nvSpPr>
        <xdr:cNvPr id="255" name="正方形/長方形 254">
          <a:extLst>
            <a:ext uri="{FF2B5EF4-FFF2-40B4-BE49-F238E27FC236}">
              <a16:creationId xmlns:a16="http://schemas.microsoft.com/office/drawing/2014/main" id="{85AF2286-DAF0-48E1-B773-6633BFF991EA}"/>
            </a:ext>
          </a:extLst>
        </xdr:cNvPr>
        <xdr:cNvSpPr/>
      </xdr:nvSpPr>
      <xdr:spPr>
        <a:xfrm>
          <a:off x="4593981" y="69980908"/>
          <a:ext cx="188595" cy="9237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206766</xdr:colOff>
      <xdr:row>408</xdr:row>
      <xdr:rowOff>75494</xdr:rowOff>
    </xdr:from>
    <xdr:to>
      <xdr:col>22</xdr:col>
      <xdr:colOff>18171</xdr:colOff>
      <xdr:row>408</xdr:row>
      <xdr:rowOff>75787</xdr:rowOff>
    </xdr:to>
    <xdr:cxnSp macro="">
      <xdr:nvCxnSpPr>
        <xdr:cNvPr id="256" name="直線コネクタ 255">
          <a:extLst>
            <a:ext uri="{FF2B5EF4-FFF2-40B4-BE49-F238E27FC236}">
              <a16:creationId xmlns:a16="http://schemas.microsoft.com/office/drawing/2014/main" id="{55612D1B-639F-4934-9853-80EAFDA61FC0}"/>
            </a:ext>
          </a:extLst>
        </xdr:cNvPr>
        <xdr:cNvCxnSpPr>
          <a:cxnSpLocks/>
          <a:stCxn id="255" idx="3"/>
          <a:endCxn id="254" idx="1"/>
        </xdr:cNvCxnSpPr>
      </xdr:nvCxnSpPr>
      <xdr:spPr>
        <a:xfrm>
          <a:off x="4778766" y="70027094"/>
          <a:ext cx="268605" cy="293"/>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198853</xdr:colOff>
      <xdr:row>408</xdr:row>
      <xdr:rowOff>72929</xdr:rowOff>
    </xdr:from>
    <xdr:to>
      <xdr:col>33</xdr:col>
      <xdr:colOff>13336</xdr:colOff>
      <xdr:row>409</xdr:row>
      <xdr:rowOff>63699</xdr:rowOff>
    </xdr:to>
    <xdr:cxnSp macro="">
      <xdr:nvCxnSpPr>
        <xdr:cNvPr id="257" name="直線コネクタ 31">
          <a:extLst>
            <a:ext uri="{FF2B5EF4-FFF2-40B4-BE49-F238E27FC236}">
              <a16:creationId xmlns:a16="http://schemas.microsoft.com/office/drawing/2014/main" id="{BB290B7D-2B1A-4CA8-A111-225112481CEF}"/>
            </a:ext>
          </a:extLst>
        </xdr:cNvPr>
        <xdr:cNvCxnSpPr>
          <a:stCxn id="250" idx="3"/>
          <a:endCxn id="251" idx="1"/>
        </xdr:cNvCxnSpPr>
      </xdr:nvCxnSpPr>
      <xdr:spPr>
        <a:xfrm flipV="1">
          <a:off x="6828253" y="70024529"/>
          <a:ext cx="728883" cy="162220"/>
        </a:xfrm>
        <a:prstGeom prst="bentConnector3">
          <a:avLst>
            <a:gd name="adj1" fmla="val 50000"/>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18757</xdr:colOff>
      <xdr:row>418</xdr:row>
      <xdr:rowOff>20242</xdr:rowOff>
    </xdr:from>
    <xdr:to>
      <xdr:col>22</xdr:col>
      <xdr:colOff>192112</xdr:colOff>
      <xdr:row>418</xdr:row>
      <xdr:rowOff>122139</xdr:rowOff>
    </xdr:to>
    <xdr:sp macro="" textlink="">
      <xdr:nvSpPr>
        <xdr:cNvPr id="258" name="正方形/長方形 257">
          <a:extLst>
            <a:ext uri="{FF2B5EF4-FFF2-40B4-BE49-F238E27FC236}">
              <a16:creationId xmlns:a16="http://schemas.microsoft.com/office/drawing/2014/main" id="{CA379D51-94BF-4E24-9AA2-DAFC3E0153A3}"/>
            </a:ext>
          </a:extLst>
        </xdr:cNvPr>
        <xdr:cNvSpPr/>
      </xdr:nvSpPr>
      <xdr:spPr>
        <a:xfrm>
          <a:off x="5047957" y="71686342"/>
          <a:ext cx="17335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18758</xdr:colOff>
      <xdr:row>418</xdr:row>
      <xdr:rowOff>9232</xdr:rowOff>
    </xdr:from>
    <xdr:to>
      <xdr:col>33</xdr:col>
      <xdr:colOff>182588</xdr:colOff>
      <xdr:row>418</xdr:row>
      <xdr:rowOff>103509</xdr:rowOff>
    </xdr:to>
    <xdr:sp macro="" textlink="">
      <xdr:nvSpPr>
        <xdr:cNvPr id="259" name="正方形/長方形 258">
          <a:extLst>
            <a:ext uri="{FF2B5EF4-FFF2-40B4-BE49-F238E27FC236}">
              <a16:creationId xmlns:a16="http://schemas.microsoft.com/office/drawing/2014/main" id="{8690F765-C58A-446D-A177-23B41F2C8CBF}"/>
            </a:ext>
          </a:extLst>
        </xdr:cNvPr>
        <xdr:cNvSpPr/>
      </xdr:nvSpPr>
      <xdr:spPr>
        <a:xfrm>
          <a:off x="7562558" y="71675332"/>
          <a:ext cx="163830"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27402</xdr:colOff>
      <xdr:row>418</xdr:row>
      <xdr:rowOff>11137</xdr:rowOff>
    </xdr:from>
    <xdr:to>
      <xdr:col>29</xdr:col>
      <xdr:colOff>200757</xdr:colOff>
      <xdr:row>418</xdr:row>
      <xdr:rowOff>105414</xdr:rowOff>
    </xdr:to>
    <xdr:sp macro="" textlink="">
      <xdr:nvSpPr>
        <xdr:cNvPr id="260" name="正方形/長方形 259">
          <a:extLst>
            <a:ext uri="{FF2B5EF4-FFF2-40B4-BE49-F238E27FC236}">
              <a16:creationId xmlns:a16="http://schemas.microsoft.com/office/drawing/2014/main" id="{AACE1506-2F94-4D28-916C-01B8C0D400CB}"/>
            </a:ext>
          </a:extLst>
        </xdr:cNvPr>
        <xdr:cNvSpPr/>
      </xdr:nvSpPr>
      <xdr:spPr>
        <a:xfrm>
          <a:off x="6656802" y="71677237"/>
          <a:ext cx="17335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420</xdr:row>
      <xdr:rowOff>14655</xdr:rowOff>
    </xdr:from>
    <xdr:to>
      <xdr:col>29</xdr:col>
      <xdr:colOff>198853</xdr:colOff>
      <xdr:row>420</xdr:row>
      <xdr:rowOff>112742</xdr:rowOff>
    </xdr:to>
    <xdr:sp macro="" textlink="">
      <xdr:nvSpPr>
        <xdr:cNvPr id="261" name="正方形/長方形 260">
          <a:extLst>
            <a:ext uri="{FF2B5EF4-FFF2-40B4-BE49-F238E27FC236}">
              <a16:creationId xmlns:a16="http://schemas.microsoft.com/office/drawing/2014/main" id="{07A0B6BC-49A6-4AC7-9266-BACEF017D25C}"/>
            </a:ext>
          </a:extLst>
        </xdr:cNvPr>
        <xdr:cNvSpPr/>
      </xdr:nvSpPr>
      <xdr:spPr>
        <a:xfrm>
          <a:off x="6658708" y="7202365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13336</xdr:colOff>
      <xdr:row>419</xdr:row>
      <xdr:rowOff>21980</xdr:rowOff>
    </xdr:from>
    <xdr:to>
      <xdr:col>33</xdr:col>
      <xdr:colOff>171451</xdr:colOff>
      <xdr:row>419</xdr:row>
      <xdr:rowOff>123877</xdr:rowOff>
    </xdr:to>
    <xdr:sp macro="" textlink="">
      <xdr:nvSpPr>
        <xdr:cNvPr id="262" name="正方形/長方形 261">
          <a:extLst>
            <a:ext uri="{FF2B5EF4-FFF2-40B4-BE49-F238E27FC236}">
              <a16:creationId xmlns:a16="http://schemas.microsoft.com/office/drawing/2014/main" id="{BD7C4EEC-71A2-44CD-BBA2-C0C36E155197}"/>
            </a:ext>
          </a:extLst>
        </xdr:cNvPr>
        <xdr:cNvSpPr/>
      </xdr:nvSpPr>
      <xdr:spPr>
        <a:xfrm>
          <a:off x="7557136" y="71859530"/>
          <a:ext cx="158115" cy="10189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200757</xdr:colOff>
      <xdr:row>418</xdr:row>
      <xdr:rowOff>56371</xdr:rowOff>
    </xdr:from>
    <xdr:to>
      <xdr:col>33</xdr:col>
      <xdr:colOff>18758</xdr:colOff>
      <xdr:row>418</xdr:row>
      <xdr:rowOff>58276</xdr:rowOff>
    </xdr:to>
    <xdr:cxnSp macro="">
      <xdr:nvCxnSpPr>
        <xdr:cNvPr id="263" name="直線コネクタ 262">
          <a:extLst>
            <a:ext uri="{FF2B5EF4-FFF2-40B4-BE49-F238E27FC236}">
              <a16:creationId xmlns:a16="http://schemas.microsoft.com/office/drawing/2014/main" id="{17EDDE7E-251C-41C4-A1F8-E6B8A0D036BD}"/>
            </a:ext>
          </a:extLst>
        </xdr:cNvPr>
        <xdr:cNvCxnSpPr>
          <a:stCxn id="259" idx="1"/>
          <a:endCxn id="260" idx="3"/>
        </xdr:cNvCxnSpPr>
      </xdr:nvCxnSpPr>
      <xdr:spPr>
        <a:xfrm flipH="1">
          <a:off x="6830157" y="71722471"/>
          <a:ext cx="732401" cy="1905"/>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21981</xdr:colOff>
      <xdr:row>419</xdr:row>
      <xdr:rowOff>23885</xdr:rowOff>
    </xdr:from>
    <xdr:to>
      <xdr:col>22</xdr:col>
      <xdr:colOff>191526</xdr:colOff>
      <xdr:row>419</xdr:row>
      <xdr:rowOff>127688</xdr:rowOff>
    </xdr:to>
    <xdr:sp macro="" textlink="">
      <xdr:nvSpPr>
        <xdr:cNvPr id="264" name="正方形/長方形 263">
          <a:extLst>
            <a:ext uri="{FF2B5EF4-FFF2-40B4-BE49-F238E27FC236}">
              <a16:creationId xmlns:a16="http://schemas.microsoft.com/office/drawing/2014/main" id="{ECEFD1BC-A4CF-4A9B-829C-D542EDD4268B}"/>
            </a:ext>
          </a:extLst>
        </xdr:cNvPr>
        <xdr:cNvSpPr/>
      </xdr:nvSpPr>
      <xdr:spPr>
        <a:xfrm>
          <a:off x="5051181" y="7186143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198853</xdr:colOff>
      <xdr:row>419</xdr:row>
      <xdr:rowOff>72929</xdr:rowOff>
    </xdr:from>
    <xdr:to>
      <xdr:col>33</xdr:col>
      <xdr:colOff>13336</xdr:colOff>
      <xdr:row>420</xdr:row>
      <xdr:rowOff>63699</xdr:rowOff>
    </xdr:to>
    <xdr:cxnSp macro="">
      <xdr:nvCxnSpPr>
        <xdr:cNvPr id="265" name="直線コネクタ 31">
          <a:extLst>
            <a:ext uri="{FF2B5EF4-FFF2-40B4-BE49-F238E27FC236}">
              <a16:creationId xmlns:a16="http://schemas.microsoft.com/office/drawing/2014/main" id="{2305E344-2DC1-4D54-B020-0A55E6A28C93}"/>
            </a:ext>
          </a:extLst>
        </xdr:cNvPr>
        <xdr:cNvCxnSpPr>
          <a:stCxn id="261" idx="3"/>
          <a:endCxn id="262" idx="1"/>
        </xdr:cNvCxnSpPr>
      </xdr:nvCxnSpPr>
      <xdr:spPr>
        <a:xfrm flipV="1">
          <a:off x="6828253" y="71910479"/>
          <a:ext cx="728883" cy="162220"/>
        </a:xfrm>
        <a:prstGeom prst="bentConnector3">
          <a:avLst>
            <a:gd name="adj1" fmla="val 70233"/>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199146</xdr:colOff>
      <xdr:row>407</xdr:row>
      <xdr:rowOff>65604</xdr:rowOff>
    </xdr:from>
    <xdr:to>
      <xdr:col>22</xdr:col>
      <xdr:colOff>18757</xdr:colOff>
      <xdr:row>418</xdr:row>
      <xdr:rowOff>71192</xdr:rowOff>
    </xdr:to>
    <xdr:cxnSp macro="">
      <xdr:nvCxnSpPr>
        <xdr:cNvPr id="266" name="直線コネクタ 31">
          <a:extLst>
            <a:ext uri="{FF2B5EF4-FFF2-40B4-BE49-F238E27FC236}">
              <a16:creationId xmlns:a16="http://schemas.microsoft.com/office/drawing/2014/main" id="{58A5EE77-456C-4339-8FB5-5BE0F561ABDB}"/>
            </a:ext>
          </a:extLst>
        </xdr:cNvPr>
        <xdr:cNvCxnSpPr>
          <a:stCxn id="258" idx="1"/>
          <a:endCxn id="246" idx="3"/>
        </xdr:cNvCxnSpPr>
      </xdr:nvCxnSpPr>
      <xdr:spPr>
        <a:xfrm rot="10800000">
          <a:off x="4771146" y="69845754"/>
          <a:ext cx="276811" cy="1891538"/>
        </a:xfrm>
        <a:prstGeom prst="bentConnector3">
          <a:avLst>
            <a:gd name="adj1" fmla="val 30155"/>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201051</xdr:colOff>
      <xdr:row>407</xdr:row>
      <xdr:rowOff>67508</xdr:rowOff>
    </xdr:from>
    <xdr:to>
      <xdr:col>22</xdr:col>
      <xdr:colOff>22567</xdr:colOff>
      <xdr:row>407</xdr:row>
      <xdr:rowOff>70238</xdr:rowOff>
    </xdr:to>
    <xdr:cxnSp macro="">
      <xdr:nvCxnSpPr>
        <xdr:cNvPr id="267" name="直線コネクタ 266">
          <a:extLst>
            <a:ext uri="{FF2B5EF4-FFF2-40B4-BE49-F238E27FC236}">
              <a16:creationId xmlns:a16="http://schemas.microsoft.com/office/drawing/2014/main" id="{9382C92C-7B7C-4E32-85D0-8B239EE5917E}"/>
            </a:ext>
          </a:extLst>
        </xdr:cNvPr>
        <xdr:cNvCxnSpPr>
          <a:cxnSpLocks/>
          <a:stCxn id="246" idx="3"/>
          <a:endCxn id="247" idx="1"/>
        </xdr:cNvCxnSpPr>
      </xdr:nvCxnSpPr>
      <xdr:spPr>
        <a:xfrm>
          <a:off x="4773051" y="69847658"/>
          <a:ext cx="278716" cy="2730"/>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136071</xdr:colOff>
      <xdr:row>417</xdr:row>
      <xdr:rowOff>54428</xdr:rowOff>
    </xdr:from>
    <xdr:to>
      <xdr:col>11</xdr:col>
      <xdr:colOff>26306</xdr:colOff>
      <xdr:row>435</xdr:row>
      <xdr:rowOff>129268</xdr:rowOff>
    </xdr:to>
    <xdr:sp macro="" textlink="">
      <xdr:nvSpPr>
        <xdr:cNvPr id="268" name="テキスト ボックス 267">
          <a:extLst>
            <a:ext uri="{FF2B5EF4-FFF2-40B4-BE49-F238E27FC236}">
              <a16:creationId xmlns:a16="http://schemas.microsoft.com/office/drawing/2014/main" id="{814E8912-AEE7-4A8E-BCDF-E0AD89321468}"/>
            </a:ext>
          </a:extLst>
        </xdr:cNvPr>
        <xdr:cNvSpPr txBox="1"/>
      </xdr:nvSpPr>
      <xdr:spPr>
        <a:xfrm>
          <a:off x="364671" y="71549078"/>
          <a:ext cx="2176235" cy="3160940"/>
        </a:xfrm>
        <a:prstGeom prst="rect">
          <a:avLst/>
        </a:prstGeom>
        <a:solidFill>
          <a:srgbClr val="FFFFC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lstStyle/>
        <a:p>
          <a:r>
            <a:rPr kumimoji="1" lang="en-US" altLang="ja-JP" sz="900">
              <a:latin typeface="ＭＳ ゴシック" panose="020B0609070205080204" pitchFamily="49" charset="-128"/>
              <a:ea typeface="ＭＳ ゴシック" panose="020B0609070205080204" pitchFamily="49" charset="-128"/>
            </a:rPr>
            <a:t>【</a:t>
          </a:r>
          <a:r>
            <a:rPr kumimoji="1" lang="ja-JP" altLang="en-US" sz="900">
              <a:latin typeface="ＭＳ ゴシック" panose="020B0609070205080204" pitchFamily="49" charset="-128"/>
              <a:ea typeface="ＭＳ ゴシック" panose="020B0609070205080204" pitchFamily="49" charset="-128"/>
            </a:rPr>
            <a:t>ジャーナル印字イメージ</a:t>
          </a:r>
          <a:r>
            <a:rPr kumimoji="1" lang="en-US" altLang="ja-JP" sz="900">
              <a:latin typeface="ＭＳ ゴシック" panose="020B0609070205080204" pitchFamily="49" charset="-128"/>
              <a:ea typeface="ＭＳ ゴシック" panose="020B0609070205080204" pitchFamily="49" charset="-128"/>
            </a:rPr>
            <a:t>】</a:t>
          </a:r>
        </a:p>
        <a:p>
          <a:r>
            <a:rPr kumimoji="1" lang="ja-JP" altLang="en-US" sz="900">
              <a:latin typeface="ＭＳ ゴシック" panose="020B0609070205080204" pitchFamily="49" charset="-128"/>
              <a:ea typeface="ＭＳ ゴシック" panose="020B0609070205080204" pitchFamily="49" charset="-128"/>
            </a:rPr>
            <a:t> </a:t>
          </a:r>
          <a:r>
            <a:rPr kumimoji="1" lang="en-US" altLang="ja-JP" sz="900">
              <a:latin typeface="ＭＳ ゴシック" panose="020B0609070205080204" pitchFamily="49" charset="-128"/>
              <a:ea typeface="ＭＳ ゴシック" panose="020B0609070205080204" pitchFamily="49" charset="-128"/>
            </a:rPr>
            <a:t>2024</a:t>
          </a:r>
          <a:r>
            <a:rPr kumimoji="1" lang="ja-JP" altLang="en-US" sz="900">
              <a:latin typeface="ＭＳ ゴシック" panose="020B0609070205080204" pitchFamily="49" charset="-128"/>
              <a:ea typeface="ＭＳ ゴシック" panose="020B0609070205080204" pitchFamily="49" charset="-128"/>
            </a:rPr>
            <a:t>年</a:t>
          </a:r>
          <a:r>
            <a:rPr kumimoji="1" lang="en-US" altLang="ja-JP" sz="900">
              <a:latin typeface="ＭＳ ゴシック" panose="020B0609070205080204" pitchFamily="49" charset="-128"/>
              <a:ea typeface="ＭＳ ゴシック" panose="020B0609070205080204" pitchFamily="49" charset="-128"/>
            </a:rPr>
            <a:t>10</a:t>
          </a:r>
          <a:r>
            <a:rPr kumimoji="1" lang="ja-JP" altLang="en-US" sz="900">
              <a:latin typeface="ＭＳ ゴシック" panose="020B0609070205080204" pitchFamily="49" charset="-128"/>
              <a:ea typeface="ＭＳ ゴシック" panose="020B0609070205080204" pitchFamily="49" charset="-128"/>
            </a:rPr>
            <a:t>月</a:t>
          </a:r>
          <a:r>
            <a:rPr kumimoji="1" lang="en-US" altLang="ja-JP" sz="900">
              <a:latin typeface="ＭＳ ゴシック" panose="020B0609070205080204" pitchFamily="49" charset="-128"/>
              <a:ea typeface="ＭＳ ゴシック" panose="020B0609070205080204" pitchFamily="49" charset="-128"/>
            </a:rPr>
            <a:t>22</a:t>
          </a:r>
          <a:r>
            <a:rPr kumimoji="1" lang="ja-JP" altLang="en-US" sz="900">
              <a:latin typeface="ＭＳ ゴシック" panose="020B0609070205080204" pitchFamily="49" charset="-128"/>
              <a:ea typeface="ＭＳ ゴシック" panose="020B0609070205080204" pitchFamily="49" charset="-128"/>
            </a:rPr>
            <a:t>日（火） </a:t>
          </a:r>
          <a:r>
            <a:rPr kumimoji="1" lang="en-US" altLang="ja-JP" sz="900">
              <a:latin typeface="ＭＳ ゴシック" panose="020B0609070205080204" pitchFamily="49" charset="-128"/>
              <a:ea typeface="ＭＳ ゴシック" panose="020B0609070205080204" pitchFamily="49" charset="-128"/>
            </a:rPr>
            <a:t>12:25     </a:t>
          </a:r>
        </a:p>
        <a:p>
          <a:r>
            <a:rPr kumimoji="1" lang="en-US" altLang="ja-JP" sz="900">
              <a:latin typeface="ＭＳ ゴシック" panose="020B0609070205080204" pitchFamily="49" charset="-128"/>
              <a:ea typeface="ＭＳ ゴシック" panose="020B0609070205080204" pitchFamily="49" charset="-128"/>
            </a:rPr>
            <a:t>  A01 x</a:t>
          </a:r>
          <a:r>
            <a:rPr kumimoji="1" lang="ja-JP" altLang="en-US" sz="900">
              <a:latin typeface="ＭＳ ゴシック" panose="020B0609070205080204" pitchFamily="49" charset="-128"/>
              <a:ea typeface="ＭＳ ゴシック" panose="020B0609070205080204" pitchFamily="49" charset="-128"/>
            </a:rPr>
            <a:t>商品Ｎ                   </a:t>
          </a:r>
        </a:p>
        <a:p>
          <a:r>
            <a:rPr kumimoji="1" lang="ja-JP" altLang="en-US" sz="900">
              <a:latin typeface="ＭＳ ゴシック" panose="020B0609070205080204" pitchFamily="49" charset="-128"/>
              <a:ea typeface="ＭＳ ゴシック" panose="020B0609070205080204" pitchFamily="49" charset="-128"/>
            </a:rPr>
            <a:t>   </a:t>
          </a:r>
          <a:r>
            <a:rPr kumimoji="1" lang="en-US" altLang="ja-JP" sz="900">
              <a:latin typeface="ＭＳ ゴシック" panose="020B0609070205080204" pitchFamily="49" charset="-128"/>
              <a:ea typeface="ＭＳ ゴシック" panose="020B0609070205080204" pitchFamily="49" charset="-128"/>
            </a:rPr>
            <a:t>4900000007343                </a:t>
          </a:r>
        </a:p>
        <a:p>
          <a:r>
            <a:rPr kumimoji="1" lang="en-US" altLang="ja-JP" sz="900">
              <a:latin typeface="ＭＳ ゴシック" panose="020B0609070205080204" pitchFamily="49" charset="-128"/>
              <a:ea typeface="ＭＳ ゴシック" panose="020B0609070205080204" pitchFamily="49" charset="-128"/>
            </a:rPr>
            <a:t>         \85   3</a:t>
          </a:r>
          <a:r>
            <a:rPr kumimoji="1" lang="ja-JP" altLang="en-US" sz="900">
              <a:latin typeface="ＭＳ ゴシック" panose="020B0609070205080204" pitchFamily="49" charset="-128"/>
              <a:ea typeface="ＭＳ ゴシック" panose="020B0609070205080204" pitchFamily="49" charset="-128"/>
            </a:rPr>
            <a:t>個         </a:t>
          </a:r>
          <a:r>
            <a:rPr kumimoji="1" lang="en-US" altLang="ja-JP" sz="900">
              <a:latin typeface="ＭＳ ゴシック" panose="020B0609070205080204" pitchFamily="49" charset="-128"/>
              <a:ea typeface="ＭＳ ゴシック" panose="020B0609070205080204" pitchFamily="49" charset="-128"/>
            </a:rPr>
            <a:t>\255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小計       </a:t>
          </a:r>
          <a:r>
            <a:rPr kumimoji="1" lang="en-US" altLang="ja-JP" sz="900">
              <a:latin typeface="ＭＳ ゴシック" panose="020B0609070205080204" pitchFamily="49" charset="-128"/>
              <a:ea typeface="ＭＳ ゴシック" panose="020B0609070205080204" pitchFamily="49" charset="-128"/>
            </a:rPr>
            <a:t>3</a:t>
          </a:r>
          <a:r>
            <a:rPr kumimoji="1" lang="ja-JP" altLang="en-US" sz="900">
              <a:latin typeface="ＭＳ ゴシック" panose="020B0609070205080204" pitchFamily="49" charset="-128"/>
              <a:ea typeface="ＭＳ ゴシック" panose="020B0609070205080204" pitchFamily="49" charset="-128"/>
            </a:rPr>
            <a:t>点            </a:t>
          </a:r>
          <a:r>
            <a:rPr kumimoji="1" lang="en-US" altLang="ja-JP" sz="900">
              <a:latin typeface="ＭＳ ゴシック" panose="020B0609070205080204" pitchFamily="49" charset="-128"/>
              <a:ea typeface="ＭＳ ゴシック" panose="020B0609070205080204" pitchFamily="49" charset="-128"/>
            </a:rPr>
            <a:t>\255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外税 </a:t>
          </a:r>
          <a:r>
            <a:rPr kumimoji="1" lang="en-US" altLang="ja-JP" sz="900">
              <a:latin typeface="ＭＳ ゴシック" panose="020B0609070205080204" pitchFamily="49" charset="-128"/>
              <a:ea typeface="ＭＳ ゴシック" panose="020B0609070205080204" pitchFamily="49" charset="-128"/>
            </a:rPr>
            <a:t>8.0%</a:t>
          </a:r>
          <a:r>
            <a:rPr kumimoji="1" lang="ja-JP" altLang="en-US" sz="900">
              <a:latin typeface="ＭＳ ゴシック" panose="020B0609070205080204" pitchFamily="49" charset="-128"/>
              <a:ea typeface="ＭＳ ゴシック" panose="020B0609070205080204" pitchFamily="49" charset="-128"/>
            </a:rPr>
            <a:t>対象額         </a:t>
          </a:r>
          <a:r>
            <a:rPr kumimoji="1" lang="en-US" altLang="ja-JP" sz="900">
              <a:latin typeface="ＭＳ ゴシック" panose="020B0609070205080204" pitchFamily="49" charset="-128"/>
              <a:ea typeface="ＭＳ ゴシック" panose="020B0609070205080204" pitchFamily="49" charset="-128"/>
            </a:rPr>
            <a:t>\255)</a:t>
          </a:r>
        </a:p>
        <a:p>
          <a:r>
            <a:rPr kumimoji="1" lang="en-US" altLang="ja-JP" sz="900">
              <a:latin typeface="ＭＳ ゴシック" panose="020B0609070205080204" pitchFamily="49" charset="-128"/>
              <a:ea typeface="ＭＳ ゴシック" panose="020B0609070205080204" pitchFamily="49" charset="-128"/>
            </a:rPr>
            <a:t>      8.0% </a:t>
          </a:r>
          <a:r>
            <a:rPr kumimoji="1" lang="ja-JP" altLang="en-US" sz="900">
              <a:latin typeface="ＭＳ ゴシック" panose="020B0609070205080204" pitchFamily="49" charset="-128"/>
              <a:ea typeface="ＭＳ ゴシック" panose="020B0609070205080204" pitchFamily="49" charset="-128"/>
            </a:rPr>
            <a:t>消費税等         </a:t>
          </a:r>
          <a:r>
            <a:rPr kumimoji="1" lang="en-US" altLang="ja-JP" sz="900">
              <a:latin typeface="ＭＳ ゴシック" panose="020B0609070205080204" pitchFamily="49" charset="-128"/>
              <a:ea typeface="ＭＳ ゴシック" panose="020B0609070205080204" pitchFamily="49" charset="-128"/>
            </a:rPr>
            <a:t>\20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外税額計                   </a:t>
          </a:r>
          <a:r>
            <a:rPr kumimoji="1" lang="en-US" altLang="ja-JP" sz="900">
              <a:latin typeface="ＭＳ ゴシック" panose="020B0609070205080204" pitchFamily="49" charset="-128"/>
              <a:ea typeface="ＭＳ ゴシック" panose="020B0609070205080204" pitchFamily="49" charset="-128"/>
            </a:rPr>
            <a:t>\20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税込小計                  </a:t>
          </a:r>
          <a:r>
            <a:rPr kumimoji="1" lang="en-US" altLang="ja-JP" sz="900">
              <a:latin typeface="ＭＳ ゴシック" panose="020B0609070205080204" pitchFamily="49" charset="-128"/>
              <a:ea typeface="ＭＳ ゴシック" panose="020B0609070205080204" pitchFamily="49" charset="-128"/>
            </a:rPr>
            <a:t>\275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税込 </a:t>
          </a:r>
          <a:r>
            <a:rPr kumimoji="1" lang="en-US" altLang="ja-JP" sz="900">
              <a:latin typeface="ＭＳ ゴシック" panose="020B0609070205080204" pitchFamily="49" charset="-128"/>
              <a:ea typeface="ＭＳ ゴシック" panose="020B0609070205080204" pitchFamily="49" charset="-128"/>
            </a:rPr>
            <a:t>8.0%</a:t>
          </a:r>
          <a:r>
            <a:rPr kumimoji="1" lang="ja-JP" altLang="en-US" sz="900">
              <a:latin typeface="ＭＳ ゴシック" panose="020B0609070205080204" pitchFamily="49" charset="-128"/>
              <a:ea typeface="ＭＳ ゴシック" panose="020B0609070205080204" pitchFamily="49" charset="-128"/>
            </a:rPr>
            <a:t>対象額         </a:t>
          </a:r>
          <a:r>
            <a:rPr kumimoji="1" lang="en-US" altLang="ja-JP" sz="900">
              <a:latin typeface="ＭＳ ゴシック" panose="020B0609070205080204" pitchFamily="49" charset="-128"/>
              <a:ea typeface="ＭＳ ゴシック" panose="020B0609070205080204" pitchFamily="49" charset="-128"/>
            </a:rPr>
            <a:t>\275)</a:t>
          </a:r>
        </a:p>
        <a:p>
          <a:r>
            <a:rPr kumimoji="1" lang="en-US" altLang="ja-JP" sz="900">
              <a:latin typeface="ＭＳ ゴシック" panose="020B0609070205080204" pitchFamily="49" charset="-128"/>
              <a:ea typeface="ＭＳ ゴシック" panose="020B0609070205080204" pitchFamily="49" charset="-128"/>
            </a:rPr>
            <a:t>      8.0% </a:t>
          </a:r>
          <a:r>
            <a:rPr kumimoji="1" lang="ja-JP" altLang="en-US" sz="900">
              <a:latin typeface="ＭＳ ゴシック" panose="020B0609070205080204" pitchFamily="49" charset="-128"/>
              <a:ea typeface="ＭＳ ゴシック" panose="020B0609070205080204" pitchFamily="49" charset="-128"/>
            </a:rPr>
            <a:t>消費税等         </a:t>
          </a:r>
          <a:r>
            <a:rPr kumimoji="1" lang="en-US" altLang="ja-JP" sz="900">
              <a:latin typeface="ＭＳ ゴシック" panose="020B0609070205080204" pitchFamily="49" charset="-128"/>
              <a:ea typeface="ＭＳ ゴシック" panose="020B0609070205080204" pitchFamily="49" charset="-128"/>
            </a:rPr>
            <a:t>\20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税額計                     </a:t>
          </a:r>
          <a:r>
            <a:rPr kumimoji="1" lang="en-US" altLang="ja-JP" sz="900">
              <a:latin typeface="ＭＳ ゴシック" panose="020B0609070205080204" pitchFamily="49" charset="-128"/>
              <a:ea typeface="ＭＳ ゴシック" panose="020B0609070205080204" pitchFamily="49" charset="-128"/>
            </a:rPr>
            <a:t>\20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a:t>
          </a:r>
          <a:r>
            <a:rPr kumimoji="1" lang="en-US" altLang="ja-JP" sz="900">
              <a:latin typeface="ＭＳ ゴシック" panose="020B0609070205080204" pitchFamily="49" charset="-128"/>
              <a:ea typeface="ＭＳ ゴシック" panose="020B0609070205080204" pitchFamily="49" charset="-128"/>
            </a:rPr>
            <a:t>x</a:t>
          </a:r>
          <a:r>
            <a:rPr kumimoji="1" lang="ja-JP" altLang="en-US" sz="900">
              <a:latin typeface="ＭＳ ゴシック" panose="020B0609070205080204" pitchFamily="49" charset="-128"/>
              <a:ea typeface="ＭＳ ゴシック" panose="020B0609070205080204" pitchFamily="49" charset="-128"/>
            </a:rPr>
            <a:t>」は軽減税率対象商品です    </a:t>
          </a:r>
        </a:p>
        <a:p>
          <a:r>
            <a:rPr kumimoji="1" lang="ja-JP" altLang="en-US" sz="900">
              <a:latin typeface="ＭＳ ゴシック" panose="020B0609070205080204" pitchFamily="49" charset="-128"/>
              <a:ea typeface="ＭＳ ゴシック" panose="020B0609070205080204" pitchFamily="49" charset="-128"/>
            </a:rPr>
            <a:t> 合計                  </a:t>
          </a:r>
          <a:r>
            <a:rPr kumimoji="1" lang="en-US" altLang="ja-JP" sz="900">
              <a:latin typeface="ＭＳ ゴシック" panose="020B0609070205080204" pitchFamily="49" charset="-128"/>
              <a:ea typeface="ＭＳ ゴシック" panose="020B0609070205080204" pitchFamily="49" charset="-128"/>
            </a:rPr>
            <a:t>\275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お預り                </a:t>
          </a:r>
          <a:r>
            <a:rPr kumimoji="1" lang="en-US" altLang="ja-JP" sz="900">
              <a:latin typeface="ＭＳ ゴシック" panose="020B0609070205080204" pitchFamily="49" charset="-128"/>
              <a:ea typeface="ＭＳ ゴシック" panose="020B0609070205080204" pitchFamily="49" charset="-128"/>
            </a:rPr>
            <a:t>\275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お釣り                    </a:t>
          </a:r>
          <a:r>
            <a:rPr kumimoji="1" lang="en-US" altLang="ja-JP" sz="900">
              <a:latin typeface="ＭＳ ゴシック" panose="020B0609070205080204" pitchFamily="49" charset="-128"/>
              <a:ea typeface="ＭＳ ゴシック" panose="020B0609070205080204" pitchFamily="49" charset="-128"/>
            </a:rPr>
            <a:t>\0   </a:t>
          </a:r>
        </a:p>
        <a:p>
          <a:endParaRPr kumimoji="1" lang="en-US" altLang="ja-JP" sz="900">
            <a:latin typeface="ＭＳ ゴシック" panose="020B0609070205080204" pitchFamily="49" charset="-128"/>
            <a:ea typeface="ＭＳ ゴシック" panose="020B0609070205080204" pitchFamily="49" charset="-128"/>
          </a:endParaRPr>
        </a:p>
      </xdr:txBody>
    </xdr:sp>
    <xdr:clientData/>
  </xdr:twoCellAnchor>
  <xdr:twoCellAnchor>
    <xdr:from>
      <xdr:col>20</xdr:col>
      <xdr:colOff>210576</xdr:colOff>
      <xdr:row>464</xdr:row>
      <xdr:rowOff>75494</xdr:rowOff>
    </xdr:from>
    <xdr:to>
      <xdr:col>22</xdr:col>
      <xdr:colOff>21981</xdr:colOff>
      <xdr:row>475</xdr:row>
      <xdr:rowOff>75787</xdr:rowOff>
    </xdr:to>
    <xdr:cxnSp macro="">
      <xdr:nvCxnSpPr>
        <xdr:cNvPr id="269" name="直線コネクタ 31">
          <a:extLst>
            <a:ext uri="{FF2B5EF4-FFF2-40B4-BE49-F238E27FC236}">
              <a16:creationId xmlns:a16="http://schemas.microsoft.com/office/drawing/2014/main" id="{628038D5-5440-4B3E-9542-4B4036412EB7}"/>
            </a:ext>
          </a:extLst>
        </xdr:cNvPr>
        <xdr:cNvCxnSpPr>
          <a:stCxn id="290" idx="1"/>
          <a:endCxn id="281" idx="3"/>
        </xdr:cNvCxnSpPr>
      </xdr:nvCxnSpPr>
      <xdr:spPr>
        <a:xfrm rot="10800000">
          <a:off x="4782576" y="79628294"/>
          <a:ext cx="268605" cy="1886243"/>
        </a:xfrm>
        <a:prstGeom prst="bentConnector3">
          <a:avLst>
            <a:gd name="adj1" fmla="val 67523"/>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281009</xdr:colOff>
      <xdr:row>463</xdr:row>
      <xdr:rowOff>66087</xdr:rowOff>
    </xdr:from>
    <xdr:to>
      <xdr:col>12</xdr:col>
      <xdr:colOff>18463</xdr:colOff>
      <xdr:row>463</xdr:row>
      <xdr:rowOff>67142</xdr:rowOff>
    </xdr:to>
    <xdr:cxnSp macro="">
      <xdr:nvCxnSpPr>
        <xdr:cNvPr id="270" name="直線コネクタ 269">
          <a:extLst>
            <a:ext uri="{FF2B5EF4-FFF2-40B4-BE49-F238E27FC236}">
              <a16:creationId xmlns:a16="http://schemas.microsoft.com/office/drawing/2014/main" id="{B3F1E513-F1C9-4759-8A80-754CBBE69369}"/>
            </a:ext>
          </a:extLst>
        </xdr:cNvPr>
        <xdr:cNvCxnSpPr>
          <a:cxnSpLocks/>
          <a:stCxn id="271" idx="3"/>
          <a:endCxn id="279" idx="1"/>
        </xdr:cNvCxnSpPr>
      </xdr:nvCxnSpPr>
      <xdr:spPr>
        <a:xfrm>
          <a:off x="2509859" y="79447437"/>
          <a:ext cx="251804" cy="1055"/>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107654</xdr:colOff>
      <xdr:row>463</xdr:row>
      <xdr:rowOff>13233</xdr:rowOff>
    </xdr:from>
    <xdr:to>
      <xdr:col>10</xdr:col>
      <xdr:colOff>281009</xdr:colOff>
      <xdr:row>463</xdr:row>
      <xdr:rowOff>118940</xdr:rowOff>
    </xdr:to>
    <xdr:sp macro="" textlink="">
      <xdr:nvSpPr>
        <xdr:cNvPr id="271" name="正方形/長方形 270">
          <a:extLst>
            <a:ext uri="{FF2B5EF4-FFF2-40B4-BE49-F238E27FC236}">
              <a16:creationId xmlns:a16="http://schemas.microsoft.com/office/drawing/2014/main" id="{8C8C5242-F617-4275-A015-828A9DE45DAD}"/>
            </a:ext>
          </a:extLst>
        </xdr:cNvPr>
        <xdr:cNvSpPr/>
      </xdr:nvSpPr>
      <xdr:spPr>
        <a:xfrm>
          <a:off x="2393654" y="79394583"/>
          <a:ext cx="116205" cy="10570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21981</xdr:colOff>
      <xdr:row>463</xdr:row>
      <xdr:rowOff>14654</xdr:rowOff>
    </xdr:from>
    <xdr:to>
      <xdr:col>20</xdr:col>
      <xdr:colOff>199146</xdr:colOff>
      <xdr:row>463</xdr:row>
      <xdr:rowOff>116551</xdr:rowOff>
    </xdr:to>
    <xdr:sp macro="" textlink="">
      <xdr:nvSpPr>
        <xdr:cNvPr id="272" name="正方形/長方形 271">
          <a:extLst>
            <a:ext uri="{FF2B5EF4-FFF2-40B4-BE49-F238E27FC236}">
              <a16:creationId xmlns:a16="http://schemas.microsoft.com/office/drawing/2014/main" id="{275D4B6F-5361-4A57-A143-34E006044B3C}"/>
            </a:ext>
          </a:extLst>
        </xdr:cNvPr>
        <xdr:cNvSpPr/>
      </xdr:nvSpPr>
      <xdr:spPr>
        <a:xfrm>
          <a:off x="4593981" y="79396004"/>
          <a:ext cx="17716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18757</xdr:colOff>
      <xdr:row>463</xdr:row>
      <xdr:rowOff>20242</xdr:rowOff>
    </xdr:from>
    <xdr:to>
      <xdr:col>22</xdr:col>
      <xdr:colOff>192112</xdr:colOff>
      <xdr:row>463</xdr:row>
      <xdr:rowOff>122139</xdr:rowOff>
    </xdr:to>
    <xdr:sp macro="" textlink="">
      <xdr:nvSpPr>
        <xdr:cNvPr id="273" name="正方形/長方形 272">
          <a:extLst>
            <a:ext uri="{FF2B5EF4-FFF2-40B4-BE49-F238E27FC236}">
              <a16:creationId xmlns:a16="http://schemas.microsoft.com/office/drawing/2014/main" id="{BBE7E0C0-940C-4D72-BEE9-B6449206754F}"/>
            </a:ext>
          </a:extLst>
        </xdr:cNvPr>
        <xdr:cNvSpPr/>
      </xdr:nvSpPr>
      <xdr:spPr>
        <a:xfrm>
          <a:off x="5047957" y="79401592"/>
          <a:ext cx="17335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18758</xdr:colOff>
      <xdr:row>463</xdr:row>
      <xdr:rowOff>9232</xdr:rowOff>
    </xdr:from>
    <xdr:to>
      <xdr:col>33</xdr:col>
      <xdr:colOff>182588</xdr:colOff>
      <xdr:row>463</xdr:row>
      <xdr:rowOff>103509</xdr:rowOff>
    </xdr:to>
    <xdr:sp macro="" textlink="">
      <xdr:nvSpPr>
        <xdr:cNvPr id="274" name="正方形/長方形 273">
          <a:extLst>
            <a:ext uri="{FF2B5EF4-FFF2-40B4-BE49-F238E27FC236}">
              <a16:creationId xmlns:a16="http://schemas.microsoft.com/office/drawing/2014/main" id="{F665F47B-7475-496B-9B5A-F2E3104E6B8E}"/>
            </a:ext>
          </a:extLst>
        </xdr:cNvPr>
        <xdr:cNvSpPr/>
      </xdr:nvSpPr>
      <xdr:spPr>
        <a:xfrm>
          <a:off x="7562558" y="79390582"/>
          <a:ext cx="163830"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27402</xdr:colOff>
      <xdr:row>463</xdr:row>
      <xdr:rowOff>11137</xdr:rowOff>
    </xdr:from>
    <xdr:to>
      <xdr:col>29</xdr:col>
      <xdr:colOff>200757</xdr:colOff>
      <xdr:row>463</xdr:row>
      <xdr:rowOff>105414</xdr:rowOff>
    </xdr:to>
    <xdr:sp macro="" textlink="">
      <xdr:nvSpPr>
        <xdr:cNvPr id="275" name="正方形/長方形 274">
          <a:extLst>
            <a:ext uri="{FF2B5EF4-FFF2-40B4-BE49-F238E27FC236}">
              <a16:creationId xmlns:a16="http://schemas.microsoft.com/office/drawing/2014/main" id="{CE9B3D9E-F0C5-4A89-A81E-F96774D4383E}"/>
            </a:ext>
          </a:extLst>
        </xdr:cNvPr>
        <xdr:cNvSpPr/>
      </xdr:nvSpPr>
      <xdr:spPr>
        <a:xfrm>
          <a:off x="6656802" y="79392487"/>
          <a:ext cx="17335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465</xdr:row>
      <xdr:rowOff>14655</xdr:rowOff>
    </xdr:from>
    <xdr:to>
      <xdr:col>29</xdr:col>
      <xdr:colOff>198853</xdr:colOff>
      <xdr:row>465</xdr:row>
      <xdr:rowOff>112742</xdr:rowOff>
    </xdr:to>
    <xdr:sp macro="" textlink="">
      <xdr:nvSpPr>
        <xdr:cNvPr id="276" name="正方形/長方形 275">
          <a:extLst>
            <a:ext uri="{FF2B5EF4-FFF2-40B4-BE49-F238E27FC236}">
              <a16:creationId xmlns:a16="http://schemas.microsoft.com/office/drawing/2014/main" id="{00292304-9F36-4FE6-9BC9-F2C6731668CE}"/>
            </a:ext>
          </a:extLst>
        </xdr:cNvPr>
        <xdr:cNvSpPr/>
      </xdr:nvSpPr>
      <xdr:spPr>
        <a:xfrm>
          <a:off x="6658708" y="7973890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13336</xdr:colOff>
      <xdr:row>464</xdr:row>
      <xdr:rowOff>21980</xdr:rowOff>
    </xdr:from>
    <xdr:to>
      <xdr:col>33</xdr:col>
      <xdr:colOff>171451</xdr:colOff>
      <xdr:row>464</xdr:row>
      <xdr:rowOff>123877</xdr:rowOff>
    </xdr:to>
    <xdr:sp macro="" textlink="">
      <xdr:nvSpPr>
        <xdr:cNvPr id="277" name="正方形/長方形 276">
          <a:extLst>
            <a:ext uri="{FF2B5EF4-FFF2-40B4-BE49-F238E27FC236}">
              <a16:creationId xmlns:a16="http://schemas.microsoft.com/office/drawing/2014/main" id="{163D35EA-51D3-4617-A020-F95B99D4A5F0}"/>
            </a:ext>
          </a:extLst>
        </xdr:cNvPr>
        <xdr:cNvSpPr/>
      </xdr:nvSpPr>
      <xdr:spPr>
        <a:xfrm>
          <a:off x="7557136" y="79574780"/>
          <a:ext cx="158115" cy="10189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200757</xdr:colOff>
      <xdr:row>463</xdr:row>
      <xdr:rowOff>56371</xdr:rowOff>
    </xdr:from>
    <xdr:to>
      <xdr:col>33</xdr:col>
      <xdr:colOff>18758</xdr:colOff>
      <xdr:row>463</xdr:row>
      <xdr:rowOff>58276</xdr:rowOff>
    </xdr:to>
    <xdr:cxnSp macro="">
      <xdr:nvCxnSpPr>
        <xdr:cNvPr id="278" name="直線コネクタ 277">
          <a:extLst>
            <a:ext uri="{FF2B5EF4-FFF2-40B4-BE49-F238E27FC236}">
              <a16:creationId xmlns:a16="http://schemas.microsoft.com/office/drawing/2014/main" id="{B3147E8B-3958-4101-B78E-2E79A8245953}"/>
            </a:ext>
          </a:extLst>
        </xdr:cNvPr>
        <xdr:cNvCxnSpPr>
          <a:stCxn id="274" idx="1"/>
          <a:endCxn id="275" idx="3"/>
        </xdr:cNvCxnSpPr>
      </xdr:nvCxnSpPr>
      <xdr:spPr>
        <a:xfrm flipH="1">
          <a:off x="6830157" y="79437721"/>
          <a:ext cx="732401" cy="1905"/>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18463</xdr:colOff>
      <xdr:row>463</xdr:row>
      <xdr:rowOff>22861</xdr:rowOff>
    </xdr:from>
    <xdr:to>
      <xdr:col>12</xdr:col>
      <xdr:colOff>191818</xdr:colOff>
      <xdr:row>463</xdr:row>
      <xdr:rowOff>111423</xdr:rowOff>
    </xdr:to>
    <xdr:sp macro="" textlink="">
      <xdr:nvSpPr>
        <xdr:cNvPr id="279" name="正方形/長方形 278">
          <a:extLst>
            <a:ext uri="{FF2B5EF4-FFF2-40B4-BE49-F238E27FC236}">
              <a16:creationId xmlns:a16="http://schemas.microsoft.com/office/drawing/2014/main" id="{F89CC8B8-07E4-48EF-8ECB-5124BBB007AD}"/>
            </a:ext>
          </a:extLst>
        </xdr:cNvPr>
        <xdr:cNvSpPr/>
      </xdr:nvSpPr>
      <xdr:spPr>
        <a:xfrm>
          <a:off x="2761663" y="79404211"/>
          <a:ext cx="173355" cy="8856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21981</xdr:colOff>
      <xdr:row>464</xdr:row>
      <xdr:rowOff>23885</xdr:rowOff>
    </xdr:from>
    <xdr:to>
      <xdr:col>22</xdr:col>
      <xdr:colOff>191526</xdr:colOff>
      <xdr:row>464</xdr:row>
      <xdr:rowOff>127688</xdr:rowOff>
    </xdr:to>
    <xdr:sp macro="" textlink="">
      <xdr:nvSpPr>
        <xdr:cNvPr id="280" name="正方形/長方形 279">
          <a:extLst>
            <a:ext uri="{FF2B5EF4-FFF2-40B4-BE49-F238E27FC236}">
              <a16:creationId xmlns:a16="http://schemas.microsoft.com/office/drawing/2014/main" id="{10317D38-2480-4857-B05A-B2BAC24F3EB6}"/>
            </a:ext>
          </a:extLst>
        </xdr:cNvPr>
        <xdr:cNvSpPr/>
      </xdr:nvSpPr>
      <xdr:spPr>
        <a:xfrm>
          <a:off x="5051181" y="7957668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21981</xdr:colOff>
      <xdr:row>464</xdr:row>
      <xdr:rowOff>29308</xdr:rowOff>
    </xdr:from>
    <xdr:to>
      <xdr:col>20</xdr:col>
      <xdr:colOff>210576</xdr:colOff>
      <xdr:row>464</xdr:row>
      <xdr:rowOff>121680</xdr:rowOff>
    </xdr:to>
    <xdr:sp macro="" textlink="">
      <xdr:nvSpPr>
        <xdr:cNvPr id="281" name="正方形/長方形 280">
          <a:extLst>
            <a:ext uri="{FF2B5EF4-FFF2-40B4-BE49-F238E27FC236}">
              <a16:creationId xmlns:a16="http://schemas.microsoft.com/office/drawing/2014/main" id="{BB98B752-8E1B-49C3-9992-52ED4B0B36A5}"/>
            </a:ext>
          </a:extLst>
        </xdr:cNvPr>
        <xdr:cNvSpPr/>
      </xdr:nvSpPr>
      <xdr:spPr>
        <a:xfrm>
          <a:off x="4593981" y="79582108"/>
          <a:ext cx="188595" cy="9237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206766</xdr:colOff>
      <xdr:row>464</xdr:row>
      <xdr:rowOff>75494</xdr:rowOff>
    </xdr:from>
    <xdr:to>
      <xdr:col>22</xdr:col>
      <xdr:colOff>18171</xdr:colOff>
      <xdr:row>464</xdr:row>
      <xdr:rowOff>75787</xdr:rowOff>
    </xdr:to>
    <xdr:cxnSp macro="">
      <xdr:nvCxnSpPr>
        <xdr:cNvPr id="282" name="直線コネクタ 281">
          <a:extLst>
            <a:ext uri="{FF2B5EF4-FFF2-40B4-BE49-F238E27FC236}">
              <a16:creationId xmlns:a16="http://schemas.microsoft.com/office/drawing/2014/main" id="{691E1287-FB03-4F49-9EBC-28FEA48893A7}"/>
            </a:ext>
          </a:extLst>
        </xdr:cNvPr>
        <xdr:cNvCxnSpPr>
          <a:cxnSpLocks/>
          <a:stCxn id="281" idx="3"/>
          <a:endCxn id="280" idx="1"/>
        </xdr:cNvCxnSpPr>
      </xdr:nvCxnSpPr>
      <xdr:spPr>
        <a:xfrm>
          <a:off x="4778766" y="79628294"/>
          <a:ext cx="268605" cy="293"/>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198853</xdr:colOff>
      <xdr:row>464</xdr:row>
      <xdr:rowOff>72929</xdr:rowOff>
    </xdr:from>
    <xdr:to>
      <xdr:col>33</xdr:col>
      <xdr:colOff>13336</xdr:colOff>
      <xdr:row>465</xdr:row>
      <xdr:rowOff>63699</xdr:rowOff>
    </xdr:to>
    <xdr:cxnSp macro="">
      <xdr:nvCxnSpPr>
        <xdr:cNvPr id="283" name="直線コネクタ 31">
          <a:extLst>
            <a:ext uri="{FF2B5EF4-FFF2-40B4-BE49-F238E27FC236}">
              <a16:creationId xmlns:a16="http://schemas.microsoft.com/office/drawing/2014/main" id="{1E7F339A-1E19-4B5E-A8CA-F61949EDB0A0}"/>
            </a:ext>
          </a:extLst>
        </xdr:cNvPr>
        <xdr:cNvCxnSpPr>
          <a:stCxn id="276" idx="3"/>
          <a:endCxn id="277" idx="1"/>
        </xdr:cNvCxnSpPr>
      </xdr:nvCxnSpPr>
      <xdr:spPr>
        <a:xfrm flipV="1">
          <a:off x="6828253" y="79625729"/>
          <a:ext cx="728883" cy="162220"/>
        </a:xfrm>
        <a:prstGeom prst="bentConnector3">
          <a:avLst>
            <a:gd name="adj1" fmla="val 50000"/>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18757</xdr:colOff>
      <xdr:row>474</xdr:row>
      <xdr:rowOff>20242</xdr:rowOff>
    </xdr:from>
    <xdr:to>
      <xdr:col>22</xdr:col>
      <xdr:colOff>192112</xdr:colOff>
      <xdr:row>474</xdr:row>
      <xdr:rowOff>122139</xdr:rowOff>
    </xdr:to>
    <xdr:sp macro="" textlink="">
      <xdr:nvSpPr>
        <xdr:cNvPr id="284" name="正方形/長方形 283">
          <a:extLst>
            <a:ext uri="{FF2B5EF4-FFF2-40B4-BE49-F238E27FC236}">
              <a16:creationId xmlns:a16="http://schemas.microsoft.com/office/drawing/2014/main" id="{D19F2C38-D4CA-432B-897A-742015E9A037}"/>
            </a:ext>
          </a:extLst>
        </xdr:cNvPr>
        <xdr:cNvSpPr/>
      </xdr:nvSpPr>
      <xdr:spPr>
        <a:xfrm>
          <a:off x="5047957" y="81287542"/>
          <a:ext cx="17335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18758</xdr:colOff>
      <xdr:row>474</xdr:row>
      <xdr:rowOff>9232</xdr:rowOff>
    </xdr:from>
    <xdr:to>
      <xdr:col>33</xdr:col>
      <xdr:colOff>182588</xdr:colOff>
      <xdr:row>474</xdr:row>
      <xdr:rowOff>103509</xdr:rowOff>
    </xdr:to>
    <xdr:sp macro="" textlink="">
      <xdr:nvSpPr>
        <xdr:cNvPr id="285" name="正方形/長方形 284">
          <a:extLst>
            <a:ext uri="{FF2B5EF4-FFF2-40B4-BE49-F238E27FC236}">
              <a16:creationId xmlns:a16="http://schemas.microsoft.com/office/drawing/2014/main" id="{7CFE90CC-33BB-439E-95FA-8C824FA1AD2F}"/>
            </a:ext>
          </a:extLst>
        </xdr:cNvPr>
        <xdr:cNvSpPr/>
      </xdr:nvSpPr>
      <xdr:spPr>
        <a:xfrm>
          <a:off x="7562558" y="81276532"/>
          <a:ext cx="163830"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27402</xdr:colOff>
      <xdr:row>474</xdr:row>
      <xdr:rowOff>11137</xdr:rowOff>
    </xdr:from>
    <xdr:to>
      <xdr:col>29</xdr:col>
      <xdr:colOff>200757</xdr:colOff>
      <xdr:row>474</xdr:row>
      <xdr:rowOff>105414</xdr:rowOff>
    </xdr:to>
    <xdr:sp macro="" textlink="">
      <xdr:nvSpPr>
        <xdr:cNvPr id="286" name="正方形/長方形 285">
          <a:extLst>
            <a:ext uri="{FF2B5EF4-FFF2-40B4-BE49-F238E27FC236}">
              <a16:creationId xmlns:a16="http://schemas.microsoft.com/office/drawing/2014/main" id="{B20A1EE2-30DC-4B40-882B-C6DB89600FCB}"/>
            </a:ext>
          </a:extLst>
        </xdr:cNvPr>
        <xdr:cNvSpPr/>
      </xdr:nvSpPr>
      <xdr:spPr>
        <a:xfrm>
          <a:off x="6656802" y="81278437"/>
          <a:ext cx="17335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476</xdr:row>
      <xdr:rowOff>14655</xdr:rowOff>
    </xdr:from>
    <xdr:to>
      <xdr:col>29</xdr:col>
      <xdr:colOff>198853</xdr:colOff>
      <xdr:row>476</xdr:row>
      <xdr:rowOff>112742</xdr:rowOff>
    </xdr:to>
    <xdr:sp macro="" textlink="">
      <xdr:nvSpPr>
        <xdr:cNvPr id="287" name="正方形/長方形 286">
          <a:extLst>
            <a:ext uri="{FF2B5EF4-FFF2-40B4-BE49-F238E27FC236}">
              <a16:creationId xmlns:a16="http://schemas.microsoft.com/office/drawing/2014/main" id="{FE9CAAB9-C388-45CD-AE4E-2B679D254B33}"/>
            </a:ext>
          </a:extLst>
        </xdr:cNvPr>
        <xdr:cNvSpPr/>
      </xdr:nvSpPr>
      <xdr:spPr>
        <a:xfrm>
          <a:off x="6658708" y="8162485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13336</xdr:colOff>
      <xdr:row>475</xdr:row>
      <xdr:rowOff>21980</xdr:rowOff>
    </xdr:from>
    <xdr:to>
      <xdr:col>33</xdr:col>
      <xdr:colOff>171451</xdr:colOff>
      <xdr:row>475</xdr:row>
      <xdr:rowOff>123877</xdr:rowOff>
    </xdr:to>
    <xdr:sp macro="" textlink="">
      <xdr:nvSpPr>
        <xdr:cNvPr id="288" name="正方形/長方形 287">
          <a:extLst>
            <a:ext uri="{FF2B5EF4-FFF2-40B4-BE49-F238E27FC236}">
              <a16:creationId xmlns:a16="http://schemas.microsoft.com/office/drawing/2014/main" id="{2062AEF6-A2DC-4C3A-8244-CDAFB25AAD3E}"/>
            </a:ext>
          </a:extLst>
        </xdr:cNvPr>
        <xdr:cNvSpPr/>
      </xdr:nvSpPr>
      <xdr:spPr>
        <a:xfrm>
          <a:off x="7557136" y="81460730"/>
          <a:ext cx="158115" cy="10189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200757</xdr:colOff>
      <xdr:row>474</xdr:row>
      <xdr:rowOff>56371</xdr:rowOff>
    </xdr:from>
    <xdr:to>
      <xdr:col>33</xdr:col>
      <xdr:colOff>18758</xdr:colOff>
      <xdr:row>474</xdr:row>
      <xdr:rowOff>58276</xdr:rowOff>
    </xdr:to>
    <xdr:cxnSp macro="">
      <xdr:nvCxnSpPr>
        <xdr:cNvPr id="289" name="直線コネクタ 288">
          <a:extLst>
            <a:ext uri="{FF2B5EF4-FFF2-40B4-BE49-F238E27FC236}">
              <a16:creationId xmlns:a16="http://schemas.microsoft.com/office/drawing/2014/main" id="{DB87AF00-4E96-4FEC-886C-83C6CF7EF2C4}"/>
            </a:ext>
          </a:extLst>
        </xdr:cNvPr>
        <xdr:cNvCxnSpPr>
          <a:stCxn id="285" idx="1"/>
          <a:endCxn id="286" idx="3"/>
        </xdr:cNvCxnSpPr>
      </xdr:nvCxnSpPr>
      <xdr:spPr>
        <a:xfrm flipH="1">
          <a:off x="6830157" y="81323671"/>
          <a:ext cx="732401" cy="1905"/>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21981</xdr:colOff>
      <xdr:row>475</xdr:row>
      <xdr:rowOff>23885</xdr:rowOff>
    </xdr:from>
    <xdr:to>
      <xdr:col>22</xdr:col>
      <xdr:colOff>191526</xdr:colOff>
      <xdr:row>475</xdr:row>
      <xdr:rowOff>127688</xdr:rowOff>
    </xdr:to>
    <xdr:sp macro="" textlink="">
      <xdr:nvSpPr>
        <xdr:cNvPr id="290" name="正方形/長方形 289">
          <a:extLst>
            <a:ext uri="{FF2B5EF4-FFF2-40B4-BE49-F238E27FC236}">
              <a16:creationId xmlns:a16="http://schemas.microsoft.com/office/drawing/2014/main" id="{542DA145-49CF-4F61-BF13-90CCD9185B06}"/>
            </a:ext>
          </a:extLst>
        </xdr:cNvPr>
        <xdr:cNvSpPr/>
      </xdr:nvSpPr>
      <xdr:spPr>
        <a:xfrm>
          <a:off x="5051181" y="8146263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198853</xdr:colOff>
      <xdr:row>475</xdr:row>
      <xdr:rowOff>72929</xdr:rowOff>
    </xdr:from>
    <xdr:to>
      <xdr:col>33</xdr:col>
      <xdr:colOff>13336</xdr:colOff>
      <xdr:row>476</xdr:row>
      <xdr:rowOff>63699</xdr:rowOff>
    </xdr:to>
    <xdr:cxnSp macro="">
      <xdr:nvCxnSpPr>
        <xdr:cNvPr id="291" name="直線コネクタ 31">
          <a:extLst>
            <a:ext uri="{FF2B5EF4-FFF2-40B4-BE49-F238E27FC236}">
              <a16:creationId xmlns:a16="http://schemas.microsoft.com/office/drawing/2014/main" id="{96EEFCDB-A296-454F-8A99-0977EFD8E321}"/>
            </a:ext>
          </a:extLst>
        </xdr:cNvPr>
        <xdr:cNvCxnSpPr>
          <a:stCxn id="287" idx="3"/>
          <a:endCxn id="288" idx="1"/>
        </xdr:cNvCxnSpPr>
      </xdr:nvCxnSpPr>
      <xdr:spPr>
        <a:xfrm flipV="1">
          <a:off x="6828253" y="81511679"/>
          <a:ext cx="728883" cy="162220"/>
        </a:xfrm>
        <a:prstGeom prst="bentConnector3">
          <a:avLst>
            <a:gd name="adj1" fmla="val 70233"/>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199146</xdr:colOff>
      <xdr:row>463</xdr:row>
      <xdr:rowOff>65604</xdr:rowOff>
    </xdr:from>
    <xdr:to>
      <xdr:col>22</xdr:col>
      <xdr:colOff>18757</xdr:colOff>
      <xdr:row>474</xdr:row>
      <xdr:rowOff>71192</xdr:rowOff>
    </xdr:to>
    <xdr:cxnSp macro="">
      <xdr:nvCxnSpPr>
        <xdr:cNvPr id="292" name="直線コネクタ 31">
          <a:extLst>
            <a:ext uri="{FF2B5EF4-FFF2-40B4-BE49-F238E27FC236}">
              <a16:creationId xmlns:a16="http://schemas.microsoft.com/office/drawing/2014/main" id="{5E35F926-3777-42E0-AC2A-E5D328744A3C}"/>
            </a:ext>
          </a:extLst>
        </xdr:cNvPr>
        <xdr:cNvCxnSpPr>
          <a:stCxn id="284" idx="1"/>
          <a:endCxn id="272" idx="3"/>
        </xdr:cNvCxnSpPr>
      </xdr:nvCxnSpPr>
      <xdr:spPr>
        <a:xfrm rot="10800000">
          <a:off x="4771146" y="79446954"/>
          <a:ext cx="276811" cy="1891538"/>
        </a:xfrm>
        <a:prstGeom prst="bentConnector3">
          <a:avLst>
            <a:gd name="adj1" fmla="val 30155"/>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201051</xdr:colOff>
      <xdr:row>463</xdr:row>
      <xdr:rowOff>67508</xdr:rowOff>
    </xdr:from>
    <xdr:to>
      <xdr:col>22</xdr:col>
      <xdr:colOff>22567</xdr:colOff>
      <xdr:row>463</xdr:row>
      <xdr:rowOff>70238</xdr:rowOff>
    </xdr:to>
    <xdr:cxnSp macro="">
      <xdr:nvCxnSpPr>
        <xdr:cNvPr id="293" name="直線コネクタ 292">
          <a:extLst>
            <a:ext uri="{FF2B5EF4-FFF2-40B4-BE49-F238E27FC236}">
              <a16:creationId xmlns:a16="http://schemas.microsoft.com/office/drawing/2014/main" id="{E205905F-1916-4C5D-812E-5B599B5E1D3E}"/>
            </a:ext>
          </a:extLst>
        </xdr:cNvPr>
        <xdr:cNvCxnSpPr>
          <a:cxnSpLocks/>
          <a:stCxn id="272" idx="3"/>
          <a:endCxn id="273" idx="1"/>
        </xdr:cNvCxnSpPr>
      </xdr:nvCxnSpPr>
      <xdr:spPr>
        <a:xfrm>
          <a:off x="4773051" y="79448858"/>
          <a:ext cx="278716" cy="2730"/>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149678</xdr:colOff>
      <xdr:row>472</xdr:row>
      <xdr:rowOff>136070</xdr:rowOff>
    </xdr:from>
    <xdr:to>
      <xdr:col>11</xdr:col>
      <xdr:colOff>39913</xdr:colOff>
      <xdr:row>494</xdr:row>
      <xdr:rowOff>20410</xdr:rowOff>
    </xdr:to>
    <xdr:sp macro="" textlink="">
      <xdr:nvSpPr>
        <xdr:cNvPr id="294" name="テキスト ボックス 293">
          <a:extLst>
            <a:ext uri="{FF2B5EF4-FFF2-40B4-BE49-F238E27FC236}">
              <a16:creationId xmlns:a16="http://schemas.microsoft.com/office/drawing/2014/main" id="{151DA7B1-BB40-42C9-B7AE-8E177A009CB6}"/>
            </a:ext>
          </a:extLst>
        </xdr:cNvPr>
        <xdr:cNvSpPr txBox="1"/>
      </xdr:nvSpPr>
      <xdr:spPr>
        <a:xfrm>
          <a:off x="378278" y="81060470"/>
          <a:ext cx="2176235" cy="3656240"/>
        </a:xfrm>
        <a:prstGeom prst="rect">
          <a:avLst/>
        </a:prstGeom>
        <a:solidFill>
          <a:srgbClr val="FFFFC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lstStyle/>
        <a:p>
          <a:r>
            <a:rPr kumimoji="1" lang="en-US" altLang="ja-JP" sz="900">
              <a:latin typeface="ＭＳ ゴシック" panose="020B0609070205080204" pitchFamily="49" charset="-128"/>
              <a:ea typeface="ＭＳ ゴシック" panose="020B0609070205080204" pitchFamily="49" charset="-128"/>
            </a:rPr>
            <a:t>【</a:t>
          </a:r>
          <a:r>
            <a:rPr kumimoji="1" lang="ja-JP" altLang="en-US" sz="900">
              <a:latin typeface="ＭＳ ゴシック" panose="020B0609070205080204" pitchFamily="49" charset="-128"/>
              <a:ea typeface="ＭＳ ゴシック" panose="020B0609070205080204" pitchFamily="49" charset="-128"/>
            </a:rPr>
            <a:t>ジャーナル印字イメージ</a:t>
          </a:r>
          <a:r>
            <a:rPr kumimoji="1" lang="en-US" altLang="ja-JP" sz="900">
              <a:latin typeface="ＭＳ ゴシック" panose="020B0609070205080204" pitchFamily="49" charset="-128"/>
              <a:ea typeface="ＭＳ ゴシック" panose="020B0609070205080204" pitchFamily="49" charset="-128"/>
            </a:rPr>
            <a:t>】</a:t>
          </a:r>
        </a:p>
        <a:p>
          <a:r>
            <a:rPr kumimoji="1" lang="ja-JP" altLang="en-US" sz="900">
              <a:latin typeface="ＭＳ ゴシック" panose="020B0609070205080204" pitchFamily="49" charset="-128"/>
              <a:ea typeface="ＭＳ ゴシック" panose="020B0609070205080204" pitchFamily="49" charset="-128"/>
            </a:rPr>
            <a:t> </a:t>
          </a:r>
          <a:r>
            <a:rPr kumimoji="1" lang="en-US" altLang="ja-JP" sz="900">
              <a:latin typeface="ＭＳ ゴシック" panose="020B0609070205080204" pitchFamily="49" charset="-128"/>
              <a:ea typeface="ＭＳ ゴシック" panose="020B0609070205080204" pitchFamily="49" charset="-128"/>
            </a:rPr>
            <a:t>2024</a:t>
          </a:r>
          <a:r>
            <a:rPr kumimoji="1" lang="ja-JP" altLang="en-US" sz="900">
              <a:latin typeface="ＭＳ ゴシック" panose="020B0609070205080204" pitchFamily="49" charset="-128"/>
              <a:ea typeface="ＭＳ ゴシック" panose="020B0609070205080204" pitchFamily="49" charset="-128"/>
            </a:rPr>
            <a:t>年</a:t>
          </a:r>
          <a:r>
            <a:rPr kumimoji="1" lang="en-US" altLang="ja-JP" sz="900">
              <a:latin typeface="ＭＳ ゴシック" panose="020B0609070205080204" pitchFamily="49" charset="-128"/>
              <a:ea typeface="ＭＳ ゴシック" panose="020B0609070205080204" pitchFamily="49" charset="-128"/>
            </a:rPr>
            <a:t>10</a:t>
          </a:r>
          <a:r>
            <a:rPr kumimoji="1" lang="ja-JP" altLang="en-US" sz="900">
              <a:latin typeface="ＭＳ ゴシック" panose="020B0609070205080204" pitchFamily="49" charset="-128"/>
              <a:ea typeface="ＭＳ ゴシック" panose="020B0609070205080204" pitchFamily="49" charset="-128"/>
            </a:rPr>
            <a:t>月</a:t>
          </a:r>
          <a:r>
            <a:rPr kumimoji="1" lang="en-US" altLang="ja-JP" sz="900">
              <a:latin typeface="ＭＳ ゴシック" panose="020B0609070205080204" pitchFamily="49" charset="-128"/>
              <a:ea typeface="ＭＳ ゴシック" panose="020B0609070205080204" pitchFamily="49" charset="-128"/>
            </a:rPr>
            <a:t>22</a:t>
          </a:r>
          <a:r>
            <a:rPr kumimoji="1" lang="ja-JP" altLang="en-US" sz="900">
              <a:latin typeface="ＭＳ ゴシック" panose="020B0609070205080204" pitchFamily="49" charset="-128"/>
              <a:ea typeface="ＭＳ ゴシック" panose="020B0609070205080204" pitchFamily="49" charset="-128"/>
            </a:rPr>
            <a:t>日（火） </a:t>
          </a:r>
          <a:r>
            <a:rPr kumimoji="1" lang="en-US" altLang="ja-JP" sz="900">
              <a:latin typeface="ＭＳ ゴシック" panose="020B0609070205080204" pitchFamily="49" charset="-128"/>
              <a:ea typeface="ＭＳ ゴシック" panose="020B0609070205080204" pitchFamily="49" charset="-128"/>
            </a:rPr>
            <a:t>12:26     </a:t>
          </a:r>
        </a:p>
        <a:p>
          <a:r>
            <a:rPr kumimoji="1" lang="en-US" altLang="ja-JP" sz="900">
              <a:latin typeface="ＭＳ ゴシック" panose="020B0609070205080204" pitchFamily="49" charset="-128"/>
              <a:ea typeface="ＭＳ ゴシック" panose="020B0609070205080204" pitchFamily="49" charset="-128"/>
            </a:rPr>
            <a:t>  A01 x</a:t>
          </a:r>
          <a:r>
            <a:rPr kumimoji="1" lang="ja-JP" altLang="en-US" sz="900">
              <a:latin typeface="ＭＳ ゴシック" panose="020B0609070205080204" pitchFamily="49" charset="-128"/>
              <a:ea typeface="ＭＳ ゴシック" panose="020B0609070205080204" pitchFamily="49" charset="-128"/>
            </a:rPr>
            <a:t>商品Ｏ                   </a:t>
          </a:r>
        </a:p>
        <a:p>
          <a:r>
            <a:rPr kumimoji="1" lang="ja-JP" altLang="en-US" sz="900">
              <a:latin typeface="ＭＳ ゴシック" panose="020B0609070205080204" pitchFamily="49" charset="-128"/>
              <a:ea typeface="ＭＳ ゴシック" panose="020B0609070205080204" pitchFamily="49" charset="-128"/>
            </a:rPr>
            <a:t>   </a:t>
          </a:r>
          <a:r>
            <a:rPr kumimoji="1" lang="en-US" altLang="ja-JP" sz="900">
              <a:latin typeface="ＭＳ ゴシック" panose="020B0609070205080204" pitchFamily="49" charset="-128"/>
              <a:ea typeface="ＭＳ ゴシック" panose="020B0609070205080204" pitchFamily="49" charset="-128"/>
            </a:rPr>
            <a:t>4900000007336                </a:t>
          </a:r>
        </a:p>
        <a:p>
          <a:r>
            <a:rPr kumimoji="1" lang="en-US" altLang="ja-JP" sz="900">
              <a:latin typeface="ＭＳ ゴシック" panose="020B0609070205080204" pitchFamily="49" charset="-128"/>
              <a:ea typeface="ＭＳ ゴシック" panose="020B0609070205080204" pitchFamily="49" charset="-128"/>
            </a:rPr>
            <a:t>         \95   3</a:t>
          </a:r>
          <a:r>
            <a:rPr kumimoji="1" lang="ja-JP" altLang="en-US" sz="900">
              <a:latin typeface="ＭＳ ゴシック" panose="020B0609070205080204" pitchFamily="49" charset="-128"/>
              <a:ea typeface="ＭＳ ゴシック" panose="020B0609070205080204" pitchFamily="49" charset="-128"/>
            </a:rPr>
            <a:t>個         </a:t>
          </a:r>
          <a:r>
            <a:rPr kumimoji="1" lang="en-US" altLang="ja-JP" sz="900">
              <a:latin typeface="ＭＳ ゴシック" panose="020B0609070205080204" pitchFamily="49" charset="-128"/>
              <a:ea typeface="ＭＳ ゴシック" panose="020B0609070205080204" pitchFamily="49" charset="-128"/>
            </a:rPr>
            <a:t>\285 </a:t>
          </a:r>
        </a:p>
        <a:p>
          <a:r>
            <a:rPr kumimoji="1" lang="en-US" altLang="ja-JP" sz="900">
              <a:latin typeface="ＭＳ ゴシック" panose="020B0609070205080204" pitchFamily="49" charset="-128"/>
              <a:ea typeface="ＭＳ ゴシック" panose="020B0609070205080204" pitchFamily="49" charset="-128"/>
            </a:rPr>
            <a:t>  (  2</a:t>
          </a:r>
          <a:r>
            <a:rPr kumimoji="1" lang="ja-JP" altLang="en-US" sz="900">
              <a:latin typeface="ＭＳ ゴシック" panose="020B0609070205080204" pitchFamily="49" charset="-128"/>
              <a:ea typeface="ＭＳ ゴシック" panose="020B0609070205080204" pitchFamily="49" charset="-128"/>
            </a:rPr>
            <a:t>個</a:t>
          </a:r>
          <a:r>
            <a:rPr kumimoji="1" lang="en-US" altLang="ja-JP" sz="900">
              <a:latin typeface="ＭＳ ゴシック" panose="020B0609070205080204" pitchFamily="49" charset="-128"/>
              <a:ea typeface="ＭＳ ゴシック" panose="020B0609070205080204" pitchFamily="49" charset="-128"/>
            </a:rPr>
            <a:t>\180                  ) </a:t>
          </a:r>
        </a:p>
        <a:p>
          <a:r>
            <a:rPr kumimoji="1" lang="en-US" altLang="ja-JP" sz="900">
              <a:latin typeface="ＭＳ ゴシック" panose="020B0609070205080204" pitchFamily="49" charset="-128"/>
              <a:ea typeface="ＭＳ ゴシック" panose="020B0609070205080204" pitchFamily="49" charset="-128"/>
            </a:rPr>
            <a:t>     3</a:t>
          </a:r>
          <a:r>
            <a:rPr kumimoji="1" lang="ja-JP" altLang="en-US" sz="900">
              <a:latin typeface="ＭＳ ゴシック" panose="020B0609070205080204" pitchFamily="49" charset="-128"/>
              <a:ea typeface="ＭＳ ゴシック" panose="020B0609070205080204" pitchFamily="49" charset="-128"/>
            </a:rPr>
            <a:t>個</a:t>
          </a:r>
          <a:r>
            <a:rPr kumimoji="1" lang="en-US" altLang="ja-JP" sz="900">
              <a:latin typeface="ＭＳ ゴシック" panose="020B0609070205080204" pitchFamily="49" charset="-128"/>
              <a:ea typeface="ＭＳ ゴシック" panose="020B0609070205080204" pitchFamily="49" charset="-128"/>
            </a:rPr>
            <a:t>A</a:t>
          </a:r>
          <a:r>
            <a:rPr kumimoji="1" lang="ja-JP" altLang="en-US" sz="900">
              <a:latin typeface="ＭＳ ゴシック" panose="020B0609070205080204" pitchFamily="49" charset="-128"/>
              <a:ea typeface="ＭＳ ゴシック" panose="020B0609070205080204" pitchFamily="49" charset="-128"/>
            </a:rPr>
            <a:t>まとめ    </a:t>
          </a:r>
          <a:r>
            <a:rPr kumimoji="1" lang="en-US" altLang="ja-JP" sz="900">
              <a:latin typeface="ＭＳ ゴシック" panose="020B0609070205080204" pitchFamily="49" charset="-128"/>
              <a:ea typeface="ＭＳ ゴシック" panose="020B0609070205080204" pitchFamily="49" charset="-128"/>
            </a:rPr>
            <a:t>\270    -\15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小計       </a:t>
          </a:r>
          <a:r>
            <a:rPr kumimoji="1" lang="en-US" altLang="ja-JP" sz="900">
              <a:latin typeface="ＭＳ ゴシック" panose="020B0609070205080204" pitchFamily="49" charset="-128"/>
              <a:ea typeface="ＭＳ ゴシック" panose="020B0609070205080204" pitchFamily="49" charset="-128"/>
            </a:rPr>
            <a:t>3</a:t>
          </a:r>
          <a:r>
            <a:rPr kumimoji="1" lang="ja-JP" altLang="en-US" sz="900">
              <a:latin typeface="ＭＳ ゴシック" panose="020B0609070205080204" pitchFamily="49" charset="-128"/>
              <a:ea typeface="ＭＳ ゴシック" panose="020B0609070205080204" pitchFamily="49" charset="-128"/>
            </a:rPr>
            <a:t>点            </a:t>
          </a:r>
          <a:r>
            <a:rPr kumimoji="1" lang="en-US" altLang="ja-JP" sz="900">
              <a:latin typeface="ＭＳ ゴシック" panose="020B0609070205080204" pitchFamily="49" charset="-128"/>
              <a:ea typeface="ＭＳ ゴシック" panose="020B0609070205080204" pitchFamily="49" charset="-128"/>
            </a:rPr>
            <a:t>\270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外税 </a:t>
          </a:r>
          <a:r>
            <a:rPr kumimoji="1" lang="en-US" altLang="ja-JP" sz="900">
              <a:latin typeface="ＭＳ ゴシック" panose="020B0609070205080204" pitchFamily="49" charset="-128"/>
              <a:ea typeface="ＭＳ ゴシック" panose="020B0609070205080204" pitchFamily="49" charset="-128"/>
            </a:rPr>
            <a:t>8.0%</a:t>
          </a:r>
          <a:r>
            <a:rPr kumimoji="1" lang="ja-JP" altLang="en-US" sz="900">
              <a:latin typeface="ＭＳ ゴシック" panose="020B0609070205080204" pitchFamily="49" charset="-128"/>
              <a:ea typeface="ＭＳ ゴシック" panose="020B0609070205080204" pitchFamily="49" charset="-128"/>
            </a:rPr>
            <a:t>対象額         </a:t>
          </a:r>
          <a:r>
            <a:rPr kumimoji="1" lang="en-US" altLang="ja-JP" sz="900">
              <a:latin typeface="ＭＳ ゴシック" panose="020B0609070205080204" pitchFamily="49" charset="-128"/>
              <a:ea typeface="ＭＳ ゴシック" panose="020B0609070205080204" pitchFamily="49" charset="-128"/>
            </a:rPr>
            <a:t>\270)</a:t>
          </a:r>
        </a:p>
        <a:p>
          <a:r>
            <a:rPr kumimoji="1" lang="en-US" altLang="ja-JP" sz="900">
              <a:latin typeface="ＭＳ ゴシック" panose="020B0609070205080204" pitchFamily="49" charset="-128"/>
              <a:ea typeface="ＭＳ ゴシック" panose="020B0609070205080204" pitchFamily="49" charset="-128"/>
            </a:rPr>
            <a:t>      8.0% </a:t>
          </a:r>
          <a:r>
            <a:rPr kumimoji="1" lang="ja-JP" altLang="en-US" sz="900">
              <a:latin typeface="ＭＳ ゴシック" panose="020B0609070205080204" pitchFamily="49" charset="-128"/>
              <a:ea typeface="ＭＳ ゴシック" panose="020B0609070205080204" pitchFamily="49" charset="-128"/>
            </a:rPr>
            <a:t>消費税等         </a:t>
          </a:r>
          <a:r>
            <a:rPr kumimoji="1" lang="en-US" altLang="ja-JP" sz="900">
              <a:latin typeface="ＭＳ ゴシック" panose="020B0609070205080204" pitchFamily="49" charset="-128"/>
              <a:ea typeface="ＭＳ ゴシック" panose="020B0609070205080204" pitchFamily="49" charset="-128"/>
            </a:rPr>
            <a:t>\21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外税額計                   </a:t>
          </a:r>
          <a:r>
            <a:rPr kumimoji="1" lang="en-US" altLang="ja-JP" sz="900">
              <a:latin typeface="ＭＳ ゴシック" panose="020B0609070205080204" pitchFamily="49" charset="-128"/>
              <a:ea typeface="ＭＳ ゴシック" panose="020B0609070205080204" pitchFamily="49" charset="-128"/>
            </a:rPr>
            <a:t>\21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税込小計                  </a:t>
          </a:r>
          <a:r>
            <a:rPr kumimoji="1" lang="en-US" altLang="ja-JP" sz="900">
              <a:latin typeface="ＭＳ ゴシック" panose="020B0609070205080204" pitchFamily="49" charset="-128"/>
              <a:ea typeface="ＭＳ ゴシック" panose="020B0609070205080204" pitchFamily="49" charset="-128"/>
            </a:rPr>
            <a:t>\291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税込 </a:t>
          </a:r>
          <a:r>
            <a:rPr kumimoji="1" lang="en-US" altLang="ja-JP" sz="900">
              <a:latin typeface="ＭＳ ゴシック" panose="020B0609070205080204" pitchFamily="49" charset="-128"/>
              <a:ea typeface="ＭＳ ゴシック" panose="020B0609070205080204" pitchFamily="49" charset="-128"/>
            </a:rPr>
            <a:t>8.0%</a:t>
          </a:r>
          <a:r>
            <a:rPr kumimoji="1" lang="ja-JP" altLang="en-US" sz="900">
              <a:latin typeface="ＭＳ ゴシック" panose="020B0609070205080204" pitchFamily="49" charset="-128"/>
              <a:ea typeface="ＭＳ ゴシック" panose="020B0609070205080204" pitchFamily="49" charset="-128"/>
            </a:rPr>
            <a:t>対象額         </a:t>
          </a:r>
          <a:r>
            <a:rPr kumimoji="1" lang="en-US" altLang="ja-JP" sz="900">
              <a:latin typeface="ＭＳ ゴシック" panose="020B0609070205080204" pitchFamily="49" charset="-128"/>
              <a:ea typeface="ＭＳ ゴシック" panose="020B0609070205080204" pitchFamily="49" charset="-128"/>
            </a:rPr>
            <a:t>\291)</a:t>
          </a:r>
        </a:p>
        <a:p>
          <a:r>
            <a:rPr kumimoji="1" lang="en-US" altLang="ja-JP" sz="900">
              <a:latin typeface="ＭＳ ゴシック" panose="020B0609070205080204" pitchFamily="49" charset="-128"/>
              <a:ea typeface="ＭＳ ゴシック" panose="020B0609070205080204" pitchFamily="49" charset="-128"/>
            </a:rPr>
            <a:t>      8.0% </a:t>
          </a:r>
          <a:r>
            <a:rPr kumimoji="1" lang="ja-JP" altLang="en-US" sz="900">
              <a:latin typeface="ＭＳ ゴシック" panose="020B0609070205080204" pitchFamily="49" charset="-128"/>
              <a:ea typeface="ＭＳ ゴシック" panose="020B0609070205080204" pitchFamily="49" charset="-128"/>
            </a:rPr>
            <a:t>消費税等         </a:t>
          </a:r>
          <a:r>
            <a:rPr kumimoji="1" lang="en-US" altLang="ja-JP" sz="900">
              <a:latin typeface="ＭＳ ゴシック" panose="020B0609070205080204" pitchFamily="49" charset="-128"/>
              <a:ea typeface="ＭＳ ゴシック" panose="020B0609070205080204" pitchFamily="49" charset="-128"/>
            </a:rPr>
            <a:t>\21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税額計                     </a:t>
          </a:r>
          <a:r>
            <a:rPr kumimoji="1" lang="en-US" altLang="ja-JP" sz="900">
              <a:latin typeface="ＭＳ ゴシック" panose="020B0609070205080204" pitchFamily="49" charset="-128"/>
              <a:ea typeface="ＭＳ ゴシック" panose="020B0609070205080204" pitchFamily="49" charset="-128"/>
            </a:rPr>
            <a:t>\21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a:t>
          </a:r>
          <a:r>
            <a:rPr kumimoji="1" lang="en-US" altLang="ja-JP" sz="900">
              <a:latin typeface="ＭＳ ゴシック" panose="020B0609070205080204" pitchFamily="49" charset="-128"/>
              <a:ea typeface="ＭＳ ゴシック" panose="020B0609070205080204" pitchFamily="49" charset="-128"/>
            </a:rPr>
            <a:t>x</a:t>
          </a:r>
          <a:r>
            <a:rPr kumimoji="1" lang="ja-JP" altLang="en-US" sz="900">
              <a:latin typeface="ＭＳ ゴシック" panose="020B0609070205080204" pitchFamily="49" charset="-128"/>
              <a:ea typeface="ＭＳ ゴシック" panose="020B0609070205080204" pitchFamily="49" charset="-128"/>
            </a:rPr>
            <a:t>」は軽減税率対象商品です    </a:t>
          </a:r>
        </a:p>
        <a:p>
          <a:r>
            <a:rPr kumimoji="1" lang="ja-JP" altLang="en-US" sz="900">
              <a:latin typeface="ＭＳ ゴシック" panose="020B0609070205080204" pitchFamily="49" charset="-128"/>
              <a:ea typeface="ＭＳ ゴシック" panose="020B0609070205080204" pitchFamily="49" charset="-128"/>
            </a:rPr>
            <a:t> 合計                  </a:t>
          </a:r>
          <a:r>
            <a:rPr kumimoji="1" lang="en-US" altLang="ja-JP" sz="900">
              <a:latin typeface="ＭＳ ゴシック" panose="020B0609070205080204" pitchFamily="49" charset="-128"/>
              <a:ea typeface="ＭＳ ゴシック" panose="020B0609070205080204" pitchFamily="49" charset="-128"/>
            </a:rPr>
            <a:t>\291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お預り                </a:t>
          </a:r>
          <a:r>
            <a:rPr kumimoji="1" lang="en-US" altLang="ja-JP" sz="900">
              <a:latin typeface="ＭＳ ゴシック" panose="020B0609070205080204" pitchFamily="49" charset="-128"/>
              <a:ea typeface="ＭＳ ゴシック" panose="020B0609070205080204" pitchFamily="49" charset="-128"/>
            </a:rPr>
            <a:t>\291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お釣り                    </a:t>
          </a:r>
          <a:r>
            <a:rPr kumimoji="1" lang="en-US" altLang="ja-JP" sz="900">
              <a:latin typeface="ＭＳ ゴシック" panose="020B0609070205080204" pitchFamily="49" charset="-128"/>
              <a:ea typeface="ＭＳ ゴシック" panose="020B0609070205080204" pitchFamily="49" charset="-128"/>
            </a:rPr>
            <a:t>\0   </a:t>
          </a:r>
        </a:p>
        <a:p>
          <a:endParaRPr kumimoji="1" lang="en-US" altLang="ja-JP" sz="900">
            <a:latin typeface="ＭＳ ゴシック" panose="020B0609070205080204" pitchFamily="49" charset="-128"/>
            <a:ea typeface="ＭＳ ゴシック" panose="020B0609070205080204" pitchFamily="49" charset="-128"/>
          </a:endParaRPr>
        </a:p>
      </xdr:txBody>
    </xdr:sp>
    <xdr:clientData/>
  </xdr:twoCellAnchor>
  <xdr:twoCellAnchor>
    <xdr:from>
      <xdr:col>1</xdr:col>
      <xdr:colOff>115661</xdr:colOff>
      <xdr:row>536</xdr:row>
      <xdr:rowOff>129267</xdr:rowOff>
    </xdr:from>
    <xdr:to>
      <xdr:col>11</xdr:col>
      <xdr:colOff>5896</xdr:colOff>
      <xdr:row>557</xdr:row>
      <xdr:rowOff>34018</xdr:rowOff>
    </xdr:to>
    <xdr:sp macro="" textlink="">
      <xdr:nvSpPr>
        <xdr:cNvPr id="295" name="テキスト ボックス 294">
          <a:extLst>
            <a:ext uri="{FF2B5EF4-FFF2-40B4-BE49-F238E27FC236}">
              <a16:creationId xmlns:a16="http://schemas.microsoft.com/office/drawing/2014/main" id="{8CE878D8-C857-49E1-9A47-65ECF6FAE5F4}"/>
            </a:ext>
          </a:extLst>
        </xdr:cNvPr>
        <xdr:cNvSpPr txBox="1"/>
      </xdr:nvSpPr>
      <xdr:spPr>
        <a:xfrm>
          <a:off x="344261" y="92026467"/>
          <a:ext cx="2176235" cy="3505201"/>
        </a:xfrm>
        <a:prstGeom prst="rect">
          <a:avLst/>
        </a:prstGeom>
        <a:solidFill>
          <a:srgbClr val="FFFFC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lstStyle/>
        <a:p>
          <a:r>
            <a:rPr kumimoji="1" lang="en-US" altLang="ja-JP" sz="900">
              <a:latin typeface="ＭＳ ゴシック" panose="020B0609070205080204" pitchFamily="49" charset="-128"/>
              <a:ea typeface="ＭＳ ゴシック" panose="020B0609070205080204" pitchFamily="49" charset="-128"/>
            </a:rPr>
            <a:t>【</a:t>
          </a:r>
          <a:r>
            <a:rPr kumimoji="1" lang="ja-JP" altLang="en-US" sz="900">
              <a:latin typeface="ＭＳ ゴシック" panose="020B0609070205080204" pitchFamily="49" charset="-128"/>
              <a:ea typeface="ＭＳ ゴシック" panose="020B0609070205080204" pitchFamily="49" charset="-128"/>
            </a:rPr>
            <a:t>ジャーナル印字イメージ</a:t>
          </a:r>
          <a:r>
            <a:rPr kumimoji="1" lang="en-US" altLang="ja-JP" sz="900">
              <a:latin typeface="ＭＳ ゴシック" panose="020B0609070205080204" pitchFamily="49" charset="-128"/>
              <a:ea typeface="ＭＳ ゴシック" panose="020B0609070205080204" pitchFamily="49" charset="-128"/>
            </a:rPr>
            <a:t>】</a:t>
          </a:r>
        </a:p>
        <a:p>
          <a:r>
            <a:rPr kumimoji="1" lang="ja-JP" altLang="en-US" sz="900">
              <a:latin typeface="ＭＳ ゴシック" panose="020B0609070205080204" pitchFamily="49" charset="-128"/>
              <a:ea typeface="ＭＳ ゴシック" panose="020B0609070205080204" pitchFamily="49" charset="-128"/>
            </a:rPr>
            <a:t> </a:t>
          </a:r>
          <a:r>
            <a:rPr kumimoji="1" lang="en-US" altLang="ja-JP" sz="900">
              <a:latin typeface="ＭＳ ゴシック" panose="020B0609070205080204" pitchFamily="49" charset="-128"/>
              <a:ea typeface="ＭＳ ゴシック" panose="020B0609070205080204" pitchFamily="49" charset="-128"/>
            </a:rPr>
            <a:t>2024</a:t>
          </a:r>
          <a:r>
            <a:rPr kumimoji="1" lang="ja-JP" altLang="en-US" sz="900">
              <a:latin typeface="ＭＳ ゴシック" panose="020B0609070205080204" pitchFamily="49" charset="-128"/>
              <a:ea typeface="ＭＳ ゴシック" panose="020B0609070205080204" pitchFamily="49" charset="-128"/>
            </a:rPr>
            <a:t>年</a:t>
          </a:r>
          <a:r>
            <a:rPr kumimoji="1" lang="en-US" altLang="ja-JP" sz="900">
              <a:latin typeface="ＭＳ ゴシック" panose="020B0609070205080204" pitchFamily="49" charset="-128"/>
              <a:ea typeface="ＭＳ ゴシック" panose="020B0609070205080204" pitchFamily="49" charset="-128"/>
            </a:rPr>
            <a:t>10</a:t>
          </a:r>
          <a:r>
            <a:rPr kumimoji="1" lang="ja-JP" altLang="en-US" sz="900">
              <a:latin typeface="ＭＳ ゴシック" panose="020B0609070205080204" pitchFamily="49" charset="-128"/>
              <a:ea typeface="ＭＳ ゴシック" panose="020B0609070205080204" pitchFamily="49" charset="-128"/>
            </a:rPr>
            <a:t>月</a:t>
          </a:r>
          <a:r>
            <a:rPr kumimoji="1" lang="en-US" altLang="ja-JP" sz="900">
              <a:latin typeface="ＭＳ ゴシック" panose="020B0609070205080204" pitchFamily="49" charset="-128"/>
              <a:ea typeface="ＭＳ ゴシック" panose="020B0609070205080204" pitchFamily="49" charset="-128"/>
            </a:rPr>
            <a:t>22</a:t>
          </a:r>
          <a:r>
            <a:rPr kumimoji="1" lang="ja-JP" altLang="en-US" sz="900">
              <a:latin typeface="ＭＳ ゴシック" panose="020B0609070205080204" pitchFamily="49" charset="-128"/>
              <a:ea typeface="ＭＳ ゴシック" panose="020B0609070205080204" pitchFamily="49" charset="-128"/>
            </a:rPr>
            <a:t>日（火） </a:t>
          </a:r>
          <a:r>
            <a:rPr kumimoji="1" lang="en-US" altLang="ja-JP" sz="900">
              <a:latin typeface="ＭＳ ゴシック" panose="020B0609070205080204" pitchFamily="49" charset="-128"/>
              <a:ea typeface="ＭＳ ゴシック" panose="020B0609070205080204" pitchFamily="49" charset="-128"/>
            </a:rPr>
            <a:t>13:02     </a:t>
          </a:r>
        </a:p>
        <a:p>
          <a:r>
            <a:rPr kumimoji="1" lang="en-US" altLang="ja-JP" sz="900">
              <a:latin typeface="ＭＳ ゴシック" panose="020B0609070205080204" pitchFamily="49" charset="-128"/>
              <a:ea typeface="ＭＳ ゴシック" panose="020B0609070205080204" pitchFamily="49" charset="-128"/>
            </a:rPr>
            <a:t>  A01 x</a:t>
          </a:r>
          <a:r>
            <a:rPr kumimoji="1" lang="ja-JP" altLang="en-US" sz="900">
              <a:latin typeface="ＭＳ ゴシック" panose="020B0609070205080204" pitchFamily="49" charset="-128"/>
              <a:ea typeface="ＭＳ ゴシック" panose="020B0609070205080204" pitchFamily="49" charset="-128"/>
            </a:rPr>
            <a:t>商品Ｋ                   </a:t>
          </a:r>
        </a:p>
        <a:p>
          <a:r>
            <a:rPr kumimoji="1" lang="ja-JP" altLang="en-US" sz="900">
              <a:latin typeface="ＭＳ ゴシック" panose="020B0609070205080204" pitchFamily="49" charset="-128"/>
              <a:ea typeface="ＭＳ ゴシック" panose="020B0609070205080204" pitchFamily="49" charset="-128"/>
            </a:rPr>
            <a:t>   </a:t>
          </a:r>
          <a:r>
            <a:rPr kumimoji="1" lang="en-US" altLang="ja-JP" sz="900">
              <a:latin typeface="ＭＳ ゴシック" panose="020B0609070205080204" pitchFamily="49" charset="-128"/>
              <a:ea typeface="ＭＳ ゴシック" panose="020B0609070205080204" pitchFamily="49" charset="-128"/>
            </a:rPr>
            <a:t>4900000007350                </a:t>
          </a:r>
        </a:p>
        <a:p>
          <a:r>
            <a:rPr kumimoji="1" lang="en-US" altLang="ja-JP" sz="900">
              <a:latin typeface="ＭＳ ゴシック" panose="020B0609070205080204" pitchFamily="49" charset="-128"/>
              <a:ea typeface="ＭＳ ゴシック" panose="020B0609070205080204" pitchFamily="49" charset="-128"/>
            </a:rPr>
            <a:t>        \100   3</a:t>
          </a:r>
          <a:r>
            <a:rPr kumimoji="1" lang="ja-JP" altLang="en-US" sz="900">
              <a:latin typeface="ＭＳ ゴシック" panose="020B0609070205080204" pitchFamily="49" charset="-128"/>
              <a:ea typeface="ＭＳ ゴシック" panose="020B0609070205080204" pitchFamily="49" charset="-128"/>
            </a:rPr>
            <a:t>個         </a:t>
          </a:r>
          <a:r>
            <a:rPr kumimoji="1" lang="en-US" altLang="ja-JP" sz="900">
              <a:latin typeface="ＭＳ ゴシック" panose="020B0609070205080204" pitchFamily="49" charset="-128"/>
              <a:ea typeface="ＭＳ ゴシック" panose="020B0609070205080204" pitchFamily="49" charset="-128"/>
            </a:rPr>
            <a:t>\300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部門値引   </a:t>
          </a:r>
          <a:r>
            <a:rPr kumimoji="1" lang="en-US" altLang="ja-JP" sz="900">
              <a:latin typeface="ＭＳ ゴシック" panose="020B0609070205080204" pitchFamily="49" charset="-128"/>
              <a:ea typeface="ＭＳ ゴシック" panose="020B0609070205080204" pitchFamily="49" charset="-128"/>
            </a:rPr>
            <a:t>15%         -\45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小計       </a:t>
          </a:r>
          <a:r>
            <a:rPr kumimoji="1" lang="en-US" altLang="ja-JP" sz="900">
              <a:latin typeface="ＭＳ ゴシック" panose="020B0609070205080204" pitchFamily="49" charset="-128"/>
              <a:ea typeface="ＭＳ ゴシック" panose="020B0609070205080204" pitchFamily="49" charset="-128"/>
            </a:rPr>
            <a:t>3</a:t>
          </a:r>
          <a:r>
            <a:rPr kumimoji="1" lang="ja-JP" altLang="en-US" sz="900">
              <a:latin typeface="ＭＳ ゴシック" panose="020B0609070205080204" pitchFamily="49" charset="-128"/>
              <a:ea typeface="ＭＳ ゴシック" panose="020B0609070205080204" pitchFamily="49" charset="-128"/>
            </a:rPr>
            <a:t>点            </a:t>
          </a:r>
          <a:r>
            <a:rPr kumimoji="1" lang="en-US" altLang="ja-JP" sz="900">
              <a:latin typeface="ＭＳ ゴシック" panose="020B0609070205080204" pitchFamily="49" charset="-128"/>
              <a:ea typeface="ＭＳ ゴシック" panose="020B0609070205080204" pitchFamily="49" charset="-128"/>
            </a:rPr>
            <a:t>\255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外税 </a:t>
          </a:r>
          <a:r>
            <a:rPr kumimoji="1" lang="en-US" altLang="ja-JP" sz="900">
              <a:latin typeface="ＭＳ ゴシック" panose="020B0609070205080204" pitchFamily="49" charset="-128"/>
              <a:ea typeface="ＭＳ ゴシック" panose="020B0609070205080204" pitchFamily="49" charset="-128"/>
            </a:rPr>
            <a:t>8.0%</a:t>
          </a:r>
          <a:r>
            <a:rPr kumimoji="1" lang="ja-JP" altLang="en-US" sz="900">
              <a:latin typeface="ＭＳ ゴシック" panose="020B0609070205080204" pitchFamily="49" charset="-128"/>
              <a:ea typeface="ＭＳ ゴシック" panose="020B0609070205080204" pitchFamily="49" charset="-128"/>
            </a:rPr>
            <a:t>対象額         </a:t>
          </a:r>
          <a:r>
            <a:rPr kumimoji="1" lang="en-US" altLang="ja-JP" sz="900">
              <a:latin typeface="ＭＳ ゴシック" panose="020B0609070205080204" pitchFamily="49" charset="-128"/>
              <a:ea typeface="ＭＳ ゴシック" panose="020B0609070205080204" pitchFamily="49" charset="-128"/>
            </a:rPr>
            <a:t>\255)</a:t>
          </a:r>
        </a:p>
        <a:p>
          <a:r>
            <a:rPr kumimoji="1" lang="en-US" altLang="ja-JP" sz="900">
              <a:latin typeface="ＭＳ ゴシック" panose="020B0609070205080204" pitchFamily="49" charset="-128"/>
              <a:ea typeface="ＭＳ ゴシック" panose="020B0609070205080204" pitchFamily="49" charset="-128"/>
            </a:rPr>
            <a:t>      8.0% </a:t>
          </a:r>
          <a:r>
            <a:rPr kumimoji="1" lang="ja-JP" altLang="en-US" sz="900">
              <a:latin typeface="ＭＳ ゴシック" panose="020B0609070205080204" pitchFamily="49" charset="-128"/>
              <a:ea typeface="ＭＳ ゴシック" panose="020B0609070205080204" pitchFamily="49" charset="-128"/>
            </a:rPr>
            <a:t>消費税等         </a:t>
          </a:r>
          <a:r>
            <a:rPr kumimoji="1" lang="en-US" altLang="ja-JP" sz="900">
              <a:latin typeface="ＭＳ ゴシック" panose="020B0609070205080204" pitchFamily="49" charset="-128"/>
              <a:ea typeface="ＭＳ ゴシック" panose="020B0609070205080204" pitchFamily="49" charset="-128"/>
            </a:rPr>
            <a:t>\20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外税額計                   </a:t>
          </a:r>
          <a:r>
            <a:rPr kumimoji="1" lang="en-US" altLang="ja-JP" sz="900">
              <a:latin typeface="ＭＳ ゴシック" panose="020B0609070205080204" pitchFamily="49" charset="-128"/>
              <a:ea typeface="ＭＳ ゴシック" panose="020B0609070205080204" pitchFamily="49" charset="-128"/>
            </a:rPr>
            <a:t>\20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税込小計                  </a:t>
          </a:r>
          <a:r>
            <a:rPr kumimoji="1" lang="en-US" altLang="ja-JP" sz="900">
              <a:latin typeface="ＭＳ ゴシック" panose="020B0609070205080204" pitchFamily="49" charset="-128"/>
              <a:ea typeface="ＭＳ ゴシック" panose="020B0609070205080204" pitchFamily="49" charset="-128"/>
            </a:rPr>
            <a:t>\275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税込 </a:t>
          </a:r>
          <a:r>
            <a:rPr kumimoji="1" lang="en-US" altLang="ja-JP" sz="900">
              <a:latin typeface="ＭＳ ゴシック" panose="020B0609070205080204" pitchFamily="49" charset="-128"/>
              <a:ea typeface="ＭＳ ゴシック" panose="020B0609070205080204" pitchFamily="49" charset="-128"/>
            </a:rPr>
            <a:t>8.0%</a:t>
          </a:r>
          <a:r>
            <a:rPr kumimoji="1" lang="ja-JP" altLang="en-US" sz="900">
              <a:latin typeface="ＭＳ ゴシック" panose="020B0609070205080204" pitchFamily="49" charset="-128"/>
              <a:ea typeface="ＭＳ ゴシック" panose="020B0609070205080204" pitchFamily="49" charset="-128"/>
            </a:rPr>
            <a:t>対象額         </a:t>
          </a:r>
          <a:r>
            <a:rPr kumimoji="1" lang="en-US" altLang="ja-JP" sz="900">
              <a:latin typeface="ＭＳ ゴシック" panose="020B0609070205080204" pitchFamily="49" charset="-128"/>
              <a:ea typeface="ＭＳ ゴシック" panose="020B0609070205080204" pitchFamily="49" charset="-128"/>
            </a:rPr>
            <a:t>\275)</a:t>
          </a:r>
        </a:p>
        <a:p>
          <a:r>
            <a:rPr kumimoji="1" lang="en-US" altLang="ja-JP" sz="900">
              <a:latin typeface="ＭＳ ゴシック" panose="020B0609070205080204" pitchFamily="49" charset="-128"/>
              <a:ea typeface="ＭＳ ゴシック" panose="020B0609070205080204" pitchFamily="49" charset="-128"/>
            </a:rPr>
            <a:t>      8.0% </a:t>
          </a:r>
          <a:r>
            <a:rPr kumimoji="1" lang="ja-JP" altLang="en-US" sz="900">
              <a:latin typeface="ＭＳ ゴシック" panose="020B0609070205080204" pitchFamily="49" charset="-128"/>
              <a:ea typeface="ＭＳ ゴシック" panose="020B0609070205080204" pitchFamily="49" charset="-128"/>
            </a:rPr>
            <a:t>消費税等         </a:t>
          </a:r>
          <a:r>
            <a:rPr kumimoji="1" lang="en-US" altLang="ja-JP" sz="900">
              <a:latin typeface="ＭＳ ゴシック" panose="020B0609070205080204" pitchFamily="49" charset="-128"/>
              <a:ea typeface="ＭＳ ゴシック" panose="020B0609070205080204" pitchFamily="49" charset="-128"/>
            </a:rPr>
            <a:t>\20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税額計                     </a:t>
          </a:r>
          <a:r>
            <a:rPr kumimoji="1" lang="en-US" altLang="ja-JP" sz="900">
              <a:latin typeface="ＭＳ ゴシック" panose="020B0609070205080204" pitchFamily="49" charset="-128"/>
              <a:ea typeface="ＭＳ ゴシック" panose="020B0609070205080204" pitchFamily="49" charset="-128"/>
            </a:rPr>
            <a:t>\20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a:t>
          </a:r>
          <a:r>
            <a:rPr kumimoji="1" lang="en-US" altLang="ja-JP" sz="900">
              <a:latin typeface="ＭＳ ゴシック" panose="020B0609070205080204" pitchFamily="49" charset="-128"/>
              <a:ea typeface="ＭＳ ゴシック" panose="020B0609070205080204" pitchFamily="49" charset="-128"/>
            </a:rPr>
            <a:t>x</a:t>
          </a:r>
          <a:r>
            <a:rPr kumimoji="1" lang="ja-JP" altLang="en-US" sz="900">
              <a:latin typeface="ＭＳ ゴシック" panose="020B0609070205080204" pitchFamily="49" charset="-128"/>
              <a:ea typeface="ＭＳ ゴシック" panose="020B0609070205080204" pitchFamily="49" charset="-128"/>
            </a:rPr>
            <a:t>」は軽減税率対象商品です    </a:t>
          </a:r>
        </a:p>
        <a:p>
          <a:r>
            <a:rPr kumimoji="1" lang="ja-JP" altLang="en-US" sz="900">
              <a:latin typeface="ＭＳ ゴシック" panose="020B0609070205080204" pitchFamily="49" charset="-128"/>
              <a:ea typeface="ＭＳ ゴシック" panose="020B0609070205080204" pitchFamily="49" charset="-128"/>
            </a:rPr>
            <a:t> 合計                  </a:t>
          </a:r>
          <a:r>
            <a:rPr kumimoji="1" lang="en-US" altLang="ja-JP" sz="900">
              <a:latin typeface="ＭＳ ゴシック" panose="020B0609070205080204" pitchFamily="49" charset="-128"/>
              <a:ea typeface="ＭＳ ゴシック" panose="020B0609070205080204" pitchFamily="49" charset="-128"/>
            </a:rPr>
            <a:t>\275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お預り                </a:t>
          </a:r>
          <a:r>
            <a:rPr kumimoji="1" lang="en-US" altLang="ja-JP" sz="900">
              <a:latin typeface="ＭＳ ゴシック" panose="020B0609070205080204" pitchFamily="49" charset="-128"/>
              <a:ea typeface="ＭＳ ゴシック" panose="020B0609070205080204" pitchFamily="49" charset="-128"/>
            </a:rPr>
            <a:t>\275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お釣り                    </a:t>
          </a:r>
          <a:r>
            <a:rPr kumimoji="1" lang="en-US" altLang="ja-JP" sz="900">
              <a:latin typeface="ＭＳ ゴシック" panose="020B0609070205080204" pitchFamily="49" charset="-128"/>
              <a:ea typeface="ＭＳ ゴシック" panose="020B0609070205080204" pitchFamily="49" charset="-128"/>
            </a:rPr>
            <a:t>\0   </a:t>
          </a:r>
        </a:p>
        <a:p>
          <a:endParaRPr kumimoji="1" lang="en-US" altLang="ja-JP" sz="900">
            <a:latin typeface="ＭＳ ゴシック" panose="020B0609070205080204" pitchFamily="49" charset="-128"/>
            <a:ea typeface="ＭＳ ゴシック" panose="020B0609070205080204" pitchFamily="49" charset="-128"/>
          </a:endParaRPr>
        </a:p>
      </xdr:txBody>
    </xdr:sp>
    <xdr:clientData/>
  </xdr:twoCellAnchor>
  <xdr:twoCellAnchor>
    <xdr:from>
      <xdr:col>20</xdr:col>
      <xdr:colOff>210576</xdr:colOff>
      <xdr:row>528</xdr:row>
      <xdr:rowOff>75494</xdr:rowOff>
    </xdr:from>
    <xdr:to>
      <xdr:col>22</xdr:col>
      <xdr:colOff>21981</xdr:colOff>
      <xdr:row>539</xdr:row>
      <xdr:rowOff>75787</xdr:rowOff>
    </xdr:to>
    <xdr:cxnSp macro="">
      <xdr:nvCxnSpPr>
        <xdr:cNvPr id="296" name="直線コネクタ 31">
          <a:extLst>
            <a:ext uri="{FF2B5EF4-FFF2-40B4-BE49-F238E27FC236}">
              <a16:creationId xmlns:a16="http://schemas.microsoft.com/office/drawing/2014/main" id="{1A90FB0B-4E84-448A-BB89-EB1CFA2E9B6F}"/>
            </a:ext>
          </a:extLst>
        </xdr:cNvPr>
        <xdr:cNvCxnSpPr>
          <a:stCxn id="317" idx="1"/>
          <a:endCxn id="308" idx="3"/>
        </xdr:cNvCxnSpPr>
      </xdr:nvCxnSpPr>
      <xdr:spPr>
        <a:xfrm rot="10800000">
          <a:off x="4782576" y="90601094"/>
          <a:ext cx="268605" cy="1886243"/>
        </a:xfrm>
        <a:prstGeom prst="bentConnector3">
          <a:avLst>
            <a:gd name="adj1" fmla="val 67523"/>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281009</xdr:colOff>
      <xdr:row>527</xdr:row>
      <xdr:rowOff>66087</xdr:rowOff>
    </xdr:from>
    <xdr:to>
      <xdr:col>12</xdr:col>
      <xdr:colOff>18463</xdr:colOff>
      <xdr:row>527</xdr:row>
      <xdr:rowOff>67142</xdr:rowOff>
    </xdr:to>
    <xdr:cxnSp macro="">
      <xdr:nvCxnSpPr>
        <xdr:cNvPr id="297" name="直線コネクタ 296">
          <a:extLst>
            <a:ext uri="{FF2B5EF4-FFF2-40B4-BE49-F238E27FC236}">
              <a16:creationId xmlns:a16="http://schemas.microsoft.com/office/drawing/2014/main" id="{B05159AE-A151-44C5-97BC-A14B2C3CC48D}"/>
            </a:ext>
          </a:extLst>
        </xdr:cNvPr>
        <xdr:cNvCxnSpPr>
          <a:cxnSpLocks/>
          <a:stCxn id="298" idx="3"/>
          <a:endCxn id="306" idx="1"/>
        </xdr:cNvCxnSpPr>
      </xdr:nvCxnSpPr>
      <xdr:spPr>
        <a:xfrm>
          <a:off x="2509859" y="90420237"/>
          <a:ext cx="251804" cy="1055"/>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107654</xdr:colOff>
      <xdr:row>527</xdr:row>
      <xdr:rowOff>13233</xdr:rowOff>
    </xdr:from>
    <xdr:to>
      <xdr:col>10</xdr:col>
      <xdr:colOff>281009</xdr:colOff>
      <xdr:row>527</xdr:row>
      <xdr:rowOff>118940</xdr:rowOff>
    </xdr:to>
    <xdr:sp macro="" textlink="">
      <xdr:nvSpPr>
        <xdr:cNvPr id="298" name="正方形/長方形 297">
          <a:extLst>
            <a:ext uri="{FF2B5EF4-FFF2-40B4-BE49-F238E27FC236}">
              <a16:creationId xmlns:a16="http://schemas.microsoft.com/office/drawing/2014/main" id="{CFA57C4F-9CCE-45C9-A5C5-A511942343DE}"/>
            </a:ext>
          </a:extLst>
        </xdr:cNvPr>
        <xdr:cNvSpPr/>
      </xdr:nvSpPr>
      <xdr:spPr>
        <a:xfrm>
          <a:off x="2393654" y="90367383"/>
          <a:ext cx="116205" cy="10570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21981</xdr:colOff>
      <xdr:row>527</xdr:row>
      <xdr:rowOff>14654</xdr:rowOff>
    </xdr:from>
    <xdr:to>
      <xdr:col>20</xdr:col>
      <xdr:colOff>199146</xdr:colOff>
      <xdr:row>527</xdr:row>
      <xdr:rowOff>116551</xdr:rowOff>
    </xdr:to>
    <xdr:sp macro="" textlink="">
      <xdr:nvSpPr>
        <xdr:cNvPr id="299" name="正方形/長方形 298">
          <a:extLst>
            <a:ext uri="{FF2B5EF4-FFF2-40B4-BE49-F238E27FC236}">
              <a16:creationId xmlns:a16="http://schemas.microsoft.com/office/drawing/2014/main" id="{A0FBC224-33C2-4376-8565-DC795DEF0E0B}"/>
            </a:ext>
          </a:extLst>
        </xdr:cNvPr>
        <xdr:cNvSpPr/>
      </xdr:nvSpPr>
      <xdr:spPr>
        <a:xfrm>
          <a:off x="4593981" y="90368804"/>
          <a:ext cx="17716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18757</xdr:colOff>
      <xdr:row>527</xdr:row>
      <xdr:rowOff>20242</xdr:rowOff>
    </xdr:from>
    <xdr:to>
      <xdr:col>22</xdr:col>
      <xdr:colOff>192112</xdr:colOff>
      <xdr:row>527</xdr:row>
      <xdr:rowOff>122139</xdr:rowOff>
    </xdr:to>
    <xdr:sp macro="" textlink="">
      <xdr:nvSpPr>
        <xdr:cNvPr id="300" name="正方形/長方形 299">
          <a:extLst>
            <a:ext uri="{FF2B5EF4-FFF2-40B4-BE49-F238E27FC236}">
              <a16:creationId xmlns:a16="http://schemas.microsoft.com/office/drawing/2014/main" id="{C365EBE6-0F5D-41C0-BC96-F98D7D9DBEFE}"/>
            </a:ext>
          </a:extLst>
        </xdr:cNvPr>
        <xdr:cNvSpPr/>
      </xdr:nvSpPr>
      <xdr:spPr>
        <a:xfrm>
          <a:off x="5047957" y="90374392"/>
          <a:ext cx="17335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18758</xdr:colOff>
      <xdr:row>527</xdr:row>
      <xdr:rowOff>9232</xdr:rowOff>
    </xdr:from>
    <xdr:to>
      <xdr:col>33</xdr:col>
      <xdr:colOff>182588</xdr:colOff>
      <xdr:row>527</xdr:row>
      <xdr:rowOff>103509</xdr:rowOff>
    </xdr:to>
    <xdr:sp macro="" textlink="">
      <xdr:nvSpPr>
        <xdr:cNvPr id="301" name="正方形/長方形 300">
          <a:extLst>
            <a:ext uri="{FF2B5EF4-FFF2-40B4-BE49-F238E27FC236}">
              <a16:creationId xmlns:a16="http://schemas.microsoft.com/office/drawing/2014/main" id="{66DF306C-8F53-419C-A4D3-A456C3B8D7F1}"/>
            </a:ext>
          </a:extLst>
        </xdr:cNvPr>
        <xdr:cNvSpPr/>
      </xdr:nvSpPr>
      <xdr:spPr>
        <a:xfrm>
          <a:off x="7562558" y="90363382"/>
          <a:ext cx="163830"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27402</xdr:colOff>
      <xdr:row>527</xdr:row>
      <xdr:rowOff>11137</xdr:rowOff>
    </xdr:from>
    <xdr:to>
      <xdr:col>29</xdr:col>
      <xdr:colOff>200757</xdr:colOff>
      <xdr:row>527</xdr:row>
      <xdr:rowOff>105414</xdr:rowOff>
    </xdr:to>
    <xdr:sp macro="" textlink="">
      <xdr:nvSpPr>
        <xdr:cNvPr id="302" name="正方形/長方形 301">
          <a:extLst>
            <a:ext uri="{FF2B5EF4-FFF2-40B4-BE49-F238E27FC236}">
              <a16:creationId xmlns:a16="http://schemas.microsoft.com/office/drawing/2014/main" id="{124A3970-5B53-46F9-9FA2-5A14878585A4}"/>
            </a:ext>
          </a:extLst>
        </xdr:cNvPr>
        <xdr:cNvSpPr/>
      </xdr:nvSpPr>
      <xdr:spPr>
        <a:xfrm>
          <a:off x="6656802" y="90365287"/>
          <a:ext cx="17335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529</xdr:row>
      <xdr:rowOff>14655</xdr:rowOff>
    </xdr:from>
    <xdr:to>
      <xdr:col>29</xdr:col>
      <xdr:colOff>198853</xdr:colOff>
      <xdr:row>529</xdr:row>
      <xdr:rowOff>112742</xdr:rowOff>
    </xdr:to>
    <xdr:sp macro="" textlink="">
      <xdr:nvSpPr>
        <xdr:cNvPr id="303" name="正方形/長方形 302">
          <a:extLst>
            <a:ext uri="{FF2B5EF4-FFF2-40B4-BE49-F238E27FC236}">
              <a16:creationId xmlns:a16="http://schemas.microsoft.com/office/drawing/2014/main" id="{50B591AC-9267-4840-ABBB-BBF3D6FAD09D}"/>
            </a:ext>
          </a:extLst>
        </xdr:cNvPr>
        <xdr:cNvSpPr/>
      </xdr:nvSpPr>
      <xdr:spPr>
        <a:xfrm>
          <a:off x="6658708" y="9071170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13336</xdr:colOff>
      <xdr:row>528</xdr:row>
      <xdr:rowOff>21980</xdr:rowOff>
    </xdr:from>
    <xdr:to>
      <xdr:col>33</xdr:col>
      <xdr:colOff>171451</xdr:colOff>
      <xdr:row>528</xdr:row>
      <xdr:rowOff>123877</xdr:rowOff>
    </xdr:to>
    <xdr:sp macro="" textlink="">
      <xdr:nvSpPr>
        <xdr:cNvPr id="304" name="正方形/長方形 303">
          <a:extLst>
            <a:ext uri="{FF2B5EF4-FFF2-40B4-BE49-F238E27FC236}">
              <a16:creationId xmlns:a16="http://schemas.microsoft.com/office/drawing/2014/main" id="{562B8BC6-1C57-4690-AC0E-31A6EBCA3B76}"/>
            </a:ext>
          </a:extLst>
        </xdr:cNvPr>
        <xdr:cNvSpPr/>
      </xdr:nvSpPr>
      <xdr:spPr>
        <a:xfrm>
          <a:off x="7557136" y="90547580"/>
          <a:ext cx="158115" cy="10189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200757</xdr:colOff>
      <xdr:row>527</xdr:row>
      <xdr:rowOff>56371</xdr:rowOff>
    </xdr:from>
    <xdr:to>
      <xdr:col>33</xdr:col>
      <xdr:colOff>18758</xdr:colOff>
      <xdr:row>527</xdr:row>
      <xdr:rowOff>58276</xdr:rowOff>
    </xdr:to>
    <xdr:cxnSp macro="">
      <xdr:nvCxnSpPr>
        <xdr:cNvPr id="305" name="直線コネクタ 304">
          <a:extLst>
            <a:ext uri="{FF2B5EF4-FFF2-40B4-BE49-F238E27FC236}">
              <a16:creationId xmlns:a16="http://schemas.microsoft.com/office/drawing/2014/main" id="{C0A5C895-839F-48F6-8FEA-CBC46F612A54}"/>
            </a:ext>
          </a:extLst>
        </xdr:cNvPr>
        <xdr:cNvCxnSpPr>
          <a:stCxn id="301" idx="1"/>
          <a:endCxn id="302" idx="3"/>
        </xdr:cNvCxnSpPr>
      </xdr:nvCxnSpPr>
      <xdr:spPr>
        <a:xfrm flipH="1">
          <a:off x="6830157" y="90410521"/>
          <a:ext cx="732401" cy="1905"/>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18463</xdr:colOff>
      <xdr:row>527</xdr:row>
      <xdr:rowOff>22861</xdr:rowOff>
    </xdr:from>
    <xdr:to>
      <xdr:col>12</xdr:col>
      <xdr:colOff>191818</xdr:colOff>
      <xdr:row>527</xdr:row>
      <xdr:rowOff>111423</xdr:rowOff>
    </xdr:to>
    <xdr:sp macro="" textlink="">
      <xdr:nvSpPr>
        <xdr:cNvPr id="306" name="正方形/長方形 305">
          <a:extLst>
            <a:ext uri="{FF2B5EF4-FFF2-40B4-BE49-F238E27FC236}">
              <a16:creationId xmlns:a16="http://schemas.microsoft.com/office/drawing/2014/main" id="{B2C2F008-AC6C-41E5-ADF0-A42F2F86367C}"/>
            </a:ext>
          </a:extLst>
        </xdr:cNvPr>
        <xdr:cNvSpPr/>
      </xdr:nvSpPr>
      <xdr:spPr>
        <a:xfrm>
          <a:off x="2761663" y="90377011"/>
          <a:ext cx="173355" cy="8856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21981</xdr:colOff>
      <xdr:row>528</xdr:row>
      <xdr:rowOff>23885</xdr:rowOff>
    </xdr:from>
    <xdr:to>
      <xdr:col>22</xdr:col>
      <xdr:colOff>191526</xdr:colOff>
      <xdr:row>528</xdr:row>
      <xdr:rowOff>127688</xdr:rowOff>
    </xdr:to>
    <xdr:sp macro="" textlink="">
      <xdr:nvSpPr>
        <xdr:cNvPr id="307" name="正方形/長方形 306">
          <a:extLst>
            <a:ext uri="{FF2B5EF4-FFF2-40B4-BE49-F238E27FC236}">
              <a16:creationId xmlns:a16="http://schemas.microsoft.com/office/drawing/2014/main" id="{D526683F-DBB7-44F8-B76E-FA4C0CACF1B8}"/>
            </a:ext>
          </a:extLst>
        </xdr:cNvPr>
        <xdr:cNvSpPr/>
      </xdr:nvSpPr>
      <xdr:spPr>
        <a:xfrm>
          <a:off x="5051181" y="9054948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21981</xdr:colOff>
      <xdr:row>528</xdr:row>
      <xdr:rowOff>29308</xdr:rowOff>
    </xdr:from>
    <xdr:to>
      <xdr:col>20</xdr:col>
      <xdr:colOff>210576</xdr:colOff>
      <xdr:row>528</xdr:row>
      <xdr:rowOff>121680</xdr:rowOff>
    </xdr:to>
    <xdr:sp macro="" textlink="">
      <xdr:nvSpPr>
        <xdr:cNvPr id="308" name="正方形/長方形 307">
          <a:extLst>
            <a:ext uri="{FF2B5EF4-FFF2-40B4-BE49-F238E27FC236}">
              <a16:creationId xmlns:a16="http://schemas.microsoft.com/office/drawing/2014/main" id="{67342A86-40F8-42C4-A78E-CB15EB2AD5EB}"/>
            </a:ext>
          </a:extLst>
        </xdr:cNvPr>
        <xdr:cNvSpPr/>
      </xdr:nvSpPr>
      <xdr:spPr>
        <a:xfrm>
          <a:off x="4593981" y="90554908"/>
          <a:ext cx="188595" cy="9237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206766</xdr:colOff>
      <xdr:row>528</xdr:row>
      <xdr:rowOff>75494</xdr:rowOff>
    </xdr:from>
    <xdr:to>
      <xdr:col>22</xdr:col>
      <xdr:colOff>18171</xdr:colOff>
      <xdr:row>528</xdr:row>
      <xdr:rowOff>75787</xdr:rowOff>
    </xdr:to>
    <xdr:cxnSp macro="">
      <xdr:nvCxnSpPr>
        <xdr:cNvPr id="309" name="直線コネクタ 308">
          <a:extLst>
            <a:ext uri="{FF2B5EF4-FFF2-40B4-BE49-F238E27FC236}">
              <a16:creationId xmlns:a16="http://schemas.microsoft.com/office/drawing/2014/main" id="{0EB6BA59-37E5-45FC-9261-20B973F13966}"/>
            </a:ext>
          </a:extLst>
        </xdr:cNvPr>
        <xdr:cNvCxnSpPr>
          <a:cxnSpLocks/>
          <a:stCxn id="308" idx="3"/>
          <a:endCxn id="307" idx="1"/>
        </xdr:cNvCxnSpPr>
      </xdr:nvCxnSpPr>
      <xdr:spPr>
        <a:xfrm>
          <a:off x="4778766" y="90601094"/>
          <a:ext cx="268605" cy="293"/>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198853</xdr:colOff>
      <xdr:row>528</xdr:row>
      <xdr:rowOff>72929</xdr:rowOff>
    </xdr:from>
    <xdr:to>
      <xdr:col>33</xdr:col>
      <xdr:colOff>13336</xdr:colOff>
      <xdr:row>529</xdr:row>
      <xdr:rowOff>63699</xdr:rowOff>
    </xdr:to>
    <xdr:cxnSp macro="">
      <xdr:nvCxnSpPr>
        <xdr:cNvPr id="310" name="直線コネクタ 31">
          <a:extLst>
            <a:ext uri="{FF2B5EF4-FFF2-40B4-BE49-F238E27FC236}">
              <a16:creationId xmlns:a16="http://schemas.microsoft.com/office/drawing/2014/main" id="{D3EA16EF-9DE3-4CA1-A415-699D6C0183CD}"/>
            </a:ext>
          </a:extLst>
        </xdr:cNvPr>
        <xdr:cNvCxnSpPr>
          <a:stCxn id="303" idx="3"/>
          <a:endCxn id="304" idx="1"/>
        </xdr:cNvCxnSpPr>
      </xdr:nvCxnSpPr>
      <xdr:spPr>
        <a:xfrm flipV="1">
          <a:off x="6828253" y="90598529"/>
          <a:ext cx="728883" cy="162220"/>
        </a:xfrm>
        <a:prstGeom prst="bentConnector3">
          <a:avLst>
            <a:gd name="adj1" fmla="val 50000"/>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18757</xdr:colOff>
      <xdr:row>538</xdr:row>
      <xdr:rowOff>20242</xdr:rowOff>
    </xdr:from>
    <xdr:to>
      <xdr:col>22</xdr:col>
      <xdr:colOff>192112</xdr:colOff>
      <xdr:row>538</xdr:row>
      <xdr:rowOff>122139</xdr:rowOff>
    </xdr:to>
    <xdr:sp macro="" textlink="">
      <xdr:nvSpPr>
        <xdr:cNvPr id="311" name="正方形/長方形 310">
          <a:extLst>
            <a:ext uri="{FF2B5EF4-FFF2-40B4-BE49-F238E27FC236}">
              <a16:creationId xmlns:a16="http://schemas.microsoft.com/office/drawing/2014/main" id="{2761656A-B047-4D41-B88B-2A475A820FFC}"/>
            </a:ext>
          </a:extLst>
        </xdr:cNvPr>
        <xdr:cNvSpPr/>
      </xdr:nvSpPr>
      <xdr:spPr>
        <a:xfrm>
          <a:off x="5047957" y="92260342"/>
          <a:ext cx="17335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18758</xdr:colOff>
      <xdr:row>538</xdr:row>
      <xdr:rowOff>9232</xdr:rowOff>
    </xdr:from>
    <xdr:to>
      <xdr:col>33</xdr:col>
      <xdr:colOff>182588</xdr:colOff>
      <xdr:row>538</xdr:row>
      <xdr:rowOff>103509</xdr:rowOff>
    </xdr:to>
    <xdr:sp macro="" textlink="">
      <xdr:nvSpPr>
        <xdr:cNvPr id="312" name="正方形/長方形 311">
          <a:extLst>
            <a:ext uri="{FF2B5EF4-FFF2-40B4-BE49-F238E27FC236}">
              <a16:creationId xmlns:a16="http://schemas.microsoft.com/office/drawing/2014/main" id="{8683FB27-BBFB-4EBC-B399-19B74C70E06B}"/>
            </a:ext>
          </a:extLst>
        </xdr:cNvPr>
        <xdr:cNvSpPr/>
      </xdr:nvSpPr>
      <xdr:spPr>
        <a:xfrm>
          <a:off x="7562558" y="92249332"/>
          <a:ext cx="163830"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27402</xdr:colOff>
      <xdr:row>538</xdr:row>
      <xdr:rowOff>11137</xdr:rowOff>
    </xdr:from>
    <xdr:to>
      <xdr:col>29</xdr:col>
      <xdr:colOff>200757</xdr:colOff>
      <xdr:row>538</xdr:row>
      <xdr:rowOff>105414</xdr:rowOff>
    </xdr:to>
    <xdr:sp macro="" textlink="">
      <xdr:nvSpPr>
        <xdr:cNvPr id="313" name="正方形/長方形 312">
          <a:extLst>
            <a:ext uri="{FF2B5EF4-FFF2-40B4-BE49-F238E27FC236}">
              <a16:creationId xmlns:a16="http://schemas.microsoft.com/office/drawing/2014/main" id="{A888AB60-0F06-443C-8CBB-78436BEB6DF4}"/>
            </a:ext>
          </a:extLst>
        </xdr:cNvPr>
        <xdr:cNvSpPr/>
      </xdr:nvSpPr>
      <xdr:spPr>
        <a:xfrm>
          <a:off x="6656802" y="92251237"/>
          <a:ext cx="17335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540</xdr:row>
      <xdr:rowOff>14655</xdr:rowOff>
    </xdr:from>
    <xdr:to>
      <xdr:col>29</xdr:col>
      <xdr:colOff>198853</xdr:colOff>
      <xdr:row>540</xdr:row>
      <xdr:rowOff>112742</xdr:rowOff>
    </xdr:to>
    <xdr:sp macro="" textlink="">
      <xdr:nvSpPr>
        <xdr:cNvPr id="314" name="正方形/長方形 313">
          <a:extLst>
            <a:ext uri="{FF2B5EF4-FFF2-40B4-BE49-F238E27FC236}">
              <a16:creationId xmlns:a16="http://schemas.microsoft.com/office/drawing/2014/main" id="{AA4B3F64-2AD2-491D-9C26-4C836F21B370}"/>
            </a:ext>
          </a:extLst>
        </xdr:cNvPr>
        <xdr:cNvSpPr/>
      </xdr:nvSpPr>
      <xdr:spPr>
        <a:xfrm>
          <a:off x="6658708" y="9259765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13336</xdr:colOff>
      <xdr:row>539</xdr:row>
      <xdr:rowOff>21980</xdr:rowOff>
    </xdr:from>
    <xdr:to>
      <xdr:col>33</xdr:col>
      <xdr:colOff>171451</xdr:colOff>
      <xdr:row>539</xdr:row>
      <xdr:rowOff>123877</xdr:rowOff>
    </xdr:to>
    <xdr:sp macro="" textlink="">
      <xdr:nvSpPr>
        <xdr:cNvPr id="315" name="正方形/長方形 314">
          <a:extLst>
            <a:ext uri="{FF2B5EF4-FFF2-40B4-BE49-F238E27FC236}">
              <a16:creationId xmlns:a16="http://schemas.microsoft.com/office/drawing/2014/main" id="{53B6B753-16BF-4650-ABC4-3CF9D43AF02D}"/>
            </a:ext>
          </a:extLst>
        </xdr:cNvPr>
        <xdr:cNvSpPr/>
      </xdr:nvSpPr>
      <xdr:spPr>
        <a:xfrm>
          <a:off x="7557136" y="92433530"/>
          <a:ext cx="158115" cy="10189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200757</xdr:colOff>
      <xdr:row>538</xdr:row>
      <xdr:rowOff>56371</xdr:rowOff>
    </xdr:from>
    <xdr:to>
      <xdr:col>33</xdr:col>
      <xdr:colOff>18758</xdr:colOff>
      <xdr:row>538</xdr:row>
      <xdr:rowOff>58276</xdr:rowOff>
    </xdr:to>
    <xdr:cxnSp macro="">
      <xdr:nvCxnSpPr>
        <xdr:cNvPr id="316" name="直線コネクタ 315">
          <a:extLst>
            <a:ext uri="{FF2B5EF4-FFF2-40B4-BE49-F238E27FC236}">
              <a16:creationId xmlns:a16="http://schemas.microsoft.com/office/drawing/2014/main" id="{5AD58FB8-6567-4687-AE36-66C0F29EED96}"/>
            </a:ext>
          </a:extLst>
        </xdr:cNvPr>
        <xdr:cNvCxnSpPr>
          <a:stCxn id="312" idx="1"/>
          <a:endCxn id="313" idx="3"/>
        </xdr:cNvCxnSpPr>
      </xdr:nvCxnSpPr>
      <xdr:spPr>
        <a:xfrm flipH="1">
          <a:off x="6830157" y="92296471"/>
          <a:ext cx="732401" cy="1905"/>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21981</xdr:colOff>
      <xdr:row>539</xdr:row>
      <xdr:rowOff>23885</xdr:rowOff>
    </xdr:from>
    <xdr:to>
      <xdr:col>22</xdr:col>
      <xdr:colOff>191526</xdr:colOff>
      <xdr:row>539</xdr:row>
      <xdr:rowOff>127688</xdr:rowOff>
    </xdr:to>
    <xdr:sp macro="" textlink="">
      <xdr:nvSpPr>
        <xdr:cNvPr id="317" name="正方形/長方形 316">
          <a:extLst>
            <a:ext uri="{FF2B5EF4-FFF2-40B4-BE49-F238E27FC236}">
              <a16:creationId xmlns:a16="http://schemas.microsoft.com/office/drawing/2014/main" id="{0B68544B-C708-48D6-9A6D-3490BA55B2BC}"/>
            </a:ext>
          </a:extLst>
        </xdr:cNvPr>
        <xdr:cNvSpPr/>
      </xdr:nvSpPr>
      <xdr:spPr>
        <a:xfrm>
          <a:off x="5051181" y="9243543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198853</xdr:colOff>
      <xdr:row>539</xdr:row>
      <xdr:rowOff>72929</xdr:rowOff>
    </xdr:from>
    <xdr:to>
      <xdr:col>33</xdr:col>
      <xdr:colOff>13336</xdr:colOff>
      <xdr:row>540</xdr:row>
      <xdr:rowOff>63699</xdr:rowOff>
    </xdr:to>
    <xdr:cxnSp macro="">
      <xdr:nvCxnSpPr>
        <xdr:cNvPr id="318" name="直線コネクタ 31">
          <a:extLst>
            <a:ext uri="{FF2B5EF4-FFF2-40B4-BE49-F238E27FC236}">
              <a16:creationId xmlns:a16="http://schemas.microsoft.com/office/drawing/2014/main" id="{653700A0-4ED1-4F06-9DDE-05AF62BA274B}"/>
            </a:ext>
          </a:extLst>
        </xdr:cNvPr>
        <xdr:cNvCxnSpPr>
          <a:stCxn id="314" idx="3"/>
          <a:endCxn id="315" idx="1"/>
        </xdr:cNvCxnSpPr>
      </xdr:nvCxnSpPr>
      <xdr:spPr>
        <a:xfrm flipV="1">
          <a:off x="6828253" y="92484479"/>
          <a:ext cx="728883" cy="162220"/>
        </a:xfrm>
        <a:prstGeom prst="bentConnector3">
          <a:avLst>
            <a:gd name="adj1" fmla="val 70233"/>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199146</xdr:colOff>
      <xdr:row>527</xdr:row>
      <xdr:rowOff>65604</xdr:rowOff>
    </xdr:from>
    <xdr:to>
      <xdr:col>22</xdr:col>
      <xdr:colOff>18757</xdr:colOff>
      <xdr:row>538</xdr:row>
      <xdr:rowOff>71192</xdr:rowOff>
    </xdr:to>
    <xdr:cxnSp macro="">
      <xdr:nvCxnSpPr>
        <xdr:cNvPr id="319" name="直線コネクタ 31">
          <a:extLst>
            <a:ext uri="{FF2B5EF4-FFF2-40B4-BE49-F238E27FC236}">
              <a16:creationId xmlns:a16="http://schemas.microsoft.com/office/drawing/2014/main" id="{D7E29BBC-7074-4FD3-B9A5-E25C3D6044FD}"/>
            </a:ext>
          </a:extLst>
        </xdr:cNvPr>
        <xdr:cNvCxnSpPr>
          <a:stCxn id="311" idx="1"/>
          <a:endCxn id="299" idx="3"/>
        </xdr:cNvCxnSpPr>
      </xdr:nvCxnSpPr>
      <xdr:spPr>
        <a:xfrm rot="10800000">
          <a:off x="4771146" y="90419754"/>
          <a:ext cx="276811" cy="1891538"/>
        </a:xfrm>
        <a:prstGeom prst="bentConnector3">
          <a:avLst>
            <a:gd name="adj1" fmla="val 30155"/>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201051</xdr:colOff>
      <xdr:row>527</xdr:row>
      <xdr:rowOff>67508</xdr:rowOff>
    </xdr:from>
    <xdr:to>
      <xdr:col>22</xdr:col>
      <xdr:colOff>22567</xdr:colOff>
      <xdr:row>527</xdr:row>
      <xdr:rowOff>70238</xdr:rowOff>
    </xdr:to>
    <xdr:cxnSp macro="">
      <xdr:nvCxnSpPr>
        <xdr:cNvPr id="320" name="直線コネクタ 319">
          <a:extLst>
            <a:ext uri="{FF2B5EF4-FFF2-40B4-BE49-F238E27FC236}">
              <a16:creationId xmlns:a16="http://schemas.microsoft.com/office/drawing/2014/main" id="{5B79BD15-E084-40E5-9732-E264EFE4A27C}"/>
            </a:ext>
          </a:extLst>
        </xdr:cNvPr>
        <xdr:cNvCxnSpPr>
          <a:cxnSpLocks/>
          <a:stCxn id="299" idx="3"/>
          <a:endCxn id="300" idx="1"/>
        </xdr:cNvCxnSpPr>
      </xdr:nvCxnSpPr>
      <xdr:spPr>
        <a:xfrm>
          <a:off x="4773051" y="90421658"/>
          <a:ext cx="278716" cy="2730"/>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122465</xdr:colOff>
      <xdr:row>592</xdr:row>
      <xdr:rowOff>68035</xdr:rowOff>
    </xdr:from>
    <xdr:to>
      <xdr:col>11</xdr:col>
      <xdr:colOff>12700</xdr:colOff>
      <xdr:row>614</xdr:row>
      <xdr:rowOff>108857</xdr:rowOff>
    </xdr:to>
    <xdr:sp macro="" textlink="">
      <xdr:nvSpPr>
        <xdr:cNvPr id="321" name="テキスト ボックス 320">
          <a:extLst>
            <a:ext uri="{FF2B5EF4-FFF2-40B4-BE49-F238E27FC236}">
              <a16:creationId xmlns:a16="http://schemas.microsoft.com/office/drawing/2014/main" id="{715D6948-5340-46A0-9DDA-6B11CF9169AC}"/>
            </a:ext>
          </a:extLst>
        </xdr:cNvPr>
        <xdr:cNvSpPr txBox="1"/>
      </xdr:nvSpPr>
      <xdr:spPr>
        <a:xfrm>
          <a:off x="351065" y="101566435"/>
          <a:ext cx="2176235" cy="3812722"/>
        </a:xfrm>
        <a:prstGeom prst="rect">
          <a:avLst/>
        </a:prstGeom>
        <a:solidFill>
          <a:srgbClr val="FFFFC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lstStyle/>
        <a:p>
          <a:r>
            <a:rPr kumimoji="1" lang="en-US" altLang="ja-JP" sz="900">
              <a:latin typeface="ＭＳ ゴシック" panose="020B0609070205080204" pitchFamily="49" charset="-128"/>
              <a:ea typeface="ＭＳ ゴシック" panose="020B0609070205080204" pitchFamily="49" charset="-128"/>
            </a:rPr>
            <a:t>【</a:t>
          </a:r>
          <a:r>
            <a:rPr kumimoji="1" lang="ja-JP" altLang="en-US" sz="900">
              <a:latin typeface="ＭＳ ゴシック" panose="020B0609070205080204" pitchFamily="49" charset="-128"/>
              <a:ea typeface="ＭＳ ゴシック" panose="020B0609070205080204" pitchFamily="49" charset="-128"/>
            </a:rPr>
            <a:t>ジャーナル印字イメージ</a:t>
          </a:r>
          <a:r>
            <a:rPr kumimoji="1" lang="en-US" altLang="ja-JP" sz="900">
              <a:latin typeface="ＭＳ ゴシック" panose="020B0609070205080204" pitchFamily="49" charset="-128"/>
              <a:ea typeface="ＭＳ ゴシック" panose="020B0609070205080204" pitchFamily="49" charset="-128"/>
            </a:rPr>
            <a:t>】</a:t>
          </a:r>
        </a:p>
        <a:p>
          <a:r>
            <a:rPr kumimoji="1" lang="ja-JP" altLang="en-US" sz="900">
              <a:latin typeface="ＭＳ ゴシック" panose="020B0609070205080204" pitchFamily="49" charset="-128"/>
              <a:ea typeface="ＭＳ ゴシック" panose="020B0609070205080204" pitchFamily="49" charset="-128"/>
            </a:rPr>
            <a:t> </a:t>
          </a:r>
          <a:r>
            <a:rPr kumimoji="1" lang="en-US" altLang="ja-JP" sz="900">
              <a:latin typeface="ＭＳ ゴシック" panose="020B0609070205080204" pitchFamily="49" charset="-128"/>
              <a:ea typeface="ＭＳ ゴシック" panose="020B0609070205080204" pitchFamily="49" charset="-128"/>
            </a:rPr>
            <a:t>2024</a:t>
          </a:r>
          <a:r>
            <a:rPr kumimoji="1" lang="ja-JP" altLang="en-US" sz="900">
              <a:latin typeface="ＭＳ ゴシック" panose="020B0609070205080204" pitchFamily="49" charset="-128"/>
              <a:ea typeface="ＭＳ ゴシック" panose="020B0609070205080204" pitchFamily="49" charset="-128"/>
            </a:rPr>
            <a:t>年</a:t>
          </a:r>
          <a:r>
            <a:rPr kumimoji="1" lang="en-US" altLang="ja-JP" sz="900">
              <a:latin typeface="ＭＳ ゴシック" panose="020B0609070205080204" pitchFamily="49" charset="-128"/>
              <a:ea typeface="ＭＳ ゴシック" panose="020B0609070205080204" pitchFamily="49" charset="-128"/>
            </a:rPr>
            <a:t>10</a:t>
          </a:r>
          <a:r>
            <a:rPr kumimoji="1" lang="ja-JP" altLang="en-US" sz="900">
              <a:latin typeface="ＭＳ ゴシック" panose="020B0609070205080204" pitchFamily="49" charset="-128"/>
              <a:ea typeface="ＭＳ ゴシック" panose="020B0609070205080204" pitchFamily="49" charset="-128"/>
            </a:rPr>
            <a:t>月</a:t>
          </a:r>
          <a:r>
            <a:rPr kumimoji="1" lang="en-US" altLang="ja-JP" sz="900">
              <a:latin typeface="ＭＳ ゴシック" panose="020B0609070205080204" pitchFamily="49" charset="-128"/>
              <a:ea typeface="ＭＳ ゴシック" panose="020B0609070205080204" pitchFamily="49" charset="-128"/>
            </a:rPr>
            <a:t>22</a:t>
          </a:r>
          <a:r>
            <a:rPr kumimoji="1" lang="ja-JP" altLang="en-US" sz="900">
              <a:latin typeface="ＭＳ ゴシック" panose="020B0609070205080204" pitchFamily="49" charset="-128"/>
              <a:ea typeface="ＭＳ ゴシック" panose="020B0609070205080204" pitchFamily="49" charset="-128"/>
            </a:rPr>
            <a:t>日（火） </a:t>
          </a:r>
          <a:r>
            <a:rPr kumimoji="1" lang="en-US" altLang="ja-JP" sz="900">
              <a:latin typeface="ＭＳ ゴシック" panose="020B0609070205080204" pitchFamily="49" charset="-128"/>
              <a:ea typeface="ＭＳ ゴシック" panose="020B0609070205080204" pitchFamily="49" charset="-128"/>
            </a:rPr>
            <a:t>13:05     </a:t>
          </a:r>
        </a:p>
        <a:p>
          <a:r>
            <a:rPr kumimoji="1" lang="en-US" altLang="ja-JP" sz="900">
              <a:latin typeface="ＭＳ ゴシック" panose="020B0609070205080204" pitchFamily="49" charset="-128"/>
              <a:ea typeface="ＭＳ ゴシック" panose="020B0609070205080204" pitchFamily="49" charset="-128"/>
            </a:rPr>
            <a:t>  A01 x</a:t>
          </a:r>
          <a:r>
            <a:rPr kumimoji="1" lang="ja-JP" altLang="en-US" sz="900">
              <a:latin typeface="ＭＳ ゴシック" panose="020B0609070205080204" pitchFamily="49" charset="-128"/>
              <a:ea typeface="ＭＳ ゴシック" panose="020B0609070205080204" pitchFamily="49" charset="-128"/>
            </a:rPr>
            <a:t>商品Ｌ  </a:t>
          </a:r>
          <a:r>
            <a:rPr kumimoji="1" lang="en-US" altLang="ja-JP" sz="900">
              <a:latin typeface="ＭＳ ゴシック" panose="020B0609070205080204" pitchFamily="49" charset="-128"/>
              <a:ea typeface="ＭＳ ゴシック" panose="020B0609070205080204" pitchFamily="49" charset="-128"/>
            </a:rPr>
            <a:t>                 </a:t>
          </a:r>
        </a:p>
        <a:p>
          <a:r>
            <a:rPr kumimoji="1" lang="en-US" altLang="ja-JP" sz="900">
              <a:latin typeface="ＭＳ ゴシック" panose="020B0609070205080204" pitchFamily="49" charset="-128"/>
              <a:ea typeface="ＭＳ ゴシック" panose="020B0609070205080204" pitchFamily="49" charset="-128"/>
            </a:rPr>
            <a:t>   4900000007367                </a:t>
          </a:r>
        </a:p>
        <a:p>
          <a:r>
            <a:rPr kumimoji="1" lang="en-US" altLang="ja-JP" sz="900">
              <a:latin typeface="ＭＳ ゴシック" panose="020B0609070205080204" pitchFamily="49" charset="-128"/>
              <a:ea typeface="ＭＳ ゴシック" panose="020B0609070205080204" pitchFamily="49" charset="-128"/>
            </a:rPr>
            <a:t>        \100   3</a:t>
          </a:r>
          <a:r>
            <a:rPr kumimoji="1" lang="ja-JP" altLang="en-US" sz="900">
              <a:latin typeface="ＭＳ ゴシック" panose="020B0609070205080204" pitchFamily="49" charset="-128"/>
              <a:ea typeface="ＭＳ ゴシック" panose="020B0609070205080204" pitchFamily="49" charset="-128"/>
            </a:rPr>
            <a:t>個         </a:t>
          </a:r>
          <a:r>
            <a:rPr kumimoji="1" lang="en-US" altLang="ja-JP" sz="900">
              <a:latin typeface="ＭＳ ゴシック" panose="020B0609070205080204" pitchFamily="49" charset="-128"/>
              <a:ea typeface="ＭＳ ゴシック" panose="020B0609070205080204" pitchFamily="49" charset="-128"/>
            </a:rPr>
            <a:t>\300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部門値引   </a:t>
          </a:r>
          <a:r>
            <a:rPr kumimoji="1" lang="en-US" altLang="ja-JP" sz="900">
              <a:latin typeface="ＭＳ ゴシック" panose="020B0609070205080204" pitchFamily="49" charset="-128"/>
              <a:ea typeface="ＭＳ ゴシック" panose="020B0609070205080204" pitchFamily="49" charset="-128"/>
            </a:rPr>
            <a:t>15%         -\45 </a:t>
          </a:r>
        </a:p>
        <a:p>
          <a:r>
            <a:rPr kumimoji="1" lang="en-US" altLang="ja-JP" sz="900">
              <a:latin typeface="ＭＳ ゴシック" panose="020B0609070205080204" pitchFamily="49" charset="-128"/>
              <a:ea typeface="ＭＳ ゴシック" panose="020B0609070205080204" pitchFamily="49" charset="-128"/>
            </a:rPr>
            <a:t>  (  2</a:t>
          </a:r>
          <a:r>
            <a:rPr kumimoji="1" lang="ja-JP" altLang="en-US" sz="900">
              <a:latin typeface="ＭＳ ゴシック" panose="020B0609070205080204" pitchFamily="49" charset="-128"/>
              <a:ea typeface="ＭＳ ゴシック" panose="020B0609070205080204" pitchFamily="49" charset="-128"/>
            </a:rPr>
            <a:t>個</a:t>
          </a:r>
          <a:r>
            <a:rPr kumimoji="1" lang="en-US" altLang="ja-JP" sz="900">
              <a:latin typeface="ＭＳ ゴシック" panose="020B0609070205080204" pitchFamily="49" charset="-128"/>
              <a:ea typeface="ＭＳ ゴシック" panose="020B0609070205080204" pitchFamily="49" charset="-128"/>
            </a:rPr>
            <a:t>\160                  ) </a:t>
          </a:r>
        </a:p>
        <a:p>
          <a:r>
            <a:rPr kumimoji="1" lang="en-US" altLang="ja-JP" sz="900">
              <a:latin typeface="ＭＳ ゴシック" panose="020B0609070205080204" pitchFamily="49" charset="-128"/>
              <a:ea typeface="ＭＳ ゴシック" panose="020B0609070205080204" pitchFamily="49" charset="-128"/>
            </a:rPr>
            <a:t>     3</a:t>
          </a:r>
          <a:r>
            <a:rPr kumimoji="1" lang="ja-JP" altLang="en-US" sz="900">
              <a:latin typeface="ＭＳ ゴシック" panose="020B0609070205080204" pitchFamily="49" charset="-128"/>
              <a:ea typeface="ＭＳ ゴシック" panose="020B0609070205080204" pitchFamily="49" charset="-128"/>
            </a:rPr>
            <a:t>個</a:t>
          </a:r>
          <a:r>
            <a:rPr kumimoji="1" lang="en-US" altLang="ja-JP" sz="900">
              <a:latin typeface="ＭＳ ゴシック" panose="020B0609070205080204" pitchFamily="49" charset="-128"/>
              <a:ea typeface="ＭＳ ゴシック" panose="020B0609070205080204" pitchFamily="49" charset="-128"/>
            </a:rPr>
            <a:t>A</a:t>
          </a:r>
          <a:r>
            <a:rPr kumimoji="1" lang="ja-JP" altLang="en-US" sz="900">
              <a:latin typeface="ＭＳ ゴシック" panose="020B0609070205080204" pitchFamily="49" charset="-128"/>
              <a:ea typeface="ＭＳ ゴシック" panose="020B0609070205080204" pitchFamily="49" charset="-128"/>
            </a:rPr>
            <a:t>まとめ    </a:t>
          </a:r>
          <a:r>
            <a:rPr kumimoji="1" lang="en-US" altLang="ja-JP" sz="900">
              <a:latin typeface="ＭＳ ゴシック" panose="020B0609070205080204" pitchFamily="49" charset="-128"/>
              <a:ea typeface="ＭＳ ゴシック" panose="020B0609070205080204" pitchFamily="49" charset="-128"/>
            </a:rPr>
            <a:t>\240    -\15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小計       </a:t>
          </a:r>
          <a:r>
            <a:rPr kumimoji="1" lang="en-US" altLang="ja-JP" sz="900">
              <a:latin typeface="ＭＳ ゴシック" panose="020B0609070205080204" pitchFamily="49" charset="-128"/>
              <a:ea typeface="ＭＳ ゴシック" panose="020B0609070205080204" pitchFamily="49" charset="-128"/>
            </a:rPr>
            <a:t>3</a:t>
          </a:r>
          <a:r>
            <a:rPr kumimoji="1" lang="ja-JP" altLang="en-US" sz="900">
              <a:latin typeface="ＭＳ ゴシック" panose="020B0609070205080204" pitchFamily="49" charset="-128"/>
              <a:ea typeface="ＭＳ ゴシック" panose="020B0609070205080204" pitchFamily="49" charset="-128"/>
            </a:rPr>
            <a:t>点            </a:t>
          </a:r>
          <a:r>
            <a:rPr kumimoji="1" lang="en-US" altLang="ja-JP" sz="900">
              <a:latin typeface="ＭＳ ゴシック" panose="020B0609070205080204" pitchFamily="49" charset="-128"/>
              <a:ea typeface="ＭＳ ゴシック" panose="020B0609070205080204" pitchFamily="49" charset="-128"/>
            </a:rPr>
            <a:t>\240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外税 </a:t>
          </a:r>
          <a:r>
            <a:rPr kumimoji="1" lang="en-US" altLang="ja-JP" sz="900">
              <a:latin typeface="ＭＳ ゴシック" panose="020B0609070205080204" pitchFamily="49" charset="-128"/>
              <a:ea typeface="ＭＳ ゴシック" panose="020B0609070205080204" pitchFamily="49" charset="-128"/>
            </a:rPr>
            <a:t>8.0%</a:t>
          </a:r>
          <a:r>
            <a:rPr kumimoji="1" lang="ja-JP" altLang="en-US" sz="900">
              <a:latin typeface="ＭＳ ゴシック" panose="020B0609070205080204" pitchFamily="49" charset="-128"/>
              <a:ea typeface="ＭＳ ゴシック" panose="020B0609070205080204" pitchFamily="49" charset="-128"/>
            </a:rPr>
            <a:t>対象額         </a:t>
          </a:r>
          <a:r>
            <a:rPr kumimoji="1" lang="en-US" altLang="ja-JP" sz="900">
              <a:latin typeface="ＭＳ ゴシック" panose="020B0609070205080204" pitchFamily="49" charset="-128"/>
              <a:ea typeface="ＭＳ ゴシック" panose="020B0609070205080204" pitchFamily="49" charset="-128"/>
            </a:rPr>
            <a:t>\240)</a:t>
          </a:r>
        </a:p>
        <a:p>
          <a:r>
            <a:rPr kumimoji="1" lang="en-US" altLang="ja-JP" sz="900">
              <a:latin typeface="ＭＳ ゴシック" panose="020B0609070205080204" pitchFamily="49" charset="-128"/>
              <a:ea typeface="ＭＳ ゴシック" panose="020B0609070205080204" pitchFamily="49" charset="-128"/>
            </a:rPr>
            <a:t>      8.0% </a:t>
          </a:r>
          <a:r>
            <a:rPr kumimoji="1" lang="ja-JP" altLang="en-US" sz="900">
              <a:latin typeface="ＭＳ ゴシック" panose="020B0609070205080204" pitchFamily="49" charset="-128"/>
              <a:ea typeface="ＭＳ ゴシック" panose="020B0609070205080204" pitchFamily="49" charset="-128"/>
            </a:rPr>
            <a:t>消費税等         </a:t>
          </a:r>
          <a:r>
            <a:rPr kumimoji="1" lang="en-US" altLang="ja-JP" sz="900">
              <a:latin typeface="ＭＳ ゴシック" panose="020B0609070205080204" pitchFamily="49" charset="-128"/>
              <a:ea typeface="ＭＳ ゴシック" panose="020B0609070205080204" pitchFamily="49" charset="-128"/>
            </a:rPr>
            <a:t>\19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外税額計                   </a:t>
          </a:r>
          <a:r>
            <a:rPr kumimoji="1" lang="en-US" altLang="ja-JP" sz="900">
              <a:latin typeface="ＭＳ ゴシック" panose="020B0609070205080204" pitchFamily="49" charset="-128"/>
              <a:ea typeface="ＭＳ ゴシック" panose="020B0609070205080204" pitchFamily="49" charset="-128"/>
            </a:rPr>
            <a:t>\19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税込小計                  </a:t>
          </a:r>
          <a:r>
            <a:rPr kumimoji="1" lang="en-US" altLang="ja-JP" sz="900">
              <a:latin typeface="ＭＳ ゴシック" panose="020B0609070205080204" pitchFamily="49" charset="-128"/>
              <a:ea typeface="ＭＳ ゴシック" panose="020B0609070205080204" pitchFamily="49" charset="-128"/>
            </a:rPr>
            <a:t>\259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税込 </a:t>
          </a:r>
          <a:r>
            <a:rPr kumimoji="1" lang="en-US" altLang="ja-JP" sz="900">
              <a:latin typeface="ＭＳ ゴシック" panose="020B0609070205080204" pitchFamily="49" charset="-128"/>
              <a:ea typeface="ＭＳ ゴシック" panose="020B0609070205080204" pitchFamily="49" charset="-128"/>
            </a:rPr>
            <a:t>8.0%</a:t>
          </a:r>
          <a:r>
            <a:rPr kumimoji="1" lang="ja-JP" altLang="en-US" sz="900">
              <a:latin typeface="ＭＳ ゴシック" panose="020B0609070205080204" pitchFamily="49" charset="-128"/>
              <a:ea typeface="ＭＳ ゴシック" panose="020B0609070205080204" pitchFamily="49" charset="-128"/>
            </a:rPr>
            <a:t>対象額         </a:t>
          </a:r>
          <a:r>
            <a:rPr kumimoji="1" lang="en-US" altLang="ja-JP" sz="900">
              <a:latin typeface="ＭＳ ゴシック" panose="020B0609070205080204" pitchFamily="49" charset="-128"/>
              <a:ea typeface="ＭＳ ゴシック" panose="020B0609070205080204" pitchFamily="49" charset="-128"/>
            </a:rPr>
            <a:t>\259)</a:t>
          </a:r>
        </a:p>
        <a:p>
          <a:r>
            <a:rPr kumimoji="1" lang="en-US" altLang="ja-JP" sz="900">
              <a:latin typeface="ＭＳ ゴシック" panose="020B0609070205080204" pitchFamily="49" charset="-128"/>
              <a:ea typeface="ＭＳ ゴシック" panose="020B0609070205080204" pitchFamily="49" charset="-128"/>
            </a:rPr>
            <a:t>      8.0% </a:t>
          </a:r>
          <a:r>
            <a:rPr kumimoji="1" lang="ja-JP" altLang="en-US" sz="900">
              <a:latin typeface="ＭＳ ゴシック" panose="020B0609070205080204" pitchFamily="49" charset="-128"/>
              <a:ea typeface="ＭＳ ゴシック" panose="020B0609070205080204" pitchFamily="49" charset="-128"/>
            </a:rPr>
            <a:t>消費税等         </a:t>
          </a:r>
          <a:r>
            <a:rPr kumimoji="1" lang="en-US" altLang="ja-JP" sz="900">
              <a:latin typeface="ＭＳ ゴシック" panose="020B0609070205080204" pitchFamily="49" charset="-128"/>
              <a:ea typeface="ＭＳ ゴシック" panose="020B0609070205080204" pitchFamily="49" charset="-128"/>
            </a:rPr>
            <a:t>\19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税額計                     </a:t>
          </a:r>
          <a:r>
            <a:rPr kumimoji="1" lang="en-US" altLang="ja-JP" sz="900">
              <a:latin typeface="ＭＳ ゴシック" panose="020B0609070205080204" pitchFamily="49" charset="-128"/>
              <a:ea typeface="ＭＳ ゴシック" panose="020B0609070205080204" pitchFamily="49" charset="-128"/>
            </a:rPr>
            <a:t>\19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a:t>
          </a:r>
          <a:r>
            <a:rPr kumimoji="1" lang="en-US" altLang="ja-JP" sz="900">
              <a:latin typeface="ＭＳ ゴシック" panose="020B0609070205080204" pitchFamily="49" charset="-128"/>
              <a:ea typeface="ＭＳ ゴシック" panose="020B0609070205080204" pitchFamily="49" charset="-128"/>
            </a:rPr>
            <a:t>x</a:t>
          </a:r>
          <a:r>
            <a:rPr kumimoji="1" lang="ja-JP" altLang="en-US" sz="900">
              <a:latin typeface="ＭＳ ゴシック" panose="020B0609070205080204" pitchFamily="49" charset="-128"/>
              <a:ea typeface="ＭＳ ゴシック" panose="020B0609070205080204" pitchFamily="49" charset="-128"/>
            </a:rPr>
            <a:t>」は軽減税率対象商品です    </a:t>
          </a:r>
        </a:p>
        <a:p>
          <a:r>
            <a:rPr kumimoji="1" lang="ja-JP" altLang="en-US" sz="900">
              <a:latin typeface="ＭＳ ゴシック" panose="020B0609070205080204" pitchFamily="49" charset="-128"/>
              <a:ea typeface="ＭＳ ゴシック" panose="020B0609070205080204" pitchFamily="49" charset="-128"/>
            </a:rPr>
            <a:t> 合計                  </a:t>
          </a:r>
          <a:r>
            <a:rPr kumimoji="1" lang="en-US" altLang="ja-JP" sz="900">
              <a:latin typeface="ＭＳ ゴシック" panose="020B0609070205080204" pitchFamily="49" charset="-128"/>
              <a:ea typeface="ＭＳ ゴシック" panose="020B0609070205080204" pitchFamily="49" charset="-128"/>
            </a:rPr>
            <a:t>\259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お預り                </a:t>
          </a:r>
          <a:r>
            <a:rPr kumimoji="1" lang="en-US" altLang="ja-JP" sz="900">
              <a:latin typeface="ＭＳ ゴシック" panose="020B0609070205080204" pitchFamily="49" charset="-128"/>
              <a:ea typeface="ＭＳ ゴシック" panose="020B0609070205080204" pitchFamily="49" charset="-128"/>
            </a:rPr>
            <a:t>\259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お釣り                    </a:t>
          </a:r>
          <a:r>
            <a:rPr kumimoji="1" lang="en-US" altLang="ja-JP" sz="900">
              <a:latin typeface="ＭＳ ゴシック" panose="020B0609070205080204" pitchFamily="49" charset="-128"/>
              <a:ea typeface="ＭＳ ゴシック" panose="020B0609070205080204" pitchFamily="49" charset="-128"/>
            </a:rPr>
            <a:t>\0   </a:t>
          </a:r>
        </a:p>
        <a:p>
          <a:endParaRPr kumimoji="1" lang="en-US" altLang="ja-JP" sz="900">
            <a:latin typeface="ＭＳ ゴシック" panose="020B0609070205080204" pitchFamily="49" charset="-128"/>
            <a:ea typeface="ＭＳ ゴシック" panose="020B0609070205080204" pitchFamily="49" charset="-128"/>
          </a:endParaRPr>
        </a:p>
      </xdr:txBody>
    </xdr:sp>
    <xdr:clientData/>
  </xdr:twoCellAnchor>
  <xdr:twoCellAnchor>
    <xdr:from>
      <xdr:col>20</xdr:col>
      <xdr:colOff>210576</xdr:colOff>
      <xdr:row>584</xdr:row>
      <xdr:rowOff>75494</xdr:rowOff>
    </xdr:from>
    <xdr:to>
      <xdr:col>22</xdr:col>
      <xdr:colOff>21981</xdr:colOff>
      <xdr:row>595</xdr:row>
      <xdr:rowOff>75787</xdr:rowOff>
    </xdr:to>
    <xdr:cxnSp macro="">
      <xdr:nvCxnSpPr>
        <xdr:cNvPr id="322" name="直線コネクタ 31">
          <a:extLst>
            <a:ext uri="{FF2B5EF4-FFF2-40B4-BE49-F238E27FC236}">
              <a16:creationId xmlns:a16="http://schemas.microsoft.com/office/drawing/2014/main" id="{E14D63D3-A08B-43D3-BCD0-DDC89620F32F}"/>
            </a:ext>
          </a:extLst>
        </xdr:cNvPr>
        <xdr:cNvCxnSpPr>
          <a:stCxn id="343" idx="1"/>
          <a:endCxn id="334" idx="3"/>
        </xdr:cNvCxnSpPr>
      </xdr:nvCxnSpPr>
      <xdr:spPr>
        <a:xfrm rot="10800000">
          <a:off x="4782576" y="100202294"/>
          <a:ext cx="268605" cy="1886243"/>
        </a:xfrm>
        <a:prstGeom prst="bentConnector3">
          <a:avLst>
            <a:gd name="adj1" fmla="val 67523"/>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281009</xdr:colOff>
      <xdr:row>583</xdr:row>
      <xdr:rowOff>66087</xdr:rowOff>
    </xdr:from>
    <xdr:to>
      <xdr:col>12</xdr:col>
      <xdr:colOff>18463</xdr:colOff>
      <xdr:row>583</xdr:row>
      <xdr:rowOff>67142</xdr:rowOff>
    </xdr:to>
    <xdr:cxnSp macro="">
      <xdr:nvCxnSpPr>
        <xdr:cNvPr id="323" name="直線コネクタ 322">
          <a:extLst>
            <a:ext uri="{FF2B5EF4-FFF2-40B4-BE49-F238E27FC236}">
              <a16:creationId xmlns:a16="http://schemas.microsoft.com/office/drawing/2014/main" id="{B1744E1A-CFBA-47B6-B9A4-B99EF3D0BCF2}"/>
            </a:ext>
          </a:extLst>
        </xdr:cNvPr>
        <xdr:cNvCxnSpPr>
          <a:cxnSpLocks/>
          <a:stCxn id="324" idx="3"/>
          <a:endCxn id="332" idx="1"/>
        </xdr:cNvCxnSpPr>
      </xdr:nvCxnSpPr>
      <xdr:spPr>
        <a:xfrm>
          <a:off x="2509859" y="100021437"/>
          <a:ext cx="251804" cy="1055"/>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107654</xdr:colOff>
      <xdr:row>583</xdr:row>
      <xdr:rowOff>13233</xdr:rowOff>
    </xdr:from>
    <xdr:to>
      <xdr:col>10</xdr:col>
      <xdr:colOff>281009</xdr:colOff>
      <xdr:row>583</xdr:row>
      <xdr:rowOff>118940</xdr:rowOff>
    </xdr:to>
    <xdr:sp macro="" textlink="">
      <xdr:nvSpPr>
        <xdr:cNvPr id="324" name="正方形/長方形 323">
          <a:extLst>
            <a:ext uri="{FF2B5EF4-FFF2-40B4-BE49-F238E27FC236}">
              <a16:creationId xmlns:a16="http://schemas.microsoft.com/office/drawing/2014/main" id="{4A4EB0C7-1602-43F5-A197-C237407F0D67}"/>
            </a:ext>
          </a:extLst>
        </xdr:cNvPr>
        <xdr:cNvSpPr/>
      </xdr:nvSpPr>
      <xdr:spPr>
        <a:xfrm>
          <a:off x="2393654" y="99968583"/>
          <a:ext cx="116205" cy="10570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21981</xdr:colOff>
      <xdr:row>583</xdr:row>
      <xdr:rowOff>14654</xdr:rowOff>
    </xdr:from>
    <xdr:to>
      <xdr:col>20</xdr:col>
      <xdr:colOff>199146</xdr:colOff>
      <xdr:row>583</xdr:row>
      <xdr:rowOff>116551</xdr:rowOff>
    </xdr:to>
    <xdr:sp macro="" textlink="">
      <xdr:nvSpPr>
        <xdr:cNvPr id="325" name="正方形/長方形 324">
          <a:extLst>
            <a:ext uri="{FF2B5EF4-FFF2-40B4-BE49-F238E27FC236}">
              <a16:creationId xmlns:a16="http://schemas.microsoft.com/office/drawing/2014/main" id="{EB943D17-86F0-4234-AC5D-038A289AD8F6}"/>
            </a:ext>
          </a:extLst>
        </xdr:cNvPr>
        <xdr:cNvSpPr/>
      </xdr:nvSpPr>
      <xdr:spPr>
        <a:xfrm>
          <a:off x="4593981" y="99970004"/>
          <a:ext cx="17716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18757</xdr:colOff>
      <xdr:row>583</xdr:row>
      <xdr:rowOff>20242</xdr:rowOff>
    </xdr:from>
    <xdr:to>
      <xdr:col>22</xdr:col>
      <xdr:colOff>192112</xdr:colOff>
      <xdr:row>583</xdr:row>
      <xdr:rowOff>122139</xdr:rowOff>
    </xdr:to>
    <xdr:sp macro="" textlink="">
      <xdr:nvSpPr>
        <xdr:cNvPr id="326" name="正方形/長方形 325">
          <a:extLst>
            <a:ext uri="{FF2B5EF4-FFF2-40B4-BE49-F238E27FC236}">
              <a16:creationId xmlns:a16="http://schemas.microsoft.com/office/drawing/2014/main" id="{13655DD6-D5D8-416D-A7FC-3E80E6E36CF4}"/>
            </a:ext>
          </a:extLst>
        </xdr:cNvPr>
        <xdr:cNvSpPr/>
      </xdr:nvSpPr>
      <xdr:spPr>
        <a:xfrm>
          <a:off x="5047957" y="99975592"/>
          <a:ext cx="17335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18758</xdr:colOff>
      <xdr:row>583</xdr:row>
      <xdr:rowOff>9232</xdr:rowOff>
    </xdr:from>
    <xdr:to>
      <xdr:col>33</xdr:col>
      <xdr:colOff>182588</xdr:colOff>
      <xdr:row>583</xdr:row>
      <xdr:rowOff>103509</xdr:rowOff>
    </xdr:to>
    <xdr:sp macro="" textlink="">
      <xdr:nvSpPr>
        <xdr:cNvPr id="327" name="正方形/長方形 326">
          <a:extLst>
            <a:ext uri="{FF2B5EF4-FFF2-40B4-BE49-F238E27FC236}">
              <a16:creationId xmlns:a16="http://schemas.microsoft.com/office/drawing/2014/main" id="{A7E86E52-324E-454D-A000-AC2168A240AD}"/>
            </a:ext>
          </a:extLst>
        </xdr:cNvPr>
        <xdr:cNvSpPr/>
      </xdr:nvSpPr>
      <xdr:spPr>
        <a:xfrm>
          <a:off x="7562558" y="99964582"/>
          <a:ext cx="163830"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27402</xdr:colOff>
      <xdr:row>583</xdr:row>
      <xdr:rowOff>11137</xdr:rowOff>
    </xdr:from>
    <xdr:to>
      <xdr:col>29</xdr:col>
      <xdr:colOff>200757</xdr:colOff>
      <xdr:row>583</xdr:row>
      <xdr:rowOff>105414</xdr:rowOff>
    </xdr:to>
    <xdr:sp macro="" textlink="">
      <xdr:nvSpPr>
        <xdr:cNvPr id="328" name="正方形/長方形 327">
          <a:extLst>
            <a:ext uri="{FF2B5EF4-FFF2-40B4-BE49-F238E27FC236}">
              <a16:creationId xmlns:a16="http://schemas.microsoft.com/office/drawing/2014/main" id="{90EB6A97-BA19-4D00-A282-89676CC6FD39}"/>
            </a:ext>
          </a:extLst>
        </xdr:cNvPr>
        <xdr:cNvSpPr/>
      </xdr:nvSpPr>
      <xdr:spPr>
        <a:xfrm>
          <a:off x="6656802" y="99966487"/>
          <a:ext cx="17335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585</xdr:row>
      <xdr:rowOff>14655</xdr:rowOff>
    </xdr:from>
    <xdr:to>
      <xdr:col>29</xdr:col>
      <xdr:colOff>198853</xdr:colOff>
      <xdr:row>585</xdr:row>
      <xdr:rowOff>112742</xdr:rowOff>
    </xdr:to>
    <xdr:sp macro="" textlink="">
      <xdr:nvSpPr>
        <xdr:cNvPr id="329" name="正方形/長方形 328">
          <a:extLst>
            <a:ext uri="{FF2B5EF4-FFF2-40B4-BE49-F238E27FC236}">
              <a16:creationId xmlns:a16="http://schemas.microsoft.com/office/drawing/2014/main" id="{7952BA8D-D6B3-4100-8ABB-95E0946425C0}"/>
            </a:ext>
          </a:extLst>
        </xdr:cNvPr>
        <xdr:cNvSpPr/>
      </xdr:nvSpPr>
      <xdr:spPr>
        <a:xfrm>
          <a:off x="6658708" y="10031290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13336</xdr:colOff>
      <xdr:row>584</xdr:row>
      <xdr:rowOff>21980</xdr:rowOff>
    </xdr:from>
    <xdr:to>
      <xdr:col>33</xdr:col>
      <xdr:colOff>171451</xdr:colOff>
      <xdr:row>584</xdr:row>
      <xdr:rowOff>123877</xdr:rowOff>
    </xdr:to>
    <xdr:sp macro="" textlink="">
      <xdr:nvSpPr>
        <xdr:cNvPr id="330" name="正方形/長方形 329">
          <a:extLst>
            <a:ext uri="{FF2B5EF4-FFF2-40B4-BE49-F238E27FC236}">
              <a16:creationId xmlns:a16="http://schemas.microsoft.com/office/drawing/2014/main" id="{BCB85BB3-E25B-429E-84C3-0F98A4DA9F3E}"/>
            </a:ext>
          </a:extLst>
        </xdr:cNvPr>
        <xdr:cNvSpPr/>
      </xdr:nvSpPr>
      <xdr:spPr>
        <a:xfrm>
          <a:off x="7557136" y="100148780"/>
          <a:ext cx="158115" cy="10189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200757</xdr:colOff>
      <xdr:row>583</xdr:row>
      <xdr:rowOff>56371</xdr:rowOff>
    </xdr:from>
    <xdr:to>
      <xdr:col>33</xdr:col>
      <xdr:colOff>18758</xdr:colOff>
      <xdr:row>583</xdr:row>
      <xdr:rowOff>58276</xdr:rowOff>
    </xdr:to>
    <xdr:cxnSp macro="">
      <xdr:nvCxnSpPr>
        <xdr:cNvPr id="331" name="直線コネクタ 330">
          <a:extLst>
            <a:ext uri="{FF2B5EF4-FFF2-40B4-BE49-F238E27FC236}">
              <a16:creationId xmlns:a16="http://schemas.microsoft.com/office/drawing/2014/main" id="{F3EA98C5-27B6-4A02-9B00-507A3D5DCD52}"/>
            </a:ext>
          </a:extLst>
        </xdr:cNvPr>
        <xdr:cNvCxnSpPr>
          <a:stCxn id="327" idx="1"/>
          <a:endCxn id="328" idx="3"/>
        </xdr:cNvCxnSpPr>
      </xdr:nvCxnSpPr>
      <xdr:spPr>
        <a:xfrm flipH="1">
          <a:off x="6830157" y="100011721"/>
          <a:ext cx="732401" cy="1905"/>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18463</xdr:colOff>
      <xdr:row>583</xdr:row>
      <xdr:rowOff>22861</xdr:rowOff>
    </xdr:from>
    <xdr:to>
      <xdr:col>12</xdr:col>
      <xdr:colOff>191818</xdr:colOff>
      <xdr:row>583</xdr:row>
      <xdr:rowOff>111423</xdr:rowOff>
    </xdr:to>
    <xdr:sp macro="" textlink="">
      <xdr:nvSpPr>
        <xdr:cNvPr id="332" name="正方形/長方形 331">
          <a:extLst>
            <a:ext uri="{FF2B5EF4-FFF2-40B4-BE49-F238E27FC236}">
              <a16:creationId xmlns:a16="http://schemas.microsoft.com/office/drawing/2014/main" id="{0B3FFE09-0B5F-4F83-9C29-9CC5EFC8E26F}"/>
            </a:ext>
          </a:extLst>
        </xdr:cNvPr>
        <xdr:cNvSpPr/>
      </xdr:nvSpPr>
      <xdr:spPr>
        <a:xfrm>
          <a:off x="2761663" y="99978211"/>
          <a:ext cx="173355" cy="8856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21981</xdr:colOff>
      <xdr:row>584</xdr:row>
      <xdr:rowOff>23885</xdr:rowOff>
    </xdr:from>
    <xdr:to>
      <xdr:col>22</xdr:col>
      <xdr:colOff>191526</xdr:colOff>
      <xdr:row>584</xdr:row>
      <xdr:rowOff>127688</xdr:rowOff>
    </xdr:to>
    <xdr:sp macro="" textlink="">
      <xdr:nvSpPr>
        <xdr:cNvPr id="333" name="正方形/長方形 332">
          <a:extLst>
            <a:ext uri="{FF2B5EF4-FFF2-40B4-BE49-F238E27FC236}">
              <a16:creationId xmlns:a16="http://schemas.microsoft.com/office/drawing/2014/main" id="{58E4F845-0E6D-4200-9475-908FBAB8ECD1}"/>
            </a:ext>
          </a:extLst>
        </xdr:cNvPr>
        <xdr:cNvSpPr/>
      </xdr:nvSpPr>
      <xdr:spPr>
        <a:xfrm>
          <a:off x="5051181" y="10015068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21981</xdr:colOff>
      <xdr:row>584</xdr:row>
      <xdr:rowOff>29308</xdr:rowOff>
    </xdr:from>
    <xdr:to>
      <xdr:col>20</xdr:col>
      <xdr:colOff>210576</xdr:colOff>
      <xdr:row>584</xdr:row>
      <xdr:rowOff>121680</xdr:rowOff>
    </xdr:to>
    <xdr:sp macro="" textlink="">
      <xdr:nvSpPr>
        <xdr:cNvPr id="334" name="正方形/長方形 333">
          <a:extLst>
            <a:ext uri="{FF2B5EF4-FFF2-40B4-BE49-F238E27FC236}">
              <a16:creationId xmlns:a16="http://schemas.microsoft.com/office/drawing/2014/main" id="{F4B9AA96-9D8D-46C8-BEC5-F24E6C20001A}"/>
            </a:ext>
          </a:extLst>
        </xdr:cNvPr>
        <xdr:cNvSpPr/>
      </xdr:nvSpPr>
      <xdr:spPr>
        <a:xfrm>
          <a:off x="4593981" y="100156108"/>
          <a:ext cx="188595" cy="9237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206766</xdr:colOff>
      <xdr:row>584</xdr:row>
      <xdr:rowOff>75494</xdr:rowOff>
    </xdr:from>
    <xdr:to>
      <xdr:col>22</xdr:col>
      <xdr:colOff>18171</xdr:colOff>
      <xdr:row>584</xdr:row>
      <xdr:rowOff>75787</xdr:rowOff>
    </xdr:to>
    <xdr:cxnSp macro="">
      <xdr:nvCxnSpPr>
        <xdr:cNvPr id="335" name="直線コネクタ 334">
          <a:extLst>
            <a:ext uri="{FF2B5EF4-FFF2-40B4-BE49-F238E27FC236}">
              <a16:creationId xmlns:a16="http://schemas.microsoft.com/office/drawing/2014/main" id="{402934C3-EE5C-471B-978E-740455CE8B83}"/>
            </a:ext>
          </a:extLst>
        </xdr:cNvPr>
        <xdr:cNvCxnSpPr>
          <a:cxnSpLocks/>
          <a:stCxn id="334" idx="3"/>
          <a:endCxn id="333" idx="1"/>
        </xdr:cNvCxnSpPr>
      </xdr:nvCxnSpPr>
      <xdr:spPr>
        <a:xfrm>
          <a:off x="4778766" y="100202294"/>
          <a:ext cx="268605" cy="293"/>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198853</xdr:colOff>
      <xdr:row>584</xdr:row>
      <xdr:rowOff>72929</xdr:rowOff>
    </xdr:from>
    <xdr:to>
      <xdr:col>33</xdr:col>
      <xdr:colOff>13336</xdr:colOff>
      <xdr:row>585</xdr:row>
      <xdr:rowOff>63699</xdr:rowOff>
    </xdr:to>
    <xdr:cxnSp macro="">
      <xdr:nvCxnSpPr>
        <xdr:cNvPr id="336" name="直線コネクタ 31">
          <a:extLst>
            <a:ext uri="{FF2B5EF4-FFF2-40B4-BE49-F238E27FC236}">
              <a16:creationId xmlns:a16="http://schemas.microsoft.com/office/drawing/2014/main" id="{B72B197D-223E-4BB6-96F1-EABC683E1000}"/>
            </a:ext>
          </a:extLst>
        </xdr:cNvPr>
        <xdr:cNvCxnSpPr>
          <a:stCxn id="329" idx="3"/>
          <a:endCxn id="330" idx="1"/>
        </xdr:cNvCxnSpPr>
      </xdr:nvCxnSpPr>
      <xdr:spPr>
        <a:xfrm flipV="1">
          <a:off x="6828253" y="100199729"/>
          <a:ext cx="728883" cy="162220"/>
        </a:xfrm>
        <a:prstGeom prst="bentConnector3">
          <a:avLst>
            <a:gd name="adj1" fmla="val 50000"/>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18757</xdr:colOff>
      <xdr:row>594</xdr:row>
      <xdr:rowOff>20242</xdr:rowOff>
    </xdr:from>
    <xdr:to>
      <xdr:col>22</xdr:col>
      <xdr:colOff>192112</xdr:colOff>
      <xdr:row>594</xdr:row>
      <xdr:rowOff>122139</xdr:rowOff>
    </xdr:to>
    <xdr:sp macro="" textlink="">
      <xdr:nvSpPr>
        <xdr:cNvPr id="337" name="正方形/長方形 336">
          <a:extLst>
            <a:ext uri="{FF2B5EF4-FFF2-40B4-BE49-F238E27FC236}">
              <a16:creationId xmlns:a16="http://schemas.microsoft.com/office/drawing/2014/main" id="{BBAAE31D-9C74-4CC5-825F-0359EFFE60CC}"/>
            </a:ext>
          </a:extLst>
        </xdr:cNvPr>
        <xdr:cNvSpPr/>
      </xdr:nvSpPr>
      <xdr:spPr>
        <a:xfrm>
          <a:off x="5047957" y="101861542"/>
          <a:ext cx="17335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18758</xdr:colOff>
      <xdr:row>594</xdr:row>
      <xdr:rowOff>9232</xdr:rowOff>
    </xdr:from>
    <xdr:to>
      <xdr:col>33</xdr:col>
      <xdr:colOff>182588</xdr:colOff>
      <xdr:row>594</xdr:row>
      <xdr:rowOff>103509</xdr:rowOff>
    </xdr:to>
    <xdr:sp macro="" textlink="">
      <xdr:nvSpPr>
        <xdr:cNvPr id="338" name="正方形/長方形 337">
          <a:extLst>
            <a:ext uri="{FF2B5EF4-FFF2-40B4-BE49-F238E27FC236}">
              <a16:creationId xmlns:a16="http://schemas.microsoft.com/office/drawing/2014/main" id="{E4B2BAF3-0738-4C7D-89C6-9F9F03B02D05}"/>
            </a:ext>
          </a:extLst>
        </xdr:cNvPr>
        <xdr:cNvSpPr/>
      </xdr:nvSpPr>
      <xdr:spPr>
        <a:xfrm>
          <a:off x="7562558" y="101850532"/>
          <a:ext cx="163830"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27402</xdr:colOff>
      <xdr:row>594</xdr:row>
      <xdr:rowOff>11137</xdr:rowOff>
    </xdr:from>
    <xdr:to>
      <xdr:col>29</xdr:col>
      <xdr:colOff>200757</xdr:colOff>
      <xdr:row>594</xdr:row>
      <xdr:rowOff>105414</xdr:rowOff>
    </xdr:to>
    <xdr:sp macro="" textlink="">
      <xdr:nvSpPr>
        <xdr:cNvPr id="339" name="正方形/長方形 338">
          <a:extLst>
            <a:ext uri="{FF2B5EF4-FFF2-40B4-BE49-F238E27FC236}">
              <a16:creationId xmlns:a16="http://schemas.microsoft.com/office/drawing/2014/main" id="{2BD7D708-8FC6-47BE-860A-77AA0C5C92C8}"/>
            </a:ext>
          </a:extLst>
        </xdr:cNvPr>
        <xdr:cNvSpPr/>
      </xdr:nvSpPr>
      <xdr:spPr>
        <a:xfrm>
          <a:off x="6656802" y="101852437"/>
          <a:ext cx="17335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596</xdr:row>
      <xdr:rowOff>14655</xdr:rowOff>
    </xdr:from>
    <xdr:to>
      <xdr:col>29</xdr:col>
      <xdr:colOff>198853</xdr:colOff>
      <xdr:row>596</xdr:row>
      <xdr:rowOff>112742</xdr:rowOff>
    </xdr:to>
    <xdr:sp macro="" textlink="">
      <xdr:nvSpPr>
        <xdr:cNvPr id="340" name="正方形/長方形 339">
          <a:extLst>
            <a:ext uri="{FF2B5EF4-FFF2-40B4-BE49-F238E27FC236}">
              <a16:creationId xmlns:a16="http://schemas.microsoft.com/office/drawing/2014/main" id="{A7405ED0-0B0D-4ED2-A189-849D77A4A259}"/>
            </a:ext>
          </a:extLst>
        </xdr:cNvPr>
        <xdr:cNvSpPr/>
      </xdr:nvSpPr>
      <xdr:spPr>
        <a:xfrm>
          <a:off x="6658708" y="10219885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13336</xdr:colOff>
      <xdr:row>595</xdr:row>
      <xdr:rowOff>21980</xdr:rowOff>
    </xdr:from>
    <xdr:to>
      <xdr:col>33</xdr:col>
      <xdr:colOff>171451</xdr:colOff>
      <xdr:row>595</xdr:row>
      <xdr:rowOff>123877</xdr:rowOff>
    </xdr:to>
    <xdr:sp macro="" textlink="">
      <xdr:nvSpPr>
        <xdr:cNvPr id="341" name="正方形/長方形 340">
          <a:extLst>
            <a:ext uri="{FF2B5EF4-FFF2-40B4-BE49-F238E27FC236}">
              <a16:creationId xmlns:a16="http://schemas.microsoft.com/office/drawing/2014/main" id="{E4C1A943-3DFF-4961-9A14-729AE7EAF0FC}"/>
            </a:ext>
          </a:extLst>
        </xdr:cNvPr>
        <xdr:cNvSpPr/>
      </xdr:nvSpPr>
      <xdr:spPr>
        <a:xfrm>
          <a:off x="7557136" y="102034730"/>
          <a:ext cx="158115" cy="10189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200757</xdr:colOff>
      <xdr:row>594</xdr:row>
      <xdr:rowOff>56371</xdr:rowOff>
    </xdr:from>
    <xdr:to>
      <xdr:col>33</xdr:col>
      <xdr:colOff>18758</xdr:colOff>
      <xdr:row>594</xdr:row>
      <xdr:rowOff>58276</xdr:rowOff>
    </xdr:to>
    <xdr:cxnSp macro="">
      <xdr:nvCxnSpPr>
        <xdr:cNvPr id="342" name="直線コネクタ 341">
          <a:extLst>
            <a:ext uri="{FF2B5EF4-FFF2-40B4-BE49-F238E27FC236}">
              <a16:creationId xmlns:a16="http://schemas.microsoft.com/office/drawing/2014/main" id="{56A57B1A-EDE6-42F1-A41F-752DC18FF38C}"/>
            </a:ext>
          </a:extLst>
        </xdr:cNvPr>
        <xdr:cNvCxnSpPr>
          <a:stCxn id="338" idx="1"/>
          <a:endCxn id="339" idx="3"/>
        </xdr:cNvCxnSpPr>
      </xdr:nvCxnSpPr>
      <xdr:spPr>
        <a:xfrm flipH="1">
          <a:off x="6830157" y="101897671"/>
          <a:ext cx="732401" cy="1905"/>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21981</xdr:colOff>
      <xdr:row>595</xdr:row>
      <xdr:rowOff>23885</xdr:rowOff>
    </xdr:from>
    <xdr:to>
      <xdr:col>22</xdr:col>
      <xdr:colOff>191526</xdr:colOff>
      <xdr:row>595</xdr:row>
      <xdr:rowOff>127688</xdr:rowOff>
    </xdr:to>
    <xdr:sp macro="" textlink="">
      <xdr:nvSpPr>
        <xdr:cNvPr id="343" name="正方形/長方形 342">
          <a:extLst>
            <a:ext uri="{FF2B5EF4-FFF2-40B4-BE49-F238E27FC236}">
              <a16:creationId xmlns:a16="http://schemas.microsoft.com/office/drawing/2014/main" id="{8119957A-02A2-40C6-B3BD-FD59C4C38E26}"/>
            </a:ext>
          </a:extLst>
        </xdr:cNvPr>
        <xdr:cNvSpPr/>
      </xdr:nvSpPr>
      <xdr:spPr>
        <a:xfrm>
          <a:off x="5051181" y="10203663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198853</xdr:colOff>
      <xdr:row>595</xdr:row>
      <xdr:rowOff>72929</xdr:rowOff>
    </xdr:from>
    <xdr:to>
      <xdr:col>33</xdr:col>
      <xdr:colOff>13336</xdr:colOff>
      <xdr:row>596</xdr:row>
      <xdr:rowOff>63699</xdr:rowOff>
    </xdr:to>
    <xdr:cxnSp macro="">
      <xdr:nvCxnSpPr>
        <xdr:cNvPr id="344" name="直線コネクタ 31">
          <a:extLst>
            <a:ext uri="{FF2B5EF4-FFF2-40B4-BE49-F238E27FC236}">
              <a16:creationId xmlns:a16="http://schemas.microsoft.com/office/drawing/2014/main" id="{22058AD3-B9E7-41FD-B697-F5F7CDF6B379}"/>
            </a:ext>
          </a:extLst>
        </xdr:cNvPr>
        <xdr:cNvCxnSpPr>
          <a:stCxn id="340" idx="3"/>
          <a:endCxn id="341" idx="1"/>
        </xdr:cNvCxnSpPr>
      </xdr:nvCxnSpPr>
      <xdr:spPr>
        <a:xfrm flipV="1">
          <a:off x="6828253" y="102085679"/>
          <a:ext cx="728883" cy="162220"/>
        </a:xfrm>
        <a:prstGeom prst="bentConnector3">
          <a:avLst>
            <a:gd name="adj1" fmla="val 70233"/>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199146</xdr:colOff>
      <xdr:row>583</xdr:row>
      <xdr:rowOff>65604</xdr:rowOff>
    </xdr:from>
    <xdr:to>
      <xdr:col>22</xdr:col>
      <xdr:colOff>18757</xdr:colOff>
      <xdr:row>594</xdr:row>
      <xdr:rowOff>71192</xdr:rowOff>
    </xdr:to>
    <xdr:cxnSp macro="">
      <xdr:nvCxnSpPr>
        <xdr:cNvPr id="345" name="直線コネクタ 31">
          <a:extLst>
            <a:ext uri="{FF2B5EF4-FFF2-40B4-BE49-F238E27FC236}">
              <a16:creationId xmlns:a16="http://schemas.microsoft.com/office/drawing/2014/main" id="{CD93390B-443D-4F2D-BAA4-03191E34157D}"/>
            </a:ext>
          </a:extLst>
        </xdr:cNvPr>
        <xdr:cNvCxnSpPr>
          <a:stCxn id="337" idx="1"/>
          <a:endCxn id="325" idx="3"/>
        </xdr:cNvCxnSpPr>
      </xdr:nvCxnSpPr>
      <xdr:spPr>
        <a:xfrm rot="10800000">
          <a:off x="4771146" y="100020954"/>
          <a:ext cx="276811" cy="1891538"/>
        </a:xfrm>
        <a:prstGeom prst="bentConnector3">
          <a:avLst>
            <a:gd name="adj1" fmla="val 30155"/>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201051</xdr:colOff>
      <xdr:row>583</xdr:row>
      <xdr:rowOff>67508</xdr:rowOff>
    </xdr:from>
    <xdr:to>
      <xdr:col>22</xdr:col>
      <xdr:colOff>22567</xdr:colOff>
      <xdr:row>583</xdr:row>
      <xdr:rowOff>70238</xdr:rowOff>
    </xdr:to>
    <xdr:cxnSp macro="">
      <xdr:nvCxnSpPr>
        <xdr:cNvPr id="346" name="直線コネクタ 345">
          <a:extLst>
            <a:ext uri="{FF2B5EF4-FFF2-40B4-BE49-F238E27FC236}">
              <a16:creationId xmlns:a16="http://schemas.microsoft.com/office/drawing/2014/main" id="{E82439C4-9E8B-44FA-A96D-52D24C34C484}"/>
            </a:ext>
          </a:extLst>
        </xdr:cNvPr>
        <xdr:cNvCxnSpPr>
          <a:cxnSpLocks/>
          <a:stCxn id="325" idx="3"/>
          <a:endCxn id="326" idx="1"/>
        </xdr:cNvCxnSpPr>
      </xdr:nvCxnSpPr>
      <xdr:spPr>
        <a:xfrm>
          <a:off x="4773051" y="100022858"/>
          <a:ext cx="278716" cy="2730"/>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210576</xdr:colOff>
      <xdr:row>665</xdr:row>
      <xdr:rowOff>75494</xdr:rowOff>
    </xdr:from>
    <xdr:to>
      <xdr:col>22</xdr:col>
      <xdr:colOff>21981</xdr:colOff>
      <xdr:row>676</xdr:row>
      <xdr:rowOff>75787</xdr:rowOff>
    </xdr:to>
    <xdr:cxnSp macro="">
      <xdr:nvCxnSpPr>
        <xdr:cNvPr id="347" name="直線コネクタ 31">
          <a:extLst>
            <a:ext uri="{FF2B5EF4-FFF2-40B4-BE49-F238E27FC236}">
              <a16:creationId xmlns:a16="http://schemas.microsoft.com/office/drawing/2014/main" id="{F1A213A4-232C-4906-9F8E-C8067C98ACB5}"/>
            </a:ext>
          </a:extLst>
        </xdr:cNvPr>
        <xdr:cNvCxnSpPr>
          <a:stCxn id="368" idx="1"/>
          <a:endCxn id="359" idx="3"/>
        </xdr:cNvCxnSpPr>
      </xdr:nvCxnSpPr>
      <xdr:spPr>
        <a:xfrm rot="10800000">
          <a:off x="4782576" y="114089744"/>
          <a:ext cx="268605" cy="1886243"/>
        </a:xfrm>
        <a:prstGeom prst="bentConnector3">
          <a:avLst>
            <a:gd name="adj1" fmla="val 69861"/>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281009</xdr:colOff>
      <xdr:row>664</xdr:row>
      <xdr:rowOff>66087</xdr:rowOff>
    </xdr:from>
    <xdr:to>
      <xdr:col>12</xdr:col>
      <xdr:colOff>18463</xdr:colOff>
      <xdr:row>664</xdr:row>
      <xdr:rowOff>67142</xdr:rowOff>
    </xdr:to>
    <xdr:cxnSp macro="">
      <xdr:nvCxnSpPr>
        <xdr:cNvPr id="348" name="直線コネクタ 347">
          <a:extLst>
            <a:ext uri="{FF2B5EF4-FFF2-40B4-BE49-F238E27FC236}">
              <a16:creationId xmlns:a16="http://schemas.microsoft.com/office/drawing/2014/main" id="{867F89A4-133D-44E1-89CC-FC15B7CC082A}"/>
            </a:ext>
          </a:extLst>
        </xdr:cNvPr>
        <xdr:cNvCxnSpPr>
          <a:cxnSpLocks/>
          <a:stCxn id="349" idx="3"/>
          <a:endCxn id="357" idx="1"/>
        </xdr:cNvCxnSpPr>
      </xdr:nvCxnSpPr>
      <xdr:spPr>
        <a:xfrm>
          <a:off x="2509859" y="113908887"/>
          <a:ext cx="251804" cy="1055"/>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107654</xdr:colOff>
      <xdr:row>664</xdr:row>
      <xdr:rowOff>13233</xdr:rowOff>
    </xdr:from>
    <xdr:to>
      <xdr:col>10</xdr:col>
      <xdr:colOff>281009</xdr:colOff>
      <xdr:row>664</xdr:row>
      <xdr:rowOff>118940</xdr:rowOff>
    </xdr:to>
    <xdr:sp macro="" textlink="">
      <xdr:nvSpPr>
        <xdr:cNvPr id="349" name="正方形/長方形 348">
          <a:extLst>
            <a:ext uri="{FF2B5EF4-FFF2-40B4-BE49-F238E27FC236}">
              <a16:creationId xmlns:a16="http://schemas.microsoft.com/office/drawing/2014/main" id="{CB92C6D2-029F-452E-96E7-D1C1645873CC}"/>
            </a:ext>
          </a:extLst>
        </xdr:cNvPr>
        <xdr:cNvSpPr/>
      </xdr:nvSpPr>
      <xdr:spPr>
        <a:xfrm>
          <a:off x="2393654" y="113856033"/>
          <a:ext cx="116205" cy="10570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21981</xdr:colOff>
      <xdr:row>664</xdr:row>
      <xdr:rowOff>14654</xdr:rowOff>
    </xdr:from>
    <xdr:to>
      <xdr:col>20</xdr:col>
      <xdr:colOff>199146</xdr:colOff>
      <xdr:row>664</xdr:row>
      <xdr:rowOff>116551</xdr:rowOff>
    </xdr:to>
    <xdr:sp macro="" textlink="">
      <xdr:nvSpPr>
        <xdr:cNvPr id="350" name="正方形/長方形 349">
          <a:extLst>
            <a:ext uri="{FF2B5EF4-FFF2-40B4-BE49-F238E27FC236}">
              <a16:creationId xmlns:a16="http://schemas.microsoft.com/office/drawing/2014/main" id="{3A41760D-9039-47F7-A308-32831C11BF49}"/>
            </a:ext>
          </a:extLst>
        </xdr:cNvPr>
        <xdr:cNvSpPr/>
      </xdr:nvSpPr>
      <xdr:spPr>
        <a:xfrm>
          <a:off x="4593981" y="113857454"/>
          <a:ext cx="17716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18757</xdr:colOff>
      <xdr:row>664</xdr:row>
      <xdr:rowOff>20242</xdr:rowOff>
    </xdr:from>
    <xdr:to>
      <xdr:col>22</xdr:col>
      <xdr:colOff>192112</xdr:colOff>
      <xdr:row>664</xdr:row>
      <xdr:rowOff>122139</xdr:rowOff>
    </xdr:to>
    <xdr:sp macro="" textlink="">
      <xdr:nvSpPr>
        <xdr:cNvPr id="351" name="正方形/長方形 350">
          <a:extLst>
            <a:ext uri="{FF2B5EF4-FFF2-40B4-BE49-F238E27FC236}">
              <a16:creationId xmlns:a16="http://schemas.microsoft.com/office/drawing/2014/main" id="{A47DC261-A8B1-473E-8487-CE2868ED1F39}"/>
            </a:ext>
          </a:extLst>
        </xdr:cNvPr>
        <xdr:cNvSpPr/>
      </xdr:nvSpPr>
      <xdr:spPr>
        <a:xfrm>
          <a:off x="5047957" y="113863042"/>
          <a:ext cx="17335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18758</xdr:colOff>
      <xdr:row>664</xdr:row>
      <xdr:rowOff>9232</xdr:rowOff>
    </xdr:from>
    <xdr:to>
      <xdr:col>33</xdr:col>
      <xdr:colOff>182588</xdr:colOff>
      <xdr:row>664</xdr:row>
      <xdr:rowOff>103509</xdr:rowOff>
    </xdr:to>
    <xdr:sp macro="" textlink="">
      <xdr:nvSpPr>
        <xdr:cNvPr id="352" name="正方形/長方形 351">
          <a:extLst>
            <a:ext uri="{FF2B5EF4-FFF2-40B4-BE49-F238E27FC236}">
              <a16:creationId xmlns:a16="http://schemas.microsoft.com/office/drawing/2014/main" id="{A9E0B3FB-7217-4A5D-9AFE-DA37AC30ABD0}"/>
            </a:ext>
          </a:extLst>
        </xdr:cNvPr>
        <xdr:cNvSpPr/>
      </xdr:nvSpPr>
      <xdr:spPr>
        <a:xfrm>
          <a:off x="7562558" y="113852032"/>
          <a:ext cx="163830"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27402</xdr:colOff>
      <xdr:row>664</xdr:row>
      <xdr:rowOff>11137</xdr:rowOff>
    </xdr:from>
    <xdr:to>
      <xdr:col>29</xdr:col>
      <xdr:colOff>200757</xdr:colOff>
      <xdr:row>664</xdr:row>
      <xdr:rowOff>105414</xdr:rowOff>
    </xdr:to>
    <xdr:sp macro="" textlink="">
      <xdr:nvSpPr>
        <xdr:cNvPr id="353" name="正方形/長方形 352">
          <a:extLst>
            <a:ext uri="{FF2B5EF4-FFF2-40B4-BE49-F238E27FC236}">
              <a16:creationId xmlns:a16="http://schemas.microsoft.com/office/drawing/2014/main" id="{6B3BA21F-7C2C-454F-B7E3-B72789A7D6B6}"/>
            </a:ext>
          </a:extLst>
        </xdr:cNvPr>
        <xdr:cNvSpPr/>
      </xdr:nvSpPr>
      <xdr:spPr>
        <a:xfrm>
          <a:off x="6656802" y="113853937"/>
          <a:ext cx="17335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666</xdr:row>
      <xdr:rowOff>14655</xdr:rowOff>
    </xdr:from>
    <xdr:to>
      <xdr:col>29</xdr:col>
      <xdr:colOff>198853</xdr:colOff>
      <xdr:row>666</xdr:row>
      <xdr:rowOff>112742</xdr:rowOff>
    </xdr:to>
    <xdr:sp macro="" textlink="">
      <xdr:nvSpPr>
        <xdr:cNvPr id="354" name="正方形/長方形 353">
          <a:extLst>
            <a:ext uri="{FF2B5EF4-FFF2-40B4-BE49-F238E27FC236}">
              <a16:creationId xmlns:a16="http://schemas.microsoft.com/office/drawing/2014/main" id="{3D38D673-9455-47B1-A239-6076C9F9BE2C}"/>
            </a:ext>
          </a:extLst>
        </xdr:cNvPr>
        <xdr:cNvSpPr/>
      </xdr:nvSpPr>
      <xdr:spPr>
        <a:xfrm>
          <a:off x="6658708" y="11420035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13336</xdr:colOff>
      <xdr:row>665</xdr:row>
      <xdr:rowOff>21980</xdr:rowOff>
    </xdr:from>
    <xdr:to>
      <xdr:col>33</xdr:col>
      <xdr:colOff>171451</xdr:colOff>
      <xdr:row>665</xdr:row>
      <xdr:rowOff>123877</xdr:rowOff>
    </xdr:to>
    <xdr:sp macro="" textlink="">
      <xdr:nvSpPr>
        <xdr:cNvPr id="355" name="正方形/長方形 354">
          <a:extLst>
            <a:ext uri="{FF2B5EF4-FFF2-40B4-BE49-F238E27FC236}">
              <a16:creationId xmlns:a16="http://schemas.microsoft.com/office/drawing/2014/main" id="{2EA90CF9-F5DC-4339-A73E-DCB8D468CE59}"/>
            </a:ext>
          </a:extLst>
        </xdr:cNvPr>
        <xdr:cNvSpPr/>
      </xdr:nvSpPr>
      <xdr:spPr>
        <a:xfrm>
          <a:off x="7557136" y="114036230"/>
          <a:ext cx="158115" cy="10189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200757</xdr:colOff>
      <xdr:row>664</xdr:row>
      <xdr:rowOff>56371</xdr:rowOff>
    </xdr:from>
    <xdr:to>
      <xdr:col>33</xdr:col>
      <xdr:colOff>18758</xdr:colOff>
      <xdr:row>664</xdr:row>
      <xdr:rowOff>58276</xdr:rowOff>
    </xdr:to>
    <xdr:cxnSp macro="">
      <xdr:nvCxnSpPr>
        <xdr:cNvPr id="356" name="直線コネクタ 355">
          <a:extLst>
            <a:ext uri="{FF2B5EF4-FFF2-40B4-BE49-F238E27FC236}">
              <a16:creationId xmlns:a16="http://schemas.microsoft.com/office/drawing/2014/main" id="{6DDEC4C2-A03B-4B28-8916-9E9ADF4AB4B1}"/>
            </a:ext>
          </a:extLst>
        </xdr:cNvPr>
        <xdr:cNvCxnSpPr>
          <a:stCxn id="352" idx="1"/>
          <a:endCxn id="353" idx="3"/>
        </xdr:cNvCxnSpPr>
      </xdr:nvCxnSpPr>
      <xdr:spPr>
        <a:xfrm flipH="1">
          <a:off x="6830157" y="113899171"/>
          <a:ext cx="732401" cy="1905"/>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18463</xdr:colOff>
      <xdr:row>664</xdr:row>
      <xdr:rowOff>22861</xdr:rowOff>
    </xdr:from>
    <xdr:to>
      <xdr:col>12</xdr:col>
      <xdr:colOff>191818</xdr:colOff>
      <xdr:row>664</xdr:row>
      <xdr:rowOff>111423</xdr:rowOff>
    </xdr:to>
    <xdr:sp macro="" textlink="">
      <xdr:nvSpPr>
        <xdr:cNvPr id="357" name="正方形/長方形 356">
          <a:extLst>
            <a:ext uri="{FF2B5EF4-FFF2-40B4-BE49-F238E27FC236}">
              <a16:creationId xmlns:a16="http://schemas.microsoft.com/office/drawing/2014/main" id="{5B5F58B1-6E1F-4092-A465-A1A7DFC777DC}"/>
            </a:ext>
          </a:extLst>
        </xdr:cNvPr>
        <xdr:cNvSpPr/>
      </xdr:nvSpPr>
      <xdr:spPr>
        <a:xfrm>
          <a:off x="2761663" y="113865661"/>
          <a:ext cx="173355" cy="8856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21981</xdr:colOff>
      <xdr:row>665</xdr:row>
      <xdr:rowOff>23885</xdr:rowOff>
    </xdr:from>
    <xdr:to>
      <xdr:col>22</xdr:col>
      <xdr:colOff>191526</xdr:colOff>
      <xdr:row>665</xdr:row>
      <xdr:rowOff>127688</xdr:rowOff>
    </xdr:to>
    <xdr:sp macro="" textlink="">
      <xdr:nvSpPr>
        <xdr:cNvPr id="358" name="正方形/長方形 357">
          <a:extLst>
            <a:ext uri="{FF2B5EF4-FFF2-40B4-BE49-F238E27FC236}">
              <a16:creationId xmlns:a16="http://schemas.microsoft.com/office/drawing/2014/main" id="{3EA0C246-A321-4B92-A421-58337D3647E6}"/>
            </a:ext>
          </a:extLst>
        </xdr:cNvPr>
        <xdr:cNvSpPr/>
      </xdr:nvSpPr>
      <xdr:spPr>
        <a:xfrm>
          <a:off x="5051181" y="11403813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21981</xdr:colOff>
      <xdr:row>665</xdr:row>
      <xdr:rowOff>29308</xdr:rowOff>
    </xdr:from>
    <xdr:to>
      <xdr:col>20</xdr:col>
      <xdr:colOff>210576</xdr:colOff>
      <xdr:row>665</xdr:row>
      <xdr:rowOff>121680</xdr:rowOff>
    </xdr:to>
    <xdr:sp macro="" textlink="">
      <xdr:nvSpPr>
        <xdr:cNvPr id="359" name="正方形/長方形 358">
          <a:extLst>
            <a:ext uri="{FF2B5EF4-FFF2-40B4-BE49-F238E27FC236}">
              <a16:creationId xmlns:a16="http://schemas.microsoft.com/office/drawing/2014/main" id="{F68CBB61-D491-49FD-88B8-9685359E5ECE}"/>
            </a:ext>
          </a:extLst>
        </xdr:cNvPr>
        <xdr:cNvSpPr/>
      </xdr:nvSpPr>
      <xdr:spPr>
        <a:xfrm>
          <a:off x="4593981" y="114043558"/>
          <a:ext cx="188595" cy="9237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206766</xdr:colOff>
      <xdr:row>665</xdr:row>
      <xdr:rowOff>75494</xdr:rowOff>
    </xdr:from>
    <xdr:to>
      <xdr:col>22</xdr:col>
      <xdr:colOff>18171</xdr:colOff>
      <xdr:row>665</xdr:row>
      <xdr:rowOff>75787</xdr:rowOff>
    </xdr:to>
    <xdr:cxnSp macro="">
      <xdr:nvCxnSpPr>
        <xdr:cNvPr id="360" name="直線コネクタ 359">
          <a:extLst>
            <a:ext uri="{FF2B5EF4-FFF2-40B4-BE49-F238E27FC236}">
              <a16:creationId xmlns:a16="http://schemas.microsoft.com/office/drawing/2014/main" id="{DB636397-DDD8-42CE-A3D9-11B08AE82ADA}"/>
            </a:ext>
          </a:extLst>
        </xdr:cNvPr>
        <xdr:cNvCxnSpPr>
          <a:cxnSpLocks/>
          <a:stCxn id="359" idx="3"/>
          <a:endCxn id="358" idx="1"/>
        </xdr:cNvCxnSpPr>
      </xdr:nvCxnSpPr>
      <xdr:spPr>
        <a:xfrm>
          <a:off x="4778766" y="114089744"/>
          <a:ext cx="268605" cy="293"/>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198853</xdr:colOff>
      <xdr:row>665</xdr:row>
      <xdr:rowOff>72929</xdr:rowOff>
    </xdr:from>
    <xdr:to>
      <xdr:col>33</xdr:col>
      <xdr:colOff>13336</xdr:colOff>
      <xdr:row>783</xdr:row>
      <xdr:rowOff>63699</xdr:rowOff>
    </xdr:to>
    <xdr:cxnSp macro="">
      <xdr:nvCxnSpPr>
        <xdr:cNvPr id="361" name="直線コネクタ 31">
          <a:extLst>
            <a:ext uri="{FF2B5EF4-FFF2-40B4-BE49-F238E27FC236}">
              <a16:creationId xmlns:a16="http://schemas.microsoft.com/office/drawing/2014/main" id="{F5A8B436-D3D1-4FAE-AE85-F951CA478D27}"/>
            </a:ext>
          </a:extLst>
        </xdr:cNvPr>
        <xdr:cNvCxnSpPr>
          <a:stCxn id="445" idx="3"/>
          <a:endCxn id="355" idx="1"/>
        </xdr:cNvCxnSpPr>
      </xdr:nvCxnSpPr>
      <xdr:spPr>
        <a:xfrm flipV="1">
          <a:off x="6828253" y="114087179"/>
          <a:ext cx="728883" cy="20221870"/>
        </a:xfrm>
        <a:prstGeom prst="bentConnector3">
          <a:avLst>
            <a:gd name="adj1" fmla="val 22409"/>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18757</xdr:colOff>
      <xdr:row>675</xdr:row>
      <xdr:rowOff>20242</xdr:rowOff>
    </xdr:from>
    <xdr:to>
      <xdr:col>22</xdr:col>
      <xdr:colOff>192112</xdr:colOff>
      <xdr:row>675</xdr:row>
      <xdr:rowOff>122139</xdr:rowOff>
    </xdr:to>
    <xdr:sp macro="" textlink="">
      <xdr:nvSpPr>
        <xdr:cNvPr id="362" name="正方形/長方形 361">
          <a:extLst>
            <a:ext uri="{FF2B5EF4-FFF2-40B4-BE49-F238E27FC236}">
              <a16:creationId xmlns:a16="http://schemas.microsoft.com/office/drawing/2014/main" id="{32817FCD-D821-4C6C-8B6D-56FB5056C948}"/>
            </a:ext>
          </a:extLst>
        </xdr:cNvPr>
        <xdr:cNvSpPr/>
      </xdr:nvSpPr>
      <xdr:spPr>
        <a:xfrm>
          <a:off x="5047957" y="115748992"/>
          <a:ext cx="17335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18758</xdr:colOff>
      <xdr:row>675</xdr:row>
      <xdr:rowOff>9232</xdr:rowOff>
    </xdr:from>
    <xdr:to>
      <xdr:col>33</xdr:col>
      <xdr:colOff>182588</xdr:colOff>
      <xdr:row>675</xdr:row>
      <xdr:rowOff>103509</xdr:rowOff>
    </xdr:to>
    <xdr:sp macro="" textlink="">
      <xdr:nvSpPr>
        <xdr:cNvPr id="363" name="正方形/長方形 362">
          <a:extLst>
            <a:ext uri="{FF2B5EF4-FFF2-40B4-BE49-F238E27FC236}">
              <a16:creationId xmlns:a16="http://schemas.microsoft.com/office/drawing/2014/main" id="{AB90F17E-78D6-4DC8-8C2E-C92309329AE9}"/>
            </a:ext>
          </a:extLst>
        </xdr:cNvPr>
        <xdr:cNvSpPr/>
      </xdr:nvSpPr>
      <xdr:spPr>
        <a:xfrm>
          <a:off x="7562558" y="115737982"/>
          <a:ext cx="163830"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27402</xdr:colOff>
      <xdr:row>675</xdr:row>
      <xdr:rowOff>11137</xdr:rowOff>
    </xdr:from>
    <xdr:to>
      <xdr:col>29</xdr:col>
      <xdr:colOff>200757</xdr:colOff>
      <xdr:row>675</xdr:row>
      <xdr:rowOff>105414</xdr:rowOff>
    </xdr:to>
    <xdr:sp macro="" textlink="">
      <xdr:nvSpPr>
        <xdr:cNvPr id="364" name="正方形/長方形 363">
          <a:extLst>
            <a:ext uri="{FF2B5EF4-FFF2-40B4-BE49-F238E27FC236}">
              <a16:creationId xmlns:a16="http://schemas.microsoft.com/office/drawing/2014/main" id="{543A2360-A141-4992-AD7C-D667A1422C7C}"/>
            </a:ext>
          </a:extLst>
        </xdr:cNvPr>
        <xdr:cNvSpPr/>
      </xdr:nvSpPr>
      <xdr:spPr>
        <a:xfrm>
          <a:off x="6656802" y="115739887"/>
          <a:ext cx="17335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677</xdr:row>
      <xdr:rowOff>14655</xdr:rowOff>
    </xdr:from>
    <xdr:to>
      <xdr:col>29</xdr:col>
      <xdr:colOff>198853</xdr:colOff>
      <xdr:row>677</xdr:row>
      <xdr:rowOff>112742</xdr:rowOff>
    </xdr:to>
    <xdr:sp macro="" textlink="">
      <xdr:nvSpPr>
        <xdr:cNvPr id="365" name="正方形/長方形 364">
          <a:extLst>
            <a:ext uri="{FF2B5EF4-FFF2-40B4-BE49-F238E27FC236}">
              <a16:creationId xmlns:a16="http://schemas.microsoft.com/office/drawing/2014/main" id="{EC6C86BE-4E7B-4EA2-82EF-4268E72A7470}"/>
            </a:ext>
          </a:extLst>
        </xdr:cNvPr>
        <xdr:cNvSpPr/>
      </xdr:nvSpPr>
      <xdr:spPr>
        <a:xfrm>
          <a:off x="6658708" y="11608630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13336</xdr:colOff>
      <xdr:row>676</xdr:row>
      <xdr:rowOff>21980</xdr:rowOff>
    </xdr:from>
    <xdr:to>
      <xdr:col>33</xdr:col>
      <xdr:colOff>171451</xdr:colOff>
      <xdr:row>676</xdr:row>
      <xdr:rowOff>123877</xdr:rowOff>
    </xdr:to>
    <xdr:sp macro="" textlink="">
      <xdr:nvSpPr>
        <xdr:cNvPr id="366" name="正方形/長方形 365">
          <a:extLst>
            <a:ext uri="{FF2B5EF4-FFF2-40B4-BE49-F238E27FC236}">
              <a16:creationId xmlns:a16="http://schemas.microsoft.com/office/drawing/2014/main" id="{BFD5E91D-3EF0-42AA-8A3B-D52C3CFAF49A}"/>
            </a:ext>
          </a:extLst>
        </xdr:cNvPr>
        <xdr:cNvSpPr/>
      </xdr:nvSpPr>
      <xdr:spPr>
        <a:xfrm>
          <a:off x="7557136" y="115922180"/>
          <a:ext cx="158115" cy="10189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200757</xdr:colOff>
      <xdr:row>675</xdr:row>
      <xdr:rowOff>56371</xdr:rowOff>
    </xdr:from>
    <xdr:to>
      <xdr:col>33</xdr:col>
      <xdr:colOff>18758</xdr:colOff>
      <xdr:row>675</xdr:row>
      <xdr:rowOff>58276</xdr:rowOff>
    </xdr:to>
    <xdr:cxnSp macro="">
      <xdr:nvCxnSpPr>
        <xdr:cNvPr id="367" name="直線コネクタ 366">
          <a:extLst>
            <a:ext uri="{FF2B5EF4-FFF2-40B4-BE49-F238E27FC236}">
              <a16:creationId xmlns:a16="http://schemas.microsoft.com/office/drawing/2014/main" id="{1291A8B9-DEE4-4A26-B7A5-2848420B0E77}"/>
            </a:ext>
          </a:extLst>
        </xdr:cNvPr>
        <xdr:cNvCxnSpPr>
          <a:stCxn id="363" idx="1"/>
          <a:endCxn id="364" idx="3"/>
        </xdr:cNvCxnSpPr>
      </xdr:nvCxnSpPr>
      <xdr:spPr>
        <a:xfrm flipH="1">
          <a:off x="6830157" y="115785121"/>
          <a:ext cx="732401" cy="1905"/>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21981</xdr:colOff>
      <xdr:row>676</xdr:row>
      <xdr:rowOff>23885</xdr:rowOff>
    </xdr:from>
    <xdr:to>
      <xdr:col>22</xdr:col>
      <xdr:colOff>191526</xdr:colOff>
      <xdr:row>676</xdr:row>
      <xdr:rowOff>127688</xdr:rowOff>
    </xdr:to>
    <xdr:sp macro="" textlink="">
      <xdr:nvSpPr>
        <xdr:cNvPr id="368" name="正方形/長方形 367">
          <a:extLst>
            <a:ext uri="{FF2B5EF4-FFF2-40B4-BE49-F238E27FC236}">
              <a16:creationId xmlns:a16="http://schemas.microsoft.com/office/drawing/2014/main" id="{8BE9CBA5-D6E3-4473-8A8F-F66B08C3AA7A}"/>
            </a:ext>
          </a:extLst>
        </xdr:cNvPr>
        <xdr:cNvSpPr/>
      </xdr:nvSpPr>
      <xdr:spPr>
        <a:xfrm>
          <a:off x="5051181" y="11592408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198853</xdr:colOff>
      <xdr:row>676</xdr:row>
      <xdr:rowOff>72929</xdr:rowOff>
    </xdr:from>
    <xdr:to>
      <xdr:col>33</xdr:col>
      <xdr:colOff>13336</xdr:colOff>
      <xdr:row>794</xdr:row>
      <xdr:rowOff>63699</xdr:rowOff>
    </xdr:to>
    <xdr:cxnSp macro="">
      <xdr:nvCxnSpPr>
        <xdr:cNvPr id="369" name="直線コネクタ 31">
          <a:extLst>
            <a:ext uri="{FF2B5EF4-FFF2-40B4-BE49-F238E27FC236}">
              <a16:creationId xmlns:a16="http://schemas.microsoft.com/office/drawing/2014/main" id="{BB76DFF4-C4E8-47B9-A8E7-17F4D4670E87}"/>
            </a:ext>
          </a:extLst>
        </xdr:cNvPr>
        <xdr:cNvCxnSpPr>
          <a:stCxn id="449" idx="3"/>
          <a:endCxn id="366" idx="1"/>
        </xdr:cNvCxnSpPr>
      </xdr:nvCxnSpPr>
      <xdr:spPr>
        <a:xfrm flipV="1">
          <a:off x="6828253" y="115973129"/>
          <a:ext cx="728883" cy="20221870"/>
        </a:xfrm>
        <a:prstGeom prst="bentConnector3">
          <a:avLst>
            <a:gd name="adj1" fmla="val 38044"/>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199146</xdr:colOff>
      <xdr:row>664</xdr:row>
      <xdr:rowOff>65604</xdr:rowOff>
    </xdr:from>
    <xdr:to>
      <xdr:col>22</xdr:col>
      <xdr:colOff>18757</xdr:colOff>
      <xdr:row>675</xdr:row>
      <xdr:rowOff>71192</xdr:rowOff>
    </xdr:to>
    <xdr:cxnSp macro="">
      <xdr:nvCxnSpPr>
        <xdr:cNvPr id="370" name="直線コネクタ 31">
          <a:extLst>
            <a:ext uri="{FF2B5EF4-FFF2-40B4-BE49-F238E27FC236}">
              <a16:creationId xmlns:a16="http://schemas.microsoft.com/office/drawing/2014/main" id="{2B49C366-F039-49A4-AE8E-B8EE3A5F93E7}"/>
            </a:ext>
          </a:extLst>
        </xdr:cNvPr>
        <xdr:cNvCxnSpPr>
          <a:stCxn id="362" idx="1"/>
          <a:endCxn id="350" idx="3"/>
        </xdr:cNvCxnSpPr>
      </xdr:nvCxnSpPr>
      <xdr:spPr>
        <a:xfrm rot="10800000">
          <a:off x="4771146" y="113908404"/>
          <a:ext cx="276811" cy="1891538"/>
        </a:xfrm>
        <a:prstGeom prst="bentConnector3">
          <a:avLst>
            <a:gd name="adj1" fmla="val 30155"/>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201051</xdr:colOff>
      <xdr:row>664</xdr:row>
      <xdr:rowOff>67508</xdr:rowOff>
    </xdr:from>
    <xdr:to>
      <xdr:col>22</xdr:col>
      <xdr:colOff>22567</xdr:colOff>
      <xdr:row>664</xdr:row>
      <xdr:rowOff>70238</xdr:rowOff>
    </xdr:to>
    <xdr:cxnSp macro="">
      <xdr:nvCxnSpPr>
        <xdr:cNvPr id="371" name="直線コネクタ 370">
          <a:extLst>
            <a:ext uri="{FF2B5EF4-FFF2-40B4-BE49-F238E27FC236}">
              <a16:creationId xmlns:a16="http://schemas.microsoft.com/office/drawing/2014/main" id="{6BFAD0BB-B070-41DE-9A8E-9C3A048C4A71}"/>
            </a:ext>
          </a:extLst>
        </xdr:cNvPr>
        <xdr:cNvCxnSpPr>
          <a:cxnSpLocks/>
          <a:stCxn id="350" idx="3"/>
          <a:endCxn id="351" idx="1"/>
        </xdr:cNvCxnSpPr>
      </xdr:nvCxnSpPr>
      <xdr:spPr>
        <a:xfrm>
          <a:off x="4773051" y="113910308"/>
          <a:ext cx="278716" cy="2730"/>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68035</xdr:colOff>
      <xdr:row>668</xdr:row>
      <xdr:rowOff>40821</xdr:rowOff>
    </xdr:from>
    <xdr:to>
      <xdr:col>10</xdr:col>
      <xdr:colOff>189592</xdr:colOff>
      <xdr:row>704</xdr:row>
      <xdr:rowOff>102054</xdr:rowOff>
    </xdr:to>
    <xdr:sp macro="" textlink="">
      <xdr:nvSpPr>
        <xdr:cNvPr id="372" name="テキスト ボックス 371">
          <a:extLst>
            <a:ext uri="{FF2B5EF4-FFF2-40B4-BE49-F238E27FC236}">
              <a16:creationId xmlns:a16="http://schemas.microsoft.com/office/drawing/2014/main" id="{63099226-F82C-4AB6-B173-EA943EE0A966}"/>
            </a:ext>
          </a:extLst>
        </xdr:cNvPr>
        <xdr:cNvSpPr txBox="1"/>
      </xdr:nvSpPr>
      <xdr:spPr>
        <a:xfrm>
          <a:off x="296635" y="114569421"/>
          <a:ext cx="2178957" cy="6233433"/>
        </a:xfrm>
        <a:prstGeom prst="rect">
          <a:avLst/>
        </a:prstGeom>
        <a:solidFill>
          <a:srgbClr val="FFFFC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lstStyle/>
        <a:p>
          <a:r>
            <a:rPr kumimoji="1" lang="en-US" altLang="ja-JP" sz="900">
              <a:latin typeface="ＭＳ ゴシック" panose="020B0609070205080204" pitchFamily="49" charset="-128"/>
              <a:ea typeface="ＭＳ ゴシック" panose="020B0609070205080204" pitchFamily="49" charset="-128"/>
            </a:rPr>
            <a:t>【</a:t>
          </a:r>
          <a:r>
            <a:rPr kumimoji="1" lang="ja-JP" altLang="en-US" sz="900">
              <a:latin typeface="ＭＳ ゴシック" panose="020B0609070205080204" pitchFamily="49" charset="-128"/>
              <a:ea typeface="ＭＳ ゴシック" panose="020B0609070205080204" pitchFamily="49" charset="-128"/>
            </a:rPr>
            <a:t>ジャーナル印字イメージ</a:t>
          </a:r>
          <a:r>
            <a:rPr kumimoji="1" lang="en-US" altLang="ja-JP" sz="900">
              <a:latin typeface="ＭＳ ゴシック" panose="020B0609070205080204" pitchFamily="49" charset="-128"/>
              <a:ea typeface="ＭＳ ゴシック" panose="020B0609070205080204" pitchFamily="49" charset="-128"/>
            </a:rPr>
            <a:t>】</a:t>
          </a:r>
        </a:p>
        <a:p>
          <a:r>
            <a:rPr kumimoji="1" lang="ja-JP" altLang="en-US" sz="900">
              <a:latin typeface="ＭＳ ゴシック" panose="020B0609070205080204" pitchFamily="49" charset="-128"/>
              <a:ea typeface="ＭＳ ゴシック" panose="020B0609070205080204" pitchFamily="49" charset="-128"/>
            </a:rPr>
            <a:t> </a:t>
          </a:r>
          <a:r>
            <a:rPr kumimoji="1" lang="en-US" altLang="ja-JP" sz="900">
              <a:latin typeface="ＭＳ ゴシック" panose="020B0609070205080204" pitchFamily="49" charset="-128"/>
              <a:ea typeface="ＭＳ ゴシック" panose="020B0609070205080204" pitchFamily="49" charset="-128"/>
            </a:rPr>
            <a:t>2024</a:t>
          </a:r>
          <a:r>
            <a:rPr kumimoji="1" lang="ja-JP" altLang="en-US" sz="900">
              <a:latin typeface="ＭＳ ゴシック" panose="020B0609070205080204" pitchFamily="49" charset="-128"/>
              <a:ea typeface="ＭＳ ゴシック" panose="020B0609070205080204" pitchFamily="49" charset="-128"/>
            </a:rPr>
            <a:t>年</a:t>
          </a:r>
          <a:r>
            <a:rPr kumimoji="1" lang="en-US" altLang="ja-JP" sz="900">
              <a:latin typeface="ＭＳ ゴシック" panose="020B0609070205080204" pitchFamily="49" charset="-128"/>
              <a:ea typeface="ＭＳ ゴシック" panose="020B0609070205080204" pitchFamily="49" charset="-128"/>
            </a:rPr>
            <a:t>10</a:t>
          </a:r>
          <a:r>
            <a:rPr kumimoji="1" lang="ja-JP" altLang="en-US" sz="900">
              <a:latin typeface="ＭＳ ゴシック" panose="020B0609070205080204" pitchFamily="49" charset="-128"/>
              <a:ea typeface="ＭＳ ゴシック" panose="020B0609070205080204" pitchFamily="49" charset="-128"/>
            </a:rPr>
            <a:t>月</a:t>
          </a:r>
          <a:r>
            <a:rPr kumimoji="1" lang="en-US" altLang="ja-JP" sz="900">
              <a:latin typeface="ＭＳ ゴシック" panose="020B0609070205080204" pitchFamily="49" charset="-128"/>
              <a:ea typeface="ＭＳ ゴシック" panose="020B0609070205080204" pitchFamily="49" charset="-128"/>
            </a:rPr>
            <a:t>22</a:t>
          </a:r>
          <a:r>
            <a:rPr kumimoji="1" lang="ja-JP" altLang="en-US" sz="900">
              <a:latin typeface="ＭＳ ゴシック" panose="020B0609070205080204" pitchFamily="49" charset="-128"/>
              <a:ea typeface="ＭＳ ゴシック" panose="020B0609070205080204" pitchFamily="49" charset="-128"/>
            </a:rPr>
            <a:t>日（火） </a:t>
          </a:r>
          <a:r>
            <a:rPr kumimoji="1" lang="en-US" altLang="ja-JP" sz="900">
              <a:latin typeface="ＭＳ ゴシック" panose="020B0609070205080204" pitchFamily="49" charset="-128"/>
              <a:ea typeface="ＭＳ ゴシック" panose="020B0609070205080204" pitchFamily="49" charset="-128"/>
            </a:rPr>
            <a:t>17:45     </a:t>
          </a:r>
        </a:p>
        <a:p>
          <a:r>
            <a:rPr kumimoji="1" lang="en-US" altLang="ja-JP" sz="900">
              <a:latin typeface="ＭＳ ゴシック" panose="020B0609070205080204" pitchFamily="49" charset="-128"/>
              <a:ea typeface="ＭＳ ゴシック" panose="020B0609070205080204" pitchFamily="49" charset="-128"/>
            </a:rPr>
            <a:t>  A01 x</a:t>
          </a:r>
          <a:r>
            <a:rPr kumimoji="1" lang="ja-JP" altLang="en-US" sz="900">
              <a:latin typeface="ＭＳ ゴシック" panose="020B0609070205080204" pitchFamily="49" charset="-128"/>
              <a:ea typeface="ＭＳ ゴシック" panose="020B0609070205080204" pitchFamily="49" charset="-128"/>
            </a:rPr>
            <a:t>商品Ｍ                   </a:t>
          </a:r>
        </a:p>
        <a:p>
          <a:r>
            <a:rPr kumimoji="1" lang="ja-JP" altLang="en-US" sz="900">
              <a:latin typeface="ＭＳ ゴシック" panose="020B0609070205080204" pitchFamily="49" charset="-128"/>
              <a:ea typeface="ＭＳ ゴシック" panose="020B0609070205080204" pitchFamily="49" charset="-128"/>
            </a:rPr>
            <a:t>   </a:t>
          </a:r>
          <a:r>
            <a:rPr kumimoji="1" lang="en-US" altLang="ja-JP" sz="900">
              <a:latin typeface="ＭＳ ゴシック" panose="020B0609070205080204" pitchFamily="49" charset="-128"/>
              <a:ea typeface="ＭＳ ゴシック" panose="020B0609070205080204" pitchFamily="49" charset="-128"/>
            </a:rPr>
            <a:t>4900000007381                </a:t>
          </a:r>
        </a:p>
        <a:p>
          <a:r>
            <a:rPr kumimoji="1" lang="en-US" altLang="ja-JP" sz="900">
              <a:latin typeface="ＭＳ ゴシック" panose="020B0609070205080204" pitchFamily="49" charset="-128"/>
              <a:ea typeface="ＭＳ ゴシック" panose="020B0609070205080204" pitchFamily="49" charset="-128"/>
            </a:rPr>
            <a:t>         \98   2</a:t>
          </a:r>
          <a:r>
            <a:rPr kumimoji="1" lang="ja-JP" altLang="en-US" sz="900">
              <a:latin typeface="ＭＳ ゴシック" panose="020B0609070205080204" pitchFamily="49" charset="-128"/>
              <a:ea typeface="ＭＳ ゴシック" panose="020B0609070205080204" pitchFamily="49" charset="-128"/>
            </a:rPr>
            <a:t>個         </a:t>
          </a:r>
          <a:r>
            <a:rPr kumimoji="1" lang="en-US" altLang="ja-JP" sz="900">
              <a:latin typeface="ＭＳ ゴシック" panose="020B0609070205080204" pitchFamily="49" charset="-128"/>
              <a:ea typeface="ＭＳ ゴシック" panose="020B0609070205080204" pitchFamily="49" charset="-128"/>
            </a:rPr>
            <a:t>\196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部門値引   </a:t>
          </a:r>
          <a:r>
            <a:rPr kumimoji="1" lang="en-US" altLang="ja-JP" sz="900">
              <a:latin typeface="ＭＳ ゴシック" panose="020B0609070205080204" pitchFamily="49" charset="-128"/>
              <a:ea typeface="ＭＳ ゴシック" panose="020B0609070205080204" pitchFamily="49" charset="-128"/>
            </a:rPr>
            <a:t>15%         -\30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Ｍ値引                 </a:t>
          </a:r>
          <a:r>
            <a:rPr kumimoji="1" lang="en-US" altLang="ja-JP" sz="900">
              <a:latin typeface="ＭＳ ゴシック" panose="020B0609070205080204" pitchFamily="49" charset="-128"/>
              <a:ea typeface="ＭＳ ゴシック" panose="020B0609070205080204" pitchFamily="49" charset="-128"/>
            </a:rPr>
            <a:t>-\20 </a:t>
          </a:r>
        </a:p>
        <a:p>
          <a:r>
            <a:rPr kumimoji="1" lang="en-US" altLang="ja-JP" sz="900">
              <a:latin typeface="ＭＳ ゴシック" panose="020B0609070205080204" pitchFamily="49" charset="-128"/>
              <a:ea typeface="ＭＳ ゴシック" panose="020B0609070205080204" pitchFamily="49" charset="-128"/>
            </a:rPr>
            <a:t>  A01 x</a:t>
          </a:r>
          <a:r>
            <a:rPr kumimoji="1" lang="ja-JP" altLang="en-US" sz="900">
              <a:latin typeface="ＭＳ ゴシック" panose="020B0609070205080204" pitchFamily="49" charset="-128"/>
              <a:ea typeface="ＭＳ ゴシック" panose="020B0609070205080204" pitchFamily="49" charset="-128"/>
            </a:rPr>
            <a:t>商品Ｍ                   </a:t>
          </a:r>
        </a:p>
        <a:p>
          <a:r>
            <a:rPr kumimoji="1" lang="ja-JP" altLang="en-US" sz="900">
              <a:latin typeface="ＭＳ ゴシック" panose="020B0609070205080204" pitchFamily="49" charset="-128"/>
              <a:ea typeface="ＭＳ ゴシック" panose="020B0609070205080204" pitchFamily="49" charset="-128"/>
            </a:rPr>
            <a:t>   </a:t>
          </a:r>
          <a:r>
            <a:rPr kumimoji="1" lang="en-US" altLang="ja-JP" sz="900">
              <a:latin typeface="ＭＳ ゴシック" panose="020B0609070205080204" pitchFamily="49" charset="-128"/>
              <a:ea typeface="ＭＳ ゴシック" panose="020B0609070205080204" pitchFamily="49" charset="-128"/>
            </a:rPr>
            <a:t>4900000007381                </a:t>
          </a:r>
        </a:p>
        <a:p>
          <a:r>
            <a:rPr kumimoji="1" lang="en-US" altLang="ja-JP" sz="900">
              <a:latin typeface="ＭＳ ゴシック" panose="020B0609070205080204" pitchFamily="49" charset="-128"/>
              <a:ea typeface="ＭＳ ゴシック" panose="020B0609070205080204" pitchFamily="49" charset="-128"/>
            </a:rPr>
            <a:t>         \98   2</a:t>
          </a:r>
          <a:r>
            <a:rPr kumimoji="1" lang="ja-JP" altLang="en-US" sz="900">
              <a:latin typeface="ＭＳ ゴシック" panose="020B0609070205080204" pitchFamily="49" charset="-128"/>
              <a:ea typeface="ＭＳ ゴシック" panose="020B0609070205080204" pitchFamily="49" charset="-128"/>
            </a:rPr>
            <a:t>個         </a:t>
          </a:r>
          <a:r>
            <a:rPr kumimoji="1" lang="en-US" altLang="ja-JP" sz="900">
              <a:latin typeface="ＭＳ ゴシック" panose="020B0609070205080204" pitchFamily="49" charset="-128"/>
              <a:ea typeface="ＭＳ ゴシック" panose="020B0609070205080204" pitchFamily="49" charset="-128"/>
            </a:rPr>
            <a:t>\196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部門値引   </a:t>
          </a:r>
          <a:r>
            <a:rPr kumimoji="1" lang="en-US" altLang="ja-JP" sz="900">
              <a:latin typeface="ＭＳ ゴシック" panose="020B0609070205080204" pitchFamily="49" charset="-128"/>
              <a:ea typeface="ＭＳ ゴシック" panose="020B0609070205080204" pitchFamily="49" charset="-128"/>
            </a:rPr>
            <a:t>15%         -\30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Ｍ値引     </a:t>
          </a:r>
          <a:r>
            <a:rPr kumimoji="1" lang="en-US" altLang="ja-JP" sz="900">
              <a:latin typeface="ＭＳ ゴシック" panose="020B0609070205080204" pitchFamily="49" charset="-128"/>
              <a:ea typeface="ＭＳ ゴシック" panose="020B0609070205080204" pitchFamily="49" charset="-128"/>
            </a:rPr>
            <a:t>18%         -\30 </a:t>
          </a:r>
        </a:p>
        <a:p>
          <a:r>
            <a:rPr kumimoji="1" lang="en-US" altLang="ja-JP" sz="900">
              <a:latin typeface="ＭＳ ゴシック" panose="020B0609070205080204" pitchFamily="49" charset="-128"/>
              <a:ea typeface="ＭＳ ゴシック" panose="020B0609070205080204" pitchFamily="49" charset="-128"/>
            </a:rPr>
            <a:t>   01 x</a:t>
          </a:r>
          <a:r>
            <a:rPr kumimoji="1" lang="ja-JP" altLang="en-US" sz="900">
              <a:latin typeface="ＭＳ ゴシック" panose="020B0609070205080204" pitchFamily="49" charset="-128"/>
              <a:ea typeface="ＭＳ ゴシック" panose="020B0609070205080204" pitchFamily="49" charset="-128"/>
            </a:rPr>
            <a:t>商品Ｍ                   </a:t>
          </a:r>
        </a:p>
        <a:p>
          <a:r>
            <a:rPr kumimoji="1" lang="ja-JP" altLang="en-US" sz="900">
              <a:latin typeface="ＭＳ ゴシック" panose="020B0609070205080204" pitchFamily="49" charset="-128"/>
              <a:ea typeface="ＭＳ ゴシック" panose="020B0609070205080204" pitchFamily="49" charset="-128"/>
            </a:rPr>
            <a:t>   </a:t>
          </a:r>
          <a:r>
            <a:rPr kumimoji="1" lang="en-US" altLang="ja-JP" sz="900">
              <a:latin typeface="ＭＳ ゴシック" panose="020B0609070205080204" pitchFamily="49" charset="-128"/>
              <a:ea typeface="ＭＳ ゴシック" panose="020B0609070205080204" pitchFamily="49" charset="-128"/>
            </a:rPr>
            <a:t>4900000007381                </a:t>
          </a:r>
        </a:p>
        <a:p>
          <a:r>
            <a:rPr kumimoji="1" lang="en-US" altLang="ja-JP" sz="900">
              <a:latin typeface="ＭＳ ゴシック" panose="020B0609070205080204" pitchFamily="49" charset="-128"/>
              <a:ea typeface="ＭＳ ゴシック" panose="020B0609070205080204" pitchFamily="49" charset="-128"/>
            </a:rPr>
            <a:t>         \98   2</a:t>
          </a:r>
          <a:r>
            <a:rPr kumimoji="1" lang="ja-JP" altLang="en-US" sz="900">
              <a:latin typeface="ＭＳ ゴシック" panose="020B0609070205080204" pitchFamily="49" charset="-128"/>
              <a:ea typeface="ＭＳ ゴシック" panose="020B0609070205080204" pitchFamily="49" charset="-128"/>
            </a:rPr>
            <a:t>個         </a:t>
          </a:r>
          <a:r>
            <a:rPr kumimoji="1" lang="en-US" altLang="ja-JP" sz="900">
              <a:latin typeface="ＭＳ ゴシック" panose="020B0609070205080204" pitchFamily="49" charset="-128"/>
              <a:ea typeface="ＭＳ ゴシック" panose="020B0609070205080204" pitchFamily="49" charset="-128"/>
            </a:rPr>
            <a:t>\196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売変値下                </a:t>
          </a:r>
          <a:r>
            <a:rPr kumimoji="1" lang="en-US" altLang="ja-JP" sz="900">
              <a:latin typeface="ＭＳ ゴシック" panose="020B0609070205080204" pitchFamily="49" charset="-128"/>
              <a:ea typeface="ＭＳ ゴシック" panose="020B0609070205080204" pitchFamily="49" charset="-128"/>
            </a:rPr>
            <a:t>-\2 </a:t>
          </a:r>
        </a:p>
        <a:p>
          <a:r>
            <a:rPr kumimoji="1" lang="en-US" altLang="ja-JP" sz="900">
              <a:latin typeface="ＭＳ ゴシック" panose="020B0609070205080204" pitchFamily="49" charset="-128"/>
              <a:ea typeface="ＭＳ ゴシック" panose="020B0609070205080204" pitchFamily="49" charset="-128"/>
            </a:rPr>
            <a:t>   01 x</a:t>
          </a:r>
          <a:r>
            <a:rPr kumimoji="1" lang="ja-JP" altLang="en-US" sz="900">
              <a:latin typeface="ＭＳ ゴシック" panose="020B0609070205080204" pitchFamily="49" charset="-128"/>
              <a:ea typeface="ＭＳ ゴシック" panose="020B0609070205080204" pitchFamily="49" charset="-128"/>
            </a:rPr>
            <a:t>商品Ｍ                   </a:t>
          </a:r>
        </a:p>
        <a:p>
          <a:r>
            <a:rPr kumimoji="1" lang="ja-JP" altLang="en-US" sz="900">
              <a:latin typeface="ＭＳ ゴシック" panose="020B0609070205080204" pitchFamily="49" charset="-128"/>
              <a:ea typeface="ＭＳ ゴシック" panose="020B0609070205080204" pitchFamily="49" charset="-128"/>
            </a:rPr>
            <a:t>   </a:t>
          </a:r>
          <a:r>
            <a:rPr kumimoji="1" lang="en-US" altLang="ja-JP" sz="900">
              <a:latin typeface="ＭＳ ゴシック" panose="020B0609070205080204" pitchFamily="49" charset="-128"/>
              <a:ea typeface="ＭＳ ゴシック" panose="020B0609070205080204" pitchFamily="49" charset="-128"/>
            </a:rPr>
            <a:t>4900000007381                </a:t>
          </a:r>
        </a:p>
        <a:p>
          <a:r>
            <a:rPr kumimoji="1" lang="en-US" altLang="ja-JP" sz="900">
              <a:latin typeface="ＭＳ ゴシック" panose="020B0609070205080204" pitchFamily="49" charset="-128"/>
              <a:ea typeface="ＭＳ ゴシック" panose="020B0609070205080204" pitchFamily="49" charset="-128"/>
            </a:rPr>
            <a:t>         \99   2</a:t>
          </a:r>
          <a:r>
            <a:rPr kumimoji="1" lang="ja-JP" altLang="en-US" sz="900">
              <a:latin typeface="ＭＳ ゴシック" panose="020B0609070205080204" pitchFamily="49" charset="-128"/>
              <a:ea typeface="ＭＳ ゴシック" panose="020B0609070205080204" pitchFamily="49" charset="-128"/>
            </a:rPr>
            <a:t>個         </a:t>
          </a:r>
          <a:r>
            <a:rPr kumimoji="1" lang="en-US" altLang="ja-JP" sz="900">
              <a:latin typeface="ＭＳ ゴシック" panose="020B0609070205080204" pitchFamily="49" charset="-128"/>
              <a:ea typeface="ＭＳ ゴシック" panose="020B0609070205080204" pitchFamily="49" charset="-128"/>
            </a:rPr>
            <a:t>\198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売変        </a:t>
          </a:r>
          <a:r>
            <a:rPr kumimoji="1" lang="en-US" altLang="ja-JP" sz="900">
              <a:latin typeface="ＭＳ ゴシック" panose="020B0609070205080204" pitchFamily="49" charset="-128"/>
              <a:ea typeface="ＭＳ ゴシック" panose="020B0609070205080204" pitchFamily="49" charset="-128"/>
            </a:rPr>
            <a:t>\98(</a:t>
          </a:r>
          <a:r>
            <a:rPr kumimoji="1" lang="ja-JP" altLang="en-US" sz="900">
              <a:latin typeface="ＭＳ ゴシック" panose="020B0609070205080204" pitchFamily="49" charset="-128"/>
              <a:ea typeface="ＭＳ ゴシック" panose="020B0609070205080204" pitchFamily="49" charset="-128"/>
            </a:rPr>
            <a:t>差          </a:t>
          </a:r>
          <a:r>
            <a:rPr kumimoji="1" lang="en-US" altLang="ja-JP" sz="900">
              <a:latin typeface="ＭＳ ゴシック" panose="020B0609070205080204" pitchFamily="49" charset="-128"/>
              <a:ea typeface="ＭＳ ゴシック" panose="020B0609070205080204" pitchFamily="49" charset="-128"/>
            </a:rPr>
            <a:t>\1)</a:t>
          </a:r>
        </a:p>
        <a:p>
          <a:r>
            <a:rPr kumimoji="1" lang="en-US" altLang="ja-JP" sz="900">
              <a:latin typeface="ＭＳ ゴシック" panose="020B0609070205080204" pitchFamily="49" charset="-128"/>
              <a:ea typeface="ＭＳ ゴシック" panose="020B0609070205080204" pitchFamily="49" charset="-128"/>
            </a:rPr>
            <a:t>  (  2</a:t>
          </a:r>
          <a:r>
            <a:rPr kumimoji="1" lang="ja-JP" altLang="en-US" sz="900">
              <a:latin typeface="ＭＳ ゴシック" panose="020B0609070205080204" pitchFamily="49" charset="-128"/>
              <a:ea typeface="ＭＳ ゴシック" panose="020B0609070205080204" pitchFamily="49" charset="-128"/>
            </a:rPr>
            <a:t>個</a:t>
          </a:r>
          <a:r>
            <a:rPr kumimoji="1" lang="en-US" altLang="ja-JP" sz="900">
              <a:latin typeface="ＭＳ ゴシック" panose="020B0609070205080204" pitchFamily="49" charset="-128"/>
              <a:ea typeface="ＭＳ ゴシック" panose="020B0609070205080204" pitchFamily="49" charset="-128"/>
            </a:rPr>
            <a:t>\160                  ) </a:t>
          </a:r>
        </a:p>
        <a:p>
          <a:r>
            <a:rPr kumimoji="1" lang="en-US" altLang="ja-JP" sz="900">
              <a:latin typeface="ＭＳ ゴシック" panose="020B0609070205080204" pitchFamily="49" charset="-128"/>
              <a:ea typeface="ＭＳ ゴシック" panose="020B0609070205080204" pitchFamily="49" charset="-128"/>
            </a:rPr>
            <a:t>     4</a:t>
          </a:r>
          <a:r>
            <a:rPr kumimoji="1" lang="ja-JP" altLang="en-US" sz="900">
              <a:latin typeface="ＭＳ ゴシック" panose="020B0609070205080204" pitchFamily="49" charset="-128"/>
              <a:ea typeface="ＭＳ ゴシック" panose="020B0609070205080204" pitchFamily="49" charset="-128"/>
            </a:rPr>
            <a:t>個</a:t>
          </a:r>
          <a:r>
            <a:rPr kumimoji="1" lang="en-US" altLang="ja-JP" sz="900">
              <a:latin typeface="ＭＳ ゴシック" panose="020B0609070205080204" pitchFamily="49" charset="-128"/>
              <a:ea typeface="ＭＳ ゴシック" panose="020B0609070205080204" pitchFamily="49" charset="-128"/>
            </a:rPr>
            <a:t>A</a:t>
          </a:r>
          <a:r>
            <a:rPr kumimoji="1" lang="ja-JP" altLang="en-US" sz="900">
              <a:latin typeface="ＭＳ ゴシック" panose="020B0609070205080204" pitchFamily="49" charset="-128"/>
              <a:ea typeface="ＭＳ ゴシック" panose="020B0609070205080204" pitchFamily="49" charset="-128"/>
            </a:rPr>
            <a:t>まとめ    </a:t>
          </a:r>
          <a:r>
            <a:rPr kumimoji="1" lang="en-US" altLang="ja-JP" sz="900">
              <a:latin typeface="ＭＳ ゴシック" panose="020B0609070205080204" pitchFamily="49" charset="-128"/>
              <a:ea typeface="ＭＳ ゴシック" panose="020B0609070205080204" pitchFamily="49" charset="-128"/>
            </a:rPr>
            <a:t>\320    -\12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小計       </a:t>
          </a:r>
          <a:r>
            <a:rPr kumimoji="1" lang="en-US" altLang="ja-JP" sz="900">
              <a:latin typeface="ＭＳ ゴシック" panose="020B0609070205080204" pitchFamily="49" charset="-128"/>
              <a:ea typeface="ＭＳ ゴシック" panose="020B0609070205080204" pitchFamily="49" charset="-128"/>
            </a:rPr>
            <a:t>8</a:t>
          </a:r>
          <a:r>
            <a:rPr kumimoji="1" lang="ja-JP" altLang="en-US" sz="900">
              <a:latin typeface="ＭＳ ゴシック" panose="020B0609070205080204" pitchFamily="49" charset="-128"/>
              <a:ea typeface="ＭＳ ゴシック" panose="020B0609070205080204" pitchFamily="49" charset="-128"/>
            </a:rPr>
            <a:t>点            </a:t>
          </a:r>
          <a:r>
            <a:rPr kumimoji="1" lang="en-US" altLang="ja-JP" sz="900">
              <a:latin typeface="ＭＳ ゴシック" panose="020B0609070205080204" pitchFamily="49" charset="-128"/>
              <a:ea typeface="ＭＳ ゴシック" panose="020B0609070205080204" pitchFamily="49" charset="-128"/>
            </a:rPr>
            <a:t>\662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外税 </a:t>
          </a:r>
          <a:r>
            <a:rPr kumimoji="1" lang="en-US" altLang="ja-JP" sz="900">
              <a:latin typeface="ＭＳ ゴシック" panose="020B0609070205080204" pitchFamily="49" charset="-128"/>
              <a:ea typeface="ＭＳ ゴシック" panose="020B0609070205080204" pitchFamily="49" charset="-128"/>
            </a:rPr>
            <a:t>8.0%</a:t>
          </a:r>
          <a:r>
            <a:rPr kumimoji="1" lang="ja-JP" altLang="en-US" sz="900">
              <a:latin typeface="ＭＳ ゴシック" panose="020B0609070205080204" pitchFamily="49" charset="-128"/>
              <a:ea typeface="ＭＳ ゴシック" panose="020B0609070205080204" pitchFamily="49" charset="-128"/>
            </a:rPr>
            <a:t>対象額         </a:t>
          </a:r>
          <a:r>
            <a:rPr kumimoji="1" lang="en-US" altLang="ja-JP" sz="900">
              <a:latin typeface="ＭＳ ゴシック" panose="020B0609070205080204" pitchFamily="49" charset="-128"/>
              <a:ea typeface="ＭＳ ゴシック" panose="020B0609070205080204" pitchFamily="49" charset="-128"/>
            </a:rPr>
            <a:t>\662)</a:t>
          </a:r>
        </a:p>
        <a:p>
          <a:r>
            <a:rPr kumimoji="1" lang="en-US" altLang="ja-JP" sz="900">
              <a:latin typeface="ＭＳ ゴシック" panose="020B0609070205080204" pitchFamily="49" charset="-128"/>
              <a:ea typeface="ＭＳ ゴシック" panose="020B0609070205080204" pitchFamily="49" charset="-128"/>
            </a:rPr>
            <a:t>      8.0% </a:t>
          </a:r>
          <a:r>
            <a:rPr kumimoji="1" lang="ja-JP" altLang="en-US" sz="900">
              <a:latin typeface="ＭＳ ゴシック" panose="020B0609070205080204" pitchFamily="49" charset="-128"/>
              <a:ea typeface="ＭＳ ゴシック" panose="020B0609070205080204" pitchFamily="49" charset="-128"/>
            </a:rPr>
            <a:t>消費税等         </a:t>
          </a:r>
          <a:r>
            <a:rPr kumimoji="1" lang="en-US" altLang="ja-JP" sz="900">
              <a:latin typeface="ＭＳ ゴシック" panose="020B0609070205080204" pitchFamily="49" charset="-128"/>
              <a:ea typeface="ＭＳ ゴシック" panose="020B0609070205080204" pitchFamily="49" charset="-128"/>
            </a:rPr>
            <a:t>\52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外税額計                   </a:t>
          </a:r>
          <a:r>
            <a:rPr kumimoji="1" lang="en-US" altLang="ja-JP" sz="900">
              <a:latin typeface="ＭＳ ゴシック" panose="020B0609070205080204" pitchFamily="49" charset="-128"/>
              <a:ea typeface="ＭＳ ゴシック" panose="020B0609070205080204" pitchFamily="49" charset="-128"/>
            </a:rPr>
            <a:t>\52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税込小計                  </a:t>
          </a:r>
          <a:r>
            <a:rPr kumimoji="1" lang="en-US" altLang="ja-JP" sz="900">
              <a:latin typeface="ＭＳ ゴシック" panose="020B0609070205080204" pitchFamily="49" charset="-128"/>
              <a:ea typeface="ＭＳ ゴシック" panose="020B0609070205080204" pitchFamily="49" charset="-128"/>
            </a:rPr>
            <a:t>\714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税込 </a:t>
          </a:r>
          <a:r>
            <a:rPr kumimoji="1" lang="en-US" altLang="ja-JP" sz="900">
              <a:latin typeface="ＭＳ ゴシック" panose="020B0609070205080204" pitchFamily="49" charset="-128"/>
              <a:ea typeface="ＭＳ ゴシック" panose="020B0609070205080204" pitchFamily="49" charset="-128"/>
            </a:rPr>
            <a:t>8.0%</a:t>
          </a:r>
          <a:r>
            <a:rPr kumimoji="1" lang="ja-JP" altLang="en-US" sz="900">
              <a:latin typeface="ＭＳ ゴシック" panose="020B0609070205080204" pitchFamily="49" charset="-128"/>
              <a:ea typeface="ＭＳ ゴシック" panose="020B0609070205080204" pitchFamily="49" charset="-128"/>
            </a:rPr>
            <a:t>対象額         </a:t>
          </a:r>
          <a:r>
            <a:rPr kumimoji="1" lang="en-US" altLang="ja-JP" sz="900">
              <a:latin typeface="ＭＳ ゴシック" panose="020B0609070205080204" pitchFamily="49" charset="-128"/>
              <a:ea typeface="ＭＳ ゴシック" panose="020B0609070205080204" pitchFamily="49" charset="-128"/>
            </a:rPr>
            <a:t>\714)</a:t>
          </a:r>
        </a:p>
        <a:p>
          <a:r>
            <a:rPr kumimoji="1" lang="en-US" altLang="ja-JP" sz="900">
              <a:latin typeface="ＭＳ ゴシック" panose="020B0609070205080204" pitchFamily="49" charset="-128"/>
              <a:ea typeface="ＭＳ ゴシック" panose="020B0609070205080204" pitchFamily="49" charset="-128"/>
            </a:rPr>
            <a:t>      8.0% </a:t>
          </a:r>
          <a:r>
            <a:rPr kumimoji="1" lang="ja-JP" altLang="en-US" sz="900">
              <a:latin typeface="ＭＳ ゴシック" panose="020B0609070205080204" pitchFamily="49" charset="-128"/>
              <a:ea typeface="ＭＳ ゴシック" panose="020B0609070205080204" pitchFamily="49" charset="-128"/>
            </a:rPr>
            <a:t>消費税等         </a:t>
          </a:r>
          <a:r>
            <a:rPr kumimoji="1" lang="en-US" altLang="ja-JP" sz="900">
              <a:latin typeface="ＭＳ ゴシック" panose="020B0609070205080204" pitchFamily="49" charset="-128"/>
              <a:ea typeface="ＭＳ ゴシック" panose="020B0609070205080204" pitchFamily="49" charset="-128"/>
            </a:rPr>
            <a:t>\52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税額計                     </a:t>
          </a:r>
          <a:r>
            <a:rPr kumimoji="1" lang="en-US" altLang="ja-JP" sz="900">
              <a:latin typeface="ＭＳ ゴシック" panose="020B0609070205080204" pitchFamily="49" charset="-128"/>
              <a:ea typeface="ＭＳ ゴシック" panose="020B0609070205080204" pitchFamily="49" charset="-128"/>
            </a:rPr>
            <a:t>\52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a:t>
          </a:r>
          <a:r>
            <a:rPr kumimoji="1" lang="en-US" altLang="ja-JP" sz="900">
              <a:latin typeface="ＭＳ ゴシック" panose="020B0609070205080204" pitchFamily="49" charset="-128"/>
              <a:ea typeface="ＭＳ ゴシック" panose="020B0609070205080204" pitchFamily="49" charset="-128"/>
            </a:rPr>
            <a:t>x</a:t>
          </a:r>
          <a:r>
            <a:rPr kumimoji="1" lang="ja-JP" altLang="en-US" sz="900">
              <a:latin typeface="ＭＳ ゴシック" panose="020B0609070205080204" pitchFamily="49" charset="-128"/>
              <a:ea typeface="ＭＳ ゴシック" panose="020B0609070205080204" pitchFamily="49" charset="-128"/>
            </a:rPr>
            <a:t>」は軽減税率対象商品です    </a:t>
          </a:r>
        </a:p>
        <a:p>
          <a:r>
            <a:rPr kumimoji="1" lang="ja-JP" altLang="en-US" sz="900">
              <a:latin typeface="ＭＳ ゴシック" panose="020B0609070205080204" pitchFamily="49" charset="-128"/>
              <a:ea typeface="ＭＳ ゴシック" panose="020B0609070205080204" pitchFamily="49" charset="-128"/>
            </a:rPr>
            <a:t> 合計                  </a:t>
          </a:r>
          <a:r>
            <a:rPr kumimoji="1" lang="en-US" altLang="ja-JP" sz="900">
              <a:latin typeface="ＭＳ ゴシック" panose="020B0609070205080204" pitchFamily="49" charset="-128"/>
              <a:ea typeface="ＭＳ ゴシック" panose="020B0609070205080204" pitchFamily="49" charset="-128"/>
            </a:rPr>
            <a:t>\714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お預り                </a:t>
          </a:r>
          <a:r>
            <a:rPr kumimoji="1" lang="en-US" altLang="ja-JP" sz="900">
              <a:latin typeface="ＭＳ ゴシック" panose="020B0609070205080204" pitchFamily="49" charset="-128"/>
              <a:ea typeface="ＭＳ ゴシック" panose="020B0609070205080204" pitchFamily="49" charset="-128"/>
            </a:rPr>
            <a:t>\714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お釣り                    </a:t>
          </a:r>
          <a:r>
            <a:rPr kumimoji="1" lang="en-US" altLang="ja-JP" sz="900">
              <a:latin typeface="ＭＳ ゴシック" panose="020B0609070205080204" pitchFamily="49" charset="-128"/>
              <a:ea typeface="ＭＳ ゴシック" panose="020B0609070205080204" pitchFamily="49" charset="-128"/>
            </a:rPr>
            <a:t>\0   </a:t>
          </a:r>
        </a:p>
        <a:p>
          <a:endParaRPr kumimoji="1" lang="en-US" altLang="ja-JP" sz="900">
            <a:latin typeface="ＭＳ ゴシック" panose="020B0609070205080204" pitchFamily="49" charset="-128"/>
            <a:ea typeface="ＭＳ ゴシック" panose="020B0609070205080204" pitchFamily="49" charset="-128"/>
          </a:endParaRPr>
        </a:p>
      </xdr:txBody>
    </xdr:sp>
    <xdr:clientData/>
  </xdr:twoCellAnchor>
  <xdr:twoCellAnchor>
    <xdr:from>
      <xdr:col>22</xdr:col>
      <xdr:colOff>18757</xdr:colOff>
      <xdr:row>705</xdr:row>
      <xdr:rowOff>20242</xdr:rowOff>
    </xdr:from>
    <xdr:to>
      <xdr:col>22</xdr:col>
      <xdr:colOff>192112</xdr:colOff>
      <xdr:row>705</xdr:row>
      <xdr:rowOff>122139</xdr:rowOff>
    </xdr:to>
    <xdr:sp macro="" textlink="">
      <xdr:nvSpPr>
        <xdr:cNvPr id="373" name="正方形/長方形 372">
          <a:extLst>
            <a:ext uri="{FF2B5EF4-FFF2-40B4-BE49-F238E27FC236}">
              <a16:creationId xmlns:a16="http://schemas.microsoft.com/office/drawing/2014/main" id="{08F4CE46-7C06-4DAE-9A6A-F71B344E1AD3}"/>
            </a:ext>
          </a:extLst>
        </xdr:cNvPr>
        <xdr:cNvSpPr/>
      </xdr:nvSpPr>
      <xdr:spPr>
        <a:xfrm>
          <a:off x="5047957" y="120892492"/>
          <a:ext cx="17335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27402</xdr:colOff>
      <xdr:row>705</xdr:row>
      <xdr:rowOff>11137</xdr:rowOff>
    </xdr:from>
    <xdr:to>
      <xdr:col>29</xdr:col>
      <xdr:colOff>200757</xdr:colOff>
      <xdr:row>705</xdr:row>
      <xdr:rowOff>105414</xdr:rowOff>
    </xdr:to>
    <xdr:sp macro="" textlink="">
      <xdr:nvSpPr>
        <xdr:cNvPr id="374" name="正方形/長方形 373">
          <a:extLst>
            <a:ext uri="{FF2B5EF4-FFF2-40B4-BE49-F238E27FC236}">
              <a16:creationId xmlns:a16="http://schemas.microsoft.com/office/drawing/2014/main" id="{82911C81-840E-4574-A81B-13309CF4B1EE}"/>
            </a:ext>
          </a:extLst>
        </xdr:cNvPr>
        <xdr:cNvSpPr/>
      </xdr:nvSpPr>
      <xdr:spPr>
        <a:xfrm>
          <a:off x="6656802" y="120883387"/>
          <a:ext cx="17335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707</xdr:row>
      <xdr:rowOff>14655</xdr:rowOff>
    </xdr:from>
    <xdr:to>
      <xdr:col>29</xdr:col>
      <xdr:colOff>198853</xdr:colOff>
      <xdr:row>707</xdr:row>
      <xdr:rowOff>112742</xdr:rowOff>
    </xdr:to>
    <xdr:sp macro="" textlink="">
      <xdr:nvSpPr>
        <xdr:cNvPr id="375" name="正方形/長方形 374">
          <a:extLst>
            <a:ext uri="{FF2B5EF4-FFF2-40B4-BE49-F238E27FC236}">
              <a16:creationId xmlns:a16="http://schemas.microsoft.com/office/drawing/2014/main" id="{E9CE4CD0-660A-4DFE-98EC-9CF926CF5289}"/>
            </a:ext>
          </a:extLst>
        </xdr:cNvPr>
        <xdr:cNvSpPr/>
      </xdr:nvSpPr>
      <xdr:spPr>
        <a:xfrm>
          <a:off x="6658708" y="12122980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21981</xdr:colOff>
      <xdr:row>706</xdr:row>
      <xdr:rowOff>23885</xdr:rowOff>
    </xdr:from>
    <xdr:to>
      <xdr:col>22</xdr:col>
      <xdr:colOff>191526</xdr:colOff>
      <xdr:row>706</xdr:row>
      <xdr:rowOff>127688</xdr:rowOff>
    </xdr:to>
    <xdr:sp macro="" textlink="">
      <xdr:nvSpPr>
        <xdr:cNvPr id="376" name="正方形/長方形 375">
          <a:extLst>
            <a:ext uri="{FF2B5EF4-FFF2-40B4-BE49-F238E27FC236}">
              <a16:creationId xmlns:a16="http://schemas.microsoft.com/office/drawing/2014/main" id="{22F35A1A-6F61-440C-9847-9A5C3C5F30E1}"/>
            </a:ext>
          </a:extLst>
        </xdr:cNvPr>
        <xdr:cNvSpPr/>
      </xdr:nvSpPr>
      <xdr:spPr>
        <a:xfrm>
          <a:off x="5051181" y="12106758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18757</xdr:colOff>
      <xdr:row>716</xdr:row>
      <xdr:rowOff>20242</xdr:rowOff>
    </xdr:from>
    <xdr:to>
      <xdr:col>22</xdr:col>
      <xdr:colOff>192112</xdr:colOff>
      <xdr:row>716</xdr:row>
      <xdr:rowOff>122139</xdr:rowOff>
    </xdr:to>
    <xdr:sp macro="" textlink="">
      <xdr:nvSpPr>
        <xdr:cNvPr id="377" name="正方形/長方形 376">
          <a:extLst>
            <a:ext uri="{FF2B5EF4-FFF2-40B4-BE49-F238E27FC236}">
              <a16:creationId xmlns:a16="http://schemas.microsoft.com/office/drawing/2014/main" id="{C02F1C3D-C191-462C-9994-E64FBE3A092A}"/>
            </a:ext>
          </a:extLst>
        </xdr:cNvPr>
        <xdr:cNvSpPr/>
      </xdr:nvSpPr>
      <xdr:spPr>
        <a:xfrm>
          <a:off x="5047957" y="122778442"/>
          <a:ext cx="17335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27402</xdr:colOff>
      <xdr:row>716</xdr:row>
      <xdr:rowOff>11137</xdr:rowOff>
    </xdr:from>
    <xdr:to>
      <xdr:col>29</xdr:col>
      <xdr:colOff>200757</xdr:colOff>
      <xdr:row>716</xdr:row>
      <xdr:rowOff>105414</xdr:rowOff>
    </xdr:to>
    <xdr:sp macro="" textlink="">
      <xdr:nvSpPr>
        <xdr:cNvPr id="378" name="正方形/長方形 377">
          <a:extLst>
            <a:ext uri="{FF2B5EF4-FFF2-40B4-BE49-F238E27FC236}">
              <a16:creationId xmlns:a16="http://schemas.microsoft.com/office/drawing/2014/main" id="{C4B44559-DB0A-4548-8639-D69D8DE5543B}"/>
            </a:ext>
          </a:extLst>
        </xdr:cNvPr>
        <xdr:cNvSpPr/>
      </xdr:nvSpPr>
      <xdr:spPr>
        <a:xfrm>
          <a:off x="6656802" y="122769337"/>
          <a:ext cx="17335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718</xdr:row>
      <xdr:rowOff>14655</xdr:rowOff>
    </xdr:from>
    <xdr:to>
      <xdr:col>29</xdr:col>
      <xdr:colOff>198853</xdr:colOff>
      <xdr:row>718</xdr:row>
      <xdr:rowOff>112742</xdr:rowOff>
    </xdr:to>
    <xdr:sp macro="" textlink="">
      <xdr:nvSpPr>
        <xdr:cNvPr id="379" name="正方形/長方形 378">
          <a:extLst>
            <a:ext uri="{FF2B5EF4-FFF2-40B4-BE49-F238E27FC236}">
              <a16:creationId xmlns:a16="http://schemas.microsoft.com/office/drawing/2014/main" id="{0A43EBB5-73D8-4C55-8EF5-243B42F22FB9}"/>
            </a:ext>
          </a:extLst>
        </xdr:cNvPr>
        <xdr:cNvSpPr/>
      </xdr:nvSpPr>
      <xdr:spPr>
        <a:xfrm>
          <a:off x="6658708" y="12311575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21981</xdr:colOff>
      <xdr:row>717</xdr:row>
      <xdr:rowOff>23885</xdr:rowOff>
    </xdr:from>
    <xdr:to>
      <xdr:col>22</xdr:col>
      <xdr:colOff>191526</xdr:colOff>
      <xdr:row>717</xdr:row>
      <xdr:rowOff>127688</xdr:rowOff>
    </xdr:to>
    <xdr:sp macro="" textlink="">
      <xdr:nvSpPr>
        <xdr:cNvPr id="380" name="正方形/長方形 379">
          <a:extLst>
            <a:ext uri="{FF2B5EF4-FFF2-40B4-BE49-F238E27FC236}">
              <a16:creationId xmlns:a16="http://schemas.microsoft.com/office/drawing/2014/main" id="{11E2176B-8238-419B-B871-84EE0B721287}"/>
            </a:ext>
          </a:extLst>
        </xdr:cNvPr>
        <xdr:cNvSpPr/>
      </xdr:nvSpPr>
      <xdr:spPr>
        <a:xfrm>
          <a:off x="5051181" y="12295353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18757</xdr:colOff>
      <xdr:row>734</xdr:row>
      <xdr:rowOff>20242</xdr:rowOff>
    </xdr:from>
    <xdr:to>
      <xdr:col>22</xdr:col>
      <xdr:colOff>192112</xdr:colOff>
      <xdr:row>734</xdr:row>
      <xdr:rowOff>122139</xdr:rowOff>
    </xdr:to>
    <xdr:sp macro="" textlink="">
      <xdr:nvSpPr>
        <xdr:cNvPr id="381" name="正方形/長方形 380">
          <a:extLst>
            <a:ext uri="{FF2B5EF4-FFF2-40B4-BE49-F238E27FC236}">
              <a16:creationId xmlns:a16="http://schemas.microsoft.com/office/drawing/2014/main" id="{C353ACE9-7528-4CB7-BC5F-A09F5FC6EF65}"/>
            </a:ext>
          </a:extLst>
        </xdr:cNvPr>
        <xdr:cNvSpPr/>
      </xdr:nvSpPr>
      <xdr:spPr>
        <a:xfrm>
          <a:off x="5047957" y="125864542"/>
          <a:ext cx="17335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18758</xdr:colOff>
      <xdr:row>734</xdr:row>
      <xdr:rowOff>9232</xdr:rowOff>
    </xdr:from>
    <xdr:to>
      <xdr:col>33</xdr:col>
      <xdr:colOff>182588</xdr:colOff>
      <xdr:row>734</xdr:row>
      <xdr:rowOff>103509</xdr:rowOff>
    </xdr:to>
    <xdr:sp macro="" textlink="">
      <xdr:nvSpPr>
        <xdr:cNvPr id="382" name="正方形/長方形 381">
          <a:extLst>
            <a:ext uri="{FF2B5EF4-FFF2-40B4-BE49-F238E27FC236}">
              <a16:creationId xmlns:a16="http://schemas.microsoft.com/office/drawing/2014/main" id="{86AD1D4E-0C0C-4B40-A597-3501B8BB610C}"/>
            </a:ext>
          </a:extLst>
        </xdr:cNvPr>
        <xdr:cNvSpPr/>
      </xdr:nvSpPr>
      <xdr:spPr>
        <a:xfrm>
          <a:off x="7562558" y="125853532"/>
          <a:ext cx="163830"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27402</xdr:colOff>
      <xdr:row>734</xdr:row>
      <xdr:rowOff>11137</xdr:rowOff>
    </xdr:from>
    <xdr:to>
      <xdr:col>29</xdr:col>
      <xdr:colOff>200757</xdr:colOff>
      <xdr:row>734</xdr:row>
      <xdr:rowOff>105414</xdr:rowOff>
    </xdr:to>
    <xdr:sp macro="" textlink="">
      <xdr:nvSpPr>
        <xdr:cNvPr id="383" name="正方形/長方形 382">
          <a:extLst>
            <a:ext uri="{FF2B5EF4-FFF2-40B4-BE49-F238E27FC236}">
              <a16:creationId xmlns:a16="http://schemas.microsoft.com/office/drawing/2014/main" id="{BA319D36-1FCA-4F06-AE54-E2E3B3DCA5F4}"/>
            </a:ext>
          </a:extLst>
        </xdr:cNvPr>
        <xdr:cNvSpPr/>
      </xdr:nvSpPr>
      <xdr:spPr>
        <a:xfrm>
          <a:off x="6656802" y="125855437"/>
          <a:ext cx="17335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736</xdr:row>
      <xdr:rowOff>14655</xdr:rowOff>
    </xdr:from>
    <xdr:to>
      <xdr:col>29</xdr:col>
      <xdr:colOff>198853</xdr:colOff>
      <xdr:row>736</xdr:row>
      <xdr:rowOff>112742</xdr:rowOff>
    </xdr:to>
    <xdr:sp macro="" textlink="">
      <xdr:nvSpPr>
        <xdr:cNvPr id="384" name="正方形/長方形 383">
          <a:extLst>
            <a:ext uri="{FF2B5EF4-FFF2-40B4-BE49-F238E27FC236}">
              <a16:creationId xmlns:a16="http://schemas.microsoft.com/office/drawing/2014/main" id="{9EBE3E2F-F2DD-4289-9AF2-393D0778C49E}"/>
            </a:ext>
          </a:extLst>
        </xdr:cNvPr>
        <xdr:cNvSpPr/>
      </xdr:nvSpPr>
      <xdr:spPr>
        <a:xfrm>
          <a:off x="6658708" y="12620185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13336</xdr:colOff>
      <xdr:row>735</xdr:row>
      <xdr:rowOff>21980</xdr:rowOff>
    </xdr:from>
    <xdr:to>
      <xdr:col>33</xdr:col>
      <xdr:colOff>171451</xdr:colOff>
      <xdr:row>735</xdr:row>
      <xdr:rowOff>123877</xdr:rowOff>
    </xdr:to>
    <xdr:sp macro="" textlink="">
      <xdr:nvSpPr>
        <xdr:cNvPr id="385" name="正方形/長方形 384">
          <a:extLst>
            <a:ext uri="{FF2B5EF4-FFF2-40B4-BE49-F238E27FC236}">
              <a16:creationId xmlns:a16="http://schemas.microsoft.com/office/drawing/2014/main" id="{B04814A8-C34E-4C8E-A436-871EC327A6C4}"/>
            </a:ext>
          </a:extLst>
        </xdr:cNvPr>
        <xdr:cNvSpPr/>
      </xdr:nvSpPr>
      <xdr:spPr>
        <a:xfrm>
          <a:off x="7557136" y="126037730"/>
          <a:ext cx="158115" cy="10189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200757</xdr:colOff>
      <xdr:row>734</xdr:row>
      <xdr:rowOff>56371</xdr:rowOff>
    </xdr:from>
    <xdr:to>
      <xdr:col>33</xdr:col>
      <xdr:colOff>18758</xdr:colOff>
      <xdr:row>734</xdr:row>
      <xdr:rowOff>58276</xdr:rowOff>
    </xdr:to>
    <xdr:cxnSp macro="">
      <xdr:nvCxnSpPr>
        <xdr:cNvPr id="386" name="直線コネクタ 385">
          <a:extLst>
            <a:ext uri="{FF2B5EF4-FFF2-40B4-BE49-F238E27FC236}">
              <a16:creationId xmlns:a16="http://schemas.microsoft.com/office/drawing/2014/main" id="{A3D26611-29D0-4913-BBB1-599ECB040E78}"/>
            </a:ext>
          </a:extLst>
        </xdr:cNvPr>
        <xdr:cNvCxnSpPr>
          <a:stCxn id="382" idx="1"/>
          <a:endCxn id="383" idx="3"/>
        </xdr:cNvCxnSpPr>
      </xdr:nvCxnSpPr>
      <xdr:spPr>
        <a:xfrm flipH="1">
          <a:off x="6830157" y="125900671"/>
          <a:ext cx="732401" cy="1905"/>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21981</xdr:colOff>
      <xdr:row>735</xdr:row>
      <xdr:rowOff>23885</xdr:rowOff>
    </xdr:from>
    <xdr:to>
      <xdr:col>22</xdr:col>
      <xdr:colOff>191526</xdr:colOff>
      <xdr:row>735</xdr:row>
      <xdr:rowOff>127688</xdr:rowOff>
    </xdr:to>
    <xdr:sp macro="" textlink="">
      <xdr:nvSpPr>
        <xdr:cNvPr id="387" name="正方形/長方形 386">
          <a:extLst>
            <a:ext uri="{FF2B5EF4-FFF2-40B4-BE49-F238E27FC236}">
              <a16:creationId xmlns:a16="http://schemas.microsoft.com/office/drawing/2014/main" id="{59A2D5B4-0B37-419A-AE9B-459FBA752FE1}"/>
            </a:ext>
          </a:extLst>
        </xdr:cNvPr>
        <xdr:cNvSpPr/>
      </xdr:nvSpPr>
      <xdr:spPr>
        <a:xfrm>
          <a:off x="5051181" y="12603963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198853</xdr:colOff>
      <xdr:row>735</xdr:row>
      <xdr:rowOff>72929</xdr:rowOff>
    </xdr:from>
    <xdr:to>
      <xdr:col>33</xdr:col>
      <xdr:colOff>13336</xdr:colOff>
      <xdr:row>736</xdr:row>
      <xdr:rowOff>63699</xdr:rowOff>
    </xdr:to>
    <xdr:cxnSp macro="">
      <xdr:nvCxnSpPr>
        <xdr:cNvPr id="388" name="直線コネクタ 31">
          <a:extLst>
            <a:ext uri="{FF2B5EF4-FFF2-40B4-BE49-F238E27FC236}">
              <a16:creationId xmlns:a16="http://schemas.microsoft.com/office/drawing/2014/main" id="{6F72902B-F636-4AF5-8408-2A4E37A4C545}"/>
            </a:ext>
          </a:extLst>
        </xdr:cNvPr>
        <xdr:cNvCxnSpPr>
          <a:stCxn id="384" idx="3"/>
          <a:endCxn id="385" idx="1"/>
        </xdr:cNvCxnSpPr>
      </xdr:nvCxnSpPr>
      <xdr:spPr>
        <a:xfrm flipV="1">
          <a:off x="6828253" y="126088679"/>
          <a:ext cx="728883" cy="162220"/>
        </a:xfrm>
        <a:prstGeom prst="bentConnector3">
          <a:avLst>
            <a:gd name="adj1" fmla="val 67474"/>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21981</xdr:colOff>
      <xdr:row>705</xdr:row>
      <xdr:rowOff>14654</xdr:rowOff>
    </xdr:from>
    <xdr:to>
      <xdr:col>20</xdr:col>
      <xdr:colOff>199146</xdr:colOff>
      <xdr:row>705</xdr:row>
      <xdr:rowOff>116551</xdr:rowOff>
    </xdr:to>
    <xdr:sp macro="" textlink="">
      <xdr:nvSpPr>
        <xdr:cNvPr id="389" name="正方形/長方形 388">
          <a:extLst>
            <a:ext uri="{FF2B5EF4-FFF2-40B4-BE49-F238E27FC236}">
              <a16:creationId xmlns:a16="http://schemas.microsoft.com/office/drawing/2014/main" id="{A0371228-D883-41E4-BE56-1CFDC1E2E880}"/>
            </a:ext>
          </a:extLst>
        </xdr:cNvPr>
        <xdr:cNvSpPr/>
      </xdr:nvSpPr>
      <xdr:spPr>
        <a:xfrm>
          <a:off x="4593981" y="120886904"/>
          <a:ext cx="17716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18463</xdr:colOff>
      <xdr:row>705</xdr:row>
      <xdr:rowOff>22861</xdr:rowOff>
    </xdr:from>
    <xdr:to>
      <xdr:col>12</xdr:col>
      <xdr:colOff>191818</xdr:colOff>
      <xdr:row>705</xdr:row>
      <xdr:rowOff>111423</xdr:rowOff>
    </xdr:to>
    <xdr:sp macro="" textlink="">
      <xdr:nvSpPr>
        <xdr:cNvPr id="390" name="正方形/長方形 389">
          <a:extLst>
            <a:ext uri="{FF2B5EF4-FFF2-40B4-BE49-F238E27FC236}">
              <a16:creationId xmlns:a16="http://schemas.microsoft.com/office/drawing/2014/main" id="{92E5AD09-2E72-4814-B106-FF188D7C32EE}"/>
            </a:ext>
          </a:extLst>
        </xdr:cNvPr>
        <xdr:cNvSpPr/>
      </xdr:nvSpPr>
      <xdr:spPr>
        <a:xfrm>
          <a:off x="2761663" y="120895111"/>
          <a:ext cx="173355" cy="8856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21981</xdr:colOff>
      <xdr:row>706</xdr:row>
      <xdr:rowOff>29308</xdr:rowOff>
    </xdr:from>
    <xdr:to>
      <xdr:col>20</xdr:col>
      <xdr:colOff>210576</xdr:colOff>
      <xdr:row>706</xdr:row>
      <xdr:rowOff>121680</xdr:rowOff>
    </xdr:to>
    <xdr:sp macro="" textlink="">
      <xdr:nvSpPr>
        <xdr:cNvPr id="391" name="正方形/長方形 390">
          <a:extLst>
            <a:ext uri="{FF2B5EF4-FFF2-40B4-BE49-F238E27FC236}">
              <a16:creationId xmlns:a16="http://schemas.microsoft.com/office/drawing/2014/main" id="{6FCE5EA2-CDA8-4769-BC7C-DF27704E4656}"/>
            </a:ext>
          </a:extLst>
        </xdr:cNvPr>
        <xdr:cNvSpPr/>
      </xdr:nvSpPr>
      <xdr:spPr>
        <a:xfrm>
          <a:off x="4593981" y="121073008"/>
          <a:ext cx="188595" cy="9237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223859</xdr:colOff>
      <xdr:row>664</xdr:row>
      <xdr:rowOff>66087</xdr:rowOff>
    </xdr:from>
    <xdr:to>
      <xdr:col>12</xdr:col>
      <xdr:colOff>18463</xdr:colOff>
      <xdr:row>705</xdr:row>
      <xdr:rowOff>67142</xdr:rowOff>
    </xdr:to>
    <xdr:cxnSp macro="">
      <xdr:nvCxnSpPr>
        <xdr:cNvPr id="392" name="直線コネクタ 31">
          <a:extLst>
            <a:ext uri="{FF2B5EF4-FFF2-40B4-BE49-F238E27FC236}">
              <a16:creationId xmlns:a16="http://schemas.microsoft.com/office/drawing/2014/main" id="{7B89EA7D-372A-446C-BED3-4ED3BCD3000B}"/>
            </a:ext>
          </a:extLst>
        </xdr:cNvPr>
        <xdr:cNvCxnSpPr>
          <a:cxnSpLocks/>
          <a:stCxn id="349" idx="3"/>
          <a:endCxn id="390" idx="1"/>
        </xdr:cNvCxnSpPr>
      </xdr:nvCxnSpPr>
      <xdr:spPr>
        <a:xfrm>
          <a:off x="2509859" y="113908887"/>
          <a:ext cx="251804" cy="7030505"/>
        </a:xfrm>
        <a:prstGeom prst="bentConnector3">
          <a:avLst>
            <a:gd name="adj1" fmla="val 50000"/>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210576</xdr:colOff>
      <xdr:row>706</xdr:row>
      <xdr:rowOff>75494</xdr:rowOff>
    </xdr:from>
    <xdr:to>
      <xdr:col>22</xdr:col>
      <xdr:colOff>21981</xdr:colOff>
      <xdr:row>735</xdr:row>
      <xdr:rowOff>75787</xdr:rowOff>
    </xdr:to>
    <xdr:cxnSp macro="">
      <xdr:nvCxnSpPr>
        <xdr:cNvPr id="393" name="直線コネクタ 31">
          <a:extLst>
            <a:ext uri="{FF2B5EF4-FFF2-40B4-BE49-F238E27FC236}">
              <a16:creationId xmlns:a16="http://schemas.microsoft.com/office/drawing/2014/main" id="{1AD18DF3-AD97-4D2B-AFA5-72331A74A55E}"/>
            </a:ext>
          </a:extLst>
        </xdr:cNvPr>
        <xdr:cNvCxnSpPr>
          <a:stCxn id="387" idx="1"/>
          <a:endCxn id="391" idx="3"/>
        </xdr:cNvCxnSpPr>
      </xdr:nvCxnSpPr>
      <xdr:spPr>
        <a:xfrm rot="10800000">
          <a:off x="4782576" y="121119194"/>
          <a:ext cx="268605" cy="4972343"/>
        </a:xfrm>
        <a:prstGeom prst="bentConnector3">
          <a:avLst>
            <a:gd name="adj1" fmla="val 69861"/>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210576</xdr:colOff>
      <xdr:row>706</xdr:row>
      <xdr:rowOff>75494</xdr:rowOff>
    </xdr:from>
    <xdr:to>
      <xdr:col>22</xdr:col>
      <xdr:colOff>21981</xdr:colOff>
      <xdr:row>706</xdr:row>
      <xdr:rowOff>75787</xdr:rowOff>
    </xdr:to>
    <xdr:cxnSp macro="">
      <xdr:nvCxnSpPr>
        <xdr:cNvPr id="394" name="直線コネクタ 393">
          <a:extLst>
            <a:ext uri="{FF2B5EF4-FFF2-40B4-BE49-F238E27FC236}">
              <a16:creationId xmlns:a16="http://schemas.microsoft.com/office/drawing/2014/main" id="{34ED158D-61B4-4C48-9223-7A7AC5CFF001}"/>
            </a:ext>
          </a:extLst>
        </xdr:cNvPr>
        <xdr:cNvCxnSpPr>
          <a:cxnSpLocks/>
          <a:stCxn id="391" idx="3"/>
          <a:endCxn id="376" idx="1"/>
        </xdr:cNvCxnSpPr>
      </xdr:nvCxnSpPr>
      <xdr:spPr>
        <a:xfrm>
          <a:off x="4782576" y="121119194"/>
          <a:ext cx="268605" cy="293"/>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199146</xdr:colOff>
      <xdr:row>705</xdr:row>
      <xdr:rowOff>65603</xdr:rowOff>
    </xdr:from>
    <xdr:to>
      <xdr:col>22</xdr:col>
      <xdr:colOff>18757</xdr:colOff>
      <xdr:row>705</xdr:row>
      <xdr:rowOff>71191</xdr:rowOff>
    </xdr:to>
    <xdr:cxnSp macro="">
      <xdr:nvCxnSpPr>
        <xdr:cNvPr id="395" name="直線コネクタ 394">
          <a:extLst>
            <a:ext uri="{FF2B5EF4-FFF2-40B4-BE49-F238E27FC236}">
              <a16:creationId xmlns:a16="http://schemas.microsoft.com/office/drawing/2014/main" id="{D52B9072-1257-406A-937D-1C306AE18287}"/>
            </a:ext>
          </a:extLst>
        </xdr:cNvPr>
        <xdr:cNvCxnSpPr>
          <a:cxnSpLocks/>
          <a:stCxn id="389" idx="3"/>
          <a:endCxn id="373" idx="1"/>
        </xdr:cNvCxnSpPr>
      </xdr:nvCxnSpPr>
      <xdr:spPr>
        <a:xfrm>
          <a:off x="4771146" y="120937853"/>
          <a:ext cx="276811" cy="5588"/>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18757</xdr:colOff>
      <xdr:row>685</xdr:row>
      <xdr:rowOff>20242</xdr:rowOff>
    </xdr:from>
    <xdr:to>
      <xdr:col>22</xdr:col>
      <xdr:colOff>192112</xdr:colOff>
      <xdr:row>685</xdr:row>
      <xdr:rowOff>122139</xdr:rowOff>
    </xdr:to>
    <xdr:sp macro="" textlink="">
      <xdr:nvSpPr>
        <xdr:cNvPr id="396" name="正方形/長方形 395">
          <a:extLst>
            <a:ext uri="{FF2B5EF4-FFF2-40B4-BE49-F238E27FC236}">
              <a16:creationId xmlns:a16="http://schemas.microsoft.com/office/drawing/2014/main" id="{40D25730-AA06-49C7-8368-E4C7C9682631}"/>
            </a:ext>
          </a:extLst>
        </xdr:cNvPr>
        <xdr:cNvSpPr/>
      </xdr:nvSpPr>
      <xdr:spPr>
        <a:xfrm>
          <a:off x="5047957" y="117463492"/>
          <a:ext cx="17335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18758</xdr:colOff>
      <xdr:row>685</xdr:row>
      <xdr:rowOff>9232</xdr:rowOff>
    </xdr:from>
    <xdr:to>
      <xdr:col>33</xdr:col>
      <xdr:colOff>182588</xdr:colOff>
      <xdr:row>685</xdr:row>
      <xdr:rowOff>103509</xdr:rowOff>
    </xdr:to>
    <xdr:sp macro="" textlink="">
      <xdr:nvSpPr>
        <xdr:cNvPr id="397" name="正方形/長方形 396">
          <a:extLst>
            <a:ext uri="{FF2B5EF4-FFF2-40B4-BE49-F238E27FC236}">
              <a16:creationId xmlns:a16="http://schemas.microsoft.com/office/drawing/2014/main" id="{C5CE1579-A221-4249-B745-009ED7B55086}"/>
            </a:ext>
          </a:extLst>
        </xdr:cNvPr>
        <xdr:cNvSpPr/>
      </xdr:nvSpPr>
      <xdr:spPr>
        <a:xfrm>
          <a:off x="7562558" y="117452482"/>
          <a:ext cx="163830"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27402</xdr:colOff>
      <xdr:row>685</xdr:row>
      <xdr:rowOff>11137</xdr:rowOff>
    </xdr:from>
    <xdr:to>
      <xdr:col>29</xdr:col>
      <xdr:colOff>200757</xdr:colOff>
      <xdr:row>685</xdr:row>
      <xdr:rowOff>105414</xdr:rowOff>
    </xdr:to>
    <xdr:sp macro="" textlink="">
      <xdr:nvSpPr>
        <xdr:cNvPr id="398" name="正方形/長方形 397">
          <a:extLst>
            <a:ext uri="{FF2B5EF4-FFF2-40B4-BE49-F238E27FC236}">
              <a16:creationId xmlns:a16="http://schemas.microsoft.com/office/drawing/2014/main" id="{B57EEF4B-F13C-462A-AEE5-260E3630E88D}"/>
            </a:ext>
          </a:extLst>
        </xdr:cNvPr>
        <xdr:cNvSpPr/>
      </xdr:nvSpPr>
      <xdr:spPr>
        <a:xfrm>
          <a:off x="6656802" y="117454387"/>
          <a:ext cx="17335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687</xdr:row>
      <xdr:rowOff>14655</xdr:rowOff>
    </xdr:from>
    <xdr:to>
      <xdr:col>29</xdr:col>
      <xdr:colOff>198853</xdr:colOff>
      <xdr:row>687</xdr:row>
      <xdr:rowOff>112742</xdr:rowOff>
    </xdr:to>
    <xdr:sp macro="" textlink="">
      <xdr:nvSpPr>
        <xdr:cNvPr id="399" name="正方形/長方形 398">
          <a:extLst>
            <a:ext uri="{FF2B5EF4-FFF2-40B4-BE49-F238E27FC236}">
              <a16:creationId xmlns:a16="http://schemas.microsoft.com/office/drawing/2014/main" id="{541965CD-1808-4595-8F75-7D1C2D30D9FC}"/>
            </a:ext>
          </a:extLst>
        </xdr:cNvPr>
        <xdr:cNvSpPr/>
      </xdr:nvSpPr>
      <xdr:spPr>
        <a:xfrm>
          <a:off x="6658708" y="11780080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13336</xdr:colOff>
      <xdr:row>686</xdr:row>
      <xdr:rowOff>21980</xdr:rowOff>
    </xdr:from>
    <xdr:to>
      <xdr:col>33</xdr:col>
      <xdr:colOff>171451</xdr:colOff>
      <xdr:row>686</xdr:row>
      <xdr:rowOff>123877</xdr:rowOff>
    </xdr:to>
    <xdr:sp macro="" textlink="">
      <xdr:nvSpPr>
        <xdr:cNvPr id="400" name="正方形/長方形 399">
          <a:extLst>
            <a:ext uri="{FF2B5EF4-FFF2-40B4-BE49-F238E27FC236}">
              <a16:creationId xmlns:a16="http://schemas.microsoft.com/office/drawing/2014/main" id="{2320C402-0863-4FA8-886E-6D7A57843269}"/>
            </a:ext>
          </a:extLst>
        </xdr:cNvPr>
        <xdr:cNvSpPr/>
      </xdr:nvSpPr>
      <xdr:spPr>
        <a:xfrm>
          <a:off x="7557136" y="117636680"/>
          <a:ext cx="158115" cy="10189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200757</xdr:colOff>
      <xdr:row>685</xdr:row>
      <xdr:rowOff>56371</xdr:rowOff>
    </xdr:from>
    <xdr:to>
      <xdr:col>33</xdr:col>
      <xdr:colOff>18758</xdr:colOff>
      <xdr:row>685</xdr:row>
      <xdr:rowOff>58276</xdr:rowOff>
    </xdr:to>
    <xdr:cxnSp macro="">
      <xdr:nvCxnSpPr>
        <xdr:cNvPr id="401" name="直線コネクタ 400">
          <a:extLst>
            <a:ext uri="{FF2B5EF4-FFF2-40B4-BE49-F238E27FC236}">
              <a16:creationId xmlns:a16="http://schemas.microsoft.com/office/drawing/2014/main" id="{05909D8C-CC04-4CBF-9BC8-ECB2248A50CE}"/>
            </a:ext>
          </a:extLst>
        </xdr:cNvPr>
        <xdr:cNvCxnSpPr>
          <a:stCxn id="397" idx="1"/>
          <a:endCxn id="398" idx="3"/>
        </xdr:cNvCxnSpPr>
      </xdr:nvCxnSpPr>
      <xdr:spPr>
        <a:xfrm flipH="1">
          <a:off x="6830157" y="117499621"/>
          <a:ext cx="732401" cy="1905"/>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21981</xdr:colOff>
      <xdr:row>686</xdr:row>
      <xdr:rowOff>23885</xdr:rowOff>
    </xdr:from>
    <xdr:to>
      <xdr:col>22</xdr:col>
      <xdr:colOff>191526</xdr:colOff>
      <xdr:row>686</xdr:row>
      <xdr:rowOff>127688</xdr:rowOff>
    </xdr:to>
    <xdr:sp macro="" textlink="">
      <xdr:nvSpPr>
        <xdr:cNvPr id="402" name="正方形/長方形 401">
          <a:extLst>
            <a:ext uri="{FF2B5EF4-FFF2-40B4-BE49-F238E27FC236}">
              <a16:creationId xmlns:a16="http://schemas.microsoft.com/office/drawing/2014/main" id="{BCE0BB01-F2D4-45EE-B869-FB07912D43FC}"/>
            </a:ext>
          </a:extLst>
        </xdr:cNvPr>
        <xdr:cNvSpPr/>
      </xdr:nvSpPr>
      <xdr:spPr>
        <a:xfrm>
          <a:off x="5051181" y="11763858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198853</xdr:colOff>
      <xdr:row>686</xdr:row>
      <xdr:rowOff>72929</xdr:rowOff>
    </xdr:from>
    <xdr:to>
      <xdr:col>33</xdr:col>
      <xdr:colOff>13336</xdr:colOff>
      <xdr:row>803</xdr:row>
      <xdr:rowOff>63699</xdr:rowOff>
    </xdr:to>
    <xdr:cxnSp macro="">
      <xdr:nvCxnSpPr>
        <xdr:cNvPr id="403" name="直線コネクタ 31">
          <a:extLst>
            <a:ext uri="{FF2B5EF4-FFF2-40B4-BE49-F238E27FC236}">
              <a16:creationId xmlns:a16="http://schemas.microsoft.com/office/drawing/2014/main" id="{5DCDC6B3-17B7-444B-82E2-472A19B47869}"/>
            </a:ext>
          </a:extLst>
        </xdr:cNvPr>
        <xdr:cNvCxnSpPr>
          <a:stCxn id="458" idx="3"/>
          <a:endCxn id="400" idx="1"/>
        </xdr:cNvCxnSpPr>
      </xdr:nvCxnSpPr>
      <xdr:spPr>
        <a:xfrm flipV="1">
          <a:off x="6828253" y="117687629"/>
          <a:ext cx="728883" cy="20050420"/>
        </a:xfrm>
        <a:prstGeom prst="bentConnector3">
          <a:avLst>
            <a:gd name="adj1" fmla="val 53679"/>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18757</xdr:colOff>
      <xdr:row>695</xdr:row>
      <xdr:rowOff>20242</xdr:rowOff>
    </xdr:from>
    <xdr:to>
      <xdr:col>22</xdr:col>
      <xdr:colOff>192112</xdr:colOff>
      <xdr:row>695</xdr:row>
      <xdr:rowOff>122139</xdr:rowOff>
    </xdr:to>
    <xdr:sp macro="" textlink="">
      <xdr:nvSpPr>
        <xdr:cNvPr id="404" name="正方形/長方形 403">
          <a:extLst>
            <a:ext uri="{FF2B5EF4-FFF2-40B4-BE49-F238E27FC236}">
              <a16:creationId xmlns:a16="http://schemas.microsoft.com/office/drawing/2014/main" id="{24BF7716-3203-42B1-875C-F9AAC3F57FC1}"/>
            </a:ext>
          </a:extLst>
        </xdr:cNvPr>
        <xdr:cNvSpPr/>
      </xdr:nvSpPr>
      <xdr:spPr>
        <a:xfrm>
          <a:off x="5047957" y="119177992"/>
          <a:ext cx="17335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18758</xdr:colOff>
      <xdr:row>695</xdr:row>
      <xdr:rowOff>9232</xdr:rowOff>
    </xdr:from>
    <xdr:to>
      <xdr:col>33</xdr:col>
      <xdr:colOff>182588</xdr:colOff>
      <xdr:row>695</xdr:row>
      <xdr:rowOff>103509</xdr:rowOff>
    </xdr:to>
    <xdr:sp macro="" textlink="">
      <xdr:nvSpPr>
        <xdr:cNvPr id="405" name="正方形/長方形 404">
          <a:extLst>
            <a:ext uri="{FF2B5EF4-FFF2-40B4-BE49-F238E27FC236}">
              <a16:creationId xmlns:a16="http://schemas.microsoft.com/office/drawing/2014/main" id="{77C08CE0-8642-4BF7-AD7F-D2E69F59B083}"/>
            </a:ext>
          </a:extLst>
        </xdr:cNvPr>
        <xdr:cNvSpPr/>
      </xdr:nvSpPr>
      <xdr:spPr>
        <a:xfrm>
          <a:off x="7562558" y="119166982"/>
          <a:ext cx="163830"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27402</xdr:colOff>
      <xdr:row>695</xdr:row>
      <xdr:rowOff>11137</xdr:rowOff>
    </xdr:from>
    <xdr:to>
      <xdr:col>29</xdr:col>
      <xdr:colOff>200757</xdr:colOff>
      <xdr:row>695</xdr:row>
      <xdr:rowOff>105414</xdr:rowOff>
    </xdr:to>
    <xdr:sp macro="" textlink="">
      <xdr:nvSpPr>
        <xdr:cNvPr id="406" name="正方形/長方形 405">
          <a:extLst>
            <a:ext uri="{FF2B5EF4-FFF2-40B4-BE49-F238E27FC236}">
              <a16:creationId xmlns:a16="http://schemas.microsoft.com/office/drawing/2014/main" id="{53F62FA0-70C7-40F9-90E3-D8E45BDD7FD3}"/>
            </a:ext>
          </a:extLst>
        </xdr:cNvPr>
        <xdr:cNvSpPr/>
      </xdr:nvSpPr>
      <xdr:spPr>
        <a:xfrm>
          <a:off x="6656802" y="119168887"/>
          <a:ext cx="17335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697</xdr:row>
      <xdr:rowOff>14655</xdr:rowOff>
    </xdr:from>
    <xdr:to>
      <xdr:col>29</xdr:col>
      <xdr:colOff>198853</xdr:colOff>
      <xdr:row>697</xdr:row>
      <xdr:rowOff>112742</xdr:rowOff>
    </xdr:to>
    <xdr:sp macro="" textlink="">
      <xdr:nvSpPr>
        <xdr:cNvPr id="407" name="正方形/長方形 406">
          <a:extLst>
            <a:ext uri="{FF2B5EF4-FFF2-40B4-BE49-F238E27FC236}">
              <a16:creationId xmlns:a16="http://schemas.microsoft.com/office/drawing/2014/main" id="{F992AB4E-CCAA-4305-A3D2-67C26B93D51D}"/>
            </a:ext>
          </a:extLst>
        </xdr:cNvPr>
        <xdr:cNvSpPr/>
      </xdr:nvSpPr>
      <xdr:spPr>
        <a:xfrm>
          <a:off x="6658708" y="11951530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13336</xdr:colOff>
      <xdr:row>696</xdr:row>
      <xdr:rowOff>21980</xdr:rowOff>
    </xdr:from>
    <xdr:to>
      <xdr:col>33</xdr:col>
      <xdr:colOff>171451</xdr:colOff>
      <xdr:row>696</xdr:row>
      <xdr:rowOff>123877</xdr:rowOff>
    </xdr:to>
    <xdr:sp macro="" textlink="">
      <xdr:nvSpPr>
        <xdr:cNvPr id="408" name="正方形/長方形 407">
          <a:extLst>
            <a:ext uri="{FF2B5EF4-FFF2-40B4-BE49-F238E27FC236}">
              <a16:creationId xmlns:a16="http://schemas.microsoft.com/office/drawing/2014/main" id="{6F24E114-7558-41EB-A72D-4047062D0D42}"/>
            </a:ext>
          </a:extLst>
        </xdr:cNvPr>
        <xdr:cNvSpPr/>
      </xdr:nvSpPr>
      <xdr:spPr>
        <a:xfrm>
          <a:off x="7557136" y="119351180"/>
          <a:ext cx="158115" cy="10189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200757</xdr:colOff>
      <xdr:row>695</xdr:row>
      <xdr:rowOff>56371</xdr:rowOff>
    </xdr:from>
    <xdr:to>
      <xdr:col>33</xdr:col>
      <xdr:colOff>18758</xdr:colOff>
      <xdr:row>695</xdr:row>
      <xdr:rowOff>58276</xdr:rowOff>
    </xdr:to>
    <xdr:cxnSp macro="">
      <xdr:nvCxnSpPr>
        <xdr:cNvPr id="409" name="直線コネクタ 408">
          <a:extLst>
            <a:ext uri="{FF2B5EF4-FFF2-40B4-BE49-F238E27FC236}">
              <a16:creationId xmlns:a16="http://schemas.microsoft.com/office/drawing/2014/main" id="{A13E939F-F24D-48FC-B470-A07761579C1C}"/>
            </a:ext>
          </a:extLst>
        </xdr:cNvPr>
        <xdr:cNvCxnSpPr>
          <a:stCxn id="405" idx="1"/>
          <a:endCxn id="406" idx="3"/>
        </xdr:cNvCxnSpPr>
      </xdr:nvCxnSpPr>
      <xdr:spPr>
        <a:xfrm flipH="1">
          <a:off x="6830157" y="119214121"/>
          <a:ext cx="732401" cy="1905"/>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21981</xdr:colOff>
      <xdr:row>696</xdr:row>
      <xdr:rowOff>23885</xdr:rowOff>
    </xdr:from>
    <xdr:to>
      <xdr:col>22</xdr:col>
      <xdr:colOff>191526</xdr:colOff>
      <xdr:row>696</xdr:row>
      <xdr:rowOff>127688</xdr:rowOff>
    </xdr:to>
    <xdr:sp macro="" textlink="">
      <xdr:nvSpPr>
        <xdr:cNvPr id="410" name="正方形/長方形 409">
          <a:extLst>
            <a:ext uri="{FF2B5EF4-FFF2-40B4-BE49-F238E27FC236}">
              <a16:creationId xmlns:a16="http://schemas.microsoft.com/office/drawing/2014/main" id="{E4F08A4E-350F-42D3-A5AC-AE011E616468}"/>
            </a:ext>
          </a:extLst>
        </xdr:cNvPr>
        <xdr:cNvSpPr/>
      </xdr:nvSpPr>
      <xdr:spPr>
        <a:xfrm>
          <a:off x="5051181" y="11935308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198853</xdr:colOff>
      <xdr:row>696</xdr:row>
      <xdr:rowOff>72929</xdr:rowOff>
    </xdr:from>
    <xdr:to>
      <xdr:col>33</xdr:col>
      <xdr:colOff>13336</xdr:colOff>
      <xdr:row>697</xdr:row>
      <xdr:rowOff>63699</xdr:rowOff>
    </xdr:to>
    <xdr:cxnSp macro="">
      <xdr:nvCxnSpPr>
        <xdr:cNvPr id="411" name="直線コネクタ 31">
          <a:extLst>
            <a:ext uri="{FF2B5EF4-FFF2-40B4-BE49-F238E27FC236}">
              <a16:creationId xmlns:a16="http://schemas.microsoft.com/office/drawing/2014/main" id="{0B8D296C-5D48-4A42-919F-0788AE9EC96E}"/>
            </a:ext>
          </a:extLst>
        </xdr:cNvPr>
        <xdr:cNvCxnSpPr>
          <a:stCxn id="407" idx="3"/>
          <a:endCxn id="408" idx="1"/>
        </xdr:cNvCxnSpPr>
      </xdr:nvCxnSpPr>
      <xdr:spPr>
        <a:xfrm flipV="1">
          <a:off x="6828253" y="119402129"/>
          <a:ext cx="728883" cy="162220"/>
        </a:xfrm>
        <a:prstGeom prst="bentConnector3">
          <a:avLst>
            <a:gd name="adj1" fmla="val 70233"/>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18757</xdr:colOff>
      <xdr:row>725</xdr:row>
      <xdr:rowOff>20242</xdr:rowOff>
    </xdr:from>
    <xdr:to>
      <xdr:col>22</xdr:col>
      <xdr:colOff>192112</xdr:colOff>
      <xdr:row>725</xdr:row>
      <xdr:rowOff>122139</xdr:rowOff>
    </xdr:to>
    <xdr:sp macro="" textlink="">
      <xdr:nvSpPr>
        <xdr:cNvPr id="412" name="正方形/長方形 411">
          <a:extLst>
            <a:ext uri="{FF2B5EF4-FFF2-40B4-BE49-F238E27FC236}">
              <a16:creationId xmlns:a16="http://schemas.microsoft.com/office/drawing/2014/main" id="{440ABF73-D31B-4A9B-A981-AB889F3A0510}"/>
            </a:ext>
          </a:extLst>
        </xdr:cNvPr>
        <xdr:cNvSpPr/>
      </xdr:nvSpPr>
      <xdr:spPr>
        <a:xfrm>
          <a:off x="5047957" y="124321492"/>
          <a:ext cx="17335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27402</xdr:colOff>
      <xdr:row>725</xdr:row>
      <xdr:rowOff>11137</xdr:rowOff>
    </xdr:from>
    <xdr:to>
      <xdr:col>29</xdr:col>
      <xdr:colOff>200757</xdr:colOff>
      <xdr:row>725</xdr:row>
      <xdr:rowOff>105414</xdr:rowOff>
    </xdr:to>
    <xdr:sp macro="" textlink="">
      <xdr:nvSpPr>
        <xdr:cNvPr id="413" name="正方形/長方形 412">
          <a:extLst>
            <a:ext uri="{FF2B5EF4-FFF2-40B4-BE49-F238E27FC236}">
              <a16:creationId xmlns:a16="http://schemas.microsoft.com/office/drawing/2014/main" id="{42B78E03-F52C-4F24-8899-FDAF60C22C8F}"/>
            </a:ext>
          </a:extLst>
        </xdr:cNvPr>
        <xdr:cNvSpPr/>
      </xdr:nvSpPr>
      <xdr:spPr>
        <a:xfrm>
          <a:off x="6656802" y="124312387"/>
          <a:ext cx="17335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727</xdr:row>
      <xdr:rowOff>14655</xdr:rowOff>
    </xdr:from>
    <xdr:to>
      <xdr:col>29</xdr:col>
      <xdr:colOff>198853</xdr:colOff>
      <xdr:row>727</xdr:row>
      <xdr:rowOff>112742</xdr:rowOff>
    </xdr:to>
    <xdr:sp macro="" textlink="">
      <xdr:nvSpPr>
        <xdr:cNvPr id="414" name="正方形/長方形 413">
          <a:extLst>
            <a:ext uri="{FF2B5EF4-FFF2-40B4-BE49-F238E27FC236}">
              <a16:creationId xmlns:a16="http://schemas.microsoft.com/office/drawing/2014/main" id="{2C3C2225-5C62-47E2-9578-46C945446B29}"/>
            </a:ext>
          </a:extLst>
        </xdr:cNvPr>
        <xdr:cNvSpPr/>
      </xdr:nvSpPr>
      <xdr:spPr>
        <a:xfrm>
          <a:off x="6658708" y="12465880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21981</xdr:colOff>
      <xdr:row>726</xdr:row>
      <xdr:rowOff>23885</xdr:rowOff>
    </xdr:from>
    <xdr:to>
      <xdr:col>22</xdr:col>
      <xdr:colOff>191526</xdr:colOff>
      <xdr:row>726</xdr:row>
      <xdr:rowOff>127688</xdr:rowOff>
    </xdr:to>
    <xdr:sp macro="" textlink="">
      <xdr:nvSpPr>
        <xdr:cNvPr id="415" name="正方形/長方形 414">
          <a:extLst>
            <a:ext uri="{FF2B5EF4-FFF2-40B4-BE49-F238E27FC236}">
              <a16:creationId xmlns:a16="http://schemas.microsoft.com/office/drawing/2014/main" id="{E84DC10D-314B-4992-B641-0CEB472D4B85}"/>
            </a:ext>
          </a:extLst>
        </xdr:cNvPr>
        <xdr:cNvSpPr/>
      </xdr:nvSpPr>
      <xdr:spPr>
        <a:xfrm>
          <a:off x="5051181" y="12449658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18757</xdr:colOff>
      <xdr:row>743</xdr:row>
      <xdr:rowOff>20242</xdr:rowOff>
    </xdr:from>
    <xdr:to>
      <xdr:col>22</xdr:col>
      <xdr:colOff>192112</xdr:colOff>
      <xdr:row>743</xdr:row>
      <xdr:rowOff>122139</xdr:rowOff>
    </xdr:to>
    <xdr:sp macro="" textlink="">
      <xdr:nvSpPr>
        <xdr:cNvPr id="416" name="正方形/長方形 415">
          <a:extLst>
            <a:ext uri="{FF2B5EF4-FFF2-40B4-BE49-F238E27FC236}">
              <a16:creationId xmlns:a16="http://schemas.microsoft.com/office/drawing/2014/main" id="{293A90E3-F871-43F4-B5EE-0D2A3DAB3B19}"/>
            </a:ext>
          </a:extLst>
        </xdr:cNvPr>
        <xdr:cNvSpPr/>
      </xdr:nvSpPr>
      <xdr:spPr>
        <a:xfrm>
          <a:off x="5047957" y="127407592"/>
          <a:ext cx="17335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27402</xdr:colOff>
      <xdr:row>743</xdr:row>
      <xdr:rowOff>11137</xdr:rowOff>
    </xdr:from>
    <xdr:to>
      <xdr:col>29</xdr:col>
      <xdr:colOff>200757</xdr:colOff>
      <xdr:row>743</xdr:row>
      <xdr:rowOff>105414</xdr:rowOff>
    </xdr:to>
    <xdr:sp macro="" textlink="">
      <xdr:nvSpPr>
        <xdr:cNvPr id="417" name="正方形/長方形 416">
          <a:extLst>
            <a:ext uri="{FF2B5EF4-FFF2-40B4-BE49-F238E27FC236}">
              <a16:creationId xmlns:a16="http://schemas.microsoft.com/office/drawing/2014/main" id="{38B501C3-9A33-4549-8085-3DAA22D09FE0}"/>
            </a:ext>
          </a:extLst>
        </xdr:cNvPr>
        <xdr:cNvSpPr/>
      </xdr:nvSpPr>
      <xdr:spPr>
        <a:xfrm>
          <a:off x="6656802" y="127398487"/>
          <a:ext cx="17335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745</xdr:row>
      <xdr:rowOff>14655</xdr:rowOff>
    </xdr:from>
    <xdr:to>
      <xdr:col>29</xdr:col>
      <xdr:colOff>198853</xdr:colOff>
      <xdr:row>745</xdr:row>
      <xdr:rowOff>112742</xdr:rowOff>
    </xdr:to>
    <xdr:sp macro="" textlink="">
      <xdr:nvSpPr>
        <xdr:cNvPr id="418" name="正方形/長方形 417">
          <a:extLst>
            <a:ext uri="{FF2B5EF4-FFF2-40B4-BE49-F238E27FC236}">
              <a16:creationId xmlns:a16="http://schemas.microsoft.com/office/drawing/2014/main" id="{CF3D2F5D-B208-4C66-9F21-981568860DD7}"/>
            </a:ext>
          </a:extLst>
        </xdr:cNvPr>
        <xdr:cNvSpPr/>
      </xdr:nvSpPr>
      <xdr:spPr>
        <a:xfrm>
          <a:off x="6658708" y="12774490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21981</xdr:colOff>
      <xdr:row>744</xdr:row>
      <xdr:rowOff>23885</xdr:rowOff>
    </xdr:from>
    <xdr:to>
      <xdr:col>22</xdr:col>
      <xdr:colOff>191526</xdr:colOff>
      <xdr:row>744</xdr:row>
      <xdr:rowOff>127688</xdr:rowOff>
    </xdr:to>
    <xdr:sp macro="" textlink="">
      <xdr:nvSpPr>
        <xdr:cNvPr id="419" name="正方形/長方形 418">
          <a:extLst>
            <a:ext uri="{FF2B5EF4-FFF2-40B4-BE49-F238E27FC236}">
              <a16:creationId xmlns:a16="http://schemas.microsoft.com/office/drawing/2014/main" id="{E162FD13-1B07-4A12-85B3-DF4483905C68}"/>
            </a:ext>
          </a:extLst>
        </xdr:cNvPr>
        <xdr:cNvSpPr/>
      </xdr:nvSpPr>
      <xdr:spPr>
        <a:xfrm>
          <a:off x="5051181" y="12758268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18757</xdr:colOff>
      <xdr:row>754</xdr:row>
      <xdr:rowOff>20242</xdr:rowOff>
    </xdr:from>
    <xdr:to>
      <xdr:col>22</xdr:col>
      <xdr:colOff>192112</xdr:colOff>
      <xdr:row>754</xdr:row>
      <xdr:rowOff>122139</xdr:rowOff>
    </xdr:to>
    <xdr:sp macro="" textlink="">
      <xdr:nvSpPr>
        <xdr:cNvPr id="420" name="正方形/長方形 419">
          <a:extLst>
            <a:ext uri="{FF2B5EF4-FFF2-40B4-BE49-F238E27FC236}">
              <a16:creationId xmlns:a16="http://schemas.microsoft.com/office/drawing/2014/main" id="{F294B3EF-3FD6-4F0A-B792-F6C01603FBE0}"/>
            </a:ext>
          </a:extLst>
        </xdr:cNvPr>
        <xdr:cNvSpPr/>
      </xdr:nvSpPr>
      <xdr:spPr>
        <a:xfrm>
          <a:off x="5047957" y="129293542"/>
          <a:ext cx="17335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27402</xdr:colOff>
      <xdr:row>754</xdr:row>
      <xdr:rowOff>11137</xdr:rowOff>
    </xdr:from>
    <xdr:to>
      <xdr:col>29</xdr:col>
      <xdr:colOff>200757</xdr:colOff>
      <xdr:row>754</xdr:row>
      <xdr:rowOff>105414</xdr:rowOff>
    </xdr:to>
    <xdr:sp macro="" textlink="">
      <xdr:nvSpPr>
        <xdr:cNvPr id="421" name="正方形/長方形 420">
          <a:extLst>
            <a:ext uri="{FF2B5EF4-FFF2-40B4-BE49-F238E27FC236}">
              <a16:creationId xmlns:a16="http://schemas.microsoft.com/office/drawing/2014/main" id="{F2B7E9B9-11D1-4CA2-A42C-2CFC384DFD0F}"/>
            </a:ext>
          </a:extLst>
        </xdr:cNvPr>
        <xdr:cNvSpPr/>
      </xdr:nvSpPr>
      <xdr:spPr>
        <a:xfrm>
          <a:off x="6656802" y="129284437"/>
          <a:ext cx="17335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756</xdr:row>
      <xdr:rowOff>14655</xdr:rowOff>
    </xdr:from>
    <xdr:to>
      <xdr:col>29</xdr:col>
      <xdr:colOff>198853</xdr:colOff>
      <xdr:row>756</xdr:row>
      <xdr:rowOff>112742</xdr:rowOff>
    </xdr:to>
    <xdr:sp macro="" textlink="">
      <xdr:nvSpPr>
        <xdr:cNvPr id="422" name="正方形/長方形 421">
          <a:extLst>
            <a:ext uri="{FF2B5EF4-FFF2-40B4-BE49-F238E27FC236}">
              <a16:creationId xmlns:a16="http://schemas.microsoft.com/office/drawing/2014/main" id="{1A903A48-3471-4113-B56F-C0F8D756A32B}"/>
            </a:ext>
          </a:extLst>
        </xdr:cNvPr>
        <xdr:cNvSpPr/>
      </xdr:nvSpPr>
      <xdr:spPr>
        <a:xfrm>
          <a:off x="6658708" y="12963085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21981</xdr:colOff>
      <xdr:row>755</xdr:row>
      <xdr:rowOff>23885</xdr:rowOff>
    </xdr:from>
    <xdr:to>
      <xdr:col>22</xdr:col>
      <xdr:colOff>191526</xdr:colOff>
      <xdr:row>755</xdr:row>
      <xdr:rowOff>127688</xdr:rowOff>
    </xdr:to>
    <xdr:sp macro="" textlink="">
      <xdr:nvSpPr>
        <xdr:cNvPr id="423" name="正方形/長方形 422">
          <a:extLst>
            <a:ext uri="{FF2B5EF4-FFF2-40B4-BE49-F238E27FC236}">
              <a16:creationId xmlns:a16="http://schemas.microsoft.com/office/drawing/2014/main" id="{F151E9C4-E01C-41D5-8351-7DA754E6AADF}"/>
            </a:ext>
          </a:extLst>
        </xdr:cNvPr>
        <xdr:cNvSpPr/>
      </xdr:nvSpPr>
      <xdr:spPr>
        <a:xfrm>
          <a:off x="5051181" y="12946863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18757</xdr:colOff>
      <xdr:row>772</xdr:row>
      <xdr:rowOff>20242</xdr:rowOff>
    </xdr:from>
    <xdr:to>
      <xdr:col>22</xdr:col>
      <xdr:colOff>192112</xdr:colOff>
      <xdr:row>772</xdr:row>
      <xdr:rowOff>122139</xdr:rowOff>
    </xdr:to>
    <xdr:sp macro="" textlink="">
      <xdr:nvSpPr>
        <xdr:cNvPr id="424" name="正方形/長方形 423">
          <a:extLst>
            <a:ext uri="{FF2B5EF4-FFF2-40B4-BE49-F238E27FC236}">
              <a16:creationId xmlns:a16="http://schemas.microsoft.com/office/drawing/2014/main" id="{80A1E3E7-2F54-47CF-BA83-3D4C7C2E18F6}"/>
            </a:ext>
          </a:extLst>
        </xdr:cNvPr>
        <xdr:cNvSpPr/>
      </xdr:nvSpPr>
      <xdr:spPr>
        <a:xfrm>
          <a:off x="5047957" y="132379642"/>
          <a:ext cx="17335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18758</xdr:colOff>
      <xdr:row>772</xdr:row>
      <xdr:rowOff>9232</xdr:rowOff>
    </xdr:from>
    <xdr:to>
      <xdr:col>33</xdr:col>
      <xdr:colOff>182588</xdr:colOff>
      <xdr:row>772</xdr:row>
      <xdr:rowOff>103509</xdr:rowOff>
    </xdr:to>
    <xdr:sp macro="" textlink="">
      <xdr:nvSpPr>
        <xdr:cNvPr id="425" name="正方形/長方形 424">
          <a:extLst>
            <a:ext uri="{FF2B5EF4-FFF2-40B4-BE49-F238E27FC236}">
              <a16:creationId xmlns:a16="http://schemas.microsoft.com/office/drawing/2014/main" id="{389AFA40-59DD-43D9-9AE5-E366ADF86345}"/>
            </a:ext>
          </a:extLst>
        </xdr:cNvPr>
        <xdr:cNvSpPr/>
      </xdr:nvSpPr>
      <xdr:spPr>
        <a:xfrm>
          <a:off x="7562558" y="132368632"/>
          <a:ext cx="163830"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27402</xdr:colOff>
      <xdr:row>772</xdr:row>
      <xdr:rowOff>11137</xdr:rowOff>
    </xdr:from>
    <xdr:to>
      <xdr:col>29</xdr:col>
      <xdr:colOff>200757</xdr:colOff>
      <xdr:row>772</xdr:row>
      <xdr:rowOff>105414</xdr:rowOff>
    </xdr:to>
    <xdr:sp macro="" textlink="">
      <xdr:nvSpPr>
        <xdr:cNvPr id="426" name="正方形/長方形 425">
          <a:extLst>
            <a:ext uri="{FF2B5EF4-FFF2-40B4-BE49-F238E27FC236}">
              <a16:creationId xmlns:a16="http://schemas.microsoft.com/office/drawing/2014/main" id="{2D7F9BB4-1D56-423B-971B-702021103DF5}"/>
            </a:ext>
          </a:extLst>
        </xdr:cNvPr>
        <xdr:cNvSpPr/>
      </xdr:nvSpPr>
      <xdr:spPr>
        <a:xfrm>
          <a:off x="6656802" y="132370537"/>
          <a:ext cx="17335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774</xdr:row>
      <xdr:rowOff>14655</xdr:rowOff>
    </xdr:from>
    <xdr:to>
      <xdr:col>29</xdr:col>
      <xdr:colOff>198853</xdr:colOff>
      <xdr:row>774</xdr:row>
      <xdr:rowOff>112742</xdr:rowOff>
    </xdr:to>
    <xdr:sp macro="" textlink="">
      <xdr:nvSpPr>
        <xdr:cNvPr id="427" name="正方形/長方形 426">
          <a:extLst>
            <a:ext uri="{FF2B5EF4-FFF2-40B4-BE49-F238E27FC236}">
              <a16:creationId xmlns:a16="http://schemas.microsoft.com/office/drawing/2014/main" id="{51425254-8ACC-4113-B43B-24F12F082C85}"/>
            </a:ext>
          </a:extLst>
        </xdr:cNvPr>
        <xdr:cNvSpPr/>
      </xdr:nvSpPr>
      <xdr:spPr>
        <a:xfrm>
          <a:off x="6658708" y="13271695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13336</xdr:colOff>
      <xdr:row>773</xdr:row>
      <xdr:rowOff>21980</xdr:rowOff>
    </xdr:from>
    <xdr:to>
      <xdr:col>33</xdr:col>
      <xdr:colOff>171451</xdr:colOff>
      <xdr:row>773</xdr:row>
      <xdr:rowOff>123877</xdr:rowOff>
    </xdr:to>
    <xdr:sp macro="" textlink="">
      <xdr:nvSpPr>
        <xdr:cNvPr id="428" name="正方形/長方形 427">
          <a:extLst>
            <a:ext uri="{FF2B5EF4-FFF2-40B4-BE49-F238E27FC236}">
              <a16:creationId xmlns:a16="http://schemas.microsoft.com/office/drawing/2014/main" id="{453D584C-5E02-4314-AE62-A5A7C320AE70}"/>
            </a:ext>
          </a:extLst>
        </xdr:cNvPr>
        <xdr:cNvSpPr/>
      </xdr:nvSpPr>
      <xdr:spPr>
        <a:xfrm>
          <a:off x="7557136" y="132552830"/>
          <a:ext cx="158115" cy="10189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200757</xdr:colOff>
      <xdr:row>772</xdr:row>
      <xdr:rowOff>56371</xdr:rowOff>
    </xdr:from>
    <xdr:to>
      <xdr:col>33</xdr:col>
      <xdr:colOff>18758</xdr:colOff>
      <xdr:row>772</xdr:row>
      <xdr:rowOff>58276</xdr:rowOff>
    </xdr:to>
    <xdr:cxnSp macro="">
      <xdr:nvCxnSpPr>
        <xdr:cNvPr id="429" name="直線コネクタ 428">
          <a:extLst>
            <a:ext uri="{FF2B5EF4-FFF2-40B4-BE49-F238E27FC236}">
              <a16:creationId xmlns:a16="http://schemas.microsoft.com/office/drawing/2014/main" id="{88F55A26-04D3-48DE-883F-D6BEC3BEAB17}"/>
            </a:ext>
          </a:extLst>
        </xdr:cNvPr>
        <xdr:cNvCxnSpPr>
          <a:stCxn id="425" idx="1"/>
          <a:endCxn id="426" idx="3"/>
        </xdr:cNvCxnSpPr>
      </xdr:nvCxnSpPr>
      <xdr:spPr>
        <a:xfrm flipH="1">
          <a:off x="6830157" y="132415771"/>
          <a:ext cx="732401" cy="1905"/>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21981</xdr:colOff>
      <xdr:row>773</xdr:row>
      <xdr:rowOff>23885</xdr:rowOff>
    </xdr:from>
    <xdr:to>
      <xdr:col>22</xdr:col>
      <xdr:colOff>191526</xdr:colOff>
      <xdr:row>773</xdr:row>
      <xdr:rowOff>127688</xdr:rowOff>
    </xdr:to>
    <xdr:sp macro="" textlink="">
      <xdr:nvSpPr>
        <xdr:cNvPr id="430" name="正方形/長方形 429">
          <a:extLst>
            <a:ext uri="{FF2B5EF4-FFF2-40B4-BE49-F238E27FC236}">
              <a16:creationId xmlns:a16="http://schemas.microsoft.com/office/drawing/2014/main" id="{69878422-CB44-464B-9920-037B70AAE3E7}"/>
            </a:ext>
          </a:extLst>
        </xdr:cNvPr>
        <xdr:cNvSpPr/>
      </xdr:nvSpPr>
      <xdr:spPr>
        <a:xfrm>
          <a:off x="5051181" y="13255473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198853</xdr:colOff>
      <xdr:row>773</xdr:row>
      <xdr:rowOff>72929</xdr:rowOff>
    </xdr:from>
    <xdr:to>
      <xdr:col>33</xdr:col>
      <xdr:colOff>13336</xdr:colOff>
      <xdr:row>774</xdr:row>
      <xdr:rowOff>63699</xdr:rowOff>
    </xdr:to>
    <xdr:cxnSp macro="">
      <xdr:nvCxnSpPr>
        <xdr:cNvPr id="431" name="直線コネクタ 31">
          <a:extLst>
            <a:ext uri="{FF2B5EF4-FFF2-40B4-BE49-F238E27FC236}">
              <a16:creationId xmlns:a16="http://schemas.microsoft.com/office/drawing/2014/main" id="{2F871FEA-DF7D-4618-B4A8-3831FC6F1131}"/>
            </a:ext>
          </a:extLst>
        </xdr:cNvPr>
        <xdr:cNvCxnSpPr>
          <a:stCxn id="427" idx="3"/>
          <a:endCxn id="428" idx="1"/>
        </xdr:cNvCxnSpPr>
      </xdr:nvCxnSpPr>
      <xdr:spPr>
        <a:xfrm flipV="1">
          <a:off x="6828253" y="132603779"/>
          <a:ext cx="728883" cy="162220"/>
        </a:xfrm>
        <a:prstGeom prst="bentConnector3">
          <a:avLst>
            <a:gd name="adj1" fmla="val 66554"/>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21981</xdr:colOff>
      <xdr:row>743</xdr:row>
      <xdr:rowOff>14654</xdr:rowOff>
    </xdr:from>
    <xdr:to>
      <xdr:col>20</xdr:col>
      <xdr:colOff>199146</xdr:colOff>
      <xdr:row>743</xdr:row>
      <xdr:rowOff>116551</xdr:rowOff>
    </xdr:to>
    <xdr:sp macro="" textlink="">
      <xdr:nvSpPr>
        <xdr:cNvPr id="432" name="正方形/長方形 431">
          <a:extLst>
            <a:ext uri="{FF2B5EF4-FFF2-40B4-BE49-F238E27FC236}">
              <a16:creationId xmlns:a16="http://schemas.microsoft.com/office/drawing/2014/main" id="{05AB564D-F541-4909-911E-0F7FD655E7E8}"/>
            </a:ext>
          </a:extLst>
        </xdr:cNvPr>
        <xdr:cNvSpPr/>
      </xdr:nvSpPr>
      <xdr:spPr>
        <a:xfrm>
          <a:off x="4593981" y="127402004"/>
          <a:ext cx="17716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18463</xdr:colOff>
      <xdr:row>743</xdr:row>
      <xdr:rowOff>22861</xdr:rowOff>
    </xdr:from>
    <xdr:to>
      <xdr:col>12</xdr:col>
      <xdr:colOff>191818</xdr:colOff>
      <xdr:row>743</xdr:row>
      <xdr:rowOff>111423</xdr:rowOff>
    </xdr:to>
    <xdr:sp macro="" textlink="">
      <xdr:nvSpPr>
        <xdr:cNvPr id="433" name="正方形/長方形 432">
          <a:extLst>
            <a:ext uri="{FF2B5EF4-FFF2-40B4-BE49-F238E27FC236}">
              <a16:creationId xmlns:a16="http://schemas.microsoft.com/office/drawing/2014/main" id="{37E15FA9-AC8A-4FD7-A0A1-FCA4D330B53E}"/>
            </a:ext>
          </a:extLst>
        </xdr:cNvPr>
        <xdr:cNvSpPr/>
      </xdr:nvSpPr>
      <xdr:spPr>
        <a:xfrm>
          <a:off x="2761663" y="127410211"/>
          <a:ext cx="173355" cy="8856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21981</xdr:colOff>
      <xdr:row>744</xdr:row>
      <xdr:rowOff>29308</xdr:rowOff>
    </xdr:from>
    <xdr:to>
      <xdr:col>20</xdr:col>
      <xdr:colOff>210576</xdr:colOff>
      <xdr:row>744</xdr:row>
      <xdr:rowOff>121680</xdr:rowOff>
    </xdr:to>
    <xdr:sp macro="" textlink="">
      <xdr:nvSpPr>
        <xdr:cNvPr id="434" name="正方形/長方形 433">
          <a:extLst>
            <a:ext uri="{FF2B5EF4-FFF2-40B4-BE49-F238E27FC236}">
              <a16:creationId xmlns:a16="http://schemas.microsoft.com/office/drawing/2014/main" id="{F02E5830-D6C4-45CC-890B-7495726034B4}"/>
            </a:ext>
          </a:extLst>
        </xdr:cNvPr>
        <xdr:cNvSpPr/>
      </xdr:nvSpPr>
      <xdr:spPr>
        <a:xfrm>
          <a:off x="4593981" y="127588108"/>
          <a:ext cx="188595" cy="9237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210576</xdr:colOff>
      <xdr:row>744</xdr:row>
      <xdr:rowOff>75494</xdr:rowOff>
    </xdr:from>
    <xdr:to>
      <xdr:col>22</xdr:col>
      <xdr:colOff>21981</xdr:colOff>
      <xdr:row>773</xdr:row>
      <xdr:rowOff>75787</xdr:rowOff>
    </xdr:to>
    <xdr:cxnSp macro="">
      <xdr:nvCxnSpPr>
        <xdr:cNvPr id="435" name="直線コネクタ 31">
          <a:extLst>
            <a:ext uri="{FF2B5EF4-FFF2-40B4-BE49-F238E27FC236}">
              <a16:creationId xmlns:a16="http://schemas.microsoft.com/office/drawing/2014/main" id="{7F038207-4447-403A-80EF-98ECFFE743BF}"/>
            </a:ext>
          </a:extLst>
        </xdr:cNvPr>
        <xdr:cNvCxnSpPr>
          <a:stCxn id="430" idx="1"/>
          <a:endCxn id="434" idx="3"/>
        </xdr:cNvCxnSpPr>
      </xdr:nvCxnSpPr>
      <xdr:spPr>
        <a:xfrm rot="10800000">
          <a:off x="4782576" y="127634294"/>
          <a:ext cx="268605" cy="4972343"/>
        </a:xfrm>
        <a:prstGeom prst="bentConnector3">
          <a:avLst>
            <a:gd name="adj1" fmla="val 62413"/>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199146</xdr:colOff>
      <xdr:row>743</xdr:row>
      <xdr:rowOff>65604</xdr:rowOff>
    </xdr:from>
    <xdr:to>
      <xdr:col>22</xdr:col>
      <xdr:colOff>18757</xdr:colOff>
      <xdr:row>772</xdr:row>
      <xdr:rowOff>71192</xdr:rowOff>
    </xdr:to>
    <xdr:cxnSp macro="">
      <xdr:nvCxnSpPr>
        <xdr:cNvPr id="436" name="直線コネクタ 31">
          <a:extLst>
            <a:ext uri="{FF2B5EF4-FFF2-40B4-BE49-F238E27FC236}">
              <a16:creationId xmlns:a16="http://schemas.microsoft.com/office/drawing/2014/main" id="{4CB90318-C8C6-48F7-ACA3-50D7CB72A4EE}"/>
            </a:ext>
          </a:extLst>
        </xdr:cNvPr>
        <xdr:cNvCxnSpPr>
          <a:stCxn id="424" idx="1"/>
          <a:endCxn id="432" idx="3"/>
        </xdr:cNvCxnSpPr>
      </xdr:nvCxnSpPr>
      <xdr:spPr>
        <a:xfrm rot="10800000">
          <a:off x="4771146" y="127452954"/>
          <a:ext cx="276811" cy="4977638"/>
        </a:xfrm>
        <a:prstGeom prst="bentConnector3">
          <a:avLst>
            <a:gd name="adj1" fmla="val 33127"/>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210576</xdr:colOff>
      <xdr:row>744</xdr:row>
      <xdr:rowOff>75494</xdr:rowOff>
    </xdr:from>
    <xdr:to>
      <xdr:col>22</xdr:col>
      <xdr:colOff>21981</xdr:colOff>
      <xdr:row>744</xdr:row>
      <xdr:rowOff>75787</xdr:rowOff>
    </xdr:to>
    <xdr:cxnSp macro="">
      <xdr:nvCxnSpPr>
        <xdr:cNvPr id="437" name="直線コネクタ 436">
          <a:extLst>
            <a:ext uri="{FF2B5EF4-FFF2-40B4-BE49-F238E27FC236}">
              <a16:creationId xmlns:a16="http://schemas.microsoft.com/office/drawing/2014/main" id="{43EB2CFA-581F-4916-B32A-AC79FB4414A0}"/>
            </a:ext>
          </a:extLst>
        </xdr:cNvPr>
        <xdr:cNvCxnSpPr>
          <a:cxnSpLocks/>
          <a:stCxn id="434" idx="3"/>
          <a:endCxn id="419" idx="1"/>
        </xdr:cNvCxnSpPr>
      </xdr:nvCxnSpPr>
      <xdr:spPr>
        <a:xfrm>
          <a:off x="4782576" y="127634294"/>
          <a:ext cx="268605" cy="293"/>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199146</xdr:colOff>
      <xdr:row>743</xdr:row>
      <xdr:rowOff>65603</xdr:rowOff>
    </xdr:from>
    <xdr:to>
      <xdr:col>22</xdr:col>
      <xdr:colOff>18757</xdr:colOff>
      <xdr:row>743</xdr:row>
      <xdr:rowOff>71191</xdr:rowOff>
    </xdr:to>
    <xdr:cxnSp macro="">
      <xdr:nvCxnSpPr>
        <xdr:cNvPr id="438" name="直線コネクタ 437">
          <a:extLst>
            <a:ext uri="{FF2B5EF4-FFF2-40B4-BE49-F238E27FC236}">
              <a16:creationId xmlns:a16="http://schemas.microsoft.com/office/drawing/2014/main" id="{ED37E684-5F8C-490F-9AEB-CF50D63339B9}"/>
            </a:ext>
          </a:extLst>
        </xdr:cNvPr>
        <xdr:cNvCxnSpPr>
          <a:cxnSpLocks/>
          <a:stCxn id="432" idx="3"/>
          <a:endCxn id="416" idx="1"/>
        </xdr:cNvCxnSpPr>
      </xdr:nvCxnSpPr>
      <xdr:spPr>
        <a:xfrm>
          <a:off x="4771146" y="127452953"/>
          <a:ext cx="276811" cy="5588"/>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18757</xdr:colOff>
      <xdr:row>763</xdr:row>
      <xdr:rowOff>20242</xdr:rowOff>
    </xdr:from>
    <xdr:to>
      <xdr:col>22</xdr:col>
      <xdr:colOff>192112</xdr:colOff>
      <xdr:row>763</xdr:row>
      <xdr:rowOff>122139</xdr:rowOff>
    </xdr:to>
    <xdr:sp macro="" textlink="">
      <xdr:nvSpPr>
        <xdr:cNvPr id="439" name="正方形/長方形 438">
          <a:extLst>
            <a:ext uri="{FF2B5EF4-FFF2-40B4-BE49-F238E27FC236}">
              <a16:creationId xmlns:a16="http://schemas.microsoft.com/office/drawing/2014/main" id="{AE0E624C-5197-436C-B899-AC15F6575358}"/>
            </a:ext>
          </a:extLst>
        </xdr:cNvPr>
        <xdr:cNvSpPr/>
      </xdr:nvSpPr>
      <xdr:spPr>
        <a:xfrm>
          <a:off x="5047957" y="130836592"/>
          <a:ext cx="17335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27402</xdr:colOff>
      <xdr:row>763</xdr:row>
      <xdr:rowOff>11137</xdr:rowOff>
    </xdr:from>
    <xdr:to>
      <xdr:col>29</xdr:col>
      <xdr:colOff>200757</xdr:colOff>
      <xdr:row>763</xdr:row>
      <xdr:rowOff>105414</xdr:rowOff>
    </xdr:to>
    <xdr:sp macro="" textlink="">
      <xdr:nvSpPr>
        <xdr:cNvPr id="440" name="正方形/長方形 439">
          <a:extLst>
            <a:ext uri="{FF2B5EF4-FFF2-40B4-BE49-F238E27FC236}">
              <a16:creationId xmlns:a16="http://schemas.microsoft.com/office/drawing/2014/main" id="{2B1BC581-05B7-422E-B6B1-30AFC180C3C3}"/>
            </a:ext>
          </a:extLst>
        </xdr:cNvPr>
        <xdr:cNvSpPr/>
      </xdr:nvSpPr>
      <xdr:spPr>
        <a:xfrm>
          <a:off x="6656802" y="130827487"/>
          <a:ext cx="17335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765</xdr:row>
      <xdr:rowOff>14655</xdr:rowOff>
    </xdr:from>
    <xdr:to>
      <xdr:col>29</xdr:col>
      <xdr:colOff>198853</xdr:colOff>
      <xdr:row>765</xdr:row>
      <xdr:rowOff>112742</xdr:rowOff>
    </xdr:to>
    <xdr:sp macro="" textlink="">
      <xdr:nvSpPr>
        <xdr:cNvPr id="441" name="正方形/長方形 440">
          <a:extLst>
            <a:ext uri="{FF2B5EF4-FFF2-40B4-BE49-F238E27FC236}">
              <a16:creationId xmlns:a16="http://schemas.microsoft.com/office/drawing/2014/main" id="{44EF45C2-A8D9-4EF1-A57E-E7FF0664C538}"/>
            </a:ext>
          </a:extLst>
        </xdr:cNvPr>
        <xdr:cNvSpPr/>
      </xdr:nvSpPr>
      <xdr:spPr>
        <a:xfrm>
          <a:off x="6658708" y="13117390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21981</xdr:colOff>
      <xdr:row>764</xdr:row>
      <xdr:rowOff>23885</xdr:rowOff>
    </xdr:from>
    <xdr:to>
      <xdr:col>22</xdr:col>
      <xdr:colOff>191526</xdr:colOff>
      <xdr:row>764</xdr:row>
      <xdr:rowOff>127688</xdr:rowOff>
    </xdr:to>
    <xdr:sp macro="" textlink="">
      <xdr:nvSpPr>
        <xdr:cNvPr id="442" name="正方形/長方形 441">
          <a:extLst>
            <a:ext uri="{FF2B5EF4-FFF2-40B4-BE49-F238E27FC236}">
              <a16:creationId xmlns:a16="http://schemas.microsoft.com/office/drawing/2014/main" id="{CAD28F99-F0C6-4E8D-859C-6D066B7B97D1}"/>
            </a:ext>
          </a:extLst>
        </xdr:cNvPr>
        <xdr:cNvSpPr/>
      </xdr:nvSpPr>
      <xdr:spPr>
        <a:xfrm>
          <a:off x="5051181" y="13101168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18757</xdr:colOff>
      <xdr:row>781</xdr:row>
      <xdr:rowOff>20242</xdr:rowOff>
    </xdr:from>
    <xdr:to>
      <xdr:col>22</xdr:col>
      <xdr:colOff>192112</xdr:colOff>
      <xdr:row>781</xdr:row>
      <xdr:rowOff>122139</xdr:rowOff>
    </xdr:to>
    <xdr:sp macro="" textlink="">
      <xdr:nvSpPr>
        <xdr:cNvPr id="443" name="正方形/長方形 442">
          <a:extLst>
            <a:ext uri="{FF2B5EF4-FFF2-40B4-BE49-F238E27FC236}">
              <a16:creationId xmlns:a16="http://schemas.microsoft.com/office/drawing/2014/main" id="{C5865309-0161-4082-A7EF-F6872C62032A}"/>
            </a:ext>
          </a:extLst>
        </xdr:cNvPr>
        <xdr:cNvSpPr/>
      </xdr:nvSpPr>
      <xdr:spPr>
        <a:xfrm>
          <a:off x="5047957" y="133922692"/>
          <a:ext cx="17335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27402</xdr:colOff>
      <xdr:row>781</xdr:row>
      <xdr:rowOff>11137</xdr:rowOff>
    </xdr:from>
    <xdr:to>
      <xdr:col>29</xdr:col>
      <xdr:colOff>200757</xdr:colOff>
      <xdr:row>781</xdr:row>
      <xdr:rowOff>105414</xdr:rowOff>
    </xdr:to>
    <xdr:sp macro="" textlink="">
      <xdr:nvSpPr>
        <xdr:cNvPr id="444" name="正方形/長方形 443">
          <a:extLst>
            <a:ext uri="{FF2B5EF4-FFF2-40B4-BE49-F238E27FC236}">
              <a16:creationId xmlns:a16="http://schemas.microsoft.com/office/drawing/2014/main" id="{393E8713-72DE-41C4-8ED6-A0953CFE6E8B}"/>
            </a:ext>
          </a:extLst>
        </xdr:cNvPr>
        <xdr:cNvSpPr/>
      </xdr:nvSpPr>
      <xdr:spPr>
        <a:xfrm>
          <a:off x="6656802" y="133913587"/>
          <a:ext cx="17335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783</xdr:row>
      <xdr:rowOff>14655</xdr:rowOff>
    </xdr:from>
    <xdr:to>
      <xdr:col>29</xdr:col>
      <xdr:colOff>198853</xdr:colOff>
      <xdr:row>783</xdr:row>
      <xdr:rowOff>112742</xdr:rowOff>
    </xdr:to>
    <xdr:sp macro="" textlink="">
      <xdr:nvSpPr>
        <xdr:cNvPr id="445" name="正方形/長方形 444">
          <a:extLst>
            <a:ext uri="{FF2B5EF4-FFF2-40B4-BE49-F238E27FC236}">
              <a16:creationId xmlns:a16="http://schemas.microsoft.com/office/drawing/2014/main" id="{0EED67E2-01AB-4861-B2D2-EF1BC3128CF7}"/>
            </a:ext>
          </a:extLst>
        </xdr:cNvPr>
        <xdr:cNvSpPr/>
      </xdr:nvSpPr>
      <xdr:spPr>
        <a:xfrm>
          <a:off x="6658708" y="13426000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21981</xdr:colOff>
      <xdr:row>782</xdr:row>
      <xdr:rowOff>23885</xdr:rowOff>
    </xdr:from>
    <xdr:to>
      <xdr:col>22</xdr:col>
      <xdr:colOff>191526</xdr:colOff>
      <xdr:row>782</xdr:row>
      <xdr:rowOff>127688</xdr:rowOff>
    </xdr:to>
    <xdr:sp macro="" textlink="">
      <xdr:nvSpPr>
        <xdr:cNvPr id="446" name="正方形/長方形 445">
          <a:extLst>
            <a:ext uri="{FF2B5EF4-FFF2-40B4-BE49-F238E27FC236}">
              <a16:creationId xmlns:a16="http://schemas.microsoft.com/office/drawing/2014/main" id="{71FE7653-93BF-4511-8392-AF07CB34EDD4}"/>
            </a:ext>
          </a:extLst>
        </xdr:cNvPr>
        <xdr:cNvSpPr/>
      </xdr:nvSpPr>
      <xdr:spPr>
        <a:xfrm>
          <a:off x="5051181" y="13409778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18757</xdr:colOff>
      <xdr:row>792</xdr:row>
      <xdr:rowOff>20242</xdr:rowOff>
    </xdr:from>
    <xdr:to>
      <xdr:col>22</xdr:col>
      <xdr:colOff>192112</xdr:colOff>
      <xdr:row>792</xdr:row>
      <xdr:rowOff>122139</xdr:rowOff>
    </xdr:to>
    <xdr:sp macro="" textlink="">
      <xdr:nvSpPr>
        <xdr:cNvPr id="447" name="正方形/長方形 446">
          <a:extLst>
            <a:ext uri="{FF2B5EF4-FFF2-40B4-BE49-F238E27FC236}">
              <a16:creationId xmlns:a16="http://schemas.microsoft.com/office/drawing/2014/main" id="{D9EE7B7F-7C78-480E-BE7A-4F60B2BACE5A}"/>
            </a:ext>
          </a:extLst>
        </xdr:cNvPr>
        <xdr:cNvSpPr/>
      </xdr:nvSpPr>
      <xdr:spPr>
        <a:xfrm>
          <a:off x="5047957" y="135808642"/>
          <a:ext cx="17335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27402</xdr:colOff>
      <xdr:row>792</xdr:row>
      <xdr:rowOff>11137</xdr:rowOff>
    </xdr:from>
    <xdr:to>
      <xdr:col>29</xdr:col>
      <xdr:colOff>200757</xdr:colOff>
      <xdr:row>792</xdr:row>
      <xdr:rowOff>105414</xdr:rowOff>
    </xdr:to>
    <xdr:sp macro="" textlink="">
      <xdr:nvSpPr>
        <xdr:cNvPr id="448" name="正方形/長方形 447">
          <a:extLst>
            <a:ext uri="{FF2B5EF4-FFF2-40B4-BE49-F238E27FC236}">
              <a16:creationId xmlns:a16="http://schemas.microsoft.com/office/drawing/2014/main" id="{6E7B5E12-E9D6-43EB-8913-61D856BEEBEB}"/>
            </a:ext>
          </a:extLst>
        </xdr:cNvPr>
        <xdr:cNvSpPr/>
      </xdr:nvSpPr>
      <xdr:spPr>
        <a:xfrm>
          <a:off x="6656802" y="135799537"/>
          <a:ext cx="17335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794</xdr:row>
      <xdr:rowOff>14655</xdr:rowOff>
    </xdr:from>
    <xdr:to>
      <xdr:col>29</xdr:col>
      <xdr:colOff>198853</xdr:colOff>
      <xdr:row>794</xdr:row>
      <xdr:rowOff>112742</xdr:rowOff>
    </xdr:to>
    <xdr:sp macro="" textlink="">
      <xdr:nvSpPr>
        <xdr:cNvPr id="449" name="正方形/長方形 448">
          <a:extLst>
            <a:ext uri="{FF2B5EF4-FFF2-40B4-BE49-F238E27FC236}">
              <a16:creationId xmlns:a16="http://schemas.microsoft.com/office/drawing/2014/main" id="{97F0BD50-372B-4698-867A-4179A2493181}"/>
            </a:ext>
          </a:extLst>
        </xdr:cNvPr>
        <xdr:cNvSpPr/>
      </xdr:nvSpPr>
      <xdr:spPr>
        <a:xfrm>
          <a:off x="6658708" y="13614595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21981</xdr:colOff>
      <xdr:row>793</xdr:row>
      <xdr:rowOff>23885</xdr:rowOff>
    </xdr:from>
    <xdr:to>
      <xdr:col>22</xdr:col>
      <xdr:colOff>191526</xdr:colOff>
      <xdr:row>793</xdr:row>
      <xdr:rowOff>127688</xdr:rowOff>
    </xdr:to>
    <xdr:sp macro="" textlink="">
      <xdr:nvSpPr>
        <xdr:cNvPr id="450" name="正方形/長方形 449">
          <a:extLst>
            <a:ext uri="{FF2B5EF4-FFF2-40B4-BE49-F238E27FC236}">
              <a16:creationId xmlns:a16="http://schemas.microsoft.com/office/drawing/2014/main" id="{56769EEB-BACE-4D6E-96C4-7B0D0FA44FEC}"/>
            </a:ext>
          </a:extLst>
        </xdr:cNvPr>
        <xdr:cNvSpPr/>
      </xdr:nvSpPr>
      <xdr:spPr>
        <a:xfrm>
          <a:off x="5051181" y="13598373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21981</xdr:colOff>
      <xdr:row>781</xdr:row>
      <xdr:rowOff>14654</xdr:rowOff>
    </xdr:from>
    <xdr:to>
      <xdr:col>20</xdr:col>
      <xdr:colOff>199146</xdr:colOff>
      <xdr:row>781</xdr:row>
      <xdr:rowOff>116551</xdr:rowOff>
    </xdr:to>
    <xdr:sp macro="" textlink="">
      <xdr:nvSpPr>
        <xdr:cNvPr id="451" name="正方形/長方形 450">
          <a:extLst>
            <a:ext uri="{FF2B5EF4-FFF2-40B4-BE49-F238E27FC236}">
              <a16:creationId xmlns:a16="http://schemas.microsoft.com/office/drawing/2014/main" id="{FEA1C16C-10A3-4425-9C91-BB67C0C9D7C8}"/>
            </a:ext>
          </a:extLst>
        </xdr:cNvPr>
        <xdr:cNvSpPr/>
      </xdr:nvSpPr>
      <xdr:spPr>
        <a:xfrm>
          <a:off x="4593981" y="133917104"/>
          <a:ext cx="17716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18463</xdr:colOff>
      <xdr:row>781</xdr:row>
      <xdr:rowOff>22861</xdr:rowOff>
    </xdr:from>
    <xdr:to>
      <xdr:col>12</xdr:col>
      <xdr:colOff>191818</xdr:colOff>
      <xdr:row>781</xdr:row>
      <xdr:rowOff>111423</xdr:rowOff>
    </xdr:to>
    <xdr:sp macro="" textlink="">
      <xdr:nvSpPr>
        <xdr:cNvPr id="452" name="正方形/長方形 451">
          <a:extLst>
            <a:ext uri="{FF2B5EF4-FFF2-40B4-BE49-F238E27FC236}">
              <a16:creationId xmlns:a16="http://schemas.microsoft.com/office/drawing/2014/main" id="{EBDB59F7-F0E2-41F6-A094-74631B9B2E86}"/>
            </a:ext>
          </a:extLst>
        </xdr:cNvPr>
        <xdr:cNvSpPr/>
      </xdr:nvSpPr>
      <xdr:spPr>
        <a:xfrm>
          <a:off x="2761663" y="133925311"/>
          <a:ext cx="173355" cy="8856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21981</xdr:colOff>
      <xdr:row>782</xdr:row>
      <xdr:rowOff>29308</xdr:rowOff>
    </xdr:from>
    <xdr:to>
      <xdr:col>20</xdr:col>
      <xdr:colOff>210576</xdr:colOff>
      <xdr:row>782</xdr:row>
      <xdr:rowOff>121680</xdr:rowOff>
    </xdr:to>
    <xdr:sp macro="" textlink="">
      <xdr:nvSpPr>
        <xdr:cNvPr id="453" name="正方形/長方形 452">
          <a:extLst>
            <a:ext uri="{FF2B5EF4-FFF2-40B4-BE49-F238E27FC236}">
              <a16:creationId xmlns:a16="http://schemas.microsoft.com/office/drawing/2014/main" id="{9CA853DE-2F80-4674-AEA4-13AFC4648C55}"/>
            </a:ext>
          </a:extLst>
        </xdr:cNvPr>
        <xdr:cNvSpPr/>
      </xdr:nvSpPr>
      <xdr:spPr>
        <a:xfrm>
          <a:off x="4593981" y="134103208"/>
          <a:ext cx="188595" cy="9237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210576</xdr:colOff>
      <xdr:row>782</xdr:row>
      <xdr:rowOff>75494</xdr:rowOff>
    </xdr:from>
    <xdr:to>
      <xdr:col>22</xdr:col>
      <xdr:colOff>21981</xdr:colOff>
      <xdr:row>782</xdr:row>
      <xdr:rowOff>75787</xdr:rowOff>
    </xdr:to>
    <xdr:cxnSp macro="">
      <xdr:nvCxnSpPr>
        <xdr:cNvPr id="454" name="直線コネクタ 453">
          <a:extLst>
            <a:ext uri="{FF2B5EF4-FFF2-40B4-BE49-F238E27FC236}">
              <a16:creationId xmlns:a16="http://schemas.microsoft.com/office/drawing/2014/main" id="{AF6B5442-A36F-497D-97BF-ECDDFB652BA0}"/>
            </a:ext>
          </a:extLst>
        </xdr:cNvPr>
        <xdr:cNvCxnSpPr>
          <a:cxnSpLocks/>
          <a:stCxn id="453" idx="3"/>
          <a:endCxn id="446" idx="1"/>
        </xdr:cNvCxnSpPr>
      </xdr:nvCxnSpPr>
      <xdr:spPr>
        <a:xfrm>
          <a:off x="4782576" y="134149394"/>
          <a:ext cx="268605" cy="293"/>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199146</xdr:colOff>
      <xdr:row>781</xdr:row>
      <xdr:rowOff>65603</xdr:rowOff>
    </xdr:from>
    <xdr:to>
      <xdr:col>22</xdr:col>
      <xdr:colOff>18757</xdr:colOff>
      <xdr:row>781</xdr:row>
      <xdr:rowOff>71191</xdr:rowOff>
    </xdr:to>
    <xdr:cxnSp macro="">
      <xdr:nvCxnSpPr>
        <xdr:cNvPr id="455" name="直線コネクタ 454">
          <a:extLst>
            <a:ext uri="{FF2B5EF4-FFF2-40B4-BE49-F238E27FC236}">
              <a16:creationId xmlns:a16="http://schemas.microsoft.com/office/drawing/2014/main" id="{664935CE-C3B6-46AE-B9D7-DBBCC9860C79}"/>
            </a:ext>
          </a:extLst>
        </xdr:cNvPr>
        <xdr:cNvCxnSpPr>
          <a:cxnSpLocks/>
          <a:stCxn id="451" idx="3"/>
          <a:endCxn id="443" idx="1"/>
        </xdr:cNvCxnSpPr>
      </xdr:nvCxnSpPr>
      <xdr:spPr>
        <a:xfrm>
          <a:off x="4771146" y="133968053"/>
          <a:ext cx="276811" cy="5588"/>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18757</xdr:colOff>
      <xdr:row>801</xdr:row>
      <xdr:rowOff>20242</xdr:rowOff>
    </xdr:from>
    <xdr:to>
      <xdr:col>22</xdr:col>
      <xdr:colOff>192112</xdr:colOff>
      <xdr:row>801</xdr:row>
      <xdr:rowOff>122139</xdr:rowOff>
    </xdr:to>
    <xdr:sp macro="" textlink="">
      <xdr:nvSpPr>
        <xdr:cNvPr id="456" name="正方形/長方形 455">
          <a:extLst>
            <a:ext uri="{FF2B5EF4-FFF2-40B4-BE49-F238E27FC236}">
              <a16:creationId xmlns:a16="http://schemas.microsoft.com/office/drawing/2014/main" id="{A1ABB9CB-666E-4E70-A829-53E070734746}"/>
            </a:ext>
          </a:extLst>
        </xdr:cNvPr>
        <xdr:cNvSpPr/>
      </xdr:nvSpPr>
      <xdr:spPr>
        <a:xfrm>
          <a:off x="5047957" y="137351692"/>
          <a:ext cx="17335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27402</xdr:colOff>
      <xdr:row>801</xdr:row>
      <xdr:rowOff>11137</xdr:rowOff>
    </xdr:from>
    <xdr:to>
      <xdr:col>29</xdr:col>
      <xdr:colOff>200757</xdr:colOff>
      <xdr:row>801</xdr:row>
      <xdr:rowOff>105414</xdr:rowOff>
    </xdr:to>
    <xdr:sp macro="" textlink="">
      <xdr:nvSpPr>
        <xdr:cNvPr id="457" name="正方形/長方形 456">
          <a:extLst>
            <a:ext uri="{FF2B5EF4-FFF2-40B4-BE49-F238E27FC236}">
              <a16:creationId xmlns:a16="http://schemas.microsoft.com/office/drawing/2014/main" id="{FFB4CD9D-B8B2-46F7-806B-1891E36E60FE}"/>
            </a:ext>
          </a:extLst>
        </xdr:cNvPr>
        <xdr:cNvSpPr/>
      </xdr:nvSpPr>
      <xdr:spPr>
        <a:xfrm>
          <a:off x="6656802" y="137342587"/>
          <a:ext cx="17335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803</xdr:row>
      <xdr:rowOff>14655</xdr:rowOff>
    </xdr:from>
    <xdr:to>
      <xdr:col>29</xdr:col>
      <xdr:colOff>198853</xdr:colOff>
      <xdr:row>803</xdr:row>
      <xdr:rowOff>112742</xdr:rowOff>
    </xdr:to>
    <xdr:sp macro="" textlink="">
      <xdr:nvSpPr>
        <xdr:cNvPr id="458" name="正方形/長方形 457">
          <a:extLst>
            <a:ext uri="{FF2B5EF4-FFF2-40B4-BE49-F238E27FC236}">
              <a16:creationId xmlns:a16="http://schemas.microsoft.com/office/drawing/2014/main" id="{AE1DD4BF-4EE5-43F1-89A6-F0E29F95995C}"/>
            </a:ext>
          </a:extLst>
        </xdr:cNvPr>
        <xdr:cNvSpPr/>
      </xdr:nvSpPr>
      <xdr:spPr>
        <a:xfrm>
          <a:off x="6658708" y="13768900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21981</xdr:colOff>
      <xdr:row>802</xdr:row>
      <xdr:rowOff>23885</xdr:rowOff>
    </xdr:from>
    <xdr:to>
      <xdr:col>22</xdr:col>
      <xdr:colOff>191526</xdr:colOff>
      <xdr:row>802</xdr:row>
      <xdr:rowOff>127688</xdr:rowOff>
    </xdr:to>
    <xdr:sp macro="" textlink="">
      <xdr:nvSpPr>
        <xdr:cNvPr id="459" name="正方形/長方形 458">
          <a:extLst>
            <a:ext uri="{FF2B5EF4-FFF2-40B4-BE49-F238E27FC236}">
              <a16:creationId xmlns:a16="http://schemas.microsoft.com/office/drawing/2014/main" id="{4C3565F2-7A26-489E-A0A5-BD1717FAEBEC}"/>
            </a:ext>
          </a:extLst>
        </xdr:cNvPr>
        <xdr:cNvSpPr/>
      </xdr:nvSpPr>
      <xdr:spPr>
        <a:xfrm>
          <a:off x="5051181" y="13752678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223859</xdr:colOff>
      <xdr:row>664</xdr:row>
      <xdr:rowOff>66087</xdr:rowOff>
    </xdr:from>
    <xdr:to>
      <xdr:col>12</xdr:col>
      <xdr:colOff>18463</xdr:colOff>
      <xdr:row>743</xdr:row>
      <xdr:rowOff>67142</xdr:rowOff>
    </xdr:to>
    <xdr:cxnSp macro="">
      <xdr:nvCxnSpPr>
        <xdr:cNvPr id="460" name="直線コネクタ 31">
          <a:extLst>
            <a:ext uri="{FF2B5EF4-FFF2-40B4-BE49-F238E27FC236}">
              <a16:creationId xmlns:a16="http://schemas.microsoft.com/office/drawing/2014/main" id="{53F38313-BCE4-4C35-A28B-3E0D9938B51C}"/>
            </a:ext>
          </a:extLst>
        </xdr:cNvPr>
        <xdr:cNvCxnSpPr>
          <a:cxnSpLocks/>
          <a:stCxn id="349" idx="3"/>
          <a:endCxn id="433" idx="1"/>
        </xdr:cNvCxnSpPr>
      </xdr:nvCxnSpPr>
      <xdr:spPr>
        <a:xfrm>
          <a:off x="2509859" y="113908887"/>
          <a:ext cx="251804" cy="13545605"/>
        </a:xfrm>
        <a:prstGeom prst="bentConnector3">
          <a:avLst>
            <a:gd name="adj1" fmla="val 50000"/>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223859</xdr:colOff>
      <xdr:row>664</xdr:row>
      <xdr:rowOff>66087</xdr:rowOff>
    </xdr:from>
    <xdr:to>
      <xdr:col>12</xdr:col>
      <xdr:colOff>18463</xdr:colOff>
      <xdr:row>781</xdr:row>
      <xdr:rowOff>67142</xdr:rowOff>
    </xdr:to>
    <xdr:cxnSp macro="">
      <xdr:nvCxnSpPr>
        <xdr:cNvPr id="461" name="直線コネクタ 31">
          <a:extLst>
            <a:ext uri="{FF2B5EF4-FFF2-40B4-BE49-F238E27FC236}">
              <a16:creationId xmlns:a16="http://schemas.microsoft.com/office/drawing/2014/main" id="{80CE350E-447F-4541-89C3-72C3B70DD725}"/>
            </a:ext>
          </a:extLst>
        </xdr:cNvPr>
        <xdr:cNvCxnSpPr>
          <a:cxnSpLocks/>
          <a:stCxn id="349" idx="3"/>
          <a:endCxn id="452" idx="1"/>
        </xdr:cNvCxnSpPr>
      </xdr:nvCxnSpPr>
      <xdr:spPr>
        <a:xfrm>
          <a:off x="2509859" y="113908887"/>
          <a:ext cx="251804" cy="20060705"/>
        </a:xfrm>
        <a:prstGeom prst="bentConnector3">
          <a:avLst>
            <a:gd name="adj1" fmla="val 50000"/>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210576</xdr:colOff>
      <xdr:row>665</xdr:row>
      <xdr:rowOff>75494</xdr:rowOff>
    </xdr:from>
    <xdr:to>
      <xdr:col>22</xdr:col>
      <xdr:colOff>21981</xdr:colOff>
      <xdr:row>686</xdr:row>
      <xdr:rowOff>75787</xdr:rowOff>
    </xdr:to>
    <xdr:cxnSp macro="">
      <xdr:nvCxnSpPr>
        <xdr:cNvPr id="462" name="直線コネクタ 31">
          <a:extLst>
            <a:ext uri="{FF2B5EF4-FFF2-40B4-BE49-F238E27FC236}">
              <a16:creationId xmlns:a16="http://schemas.microsoft.com/office/drawing/2014/main" id="{A609A5D1-0E37-4DBE-B7E1-721176AC2645}"/>
            </a:ext>
          </a:extLst>
        </xdr:cNvPr>
        <xdr:cNvCxnSpPr>
          <a:stCxn id="402" idx="1"/>
          <a:endCxn id="359" idx="3"/>
        </xdr:cNvCxnSpPr>
      </xdr:nvCxnSpPr>
      <xdr:spPr>
        <a:xfrm rot="10800000">
          <a:off x="4782576" y="114089744"/>
          <a:ext cx="268605" cy="3600743"/>
        </a:xfrm>
        <a:prstGeom prst="bentConnector3">
          <a:avLst>
            <a:gd name="adj1" fmla="val 69861"/>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210576</xdr:colOff>
      <xdr:row>665</xdr:row>
      <xdr:rowOff>75494</xdr:rowOff>
    </xdr:from>
    <xdr:to>
      <xdr:col>22</xdr:col>
      <xdr:colOff>21981</xdr:colOff>
      <xdr:row>696</xdr:row>
      <xdr:rowOff>75787</xdr:rowOff>
    </xdr:to>
    <xdr:cxnSp macro="">
      <xdr:nvCxnSpPr>
        <xdr:cNvPr id="463" name="直線コネクタ 31">
          <a:extLst>
            <a:ext uri="{FF2B5EF4-FFF2-40B4-BE49-F238E27FC236}">
              <a16:creationId xmlns:a16="http://schemas.microsoft.com/office/drawing/2014/main" id="{55DD62A3-D4E3-4C45-8929-0F3C25499409}"/>
            </a:ext>
          </a:extLst>
        </xdr:cNvPr>
        <xdr:cNvCxnSpPr>
          <a:stCxn id="410" idx="1"/>
          <a:endCxn id="359" idx="3"/>
        </xdr:cNvCxnSpPr>
      </xdr:nvCxnSpPr>
      <xdr:spPr>
        <a:xfrm rot="10800000">
          <a:off x="4782576" y="114089744"/>
          <a:ext cx="268605" cy="5315243"/>
        </a:xfrm>
        <a:prstGeom prst="bentConnector3">
          <a:avLst>
            <a:gd name="adj1" fmla="val 69861"/>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199146</xdr:colOff>
      <xdr:row>664</xdr:row>
      <xdr:rowOff>65604</xdr:rowOff>
    </xdr:from>
    <xdr:to>
      <xdr:col>22</xdr:col>
      <xdr:colOff>18757</xdr:colOff>
      <xdr:row>685</xdr:row>
      <xdr:rowOff>71192</xdr:rowOff>
    </xdr:to>
    <xdr:cxnSp macro="">
      <xdr:nvCxnSpPr>
        <xdr:cNvPr id="464" name="直線コネクタ 31">
          <a:extLst>
            <a:ext uri="{FF2B5EF4-FFF2-40B4-BE49-F238E27FC236}">
              <a16:creationId xmlns:a16="http://schemas.microsoft.com/office/drawing/2014/main" id="{11B53E2D-7CEB-48A3-B40A-3855746ACC3B}"/>
            </a:ext>
          </a:extLst>
        </xdr:cNvPr>
        <xdr:cNvCxnSpPr>
          <a:stCxn id="396" idx="1"/>
          <a:endCxn id="350" idx="3"/>
        </xdr:cNvCxnSpPr>
      </xdr:nvCxnSpPr>
      <xdr:spPr>
        <a:xfrm rot="10800000">
          <a:off x="4771146" y="113908404"/>
          <a:ext cx="276811" cy="3606038"/>
        </a:xfrm>
        <a:prstGeom prst="bentConnector3">
          <a:avLst>
            <a:gd name="adj1" fmla="val 30716"/>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199146</xdr:colOff>
      <xdr:row>664</xdr:row>
      <xdr:rowOff>65604</xdr:rowOff>
    </xdr:from>
    <xdr:to>
      <xdr:col>22</xdr:col>
      <xdr:colOff>18757</xdr:colOff>
      <xdr:row>695</xdr:row>
      <xdr:rowOff>71192</xdr:rowOff>
    </xdr:to>
    <xdr:cxnSp macro="">
      <xdr:nvCxnSpPr>
        <xdr:cNvPr id="465" name="直線コネクタ 31">
          <a:extLst>
            <a:ext uri="{FF2B5EF4-FFF2-40B4-BE49-F238E27FC236}">
              <a16:creationId xmlns:a16="http://schemas.microsoft.com/office/drawing/2014/main" id="{DF2BDD34-9817-452F-BC07-F92EFCBC1B31}"/>
            </a:ext>
          </a:extLst>
        </xdr:cNvPr>
        <xdr:cNvCxnSpPr>
          <a:stCxn id="404" idx="1"/>
          <a:endCxn id="350" idx="3"/>
        </xdr:cNvCxnSpPr>
      </xdr:nvCxnSpPr>
      <xdr:spPr>
        <a:xfrm rot="10800000">
          <a:off x="4771146" y="113908404"/>
          <a:ext cx="276811" cy="5320538"/>
        </a:xfrm>
        <a:prstGeom prst="bentConnector3">
          <a:avLst>
            <a:gd name="adj1" fmla="val 33127"/>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199146</xdr:colOff>
      <xdr:row>705</xdr:row>
      <xdr:rowOff>65604</xdr:rowOff>
    </xdr:from>
    <xdr:to>
      <xdr:col>22</xdr:col>
      <xdr:colOff>18757</xdr:colOff>
      <xdr:row>716</xdr:row>
      <xdr:rowOff>71192</xdr:rowOff>
    </xdr:to>
    <xdr:cxnSp macro="">
      <xdr:nvCxnSpPr>
        <xdr:cNvPr id="466" name="直線コネクタ 31">
          <a:extLst>
            <a:ext uri="{FF2B5EF4-FFF2-40B4-BE49-F238E27FC236}">
              <a16:creationId xmlns:a16="http://schemas.microsoft.com/office/drawing/2014/main" id="{6B4114A5-14C6-4B7C-A2BA-CD0F561AA6A3}"/>
            </a:ext>
          </a:extLst>
        </xdr:cNvPr>
        <xdr:cNvCxnSpPr>
          <a:stCxn id="377" idx="1"/>
          <a:endCxn id="389" idx="3"/>
        </xdr:cNvCxnSpPr>
      </xdr:nvCxnSpPr>
      <xdr:spPr>
        <a:xfrm rot="10800000">
          <a:off x="4771146" y="120937854"/>
          <a:ext cx="276811" cy="1891538"/>
        </a:xfrm>
        <a:prstGeom prst="bentConnector3">
          <a:avLst>
            <a:gd name="adj1" fmla="val 33127"/>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210576</xdr:colOff>
      <xdr:row>706</xdr:row>
      <xdr:rowOff>75494</xdr:rowOff>
    </xdr:from>
    <xdr:to>
      <xdr:col>22</xdr:col>
      <xdr:colOff>21981</xdr:colOff>
      <xdr:row>717</xdr:row>
      <xdr:rowOff>75787</xdr:rowOff>
    </xdr:to>
    <xdr:cxnSp macro="">
      <xdr:nvCxnSpPr>
        <xdr:cNvPr id="467" name="直線コネクタ 31">
          <a:extLst>
            <a:ext uri="{FF2B5EF4-FFF2-40B4-BE49-F238E27FC236}">
              <a16:creationId xmlns:a16="http://schemas.microsoft.com/office/drawing/2014/main" id="{6AF62172-E70C-4F0E-9D43-C699947CBF9A}"/>
            </a:ext>
          </a:extLst>
        </xdr:cNvPr>
        <xdr:cNvCxnSpPr>
          <a:stCxn id="380" idx="1"/>
          <a:endCxn id="391" idx="3"/>
        </xdr:cNvCxnSpPr>
      </xdr:nvCxnSpPr>
      <xdr:spPr>
        <a:xfrm rot="10800000">
          <a:off x="4782576" y="121119194"/>
          <a:ext cx="268605" cy="1886243"/>
        </a:xfrm>
        <a:prstGeom prst="bentConnector3">
          <a:avLst>
            <a:gd name="adj1" fmla="val 69861"/>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210576</xdr:colOff>
      <xdr:row>706</xdr:row>
      <xdr:rowOff>75495</xdr:rowOff>
    </xdr:from>
    <xdr:to>
      <xdr:col>22</xdr:col>
      <xdr:colOff>21981</xdr:colOff>
      <xdr:row>726</xdr:row>
      <xdr:rowOff>75788</xdr:rowOff>
    </xdr:to>
    <xdr:cxnSp macro="">
      <xdr:nvCxnSpPr>
        <xdr:cNvPr id="468" name="直線コネクタ 31">
          <a:extLst>
            <a:ext uri="{FF2B5EF4-FFF2-40B4-BE49-F238E27FC236}">
              <a16:creationId xmlns:a16="http://schemas.microsoft.com/office/drawing/2014/main" id="{F63CB6B8-5D34-4781-BE42-54DF3E4FA527}"/>
            </a:ext>
          </a:extLst>
        </xdr:cNvPr>
        <xdr:cNvCxnSpPr>
          <a:stCxn id="415" idx="1"/>
          <a:endCxn id="391" idx="3"/>
        </xdr:cNvCxnSpPr>
      </xdr:nvCxnSpPr>
      <xdr:spPr>
        <a:xfrm rot="10800000">
          <a:off x="4782576" y="121119195"/>
          <a:ext cx="268605" cy="3429293"/>
        </a:xfrm>
        <a:prstGeom prst="bentConnector3">
          <a:avLst>
            <a:gd name="adj1" fmla="val 69861"/>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199146</xdr:colOff>
      <xdr:row>705</xdr:row>
      <xdr:rowOff>65603</xdr:rowOff>
    </xdr:from>
    <xdr:to>
      <xdr:col>22</xdr:col>
      <xdr:colOff>18757</xdr:colOff>
      <xdr:row>725</xdr:row>
      <xdr:rowOff>71191</xdr:rowOff>
    </xdr:to>
    <xdr:cxnSp macro="">
      <xdr:nvCxnSpPr>
        <xdr:cNvPr id="469" name="直線コネクタ 31">
          <a:extLst>
            <a:ext uri="{FF2B5EF4-FFF2-40B4-BE49-F238E27FC236}">
              <a16:creationId xmlns:a16="http://schemas.microsoft.com/office/drawing/2014/main" id="{D553D81F-DFCE-477B-B4ED-E5F9DB6843E6}"/>
            </a:ext>
          </a:extLst>
        </xdr:cNvPr>
        <xdr:cNvCxnSpPr>
          <a:stCxn id="412" idx="1"/>
          <a:endCxn id="389" idx="3"/>
        </xdr:cNvCxnSpPr>
      </xdr:nvCxnSpPr>
      <xdr:spPr>
        <a:xfrm rot="10800000">
          <a:off x="4771146" y="120937853"/>
          <a:ext cx="276811" cy="3434588"/>
        </a:xfrm>
        <a:prstGeom prst="bentConnector3">
          <a:avLst>
            <a:gd name="adj1" fmla="val 30717"/>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199146</xdr:colOff>
      <xdr:row>705</xdr:row>
      <xdr:rowOff>65604</xdr:rowOff>
    </xdr:from>
    <xdr:to>
      <xdr:col>22</xdr:col>
      <xdr:colOff>18757</xdr:colOff>
      <xdr:row>734</xdr:row>
      <xdr:rowOff>71192</xdr:rowOff>
    </xdr:to>
    <xdr:cxnSp macro="">
      <xdr:nvCxnSpPr>
        <xdr:cNvPr id="470" name="直線コネクタ 31">
          <a:extLst>
            <a:ext uri="{FF2B5EF4-FFF2-40B4-BE49-F238E27FC236}">
              <a16:creationId xmlns:a16="http://schemas.microsoft.com/office/drawing/2014/main" id="{CF45BD3A-CBD5-46E0-9578-598EACE96C69}"/>
            </a:ext>
          </a:extLst>
        </xdr:cNvPr>
        <xdr:cNvCxnSpPr>
          <a:stCxn id="381" idx="1"/>
          <a:endCxn id="389" idx="3"/>
        </xdr:cNvCxnSpPr>
      </xdr:nvCxnSpPr>
      <xdr:spPr>
        <a:xfrm rot="10800000">
          <a:off x="4771146" y="120937854"/>
          <a:ext cx="276811" cy="4977638"/>
        </a:xfrm>
        <a:prstGeom prst="bentConnector3">
          <a:avLst>
            <a:gd name="adj1" fmla="val 30716"/>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210576</xdr:colOff>
      <xdr:row>744</xdr:row>
      <xdr:rowOff>75494</xdr:rowOff>
    </xdr:from>
    <xdr:to>
      <xdr:col>22</xdr:col>
      <xdr:colOff>21981</xdr:colOff>
      <xdr:row>755</xdr:row>
      <xdr:rowOff>75787</xdr:rowOff>
    </xdr:to>
    <xdr:cxnSp macro="">
      <xdr:nvCxnSpPr>
        <xdr:cNvPr id="471" name="直線コネクタ 31">
          <a:extLst>
            <a:ext uri="{FF2B5EF4-FFF2-40B4-BE49-F238E27FC236}">
              <a16:creationId xmlns:a16="http://schemas.microsoft.com/office/drawing/2014/main" id="{1598B508-3218-451E-A5BF-D44C52153124}"/>
            </a:ext>
          </a:extLst>
        </xdr:cNvPr>
        <xdr:cNvCxnSpPr>
          <a:stCxn id="423" idx="1"/>
          <a:endCxn id="434" idx="3"/>
        </xdr:cNvCxnSpPr>
      </xdr:nvCxnSpPr>
      <xdr:spPr>
        <a:xfrm rot="10800000">
          <a:off x="4782576" y="127634294"/>
          <a:ext cx="268605" cy="1886243"/>
        </a:xfrm>
        <a:prstGeom prst="bentConnector3">
          <a:avLst>
            <a:gd name="adj1" fmla="val 62413"/>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210576</xdr:colOff>
      <xdr:row>744</xdr:row>
      <xdr:rowOff>75495</xdr:rowOff>
    </xdr:from>
    <xdr:to>
      <xdr:col>22</xdr:col>
      <xdr:colOff>21981</xdr:colOff>
      <xdr:row>764</xdr:row>
      <xdr:rowOff>75788</xdr:rowOff>
    </xdr:to>
    <xdr:cxnSp macro="">
      <xdr:nvCxnSpPr>
        <xdr:cNvPr id="472" name="直線コネクタ 31">
          <a:extLst>
            <a:ext uri="{FF2B5EF4-FFF2-40B4-BE49-F238E27FC236}">
              <a16:creationId xmlns:a16="http://schemas.microsoft.com/office/drawing/2014/main" id="{AB4C4DBD-29B5-4593-8D09-1B1E5404C0A3}"/>
            </a:ext>
          </a:extLst>
        </xdr:cNvPr>
        <xdr:cNvCxnSpPr>
          <a:stCxn id="442" idx="1"/>
          <a:endCxn id="434" idx="3"/>
        </xdr:cNvCxnSpPr>
      </xdr:nvCxnSpPr>
      <xdr:spPr>
        <a:xfrm rot="10800000">
          <a:off x="4782576" y="127634295"/>
          <a:ext cx="268605" cy="3429293"/>
        </a:xfrm>
        <a:prstGeom prst="bentConnector3">
          <a:avLst>
            <a:gd name="adj1" fmla="val 62413"/>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199146</xdr:colOff>
      <xdr:row>743</xdr:row>
      <xdr:rowOff>65604</xdr:rowOff>
    </xdr:from>
    <xdr:to>
      <xdr:col>22</xdr:col>
      <xdr:colOff>18757</xdr:colOff>
      <xdr:row>754</xdr:row>
      <xdr:rowOff>71192</xdr:rowOff>
    </xdr:to>
    <xdr:cxnSp macro="">
      <xdr:nvCxnSpPr>
        <xdr:cNvPr id="473" name="直線コネクタ 31">
          <a:extLst>
            <a:ext uri="{FF2B5EF4-FFF2-40B4-BE49-F238E27FC236}">
              <a16:creationId xmlns:a16="http://schemas.microsoft.com/office/drawing/2014/main" id="{79977BE6-A3B8-41E4-931D-EB0B60C2D5A9}"/>
            </a:ext>
          </a:extLst>
        </xdr:cNvPr>
        <xdr:cNvCxnSpPr>
          <a:stCxn id="420" idx="1"/>
          <a:endCxn id="432" idx="3"/>
        </xdr:cNvCxnSpPr>
      </xdr:nvCxnSpPr>
      <xdr:spPr>
        <a:xfrm rot="10800000">
          <a:off x="4771146" y="127452954"/>
          <a:ext cx="276811" cy="1891538"/>
        </a:xfrm>
        <a:prstGeom prst="bentConnector3">
          <a:avLst>
            <a:gd name="adj1" fmla="val 33127"/>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199146</xdr:colOff>
      <xdr:row>743</xdr:row>
      <xdr:rowOff>65603</xdr:rowOff>
    </xdr:from>
    <xdr:to>
      <xdr:col>22</xdr:col>
      <xdr:colOff>18757</xdr:colOff>
      <xdr:row>763</xdr:row>
      <xdr:rowOff>71191</xdr:rowOff>
    </xdr:to>
    <xdr:cxnSp macro="">
      <xdr:nvCxnSpPr>
        <xdr:cNvPr id="474" name="直線コネクタ 31">
          <a:extLst>
            <a:ext uri="{FF2B5EF4-FFF2-40B4-BE49-F238E27FC236}">
              <a16:creationId xmlns:a16="http://schemas.microsoft.com/office/drawing/2014/main" id="{CD0D3981-2B4C-46C1-8766-E98D2A94B359}"/>
            </a:ext>
          </a:extLst>
        </xdr:cNvPr>
        <xdr:cNvCxnSpPr>
          <a:stCxn id="439" idx="1"/>
          <a:endCxn id="432" idx="3"/>
        </xdr:cNvCxnSpPr>
      </xdr:nvCxnSpPr>
      <xdr:spPr>
        <a:xfrm rot="10800000">
          <a:off x="4771146" y="127452953"/>
          <a:ext cx="276811" cy="3434588"/>
        </a:xfrm>
        <a:prstGeom prst="bentConnector3">
          <a:avLst>
            <a:gd name="adj1" fmla="val 30716"/>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210576</xdr:colOff>
      <xdr:row>782</xdr:row>
      <xdr:rowOff>75494</xdr:rowOff>
    </xdr:from>
    <xdr:to>
      <xdr:col>22</xdr:col>
      <xdr:colOff>21981</xdr:colOff>
      <xdr:row>793</xdr:row>
      <xdr:rowOff>75787</xdr:rowOff>
    </xdr:to>
    <xdr:cxnSp macro="">
      <xdr:nvCxnSpPr>
        <xdr:cNvPr id="475" name="直線コネクタ 31">
          <a:extLst>
            <a:ext uri="{FF2B5EF4-FFF2-40B4-BE49-F238E27FC236}">
              <a16:creationId xmlns:a16="http://schemas.microsoft.com/office/drawing/2014/main" id="{70D2D565-2A90-4352-A0D1-5DA233F20B15}"/>
            </a:ext>
          </a:extLst>
        </xdr:cNvPr>
        <xdr:cNvCxnSpPr>
          <a:stCxn id="450" idx="1"/>
          <a:endCxn id="453" idx="3"/>
        </xdr:cNvCxnSpPr>
      </xdr:nvCxnSpPr>
      <xdr:spPr>
        <a:xfrm rot="10800000">
          <a:off x="4782576" y="134149394"/>
          <a:ext cx="268605" cy="1886243"/>
        </a:xfrm>
        <a:prstGeom prst="bentConnector3">
          <a:avLst>
            <a:gd name="adj1" fmla="val 64896"/>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210576</xdr:colOff>
      <xdr:row>782</xdr:row>
      <xdr:rowOff>75495</xdr:rowOff>
    </xdr:from>
    <xdr:to>
      <xdr:col>22</xdr:col>
      <xdr:colOff>21981</xdr:colOff>
      <xdr:row>802</xdr:row>
      <xdr:rowOff>75788</xdr:rowOff>
    </xdr:to>
    <xdr:cxnSp macro="">
      <xdr:nvCxnSpPr>
        <xdr:cNvPr id="476" name="直線コネクタ 31">
          <a:extLst>
            <a:ext uri="{FF2B5EF4-FFF2-40B4-BE49-F238E27FC236}">
              <a16:creationId xmlns:a16="http://schemas.microsoft.com/office/drawing/2014/main" id="{859403E3-A1F7-473C-86A3-FAB59D3678C7}"/>
            </a:ext>
          </a:extLst>
        </xdr:cNvPr>
        <xdr:cNvCxnSpPr>
          <a:stCxn id="459" idx="1"/>
          <a:endCxn id="453" idx="3"/>
        </xdr:cNvCxnSpPr>
      </xdr:nvCxnSpPr>
      <xdr:spPr>
        <a:xfrm rot="10800000">
          <a:off x="4782576" y="134149395"/>
          <a:ext cx="268605" cy="3429293"/>
        </a:xfrm>
        <a:prstGeom prst="bentConnector3">
          <a:avLst>
            <a:gd name="adj1" fmla="val 64896"/>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199146</xdr:colOff>
      <xdr:row>781</xdr:row>
      <xdr:rowOff>65604</xdr:rowOff>
    </xdr:from>
    <xdr:to>
      <xdr:col>22</xdr:col>
      <xdr:colOff>18757</xdr:colOff>
      <xdr:row>792</xdr:row>
      <xdr:rowOff>71192</xdr:rowOff>
    </xdr:to>
    <xdr:cxnSp macro="">
      <xdr:nvCxnSpPr>
        <xdr:cNvPr id="477" name="直線コネクタ 31">
          <a:extLst>
            <a:ext uri="{FF2B5EF4-FFF2-40B4-BE49-F238E27FC236}">
              <a16:creationId xmlns:a16="http://schemas.microsoft.com/office/drawing/2014/main" id="{590357CA-81F8-4BCC-A322-16007FA40C03}"/>
            </a:ext>
          </a:extLst>
        </xdr:cNvPr>
        <xdr:cNvCxnSpPr>
          <a:stCxn id="447" idx="1"/>
          <a:endCxn id="451" idx="3"/>
        </xdr:cNvCxnSpPr>
      </xdr:nvCxnSpPr>
      <xdr:spPr>
        <a:xfrm rot="10800000">
          <a:off x="4771146" y="133968054"/>
          <a:ext cx="276811" cy="1891538"/>
        </a:xfrm>
        <a:prstGeom prst="bentConnector3">
          <a:avLst>
            <a:gd name="adj1" fmla="val 35537"/>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199146</xdr:colOff>
      <xdr:row>781</xdr:row>
      <xdr:rowOff>65603</xdr:rowOff>
    </xdr:from>
    <xdr:to>
      <xdr:col>22</xdr:col>
      <xdr:colOff>18757</xdr:colOff>
      <xdr:row>801</xdr:row>
      <xdr:rowOff>71191</xdr:rowOff>
    </xdr:to>
    <xdr:cxnSp macro="">
      <xdr:nvCxnSpPr>
        <xdr:cNvPr id="478" name="直線コネクタ 31">
          <a:extLst>
            <a:ext uri="{FF2B5EF4-FFF2-40B4-BE49-F238E27FC236}">
              <a16:creationId xmlns:a16="http://schemas.microsoft.com/office/drawing/2014/main" id="{F84E3466-B551-4551-8FDD-87919456FCBB}"/>
            </a:ext>
          </a:extLst>
        </xdr:cNvPr>
        <xdr:cNvCxnSpPr>
          <a:stCxn id="456" idx="1"/>
          <a:endCxn id="451" idx="3"/>
        </xdr:cNvCxnSpPr>
      </xdr:nvCxnSpPr>
      <xdr:spPr>
        <a:xfrm rot="10800000">
          <a:off x="4771146" y="133968053"/>
          <a:ext cx="276811" cy="3434588"/>
        </a:xfrm>
        <a:prstGeom prst="bentConnector3">
          <a:avLst>
            <a:gd name="adj1" fmla="val 35537"/>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200757</xdr:colOff>
      <xdr:row>664</xdr:row>
      <xdr:rowOff>56371</xdr:rowOff>
    </xdr:from>
    <xdr:to>
      <xdr:col>33</xdr:col>
      <xdr:colOff>18758</xdr:colOff>
      <xdr:row>801</xdr:row>
      <xdr:rowOff>58276</xdr:rowOff>
    </xdr:to>
    <xdr:cxnSp macro="">
      <xdr:nvCxnSpPr>
        <xdr:cNvPr id="479" name="直線コネクタ 31">
          <a:extLst>
            <a:ext uri="{FF2B5EF4-FFF2-40B4-BE49-F238E27FC236}">
              <a16:creationId xmlns:a16="http://schemas.microsoft.com/office/drawing/2014/main" id="{ACB992AD-94B3-4EC6-9DAB-4B59CC92241F}"/>
            </a:ext>
          </a:extLst>
        </xdr:cNvPr>
        <xdr:cNvCxnSpPr>
          <a:cxnSpLocks/>
          <a:stCxn id="457" idx="3"/>
          <a:endCxn id="352" idx="1"/>
        </xdr:cNvCxnSpPr>
      </xdr:nvCxnSpPr>
      <xdr:spPr>
        <a:xfrm flipV="1">
          <a:off x="6830157" y="113899171"/>
          <a:ext cx="732401" cy="23490555"/>
        </a:xfrm>
        <a:prstGeom prst="bentConnector3">
          <a:avLst>
            <a:gd name="adj1" fmla="val 82037"/>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200757</xdr:colOff>
      <xdr:row>705</xdr:row>
      <xdr:rowOff>54429</xdr:rowOff>
    </xdr:from>
    <xdr:to>
      <xdr:col>32</xdr:col>
      <xdr:colOff>129268</xdr:colOff>
      <xdr:row>705</xdr:row>
      <xdr:rowOff>58276</xdr:rowOff>
    </xdr:to>
    <xdr:cxnSp macro="">
      <xdr:nvCxnSpPr>
        <xdr:cNvPr id="480" name="直線コネクタ 479">
          <a:extLst>
            <a:ext uri="{FF2B5EF4-FFF2-40B4-BE49-F238E27FC236}">
              <a16:creationId xmlns:a16="http://schemas.microsoft.com/office/drawing/2014/main" id="{1C5C56B6-C4C3-45BA-B1B7-1F0AE7FC6834}"/>
            </a:ext>
          </a:extLst>
        </xdr:cNvPr>
        <xdr:cNvCxnSpPr>
          <a:endCxn id="374" idx="3"/>
        </xdr:cNvCxnSpPr>
      </xdr:nvCxnSpPr>
      <xdr:spPr>
        <a:xfrm flipH="1">
          <a:off x="6830157" y="120926679"/>
          <a:ext cx="614311" cy="3847"/>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200757</xdr:colOff>
      <xdr:row>716</xdr:row>
      <xdr:rowOff>47625</xdr:rowOff>
    </xdr:from>
    <xdr:to>
      <xdr:col>32</xdr:col>
      <xdr:colOff>108858</xdr:colOff>
      <xdr:row>716</xdr:row>
      <xdr:rowOff>58276</xdr:rowOff>
    </xdr:to>
    <xdr:cxnSp macro="">
      <xdr:nvCxnSpPr>
        <xdr:cNvPr id="481" name="直線コネクタ 480">
          <a:extLst>
            <a:ext uri="{FF2B5EF4-FFF2-40B4-BE49-F238E27FC236}">
              <a16:creationId xmlns:a16="http://schemas.microsoft.com/office/drawing/2014/main" id="{9CEF46D5-03E2-4C6F-91E9-7BBFF0F638F9}"/>
            </a:ext>
          </a:extLst>
        </xdr:cNvPr>
        <xdr:cNvCxnSpPr>
          <a:endCxn id="378" idx="3"/>
        </xdr:cNvCxnSpPr>
      </xdr:nvCxnSpPr>
      <xdr:spPr>
        <a:xfrm flipH="1">
          <a:off x="6830157" y="122805825"/>
          <a:ext cx="593901" cy="10651"/>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200757</xdr:colOff>
      <xdr:row>725</xdr:row>
      <xdr:rowOff>47625</xdr:rowOff>
    </xdr:from>
    <xdr:to>
      <xdr:col>32</xdr:col>
      <xdr:colOff>129268</xdr:colOff>
      <xdr:row>725</xdr:row>
      <xdr:rowOff>58276</xdr:rowOff>
    </xdr:to>
    <xdr:cxnSp macro="">
      <xdr:nvCxnSpPr>
        <xdr:cNvPr id="482" name="直線コネクタ 481">
          <a:extLst>
            <a:ext uri="{FF2B5EF4-FFF2-40B4-BE49-F238E27FC236}">
              <a16:creationId xmlns:a16="http://schemas.microsoft.com/office/drawing/2014/main" id="{8DD234F5-3128-4363-8C79-A0CA46749240}"/>
            </a:ext>
          </a:extLst>
        </xdr:cNvPr>
        <xdr:cNvCxnSpPr>
          <a:endCxn id="413" idx="3"/>
        </xdr:cNvCxnSpPr>
      </xdr:nvCxnSpPr>
      <xdr:spPr>
        <a:xfrm flipH="1">
          <a:off x="6830157" y="124348875"/>
          <a:ext cx="614311" cy="10651"/>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200757</xdr:colOff>
      <xdr:row>743</xdr:row>
      <xdr:rowOff>54429</xdr:rowOff>
    </xdr:from>
    <xdr:to>
      <xdr:col>32</xdr:col>
      <xdr:colOff>122465</xdr:colOff>
      <xdr:row>743</xdr:row>
      <xdr:rowOff>58276</xdr:rowOff>
    </xdr:to>
    <xdr:cxnSp macro="">
      <xdr:nvCxnSpPr>
        <xdr:cNvPr id="483" name="直線コネクタ 482">
          <a:extLst>
            <a:ext uri="{FF2B5EF4-FFF2-40B4-BE49-F238E27FC236}">
              <a16:creationId xmlns:a16="http://schemas.microsoft.com/office/drawing/2014/main" id="{22EDA6E0-EA7A-4797-BA37-36B2AF386484}"/>
            </a:ext>
          </a:extLst>
        </xdr:cNvPr>
        <xdr:cNvCxnSpPr>
          <a:endCxn id="417" idx="3"/>
        </xdr:cNvCxnSpPr>
      </xdr:nvCxnSpPr>
      <xdr:spPr>
        <a:xfrm flipH="1">
          <a:off x="6830157" y="127441779"/>
          <a:ext cx="607508" cy="3847"/>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200757</xdr:colOff>
      <xdr:row>754</xdr:row>
      <xdr:rowOff>47626</xdr:rowOff>
    </xdr:from>
    <xdr:to>
      <xdr:col>32</xdr:col>
      <xdr:colOff>136072</xdr:colOff>
      <xdr:row>754</xdr:row>
      <xdr:rowOff>58276</xdr:rowOff>
    </xdr:to>
    <xdr:cxnSp macro="">
      <xdr:nvCxnSpPr>
        <xdr:cNvPr id="484" name="直線コネクタ 483">
          <a:extLst>
            <a:ext uri="{FF2B5EF4-FFF2-40B4-BE49-F238E27FC236}">
              <a16:creationId xmlns:a16="http://schemas.microsoft.com/office/drawing/2014/main" id="{FF7A43D7-5569-4B92-97D2-4B422C4E6A46}"/>
            </a:ext>
          </a:extLst>
        </xdr:cNvPr>
        <xdr:cNvCxnSpPr>
          <a:endCxn id="421" idx="3"/>
        </xdr:cNvCxnSpPr>
      </xdr:nvCxnSpPr>
      <xdr:spPr>
        <a:xfrm flipH="1">
          <a:off x="6830157" y="129320926"/>
          <a:ext cx="621115" cy="10650"/>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200757</xdr:colOff>
      <xdr:row>763</xdr:row>
      <xdr:rowOff>47626</xdr:rowOff>
    </xdr:from>
    <xdr:to>
      <xdr:col>32</xdr:col>
      <xdr:colOff>136072</xdr:colOff>
      <xdr:row>763</xdr:row>
      <xdr:rowOff>58276</xdr:rowOff>
    </xdr:to>
    <xdr:cxnSp macro="">
      <xdr:nvCxnSpPr>
        <xdr:cNvPr id="485" name="直線コネクタ 484">
          <a:extLst>
            <a:ext uri="{FF2B5EF4-FFF2-40B4-BE49-F238E27FC236}">
              <a16:creationId xmlns:a16="http://schemas.microsoft.com/office/drawing/2014/main" id="{CD13E178-29B6-491D-8198-AC10F127F976}"/>
            </a:ext>
          </a:extLst>
        </xdr:cNvPr>
        <xdr:cNvCxnSpPr>
          <a:endCxn id="440" idx="3"/>
        </xdr:cNvCxnSpPr>
      </xdr:nvCxnSpPr>
      <xdr:spPr>
        <a:xfrm flipH="1">
          <a:off x="6830157" y="130863976"/>
          <a:ext cx="621115" cy="10650"/>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200757</xdr:colOff>
      <xdr:row>781</xdr:row>
      <xdr:rowOff>54429</xdr:rowOff>
    </xdr:from>
    <xdr:to>
      <xdr:col>32</xdr:col>
      <xdr:colOff>129268</xdr:colOff>
      <xdr:row>781</xdr:row>
      <xdr:rowOff>58276</xdr:rowOff>
    </xdr:to>
    <xdr:cxnSp macro="">
      <xdr:nvCxnSpPr>
        <xdr:cNvPr id="486" name="直線コネクタ 485">
          <a:extLst>
            <a:ext uri="{FF2B5EF4-FFF2-40B4-BE49-F238E27FC236}">
              <a16:creationId xmlns:a16="http://schemas.microsoft.com/office/drawing/2014/main" id="{4D9FCC14-FF31-4F82-A5D7-570060248E30}"/>
            </a:ext>
          </a:extLst>
        </xdr:cNvPr>
        <xdr:cNvCxnSpPr>
          <a:endCxn id="444" idx="3"/>
        </xdr:cNvCxnSpPr>
      </xdr:nvCxnSpPr>
      <xdr:spPr>
        <a:xfrm flipH="1">
          <a:off x="6830157" y="133956879"/>
          <a:ext cx="614311" cy="3847"/>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200757</xdr:colOff>
      <xdr:row>792</xdr:row>
      <xdr:rowOff>54429</xdr:rowOff>
    </xdr:from>
    <xdr:to>
      <xdr:col>32</xdr:col>
      <xdr:colOff>136072</xdr:colOff>
      <xdr:row>792</xdr:row>
      <xdr:rowOff>58276</xdr:rowOff>
    </xdr:to>
    <xdr:cxnSp macro="">
      <xdr:nvCxnSpPr>
        <xdr:cNvPr id="487" name="直線コネクタ 486">
          <a:extLst>
            <a:ext uri="{FF2B5EF4-FFF2-40B4-BE49-F238E27FC236}">
              <a16:creationId xmlns:a16="http://schemas.microsoft.com/office/drawing/2014/main" id="{EEEF2C4B-6C85-4CB3-9C17-499D6FAEA0ED}"/>
            </a:ext>
          </a:extLst>
        </xdr:cNvPr>
        <xdr:cNvCxnSpPr>
          <a:endCxn id="448" idx="3"/>
        </xdr:cNvCxnSpPr>
      </xdr:nvCxnSpPr>
      <xdr:spPr>
        <a:xfrm flipH="1">
          <a:off x="6830157" y="135842829"/>
          <a:ext cx="621115" cy="3847"/>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198853</xdr:colOff>
      <xdr:row>666</xdr:row>
      <xdr:rowOff>63699</xdr:rowOff>
    </xdr:from>
    <xdr:to>
      <xdr:col>30</xdr:col>
      <xdr:colOff>129267</xdr:colOff>
      <xdr:row>666</xdr:row>
      <xdr:rowOff>68036</xdr:rowOff>
    </xdr:to>
    <xdr:cxnSp macro="">
      <xdr:nvCxnSpPr>
        <xdr:cNvPr id="488" name="直線コネクタ 487">
          <a:extLst>
            <a:ext uri="{FF2B5EF4-FFF2-40B4-BE49-F238E27FC236}">
              <a16:creationId xmlns:a16="http://schemas.microsoft.com/office/drawing/2014/main" id="{51129839-558B-4A72-8CB2-D20828BE1CAD}"/>
            </a:ext>
          </a:extLst>
        </xdr:cNvPr>
        <xdr:cNvCxnSpPr>
          <a:cxnSpLocks/>
          <a:stCxn id="354" idx="3"/>
        </xdr:cNvCxnSpPr>
      </xdr:nvCxnSpPr>
      <xdr:spPr>
        <a:xfrm>
          <a:off x="6828253" y="114249399"/>
          <a:ext cx="159014" cy="4337"/>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198853</xdr:colOff>
      <xdr:row>707</xdr:row>
      <xdr:rowOff>54429</xdr:rowOff>
    </xdr:from>
    <xdr:to>
      <xdr:col>30</xdr:col>
      <xdr:colOff>129267</xdr:colOff>
      <xdr:row>707</xdr:row>
      <xdr:rowOff>63699</xdr:rowOff>
    </xdr:to>
    <xdr:cxnSp macro="">
      <xdr:nvCxnSpPr>
        <xdr:cNvPr id="489" name="直線コネクタ 488">
          <a:extLst>
            <a:ext uri="{FF2B5EF4-FFF2-40B4-BE49-F238E27FC236}">
              <a16:creationId xmlns:a16="http://schemas.microsoft.com/office/drawing/2014/main" id="{5AED8B3B-2092-4082-987D-E5C31559D201}"/>
            </a:ext>
          </a:extLst>
        </xdr:cNvPr>
        <xdr:cNvCxnSpPr>
          <a:cxnSpLocks/>
          <a:stCxn id="375" idx="3"/>
        </xdr:cNvCxnSpPr>
      </xdr:nvCxnSpPr>
      <xdr:spPr>
        <a:xfrm flipV="1">
          <a:off x="6828253" y="121269579"/>
          <a:ext cx="159014" cy="927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198853</xdr:colOff>
      <xdr:row>745</xdr:row>
      <xdr:rowOff>61233</xdr:rowOff>
    </xdr:from>
    <xdr:to>
      <xdr:col>30</xdr:col>
      <xdr:colOff>129267</xdr:colOff>
      <xdr:row>745</xdr:row>
      <xdr:rowOff>63699</xdr:rowOff>
    </xdr:to>
    <xdr:cxnSp macro="">
      <xdr:nvCxnSpPr>
        <xdr:cNvPr id="490" name="直線コネクタ 489">
          <a:extLst>
            <a:ext uri="{FF2B5EF4-FFF2-40B4-BE49-F238E27FC236}">
              <a16:creationId xmlns:a16="http://schemas.microsoft.com/office/drawing/2014/main" id="{7F2F9B36-600A-40FC-A304-0A1A85B34CF2}"/>
            </a:ext>
          </a:extLst>
        </xdr:cNvPr>
        <xdr:cNvCxnSpPr>
          <a:cxnSpLocks/>
          <a:stCxn id="418" idx="3"/>
        </xdr:cNvCxnSpPr>
      </xdr:nvCxnSpPr>
      <xdr:spPr>
        <a:xfrm flipV="1">
          <a:off x="6828253" y="127791483"/>
          <a:ext cx="159014" cy="2466"/>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198853</xdr:colOff>
      <xdr:row>677</xdr:row>
      <xdr:rowOff>61232</xdr:rowOff>
    </xdr:from>
    <xdr:to>
      <xdr:col>31</xdr:col>
      <xdr:colOff>13607</xdr:colOff>
      <xdr:row>677</xdr:row>
      <xdr:rowOff>63699</xdr:rowOff>
    </xdr:to>
    <xdr:cxnSp macro="">
      <xdr:nvCxnSpPr>
        <xdr:cNvPr id="491" name="直線コネクタ 490">
          <a:extLst>
            <a:ext uri="{FF2B5EF4-FFF2-40B4-BE49-F238E27FC236}">
              <a16:creationId xmlns:a16="http://schemas.microsoft.com/office/drawing/2014/main" id="{0F974B55-10FD-4A4D-82C9-C1D51489511C}"/>
            </a:ext>
          </a:extLst>
        </xdr:cNvPr>
        <xdr:cNvCxnSpPr>
          <a:cxnSpLocks/>
          <a:stCxn id="365" idx="3"/>
        </xdr:cNvCxnSpPr>
      </xdr:nvCxnSpPr>
      <xdr:spPr>
        <a:xfrm flipV="1">
          <a:off x="6828253" y="116132882"/>
          <a:ext cx="271954" cy="2467"/>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198853</xdr:colOff>
      <xdr:row>718</xdr:row>
      <xdr:rowOff>61233</xdr:rowOff>
    </xdr:from>
    <xdr:to>
      <xdr:col>31</xdr:col>
      <xdr:colOff>20411</xdr:colOff>
      <xdr:row>718</xdr:row>
      <xdr:rowOff>63699</xdr:rowOff>
    </xdr:to>
    <xdr:cxnSp macro="">
      <xdr:nvCxnSpPr>
        <xdr:cNvPr id="492" name="直線コネクタ 491">
          <a:extLst>
            <a:ext uri="{FF2B5EF4-FFF2-40B4-BE49-F238E27FC236}">
              <a16:creationId xmlns:a16="http://schemas.microsoft.com/office/drawing/2014/main" id="{20D5F136-4E61-4E8E-B29B-2514F6C9F41E}"/>
            </a:ext>
          </a:extLst>
        </xdr:cNvPr>
        <xdr:cNvCxnSpPr>
          <a:cxnSpLocks/>
          <a:stCxn id="379" idx="3"/>
        </xdr:cNvCxnSpPr>
      </xdr:nvCxnSpPr>
      <xdr:spPr>
        <a:xfrm flipV="1">
          <a:off x="6828253" y="123162333"/>
          <a:ext cx="278758" cy="2466"/>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198853</xdr:colOff>
      <xdr:row>756</xdr:row>
      <xdr:rowOff>61233</xdr:rowOff>
    </xdr:from>
    <xdr:to>
      <xdr:col>31</xdr:col>
      <xdr:colOff>27214</xdr:colOff>
      <xdr:row>756</xdr:row>
      <xdr:rowOff>63699</xdr:rowOff>
    </xdr:to>
    <xdr:cxnSp macro="">
      <xdr:nvCxnSpPr>
        <xdr:cNvPr id="493" name="直線コネクタ 492">
          <a:extLst>
            <a:ext uri="{FF2B5EF4-FFF2-40B4-BE49-F238E27FC236}">
              <a16:creationId xmlns:a16="http://schemas.microsoft.com/office/drawing/2014/main" id="{7AF7FA5B-3851-481F-9519-4D0166F8267C}"/>
            </a:ext>
          </a:extLst>
        </xdr:cNvPr>
        <xdr:cNvCxnSpPr>
          <a:cxnSpLocks/>
          <a:stCxn id="422" idx="3"/>
        </xdr:cNvCxnSpPr>
      </xdr:nvCxnSpPr>
      <xdr:spPr>
        <a:xfrm flipV="1">
          <a:off x="6828253" y="129677433"/>
          <a:ext cx="285561" cy="2466"/>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198853</xdr:colOff>
      <xdr:row>687</xdr:row>
      <xdr:rowOff>61232</xdr:rowOff>
    </xdr:from>
    <xdr:to>
      <xdr:col>31</xdr:col>
      <xdr:colOff>129268</xdr:colOff>
      <xdr:row>687</xdr:row>
      <xdr:rowOff>63699</xdr:rowOff>
    </xdr:to>
    <xdr:cxnSp macro="">
      <xdr:nvCxnSpPr>
        <xdr:cNvPr id="494" name="直線コネクタ 493">
          <a:extLst>
            <a:ext uri="{FF2B5EF4-FFF2-40B4-BE49-F238E27FC236}">
              <a16:creationId xmlns:a16="http://schemas.microsoft.com/office/drawing/2014/main" id="{4FFBEFFC-519B-4BD1-8396-E0C5F2E9DD4B}"/>
            </a:ext>
          </a:extLst>
        </xdr:cNvPr>
        <xdr:cNvCxnSpPr>
          <a:cxnSpLocks/>
          <a:stCxn id="399" idx="3"/>
        </xdr:cNvCxnSpPr>
      </xdr:nvCxnSpPr>
      <xdr:spPr>
        <a:xfrm flipV="1">
          <a:off x="6828253" y="117847382"/>
          <a:ext cx="387615" cy="2467"/>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198853</xdr:colOff>
      <xdr:row>727</xdr:row>
      <xdr:rowOff>61232</xdr:rowOff>
    </xdr:from>
    <xdr:to>
      <xdr:col>31</xdr:col>
      <xdr:colOff>136071</xdr:colOff>
      <xdr:row>727</xdr:row>
      <xdr:rowOff>63699</xdr:rowOff>
    </xdr:to>
    <xdr:cxnSp macro="">
      <xdr:nvCxnSpPr>
        <xdr:cNvPr id="495" name="直線コネクタ 494">
          <a:extLst>
            <a:ext uri="{FF2B5EF4-FFF2-40B4-BE49-F238E27FC236}">
              <a16:creationId xmlns:a16="http://schemas.microsoft.com/office/drawing/2014/main" id="{8160F3A5-C2C9-4B28-A668-C5E54800F7CD}"/>
            </a:ext>
          </a:extLst>
        </xdr:cNvPr>
        <xdr:cNvCxnSpPr>
          <a:cxnSpLocks/>
          <a:stCxn id="414" idx="3"/>
        </xdr:cNvCxnSpPr>
      </xdr:nvCxnSpPr>
      <xdr:spPr>
        <a:xfrm flipV="1">
          <a:off x="6828253" y="124705382"/>
          <a:ext cx="394418" cy="2467"/>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198853</xdr:colOff>
      <xdr:row>765</xdr:row>
      <xdr:rowOff>54429</xdr:rowOff>
    </xdr:from>
    <xdr:to>
      <xdr:col>31</xdr:col>
      <xdr:colOff>136071</xdr:colOff>
      <xdr:row>765</xdr:row>
      <xdr:rowOff>63699</xdr:rowOff>
    </xdr:to>
    <xdr:cxnSp macro="">
      <xdr:nvCxnSpPr>
        <xdr:cNvPr id="496" name="直線コネクタ 495">
          <a:extLst>
            <a:ext uri="{FF2B5EF4-FFF2-40B4-BE49-F238E27FC236}">
              <a16:creationId xmlns:a16="http://schemas.microsoft.com/office/drawing/2014/main" id="{FDB32CFA-11C7-47F1-8832-600B5599AF51}"/>
            </a:ext>
          </a:extLst>
        </xdr:cNvPr>
        <xdr:cNvCxnSpPr>
          <a:cxnSpLocks/>
          <a:stCxn id="441" idx="3"/>
        </xdr:cNvCxnSpPr>
      </xdr:nvCxnSpPr>
      <xdr:spPr>
        <a:xfrm flipV="1">
          <a:off x="6828253" y="131213679"/>
          <a:ext cx="394418" cy="927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11138</xdr:colOff>
      <xdr:row>812</xdr:row>
      <xdr:rowOff>18170</xdr:rowOff>
    </xdr:from>
    <xdr:to>
      <xdr:col>33</xdr:col>
      <xdr:colOff>173063</xdr:colOff>
      <xdr:row>812</xdr:row>
      <xdr:rowOff>104827</xdr:rowOff>
    </xdr:to>
    <xdr:sp macro="" textlink="">
      <xdr:nvSpPr>
        <xdr:cNvPr id="497" name="正方形/長方形 496">
          <a:extLst>
            <a:ext uri="{FF2B5EF4-FFF2-40B4-BE49-F238E27FC236}">
              <a16:creationId xmlns:a16="http://schemas.microsoft.com/office/drawing/2014/main" id="{B2DF8C8F-81C1-4936-AFFA-F6C9D7D302C4}"/>
            </a:ext>
          </a:extLst>
        </xdr:cNvPr>
        <xdr:cNvSpPr/>
      </xdr:nvSpPr>
      <xdr:spPr>
        <a:xfrm>
          <a:off x="7554938" y="139235570"/>
          <a:ext cx="161925" cy="8665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11955</xdr:colOff>
      <xdr:row>811</xdr:row>
      <xdr:rowOff>16036</xdr:rowOff>
    </xdr:from>
    <xdr:to>
      <xdr:col>33</xdr:col>
      <xdr:colOff>175785</xdr:colOff>
      <xdr:row>811</xdr:row>
      <xdr:rowOff>110313</xdr:rowOff>
    </xdr:to>
    <xdr:sp macro="" textlink="">
      <xdr:nvSpPr>
        <xdr:cNvPr id="498" name="正方形/長方形 497">
          <a:extLst>
            <a:ext uri="{FF2B5EF4-FFF2-40B4-BE49-F238E27FC236}">
              <a16:creationId xmlns:a16="http://schemas.microsoft.com/office/drawing/2014/main" id="{C3144665-2DF6-47AE-AECD-6D9222061068}"/>
            </a:ext>
          </a:extLst>
        </xdr:cNvPr>
        <xdr:cNvSpPr/>
      </xdr:nvSpPr>
      <xdr:spPr>
        <a:xfrm>
          <a:off x="7555755" y="139061986"/>
          <a:ext cx="163830"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199146</xdr:colOff>
      <xdr:row>781</xdr:row>
      <xdr:rowOff>65604</xdr:rowOff>
    </xdr:from>
    <xdr:to>
      <xdr:col>33</xdr:col>
      <xdr:colOff>11955</xdr:colOff>
      <xdr:row>811</xdr:row>
      <xdr:rowOff>63176</xdr:rowOff>
    </xdr:to>
    <xdr:cxnSp macro="">
      <xdr:nvCxnSpPr>
        <xdr:cNvPr id="499" name="直線コネクタ 31">
          <a:extLst>
            <a:ext uri="{FF2B5EF4-FFF2-40B4-BE49-F238E27FC236}">
              <a16:creationId xmlns:a16="http://schemas.microsoft.com/office/drawing/2014/main" id="{FB561B5A-48E5-4493-8B3C-7FF9748C67A1}"/>
            </a:ext>
          </a:extLst>
        </xdr:cNvPr>
        <xdr:cNvCxnSpPr>
          <a:stCxn id="498" idx="1"/>
          <a:endCxn id="451" idx="3"/>
        </xdr:cNvCxnSpPr>
      </xdr:nvCxnSpPr>
      <xdr:spPr>
        <a:xfrm rot="10800000">
          <a:off x="4771146" y="133968054"/>
          <a:ext cx="2784609" cy="5141072"/>
        </a:xfrm>
        <a:prstGeom prst="bentConnector3">
          <a:avLst>
            <a:gd name="adj1" fmla="val 94116"/>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210577</xdr:colOff>
      <xdr:row>782</xdr:row>
      <xdr:rowOff>75494</xdr:rowOff>
    </xdr:from>
    <xdr:to>
      <xdr:col>33</xdr:col>
      <xdr:colOff>11139</xdr:colOff>
      <xdr:row>812</xdr:row>
      <xdr:rowOff>61499</xdr:rowOff>
    </xdr:to>
    <xdr:cxnSp macro="">
      <xdr:nvCxnSpPr>
        <xdr:cNvPr id="500" name="直線コネクタ 31">
          <a:extLst>
            <a:ext uri="{FF2B5EF4-FFF2-40B4-BE49-F238E27FC236}">
              <a16:creationId xmlns:a16="http://schemas.microsoft.com/office/drawing/2014/main" id="{85EA5795-07DA-4BDF-A713-D1C5BBACF9D0}"/>
            </a:ext>
          </a:extLst>
        </xdr:cNvPr>
        <xdr:cNvCxnSpPr>
          <a:stCxn id="497" idx="1"/>
          <a:endCxn id="453" idx="3"/>
        </xdr:cNvCxnSpPr>
      </xdr:nvCxnSpPr>
      <xdr:spPr>
        <a:xfrm rot="10800000">
          <a:off x="4782577" y="134149394"/>
          <a:ext cx="2772362" cy="5129505"/>
        </a:xfrm>
        <a:prstGeom prst="bentConnector3">
          <a:avLst>
            <a:gd name="adj1" fmla="val 96593"/>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210576</xdr:colOff>
      <xdr:row>864</xdr:row>
      <xdr:rowOff>75494</xdr:rowOff>
    </xdr:from>
    <xdr:to>
      <xdr:col>22</xdr:col>
      <xdr:colOff>21981</xdr:colOff>
      <xdr:row>875</xdr:row>
      <xdr:rowOff>75787</xdr:rowOff>
    </xdr:to>
    <xdr:cxnSp macro="">
      <xdr:nvCxnSpPr>
        <xdr:cNvPr id="501" name="直線コネクタ 31">
          <a:extLst>
            <a:ext uri="{FF2B5EF4-FFF2-40B4-BE49-F238E27FC236}">
              <a16:creationId xmlns:a16="http://schemas.microsoft.com/office/drawing/2014/main" id="{5751FB1F-3A7E-4D9E-AC2F-596B491A563D}"/>
            </a:ext>
          </a:extLst>
        </xdr:cNvPr>
        <xdr:cNvCxnSpPr>
          <a:stCxn id="522" idx="1"/>
          <a:endCxn id="513" idx="3"/>
        </xdr:cNvCxnSpPr>
      </xdr:nvCxnSpPr>
      <xdr:spPr>
        <a:xfrm rot="10800000">
          <a:off x="4782576" y="148208294"/>
          <a:ext cx="268605" cy="1886243"/>
        </a:xfrm>
        <a:prstGeom prst="bentConnector3">
          <a:avLst>
            <a:gd name="adj1" fmla="val 69861"/>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281009</xdr:colOff>
      <xdr:row>863</xdr:row>
      <xdr:rowOff>66087</xdr:rowOff>
    </xdr:from>
    <xdr:to>
      <xdr:col>12</xdr:col>
      <xdr:colOff>18463</xdr:colOff>
      <xdr:row>863</xdr:row>
      <xdr:rowOff>67142</xdr:rowOff>
    </xdr:to>
    <xdr:cxnSp macro="">
      <xdr:nvCxnSpPr>
        <xdr:cNvPr id="502" name="直線コネクタ 501">
          <a:extLst>
            <a:ext uri="{FF2B5EF4-FFF2-40B4-BE49-F238E27FC236}">
              <a16:creationId xmlns:a16="http://schemas.microsoft.com/office/drawing/2014/main" id="{F6DE733B-FA2F-4978-8658-D19225174C6D}"/>
            </a:ext>
          </a:extLst>
        </xdr:cNvPr>
        <xdr:cNvCxnSpPr>
          <a:cxnSpLocks/>
          <a:stCxn id="503" idx="3"/>
          <a:endCxn id="511" idx="1"/>
        </xdr:cNvCxnSpPr>
      </xdr:nvCxnSpPr>
      <xdr:spPr>
        <a:xfrm>
          <a:off x="2509859" y="148027437"/>
          <a:ext cx="251804" cy="1055"/>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107654</xdr:colOff>
      <xdr:row>863</xdr:row>
      <xdr:rowOff>13233</xdr:rowOff>
    </xdr:from>
    <xdr:to>
      <xdr:col>10</xdr:col>
      <xdr:colOff>281009</xdr:colOff>
      <xdr:row>863</xdr:row>
      <xdr:rowOff>118940</xdr:rowOff>
    </xdr:to>
    <xdr:sp macro="" textlink="">
      <xdr:nvSpPr>
        <xdr:cNvPr id="503" name="正方形/長方形 502">
          <a:extLst>
            <a:ext uri="{FF2B5EF4-FFF2-40B4-BE49-F238E27FC236}">
              <a16:creationId xmlns:a16="http://schemas.microsoft.com/office/drawing/2014/main" id="{D3232DEB-906B-4AE5-A6E0-89133A6F562A}"/>
            </a:ext>
          </a:extLst>
        </xdr:cNvPr>
        <xdr:cNvSpPr/>
      </xdr:nvSpPr>
      <xdr:spPr>
        <a:xfrm>
          <a:off x="2393654" y="147974583"/>
          <a:ext cx="116205" cy="10570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21981</xdr:colOff>
      <xdr:row>863</xdr:row>
      <xdr:rowOff>14654</xdr:rowOff>
    </xdr:from>
    <xdr:to>
      <xdr:col>20</xdr:col>
      <xdr:colOff>199146</xdr:colOff>
      <xdr:row>863</xdr:row>
      <xdr:rowOff>116551</xdr:rowOff>
    </xdr:to>
    <xdr:sp macro="" textlink="">
      <xdr:nvSpPr>
        <xdr:cNvPr id="504" name="正方形/長方形 503">
          <a:extLst>
            <a:ext uri="{FF2B5EF4-FFF2-40B4-BE49-F238E27FC236}">
              <a16:creationId xmlns:a16="http://schemas.microsoft.com/office/drawing/2014/main" id="{1C4620FC-8430-4406-8D17-9B6F2D789563}"/>
            </a:ext>
          </a:extLst>
        </xdr:cNvPr>
        <xdr:cNvSpPr/>
      </xdr:nvSpPr>
      <xdr:spPr>
        <a:xfrm>
          <a:off x="4593981" y="147976004"/>
          <a:ext cx="17716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18757</xdr:colOff>
      <xdr:row>863</xdr:row>
      <xdr:rowOff>20242</xdr:rowOff>
    </xdr:from>
    <xdr:to>
      <xdr:col>22</xdr:col>
      <xdr:colOff>192112</xdr:colOff>
      <xdr:row>863</xdr:row>
      <xdr:rowOff>122139</xdr:rowOff>
    </xdr:to>
    <xdr:sp macro="" textlink="">
      <xdr:nvSpPr>
        <xdr:cNvPr id="505" name="正方形/長方形 504">
          <a:extLst>
            <a:ext uri="{FF2B5EF4-FFF2-40B4-BE49-F238E27FC236}">
              <a16:creationId xmlns:a16="http://schemas.microsoft.com/office/drawing/2014/main" id="{B3CA9EB2-4F96-4FBA-9A72-A03FF400B8F3}"/>
            </a:ext>
          </a:extLst>
        </xdr:cNvPr>
        <xdr:cNvSpPr/>
      </xdr:nvSpPr>
      <xdr:spPr>
        <a:xfrm>
          <a:off x="5047957" y="147981592"/>
          <a:ext cx="17335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18758</xdr:colOff>
      <xdr:row>863</xdr:row>
      <xdr:rowOff>9232</xdr:rowOff>
    </xdr:from>
    <xdr:to>
      <xdr:col>33</xdr:col>
      <xdr:colOff>182588</xdr:colOff>
      <xdr:row>863</xdr:row>
      <xdr:rowOff>103509</xdr:rowOff>
    </xdr:to>
    <xdr:sp macro="" textlink="">
      <xdr:nvSpPr>
        <xdr:cNvPr id="506" name="正方形/長方形 505">
          <a:extLst>
            <a:ext uri="{FF2B5EF4-FFF2-40B4-BE49-F238E27FC236}">
              <a16:creationId xmlns:a16="http://schemas.microsoft.com/office/drawing/2014/main" id="{FC7D03DD-1D65-4CD3-98CB-022ECAE3F706}"/>
            </a:ext>
          </a:extLst>
        </xdr:cNvPr>
        <xdr:cNvSpPr/>
      </xdr:nvSpPr>
      <xdr:spPr>
        <a:xfrm>
          <a:off x="7562558" y="147970582"/>
          <a:ext cx="163830"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27402</xdr:colOff>
      <xdr:row>863</xdr:row>
      <xdr:rowOff>11137</xdr:rowOff>
    </xdr:from>
    <xdr:to>
      <xdr:col>29</xdr:col>
      <xdr:colOff>200757</xdr:colOff>
      <xdr:row>863</xdr:row>
      <xdr:rowOff>105414</xdr:rowOff>
    </xdr:to>
    <xdr:sp macro="" textlink="">
      <xdr:nvSpPr>
        <xdr:cNvPr id="507" name="正方形/長方形 506">
          <a:extLst>
            <a:ext uri="{FF2B5EF4-FFF2-40B4-BE49-F238E27FC236}">
              <a16:creationId xmlns:a16="http://schemas.microsoft.com/office/drawing/2014/main" id="{D807C768-A2B0-4FA4-93B1-1AC8091BA11F}"/>
            </a:ext>
          </a:extLst>
        </xdr:cNvPr>
        <xdr:cNvSpPr/>
      </xdr:nvSpPr>
      <xdr:spPr>
        <a:xfrm>
          <a:off x="6656802" y="147972487"/>
          <a:ext cx="17335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865</xdr:row>
      <xdr:rowOff>14655</xdr:rowOff>
    </xdr:from>
    <xdr:to>
      <xdr:col>29</xdr:col>
      <xdr:colOff>198853</xdr:colOff>
      <xdr:row>865</xdr:row>
      <xdr:rowOff>112742</xdr:rowOff>
    </xdr:to>
    <xdr:sp macro="" textlink="">
      <xdr:nvSpPr>
        <xdr:cNvPr id="508" name="正方形/長方形 507">
          <a:extLst>
            <a:ext uri="{FF2B5EF4-FFF2-40B4-BE49-F238E27FC236}">
              <a16:creationId xmlns:a16="http://schemas.microsoft.com/office/drawing/2014/main" id="{422D852E-5688-48F0-9B3D-006107563713}"/>
            </a:ext>
          </a:extLst>
        </xdr:cNvPr>
        <xdr:cNvSpPr/>
      </xdr:nvSpPr>
      <xdr:spPr>
        <a:xfrm>
          <a:off x="6658708" y="14831890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13336</xdr:colOff>
      <xdr:row>864</xdr:row>
      <xdr:rowOff>21980</xdr:rowOff>
    </xdr:from>
    <xdr:to>
      <xdr:col>33</xdr:col>
      <xdr:colOff>171451</xdr:colOff>
      <xdr:row>864</xdr:row>
      <xdr:rowOff>123877</xdr:rowOff>
    </xdr:to>
    <xdr:sp macro="" textlink="">
      <xdr:nvSpPr>
        <xdr:cNvPr id="509" name="正方形/長方形 508">
          <a:extLst>
            <a:ext uri="{FF2B5EF4-FFF2-40B4-BE49-F238E27FC236}">
              <a16:creationId xmlns:a16="http://schemas.microsoft.com/office/drawing/2014/main" id="{228C455D-D36F-4695-A21B-6DB45F6C3C42}"/>
            </a:ext>
          </a:extLst>
        </xdr:cNvPr>
        <xdr:cNvSpPr/>
      </xdr:nvSpPr>
      <xdr:spPr>
        <a:xfrm>
          <a:off x="7557136" y="148154780"/>
          <a:ext cx="158115" cy="10189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200757</xdr:colOff>
      <xdr:row>863</xdr:row>
      <xdr:rowOff>56371</xdr:rowOff>
    </xdr:from>
    <xdr:to>
      <xdr:col>33</xdr:col>
      <xdr:colOff>18758</xdr:colOff>
      <xdr:row>863</xdr:row>
      <xdr:rowOff>58276</xdr:rowOff>
    </xdr:to>
    <xdr:cxnSp macro="">
      <xdr:nvCxnSpPr>
        <xdr:cNvPr id="510" name="直線コネクタ 509">
          <a:extLst>
            <a:ext uri="{FF2B5EF4-FFF2-40B4-BE49-F238E27FC236}">
              <a16:creationId xmlns:a16="http://schemas.microsoft.com/office/drawing/2014/main" id="{62872400-0A0F-4A4D-9ECD-5BEB6C41F937}"/>
            </a:ext>
          </a:extLst>
        </xdr:cNvPr>
        <xdr:cNvCxnSpPr>
          <a:stCxn id="506" idx="1"/>
          <a:endCxn id="507" idx="3"/>
        </xdr:cNvCxnSpPr>
      </xdr:nvCxnSpPr>
      <xdr:spPr>
        <a:xfrm flipH="1">
          <a:off x="6830157" y="148017721"/>
          <a:ext cx="732401" cy="1905"/>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18463</xdr:colOff>
      <xdr:row>863</xdr:row>
      <xdr:rowOff>22861</xdr:rowOff>
    </xdr:from>
    <xdr:to>
      <xdr:col>12</xdr:col>
      <xdr:colOff>191818</xdr:colOff>
      <xdr:row>863</xdr:row>
      <xdr:rowOff>111423</xdr:rowOff>
    </xdr:to>
    <xdr:sp macro="" textlink="">
      <xdr:nvSpPr>
        <xdr:cNvPr id="511" name="正方形/長方形 510">
          <a:extLst>
            <a:ext uri="{FF2B5EF4-FFF2-40B4-BE49-F238E27FC236}">
              <a16:creationId xmlns:a16="http://schemas.microsoft.com/office/drawing/2014/main" id="{C703AEF7-2B03-48B5-8ABB-23F21803639B}"/>
            </a:ext>
          </a:extLst>
        </xdr:cNvPr>
        <xdr:cNvSpPr/>
      </xdr:nvSpPr>
      <xdr:spPr>
        <a:xfrm>
          <a:off x="2761663" y="147984211"/>
          <a:ext cx="173355" cy="8856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21981</xdr:colOff>
      <xdr:row>864</xdr:row>
      <xdr:rowOff>23885</xdr:rowOff>
    </xdr:from>
    <xdr:to>
      <xdr:col>22</xdr:col>
      <xdr:colOff>191526</xdr:colOff>
      <xdr:row>864</xdr:row>
      <xdr:rowOff>127688</xdr:rowOff>
    </xdr:to>
    <xdr:sp macro="" textlink="">
      <xdr:nvSpPr>
        <xdr:cNvPr id="512" name="正方形/長方形 511">
          <a:extLst>
            <a:ext uri="{FF2B5EF4-FFF2-40B4-BE49-F238E27FC236}">
              <a16:creationId xmlns:a16="http://schemas.microsoft.com/office/drawing/2014/main" id="{28DE2B98-11E2-4FEB-ADD5-B53545320143}"/>
            </a:ext>
          </a:extLst>
        </xdr:cNvPr>
        <xdr:cNvSpPr/>
      </xdr:nvSpPr>
      <xdr:spPr>
        <a:xfrm>
          <a:off x="5051181" y="14815668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21981</xdr:colOff>
      <xdr:row>864</xdr:row>
      <xdr:rowOff>29308</xdr:rowOff>
    </xdr:from>
    <xdr:to>
      <xdr:col>20</xdr:col>
      <xdr:colOff>210576</xdr:colOff>
      <xdr:row>864</xdr:row>
      <xdr:rowOff>121680</xdr:rowOff>
    </xdr:to>
    <xdr:sp macro="" textlink="">
      <xdr:nvSpPr>
        <xdr:cNvPr id="513" name="正方形/長方形 512">
          <a:extLst>
            <a:ext uri="{FF2B5EF4-FFF2-40B4-BE49-F238E27FC236}">
              <a16:creationId xmlns:a16="http://schemas.microsoft.com/office/drawing/2014/main" id="{8BE9EAFD-E75F-4D80-B2FF-13D74E987408}"/>
            </a:ext>
          </a:extLst>
        </xdr:cNvPr>
        <xdr:cNvSpPr/>
      </xdr:nvSpPr>
      <xdr:spPr>
        <a:xfrm>
          <a:off x="4593981" y="148162108"/>
          <a:ext cx="188595" cy="9237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206766</xdr:colOff>
      <xdr:row>864</xdr:row>
      <xdr:rowOff>75494</xdr:rowOff>
    </xdr:from>
    <xdr:to>
      <xdr:col>22</xdr:col>
      <xdr:colOff>18171</xdr:colOff>
      <xdr:row>864</xdr:row>
      <xdr:rowOff>75787</xdr:rowOff>
    </xdr:to>
    <xdr:cxnSp macro="">
      <xdr:nvCxnSpPr>
        <xdr:cNvPr id="514" name="直線コネクタ 513">
          <a:extLst>
            <a:ext uri="{FF2B5EF4-FFF2-40B4-BE49-F238E27FC236}">
              <a16:creationId xmlns:a16="http://schemas.microsoft.com/office/drawing/2014/main" id="{D4E4F798-6268-4CDB-BDA6-B3B901045B9B}"/>
            </a:ext>
          </a:extLst>
        </xdr:cNvPr>
        <xdr:cNvCxnSpPr>
          <a:cxnSpLocks/>
          <a:stCxn id="513" idx="3"/>
          <a:endCxn id="512" idx="1"/>
        </xdr:cNvCxnSpPr>
      </xdr:nvCxnSpPr>
      <xdr:spPr>
        <a:xfrm>
          <a:off x="4778766" y="148208294"/>
          <a:ext cx="268605" cy="293"/>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198853</xdr:colOff>
      <xdr:row>864</xdr:row>
      <xdr:rowOff>72929</xdr:rowOff>
    </xdr:from>
    <xdr:to>
      <xdr:col>33</xdr:col>
      <xdr:colOff>13336</xdr:colOff>
      <xdr:row>1012</xdr:row>
      <xdr:rowOff>63699</xdr:rowOff>
    </xdr:to>
    <xdr:cxnSp macro="">
      <xdr:nvCxnSpPr>
        <xdr:cNvPr id="515" name="直線コネクタ 31">
          <a:extLst>
            <a:ext uri="{FF2B5EF4-FFF2-40B4-BE49-F238E27FC236}">
              <a16:creationId xmlns:a16="http://schemas.microsoft.com/office/drawing/2014/main" id="{4E4DB4A5-06F0-4C75-9B3A-15D4CE14B6AC}"/>
            </a:ext>
          </a:extLst>
        </xdr:cNvPr>
        <xdr:cNvCxnSpPr>
          <a:stCxn id="599" idx="3"/>
          <a:endCxn id="509" idx="1"/>
        </xdr:cNvCxnSpPr>
      </xdr:nvCxnSpPr>
      <xdr:spPr>
        <a:xfrm flipV="1">
          <a:off x="6828253" y="148205729"/>
          <a:ext cx="728883" cy="25365370"/>
        </a:xfrm>
        <a:prstGeom prst="bentConnector3">
          <a:avLst>
            <a:gd name="adj1" fmla="val 22409"/>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18757</xdr:colOff>
      <xdr:row>874</xdr:row>
      <xdr:rowOff>20242</xdr:rowOff>
    </xdr:from>
    <xdr:to>
      <xdr:col>22</xdr:col>
      <xdr:colOff>192112</xdr:colOff>
      <xdr:row>874</xdr:row>
      <xdr:rowOff>122139</xdr:rowOff>
    </xdr:to>
    <xdr:sp macro="" textlink="">
      <xdr:nvSpPr>
        <xdr:cNvPr id="516" name="正方形/長方形 515">
          <a:extLst>
            <a:ext uri="{FF2B5EF4-FFF2-40B4-BE49-F238E27FC236}">
              <a16:creationId xmlns:a16="http://schemas.microsoft.com/office/drawing/2014/main" id="{371CFCB7-9F21-48D6-B0B0-EA68D6CF1CA5}"/>
            </a:ext>
          </a:extLst>
        </xdr:cNvPr>
        <xdr:cNvSpPr/>
      </xdr:nvSpPr>
      <xdr:spPr>
        <a:xfrm>
          <a:off x="5047957" y="149867542"/>
          <a:ext cx="17335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18758</xdr:colOff>
      <xdr:row>874</xdr:row>
      <xdr:rowOff>9232</xdr:rowOff>
    </xdr:from>
    <xdr:to>
      <xdr:col>33</xdr:col>
      <xdr:colOff>182588</xdr:colOff>
      <xdr:row>874</xdr:row>
      <xdr:rowOff>103509</xdr:rowOff>
    </xdr:to>
    <xdr:sp macro="" textlink="">
      <xdr:nvSpPr>
        <xdr:cNvPr id="517" name="正方形/長方形 516">
          <a:extLst>
            <a:ext uri="{FF2B5EF4-FFF2-40B4-BE49-F238E27FC236}">
              <a16:creationId xmlns:a16="http://schemas.microsoft.com/office/drawing/2014/main" id="{7B4C14C1-ABBD-4E22-9575-3004FC40D1A5}"/>
            </a:ext>
          </a:extLst>
        </xdr:cNvPr>
        <xdr:cNvSpPr/>
      </xdr:nvSpPr>
      <xdr:spPr>
        <a:xfrm>
          <a:off x="7562558" y="149856532"/>
          <a:ext cx="163830"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27402</xdr:colOff>
      <xdr:row>874</xdr:row>
      <xdr:rowOff>11137</xdr:rowOff>
    </xdr:from>
    <xdr:to>
      <xdr:col>29</xdr:col>
      <xdr:colOff>200757</xdr:colOff>
      <xdr:row>874</xdr:row>
      <xdr:rowOff>105414</xdr:rowOff>
    </xdr:to>
    <xdr:sp macro="" textlink="">
      <xdr:nvSpPr>
        <xdr:cNvPr id="518" name="正方形/長方形 517">
          <a:extLst>
            <a:ext uri="{FF2B5EF4-FFF2-40B4-BE49-F238E27FC236}">
              <a16:creationId xmlns:a16="http://schemas.microsoft.com/office/drawing/2014/main" id="{6FC211B7-11F3-42BF-9FF5-7268107984FD}"/>
            </a:ext>
          </a:extLst>
        </xdr:cNvPr>
        <xdr:cNvSpPr/>
      </xdr:nvSpPr>
      <xdr:spPr>
        <a:xfrm>
          <a:off x="6656802" y="149858437"/>
          <a:ext cx="17335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876</xdr:row>
      <xdr:rowOff>14655</xdr:rowOff>
    </xdr:from>
    <xdr:to>
      <xdr:col>29</xdr:col>
      <xdr:colOff>198853</xdr:colOff>
      <xdr:row>876</xdr:row>
      <xdr:rowOff>112742</xdr:rowOff>
    </xdr:to>
    <xdr:sp macro="" textlink="">
      <xdr:nvSpPr>
        <xdr:cNvPr id="519" name="正方形/長方形 518">
          <a:extLst>
            <a:ext uri="{FF2B5EF4-FFF2-40B4-BE49-F238E27FC236}">
              <a16:creationId xmlns:a16="http://schemas.microsoft.com/office/drawing/2014/main" id="{14DE3A29-2355-4FA3-9E9E-6B1C5A584559}"/>
            </a:ext>
          </a:extLst>
        </xdr:cNvPr>
        <xdr:cNvSpPr/>
      </xdr:nvSpPr>
      <xdr:spPr>
        <a:xfrm>
          <a:off x="6658708" y="15020485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13336</xdr:colOff>
      <xdr:row>875</xdr:row>
      <xdr:rowOff>21980</xdr:rowOff>
    </xdr:from>
    <xdr:to>
      <xdr:col>33</xdr:col>
      <xdr:colOff>171451</xdr:colOff>
      <xdr:row>875</xdr:row>
      <xdr:rowOff>123877</xdr:rowOff>
    </xdr:to>
    <xdr:sp macro="" textlink="">
      <xdr:nvSpPr>
        <xdr:cNvPr id="520" name="正方形/長方形 519">
          <a:extLst>
            <a:ext uri="{FF2B5EF4-FFF2-40B4-BE49-F238E27FC236}">
              <a16:creationId xmlns:a16="http://schemas.microsoft.com/office/drawing/2014/main" id="{EEA1AC1E-ECCE-41FA-A3A5-37A06399B3F3}"/>
            </a:ext>
          </a:extLst>
        </xdr:cNvPr>
        <xdr:cNvSpPr/>
      </xdr:nvSpPr>
      <xdr:spPr>
        <a:xfrm>
          <a:off x="7557136" y="150040730"/>
          <a:ext cx="158115" cy="10189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200757</xdr:colOff>
      <xdr:row>874</xdr:row>
      <xdr:rowOff>56371</xdr:rowOff>
    </xdr:from>
    <xdr:to>
      <xdr:col>33</xdr:col>
      <xdr:colOff>18758</xdr:colOff>
      <xdr:row>874</xdr:row>
      <xdr:rowOff>58276</xdr:rowOff>
    </xdr:to>
    <xdr:cxnSp macro="">
      <xdr:nvCxnSpPr>
        <xdr:cNvPr id="521" name="直線コネクタ 520">
          <a:extLst>
            <a:ext uri="{FF2B5EF4-FFF2-40B4-BE49-F238E27FC236}">
              <a16:creationId xmlns:a16="http://schemas.microsoft.com/office/drawing/2014/main" id="{146A6822-79C4-4C9F-B4FC-84A5C02778B7}"/>
            </a:ext>
          </a:extLst>
        </xdr:cNvPr>
        <xdr:cNvCxnSpPr>
          <a:stCxn id="517" idx="1"/>
          <a:endCxn id="518" idx="3"/>
        </xdr:cNvCxnSpPr>
      </xdr:nvCxnSpPr>
      <xdr:spPr>
        <a:xfrm flipH="1">
          <a:off x="6830157" y="149903671"/>
          <a:ext cx="732401" cy="1905"/>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21981</xdr:colOff>
      <xdr:row>875</xdr:row>
      <xdr:rowOff>23885</xdr:rowOff>
    </xdr:from>
    <xdr:to>
      <xdr:col>22</xdr:col>
      <xdr:colOff>191526</xdr:colOff>
      <xdr:row>875</xdr:row>
      <xdr:rowOff>127688</xdr:rowOff>
    </xdr:to>
    <xdr:sp macro="" textlink="">
      <xdr:nvSpPr>
        <xdr:cNvPr id="522" name="正方形/長方形 521">
          <a:extLst>
            <a:ext uri="{FF2B5EF4-FFF2-40B4-BE49-F238E27FC236}">
              <a16:creationId xmlns:a16="http://schemas.microsoft.com/office/drawing/2014/main" id="{04D89DE6-3B38-40B0-BA0A-246B4377A21C}"/>
            </a:ext>
          </a:extLst>
        </xdr:cNvPr>
        <xdr:cNvSpPr/>
      </xdr:nvSpPr>
      <xdr:spPr>
        <a:xfrm>
          <a:off x="5051181" y="15004263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198853</xdr:colOff>
      <xdr:row>875</xdr:row>
      <xdr:rowOff>72929</xdr:rowOff>
    </xdr:from>
    <xdr:to>
      <xdr:col>33</xdr:col>
      <xdr:colOff>13336</xdr:colOff>
      <xdr:row>1023</xdr:row>
      <xdr:rowOff>63699</xdr:rowOff>
    </xdr:to>
    <xdr:cxnSp macro="">
      <xdr:nvCxnSpPr>
        <xdr:cNvPr id="523" name="直線コネクタ 31">
          <a:extLst>
            <a:ext uri="{FF2B5EF4-FFF2-40B4-BE49-F238E27FC236}">
              <a16:creationId xmlns:a16="http://schemas.microsoft.com/office/drawing/2014/main" id="{F7B47ED2-737F-460A-B67F-54DE6EE811B4}"/>
            </a:ext>
          </a:extLst>
        </xdr:cNvPr>
        <xdr:cNvCxnSpPr>
          <a:stCxn id="603" idx="3"/>
          <a:endCxn id="520" idx="1"/>
        </xdr:cNvCxnSpPr>
      </xdr:nvCxnSpPr>
      <xdr:spPr>
        <a:xfrm flipV="1">
          <a:off x="6828253" y="150091679"/>
          <a:ext cx="728883" cy="25365370"/>
        </a:xfrm>
        <a:prstGeom prst="bentConnector3">
          <a:avLst>
            <a:gd name="adj1" fmla="val 38044"/>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199146</xdr:colOff>
      <xdr:row>863</xdr:row>
      <xdr:rowOff>65604</xdr:rowOff>
    </xdr:from>
    <xdr:to>
      <xdr:col>22</xdr:col>
      <xdr:colOff>18757</xdr:colOff>
      <xdr:row>874</xdr:row>
      <xdr:rowOff>71192</xdr:rowOff>
    </xdr:to>
    <xdr:cxnSp macro="">
      <xdr:nvCxnSpPr>
        <xdr:cNvPr id="524" name="直線コネクタ 31">
          <a:extLst>
            <a:ext uri="{FF2B5EF4-FFF2-40B4-BE49-F238E27FC236}">
              <a16:creationId xmlns:a16="http://schemas.microsoft.com/office/drawing/2014/main" id="{061D05C0-4C2A-4814-8820-BF1806C7259A}"/>
            </a:ext>
          </a:extLst>
        </xdr:cNvPr>
        <xdr:cNvCxnSpPr>
          <a:stCxn id="516" idx="1"/>
          <a:endCxn id="504" idx="3"/>
        </xdr:cNvCxnSpPr>
      </xdr:nvCxnSpPr>
      <xdr:spPr>
        <a:xfrm rot="10800000">
          <a:off x="4771146" y="148026954"/>
          <a:ext cx="276811" cy="1891538"/>
        </a:xfrm>
        <a:prstGeom prst="bentConnector3">
          <a:avLst>
            <a:gd name="adj1" fmla="val 30155"/>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201051</xdr:colOff>
      <xdr:row>863</xdr:row>
      <xdr:rowOff>67508</xdr:rowOff>
    </xdr:from>
    <xdr:to>
      <xdr:col>22</xdr:col>
      <xdr:colOff>22567</xdr:colOff>
      <xdr:row>863</xdr:row>
      <xdr:rowOff>70238</xdr:rowOff>
    </xdr:to>
    <xdr:cxnSp macro="">
      <xdr:nvCxnSpPr>
        <xdr:cNvPr id="525" name="直線コネクタ 524">
          <a:extLst>
            <a:ext uri="{FF2B5EF4-FFF2-40B4-BE49-F238E27FC236}">
              <a16:creationId xmlns:a16="http://schemas.microsoft.com/office/drawing/2014/main" id="{77AEFF8C-B399-41F8-B7FA-80578A4C282D}"/>
            </a:ext>
          </a:extLst>
        </xdr:cNvPr>
        <xdr:cNvCxnSpPr>
          <a:cxnSpLocks/>
          <a:stCxn id="504" idx="3"/>
          <a:endCxn id="505" idx="1"/>
        </xdr:cNvCxnSpPr>
      </xdr:nvCxnSpPr>
      <xdr:spPr>
        <a:xfrm>
          <a:off x="4773051" y="148028858"/>
          <a:ext cx="278716" cy="2730"/>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68035</xdr:colOff>
      <xdr:row>867</xdr:row>
      <xdr:rowOff>40821</xdr:rowOff>
    </xdr:from>
    <xdr:to>
      <xdr:col>10</xdr:col>
      <xdr:colOff>189592</xdr:colOff>
      <xdr:row>908</xdr:row>
      <xdr:rowOff>13607</xdr:rowOff>
    </xdr:to>
    <xdr:sp macro="" textlink="">
      <xdr:nvSpPr>
        <xdr:cNvPr id="526" name="テキスト ボックス 525">
          <a:extLst>
            <a:ext uri="{FF2B5EF4-FFF2-40B4-BE49-F238E27FC236}">
              <a16:creationId xmlns:a16="http://schemas.microsoft.com/office/drawing/2014/main" id="{C54C31F4-910F-4A2A-8569-B1E89D2A7FBA}"/>
            </a:ext>
          </a:extLst>
        </xdr:cNvPr>
        <xdr:cNvSpPr txBox="1"/>
      </xdr:nvSpPr>
      <xdr:spPr>
        <a:xfrm>
          <a:off x="296635" y="148687971"/>
          <a:ext cx="2178957" cy="7002236"/>
        </a:xfrm>
        <a:prstGeom prst="rect">
          <a:avLst/>
        </a:prstGeom>
        <a:solidFill>
          <a:srgbClr val="FFFFC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lstStyle/>
        <a:p>
          <a:r>
            <a:rPr kumimoji="1" lang="en-US" altLang="ja-JP" sz="900">
              <a:latin typeface="ＭＳ ゴシック" panose="020B0609070205080204" pitchFamily="49" charset="-128"/>
              <a:ea typeface="ＭＳ ゴシック" panose="020B0609070205080204" pitchFamily="49" charset="-128"/>
            </a:rPr>
            <a:t>【</a:t>
          </a:r>
          <a:r>
            <a:rPr kumimoji="1" lang="ja-JP" altLang="en-US" sz="900">
              <a:latin typeface="ＭＳ ゴシック" panose="020B0609070205080204" pitchFamily="49" charset="-128"/>
              <a:ea typeface="ＭＳ ゴシック" panose="020B0609070205080204" pitchFamily="49" charset="-128"/>
            </a:rPr>
            <a:t>ジャーナル印字イメージ</a:t>
          </a:r>
          <a:r>
            <a:rPr kumimoji="1" lang="en-US" altLang="ja-JP" sz="900">
              <a:latin typeface="ＭＳ ゴシック" panose="020B0609070205080204" pitchFamily="49" charset="-128"/>
              <a:ea typeface="ＭＳ ゴシック" panose="020B0609070205080204" pitchFamily="49" charset="-128"/>
            </a:rPr>
            <a:t>】</a:t>
          </a:r>
        </a:p>
        <a:p>
          <a:r>
            <a:rPr kumimoji="1" lang="ja-JP" altLang="en-US" sz="900">
              <a:latin typeface="ＭＳ ゴシック" panose="020B0609070205080204" pitchFamily="49" charset="-128"/>
              <a:ea typeface="ＭＳ ゴシック" panose="020B0609070205080204" pitchFamily="49" charset="-128"/>
            </a:rPr>
            <a:t> </a:t>
          </a:r>
          <a:r>
            <a:rPr kumimoji="1" lang="en-US" altLang="ja-JP" sz="900">
              <a:latin typeface="ＭＳ ゴシック" panose="020B0609070205080204" pitchFamily="49" charset="-128"/>
              <a:ea typeface="ＭＳ ゴシック" panose="020B0609070205080204" pitchFamily="49" charset="-128"/>
            </a:rPr>
            <a:t>2024</a:t>
          </a:r>
          <a:r>
            <a:rPr kumimoji="1" lang="ja-JP" altLang="en-US" sz="900">
              <a:latin typeface="ＭＳ ゴシック" panose="020B0609070205080204" pitchFamily="49" charset="-128"/>
              <a:ea typeface="ＭＳ ゴシック" panose="020B0609070205080204" pitchFamily="49" charset="-128"/>
            </a:rPr>
            <a:t>年</a:t>
          </a:r>
          <a:r>
            <a:rPr kumimoji="1" lang="en-US" altLang="ja-JP" sz="900">
              <a:latin typeface="ＭＳ ゴシック" panose="020B0609070205080204" pitchFamily="49" charset="-128"/>
              <a:ea typeface="ＭＳ ゴシック" panose="020B0609070205080204" pitchFamily="49" charset="-128"/>
            </a:rPr>
            <a:t>10</a:t>
          </a:r>
          <a:r>
            <a:rPr kumimoji="1" lang="ja-JP" altLang="en-US" sz="900">
              <a:latin typeface="ＭＳ ゴシック" panose="020B0609070205080204" pitchFamily="49" charset="-128"/>
              <a:ea typeface="ＭＳ ゴシック" panose="020B0609070205080204" pitchFamily="49" charset="-128"/>
            </a:rPr>
            <a:t>月</a:t>
          </a:r>
          <a:r>
            <a:rPr kumimoji="1" lang="en-US" altLang="ja-JP" sz="900">
              <a:latin typeface="ＭＳ ゴシック" panose="020B0609070205080204" pitchFamily="49" charset="-128"/>
              <a:ea typeface="ＭＳ ゴシック" panose="020B0609070205080204" pitchFamily="49" charset="-128"/>
            </a:rPr>
            <a:t>22</a:t>
          </a:r>
          <a:r>
            <a:rPr kumimoji="1" lang="ja-JP" altLang="en-US" sz="900">
              <a:latin typeface="ＭＳ ゴシック" panose="020B0609070205080204" pitchFamily="49" charset="-128"/>
              <a:ea typeface="ＭＳ ゴシック" panose="020B0609070205080204" pitchFamily="49" charset="-128"/>
            </a:rPr>
            <a:t>日（火） </a:t>
          </a:r>
          <a:r>
            <a:rPr kumimoji="1" lang="en-US" altLang="ja-JP" sz="900">
              <a:latin typeface="ＭＳ ゴシック" panose="020B0609070205080204" pitchFamily="49" charset="-128"/>
              <a:ea typeface="ＭＳ ゴシック" panose="020B0609070205080204" pitchFamily="49" charset="-128"/>
            </a:rPr>
            <a:t>19:52     </a:t>
          </a:r>
        </a:p>
        <a:p>
          <a:r>
            <a:rPr kumimoji="1" lang="en-US" altLang="ja-JP" sz="900">
              <a:latin typeface="ＭＳ ゴシック" panose="020B0609070205080204" pitchFamily="49" charset="-128"/>
              <a:ea typeface="ＭＳ ゴシック" panose="020B0609070205080204" pitchFamily="49" charset="-128"/>
            </a:rPr>
            <a:t>  A01 x</a:t>
          </a:r>
          <a:r>
            <a:rPr kumimoji="1" lang="ja-JP" altLang="en-US" sz="900">
              <a:latin typeface="ＭＳ ゴシック" panose="020B0609070205080204" pitchFamily="49" charset="-128"/>
              <a:ea typeface="ＭＳ ゴシック" panose="020B0609070205080204" pitchFamily="49" charset="-128"/>
            </a:rPr>
            <a:t>商品Ｍ                   </a:t>
          </a:r>
        </a:p>
        <a:p>
          <a:r>
            <a:rPr kumimoji="1" lang="ja-JP" altLang="en-US" sz="900">
              <a:latin typeface="ＭＳ ゴシック" panose="020B0609070205080204" pitchFamily="49" charset="-128"/>
              <a:ea typeface="ＭＳ ゴシック" panose="020B0609070205080204" pitchFamily="49" charset="-128"/>
            </a:rPr>
            <a:t>   </a:t>
          </a:r>
          <a:r>
            <a:rPr kumimoji="1" lang="en-US" altLang="ja-JP" sz="900">
              <a:latin typeface="ＭＳ ゴシック" panose="020B0609070205080204" pitchFamily="49" charset="-128"/>
              <a:ea typeface="ＭＳ ゴシック" panose="020B0609070205080204" pitchFamily="49" charset="-128"/>
            </a:rPr>
            <a:t>4900000007381                </a:t>
          </a:r>
        </a:p>
        <a:p>
          <a:r>
            <a:rPr kumimoji="1" lang="en-US" altLang="ja-JP" sz="900">
              <a:latin typeface="ＭＳ ゴシック" panose="020B0609070205080204" pitchFamily="49" charset="-128"/>
              <a:ea typeface="ＭＳ ゴシック" panose="020B0609070205080204" pitchFamily="49" charset="-128"/>
            </a:rPr>
            <a:t>         \98   2</a:t>
          </a:r>
          <a:r>
            <a:rPr kumimoji="1" lang="ja-JP" altLang="en-US" sz="900">
              <a:latin typeface="ＭＳ ゴシック" panose="020B0609070205080204" pitchFamily="49" charset="-128"/>
              <a:ea typeface="ＭＳ ゴシック" panose="020B0609070205080204" pitchFamily="49" charset="-128"/>
            </a:rPr>
            <a:t>個         </a:t>
          </a:r>
          <a:r>
            <a:rPr kumimoji="1" lang="en-US" altLang="ja-JP" sz="900">
              <a:latin typeface="ＭＳ ゴシック" panose="020B0609070205080204" pitchFamily="49" charset="-128"/>
              <a:ea typeface="ＭＳ ゴシック" panose="020B0609070205080204" pitchFamily="49" charset="-128"/>
            </a:rPr>
            <a:t>\196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部門値引   </a:t>
          </a:r>
          <a:r>
            <a:rPr kumimoji="1" lang="en-US" altLang="ja-JP" sz="900">
              <a:latin typeface="ＭＳ ゴシック" panose="020B0609070205080204" pitchFamily="49" charset="-128"/>
              <a:ea typeface="ＭＳ ゴシック" panose="020B0609070205080204" pitchFamily="49" charset="-128"/>
            </a:rPr>
            <a:t>15%         -\30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Ｍ値引                 </a:t>
          </a:r>
          <a:r>
            <a:rPr kumimoji="1" lang="en-US" altLang="ja-JP" sz="900">
              <a:latin typeface="ＭＳ ゴシック" panose="020B0609070205080204" pitchFamily="49" charset="-128"/>
              <a:ea typeface="ＭＳ ゴシック" panose="020B0609070205080204" pitchFamily="49" charset="-128"/>
            </a:rPr>
            <a:t>-\20 </a:t>
          </a:r>
        </a:p>
        <a:p>
          <a:r>
            <a:rPr kumimoji="1" lang="en-US" altLang="ja-JP" sz="900">
              <a:latin typeface="ＭＳ ゴシック" panose="020B0609070205080204" pitchFamily="49" charset="-128"/>
              <a:ea typeface="ＭＳ ゴシック" panose="020B0609070205080204" pitchFamily="49" charset="-128"/>
            </a:rPr>
            <a:t>  A01 x</a:t>
          </a:r>
          <a:r>
            <a:rPr kumimoji="1" lang="ja-JP" altLang="en-US" sz="900">
              <a:latin typeface="ＭＳ ゴシック" panose="020B0609070205080204" pitchFamily="49" charset="-128"/>
              <a:ea typeface="ＭＳ ゴシック" panose="020B0609070205080204" pitchFamily="49" charset="-128"/>
            </a:rPr>
            <a:t>商品Ｍ                   </a:t>
          </a:r>
        </a:p>
        <a:p>
          <a:r>
            <a:rPr kumimoji="1" lang="ja-JP" altLang="en-US" sz="900">
              <a:latin typeface="ＭＳ ゴシック" panose="020B0609070205080204" pitchFamily="49" charset="-128"/>
              <a:ea typeface="ＭＳ ゴシック" panose="020B0609070205080204" pitchFamily="49" charset="-128"/>
            </a:rPr>
            <a:t>   </a:t>
          </a:r>
          <a:r>
            <a:rPr kumimoji="1" lang="en-US" altLang="ja-JP" sz="900">
              <a:latin typeface="ＭＳ ゴシック" panose="020B0609070205080204" pitchFamily="49" charset="-128"/>
              <a:ea typeface="ＭＳ ゴシック" panose="020B0609070205080204" pitchFamily="49" charset="-128"/>
            </a:rPr>
            <a:t>4900000007381                </a:t>
          </a:r>
        </a:p>
        <a:p>
          <a:r>
            <a:rPr kumimoji="1" lang="en-US" altLang="ja-JP" sz="900">
              <a:latin typeface="ＭＳ ゴシック" panose="020B0609070205080204" pitchFamily="49" charset="-128"/>
              <a:ea typeface="ＭＳ ゴシック" panose="020B0609070205080204" pitchFamily="49" charset="-128"/>
            </a:rPr>
            <a:t>         \98   2</a:t>
          </a:r>
          <a:r>
            <a:rPr kumimoji="1" lang="ja-JP" altLang="en-US" sz="900">
              <a:latin typeface="ＭＳ ゴシック" panose="020B0609070205080204" pitchFamily="49" charset="-128"/>
              <a:ea typeface="ＭＳ ゴシック" panose="020B0609070205080204" pitchFamily="49" charset="-128"/>
            </a:rPr>
            <a:t>個         </a:t>
          </a:r>
          <a:r>
            <a:rPr kumimoji="1" lang="en-US" altLang="ja-JP" sz="900">
              <a:latin typeface="ＭＳ ゴシック" panose="020B0609070205080204" pitchFamily="49" charset="-128"/>
              <a:ea typeface="ＭＳ ゴシック" panose="020B0609070205080204" pitchFamily="49" charset="-128"/>
            </a:rPr>
            <a:t>\196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部門値引   </a:t>
          </a:r>
          <a:r>
            <a:rPr kumimoji="1" lang="en-US" altLang="ja-JP" sz="900">
              <a:latin typeface="ＭＳ ゴシック" panose="020B0609070205080204" pitchFamily="49" charset="-128"/>
              <a:ea typeface="ＭＳ ゴシック" panose="020B0609070205080204" pitchFamily="49" charset="-128"/>
            </a:rPr>
            <a:t>15%         -\30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Ｍ値引     </a:t>
          </a:r>
          <a:r>
            <a:rPr kumimoji="1" lang="en-US" altLang="ja-JP" sz="900">
              <a:latin typeface="ＭＳ ゴシック" panose="020B0609070205080204" pitchFamily="49" charset="-128"/>
              <a:ea typeface="ＭＳ ゴシック" panose="020B0609070205080204" pitchFamily="49" charset="-128"/>
            </a:rPr>
            <a:t>18%         -\30 </a:t>
          </a:r>
        </a:p>
        <a:p>
          <a:r>
            <a:rPr kumimoji="1" lang="en-US" altLang="ja-JP" sz="900">
              <a:latin typeface="ＭＳ ゴシック" panose="020B0609070205080204" pitchFamily="49" charset="-128"/>
              <a:ea typeface="ＭＳ ゴシック" panose="020B0609070205080204" pitchFamily="49" charset="-128"/>
            </a:rPr>
            <a:t>   01 x</a:t>
          </a:r>
          <a:r>
            <a:rPr kumimoji="1" lang="ja-JP" altLang="en-US" sz="900">
              <a:latin typeface="ＭＳ ゴシック" panose="020B0609070205080204" pitchFamily="49" charset="-128"/>
              <a:ea typeface="ＭＳ ゴシック" panose="020B0609070205080204" pitchFamily="49" charset="-128"/>
            </a:rPr>
            <a:t>商品Ｍ                   </a:t>
          </a:r>
        </a:p>
        <a:p>
          <a:r>
            <a:rPr kumimoji="1" lang="ja-JP" altLang="en-US" sz="900">
              <a:latin typeface="ＭＳ ゴシック" panose="020B0609070205080204" pitchFamily="49" charset="-128"/>
              <a:ea typeface="ＭＳ ゴシック" panose="020B0609070205080204" pitchFamily="49" charset="-128"/>
            </a:rPr>
            <a:t>   </a:t>
          </a:r>
          <a:r>
            <a:rPr kumimoji="1" lang="en-US" altLang="ja-JP" sz="900">
              <a:latin typeface="ＭＳ ゴシック" panose="020B0609070205080204" pitchFamily="49" charset="-128"/>
              <a:ea typeface="ＭＳ ゴシック" panose="020B0609070205080204" pitchFamily="49" charset="-128"/>
            </a:rPr>
            <a:t>4900000007381                </a:t>
          </a:r>
        </a:p>
        <a:p>
          <a:r>
            <a:rPr kumimoji="1" lang="en-US" altLang="ja-JP" sz="900">
              <a:latin typeface="ＭＳ ゴシック" panose="020B0609070205080204" pitchFamily="49" charset="-128"/>
              <a:ea typeface="ＭＳ ゴシック" panose="020B0609070205080204" pitchFamily="49" charset="-128"/>
            </a:rPr>
            <a:t>         \98   2</a:t>
          </a:r>
          <a:r>
            <a:rPr kumimoji="1" lang="ja-JP" altLang="en-US" sz="900">
              <a:latin typeface="ＭＳ ゴシック" panose="020B0609070205080204" pitchFamily="49" charset="-128"/>
              <a:ea typeface="ＭＳ ゴシック" panose="020B0609070205080204" pitchFamily="49" charset="-128"/>
            </a:rPr>
            <a:t>個         </a:t>
          </a:r>
          <a:r>
            <a:rPr kumimoji="1" lang="en-US" altLang="ja-JP" sz="900">
              <a:latin typeface="ＭＳ ゴシック" panose="020B0609070205080204" pitchFamily="49" charset="-128"/>
              <a:ea typeface="ＭＳ ゴシック" panose="020B0609070205080204" pitchFamily="49" charset="-128"/>
            </a:rPr>
            <a:t>\196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売変値下                </a:t>
          </a:r>
          <a:r>
            <a:rPr kumimoji="1" lang="en-US" altLang="ja-JP" sz="900">
              <a:latin typeface="ＭＳ ゴシック" panose="020B0609070205080204" pitchFamily="49" charset="-128"/>
              <a:ea typeface="ＭＳ ゴシック" panose="020B0609070205080204" pitchFamily="49" charset="-128"/>
            </a:rPr>
            <a:t>-\2 </a:t>
          </a:r>
        </a:p>
        <a:p>
          <a:r>
            <a:rPr kumimoji="1" lang="en-US" altLang="ja-JP" sz="900">
              <a:latin typeface="ＭＳ ゴシック" panose="020B0609070205080204" pitchFamily="49" charset="-128"/>
              <a:ea typeface="ＭＳ ゴシック" panose="020B0609070205080204" pitchFamily="49" charset="-128"/>
            </a:rPr>
            <a:t>   01 x</a:t>
          </a:r>
          <a:r>
            <a:rPr kumimoji="1" lang="ja-JP" altLang="en-US" sz="900">
              <a:latin typeface="ＭＳ ゴシック" panose="020B0609070205080204" pitchFamily="49" charset="-128"/>
              <a:ea typeface="ＭＳ ゴシック" panose="020B0609070205080204" pitchFamily="49" charset="-128"/>
            </a:rPr>
            <a:t>商品Ｍ                   </a:t>
          </a:r>
        </a:p>
        <a:p>
          <a:r>
            <a:rPr kumimoji="1" lang="ja-JP" altLang="en-US" sz="900">
              <a:latin typeface="ＭＳ ゴシック" panose="020B0609070205080204" pitchFamily="49" charset="-128"/>
              <a:ea typeface="ＭＳ ゴシック" panose="020B0609070205080204" pitchFamily="49" charset="-128"/>
            </a:rPr>
            <a:t>   </a:t>
          </a:r>
          <a:r>
            <a:rPr kumimoji="1" lang="en-US" altLang="ja-JP" sz="900">
              <a:latin typeface="ＭＳ ゴシック" panose="020B0609070205080204" pitchFamily="49" charset="-128"/>
              <a:ea typeface="ＭＳ ゴシック" panose="020B0609070205080204" pitchFamily="49" charset="-128"/>
            </a:rPr>
            <a:t>4900000007381                </a:t>
          </a:r>
        </a:p>
        <a:p>
          <a:r>
            <a:rPr kumimoji="1" lang="en-US" altLang="ja-JP" sz="900">
              <a:latin typeface="ＭＳ ゴシック" panose="020B0609070205080204" pitchFamily="49" charset="-128"/>
              <a:ea typeface="ＭＳ ゴシック" panose="020B0609070205080204" pitchFamily="49" charset="-128"/>
            </a:rPr>
            <a:t>         \99   2</a:t>
          </a:r>
          <a:r>
            <a:rPr kumimoji="1" lang="ja-JP" altLang="en-US" sz="900">
              <a:latin typeface="ＭＳ ゴシック" panose="020B0609070205080204" pitchFamily="49" charset="-128"/>
              <a:ea typeface="ＭＳ ゴシック" panose="020B0609070205080204" pitchFamily="49" charset="-128"/>
            </a:rPr>
            <a:t>個         </a:t>
          </a:r>
          <a:r>
            <a:rPr kumimoji="1" lang="en-US" altLang="ja-JP" sz="900">
              <a:latin typeface="ＭＳ ゴシック" panose="020B0609070205080204" pitchFamily="49" charset="-128"/>
              <a:ea typeface="ＭＳ ゴシック" panose="020B0609070205080204" pitchFamily="49" charset="-128"/>
            </a:rPr>
            <a:t>\198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売変        </a:t>
          </a:r>
          <a:r>
            <a:rPr kumimoji="1" lang="en-US" altLang="ja-JP" sz="900">
              <a:latin typeface="ＭＳ ゴシック" panose="020B0609070205080204" pitchFamily="49" charset="-128"/>
              <a:ea typeface="ＭＳ ゴシック" panose="020B0609070205080204" pitchFamily="49" charset="-128"/>
            </a:rPr>
            <a:t>\98(</a:t>
          </a:r>
          <a:r>
            <a:rPr kumimoji="1" lang="ja-JP" altLang="en-US" sz="900">
              <a:latin typeface="ＭＳ ゴシック" panose="020B0609070205080204" pitchFamily="49" charset="-128"/>
              <a:ea typeface="ＭＳ ゴシック" panose="020B0609070205080204" pitchFamily="49" charset="-128"/>
            </a:rPr>
            <a:t>差          </a:t>
          </a:r>
          <a:r>
            <a:rPr kumimoji="1" lang="en-US" altLang="ja-JP" sz="900">
              <a:latin typeface="ＭＳ ゴシック" panose="020B0609070205080204" pitchFamily="49" charset="-128"/>
              <a:ea typeface="ＭＳ ゴシック" panose="020B0609070205080204" pitchFamily="49" charset="-128"/>
            </a:rPr>
            <a:t>\1)</a:t>
          </a:r>
        </a:p>
        <a:p>
          <a:r>
            <a:rPr kumimoji="1" lang="en-US" altLang="ja-JP" sz="900">
              <a:latin typeface="ＭＳ ゴシック" panose="020B0609070205080204" pitchFamily="49" charset="-128"/>
              <a:ea typeface="ＭＳ ゴシック" panose="020B0609070205080204" pitchFamily="49" charset="-128"/>
            </a:rPr>
            <a:t>   01 x</a:t>
          </a:r>
          <a:r>
            <a:rPr kumimoji="1" lang="ja-JP" altLang="en-US" sz="900">
              <a:latin typeface="ＭＳ ゴシック" panose="020B0609070205080204" pitchFamily="49" charset="-128"/>
              <a:ea typeface="ＭＳ ゴシック" panose="020B0609070205080204" pitchFamily="49" charset="-128"/>
            </a:rPr>
            <a:t>商品Ｐ                  </a:t>
          </a:r>
          <a:r>
            <a:rPr kumimoji="1" lang="en-US" altLang="ja-JP" sz="900">
              <a:latin typeface="ＭＳ ゴシック" panose="020B0609070205080204" pitchFamily="49" charset="-128"/>
              <a:ea typeface="ＭＳ ゴシック" panose="020B0609070205080204" pitchFamily="49" charset="-128"/>
            </a:rPr>
            <a:t>J</a:t>
          </a:r>
        </a:p>
        <a:p>
          <a:r>
            <a:rPr kumimoji="1" lang="en-US" altLang="ja-JP" sz="900">
              <a:latin typeface="ＭＳ ゴシック" panose="020B0609070205080204" pitchFamily="49" charset="-128"/>
              <a:ea typeface="ＭＳ ゴシック" panose="020B0609070205080204" pitchFamily="49" charset="-128"/>
            </a:rPr>
            <a:t>   4900000007220                </a:t>
          </a:r>
        </a:p>
        <a:p>
          <a:r>
            <a:rPr kumimoji="1" lang="en-US" altLang="ja-JP" sz="900">
              <a:latin typeface="ＭＳ ゴシック" panose="020B0609070205080204" pitchFamily="49" charset="-128"/>
              <a:ea typeface="ＭＳ ゴシック" panose="020B0609070205080204" pitchFamily="49" charset="-128"/>
            </a:rPr>
            <a:t>        \100   3</a:t>
          </a:r>
          <a:r>
            <a:rPr kumimoji="1" lang="ja-JP" altLang="en-US" sz="900">
              <a:latin typeface="ＭＳ ゴシック" panose="020B0609070205080204" pitchFamily="49" charset="-128"/>
              <a:ea typeface="ＭＳ ゴシック" panose="020B0609070205080204" pitchFamily="49" charset="-128"/>
            </a:rPr>
            <a:t>個         </a:t>
          </a:r>
          <a:r>
            <a:rPr kumimoji="1" lang="en-US" altLang="ja-JP" sz="900">
              <a:latin typeface="ＭＳ ゴシック" panose="020B0609070205080204" pitchFamily="49" charset="-128"/>
              <a:ea typeface="ＭＳ ゴシック" panose="020B0609070205080204" pitchFamily="49" charset="-128"/>
            </a:rPr>
            <a:t>\300 </a:t>
          </a:r>
        </a:p>
        <a:p>
          <a:r>
            <a:rPr kumimoji="1" lang="en-US" altLang="ja-JP" sz="900">
              <a:latin typeface="ＭＳ ゴシック" panose="020B0609070205080204" pitchFamily="49" charset="-128"/>
              <a:ea typeface="ＭＳ ゴシック" panose="020B0609070205080204" pitchFamily="49" charset="-128"/>
            </a:rPr>
            <a:t>  (  2</a:t>
          </a:r>
          <a:r>
            <a:rPr kumimoji="1" lang="ja-JP" altLang="en-US" sz="900">
              <a:latin typeface="ＭＳ ゴシック" panose="020B0609070205080204" pitchFamily="49" charset="-128"/>
              <a:ea typeface="ＭＳ ゴシック" panose="020B0609070205080204" pitchFamily="49" charset="-128"/>
            </a:rPr>
            <a:t>個</a:t>
          </a:r>
          <a:r>
            <a:rPr kumimoji="1" lang="en-US" altLang="ja-JP" sz="900">
              <a:latin typeface="ＭＳ ゴシック" panose="020B0609070205080204" pitchFamily="49" charset="-128"/>
              <a:ea typeface="ＭＳ ゴシック" panose="020B0609070205080204" pitchFamily="49" charset="-128"/>
            </a:rPr>
            <a:t>\160                  ) </a:t>
          </a:r>
        </a:p>
        <a:p>
          <a:r>
            <a:rPr kumimoji="1" lang="en-US" altLang="ja-JP" sz="900">
              <a:latin typeface="ＭＳ ゴシック" panose="020B0609070205080204" pitchFamily="49" charset="-128"/>
              <a:ea typeface="ＭＳ ゴシック" panose="020B0609070205080204" pitchFamily="49" charset="-128"/>
            </a:rPr>
            <a:t>     4</a:t>
          </a:r>
          <a:r>
            <a:rPr kumimoji="1" lang="ja-JP" altLang="en-US" sz="900">
              <a:latin typeface="ＭＳ ゴシック" panose="020B0609070205080204" pitchFamily="49" charset="-128"/>
              <a:ea typeface="ＭＳ ゴシック" panose="020B0609070205080204" pitchFamily="49" charset="-128"/>
            </a:rPr>
            <a:t>個</a:t>
          </a:r>
          <a:r>
            <a:rPr kumimoji="1" lang="en-US" altLang="ja-JP" sz="900">
              <a:latin typeface="ＭＳ ゴシック" panose="020B0609070205080204" pitchFamily="49" charset="-128"/>
              <a:ea typeface="ＭＳ ゴシック" panose="020B0609070205080204" pitchFamily="49" charset="-128"/>
            </a:rPr>
            <a:t>A</a:t>
          </a:r>
          <a:r>
            <a:rPr kumimoji="1" lang="ja-JP" altLang="en-US" sz="900">
              <a:latin typeface="ＭＳ ゴシック" panose="020B0609070205080204" pitchFamily="49" charset="-128"/>
              <a:ea typeface="ＭＳ ゴシック" panose="020B0609070205080204" pitchFamily="49" charset="-128"/>
            </a:rPr>
            <a:t>まとめ    </a:t>
          </a:r>
          <a:r>
            <a:rPr kumimoji="1" lang="en-US" altLang="ja-JP" sz="900">
              <a:latin typeface="ＭＳ ゴシック" panose="020B0609070205080204" pitchFamily="49" charset="-128"/>
              <a:ea typeface="ＭＳ ゴシック" panose="020B0609070205080204" pitchFamily="49" charset="-128"/>
            </a:rPr>
            <a:t>\320    -\12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小計値引   </a:t>
          </a:r>
          <a:r>
            <a:rPr kumimoji="1" lang="en-US" altLang="ja-JP" sz="900">
              <a:latin typeface="ＭＳ ゴシック" panose="020B0609070205080204" pitchFamily="49" charset="-128"/>
              <a:ea typeface="ＭＳ ゴシック" panose="020B0609070205080204" pitchFamily="49" charset="-128"/>
            </a:rPr>
            <a:t>10%         -\67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小計      </a:t>
          </a:r>
          <a:r>
            <a:rPr kumimoji="1" lang="en-US" altLang="ja-JP" sz="900">
              <a:latin typeface="ＭＳ ゴシック" panose="020B0609070205080204" pitchFamily="49" charset="-128"/>
              <a:ea typeface="ＭＳ ゴシック" panose="020B0609070205080204" pitchFamily="49" charset="-128"/>
            </a:rPr>
            <a:t>11</a:t>
          </a:r>
          <a:r>
            <a:rPr kumimoji="1" lang="ja-JP" altLang="en-US" sz="900">
              <a:latin typeface="ＭＳ ゴシック" panose="020B0609070205080204" pitchFamily="49" charset="-128"/>
              <a:ea typeface="ＭＳ ゴシック" panose="020B0609070205080204" pitchFamily="49" charset="-128"/>
            </a:rPr>
            <a:t>点            </a:t>
          </a:r>
          <a:r>
            <a:rPr kumimoji="1" lang="en-US" altLang="ja-JP" sz="900">
              <a:latin typeface="ＭＳ ゴシック" panose="020B0609070205080204" pitchFamily="49" charset="-128"/>
              <a:ea typeface="ＭＳ ゴシック" panose="020B0609070205080204" pitchFamily="49" charset="-128"/>
            </a:rPr>
            <a:t>\895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外税 </a:t>
          </a:r>
          <a:r>
            <a:rPr kumimoji="1" lang="en-US" altLang="ja-JP" sz="900">
              <a:latin typeface="ＭＳ ゴシック" panose="020B0609070205080204" pitchFamily="49" charset="-128"/>
              <a:ea typeface="ＭＳ ゴシック" panose="020B0609070205080204" pitchFamily="49" charset="-128"/>
            </a:rPr>
            <a:t>8.0%</a:t>
          </a:r>
          <a:r>
            <a:rPr kumimoji="1" lang="ja-JP" altLang="en-US" sz="900">
              <a:latin typeface="ＭＳ ゴシック" panose="020B0609070205080204" pitchFamily="49" charset="-128"/>
              <a:ea typeface="ＭＳ ゴシック" panose="020B0609070205080204" pitchFamily="49" charset="-128"/>
            </a:rPr>
            <a:t>対象額         </a:t>
          </a:r>
          <a:r>
            <a:rPr kumimoji="1" lang="en-US" altLang="ja-JP" sz="900">
              <a:latin typeface="ＭＳ ゴシック" panose="020B0609070205080204" pitchFamily="49" charset="-128"/>
              <a:ea typeface="ＭＳ ゴシック" panose="020B0609070205080204" pitchFamily="49" charset="-128"/>
            </a:rPr>
            <a:t>\895)</a:t>
          </a:r>
        </a:p>
        <a:p>
          <a:r>
            <a:rPr kumimoji="1" lang="en-US" altLang="ja-JP" sz="900">
              <a:latin typeface="ＭＳ ゴシック" panose="020B0609070205080204" pitchFamily="49" charset="-128"/>
              <a:ea typeface="ＭＳ ゴシック" panose="020B0609070205080204" pitchFamily="49" charset="-128"/>
            </a:rPr>
            <a:t>      8.0% </a:t>
          </a:r>
          <a:r>
            <a:rPr kumimoji="1" lang="ja-JP" altLang="en-US" sz="900">
              <a:latin typeface="ＭＳ ゴシック" panose="020B0609070205080204" pitchFamily="49" charset="-128"/>
              <a:ea typeface="ＭＳ ゴシック" panose="020B0609070205080204" pitchFamily="49" charset="-128"/>
            </a:rPr>
            <a:t>消費税等         </a:t>
          </a:r>
          <a:r>
            <a:rPr kumimoji="1" lang="en-US" altLang="ja-JP" sz="900">
              <a:latin typeface="ＭＳ ゴシック" panose="020B0609070205080204" pitchFamily="49" charset="-128"/>
              <a:ea typeface="ＭＳ ゴシック" panose="020B0609070205080204" pitchFamily="49" charset="-128"/>
            </a:rPr>
            <a:t>\71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外税額計                   </a:t>
          </a:r>
          <a:r>
            <a:rPr kumimoji="1" lang="en-US" altLang="ja-JP" sz="900">
              <a:latin typeface="ＭＳ ゴシック" panose="020B0609070205080204" pitchFamily="49" charset="-128"/>
              <a:ea typeface="ＭＳ ゴシック" panose="020B0609070205080204" pitchFamily="49" charset="-128"/>
            </a:rPr>
            <a:t>\71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税込小計                  </a:t>
          </a:r>
          <a:r>
            <a:rPr kumimoji="1" lang="en-US" altLang="ja-JP" sz="900">
              <a:latin typeface="ＭＳ ゴシック" panose="020B0609070205080204" pitchFamily="49" charset="-128"/>
              <a:ea typeface="ＭＳ ゴシック" panose="020B0609070205080204" pitchFamily="49" charset="-128"/>
            </a:rPr>
            <a:t>\966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税込 </a:t>
          </a:r>
          <a:r>
            <a:rPr kumimoji="1" lang="en-US" altLang="ja-JP" sz="900">
              <a:latin typeface="ＭＳ ゴシック" panose="020B0609070205080204" pitchFamily="49" charset="-128"/>
              <a:ea typeface="ＭＳ ゴシック" panose="020B0609070205080204" pitchFamily="49" charset="-128"/>
            </a:rPr>
            <a:t>8.0%</a:t>
          </a:r>
          <a:r>
            <a:rPr kumimoji="1" lang="ja-JP" altLang="en-US" sz="900">
              <a:latin typeface="ＭＳ ゴシック" panose="020B0609070205080204" pitchFamily="49" charset="-128"/>
              <a:ea typeface="ＭＳ ゴシック" panose="020B0609070205080204" pitchFamily="49" charset="-128"/>
            </a:rPr>
            <a:t>対象額         </a:t>
          </a:r>
          <a:r>
            <a:rPr kumimoji="1" lang="en-US" altLang="ja-JP" sz="900">
              <a:latin typeface="ＭＳ ゴシック" panose="020B0609070205080204" pitchFamily="49" charset="-128"/>
              <a:ea typeface="ＭＳ ゴシック" panose="020B0609070205080204" pitchFamily="49" charset="-128"/>
            </a:rPr>
            <a:t>\966)</a:t>
          </a:r>
        </a:p>
        <a:p>
          <a:r>
            <a:rPr kumimoji="1" lang="en-US" altLang="ja-JP" sz="900">
              <a:latin typeface="ＭＳ ゴシック" panose="020B0609070205080204" pitchFamily="49" charset="-128"/>
              <a:ea typeface="ＭＳ ゴシック" panose="020B0609070205080204" pitchFamily="49" charset="-128"/>
            </a:rPr>
            <a:t>      8.0% </a:t>
          </a:r>
          <a:r>
            <a:rPr kumimoji="1" lang="ja-JP" altLang="en-US" sz="900">
              <a:latin typeface="ＭＳ ゴシック" panose="020B0609070205080204" pitchFamily="49" charset="-128"/>
              <a:ea typeface="ＭＳ ゴシック" panose="020B0609070205080204" pitchFamily="49" charset="-128"/>
            </a:rPr>
            <a:t>消費税等         </a:t>
          </a:r>
          <a:r>
            <a:rPr kumimoji="1" lang="en-US" altLang="ja-JP" sz="900">
              <a:latin typeface="ＭＳ ゴシック" panose="020B0609070205080204" pitchFamily="49" charset="-128"/>
              <a:ea typeface="ＭＳ ゴシック" panose="020B0609070205080204" pitchFamily="49" charset="-128"/>
            </a:rPr>
            <a:t>\71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税額計                     </a:t>
          </a:r>
          <a:r>
            <a:rPr kumimoji="1" lang="en-US" altLang="ja-JP" sz="900">
              <a:latin typeface="ＭＳ ゴシック" panose="020B0609070205080204" pitchFamily="49" charset="-128"/>
              <a:ea typeface="ＭＳ ゴシック" panose="020B0609070205080204" pitchFamily="49" charset="-128"/>
            </a:rPr>
            <a:t>\71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a:t>
          </a:r>
          <a:r>
            <a:rPr kumimoji="1" lang="en-US" altLang="ja-JP" sz="900">
              <a:latin typeface="ＭＳ ゴシック" panose="020B0609070205080204" pitchFamily="49" charset="-128"/>
              <a:ea typeface="ＭＳ ゴシック" panose="020B0609070205080204" pitchFamily="49" charset="-128"/>
            </a:rPr>
            <a:t>x</a:t>
          </a:r>
          <a:r>
            <a:rPr kumimoji="1" lang="ja-JP" altLang="en-US" sz="900">
              <a:latin typeface="ＭＳ ゴシック" panose="020B0609070205080204" pitchFamily="49" charset="-128"/>
              <a:ea typeface="ＭＳ ゴシック" panose="020B0609070205080204" pitchFamily="49" charset="-128"/>
            </a:rPr>
            <a:t>」は軽減税率対象商品です    </a:t>
          </a:r>
        </a:p>
        <a:p>
          <a:r>
            <a:rPr kumimoji="1" lang="ja-JP" altLang="en-US" sz="900">
              <a:latin typeface="ＭＳ ゴシック" panose="020B0609070205080204" pitchFamily="49" charset="-128"/>
              <a:ea typeface="ＭＳ ゴシック" panose="020B0609070205080204" pitchFamily="49" charset="-128"/>
            </a:rPr>
            <a:t> 合計                  </a:t>
          </a:r>
          <a:r>
            <a:rPr kumimoji="1" lang="en-US" altLang="ja-JP" sz="900">
              <a:latin typeface="ＭＳ ゴシック" panose="020B0609070205080204" pitchFamily="49" charset="-128"/>
              <a:ea typeface="ＭＳ ゴシック" panose="020B0609070205080204" pitchFamily="49" charset="-128"/>
            </a:rPr>
            <a:t>\966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お預り                </a:t>
          </a:r>
          <a:r>
            <a:rPr kumimoji="1" lang="en-US" altLang="ja-JP" sz="900">
              <a:latin typeface="ＭＳ ゴシック" panose="020B0609070205080204" pitchFamily="49" charset="-128"/>
              <a:ea typeface="ＭＳ ゴシック" panose="020B0609070205080204" pitchFamily="49" charset="-128"/>
            </a:rPr>
            <a:t>\966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お釣り                    </a:t>
          </a:r>
          <a:r>
            <a:rPr kumimoji="1" lang="en-US" altLang="ja-JP" sz="900">
              <a:latin typeface="ＭＳ ゴシック" panose="020B0609070205080204" pitchFamily="49" charset="-128"/>
              <a:ea typeface="ＭＳ ゴシック" panose="020B0609070205080204" pitchFamily="49" charset="-128"/>
            </a:rPr>
            <a:t>\0   </a:t>
          </a:r>
        </a:p>
        <a:p>
          <a:endParaRPr kumimoji="1" lang="en-US" altLang="ja-JP" sz="900">
            <a:latin typeface="ＭＳ ゴシック" panose="020B0609070205080204" pitchFamily="49" charset="-128"/>
            <a:ea typeface="ＭＳ ゴシック" panose="020B0609070205080204" pitchFamily="49" charset="-128"/>
          </a:endParaRPr>
        </a:p>
      </xdr:txBody>
    </xdr:sp>
    <xdr:clientData/>
  </xdr:twoCellAnchor>
  <xdr:twoCellAnchor>
    <xdr:from>
      <xdr:col>22</xdr:col>
      <xdr:colOff>18757</xdr:colOff>
      <xdr:row>914</xdr:row>
      <xdr:rowOff>20242</xdr:rowOff>
    </xdr:from>
    <xdr:to>
      <xdr:col>22</xdr:col>
      <xdr:colOff>192112</xdr:colOff>
      <xdr:row>914</xdr:row>
      <xdr:rowOff>122139</xdr:rowOff>
    </xdr:to>
    <xdr:sp macro="" textlink="">
      <xdr:nvSpPr>
        <xdr:cNvPr id="527" name="正方形/長方形 526">
          <a:extLst>
            <a:ext uri="{FF2B5EF4-FFF2-40B4-BE49-F238E27FC236}">
              <a16:creationId xmlns:a16="http://schemas.microsoft.com/office/drawing/2014/main" id="{2323ECA1-37EF-4A2E-84C9-228C393B3558}"/>
            </a:ext>
          </a:extLst>
        </xdr:cNvPr>
        <xdr:cNvSpPr/>
      </xdr:nvSpPr>
      <xdr:spPr>
        <a:xfrm>
          <a:off x="5047957" y="156725542"/>
          <a:ext cx="17335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27402</xdr:colOff>
      <xdr:row>914</xdr:row>
      <xdr:rowOff>11137</xdr:rowOff>
    </xdr:from>
    <xdr:to>
      <xdr:col>29</xdr:col>
      <xdr:colOff>200757</xdr:colOff>
      <xdr:row>914</xdr:row>
      <xdr:rowOff>105414</xdr:rowOff>
    </xdr:to>
    <xdr:sp macro="" textlink="">
      <xdr:nvSpPr>
        <xdr:cNvPr id="528" name="正方形/長方形 527">
          <a:extLst>
            <a:ext uri="{FF2B5EF4-FFF2-40B4-BE49-F238E27FC236}">
              <a16:creationId xmlns:a16="http://schemas.microsoft.com/office/drawing/2014/main" id="{39B80731-3984-4F6E-A33F-B47DE1102BC3}"/>
            </a:ext>
          </a:extLst>
        </xdr:cNvPr>
        <xdr:cNvSpPr/>
      </xdr:nvSpPr>
      <xdr:spPr>
        <a:xfrm>
          <a:off x="6656802" y="156716437"/>
          <a:ext cx="17335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916</xdr:row>
      <xdr:rowOff>14655</xdr:rowOff>
    </xdr:from>
    <xdr:to>
      <xdr:col>29</xdr:col>
      <xdr:colOff>198853</xdr:colOff>
      <xdr:row>916</xdr:row>
      <xdr:rowOff>112742</xdr:rowOff>
    </xdr:to>
    <xdr:sp macro="" textlink="">
      <xdr:nvSpPr>
        <xdr:cNvPr id="529" name="正方形/長方形 528">
          <a:extLst>
            <a:ext uri="{FF2B5EF4-FFF2-40B4-BE49-F238E27FC236}">
              <a16:creationId xmlns:a16="http://schemas.microsoft.com/office/drawing/2014/main" id="{60B6D75D-8ADF-43BA-A37F-9AF935E94C36}"/>
            </a:ext>
          </a:extLst>
        </xdr:cNvPr>
        <xdr:cNvSpPr/>
      </xdr:nvSpPr>
      <xdr:spPr>
        <a:xfrm>
          <a:off x="6658708" y="15706285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21981</xdr:colOff>
      <xdr:row>915</xdr:row>
      <xdr:rowOff>23885</xdr:rowOff>
    </xdr:from>
    <xdr:to>
      <xdr:col>22</xdr:col>
      <xdr:colOff>191526</xdr:colOff>
      <xdr:row>915</xdr:row>
      <xdr:rowOff>127688</xdr:rowOff>
    </xdr:to>
    <xdr:sp macro="" textlink="">
      <xdr:nvSpPr>
        <xdr:cNvPr id="530" name="正方形/長方形 529">
          <a:extLst>
            <a:ext uri="{FF2B5EF4-FFF2-40B4-BE49-F238E27FC236}">
              <a16:creationId xmlns:a16="http://schemas.microsoft.com/office/drawing/2014/main" id="{7A980592-B420-4909-ACE4-717051BC54D4}"/>
            </a:ext>
          </a:extLst>
        </xdr:cNvPr>
        <xdr:cNvSpPr/>
      </xdr:nvSpPr>
      <xdr:spPr>
        <a:xfrm>
          <a:off x="5051181" y="15690063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18757</xdr:colOff>
      <xdr:row>925</xdr:row>
      <xdr:rowOff>20242</xdr:rowOff>
    </xdr:from>
    <xdr:to>
      <xdr:col>22</xdr:col>
      <xdr:colOff>192112</xdr:colOff>
      <xdr:row>925</xdr:row>
      <xdr:rowOff>122139</xdr:rowOff>
    </xdr:to>
    <xdr:sp macro="" textlink="">
      <xdr:nvSpPr>
        <xdr:cNvPr id="531" name="正方形/長方形 530">
          <a:extLst>
            <a:ext uri="{FF2B5EF4-FFF2-40B4-BE49-F238E27FC236}">
              <a16:creationId xmlns:a16="http://schemas.microsoft.com/office/drawing/2014/main" id="{2E3DADE3-3D6F-4F2E-9F14-88AA0B22F7F4}"/>
            </a:ext>
          </a:extLst>
        </xdr:cNvPr>
        <xdr:cNvSpPr/>
      </xdr:nvSpPr>
      <xdr:spPr>
        <a:xfrm>
          <a:off x="5047957" y="158611492"/>
          <a:ext cx="17335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27402</xdr:colOff>
      <xdr:row>925</xdr:row>
      <xdr:rowOff>11137</xdr:rowOff>
    </xdr:from>
    <xdr:to>
      <xdr:col>29</xdr:col>
      <xdr:colOff>200757</xdr:colOff>
      <xdr:row>925</xdr:row>
      <xdr:rowOff>105414</xdr:rowOff>
    </xdr:to>
    <xdr:sp macro="" textlink="">
      <xdr:nvSpPr>
        <xdr:cNvPr id="532" name="正方形/長方形 531">
          <a:extLst>
            <a:ext uri="{FF2B5EF4-FFF2-40B4-BE49-F238E27FC236}">
              <a16:creationId xmlns:a16="http://schemas.microsoft.com/office/drawing/2014/main" id="{4A4CF7FF-7CC6-4657-974E-DC490041C69A}"/>
            </a:ext>
          </a:extLst>
        </xdr:cNvPr>
        <xdr:cNvSpPr/>
      </xdr:nvSpPr>
      <xdr:spPr>
        <a:xfrm>
          <a:off x="6656802" y="158602387"/>
          <a:ext cx="17335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927</xdr:row>
      <xdr:rowOff>14655</xdr:rowOff>
    </xdr:from>
    <xdr:to>
      <xdr:col>29</xdr:col>
      <xdr:colOff>198853</xdr:colOff>
      <xdr:row>927</xdr:row>
      <xdr:rowOff>112742</xdr:rowOff>
    </xdr:to>
    <xdr:sp macro="" textlink="">
      <xdr:nvSpPr>
        <xdr:cNvPr id="533" name="正方形/長方形 532">
          <a:extLst>
            <a:ext uri="{FF2B5EF4-FFF2-40B4-BE49-F238E27FC236}">
              <a16:creationId xmlns:a16="http://schemas.microsoft.com/office/drawing/2014/main" id="{F1E30F14-529F-44BB-A2FE-B2AF8D77AF23}"/>
            </a:ext>
          </a:extLst>
        </xdr:cNvPr>
        <xdr:cNvSpPr/>
      </xdr:nvSpPr>
      <xdr:spPr>
        <a:xfrm>
          <a:off x="6658708" y="15894880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21981</xdr:colOff>
      <xdr:row>926</xdr:row>
      <xdr:rowOff>23885</xdr:rowOff>
    </xdr:from>
    <xdr:to>
      <xdr:col>22</xdr:col>
      <xdr:colOff>191526</xdr:colOff>
      <xdr:row>926</xdr:row>
      <xdr:rowOff>127688</xdr:rowOff>
    </xdr:to>
    <xdr:sp macro="" textlink="">
      <xdr:nvSpPr>
        <xdr:cNvPr id="534" name="正方形/長方形 533">
          <a:extLst>
            <a:ext uri="{FF2B5EF4-FFF2-40B4-BE49-F238E27FC236}">
              <a16:creationId xmlns:a16="http://schemas.microsoft.com/office/drawing/2014/main" id="{AABA9800-3C7C-4329-B271-2F97BEC98D98}"/>
            </a:ext>
          </a:extLst>
        </xdr:cNvPr>
        <xdr:cNvSpPr/>
      </xdr:nvSpPr>
      <xdr:spPr>
        <a:xfrm>
          <a:off x="5051181" y="15878658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18757</xdr:colOff>
      <xdr:row>943</xdr:row>
      <xdr:rowOff>20242</xdr:rowOff>
    </xdr:from>
    <xdr:to>
      <xdr:col>22</xdr:col>
      <xdr:colOff>192112</xdr:colOff>
      <xdr:row>943</xdr:row>
      <xdr:rowOff>122139</xdr:rowOff>
    </xdr:to>
    <xdr:sp macro="" textlink="">
      <xdr:nvSpPr>
        <xdr:cNvPr id="535" name="正方形/長方形 534">
          <a:extLst>
            <a:ext uri="{FF2B5EF4-FFF2-40B4-BE49-F238E27FC236}">
              <a16:creationId xmlns:a16="http://schemas.microsoft.com/office/drawing/2014/main" id="{208621DF-EC61-4EDE-9E93-BF77E3B9F6EC}"/>
            </a:ext>
          </a:extLst>
        </xdr:cNvPr>
        <xdr:cNvSpPr/>
      </xdr:nvSpPr>
      <xdr:spPr>
        <a:xfrm>
          <a:off x="5047957" y="161697592"/>
          <a:ext cx="17335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18758</xdr:colOff>
      <xdr:row>943</xdr:row>
      <xdr:rowOff>9232</xdr:rowOff>
    </xdr:from>
    <xdr:to>
      <xdr:col>33</xdr:col>
      <xdr:colOff>182588</xdr:colOff>
      <xdr:row>943</xdr:row>
      <xdr:rowOff>103509</xdr:rowOff>
    </xdr:to>
    <xdr:sp macro="" textlink="">
      <xdr:nvSpPr>
        <xdr:cNvPr id="536" name="正方形/長方形 535">
          <a:extLst>
            <a:ext uri="{FF2B5EF4-FFF2-40B4-BE49-F238E27FC236}">
              <a16:creationId xmlns:a16="http://schemas.microsoft.com/office/drawing/2014/main" id="{5C854CA2-D8F2-4E77-9A28-E50CC7F21908}"/>
            </a:ext>
          </a:extLst>
        </xdr:cNvPr>
        <xdr:cNvSpPr/>
      </xdr:nvSpPr>
      <xdr:spPr>
        <a:xfrm>
          <a:off x="7562558" y="161686582"/>
          <a:ext cx="163830"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27402</xdr:colOff>
      <xdr:row>943</xdr:row>
      <xdr:rowOff>11137</xdr:rowOff>
    </xdr:from>
    <xdr:to>
      <xdr:col>29</xdr:col>
      <xdr:colOff>200757</xdr:colOff>
      <xdr:row>943</xdr:row>
      <xdr:rowOff>105414</xdr:rowOff>
    </xdr:to>
    <xdr:sp macro="" textlink="">
      <xdr:nvSpPr>
        <xdr:cNvPr id="537" name="正方形/長方形 536">
          <a:extLst>
            <a:ext uri="{FF2B5EF4-FFF2-40B4-BE49-F238E27FC236}">
              <a16:creationId xmlns:a16="http://schemas.microsoft.com/office/drawing/2014/main" id="{7BA5AC90-5BC7-4B35-AB85-F0EE7A9B26AD}"/>
            </a:ext>
          </a:extLst>
        </xdr:cNvPr>
        <xdr:cNvSpPr/>
      </xdr:nvSpPr>
      <xdr:spPr>
        <a:xfrm>
          <a:off x="6656802" y="161688487"/>
          <a:ext cx="17335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945</xdr:row>
      <xdr:rowOff>14655</xdr:rowOff>
    </xdr:from>
    <xdr:to>
      <xdr:col>29</xdr:col>
      <xdr:colOff>198853</xdr:colOff>
      <xdr:row>945</xdr:row>
      <xdr:rowOff>112742</xdr:rowOff>
    </xdr:to>
    <xdr:sp macro="" textlink="">
      <xdr:nvSpPr>
        <xdr:cNvPr id="538" name="正方形/長方形 537">
          <a:extLst>
            <a:ext uri="{FF2B5EF4-FFF2-40B4-BE49-F238E27FC236}">
              <a16:creationId xmlns:a16="http://schemas.microsoft.com/office/drawing/2014/main" id="{668B3FEC-1C87-462E-AE1C-8488738096D7}"/>
            </a:ext>
          </a:extLst>
        </xdr:cNvPr>
        <xdr:cNvSpPr/>
      </xdr:nvSpPr>
      <xdr:spPr>
        <a:xfrm>
          <a:off x="6658708" y="16203490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13336</xdr:colOff>
      <xdr:row>944</xdr:row>
      <xdr:rowOff>21980</xdr:rowOff>
    </xdr:from>
    <xdr:to>
      <xdr:col>33</xdr:col>
      <xdr:colOff>171451</xdr:colOff>
      <xdr:row>944</xdr:row>
      <xdr:rowOff>123877</xdr:rowOff>
    </xdr:to>
    <xdr:sp macro="" textlink="">
      <xdr:nvSpPr>
        <xdr:cNvPr id="539" name="正方形/長方形 538">
          <a:extLst>
            <a:ext uri="{FF2B5EF4-FFF2-40B4-BE49-F238E27FC236}">
              <a16:creationId xmlns:a16="http://schemas.microsoft.com/office/drawing/2014/main" id="{3A3D6DA4-6B3D-48EB-8AAF-DD3655B93185}"/>
            </a:ext>
          </a:extLst>
        </xdr:cNvPr>
        <xdr:cNvSpPr/>
      </xdr:nvSpPr>
      <xdr:spPr>
        <a:xfrm>
          <a:off x="7557136" y="161870780"/>
          <a:ext cx="158115" cy="10189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200757</xdr:colOff>
      <xdr:row>943</xdr:row>
      <xdr:rowOff>56371</xdr:rowOff>
    </xdr:from>
    <xdr:to>
      <xdr:col>33</xdr:col>
      <xdr:colOff>18758</xdr:colOff>
      <xdr:row>943</xdr:row>
      <xdr:rowOff>58276</xdr:rowOff>
    </xdr:to>
    <xdr:cxnSp macro="">
      <xdr:nvCxnSpPr>
        <xdr:cNvPr id="540" name="直線コネクタ 539">
          <a:extLst>
            <a:ext uri="{FF2B5EF4-FFF2-40B4-BE49-F238E27FC236}">
              <a16:creationId xmlns:a16="http://schemas.microsoft.com/office/drawing/2014/main" id="{A161CC5A-E62B-4868-A52A-3C2833A27297}"/>
            </a:ext>
          </a:extLst>
        </xdr:cNvPr>
        <xdr:cNvCxnSpPr>
          <a:stCxn id="536" idx="1"/>
          <a:endCxn id="537" idx="3"/>
        </xdr:cNvCxnSpPr>
      </xdr:nvCxnSpPr>
      <xdr:spPr>
        <a:xfrm flipH="1">
          <a:off x="6830157" y="161733721"/>
          <a:ext cx="732401" cy="1905"/>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21981</xdr:colOff>
      <xdr:row>944</xdr:row>
      <xdr:rowOff>23885</xdr:rowOff>
    </xdr:from>
    <xdr:to>
      <xdr:col>22</xdr:col>
      <xdr:colOff>191526</xdr:colOff>
      <xdr:row>944</xdr:row>
      <xdr:rowOff>127688</xdr:rowOff>
    </xdr:to>
    <xdr:sp macro="" textlink="">
      <xdr:nvSpPr>
        <xdr:cNvPr id="541" name="正方形/長方形 540">
          <a:extLst>
            <a:ext uri="{FF2B5EF4-FFF2-40B4-BE49-F238E27FC236}">
              <a16:creationId xmlns:a16="http://schemas.microsoft.com/office/drawing/2014/main" id="{C7FDB3AC-5D01-456C-B91B-5D2D5D82F7E3}"/>
            </a:ext>
          </a:extLst>
        </xdr:cNvPr>
        <xdr:cNvSpPr/>
      </xdr:nvSpPr>
      <xdr:spPr>
        <a:xfrm>
          <a:off x="5051181" y="16187268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198853</xdr:colOff>
      <xdr:row>944</xdr:row>
      <xdr:rowOff>72929</xdr:rowOff>
    </xdr:from>
    <xdr:to>
      <xdr:col>33</xdr:col>
      <xdr:colOff>13336</xdr:colOff>
      <xdr:row>945</xdr:row>
      <xdr:rowOff>63699</xdr:rowOff>
    </xdr:to>
    <xdr:cxnSp macro="">
      <xdr:nvCxnSpPr>
        <xdr:cNvPr id="542" name="直線コネクタ 31">
          <a:extLst>
            <a:ext uri="{FF2B5EF4-FFF2-40B4-BE49-F238E27FC236}">
              <a16:creationId xmlns:a16="http://schemas.microsoft.com/office/drawing/2014/main" id="{0FFD7C27-A554-4F81-8119-7E76EBD5B887}"/>
            </a:ext>
          </a:extLst>
        </xdr:cNvPr>
        <xdr:cNvCxnSpPr>
          <a:stCxn id="538" idx="3"/>
          <a:endCxn id="539" idx="1"/>
        </xdr:cNvCxnSpPr>
      </xdr:nvCxnSpPr>
      <xdr:spPr>
        <a:xfrm flipV="1">
          <a:off x="6828253" y="161921729"/>
          <a:ext cx="728883" cy="162220"/>
        </a:xfrm>
        <a:prstGeom prst="bentConnector3">
          <a:avLst>
            <a:gd name="adj1" fmla="val 67474"/>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21981</xdr:colOff>
      <xdr:row>914</xdr:row>
      <xdr:rowOff>14654</xdr:rowOff>
    </xdr:from>
    <xdr:to>
      <xdr:col>20</xdr:col>
      <xdr:colOff>199146</xdr:colOff>
      <xdr:row>914</xdr:row>
      <xdr:rowOff>116551</xdr:rowOff>
    </xdr:to>
    <xdr:sp macro="" textlink="">
      <xdr:nvSpPr>
        <xdr:cNvPr id="543" name="正方形/長方形 542">
          <a:extLst>
            <a:ext uri="{FF2B5EF4-FFF2-40B4-BE49-F238E27FC236}">
              <a16:creationId xmlns:a16="http://schemas.microsoft.com/office/drawing/2014/main" id="{10E0F417-57EC-42E6-AB4D-C333AE76771D}"/>
            </a:ext>
          </a:extLst>
        </xdr:cNvPr>
        <xdr:cNvSpPr/>
      </xdr:nvSpPr>
      <xdr:spPr>
        <a:xfrm>
          <a:off x="4593981" y="156719954"/>
          <a:ext cx="17716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18463</xdr:colOff>
      <xdr:row>914</xdr:row>
      <xdr:rowOff>22861</xdr:rowOff>
    </xdr:from>
    <xdr:to>
      <xdr:col>12</xdr:col>
      <xdr:colOff>191818</xdr:colOff>
      <xdr:row>914</xdr:row>
      <xdr:rowOff>111423</xdr:rowOff>
    </xdr:to>
    <xdr:sp macro="" textlink="">
      <xdr:nvSpPr>
        <xdr:cNvPr id="544" name="正方形/長方形 543">
          <a:extLst>
            <a:ext uri="{FF2B5EF4-FFF2-40B4-BE49-F238E27FC236}">
              <a16:creationId xmlns:a16="http://schemas.microsoft.com/office/drawing/2014/main" id="{2CB21A8F-4C6E-4AF5-88DD-BCEFF683F861}"/>
            </a:ext>
          </a:extLst>
        </xdr:cNvPr>
        <xdr:cNvSpPr/>
      </xdr:nvSpPr>
      <xdr:spPr>
        <a:xfrm>
          <a:off x="2761663" y="156728161"/>
          <a:ext cx="173355" cy="8856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21981</xdr:colOff>
      <xdr:row>915</xdr:row>
      <xdr:rowOff>29308</xdr:rowOff>
    </xdr:from>
    <xdr:to>
      <xdr:col>20</xdr:col>
      <xdr:colOff>210576</xdr:colOff>
      <xdr:row>915</xdr:row>
      <xdr:rowOff>121680</xdr:rowOff>
    </xdr:to>
    <xdr:sp macro="" textlink="">
      <xdr:nvSpPr>
        <xdr:cNvPr id="545" name="正方形/長方形 544">
          <a:extLst>
            <a:ext uri="{FF2B5EF4-FFF2-40B4-BE49-F238E27FC236}">
              <a16:creationId xmlns:a16="http://schemas.microsoft.com/office/drawing/2014/main" id="{9E4964A2-E2A5-474B-A1FE-21918DF90713}"/>
            </a:ext>
          </a:extLst>
        </xdr:cNvPr>
        <xdr:cNvSpPr/>
      </xdr:nvSpPr>
      <xdr:spPr>
        <a:xfrm>
          <a:off x="4593981" y="156906058"/>
          <a:ext cx="188595" cy="9237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223859</xdr:colOff>
      <xdr:row>863</xdr:row>
      <xdr:rowOff>66087</xdr:rowOff>
    </xdr:from>
    <xdr:to>
      <xdr:col>12</xdr:col>
      <xdr:colOff>18463</xdr:colOff>
      <xdr:row>914</xdr:row>
      <xdr:rowOff>67142</xdr:rowOff>
    </xdr:to>
    <xdr:cxnSp macro="">
      <xdr:nvCxnSpPr>
        <xdr:cNvPr id="546" name="直線コネクタ 31">
          <a:extLst>
            <a:ext uri="{FF2B5EF4-FFF2-40B4-BE49-F238E27FC236}">
              <a16:creationId xmlns:a16="http://schemas.microsoft.com/office/drawing/2014/main" id="{3B060FC4-1184-4EC1-AAB8-38C17CF91493}"/>
            </a:ext>
          </a:extLst>
        </xdr:cNvPr>
        <xdr:cNvCxnSpPr>
          <a:cxnSpLocks/>
          <a:stCxn id="503" idx="3"/>
          <a:endCxn id="544" idx="1"/>
        </xdr:cNvCxnSpPr>
      </xdr:nvCxnSpPr>
      <xdr:spPr>
        <a:xfrm>
          <a:off x="2509859" y="148027437"/>
          <a:ext cx="251804" cy="8745005"/>
        </a:xfrm>
        <a:prstGeom prst="bentConnector3">
          <a:avLst>
            <a:gd name="adj1" fmla="val 50000"/>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210576</xdr:colOff>
      <xdr:row>915</xdr:row>
      <xdr:rowOff>75494</xdr:rowOff>
    </xdr:from>
    <xdr:to>
      <xdr:col>22</xdr:col>
      <xdr:colOff>21981</xdr:colOff>
      <xdr:row>944</xdr:row>
      <xdr:rowOff>75787</xdr:rowOff>
    </xdr:to>
    <xdr:cxnSp macro="">
      <xdr:nvCxnSpPr>
        <xdr:cNvPr id="547" name="直線コネクタ 31">
          <a:extLst>
            <a:ext uri="{FF2B5EF4-FFF2-40B4-BE49-F238E27FC236}">
              <a16:creationId xmlns:a16="http://schemas.microsoft.com/office/drawing/2014/main" id="{497D77CF-5527-4AB7-BB1C-6E28DB459F3C}"/>
            </a:ext>
          </a:extLst>
        </xdr:cNvPr>
        <xdr:cNvCxnSpPr>
          <a:stCxn id="541" idx="1"/>
          <a:endCxn id="545" idx="3"/>
        </xdr:cNvCxnSpPr>
      </xdr:nvCxnSpPr>
      <xdr:spPr>
        <a:xfrm rot="10800000">
          <a:off x="4782576" y="156952244"/>
          <a:ext cx="268605" cy="4972343"/>
        </a:xfrm>
        <a:prstGeom prst="bentConnector3">
          <a:avLst>
            <a:gd name="adj1" fmla="val 69861"/>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210576</xdr:colOff>
      <xdr:row>915</xdr:row>
      <xdr:rowOff>75494</xdr:rowOff>
    </xdr:from>
    <xdr:to>
      <xdr:col>22</xdr:col>
      <xdr:colOff>21981</xdr:colOff>
      <xdr:row>915</xdr:row>
      <xdr:rowOff>75787</xdr:rowOff>
    </xdr:to>
    <xdr:cxnSp macro="">
      <xdr:nvCxnSpPr>
        <xdr:cNvPr id="548" name="直線コネクタ 547">
          <a:extLst>
            <a:ext uri="{FF2B5EF4-FFF2-40B4-BE49-F238E27FC236}">
              <a16:creationId xmlns:a16="http://schemas.microsoft.com/office/drawing/2014/main" id="{578E960E-DCD9-4FA9-B018-4EF05E57FC1E}"/>
            </a:ext>
          </a:extLst>
        </xdr:cNvPr>
        <xdr:cNvCxnSpPr>
          <a:cxnSpLocks/>
          <a:stCxn id="545" idx="3"/>
          <a:endCxn id="530" idx="1"/>
        </xdr:cNvCxnSpPr>
      </xdr:nvCxnSpPr>
      <xdr:spPr>
        <a:xfrm>
          <a:off x="4782576" y="156952244"/>
          <a:ext cx="268605" cy="293"/>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199146</xdr:colOff>
      <xdr:row>914</xdr:row>
      <xdr:rowOff>65603</xdr:rowOff>
    </xdr:from>
    <xdr:to>
      <xdr:col>22</xdr:col>
      <xdr:colOff>18757</xdr:colOff>
      <xdr:row>914</xdr:row>
      <xdr:rowOff>71191</xdr:rowOff>
    </xdr:to>
    <xdr:cxnSp macro="">
      <xdr:nvCxnSpPr>
        <xdr:cNvPr id="549" name="直線コネクタ 548">
          <a:extLst>
            <a:ext uri="{FF2B5EF4-FFF2-40B4-BE49-F238E27FC236}">
              <a16:creationId xmlns:a16="http://schemas.microsoft.com/office/drawing/2014/main" id="{C11ABF1D-3F83-40DF-BC5C-05CC738649A0}"/>
            </a:ext>
          </a:extLst>
        </xdr:cNvPr>
        <xdr:cNvCxnSpPr>
          <a:cxnSpLocks/>
          <a:stCxn id="543" idx="3"/>
          <a:endCxn id="527" idx="1"/>
        </xdr:cNvCxnSpPr>
      </xdr:nvCxnSpPr>
      <xdr:spPr>
        <a:xfrm>
          <a:off x="4771146" y="156770903"/>
          <a:ext cx="276811" cy="5588"/>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18757</xdr:colOff>
      <xdr:row>884</xdr:row>
      <xdr:rowOff>20242</xdr:rowOff>
    </xdr:from>
    <xdr:to>
      <xdr:col>22</xdr:col>
      <xdr:colOff>192112</xdr:colOff>
      <xdr:row>884</xdr:row>
      <xdr:rowOff>122139</xdr:rowOff>
    </xdr:to>
    <xdr:sp macro="" textlink="">
      <xdr:nvSpPr>
        <xdr:cNvPr id="550" name="正方形/長方形 549">
          <a:extLst>
            <a:ext uri="{FF2B5EF4-FFF2-40B4-BE49-F238E27FC236}">
              <a16:creationId xmlns:a16="http://schemas.microsoft.com/office/drawing/2014/main" id="{CB036FCE-A3A5-40CD-9E2C-31C1EDC7FCBD}"/>
            </a:ext>
          </a:extLst>
        </xdr:cNvPr>
        <xdr:cNvSpPr/>
      </xdr:nvSpPr>
      <xdr:spPr>
        <a:xfrm>
          <a:off x="5047957" y="151582042"/>
          <a:ext cx="17335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18758</xdr:colOff>
      <xdr:row>884</xdr:row>
      <xdr:rowOff>9232</xdr:rowOff>
    </xdr:from>
    <xdr:to>
      <xdr:col>33</xdr:col>
      <xdr:colOff>182588</xdr:colOff>
      <xdr:row>884</xdr:row>
      <xdr:rowOff>103509</xdr:rowOff>
    </xdr:to>
    <xdr:sp macro="" textlink="">
      <xdr:nvSpPr>
        <xdr:cNvPr id="551" name="正方形/長方形 550">
          <a:extLst>
            <a:ext uri="{FF2B5EF4-FFF2-40B4-BE49-F238E27FC236}">
              <a16:creationId xmlns:a16="http://schemas.microsoft.com/office/drawing/2014/main" id="{5D073E00-6479-405A-8E6A-3C0E3F171670}"/>
            </a:ext>
          </a:extLst>
        </xdr:cNvPr>
        <xdr:cNvSpPr/>
      </xdr:nvSpPr>
      <xdr:spPr>
        <a:xfrm>
          <a:off x="7562558" y="151571032"/>
          <a:ext cx="163830"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27402</xdr:colOff>
      <xdr:row>884</xdr:row>
      <xdr:rowOff>11137</xdr:rowOff>
    </xdr:from>
    <xdr:to>
      <xdr:col>29</xdr:col>
      <xdr:colOff>200757</xdr:colOff>
      <xdr:row>884</xdr:row>
      <xdr:rowOff>105414</xdr:rowOff>
    </xdr:to>
    <xdr:sp macro="" textlink="">
      <xdr:nvSpPr>
        <xdr:cNvPr id="552" name="正方形/長方形 551">
          <a:extLst>
            <a:ext uri="{FF2B5EF4-FFF2-40B4-BE49-F238E27FC236}">
              <a16:creationId xmlns:a16="http://schemas.microsoft.com/office/drawing/2014/main" id="{D76CD767-A1F6-4873-8E2D-B589A14CC858}"/>
            </a:ext>
          </a:extLst>
        </xdr:cNvPr>
        <xdr:cNvSpPr/>
      </xdr:nvSpPr>
      <xdr:spPr>
        <a:xfrm>
          <a:off x="6656802" y="151572937"/>
          <a:ext cx="17335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886</xdr:row>
      <xdr:rowOff>14655</xdr:rowOff>
    </xdr:from>
    <xdr:to>
      <xdr:col>29</xdr:col>
      <xdr:colOff>198853</xdr:colOff>
      <xdr:row>886</xdr:row>
      <xdr:rowOff>112742</xdr:rowOff>
    </xdr:to>
    <xdr:sp macro="" textlink="">
      <xdr:nvSpPr>
        <xdr:cNvPr id="553" name="正方形/長方形 552">
          <a:extLst>
            <a:ext uri="{FF2B5EF4-FFF2-40B4-BE49-F238E27FC236}">
              <a16:creationId xmlns:a16="http://schemas.microsoft.com/office/drawing/2014/main" id="{711D8DC1-563B-48E4-9D31-B17B95BDA5C8}"/>
            </a:ext>
          </a:extLst>
        </xdr:cNvPr>
        <xdr:cNvSpPr/>
      </xdr:nvSpPr>
      <xdr:spPr>
        <a:xfrm>
          <a:off x="6658708" y="15191935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13336</xdr:colOff>
      <xdr:row>885</xdr:row>
      <xdr:rowOff>21980</xdr:rowOff>
    </xdr:from>
    <xdr:to>
      <xdr:col>33</xdr:col>
      <xdr:colOff>171451</xdr:colOff>
      <xdr:row>885</xdr:row>
      <xdr:rowOff>123877</xdr:rowOff>
    </xdr:to>
    <xdr:sp macro="" textlink="">
      <xdr:nvSpPr>
        <xdr:cNvPr id="554" name="正方形/長方形 553">
          <a:extLst>
            <a:ext uri="{FF2B5EF4-FFF2-40B4-BE49-F238E27FC236}">
              <a16:creationId xmlns:a16="http://schemas.microsoft.com/office/drawing/2014/main" id="{56D772EF-935A-463C-B830-26D512432D52}"/>
            </a:ext>
          </a:extLst>
        </xdr:cNvPr>
        <xdr:cNvSpPr/>
      </xdr:nvSpPr>
      <xdr:spPr>
        <a:xfrm>
          <a:off x="7557136" y="151755230"/>
          <a:ext cx="158115" cy="10189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200757</xdr:colOff>
      <xdr:row>884</xdr:row>
      <xdr:rowOff>56371</xdr:rowOff>
    </xdr:from>
    <xdr:to>
      <xdr:col>33</xdr:col>
      <xdr:colOff>18758</xdr:colOff>
      <xdr:row>884</xdr:row>
      <xdr:rowOff>58276</xdr:rowOff>
    </xdr:to>
    <xdr:cxnSp macro="">
      <xdr:nvCxnSpPr>
        <xdr:cNvPr id="555" name="直線コネクタ 554">
          <a:extLst>
            <a:ext uri="{FF2B5EF4-FFF2-40B4-BE49-F238E27FC236}">
              <a16:creationId xmlns:a16="http://schemas.microsoft.com/office/drawing/2014/main" id="{1C403524-B09F-4A5F-91FD-889361217D99}"/>
            </a:ext>
          </a:extLst>
        </xdr:cNvPr>
        <xdr:cNvCxnSpPr>
          <a:stCxn id="551" idx="1"/>
          <a:endCxn id="552" idx="3"/>
        </xdr:cNvCxnSpPr>
      </xdr:nvCxnSpPr>
      <xdr:spPr>
        <a:xfrm flipH="1">
          <a:off x="6830157" y="151618171"/>
          <a:ext cx="732401" cy="1905"/>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21981</xdr:colOff>
      <xdr:row>885</xdr:row>
      <xdr:rowOff>23885</xdr:rowOff>
    </xdr:from>
    <xdr:to>
      <xdr:col>22</xdr:col>
      <xdr:colOff>191526</xdr:colOff>
      <xdr:row>885</xdr:row>
      <xdr:rowOff>127688</xdr:rowOff>
    </xdr:to>
    <xdr:sp macro="" textlink="">
      <xdr:nvSpPr>
        <xdr:cNvPr id="556" name="正方形/長方形 555">
          <a:extLst>
            <a:ext uri="{FF2B5EF4-FFF2-40B4-BE49-F238E27FC236}">
              <a16:creationId xmlns:a16="http://schemas.microsoft.com/office/drawing/2014/main" id="{0BED3F5E-16FB-474B-85CA-E74408E6C37E}"/>
            </a:ext>
          </a:extLst>
        </xdr:cNvPr>
        <xdr:cNvSpPr/>
      </xdr:nvSpPr>
      <xdr:spPr>
        <a:xfrm>
          <a:off x="5051181" y="15175713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198853</xdr:colOff>
      <xdr:row>885</xdr:row>
      <xdr:rowOff>72929</xdr:rowOff>
    </xdr:from>
    <xdr:to>
      <xdr:col>33</xdr:col>
      <xdr:colOff>13336</xdr:colOff>
      <xdr:row>1032</xdr:row>
      <xdr:rowOff>63699</xdr:rowOff>
    </xdr:to>
    <xdr:cxnSp macro="">
      <xdr:nvCxnSpPr>
        <xdr:cNvPr id="557" name="直線コネクタ 31">
          <a:extLst>
            <a:ext uri="{FF2B5EF4-FFF2-40B4-BE49-F238E27FC236}">
              <a16:creationId xmlns:a16="http://schemas.microsoft.com/office/drawing/2014/main" id="{1003EE3D-4BFB-4B3A-8274-A58B39D4F1DE}"/>
            </a:ext>
          </a:extLst>
        </xdr:cNvPr>
        <xdr:cNvCxnSpPr>
          <a:stCxn id="612" idx="3"/>
          <a:endCxn id="554" idx="1"/>
        </xdr:cNvCxnSpPr>
      </xdr:nvCxnSpPr>
      <xdr:spPr>
        <a:xfrm flipV="1">
          <a:off x="6828253" y="151806179"/>
          <a:ext cx="728883" cy="25193920"/>
        </a:xfrm>
        <a:prstGeom prst="bentConnector3">
          <a:avLst>
            <a:gd name="adj1" fmla="val 53679"/>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18757</xdr:colOff>
      <xdr:row>894</xdr:row>
      <xdr:rowOff>20242</xdr:rowOff>
    </xdr:from>
    <xdr:to>
      <xdr:col>22</xdr:col>
      <xdr:colOff>192112</xdr:colOff>
      <xdr:row>894</xdr:row>
      <xdr:rowOff>122139</xdr:rowOff>
    </xdr:to>
    <xdr:sp macro="" textlink="">
      <xdr:nvSpPr>
        <xdr:cNvPr id="558" name="正方形/長方形 557">
          <a:extLst>
            <a:ext uri="{FF2B5EF4-FFF2-40B4-BE49-F238E27FC236}">
              <a16:creationId xmlns:a16="http://schemas.microsoft.com/office/drawing/2014/main" id="{E58CCA70-0C2C-48E8-9243-AB6F756744B1}"/>
            </a:ext>
          </a:extLst>
        </xdr:cNvPr>
        <xdr:cNvSpPr/>
      </xdr:nvSpPr>
      <xdr:spPr>
        <a:xfrm>
          <a:off x="5047957" y="153296542"/>
          <a:ext cx="17335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18758</xdr:colOff>
      <xdr:row>894</xdr:row>
      <xdr:rowOff>9232</xdr:rowOff>
    </xdr:from>
    <xdr:to>
      <xdr:col>33</xdr:col>
      <xdr:colOff>182588</xdr:colOff>
      <xdr:row>894</xdr:row>
      <xdr:rowOff>103509</xdr:rowOff>
    </xdr:to>
    <xdr:sp macro="" textlink="">
      <xdr:nvSpPr>
        <xdr:cNvPr id="559" name="正方形/長方形 558">
          <a:extLst>
            <a:ext uri="{FF2B5EF4-FFF2-40B4-BE49-F238E27FC236}">
              <a16:creationId xmlns:a16="http://schemas.microsoft.com/office/drawing/2014/main" id="{3A469608-F1C4-4F9A-BA4A-1103C528A807}"/>
            </a:ext>
          </a:extLst>
        </xdr:cNvPr>
        <xdr:cNvSpPr/>
      </xdr:nvSpPr>
      <xdr:spPr>
        <a:xfrm>
          <a:off x="7562558" y="153285532"/>
          <a:ext cx="163830"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27402</xdr:colOff>
      <xdr:row>894</xdr:row>
      <xdr:rowOff>11137</xdr:rowOff>
    </xdr:from>
    <xdr:to>
      <xdr:col>29</xdr:col>
      <xdr:colOff>200757</xdr:colOff>
      <xdr:row>894</xdr:row>
      <xdr:rowOff>105414</xdr:rowOff>
    </xdr:to>
    <xdr:sp macro="" textlink="">
      <xdr:nvSpPr>
        <xdr:cNvPr id="560" name="正方形/長方形 559">
          <a:extLst>
            <a:ext uri="{FF2B5EF4-FFF2-40B4-BE49-F238E27FC236}">
              <a16:creationId xmlns:a16="http://schemas.microsoft.com/office/drawing/2014/main" id="{B59A9C38-9A37-46D2-BCDF-90D6A914CFFB}"/>
            </a:ext>
          </a:extLst>
        </xdr:cNvPr>
        <xdr:cNvSpPr/>
      </xdr:nvSpPr>
      <xdr:spPr>
        <a:xfrm>
          <a:off x="6656802" y="153287437"/>
          <a:ext cx="17335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896</xdr:row>
      <xdr:rowOff>14655</xdr:rowOff>
    </xdr:from>
    <xdr:to>
      <xdr:col>29</xdr:col>
      <xdr:colOff>198853</xdr:colOff>
      <xdr:row>896</xdr:row>
      <xdr:rowOff>112742</xdr:rowOff>
    </xdr:to>
    <xdr:sp macro="" textlink="">
      <xdr:nvSpPr>
        <xdr:cNvPr id="561" name="正方形/長方形 560">
          <a:extLst>
            <a:ext uri="{FF2B5EF4-FFF2-40B4-BE49-F238E27FC236}">
              <a16:creationId xmlns:a16="http://schemas.microsoft.com/office/drawing/2014/main" id="{2E296772-1D95-4E87-ACBA-66737137A2E5}"/>
            </a:ext>
          </a:extLst>
        </xdr:cNvPr>
        <xdr:cNvSpPr/>
      </xdr:nvSpPr>
      <xdr:spPr>
        <a:xfrm>
          <a:off x="6658708" y="15363385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13336</xdr:colOff>
      <xdr:row>895</xdr:row>
      <xdr:rowOff>21980</xdr:rowOff>
    </xdr:from>
    <xdr:to>
      <xdr:col>33</xdr:col>
      <xdr:colOff>171451</xdr:colOff>
      <xdr:row>895</xdr:row>
      <xdr:rowOff>123877</xdr:rowOff>
    </xdr:to>
    <xdr:sp macro="" textlink="">
      <xdr:nvSpPr>
        <xdr:cNvPr id="562" name="正方形/長方形 561">
          <a:extLst>
            <a:ext uri="{FF2B5EF4-FFF2-40B4-BE49-F238E27FC236}">
              <a16:creationId xmlns:a16="http://schemas.microsoft.com/office/drawing/2014/main" id="{4C31AC6A-09FF-482C-979F-ED0C8FE2E316}"/>
            </a:ext>
          </a:extLst>
        </xdr:cNvPr>
        <xdr:cNvSpPr/>
      </xdr:nvSpPr>
      <xdr:spPr>
        <a:xfrm>
          <a:off x="7557136" y="153469730"/>
          <a:ext cx="158115" cy="10189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200757</xdr:colOff>
      <xdr:row>894</xdr:row>
      <xdr:rowOff>56371</xdr:rowOff>
    </xdr:from>
    <xdr:to>
      <xdr:col>33</xdr:col>
      <xdr:colOff>18758</xdr:colOff>
      <xdr:row>894</xdr:row>
      <xdr:rowOff>58276</xdr:rowOff>
    </xdr:to>
    <xdr:cxnSp macro="">
      <xdr:nvCxnSpPr>
        <xdr:cNvPr id="563" name="直線コネクタ 562">
          <a:extLst>
            <a:ext uri="{FF2B5EF4-FFF2-40B4-BE49-F238E27FC236}">
              <a16:creationId xmlns:a16="http://schemas.microsoft.com/office/drawing/2014/main" id="{DCD15ED3-A9BA-4F4A-8011-7057F49E0D66}"/>
            </a:ext>
          </a:extLst>
        </xdr:cNvPr>
        <xdr:cNvCxnSpPr>
          <a:stCxn id="559" idx="1"/>
          <a:endCxn id="560" idx="3"/>
        </xdr:cNvCxnSpPr>
      </xdr:nvCxnSpPr>
      <xdr:spPr>
        <a:xfrm flipH="1">
          <a:off x="6830157" y="153332671"/>
          <a:ext cx="732401" cy="1905"/>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21981</xdr:colOff>
      <xdr:row>895</xdr:row>
      <xdr:rowOff>23885</xdr:rowOff>
    </xdr:from>
    <xdr:to>
      <xdr:col>22</xdr:col>
      <xdr:colOff>191526</xdr:colOff>
      <xdr:row>895</xdr:row>
      <xdr:rowOff>127688</xdr:rowOff>
    </xdr:to>
    <xdr:sp macro="" textlink="">
      <xdr:nvSpPr>
        <xdr:cNvPr id="564" name="正方形/長方形 563">
          <a:extLst>
            <a:ext uri="{FF2B5EF4-FFF2-40B4-BE49-F238E27FC236}">
              <a16:creationId xmlns:a16="http://schemas.microsoft.com/office/drawing/2014/main" id="{1A4189B9-BE82-4911-B2C4-3239DD7D4BD0}"/>
            </a:ext>
          </a:extLst>
        </xdr:cNvPr>
        <xdr:cNvSpPr/>
      </xdr:nvSpPr>
      <xdr:spPr>
        <a:xfrm>
          <a:off x="5051181" y="15347163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198853</xdr:colOff>
      <xdr:row>895</xdr:row>
      <xdr:rowOff>72929</xdr:rowOff>
    </xdr:from>
    <xdr:to>
      <xdr:col>33</xdr:col>
      <xdr:colOff>13336</xdr:colOff>
      <xdr:row>896</xdr:row>
      <xdr:rowOff>63699</xdr:rowOff>
    </xdr:to>
    <xdr:cxnSp macro="">
      <xdr:nvCxnSpPr>
        <xdr:cNvPr id="565" name="直線コネクタ 31">
          <a:extLst>
            <a:ext uri="{FF2B5EF4-FFF2-40B4-BE49-F238E27FC236}">
              <a16:creationId xmlns:a16="http://schemas.microsoft.com/office/drawing/2014/main" id="{10342D88-C707-4357-A4F9-514CA28EB33D}"/>
            </a:ext>
          </a:extLst>
        </xdr:cNvPr>
        <xdr:cNvCxnSpPr>
          <a:stCxn id="561" idx="3"/>
          <a:endCxn id="562" idx="1"/>
        </xdr:cNvCxnSpPr>
      </xdr:nvCxnSpPr>
      <xdr:spPr>
        <a:xfrm flipV="1">
          <a:off x="6828253" y="153520679"/>
          <a:ext cx="728883" cy="162220"/>
        </a:xfrm>
        <a:prstGeom prst="bentConnector3">
          <a:avLst>
            <a:gd name="adj1" fmla="val 70233"/>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18757</xdr:colOff>
      <xdr:row>934</xdr:row>
      <xdr:rowOff>20242</xdr:rowOff>
    </xdr:from>
    <xdr:to>
      <xdr:col>22</xdr:col>
      <xdr:colOff>192112</xdr:colOff>
      <xdr:row>934</xdr:row>
      <xdr:rowOff>122139</xdr:rowOff>
    </xdr:to>
    <xdr:sp macro="" textlink="">
      <xdr:nvSpPr>
        <xdr:cNvPr id="566" name="正方形/長方形 565">
          <a:extLst>
            <a:ext uri="{FF2B5EF4-FFF2-40B4-BE49-F238E27FC236}">
              <a16:creationId xmlns:a16="http://schemas.microsoft.com/office/drawing/2014/main" id="{6DC0222F-4403-4FB5-AE32-18129F2C923A}"/>
            </a:ext>
          </a:extLst>
        </xdr:cNvPr>
        <xdr:cNvSpPr/>
      </xdr:nvSpPr>
      <xdr:spPr>
        <a:xfrm>
          <a:off x="5047957" y="160154542"/>
          <a:ext cx="17335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27402</xdr:colOff>
      <xdr:row>934</xdr:row>
      <xdr:rowOff>11137</xdr:rowOff>
    </xdr:from>
    <xdr:to>
      <xdr:col>29</xdr:col>
      <xdr:colOff>200757</xdr:colOff>
      <xdr:row>934</xdr:row>
      <xdr:rowOff>105414</xdr:rowOff>
    </xdr:to>
    <xdr:sp macro="" textlink="">
      <xdr:nvSpPr>
        <xdr:cNvPr id="567" name="正方形/長方形 566">
          <a:extLst>
            <a:ext uri="{FF2B5EF4-FFF2-40B4-BE49-F238E27FC236}">
              <a16:creationId xmlns:a16="http://schemas.microsoft.com/office/drawing/2014/main" id="{55249CBC-8CB3-4FAC-8099-D8D388ED9EF4}"/>
            </a:ext>
          </a:extLst>
        </xdr:cNvPr>
        <xdr:cNvSpPr/>
      </xdr:nvSpPr>
      <xdr:spPr>
        <a:xfrm>
          <a:off x="6656802" y="160145437"/>
          <a:ext cx="17335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936</xdr:row>
      <xdr:rowOff>14655</xdr:rowOff>
    </xdr:from>
    <xdr:to>
      <xdr:col>29</xdr:col>
      <xdr:colOff>198853</xdr:colOff>
      <xdr:row>936</xdr:row>
      <xdr:rowOff>112742</xdr:rowOff>
    </xdr:to>
    <xdr:sp macro="" textlink="">
      <xdr:nvSpPr>
        <xdr:cNvPr id="568" name="正方形/長方形 567">
          <a:extLst>
            <a:ext uri="{FF2B5EF4-FFF2-40B4-BE49-F238E27FC236}">
              <a16:creationId xmlns:a16="http://schemas.microsoft.com/office/drawing/2014/main" id="{4919D69F-6161-45EC-918E-64AE87F08BF5}"/>
            </a:ext>
          </a:extLst>
        </xdr:cNvPr>
        <xdr:cNvSpPr/>
      </xdr:nvSpPr>
      <xdr:spPr>
        <a:xfrm>
          <a:off x="6658708" y="16049185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21981</xdr:colOff>
      <xdr:row>935</xdr:row>
      <xdr:rowOff>23885</xdr:rowOff>
    </xdr:from>
    <xdr:to>
      <xdr:col>22</xdr:col>
      <xdr:colOff>191526</xdr:colOff>
      <xdr:row>935</xdr:row>
      <xdr:rowOff>127688</xdr:rowOff>
    </xdr:to>
    <xdr:sp macro="" textlink="">
      <xdr:nvSpPr>
        <xdr:cNvPr id="569" name="正方形/長方形 568">
          <a:extLst>
            <a:ext uri="{FF2B5EF4-FFF2-40B4-BE49-F238E27FC236}">
              <a16:creationId xmlns:a16="http://schemas.microsoft.com/office/drawing/2014/main" id="{BEE59D47-15D5-43AD-9A96-214580E2B203}"/>
            </a:ext>
          </a:extLst>
        </xdr:cNvPr>
        <xdr:cNvSpPr/>
      </xdr:nvSpPr>
      <xdr:spPr>
        <a:xfrm>
          <a:off x="5051181" y="16032963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18757</xdr:colOff>
      <xdr:row>962</xdr:row>
      <xdr:rowOff>20242</xdr:rowOff>
    </xdr:from>
    <xdr:to>
      <xdr:col>22</xdr:col>
      <xdr:colOff>192112</xdr:colOff>
      <xdr:row>962</xdr:row>
      <xdr:rowOff>122139</xdr:rowOff>
    </xdr:to>
    <xdr:sp macro="" textlink="">
      <xdr:nvSpPr>
        <xdr:cNvPr id="570" name="正方形/長方形 569">
          <a:extLst>
            <a:ext uri="{FF2B5EF4-FFF2-40B4-BE49-F238E27FC236}">
              <a16:creationId xmlns:a16="http://schemas.microsoft.com/office/drawing/2014/main" id="{E9EDD717-1F59-4873-AC6C-E21480B11E73}"/>
            </a:ext>
          </a:extLst>
        </xdr:cNvPr>
        <xdr:cNvSpPr/>
      </xdr:nvSpPr>
      <xdr:spPr>
        <a:xfrm>
          <a:off x="5047957" y="164955142"/>
          <a:ext cx="17335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27402</xdr:colOff>
      <xdr:row>962</xdr:row>
      <xdr:rowOff>11137</xdr:rowOff>
    </xdr:from>
    <xdr:to>
      <xdr:col>29</xdr:col>
      <xdr:colOff>200757</xdr:colOff>
      <xdr:row>962</xdr:row>
      <xdr:rowOff>105414</xdr:rowOff>
    </xdr:to>
    <xdr:sp macro="" textlink="">
      <xdr:nvSpPr>
        <xdr:cNvPr id="571" name="正方形/長方形 570">
          <a:extLst>
            <a:ext uri="{FF2B5EF4-FFF2-40B4-BE49-F238E27FC236}">
              <a16:creationId xmlns:a16="http://schemas.microsoft.com/office/drawing/2014/main" id="{6BFD5D14-F988-4D8B-AF08-0AFD5805F51B}"/>
            </a:ext>
          </a:extLst>
        </xdr:cNvPr>
        <xdr:cNvSpPr/>
      </xdr:nvSpPr>
      <xdr:spPr>
        <a:xfrm>
          <a:off x="6656802" y="164946037"/>
          <a:ext cx="17335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964</xdr:row>
      <xdr:rowOff>14655</xdr:rowOff>
    </xdr:from>
    <xdr:to>
      <xdr:col>29</xdr:col>
      <xdr:colOff>198853</xdr:colOff>
      <xdr:row>964</xdr:row>
      <xdr:rowOff>112742</xdr:rowOff>
    </xdr:to>
    <xdr:sp macro="" textlink="">
      <xdr:nvSpPr>
        <xdr:cNvPr id="572" name="正方形/長方形 571">
          <a:extLst>
            <a:ext uri="{FF2B5EF4-FFF2-40B4-BE49-F238E27FC236}">
              <a16:creationId xmlns:a16="http://schemas.microsoft.com/office/drawing/2014/main" id="{93F8A918-AA01-4967-90CE-9B6E97C24818}"/>
            </a:ext>
          </a:extLst>
        </xdr:cNvPr>
        <xdr:cNvSpPr/>
      </xdr:nvSpPr>
      <xdr:spPr>
        <a:xfrm>
          <a:off x="6658708" y="16529245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21981</xdr:colOff>
      <xdr:row>963</xdr:row>
      <xdr:rowOff>23885</xdr:rowOff>
    </xdr:from>
    <xdr:to>
      <xdr:col>22</xdr:col>
      <xdr:colOff>191526</xdr:colOff>
      <xdr:row>963</xdr:row>
      <xdr:rowOff>127688</xdr:rowOff>
    </xdr:to>
    <xdr:sp macro="" textlink="">
      <xdr:nvSpPr>
        <xdr:cNvPr id="573" name="正方形/長方形 572">
          <a:extLst>
            <a:ext uri="{FF2B5EF4-FFF2-40B4-BE49-F238E27FC236}">
              <a16:creationId xmlns:a16="http://schemas.microsoft.com/office/drawing/2014/main" id="{CA758003-1B39-4055-988B-1BE519F1939B}"/>
            </a:ext>
          </a:extLst>
        </xdr:cNvPr>
        <xdr:cNvSpPr/>
      </xdr:nvSpPr>
      <xdr:spPr>
        <a:xfrm>
          <a:off x="5051181" y="16513023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18757</xdr:colOff>
      <xdr:row>973</xdr:row>
      <xdr:rowOff>20242</xdr:rowOff>
    </xdr:from>
    <xdr:to>
      <xdr:col>22</xdr:col>
      <xdr:colOff>192112</xdr:colOff>
      <xdr:row>973</xdr:row>
      <xdr:rowOff>122139</xdr:rowOff>
    </xdr:to>
    <xdr:sp macro="" textlink="">
      <xdr:nvSpPr>
        <xdr:cNvPr id="574" name="正方形/長方形 573">
          <a:extLst>
            <a:ext uri="{FF2B5EF4-FFF2-40B4-BE49-F238E27FC236}">
              <a16:creationId xmlns:a16="http://schemas.microsoft.com/office/drawing/2014/main" id="{704D334E-25B7-4FD3-9FFE-5EFD22B7E222}"/>
            </a:ext>
          </a:extLst>
        </xdr:cNvPr>
        <xdr:cNvSpPr/>
      </xdr:nvSpPr>
      <xdr:spPr>
        <a:xfrm>
          <a:off x="5047957" y="166841092"/>
          <a:ext cx="17335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27402</xdr:colOff>
      <xdr:row>973</xdr:row>
      <xdr:rowOff>11137</xdr:rowOff>
    </xdr:from>
    <xdr:to>
      <xdr:col>29</xdr:col>
      <xdr:colOff>200757</xdr:colOff>
      <xdr:row>973</xdr:row>
      <xdr:rowOff>105414</xdr:rowOff>
    </xdr:to>
    <xdr:sp macro="" textlink="">
      <xdr:nvSpPr>
        <xdr:cNvPr id="575" name="正方形/長方形 574">
          <a:extLst>
            <a:ext uri="{FF2B5EF4-FFF2-40B4-BE49-F238E27FC236}">
              <a16:creationId xmlns:a16="http://schemas.microsoft.com/office/drawing/2014/main" id="{D494E326-4B89-45FB-8BAE-F7B6A2DEBB0B}"/>
            </a:ext>
          </a:extLst>
        </xdr:cNvPr>
        <xdr:cNvSpPr/>
      </xdr:nvSpPr>
      <xdr:spPr>
        <a:xfrm>
          <a:off x="6656802" y="166831987"/>
          <a:ext cx="17335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975</xdr:row>
      <xdr:rowOff>14655</xdr:rowOff>
    </xdr:from>
    <xdr:to>
      <xdr:col>29</xdr:col>
      <xdr:colOff>198853</xdr:colOff>
      <xdr:row>975</xdr:row>
      <xdr:rowOff>112742</xdr:rowOff>
    </xdr:to>
    <xdr:sp macro="" textlink="">
      <xdr:nvSpPr>
        <xdr:cNvPr id="576" name="正方形/長方形 575">
          <a:extLst>
            <a:ext uri="{FF2B5EF4-FFF2-40B4-BE49-F238E27FC236}">
              <a16:creationId xmlns:a16="http://schemas.microsoft.com/office/drawing/2014/main" id="{154D83D1-7B1C-44E7-8E03-285A44BAA746}"/>
            </a:ext>
          </a:extLst>
        </xdr:cNvPr>
        <xdr:cNvSpPr/>
      </xdr:nvSpPr>
      <xdr:spPr>
        <a:xfrm>
          <a:off x="6658708" y="16717840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21981</xdr:colOff>
      <xdr:row>974</xdr:row>
      <xdr:rowOff>23885</xdr:rowOff>
    </xdr:from>
    <xdr:to>
      <xdr:col>22</xdr:col>
      <xdr:colOff>191526</xdr:colOff>
      <xdr:row>974</xdr:row>
      <xdr:rowOff>127688</xdr:rowOff>
    </xdr:to>
    <xdr:sp macro="" textlink="">
      <xdr:nvSpPr>
        <xdr:cNvPr id="577" name="正方形/長方形 576">
          <a:extLst>
            <a:ext uri="{FF2B5EF4-FFF2-40B4-BE49-F238E27FC236}">
              <a16:creationId xmlns:a16="http://schemas.microsoft.com/office/drawing/2014/main" id="{5187C186-F7E2-40C4-867B-98EAD1966FB4}"/>
            </a:ext>
          </a:extLst>
        </xdr:cNvPr>
        <xdr:cNvSpPr/>
      </xdr:nvSpPr>
      <xdr:spPr>
        <a:xfrm>
          <a:off x="5051181" y="16701618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18757</xdr:colOff>
      <xdr:row>991</xdr:row>
      <xdr:rowOff>20242</xdr:rowOff>
    </xdr:from>
    <xdr:to>
      <xdr:col>22</xdr:col>
      <xdr:colOff>192112</xdr:colOff>
      <xdr:row>991</xdr:row>
      <xdr:rowOff>122139</xdr:rowOff>
    </xdr:to>
    <xdr:sp macro="" textlink="">
      <xdr:nvSpPr>
        <xdr:cNvPr id="578" name="正方形/長方形 577">
          <a:extLst>
            <a:ext uri="{FF2B5EF4-FFF2-40B4-BE49-F238E27FC236}">
              <a16:creationId xmlns:a16="http://schemas.microsoft.com/office/drawing/2014/main" id="{5163D82B-E6C6-40CD-A6AD-3FED51859AA9}"/>
            </a:ext>
          </a:extLst>
        </xdr:cNvPr>
        <xdr:cNvSpPr/>
      </xdr:nvSpPr>
      <xdr:spPr>
        <a:xfrm>
          <a:off x="5047957" y="169927192"/>
          <a:ext cx="17335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18758</xdr:colOff>
      <xdr:row>991</xdr:row>
      <xdr:rowOff>9232</xdr:rowOff>
    </xdr:from>
    <xdr:to>
      <xdr:col>33</xdr:col>
      <xdr:colOff>182588</xdr:colOff>
      <xdr:row>991</xdr:row>
      <xdr:rowOff>103509</xdr:rowOff>
    </xdr:to>
    <xdr:sp macro="" textlink="">
      <xdr:nvSpPr>
        <xdr:cNvPr id="579" name="正方形/長方形 578">
          <a:extLst>
            <a:ext uri="{FF2B5EF4-FFF2-40B4-BE49-F238E27FC236}">
              <a16:creationId xmlns:a16="http://schemas.microsoft.com/office/drawing/2014/main" id="{7FBD5E42-DF24-4BA3-B813-1CE5B709CE02}"/>
            </a:ext>
          </a:extLst>
        </xdr:cNvPr>
        <xdr:cNvSpPr/>
      </xdr:nvSpPr>
      <xdr:spPr>
        <a:xfrm>
          <a:off x="7562558" y="169916182"/>
          <a:ext cx="163830"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27402</xdr:colOff>
      <xdr:row>991</xdr:row>
      <xdr:rowOff>11137</xdr:rowOff>
    </xdr:from>
    <xdr:to>
      <xdr:col>29</xdr:col>
      <xdr:colOff>200757</xdr:colOff>
      <xdr:row>991</xdr:row>
      <xdr:rowOff>105414</xdr:rowOff>
    </xdr:to>
    <xdr:sp macro="" textlink="">
      <xdr:nvSpPr>
        <xdr:cNvPr id="580" name="正方形/長方形 579">
          <a:extLst>
            <a:ext uri="{FF2B5EF4-FFF2-40B4-BE49-F238E27FC236}">
              <a16:creationId xmlns:a16="http://schemas.microsoft.com/office/drawing/2014/main" id="{18B449FD-5319-4FC3-AE37-A8BEFE896776}"/>
            </a:ext>
          </a:extLst>
        </xdr:cNvPr>
        <xdr:cNvSpPr/>
      </xdr:nvSpPr>
      <xdr:spPr>
        <a:xfrm>
          <a:off x="6656802" y="169918087"/>
          <a:ext cx="17335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993</xdr:row>
      <xdr:rowOff>14655</xdr:rowOff>
    </xdr:from>
    <xdr:to>
      <xdr:col>29</xdr:col>
      <xdr:colOff>198853</xdr:colOff>
      <xdr:row>993</xdr:row>
      <xdr:rowOff>112742</xdr:rowOff>
    </xdr:to>
    <xdr:sp macro="" textlink="">
      <xdr:nvSpPr>
        <xdr:cNvPr id="581" name="正方形/長方形 580">
          <a:extLst>
            <a:ext uri="{FF2B5EF4-FFF2-40B4-BE49-F238E27FC236}">
              <a16:creationId xmlns:a16="http://schemas.microsoft.com/office/drawing/2014/main" id="{07CAB355-FD97-47EA-ACA5-2CED5276E264}"/>
            </a:ext>
          </a:extLst>
        </xdr:cNvPr>
        <xdr:cNvSpPr/>
      </xdr:nvSpPr>
      <xdr:spPr>
        <a:xfrm>
          <a:off x="6658708" y="17026450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13336</xdr:colOff>
      <xdr:row>992</xdr:row>
      <xdr:rowOff>21980</xdr:rowOff>
    </xdr:from>
    <xdr:to>
      <xdr:col>33</xdr:col>
      <xdr:colOff>171451</xdr:colOff>
      <xdr:row>992</xdr:row>
      <xdr:rowOff>123877</xdr:rowOff>
    </xdr:to>
    <xdr:sp macro="" textlink="">
      <xdr:nvSpPr>
        <xdr:cNvPr id="582" name="正方形/長方形 581">
          <a:extLst>
            <a:ext uri="{FF2B5EF4-FFF2-40B4-BE49-F238E27FC236}">
              <a16:creationId xmlns:a16="http://schemas.microsoft.com/office/drawing/2014/main" id="{5265B536-3BB2-4410-9F36-82D0E078B000}"/>
            </a:ext>
          </a:extLst>
        </xdr:cNvPr>
        <xdr:cNvSpPr/>
      </xdr:nvSpPr>
      <xdr:spPr>
        <a:xfrm>
          <a:off x="7557136" y="170100380"/>
          <a:ext cx="158115" cy="10189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200757</xdr:colOff>
      <xdr:row>991</xdr:row>
      <xdr:rowOff>56371</xdr:rowOff>
    </xdr:from>
    <xdr:to>
      <xdr:col>33</xdr:col>
      <xdr:colOff>18758</xdr:colOff>
      <xdr:row>991</xdr:row>
      <xdr:rowOff>58276</xdr:rowOff>
    </xdr:to>
    <xdr:cxnSp macro="">
      <xdr:nvCxnSpPr>
        <xdr:cNvPr id="583" name="直線コネクタ 582">
          <a:extLst>
            <a:ext uri="{FF2B5EF4-FFF2-40B4-BE49-F238E27FC236}">
              <a16:creationId xmlns:a16="http://schemas.microsoft.com/office/drawing/2014/main" id="{43B76A19-88EC-4933-8454-FC7FA281D847}"/>
            </a:ext>
          </a:extLst>
        </xdr:cNvPr>
        <xdr:cNvCxnSpPr>
          <a:stCxn id="579" idx="1"/>
          <a:endCxn id="580" idx="3"/>
        </xdr:cNvCxnSpPr>
      </xdr:nvCxnSpPr>
      <xdr:spPr>
        <a:xfrm flipH="1">
          <a:off x="6830157" y="169963321"/>
          <a:ext cx="732401" cy="1905"/>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21981</xdr:colOff>
      <xdr:row>992</xdr:row>
      <xdr:rowOff>23885</xdr:rowOff>
    </xdr:from>
    <xdr:to>
      <xdr:col>22</xdr:col>
      <xdr:colOff>191526</xdr:colOff>
      <xdr:row>992</xdr:row>
      <xdr:rowOff>127688</xdr:rowOff>
    </xdr:to>
    <xdr:sp macro="" textlink="">
      <xdr:nvSpPr>
        <xdr:cNvPr id="584" name="正方形/長方形 583">
          <a:extLst>
            <a:ext uri="{FF2B5EF4-FFF2-40B4-BE49-F238E27FC236}">
              <a16:creationId xmlns:a16="http://schemas.microsoft.com/office/drawing/2014/main" id="{02ACA36D-A7A2-4C40-AA17-6E83B33AB298}"/>
            </a:ext>
          </a:extLst>
        </xdr:cNvPr>
        <xdr:cNvSpPr/>
      </xdr:nvSpPr>
      <xdr:spPr>
        <a:xfrm>
          <a:off x="5051181" y="17010228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198853</xdr:colOff>
      <xdr:row>992</xdr:row>
      <xdr:rowOff>72929</xdr:rowOff>
    </xdr:from>
    <xdr:to>
      <xdr:col>33</xdr:col>
      <xdr:colOff>13336</xdr:colOff>
      <xdr:row>993</xdr:row>
      <xdr:rowOff>63699</xdr:rowOff>
    </xdr:to>
    <xdr:cxnSp macro="">
      <xdr:nvCxnSpPr>
        <xdr:cNvPr id="585" name="直線コネクタ 31">
          <a:extLst>
            <a:ext uri="{FF2B5EF4-FFF2-40B4-BE49-F238E27FC236}">
              <a16:creationId xmlns:a16="http://schemas.microsoft.com/office/drawing/2014/main" id="{AEDBE95E-CF7C-4A29-BEDF-95C5A72D906F}"/>
            </a:ext>
          </a:extLst>
        </xdr:cNvPr>
        <xdr:cNvCxnSpPr>
          <a:stCxn id="581" idx="3"/>
          <a:endCxn id="582" idx="1"/>
        </xdr:cNvCxnSpPr>
      </xdr:nvCxnSpPr>
      <xdr:spPr>
        <a:xfrm flipV="1">
          <a:off x="6828253" y="170151329"/>
          <a:ext cx="728883" cy="162220"/>
        </a:xfrm>
        <a:prstGeom prst="bentConnector3">
          <a:avLst>
            <a:gd name="adj1" fmla="val 66554"/>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21981</xdr:colOff>
      <xdr:row>962</xdr:row>
      <xdr:rowOff>14654</xdr:rowOff>
    </xdr:from>
    <xdr:to>
      <xdr:col>20</xdr:col>
      <xdr:colOff>199146</xdr:colOff>
      <xdr:row>962</xdr:row>
      <xdr:rowOff>116551</xdr:rowOff>
    </xdr:to>
    <xdr:sp macro="" textlink="">
      <xdr:nvSpPr>
        <xdr:cNvPr id="586" name="正方形/長方形 585">
          <a:extLst>
            <a:ext uri="{FF2B5EF4-FFF2-40B4-BE49-F238E27FC236}">
              <a16:creationId xmlns:a16="http://schemas.microsoft.com/office/drawing/2014/main" id="{FF571032-AC6D-40C4-A82D-2EA4947BA1A5}"/>
            </a:ext>
          </a:extLst>
        </xdr:cNvPr>
        <xdr:cNvSpPr/>
      </xdr:nvSpPr>
      <xdr:spPr>
        <a:xfrm>
          <a:off x="4593981" y="164949554"/>
          <a:ext cx="17716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18463</xdr:colOff>
      <xdr:row>962</xdr:row>
      <xdr:rowOff>22861</xdr:rowOff>
    </xdr:from>
    <xdr:to>
      <xdr:col>12</xdr:col>
      <xdr:colOff>191818</xdr:colOff>
      <xdr:row>962</xdr:row>
      <xdr:rowOff>111423</xdr:rowOff>
    </xdr:to>
    <xdr:sp macro="" textlink="">
      <xdr:nvSpPr>
        <xdr:cNvPr id="587" name="正方形/長方形 586">
          <a:extLst>
            <a:ext uri="{FF2B5EF4-FFF2-40B4-BE49-F238E27FC236}">
              <a16:creationId xmlns:a16="http://schemas.microsoft.com/office/drawing/2014/main" id="{E3EE818D-7B78-478C-9D68-8E4619F569DB}"/>
            </a:ext>
          </a:extLst>
        </xdr:cNvPr>
        <xdr:cNvSpPr/>
      </xdr:nvSpPr>
      <xdr:spPr>
        <a:xfrm>
          <a:off x="2761663" y="164957761"/>
          <a:ext cx="173355" cy="8856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21981</xdr:colOff>
      <xdr:row>963</xdr:row>
      <xdr:rowOff>29308</xdr:rowOff>
    </xdr:from>
    <xdr:to>
      <xdr:col>20</xdr:col>
      <xdr:colOff>210576</xdr:colOff>
      <xdr:row>963</xdr:row>
      <xdr:rowOff>121680</xdr:rowOff>
    </xdr:to>
    <xdr:sp macro="" textlink="">
      <xdr:nvSpPr>
        <xdr:cNvPr id="588" name="正方形/長方形 587">
          <a:extLst>
            <a:ext uri="{FF2B5EF4-FFF2-40B4-BE49-F238E27FC236}">
              <a16:creationId xmlns:a16="http://schemas.microsoft.com/office/drawing/2014/main" id="{D406B477-FDD5-44B8-9C69-73AB770B731D}"/>
            </a:ext>
          </a:extLst>
        </xdr:cNvPr>
        <xdr:cNvSpPr/>
      </xdr:nvSpPr>
      <xdr:spPr>
        <a:xfrm>
          <a:off x="4593981" y="165135658"/>
          <a:ext cx="188595" cy="9237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210576</xdr:colOff>
      <xdr:row>963</xdr:row>
      <xdr:rowOff>75494</xdr:rowOff>
    </xdr:from>
    <xdr:to>
      <xdr:col>22</xdr:col>
      <xdr:colOff>21981</xdr:colOff>
      <xdr:row>992</xdr:row>
      <xdr:rowOff>75787</xdr:rowOff>
    </xdr:to>
    <xdr:cxnSp macro="">
      <xdr:nvCxnSpPr>
        <xdr:cNvPr id="589" name="直線コネクタ 31">
          <a:extLst>
            <a:ext uri="{FF2B5EF4-FFF2-40B4-BE49-F238E27FC236}">
              <a16:creationId xmlns:a16="http://schemas.microsoft.com/office/drawing/2014/main" id="{58B249B9-1C27-40BA-A2D4-6ED6A94CA6B7}"/>
            </a:ext>
          </a:extLst>
        </xdr:cNvPr>
        <xdr:cNvCxnSpPr>
          <a:stCxn id="584" idx="1"/>
          <a:endCxn id="588" idx="3"/>
        </xdr:cNvCxnSpPr>
      </xdr:nvCxnSpPr>
      <xdr:spPr>
        <a:xfrm rot="10800000">
          <a:off x="4782576" y="165181844"/>
          <a:ext cx="268605" cy="4972343"/>
        </a:xfrm>
        <a:prstGeom prst="bentConnector3">
          <a:avLst>
            <a:gd name="adj1" fmla="val 62413"/>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199146</xdr:colOff>
      <xdr:row>962</xdr:row>
      <xdr:rowOff>65604</xdr:rowOff>
    </xdr:from>
    <xdr:to>
      <xdr:col>22</xdr:col>
      <xdr:colOff>18757</xdr:colOff>
      <xdr:row>991</xdr:row>
      <xdr:rowOff>71192</xdr:rowOff>
    </xdr:to>
    <xdr:cxnSp macro="">
      <xdr:nvCxnSpPr>
        <xdr:cNvPr id="590" name="直線コネクタ 31">
          <a:extLst>
            <a:ext uri="{FF2B5EF4-FFF2-40B4-BE49-F238E27FC236}">
              <a16:creationId xmlns:a16="http://schemas.microsoft.com/office/drawing/2014/main" id="{E7B10E46-B7AA-4E6C-93D3-F07E1D84245F}"/>
            </a:ext>
          </a:extLst>
        </xdr:cNvPr>
        <xdr:cNvCxnSpPr>
          <a:stCxn id="578" idx="1"/>
          <a:endCxn id="586" idx="3"/>
        </xdr:cNvCxnSpPr>
      </xdr:nvCxnSpPr>
      <xdr:spPr>
        <a:xfrm rot="10800000">
          <a:off x="4771146" y="165000504"/>
          <a:ext cx="276811" cy="4977638"/>
        </a:xfrm>
        <a:prstGeom prst="bentConnector3">
          <a:avLst>
            <a:gd name="adj1" fmla="val 33127"/>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210576</xdr:colOff>
      <xdr:row>963</xdr:row>
      <xdr:rowOff>75494</xdr:rowOff>
    </xdr:from>
    <xdr:to>
      <xdr:col>22</xdr:col>
      <xdr:colOff>21981</xdr:colOff>
      <xdr:row>963</xdr:row>
      <xdr:rowOff>75787</xdr:rowOff>
    </xdr:to>
    <xdr:cxnSp macro="">
      <xdr:nvCxnSpPr>
        <xdr:cNvPr id="591" name="直線コネクタ 590">
          <a:extLst>
            <a:ext uri="{FF2B5EF4-FFF2-40B4-BE49-F238E27FC236}">
              <a16:creationId xmlns:a16="http://schemas.microsoft.com/office/drawing/2014/main" id="{EFF95177-9245-4B32-91B2-9BE6123BCC3E}"/>
            </a:ext>
          </a:extLst>
        </xdr:cNvPr>
        <xdr:cNvCxnSpPr>
          <a:cxnSpLocks/>
          <a:stCxn id="588" idx="3"/>
          <a:endCxn id="573" idx="1"/>
        </xdr:cNvCxnSpPr>
      </xdr:nvCxnSpPr>
      <xdr:spPr>
        <a:xfrm>
          <a:off x="4782576" y="165181844"/>
          <a:ext cx="268605" cy="293"/>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199146</xdr:colOff>
      <xdr:row>962</xdr:row>
      <xdr:rowOff>65603</xdr:rowOff>
    </xdr:from>
    <xdr:to>
      <xdr:col>22</xdr:col>
      <xdr:colOff>18757</xdr:colOff>
      <xdr:row>962</xdr:row>
      <xdr:rowOff>71191</xdr:rowOff>
    </xdr:to>
    <xdr:cxnSp macro="">
      <xdr:nvCxnSpPr>
        <xdr:cNvPr id="592" name="直線コネクタ 591">
          <a:extLst>
            <a:ext uri="{FF2B5EF4-FFF2-40B4-BE49-F238E27FC236}">
              <a16:creationId xmlns:a16="http://schemas.microsoft.com/office/drawing/2014/main" id="{9CD9228E-A7E1-4446-A34D-E074C50B813B}"/>
            </a:ext>
          </a:extLst>
        </xdr:cNvPr>
        <xdr:cNvCxnSpPr>
          <a:cxnSpLocks/>
          <a:stCxn id="586" idx="3"/>
          <a:endCxn id="570" idx="1"/>
        </xdr:cNvCxnSpPr>
      </xdr:nvCxnSpPr>
      <xdr:spPr>
        <a:xfrm>
          <a:off x="4771146" y="165000503"/>
          <a:ext cx="276811" cy="5588"/>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18757</xdr:colOff>
      <xdr:row>982</xdr:row>
      <xdr:rowOff>20242</xdr:rowOff>
    </xdr:from>
    <xdr:to>
      <xdr:col>22</xdr:col>
      <xdr:colOff>192112</xdr:colOff>
      <xdr:row>982</xdr:row>
      <xdr:rowOff>122139</xdr:rowOff>
    </xdr:to>
    <xdr:sp macro="" textlink="">
      <xdr:nvSpPr>
        <xdr:cNvPr id="593" name="正方形/長方形 592">
          <a:extLst>
            <a:ext uri="{FF2B5EF4-FFF2-40B4-BE49-F238E27FC236}">
              <a16:creationId xmlns:a16="http://schemas.microsoft.com/office/drawing/2014/main" id="{F5B99B5F-3993-4F38-AF9A-324AB0B91D43}"/>
            </a:ext>
          </a:extLst>
        </xdr:cNvPr>
        <xdr:cNvSpPr/>
      </xdr:nvSpPr>
      <xdr:spPr>
        <a:xfrm>
          <a:off x="5047957" y="168384142"/>
          <a:ext cx="17335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27402</xdr:colOff>
      <xdr:row>982</xdr:row>
      <xdr:rowOff>11137</xdr:rowOff>
    </xdr:from>
    <xdr:to>
      <xdr:col>29</xdr:col>
      <xdr:colOff>200757</xdr:colOff>
      <xdr:row>982</xdr:row>
      <xdr:rowOff>105414</xdr:rowOff>
    </xdr:to>
    <xdr:sp macro="" textlink="">
      <xdr:nvSpPr>
        <xdr:cNvPr id="594" name="正方形/長方形 593">
          <a:extLst>
            <a:ext uri="{FF2B5EF4-FFF2-40B4-BE49-F238E27FC236}">
              <a16:creationId xmlns:a16="http://schemas.microsoft.com/office/drawing/2014/main" id="{62D9DB32-A872-45EC-8027-258451B4F877}"/>
            </a:ext>
          </a:extLst>
        </xdr:cNvPr>
        <xdr:cNvSpPr/>
      </xdr:nvSpPr>
      <xdr:spPr>
        <a:xfrm>
          <a:off x="6656802" y="168375037"/>
          <a:ext cx="17335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984</xdr:row>
      <xdr:rowOff>14655</xdr:rowOff>
    </xdr:from>
    <xdr:to>
      <xdr:col>29</xdr:col>
      <xdr:colOff>198853</xdr:colOff>
      <xdr:row>984</xdr:row>
      <xdr:rowOff>112742</xdr:rowOff>
    </xdr:to>
    <xdr:sp macro="" textlink="">
      <xdr:nvSpPr>
        <xdr:cNvPr id="595" name="正方形/長方形 594">
          <a:extLst>
            <a:ext uri="{FF2B5EF4-FFF2-40B4-BE49-F238E27FC236}">
              <a16:creationId xmlns:a16="http://schemas.microsoft.com/office/drawing/2014/main" id="{C94C8DA9-A38F-4A27-B364-BE809FE6BD7B}"/>
            </a:ext>
          </a:extLst>
        </xdr:cNvPr>
        <xdr:cNvSpPr/>
      </xdr:nvSpPr>
      <xdr:spPr>
        <a:xfrm>
          <a:off x="6658708" y="16872145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21981</xdr:colOff>
      <xdr:row>983</xdr:row>
      <xdr:rowOff>23885</xdr:rowOff>
    </xdr:from>
    <xdr:to>
      <xdr:col>22</xdr:col>
      <xdr:colOff>191526</xdr:colOff>
      <xdr:row>983</xdr:row>
      <xdr:rowOff>127688</xdr:rowOff>
    </xdr:to>
    <xdr:sp macro="" textlink="">
      <xdr:nvSpPr>
        <xdr:cNvPr id="596" name="正方形/長方形 595">
          <a:extLst>
            <a:ext uri="{FF2B5EF4-FFF2-40B4-BE49-F238E27FC236}">
              <a16:creationId xmlns:a16="http://schemas.microsoft.com/office/drawing/2014/main" id="{4A7F076E-17DD-4A92-97A1-605D6C4762AD}"/>
            </a:ext>
          </a:extLst>
        </xdr:cNvPr>
        <xdr:cNvSpPr/>
      </xdr:nvSpPr>
      <xdr:spPr>
        <a:xfrm>
          <a:off x="5051181" y="16855923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18757</xdr:colOff>
      <xdr:row>1010</xdr:row>
      <xdr:rowOff>20242</xdr:rowOff>
    </xdr:from>
    <xdr:to>
      <xdr:col>22</xdr:col>
      <xdr:colOff>192112</xdr:colOff>
      <xdr:row>1010</xdr:row>
      <xdr:rowOff>122139</xdr:rowOff>
    </xdr:to>
    <xdr:sp macro="" textlink="">
      <xdr:nvSpPr>
        <xdr:cNvPr id="597" name="正方形/長方形 596">
          <a:extLst>
            <a:ext uri="{FF2B5EF4-FFF2-40B4-BE49-F238E27FC236}">
              <a16:creationId xmlns:a16="http://schemas.microsoft.com/office/drawing/2014/main" id="{7B2E851D-8542-4B2C-A5D5-878F369ADB6E}"/>
            </a:ext>
          </a:extLst>
        </xdr:cNvPr>
        <xdr:cNvSpPr/>
      </xdr:nvSpPr>
      <xdr:spPr>
        <a:xfrm>
          <a:off x="5047957" y="173184742"/>
          <a:ext cx="17335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27402</xdr:colOff>
      <xdr:row>1010</xdr:row>
      <xdr:rowOff>11137</xdr:rowOff>
    </xdr:from>
    <xdr:to>
      <xdr:col>29</xdr:col>
      <xdr:colOff>200757</xdr:colOff>
      <xdr:row>1010</xdr:row>
      <xdr:rowOff>105414</xdr:rowOff>
    </xdr:to>
    <xdr:sp macro="" textlink="">
      <xdr:nvSpPr>
        <xdr:cNvPr id="598" name="正方形/長方形 597">
          <a:extLst>
            <a:ext uri="{FF2B5EF4-FFF2-40B4-BE49-F238E27FC236}">
              <a16:creationId xmlns:a16="http://schemas.microsoft.com/office/drawing/2014/main" id="{D3006F50-8411-4AB9-B696-D8F331DFE12E}"/>
            </a:ext>
          </a:extLst>
        </xdr:cNvPr>
        <xdr:cNvSpPr/>
      </xdr:nvSpPr>
      <xdr:spPr>
        <a:xfrm>
          <a:off x="6656802" y="173175637"/>
          <a:ext cx="17335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1012</xdr:row>
      <xdr:rowOff>14655</xdr:rowOff>
    </xdr:from>
    <xdr:to>
      <xdr:col>29</xdr:col>
      <xdr:colOff>198853</xdr:colOff>
      <xdr:row>1012</xdr:row>
      <xdr:rowOff>112742</xdr:rowOff>
    </xdr:to>
    <xdr:sp macro="" textlink="">
      <xdr:nvSpPr>
        <xdr:cNvPr id="599" name="正方形/長方形 598">
          <a:extLst>
            <a:ext uri="{FF2B5EF4-FFF2-40B4-BE49-F238E27FC236}">
              <a16:creationId xmlns:a16="http://schemas.microsoft.com/office/drawing/2014/main" id="{AA6DAFD0-B70E-489F-9E37-59D7B39B4322}"/>
            </a:ext>
          </a:extLst>
        </xdr:cNvPr>
        <xdr:cNvSpPr/>
      </xdr:nvSpPr>
      <xdr:spPr>
        <a:xfrm>
          <a:off x="6658708" y="17352205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21981</xdr:colOff>
      <xdr:row>1011</xdr:row>
      <xdr:rowOff>23885</xdr:rowOff>
    </xdr:from>
    <xdr:to>
      <xdr:col>22</xdr:col>
      <xdr:colOff>191526</xdr:colOff>
      <xdr:row>1011</xdr:row>
      <xdr:rowOff>127688</xdr:rowOff>
    </xdr:to>
    <xdr:sp macro="" textlink="">
      <xdr:nvSpPr>
        <xdr:cNvPr id="600" name="正方形/長方形 599">
          <a:extLst>
            <a:ext uri="{FF2B5EF4-FFF2-40B4-BE49-F238E27FC236}">
              <a16:creationId xmlns:a16="http://schemas.microsoft.com/office/drawing/2014/main" id="{CEFBC852-B59B-4F59-8C3F-02C53009D483}"/>
            </a:ext>
          </a:extLst>
        </xdr:cNvPr>
        <xdr:cNvSpPr/>
      </xdr:nvSpPr>
      <xdr:spPr>
        <a:xfrm>
          <a:off x="5051181" y="17335983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18757</xdr:colOff>
      <xdr:row>1021</xdr:row>
      <xdr:rowOff>20242</xdr:rowOff>
    </xdr:from>
    <xdr:to>
      <xdr:col>22</xdr:col>
      <xdr:colOff>192112</xdr:colOff>
      <xdr:row>1021</xdr:row>
      <xdr:rowOff>122139</xdr:rowOff>
    </xdr:to>
    <xdr:sp macro="" textlink="">
      <xdr:nvSpPr>
        <xdr:cNvPr id="601" name="正方形/長方形 600">
          <a:extLst>
            <a:ext uri="{FF2B5EF4-FFF2-40B4-BE49-F238E27FC236}">
              <a16:creationId xmlns:a16="http://schemas.microsoft.com/office/drawing/2014/main" id="{7EA2ADDE-37A0-4C4C-B046-8E87D145BD4B}"/>
            </a:ext>
          </a:extLst>
        </xdr:cNvPr>
        <xdr:cNvSpPr/>
      </xdr:nvSpPr>
      <xdr:spPr>
        <a:xfrm>
          <a:off x="5047957" y="175070692"/>
          <a:ext cx="17335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27402</xdr:colOff>
      <xdr:row>1021</xdr:row>
      <xdr:rowOff>11137</xdr:rowOff>
    </xdr:from>
    <xdr:to>
      <xdr:col>29</xdr:col>
      <xdr:colOff>200757</xdr:colOff>
      <xdr:row>1021</xdr:row>
      <xdr:rowOff>105414</xdr:rowOff>
    </xdr:to>
    <xdr:sp macro="" textlink="">
      <xdr:nvSpPr>
        <xdr:cNvPr id="602" name="正方形/長方形 601">
          <a:extLst>
            <a:ext uri="{FF2B5EF4-FFF2-40B4-BE49-F238E27FC236}">
              <a16:creationId xmlns:a16="http://schemas.microsoft.com/office/drawing/2014/main" id="{DE65BDCB-F6E1-485E-B74A-5C355E2F231B}"/>
            </a:ext>
          </a:extLst>
        </xdr:cNvPr>
        <xdr:cNvSpPr/>
      </xdr:nvSpPr>
      <xdr:spPr>
        <a:xfrm>
          <a:off x="6656802" y="175061587"/>
          <a:ext cx="17335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1023</xdr:row>
      <xdr:rowOff>14655</xdr:rowOff>
    </xdr:from>
    <xdr:to>
      <xdr:col>29</xdr:col>
      <xdr:colOff>198853</xdr:colOff>
      <xdr:row>1023</xdr:row>
      <xdr:rowOff>112742</xdr:rowOff>
    </xdr:to>
    <xdr:sp macro="" textlink="">
      <xdr:nvSpPr>
        <xdr:cNvPr id="603" name="正方形/長方形 602">
          <a:extLst>
            <a:ext uri="{FF2B5EF4-FFF2-40B4-BE49-F238E27FC236}">
              <a16:creationId xmlns:a16="http://schemas.microsoft.com/office/drawing/2014/main" id="{D5DAD056-579A-4140-8EEA-60049967EF2E}"/>
            </a:ext>
          </a:extLst>
        </xdr:cNvPr>
        <xdr:cNvSpPr/>
      </xdr:nvSpPr>
      <xdr:spPr>
        <a:xfrm>
          <a:off x="6658708" y="17540800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21981</xdr:colOff>
      <xdr:row>1022</xdr:row>
      <xdr:rowOff>23885</xdr:rowOff>
    </xdr:from>
    <xdr:to>
      <xdr:col>22</xdr:col>
      <xdr:colOff>191526</xdr:colOff>
      <xdr:row>1022</xdr:row>
      <xdr:rowOff>127688</xdr:rowOff>
    </xdr:to>
    <xdr:sp macro="" textlink="">
      <xdr:nvSpPr>
        <xdr:cNvPr id="604" name="正方形/長方形 603">
          <a:extLst>
            <a:ext uri="{FF2B5EF4-FFF2-40B4-BE49-F238E27FC236}">
              <a16:creationId xmlns:a16="http://schemas.microsoft.com/office/drawing/2014/main" id="{BB7A8954-9391-457C-8B4E-4685BEB45F5F}"/>
            </a:ext>
          </a:extLst>
        </xdr:cNvPr>
        <xdr:cNvSpPr/>
      </xdr:nvSpPr>
      <xdr:spPr>
        <a:xfrm>
          <a:off x="5051181" y="17524578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21981</xdr:colOff>
      <xdr:row>1010</xdr:row>
      <xdr:rowOff>14654</xdr:rowOff>
    </xdr:from>
    <xdr:to>
      <xdr:col>20</xdr:col>
      <xdr:colOff>199146</xdr:colOff>
      <xdr:row>1010</xdr:row>
      <xdr:rowOff>116551</xdr:rowOff>
    </xdr:to>
    <xdr:sp macro="" textlink="">
      <xdr:nvSpPr>
        <xdr:cNvPr id="605" name="正方形/長方形 604">
          <a:extLst>
            <a:ext uri="{FF2B5EF4-FFF2-40B4-BE49-F238E27FC236}">
              <a16:creationId xmlns:a16="http://schemas.microsoft.com/office/drawing/2014/main" id="{775D37A8-80C4-4CDA-9940-1C4F4268DDA8}"/>
            </a:ext>
          </a:extLst>
        </xdr:cNvPr>
        <xdr:cNvSpPr/>
      </xdr:nvSpPr>
      <xdr:spPr>
        <a:xfrm>
          <a:off x="4593981" y="173179154"/>
          <a:ext cx="17716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18463</xdr:colOff>
      <xdr:row>1010</xdr:row>
      <xdr:rowOff>22861</xdr:rowOff>
    </xdr:from>
    <xdr:to>
      <xdr:col>12</xdr:col>
      <xdr:colOff>191818</xdr:colOff>
      <xdr:row>1010</xdr:row>
      <xdr:rowOff>111423</xdr:rowOff>
    </xdr:to>
    <xdr:sp macro="" textlink="">
      <xdr:nvSpPr>
        <xdr:cNvPr id="606" name="正方形/長方形 605">
          <a:extLst>
            <a:ext uri="{FF2B5EF4-FFF2-40B4-BE49-F238E27FC236}">
              <a16:creationId xmlns:a16="http://schemas.microsoft.com/office/drawing/2014/main" id="{8A123F46-A597-4844-9CBE-C4EDF36F2AF2}"/>
            </a:ext>
          </a:extLst>
        </xdr:cNvPr>
        <xdr:cNvSpPr/>
      </xdr:nvSpPr>
      <xdr:spPr>
        <a:xfrm>
          <a:off x="2761663" y="173187361"/>
          <a:ext cx="173355" cy="8856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21981</xdr:colOff>
      <xdr:row>1011</xdr:row>
      <xdr:rowOff>29308</xdr:rowOff>
    </xdr:from>
    <xdr:to>
      <xdr:col>20</xdr:col>
      <xdr:colOff>210576</xdr:colOff>
      <xdr:row>1011</xdr:row>
      <xdr:rowOff>121680</xdr:rowOff>
    </xdr:to>
    <xdr:sp macro="" textlink="">
      <xdr:nvSpPr>
        <xdr:cNvPr id="607" name="正方形/長方形 606">
          <a:extLst>
            <a:ext uri="{FF2B5EF4-FFF2-40B4-BE49-F238E27FC236}">
              <a16:creationId xmlns:a16="http://schemas.microsoft.com/office/drawing/2014/main" id="{86A003A8-0FF2-410A-81AD-D67C2682DB75}"/>
            </a:ext>
          </a:extLst>
        </xdr:cNvPr>
        <xdr:cNvSpPr/>
      </xdr:nvSpPr>
      <xdr:spPr>
        <a:xfrm>
          <a:off x="4593981" y="173365258"/>
          <a:ext cx="188595" cy="9237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210576</xdr:colOff>
      <xdr:row>1011</xdr:row>
      <xdr:rowOff>75494</xdr:rowOff>
    </xdr:from>
    <xdr:to>
      <xdr:col>22</xdr:col>
      <xdr:colOff>21981</xdr:colOff>
      <xdr:row>1011</xdr:row>
      <xdr:rowOff>75787</xdr:rowOff>
    </xdr:to>
    <xdr:cxnSp macro="">
      <xdr:nvCxnSpPr>
        <xdr:cNvPr id="608" name="直線コネクタ 607">
          <a:extLst>
            <a:ext uri="{FF2B5EF4-FFF2-40B4-BE49-F238E27FC236}">
              <a16:creationId xmlns:a16="http://schemas.microsoft.com/office/drawing/2014/main" id="{2B3A537B-22C3-4B47-B369-FA7C49C6CF22}"/>
            </a:ext>
          </a:extLst>
        </xdr:cNvPr>
        <xdr:cNvCxnSpPr>
          <a:cxnSpLocks/>
          <a:stCxn id="607" idx="3"/>
          <a:endCxn id="600" idx="1"/>
        </xdr:cNvCxnSpPr>
      </xdr:nvCxnSpPr>
      <xdr:spPr>
        <a:xfrm>
          <a:off x="4782576" y="173411444"/>
          <a:ext cx="268605" cy="293"/>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199146</xdr:colOff>
      <xdr:row>1010</xdr:row>
      <xdr:rowOff>65603</xdr:rowOff>
    </xdr:from>
    <xdr:to>
      <xdr:col>22</xdr:col>
      <xdr:colOff>18757</xdr:colOff>
      <xdr:row>1010</xdr:row>
      <xdr:rowOff>71191</xdr:rowOff>
    </xdr:to>
    <xdr:cxnSp macro="">
      <xdr:nvCxnSpPr>
        <xdr:cNvPr id="609" name="直線コネクタ 608">
          <a:extLst>
            <a:ext uri="{FF2B5EF4-FFF2-40B4-BE49-F238E27FC236}">
              <a16:creationId xmlns:a16="http://schemas.microsoft.com/office/drawing/2014/main" id="{F87E9154-B206-4681-B208-90DF1F5C835C}"/>
            </a:ext>
          </a:extLst>
        </xdr:cNvPr>
        <xdr:cNvCxnSpPr>
          <a:cxnSpLocks/>
          <a:stCxn id="605" idx="3"/>
          <a:endCxn id="597" idx="1"/>
        </xdr:cNvCxnSpPr>
      </xdr:nvCxnSpPr>
      <xdr:spPr>
        <a:xfrm>
          <a:off x="4771146" y="173230103"/>
          <a:ext cx="276811" cy="5588"/>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18757</xdr:colOff>
      <xdr:row>1030</xdr:row>
      <xdr:rowOff>20242</xdr:rowOff>
    </xdr:from>
    <xdr:to>
      <xdr:col>22</xdr:col>
      <xdr:colOff>192112</xdr:colOff>
      <xdr:row>1030</xdr:row>
      <xdr:rowOff>122139</xdr:rowOff>
    </xdr:to>
    <xdr:sp macro="" textlink="">
      <xdr:nvSpPr>
        <xdr:cNvPr id="610" name="正方形/長方形 609">
          <a:extLst>
            <a:ext uri="{FF2B5EF4-FFF2-40B4-BE49-F238E27FC236}">
              <a16:creationId xmlns:a16="http://schemas.microsoft.com/office/drawing/2014/main" id="{1A2C7B32-0AD7-45FC-8397-4F610BF324D5}"/>
            </a:ext>
          </a:extLst>
        </xdr:cNvPr>
        <xdr:cNvSpPr/>
      </xdr:nvSpPr>
      <xdr:spPr>
        <a:xfrm>
          <a:off x="5047957" y="176613742"/>
          <a:ext cx="17335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27402</xdr:colOff>
      <xdr:row>1030</xdr:row>
      <xdr:rowOff>11137</xdr:rowOff>
    </xdr:from>
    <xdr:to>
      <xdr:col>29</xdr:col>
      <xdr:colOff>200757</xdr:colOff>
      <xdr:row>1030</xdr:row>
      <xdr:rowOff>105414</xdr:rowOff>
    </xdr:to>
    <xdr:sp macro="" textlink="">
      <xdr:nvSpPr>
        <xdr:cNvPr id="611" name="正方形/長方形 610">
          <a:extLst>
            <a:ext uri="{FF2B5EF4-FFF2-40B4-BE49-F238E27FC236}">
              <a16:creationId xmlns:a16="http://schemas.microsoft.com/office/drawing/2014/main" id="{9C0B8929-637A-4BCA-8F1B-8CF88C7CDA59}"/>
            </a:ext>
          </a:extLst>
        </xdr:cNvPr>
        <xdr:cNvSpPr/>
      </xdr:nvSpPr>
      <xdr:spPr>
        <a:xfrm>
          <a:off x="6656802" y="176604637"/>
          <a:ext cx="17335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1032</xdr:row>
      <xdr:rowOff>14655</xdr:rowOff>
    </xdr:from>
    <xdr:to>
      <xdr:col>29</xdr:col>
      <xdr:colOff>198853</xdr:colOff>
      <xdr:row>1032</xdr:row>
      <xdr:rowOff>112742</xdr:rowOff>
    </xdr:to>
    <xdr:sp macro="" textlink="">
      <xdr:nvSpPr>
        <xdr:cNvPr id="612" name="正方形/長方形 611">
          <a:extLst>
            <a:ext uri="{FF2B5EF4-FFF2-40B4-BE49-F238E27FC236}">
              <a16:creationId xmlns:a16="http://schemas.microsoft.com/office/drawing/2014/main" id="{C4BCC24B-0A86-4376-A319-B5F2DEDAC1A2}"/>
            </a:ext>
          </a:extLst>
        </xdr:cNvPr>
        <xdr:cNvSpPr/>
      </xdr:nvSpPr>
      <xdr:spPr>
        <a:xfrm>
          <a:off x="6658708" y="17695105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21981</xdr:colOff>
      <xdr:row>1031</xdr:row>
      <xdr:rowOff>23885</xdr:rowOff>
    </xdr:from>
    <xdr:to>
      <xdr:col>22</xdr:col>
      <xdr:colOff>191526</xdr:colOff>
      <xdr:row>1031</xdr:row>
      <xdr:rowOff>127688</xdr:rowOff>
    </xdr:to>
    <xdr:sp macro="" textlink="">
      <xdr:nvSpPr>
        <xdr:cNvPr id="613" name="正方形/長方形 612">
          <a:extLst>
            <a:ext uri="{FF2B5EF4-FFF2-40B4-BE49-F238E27FC236}">
              <a16:creationId xmlns:a16="http://schemas.microsoft.com/office/drawing/2014/main" id="{23EA777A-AD52-4533-AD74-FFBA9959750A}"/>
            </a:ext>
          </a:extLst>
        </xdr:cNvPr>
        <xdr:cNvSpPr/>
      </xdr:nvSpPr>
      <xdr:spPr>
        <a:xfrm>
          <a:off x="5051181" y="17678883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223859</xdr:colOff>
      <xdr:row>863</xdr:row>
      <xdr:rowOff>66087</xdr:rowOff>
    </xdr:from>
    <xdr:to>
      <xdr:col>12</xdr:col>
      <xdr:colOff>18463</xdr:colOff>
      <xdr:row>962</xdr:row>
      <xdr:rowOff>67142</xdr:rowOff>
    </xdr:to>
    <xdr:cxnSp macro="">
      <xdr:nvCxnSpPr>
        <xdr:cNvPr id="614" name="直線コネクタ 31">
          <a:extLst>
            <a:ext uri="{FF2B5EF4-FFF2-40B4-BE49-F238E27FC236}">
              <a16:creationId xmlns:a16="http://schemas.microsoft.com/office/drawing/2014/main" id="{C3096C49-2894-47CE-BF1E-D88FCBD368DF}"/>
            </a:ext>
          </a:extLst>
        </xdr:cNvPr>
        <xdr:cNvCxnSpPr>
          <a:cxnSpLocks/>
          <a:stCxn id="503" idx="3"/>
          <a:endCxn id="587" idx="1"/>
        </xdr:cNvCxnSpPr>
      </xdr:nvCxnSpPr>
      <xdr:spPr>
        <a:xfrm>
          <a:off x="2509859" y="148027437"/>
          <a:ext cx="251804" cy="16974605"/>
        </a:xfrm>
        <a:prstGeom prst="bentConnector3">
          <a:avLst>
            <a:gd name="adj1" fmla="val 50000"/>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223859</xdr:colOff>
      <xdr:row>863</xdr:row>
      <xdr:rowOff>66087</xdr:rowOff>
    </xdr:from>
    <xdr:to>
      <xdr:col>12</xdr:col>
      <xdr:colOff>18463</xdr:colOff>
      <xdr:row>1010</xdr:row>
      <xdr:rowOff>67142</xdr:rowOff>
    </xdr:to>
    <xdr:cxnSp macro="">
      <xdr:nvCxnSpPr>
        <xdr:cNvPr id="615" name="直線コネクタ 31">
          <a:extLst>
            <a:ext uri="{FF2B5EF4-FFF2-40B4-BE49-F238E27FC236}">
              <a16:creationId xmlns:a16="http://schemas.microsoft.com/office/drawing/2014/main" id="{BF3C5FD1-17B1-4969-8ADB-190B3A71FE99}"/>
            </a:ext>
          </a:extLst>
        </xdr:cNvPr>
        <xdr:cNvCxnSpPr>
          <a:cxnSpLocks/>
          <a:stCxn id="503" idx="3"/>
          <a:endCxn id="606" idx="1"/>
        </xdr:cNvCxnSpPr>
      </xdr:nvCxnSpPr>
      <xdr:spPr>
        <a:xfrm>
          <a:off x="2509859" y="148027437"/>
          <a:ext cx="251804" cy="25204205"/>
        </a:xfrm>
        <a:prstGeom prst="bentConnector3">
          <a:avLst>
            <a:gd name="adj1" fmla="val 50000"/>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210576</xdr:colOff>
      <xdr:row>864</xdr:row>
      <xdr:rowOff>75494</xdr:rowOff>
    </xdr:from>
    <xdr:to>
      <xdr:col>22</xdr:col>
      <xdr:colOff>21981</xdr:colOff>
      <xdr:row>885</xdr:row>
      <xdr:rowOff>75787</xdr:rowOff>
    </xdr:to>
    <xdr:cxnSp macro="">
      <xdr:nvCxnSpPr>
        <xdr:cNvPr id="616" name="直線コネクタ 31">
          <a:extLst>
            <a:ext uri="{FF2B5EF4-FFF2-40B4-BE49-F238E27FC236}">
              <a16:creationId xmlns:a16="http://schemas.microsoft.com/office/drawing/2014/main" id="{E9DE8DE8-7CCA-48B0-A1C3-8B82D5DAF351}"/>
            </a:ext>
          </a:extLst>
        </xdr:cNvPr>
        <xdr:cNvCxnSpPr>
          <a:stCxn id="556" idx="1"/>
          <a:endCxn id="513" idx="3"/>
        </xdr:cNvCxnSpPr>
      </xdr:nvCxnSpPr>
      <xdr:spPr>
        <a:xfrm rot="10800000">
          <a:off x="4782576" y="148208294"/>
          <a:ext cx="268605" cy="3600743"/>
        </a:xfrm>
        <a:prstGeom prst="bentConnector3">
          <a:avLst>
            <a:gd name="adj1" fmla="val 69861"/>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210576</xdr:colOff>
      <xdr:row>864</xdr:row>
      <xdr:rowOff>75494</xdr:rowOff>
    </xdr:from>
    <xdr:to>
      <xdr:col>22</xdr:col>
      <xdr:colOff>21981</xdr:colOff>
      <xdr:row>895</xdr:row>
      <xdr:rowOff>75787</xdr:rowOff>
    </xdr:to>
    <xdr:cxnSp macro="">
      <xdr:nvCxnSpPr>
        <xdr:cNvPr id="617" name="直線コネクタ 31">
          <a:extLst>
            <a:ext uri="{FF2B5EF4-FFF2-40B4-BE49-F238E27FC236}">
              <a16:creationId xmlns:a16="http://schemas.microsoft.com/office/drawing/2014/main" id="{8D5D6285-EC99-43E5-AC55-895CBD2324E7}"/>
            </a:ext>
          </a:extLst>
        </xdr:cNvPr>
        <xdr:cNvCxnSpPr>
          <a:stCxn id="564" idx="1"/>
          <a:endCxn id="513" idx="3"/>
        </xdr:cNvCxnSpPr>
      </xdr:nvCxnSpPr>
      <xdr:spPr>
        <a:xfrm rot="10800000">
          <a:off x="4782576" y="148208294"/>
          <a:ext cx="268605" cy="5315243"/>
        </a:xfrm>
        <a:prstGeom prst="bentConnector3">
          <a:avLst>
            <a:gd name="adj1" fmla="val 69861"/>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199146</xdr:colOff>
      <xdr:row>863</xdr:row>
      <xdr:rowOff>65604</xdr:rowOff>
    </xdr:from>
    <xdr:to>
      <xdr:col>22</xdr:col>
      <xdr:colOff>18757</xdr:colOff>
      <xdr:row>884</xdr:row>
      <xdr:rowOff>71192</xdr:rowOff>
    </xdr:to>
    <xdr:cxnSp macro="">
      <xdr:nvCxnSpPr>
        <xdr:cNvPr id="618" name="直線コネクタ 31">
          <a:extLst>
            <a:ext uri="{FF2B5EF4-FFF2-40B4-BE49-F238E27FC236}">
              <a16:creationId xmlns:a16="http://schemas.microsoft.com/office/drawing/2014/main" id="{0566F306-B772-4AC9-8EE8-32B27D1F9BB3}"/>
            </a:ext>
          </a:extLst>
        </xdr:cNvPr>
        <xdr:cNvCxnSpPr>
          <a:stCxn id="550" idx="1"/>
          <a:endCxn id="504" idx="3"/>
        </xdr:cNvCxnSpPr>
      </xdr:nvCxnSpPr>
      <xdr:spPr>
        <a:xfrm rot="10800000">
          <a:off x="4771146" y="148026954"/>
          <a:ext cx="276811" cy="3606038"/>
        </a:xfrm>
        <a:prstGeom prst="bentConnector3">
          <a:avLst>
            <a:gd name="adj1" fmla="val 30716"/>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199146</xdr:colOff>
      <xdr:row>863</xdr:row>
      <xdr:rowOff>65604</xdr:rowOff>
    </xdr:from>
    <xdr:to>
      <xdr:col>22</xdr:col>
      <xdr:colOff>18757</xdr:colOff>
      <xdr:row>894</xdr:row>
      <xdr:rowOff>71192</xdr:rowOff>
    </xdr:to>
    <xdr:cxnSp macro="">
      <xdr:nvCxnSpPr>
        <xdr:cNvPr id="619" name="直線コネクタ 31">
          <a:extLst>
            <a:ext uri="{FF2B5EF4-FFF2-40B4-BE49-F238E27FC236}">
              <a16:creationId xmlns:a16="http://schemas.microsoft.com/office/drawing/2014/main" id="{B5D44864-27EA-4F6B-A63F-4E37E3271BF8}"/>
            </a:ext>
          </a:extLst>
        </xdr:cNvPr>
        <xdr:cNvCxnSpPr>
          <a:stCxn id="558" idx="1"/>
          <a:endCxn id="504" idx="3"/>
        </xdr:cNvCxnSpPr>
      </xdr:nvCxnSpPr>
      <xdr:spPr>
        <a:xfrm rot="10800000">
          <a:off x="4771146" y="148026954"/>
          <a:ext cx="276811" cy="5320538"/>
        </a:xfrm>
        <a:prstGeom prst="bentConnector3">
          <a:avLst>
            <a:gd name="adj1" fmla="val 33127"/>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199146</xdr:colOff>
      <xdr:row>914</xdr:row>
      <xdr:rowOff>65604</xdr:rowOff>
    </xdr:from>
    <xdr:to>
      <xdr:col>22</xdr:col>
      <xdr:colOff>18757</xdr:colOff>
      <xdr:row>925</xdr:row>
      <xdr:rowOff>71192</xdr:rowOff>
    </xdr:to>
    <xdr:cxnSp macro="">
      <xdr:nvCxnSpPr>
        <xdr:cNvPr id="620" name="直線コネクタ 31">
          <a:extLst>
            <a:ext uri="{FF2B5EF4-FFF2-40B4-BE49-F238E27FC236}">
              <a16:creationId xmlns:a16="http://schemas.microsoft.com/office/drawing/2014/main" id="{8E6EC99E-2F6A-4537-A3BE-4E2C4C167019}"/>
            </a:ext>
          </a:extLst>
        </xdr:cNvPr>
        <xdr:cNvCxnSpPr>
          <a:stCxn id="531" idx="1"/>
          <a:endCxn id="543" idx="3"/>
        </xdr:cNvCxnSpPr>
      </xdr:nvCxnSpPr>
      <xdr:spPr>
        <a:xfrm rot="10800000">
          <a:off x="4771146" y="156770904"/>
          <a:ext cx="276811" cy="1891538"/>
        </a:xfrm>
        <a:prstGeom prst="bentConnector3">
          <a:avLst>
            <a:gd name="adj1" fmla="val 33127"/>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210576</xdr:colOff>
      <xdr:row>915</xdr:row>
      <xdr:rowOff>75494</xdr:rowOff>
    </xdr:from>
    <xdr:to>
      <xdr:col>22</xdr:col>
      <xdr:colOff>21981</xdr:colOff>
      <xdr:row>926</xdr:row>
      <xdr:rowOff>75787</xdr:rowOff>
    </xdr:to>
    <xdr:cxnSp macro="">
      <xdr:nvCxnSpPr>
        <xdr:cNvPr id="621" name="直線コネクタ 31">
          <a:extLst>
            <a:ext uri="{FF2B5EF4-FFF2-40B4-BE49-F238E27FC236}">
              <a16:creationId xmlns:a16="http://schemas.microsoft.com/office/drawing/2014/main" id="{AB888C47-6600-4135-8BDD-88D8D4165C33}"/>
            </a:ext>
          </a:extLst>
        </xdr:cNvPr>
        <xdr:cNvCxnSpPr>
          <a:stCxn id="534" idx="1"/>
          <a:endCxn id="545" idx="3"/>
        </xdr:cNvCxnSpPr>
      </xdr:nvCxnSpPr>
      <xdr:spPr>
        <a:xfrm rot="10800000">
          <a:off x="4782576" y="156952244"/>
          <a:ext cx="268605" cy="1886243"/>
        </a:xfrm>
        <a:prstGeom prst="bentConnector3">
          <a:avLst>
            <a:gd name="adj1" fmla="val 69861"/>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210576</xdr:colOff>
      <xdr:row>915</xdr:row>
      <xdr:rowOff>75495</xdr:rowOff>
    </xdr:from>
    <xdr:to>
      <xdr:col>22</xdr:col>
      <xdr:colOff>21981</xdr:colOff>
      <xdr:row>935</xdr:row>
      <xdr:rowOff>75788</xdr:rowOff>
    </xdr:to>
    <xdr:cxnSp macro="">
      <xdr:nvCxnSpPr>
        <xdr:cNvPr id="622" name="直線コネクタ 31">
          <a:extLst>
            <a:ext uri="{FF2B5EF4-FFF2-40B4-BE49-F238E27FC236}">
              <a16:creationId xmlns:a16="http://schemas.microsoft.com/office/drawing/2014/main" id="{BACF11CD-8B95-4C34-A2F1-E00EC2AFC38A}"/>
            </a:ext>
          </a:extLst>
        </xdr:cNvPr>
        <xdr:cNvCxnSpPr>
          <a:stCxn id="569" idx="1"/>
          <a:endCxn id="545" idx="3"/>
        </xdr:cNvCxnSpPr>
      </xdr:nvCxnSpPr>
      <xdr:spPr>
        <a:xfrm rot="10800000">
          <a:off x="4782576" y="156952245"/>
          <a:ext cx="268605" cy="3429293"/>
        </a:xfrm>
        <a:prstGeom prst="bentConnector3">
          <a:avLst>
            <a:gd name="adj1" fmla="val 69861"/>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199146</xdr:colOff>
      <xdr:row>914</xdr:row>
      <xdr:rowOff>65603</xdr:rowOff>
    </xdr:from>
    <xdr:to>
      <xdr:col>22</xdr:col>
      <xdr:colOff>18757</xdr:colOff>
      <xdr:row>934</xdr:row>
      <xdr:rowOff>71191</xdr:rowOff>
    </xdr:to>
    <xdr:cxnSp macro="">
      <xdr:nvCxnSpPr>
        <xdr:cNvPr id="623" name="直線コネクタ 31">
          <a:extLst>
            <a:ext uri="{FF2B5EF4-FFF2-40B4-BE49-F238E27FC236}">
              <a16:creationId xmlns:a16="http://schemas.microsoft.com/office/drawing/2014/main" id="{BDFC380A-7D72-4B42-8BD2-11B253C4A9D1}"/>
            </a:ext>
          </a:extLst>
        </xdr:cNvPr>
        <xdr:cNvCxnSpPr>
          <a:stCxn id="566" idx="1"/>
          <a:endCxn id="543" idx="3"/>
        </xdr:cNvCxnSpPr>
      </xdr:nvCxnSpPr>
      <xdr:spPr>
        <a:xfrm rot="10800000">
          <a:off x="4771146" y="156770903"/>
          <a:ext cx="276811" cy="3434588"/>
        </a:xfrm>
        <a:prstGeom prst="bentConnector3">
          <a:avLst>
            <a:gd name="adj1" fmla="val 30717"/>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199146</xdr:colOff>
      <xdr:row>914</xdr:row>
      <xdr:rowOff>65604</xdr:rowOff>
    </xdr:from>
    <xdr:to>
      <xdr:col>22</xdr:col>
      <xdr:colOff>18757</xdr:colOff>
      <xdr:row>943</xdr:row>
      <xdr:rowOff>71192</xdr:rowOff>
    </xdr:to>
    <xdr:cxnSp macro="">
      <xdr:nvCxnSpPr>
        <xdr:cNvPr id="624" name="直線コネクタ 31">
          <a:extLst>
            <a:ext uri="{FF2B5EF4-FFF2-40B4-BE49-F238E27FC236}">
              <a16:creationId xmlns:a16="http://schemas.microsoft.com/office/drawing/2014/main" id="{852E0085-F3A0-4E26-A637-3B98E1E78736}"/>
            </a:ext>
          </a:extLst>
        </xdr:cNvPr>
        <xdr:cNvCxnSpPr>
          <a:stCxn id="535" idx="1"/>
          <a:endCxn id="543" idx="3"/>
        </xdr:cNvCxnSpPr>
      </xdr:nvCxnSpPr>
      <xdr:spPr>
        <a:xfrm rot="10800000">
          <a:off x="4771146" y="156770904"/>
          <a:ext cx="276811" cy="4977638"/>
        </a:xfrm>
        <a:prstGeom prst="bentConnector3">
          <a:avLst>
            <a:gd name="adj1" fmla="val 30716"/>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210576</xdr:colOff>
      <xdr:row>963</xdr:row>
      <xdr:rowOff>75494</xdr:rowOff>
    </xdr:from>
    <xdr:to>
      <xdr:col>22</xdr:col>
      <xdr:colOff>21981</xdr:colOff>
      <xdr:row>974</xdr:row>
      <xdr:rowOff>75787</xdr:rowOff>
    </xdr:to>
    <xdr:cxnSp macro="">
      <xdr:nvCxnSpPr>
        <xdr:cNvPr id="625" name="直線コネクタ 31">
          <a:extLst>
            <a:ext uri="{FF2B5EF4-FFF2-40B4-BE49-F238E27FC236}">
              <a16:creationId xmlns:a16="http://schemas.microsoft.com/office/drawing/2014/main" id="{E8F1C352-69B9-4F9A-81ED-DA5290C1822E}"/>
            </a:ext>
          </a:extLst>
        </xdr:cNvPr>
        <xdr:cNvCxnSpPr>
          <a:stCxn id="577" idx="1"/>
          <a:endCxn id="588" idx="3"/>
        </xdr:cNvCxnSpPr>
      </xdr:nvCxnSpPr>
      <xdr:spPr>
        <a:xfrm rot="10800000">
          <a:off x="4782576" y="165181844"/>
          <a:ext cx="268605" cy="1886243"/>
        </a:xfrm>
        <a:prstGeom prst="bentConnector3">
          <a:avLst>
            <a:gd name="adj1" fmla="val 62413"/>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210576</xdr:colOff>
      <xdr:row>963</xdr:row>
      <xdr:rowOff>75495</xdr:rowOff>
    </xdr:from>
    <xdr:to>
      <xdr:col>22</xdr:col>
      <xdr:colOff>21981</xdr:colOff>
      <xdr:row>983</xdr:row>
      <xdr:rowOff>75788</xdr:rowOff>
    </xdr:to>
    <xdr:cxnSp macro="">
      <xdr:nvCxnSpPr>
        <xdr:cNvPr id="626" name="直線コネクタ 31">
          <a:extLst>
            <a:ext uri="{FF2B5EF4-FFF2-40B4-BE49-F238E27FC236}">
              <a16:creationId xmlns:a16="http://schemas.microsoft.com/office/drawing/2014/main" id="{37C2A778-2459-44C3-B409-7B44A76515D1}"/>
            </a:ext>
          </a:extLst>
        </xdr:cNvPr>
        <xdr:cNvCxnSpPr>
          <a:stCxn id="596" idx="1"/>
          <a:endCxn id="588" idx="3"/>
        </xdr:cNvCxnSpPr>
      </xdr:nvCxnSpPr>
      <xdr:spPr>
        <a:xfrm rot="10800000">
          <a:off x="4782576" y="165181845"/>
          <a:ext cx="268605" cy="3429293"/>
        </a:xfrm>
        <a:prstGeom prst="bentConnector3">
          <a:avLst>
            <a:gd name="adj1" fmla="val 62413"/>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199146</xdr:colOff>
      <xdr:row>962</xdr:row>
      <xdr:rowOff>65604</xdr:rowOff>
    </xdr:from>
    <xdr:to>
      <xdr:col>22</xdr:col>
      <xdr:colOff>18757</xdr:colOff>
      <xdr:row>973</xdr:row>
      <xdr:rowOff>71192</xdr:rowOff>
    </xdr:to>
    <xdr:cxnSp macro="">
      <xdr:nvCxnSpPr>
        <xdr:cNvPr id="627" name="直線コネクタ 31">
          <a:extLst>
            <a:ext uri="{FF2B5EF4-FFF2-40B4-BE49-F238E27FC236}">
              <a16:creationId xmlns:a16="http://schemas.microsoft.com/office/drawing/2014/main" id="{45259267-F7D1-4AD0-BF2D-A593B7B898FD}"/>
            </a:ext>
          </a:extLst>
        </xdr:cNvPr>
        <xdr:cNvCxnSpPr>
          <a:stCxn id="574" idx="1"/>
          <a:endCxn id="586" idx="3"/>
        </xdr:cNvCxnSpPr>
      </xdr:nvCxnSpPr>
      <xdr:spPr>
        <a:xfrm rot="10800000">
          <a:off x="4771146" y="165000504"/>
          <a:ext cx="276811" cy="1891538"/>
        </a:xfrm>
        <a:prstGeom prst="bentConnector3">
          <a:avLst>
            <a:gd name="adj1" fmla="val 33127"/>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199146</xdr:colOff>
      <xdr:row>962</xdr:row>
      <xdr:rowOff>65603</xdr:rowOff>
    </xdr:from>
    <xdr:to>
      <xdr:col>22</xdr:col>
      <xdr:colOff>18757</xdr:colOff>
      <xdr:row>982</xdr:row>
      <xdr:rowOff>71191</xdr:rowOff>
    </xdr:to>
    <xdr:cxnSp macro="">
      <xdr:nvCxnSpPr>
        <xdr:cNvPr id="628" name="直線コネクタ 31">
          <a:extLst>
            <a:ext uri="{FF2B5EF4-FFF2-40B4-BE49-F238E27FC236}">
              <a16:creationId xmlns:a16="http://schemas.microsoft.com/office/drawing/2014/main" id="{75F7ABCC-3078-4F62-976F-65E5333CE19F}"/>
            </a:ext>
          </a:extLst>
        </xdr:cNvPr>
        <xdr:cNvCxnSpPr>
          <a:stCxn id="593" idx="1"/>
          <a:endCxn id="586" idx="3"/>
        </xdr:cNvCxnSpPr>
      </xdr:nvCxnSpPr>
      <xdr:spPr>
        <a:xfrm rot="10800000">
          <a:off x="4771146" y="165000503"/>
          <a:ext cx="276811" cy="3434588"/>
        </a:xfrm>
        <a:prstGeom prst="bentConnector3">
          <a:avLst>
            <a:gd name="adj1" fmla="val 30716"/>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210576</xdr:colOff>
      <xdr:row>1011</xdr:row>
      <xdr:rowOff>75494</xdr:rowOff>
    </xdr:from>
    <xdr:to>
      <xdr:col>22</xdr:col>
      <xdr:colOff>21981</xdr:colOff>
      <xdr:row>1022</xdr:row>
      <xdr:rowOff>75787</xdr:rowOff>
    </xdr:to>
    <xdr:cxnSp macro="">
      <xdr:nvCxnSpPr>
        <xdr:cNvPr id="629" name="直線コネクタ 31">
          <a:extLst>
            <a:ext uri="{FF2B5EF4-FFF2-40B4-BE49-F238E27FC236}">
              <a16:creationId xmlns:a16="http://schemas.microsoft.com/office/drawing/2014/main" id="{C817F821-7A0A-4020-8842-7E05F23CBAA8}"/>
            </a:ext>
          </a:extLst>
        </xdr:cNvPr>
        <xdr:cNvCxnSpPr>
          <a:stCxn id="604" idx="1"/>
          <a:endCxn id="607" idx="3"/>
        </xdr:cNvCxnSpPr>
      </xdr:nvCxnSpPr>
      <xdr:spPr>
        <a:xfrm rot="10800000">
          <a:off x="4782576" y="173411444"/>
          <a:ext cx="268605" cy="1886243"/>
        </a:xfrm>
        <a:prstGeom prst="bentConnector3">
          <a:avLst>
            <a:gd name="adj1" fmla="val 64896"/>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210576</xdr:colOff>
      <xdr:row>1011</xdr:row>
      <xdr:rowOff>75495</xdr:rowOff>
    </xdr:from>
    <xdr:to>
      <xdr:col>22</xdr:col>
      <xdr:colOff>21981</xdr:colOff>
      <xdr:row>1031</xdr:row>
      <xdr:rowOff>75788</xdr:rowOff>
    </xdr:to>
    <xdr:cxnSp macro="">
      <xdr:nvCxnSpPr>
        <xdr:cNvPr id="630" name="直線コネクタ 31">
          <a:extLst>
            <a:ext uri="{FF2B5EF4-FFF2-40B4-BE49-F238E27FC236}">
              <a16:creationId xmlns:a16="http://schemas.microsoft.com/office/drawing/2014/main" id="{9D184A11-27AD-4F5C-A0B3-A47C9D7BEF09}"/>
            </a:ext>
          </a:extLst>
        </xdr:cNvPr>
        <xdr:cNvCxnSpPr>
          <a:stCxn id="613" idx="1"/>
          <a:endCxn id="607" idx="3"/>
        </xdr:cNvCxnSpPr>
      </xdr:nvCxnSpPr>
      <xdr:spPr>
        <a:xfrm rot="10800000">
          <a:off x="4782576" y="173411445"/>
          <a:ext cx="268605" cy="3429293"/>
        </a:xfrm>
        <a:prstGeom prst="bentConnector3">
          <a:avLst>
            <a:gd name="adj1" fmla="val 64896"/>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199146</xdr:colOff>
      <xdr:row>1010</xdr:row>
      <xdr:rowOff>65604</xdr:rowOff>
    </xdr:from>
    <xdr:to>
      <xdr:col>22</xdr:col>
      <xdr:colOff>18757</xdr:colOff>
      <xdr:row>1021</xdr:row>
      <xdr:rowOff>71192</xdr:rowOff>
    </xdr:to>
    <xdr:cxnSp macro="">
      <xdr:nvCxnSpPr>
        <xdr:cNvPr id="631" name="直線コネクタ 31">
          <a:extLst>
            <a:ext uri="{FF2B5EF4-FFF2-40B4-BE49-F238E27FC236}">
              <a16:creationId xmlns:a16="http://schemas.microsoft.com/office/drawing/2014/main" id="{01047C59-E901-478D-9FB4-9AECD3371283}"/>
            </a:ext>
          </a:extLst>
        </xdr:cNvPr>
        <xdr:cNvCxnSpPr>
          <a:stCxn id="601" idx="1"/>
          <a:endCxn id="605" idx="3"/>
        </xdr:cNvCxnSpPr>
      </xdr:nvCxnSpPr>
      <xdr:spPr>
        <a:xfrm rot="10800000">
          <a:off x="4771146" y="173230104"/>
          <a:ext cx="276811" cy="1891538"/>
        </a:xfrm>
        <a:prstGeom prst="bentConnector3">
          <a:avLst>
            <a:gd name="adj1" fmla="val 35537"/>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199146</xdr:colOff>
      <xdr:row>1010</xdr:row>
      <xdr:rowOff>65603</xdr:rowOff>
    </xdr:from>
    <xdr:to>
      <xdr:col>22</xdr:col>
      <xdr:colOff>18757</xdr:colOff>
      <xdr:row>1030</xdr:row>
      <xdr:rowOff>71191</xdr:rowOff>
    </xdr:to>
    <xdr:cxnSp macro="">
      <xdr:nvCxnSpPr>
        <xdr:cNvPr id="632" name="直線コネクタ 31">
          <a:extLst>
            <a:ext uri="{FF2B5EF4-FFF2-40B4-BE49-F238E27FC236}">
              <a16:creationId xmlns:a16="http://schemas.microsoft.com/office/drawing/2014/main" id="{DE0BFE56-2993-4533-B467-82D469A9AE79}"/>
            </a:ext>
          </a:extLst>
        </xdr:cNvPr>
        <xdr:cNvCxnSpPr>
          <a:stCxn id="610" idx="1"/>
          <a:endCxn id="605" idx="3"/>
        </xdr:cNvCxnSpPr>
      </xdr:nvCxnSpPr>
      <xdr:spPr>
        <a:xfrm rot="10800000">
          <a:off x="4771146" y="173230103"/>
          <a:ext cx="276811" cy="3434588"/>
        </a:xfrm>
        <a:prstGeom prst="bentConnector3">
          <a:avLst>
            <a:gd name="adj1" fmla="val 35537"/>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200757</xdr:colOff>
      <xdr:row>863</xdr:row>
      <xdr:rowOff>56371</xdr:rowOff>
    </xdr:from>
    <xdr:to>
      <xdr:col>33</xdr:col>
      <xdr:colOff>18758</xdr:colOff>
      <xdr:row>1030</xdr:row>
      <xdr:rowOff>58276</xdr:rowOff>
    </xdr:to>
    <xdr:cxnSp macro="">
      <xdr:nvCxnSpPr>
        <xdr:cNvPr id="633" name="直線コネクタ 31">
          <a:extLst>
            <a:ext uri="{FF2B5EF4-FFF2-40B4-BE49-F238E27FC236}">
              <a16:creationId xmlns:a16="http://schemas.microsoft.com/office/drawing/2014/main" id="{3C356C86-EE46-481E-927E-DAA40A3A8DDD}"/>
            </a:ext>
          </a:extLst>
        </xdr:cNvPr>
        <xdr:cNvCxnSpPr>
          <a:cxnSpLocks/>
          <a:stCxn id="611" idx="3"/>
          <a:endCxn id="506" idx="1"/>
        </xdr:cNvCxnSpPr>
      </xdr:nvCxnSpPr>
      <xdr:spPr>
        <a:xfrm flipV="1">
          <a:off x="6830157" y="148017721"/>
          <a:ext cx="732401" cy="28634055"/>
        </a:xfrm>
        <a:prstGeom prst="bentConnector3">
          <a:avLst>
            <a:gd name="adj1" fmla="val 82037"/>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200757</xdr:colOff>
      <xdr:row>914</xdr:row>
      <xdr:rowOff>54429</xdr:rowOff>
    </xdr:from>
    <xdr:to>
      <xdr:col>32</xdr:col>
      <xdr:colOff>129268</xdr:colOff>
      <xdr:row>914</xdr:row>
      <xdr:rowOff>58276</xdr:rowOff>
    </xdr:to>
    <xdr:cxnSp macro="">
      <xdr:nvCxnSpPr>
        <xdr:cNvPr id="634" name="直線コネクタ 633">
          <a:extLst>
            <a:ext uri="{FF2B5EF4-FFF2-40B4-BE49-F238E27FC236}">
              <a16:creationId xmlns:a16="http://schemas.microsoft.com/office/drawing/2014/main" id="{3D04CD06-0623-4A03-8D2C-76EC2F907F93}"/>
            </a:ext>
          </a:extLst>
        </xdr:cNvPr>
        <xdr:cNvCxnSpPr>
          <a:endCxn id="528" idx="3"/>
        </xdr:cNvCxnSpPr>
      </xdr:nvCxnSpPr>
      <xdr:spPr>
        <a:xfrm flipH="1">
          <a:off x="6830157" y="156759729"/>
          <a:ext cx="614311" cy="3847"/>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200757</xdr:colOff>
      <xdr:row>925</xdr:row>
      <xdr:rowOff>47625</xdr:rowOff>
    </xdr:from>
    <xdr:to>
      <xdr:col>32</xdr:col>
      <xdr:colOff>108858</xdr:colOff>
      <xdr:row>925</xdr:row>
      <xdr:rowOff>58276</xdr:rowOff>
    </xdr:to>
    <xdr:cxnSp macro="">
      <xdr:nvCxnSpPr>
        <xdr:cNvPr id="635" name="直線コネクタ 634">
          <a:extLst>
            <a:ext uri="{FF2B5EF4-FFF2-40B4-BE49-F238E27FC236}">
              <a16:creationId xmlns:a16="http://schemas.microsoft.com/office/drawing/2014/main" id="{4F778DA0-D550-4EDA-9F2E-90AC64A1E0A7}"/>
            </a:ext>
          </a:extLst>
        </xdr:cNvPr>
        <xdr:cNvCxnSpPr>
          <a:endCxn id="532" idx="3"/>
        </xdr:cNvCxnSpPr>
      </xdr:nvCxnSpPr>
      <xdr:spPr>
        <a:xfrm flipH="1">
          <a:off x="6830157" y="158638875"/>
          <a:ext cx="593901" cy="10651"/>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200757</xdr:colOff>
      <xdr:row>934</xdr:row>
      <xdr:rowOff>47625</xdr:rowOff>
    </xdr:from>
    <xdr:to>
      <xdr:col>32</xdr:col>
      <xdr:colOff>129268</xdr:colOff>
      <xdr:row>934</xdr:row>
      <xdr:rowOff>58276</xdr:rowOff>
    </xdr:to>
    <xdr:cxnSp macro="">
      <xdr:nvCxnSpPr>
        <xdr:cNvPr id="636" name="直線コネクタ 635">
          <a:extLst>
            <a:ext uri="{FF2B5EF4-FFF2-40B4-BE49-F238E27FC236}">
              <a16:creationId xmlns:a16="http://schemas.microsoft.com/office/drawing/2014/main" id="{827F3DEA-CF3D-492F-9765-0C55469644EC}"/>
            </a:ext>
          </a:extLst>
        </xdr:cNvPr>
        <xdr:cNvCxnSpPr>
          <a:endCxn id="567" idx="3"/>
        </xdr:cNvCxnSpPr>
      </xdr:nvCxnSpPr>
      <xdr:spPr>
        <a:xfrm flipH="1">
          <a:off x="6830157" y="160181925"/>
          <a:ext cx="614311" cy="10651"/>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200757</xdr:colOff>
      <xdr:row>962</xdr:row>
      <xdr:rowOff>54429</xdr:rowOff>
    </xdr:from>
    <xdr:to>
      <xdr:col>32</xdr:col>
      <xdr:colOff>122465</xdr:colOff>
      <xdr:row>962</xdr:row>
      <xdr:rowOff>58276</xdr:rowOff>
    </xdr:to>
    <xdr:cxnSp macro="">
      <xdr:nvCxnSpPr>
        <xdr:cNvPr id="637" name="直線コネクタ 636">
          <a:extLst>
            <a:ext uri="{FF2B5EF4-FFF2-40B4-BE49-F238E27FC236}">
              <a16:creationId xmlns:a16="http://schemas.microsoft.com/office/drawing/2014/main" id="{753D6291-01FA-4DCC-8596-42A186694974}"/>
            </a:ext>
          </a:extLst>
        </xdr:cNvPr>
        <xdr:cNvCxnSpPr>
          <a:endCxn id="571" idx="3"/>
        </xdr:cNvCxnSpPr>
      </xdr:nvCxnSpPr>
      <xdr:spPr>
        <a:xfrm flipH="1">
          <a:off x="6830157" y="164989329"/>
          <a:ext cx="607508" cy="3847"/>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200757</xdr:colOff>
      <xdr:row>973</xdr:row>
      <xdr:rowOff>47626</xdr:rowOff>
    </xdr:from>
    <xdr:to>
      <xdr:col>32</xdr:col>
      <xdr:colOff>136072</xdr:colOff>
      <xdr:row>973</xdr:row>
      <xdr:rowOff>58276</xdr:rowOff>
    </xdr:to>
    <xdr:cxnSp macro="">
      <xdr:nvCxnSpPr>
        <xdr:cNvPr id="638" name="直線コネクタ 637">
          <a:extLst>
            <a:ext uri="{FF2B5EF4-FFF2-40B4-BE49-F238E27FC236}">
              <a16:creationId xmlns:a16="http://schemas.microsoft.com/office/drawing/2014/main" id="{7B37CF41-E3B6-4A72-8FA0-F1BF1C9B872D}"/>
            </a:ext>
          </a:extLst>
        </xdr:cNvPr>
        <xdr:cNvCxnSpPr>
          <a:endCxn id="575" idx="3"/>
        </xdr:cNvCxnSpPr>
      </xdr:nvCxnSpPr>
      <xdr:spPr>
        <a:xfrm flipH="1">
          <a:off x="6830157" y="166868476"/>
          <a:ext cx="621115" cy="10650"/>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200757</xdr:colOff>
      <xdr:row>982</xdr:row>
      <xdr:rowOff>47626</xdr:rowOff>
    </xdr:from>
    <xdr:to>
      <xdr:col>32</xdr:col>
      <xdr:colOff>136072</xdr:colOff>
      <xdr:row>982</xdr:row>
      <xdr:rowOff>58276</xdr:rowOff>
    </xdr:to>
    <xdr:cxnSp macro="">
      <xdr:nvCxnSpPr>
        <xdr:cNvPr id="639" name="直線コネクタ 638">
          <a:extLst>
            <a:ext uri="{FF2B5EF4-FFF2-40B4-BE49-F238E27FC236}">
              <a16:creationId xmlns:a16="http://schemas.microsoft.com/office/drawing/2014/main" id="{01F27A61-4043-400E-A8C5-1A305D4928AF}"/>
            </a:ext>
          </a:extLst>
        </xdr:cNvPr>
        <xdr:cNvCxnSpPr>
          <a:endCxn id="594" idx="3"/>
        </xdr:cNvCxnSpPr>
      </xdr:nvCxnSpPr>
      <xdr:spPr>
        <a:xfrm flipH="1">
          <a:off x="6830157" y="168411526"/>
          <a:ext cx="621115" cy="10650"/>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200757</xdr:colOff>
      <xdr:row>1010</xdr:row>
      <xdr:rowOff>54429</xdr:rowOff>
    </xdr:from>
    <xdr:to>
      <xdr:col>32</xdr:col>
      <xdr:colOff>129268</xdr:colOff>
      <xdr:row>1010</xdr:row>
      <xdr:rowOff>58276</xdr:rowOff>
    </xdr:to>
    <xdr:cxnSp macro="">
      <xdr:nvCxnSpPr>
        <xdr:cNvPr id="640" name="直線コネクタ 639">
          <a:extLst>
            <a:ext uri="{FF2B5EF4-FFF2-40B4-BE49-F238E27FC236}">
              <a16:creationId xmlns:a16="http://schemas.microsoft.com/office/drawing/2014/main" id="{F0BE9DB9-EB10-46B2-9EB3-8F0A23430DD3}"/>
            </a:ext>
          </a:extLst>
        </xdr:cNvPr>
        <xdr:cNvCxnSpPr>
          <a:endCxn id="598" idx="3"/>
        </xdr:cNvCxnSpPr>
      </xdr:nvCxnSpPr>
      <xdr:spPr>
        <a:xfrm flipH="1">
          <a:off x="6830157" y="173218929"/>
          <a:ext cx="614311" cy="3847"/>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200757</xdr:colOff>
      <xdr:row>1021</xdr:row>
      <xdr:rowOff>54429</xdr:rowOff>
    </xdr:from>
    <xdr:to>
      <xdr:col>32</xdr:col>
      <xdr:colOff>136072</xdr:colOff>
      <xdr:row>1021</xdr:row>
      <xdr:rowOff>58276</xdr:rowOff>
    </xdr:to>
    <xdr:cxnSp macro="">
      <xdr:nvCxnSpPr>
        <xdr:cNvPr id="641" name="直線コネクタ 640">
          <a:extLst>
            <a:ext uri="{FF2B5EF4-FFF2-40B4-BE49-F238E27FC236}">
              <a16:creationId xmlns:a16="http://schemas.microsoft.com/office/drawing/2014/main" id="{A17B4525-203D-44B4-9478-89564820196F}"/>
            </a:ext>
          </a:extLst>
        </xdr:cNvPr>
        <xdr:cNvCxnSpPr>
          <a:endCxn id="602" idx="3"/>
        </xdr:cNvCxnSpPr>
      </xdr:nvCxnSpPr>
      <xdr:spPr>
        <a:xfrm flipH="1">
          <a:off x="6830157" y="175104879"/>
          <a:ext cx="621115" cy="3847"/>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198853</xdr:colOff>
      <xdr:row>865</xdr:row>
      <xdr:rowOff>63699</xdr:rowOff>
    </xdr:from>
    <xdr:to>
      <xdr:col>30</xdr:col>
      <xdr:colOff>129267</xdr:colOff>
      <xdr:row>865</xdr:row>
      <xdr:rowOff>68036</xdr:rowOff>
    </xdr:to>
    <xdr:cxnSp macro="">
      <xdr:nvCxnSpPr>
        <xdr:cNvPr id="642" name="直線コネクタ 641">
          <a:extLst>
            <a:ext uri="{FF2B5EF4-FFF2-40B4-BE49-F238E27FC236}">
              <a16:creationId xmlns:a16="http://schemas.microsoft.com/office/drawing/2014/main" id="{DB27D3C9-0047-45FB-8A8B-7BD0EE5BA002}"/>
            </a:ext>
          </a:extLst>
        </xdr:cNvPr>
        <xdr:cNvCxnSpPr>
          <a:cxnSpLocks/>
          <a:stCxn id="508" idx="3"/>
        </xdr:cNvCxnSpPr>
      </xdr:nvCxnSpPr>
      <xdr:spPr>
        <a:xfrm>
          <a:off x="6828253" y="148367949"/>
          <a:ext cx="159014" cy="4337"/>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198853</xdr:colOff>
      <xdr:row>916</xdr:row>
      <xdr:rowOff>54429</xdr:rowOff>
    </xdr:from>
    <xdr:to>
      <xdr:col>30</xdr:col>
      <xdr:colOff>129267</xdr:colOff>
      <xdr:row>916</xdr:row>
      <xdr:rowOff>63699</xdr:rowOff>
    </xdr:to>
    <xdr:cxnSp macro="">
      <xdr:nvCxnSpPr>
        <xdr:cNvPr id="643" name="直線コネクタ 642">
          <a:extLst>
            <a:ext uri="{FF2B5EF4-FFF2-40B4-BE49-F238E27FC236}">
              <a16:creationId xmlns:a16="http://schemas.microsoft.com/office/drawing/2014/main" id="{EFAE596B-2958-450F-AAA3-6C545C86FABE}"/>
            </a:ext>
          </a:extLst>
        </xdr:cNvPr>
        <xdr:cNvCxnSpPr>
          <a:cxnSpLocks/>
          <a:stCxn id="529" idx="3"/>
        </xdr:cNvCxnSpPr>
      </xdr:nvCxnSpPr>
      <xdr:spPr>
        <a:xfrm flipV="1">
          <a:off x="6828253" y="157102629"/>
          <a:ext cx="159014" cy="927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198853</xdr:colOff>
      <xdr:row>964</xdr:row>
      <xdr:rowOff>61233</xdr:rowOff>
    </xdr:from>
    <xdr:to>
      <xdr:col>30</xdr:col>
      <xdr:colOff>129267</xdr:colOff>
      <xdr:row>964</xdr:row>
      <xdr:rowOff>63699</xdr:rowOff>
    </xdr:to>
    <xdr:cxnSp macro="">
      <xdr:nvCxnSpPr>
        <xdr:cNvPr id="644" name="直線コネクタ 643">
          <a:extLst>
            <a:ext uri="{FF2B5EF4-FFF2-40B4-BE49-F238E27FC236}">
              <a16:creationId xmlns:a16="http://schemas.microsoft.com/office/drawing/2014/main" id="{E31D45EF-3434-4254-B356-5B5DD16A6798}"/>
            </a:ext>
          </a:extLst>
        </xdr:cNvPr>
        <xdr:cNvCxnSpPr>
          <a:cxnSpLocks/>
          <a:stCxn id="572" idx="3"/>
        </xdr:cNvCxnSpPr>
      </xdr:nvCxnSpPr>
      <xdr:spPr>
        <a:xfrm flipV="1">
          <a:off x="6828253" y="165339033"/>
          <a:ext cx="159014" cy="2466"/>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198853</xdr:colOff>
      <xdr:row>876</xdr:row>
      <xdr:rowOff>61232</xdr:rowOff>
    </xdr:from>
    <xdr:to>
      <xdr:col>31</xdr:col>
      <xdr:colOff>13607</xdr:colOff>
      <xdr:row>876</xdr:row>
      <xdr:rowOff>63699</xdr:rowOff>
    </xdr:to>
    <xdr:cxnSp macro="">
      <xdr:nvCxnSpPr>
        <xdr:cNvPr id="645" name="直線コネクタ 644">
          <a:extLst>
            <a:ext uri="{FF2B5EF4-FFF2-40B4-BE49-F238E27FC236}">
              <a16:creationId xmlns:a16="http://schemas.microsoft.com/office/drawing/2014/main" id="{9A449A73-EE0F-45EC-B8DD-F7AABC893459}"/>
            </a:ext>
          </a:extLst>
        </xdr:cNvPr>
        <xdr:cNvCxnSpPr>
          <a:cxnSpLocks/>
          <a:stCxn id="519" idx="3"/>
        </xdr:cNvCxnSpPr>
      </xdr:nvCxnSpPr>
      <xdr:spPr>
        <a:xfrm flipV="1">
          <a:off x="6828253" y="150251432"/>
          <a:ext cx="271954" cy="2467"/>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198853</xdr:colOff>
      <xdr:row>927</xdr:row>
      <xdr:rowOff>61233</xdr:rowOff>
    </xdr:from>
    <xdr:to>
      <xdr:col>31</xdr:col>
      <xdr:colOff>20411</xdr:colOff>
      <xdr:row>927</xdr:row>
      <xdr:rowOff>63699</xdr:rowOff>
    </xdr:to>
    <xdr:cxnSp macro="">
      <xdr:nvCxnSpPr>
        <xdr:cNvPr id="646" name="直線コネクタ 645">
          <a:extLst>
            <a:ext uri="{FF2B5EF4-FFF2-40B4-BE49-F238E27FC236}">
              <a16:creationId xmlns:a16="http://schemas.microsoft.com/office/drawing/2014/main" id="{AC712038-388B-4A68-A3B0-B11F89912BC4}"/>
            </a:ext>
          </a:extLst>
        </xdr:cNvPr>
        <xdr:cNvCxnSpPr>
          <a:cxnSpLocks/>
          <a:stCxn id="533" idx="3"/>
        </xdr:cNvCxnSpPr>
      </xdr:nvCxnSpPr>
      <xdr:spPr>
        <a:xfrm flipV="1">
          <a:off x="6828253" y="158995383"/>
          <a:ext cx="278758" cy="2466"/>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198853</xdr:colOff>
      <xdr:row>975</xdr:row>
      <xdr:rowOff>61233</xdr:rowOff>
    </xdr:from>
    <xdr:to>
      <xdr:col>31</xdr:col>
      <xdr:colOff>27214</xdr:colOff>
      <xdr:row>975</xdr:row>
      <xdr:rowOff>63699</xdr:rowOff>
    </xdr:to>
    <xdr:cxnSp macro="">
      <xdr:nvCxnSpPr>
        <xdr:cNvPr id="647" name="直線コネクタ 646">
          <a:extLst>
            <a:ext uri="{FF2B5EF4-FFF2-40B4-BE49-F238E27FC236}">
              <a16:creationId xmlns:a16="http://schemas.microsoft.com/office/drawing/2014/main" id="{53736FD0-D199-4136-B0C3-03354C9FE359}"/>
            </a:ext>
          </a:extLst>
        </xdr:cNvPr>
        <xdr:cNvCxnSpPr>
          <a:cxnSpLocks/>
          <a:stCxn id="576" idx="3"/>
        </xdr:cNvCxnSpPr>
      </xdr:nvCxnSpPr>
      <xdr:spPr>
        <a:xfrm flipV="1">
          <a:off x="6828253" y="167224983"/>
          <a:ext cx="285561" cy="2466"/>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198853</xdr:colOff>
      <xdr:row>886</xdr:row>
      <xdr:rowOff>61232</xdr:rowOff>
    </xdr:from>
    <xdr:to>
      <xdr:col>31</xdr:col>
      <xdr:colOff>129268</xdr:colOff>
      <xdr:row>886</xdr:row>
      <xdr:rowOff>63699</xdr:rowOff>
    </xdr:to>
    <xdr:cxnSp macro="">
      <xdr:nvCxnSpPr>
        <xdr:cNvPr id="648" name="直線コネクタ 647">
          <a:extLst>
            <a:ext uri="{FF2B5EF4-FFF2-40B4-BE49-F238E27FC236}">
              <a16:creationId xmlns:a16="http://schemas.microsoft.com/office/drawing/2014/main" id="{DC934DFE-577A-4D23-BD38-BB7CC81F2293}"/>
            </a:ext>
          </a:extLst>
        </xdr:cNvPr>
        <xdr:cNvCxnSpPr>
          <a:cxnSpLocks/>
          <a:stCxn id="553" idx="3"/>
        </xdr:cNvCxnSpPr>
      </xdr:nvCxnSpPr>
      <xdr:spPr>
        <a:xfrm flipV="1">
          <a:off x="6828253" y="151965932"/>
          <a:ext cx="387615" cy="2467"/>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198853</xdr:colOff>
      <xdr:row>936</xdr:row>
      <xdr:rowOff>61232</xdr:rowOff>
    </xdr:from>
    <xdr:to>
      <xdr:col>31</xdr:col>
      <xdr:colOff>136071</xdr:colOff>
      <xdr:row>936</xdr:row>
      <xdr:rowOff>63699</xdr:rowOff>
    </xdr:to>
    <xdr:cxnSp macro="">
      <xdr:nvCxnSpPr>
        <xdr:cNvPr id="649" name="直線コネクタ 648">
          <a:extLst>
            <a:ext uri="{FF2B5EF4-FFF2-40B4-BE49-F238E27FC236}">
              <a16:creationId xmlns:a16="http://schemas.microsoft.com/office/drawing/2014/main" id="{D491B22F-A7C9-4B08-8C28-932AE05475ED}"/>
            </a:ext>
          </a:extLst>
        </xdr:cNvPr>
        <xdr:cNvCxnSpPr>
          <a:cxnSpLocks/>
          <a:stCxn id="568" idx="3"/>
        </xdr:cNvCxnSpPr>
      </xdr:nvCxnSpPr>
      <xdr:spPr>
        <a:xfrm flipV="1">
          <a:off x="6828253" y="160538432"/>
          <a:ext cx="394418" cy="2467"/>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198853</xdr:colOff>
      <xdr:row>984</xdr:row>
      <xdr:rowOff>54429</xdr:rowOff>
    </xdr:from>
    <xdr:to>
      <xdr:col>31</xdr:col>
      <xdr:colOff>136071</xdr:colOff>
      <xdr:row>984</xdr:row>
      <xdr:rowOff>63699</xdr:rowOff>
    </xdr:to>
    <xdr:cxnSp macro="">
      <xdr:nvCxnSpPr>
        <xdr:cNvPr id="650" name="直線コネクタ 649">
          <a:extLst>
            <a:ext uri="{FF2B5EF4-FFF2-40B4-BE49-F238E27FC236}">
              <a16:creationId xmlns:a16="http://schemas.microsoft.com/office/drawing/2014/main" id="{E6DEFFED-C3DE-4860-BFB8-09C77E2016B9}"/>
            </a:ext>
          </a:extLst>
        </xdr:cNvPr>
        <xdr:cNvCxnSpPr>
          <a:cxnSpLocks/>
          <a:stCxn id="595" idx="3"/>
        </xdr:cNvCxnSpPr>
      </xdr:nvCxnSpPr>
      <xdr:spPr>
        <a:xfrm flipV="1">
          <a:off x="6828253" y="168761229"/>
          <a:ext cx="394418" cy="927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11138</xdr:colOff>
      <xdr:row>1051</xdr:row>
      <xdr:rowOff>18170</xdr:rowOff>
    </xdr:from>
    <xdr:to>
      <xdr:col>33</xdr:col>
      <xdr:colOff>173063</xdr:colOff>
      <xdr:row>1051</xdr:row>
      <xdr:rowOff>104827</xdr:rowOff>
    </xdr:to>
    <xdr:sp macro="" textlink="">
      <xdr:nvSpPr>
        <xdr:cNvPr id="651" name="正方形/長方形 650">
          <a:extLst>
            <a:ext uri="{FF2B5EF4-FFF2-40B4-BE49-F238E27FC236}">
              <a16:creationId xmlns:a16="http://schemas.microsoft.com/office/drawing/2014/main" id="{6CC7D07F-32F2-403F-89F9-CBD551431117}"/>
            </a:ext>
          </a:extLst>
        </xdr:cNvPr>
        <xdr:cNvSpPr/>
      </xdr:nvSpPr>
      <xdr:spPr>
        <a:xfrm>
          <a:off x="7554938" y="180212120"/>
          <a:ext cx="161925" cy="8665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11955</xdr:colOff>
      <xdr:row>1050</xdr:row>
      <xdr:rowOff>16036</xdr:rowOff>
    </xdr:from>
    <xdr:to>
      <xdr:col>33</xdr:col>
      <xdr:colOff>175785</xdr:colOff>
      <xdr:row>1050</xdr:row>
      <xdr:rowOff>110313</xdr:rowOff>
    </xdr:to>
    <xdr:sp macro="" textlink="">
      <xdr:nvSpPr>
        <xdr:cNvPr id="652" name="正方形/長方形 651">
          <a:extLst>
            <a:ext uri="{FF2B5EF4-FFF2-40B4-BE49-F238E27FC236}">
              <a16:creationId xmlns:a16="http://schemas.microsoft.com/office/drawing/2014/main" id="{BA46C3CA-C136-44F1-B1F2-C6442336C9BE}"/>
            </a:ext>
          </a:extLst>
        </xdr:cNvPr>
        <xdr:cNvSpPr/>
      </xdr:nvSpPr>
      <xdr:spPr>
        <a:xfrm>
          <a:off x="7555755" y="180038536"/>
          <a:ext cx="163830"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199146</xdr:colOff>
      <xdr:row>1010</xdr:row>
      <xdr:rowOff>65604</xdr:rowOff>
    </xdr:from>
    <xdr:to>
      <xdr:col>33</xdr:col>
      <xdr:colOff>11955</xdr:colOff>
      <xdr:row>1050</xdr:row>
      <xdr:rowOff>63176</xdr:rowOff>
    </xdr:to>
    <xdr:cxnSp macro="">
      <xdr:nvCxnSpPr>
        <xdr:cNvPr id="653" name="直線コネクタ 31">
          <a:extLst>
            <a:ext uri="{FF2B5EF4-FFF2-40B4-BE49-F238E27FC236}">
              <a16:creationId xmlns:a16="http://schemas.microsoft.com/office/drawing/2014/main" id="{D04698DB-7C8B-4891-9D69-20D014B77EEA}"/>
            </a:ext>
          </a:extLst>
        </xdr:cNvPr>
        <xdr:cNvCxnSpPr>
          <a:stCxn id="652" idx="1"/>
          <a:endCxn id="605" idx="3"/>
        </xdr:cNvCxnSpPr>
      </xdr:nvCxnSpPr>
      <xdr:spPr>
        <a:xfrm rot="10800000">
          <a:off x="4771146" y="173230104"/>
          <a:ext cx="2784609" cy="6855572"/>
        </a:xfrm>
        <a:prstGeom prst="bentConnector3">
          <a:avLst>
            <a:gd name="adj1" fmla="val 94116"/>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210577</xdr:colOff>
      <xdr:row>1011</xdr:row>
      <xdr:rowOff>75494</xdr:rowOff>
    </xdr:from>
    <xdr:to>
      <xdr:col>33</xdr:col>
      <xdr:colOff>11139</xdr:colOff>
      <xdr:row>1051</xdr:row>
      <xdr:rowOff>61499</xdr:rowOff>
    </xdr:to>
    <xdr:cxnSp macro="">
      <xdr:nvCxnSpPr>
        <xdr:cNvPr id="654" name="直線コネクタ 31">
          <a:extLst>
            <a:ext uri="{FF2B5EF4-FFF2-40B4-BE49-F238E27FC236}">
              <a16:creationId xmlns:a16="http://schemas.microsoft.com/office/drawing/2014/main" id="{18AEC34C-78EE-405A-8EEC-FB75B244ED2E}"/>
            </a:ext>
          </a:extLst>
        </xdr:cNvPr>
        <xdr:cNvCxnSpPr>
          <a:stCxn id="651" idx="1"/>
          <a:endCxn id="607" idx="3"/>
        </xdr:cNvCxnSpPr>
      </xdr:nvCxnSpPr>
      <xdr:spPr>
        <a:xfrm rot="10800000">
          <a:off x="4782577" y="173411444"/>
          <a:ext cx="2772362" cy="6844005"/>
        </a:xfrm>
        <a:prstGeom prst="bentConnector3">
          <a:avLst>
            <a:gd name="adj1" fmla="val 96593"/>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95250</xdr:colOff>
      <xdr:row>247</xdr:row>
      <xdr:rowOff>34017</xdr:rowOff>
    </xdr:from>
    <xdr:to>
      <xdr:col>10</xdr:col>
      <xdr:colOff>216807</xdr:colOff>
      <xdr:row>275</xdr:row>
      <xdr:rowOff>129268</xdr:rowOff>
    </xdr:to>
    <xdr:sp macro="" textlink="">
      <xdr:nvSpPr>
        <xdr:cNvPr id="655" name="テキスト ボックス 654">
          <a:extLst>
            <a:ext uri="{FF2B5EF4-FFF2-40B4-BE49-F238E27FC236}">
              <a16:creationId xmlns:a16="http://schemas.microsoft.com/office/drawing/2014/main" id="{9244DDFA-505B-477A-955A-C7D035294002}"/>
            </a:ext>
          </a:extLst>
        </xdr:cNvPr>
        <xdr:cNvSpPr txBox="1"/>
      </xdr:nvSpPr>
      <xdr:spPr>
        <a:xfrm>
          <a:off x="323850" y="42382167"/>
          <a:ext cx="2178957" cy="4895851"/>
        </a:xfrm>
        <a:prstGeom prst="rect">
          <a:avLst/>
        </a:prstGeom>
        <a:solidFill>
          <a:schemeClr val="accent5">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lstStyle/>
        <a:p>
          <a:r>
            <a:rPr kumimoji="1" lang="en-US" altLang="ja-JP" sz="900">
              <a:latin typeface="ＭＳ ゴシック" panose="020B0609070205080204" pitchFamily="49" charset="-128"/>
              <a:ea typeface="ＭＳ ゴシック" panose="020B0609070205080204" pitchFamily="49" charset="-128"/>
            </a:rPr>
            <a:t>【</a:t>
          </a:r>
          <a:r>
            <a:rPr kumimoji="1" lang="ja-JP" altLang="en-US" sz="900">
              <a:latin typeface="ＭＳ ゴシック" panose="020B0609070205080204" pitchFamily="49" charset="-128"/>
              <a:ea typeface="ＭＳ ゴシック" panose="020B0609070205080204" pitchFamily="49" charset="-128"/>
            </a:rPr>
            <a:t>レシート印字イメージ</a:t>
          </a:r>
          <a:r>
            <a:rPr kumimoji="1" lang="en-US" altLang="ja-JP" sz="900">
              <a:latin typeface="ＭＳ ゴシック" panose="020B0609070205080204" pitchFamily="49" charset="-128"/>
              <a:ea typeface="ＭＳ ゴシック" panose="020B0609070205080204" pitchFamily="49" charset="-128"/>
            </a:rPr>
            <a:t>】※</a:t>
          </a:r>
          <a:r>
            <a:rPr kumimoji="1" lang="ja-JP" altLang="en-US" sz="900">
              <a:latin typeface="ＭＳ ゴシック" panose="020B0609070205080204" pitchFamily="49" charset="-128"/>
              <a:ea typeface="ＭＳ ゴシック" panose="020B0609070205080204" pitchFamily="49" charset="-128"/>
            </a:rPr>
            <a:t>倍角無し</a:t>
          </a:r>
          <a:endParaRPr kumimoji="1" lang="en-US" altLang="ja-JP" sz="900">
            <a:latin typeface="ＭＳ ゴシック" panose="020B0609070205080204" pitchFamily="49" charset="-128"/>
            <a:ea typeface="ＭＳ ゴシック" panose="020B0609070205080204" pitchFamily="49" charset="-128"/>
          </a:endParaRPr>
        </a:p>
        <a:p>
          <a:r>
            <a:rPr kumimoji="1" lang="ja-JP" altLang="en-US" sz="900">
              <a:latin typeface="ＭＳ ゴシック" panose="020B0609070205080204" pitchFamily="49" charset="-128"/>
              <a:ea typeface="ＭＳ ゴシック" panose="020B0609070205080204" pitchFamily="49" charset="-128"/>
            </a:rPr>
            <a:t> </a:t>
          </a:r>
          <a:r>
            <a:rPr kumimoji="1" lang="en-US" altLang="ja-JP" sz="900">
              <a:latin typeface="ＭＳ ゴシック" panose="020B0609070205080204" pitchFamily="49" charset="-128"/>
              <a:ea typeface="ＭＳ ゴシック" panose="020B0609070205080204" pitchFamily="49" charset="-128"/>
            </a:rPr>
            <a:t>2024</a:t>
          </a:r>
          <a:r>
            <a:rPr kumimoji="1" lang="ja-JP" altLang="en-US" sz="900">
              <a:latin typeface="ＭＳ ゴシック" panose="020B0609070205080204" pitchFamily="49" charset="-128"/>
              <a:ea typeface="ＭＳ ゴシック" panose="020B0609070205080204" pitchFamily="49" charset="-128"/>
            </a:rPr>
            <a:t>年</a:t>
          </a:r>
          <a:r>
            <a:rPr kumimoji="1" lang="en-US" altLang="ja-JP" sz="900">
              <a:latin typeface="ＭＳ ゴシック" panose="020B0609070205080204" pitchFamily="49" charset="-128"/>
              <a:ea typeface="ＭＳ ゴシック" panose="020B0609070205080204" pitchFamily="49" charset="-128"/>
            </a:rPr>
            <a:t>10</a:t>
          </a:r>
          <a:r>
            <a:rPr kumimoji="1" lang="ja-JP" altLang="en-US" sz="900">
              <a:latin typeface="ＭＳ ゴシック" panose="020B0609070205080204" pitchFamily="49" charset="-128"/>
              <a:ea typeface="ＭＳ ゴシック" panose="020B0609070205080204" pitchFamily="49" charset="-128"/>
            </a:rPr>
            <a:t>月</a:t>
          </a:r>
          <a:r>
            <a:rPr kumimoji="1" lang="en-US" altLang="ja-JP" sz="900">
              <a:latin typeface="ＭＳ ゴシック" panose="020B0609070205080204" pitchFamily="49" charset="-128"/>
              <a:ea typeface="ＭＳ ゴシック" panose="020B0609070205080204" pitchFamily="49" charset="-128"/>
            </a:rPr>
            <a:t>21</a:t>
          </a:r>
          <a:r>
            <a:rPr kumimoji="1" lang="ja-JP" altLang="en-US" sz="900">
              <a:latin typeface="ＭＳ ゴシック" panose="020B0609070205080204" pitchFamily="49" charset="-128"/>
              <a:ea typeface="ＭＳ ゴシック" panose="020B0609070205080204" pitchFamily="49" charset="-128"/>
            </a:rPr>
            <a:t>日（月） </a:t>
          </a:r>
          <a:r>
            <a:rPr kumimoji="1" lang="en-US" altLang="ja-JP" sz="900">
              <a:latin typeface="ＭＳ ゴシック" panose="020B0609070205080204" pitchFamily="49" charset="-128"/>
              <a:ea typeface="ＭＳ ゴシック" panose="020B0609070205080204" pitchFamily="49" charset="-128"/>
            </a:rPr>
            <a:t>22:04</a:t>
          </a:r>
        </a:p>
        <a:p>
          <a:r>
            <a:rPr kumimoji="1" lang="en-US" altLang="ja-JP" sz="900">
              <a:latin typeface="ＭＳ ゴシック" panose="020B0609070205080204" pitchFamily="49" charset="-128"/>
              <a:ea typeface="ＭＳ ゴシック" panose="020B0609070205080204" pitchFamily="49" charset="-128"/>
            </a:rPr>
            <a:t>   01 x</a:t>
          </a:r>
          <a:r>
            <a:rPr kumimoji="1" lang="ja-JP" altLang="en-US" sz="900">
              <a:latin typeface="ＭＳ ゴシック" panose="020B0609070205080204" pitchFamily="49" charset="-128"/>
              <a:ea typeface="ＭＳ ゴシック" panose="020B0609070205080204" pitchFamily="49" charset="-128"/>
            </a:rPr>
            <a:t>商品Ｂ               </a:t>
          </a:r>
          <a:r>
            <a:rPr kumimoji="1" lang="en-US" altLang="ja-JP" sz="900">
              <a:latin typeface="ＭＳ ゴシック" panose="020B0609070205080204" pitchFamily="49" charset="-128"/>
              <a:ea typeface="ＭＳ ゴシック" panose="020B0609070205080204" pitchFamily="49" charset="-128"/>
            </a:rPr>
            <a:t>\93 </a:t>
          </a:r>
        </a:p>
        <a:p>
          <a:r>
            <a:rPr kumimoji="1" lang="en-US" altLang="ja-JP" sz="900">
              <a:latin typeface="ＭＳ ゴシック" panose="020B0609070205080204" pitchFamily="49" charset="-128"/>
              <a:ea typeface="ＭＳ ゴシック" panose="020B0609070205080204" pitchFamily="49" charset="-128"/>
            </a:rPr>
            <a:t>   01 x</a:t>
          </a:r>
          <a:r>
            <a:rPr kumimoji="1" lang="ja-JP" altLang="en-US" sz="900">
              <a:latin typeface="ＭＳ ゴシック" panose="020B0609070205080204" pitchFamily="49" charset="-128"/>
              <a:ea typeface="ＭＳ ゴシック" panose="020B0609070205080204" pitchFamily="49" charset="-128"/>
            </a:rPr>
            <a:t>商品Ｃ              </a:t>
          </a:r>
          <a:r>
            <a:rPr kumimoji="1" lang="en-US" altLang="ja-JP" sz="900">
              <a:latin typeface="ＭＳ ゴシック" panose="020B0609070205080204" pitchFamily="49" charset="-128"/>
              <a:ea typeface="ＭＳ ゴシック" panose="020B0609070205080204" pitchFamily="49" charset="-128"/>
            </a:rPr>
            <a:t>\100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分類値引   </a:t>
          </a:r>
          <a:r>
            <a:rPr kumimoji="1" lang="en-US" altLang="ja-JP" sz="900">
              <a:latin typeface="ＭＳ ゴシック" panose="020B0609070205080204" pitchFamily="49" charset="-128"/>
              <a:ea typeface="ＭＳ ゴシック" panose="020B0609070205080204" pitchFamily="49" charset="-128"/>
            </a:rPr>
            <a:t>15%         -\15</a:t>
          </a:r>
        </a:p>
        <a:p>
          <a:r>
            <a:rPr kumimoji="1" lang="en-US" altLang="ja-JP" sz="900">
              <a:latin typeface="ＭＳ ゴシック" panose="020B0609070205080204" pitchFamily="49" charset="-128"/>
              <a:ea typeface="ＭＳ ゴシック" panose="020B0609070205080204" pitchFamily="49" charset="-128"/>
            </a:rPr>
            <a:t>   01 x</a:t>
          </a:r>
          <a:r>
            <a:rPr kumimoji="1" lang="ja-JP" altLang="en-US" sz="900">
              <a:latin typeface="ＭＳ ゴシック" panose="020B0609070205080204" pitchFamily="49" charset="-128"/>
              <a:ea typeface="ＭＳ ゴシック" panose="020B0609070205080204" pitchFamily="49" charset="-128"/>
            </a:rPr>
            <a:t>商品Ｄ                   </a:t>
          </a:r>
        </a:p>
        <a:p>
          <a:r>
            <a:rPr kumimoji="1" lang="ja-JP" altLang="en-US" sz="900">
              <a:latin typeface="ＭＳ ゴシック" panose="020B0609070205080204" pitchFamily="49" charset="-128"/>
              <a:ea typeface="ＭＳ ゴシック" panose="020B0609070205080204" pitchFamily="49" charset="-128"/>
            </a:rPr>
            <a:t>        </a:t>
          </a:r>
          <a:r>
            <a:rPr kumimoji="1" lang="en-US" altLang="ja-JP" sz="900">
              <a:latin typeface="ＭＳ ゴシック" panose="020B0609070205080204" pitchFamily="49" charset="-128"/>
              <a:ea typeface="ＭＳ ゴシック" panose="020B0609070205080204" pitchFamily="49" charset="-128"/>
            </a:rPr>
            <a:t>\100   3</a:t>
          </a:r>
          <a:r>
            <a:rPr kumimoji="1" lang="ja-JP" altLang="en-US" sz="900">
              <a:latin typeface="ＭＳ ゴシック" panose="020B0609070205080204" pitchFamily="49" charset="-128"/>
              <a:ea typeface="ＭＳ ゴシック" panose="020B0609070205080204" pitchFamily="49" charset="-128"/>
            </a:rPr>
            <a:t>個         </a:t>
          </a:r>
          <a:r>
            <a:rPr kumimoji="1" lang="en-US" altLang="ja-JP" sz="900">
              <a:latin typeface="ＭＳ ゴシック" panose="020B0609070205080204" pitchFamily="49" charset="-128"/>
              <a:ea typeface="ＭＳ ゴシック" panose="020B0609070205080204" pitchFamily="49" charset="-128"/>
            </a:rPr>
            <a:t>\300</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分類値引   </a:t>
          </a:r>
          <a:r>
            <a:rPr kumimoji="1" lang="en-US" altLang="ja-JP" sz="900">
              <a:latin typeface="ＭＳ ゴシック" panose="020B0609070205080204" pitchFamily="49" charset="-128"/>
              <a:ea typeface="ＭＳ ゴシック" panose="020B0609070205080204" pitchFamily="49" charset="-128"/>
            </a:rPr>
            <a:t>15%         -\45</a:t>
          </a:r>
        </a:p>
        <a:p>
          <a:r>
            <a:rPr kumimoji="1" lang="en-US" altLang="ja-JP" sz="900">
              <a:latin typeface="ＭＳ ゴシック" panose="020B0609070205080204" pitchFamily="49" charset="-128"/>
              <a:ea typeface="ＭＳ ゴシック" panose="020B0609070205080204" pitchFamily="49" charset="-128"/>
            </a:rPr>
            <a:t>   01 x</a:t>
          </a:r>
          <a:r>
            <a:rPr kumimoji="1" lang="ja-JP" altLang="en-US" sz="900">
              <a:latin typeface="ＭＳ ゴシック" panose="020B0609070205080204" pitchFamily="49" charset="-128"/>
              <a:ea typeface="ＭＳ ゴシック" panose="020B0609070205080204" pitchFamily="49" charset="-128"/>
            </a:rPr>
            <a:t>商品Ｅ                   </a:t>
          </a:r>
        </a:p>
        <a:p>
          <a:r>
            <a:rPr kumimoji="1" lang="ja-JP" altLang="en-US" sz="900">
              <a:latin typeface="ＭＳ ゴシック" panose="020B0609070205080204" pitchFamily="49" charset="-128"/>
              <a:ea typeface="ＭＳ ゴシック" panose="020B0609070205080204" pitchFamily="49" charset="-128"/>
            </a:rPr>
            <a:t>        </a:t>
          </a:r>
          <a:r>
            <a:rPr kumimoji="1" lang="en-US" altLang="ja-JP" sz="900">
              <a:latin typeface="ＭＳ ゴシック" panose="020B0609070205080204" pitchFamily="49" charset="-128"/>
              <a:ea typeface="ＭＳ ゴシック" panose="020B0609070205080204" pitchFamily="49" charset="-128"/>
            </a:rPr>
            <a:t>\100   2</a:t>
          </a:r>
          <a:r>
            <a:rPr kumimoji="1" lang="ja-JP" altLang="en-US" sz="900">
              <a:latin typeface="ＭＳ ゴシック" panose="020B0609070205080204" pitchFamily="49" charset="-128"/>
              <a:ea typeface="ＭＳ ゴシック" panose="020B0609070205080204" pitchFamily="49" charset="-128"/>
            </a:rPr>
            <a:t>個         </a:t>
          </a:r>
          <a:r>
            <a:rPr kumimoji="1" lang="en-US" altLang="ja-JP" sz="900">
              <a:latin typeface="ＭＳ ゴシック" panose="020B0609070205080204" pitchFamily="49" charset="-128"/>
              <a:ea typeface="ＭＳ ゴシック" panose="020B0609070205080204" pitchFamily="49" charset="-128"/>
            </a:rPr>
            <a:t>\200</a:t>
          </a:r>
        </a:p>
        <a:p>
          <a:r>
            <a:rPr kumimoji="1" lang="en-US" altLang="ja-JP" sz="900">
              <a:latin typeface="ＭＳ ゴシック" panose="020B0609070205080204" pitchFamily="49" charset="-128"/>
              <a:ea typeface="ＭＳ ゴシック" panose="020B0609070205080204" pitchFamily="49" charset="-128"/>
            </a:rPr>
            <a:t>   01 x</a:t>
          </a:r>
          <a:r>
            <a:rPr kumimoji="1" lang="ja-JP" altLang="en-US" sz="900">
              <a:latin typeface="ＭＳ ゴシック" panose="020B0609070205080204" pitchFamily="49" charset="-128"/>
              <a:ea typeface="ＭＳ ゴシック" panose="020B0609070205080204" pitchFamily="49" charset="-128"/>
            </a:rPr>
            <a:t>商品Ｆ              </a:t>
          </a:r>
          <a:r>
            <a:rPr kumimoji="1" lang="en-US" altLang="ja-JP" sz="900">
              <a:latin typeface="ＭＳ ゴシック" panose="020B0609070205080204" pitchFamily="49" charset="-128"/>
              <a:ea typeface="ＭＳ ゴシック" panose="020B0609070205080204" pitchFamily="49" charset="-128"/>
            </a:rPr>
            <a:t>\100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小計       </a:t>
          </a:r>
          <a:r>
            <a:rPr kumimoji="1" lang="en-US" altLang="ja-JP" sz="900">
              <a:latin typeface="ＭＳ ゴシック" panose="020B0609070205080204" pitchFamily="49" charset="-128"/>
              <a:ea typeface="ＭＳ ゴシック" panose="020B0609070205080204" pitchFamily="49" charset="-128"/>
            </a:rPr>
            <a:t>8</a:t>
          </a:r>
          <a:r>
            <a:rPr kumimoji="1" lang="ja-JP" altLang="en-US" sz="900">
              <a:latin typeface="ＭＳ ゴシック" panose="020B0609070205080204" pitchFamily="49" charset="-128"/>
              <a:ea typeface="ＭＳ ゴシック" panose="020B0609070205080204" pitchFamily="49" charset="-128"/>
            </a:rPr>
            <a:t>点            </a:t>
          </a:r>
          <a:r>
            <a:rPr kumimoji="1" lang="en-US" altLang="ja-JP" sz="900">
              <a:latin typeface="ＭＳ ゴシック" panose="020B0609070205080204" pitchFamily="49" charset="-128"/>
              <a:ea typeface="ＭＳ ゴシック" panose="020B0609070205080204" pitchFamily="49" charset="-128"/>
            </a:rPr>
            <a:t>\733</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外税 </a:t>
          </a:r>
          <a:r>
            <a:rPr kumimoji="1" lang="en-US" altLang="ja-JP" sz="900">
              <a:latin typeface="ＭＳ ゴシック" panose="020B0609070205080204" pitchFamily="49" charset="-128"/>
              <a:ea typeface="ＭＳ ゴシック" panose="020B0609070205080204" pitchFamily="49" charset="-128"/>
            </a:rPr>
            <a:t>8.0%</a:t>
          </a:r>
          <a:r>
            <a:rPr kumimoji="1" lang="ja-JP" altLang="en-US" sz="900">
              <a:latin typeface="ＭＳ ゴシック" panose="020B0609070205080204" pitchFamily="49" charset="-128"/>
              <a:ea typeface="ＭＳ ゴシック" panose="020B0609070205080204" pitchFamily="49" charset="-128"/>
            </a:rPr>
            <a:t>対象額         </a:t>
          </a:r>
          <a:r>
            <a:rPr kumimoji="1" lang="en-US" altLang="ja-JP" sz="900">
              <a:latin typeface="ＭＳ ゴシック" panose="020B0609070205080204" pitchFamily="49" charset="-128"/>
              <a:ea typeface="ＭＳ ゴシック" panose="020B0609070205080204" pitchFamily="49" charset="-128"/>
            </a:rPr>
            <a:t>\733)</a:t>
          </a:r>
        </a:p>
        <a:p>
          <a:r>
            <a:rPr kumimoji="1" lang="en-US" altLang="ja-JP" sz="900">
              <a:latin typeface="ＭＳ ゴシック" panose="020B0609070205080204" pitchFamily="49" charset="-128"/>
              <a:ea typeface="ＭＳ ゴシック" panose="020B0609070205080204" pitchFamily="49" charset="-128"/>
            </a:rPr>
            <a:t>      8.0% </a:t>
          </a:r>
          <a:r>
            <a:rPr kumimoji="1" lang="ja-JP" altLang="en-US" sz="900">
              <a:latin typeface="ＭＳ ゴシック" panose="020B0609070205080204" pitchFamily="49" charset="-128"/>
              <a:ea typeface="ＭＳ ゴシック" panose="020B0609070205080204" pitchFamily="49" charset="-128"/>
            </a:rPr>
            <a:t>消費税等         </a:t>
          </a:r>
          <a:r>
            <a:rPr kumimoji="1" lang="en-US" altLang="ja-JP" sz="900">
              <a:latin typeface="ＭＳ ゴシック" panose="020B0609070205080204" pitchFamily="49" charset="-128"/>
              <a:ea typeface="ＭＳ ゴシック" panose="020B0609070205080204" pitchFamily="49" charset="-128"/>
            </a:rPr>
            <a:t>\58</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外税額計                   </a:t>
          </a:r>
          <a:r>
            <a:rPr kumimoji="1" lang="en-US" altLang="ja-JP" sz="900">
              <a:latin typeface="ＭＳ ゴシック" panose="020B0609070205080204" pitchFamily="49" charset="-128"/>
              <a:ea typeface="ＭＳ ゴシック" panose="020B0609070205080204" pitchFamily="49" charset="-128"/>
            </a:rPr>
            <a:t>\58</a:t>
          </a:r>
        </a:p>
        <a:p>
          <a:r>
            <a:rPr kumimoji="1" lang="en-US" altLang="ja-JP" sz="900">
              <a:latin typeface="ＭＳ ゴシック" panose="020B0609070205080204" pitchFamily="49" charset="-128"/>
              <a:ea typeface="ＭＳ ゴシック" panose="020B0609070205080204" pitchFamily="49" charset="-128"/>
            </a:rPr>
            <a:t>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税込小計                  </a:t>
          </a:r>
          <a:r>
            <a:rPr kumimoji="1" lang="en-US" altLang="ja-JP" sz="900">
              <a:latin typeface="ＭＳ ゴシック" panose="020B0609070205080204" pitchFamily="49" charset="-128"/>
              <a:ea typeface="ＭＳ ゴシック" panose="020B0609070205080204" pitchFamily="49" charset="-128"/>
            </a:rPr>
            <a:t>\791</a:t>
          </a:r>
        </a:p>
        <a:p>
          <a:r>
            <a:rPr kumimoji="1" lang="en-US" altLang="ja-JP" sz="900">
              <a:latin typeface="ＭＳ ゴシック" panose="020B0609070205080204" pitchFamily="49" charset="-128"/>
              <a:ea typeface="ＭＳ ゴシック" panose="020B0609070205080204" pitchFamily="49" charset="-128"/>
            </a:rPr>
            <a:t>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税込 </a:t>
          </a:r>
          <a:r>
            <a:rPr kumimoji="1" lang="en-US" altLang="ja-JP" sz="900">
              <a:latin typeface="ＭＳ ゴシック" panose="020B0609070205080204" pitchFamily="49" charset="-128"/>
              <a:ea typeface="ＭＳ ゴシック" panose="020B0609070205080204" pitchFamily="49" charset="-128"/>
            </a:rPr>
            <a:t>8.0%</a:t>
          </a:r>
          <a:r>
            <a:rPr kumimoji="1" lang="ja-JP" altLang="en-US" sz="900">
              <a:latin typeface="ＭＳ ゴシック" panose="020B0609070205080204" pitchFamily="49" charset="-128"/>
              <a:ea typeface="ＭＳ ゴシック" panose="020B0609070205080204" pitchFamily="49" charset="-128"/>
            </a:rPr>
            <a:t>対象額         </a:t>
          </a:r>
          <a:r>
            <a:rPr kumimoji="1" lang="en-US" altLang="ja-JP" sz="900">
              <a:latin typeface="ＭＳ ゴシック" panose="020B0609070205080204" pitchFamily="49" charset="-128"/>
              <a:ea typeface="ＭＳ ゴシック" panose="020B0609070205080204" pitchFamily="49" charset="-128"/>
            </a:rPr>
            <a:t>\791)</a:t>
          </a:r>
        </a:p>
        <a:p>
          <a:r>
            <a:rPr kumimoji="1" lang="en-US" altLang="ja-JP" sz="900">
              <a:latin typeface="ＭＳ ゴシック" panose="020B0609070205080204" pitchFamily="49" charset="-128"/>
              <a:ea typeface="ＭＳ ゴシック" panose="020B0609070205080204" pitchFamily="49" charset="-128"/>
            </a:rPr>
            <a:t>      8.0% </a:t>
          </a:r>
          <a:r>
            <a:rPr kumimoji="1" lang="ja-JP" altLang="en-US" sz="900">
              <a:latin typeface="ＭＳ ゴシック" panose="020B0609070205080204" pitchFamily="49" charset="-128"/>
              <a:ea typeface="ＭＳ ゴシック" panose="020B0609070205080204" pitchFamily="49" charset="-128"/>
            </a:rPr>
            <a:t>消費税等         </a:t>
          </a:r>
          <a:r>
            <a:rPr kumimoji="1" lang="en-US" altLang="ja-JP" sz="900">
              <a:latin typeface="ＭＳ ゴシック" panose="020B0609070205080204" pitchFamily="49" charset="-128"/>
              <a:ea typeface="ＭＳ ゴシック" panose="020B0609070205080204" pitchFamily="49" charset="-128"/>
            </a:rPr>
            <a:t>\58</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税額計                     </a:t>
          </a:r>
          <a:r>
            <a:rPr kumimoji="1" lang="en-US" altLang="ja-JP" sz="900">
              <a:latin typeface="ＭＳ ゴシック" panose="020B0609070205080204" pitchFamily="49" charset="-128"/>
              <a:ea typeface="ＭＳ ゴシック" panose="020B0609070205080204" pitchFamily="49" charset="-128"/>
            </a:rPr>
            <a:t>\58</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a:t>
          </a:r>
          <a:r>
            <a:rPr kumimoji="1" lang="en-US" altLang="ja-JP" sz="900">
              <a:latin typeface="ＭＳ ゴシック" panose="020B0609070205080204" pitchFamily="49" charset="-128"/>
              <a:ea typeface="ＭＳ ゴシック" panose="020B0609070205080204" pitchFamily="49" charset="-128"/>
            </a:rPr>
            <a:t>x</a:t>
          </a:r>
          <a:r>
            <a:rPr kumimoji="1" lang="ja-JP" altLang="en-US" sz="900">
              <a:latin typeface="ＭＳ ゴシック" panose="020B0609070205080204" pitchFamily="49" charset="-128"/>
              <a:ea typeface="ＭＳ ゴシック" panose="020B0609070205080204" pitchFamily="49" charset="-128"/>
            </a:rPr>
            <a:t>」は軽減税率対象商品です    </a:t>
          </a:r>
        </a:p>
        <a:p>
          <a:r>
            <a:rPr kumimoji="1" lang="ja-JP" altLang="en-US" sz="900">
              <a:latin typeface="ＭＳ ゴシック" panose="020B0609070205080204" pitchFamily="49" charset="-128"/>
              <a:ea typeface="ＭＳ ゴシック" panose="020B0609070205080204" pitchFamily="49" charset="-128"/>
            </a:rPr>
            <a:t> ━━━━━━━━━━━━━━━</a:t>
          </a:r>
        </a:p>
        <a:p>
          <a:r>
            <a:rPr kumimoji="1" lang="ja-JP" altLang="en-US" sz="900">
              <a:latin typeface="ＭＳ ゴシック" panose="020B0609070205080204" pitchFamily="49" charset="-128"/>
              <a:ea typeface="ＭＳ ゴシック" panose="020B0609070205080204" pitchFamily="49" charset="-128"/>
            </a:rPr>
            <a:t> 合計                 </a:t>
          </a:r>
          <a:r>
            <a:rPr kumimoji="1" lang="en-US" altLang="ja-JP" sz="900">
              <a:latin typeface="ＭＳ ゴシック" panose="020B0609070205080204" pitchFamily="49" charset="-128"/>
              <a:ea typeface="ＭＳ ゴシック" panose="020B0609070205080204" pitchFamily="49" charset="-128"/>
            </a:rPr>
            <a:t>\791</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お預り               </a:t>
          </a:r>
          <a:r>
            <a:rPr kumimoji="1" lang="en-US" altLang="ja-JP" sz="900">
              <a:latin typeface="ＭＳ ゴシック" panose="020B0609070205080204" pitchFamily="49" charset="-128"/>
              <a:ea typeface="ＭＳ ゴシック" panose="020B0609070205080204" pitchFamily="49" charset="-128"/>
            </a:rPr>
            <a:t>\791</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お釣り                  </a:t>
          </a:r>
          <a:r>
            <a:rPr kumimoji="1" lang="en-US" altLang="ja-JP" sz="900">
              <a:latin typeface="ＭＳ ゴシック" panose="020B0609070205080204" pitchFamily="49" charset="-128"/>
              <a:ea typeface="ＭＳ ゴシック" panose="020B0609070205080204" pitchFamily="49" charset="-128"/>
            </a:rPr>
            <a:t>\0</a:t>
          </a:r>
        </a:p>
        <a:p>
          <a:r>
            <a:rPr kumimoji="1" lang="en-US" altLang="ja-JP" sz="900">
              <a:latin typeface="ＭＳ ゴシック" panose="020B0609070205080204" pitchFamily="49" charset="-128"/>
              <a:ea typeface="ＭＳ ゴシック" panose="020B0609070205080204" pitchFamily="49" charset="-128"/>
            </a:rPr>
            <a:t> ━━━━━━━━━━━━━━━</a:t>
          </a:r>
        </a:p>
        <a:p>
          <a:endParaRPr kumimoji="1" lang="en-US" altLang="ja-JP" sz="900">
            <a:latin typeface="ＭＳ ゴシック" panose="020B0609070205080204" pitchFamily="49" charset="-128"/>
            <a:ea typeface="ＭＳ ゴシック" panose="020B0609070205080204" pitchFamily="49" charset="-128"/>
          </a:endParaRPr>
        </a:p>
      </xdr:txBody>
    </xdr:sp>
    <xdr:clientData/>
  </xdr:twoCellAnchor>
  <xdr:twoCellAnchor>
    <xdr:from>
      <xdr:col>11</xdr:col>
      <xdr:colOff>102054</xdr:colOff>
      <xdr:row>151</xdr:row>
      <xdr:rowOff>61232</xdr:rowOff>
    </xdr:from>
    <xdr:to>
      <xdr:col>19</xdr:col>
      <xdr:colOff>305254</xdr:colOff>
      <xdr:row>171</xdr:row>
      <xdr:rowOff>81643</xdr:rowOff>
    </xdr:to>
    <xdr:sp macro="" textlink="">
      <xdr:nvSpPr>
        <xdr:cNvPr id="656" name="テキスト ボックス 655">
          <a:extLst>
            <a:ext uri="{FF2B5EF4-FFF2-40B4-BE49-F238E27FC236}">
              <a16:creationId xmlns:a16="http://schemas.microsoft.com/office/drawing/2014/main" id="{B92DEF24-B194-4B0D-80CF-DB870171C3B5}"/>
            </a:ext>
          </a:extLst>
        </xdr:cNvPr>
        <xdr:cNvSpPr txBox="1"/>
      </xdr:nvSpPr>
      <xdr:spPr>
        <a:xfrm>
          <a:off x="2616654" y="25950182"/>
          <a:ext cx="1955800" cy="3449411"/>
        </a:xfrm>
        <a:prstGeom prst="rect">
          <a:avLst/>
        </a:prstGeom>
        <a:solidFill>
          <a:schemeClr val="accent5">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lstStyle/>
        <a:p>
          <a:r>
            <a:rPr kumimoji="1" lang="en-US" altLang="ja-JP" sz="900">
              <a:latin typeface="ＭＳ ゴシック" panose="020B0609070205080204" pitchFamily="49" charset="-128"/>
              <a:ea typeface="ＭＳ ゴシック" panose="020B0609070205080204" pitchFamily="49" charset="-128"/>
            </a:rPr>
            <a:t>【</a:t>
          </a:r>
          <a:r>
            <a:rPr kumimoji="1" lang="ja-JP" altLang="en-US" sz="900">
              <a:latin typeface="ＭＳ ゴシック" panose="020B0609070205080204" pitchFamily="49" charset="-128"/>
              <a:ea typeface="ＭＳ ゴシック" panose="020B0609070205080204" pitchFamily="49" charset="-128"/>
            </a:rPr>
            <a:t>レシート印字イメージ</a:t>
          </a:r>
          <a:r>
            <a:rPr kumimoji="1" lang="en-US" altLang="ja-JP" sz="900">
              <a:latin typeface="ＭＳ ゴシック" panose="020B0609070205080204" pitchFamily="49" charset="-128"/>
              <a:ea typeface="ＭＳ ゴシック" panose="020B0609070205080204" pitchFamily="49" charset="-128"/>
            </a:rPr>
            <a:t>】※</a:t>
          </a:r>
          <a:r>
            <a:rPr kumimoji="1" lang="ja-JP" altLang="en-US" sz="900">
              <a:latin typeface="ＭＳ ゴシック" panose="020B0609070205080204" pitchFamily="49" charset="-128"/>
              <a:ea typeface="ＭＳ ゴシック" panose="020B0609070205080204" pitchFamily="49" charset="-128"/>
            </a:rPr>
            <a:t>倍角無し</a:t>
          </a:r>
          <a:endParaRPr kumimoji="1" lang="en-US" altLang="ja-JP" sz="900">
            <a:latin typeface="ＭＳ ゴシック" panose="020B0609070205080204" pitchFamily="49" charset="-128"/>
            <a:ea typeface="ＭＳ ゴシック" panose="020B0609070205080204" pitchFamily="49" charset="-128"/>
          </a:endParaRPr>
        </a:p>
        <a:p>
          <a:r>
            <a:rPr kumimoji="1" lang="ja-JP" altLang="en-US" sz="900">
              <a:latin typeface="ＭＳ ゴシック" panose="020B0609070205080204" pitchFamily="49" charset="-128"/>
              <a:ea typeface="ＭＳ ゴシック" panose="020B0609070205080204" pitchFamily="49" charset="-128"/>
            </a:rPr>
            <a:t> </a:t>
          </a:r>
          <a:r>
            <a:rPr kumimoji="1" lang="en-US" altLang="ja-JP" sz="900">
              <a:latin typeface="ＭＳ ゴシック" panose="020B0609070205080204" pitchFamily="49" charset="-128"/>
              <a:ea typeface="ＭＳ ゴシック" panose="020B0609070205080204" pitchFamily="49" charset="-128"/>
            </a:rPr>
            <a:t>2024</a:t>
          </a:r>
          <a:r>
            <a:rPr kumimoji="1" lang="ja-JP" altLang="en-US" sz="900">
              <a:latin typeface="ＭＳ ゴシック" panose="020B0609070205080204" pitchFamily="49" charset="-128"/>
              <a:ea typeface="ＭＳ ゴシック" panose="020B0609070205080204" pitchFamily="49" charset="-128"/>
            </a:rPr>
            <a:t>年</a:t>
          </a:r>
          <a:r>
            <a:rPr kumimoji="1" lang="en-US" altLang="ja-JP" sz="900">
              <a:latin typeface="ＭＳ ゴシック" panose="020B0609070205080204" pitchFamily="49" charset="-128"/>
              <a:ea typeface="ＭＳ ゴシック" panose="020B0609070205080204" pitchFamily="49" charset="-128"/>
            </a:rPr>
            <a:t>10</a:t>
          </a:r>
          <a:r>
            <a:rPr kumimoji="1" lang="ja-JP" altLang="en-US" sz="900">
              <a:latin typeface="ＭＳ ゴシック" panose="020B0609070205080204" pitchFamily="49" charset="-128"/>
              <a:ea typeface="ＭＳ ゴシック" panose="020B0609070205080204" pitchFamily="49" charset="-128"/>
            </a:rPr>
            <a:t>月</a:t>
          </a:r>
          <a:r>
            <a:rPr kumimoji="1" lang="en-US" altLang="ja-JP" sz="900">
              <a:latin typeface="ＭＳ ゴシック" panose="020B0609070205080204" pitchFamily="49" charset="-128"/>
              <a:ea typeface="ＭＳ ゴシック" panose="020B0609070205080204" pitchFamily="49" charset="-128"/>
            </a:rPr>
            <a:t>21</a:t>
          </a:r>
          <a:r>
            <a:rPr kumimoji="1" lang="ja-JP" altLang="en-US" sz="900">
              <a:latin typeface="ＭＳ ゴシック" panose="020B0609070205080204" pitchFamily="49" charset="-128"/>
              <a:ea typeface="ＭＳ ゴシック" panose="020B0609070205080204" pitchFamily="49" charset="-128"/>
            </a:rPr>
            <a:t>日（月） </a:t>
          </a:r>
          <a:r>
            <a:rPr kumimoji="1" lang="en-US" altLang="ja-JP" sz="900">
              <a:latin typeface="ＭＳ ゴシック" panose="020B0609070205080204" pitchFamily="49" charset="-128"/>
              <a:ea typeface="ＭＳ ゴシック" panose="020B0609070205080204" pitchFamily="49" charset="-128"/>
            </a:rPr>
            <a:t>20:34</a:t>
          </a:r>
        </a:p>
        <a:p>
          <a:r>
            <a:rPr kumimoji="1" lang="en-US" altLang="ja-JP" sz="900">
              <a:latin typeface="ＭＳ ゴシック" panose="020B0609070205080204" pitchFamily="49" charset="-128"/>
              <a:ea typeface="ＭＳ ゴシック" panose="020B0609070205080204" pitchFamily="49" charset="-128"/>
            </a:rPr>
            <a:t>   01 x</a:t>
          </a:r>
          <a:r>
            <a:rPr kumimoji="1" lang="ja-JP" altLang="en-US" sz="900">
              <a:latin typeface="ＭＳ ゴシック" panose="020B0609070205080204" pitchFamily="49" charset="-128"/>
              <a:ea typeface="ＭＳ ゴシック" panose="020B0609070205080204" pitchFamily="49" charset="-128"/>
            </a:rPr>
            <a:t>商品Ｂ               </a:t>
          </a:r>
          <a:r>
            <a:rPr kumimoji="1" lang="en-US" altLang="ja-JP" sz="900">
              <a:latin typeface="ＭＳ ゴシック" panose="020B0609070205080204" pitchFamily="49" charset="-128"/>
              <a:ea typeface="ＭＳ ゴシック" panose="020B0609070205080204" pitchFamily="49" charset="-128"/>
            </a:rPr>
            <a:t>\93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小計       </a:t>
          </a:r>
          <a:r>
            <a:rPr kumimoji="1" lang="en-US" altLang="ja-JP" sz="900">
              <a:latin typeface="ＭＳ ゴシック" panose="020B0609070205080204" pitchFamily="49" charset="-128"/>
              <a:ea typeface="ＭＳ ゴシック" panose="020B0609070205080204" pitchFamily="49" charset="-128"/>
            </a:rPr>
            <a:t>1</a:t>
          </a:r>
          <a:r>
            <a:rPr kumimoji="1" lang="ja-JP" altLang="en-US" sz="900">
              <a:latin typeface="ＭＳ ゴシック" panose="020B0609070205080204" pitchFamily="49" charset="-128"/>
              <a:ea typeface="ＭＳ ゴシック" panose="020B0609070205080204" pitchFamily="49" charset="-128"/>
            </a:rPr>
            <a:t>点             </a:t>
          </a:r>
          <a:r>
            <a:rPr kumimoji="1" lang="en-US" altLang="ja-JP" sz="900">
              <a:latin typeface="ＭＳ ゴシック" panose="020B0609070205080204" pitchFamily="49" charset="-128"/>
              <a:ea typeface="ＭＳ ゴシック" panose="020B0609070205080204" pitchFamily="49" charset="-128"/>
            </a:rPr>
            <a:t>\93</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外税 </a:t>
          </a:r>
          <a:r>
            <a:rPr kumimoji="1" lang="en-US" altLang="ja-JP" sz="900">
              <a:latin typeface="ＭＳ ゴシック" panose="020B0609070205080204" pitchFamily="49" charset="-128"/>
              <a:ea typeface="ＭＳ ゴシック" panose="020B0609070205080204" pitchFamily="49" charset="-128"/>
            </a:rPr>
            <a:t>8.0%</a:t>
          </a:r>
          <a:r>
            <a:rPr kumimoji="1" lang="ja-JP" altLang="en-US" sz="900">
              <a:latin typeface="ＭＳ ゴシック" panose="020B0609070205080204" pitchFamily="49" charset="-128"/>
              <a:ea typeface="ＭＳ ゴシック" panose="020B0609070205080204" pitchFamily="49" charset="-128"/>
            </a:rPr>
            <a:t>対象額          </a:t>
          </a:r>
          <a:r>
            <a:rPr kumimoji="1" lang="en-US" altLang="ja-JP" sz="900">
              <a:latin typeface="ＭＳ ゴシック" panose="020B0609070205080204" pitchFamily="49" charset="-128"/>
              <a:ea typeface="ＭＳ ゴシック" panose="020B0609070205080204" pitchFamily="49" charset="-128"/>
            </a:rPr>
            <a:t>\93)</a:t>
          </a:r>
        </a:p>
        <a:p>
          <a:r>
            <a:rPr kumimoji="1" lang="en-US" altLang="ja-JP" sz="900">
              <a:latin typeface="ＭＳ ゴシック" panose="020B0609070205080204" pitchFamily="49" charset="-128"/>
              <a:ea typeface="ＭＳ ゴシック" panose="020B0609070205080204" pitchFamily="49" charset="-128"/>
            </a:rPr>
            <a:t>      8.0% </a:t>
          </a:r>
          <a:r>
            <a:rPr kumimoji="1" lang="ja-JP" altLang="en-US" sz="900">
              <a:latin typeface="ＭＳ ゴシック" panose="020B0609070205080204" pitchFamily="49" charset="-128"/>
              <a:ea typeface="ＭＳ ゴシック" panose="020B0609070205080204" pitchFamily="49" charset="-128"/>
            </a:rPr>
            <a:t>消費税等          </a:t>
          </a:r>
          <a:r>
            <a:rPr kumimoji="1" lang="en-US" altLang="ja-JP" sz="900">
              <a:latin typeface="ＭＳ ゴシック" panose="020B0609070205080204" pitchFamily="49" charset="-128"/>
              <a:ea typeface="ＭＳ ゴシック" panose="020B0609070205080204" pitchFamily="49" charset="-128"/>
            </a:rPr>
            <a:t>\7</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外税額計                    </a:t>
          </a:r>
          <a:r>
            <a:rPr kumimoji="1" lang="en-US" altLang="ja-JP" sz="900">
              <a:latin typeface="ＭＳ ゴシック" panose="020B0609070205080204" pitchFamily="49" charset="-128"/>
              <a:ea typeface="ＭＳ ゴシック" panose="020B0609070205080204" pitchFamily="49" charset="-128"/>
            </a:rPr>
            <a:t>\7</a:t>
          </a:r>
        </a:p>
        <a:p>
          <a:r>
            <a:rPr kumimoji="1" lang="en-US" altLang="ja-JP" sz="900">
              <a:latin typeface="ＭＳ ゴシック" panose="020B0609070205080204" pitchFamily="49" charset="-128"/>
              <a:ea typeface="ＭＳ ゴシック" panose="020B0609070205080204" pitchFamily="49" charset="-128"/>
            </a:rPr>
            <a:t>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税込小計                  </a:t>
          </a:r>
          <a:r>
            <a:rPr kumimoji="1" lang="en-US" altLang="ja-JP" sz="900">
              <a:latin typeface="ＭＳ ゴシック" panose="020B0609070205080204" pitchFamily="49" charset="-128"/>
              <a:ea typeface="ＭＳ ゴシック" panose="020B0609070205080204" pitchFamily="49" charset="-128"/>
            </a:rPr>
            <a:t>\100</a:t>
          </a:r>
        </a:p>
        <a:p>
          <a:r>
            <a:rPr kumimoji="1" lang="en-US" altLang="ja-JP" sz="900">
              <a:latin typeface="ＭＳ ゴシック" panose="020B0609070205080204" pitchFamily="49" charset="-128"/>
              <a:ea typeface="ＭＳ ゴシック" panose="020B0609070205080204" pitchFamily="49" charset="-128"/>
            </a:rPr>
            <a:t>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税込 </a:t>
          </a:r>
          <a:r>
            <a:rPr kumimoji="1" lang="en-US" altLang="ja-JP" sz="900">
              <a:latin typeface="ＭＳ ゴシック" panose="020B0609070205080204" pitchFamily="49" charset="-128"/>
              <a:ea typeface="ＭＳ ゴシック" panose="020B0609070205080204" pitchFamily="49" charset="-128"/>
            </a:rPr>
            <a:t>8.0%</a:t>
          </a:r>
          <a:r>
            <a:rPr kumimoji="1" lang="ja-JP" altLang="en-US" sz="900">
              <a:latin typeface="ＭＳ ゴシック" panose="020B0609070205080204" pitchFamily="49" charset="-128"/>
              <a:ea typeface="ＭＳ ゴシック" panose="020B0609070205080204" pitchFamily="49" charset="-128"/>
            </a:rPr>
            <a:t>対象額         </a:t>
          </a:r>
          <a:r>
            <a:rPr kumimoji="1" lang="en-US" altLang="ja-JP" sz="900">
              <a:latin typeface="ＭＳ ゴシック" panose="020B0609070205080204" pitchFamily="49" charset="-128"/>
              <a:ea typeface="ＭＳ ゴシック" panose="020B0609070205080204" pitchFamily="49" charset="-128"/>
            </a:rPr>
            <a:t>\100)</a:t>
          </a:r>
        </a:p>
        <a:p>
          <a:r>
            <a:rPr kumimoji="1" lang="en-US" altLang="ja-JP" sz="900">
              <a:latin typeface="ＭＳ ゴシック" panose="020B0609070205080204" pitchFamily="49" charset="-128"/>
              <a:ea typeface="ＭＳ ゴシック" panose="020B0609070205080204" pitchFamily="49" charset="-128"/>
            </a:rPr>
            <a:t>      8.0% </a:t>
          </a:r>
          <a:r>
            <a:rPr kumimoji="1" lang="ja-JP" altLang="en-US" sz="900">
              <a:latin typeface="ＭＳ ゴシック" panose="020B0609070205080204" pitchFamily="49" charset="-128"/>
              <a:ea typeface="ＭＳ ゴシック" panose="020B0609070205080204" pitchFamily="49" charset="-128"/>
            </a:rPr>
            <a:t>消費税等          </a:t>
          </a:r>
          <a:r>
            <a:rPr kumimoji="1" lang="en-US" altLang="ja-JP" sz="900">
              <a:latin typeface="ＭＳ ゴシック" panose="020B0609070205080204" pitchFamily="49" charset="-128"/>
              <a:ea typeface="ＭＳ ゴシック" panose="020B0609070205080204" pitchFamily="49" charset="-128"/>
            </a:rPr>
            <a:t>\7</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税額計                      </a:t>
          </a:r>
          <a:r>
            <a:rPr kumimoji="1" lang="en-US" altLang="ja-JP" sz="900">
              <a:latin typeface="ＭＳ ゴシック" panose="020B0609070205080204" pitchFamily="49" charset="-128"/>
              <a:ea typeface="ＭＳ ゴシック" panose="020B0609070205080204" pitchFamily="49" charset="-128"/>
            </a:rPr>
            <a:t>\7</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a:t>
          </a:r>
          <a:r>
            <a:rPr kumimoji="1" lang="en-US" altLang="ja-JP" sz="900">
              <a:latin typeface="ＭＳ ゴシック" panose="020B0609070205080204" pitchFamily="49" charset="-128"/>
              <a:ea typeface="ＭＳ ゴシック" panose="020B0609070205080204" pitchFamily="49" charset="-128"/>
            </a:rPr>
            <a:t>x</a:t>
          </a:r>
          <a:r>
            <a:rPr kumimoji="1" lang="ja-JP" altLang="en-US" sz="900">
              <a:latin typeface="ＭＳ ゴシック" panose="020B0609070205080204" pitchFamily="49" charset="-128"/>
              <a:ea typeface="ＭＳ ゴシック" panose="020B0609070205080204" pitchFamily="49" charset="-128"/>
            </a:rPr>
            <a:t>」は軽減税率対象商品です    </a:t>
          </a:r>
        </a:p>
        <a:p>
          <a:r>
            <a:rPr kumimoji="1" lang="ja-JP" altLang="en-US" sz="900">
              <a:latin typeface="ＭＳ ゴシック" panose="020B0609070205080204" pitchFamily="49" charset="-128"/>
              <a:ea typeface="ＭＳ ゴシック" panose="020B0609070205080204" pitchFamily="49" charset="-128"/>
            </a:rPr>
            <a:t> ━━━━━━━━━━━━━━━</a:t>
          </a:r>
        </a:p>
        <a:p>
          <a:r>
            <a:rPr kumimoji="1" lang="ja-JP" altLang="en-US" sz="900">
              <a:latin typeface="ＭＳ ゴシック" panose="020B0609070205080204" pitchFamily="49" charset="-128"/>
              <a:ea typeface="ＭＳ ゴシック" panose="020B0609070205080204" pitchFamily="49" charset="-128"/>
            </a:rPr>
            <a:t> 合計                 </a:t>
          </a:r>
          <a:r>
            <a:rPr kumimoji="1" lang="en-US" altLang="ja-JP" sz="900">
              <a:latin typeface="ＭＳ ゴシック" panose="020B0609070205080204" pitchFamily="49" charset="-128"/>
              <a:ea typeface="ＭＳ ゴシック" panose="020B0609070205080204" pitchFamily="49" charset="-128"/>
            </a:rPr>
            <a:t>\100</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お預り               </a:t>
          </a:r>
          <a:r>
            <a:rPr kumimoji="1" lang="en-US" altLang="ja-JP" sz="900">
              <a:latin typeface="ＭＳ ゴシック" panose="020B0609070205080204" pitchFamily="49" charset="-128"/>
              <a:ea typeface="ＭＳ ゴシック" panose="020B0609070205080204" pitchFamily="49" charset="-128"/>
            </a:rPr>
            <a:t>\100</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お釣り                   </a:t>
          </a:r>
          <a:r>
            <a:rPr kumimoji="1" lang="en-US" altLang="ja-JP" sz="900">
              <a:latin typeface="ＭＳ ゴシック" panose="020B0609070205080204" pitchFamily="49" charset="-128"/>
              <a:ea typeface="ＭＳ ゴシック" panose="020B0609070205080204" pitchFamily="49" charset="-128"/>
            </a:rPr>
            <a:t>\0</a:t>
          </a:r>
        </a:p>
        <a:p>
          <a:r>
            <a:rPr kumimoji="1" lang="en-US" altLang="ja-JP" sz="900">
              <a:latin typeface="ＭＳ ゴシック" panose="020B0609070205080204" pitchFamily="49" charset="-128"/>
              <a:ea typeface="ＭＳ ゴシック" panose="020B0609070205080204" pitchFamily="49" charset="-128"/>
            </a:rPr>
            <a:t> ━━━━━━━━━━━━━━━</a:t>
          </a:r>
        </a:p>
        <a:p>
          <a:endParaRPr kumimoji="1" lang="en-US" altLang="ja-JP" sz="900">
            <a:latin typeface="ＭＳ ゴシック" panose="020B0609070205080204" pitchFamily="49" charset="-128"/>
            <a:ea typeface="ＭＳ ゴシック" panose="020B0609070205080204" pitchFamily="49" charset="-128"/>
          </a:endParaRPr>
        </a:p>
      </xdr:txBody>
    </xdr:sp>
    <xdr:clientData/>
  </xdr:twoCellAnchor>
  <xdr:twoCellAnchor>
    <xdr:from>
      <xdr:col>11</xdr:col>
      <xdr:colOff>61232</xdr:colOff>
      <xdr:row>91</xdr:row>
      <xdr:rowOff>136071</xdr:rowOff>
    </xdr:from>
    <xdr:to>
      <xdr:col>19</xdr:col>
      <xdr:colOff>264432</xdr:colOff>
      <xdr:row>112</xdr:row>
      <xdr:rowOff>13607</xdr:rowOff>
    </xdr:to>
    <xdr:sp macro="" textlink="">
      <xdr:nvSpPr>
        <xdr:cNvPr id="657" name="テキスト ボックス 656">
          <a:extLst>
            <a:ext uri="{FF2B5EF4-FFF2-40B4-BE49-F238E27FC236}">
              <a16:creationId xmlns:a16="http://schemas.microsoft.com/office/drawing/2014/main" id="{28F38FC4-E9EF-40E8-9109-DDDCA50F6C41}"/>
            </a:ext>
          </a:extLst>
        </xdr:cNvPr>
        <xdr:cNvSpPr txBox="1"/>
      </xdr:nvSpPr>
      <xdr:spPr>
        <a:xfrm>
          <a:off x="2575832" y="15738021"/>
          <a:ext cx="1993900" cy="3477986"/>
        </a:xfrm>
        <a:prstGeom prst="rect">
          <a:avLst/>
        </a:prstGeom>
        <a:solidFill>
          <a:schemeClr val="accent5">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lstStyle/>
        <a:p>
          <a:r>
            <a:rPr kumimoji="1" lang="en-US" altLang="ja-JP" sz="900">
              <a:latin typeface="ＭＳ ゴシック" panose="020B0609070205080204" pitchFamily="49" charset="-128"/>
              <a:ea typeface="ＭＳ ゴシック" panose="020B0609070205080204" pitchFamily="49" charset="-128"/>
            </a:rPr>
            <a:t>【</a:t>
          </a:r>
          <a:r>
            <a:rPr kumimoji="1" lang="ja-JP" altLang="en-US" sz="900">
              <a:latin typeface="ＭＳ ゴシック" panose="020B0609070205080204" pitchFamily="49" charset="-128"/>
              <a:ea typeface="ＭＳ ゴシック" panose="020B0609070205080204" pitchFamily="49" charset="-128"/>
            </a:rPr>
            <a:t>レシート印字イメージ</a:t>
          </a:r>
          <a:r>
            <a:rPr kumimoji="1" lang="en-US" altLang="ja-JP" sz="900">
              <a:latin typeface="ＭＳ ゴシック" panose="020B0609070205080204" pitchFamily="49" charset="-128"/>
              <a:ea typeface="ＭＳ ゴシック" panose="020B0609070205080204" pitchFamily="49" charset="-128"/>
            </a:rPr>
            <a:t>】※</a:t>
          </a:r>
          <a:r>
            <a:rPr kumimoji="1" lang="ja-JP" altLang="en-US" sz="900">
              <a:latin typeface="ＭＳ ゴシック" panose="020B0609070205080204" pitchFamily="49" charset="-128"/>
              <a:ea typeface="ＭＳ ゴシック" panose="020B0609070205080204" pitchFamily="49" charset="-128"/>
            </a:rPr>
            <a:t>倍角無し</a:t>
          </a:r>
          <a:endParaRPr kumimoji="1" lang="en-US" altLang="ja-JP" sz="900">
            <a:latin typeface="ＭＳ ゴシック" panose="020B0609070205080204" pitchFamily="49" charset="-128"/>
            <a:ea typeface="ＭＳ ゴシック" panose="020B0609070205080204" pitchFamily="49" charset="-128"/>
          </a:endParaRPr>
        </a:p>
        <a:p>
          <a:r>
            <a:rPr kumimoji="1" lang="ja-JP" altLang="en-US" sz="900">
              <a:latin typeface="ＭＳ ゴシック" panose="020B0609070205080204" pitchFamily="49" charset="-128"/>
              <a:ea typeface="ＭＳ ゴシック" panose="020B0609070205080204" pitchFamily="49" charset="-128"/>
            </a:rPr>
            <a:t> </a:t>
          </a:r>
          <a:r>
            <a:rPr kumimoji="1" lang="en-US" altLang="ja-JP" sz="900">
              <a:latin typeface="ＭＳ ゴシック" panose="020B0609070205080204" pitchFamily="49" charset="-128"/>
              <a:ea typeface="ＭＳ ゴシック" panose="020B0609070205080204" pitchFamily="49" charset="-128"/>
            </a:rPr>
            <a:t>2024</a:t>
          </a:r>
          <a:r>
            <a:rPr kumimoji="1" lang="ja-JP" altLang="en-US" sz="900">
              <a:latin typeface="ＭＳ ゴシック" panose="020B0609070205080204" pitchFamily="49" charset="-128"/>
              <a:ea typeface="ＭＳ ゴシック" panose="020B0609070205080204" pitchFamily="49" charset="-128"/>
            </a:rPr>
            <a:t>年</a:t>
          </a:r>
          <a:r>
            <a:rPr kumimoji="1" lang="en-US" altLang="ja-JP" sz="900">
              <a:latin typeface="ＭＳ ゴシック" panose="020B0609070205080204" pitchFamily="49" charset="-128"/>
              <a:ea typeface="ＭＳ ゴシック" panose="020B0609070205080204" pitchFamily="49" charset="-128"/>
            </a:rPr>
            <a:t>10</a:t>
          </a:r>
          <a:r>
            <a:rPr kumimoji="1" lang="ja-JP" altLang="en-US" sz="900">
              <a:latin typeface="ＭＳ ゴシック" panose="020B0609070205080204" pitchFamily="49" charset="-128"/>
              <a:ea typeface="ＭＳ ゴシック" panose="020B0609070205080204" pitchFamily="49" charset="-128"/>
            </a:rPr>
            <a:t>月</a:t>
          </a:r>
          <a:r>
            <a:rPr kumimoji="1" lang="en-US" altLang="ja-JP" sz="900">
              <a:latin typeface="ＭＳ ゴシック" panose="020B0609070205080204" pitchFamily="49" charset="-128"/>
              <a:ea typeface="ＭＳ ゴシック" panose="020B0609070205080204" pitchFamily="49" charset="-128"/>
            </a:rPr>
            <a:t>21</a:t>
          </a:r>
          <a:r>
            <a:rPr kumimoji="1" lang="ja-JP" altLang="en-US" sz="900">
              <a:latin typeface="ＭＳ ゴシック" panose="020B0609070205080204" pitchFamily="49" charset="-128"/>
              <a:ea typeface="ＭＳ ゴシック" panose="020B0609070205080204" pitchFamily="49" charset="-128"/>
            </a:rPr>
            <a:t>日（月） </a:t>
          </a:r>
          <a:r>
            <a:rPr kumimoji="1" lang="en-US" altLang="ja-JP" sz="900">
              <a:latin typeface="ＭＳ ゴシック" panose="020B0609070205080204" pitchFamily="49" charset="-128"/>
              <a:ea typeface="ＭＳ ゴシック" panose="020B0609070205080204" pitchFamily="49" charset="-128"/>
            </a:rPr>
            <a:t>19:32</a:t>
          </a:r>
        </a:p>
        <a:p>
          <a:r>
            <a:rPr kumimoji="1" lang="en-US" altLang="ja-JP" sz="900">
              <a:latin typeface="ＭＳ ゴシック" panose="020B0609070205080204" pitchFamily="49" charset="-128"/>
              <a:ea typeface="ＭＳ ゴシック" panose="020B0609070205080204" pitchFamily="49" charset="-128"/>
            </a:rPr>
            <a:t>   01 x</a:t>
          </a:r>
          <a:r>
            <a:rPr kumimoji="1" lang="ja-JP" altLang="en-US" sz="900">
              <a:latin typeface="ＭＳ ゴシック" panose="020B0609070205080204" pitchFamily="49" charset="-128"/>
              <a:ea typeface="ＭＳ ゴシック" panose="020B0609070205080204" pitchFamily="49" charset="-128"/>
            </a:rPr>
            <a:t>商品Ａ               </a:t>
          </a:r>
          <a:r>
            <a:rPr kumimoji="1" lang="en-US" altLang="ja-JP" sz="900">
              <a:latin typeface="ＭＳ ゴシック" panose="020B0609070205080204" pitchFamily="49" charset="-128"/>
              <a:ea typeface="ＭＳ ゴシック" panose="020B0609070205080204" pitchFamily="49" charset="-128"/>
            </a:rPr>
            <a:t>\99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小計       </a:t>
          </a:r>
          <a:r>
            <a:rPr kumimoji="1" lang="en-US" altLang="ja-JP" sz="900">
              <a:latin typeface="ＭＳ ゴシック" panose="020B0609070205080204" pitchFamily="49" charset="-128"/>
              <a:ea typeface="ＭＳ ゴシック" panose="020B0609070205080204" pitchFamily="49" charset="-128"/>
            </a:rPr>
            <a:t>1</a:t>
          </a:r>
          <a:r>
            <a:rPr kumimoji="1" lang="ja-JP" altLang="en-US" sz="900">
              <a:latin typeface="ＭＳ ゴシック" panose="020B0609070205080204" pitchFamily="49" charset="-128"/>
              <a:ea typeface="ＭＳ ゴシック" panose="020B0609070205080204" pitchFamily="49" charset="-128"/>
            </a:rPr>
            <a:t>点             </a:t>
          </a:r>
          <a:r>
            <a:rPr kumimoji="1" lang="en-US" altLang="ja-JP" sz="900">
              <a:latin typeface="ＭＳ ゴシック" panose="020B0609070205080204" pitchFamily="49" charset="-128"/>
              <a:ea typeface="ＭＳ ゴシック" panose="020B0609070205080204" pitchFamily="49" charset="-128"/>
            </a:rPr>
            <a:t>\99</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外税 </a:t>
          </a:r>
          <a:r>
            <a:rPr kumimoji="1" lang="en-US" altLang="ja-JP" sz="900">
              <a:latin typeface="ＭＳ ゴシック" panose="020B0609070205080204" pitchFamily="49" charset="-128"/>
              <a:ea typeface="ＭＳ ゴシック" panose="020B0609070205080204" pitchFamily="49" charset="-128"/>
            </a:rPr>
            <a:t>8.0%</a:t>
          </a:r>
          <a:r>
            <a:rPr kumimoji="1" lang="ja-JP" altLang="en-US" sz="900">
              <a:latin typeface="ＭＳ ゴシック" panose="020B0609070205080204" pitchFamily="49" charset="-128"/>
              <a:ea typeface="ＭＳ ゴシック" panose="020B0609070205080204" pitchFamily="49" charset="-128"/>
            </a:rPr>
            <a:t>対象額          </a:t>
          </a:r>
          <a:r>
            <a:rPr kumimoji="1" lang="en-US" altLang="ja-JP" sz="900">
              <a:latin typeface="ＭＳ ゴシック" panose="020B0609070205080204" pitchFamily="49" charset="-128"/>
              <a:ea typeface="ＭＳ ゴシック" panose="020B0609070205080204" pitchFamily="49" charset="-128"/>
            </a:rPr>
            <a:t>\99)</a:t>
          </a:r>
        </a:p>
        <a:p>
          <a:r>
            <a:rPr kumimoji="1" lang="en-US" altLang="ja-JP" sz="900">
              <a:latin typeface="ＭＳ ゴシック" panose="020B0609070205080204" pitchFamily="49" charset="-128"/>
              <a:ea typeface="ＭＳ ゴシック" panose="020B0609070205080204" pitchFamily="49" charset="-128"/>
            </a:rPr>
            <a:t>      8.0% </a:t>
          </a:r>
          <a:r>
            <a:rPr kumimoji="1" lang="ja-JP" altLang="en-US" sz="900">
              <a:latin typeface="ＭＳ ゴシック" panose="020B0609070205080204" pitchFamily="49" charset="-128"/>
              <a:ea typeface="ＭＳ ゴシック" panose="020B0609070205080204" pitchFamily="49" charset="-128"/>
            </a:rPr>
            <a:t>消費税等          </a:t>
          </a:r>
          <a:r>
            <a:rPr kumimoji="1" lang="en-US" altLang="ja-JP" sz="900">
              <a:latin typeface="ＭＳ ゴシック" panose="020B0609070205080204" pitchFamily="49" charset="-128"/>
              <a:ea typeface="ＭＳ ゴシック" panose="020B0609070205080204" pitchFamily="49" charset="-128"/>
            </a:rPr>
            <a:t>\7</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外税額計                    </a:t>
          </a:r>
          <a:r>
            <a:rPr kumimoji="1" lang="en-US" altLang="ja-JP" sz="900">
              <a:latin typeface="ＭＳ ゴシック" panose="020B0609070205080204" pitchFamily="49" charset="-128"/>
              <a:ea typeface="ＭＳ ゴシック" panose="020B0609070205080204" pitchFamily="49" charset="-128"/>
            </a:rPr>
            <a:t>\7</a:t>
          </a:r>
        </a:p>
        <a:p>
          <a:r>
            <a:rPr kumimoji="1" lang="en-US" altLang="ja-JP" sz="900">
              <a:latin typeface="ＭＳ ゴシック" panose="020B0609070205080204" pitchFamily="49" charset="-128"/>
              <a:ea typeface="ＭＳ ゴシック" panose="020B0609070205080204" pitchFamily="49" charset="-128"/>
            </a:rPr>
            <a:t>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税込小計                  </a:t>
          </a:r>
          <a:r>
            <a:rPr kumimoji="1" lang="en-US" altLang="ja-JP" sz="900">
              <a:latin typeface="ＭＳ ゴシック" panose="020B0609070205080204" pitchFamily="49" charset="-128"/>
              <a:ea typeface="ＭＳ ゴシック" panose="020B0609070205080204" pitchFamily="49" charset="-128"/>
            </a:rPr>
            <a:t>\106</a:t>
          </a:r>
        </a:p>
        <a:p>
          <a:r>
            <a:rPr kumimoji="1" lang="en-US" altLang="ja-JP" sz="900">
              <a:latin typeface="ＭＳ ゴシック" panose="020B0609070205080204" pitchFamily="49" charset="-128"/>
              <a:ea typeface="ＭＳ ゴシック" panose="020B0609070205080204" pitchFamily="49" charset="-128"/>
            </a:rPr>
            <a:t>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税込 </a:t>
          </a:r>
          <a:r>
            <a:rPr kumimoji="1" lang="en-US" altLang="ja-JP" sz="900">
              <a:latin typeface="ＭＳ ゴシック" panose="020B0609070205080204" pitchFamily="49" charset="-128"/>
              <a:ea typeface="ＭＳ ゴシック" panose="020B0609070205080204" pitchFamily="49" charset="-128"/>
            </a:rPr>
            <a:t>8.0%</a:t>
          </a:r>
          <a:r>
            <a:rPr kumimoji="1" lang="ja-JP" altLang="en-US" sz="900">
              <a:latin typeface="ＭＳ ゴシック" panose="020B0609070205080204" pitchFamily="49" charset="-128"/>
              <a:ea typeface="ＭＳ ゴシック" panose="020B0609070205080204" pitchFamily="49" charset="-128"/>
            </a:rPr>
            <a:t>対象額         </a:t>
          </a:r>
          <a:r>
            <a:rPr kumimoji="1" lang="en-US" altLang="ja-JP" sz="900">
              <a:latin typeface="ＭＳ ゴシック" panose="020B0609070205080204" pitchFamily="49" charset="-128"/>
              <a:ea typeface="ＭＳ ゴシック" panose="020B0609070205080204" pitchFamily="49" charset="-128"/>
            </a:rPr>
            <a:t>\106)</a:t>
          </a:r>
        </a:p>
        <a:p>
          <a:r>
            <a:rPr kumimoji="1" lang="en-US" altLang="ja-JP" sz="900">
              <a:latin typeface="ＭＳ ゴシック" panose="020B0609070205080204" pitchFamily="49" charset="-128"/>
              <a:ea typeface="ＭＳ ゴシック" panose="020B0609070205080204" pitchFamily="49" charset="-128"/>
            </a:rPr>
            <a:t>      8.0% </a:t>
          </a:r>
          <a:r>
            <a:rPr kumimoji="1" lang="ja-JP" altLang="en-US" sz="900">
              <a:latin typeface="ＭＳ ゴシック" panose="020B0609070205080204" pitchFamily="49" charset="-128"/>
              <a:ea typeface="ＭＳ ゴシック" panose="020B0609070205080204" pitchFamily="49" charset="-128"/>
            </a:rPr>
            <a:t>消費税等          </a:t>
          </a:r>
          <a:r>
            <a:rPr kumimoji="1" lang="en-US" altLang="ja-JP" sz="900">
              <a:latin typeface="ＭＳ ゴシック" panose="020B0609070205080204" pitchFamily="49" charset="-128"/>
              <a:ea typeface="ＭＳ ゴシック" panose="020B0609070205080204" pitchFamily="49" charset="-128"/>
            </a:rPr>
            <a:t>\7</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税額計                      </a:t>
          </a:r>
          <a:r>
            <a:rPr kumimoji="1" lang="en-US" altLang="ja-JP" sz="900">
              <a:latin typeface="ＭＳ ゴシック" panose="020B0609070205080204" pitchFamily="49" charset="-128"/>
              <a:ea typeface="ＭＳ ゴシック" panose="020B0609070205080204" pitchFamily="49" charset="-128"/>
            </a:rPr>
            <a:t>\7</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a:t>
          </a:r>
          <a:r>
            <a:rPr kumimoji="1" lang="en-US" altLang="ja-JP" sz="900">
              <a:latin typeface="ＭＳ ゴシック" panose="020B0609070205080204" pitchFamily="49" charset="-128"/>
              <a:ea typeface="ＭＳ ゴシック" panose="020B0609070205080204" pitchFamily="49" charset="-128"/>
            </a:rPr>
            <a:t>x</a:t>
          </a:r>
          <a:r>
            <a:rPr kumimoji="1" lang="ja-JP" altLang="en-US" sz="900">
              <a:latin typeface="ＭＳ ゴシック" panose="020B0609070205080204" pitchFamily="49" charset="-128"/>
              <a:ea typeface="ＭＳ ゴシック" panose="020B0609070205080204" pitchFamily="49" charset="-128"/>
            </a:rPr>
            <a:t>」は軽減税率対象商品です    </a:t>
          </a:r>
        </a:p>
        <a:p>
          <a:r>
            <a:rPr kumimoji="1" lang="ja-JP" altLang="en-US" sz="900">
              <a:latin typeface="ＭＳ ゴシック" panose="020B0609070205080204" pitchFamily="49" charset="-128"/>
              <a:ea typeface="ＭＳ ゴシック" panose="020B0609070205080204" pitchFamily="49" charset="-128"/>
            </a:rPr>
            <a:t> ━━━━━━━━━━━━━━━</a:t>
          </a:r>
        </a:p>
        <a:p>
          <a:r>
            <a:rPr kumimoji="1" lang="ja-JP" altLang="en-US" sz="900">
              <a:latin typeface="ＭＳ ゴシック" panose="020B0609070205080204" pitchFamily="49" charset="-128"/>
              <a:ea typeface="ＭＳ ゴシック" panose="020B0609070205080204" pitchFamily="49" charset="-128"/>
            </a:rPr>
            <a:t> 合計                  </a:t>
          </a:r>
          <a:r>
            <a:rPr kumimoji="1" lang="en-US" altLang="ja-JP" sz="900">
              <a:latin typeface="ＭＳ ゴシック" panose="020B0609070205080204" pitchFamily="49" charset="-128"/>
              <a:ea typeface="ＭＳ ゴシック" panose="020B0609070205080204" pitchFamily="49" charset="-128"/>
            </a:rPr>
            <a:t>\106</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お預り                </a:t>
          </a:r>
          <a:r>
            <a:rPr kumimoji="1" lang="en-US" altLang="ja-JP" sz="900">
              <a:latin typeface="ＭＳ ゴシック" panose="020B0609070205080204" pitchFamily="49" charset="-128"/>
              <a:ea typeface="ＭＳ ゴシック" panose="020B0609070205080204" pitchFamily="49" charset="-128"/>
            </a:rPr>
            <a:t>\106</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お釣り                    </a:t>
          </a:r>
          <a:r>
            <a:rPr kumimoji="1" lang="en-US" altLang="ja-JP" sz="900">
              <a:latin typeface="ＭＳ ゴシック" panose="020B0609070205080204" pitchFamily="49" charset="-128"/>
              <a:ea typeface="ＭＳ ゴシック" panose="020B0609070205080204" pitchFamily="49" charset="-128"/>
            </a:rPr>
            <a:t>\0</a:t>
          </a:r>
        </a:p>
        <a:p>
          <a:r>
            <a:rPr kumimoji="1" lang="en-US" altLang="ja-JP" sz="900">
              <a:latin typeface="ＭＳ ゴシック" panose="020B0609070205080204" pitchFamily="49" charset="-128"/>
              <a:ea typeface="ＭＳ ゴシック" panose="020B0609070205080204" pitchFamily="49" charset="-128"/>
            </a:rPr>
            <a:t> ━━━━━━━━━━━━━━━</a:t>
          </a:r>
        </a:p>
      </xdr:txBody>
    </xdr:sp>
    <xdr:clientData/>
  </xdr:twoCellAnchor>
  <xdr:twoCellAnchor>
    <xdr:from>
      <xdr:col>1</xdr:col>
      <xdr:colOff>88447</xdr:colOff>
      <xdr:row>353</xdr:row>
      <xdr:rowOff>20411</xdr:rowOff>
    </xdr:from>
    <xdr:to>
      <xdr:col>10</xdr:col>
      <xdr:colOff>210004</xdr:colOff>
      <xdr:row>382</xdr:row>
      <xdr:rowOff>122465</xdr:rowOff>
    </xdr:to>
    <xdr:sp macro="" textlink="">
      <xdr:nvSpPr>
        <xdr:cNvPr id="658" name="テキスト ボックス 657">
          <a:extLst>
            <a:ext uri="{FF2B5EF4-FFF2-40B4-BE49-F238E27FC236}">
              <a16:creationId xmlns:a16="http://schemas.microsoft.com/office/drawing/2014/main" id="{EC19D10C-3B26-4440-B185-BBAF23713F65}"/>
            </a:ext>
          </a:extLst>
        </xdr:cNvPr>
        <xdr:cNvSpPr txBox="1"/>
      </xdr:nvSpPr>
      <xdr:spPr>
        <a:xfrm>
          <a:off x="317047" y="60542261"/>
          <a:ext cx="2178957" cy="5074104"/>
        </a:xfrm>
        <a:prstGeom prst="rect">
          <a:avLst/>
        </a:prstGeom>
        <a:solidFill>
          <a:schemeClr val="accent5">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lstStyle/>
        <a:p>
          <a:r>
            <a:rPr kumimoji="1" lang="en-US" altLang="ja-JP" sz="900">
              <a:latin typeface="ＭＳ ゴシック" panose="020B0609070205080204" pitchFamily="49" charset="-128"/>
              <a:ea typeface="ＭＳ ゴシック" panose="020B0609070205080204" pitchFamily="49" charset="-128"/>
            </a:rPr>
            <a:t>【</a:t>
          </a:r>
          <a:r>
            <a:rPr kumimoji="1" lang="ja-JP" altLang="en-US" sz="900">
              <a:latin typeface="ＭＳ ゴシック" panose="020B0609070205080204" pitchFamily="49" charset="-128"/>
              <a:ea typeface="ＭＳ ゴシック" panose="020B0609070205080204" pitchFamily="49" charset="-128"/>
            </a:rPr>
            <a:t>レシート印字イメージ</a:t>
          </a:r>
          <a:r>
            <a:rPr kumimoji="1" lang="en-US" altLang="ja-JP" sz="900">
              <a:latin typeface="ＭＳ ゴシック" panose="020B0609070205080204" pitchFamily="49" charset="-128"/>
              <a:ea typeface="ＭＳ ゴシック" panose="020B0609070205080204" pitchFamily="49" charset="-128"/>
            </a:rPr>
            <a:t>】※</a:t>
          </a:r>
          <a:r>
            <a:rPr kumimoji="1" lang="ja-JP" altLang="en-US" sz="900">
              <a:latin typeface="ＭＳ ゴシック" panose="020B0609070205080204" pitchFamily="49" charset="-128"/>
              <a:ea typeface="ＭＳ ゴシック" panose="020B0609070205080204" pitchFamily="49" charset="-128"/>
            </a:rPr>
            <a:t>倍角無し</a:t>
          </a:r>
          <a:endParaRPr kumimoji="1" lang="en-US" altLang="ja-JP" sz="900">
            <a:latin typeface="ＭＳ ゴシック" panose="020B0609070205080204" pitchFamily="49" charset="-128"/>
            <a:ea typeface="ＭＳ ゴシック" panose="020B0609070205080204" pitchFamily="49" charset="-128"/>
          </a:endParaRPr>
        </a:p>
        <a:p>
          <a:r>
            <a:rPr kumimoji="1" lang="ja-JP" altLang="en-US" sz="900">
              <a:latin typeface="ＭＳ ゴシック" panose="020B0609070205080204" pitchFamily="49" charset="-128"/>
              <a:ea typeface="ＭＳ ゴシック" panose="020B0609070205080204" pitchFamily="49" charset="-128"/>
            </a:rPr>
            <a:t> </a:t>
          </a:r>
          <a:r>
            <a:rPr kumimoji="1" lang="en-US" altLang="ja-JP" sz="900">
              <a:latin typeface="ＭＳ ゴシック" panose="020B0609070205080204" pitchFamily="49" charset="-128"/>
              <a:ea typeface="ＭＳ ゴシック" panose="020B0609070205080204" pitchFamily="49" charset="-128"/>
            </a:rPr>
            <a:t>2024</a:t>
          </a:r>
          <a:r>
            <a:rPr kumimoji="1" lang="ja-JP" altLang="en-US" sz="900">
              <a:latin typeface="ＭＳ ゴシック" panose="020B0609070205080204" pitchFamily="49" charset="-128"/>
              <a:ea typeface="ＭＳ ゴシック" panose="020B0609070205080204" pitchFamily="49" charset="-128"/>
            </a:rPr>
            <a:t>年</a:t>
          </a:r>
          <a:r>
            <a:rPr kumimoji="1" lang="en-US" altLang="ja-JP" sz="900">
              <a:latin typeface="ＭＳ ゴシック" panose="020B0609070205080204" pitchFamily="49" charset="-128"/>
              <a:ea typeface="ＭＳ ゴシック" panose="020B0609070205080204" pitchFamily="49" charset="-128"/>
            </a:rPr>
            <a:t>10</a:t>
          </a:r>
          <a:r>
            <a:rPr kumimoji="1" lang="ja-JP" altLang="en-US" sz="900">
              <a:latin typeface="ＭＳ ゴシック" panose="020B0609070205080204" pitchFamily="49" charset="-128"/>
              <a:ea typeface="ＭＳ ゴシック" panose="020B0609070205080204" pitchFamily="49" charset="-128"/>
            </a:rPr>
            <a:t>月</a:t>
          </a:r>
          <a:r>
            <a:rPr kumimoji="1" lang="en-US" altLang="ja-JP" sz="900">
              <a:latin typeface="ＭＳ ゴシック" panose="020B0609070205080204" pitchFamily="49" charset="-128"/>
              <a:ea typeface="ＭＳ ゴシック" panose="020B0609070205080204" pitchFamily="49" charset="-128"/>
            </a:rPr>
            <a:t>22</a:t>
          </a:r>
          <a:r>
            <a:rPr kumimoji="1" lang="ja-JP" altLang="en-US" sz="900">
              <a:latin typeface="ＭＳ ゴシック" panose="020B0609070205080204" pitchFamily="49" charset="-128"/>
              <a:ea typeface="ＭＳ ゴシック" panose="020B0609070205080204" pitchFamily="49" charset="-128"/>
            </a:rPr>
            <a:t>日（火） </a:t>
          </a:r>
          <a:r>
            <a:rPr kumimoji="1" lang="en-US" altLang="ja-JP" sz="900">
              <a:latin typeface="ＭＳ ゴシック" panose="020B0609070205080204" pitchFamily="49" charset="-128"/>
              <a:ea typeface="ＭＳ ゴシック" panose="020B0609070205080204" pitchFamily="49" charset="-128"/>
            </a:rPr>
            <a:t>12:21</a:t>
          </a:r>
        </a:p>
        <a:p>
          <a:r>
            <a:rPr kumimoji="1" lang="en-US" altLang="ja-JP" sz="900">
              <a:latin typeface="ＭＳ ゴシック" panose="020B0609070205080204" pitchFamily="49" charset="-128"/>
              <a:ea typeface="ＭＳ ゴシック" panose="020B0609070205080204" pitchFamily="49" charset="-128"/>
            </a:rPr>
            <a:t>   01 x</a:t>
          </a:r>
          <a:r>
            <a:rPr kumimoji="1" lang="ja-JP" altLang="en-US" sz="900">
              <a:latin typeface="ＭＳ ゴシック" panose="020B0609070205080204" pitchFamily="49" charset="-128"/>
              <a:ea typeface="ＭＳ ゴシック" panose="020B0609070205080204" pitchFamily="49" charset="-128"/>
            </a:rPr>
            <a:t>商品Ｇ               </a:t>
          </a:r>
          <a:r>
            <a:rPr kumimoji="1" lang="en-US" altLang="ja-JP" sz="900">
              <a:latin typeface="ＭＳ ゴシック" panose="020B0609070205080204" pitchFamily="49" charset="-128"/>
              <a:ea typeface="ＭＳ ゴシック" panose="020B0609070205080204" pitchFamily="49" charset="-128"/>
            </a:rPr>
            <a:t>\95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分類値引   </a:t>
          </a:r>
          <a:r>
            <a:rPr kumimoji="1" lang="en-US" altLang="ja-JP" sz="900">
              <a:latin typeface="ＭＳ ゴシック" panose="020B0609070205080204" pitchFamily="49" charset="-128"/>
              <a:ea typeface="ＭＳ ゴシック" panose="020B0609070205080204" pitchFamily="49" charset="-128"/>
            </a:rPr>
            <a:t>15%         -\15</a:t>
          </a:r>
        </a:p>
        <a:p>
          <a:r>
            <a:rPr kumimoji="1" lang="en-US" altLang="ja-JP" sz="900">
              <a:latin typeface="ＭＳ ゴシック" panose="020B0609070205080204" pitchFamily="49" charset="-128"/>
              <a:ea typeface="ＭＳ ゴシック" panose="020B0609070205080204" pitchFamily="49" charset="-128"/>
            </a:rPr>
            <a:t>   01 x</a:t>
          </a:r>
          <a:r>
            <a:rPr kumimoji="1" lang="ja-JP" altLang="en-US" sz="900">
              <a:latin typeface="ＭＳ ゴシック" panose="020B0609070205080204" pitchFamily="49" charset="-128"/>
              <a:ea typeface="ＭＳ ゴシック" panose="020B0609070205080204" pitchFamily="49" charset="-128"/>
            </a:rPr>
            <a:t>商品Ｈ              </a:t>
          </a:r>
          <a:r>
            <a:rPr kumimoji="1" lang="en-US" altLang="ja-JP" sz="900">
              <a:latin typeface="ＭＳ ゴシック" panose="020B0609070205080204" pitchFamily="49" charset="-128"/>
              <a:ea typeface="ＭＳ ゴシック" panose="020B0609070205080204" pitchFamily="49" charset="-128"/>
            </a:rPr>
            <a:t>\100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分類値引   </a:t>
          </a:r>
          <a:r>
            <a:rPr kumimoji="1" lang="en-US" altLang="ja-JP" sz="900">
              <a:latin typeface="ＭＳ ゴシック" panose="020B0609070205080204" pitchFamily="49" charset="-128"/>
              <a:ea typeface="ＭＳ ゴシック" panose="020B0609070205080204" pitchFamily="49" charset="-128"/>
            </a:rPr>
            <a:t>14%         -\14</a:t>
          </a:r>
        </a:p>
        <a:p>
          <a:r>
            <a:rPr kumimoji="1" lang="en-US" altLang="ja-JP" sz="900">
              <a:latin typeface="ＭＳ ゴシック" panose="020B0609070205080204" pitchFamily="49" charset="-128"/>
              <a:ea typeface="ＭＳ ゴシック" panose="020B0609070205080204" pitchFamily="49" charset="-128"/>
            </a:rPr>
            <a:t>   01 x</a:t>
          </a:r>
          <a:r>
            <a:rPr kumimoji="1" lang="ja-JP" altLang="en-US" sz="900">
              <a:latin typeface="ＭＳ ゴシック" panose="020B0609070205080204" pitchFamily="49" charset="-128"/>
              <a:ea typeface="ＭＳ ゴシック" panose="020B0609070205080204" pitchFamily="49" charset="-128"/>
            </a:rPr>
            <a:t>商品Ｉ                   </a:t>
          </a:r>
        </a:p>
        <a:p>
          <a:r>
            <a:rPr kumimoji="1" lang="ja-JP" altLang="en-US" sz="900">
              <a:latin typeface="ＭＳ ゴシック" panose="020B0609070205080204" pitchFamily="49" charset="-128"/>
              <a:ea typeface="ＭＳ ゴシック" panose="020B0609070205080204" pitchFamily="49" charset="-128"/>
            </a:rPr>
            <a:t>        </a:t>
          </a:r>
          <a:r>
            <a:rPr kumimoji="1" lang="en-US" altLang="ja-JP" sz="900">
              <a:latin typeface="ＭＳ ゴシック" panose="020B0609070205080204" pitchFamily="49" charset="-128"/>
              <a:ea typeface="ＭＳ ゴシック" panose="020B0609070205080204" pitchFamily="49" charset="-128"/>
            </a:rPr>
            <a:t>\100   3</a:t>
          </a:r>
          <a:r>
            <a:rPr kumimoji="1" lang="ja-JP" altLang="en-US" sz="900">
              <a:latin typeface="ＭＳ ゴシック" panose="020B0609070205080204" pitchFamily="49" charset="-128"/>
              <a:ea typeface="ＭＳ ゴシック" panose="020B0609070205080204" pitchFamily="49" charset="-128"/>
            </a:rPr>
            <a:t>個         </a:t>
          </a:r>
          <a:r>
            <a:rPr kumimoji="1" lang="en-US" altLang="ja-JP" sz="900">
              <a:latin typeface="ＭＳ ゴシック" panose="020B0609070205080204" pitchFamily="49" charset="-128"/>
              <a:ea typeface="ＭＳ ゴシック" panose="020B0609070205080204" pitchFamily="49" charset="-128"/>
            </a:rPr>
            <a:t>\300</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分類値引   </a:t>
          </a:r>
          <a:r>
            <a:rPr kumimoji="1" lang="en-US" altLang="ja-JP" sz="900">
              <a:latin typeface="ＭＳ ゴシック" panose="020B0609070205080204" pitchFamily="49" charset="-128"/>
              <a:ea typeface="ＭＳ ゴシック" panose="020B0609070205080204" pitchFamily="49" charset="-128"/>
            </a:rPr>
            <a:t>16%         -\48</a:t>
          </a:r>
        </a:p>
        <a:p>
          <a:r>
            <a:rPr kumimoji="1" lang="en-US" altLang="ja-JP" sz="900">
              <a:latin typeface="ＭＳ ゴシック" panose="020B0609070205080204" pitchFamily="49" charset="-128"/>
              <a:ea typeface="ＭＳ ゴシック" panose="020B0609070205080204" pitchFamily="49" charset="-128"/>
            </a:rPr>
            <a:t>   01 x</a:t>
          </a:r>
          <a:r>
            <a:rPr kumimoji="1" lang="ja-JP" altLang="en-US" sz="900">
              <a:latin typeface="ＭＳ ゴシック" panose="020B0609070205080204" pitchFamily="49" charset="-128"/>
              <a:ea typeface="ＭＳ ゴシック" panose="020B0609070205080204" pitchFamily="49" charset="-128"/>
            </a:rPr>
            <a:t>商品Ｊ                   </a:t>
          </a:r>
        </a:p>
        <a:p>
          <a:r>
            <a:rPr kumimoji="1" lang="ja-JP" altLang="en-US" sz="900">
              <a:latin typeface="ＭＳ ゴシック" panose="020B0609070205080204" pitchFamily="49" charset="-128"/>
              <a:ea typeface="ＭＳ ゴシック" panose="020B0609070205080204" pitchFamily="49" charset="-128"/>
            </a:rPr>
            <a:t>        </a:t>
          </a:r>
          <a:r>
            <a:rPr kumimoji="1" lang="en-US" altLang="ja-JP" sz="900">
              <a:latin typeface="ＭＳ ゴシック" panose="020B0609070205080204" pitchFamily="49" charset="-128"/>
              <a:ea typeface="ＭＳ ゴシック" panose="020B0609070205080204" pitchFamily="49" charset="-128"/>
            </a:rPr>
            <a:t>\100   2</a:t>
          </a:r>
          <a:r>
            <a:rPr kumimoji="1" lang="ja-JP" altLang="en-US" sz="900">
              <a:latin typeface="ＭＳ ゴシック" panose="020B0609070205080204" pitchFamily="49" charset="-128"/>
              <a:ea typeface="ＭＳ ゴシック" panose="020B0609070205080204" pitchFamily="49" charset="-128"/>
            </a:rPr>
            <a:t>個         </a:t>
          </a:r>
          <a:r>
            <a:rPr kumimoji="1" lang="en-US" altLang="ja-JP" sz="900">
              <a:latin typeface="ＭＳ ゴシック" panose="020B0609070205080204" pitchFamily="49" charset="-128"/>
              <a:ea typeface="ＭＳ ゴシック" panose="020B0609070205080204" pitchFamily="49" charset="-128"/>
            </a:rPr>
            <a:t>\200</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分類値引   </a:t>
          </a:r>
          <a:r>
            <a:rPr kumimoji="1" lang="en-US" altLang="ja-JP" sz="900">
              <a:latin typeface="ＭＳ ゴシック" panose="020B0609070205080204" pitchFamily="49" charset="-128"/>
              <a:ea typeface="ＭＳ ゴシック" panose="020B0609070205080204" pitchFamily="49" charset="-128"/>
            </a:rPr>
            <a:t>15%         -\30</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小計       </a:t>
          </a:r>
          <a:r>
            <a:rPr kumimoji="1" lang="en-US" altLang="ja-JP" sz="900">
              <a:latin typeface="ＭＳ ゴシック" panose="020B0609070205080204" pitchFamily="49" charset="-128"/>
              <a:ea typeface="ＭＳ ゴシック" panose="020B0609070205080204" pitchFamily="49" charset="-128"/>
            </a:rPr>
            <a:t>7</a:t>
          </a:r>
          <a:r>
            <a:rPr kumimoji="1" lang="ja-JP" altLang="en-US" sz="900">
              <a:latin typeface="ＭＳ ゴシック" panose="020B0609070205080204" pitchFamily="49" charset="-128"/>
              <a:ea typeface="ＭＳ ゴシック" panose="020B0609070205080204" pitchFamily="49" charset="-128"/>
            </a:rPr>
            <a:t>点            </a:t>
          </a:r>
          <a:r>
            <a:rPr kumimoji="1" lang="en-US" altLang="ja-JP" sz="900">
              <a:latin typeface="ＭＳ ゴシック" panose="020B0609070205080204" pitchFamily="49" charset="-128"/>
              <a:ea typeface="ＭＳ ゴシック" panose="020B0609070205080204" pitchFamily="49" charset="-128"/>
            </a:rPr>
            <a:t>\588</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外税 </a:t>
          </a:r>
          <a:r>
            <a:rPr kumimoji="1" lang="en-US" altLang="ja-JP" sz="900">
              <a:latin typeface="ＭＳ ゴシック" panose="020B0609070205080204" pitchFamily="49" charset="-128"/>
              <a:ea typeface="ＭＳ ゴシック" panose="020B0609070205080204" pitchFamily="49" charset="-128"/>
            </a:rPr>
            <a:t>8.0%</a:t>
          </a:r>
          <a:r>
            <a:rPr kumimoji="1" lang="ja-JP" altLang="en-US" sz="900">
              <a:latin typeface="ＭＳ ゴシック" panose="020B0609070205080204" pitchFamily="49" charset="-128"/>
              <a:ea typeface="ＭＳ ゴシック" panose="020B0609070205080204" pitchFamily="49" charset="-128"/>
            </a:rPr>
            <a:t>対象額         </a:t>
          </a:r>
          <a:r>
            <a:rPr kumimoji="1" lang="en-US" altLang="ja-JP" sz="900">
              <a:latin typeface="ＭＳ ゴシック" panose="020B0609070205080204" pitchFamily="49" charset="-128"/>
              <a:ea typeface="ＭＳ ゴシック" panose="020B0609070205080204" pitchFamily="49" charset="-128"/>
            </a:rPr>
            <a:t>\588)</a:t>
          </a:r>
        </a:p>
        <a:p>
          <a:r>
            <a:rPr kumimoji="1" lang="en-US" altLang="ja-JP" sz="900">
              <a:latin typeface="ＭＳ ゴシック" panose="020B0609070205080204" pitchFamily="49" charset="-128"/>
              <a:ea typeface="ＭＳ ゴシック" panose="020B0609070205080204" pitchFamily="49" charset="-128"/>
            </a:rPr>
            <a:t>      8.0% </a:t>
          </a:r>
          <a:r>
            <a:rPr kumimoji="1" lang="ja-JP" altLang="en-US" sz="900">
              <a:latin typeface="ＭＳ ゴシック" panose="020B0609070205080204" pitchFamily="49" charset="-128"/>
              <a:ea typeface="ＭＳ ゴシック" panose="020B0609070205080204" pitchFamily="49" charset="-128"/>
            </a:rPr>
            <a:t>消費税等         </a:t>
          </a:r>
          <a:r>
            <a:rPr kumimoji="1" lang="en-US" altLang="ja-JP" sz="900">
              <a:latin typeface="ＭＳ ゴシック" panose="020B0609070205080204" pitchFamily="49" charset="-128"/>
              <a:ea typeface="ＭＳ ゴシック" panose="020B0609070205080204" pitchFamily="49" charset="-128"/>
            </a:rPr>
            <a:t>\47</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外税額計                   </a:t>
          </a:r>
          <a:r>
            <a:rPr kumimoji="1" lang="en-US" altLang="ja-JP" sz="900">
              <a:latin typeface="ＭＳ ゴシック" panose="020B0609070205080204" pitchFamily="49" charset="-128"/>
              <a:ea typeface="ＭＳ ゴシック" panose="020B0609070205080204" pitchFamily="49" charset="-128"/>
            </a:rPr>
            <a:t>\47</a:t>
          </a:r>
        </a:p>
        <a:p>
          <a:r>
            <a:rPr kumimoji="1" lang="en-US" altLang="ja-JP" sz="900">
              <a:latin typeface="ＭＳ ゴシック" panose="020B0609070205080204" pitchFamily="49" charset="-128"/>
              <a:ea typeface="ＭＳ ゴシック" panose="020B0609070205080204" pitchFamily="49" charset="-128"/>
            </a:rPr>
            <a:t>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税込小計                  </a:t>
          </a:r>
          <a:r>
            <a:rPr kumimoji="1" lang="en-US" altLang="ja-JP" sz="900">
              <a:latin typeface="ＭＳ ゴシック" panose="020B0609070205080204" pitchFamily="49" charset="-128"/>
              <a:ea typeface="ＭＳ ゴシック" panose="020B0609070205080204" pitchFamily="49" charset="-128"/>
            </a:rPr>
            <a:t>\635</a:t>
          </a:r>
        </a:p>
        <a:p>
          <a:r>
            <a:rPr kumimoji="1" lang="en-US" altLang="ja-JP" sz="900">
              <a:latin typeface="ＭＳ ゴシック" panose="020B0609070205080204" pitchFamily="49" charset="-128"/>
              <a:ea typeface="ＭＳ ゴシック" panose="020B0609070205080204" pitchFamily="49" charset="-128"/>
            </a:rPr>
            <a:t>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税込 </a:t>
          </a:r>
          <a:r>
            <a:rPr kumimoji="1" lang="en-US" altLang="ja-JP" sz="900">
              <a:latin typeface="ＭＳ ゴシック" panose="020B0609070205080204" pitchFamily="49" charset="-128"/>
              <a:ea typeface="ＭＳ ゴシック" panose="020B0609070205080204" pitchFamily="49" charset="-128"/>
            </a:rPr>
            <a:t>8.0%</a:t>
          </a:r>
          <a:r>
            <a:rPr kumimoji="1" lang="ja-JP" altLang="en-US" sz="900">
              <a:latin typeface="ＭＳ ゴシック" panose="020B0609070205080204" pitchFamily="49" charset="-128"/>
              <a:ea typeface="ＭＳ ゴシック" panose="020B0609070205080204" pitchFamily="49" charset="-128"/>
            </a:rPr>
            <a:t>対象額         </a:t>
          </a:r>
          <a:r>
            <a:rPr kumimoji="1" lang="en-US" altLang="ja-JP" sz="900">
              <a:latin typeface="ＭＳ ゴシック" panose="020B0609070205080204" pitchFamily="49" charset="-128"/>
              <a:ea typeface="ＭＳ ゴシック" panose="020B0609070205080204" pitchFamily="49" charset="-128"/>
            </a:rPr>
            <a:t>\635)</a:t>
          </a:r>
        </a:p>
        <a:p>
          <a:r>
            <a:rPr kumimoji="1" lang="en-US" altLang="ja-JP" sz="900">
              <a:latin typeface="ＭＳ ゴシック" panose="020B0609070205080204" pitchFamily="49" charset="-128"/>
              <a:ea typeface="ＭＳ ゴシック" panose="020B0609070205080204" pitchFamily="49" charset="-128"/>
            </a:rPr>
            <a:t>      8.0% </a:t>
          </a:r>
          <a:r>
            <a:rPr kumimoji="1" lang="ja-JP" altLang="en-US" sz="900">
              <a:latin typeface="ＭＳ ゴシック" panose="020B0609070205080204" pitchFamily="49" charset="-128"/>
              <a:ea typeface="ＭＳ ゴシック" panose="020B0609070205080204" pitchFamily="49" charset="-128"/>
            </a:rPr>
            <a:t>消費税等         </a:t>
          </a:r>
          <a:r>
            <a:rPr kumimoji="1" lang="en-US" altLang="ja-JP" sz="900">
              <a:latin typeface="ＭＳ ゴシック" panose="020B0609070205080204" pitchFamily="49" charset="-128"/>
              <a:ea typeface="ＭＳ ゴシック" panose="020B0609070205080204" pitchFamily="49" charset="-128"/>
            </a:rPr>
            <a:t>\47</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税額計                     </a:t>
          </a:r>
          <a:r>
            <a:rPr kumimoji="1" lang="en-US" altLang="ja-JP" sz="900">
              <a:latin typeface="ＭＳ ゴシック" panose="020B0609070205080204" pitchFamily="49" charset="-128"/>
              <a:ea typeface="ＭＳ ゴシック" panose="020B0609070205080204" pitchFamily="49" charset="-128"/>
            </a:rPr>
            <a:t>\47</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a:t>
          </a:r>
          <a:r>
            <a:rPr kumimoji="1" lang="en-US" altLang="ja-JP" sz="900">
              <a:latin typeface="ＭＳ ゴシック" panose="020B0609070205080204" pitchFamily="49" charset="-128"/>
              <a:ea typeface="ＭＳ ゴシック" panose="020B0609070205080204" pitchFamily="49" charset="-128"/>
            </a:rPr>
            <a:t>x</a:t>
          </a:r>
          <a:r>
            <a:rPr kumimoji="1" lang="ja-JP" altLang="en-US" sz="900">
              <a:latin typeface="ＭＳ ゴシック" panose="020B0609070205080204" pitchFamily="49" charset="-128"/>
              <a:ea typeface="ＭＳ ゴシック" panose="020B0609070205080204" pitchFamily="49" charset="-128"/>
            </a:rPr>
            <a:t>」は軽減税率対象商品です    </a:t>
          </a:r>
        </a:p>
        <a:p>
          <a:r>
            <a:rPr kumimoji="1" lang="ja-JP" altLang="en-US" sz="900">
              <a:latin typeface="ＭＳ ゴシック" panose="020B0609070205080204" pitchFamily="49" charset="-128"/>
              <a:ea typeface="ＭＳ ゴシック" panose="020B0609070205080204" pitchFamily="49" charset="-128"/>
            </a:rPr>
            <a:t> ━━━━━━━━━━━━━━━</a:t>
          </a:r>
        </a:p>
        <a:p>
          <a:r>
            <a:rPr kumimoji="1" lang="ja-JP" altLang="en-US" sz="900">
              <a:latin typeface="ＭＳ ゴシック" panose="020B0609070205080204" pitchFamily="49" charset="-128"/>
              <a:ea typeface="ＭＳ ゴシック" panose="020B0609070205080204" pitchFamily="49" charset="-128"/>
            </a:rPr>
            <a:t> 合計                  </a:t>
          </a:r>
          <a:r>
            <a:rPr kumimoji="1" lang="en-US" altLang="ja-JP" sz="900">
              <a:latin typeface="ＭＳ ゴシック" panose="020B0609070205080204" pitchFamily="49" charset="-128"/>
              <a:ea typeface="ＭＳ ゴシック" panose="020B0609070205080204" pitchFamily="49" charset="-128"/>
            </a:rPr>
            <a:t>\635</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お預り                </a:t>
          </a:r>
          <a:r>
            <a:rPr kumimoji="1" lang="en-US" altLang="ja-JP" sz="900">
              <a:latin typeface="ＭＳ ゴシック" panose="020B0609070205080204" pitchFamily="49" charset="-128"/>
              <a:ea typeface="ＭＳ ゴシック" panose="020B0609070205080204" pitchFamily="49" charset="-128"/>
            </a:rPr>
            <a:t>\635</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お釣り                    </a:t>
          </a:r>
          <a:r>
            <a:rPr kumimoji="1" lang="en-US" altLang="ja-JP" sz="900">
              <a:latin typeface="ＭＳ ゴシック" panose="020B0609070205080204" pitchFamily="49" charset="-128"/>
              <a:ea typeface="ＭＳ ゴシック" panose="020B0609070205080204" pitchFamily="49" charset="-128"/>
            </a:rPr>
            <a:t>\0</a:t>
          </a:r>
        </a:p>
        <a:p>
          <a:r>
            <a:rPr kumimoji="1" lang="en-US" altLang="ja-JP" sz="900">
              <a:latin typeface="ＭＳ ゴシック" panose="020B0609070205080204" pitchFamily="49" charset="-128"/>
              <a:ea typeface="ＭＳ ゴシック" panose="020B0609070205080204" pitchFamily="49" charset="-128"/>
            </a:rPr>
            <a:t> ━━━━━━━━━━━━━━━</a:t>
          </a:r>
        </a:p>
        <a:p>
          <a:endParaRPr kumimoji="1" lang="en-US" altLang="ja-JP" sz="900">
            <a:latin typeface="ＭＳ ゴシック" panose="020B0609070205080204" pitchFamily="49" charset="-128"/>
            <a:ea typeface="ＭＳ ゴシック" panose="020B0609070205080204" pitchFamily="49" charset="-128"/>
          </a:endParaRPr>
        </a:p>
      </xdr:txBody>
    </xdr:sp>
    <xdr:clientData/>
  </xdr:twoCellAnchor>
  <xdr:twoCellAnchor>
    <xdr:from>
      <xdr:col>11</xdr:col>
      <xdr:colOff>108857</xdr:colOff>
      <xdr:row>417</xdr:row>
      <xdr:rowOff>54429</xdr:rowOff>
    </xdr:from>
    <xdr:to>
      <xdr:col>19</xdr:col>
      <xdr:colOff>312057</xdr:colOff>
      <xdr:row>439</xdr:row>
      <xdr:rowOff>68036</xdr:rowOff>
    </xdr:to>
    <xdr:sp macro="" textlink="">
      <xdr:nvSpPr>
        <xdr:cNvPr id="659" name="テキスト ボックス 658">
          <a:extLst>
            <a:ext uri="{FF2B5EF4-FFF2-40B4-BE49-F238E27FC236}">
              <a16:creationId xmlns:a16="http://schemas.microsoft.com/office/drawing/2014/main" id="{598DC7F8-50E7-4A62-B7FA-32F7184302F2}"/>
            </a:ext>
          </a:extLst>
        </xdr:cNvPr>
        <xdr:cNvSpPr txBox="1"/>
      </xdr:nvSpPr>
      <xdr:spPr>
        <a:xfrm>
          <a:off x="2623457" y="71549079"/>
          <a:ext cx="1946275" cy="3785507"/>
        </a:xfrm>
        <a:prstGeom prst="rect">
          <a:avLst/>
        </a:prstGeom>
        <a:solidFill>
          <a:schemeClr val="accent5">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lstStyle/>
        <a:p>
          <a:r>
            <a:rPr kumimoji="1" lang="en-US" altLang="ja-JP" sz="900">
              <a:latin typeface="ＭＳ ゴシック" panose="020B0609070205080204" pitchFamily="49" charset="-128"/>
              <a:ea typeface="ＭＳ ゴシック" panose="020B0609070205080204" pitchFamily="49" charset="-128"/>
            </a:rPr>
            <a:t>【</a:t>
          </a:r>
          <a:r>
            <a:rPr kumimoji="1" lang="ja-JP" altLang="en-US" sz="900">
              <a:latin typeface="ＭＳ ゴシック" panose="020B0609070205080204" pitchFamily="49" charset="-128"/>
              <a:ea typeface="ＭＳ ゴシック" panose="020B0609070205080204" pitchFamily="49" charset="-128"/>
            </a:rPr>
            <a:t>レシート印字イメージ</a:t>
          </a:r>
          <a:r>
            <a:rPr kumimoji="1" lang="en-US" altLang="ja-JP" sz="900">
              <a:latin typeface="ＭＳ ゴシック" panose="020B0609070205080204" pitchFamily="49" charset="-128"/>
              <a:ea typeface="ＭＳ ゴシック" panose="020B0609070205080204" pitchFamily="49" charset="-128"/>
            </a:rPr>
            <a:t>】※</a:t>
          </a:r>
          <a:r>
            <a:rPr kumimoji="1" lang="ja-JP" altLang="en-US" sz="900">
              <a:latin typeface="ＭＳ ゴシック" panose="020B0609070205080204" pitchFamily="49" charset="-128"/>
              <a:ea typeface="ＭＳ ゴシック" panose="020B0609070205080204" pitchFamily="49" charset="-128"/>
            </a:rPr>
            <a:t>倍角無し</a:t>
          </a:r>
          <a:endParaRPr kumimoji="1" lang="en-US" altLang="ja-JP" sz="900">
            <a:latin typeface="ＭＳ ゴシック" panose="020B0609070205080204" pitchFamily="49" charset="-128"/>
            <a:ea typeface="ＭＳ ゴシック" panose="020B0609070205080204" pitchFamily="49" charset="-128"/>
          </a:endParaRPr>
        </a:p>
        <a:p>
          <a:r>
            <a:rPr kumimoji="1" lang="ja-JP" altLang="en-US" sz="900">
              <a:latin typeface="ＭＳ ゴシック" panose="020B0609070205080204" pitchFamily="49" charset="-128"/>
              <a:ea typeface="ＭＳ ゴシック" panose="020B0609070205080204" pitchFamily="49" charset="-128"/>
            </a:rPr>
            <a:t> </a:t>
          </a:r>
          <a:r>
            <a:rPr kumimoji="1" lang="en-US" altLang="ja-JP" sz="900">
              <a:latin typeface="ＭＳ ゴシック" panose="020B0609070205080204" pitchFamily="49" charset="-128"/>
              <a:ea typeface="ＭＳ ゴシック" panose="020B0609070205080204" pitchFamily="49" charset="-128"/>
            </a:rPr>
            <a:t>2024</a:t>
          </a:r>
          <a:r>
            <a:rPr kumimoji="1" lang="ja-JP" altLang="en-US" sz="900">
              <a:latin typeface="ＭＳ ゴシック" panose="020B0609070205080204" pitchFamily="49" charset="-128"/>
              <a:ea typeface="ＭＳ ゴシック" panose="020B0609070205080204" pitchFamily="49" charset="-128"/>
            </a:rPr>
            <a:t>年</a:t>
          </a:r>
          <a:r>
            <a:rPr kumimoji="1" lang="en-US" altLang="ja-JP" sz="900">
              <a:latin typeface="ＭＳ ゴシック" panose="020B0609070205080204" pitchFamily="49" charset="-128"/>
              <a:ea typeface="ＭＳ ゴシック" panose="020B0609070205080204" pitchFamily="49" charset="-128"/>
            </a:rPr>
            <a:t>10</a:t>
          </a:r>
          <a:r>
            <a:rPr kumimoji="1" lang="ja-JP" altLang="en-US" sz="900">
              <a:latin typeface="ＭＳ ゴシック" panose="020B0609070205080204" pitchFamily="49" charset="-128"/>
              <a:ea typeface="ＭＳ ゴシック" panose="020B0609070205080204" pitchFamily="49" charset="-128"/>
            </a:rPr>
            <a:t>月</a:t>
          </a:r>
          <a:r>
            <a:rPr kumimoji="1" lang="en-US" altLang="ja-JP" sz="900">
              <a:latin typeface="ＭＳ ゴシック" panose="020B0609070205080204" pitchFamily="49" charset="-128"/>
              <a:ea typeface="ＭＳ ゴシック" panose="020B0609070205080204" pitchFamily="49" charset="-128"/>
            </a:rPr>
            <a:t>22</a:t>
          </a:r>
          <a:r>
            <a:rPr kumimoji="1" lang="ja-JP" altLang="en-US" sz="900">
              <a:latin typeface="ＭＳ ゴシック" panose="020B0609070205080204" pitchFamily="49" charset="-128"/>
              <a:ea typeface="ＭＳ ゴシック" panose="020B0609070205080204" pitchFamily="49" charset="-128"/>
            </a:rPr>
            <a:t>日（火） </a:t>
          </a:r>
          <a:r>
            <a:rPr kumimoji="1" lang="en-US" altLang="ja-JP" sz="900">
              <a:latin typeface="ＭＳ ゴシック" panose="020B0609070205080204" pitchFamily="49" charset="-128"/>
              <a:ea typeface="ＭＳ ゴシック" panose="020B0609070205080204" pitchFamily="49" charset="-128"/>
            </a:rPr>
            <a:t>12:25</a:t>
          </a:r>
        </a:p>
        <a:p>
          <a:r>
            <a:rPr kumimoji="1" lang="en-US" altLang="ja-JP" sz="900">
              <a:latin typeface="ＭＳ ゴシック" panose="020B0609070205080204" pitchFamily="49" charset="-128"/>
              <a:ea typeface="ＭＳ ゴシック" panose="020B0609070205080204" pitchFamily="49" charset="-128"/>
            </a:rPr>
            <a:t>  A01 x</a:t>
          </a:r>
          <a:r>
            <a:rPr kumimoji="1" lang="ja-JP" altLang="en-US" sz="900">
              <a:latin typeface="ＭＳ ゴシック" panose="020B0609070205080204" pitchFamily="49" charset="-128"/>
              <a:ea typeface="ＭＳ ゴシック" panose="020B0609070205080204" pitchFamily="49" charset="-128"/>
            </a:rPr>
            <a:t>商品Ｎ                   </a:t>
          </a:r>
        </a:p>
        <a:p>
          <a:r>
            <a:rPr kumimoji="1" lang="ja-JP" altLang="en-US" sz="900">
              <a:latin typeface="ＭＳ ゴシック" panose="020B0609070205080204" pitchFamily="49" charset="-128"/>
              <a:ea typeface="ＭＳ ゴシック" panose="020B0609070205080204" pitchFamily="49" charset="-128"/>
            </a:rPr>
            <a:t>         </a:t>
          </a:r>
          <a:r>
            <a:rPr kumimoji="1" lang="en-US" altLang="ja-JP" sz="900">
              <a:latin typeface="ＭＳ ゴシック" panose="020B0609070205080204" pitchFamily="49" charset="-128"/>
              <a:ea typeface="ＭＳ ゴシック" panose="020B0609070205080204" pitchFamily="49" charset="-128"/>
            </a:rPr>
            <a:t>\85   3</a:t>
          </a:r>
          <a:r>
            <a:rPr kumimoji="1" lang="ja-JP" altLang="en-US" sz="900">
              <a:latin typeface="ＭＳ ゴシック" panose="020B0609070205080204" pitchFamily="49" charset="-128"/>
              <a:ea typeface="ＭＳ ゴシック" panose="020B0609070205080204" pitchFamily="49" charset="-128"/>
            </a:rPr>
            <a:t>個         </a:t>
          </a:r>
          <a:r>
            <a:rPr kumimoji="1" lang="en-US" altLang="ja-JP" sz="900">
              <a:latin typeface="ＭＳ ゴシック" panose="020B0609070205080204" pitchFamily="49" charset="-128"/>
              <a:ea typeface="ＭＳ ゴシック" panose="020B0609070205080204" pitchFamily="49" charset="-128"/>
            </a:rPr>
            <a:t>\255</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小計       </a:t>
          </a:r>
          <a:r>
            <a:rPr kumimoji="1" lang="en-US" altLang="ja-JP" sz="900">
              <a:latin typeface="ＭＳ ゴシック" panose="020B0609070205080204" pitchFamily="49" charset="-128"/>
              <a:ea typeface="ＭＳ ゴシック" panose="020B0609070205080204" pitchFamily="49" charset="-128"/>
            </a:rPr>
            <a:t>3</a:t>
          </a:r>
          <a:r>
            <a:rPr kumimoji="1" lang="ja-JP" altLang="en-US" sz="900">
              <a:latin typeface="ＭＳ ゴシック" panose="020B0609070205080204" pitchFamily="49" charset="-128"/>
              <a:ea typeface="ＭＳ ゴシック" panose="020B0609070205080204" pitchFamily="49" charset="-128"/>
            </a:rPr>
            <a:t>点            </a:t>
          </a:r>
          <a:r>
            <a:rPr kumimoji="1" lang="en-US" altLang="ja-JP" sz="900">
              <a:latin typeface="ＭＳ ゴシック" panose="020B0609070205080204" pitchFamily="49" charset="-128"/>
              <a:ea typeface="ＭＳ ゴシック" panose="020B0609070205080204" pitchFamily="49" charset="-128"/>
            </a:rPr>
            <a:t>\255</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外税 </a:t>
          </a:r>
          <a:r>
            <a:rPr kumimoji="1" lang="en-US" altLang="ja-JP" sz="900">
              <a:latin typeface="ＭＳ ゴシック" panose="020B0609070205080204" pitchFamily="49" charset="-128"/>
              <a:ea typeface="ＭＳ ゴシック" panose="020B0609070205080204" pitchFamily="49" charset="-128"/>
            </a:rPr>
            <a:t>8.0%</a:t>
          </a:r>
          <a:r>
            <a:rPr kumimoji="1" lang="ja-JP" altLang="en-US" sz="900">
              <a:latin typeface="ＭＳ ゴシック" panose="020B0609070205080204" pitchFamily="49" charset="-128"/>
              <a:ea typeface="ＭＳ ゴシック" panose="020B0609070205080204" pitchFamily="49" charset="-128"/>
            </a:rPr>
            <a:t>対象額         </a:t>
          </a:r>
          <a:r>
            <a:rPr kumimoji="1" lang="en-US" altLang="ja-JP" sz="900">
              <a:latin typeface="ＭＳ ゴシック" panose="020B0609070205080204" pitchFamily="49" charset="-128"/>
              <a:ea typeface="ＭＳ ゴシック" panose="020B0609070205080204" pitchFamily="49" charset="-128"/>
            </a:rPr>
            <a:t>\255)</a:t>
          </a:r>
        </a:p>
        <a:p>
          <a:r>
            <a:rPr kumimoji="1" lang="en-US" altLang="ja-JP" sz="900">
              <a:latin typeface="ＭＳ ゴシック" panose="020B0609070205080204" pitchFamily="49" charset="-128"/>
              <a:ea typeface="ＭＳ ゴシック" panose="020B0609070205080204" pitchFamily="49" charset="-128"/>
            </a:rPr>
            <a:t>      8.0% </a:t>
          </a:r>
          <a:r>
            <a:rPr kumimoji="1" lang="ja-JP" altLang="en-US" sz="900">
              <a:latin typeface="ＭＳ ゴシック" panose="020B0609070205080204" pitchFamily="49" charset="-128"/>
              <a:ea typeface="ＭＳ ゴシック" panose="020B0609070205080204" pitchFamily="49" charset="-128"/>
            </a:rPr>
            <a:t>消費税等         </a:t>
          </a:r>
          <a:r>
            <a:rPr kumimoji="1" lang="en-US" altLang="ja-JP" sz="900">
              <a:latin typeface="ＭＳ ゴシック" panose="020B0609070205080204" pitchFamily="49" charset="-128"/>
              <a:ea typeface="ＭＳ ゴシック" panose="020B0609070205080204" pitchFamily="49" charset="-128"/>
            </a:rPr>
            <a:t>\20</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外税額計                   </a:t>
          </a:r>
          <a:r>
            <a:rPr kumimoji="1" lang="en-US" altLang="ja-JP" sz="900">
              <a:latin typeface="ＭＳ ゴシック" panose="020B0609070205080204" pitchFamily="49" charset="-128"/>
              <a:ea typeface="ＭＳ ゴシック" panose="020B0609070205080204" pitchFamily="49" charset="-128"/>
            </a:rPr>
            <a:t>\20</a:t>
          </a:r>
        </a:p>
        <a:p>
          <a:r>
            <a:rPr kumimoji="1" lang="en-US" altLang="ja-JP" sz="900">
              <a:latin typeface="ＭＳ ゴシック" panose="020B0609070205080204" pitchFamily="49" charset="-128"/>
              <a:ea typeface="ＭＳ ゴシック" panose="020B0609070205080204" pitchFamily="49" charset="-128"/>
            </a:rPr>
            <a:t>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税込小計                  </a:t>
          </a:r>
          <a:r>
            <a:rPr kumimoji="1" lang="en-US" altLang="ja-JP" sz="900">
              <a:latin typeface="ＭＳ ゴシック" panose="020B0609070205080204" pitchFamily="49" charset="-128"/>
              <a:ea typeface="ＭＳ ゴシック" panose="020B0609070205080204" pitchFamily="49" charset="-128"/>
            </a:rPr>
            <a:t>\275</a:t>
          </a:r>
        </a:p>
        <a:p>
          <a:r>
            <a:rPr kumimoji="1" lang="en-US" altLang="ja-JP" sz="900">
              <a:latin typeface="ＭＳ ゴシック" panose="020B0609070205080204" pitchFamily="49" charset="-128"/>
              <a:ea typeface="ＭＳ ゴシック" panose="020B0609070205080204" pitchFamily="49" charset="-128"/>
            </a:rPr>
            <a:t>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税込 </a:t>
          </a:r>
          <a:r>
            <a:rPr kumimoji="1" lang="en-US" altLang="ja-JP" sz="900">
              <a:latin typeface="ＭＳ ゴシック" panose="020B0609070205080204" pitchFamily="49" charset="-128"/>
              <a:ea typeface="ＭＳ ゴシック" panose="020B0609070205080204" pitchFamily="49" charset="-128"/>
            </a:rPr>
            <a:t>8.0%</a:t>
          </a:r>
          <a:r>
            <a:rPr kumimoji="1" lang="ja-JP" altLang="en-US" sz="900">
              <a:latin typeface="ＭＳ ゴシック" panose="020B0609070205080204" pitchFamily="49" charset="-128"/>
              <a:ea typeface="ＭＳ ゴシック" panose="020B0609070205080204" pitchFamily="49" charset="-128"/>
            </a:rPr>
            <a:t>対象額         </a:t>
          </a:r>
          <a:r>
            <a:rPr kumimoji="1" lang="en-US" altLang="ja-JP" sz="900">
              <a:latin typeface="ＭＳ ゴシック" panose="020B0609070205080204" pitchFamily="49" charset="-128"/>
              <a:ea typeface="ＭＳ ゴシック" panose="020B0609070205080204" pitchFamily="49" charset="-128"/>
            </a:rPr>
            <a:t>\275)</a:t>
          </a:r>
        </a:p>
        <a:p>
          <a:r>
            <a:rPr kumimoji="1" lang="en-US" altLang="ja-JP" sz="900">
              <a:latin typeface="ＭＳ ゴシック" panose="020B0609070205080204" pitchFamily="49" charset="-128"/>
              <a:ea typeface="ＭＳ ゴシック" panose="020B0609070205080204" pitchFamily="49" charset="-128"/>
            </a:rPr>
            <a:t>      8.0% </a:t>
          </a:r>
          <a:r>
            <a:rPr kumimoji="1" lang="ja-JP" altLang="en-US" sz="900">
              <a:latin typeface="ＭＳ ゴシック" panose="020B0609070205080204" pitchFamily="49" charset="-128"/>
              <a:ea typeface="ＭＳ ゴシック" panose="020B0609070205080204" pitchFamily="49" charset="-128"/>
            </a:rPr>
            <a:t>消費税等         </a:t>
          </a:r>
          <a:r>
            <a:rPr kumimoji="1" lang="en-US" altLang="ja-JP" sz="900">
              <a:latin typeface="ＭＳ ゴシック" panose="020B0609070205080204" pitchFamily="49" charset="-128"/>
              <a:ea typeface="ＭＳ ゴシック" panose="020B0609070205080204" pitchFamily="49" charset="-128"/>
            </a:rPr>
            <a:t>\20</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税額計                     </a:t>
          </a:r>
          <a:r>
            <a:rPr kumimoji="1" lang="en-US" altLang="ja-JP" sz="900">
              <a:latin typeface="ＭＳ ゴシック" panose="020B0609070205080204" pitchFamily="49" charset="-128"/>
              <a:ea typeface="ＭＳ ゴシック" panose="020B0609070205080204" pitchFamily="49" charset="-128"/>
            </a:rPr>
            <a:t>\20</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a:t>
          </a:r>
          <a:r>
            <a:rPr kumimoji="1" lang="en-US" altLang="ja-JP" sz="900">
              <a:latin typeface="ＭＳ ゴシック" panose="020B0609070205080204" pitchFamily="49" charset="-128"/>
              <a:ea typeface="ＭＳ ゴシック" panose="020B0609070205080204" pitchFamily="49" charset="-128"/>
            </a:rPr>
            <a:t>x</a:t>
          </a:r>
          <a:r>
            <a:rPr kumimoji="1" lang="ja-JP" altLang="en-US" sz="900">
              <a:latin typeface="ＭＳ ゴシック" panose="020B0609070205080204" pitchFamily="49" charset="-128"/>
              <a:ea typeface="ＭＳ ゴシック" panose="020B0609070205080204" pitchFamily="49" charset="-128"/>
            </a:rPr>
            <a:t>」は軽減税率対象商品です    </a:t>
          </a:r>
        </a:p>
        <a:p>
          <a:r>
            <a:rPr kumimoji="1" lang="ja-JP" altLang="en-US" sz="900">
              <a:latin typeface="ＭＳ ゴシック" panose="020B0609070205080204" pitchFamily="49" charset="-128"/>
              <a:ea typeface="ＭＳ ゴシック" panose="020B0609070205080204" pitchFamily="49" charset="-128"/>
            </a:rPr>
            <a:t> ━━━━━━━━━━━━━━━</a:t>
          </a:r>
        </a:p>
        <a:p>
          <a:r>
            <a:rPr kumimoji="1" lang="ja-JP" altLang="en-US" sz="900">
              <a:latin typeface="ＭＳ ゴシック" panose="020B0609070205080204" pitchFamily="49" charset="-128"/>
              <a:ea typeface="ＭＳ ゴシック" panose="020B0609070205080204" pitchFamily="49" charset="-128"/>
            </a:rPr>
            <a:t> 合計                  </a:t>
          </a:r>
          <a:r>
            <a:rPr kumimoji="1" lang="en-US" altLang="ja-JP" sz="900">
              <a:latin typeface="ＭＳ ゴシック" panose="020B0609070205080204" pitchFamily="49" charset="-128"/>
              <a:ea typeface="ＭＳ ゴシック" panose="020B0609070205080204" pitchFamily="49" charset="-128"/>
            </a:rPr>
            <a:t>\275</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お預り                </a:t>
          </a:r>
          <a:r>
            <a:rPr kumimoji="1" lang="en-US" altLang="ja-JP" sz="900">
              <a:latin typeface="ＭＳ ゴシック" panose="020B0609070205080204" pitchFamily="49" charset="-128"/>
              <a:ea typeface="ＭＳ ゴシック" panose="020B0609070205080204" pitchFamily="49" charset="-128"/>
            </a:rPr>
            <a:t>\275</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お釣り                    </a:t>
          </a:r>
          <a:r>
            <a:rPr kumimoji="1" lang="en-US" altLang="ja-JP" sz="900">
              <a:latin typeface="ＭＳ ゴシック" panose="020B0609070205080204" pitchFamily="49" charset="-128"/>
              <a:ea typeface="ＭＳ ゴシック" panose="020B0609070205080204" pitchFamily="49" charset="-128"/>
            </a:rPr>
            <a:t>\0</a:t>
          </a:r>
        </a:p>
        <a:p>
          <a:r>
            <a:rPr kumimoji="1" lang="en-US" altLang="ja-JP" sz="900">
              <a:latin typeface="ＭＳ ゴシック" panose="020B0609070205080204" pitchFamily="49" charset="-128"/>
              <a:ea typeface="ＭＳ ゴシック" panose="020B0609070205080204" pitchFamily="49" charset="-128"/>
            </a:rPr>
            <a:t> ━━━━━━━━━━━━━━━</a:t>
          </a:r>
        </a:p>
        <a:p>
          <a:endParaRPr kumimoji="1" lang="en-US" altLang="ja-JP" sz="900">
            <a:latin typeface="ＭＳ ゴシック" panose="020B0609070205080204" pitchFamily="49" charset="-128"/>
            <a:ea typeface="ＭＳ ゴシック" panose="020B0609070205080204" pitchFamily="49" charset="-128"/>
          </a:endParaRPr>
        </a:p>
      </xdr:txBody>
    </xdr:sp>
    <xdr:clientData/>
  </xdr:twoCellAnchor>
  <xdr:twoCellAnchor>
    <xdr:from>
      <xdr:col>11</xdr:col>
      <xdr:colOff>129267</xdr:colOff>
      <xdr:row>472</xdr:row>
      <xdr:rowOff>136072</xdr:rowOff>
    </xdr:from>
    <xdr:to>
      <xdr:col>19</xdr:col>
      <xdr:colOff>332467</xdr:colOff>
      <xdr:row>496</xdr:row>
      <xdr:rowOff>129268</xdr:rowOff>
    </xdr:to>
    <xdr:sp macro="" textlink="">
      <xdr:nvSpPr>
        <xdr:cNvPr id="660" name="テキスト ボックス 659">
          <a:extLst>
            <a:ext uri="{FF2B5EF4-FFF2-40B4-BE49-F238E27FC236}">
              <a16:creationId xmlns:a16="http://schemas.microsoft.com/office/drawing/2014/main" id="{2A416328-5496-4345-A187-F4FDF345F88A}"/>
            </a:ext>
          </a:extLst>
        </xdr:cNvPr>
        <xdr:cNvSpPr txBox="1"/>
      </xdr:nvSpPr>
      <xdr:spPr>
        <a:xfrm>
          <a:off x="2643867" y="81060472"/>
          <a:ext cx="1927225" cy="4107996"/>
        </a:xfrm>
        <a:prstGeom prst="rect">
          <a:avLst/>
        </a:prstGeom>
        <a:solidFill>
          <a:schemeClr val="accent5">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lstStyle/>
        <a:p>
          <a:r>
            <a:rPr kumimoji="1" lang="en-US" altLang="ja-JP" sz="900">
              <a:latin typeface="ＭＳ ゴシック" panose="020B0609070205080204" pitchFamily="49" charset="-128"/>
              <a:ea typeface="ＭＳ ゴシック" panose="020B0609070205080204" pitchFamily="49" charset="-128"/>
            </a:rPr>
            <a:t>【</a:t>
          </a:r>
          <a:r>
            <a:rPr kumimoji="1" lang="ja-JP" altLang="en-US" sz="900">
              <a:latin typeface="ＭＳ ゴシック" panose="020B0609070205080204" pitchFamily="49" charset="-128"/>
              <a:ea typeface="ＭＳ ゴシック" panose="020B0609070205080204" pitchFamily="49" charset="-128"/>
            </a:rPr>
            <a:t>レシート印字イメージ</a:t>
          </a:r>
          <a:r>
            <a:rPr kumimoji="1" lang="en-US" altLang="ja-JP" sz="900">
              <a:latin typeface="ＭＳ ゴシック" panose="020B0609070205080204" pitchFamily="49" charset="-128"/>
              <a:ea typeface="ＭＳ ゴシック" panose="020B0609070205080204" pitchFamily="49" charset="-128"/>
            </a:rPr>
            <a:t>】※</a:t>
          </a:r>
          <a:r>
            <a:rPr kumimoji="1" lang="ja-JP" altLang="en-US" sz="900">
              <a:latin typeface="ＭＳ ゴシック" panose="020B0609070205080204" pitchFamily="49" charset="-128"/>
              <a:ea typeface="ＭＳ ゴシック" panose="020B0609070205080204" pitchFamily="49" charset="-128"/>
            </a:rPr>
            <a:t>倍角無し</a:t>
          </a:r>
          <a:endParaRPr kumimoji="1" lang="en-US" altLang="ja-JP" sz="900">
            <a:latin typeface="ＭＳ ゴシック" panose="020B0609070205080204" pitchFamily="49" charset="-128"/>
            <a:ea typeface="ＭＳ ゴシック" panose="020B0609070205080204" pitchFamily="49" charset="-128"/>
          </a:endParaRPr>
        </a:p>
        <a:p>
          <a:r>
            <a:rPr kumimoji="1" lang="ja-JP" altLang="en-US" sz="900">
              <a:latin typeface="ＭＳ ゴシック" panose="020B0609070205080204" pitchFamily="49" charset="-128"/>
              <a:ea typeface="ＭＳ ゴシック" panose="020B0609070205080204" pitchFamily="49" charset="-128"/>
            </a:rPr>
            <a:t> </a:t>
          </a:r>
          <a:r>
            <a:rPr kumimoji="1" lang="en-US" altLang="ja-JP" sz="900">
              <a:latin typeface="ＭＳ ゴシック" panose="020B0609070205080204" pitchFamily="49" charset="-128"/>
              <a:ea typeface="ＭＳ ゴシック" panose="020B0609070205080204" pitchFamily="49" charset="-128"/>
            </a:rPr>
            <a:t>2024</a:t>
          </a:r>
          <a:r>
            <a:rPr kumimoji="1" lang="ja-JP" altLang="en-US" sz="900">
              <a:latin typeface="ＭＳ ゴシック" panose="020B0609070205080204" pitchFamily="49" charset="-128"/>
              <a:ea typeface="ＭＳ ゴシック" panose="020B0609070205080204" pitchFamily="49" charset="-128"/>
            </a:rPr>
            <a:t>年</a:t>
          </a:r>
          <a:r>
            <a:rPr kumimoji="1" lang="en-US" altLang="ja-JP" sz="900">
              <a:latin typeface="ＭＳ ゴシック" panose="020B0609070205080204" pitchFamily="49" charset="-128"/>
              <a:ea typeface="ＭＳ ゴシック" panose="020B0609070205080204" pitchFamily="49" charset="-128"/>
            </a:rPr>
            <a:t>10</a:t>
          </a:r>
          <a:r>
            <a:rPr kumimoji="1" lang="ja-JP" altLang="en-US" sz="900">
              <a:latin typeface="ＭＳ ゴシック" panose="020B0609070205080204" pitchFamily="49" charset="-128"/>
              <a:ea typeface="ＭＳ ゴシック" panose="020B0609070205080204" pitchFamily="49" charset="-128"/>
            </a:rPr>
            <a:t>月</a:t>
          </a:r>
          <a:r>
            <a:rPr kumimoji="1" lang="en-US" altLang="ja-JP" sz="900">
              <a:latin typeface="ＭＳ ゴシック" panose="020B0609070205080204" pitchFamily="49" charset="-128"/>
              <a:ea typeface="ＭＳ ゴシック" panose="020B0609070205080204" pitchFamily="49" charset="-128"/>
            </a:rPr>
            <a:t>22</a:t>
          </a:r>
          <a:r>
            <a:rPr kumimoji="1" lang="ja-JP" altLang="en-US" sz="900">
              <a:latin typeface="ＭＳ ゴシック" panose="020B0609070205080204" pitchFamily="49" charset="-128"/>
              <a:ea typeface="ＭＳ ゴシック" panose="020B0609070205080204" pitchFamily="49" charset="-128"/>
            </a:rPr>
            <a:t>日（火） </a:t>
          </a:r>
          <a:r>
            <a:rPr kumimoji="1" lang="en-US" altLang="ja-JP" sz="900">
              <a:latin typeface="ＭＳ ゴシック" panose="020B0609070205080204" pitchFamily="49" charset="-128"/>
              <a:ea typeface="ＭＳ ゴシック" panose="020B0609070205080204" pitchFamily="49" charset="-128"/>
            </a:rPr>
            <a:t>12:26</a:t>
          </a:r>
        </a:p>
        <a:p>
          <a:r>
            <a:rPr kumimoji="1" lang="en-US" altLang="ja-JP" sz="900">
              <a:latin typeface="ＭＳ ゴシック" panose="020B0609070205080204" pitchFamily="49" charset="-128"/>
              <a:ea typeface="ＭＳ ゴシック" panose="020B0609070205080204" pitchFamily="49" charset="-128"/>
            </a:rPr>
            <a:t>  A01 x</a:t>
          </a:r>
          <a:r>
            <a:rPr kumimoji="1" lang="ja-JP" altLang="en-US" sz="900">
              <a:latin typeface="ＭＳ ゴシック" panose="020B0609070205080204" pitchFamily="49" charset="-128"/>
              <a:ea typeface="ＭＳ ゴシック" panose="020B0609070205080204" pitchFamily="49" charset="-128"/>
            </a:rPr>
            <a:t>商品Ｏ                   </a:t>
          </a:r>
        </a:p>
        <a:p>
          <a:r>
            <a:rPr kumimoji="1" lang="ja-JP" altLang="en-US" sz="900">
              <a:latin typeface="ＭＳ ゴシック" panose="020B0609070205080204" pitchFamily="49" charset="-128"/>
              <a:ea typeface="ＭＳ ゴシック" panose="020B0609070205080204" pitchFamily="49" charset="-128"/>
            </a:rPr>
            <a:t>         </a:t>
          </a:r>
          <a:r>
            <a:rPr kumimoji="1" lang="en-US" altLang="ja-JP" sz="900">
              <a:latin typeface="ＭＳ ゴシック" panose="020B0609070205080204" pitchFamily="49" charset="-128"/>
              <a:ea typeface="ＭＳ ゴシック" panose="020B0609070205080204" pitchFamily="49" charset="-128"/>
            </a:rPr>
            <a:t>\95   3</a:t>
          </a:r>
          <a:r>
            <a:rPr kumimoji="1" lang="ja-JP" altLang="en-US" sz="900">
              <a:latin typeface="ＭＳ ゴシック" panose="020B0609070205080204" pitchFamily="49" charset="-128"/>
              <a:ea typeface="ＭＳ ゴシック" panose="020B0609070205080204" pitchFamily="49" charset="-128"/>
            </a:rPr>
            <a:t>個         </a:t>
          </a:r>
          <a:r>
            <a:rPr kumimoji="1" lang="en-US" altLang="ja-JP" sz="900">
              <a:latin typeface="ＭＳ ゴシック" panose="020B0609070205080204" pitchFamily="49" charset="-128"/>
              <a:ea typeface="ＭＳ ゴシック" panose="020B0609070205080204" pitchFamily="49" charset="-128"/>
            </a:rPr>
            <a:t>\285</a:t>
          </a:r>
        </a:p>
        <a:p>
          <a:r>
            <a:rPr kumimoji="1" lang="en-US" altLang="ja-JP" sz="900">
              <a:latin typeface="ＭＳ ゴシック" panose="020B0609070205080204" pitchFamily="49" charset="-128"/>
              <a:ea typeface="ＭＳ ゴシック" panose="020B0609070205080204" pitchFamily="49" charset="-128"/>
            </a:rPr>
            <a:t>  (  2</a:t>
          </a:r>
          <a:r>
            <a:rPr kumimoji="1" lang="ja-JP" altLang="en-US" sz="900">
              <a:latin typeface="ＭＳ ゴシック" panose="020B0609070205080204" pitchFamily="49" charset="-128"/>
              <a:ea typeface="ＭＳ ゴシック" panose="020B0609070205080204" pitchFamily="49" charset="-128"/>
            </a:rPr>
            <a:t>個</a:t>
          </a:r>
          <a:r>
            <a:rPr kumimoji="1" lang="en-US" altLang="ja-JP" sz="900">
              <a:latin typeface="ＭＳ ゴシック" panose="020B0609070205080204" pitchFamily="49" charset="-128"/>
              <a:ea typeface="ＭＳ ゴシック" panose="020B0609070205080204" pitchFamily="49" charset="-128"/>
            </a:rPr>
            <a:t>\180                  )</a:t>
          </a:r>
        </a:p>
        <a:p>
          <a:r>
            <a:rPr kumimoji="1" lang="en-US" altLang="ja-JP" sz="900">
              <a:latin typeface="ＭＳ ゴシック" panose="020B0609070205080204" pitchFamily="49" charset="-128"/>
              <a:ea typeface="ＭＳ ゴシック" panose="020B0609070205080204" pitchFamily="49" charset="-128"/>
            </a:rPr>
            <a:t>     3</a:t>
          </a:r>
          <a:r>
            <a:rPr kumimoji="1" lang="ja-JP" altLang="en-US" sz="900">
              <a:latin typeface="ＭＳ ゴシック" panose="020B0609070205080204" pitchFamily="49" charset="-128"/>
              <a:ea typeface="ＭＳ ゴシック" panose="020B0609070205080204" pitchFamily="49" charset="-128"/>
            </a:rPr>
            <a:t>個</a:t>
          </a:r>
          <a:r>
            <a:rPr kumimoji="1" lang="en-US" altLang="ja-JP" sz="900">
              <a:latin typeface="ＭＳ ゴシック" panose="020B0609070205080204" pitchFamily="49" charset="-128"/>
              <a:ea typeface="ＭＳ ゴシック" panose="020B0609070205080204" pitchFamily="49" charset="-128"/>
            </a:rPr>
            <a:t>A</a:t>
          </a:r>
          <a:r>
            <a:rPr kumimoji="1" lang="ja-JP" altLang="en-US" sz="900">
              <a:latin typeface="ＭＳ ゴシック" panose="020B0609070205080204" pitchFamily="49" charset="-128"/>
              <a:ea typeface="ＭＳ ゴシック" panose="020B0609070205080204" pitchFamily="49" charset="-128"/>
            </a:rPr>
            <a:t>まとめ    </a:t>
          </a:r>
          <a:r>
            <a:rPr kumimoji="1" lang="en-US" altLang="ja-JP" sz="900">
              <a:latin typeface="ＭＳ ゴシック" panose="020B0609070205080204" pitchFamily="49" charset="-128"/>
              <a:ea typeface="ＭＳ ゴシック" panose="020B0609070205080204" pitchFamily="49" charset="-128"/>
            </a:rPr>
            <a:t>\270    -\15</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小計       </a:t>
          </a:r>
          <a:r>
            <a:rPr kumimoji="1" lang="en-US" altLang="ja-JP" sz="900">
              <a:latin typeface="ＭＳ ゴシック" panose="020B0609070205080204" pitchFamily="49" charset="-128"/>
              <a:ea typeface="ＭＳ ゴシック" panose="020B0609070205080204" pitchFamily="49" charset="-128"/>
            </a:rPr>
            <a:t>3</a:t>
          </a:r>
          <a:r>
            <a:rPr kumimoji="1" lang="ja-JP" altLang="en-US" sz="900">
              <a:latin typeface="ＭＳ ゴシック" panose="020B0609070205080204" pitchFamily="49" charset="-128"/>
              <a:ea typeface="ＭＳ ゴシック" panose="020B0609070205080204" pitchFamily="49" charset="-128"/>
            </a:rPr>
            <a:t>点            </a:t>
          </a:r>
          <a:r>
            <a:rPr kumimoji="1" lang="en-US" altLang="ja-JP" sz="900">
              <a:latin typeface="ＭＳ ゴシック" panose="020B0609070205080204" pitchFamily="49" charset="-128"/>
              <a:ea typeface="ＭＳ ゴシック" panose="020B0609070205080204" pitchFamily="49" charset="-128"/>
            </a:rPr>
            <a:t>\270</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外税 </a:t>
          </a:r>
          <a:r>
            <a:rPr kumimoji="1" lang="en-US" altLang="ja-JP" sz="900">
              <a:latin typeface="ＭＳ ゴシック" panose="020B0609070205080204" pitchFamily="49" charset="-128"/>
              <a:ea typeface="ＭＳ ゴシック" panose="020B0609070205080204" pitchFamily="49" charset="-128"/>
            </a:rPr>
            <a:t>8.0%</a:t>
          </a:r>
          <a:r>
            <a:rPr kumimoji="1" lang="ja-JP" altLang="en-US" sz="900">
              <a:latin typeface="ＭＳ ゴシック" panose="020B0609070205080204" pitchFamily="49" charset="-128"/>
              <a:ea typeface="ＭＳ ゴシック" panose="020B0609070205080204" pitchFamily="49" charset="-128"/>
            </a:rPr>
            <a:t>対象額         </a:t>
          </a:r>
          <a:r>
            <a:rPr kumimoji="1" lang="en-US" altLang="ja-JP" sz="900">
              <a:latin typeface="ＭＳ ゴシック" panose="020B0609070205080204" pitchFamily="49" charset="-128"/>
              <a:ea typeface="ＭＳ ゴシック" panose="020B0609070205080204" pitchFamily="49" charset="-128"/>
            </a:rPr>
            <a:t>\270)</a:t>
          </a:r>
        </a:p>
        <a:p>
          <a:r>
            <a:rPr kumimoji="1" lang="en-US" altLang="ja-JP" sz="900">
              <a:latin typeface="ＭＳ ゴシック" panose="020B0609070205080204" pitchFamily="49" charset="-128"/>
              <a:ea typeface="ＭＳ ゴシック" panose="020B0609070205080204" pitchFamily="49" charset="-128"/>
            </a:rPr>
            <a:t>      8.0% </a:t>
          </a:r>
          <a:r>
            <a:rPr kumimoji="1" lang="ja-JP" altLang="en-US" sz="900">
              <a:latin typeface="ＭＳ ゴシック" panose="020B0609070205080204" pitchFamily="49" charset="-128"/>
              <a:ea typeface="ＭＳ ゴシック" panose="020B0609070205080204" pitchFamily="49" charset="-128"/>
            </a:rPr>
            <a:t>消費税等         </a:t>
          </a:r>
          <a:r>
            <a:rPr kumimoji="1" lang="en-US" altLang="ja-JP" sz="900">
              <a:latin typeface="ＭＳ ゴシック" panose="020B0609070205080204" pitchFamily="49" charset="-128"/>
              <a:ea typeface="ＭＳ ゴシック" panose="020B0609070205080204" pitchFamily="49" charset="-128"/>
            </a:rPr>
            <a:t>\21</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外税額計                   </a:t>
          </a:r>
          <a:r>
            <a:rPr kumimoji="1" lang="en-US" altLang="ja-JP" sz="900">
              <a:latin typeface="ＭＳ ゴシック" panose="020B0609070205080204" pitchFamily="49" charset="-128"/>
              <a:ea typeface="ＭＳ ゴシック" panose="020B0609070205080204" pitchFamily="49" charset="-128"/>
            </a:rPr>
            <a:t>\21</a:t>
          </a:r>
        </a:p>
        <a:p>
          <a:r>
            <a:rPr kumimoji="1" lang="en-US" altLang="ja-JP" sz="900">
              <a:latin typeface="ＭＳ ゴシック" panose="020B0609070205080204" pitchFamily="49" charset="-128"/>
              <a:ea typeface="ＭＳ ゴシック" panose="020B0609070205080204" pitchFamily="49" charset="-128"/>
            </a:rPr>
            <a:t>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税込小計                  </a:t>
          </a:r>
          <a:r>
            <a:rPr kumimoji="1" lang="en-US" altLang="ja-JP" sz="900">
              <a:latin typeface="ＭＳ ゴシック" panose="020B0609070205080204" pitchFamily="49" charset="-128"/>
              <a:ea typeface="ＭＳ ゴシック" panose="020B0609070205080204" pitchFamily="49" charset="-128"/>
            </a:rPr>
            <a:t>\291</a:t>
          </a:r>
        </a:p>
        <a:p>
          <a:r>
            <a:rPr kumimoji="1" lang="en-US" altLang="ja-JP" sz="900">
              <a:latin typeface="ＭＳ ゴシック" panose="020B0609070205080204" pitchFamily="49" charset="-128"/>
              <a:ea typeface="ＭＳ ゴシック" panose="020B0609070205080204" pitchFamily="49" charset="-128"/>
            </a:rPr>
            <a:t>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税込 </a:t>
          </a:r>
          <a:r>
            <a:rPr kumimoji="1" lang="en-US" altLang="ja-JP" sz="900">
              <a:latin typeface="ＭＳ ゴシック" panose="020B0609070205080204" pitchFamily="49" charset="-128"/>
              <a:ea typeface="ＭＳ ゴシック" panose="020B0609070205080204" pitchFamily="49" charset="-128"/>
            </a:rPr>
            <a:t>8.0%</a:t>
          </a:r>
          <a:r>
            <a:rPr kumimoji="1" lang="ja-JP" altLang="en-US" sz="900">
              <a:latin typeface="ＭＳ ゴシック" panose="020B0609070205080204" pitchFamily="49" charset="-128"/>
              <a:ea typeface="ＭＳ ゴシック" panose="020B0609070205080204" pitchFamily="49" charset="-128"/>
            </a:rPr>
            <a:t>対象額         </a:t>
          </a:r>
          <a:r>
            <a:rPr kumimoji="1" lang="en-US" altLang="ja-JP" sz="900">
              <a:latin typeface="ＭＳ ゴシック" panose="020B0609070205080204" pitchFamily="49" charset="-128"/>
              <a:ea typeface="ＭＳ ゴシック" panose="020B0609070205080204" pitchFamily="49" charset="-128"/>
            </a:rPr>
            <a:t>\291)</a:t>
          </a:r>
        </a:p>
        <a:p>
          <a:r>
            <a:rPr kumimoji="1" lang="en-US" altLang="ja-JP" sz="900">
              <a:latin typeface="ＭＳ ゴシック" panose="020B0609070205080204" pitchFamily="49" charset="-128"/>
              <a:ea typeface="ＭＳ ゴシック" panose="020B0609070205080204" pitchFamily="49" charset="-128"/>
            </a:rPr>
            <a:t>      8.0% </a:t>
          </a:r>
          <a:r>
            <a:rPr kumimoji="1" lang="ja-JP" altLang="en-US" sz="900">
              <a:latin typeface="ＭＳ ゴシック" panose="020B0609070205080204" pitchFamily="49" charset="-128"/>
              <a:ea typeface="ＭＳ ゴシック" panose="020B0609070205080204" pitchFamily="49" charset="-128"/>
            </a:rPr>
            <a:t>消費税等         </a:t>
          </a:r>
          <a:r>
            <a:rPr kumimoji="1" lang="en-US" altLang="ja-JP" sz="900">
              <a:latin typeface="ＭＳ ゴシック" panose="020B0609070205080204" pitchFamily="49" charset="-128"/>
              <a:ea typeface="ＭＳ ゴシック" panose="020B0609070205080204" pitchFamily="49" charset="-128"/>
            </a:rPr>
            <a:t>\21</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税額計                     </a:t>
          </a:r>
          <a:r>
            <a:rPr kumimoji="1" lang="en-US" altLang="ja-JP" sz="900">
              <a:latin typeface="ＭＳ ゴシック" panose="020B0609070205080204" pitchFamily="49" charset="-128"/>
              <a:ea typeface="ＭＳ ゴシック" panose="020B0609070205080204" pitchFamily="49" charset="-128"/>
            </a:rPr>
            <a:t>\21</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a:t>
          </a:r>
          <a:r>
            <a:rPr kumimoji="1" lang="en-US" altLang="ja-JP" sz="900">
              <a:latin typeface="ＭＳ ゴシック" panose="020B0609070205080204" pitchFamily="49" charset="-128"/>
              <a:ea typeface="ＭＳ ゴシック" panose="020B0609070205080204" pitchFamily="49" charset="-128"/>
            </a:rPr>
            <a:t>x</a:t>
          </a:r>
          <a:r>
            <a:rPr kumimoji="1" lang="ja-JP" altLang="en-US" sz="900">
              <a:latin typeface="ＭＳ ゴシック" panose="020B0609070205080204" pitchFamily="49" charset="-128"/>
              <a:ea typeface="ＭＳ ゴシック" panose="020B0609070205080204" pitchFamily="49" charset="-128"/>
            </a:rPr>
            <a:t>」は軽減税率対象商品です    </a:t>
          </a:r>
        </a:p>
        <a:p>
          <a:r>
            <a:rPr kumimoji="1" lang="ja-JP" altLang="en-US" sz="900">
              <a:latin typeface="ＭＳ ゴシック" panose="020B0609070205080204" pitchFamily="49" charset="-128"/>
              <a:ea typeface="ＭＳ ゴシック" panose="020B0609070205080204" pitchFamily="49" charset="-128"/>
            </a:rPr>
            <a:t> ━━━━━━━━━━━━━━━</a:t>
          </a:r>
        </a:p>
        <a:p>
          <a:r>
            <a:rPr kumimoji="1" lang="ja-JP" altLang="en-US" sz="900">
              <a:latin typeface="ＭＳ ゴシック" panose="020B0609070205080204" pitchFamily="49" charset="-128"/>
              <a:ea typeface="ＭＳ ゴシック" panose="020B0609070205080204" pitchFamily="49" charset="-128"/>
            </a:rPr>
            <a:t> 合計                  </a:t>
          </a:r>
          <a:r>
            <a:rPr kumimoji="1" lang="en-US" altLang="ja-JP" sz="900">
              <a:latin typeface="ＭＳ ゴシック" panose="020B0609070205080204" pitchFamily="49" charset="-128"/>
              <a:ea typeface="ＭＳ ゴシック" panose="020B0609070205080204" pitchFamily="49" charset="-128"/>
            </a:rPr>
            <a:t>\291</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お預り                </a:t>
          </a:r>
          <a:r>
            <a:rPr kumimoji="1" lang="en-US" altLang="ja-JP" sz="900">
              <a:latin typeface="ＭＳ ゴシック" panose="020B0609070205080204" pitchFamily="49" charset="-128"/>
              <a:ea typeface="ＭＳ ゴシック" panose="020B0609070205080204" pitchFamily="49" charset="-128"/>
            </a:rPr>
            <a:t>\291</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お釣り                    </a:t>
          </a:r>
          <a:r>
            <a:rPr kumimoji="1" lang="en-US" altLang="ja-JP" sz="900">
              <a:latin typeface="ＭＳ ゴシック" panose="020B0609070205080204" pitchFamily="49" charset="-128"/>
              <a:ea typeface="ＭＳ ゴシック" panose="020B0609070205080204" pitchFamily="49" charset="-128"/>
            </a:rPr>
            <a:t>\0</a:t>
          </a:r>
        </a:p>
        <a:p>
          <a:r>
            <a:rPr kumimoji="1" lang="en-US" altLang="ja-JP" sz="900">
              <a:latin typeface="ＭＳ ゴシック" panose="020B0609070205080204" pitchFamily="49" charset="-128"/>
              <a:ea typeface="ＭＳ ゴシック" panose="020B0609070205080204" pitchFamily="49" charset="-128"/>
            </a:rPr>
            <a:t> ━━━━━━━━━━━━━━━</a:t>
          </a:r>
        </a:p>
        <a:p>
          <a:endParaRPr kumimoji="1" lang="en-US" altLang="ja-JP" sz="900">
            <a:latin typeface="ＭＳ ゴシック" panose="020B0609070205080204" pitchFamily="49" charset="-128"/>
            <a:ea typeface="ＭＳ ゴシック" panose="020B0609070205080204" pitchFamily="49" charset="-128"/>
          </a:endParaRPr>
        </a:p>
      </xdr:txBody>
    </xdr:sp>
    <xdr:clientData/>
  </xdr:twoCellAnchor>
  <xdr:twoCellAnchor>
    <xdr:from>
      <xdr:col>11</xdr:col>
      <xdr:colOff>108857</xdr:colOff>
      <xdr:row>536</xdr:row>
      <xdr:rowOff>136072</xdr:rowOff>
    </xdr:from>
    <xdr:to>
      <xdr:col>19</xdr:col>
      <xdr:colOff>312057</xdr:colOff>
      <xdr:row>560</xdr:row>
      <xdr:rowOff>0</xdr:rowOff>
    </xdr:to>
    <xdr:sp macro="" textlink="">
      <xdr:nvSpPr>
        <xdr:cNvPr id="661" name="テキスト ボックス 660">
          <a:extLst>
            <a:ext uri="{FF2B5EF4-FFF2-40B4-BE49-F238E27FC236}">
              <a16:creationId xmlns:a16="http://schemas.microsoft.com/office/drawing/2014/main" id="{19DCD559-846D-47FA-A9EE-A6C92BEA217D}"/>
            </a:ext>
          </a:extLst>
        </xdr:cNvPr>
        <xdr:cNvSpPr txBox="1"/>
      </xdr:nvSpPr>
      <xdr:spPr>
        <a:xfrm>
          <a:off x="2623457" y="92033272"/>
          <a:ext cx="1946275" cy="3978728"/>
        </a:xfrm>
        <a:prstGeom prst="rect">
          <a:avLst/>
        </a:prstGeom>
        <a:solidFill>
          <a:schemeClr val="accent5">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lstStyle/>
        <a:p>
          <a:r>
            <a:rPr kumimoji="1" lang="en-US" altLang="ja-JP" sz="900">
              <a:latin typeface="ＭＳ ゴシック" panose="020B0609070205080204" pitchFamily="49" charset="-128"/>
              <a:ea typeface="ＭＳ ゴシック" panose="020B0609070205080204" pitchFamily="49" charset="-128"/>
            </a:rPr>
            <a:t>【</a:t>
          </a:r>
          <a:r>
            <a:rPr kumimoji="1" lang="ja-JP" altLang="en-US" sz="900">
              <a:latin typeface="ＭＳ ゴシック" panose="020B0609070205080204" pitchFamily="49" charset="-128"/>
              <a:ea typeface="ＭＳ ゴシック" panose="020B0609070205080204" pitchFamily="49" charset="-128"/>
            </a:rPr>
            <a:t>レシート印字イメージ</a:t>
          </a:r>
          <a:r>
            <a:rPr kumimoji="1" lang="en-US" altLang="ja-JP" sz="900">
              <a:latin typeface="ＭＳ ゴシック" panose="020B0609070205080204" pitchFamily="49" charset="-128"/>
              <a:ea typeface="ＭＳ ゴシック" panose="020B0609070205080204" pitchFamily="49" charset="-128"/>
            </a:rPr>
            <a:t>】※</a:t>
          </a:r>
          <a:r>
            <a:rPr kumimoji="1" lang="ja-JP" altLang="en-US" sz="900">
              <a:latin typeface="ＭＳ ゴシック" panose="020B0609070205080204" pitchFamily="49" charset="-128"/>
              <a:ea typeface="ＭＳ ゴシック" panose="020B0609070205080204" pitchFamily="49" charset="-128"/>
            </a:rPr>
            <a:t>倍角無し</a:t>
          </a:r>
          <a:endParaRPr kumimoji="1" lang="en-US" altLang="ja-JP" sz="900">
            <a:latin typeface="ＭＳ ゴシック" panose="020B0609070205080204" pitchFamily="49" charset="-128"/>
            <a:ea typeface="ＭＳ ゴシック" panose="020B0609070205080204" pitchFamily="49" charset="-128"/>
          </a:endParaRPr>
        </a:p>
        <a:p>
          <a:r>
            <a:rPr kumimoji="1" lang="ja-JP" altLang="en-US" sz="900">
              <a:latin typeface="ＭＳ ゴシック" panose="020B0609070205080204" pitchFamily="49" charset="-128"/>
              <a:ea typeface="ＭＳ ゴシック" panose="020B0609070205080204" pitchFamily="49" charset="-128"/>
            </a:rPr>
            <a:t> </a:t>
          </a:r>
          <a:r>
            <a:rPr kumimoji="1" lang="en-US" altLang="ja-JP" sz="900">
              <a:latin typeface="ＭＳ ゴシック" panose="020B0609070205080204" pitchFamily="49" charset="-128"/>
              <a:ea typeface="ＭＳ ゴシック" panose="020B0609070205080204" pitchFamily="49" charset="-128"/>
            </a:rPr>
            <a:t>2024</a:t>
          </a:r>
          <a:r>
            <a:rPr kumimoji="1" lang="ja-JP" altLang="en-US" sz="900">
              <a:latin typeface="ＭＳ ゴシック" panose="020B0609070205080204" pitchFamily="49" charset="-128"/>
              <a:ea typeface="ＭＳ ゴシック" panose="020B0609070205080204" pitchFamily="49" charset="-128"/>
            </a:rPr>
            <a:t>年</a:t>
          </a:r>
          <a:r>
            <a:rPr kumimoji="1" lang="en-US" altLang="ja-JP" sz="900">
              <a:latin typeface="ＭＳ ゴシック" panose="020B0609070205080204" pitchFamily="49" charset="-128"/>
              <a:ea typeface="ＭＳ ゴシック" panose="020B0609070205080204" pitchFamily="49" charset="-128"/>
            </a:rPr>
            <a:t>10</a:t>
          </a:r>
          <a:r>
            <a:rPr kumimoji="1" lang="ja-JP" altLang="en-US" sz="900">
              <a:latin typeface="ＭＳ ゴシック" panose="020B0609070205080204" pitchFamily="49" charset="-128"/>
              <a:ea typeface="ＭＳ ゴシック" panose="020B0609070205080204" pitchFamily="49" charset="-128"/>
            </a:rPr>
            <a:t>月</a:t>
          </a:r>
          <a:r>
            <a:rPr kumimoji="1" lang="en-US" altLang="ja-JP" sz="900">
              <a:latin typeface="ＭＳ ゴシック" panose="020B0609070205080204" pitchFamily="49" charset="-128"/>
              <a:ea typeface="ＭＳ ゴシック" panose="020B0609070205080204" pitchFamily="49" charset="-128"/>
            </a:rPr>
            <a:t>22</a:t>
          </a:r>
          <a:r>
            <a:rPr kumimoji="1" lang="ja-JP" altLang="en-US" sz="900">
              <a:latin typeface="ＭＳ ゴシック" panose="020B0609070205080204" pitchFamily="49" charset="-128"/>
              <a:ea typeface="ＭＳ ゴシック" panose="020B0609070205080204" pitchFamily="49" charset="-128"/>
            </a:rPr>
            <a:t>日（火） </a:t>
          </a:r>
          <a:r>
            <a:rPr kumimoji="1" lang="en-US" altLang="ja-JP" sz="900">
              <a:latin typeface="ＭＳ ゴシック" panose="020B0609070205080204" pitchFamily="49" charset="-128"/>
              <a:ea typeface="ＭＳ ゴシック" panose="020B0609070205080204" pitchFamily="49" charset="-128"/>
            </a:rPr>
            <a:t>13:02</a:t>
          </a:r>
        </a:p>
        <a:p>
          <a:r>
            <a:rPr kumimoji="1" lang="en-US" altLang="ja-JP" sz="900">
              <a:latin typeface="ＭＳ ゴシック" panose="020B0609070205080204" pitchFamily="49" charset="-128"/>
              <a:ea typeface="ＭＳ ゴシック" panose="020B0609070205080204" pitchFamily="49" charset="-128"/>
            </a:rPr>
            <a:t>  A01 x</a:t>
          </a:r>
          <a:r>
            <a:rPr kumimoji="1" lang="ja-JP" altLang="en-US" sz="900">
              <a:latin typeface="ＭＳ ゴシック" panose="020B0609070205080204" pitchFamily="49" charset="-128"/>
              <a:ea typeface="ＭＳ ゴシック" panose="020B0609070205080204" pitchFamily="49" charset="-128"/>
            </a:rPr>
            <a:t>商品Ｋ                   </a:t>
          </a:r>
        </a:p>
        <a:p>
          <a:r>
            <a:rPr kumimoji="1" lang="ja-JP" altLang="en-US" sz="900">
              <a:latin typeface="ＭＳ ゴシック" panose="020B0609070205080204" pitchFamily="49" charset="-128"/>
              <a:ea typeface="ＭＳ ゴシック" panose="020B0609070205080204" pitchFamily="49" charset="-128"/>
            </a:rPr>
            <a:t>        </a:t>
          </a:r>
          <a:r>
            <a:rPr kumimoji="1" lang="en-US" altLang="ja-JP" sz="900">
              <a:latin typeface="ＭＳ ゴシック" panose="020B0609070205080204" pitchFamily="49" charset="-128"/>
              <a:ea typeface="ＭＳ ゴシック" panose="020B0609070205080204" pitchFamily="49" charset="-128"/>
            </a:rPr>
            <a:t>\100   3</a:t>
          </a:r>
          <a:r>
            <a:rPr kumimoji="1" lang="ja-JP" altLang="en-US" sz="900">
              <a:latin typeface="ＭＳ ゴシック" panose="020B0609070205080204" pitchFamily="49" charset="-128"/>
              <a:ea typeface="ＭＳ ゴシック" panose="020B0609070205080204" pitchFamily="49" charset="-128"/>
            </a:rPr>
            <a:t>個         </a:t>
          </a:r>
          <a:r>
            <a:rPr kumimoji="1" lang="en-US" altLang="ja-JP" sz="900">
              <a:latin typeface="ＭＳ ゴシック" panose="020B0609070205080204" pitchFamily="49" charset="-128"/>
              <a:ea typeface="ＭＳ ゴシック" panose="020B0609070205080204" pitchFamily="49" charset="-128"/>
            </a:rPr>
            <a:t>\300</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分類値引   </a:t>
          </a:r>
          <a:r>
            <a:rPr kumimoji="1" lang="en-US" altLang="ja-JP" sz="900">
              <a:latin typeface="ＭＳ ゴシック" panose="020B0609070205080204" pitchFamily="49" charset="-128"/>
              <a:ea typeface="ＭＳ ゴシック" panose="020B0609070205080204" pitchFamily="49" charset="-128"/>
            </a:rPr>
            <a:t>15%         -\45</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小計       </a:t>
          </a:r>
          <a:r>
            <a:rPr kumimoji="1" lang="en-US" altLang="ja-JP" sz="900">
              <a:latin typeface="ＭＳ ゴシック" panose="020B0609070205080204" pitchFamily="49" charset="-128"/>
              <a:ea typeface="ＭＳ ゴシック" panose="020B0609070205080204" pitchFamily="49" charset="-128"/>
            </a:rPr>
            <a:t>3</a:t>
          </a:r>
          <a:r>
            <a:rPr kumimoji="1" lang="ja-JP" altLang="en-US" sz="900">
              <a:latin typeface="ＭＳ ゴシック" panose="020B0609070205080204" pitchFamily="49" charset="-128"/>
              <a:ea typeface="ＭＳ ゴシック" panose="020B0609070205080204" pitchFamily="49" charset="-128"/>
            </a:rPr>
            <a:t>点            </a:t>
          </a:r>
          <a:r>
            <a:rPr kumimoji="1" lang="en-US" altLang="ja-JP" sz="900">
              <a:latin typeface="ＭＳ ゴシック" panose="020B0609070205080204" pitchFamily="49" charset="-128"/>
              <a:ea typeface="ＭＳ ゴシック" panose="020B0609070205080204" pitchFamily="49" charset="-128"/>
            </a:rPr>
            <a:t>\255</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外税 </a:t>
          </a:r>
          <a:r>
            <a:rPr kumimoji="1" lang="en-US" altLang="ja-JP" sz="900">
              <a:latin typeface="ＭＳ ゴシック" panose="020B0609070205080204" pitchFamily="49" charset="-128"/>
              <a:ea typeface="ＭＳ ゴシック" panose="020B0609070205080204" pitchFamily="49" charset="-128"/>
            </a:rPr>
            <a:t>8.0%</a:t>
          </a:r>
          <a:r>
            <a:rPr kumimoji="1" lang="ja-JP" altLang="en-US" sz="900">
              <a:latin typeface="ＭＳ ゴシック" panose="020B0609070205080204" pitchFamily="49" charset="-128"/>
              <a:ea typeface="ＭＳ ゴシック" panose="020B0609070205080204" pitchFamily="49" charset="-128"/>
            </a:rPr>
            <a:t>対象額         </a:t>
          </a:r>
          <a:r>
            <a:rPr kumimoji="1" lang="en-US" altLang="ja-JP" sz="900">
              <a:latin typeface="ＭＳ ゴシック" panose="020B0609070205080204" pitchFamily="49" charset="-128"/>
              <a:ea typeface="ＭＳ ゴシック" panose="020B0609070205080204" pitchFamily="49" charset="-128"/>
            </a:rPr>
            <a:t>\255)</a:t>
          </a:r>
        </a:p>
        <a:p>
          <a:r>
            <a:rPr kumimoji="1" lang="en-US" altLang="ja-JP" sz="900">
              <a:latin typeface="ＭＳ ゴシック" panose="020B0609070205080204" pitchFamily="49" charset="-128"/>
              <a:ea typeface="ＭＳ ゴシック" panose="020B0609070205080204" pitchFamily="49" charset="-128"/>
            </a:rPr>
            <a:t>      8.0% </a:t>
          </a:r>
          <a:r>
            <a:rPr kumimoji="1" lang="ja-JP" altLang="en-US" sz="900">
              <a:latin typeface="ＭＳ ゴシック" panose="020B0609070205080204" pitchFamily="49" charset="-128"/>
              <a:ea typeface="ＭＳ ゴシック" panose="020B0609070205080204" pitchFamily="49" charset="-128"/>
            </a:rPr>
            <a:t>消費税等         </a:t>
          </a:r>
          <a:r>
            <a:rPr kumimoji="1" lang="en-US" altLang="ja-JP" sz="900">
              <a:latin typeface="ＭＳ ゴシック" panose="020B0609070205080204" pitchFamily="49" charset="-128"/>
              <a:ea typeface="ＭＳ ゴシック" panose="020B0609070205080204" pitchFamily="49" charset="-128"/>
            </a:rPr>
            <a:t>\20</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外税額計                   </a:t>
          </a:r>
          <a:r>
            <a:rPr kumimoji="1" lang="en-US" altLang="ja-JP" sz="900">
              <a:latin typeface="ＭＳ ゴシック" panose="020B0609070205080204" pitchFamily="49" charset="-128"/>
              <a:ea typeface="ＭＳ ゴシック" panose="020B0609070205080204" pitchFamily="49" charset="-128"/>
            </a:rPr>
            <a:t>\20</a:t>
          </a:r>
        </a:p>
        <a:p>
          <a:r>
            <a:rPr kumimoji="1" lang="en-US" altLang="ja-JP" sz="900">
              <a:latin typeface="ＭＳ ゴシック" panose="020B0609070205080204" pitchFamily="49" charset="-128"/>
              <a:ea typeface="ＭＳ ゴシック" panose="020B0609070205080204" pitchFamily="49" charset="-128"/>
            </a:rPr>
            <a:t>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税込小計                  </a:t>
          </a:r>
          <a:r>
            <a:rPr kumimoji="1" lang="en-US" altLang="ja-JP" sz="900">
              <a:latin typeface="ＭＳ ゴシック" panose="020B0609070205080204" pitchFamily="49" charset="-128"/>
              <a:ea typeface="ＭＳ ゴシック" panose="020B0609070205080204" pitchFamily="49" charset="-128"/>
            </a:rPr>
            <a:t>\275</a:t>
          </a:r>
        </a:p>
        <a:p>
          <a:r>
            <a:rPr kumimoji="1" lang="en-US" altLang="ja-JP" sz="900">
              <a:latin typeface="ＭＳ ゴシック" panose="020B0609070205080204" pitchFamily="49" charset="-128"/>
              <a:ea typeface="ＭＳ ゴシック" panose="020B0609070205080204" pitchFamily="49" charset="-128"/>
            </a:rPr>
            <a:t>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税込 </a:t>
          </a:r>
          <a:r>
            <a:rPr kumimoji="1" lang="en-US" altLang="ja-JP" sz="900">
              <a:latin typeface="ＭＳ ゴシック" panose="020B0609070205080204" pitchFamily="49" charset="-128"/>
              <a:ea typeface="ＭＳ ゴシック" panose="020B0609070205080204" pitchFamily="49" charset="-128"/>
            </a:rPr>
            <a:t>8.0%</a:t>
          </a:r>
          <a:r>
            <a:rPr kumimoji="1" lang="ja-JP" altLang="en-US" sz="900">
              <a:latin typeface="ＭＳ ゴシック" panose="020B0609070205080204" pitchFamily="49" charset="-128"/>
              <a:ea typeface="ＭＳ ゴシック" panose="020B0609070205080204" pitchFamily="49" charset="-128"/>
            </a:rPr>
            <a:t>対象額         </a:t>
          </a:r>
          <a:r>
            <a:rPr kumimoji="1" lang="en-US" altLang="ja-JP" sz="900">
              <a:latin typeface="ＭＳ ゴシック" panose="020B0609070205080204" pitchFamily="49" charset="-128"/>
              <a:ea typeface="ＭＳ ゴシック" panose="020B0609070205080204" pitchFamily="49" charset="-128"/>
            </a:rPr>
            <a:t>\275)</a:t>
          </a:r>
        </a:p>
        <a:p>
          <a:r>
            <a:rPr kumimoji="1" lang="en-US" altLang="ja-JP" sz="900">
              <a:latin typeface="ＭＳ ゴシック" panose="020B0609070205080204" pitchFamily="49" charset="-128"/>
              <a:ea typeface="ＭＳ ゴシック" panose="020B0609070205080204" pitchFamily="49" charset="-128"/>
            </a:rPr>
            <a:t>      8.0% </a:t>
          </a:r>
          <a:r>
            <a:rPr kumimoji="1" lang="ja-JP" altLang="en-US" sz="900">
              <a:latin typeface="ＭＳ ゴシック" panose="020B0609070205080204" pitchFamily="49" charset="-128"/>
              <a:ea typeface="ＭＳ ゴシック" panose="020B0609070205080204" pitchFamily="49" charset="-128"/>
            </a:rPr>
            <a:t>消費税等         </a:t>
          </a:r>
          <a:r>
            <a:rPr kumimoji="1" lang="en-US" altLang="ja-JP" sz="900">
              <a:latin typeface="ＭＳ ゴシック" panose="020B0609070205080204" pitchFamily="49" charset="-128"/>
              <a:ea typeface="ＭＳ ゴシック" panose="020B0609070205080204" pitchFamily="49" charset="-128"/>
            </a:rPr>
            <a:t>\20</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税額計                     </a:t>
          </a:r>
          <a:r>
            <a:rPr kumimoji="1" lang="en-US" altLang="ja-JP" sz="900">
              <a:latin typeface="ＭＳ ゴシック" panose="020B0609070205080204" pitchFamily="49" charset="-128"/>
              <a:ea typeface="ＭＳ ゴシック" panose="020B0609070205080204" pitchFamily="49" charset="-128"/>
            </a:rPr>
            <a:t>\20</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a:t>
          </a:r>
          <a:r>
            <a:rPr kumimoji="1" lang="en-US" altLang="ja-JP" sz="900">
              <a:latin typeface="ＭＳ ゴシック" panose="020B0609070205080204" pitchFamily="49" charset="-128"/>
              <a:ea typeface="ＭＳ ゴシック" panose="020B0609070205080204" pitchFamily="49" charset="-128"/>
            </a:rPr>
            <a:t>x</a:t>
          </a:r>
          <a:r>
            <a:rPr kumimoji="1" lang="ja-JP" altLang="en-US" sz="900">
              <a:latin typeface="ＭＳ ゴシック" panose="020B0609070205080204" pitchFamily="49" charset="-128"/>
              <a:ea typeface="ＭＳ ゴシック" panose="020B0609070205080204" pitchFamily="49" charset="-128"/>
            </a:rPr>
            <a:t>」は軽減税率対象商品です    </a:t>
          </a:r>
        </a:p>
        <a:p>
          <a:r>
            <a:rPr kumimoji="1" lang="ja-JP" altLang="en-US" sz="900">
              <a:latin typeface="ＭＳ ゴシック" panose="020B0609070205080204" pitchFamily="49" charset="-128"/>
              <a:ea typeface="ＭＳ ゴシック" panose="020B0609070205080204" pitchFamily="49" charset="-128"/>
            </a:rPr>
            <a:t> ━━━━━━━━━━━━━━━</a:t>
          </a:r>
        </a:p>
        <a:p>
          <a:r>
            <a:rPr kumimoji="1" lang="ja-JP" altLang="en-US" sz="900">
              <a:latin typeface="ＭＳ ゴシック" panose="020B0609070205080204" pitchFamily="49" charset="-128"/>
              <a:ea typeface="ＭＳ ゴシック" panose="020B0609070205080204" pitchFamily="49" charset="-128"/>
            </a:rPr>
            <a:t> 合計                  </a:t>
          </a:r>
          <a:r>
            <a:rPr kumimoji="1" lang="en-US" altLang="ja-JP" sz="900">
              <a:latin typeface="ＭＳ ゴシック" panose="020B0609070205080204" pitchFamily="49" charset="-128"/>
              <a:ea typeface="ＭＳ ゴシック" panose="020B0609070205080204" pitchFamily="49" charset="-128"/>
            </a:rPr>
            <a:t>\275</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お預り                </a:t>
          </a:r>
          <a:r>
            <a:rPr kumimoji="1" lang="en-US" altLang="ja-JP" sz="900">
              <a:latin typeface="ＭＳ ゴシック" panose="020B0609070205080204" pitchFamily="49" charset="-128"/>
              <a:ea typeface="ＭＳ ゴシック" panose="020B0609070205080204" pitchFamily="49" charset="-128"/>
            </a:rPr>
            <a:t>\275</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お釣り                    </a:t>
          </a:r>
          <a:r>
            <a:rPr kumimoji="1" lang="en-US" altLang="ja-JP" sz="900">
              <a:latin typeface="ＭＳ ゴシック" panose="020B0609070205080204" pitchFamily="49" charset="-128"/>
              <a:ea typeface="ＭＳ ゴシック" panose="020B0609070205080204" pitchFamily="49" charset="-128"/>
            </a:rPr>
            <a:t>\0</a:t>
          </a:r>
        </a:p>
        <a:p>
          <a:r>
            <a:rPr kumimoji="1" lang="en-US" altLang="ja-JP" sz="900">
              <a:latin typeface="ＭＳ ゴシック" panose="020B0609070205080204" pitchFamily="49" charset="-128"/>
              <a:ea typeface="ＭＳ ゴシック" panose="020B0609070205080204" pitchFamily="49" charset="-128"/>
            </a:rPr>
            <a:t> ━━━━━━━━━━━━━━━</a:t>
          </a:r>
        </a:p>
        <a:p>
          <a:endParaRPr kumimoji="1" lang="en-US" altLang="ja-JP" sz="900">
            <a:latin typeface="ＭＳ ゴシック" panose="020B0609070205080204" pitchFamily="49" charset="-128"/>
            <a:ea typeface="ＭＳ ゴシック" panose="020B0609070205080204" pitchFamily="49" charset="-128"/>
          </a:endParaRPr>
        </a:p>
      </xdr:txBody>
    </xdr:sp>
    <xdr:clientData/>
  </xdr:twoCellAnchor>
  <xdr:twoCellAnchor>
    <xdr:from>
      <xdr:col>11</xdr:col>
      <xdr:colOff>95251</xdr:colOff>
      <xdr:row>592</xdr:row>
      <xdr:rowOff>68035</xdr:rowOff>
    </xdr:from>
    <xdr:to>
      <xdr:col>19</xdr:col>
      <xdr:colOff>298451</xdr:colOff>
      <xdr:row>617</xdr:row>
      <xdr:rowOff>13606</xdr:rowOff>
    </xdr:to>
    <xdr:sp macro="" textlink="">
      <xdr:nvSpPr>
        <xdr:cNvPr id="662" name="テキスト ボックス 661">
          <a:extLst>
            <a:ext uri="{FF2B5EF4-FFF2-40B4-BE49-F238E27FC236}">
              <a16:creationId xmlns:a16="http://schemas.microsoft.com/office/drawing/2014/main" id="{E9506149-7D26-45FC-89D8-81207EDA44CF}"/>
            </a:ext>
          </a:extLst>
        </xdr:cNvPr>
        <xdr:cNvSpPr txBox="1"/>
      </xdr:nvSpPr>
      <xdr:spPr>
        <a:xfrm>
          <a:off x="2609851" y="101566435"/>
          <a:ext cx="1965325" cy="4231821"/>
        </a:xfrm>
        <a:prstGeom prst="rect">
          <a:avLst/>
        </a:prstGeom>
        <a:solidFill>
          <a:schemeClr val="accent5">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lstStyle/>
        <a:p>
          <a:r>
            <a:rPr kumimoji="1" lang="en-US" altLang="ja-JP" sz="900">
              <a:latin typeface="ＭＳ ゴシック" panose="020B0609070205080204" pitchFamily="49" charset="-128"/>
              <a:ea typeface="ＭＳ ゴシック" panose="020B0609070205080204" pitchFamily="49" charset="-128"/>
            </a:rPr>
            <a:t>【</a:t>
          </a:r>
          <a:r>
            <a:rPr kumimoji="1" lang="ja-JP" altLang="en-US" sz="900">
              <a:latin typeface="ＭＳ ゴシック" panose="020B0609070205080204" pitchFamily="49" charset="-128"/>
              <a:ea typeface="ＭＳ ゴシック" panose="020B0609070205080204" pitchFamily="49" charset="-128"/>
            </a:rPr>
            <a:t>レシート印字イメージ</a:t>
          </a:r>
          <a:r>
            <a:rPr kumimoji="1" lang="en-US" altLang="ja-JP" sz="900">
              <a:latin typeface="ＭＳ ゴシック" panose="020B0609070205080204" pitchFamily="49" charset="-128"/>
              <a:ea typeface="ＭＳ ゴシック" panose="020B0609070205080204" pitchFamily="49" charset="-128"/>
            </a:rPr>
            <a:t>】※</a:t>
          </a:r>
          <a:r>
            <a:rPr kumimoji="1" lang="ja-JP" altLang="en-US" sz="900">
              <a:latin typeface="ＭＳ ゴシック" panose="020B0609070205080204" pitchFamily="49" charset="-128"/>
              <a:ea typeface="ＭＳ ゴシック" panose="020B0609070205080204" pitchFamily="49" charset="-128"/>
            </a:rPr>
            <a:t>倍角無し</a:t>
          </a:r>
          <a:endParaRPr kumimoji="1" lang="en-US" altLang="ja-JP" sz="900">
            <a:latin typeface="ＭＳ ゴシック" panose="020B0609070205080204" pitchFamily="49" charset="-128"/>
            <a:ea typeface="ＭＳ ゴシック" panose="020B0609070205080204" pitchFamily="49" charset="-128"/>
          </a:endParaRPr>
        </a:p>
        <a:p>
          <a:r>
            <a:rPr kumimoji="1" lang="ja-JP" altLang="en-US" sz="900">
              <a:latin typeface="ＭＳ ゴシック" panose="020B0609070205080204" pitchFamily="49" charset="-128"/>
              <a:ea typeface="ＭＳ ゴシック" panose="020B0609070205080204" pitchFamily="49" charset="-128"/>
            </a:rPr>
            <a:t> </a:t>
          </a:r>
          <a:r>
            <a:rPr kumimoji="1" lang="en-US" altLang="ja-JP" sz="900">
              <a:latin typeface="ＭＳ ゴシック" panose="020B0609070205080204" pitchFamily="49" charset="-128"/>
              <a:ea typeface="ＭＳ ゴシック" panose="020B0609070205080204" pitchFamily="49" charset="-128"/>
            </a:rPr>
            <a:t>2024</a:t>
          </a:r>
          <a:r>
            <a:rPr kumimoji="1" lang="ja-JP" altLang="en-US" sz="900">
              <a:latin typeface="ＭＳ ゴシック" panose="020B0609070205080204" pitchFamily="49" charset="-128"/>
              <a:ea typeface="ＭＳ ゴシック" panose="020B0609070205080204" pitchFamily="49" charset="-128"/>
            </a:rPr>
            <a:t>年</a:t>
          </a:r>
          <a:r>
            <a:rPr kumimoji="1" lang="en-US" altLang="ja-JP" sz="900">
              <a:latin typeface="ＭＳ ゴシック" panose="020B0609070205080204" pitchFamily="49" charset="-128"/>
              <a:ea typeface="ＭＳ ゴシック" panose="020B0609070205080204" pitchFamily="49" charset="-128"/>
            </a:rPr>
            <a:t>10</a:t>
          </a:r>
          <a:r>
            <a:rPr kumimoji="1" lang="ja-JP" altLang="en-US" sz="900">
              <a:latin typeface="ＭＳ ゴシック" panose="020B0609070205080204" pitchFamily="49" charset="-128"/>
              <a:ea typeface="ＭＳ ゴシック" panose="020B0609070205080204" pitchFamily="49" charset="-128"/>
            </a:rPr>
            <a:t>月</a:t>
          </a:r>
          <a:r>
            <a:rPr kumimoji="1" lang="en-US" altLang="ja-JP" sz="900">
              <a:latin typeface="ＭＳ ゴシック" panose="020B0609070205080204" pitchFamily="49" charset="-128"/>
              <a:ea typeface="ＭＳ ゴシック" panose="020B0609070205080204" pitchFamily="49" charset="-128"/>
            </a:rPr>
            <a:t>22</a:t>
          </a:r>
          <a:r>
            <a:rPr kumimoji="1" lang="ja-JP" altLang="en-US" sz="900">
              <a:latin typeface="ＭＳ ゴシック" panose="020B0609070205080204" pitchFamily="49" charset="-128"/>
              <a:ea typeface="ＭＳ ゴシック" panose="020B0609070205080204" pitchFamily="49" charset="-128"/>
            </a:rPr>
            <a:t>日（火） </a:t>
          </a:r>
          <a:r>
            <a:rPr kumimoji="1" lang="en-US" altLang="ja-JP" sz="900">
              <a:latin typeface="ＭＳ ゴシック" panose="020B0609070205080204" pitchFamily="49" charset="-128"/>
              <a:ea typeface="ＭＳ ゴシック" panose="020B0609070205080204" pitchFamily="49" charset="-128"/>
            </a:rPr>
            <a:t>13:05</a:t>
          </a:r>
        </a:p>
        <a:p>
          <a:r>
            <a:rPr kumimoji="1" lang="en-US" altLang="ja-JP" sz="900">
              <a:latin typeface="ＭＳ ゴシック" panose="020B0609070205080204" pitchFamily="49" charset="-128"/>
              <a:ea typeface="ＭＳ ゴシック" panose="020B0609070205080204" pitchFamily="49" charset="-128"/>
            </a:rPr>
            <a:t>  A01 x</a:t>
          </a:r>
          <a:r>
            <a:rPr kumimoji="1" lang="ja-JP" altLang="en-US" sz="900">
              <a:latin typeface="ＭＳ ゴシック" panose="020B0609070205080204" pitchFamily="49" charset="-128"/>
              <a:ea typeface="ＭＳ ゴシック" panose="020B0609070205080204" pitchFamily="49" charset="-128"/>
            </a:rPr>
            <a:t>商品Ｌ                   </a:t>
          </a:r>
        </a:p>
        <a:p>
          <a:r>
            <a:rPr kumimoji="1" lang="ja-JP" altLang="en-US" sz="900">
              <a:latin typeface="ＭＳ ゴシック" panose="020B0609070205080204" pitchFamily="49" charset="-128"/>
              <a:ea typeface="ＭＳ ゴシック" panose="020B0609070205080204" pitchFamily="49" charset="-128"/>
            </a:rPr>
            <a:t>        </a:t>
          </a:r>
          <a:r>
            <a:rPr kumimoji="1" lang="en-US" altLang="ja-JP" sz="900">
              <a:latin typeface="ＭＳ ゴシック" panose="020B0609070205080204" pitchFamily="49" charset="-128"/>
              <a:ea typeface="ＭＳ ゴシック" panose="020B0609070205080204" pitchFamily="49" charset="-128"/>
            </a:rPr>
            <a:t>\100   3</a:t>
          </a:r>
          <a:r>
            <a:rPr kumimoji="1" lang="ja-JP" altLang="en-US" sz="900">
              <a:latin typeface="ＭＳ ゴシック" panose="020B0609070205080204" pitchFamily="49" charset="-128"/>
              <a:ea typeface="ＭＳ ゴシック" panose="020B0609070205080204" pitchFamily="49" charset="-128"/>
            </a:rPr>
            <a:t>個         </a:t>
          </a:r>
          <a:r>
            <a:rPr kumimoji="1" lang="en-US" altLang="ja-JP" sz="900">
              <a:latin typeface="ＭＳ ゴシック" panose="020B0609070205080204" pitchFamily="49" charset="-128"/>
              <a:ea typeface="ＭＳ ゴシック" panose="020B0609070205080204" pitchFamily="49" charset="-128"/>
            </a:rPr>
            <a:t>\300</a:t>
          </a:r>
        </a:p>
        <a:p>
          <a:r>
            <a:rPr kumimoji="1" lang="en-US" altLang="ja-JP" sz="900">
              <a:latin typeface="ＭＳ ゴシック" panose="020B0609070205080204" pitchFamily="49" charset="-128"/>
              <a:ea typeface="ＭＳ ゴシック" panose="020B0609070205080204" pitchFamily="49" charset="-128"/>
            </a:rPr>
            <a:t>  (  2</a:t>
          </a:r>
          <a:r>
            <a:rPr kumimoji="1" lang="ja-JP" altLang="en-US" sz="900">
              <a:latin typeface="ＭＳ ゴシック" panose="020B0609070205080204" pitchFamily="49" charset="-128"/>
              <a:ea typeface="ＭＳ ゴシック" panose="020B0609070205080204" pitchFamily="49" charset="-128"/>
            </a:rPr>
            <a:t>個</a:t>
          </a:r>
          <a:r>
            <a:rPr kumimoji="1" lang="en-US" altLang="ja-JP" sz="900">
              <a:latin typeface="ＭＳ ゴシック" panose="020B0609070205080204" pitchFamily="49" charset="-128"/>
              <a:ea typeface="ＭＳ ゴシック" panose="020B0609070205080204" pitchFamily="49" charset="-128"/>
            </a:rPr>
            <a:t>\160                  )</a:t>
          </a:r>
        </a:p>
        <a:p>
          <a:r>
            <a:rPr kumimoji="1" lang="en-US" altLang="ja-JP" sz="900">
              <a:latin typeface="ＭＳ ゴシック" panose="020B0609070205080204" pitchFamily="49" charset="-128"/>
              <a:ea typeface="ＭＳ ゴシック" panose="020B0609070205080204" pitchFamily="49" charset="-128"/>
            </a:rPr>
            <a:t>     3</a:t>
          </a:r>
          <a:r>
            <a:rPr kumimoji="1" lang="ja-JP" altLang="en-US" sz="900">
              <a:latin typeface="ＭＳ ゴシック" panose="020B0609070205080204" pitchFamily="49" charset="-128"/>
              <a:ea typeface="ＭＳ ゴシック" panose="020B0609070205080204" pitchFamily="49" charset="-128"/>
            </a:rPr>
            <a:t>個</a:t>
          </a:r>
          <a:r>
            <a:rPr kumimoji="1" lang="en-US" altLang="ja-JP" sz="900">
              <a:latin typeface="ＭＳ ゴシック" panose="020B0609070205080204" pitchFamily="49" charset="-128"/>
              <a:ea typeface="ＭＳ ゴシック" panose="020B0609070205080204" pitchFamily="49" charset="-128"/>
            </a:rPr>
            <a:t>A</a:t>
          </a:r>
          <a:r>
            <a:rPr kumimoji="1" lang="ja-JP" altLang="en-US" sz="900">
              <a:latin typeface="ＭＳ ゴシック" panose="020B0609070205080204" pitchFamily="49" charset="-128"/>
              <a:ea typeface="ＭＳ ゴシック" panose="020B0609070205080204" pitchFamily="49" charset="-128"/>
            </a:rPr>
            <a:t>まとめ    </a:t>
          </a:r>
          <a:r>
            <a:rPr kumimoji="1" lang="en-US" altLang="ja-JP" sz="900">
              <a:latin typeface="ＭＳ ゴシック" panose="020B0609070205080204" pitchFamily="49" charset="-128"/>
              <a:ea typeface="ＭＳ ゴシック" panose="020B0609070205080204" pitchFamily="49" charset="-128"/>
            </a:rPr>
            <a:t>\240    -\15</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分類値引   </a:t>
          </a:r>
          <a:r>
            <a:rPr kumimoji="1" lang="en-US" altLang="ja-JP" sz="900">
              <a:latin typeface="ＭＳ ゴシック" panose="020B0609070205080204" pitchFamily="49" charset="-128"/>
              <a:ea typeface="ＭＳ ゴシック" panose="020B0609070205080204" pitchFamily="49" charset="-128"/>
            </a:rPr>
            <a:t>15%         -\45</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小計       </a:t>
          </a:r>
          <a:r>
            <a:rPr kumimoji="1" lang="en-US" altLang="ja-JP" sz="900">
              <a:latin typeface="ＭＳ ゴシック" panose="020B0609070205080204" pitchFamily="49" charset="-128"/>
              <a:ea typeface="ＭＳ ゴシック" panose="020B0609070205080204" pitchFamily="49" charset="-128"/>
            </a:rPr>
            <a:t>3</a:t>
          </a:r>
          <a:r>
            <a:rPr kumimoji="1" lang="ja-JP" altLang="en-US" sz="900">
              <a:latin typeface="ＭＳ ゴシック" panose="020B0609070205080204" pitchFamily="49" charset="-128"/>
              <a:ea typeface="ＭＳ ゴシック" panose="020B0609070205080204" pitchFamily="49" charset="-128"/>
            </a:rPr>
            <a:t>点            </a:t>
          </a:r>
          <a:r>
            <a:rPr kumimoji="1" lang="en-US" altLang="ja-JP" sz="900">
              <a:latin typeface="ＭＳ ゴシック" panose="020B0609070205080204" pitchFamily="49" charset="-128"/>
              <a:ea typeface="ＭＳ ゴシック" panose="020B0609070205080204" pitchFamily="49" charset="-128"/>
            </a:rPr>
            <a:t>\240</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外税 </a:t>
          </a:r>
          <a:r>
            <a:rPr kumimoji="1" lang="en-US" altLang="ja-JP" sz="900">
              <a:latin typeface="ＭＳ ゴシック" panose="020B0609070205080204" pitchFamily="49" charset="-128"/>
              <a:ea typeface="ＭＳ ゴシック" panose="020B0609070205080204" pitchFamily="49" charset="-128"/>
            </a:rPr>
            <a:t>8.0%</a:t>
          </a:r>
          <a:r>
            <a:rPr kumimoji="1" lang="ja-JP" altLang="en-US" sz="900">
              <a:latin typeface="ＭＳ ゴシック" panose="020B0609070205080204" pitchFamily="49" charset="-128"/>
              <a:ea typeface="ＭＳ ゴシック" panose="020B0609070205080204" pitchFamily="49" charset="-128"/>
            </a:rPr>
            <a:t>対象額         </a:t>
          </a:r>
          <a:r>
            <a:rPr kumimoji="1" lang="en-US" altLang="ja-JP" sz="900">
              <a:latin typeface="ＭＳ ゴシック" panose="020B0609070205080204" pitchFamily="49" charset="-128"/>
              <a:ea typeface="ＭＳ ゴシック" panose="020B0609070205080204" pitchFamily="49" charset="-128"/>
            </a:rPr>
            <a:t>\240)</a:t>
          </a:r>
        </a:p>
        <a:p>
          <a:r>
            <a:rPr kumimoji="1" lang="en-US" altLang="ja-JP" sz="900">
              <a:latin typeface="ＭＳ ゴシック" panose="020B0609070205080204" pitchFamily="49" charset="-128"/>
              <a:ea typeface="ＭＳ ゴシック" panose="020B0609070205080204" pitchFamily="49" charset="-128"/>
            </a:rPr>
            <a:t>      8.0% </a:t>
          </a:r>
          <a:r>
            <a:rPr kumimoji="1" lang="ja-JP" altLang="en-US" sz="900">
              <a:latin typeface="ＭＳ ゴシック" panose="020B0609070205080204" pitchFamily="49" charset="-128"/>
              <a:ea typeface="ＭＳ ゴシック" panose="020B0609070205080204" pitchFamily="49" charset="-128"/>
            </a:rPr>
            <a:t>消費税等         </a:t>
          </a:r>
          <a:r>
            <a:rPr kumimoji="1" lang="en-US" altLang="ja-JP" sz="900">
              <a:latin typeface="ＭＳ ゴシック" panose="020B0609070205080204" pitchFamily="49" charset="-128"/>
              <a:ea typeface="ＭＳ ゴシック" panose="020B0609070205080204" pitchFamily="49" charset="-128"/>
            </a:rPr>
            <a:t>\19</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外税額計                   </a:t>
          </a:r>
          <a:r>
            <a:rPr kumimoji="1" lang="en-US" altLang="ja-JP" sz="900">
              <a:latin typeface="ＭＳ ゴシック" panose="020B0609070205080204" pitchFamily="49" charset="-128"/>
              <a:ea typeface="ＭＳ ゴシック" panose="020B0609070205080204" pitchFamily="49" charset="-128"/>
            </a:rPr>
            <a:t>\19</a:t>
          </a:r>
        </a:p>
        <a:p>
          <a:r>
            <a:rPr kumimoji="1" lang="en-US" altLang="ja-JP" sz="900">
              <a:latin typeface="ＭＳ ゴシック" panose="020B0609070205080204" pitchFamily="49" charset="-128"/>
              <a:ea typeface="ＭＳ ゴシック" panose="020B0609070205080204" pitchFamily="49" charset="-128"/>
            </a:rPr>
            <a:t>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税込小計                  </a:t>
          </a:r>
          <a:r>
            <a:rPr kumimoji="1" lang="en-US" altLang="ja-JP" sz="900">
              <a:latin typeface="ＭＳ ゴシック" panose="020B0609070205080204" pitchFamily="49" charset="-128"/>
              <a:ea typeface="ＭＳ ゴシック" panose="020B0609070205080204" pitchFamily="49" charset="-128"/>
            </a:rPr>
            <a:t>\259</a:t>
          </a:r>
        </a:p>
        <a:p>
          <a:r>
            <a:rPr kumimoji="1" lang="en-US" altLang="ja-JP" sz="900">
              <a:latin typeface="ＭＳ ゴシック" panose="020B0609070205080204" pitchFamily="49" charset="-128"/>
              <a:ea typeface="ＭＳ ゴシック" panose="020B0609070205080204" pitchFamily="49" charset="-128"/>
            </a:rPr>
            <a:t>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税込 </a:t>
          </a:r>
          <a:r>
            <a:rPr kumimoji="1" lang="en-US" altLang="ja-JP" sz="900">
              <a:latin typeface="ＭＳ ゴシック" panose="020B0609070205080204" pitchFamily="49" charset="-128"/>
              <a:ea typeface="ＭＳ ゴシック" panose="020B0609070205080204" pitchFamily="49" charset="-128"/>
            </a:rPr>
            <a:t>8.0%</a:t>
          </a:r>
          <a:r>
            <a:rPr kumimoji="1" lang="ja-JP" altLang="en-US" sz="900">
              <a:latin typeface="ＭＳ ゴシック" panose="020B0609070205080204" pitchFamily="49" charset="-128"/>
              <a:ea typeface="ＭＳ ゴシック" panose="020B0609070205080204" pitchFamily="49" charset="-128"/>
            </a:rPr>
            <a:t>対象額         </a:t>
          </a:r>
          <a:r>
            <a:rPr kumimoji="1" lang="en-US" altLang="ja-JP" sz="900">
              <a:latin typeface="ＭＳ ゴシック" panose="020B0609070205080204" pitchFamily="49" charset="-128"/>
              <a:ea typeface="ＭＳ ゴシック" panose="020B0609070205080204" pitchFamily="49" charset="-128"/>
            </a:rPr>
            <a:t>\259)</a:t>
          </a:r>
        </a:p>
        <a:p>
          <a:r>
            <a:rPr kumimoji="1" lang="en-US" altLang="ja-JP" sz="900">
              <a:latin typeface="ＭＳ ゴシック" panose="020B0609070205080204" pitchFamily="49" charset="-128"/>
              <a:ea typeface="ＭＳ ゴシック" panose="020B0609070205080204" pitchFamily="49" charset="-128"/>
            </a:rPr>
            <a:t>      8.0% </a:t>
          </a:r>
          <a:r>
            <a:rPr kumimoji="1" lang="ja-JP" altLang="en-US" sz="900">
              <a:latin typeface="ＭＳ ゴシック" panose="020B0609070205080204" pitchFamily="49" charset="-128"/>
              <a:ea typeface="ＭＳ ゴシック" panose="020B0609070205080204" pitchFamily="49" charset="-128"/>
            </a:rPr>
            <a:t>消費税等         </a:t>
          </a:r>
          <a:r>
            <a:rPr kumimoji="1" lang="en-US" altLang="ja-JP" sz="900">
              <a:latin typeface="ＭＳ ゴシック" panose="020B0609070205080204" pitchFamily="49" charset="-128"/>
              <a:ea typeface="ＭＳ ゴシック" panose="020B0609070205080204" pitchFamily="49" charset="-128"/>
            </a:rPr>
            <a:t>\19</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税額計                     </a:t>
          </a:r>
          <a:r>
            <a:rPr kumimoji="1" lang="en-US" altLang="ja-JP" sz="900">
              <a:latin typeface="ＭＳ ゴシック" panose="020B0609070205080204" pitchFamily="49" charset="-128"/>
              <a:ea typeface="ＭＳ ゴシック" panose="020B0609070205080204" pitchFamily="49" charset="-128"/>
            </a:rPr>
            <a:t>\19</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a:t>
          </a:r>
          <a:r>
            <a:rPr kumimoji="1" lang="en-US" altLang="ja-JP" sz="900">
              <a:latin typeface="ＭＳ ゴシック" panose="020B0609070205080204" pitchFamily="49" charset="-128"/>
              <a:ea typeface="ＭＳ ゴシック" panose="020B0609070205080204" pitchFamily="49" charset="-128"/>
            </a:rPr>
            <a:t>x</a:t>
          </a:r>
          <a:r>
            <a:rPr kumimoji="1" lang="ja-JP" altLang="en-US" sz="900">
              <a:latin typeface="ＭＳ ゴシック" panose="020B0609070205080204" pitchFamily="49" charset="-128"/>
              <a:ea typeface="ＭＳ ゴシック" panose="020B0609070205080204" pitchFamily="49" charset="-128"/>
            </a:rPr>
            <a:t>」は軽減税率対象商品です    </a:t>
          </a:r>
        </a:p>
        <a:p>
          <a:r>
            <a:rPr kumimoji="1" lang="ja-JP" altLang="en-US" sz="900">
              <a:latin typeface="ＭＳ ゴシック" panose="020B0609070205080204" pitchFamily="49" charset="-128"/>
              <a:ea typeface="ＭＳ ゴシック" panose="020B0609070205080204" pitchFamily="49" charset="-128"/>
            </a:rPr>
            <a:t> ━━━━━━━━━━━━━━━</a:t>
          </a:r>
        </a:p>
        <a:p>
          <a:r>
            <a:rPr kumimoji="1" lang="ja-JP" altLang="en-US" sz="900">
              <a:latin typeface="ＭＳ ゴシック" panose="020B0609070205080204" pitchFamily="49" charset="-128"/>
              <a:ea typeface="ＭＳ ゴシック" panose="020B0609070205080204" pitchFamily="49" charset="-128"/>
            </a:rPr>
            <a:t> 合計                  </a:t>
          </a:r>
          <a:r>
            <a:rPr kumimoji="1" lang="en-US" altLang="ja-JP" sz="900">
              <a:latin typeface="ＭＳ ゴシック" panose="020B0609070205080204" pitchFamily="49" charset="-128"/>
              <a:ea typeface="ＭＳ ゴシック" panose="020B0609070205080204" pitchFamily="49" charset="-128"/>
            </a:rPr>
            <a:t>\259</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お預り                </a:t>
          </a:r>
          <a:r>
            <a:rPr kumimoji="1" lang="en-US" altLang="ja-JP" sz="900">
              <a:latin typeface="ＭＳ ゴシック" panose="020B0609070205080204" pitchFamily="49" charset="-128"/>
              <a:ea typeface="ＭＳ ゴシック" panose="020B0609070205080204" pitchFamily="49" charset="-128"/>
            </a:rPr>
            <a:t>\259</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お釣り                    </a:t>
          </a:r>
          <a:r>
            <a:rPr kumimoji="1" lang="en-US" altLang="ja-JP" sz="900">
              <a:latin typeface="ＭＳ ゴシック" panose="020B0609070205080204" pitchFamily="49" charset="-128"/>
              <a:ea typeface="ＭＳ ゴシック" panose="020B0609070205080204" pitchFamily="49" charset="-128"/>
            </a:rPr>
            <a:t>\0</a:t>
          </a:r>
        </a:p>
        <a:p>
          <a:r>
            <a:rPr kumimoji="1" lang="en-US" altLang="ja-JP" sz="900">
              <a:latin typeface="ＭＳ ゴシック" panose="020B0609070205080204" pitchFamily="49" charset="-128"/>
              <a:ea typeface="ＭＳ ゴシック" panose="020B0609070205080204" pitchFamily="49" charset="-128"/>
            </a:rPr>
            <a:t> ━━━━━━━━━━━━━━━</a:t>
          </a:r>
        </a:p>
        <a:p>
          <a:endParaRPr kumimoji="1" lang="en-US" altLang="ja-JP" sz="900">
            <a:latin typeface="ＭＳ ゴシック" panose="020B0609070205080204" pitchFamily="49" charset="-128"/>
            <a:ea typeface="ＭＳ ゴシック" panose="020B0609070205080204" pitchFamily="49" charset="-128"/>
          </a:endParaRPr>
        </a:p>
      </xdr:txBody>
    </xdr:sp>
    <xdr:clientData/>
  </xdr:twoCellAnchor>
  <xdr:twoCellAnchor>
    <xdr:from>
      <xdr:col>1</xdr:col>
      <xdr:colOff>68036</xdr:colOff>
      <xdr:row>705</xdr:row>
      <xdr:rowOff>27214</xdr:rowOff>
    </xdr:from>
    <xdr:to>
      <xdr:col>10</xdr:col>
      <xdr:colOff>189593</xdr:colOff>
      <xdr:row>741</xdr:row>
      <xdr:rowOff>13607</xdr:rowOff>
    </xdr:to>
    <xdr:sp macro="" textlink="">
      <xdr:nvSpPr>
        <xdr:cNvPr id="663" name="テキスト ボックス 662">
          <a:extLst>
            <a:ext uri="{FF2B5EF4-FFF2-40B4-BE49-F238E27FC236}">
              <a16:creationId xmlns:a16="http://schemas.microsoft.com/office/drawing/2014/main" id="{621F6DE9-6080-4A9B-B5E0-B82D3C1484DB}"/>
            </a:ext>
          </a:extLst>
        </xdr:cNvPr>
        <xdr:cNvSpPr txBox="1"/>
      </xdr:nvSpPr>
      <xdr:spPr>
        <a:xfrm>
          <a:off x="296636" y="120899464"/>
          <a:ext cx="2178957" cy="6158593"/>
        </a:xfrm>
        <a:prstGeom prst="rect">
          <a:avLst/>
        </a:prstGeom>
        <a:solidFill>
          <a:schemeClr val="accent5">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lstStyle/>
        <a:p>
          <a:r>
            <a:rPr kumimoji="1" lang="en-US" altLang="ja-JP" sz="900">
              <a:latin typeface="ＭＳ ゴシック" panose="020B0609070205080204" pitchFamily="49" charset="-128"/>
              <a:ea typeface="ＭＳ ゴシック" panose="020B0609070205080204" pitchFamily="49" charset="-128"/>
            </a:rPr>
            <a:t>【</a:t>
          </a:r>
          <a:r>
            <a:rPr kumimoji="1" lang="ja-JP" altLang="en-US" sz="900">
              <a:latin typeface="ＭＳ ゴシック" panose="020B0609070205080204" pitchFamily="49" charset="-128"/>
              <a:ea typeface="ＭＳ ゴシック" panose="020B0609070205080204" pitchFamily="49" charset="-128"/>
            </a:rPr>
            <a:t>レシート印字イメージ</a:t>
          </a:r>
          <a:r>
            <a:rPr kumimoji="1" lang="en-US" altLang="ja-JP" sz="900">
              <a:latin typeface="ＭＳ ゴシック" panose="020B0609070205080204" pitchFamily="49" charset="-128"/>
              <a:ea typeface="ＭＳ ゴシック" panose="020B0609070205080204" pitchFamily="49" charset="-128"/>
            </a:rPr>
            <a:t>】※</a:t>
          </a:r>
          <a:r>
            <a:rPr kumimoji="1" lang="ja-JP" altLang="en-US" sz="900">
              <a:latin typeface="ＭＳ ゴシック" panose="020B0609070205080204" pitchFamily="49" charset="-128"/>
              <a:ea typeface="ＭＳ ゴシック" panose="020B0609070205080204" pitchFamily="49" charset="-128"/>
            </a:rPr>
            <a:t>倍角無し</a:t>
          </a:r>
          <a:endParaRPr kumimoji="1" lang="en-US" altLang="ja-JP" sz="900">
            <a:latin typeface="ＭＳ ゴシック" panose="020B0609070205080204" pitchFamily="49" charset="-128"/>
            <a:ea typeface="ＭＳ ゴシック" panose="020B0609070205080204" pitchFamily="49" charset="-128"/>
          </a:endParaRPr>
        </a:p>
        <a:p>
          <a:r>
            <a:rPr kumimoji="1" lang="ja-JP" altLang="en-US" sz="900">
              <a:latin typeface="ＭＳ ゴシック" panose="020B0609070205080204" pitchFamily="49" charset="-128"/>
              <a:ea typeface="ＭＳ ゴシック" panose="020B0609070205080204" pitchFamily="49" charset="-128"/>
            </a:rPr>
            <a:t> </a:t>
          </a:r>
          <a:r>
            <a:rPr kumimoji="1" lang="en-US" altLang="ja-JP" sz="900">
              <a:latin typeface="ＭＳ ゴシック" panose="020B0609070205080204" pitchFamily="49" charset="-128"/>
              <a:ea typeface="ＭＳ ゴシック" panose="020B0609070205080204" pitchFamily="49" charset="-128"/>
            </a:rPr>
            <a:t>2024</a:t>
          </a:r>
          <a:r>
            <a:rPr kumimoji="1" lang="ja-JP" altLang="en-US" sz="900">
              <a:latin typeface="ＭＳ ゴシック" panose="020B0609070205080204" pitchFamily="49" charset="-128"/>
              <a:ea typeface="ＭＳ ゴシック" panose="020B0609070205080204" pitchFamily="49" charset="-128"/>
            </a:rPr>
            <a:t>年</a:t>
          </a:r>
          <a:r>
            <a:rPr kumimoji="1" lang="en-US" altLang="ja-JP" sz="900">
              <a:latin typeface="ＭＳ ゴシック" panose="020B0609070205080204" pitchFamily="49" charset="-128"/>
              <a:ea typeface="ＭＳ ゴシック" panose="020B0609070205080204" pitchFamily="49" charset="-128"/>
            </a:rPr>
            <a:t>10</a:t>
          </a:r>
          <a:r>
            <a:rPr kumimoji="1" lang="ja-JP" altLang="en-US" sz="900">
              <a:latin typeface="ＭＳ ゴシック" panose="020B0609070205080204" pitchFamily="49" charset="-128"/>
              <a:ea typeface="ＭＳ ゴシック" panose="020B0609070205080204" pitchFamily="49" charset="-128"/>
            </a:rPr>
            <a:t>月</a:t>
          </a:r>
          <a:r>
            <a:rPr kumimoji="1" lang="en-US" altLang="ja-JP" sz="900">
              <a:latin typeface="ＭＳ ゴシック" panose="020B0609070205080204" pitchFamily="49" charset="-128"/>
              <a:ea typeface="ＭＳ ゴシック" panose="020B0609070205080204" pitchFamily="49" charset="-128"/>
            </a:rPr>
            <a:t>22</a:t>
          </a:r>
          <a:r>
            <a:rPr kumimoji="1" lang="ja-JP" altLang="en-US" sz="900">
              <a:latin typeface="ＭＳ ゴシック" panose="020B0609070205080204" pitchFamily="49" charset="-128"/>
              <a:ea typeface="ＭＳ ゴシック" panose="020B0609070205080204" pitchFamily="49" charset="-128"/>
            </a:rPr>
            <a:t>日（火） </a:t>
          </a:r>
          <a:r>
            <a:rPr kumimoji="1" lang="en-US" altLang="ja-JP" sz="900">
              <a:latin typeface="ＭＳ ゴシック" panose="020B0609070205080204" pitchFamily="49" charset="-128"/>
              <a:ea typeface="ＭＳ ゴシック" panose="020B0609070205080204" pitchFamily="49" charset="-128"/>
            </a:rPr>
            <a:t>17:45</a:t>
          </a:r>
        </a:p>
        <a:p>
          <a:r>
            <a:rPr kumimoji="1" lang="en-US" altLang="ja-JP" sz="900">
              <a:latin typeface="ＭＳ ゴシック" panose="020B0609070205080204" pitchFamily="49" charset="-128"/>
              <a:ea typeface="ＭＳ ゴシック" panose="020B0609070205080204" pitchFamily="49" charset="-128"/>
            </a:rPr>
            <a:t>   01 x</a:t>
          </a:r>
          <a:r>
            <a:rPr kumimoji="1" lang="ja-JP" altLang="en-US" sz="900">
              <a:latin typeface="ＭＳ ゴシック" panose="020B0609070205080204" pitchFamily="49" charset="-128"/>
              <a:ea typeface="ＭＳ ゴシック" panose="020B0609070205080204" pitchFamily="49" charset="-128"/>
            </a:rPr>
            <a:t>商品Ｍ                   </a:t>
          </a:r>
        </a:p>
        <a:p>
          <a:r>
            <a:rPr kumimoji="1" lang="ja-JP" altLang="en-US" sz="900">
              <a:latin typeface="ＭＳ ゴシック" panose="020B0609070205080204" pitchFamily="49" charset="-128"/>
              <a:ea typeface="ＭＳ ゴシック" panose="020B0609070205080204" pitchFamily="49" charset="-128"/>
            </a:rPr>
            <a:t>         </a:t>
          </a:r>
          <a:r>
            <a:rPr kumimoji="1" lang="en-US" altLang="ja-JP" sz="900">
              <a:latin typeface="ＭＳ ゴシック" panose="020B0609070205080204" pitchFamily="49" charset="-128"/>
              <a:ea typeface="ＭＳ ゴシック" panose="020B0609070205080204" pitchFamily="49" charset="-128"/>
            </a:rPr>
            <a:t>\98   2</a:t>
          </a:r>
          <a:r>
            <a:rPr kumimoji="1" lang="ja-JP" altLang="en-US" sz="900">
              <a:latin typeface="ＭＳ ゴシック" panose="020B0609070205080204" pitchFamily="49" charset="-128"/>
              <a:ea typeface="ＭＳ ゴシック" panose="020B0609070205080204" pitchFamily="49" charset="-128"/>
            </a:rPr>
            <a:t>個         </a:t>
          </a:r>
          <a:r>
            <a:rPr kumimoji="1" lang="en-US" altLang="ja-JP" sz="900">
              <a:latin typeface="ＭＳ ゴシック" panose="020B0609070205080204" pitchFamily="49" charset="-128"/>
              <a:ea typeface="ＭＳ ゴシック" panose="020B0609070205080204" pitchFamily="49" charset="-128"/>
            </a:rPr>
            <a:t>\196</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値引                    </a:t>
          </a:r>
          <a:r>
            <a:rPr kumimoji="1" lang="en-US" altLang="ja-JP" sz="900">
              <a:latin typeface="ＭＳ ゴシック" panose="020B0609070205080204" pitchFamily="49" charset="-128"/>
              <a:ea typeface="ＭＳ ゴシック" panose="020B0609070205080204" pitchFamily="49" charset="-128"/>
            </a:rPr>
            <a:t>-\2</a:t>
          </a:r>
        </a:p>
        <a:p>
          <a:r>
            <a:rPr kumimoji="1" lang="en-US" altLang="ja-JP" sz="900">
              <a:latin typeface="ＭＳ ゴシック" panose="020B0609070205080204" pitchFamily="49" charset="-128"/>
              <a:ea typeface="ＭＳ ゴシック" panose="020B0609070205080204" pitchFamily="49" charset="-128"/>
            </a:rPr>
            <a:t>   01 x</a:t>
          </a:r>
          <a:r>
            <a:rPr kumimoji="1" lang="ja-JP" altLang="en-US" sz="900">
              <a:latin typeface="ＭＳ ゴシック" panose="020B0609070205080204" pitchFamily="49" charset="-128"/>
              <a:ea typeface="ＭＳ ゴシック" panose="020B0609070205080204" pitchFamily="49" charset="-128"/>
            </a:rPr>
            <a:t>商品Ｍ                   </a:t>
          </a:r>
        </a:p>
        <a:p>
          <a:r>
            <a:rPr kumimoji="1" lang="ja-JP" altLang="en-US" sz="900">
              <a:latin typeface="ＭＳ ゴシック" panose="020B0609070205080204" pitchFamily="49" charset="-128"/>
              <a:ea typeface="ＭＳ ゴシック" panose="020B0609070205080204" pitchFamily="49" charset="-128"/>
            </a:rPr>
            <a:t>         </a:t>
          </a:r>
          <a:r>
            <a:rPr kumimoji="1" lang="en-US" altLang="ja-JP" sz="900">
              <a:latin typeface="ＭＳ ゴシック" panose="020B0609070205080204" pitchFamily="49" charset="-128"/>
              <a:ea typeface="ＭＳ ゴシック" panose="020B0609070205080204" pitchFamily="49" charset="-128"/>
            </a:rPr>
            <a:t>\99   2</a:t>
          </a:r>
          <a:r>
            <a:rPr kumimoji="1" lang="ja-JP" altLang="en-US" sz="900">
              <a:latin typeface="ＭＳ ゴシック" panose="020B0609070205080204" pitchFamily="49" charset="-128"/>
              <a:ea typeface="ＭＳ ゴシック" panose="020B0609070205080204" pitchFamily="49" charset="-128"/>
            </a:rPr>
            <a:t>個         </a:t>
          </a:r>
          <a:r>
            <a:rPr kumimoji="1" lang="en-US" altLang="ja-JP" sz="900">
              <a:latin typeface="ＭＳ ゴシック" panose="020B0609070205080204" pitchFamily="49" charset="-128"/>
              <a:ea typeface="ＭＳ ゴシック" panose="020B0609070205080204" pitchFamily="49" charset="-128"/>
            </a:rPr>
            <a:t>\198</a:t>
          </a:r>
        </a:p>
        <a:p>
          <a:r>
            <a:rPr kumimoji="1" lang="en-US" altLang="ja-JP" sz="900">
              <a:latin typeface="ＭＳ ゴシック" panose="020B0609070205080204" pitchFamily="49" charset="-128"/>
              <a:ea typeface="ＭＳ ゴシック" panose="020B0609070205080204" pitchFamily="49" charset="-128"/>
            </a:rPr>
            <a:t>  A01 x</a:t>
          </a:r>
          <a:r>
            <a:rPr kumimoji="1" lang="ja-JP" altLang="en-US" sz="900">
              <a:latin typeface="ＭＳ ゴシック" panose="020B0609070205080204" pitchFamily="49" charset="-128"/>
              <a:ea typeface="ＭＳ ゴシック" panose="020B0609070205080204" pitchFamily="49" charset="-128"/>
            </a:rPr>
            <a:t>商品Ｍ                   </a:t>
          </a:r>
        </a:p>
        <a:p>
          <a:r>
            <a:rPr kumimoji="1" lang="ja-JP" altLang="en-US" sz="900">
              <a:latin typeface="ＭＳ ゴシック" panose="020B0609070205080204" pitchFamily="49" charset="-128"/>
              <a:ea typeface="ＭＳ ゴシック" panose="020B0609070205080204" pitchFamily="49" charset="-128"/>
            </a:rPr>
            <a:t>         </a:t>
          </a:r>
          <a:r>
            <a:rPr kumimoji="1" lang="en-US" altLang="ja-JP" sz="900">
              <a:latin typeface="ＭＳ ゴシック" panose="020B0609070205080204" pitchFamily="49" charset="-128"/>
              <a:ea typeface="ＭＳ ゴシック" panose="020B0609070205080204" pitchFamily="49" charset="-128"/>
            </a:rPr>
            <a:t>\98   2</a:t>
          </a:r>
          <a:r>
            <a:rPr kumimoji="1" lang="ja-JP" altLang="en-US" sz="900">
              <a:latin typeface="ＭＳ ゴシック" panose="020B0609070205080204" pitchFamily="49" charset="-128"/>
              <a:ea typeface="ＭＳ ゴシック" panose="020B0609070205080204" pitchFamily="49" charset="-128"/>
            </a:rPr>
            <a:t>個         </a:t>
          </a:r>
          <a:r>
            <a:rPr kumimoji="1" lang="en-US" altLang="ja-JP" sz="900">
              <a:latin typeface="ＭＳ ゴシック" panose="020B0609070205080204" pitchFamily="49" charset="-128"/>
              <a:ea typeface="ＭＳ ゴシック" panose="020B0609070205080204" pitchFamily="49" charset="-128"/>
            </a:rPr>
            <a:t>\196</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分類値引   </a:t>
          </a:r>
          <a:r>
            <a:rPr kumimoji="1" lang="en-US" altLang="ja-JP" sz="900">
              <a:latin typeface="ＭＳ ゴシック" panose="020B0609070205080204" pitchFamily="49" charset="-128"/>
              <a:ea typeface="ＭＳ ゴシック" panose="020B0609070205080204" pitchFamily="49" charset="-128"/>
            </a:rPr>
            <a:t>15%         -\30</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値引                   </a:t>
          </a:r>
          <a:r>
            <a:rPr kumimoji="1" lang="en-US" altLang="ja-JP" sz="900">
              <a:latin typeface="ＭＳ ゴシック" panose="020B0609070205080204" pitchFamily="49" charset="-128"/>
              <a:ea typeface="ＭＳ ゴシック" panose="020B0609070205080204" pitchFamily="49" charset="-128"/>
            </a:rPr>
            <a:t>-\20</a:t>
          </a:r>
        </a:p>
        <a:p>
          <a:r>
            <a:rPr kumimoji="1" lang="en-US" altLang="ja-JP" sz="900">
              <a:latin typeface="ＭＳ ゴシック" panose="020B0609070205080204" pitchFamily="49" charset="-128"/>
              <a:ea typeface="ＭＳ ゴシック" panose="020B0609070205080204" pitchFamily="49" charset="-128"/>
            </a:rPr>
            <a:t>  A01 x</a:t>
          </a:r>
          <a:r>
            <a:rPr kumimoji="1" lang="ja-JP" altLang="en-US" sz="900">
              <a:latin typeface="ＭＳ ゴシック" panose="020B0609070205080204" pitchFamily="49" charset="-128"/>
              <a:ea typeface="ＭＳ ゴシック" panose="020B0609070205080204" pitchFamily="49" charset="-128"/>
            </a:rPr>
            <a:t>商品Ｍ                   </a:t>
          </a:r>
        </a:p>
        <a:p>
          <a:r>
            <a:rPr kumimoji="1" lang="ja-JP" altLang="en-US" sz="900">
              <a:latin typeface="ＭＳ ゴシック" panose="020B0609070205080204" pitchFamily="49" charset="-128"/>
              <a:ea typeface="ＭＳ ゴシック" panose="020B0609070205080204" pitchFamily="49" charset="-128"/>
            </a:rPr>
            <a:t>         </a:t>
          </a:r>
          <a:r>
            <a:rPr kumimoji="1" lang="en-US" altLang="ja-JP" sz="900">
              <a:latin typeface="ＭＳ ゴシック" panose="020B0609070205080204" pitchFamily="49" charset="-128"/>
              <a:ea typeface="ＭＳ ゴシック" panose="020B0609070205080204" pitchFamily="49" charset="-128"/>
            </a:rPr>
            <a:t>\98   2</a:t>
          </a:r>
          <a:r>
            <a:rPr kumimoji="1" lang="ja-JP" altLang="en-US" sz="900">
              <a:latin typeface="ＭＳ ゴシック" panose="020B0609070205080204" pitchFamily="49" charset="-128"/>
              <a:ea typeface="ＭＳ ゴシック" panose="020B0609070205080204" pitchFamily="49" charset="-128"/>
            </a:rPr>
            <a:t>個         </a:t>
          </a:r>
          <a:r>
            <a:rPr kumimoji="1" lang="en-US" altLang="ja-JP" sz="900">
              <a:latin typeface="ＭＳ ゴシック" panose="020B0609070205080204" pitchFamily="49" charset="-128"/>
              <a:ea typeface="ＭＳ ゴシック" panose="020B0609070205080204" pitchFamily="49" charset="-128"/>
            </a:rPr>
            <a:t>\196</a:t>
          </a:r>
        </a:p>
        <a:p>
          <a:r>
            <a:rPr kumimoji="1" lang="en-US" altLang="ja-JP" sz="900">
              <a:latin typeface="ＭＳ ゴシック" panose="020B0609070205080204" pitchFamily="49" charset="-128"/>
              <a:ea typeface="ＭＳ ゴシック" panose="020B0609070205080204" pitchFamily="49" charset="-128"/>
            </a:rPr>
            <a:t>  (  2</a:t>
          </a:r>
          <a:r>
            <a:rPr kumimoji="1" lang="ja-JP" altLang="en-US" sz="900">
              <a:latin typeface="ＭＳ ゴシック" panose="020B0609070205080204" pitchFamily="49" charset="-128"/>
              <a:ea typeface="ＭＳ ゴシック" panose="020B0609070205080204" pitchFamily="49" charset="-128"/>
            </a:rPr>
            <a:t>個</a:t>
          </a:r>
          <a:r>
            <a:rPr kumimoji="1" lang="en-US" altLang="ja-JP" sz="900">
              <a:latin typeface="ＭＳ ゴシック" panose="020B0609070205080204" pitchFamily="49" charset="-128"/>
              <a:ea typeface="ＭＳ ゴシック" panose="020B0609070205080204" pitchFamily="49" charset="-128"/>
            </a:rPr>
            <a:t>\160                  )</a:t>
          </a:r>
        </a:p>
        <a:p>
          <a:r>
            <a:rPr kumimoji="1" lang="en-US" altLang="ja-JP" sz="900">
              <a:latin typeface="ＭＳ ゴシック" panose="020B0609070205080204" pitchFamily="49" charset="-128"/>
              <a:ea typeface="ＭＳ ゴシック" panose="020B0609070205080204" pitchFamily="49" charset="-128"/>
            </a:rPr>
            <a:t>     4</a:t>
          </a:r>
          <a:r>
            <a:rPr kumimoji="1" lang="ja-JP" altLang="en-US" sz="900">
              <a:latin typeface="ＭＳ ゴシック" panose="020B0609070205080204" pitchFamily="49" charset="-128"/>
              <a:ea typeface="ＭＳ ゴシック" panose="020B0609070205080204" pitchFamily="49" charset="-128"/>
            </a:rPr>
            <a:t>個</a:t>
          </a:r>
          <a:r>
            <a:rPr kumimoji="1" lang="en-US" altLang="ja-JP" sz="900">
              <a:latin typeface="ＭＳ ゴシック" panose="020B0609070205080204" pitchFamily="49" charset="-128"/>
              <a:ea typeface="ＭＳ ゴシック" panose="020B0609070205080204" pitchFamily="49" charset="-128"/>
            </a:rPr>
            <a:t>A</a:t>
          </a:r>
          <a:r>
            <a:rPr kumimoji="1" lang="ja-JP" altLang="en-US" sz="900">
              <a:latin typeface="ＭＳ ゴシック" panose="020B0609070205080204" pitchFamily="49" charset="-128"/>
              <a:ea typeface="ＭＳ ゴシック" panose="020B0609070205080204" pitchFamily="49" charset="-128"/>
            </a:rPr>
            <a:t>まとめ    </a:t>
          </a:r>
          <a:r>
            <a:rPr kumimoji="1" lang="en-US" altLang="ja-JP" sz="900">
              <a:latin typeface="ＭＳ ゴシック" panose="020B0609070205080204" pitchFamily="49" charset="-128"/>
              <a:ea typeface="ＭＳ ゴシック" panose="020B0609070205080204" pitchFamily="49" charset="-128"/>
            </a:rPr>
            <a:t>\320    -\12</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分類値引   </a:t>
          </a:r>
          <a:r>
            <a:rPr kumimoji="1" lang="en-US" altLang="ja-JP" sz="900">
              <a:latin typeface="ＭＳ ゴシック" panose="020B0609070205080204" pitchFamily="49" charset="-128"/>
              <a:ea typeface="ＭＳ ゴシック" panose="020B0609070205080204" pitchFamily="49" charset="-128"/>
            </a:rPr>
            <a:t>15%         -\30</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値引       </a:t>
          </a:r>
          <a:r>
            <a:rPr kumimoji="1" lang="en-US" altLang="ja-JP" sz="900">
              <a:latin typeface="ＭＳ ゴシック" panose="020B0609070205080204" pitchFamily="49" charset="-128"/>
              <a:ea typeface="ＭＳ ゴシック" panose="020B0609070205080204" pitchFamily="49" charset="-128"/>
            </a:rPr>
            <a:t>18%         -\30</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小計       </a:t>
          </a:r>
          <a:r>
            <a:rPr kumimoji="1" lang="en-US" altLang="ja-JP" sz="900">
              <a:latin typeface="ＭＳ ゴシック" panose="020B0609070205080204" pitchFamily="49" charset="-128"/>
              <a:ea typeface="ＭＳ ゴシック" panose="020B0609070205080204" pitchFamily="49" charset="-128"/>
            </a:rPr>
            <a:t>8</a:t>
          </a:r>
          <a:r>
            <a:rPr kumimoji="1" lang="ja-JP" altLang="en-US" sz="900">
              <a:latin typeface="ＭＳ ゴシック" panose="020B0609070205080204" pitchFamily="49" charset="-128"/>
              <a:ea typeface="ＭＳ ゴシック" panose="020B0609070205080204" pitchFamily="49" charset="-128"/>
            </a:rPr>
            <a:t>点            </a:t>
          </a:r>
          <a:r>
            <a:rPr kumimoji="1" lang="en-US" altLang="ja-JP" sz="900">
              <a:latin typeface="ＭＳ ゴシック" panose="020B0609070205080204" pitchFamily="49" charset="-128"/>
              <a:ea typeface="ＭＳ ゴシック" panose="020B0609070205080204" pitchFamily="49" charset="-128"/>
            </a:rPr>
            <a:t>\662</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外税 </a:t>
          </a:r>
          <a:r>
            <a:rPr kumimoji="1" lang="en-US" altLang="ja-JP" sz="900">
              <a:latin typeface="ＭＳ ゴシック" panose="020B0609070205080204" pitchFamily="49" charset="-128"/>
              <a:ea typeface="ＭＳ ゴシック" panose="020B0609070205080204" pitchFamily="49" charset="-128"/>
            </a:rPr>
            <a:t>8.0%</a:t>
          </a:r>
          <a:r>
            <a:rPr kumimoji="1" lang="ja-JP" altLang="en-US" sz="900">
              <a:latin typeface="ＭＳ ゴシック" panose="020B0609070205080204" pitchFamily="49" charset="-128"/>
              <a:ea typeface="ＭＳ ゴシック" panose="020B0609070205080204" pitchFamily="49" charset="-128"/>
            </a:rPr>
            <a:t>対象額         </a:t>
          </a:r>
          <a:r>
            <a:rPr kumimoji="1" lang="en-US" altLang="ja-JP" sz="900">
              <a:latin typeface="ＭＳ ゴシック" panose="020B0609070205080204" pitchFamily="49" charset="-128"/>
              <a:ea typeface="ＭＳ ゴシック" panose="020B0609070205080204" pitchFamily="49" charset="-128"/>
            </a:rPr>
            <a:t>\662)</a:t>
          </a:r>
        </a:p>
        <a:p>
          <a:r>
            <a:rPr kumimoji="1" lang="en-US" altLang="ja-JP" sz="900">
              <a:latin typeface="ＭＳ ゴシック" panose="020B0609070205080204" pitchFamily="49" charset="-128"/>
              <a:ea typeface="ＭＳ ゴシック" panose="020B0609070205080204" pitchFamily="49" charset="-128"/>
            </a:rPr>
            <a:t>      8.0% </a:t>
          </a:r>
          <a:r>
            <a:rPr kumimoji="1" lang="ja-JP" altLang="en-US" sz="900">
              <a:latin typeface="ＭＳ ゴシック" panose="020B0609070205080204" pitchFamily="49" charset="-128"/>
              <a:ea typeface="ＭＳ ゴシック" panose="020B0609070205080204" pitchFamily="49" charset="-128"/>
            </a:rPr>
            <a:t>消費税等         </a:t>
          </a:r>
          <a:r>
            <a:rPr kumimoji="1" lang="en-US" altLang="ja-JP" sz="900">
              <a:latin typeface="ＭＳ ゴシック" panose="020B0609070205080204" pitchFamily="49" charset="-128"/>
              <a:ea typeface="ＭＳ ゴシック" panose="020B0609070205080204" pitchFamily="49" charset="-128"/>
            </a:rPr>
            <a:t>\52</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外税額計                   </a:t>
          </a:r>
          <a:r>
            <a:rPr kumimoji="1" lang="en-US" altLang="ja-JP" sz="900">
              <a:latin typeface="ＭＳ ゴシック" panose="020B0609070205080204" pitchFamily="49" charset="-128"/>
              <a:ea typeface="ＭＳ ゴシック" panose="020B0609070205080204" pitchFamily="49" charset="-128"/>
            </a:rPr>
            <a:t>\52</a:t>
          </a:r>
        </a:p>
        <a:p>
          <a:r>
            <a:rPr kumimoji="1" lang="en-US" altLang="ja-JP" sz="900">
              <a:latin typeface="ＭＳ ゴシック" panose="020B0609070205080204" pitchFamily="49" charset="-128"/>
              <a:ea typeface="ＭＳ ゴシック" panose="020B0609070205080204" pitchFamily="49" charset="-128"/>
            </a:rPr>
            <a:t>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税込小計                  </a:t>
          </a:r>
          <a:r>
            <a:rPr kumimoji="1" lang="en-US" altLang="ja-JP" sz="900">
              <a:latin typeface="ＭＳ ゴシック" panose="020B0609070205080204" pitchFamily="49" charset="-128"/>
              <a:ea typeface="ＭＳ ゴシック" panose="020B0609070205080204" pitchFamily="49" charset="-128"/>
            </a:rPr>
            <a:t>\714</a:t>
          </a:r>
        </a:p>
        <a:p>
          <a:r>
            <a:rPr kumimoji="1" lang="en-US" altLang="ja-JP" sz="900">
              <a:latin typeface="ＭＳ ゴシック" panose="020B0609070205080204" pitchFamily="49" charset="-128"/>
              <a:ea typeface="ＭＳ ゴシック" panose="020B0609070205080204" pitchFamily="49" charset="-128"/>
            </a:rPr>
            <a:t>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税込 </a:t>
          </a:r>
          <a:r>
            <a:rPr kumimoji="1" lang="en-US" altLang="ja-JP" sz="900">
              <a:latin typeface="ＭＳ ゴシック" panose="020B0609070205080204" pitchFamily="49" charset="-128"/>
              <a:ea typeface="ＭＳ ゴシック" panose="020B0609070205080204" pitchFamily="49" charset="-128"/>
            </a:rPr>
            <a:t>8.0%</a:t>
          </a:r>
          <a:r>
            <a:rPr kumimoji="1" lang="ja-JP" altLang="en-US" sz="900">
              <a:latin typeface="ＭＳ ゴシック" panose="020B0609070205080204" pitchFamily="49" charset="-128"/>
              <a:ea typeface="ＭＳ ゴシック" panose="020B0609070205080204" pitchFamily="49" charset="-128"/>
            </a:rPr>
            <a:t>対象額         </a:t>
          </a:r>
          <a:r>
            <a:rPr kumimoji="1" lang="en-US" altLang="ja-JP" sz="900">
              <a:latin typeface="ＭＳ ゴシック" panose="020B0609070205080204" pitchFamily="49" charset="-128"/>
              <a:ea typeface="ＭＳ ゴシック" panose="020B0609070205080204" pitchFamily="49" charset="-128"/>
            </a:rPr>
            <a:t>\714)</a:t>
          </a:r>
        </a:p>
        <a:p>
          <a:r>
            <a:rPr kumimoji="1" lang="en-US" altLang="ja-JP" sz="900">
              <a:latin typeface="ＭＳ ゴシック" panose="020B0609070205080204" pitchFamily="49" charset="-128"/>
              <a:ea typeface="ＭＳ ゴシック" panose="020B0609070205080204" pitchFamily="49" charset="-128"/>
            </a:rPr>
            <a:t>      8.0% </a:t>
          </a:r>
          <a:r>
            <a:rPr kumimoji="1" lang="ja-JP" altLang="en-US" sz="900">
              <a:latin typeface="ＭＳ ゴシック" panose="020B0609070205080204" pitchFamily="49" charset="-128"/>
              <a:ea typeface="ＭＳ ゴシック" panose="020B0609070205080204" pitchFamily="49" charset="-128"/>
            </a:rPr>
            <a:t>消費税等         </a:t>
          </a:r>
          <a:r>
            <a:rPr kumimoji="1" lang="en-US" altLang="ja-JP" sz="900">
              <a:latin typeface="ＭＳ ゴシック" panose="020B0609070205080204" pitchFamily="49" charset="-128"/>
              <a:ea typeface="ＭＳ ゴシック" panose="020B0609070205080204" pitchFamily="49" charset="-128"/>
            </a:rPr>
            <a:t>\52</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税額計                     </a:t>
          </a:r>
          <a:r>
            <a:rPr kumimoji="1" lang="en-US" altLang="ja-JP" sz="900">
              <a:latin typeface="ＭＳ ゴシック" panose="020B0609070205080204" pitchFamily="49" charset="-128"/>
              <a:ea typeface="ＭＳ ゴシック" panose="020B0609070205080204" pitchFamily="49" charset="-128"/>
            </a:rPr>
            <a:t>\52</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a:t>
          </a:r>
          <a:r>
            <a:rPr kumimoji="1" lang="en-US" altLang="ja-JP" sz="900">
              <a:latin typeface="ＭＳ ゴシック" panose="020B0609070205080204" pitchFamily="49" charset="-128"/>
              <a:ea typeface="ＭＳ ゴシック" panose="020B0609070205080204" pitchFamily="49" charset="-128"/>
            </a:rPr>
            <a:t>x</a:t>
          </a:r>
          <a:r>
            <a:rPr kumimoji="1" lang="ja-JP" altLang="en-US" sz="900">
              <a:latin typeface="ＭＳ ゴシック" panose="020B0609070205080204" pitchFamily="49" charset="-128"/>
              <a:ea typeface="ＭＳ ゴシック" panose="020B0609070205080204" pitchFamily="49" charset="-128"/>
            </a:rPr>
            <a:t>」は軽減税率対象商品です    </a:t>
          </a:r>
        </a:p>
        <a:p>
          <a:r>
            <a:rPr kumimoji="1" lang="ja-JP" altLang="en-US" sz="900">
              <a:latin typeface="ＭＳ ゴシック" panose="020B0609070205080204" pitchFamily="49" charset="-128"/>
              <a:ea typeface="ＭＳ ゴシック" panose="020B0609070205080204" pitchFamily="49" charset="-128"/>
            </a:rPr>
            <a:t> ━━━━━━━━━━━━━━━</a:t>
          </a:r>
        </a:p>
        <a:p>
          <a:r>
            <a:rPr kumimoji="1" lang="ja-JP" altLang="en-US" sz="900">
              <a:latin typeface="ＭＳ ゴシック" panose="020B0609070205080204" pitchFamily="49" charset="-128"/>
              <a:ea typeface="ＭＳ ゴシック" panose="020B0609070205080204" pitchFamily="49" charset="-128"/>
            </a:rPr>
            <a:t> 合計                  </a:t>
          </a:r>
          <a:r>
            <a:rPr kumimoji="1" lang="en-US" altLang="ja-JP" sz="900">
              <a:latin typeface="ＭＳ ゴシック" panose="020B0609070205080204" pitchFamily="49" charset="-128"/>
              <a:ea typeface="ＭＳ ゴシック" panose="020B0609070205080204" pitchFamily="49" charset="-128"/>
            </a:rPr>
            <a:t>\714</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お預り                </a:t>
          </a:r>
          <a:r>
            <a:rPr kumimoji="1" lang="en-US" altLang="ja-JP" sz="900">
              <a:latin typeface="ＭＳ ゴシック" panose="020B0609070205080204" pitchFamily="49" charset="-128"/>
              <a:ea typeface="ＭＳ ゴシック" panose="020B0609070205080204" pitchFamily="49" charset="-128"/>
            </a:rPr>
            <a:t>\714</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お釣り                    </a:t>
          </a:r>
          <a:r>
            <a:rPr kumimoji="1" lang="en-US" altLang="ja-JP" sz="900">
              <a:latin typeface="ＭＳ ゴシック" panose="020B0609070205080204" pitchFamily="49" charset="-128"/>
              <a:ea typeface="ＭＳ ゴシック" panose="020B0609070205080204" pitchFamily="49" charset="-128"/>
            </a:rPr>
            <a:t>\0</a:t>
          </a:r>
        </a:p>
        <a:p>
          <a:r>
            <a:rPr kumimoji="1" lang="en-US" altLang="ja-JP" sz="900">
              <a:latin typeface="ＭＳ ゴシック" panose="020B0609070205080204" pitchFamily="49" charset="-128"/>
              <a:ea typeface="ＭＳ ゴシック" panose="020B0609070205080204" pitchFamily="49" charset="-128"/>
            </a:rPr>
            <a:t> ━━━━━━━━━━━━━━━</a:t>
          </a:r>
        </a:p>
        <a:p>
          <a:endParaRPr kumimoji="1" lang="en-US" altLang="ja-JP" sz="900">
            <a:latin typeface="ＭＳ ゴシック" panose="020B0609070205080204" pitchFamily="49" charset="-128"/>
            <a:ea typeface="ＭＳ ゴシック" panose="020B0609070205080204" pitchFamily="49" charset="-128"/>
          </a:endParaRPr>
        </a:p>
      </xdr:txBody>
    </xdr:sp>
    <xdr:clientData/>
  </xdr:twoCellAnchor>
  <xdr:twoCellAnchor>
    <xdr:from>
      <xdr:col>1</xdr:col>
      <xdr:colOff>74840</xdr:colOff>
      <xdr:row>908</xdr:row>
      <xdr:rowOff>108863</xdr:rowOff>
    </xdr:from>
    <xdr:to>
      <xdr:col>10</xdr:col>
      <xdr:colOff>196397</xdr:colOff>
      <xdr:row>948</xdr:row>
      <xdr:rowOff>88447</xdr:rowOff>
    </xdr:to>
    <xdr:sp macro="" textlink="">
      <xdr:nvSpPr>
        <xdr:cNvPr id="664" name="テキスト ボックス 663">
          <a:extLst>
            <a:ext uri="{FF2B5EF4-FFF2-40B4-BE49-F238E27FC236}">
              <a16:creationId xmlns:a16="http://schemas.microsoft.com/office/drawing/2014/main" id="{5F5C75F7-9FDA-47C8-B92C-25AED685B8D6}"/>
            </a:ext>
          </a:extLst>
        </xdr:cNvPr>
        <xdr:cNvSpPr txBox="1"/>
      </xdr:nvSpPr>
      <xdr:spPr>
        <a:xfrm>
          <a:off x="303440" y="155785463"/>
          <a:ext cx="2178957" cy="6837584"/>
        </a:xfrm>
        <a:prstGeom prst="rect">
          <a:avLst/>
        </a:prstGeom>
        <a:solidFill>
          <a:schemeClr val="accent5">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lstStyle/>
        <a:p>
          <a:r>
            <a:rPr kumimoji="1" lang="en-US" altLang="ja-JP" sz="900">
              <a:latin typeface="ＭＳ ゴシック" panose="020B0609070205080204" pitchFamily="49" charset="-128"/>
              <a:ea typeface="ＭＳ ゴシック" panose="020B0609070205080204" pitchFamily="49" charset="-128"/>
            </a:rPr>
            <a:t>【</a:t>
          </a:r>
          <a:r>
            <a:rPr kumimoji="1" lang="ja-JP" altLang="en-US" sz="900">
              <a:latin typeface="ＭＳ ゴシック" panose="020B0609070205080204" pitchFamily="49" charset="-128"/>
              <a:ea typeface="ＭＳ ゴシック" panose="020B0609070205080204" pitchFamily="49" charset="-128"/>
            </a:rPr>
            <a:t>レシート印字イメージ</a:t>
          </a:r>
          <a:r>
            <a:rPr kumimoji="1" lang="en-US" altLang="ja-JP" sz="900">
              <a:latin typeface="ＭＳ ゴシック" panose="020B0609070205080204" pitchFamily="49" charset="-128"/>
              <a:ea typeface="ＭＳ ゴシック" panose="020B0609070205080204" pitchFamily="49" charset="-128"/>
            </a:rPr>
            <a:t>】※</a:t>
          </a:r>
          <a:r>
            <a:rPr kumimoji="1" lang="ja-JP" altLang="en-US" sz="900">
              <a:latin typeface="ＭＳ ゴシック" panose="020B0609070205080204" pitchFamily="49" charset="-128"/>
              <a:ea typeface="ＭＳ ゴシック" panose="020B0609070205080204" pitchFamily="49" charset="-128"/>
            </a:rPr>
            <a:t>倍角無し</a:t>
          </a:r>
          <a:endParaRPr kumimoji="1" lang="en-US" altLang="ja-JP" sz="900">
            <a:latin typeface="ＭＳ ゴシック" panose="020B0609070205080204" pitchFamily="49" charset="-128"/>
            <a:ea typeface="ＭＳ ゴシック" panose="020B0609070205080204" pitchFamily="49" charset="-128"/>
          </a:endParaRPr>
        </a:p>
        <a:p>
          <a:r>
            <a:rPr kumimoji="1" lang="ja-JP" altLang="en-US" sz="900">
              <a:latin typeface="ＭＳ ゴシック" panose="020B0609070205080204" pitchFamily="49" charset="-128"/>
              <a:ea typeface="ＭＳ ゴシック" panose="020B0609070205080204" pitchFamily="49" charset="-128"/>
            </a:rPr>
            <a:t> </a:t>
          </a:r>
          <a:r>
            <a:rPr kumimoji="1" lang="en-US" altLang="ja-JP" sz="900">
              <a:latin typeface="ＭＳ ゴシック" panose="020B0609070205080204" pitchFamily="49" charset="-128"/>
              <a:ea typeface="ＭＳ ゴシック" panose="020B0609070205080204" pitchFamily="49" charset="-128"/>
            </a:rPr>
            <a:t>2024</a:t>
          </a:r>
          <a:r>
            <a:rPr kumimoji="1" lang="ja-JP" altLang="en-US" sz="900">
              <a:latin typeface="ＭＳ ゴシック" panose="020B0609070205080204" pitchFamily="49" charset="-128"/>
              <a:ea typeface="ＭＳ ゴシック" panose="020B0609070205080204" pitchFamily="49" charset="-128"/>
            </a:rPr>
            <a:t>年</a:t>
          </a:r>
          <a:r>
            <a:rPr kumimoji="1" lang="en-US" altLang="ja-JP" sz="900">
              <a:latin typeface="ＭＳ ゴシック" panose="020B0609070205080204" pitchFamily="49" charset="-128"/>
              <a:ea typeface="ＭＳ ゴシック" panose="020B0609070205080204" pitchFamily="49" charset="-128"/>
            </a:rPr>
            <a:t>10</a:t>
          </a:r>
          <a:r>
            <a:rPr kumimoji="1" lang="ja-JP" altLang="en-US" sz="900">
              <a:latin typeface="ＭＳ ゴシック" panose="020B0609070205080204" pitchFamily="49" charset="-128"/>
              <a:ea typeface="ＭＳ ゴシック" panose="020B0609070205080204" pitchFamily="49" charset="-128"/>
            </a:rPr>
            <a:t>月</a:t>
          </a:r>
          <a:r>
            <a:rPr kumimoji="1" lang="en-US" altLang="ja-JP" sz="900">
              <a:latin typeface="ＭＳ ゴシック" panose="020B0609070205080204" pitchFamily="49" charset="-128"/>
              <a:ea typeface="ＭＳ ゴシック" panose="020B0609070205080204" pitchFamily="49" charset="-128"/>
            </a:rPr>
            <a:t>22</a:t>
          </a:r>
          <a:r>
            <a:rPr kumimoji="1" lang="ja-JP" altLang="en-US" sz="900">
              <a:latin typeface="ＭＳ ゴシック" panose="020B0609070205080204" pitchFamily="49" charset="-128"/>
              <a:ea typeface="ＭＳ ゴシック" panose="020B0609070205080204" pitchFamily="49" charset="-128"/>
            </a:rPr>
            <a:t>日（火） </a:t>
          </a:r>
          <a:r>
            <a:rPr kumimoji="1" lang="en-US" altLang="ja-JP" sz="900">
              <a:latin typeface="ＭＳ ゴシック" panose="020B0609070205080204" pitchFamily="49" charset="-128"/>
              <a:ea typeface="ＭＳ ゴシック" panose="020B0609070205080204" pitchFamily="49" charset="-128"/>
            </a:rPr>
            <a:t>19:52</a:t>
          </a:r>
        </a:p>
        <a:p>
          <a:r>
            <a:rPr kumimoji="1" lang="en-US" altLang="ja-JP" sz="900">
              <a:latin typeface="ＭＳ ゴシック" panose="020B0609070205080204" pitchFamily="49" charset="-128"/>
              <a:ea typeface="ＭＳ ゴシック" panose="020B0609070205080204" pitchFamily="49" charset="-128"/>
            </a:rPr>
            <a:t>   01 x</a:t>
          </a:r>
          <a:r>
            <a:rPr kumimoji="1" lang="ja-JP" altLang="en-US" sz="900">
              <a:latin typeface="ＭＳ ゴシック" panose="020B0609070205080204" pitchFamily="49" charset="-128"/>
              <a:ea typeface="ＭＳ ゴシック" panose="020B0609070205080204" pitchFamily="49" charset="-128"/>
            </a:rPr>
            <a:t>商品Ｍ                   </a:t>
          </a:r>
        </a:p>
        <a:p>
          <a:r>
            <a:rPr kumimoji="1" lang="ja-JP" altLang="en-US" sz="900">
              <a:latin typeface="ＭＳ ゴシック" panose="020B0609070205080204" pitchFamily="49" charset="-128"/>
              <a:ea typeface="ＭＳ ゴシック" panose="020B0609070205080204" pitchFamily="49" charset="-128"/>
            </a:rPr>
            <a:t>         </a:t>
          </a:r>
          <a:r>
            <a:rPr kumimoji="1" lang="en-US" altLang="ja-JP" sz="900">
              <a:latin typeface="ＭＳ ゴシック" panose="020B0609070205080204" pitchFamily="49" charset="-128"/>
              <a:ea typeface="ＭＳ ゴシック" panose="020B0609070205080204" pitchFamily="49" charset="-128"/>
            </a:rPr>
            <a:t>\98   2</a:t>
          </a:r>
          <a:r>
            <a:rPr kumimoji="1" lang="ja-JP" altLang="en-US" sz="900">
              <a:latin typeface="ＭＳ ゴシック" panose="020B0609070205080204" pitchFamily="49" charset="-128"/>
              <a:ea typeface="ＭＳ ゴシック" panose="020B0609070205080204" pitchFamily="49" charset="-128"/>
            </a:rPr>
            <a:t>個         </a:t>
          </a:r>
          <a:r>
            <a:rPr kumimoji="1" lang="en-US" altLang="ja-JP" sz="900">
              <a:latin typeface="ＭＳ ゴシック" panose="020B0609070205080204" pitchFamily="49" charset="-128"/>
              <a:ea typeface="ＭＳ ゴシック" panose="020B0609070205080204" pitchFamily="49" charset="-128"/>
            </a:rPr>
            <a:t>\196</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値引                    </a:t>
          </a:r>
          <a:r>
            <a:rPr kumimoji="1" lang="en-US" altLang="ja-JP" sz="900">
              <a:latin typeface="ＭＳ ゴシック" panose="020B0609070205080204" pitchFamily="49" charset="-128"/>
              <a:ea typeface="ＭＳ ゴシック" panose="020B0609070205080204" pitchFamily="49" charset="-128"/>
            </a:rPr>
            <a:t>-\2</a:t>
          </a:r>
        </a:p>
        <a:p>
          <a:r>
            <a:rPr kumimoji="1" lang="en-US" altLang="ja-JP" sz="900">
              <a:latin typeface="ＭＳ ゴシック" panose="020B0609070205080204" pitchFamily="49" charset="-128"/>
              <a:ea typeface="ＭＳ ゴシック" panose="020B0609070205080204" pitchFamily="49" charset="-128"/>
            </a:rPr>
            <a:t>   01 x</a:t>
          </a:r>
          <a:r>
            <a:rPr kumimoji="1" lang="ja-JP" altLang="en-US" sz="900">
              <a:latin typeface="ＭＳ ゴシック" panose="020B0609070205080204" pitchFamily="49" charset="-128"/>
              <a:ea typeface="ＭＳ ゴシック" panose="020B0609070205080204" pitchFamily="49" charset="-128"/>
            </a:rPr>
            <a:t>商品Ｍ                   </a:t>
          </a:r>
        </a:p>
        <a:p>
          <a:r>
            <a:rPr kumimoji="1" lang="ja-JP" altLang="en-US" sz="900">
              <a:latin typeface="ＭＳ ゴシック" panose="020B0609070205080204" pitchFamily="49" charset="-128"/>
              <a:ea typeface="ＭＳ ゴシック" panose="020B0609070205080204" pitchFamily="49" charset="-128"/>
            </a:rPr>
            <a:t>         </a:t>
          </a:r>
          <a:r>
            <a:rPr kumimoji="1" lang="en-US" altLang="ja-JP" sz="900">
              <a:latin typeface="ＭＳ ゴシック" panose="020B0609070205080204" pitchFamily="49" charset="-128"/>
              <a:ea typeface="ＭＳ ゴシック" panose="020B0609070205080204" pitchFamily="49" charset="-128"/>
            </a:rPr>
            <a:t>\99   2</a:t>
          </a:r>
          <a:r>
            <a:rPr kumimoji="1" lang="ja-JP" altLang="en-US" sz="900">
              <a:latin typeface="ＭＳ ゴシック" panose="020B0609070205080204" pitchFamily="49" charset="-128"/>
              <a:ea typeface="ＭＳ ゴシック" panose="020B0609070205080204" pitchFamily="49" charset="-128"/>
            </a:rPr>
            <a:t>個         </a:t>
          </a:r>
          <a:r>
            <a:rPr kumimoji="1" lang="en-US" altLang="ja-JP" sz="900">
              <a:latin typeface="ＭＳ ゴシック" panose="020B0609070205080204" pitchFamily="49" charset="-128"/>
              <a:ea typeface="ＭＳ ゴシック" panose="020B0609070205080204" pitchFamily="49" charset="-128"/>
            </a:rPr>
            <a:t>\198</a:t>
          </a:r>
        </a:p>
        <a:p>
          <a:r>
            <a:rPr kumimoji="1" lang="en-US" altLang="ja-JP" sz="900">
              <a:latin typeface="ＭＳ ゴシック" panose="020B0609070205080204" pitchFamily="49" charset="-128"/>
              <a:ea typeface="ＭＳ ゴシック" panose="020B0609070205080204" pitchFamily="49" charset="-128"/>
            </a:rPr>
            <a:t>   01 x</a:t>
          </a:r>
          <a:r>
            <a:rPr kumimoji="1" lang="ja-JP" altLang="en-US" sz="900">
              <a:latin typeface="ＭＳ ゴシック" panose="020B0609070205080204" pitchFamily="49" charset="-128"/>
              <a:ea typeface="ＭＳ ゴシック" panose="020B0609070205080204" pitchFamily="49" charset="-128"/>
            </a:rPr>
            <a:t>商品Ｐ                  </a:t>
          </a:r>
          <a:r>
            <a:rPr kumimoji="1" lang="en-US" altLang="ja-JP" sz="900">
              <a:latin typeface="ＭＳ ゴシック" panose="020B0609070205080204" pitchFamily="49" charset="-128"/>
              <a:ea typeface="ＭＳ ゴシック" panose="020B0609070205080204" pitchFamily="49" charset="-128"/>
            </a:rPr>
            <a:t>J</a:t>
          </a:r>
        </a:p>
        <a:p>
          <a:r>
            <a:rPr kumimoji="1" lang="en-US" altLang="ja-JP" sz="900">
              <a:latin typeface="ＭＳ ゴシック" panose="020B0609070205080204" pitchFamily="49" charset="-128"/>
              <a:ea typeface="ＭＳ ゴシック" panose="020B0609070205080204" pitchFamily="49" charset="-128"/>
            </a:rPr>
            <a:t>        \100   3</a:t>
          </a:r>
          <a:r>
            <a:rPr kumimoji="1" lang="ja-JP" altLang="en-US" sz="900">
              <a:latin typeface="ＭＳ ゴシック" panose="020B0609070205080204" pitchFamily="49" charset="-128"/>
              <a:ea typeface="ＭＳ ゴシック" panose="020B0609070205080204" pitchFamily="49" charset="-128"/>
            </a:rPr>
            <a:t>個         </a:t>
          </a:r>
          <a:r>
            <a:rPr kumimoji="1" lang="en-US" altLang="ja-JP" sz="900">
              <a:latin typeface="ＭＳ ゴシック" panose="020B0609070205080204" pitchFamily="49" charset="-128"/>
              <a:ea typeface="ＭＳ ゴシック" panose="020B0609070205080204" pitchFamily="49" charset="-128"/>
            </a:rPr>
            <a:t>\300</a:t>
          </a:r>
        </a:p>
        <a:p>
          <a:r>
            <a:rPr kumimoji="1" lang="en-US" altLang="ja-JP" sz="900">
              <a:latin typeface="ＭＳ ゴシック" panose="020B0609070205080204" pitchFamily="49" charset="-128"/>
              <a:ea typeface="ＭＳ ゴシック" panose="020B0609070205080204" pitchFamily="49" charset="-128"/>
            </a:rPr>
            <a:t>  A01 x</a:t>
          </a:r>
          <a:r>
            <a:rPr kumimoji="1" lang="ja-JP" altLang="en-US" sz="900">
              <a:latin typeface="ＭＳ ゴシック" panose="020B0609070205080204" pitchFamily="49" charset="-128"/>
              <a:ea typeface="ＭＳ ゴシック" panose="020B0609070205080204" pitchFamily="49" charset="-128"/>
            </a:rPr>
            <a:t>商品Ｍ                   </a:t>
          </a:r>
        </a:p>
        <a:p>
          <a:r>
            <a:rPr kumimoji="1" lang="ja-JP" altLang="en-US" sz="900">
              <a:latin typeface="ＭＳ ゴシック" panose="020B0609070205080204" pitchFamily="49" charset="-128"/>
              <a:ea typeface="ＭＳ ゴシック" panose="020B0609070205080204" pitchFamily="49" charset="-128"/>
            </a:rPr>
            <a:t>         </a:t>
          </a:r>
          <a:r>
            <a:rPr kumimoji="1" lang="en-US" altLang="ja-JP" sz="900">
              <a:latin typeface="ＭＳ ゴシック" panose="020B0609070205080204" pitchFamily="49" charset="-128"/>
              <a:ea typeface="ＭＳ ゴシック" panose="020B0609070205080204" pitchFamily="49" charset="-128"/>
            </a:rPr>
            <a:t>\98   2</a:t>
          </a:r>
          <a:r>
            <a:rPr kumimoji="1" lang="ja-JP" altLang="en-US" sz="900">
              <a:latin typeface="ＭＳ ゴシック" panose="020B0609070205080204" pitchFamily="49" charset="-128"/>
              <a:ea typeface="ＭＳ ゴシック" panose="020B0609070205080204" pitchFamily="49" charset="-128"/>
            </a:rPr>
            <a:t>個         </a:t>
          </a:r>
          <a:r>
            <a:rPr kumimoji="1" lang="en-US" altLang="ja-JP" sz="900">
              <a:latin typeface="ＭＳ ゴシック" panose="020B0609070205080204" pitchFamily="49" charset="-128"/>
              <a:ea typeface="ＭＳ ゴシック" panose="020B0609070205080204" pitchFamily="49" charset="-128"/>
            </a:rPr>
            <a:t>\196</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分類値引   </a:t>
          </a:r>
          <a:r>
            <a:rPr kumimoji="1" lang="en-US" altLang="ja-JP" sz="900">
              <a:latin typeface="ＭＳ ゴシック" panose="020B0609070205080204" pitchFamily="49" charset="-128"/>
              <a:ea typeface="ＭＳ ゴシック" panose="020B0609070205080204" pitchFamily="49" charset="-128"/>
            </a:rPr>
            <a:t>15%         -\30</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値引                   </a:t>
          </a:r>
          <a:r>
            <a:rPr kumimoji="1" lang="en-US" altLang="ja-JP" sz="900">
              <a:latin typeface="ＭＳ ゴシック" panose="020B0609070205080204" pitchFamily="49" charset="-128"/>
              <a:ea typeface="ＭＳ ゴシック" panose="020B0609070205080204" pitchFamily="49" charset="-128"/>
            </a:rPr>
            <a:t>-\20</a:t>
          </a:r>
        </a:p>
        <a:p>
          <a:r>
            <a:rPr kumimoji="1" lang="en-US" altLang="ja-JP" sz="900">
              <a:latin typeface="ＭＳ ゴシック" panose="020B0609070205080204" pitchFamily="49" charset="-128"/>
              <a:ea typeface="ＭＳ ゴシック" panose="020B0609070205080204" pitchFamily="49" charset="-128"/>
            </a:rPr>
            <a:t>  A01 x</a:t>
          </a:r>
          <a:r>
            <a:rPr kumimoji="1" lang="ja-JP" altLang="en-US" sz="900">
              <a:latin typeface="ＭＳ ゴシック" panose="020B0609070205080204" pitchFamily="49" charset="-128"/>
              <a:ea typeface="ＭＳ ゴシック" panose="020B0609070205080204" pitchFamily="49" charset="-128"/>
            </a:rPr>
            <a:t>商品Ｍ                   </a:t>
          </a:r>
        </a:p>
        <a:p>
          <a:r>
            <a:rPr kumimoji="1" lang="ja-JP" altLang="en-US" sz="900">
              <a:latin typeface="ＭＳ ゴシック" panose="020B0609070205080204" pitchFamily="49" charset="-128"/>
              <a:ea typeface="ＭＳ ゴシック" panose="020B0609070205080204" pitchFamily="49" charset="-128"/>
            </a:rPr>
            <a:t>         </a:t>
          </a:r>
          <a:r>
            <a:rPr kumimoji="1" lang="en-US" altLang="ja-JP" sz="900">
              <a:latin typeface="ＭＳ ゴシック" panose="020B0609070205080204" pitchFamily="49" charset="-128"/>
              <a:ea typeface="ＭＳ ゴシック" panose="020B0609070205080204" pitchFamily="49" charset="-128"/>
            </a:rPr>
            <a:t>\98   2</a:t>
          </a:r>
          <a:r>
            <a:rPr kumimoji="1" lang="ja-JP" altLang="en-US" sz="900">
              <a:latin typeface="ＭＳ ゴシック" panose="020B0609070205080204" pitchFamily="49" charset="-128"/>
              <a:ea typeface="ＭＳ ゴシック" panose="020B0609070205080204" pitchFamily="49" charset="-128"/>
            </a:rPr>
            <a:t>個         </a:t>
          </a:r>
          <a:r>
            <a:rPr kumimoji="1" lang="en-US" altLang="ja-JP" sz="900">
              <a:latin typeface="ＭＳ ゴシック" panose="020B0609070205080204" pitchFamily="49" charset="-128"/>
              <a:ea typeface="ＭＳ ゴシック" panose="020B0609070205080204" pitchFamily="49" charset="-128"/>
            </a:rPr>
            <a:t>\196</a:t>
          </a:r>
        </a:p>
        <a:p>
          <a:r>
            <a:rPr kumimoji="1" lang="en-US" altLang="ja-JP" sz="900">
              <a:latin typeface="ＭＳ ゴシック" panose="020B0609070205080204" pitchFamily="49" charset="-128"/>
              <a:ea typeface="ＭＳ ゴシック" panose="020B0609070205080204" pitchFamily="49" charset="-128"/>
            </a:rPr>
            <a:t>  (  2</a:t>
          </a:r>
          <a:r>
            <a:rPr kumimoji="1" lang="ja-JP" altLang="en-US" sz="900">
              <a:latin typeface="ＭＳ ゴシック" panose="020B0609070205080204" pitchFamily="49" charset="-128"/>
              <a:ea typeface="ＭＳ ゴシック" panose="020B0609070205080204" pitchFamily="49" charset="-128"/>
            </a:rPr>
            <a:t>個</a:t>
          </a:r>
          <a:r>
            <a:rPr kumimoji="1" lang="en-US" altLang="ja-JP" sz="900">
              <a:latin typeface="ＭＳ ゴシック" panose="020B0609070205080204" pitchFamily="49" charset="-128"/>
              <a:ea typeface="ＭＳ ゴシック" panose="020B0609070205080204" pitchFamily="49" charset="-128"/>
            </a:rPr>
            <a:t>\160                  )</a:t>
          </a:r>
        </a:p>
        <a:p>
          <a:r>
            <a:rPr kumimoji="1" lang="en-US" altLang="ja-JP" sz="900">
              <a:latin typeface="ＭＳ ゴシック" panose="020B0609070205080204" pitchFamily="49" charset="-128"/>
              <a:ea typeface="ＭＳ ゴシック" panose="020B0609070205080204" pitchFamily="49" charset="-128"/>
            </a:rPr>
            <a:t>     4</a:t>
          </a:r>
          <a:r>
            <a:rPr kumimoji="1" lang="ja-JP" altLang="en-US" sz="900">
              <a:latin typeface="ＭＳ ゴシック" panose="020B0609070205080204" pitchFamily="49" charset="-128"/>
              <a:ea typeface="ＭＳ ゴシック" panose="020B0609070205080204" pitchFamily="49" charset="-128"/>
            </a:rPr>
            <a:t>個</a:t>
          </a:r>
          <a:r>
            <a:rPr kumimoji="1" lang="en-US" altLang="ja-JP" sz="900">
              <a:latin typeface="ＭＳ ゴシック" panose="020B0609070205080204" pitchFamily="49" charset="-128"/>
              <a:ea typeface="ＭＳ ゴシック" panose="020B0609070205080204" pitchFamily="49" charset="-128"/>
            </a:rPr>
            <a:t>A</a:t>
          </a:r>
          <a:r>
            <a:rPr kumimoji="1" lang="ja-JP" altLang="en-US" sz="900">
              <a:latin typeface="ＭＳ ゴシック" panose="020B0609070205080204" pitchFamily="49" charset="-128"/>
              <a:ea typeface="ＭＳ ゴシック" panose="020B0609070205080204" pitchFamily="49" charset="-128"/>
            </a:rPr>
            <a:t>まとめ    </a:t>
          </a:r>
          <a:r>
            <a:rPr kumimoji="1" lang="en-US" altLang="ja-JP" sz="900">
              <a:latin typeface="ＭＳ ゴシック" panose="020B0609070205080204" pitchFamily="49" charset="-128"/>
              <a:ea typeface="ＭＳ ゴシック" panose="020B0609070205080204" pitchFamily="49" charset="-128"/>
            </a:rPr>
            <a:t>\320    -\12</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分類値引   </a:t>
          </a:r>
          <a:r>
            <a:rPr kumimoji="1" lang="en-US" altLang="ja-JP" sz="900">
              <a:latin typeface="ＭＳ ゴシック" panose="020B0609070205080204" pitchFamily="49" charset="-128"/>
              <a:ea typeface="ＭＳ ゴシック" panose="020B0609070205080204" pitchFamily="49" charset="-128"/>
            </a:rPr>
            <a:t>15%         -\30</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値引       </a:t>
          </a:r>
          <a:r>
            <a:rPr kumimoji="1" lang="en-US" altLang="ja-JP" sz="900">
              <a:latin typeface="ＭＳ ゴシック" panose="020B0609070205080204" pitchFamily="49" charset="-128"/>
              <a:ea typeface="ＭＳ ゴシック" panose="020B0609070205080204" pitchFamily="49" charset="-128"/>
            </a:rPr>
            <a:t>18%         -\30</a:t>
          </a:r>
        </a:p>
        <a:p>
          <a:r>
            <a:rPr kumimoji="1" lang="en-US" altLang="ja-JP" sz="900">
              <a:latin typeface="ＭＳ ゴシック" panose="020B0609070205080204" pitchFamily="49" charset="-128"/>
              <a:ea typeface="ＭＳ ゴシック" panose="020B0609070205080204" pitchFamily="49" charset="-128"/>
            </a:rPr>
            <a:t>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小計値引   </a:t>
          </a:r>
          <a:r>
            <a:rPr kumimoji="1" lang="en-US" altLang="ja-JP" sz="900">
              <a:latin typeface="ＭＳ ゴシック" panose="020B0609070205080204" pitchFamily="49" charset="-128"/>
              <a:ea typeface="ＭＳ ゴシック" panose="020B0609070205080204" pitchFamily="49" charset="-128"/>
            </a:rPr>
            <a:t>10%         -\67</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小計      </a:t>
          </a:r>
          <a:r>
            <a:rPr kumimoji="1" lang="en-US" altLang="ja-JP" sz="900">
              <a:latin typeface="ＭＳ ゴシック" panose="020B0609070205080204" pitchFamily="49" charset="-128"/>
              <a:ea typeface="ＭＳ ゴシック" panose="020B0609070205080204" pitchFamily="49" charset="-128"/>
            </a:rPr>
            <a:t>11</a:t>
          </a:r>
          <a:r>
            <a:rPr kumimoji="1" lang="ja-JP" altLang="en-US" sz="900">
              <a:latin typeface="ＭＳ ゴシック" panose="020B0609070205080204" pitchFamily="49" charset="-128"/>
              <a:ea typeface="ＭＳ ゴシック" panose="020B0609070205080204" pitchFamily="49" charset="-128"/>
            </a:rPr>
            <a:t>点            </a:t>
          </a:r>
          <a:r>
            <a:rPr kumimoji="1" lang="en-US" altLang="ja-JP" sz="900">
              <a:latin typeface="ＭＳ ゴシック" panose="020B0609070205080204" pitchFamily="49" charset="-128"/>
              <a:ea typeface="ＭＳ ゴシック" panose="020B0609070205080204" pitchFamily="49" charset="-128"/>
            </a:rPr>
            <a:t>\895</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外税 </a:t>
          </a:r>
          <a:r>
            <a:rPr kumimoji="1" lang="en-US" altLang="ja-JP" sz="900">
              <a:latin typeface="ＭＳ ゴシック" panose="020B0609070205080204" pitchFamily="49" charset="-128"/>
              <a:ea typeface="ＭＳ ゴシック" panose="020B0609070205080204" pitchFamily="49" charset="-128"/>
            </a:rPr>
            <a:t>8.0%</a:t>
          </a:r>
          <a:r>
            <a:rPr kumimoji="1" lang="ja-JP" altLang="en-US" sz="900">
              <a:latin typeface="ＭＳ ゴシック" panose="020B0609070205080204" pitchFamily="49" charset="-128"/>
              <a:ea typeface="ＭＳ ゴシック" panose="020B0609070205080204" pitchFamily="49" charset="-128"/>
            </a:rPr>
            <a:t>対象額         </a:t>
          </a:r>
          <a:r>
            <a:rPr kumimoji="1" lang="en-US" altLang="ja-JP" sz="900">
              <a:latin typeface="ＭＳ ゴシック" panose="020B0609070205080204" pitchFamily="49" charset="-128"/>
              <a:ea typeface="ＭＳ ゴシック" panose="020B0609070205080204" pitchFamily="49" charset="-128"/>
            </a:rPr>
            <a:t>\895)</a:t>
          </a:r>
        </a:p>
        <a:p>
          <a:r>
            <a:rPr kumimoji="1" lang="en-US" altLang="ja-JP" sz="900">
              <a:latin typeface="ＭＳ ゴシック" panose="020B0609070205080204" pitchFamily="49" charset="-128"/>
              <a:ea typeface="ＭＳ ゴシック" panose="020B0609070205080204" pitchFamily="49" charset="-128"/>
            </a:rPr>
            <a:t>      8.0% </a:t>
          </a:r>
          <a:r>
            <a:rPr kumimoji="1" lang="ja-JP" altLang="en-US" sz="900">
              <a:latin typeface="ＭＳ ゴシック" panose="020B0609070205080204" pitchFamily="49" charset="-128"/>
              <a:ea typeface="ＭＳ ゴシック" panose="020B0609070205080204" pitchFamily="49" charset="-128"/>
            </a:rPr>
            <a:t>消費税等         </a:t>
          </a:r>
          <a:r>
            <a:rPr kumimoji="1" lang="en-US" altLang="ja-JP" sz="900">
              <a:latin typeface="ＭＳ ゴシック" panose="020B0609070205080204" pitchFamily="49" charset="-128"/>
              <a:ea typeface="ＭＳ ゴシック" panose="020B0609070205080204" pitchFamily="49" charset="-128"/>
            </a:rPr>
            <a:t>\71</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外税額計                   </a:t>
          </a:r>
          <a:r>
            <a:rPr kumimoji="1" lang="en-US" altLang="ja-JP" sz="900">
              <a:latin typeface="ＭＳ ゴシック" panose="020B0609070205080204" pitchFamily="49" charset="-128"/>
              <a:ea typeface="ＭＳ ゴシック" panose="020B0609070205080204" pitchFamily="49" charset="-128"/>
            </a:rPr>
            <a:t>\71</a:t>
          </a:r>
        </a:p>
        <a:p>
          <a:r>
            <a:rPr kumimoji="1" lang="en-US" altLang="ja-JP" sz="900">
              <a:latin typeface="ＭＳ ゴシック" panose="020B0609070205080204" pitchFamily="49" charset="-128"/>
              <a:ea typeface="ＭＳ ゴシック" panose="020B0609070205080204" pitchFamily="49" charset="-128"/>
            </a:rPr>
            <a:t>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税込小計                  </a:t>
          </a:r>
          <a:r>
            <a:rPr kumimoji="1" lang="en-US" altLang="ja-JP" sz="900">
              <a:latin typeface="ＭＳ ゴシック" panose="020B0609070205080204" pitchFamily="49" charset="-128"/>
              <a:ea typeface="ＭＳ ゴシック" panose="020B0609070205080204" pitchFamily="49" charset="-128"/>
            </a:rPr>
            <a:t>\966</a:t>
          </a:r>
        </a:p>
        <a:p>
          <a:r>
            <a:rPr kumimoji="1" lang="en-US" altLang="ja-JP" sz="900">
              <a:latin typeface="ＭＳ ゴシック" panose="020B0609070205080204" pitchFamily="49" charset="-128"/>
              <a:ea typeface="ＭＳ ゴシック" panose="020B0609070205080204" pitchFamily="49" charset="-128"/>
            </a:rPr>
            <a:t>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税込 </a:t>
          </a:r>
          <a:r>
            <a:rPr kumimoji="1" lang="en-US" altLang="ja-JP" sz="900">
              <a:latin typeface="ＭＳ ゴシック" panose="020B0609070205080204" pitchFamily="49" charset="-128"/>
              <a:ea typeface="ＭＳ ゴシック" panose="020B0609070205080204" pitchFamily="49" charset="-128"/>
            </a:rPr>
            <a:t>8.0%</a:t>
          </a:r>
          <a:r>
            <a:rPr kumimoji="1" lang="ja-JP" altLang="en-US" sz="900">
              <a:latin typeface="ＭＳ ゴシック" panose="020B0609070205080204" pitchFamily="49" charset="-128"/>
              <a:ea typeface="ＭＳ ゴシック" panose="020B0609070205080204" pitchFamily="49" charset="-128"/>
            </a:rPr>
            <a:t>対象額         </a:t>
          </a:r>
          <a:r>
            <a:rPr kumimoji="1" lang="en-US" altLang="ja-JP" sz="900">
              <a:latin typeface="ＭＳ ゴシック" panose="020B0609070205080204" pitchFamily="49" charset="-128"/>
              <a:ea typeface="ＭＳ ゴシック" panose="020B0609070205080204" pitchFamily="49" charset="-128"/>
            </a:rPr>
            <a:t>\966)</a:t>
          </a:r>
        </a:p>
        <a:p>
          <a:r>
            <a:rPr kumimoji="1" lang="en-US" altLang="ja-JP" sz="900">
              <a:latin typeface="ＭＳ ゴシック" panose="020B0609070205080204" pitchFamily="49" charset="-128"/>
              <a:ea typeface="ＭＳ ゴシック" panose="020B0609070205080204" pitchFamily="49" charset="-128"/>
            </a:rPr>
            <a:t>      8.0% </a:t>
          </a:r>
          <a:r>
            <a:rPr kumimoji="1" lang="ja-JP" altLang="en-US" sz="900">
              <a:latin typeface="ＭＳ ゴシック" panose="020B0609070205080204" pitchFamily="49" charset="-128"/>
              <a:ea typeface="ＭＳ ゴシック" panose="020B0609070205080204" pitchFamily="49" charset="-128"/>
            </a:rPr>
            <a:t>消費税等         </a:t>
          </a:r>
          <a:r>
            <a:rPr kumimoji="1" lang="en-US" altLang="ja-JP" sz="900">
              <a:latin typeface="ＭＳ ゴシック" panose="020B0609070205080204" pitchFamily="49" charset="-128"/>
              <a:ea typeface="ＭＳ ゴシック" panose="020B0609070205080204" pitchFamily="49" charset="-128"/>
            </a:rPr>
            <a:t>\71</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税額計                     </a:t>
          </a:r>
          <a:r>
            <a:rPr kumimoji="1" lang="en-US" altLang="ja-JP" sz="900">
              <a:latin typeface="ＭＳ ゴシック" panose="020B0609070205080204" pitchFamily="49" charset="-128"/>
              <a:ea typeface="ＭＳ ゴシック" panose="020B0609070205080204" pitchFamily="49" charset="-128"/>
            </a:rPr>
            <a:t>\71</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a:t>
          </a:r>
          <a:r>
            <a:rPr kumimoji="1" lang="en-US" altLang="ja-JP" sz="900">
              <a:latin typeface="ＭＳ ゴシック" panose="020B0609070205080204" pitchFamily="49" charset="-128"/>
              <a:ea typeface="ＭＳ ゴシック" panose="020B0609070205080204" pitchFamily="49" charset="-128"/>
            </a:rPr>
            <a:t>x</a:t>
          </a:r>
          <a:r>
            <a:rPr kumimoji="1" lang="ja-JP" altLang="en-US" sz="900">
              <a:latin typeface="ＭＳ ゴシック" panose="020B0609070205080204" pitchFamily="49" charset="-128"/>
              <a:ea typeface="ＭＳ ゴシック" panose="020B0609070205080204" pitchFamily="49" charset="-128"/>
            </a:rPr>
            <a:t>」は軽減税率対象商品です    </a:t>
          </a:r>
        </a:p>
        <a:p>
          <a:r>
            <a:rPr kumimoji="1" lang="ja-JP" altLang="en-US" sz="900">
              <a:latin typeface="ＭＳ ゴシック" panose="020B0609070205080204" pitchFamily="49" charset="-128"/>
              <a:ea typeface="ＭＳ ゴシック" panose="020B0609070205080204" pitchFamily="49" charset="-128"/>
            </a:rPr>
            <a:t> ━━━━━━━━━━━━━━━</a:t>
          </a:r>
        </a:p>
        <a:p>
          <a:r>
            <a:rPr kumimoji="1" lang="ja-JP" altLang="en-US" sz="900">
              <a:latin typeface="ＭＳ ゴシック" panose="020B0609070205080204" pitchFamily="49" charset="-128"/>
              <a:ea typeface="ＭＳ ゴシック" panose="020B0609070205080204" pitchFamily="49" charset="-128"/>
            </a:rPr>
            <a:t> 合計                  </a:t>
          </a:r>
          <a:r>
            <a:rPr kumimoji="1" lang="en-US" altLang="ja-JP" sz="900">
              <a:latin typeface="ＭＳ ゴシック" panose="020B0609070205080204" pitchFamily="49" charset="-128"/>
              <a:ea typeface="ＭＳ ゴシック" panose="020B0609070205080204" pitchFamily="49" charset="-128"/>
            </a:rPr>
            <a:t>\966</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お預り                </a:t>
          </a:r>
          <a:r>
            <a:rPr kumimoji="1" lang="en-US" altLang="ja-JP" sz="900">
              <a:latin typeface="ＭＳ ゴシック" panose="020B0609070205080204" pitchFamily="49" charset="-128"/>
              <a:ea typeface="ＭＳ ゴシック" panose="020B0609070205080204" pitchFamily="49" charset="-128"/>
            </a:rPr>
            <a:t>\966</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お釣り                    </a:t>
          </a:r>
          <a:r>
            <a:rPr kumimoji="1" lang="en-US" altLang="ja-JP" sz="900">
              <a:latin typeface="ＭＳ ゴシック" panose="020B0609070205080204" pitchFamily="49" charset="-128"/>
              <a:ea typeface="ＭＳ ゴシック" panose="020B0609070205080204" pitchFamily="49" charset="-128"/>
            </a:rPr>
            <a:t>\0</a:t>
          </a:r>
        </a:p>
        <a:p>
          <a:r>
            <a:rPr kumimoji="1" lang="en-US" altLang="ja-JP" sz="900">
              <a:latin typeface="ＭＳ ゴシック" panose="020B0609070205080204" pitchFamily="49" charset="-128"/>
              <a:ea typeface="ＭＳ ゴシック" panose="020B0609070205080204" pitchFamily="49" charset="-128"/>
            </a:rPr>
            <a:t> ━━━━━━━━━━━━━━━</a:t>
          </a:r>
        </a:p>
        <a:p>
          <a:endParaRPr kumimoji="1" lang="en-US" altLang="ja-JP" sz="900">
            <a:latin typeface="ＭＳ ゴシック" panose="020B0609070205080204" pitchFamily="49" charset="-128"/>
            <a:ea typeface="ＭＳ ゴシック" panose="020B0609070205080204" pitchFamily="49" charset="-128"/>
          </a:endParaRPr>
        </a:p>
      </xdr:txBody>
    </xdr:sp>
    <xdr:clientData/>
  </xdr:twoCellAnchor>
  <xdr:twoCellAnchor>
    <xdr:from>
      <xdr:col>20</xdr:col>
      <xdr:colOff>21981</xdr:colOff>
      <xdr:row>1058</xdr:row>
      <xdr:rowOff>14654</xdr:rowOff>
    </xdr:from>
    <xdr:to>
      <xdr:col>20</xdr:col>
      <xdr:colOff>199146</xdr:colOff>
      <xdr:row>1058</xdr:row>
      <xdr:rowOff>116551</xdr:rowOff>
    </xdr:to>
    <xdr:sp macro="" textlink="">
      <xdr:nvSpPr>
        <xdr:cNvPr id="665" name="正方形/長方形 664">
          <a:extLst>
            <a:ext uri="{FF2B5EF4-FFF2-40B4-BE49-F238E27FC236}">
              <a16:creationId xmlns:a16="http://schemas.microsoft.com/office/drawing/2014/main" id="{CC906203-F727-4696-A445-E59096F81066}"/>
            </a:ext>
          </a:extLst>
        </xdr:cNvPr>
        <xdr:cNvSpPr/>
      </xdr:nvSpPr>
      <xdr:spPr>
        <a:xfrm>
          <a:off x="4593981" y="181408754"/>
          <a:ext cx="17716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18463</xdr:colOff>
      <xdr:row>1058</xdr:row>
      <xdr:rowOff>22861</xdr:rowOff>
    </xdr:from>
    <xdr:to>
      <xdr:col>12</xdr:col>
      <xdr:colOff>191818</xdr:colOff>
      <xdr:row>1058</xdr:row>
      <xdr:rowOff>111423</xdr:rowOff>
    </xdr:to>
    <xdr:sp macro="" textlink="">
      <xdr:nvSpPr>
        <xdr:cNvPr id="666" name="正方形/長方形 665">
          <a:extLst>
            <a:ext uri="{FF2B5EF4-FFF2-40B4-BE49-F238E27FC236}">
              <a16:creationId xmlns:a16="http://schemas.microsoft.com/office/drawing/2014/main" id="{ED4483C5-ABE7-45D2-9ECD-EB855D4188BF}"/>
            </a:ext>
          </a:extLst>
        </xdr:cNvPr>
        <xdr:cNvSpPr/>
      </xdr:nvSpPr>
      <xdr:spPr>
        <a:xfrm>
          <a:off x="2761663" y="181416961"/>
          <a:ext cx="173355" cy="8856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21981</xdr:colOff>
      <xdr:row>1059</xdr:row>
      <xdr:rowOff>29308</xdr:rowOff>
    </xdr:from>
    <xdr:to>
      <xdr:col>20</xdr:col>
      <xdr:colOff>210576</xdr:colOff>
      <xdr:row>1059</xdr:row>
      <xdr:rowOff>121680</xdr:rowOff>
    </xdr:to>
    <xdr:sp macro="" textlink="">
      <xdr:nvSpPr>
        <xdr:cNvPr id="667" name="正方形/長方形 666">
          <a:extLst>
            <a:ext uri="{FF2B5EF4-FFF2-40B4-BE49-F238E27FC236}">
              <a16:creationId xmlns:a16="http://schemas.microsoft.com/office/drawing/2014/main" id="{D2CF8BFD-AE15-4C30-801A-10C22FA9AA0D}"/>
            </a:ext>
          </a:extLst>
        </xdr:cNvPr>
        <xdr:cNvSpPr/>
      </xdr:nvSpPr>
      <xdr:spPr>
        <a:xfrm>
          <a:off x="4593981" y="181594858"/>
          <a:ext cx="188595" cy="9237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223859</xdr:colOff>
      <xdr:row>863</xdr:row>
      <xdr:rowOff>66087</xdr:rowOff>
    </xdr:from>
    <xdr:to>
      <xdr:col>12</xdr:col>
      <xdr:colOff>18463</xdr:colOff>
      <xdr:row>1058</xdr:row>
      <xdr:rowOff>67142</xdr:rowOff>
    </xdr:to>
    <xdr:cxnSp macro="">
      <xdr:nvCxnSpPr>
        <xdr:cNvPr id="668" name="直線コネクタ 31">
          <a:extLst>
            <a:ext uri="{FF2B5EF4-FFF2-40B4-BE49-F238E27FC236}">
              <a16:creationId xmlns:a16="http://schemas.microsoft.com/office/drawing/2014/main" id="{208C8619-CE5D-4D48-9466-ADA469B963E2}"/>
            </a:ext>
          </a:extLst>
        </xdr:cNvPr>
        <xdr:cNvCxnSpPr>
          <a:cxnSpLocks/>
          <a:stCxn id="503" idx="3"/>
          <a:endCxn id="666" idx="1"/>
        </xdr:cNvCxnSpPr>
      </xdr:nvCxnSpPr>
      <xdr:spPr>
        <a:xfrm>
          <a:off x="2509859" y="148027437"/>
          <a:ext cx="251804" cy="33433805"/>
        </a:xfrm>
        <a:prstGeom prst="bentConnector3">
          <a:avLst>
            <a:gd name="adj1" fmla="val 50000"/>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18757</xdr:colOff>
      <xdr:row>904</xdr:row>
      <xdr:rowOff>20242</xdr:rowOff>
    </xdr:from>
    <xdr:to>
      <xdr:col>22</xdr:col>
      <xdr:colOff>192112</xdr:colOff>
      <xdr:row>904</xdr:row>
      <xdr:rowOff>122139</xdr:rowOff>
    </xdr:to>
    <xdr:sp macro="" textlink="">
      <xdr:nvSpPr>
        <xdr:cNvPr id="669" name="正方形/長方形 668">
          <a:extLst>
            <a:ext uri="{FF2B5EF4-FFF2-40B4-BE49-F238E27FC236}">
              <a16:creationId xmlns:a16="http://schemas.microsoft.com/office/drawing/2014/main" id="{4B3B2D65-5E51-4CC1-B1B5-36B0A7E5F804}"/>
            </a:ext>
          </a:extLst>
        </xdr:cNvPr>
        <xdr:cNvSpPr/>
      </xdr:nvSpPr>
      <xdr:spPr>
        <a:xfrm>
          <a:off x="5047957" y="155011042"/>
          <a:ext cx="17335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27402</xdr:colOff>
      <xdr:row>904</xdr:row>
      <xdr:rowOff>11137</xdr:rowOff>
    </xdr:from>
    <xdr:to>
      <xdr:col>29</xdr:col>
      <xdr:colOff>200757</xdr:colOff>
      <xdr:row>904</xdr:row>
      <xdr:rowOff>105414</xdr:rowOff>
    </xdr:to>
    <xdr:sp macro="" textlink="">
      <xdr:nvSpPr>
        <xdr:cNvPr id="670" name="正方形/長方形 669">
          <a:extLst>
            <a:ext uri="{FF2B5EF4-FFF2-40B4-BE49-F238E27FC236}">
              <a16:creationId xmlns:a16="http://schemas.microsoft.com/office/drawing/2014/main" id="{01DB2145-0B59-4380-962C-66A0DD48228D}"/>
            </a:ext>
          </a:extLst>
        </xdr:cNvPr>
        <xdr:cNvSpPr/>
      </xdr:nvSpPr>
      <xdr:spPr>
        <a:xfrm>
          <a:off x="6656802" y="155001937"/>
          <a:ext cx="17335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906</xdr:row>
      <xdr:rowOff>14655</xdr:rowOff>
    </xdr:from>
    <xdr:to>
      <xdr:col>29</xdr:col>
      <xdr:colOff>198853</xdr:colOff>
      <xdr:row>906</xdr:row>
      <xdr:rowOff>112742</xdr:rowOff>
    </xdr:to>
    <xdr:sp macro="" textlink="">
      <xdr:nvSpPr>
        <xdr:cNvPr id="671" name="正方形/長方形 670">
          <a:extLst>
            <a:ext uri="{FF2B5EF4-FFF2-40B4-BE49-F238E27FC236}">
              <a16:creationId xmlns:a16="http://schemas.microsoft.com/office/drawing/2014/main" id="{EB91A1E9-AB6C-466B-9093-E3C896DAB178}"/>
            </a:ext>
          </a:extLst>
        </xdr:cNvPr>
        <xdr:cNvSpPr/>
      </xdr:nvSpPr>
      <xdr:spPr>
        <a:xfrm>
          <a:off x="6658708" y="15534835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21981</xdr:colOff>
      <xdr:row>905</xdr:row>
      <xdr:rowOff>23885</xdr:rowOff>
    </xdr:from>
    <xdr:to>
      <xdr:col>22</xdr:col>
      <xdr:colOff>191526</xdr:colOff>
      <xdr:row>905</xdr:row>
      <xdr:rowOff>127688</xdr:rowOff>
    </xdr:to>
    <xdr:sp macro="" textlink="">
      <xdr:nvSpPr>
        <xdr:cNvPr id="672" name="正方形/長方形 671">
          <a:extLst>
            <a:ext uri="{FF2B5EF4-FFF2-40B4-BE49-F238E27FC236}">
              <a16:creationId xmlns:a16="http://schemas.microsoft.com/office/drawing/2014/main" id="{B8D32DDF-7399-4C57-9BDD-89BB14BFB755}"/>
            </a:ext>
          </a:extLst>
        </xdr:cNvPr>
        <xdr:cNvSpPr/>
      </xdr:nvSpPr>
      <xdr:spPr>
        <a:xfrm>
          <a:off x="5051181" y="15518613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18757</xdr:colOff>
      <xdr:row>952</xdr:row>
      <xdr:rowOff>20242</xdr:rowOff>
    </xdr:from>
    <xdr:to>
      <xdr:col>22</xdr:col>
      <xdr:colOff>192112</xdr:colOff>
      <xdr:row>952</xdr:row>
      <xdr:rowOff>122139</xdr:rowOff>
    </xdr:to>
    <xdr:sp macro="" textlink="">
      <xdr:nvSpPr>
        <xdr:cNvPr id="673" name="正方形/長方形 672">
          <a:extLst>
            <a:ext uri="{FF2B5EF4-FFF2-40B4-BE49-F238E27FC236}">
              <a16:creationId xmlns:a16="http://schemas.microsoft.com/office/drawing/2014/main" id="{D4AE3567-24B7-4921-AAD2-48D28F211392}"/>
            </a:ext>
          </a:extLst>
        </xdr:cNvPr>
        <xdr:cNvSpPr/>
      </xdr:nvSpPr>
      <xdr:spPr>
        <a:xfrm>
          <a:off x="5047957" y="163240642"/>
          <a:ext cx="17335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27402</xdr:colOff>
      <xdr:row>952</xdr:row>
      <xdr:rowOff>11137</xdr:rowOff>
    </xdr:from>
    <xdr:to>
      <xdr:col>29</xdr:col>
      <xdr:colOff>200757</xdr:colOff>
      <xdr:row>952</xdr:row>
      <xdr:rowOff>105414</xdr:rowOff>
    </xdr:to>
    <xdr:sp macro="" textlink="">
      <xdr:nvSpPr>
        <xdr:cNvPr id="674" name="正方形/長方形 673">
          <a:extLst>
            <a:ext uri="{FF2B5EF4-FFF2-40B4-BE49-F238E27FC236}">
              <a16:creationId xmlns:a16="http://schemas.microsoft.com/office/drawing/2014/main" id="{B6966054-E2BF-4D78-AB0F-72BD6820002A}"/>
            </a:ext>
          </a:extLst>
        </xdr:cNvPr>
        <xdr:cNvSpPr/>
      </xdr:nvSpPr>
      <xdr:spPr>
        <a:xfrm>
          <a:off x="6656802" y="163231537"/>
          <a:ext cx="17335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954</xdr:row>
      <xdr:rowOff>14655</xdr:rowOff>
    </xdr:from>
    <xdr:to>
      <xdr:col>29</xdr:col>
      <xdr:colOff>198853</xdr:colOff>
      <xdr:row>954</xdr:row>
      <xdr:rowOff>112742</xdr:rowOff>
    </xdr:to>
    <xdr:sp macro="" textlink="">
      <xdr:nvSpPr>
        <xdr:cNvPr id="675" name="正方形/長方形 674">
          <a:extLst>
            <a:ext uri="{FF2B5EF4-FFF2-40B4-BE49-F238E27FC236}">
              <a16:creationId xmlns:a16="http://schemas.microsoft.com/office/drawing/2014/main" id="{05159BC0-6DD8-41FB-84E0-50F1B1962F67}"/>
            </a:ext>
          </a:extLst>
        </xdr:cNvPr>
        <xdr:cNvSpPr/>
      </xdr:nvSpPr>
      <xdr:spPr>
        <a:xfrm>
          <a:off x="6658708" y="16357795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21981</xdr:colOff>
      <xdr:row>953</xdr:row>
      <xdr:rowOff>23885</xdr:rowOff>
    </xdr:from>
    <xdr:to>
      <xdr:col>22</xdr:col>
      <xdr:colOff>191526</xdr:colOff>
      <xdr:row>953</xdr:row>
      <xdr:rowOff>127688</xdr:rowOff>
    </xdr:to>
    <xdr:sp macro="" textlink="">
      <xdr:nvSpPr>
        <xdr:cNvPr id="676" name="正方形/長方形 675">
          <a:extLst>
            <a:ext uri="{FF2B5EF4-FFF2-40B4-BE49-F238E27FC236}">
              <a16:creationId xmlns:a16="http://schemas.microsoft.com/office/drawing/2014/main" id="{07C761B7-84D2-4DA8-9050-DE2B9430E633}"/>
            </a:ext>
          </a:extLst>
        </xdr:cNvPr>
        <xdr:cNvSpPr/>
      </xdr:nvSpPr>
      <xdr:spPr>
        <a:xfrm>
          <a:off x="5051181" y="16341573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18757</xdr:colOff>
      <xdr:row>1000</xdr:row>
      <xdr:rowOff>20242</xdr:rowOff>
    </xdr:from>
    <xdr:to>
      <xdr:col>22</xdr:col>
      <xdr:colOff>192112</xdr:colOff>
      <xdr:row>1000</xdr:row>
      <xdr:rowOff>122139</xdr:rowOff>
    </xdr:to>
    <xdr:sp macro="" textlink="">
      <xdr:nvSpPr>
        <xdr:cNvPr id="677" name="正方形/長方形 676">
          <a:extLst>
            <a:ext uri="{FF2B5EF4-FFF2-40B4-BE49-F238E27FC236}">
              <a16:creationId xmlns:a16="http://schemas.microsoft.com/office/drawing/2014/main" id="{A8D6BB8B-BFBB-49B6-8CB6-E7D06080DA98}"/>
            </a:ext>
          </a:extLst>
        </xdr:cNvPr>
        <xdr:cNvSpPr/>
      </xdr:nvSpPr>
      <xdr:spPr>
        <a:xfrm>
          <a:off x="5047957" y="171470242"/>
          <a:ext cx="17335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27402</xdr:colOff>
      <xdr:row>1000</xdr:row>
      <xdr:rowOff>11137</xdr:rowOff>
    </xdr:from>
    <xdr:to>
      <xdr:col>29</xdr:col>
      <xdr:colOff>200757</xdr:colOff>
      <xdr:row>1000</xdr:row>
      <xdr:rowOff>105414</xdr:rowOff>
    </xdr:to>
    <xdr:sp macro="" textlink="">
      <xdr:nvSpPr>
        <xdr:cNvPr id="678" name="正方形/長方形 677">
          <a:extLst>
            <a:ext uri="{FF2B5EF4-FFF2-40B4-BE49-F238E27FC236}">
              <a16:creationId xmlns:a16="http://schemas.microsoft.com/office/drawing/2014/main" id="{636AC780-A9AA-482A-813E-68B4623D0A59}"/>
            </a:ext>
          </a:extLst>
        </xdr:cNvPr>
        <xdr:cNvSpPr/>
      </xdr:nvSpPr>
      <xdr:spPr>
        <a:xfrm>
          <a:off x="6656802" y="171461137"/>
          <a:ext cx="17335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1002</xdr:row>
      <xdr:rowOff>14655</xdr:rowOff>
    </xdr:from>
    <xdr:to>
      <xdr:col>29</xdr:col>
      <xdr:colOff>198853</xdr:colOff>
      <xdr:row>1002</xdr:row>
      <xdr:rowOff>112742</xdr:rowOff>
    </xdr:to>
    <xdr:sp macro="" textlink="">
      <xdr:nvSpPr>
        <xdr:cNvPr id="679" name="正方形/長方形 678">
          <a:extLst>
            <a:ext uri="{FF2B5EF4-FFF2-40B4-BE49-F238E27FC236}">
              <a16:creationId xmlns:a16="http://schemas.microsoft.com/office/drawing/2014/main" id="{CB1AA53B-8036-49F4-8902-125A00DF0641}"/>
            </a:ext>
          </a:extLst>
        </xdr:cNvPr>
        <xdr:cNvSpPr/>
      </xdr:nvSpPr>
      <xdr:spPr>
        <a:xfrm>
          <a:off x="6658708" y="17180755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21981</xdr:colOff>
      <xdr:row>1001</xdr:row>
      <xdr:rowOff>23885</xdr:rowOff>
    </xdr:from>
    <xdr:to>
      <xdr:col>22</xdr:col>
      <xdr:colOff>191526</xdr:colOff>
      <xdr:row>1001</xdr:row>
      <xdr:rowOff>127688</xdr:rowOff>
    </xdr:to>
    <xdr:sp macro="" textlink="">
      <xdr:nvSpPr>
        <xdr:cNvPr id="680" name="正方形/長方形 679">
          <a:extLst>
            <a:ext uri="{FF2B5EF4-FFF2-40B4-BE49-F238E27FC236}">
              <a16:creationId xmlns:a16="http://schemas.microsoft.com/office/drawing/2014/main" id="{37739573-4F88-48C4-9225-80AF7BA5D40E}"/>
            </a:ext>
          </a:extLst>
        </xdr:cNvPr>
        <xdr:cNvSpPr/>
      </xdr:nvSpPr>
      <xdr:spPr>
        <a:xfrm>
          <a:off x="5051181" y="17164533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18757</xdr:colOff>
      <xdr:row>1039</xdr:row>
      <xdr:rowOff>20242</xdr:rowOff>
    </xdr:from>
    <xdr:to>
      <xdr:col>22</xdr:col>
      <xdr:colOff>192112</xdr:colOff>
      <xdr:row>1039</xdr:row>
      <xdr:rowOff>122139</xdr:rowOff>
    </xdr:to>
    <xdr:sp macro="" textlink="">
      <xdr:nvSpPr>
        <xdr:cNvPr id="681" name="正方形/長方形 680">
          <a:extLst>
            <a:ext uri="{FF2B5EF4-FFF2-40B4-BE49-F238E27FC236}">
              <a16:creationId xmlns:a16="http://schemas.microsoft.com/office/drawing/2014/main" id="{B16D20E1-14C9-4343-9967-AF6B3F1B2787}"/>
            </a:ext>
          </a:extLst>
        </xdr:cNvPr>
        <xdr:cNvSpPr/>
      </xdr:nvSpPr>
      <xdr:spPr>
        <a:xfrm>
          <a:off x="5047957" y="178156792"/>
          <a:ext cx="17335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27402</xdr:colOff>
      <xdr:row>1039</xdr:row>
      <xdr:rowOff>11137</xdr:rowOff>
    </xdr:from>
    <xdr:to>
      <xdr:col>29</xdr:col>
      <xdr:colOff>200757</xdr:colOff>
      <xdr:row>1039</xdr:row>
      <xdr:rowOff>105414</xdr:rowOff>
    </xdr:to>
    <xdr:sp macro="" textlink="">
      <xdr:nvSpPr>
        <xdr:cNvPr id="682" name="正方形/長方形 681">
          <a:extLst>
            <a:ext uri="{FF2B5EF4-FFF2-40B4-BE49-F238E27FC236}">
              <a16:creationId xmlns:a16="http://schemas.microsoft.com/office/drawing/2014/main" id="{6B8A42E8-BB6A-4CB4-822A-AA030DD7A51B}"/>
            </a:ext>
          </a:extLst>
        </xdr:cNvPr>
        <xdr:cNvSpPr/>
      </xdr:nvSpPr>
      <xdr:spPr>
        <a:xfrm>
          <a:off x="6656802" y="178147687"/>
          <a:ext cx="17335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1041</xdr:row>
      <xdr:rowOff>14655</xdr:rowOff>
    </xdr:from>
    <xdr:to>
      <xdr:col>29</xdr:col>
      <xdr:colOff>198853</xdr:colOff>
      <xdr:row>1041</xdr:row>
      <xdr:rowOff>112742</xdr:rowOff>
    </xdr:to>
    <xdr:sp macro="" textlink="">
      <xdr:nvSpPr>
        <xdr:cNvPr id="683" name="正方形/長方形 682">
          <a:extLst>
            <a:ext uri="{FF2B5EF4-FFF2-40B4-BE49-F238E27FC236}">
              <a16:creationId xmlns:a16="http://schemas.microsoft.com/office/drawing/2014/main" id="{84017A85-D31F-47BE-AD9E-AA6FD1E40D87}"/>
            </a:ext>
          </a:extLst>
        </xdr:cNvPr>
        <xdr:cNvSpPr/>
      </xdr:nvSpPr>
      <xdr:spPr>
        <a:xfrm>
          <a:off x="6658708" y="17849410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21981</xdr:colOff>
      <xdr:row>1040</xdr:row>
      <xdr:rowOff>23885</xdr:rowOff>
    </xdr:from>
    <xdr:to>
      <xdr:col>22</xdr:col>
      <xdr:colOff>191526</xdr:colOff>
      <xdr:row>1040</xdr:row>
      <xdr:rowOff>127688</xdr:rowOff>
    </xdr:to>
    <xdr:sp macro="" textlink="">
      <xdr:nvSpPr>
        <xdr:cNvPr id="684" name="正方形/長方形 683">
          <a:extLst>
            <a:ext uri="{FF2B5EF4-FFF2-40B4-BE49-F238E27FC236}">
              <a16:creationId xmlns:a16="http://schemas.microsoft.com/office/drawing/2014/main" id="{4036AA2F-3E1D-4E93-902E-5C58D21CF1CF}"/>
            </a:ext>
          </a:extLst>
        </xdr:cNvPr>
        <xdr:cNvSpPr/>
      </xdr:nvSpPr>
      <xdr:spPr>
        <a:xfrm>
          <a:off x="5051181" y="17833188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18758</xdr:colOff>
      <xdr:row>1067</xdr:row>
      <xdr:rowOff>9232</xdr:rowOff>
    </xdr:from>
    <xdr:to>
      <xdr:col>33</xdr:col>
      <xdr:colOff>182588</xdr:colOff>
      <xdr:row>1067</xdr:row>
      <xdr:rowOff>103509</xdr:rowOff>
    </xdr:to>
    <xdr:sp macro="" textlink="">
      <xdr:nvSpPr>
        <xdr:cNvPr id="685" name="正方形/長方形 684">
          <a:extLst>
            <a:ext uri="{FF2B5EF4-FFF2-40B4-BE49-F238E27FC236}">
              <a16:creationId xmlns:a16="http://schemas.microsoft.com/office/drawing/2014/main" id="{8FBAB617-8B66-425E-9E46-D770AC67623E}"/>
            </a:ext>
          </a:extLst>
        </xdr:cNvPr>
        <xdr:cNvSpPr/>
      </xdr:nvSpPr>
      <xdr:spPr>
        <a:xfrm>
          <a:off x="7562558" y="182946382"/>
          <a:ext cx="163830"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13336</xdr:colOff>
      <xdr:row>1068</xdr:row>
      <xdr:rowOff>21980</xdr:rowOff>
    </xdr:from>
    <xdr:to>
      <xdr:col>33</xdr:col>
      <xdr:colOff>171451</xdr:colOff>
      <xdr:row>1068</xdr:row>
      <xdr:rowOff>123877</xdr:rowOff>
    </xdr:to>
    <xdr:sp macro="" textlink="">
      <xdr:nvSpPr>
        <xdr:cNvPr id="686" name="正方形/長方形 685">
          <a:extLst>
            <a:ext uri="{FF2B5EF4-FFF2-40B4-BE49-F238E27FC236}">
              <a16:creationId xmlns:a16="http://schemas.microsoft.com/office/drawing/2014/main" id="{FF864368-ED28-4280-8E1F-3BBB35524B8D}"/>
            </a:ext>
          </a:extLst>
        </xdr:cNvPr>
        <xdr:cNvSpPr/>
      </xdr:nvSpPr>
      <xdr:spPr>
        <a:xfrm>
          <a:off x="7557136" y="183130580"/>
          <a:ext cx="158115" cy="10189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200758</xdr:colOff>
      <xdr:row>904</xdr:row>
      <xdr:rowOff>58276</xdr:rowOff>
    </xdr:from>
    <xdr:to>
      <xdr:col>33</xdr:col>
      <xdr:colOff>18759</xdr:colOff>
      <xdr:row>1067</xdr:row>
      <xdr:rowOff>56371</xdr:rowOff>
    </xdr:to>
    <xdr:cxnSp macro="">
      <xdr:nvCxnSpPr>
        <xdr:cNvPr id="687" name="直線コネクタ 31">
          <a:extLst>
            <a:ext uri="{FF2B5EF4-FFF2-40B4-BE49-F238E27FC236}">
              <a16:creationId xmlns:a16="http://schemas.microsoft.com/office/drawing/2014/main" id="{81A87FA1-15C5-41EA-97A2-C0F47B801B45}"/>
            </a:ext>
          </a:extLst>
        </xdr:cNvPr>
        <xdr:cNvCxnSpPr>
          <a:cxnSpLocks/>
          <a:stCxn id="685" idx="1"/>
          <a:endCxn id="670" idx="3"/>
        </xdr:cNvCxnSpPr>
      </xdr:nvCxnSpPr>
      <xdr:spPr>
        <a:xfrm rot="10800000">
          <a:off x="6830158" y="155049076"/>
          <a:ext cx="732401" cy="27944445"/>
        </a:xfrm>
        <a:prstGeom prst="bentConnector3">
          <a:avLst>
            <a:gd name="adj1" fmla="val 17963"/>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200757</xdr:colOff>
      <xdr:row>952</xdr:row>
      <xdr:rowOff>47625</xdr:rowOff>
    </xdr:from>
    <xdr:to>
      <xdr:col>32</xdr:col>
      <xdr:colOff>115661</xdr:colOff>
      <xdr:row>952</xdr:row>
      <xdr:rowOff>58276</xdr:rowOff>
    </xdr:to>
    <xdr:cxnSp macro="">
      <xdr:nvCxnSpPr>
        <xdr:cNvPr id="688" name="直線コネクタ 687">
          <a:extLst>
            <a:ext uri="{FF2B5EF4-FFF2-40B4-BE49-F238E27FC236}">
              <a16:creationId xmlns:a16="http://schemas.microsoft.com/office/drawing/2014/main" id="{CD77734B-7A5B-47CD-8DFF-88B9DA07DCDC}"/>
            </a:ext>
          </a:extLst>
        </xdr:cNvPr>
        <xdr:cNvCxnSpPr>
          <a:endCxn id="674" idx="3"/>
        </xdr:cNvCxnSpPr>
      </xdr:nvCxnSpPr>
      <xdr:spPr>
        <a:xfrm flipH="1">
          <a:off x="6830157" y="163268025"/>
          <a:ext cx="600704" cy="10651"/>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200757</xdr:colOff>
      <xdr:row>1000</xdr:row>
      <xdr:rowOff>40821</xdr:rowOff>
    </xdr:from>
    <xdr:to>
      <xdr:col>32</xdr:col>
      <xdr:colOff>115661</xdr:colOff>
      <xdr:row>1000</xdr:row>
      <xdr:rowOff>58276</xdr:rowOff>
    </xdr:to>
    <xdr:cxnSp macro="">
      <xdr:nvCxnSpPr>
        <xdr:cNvPr id="689" name="直線コネクタ 688">
          <a:extLst>
            <a:ext uri="{FF2B5EF4-FFF2-40B4-BE49-F238E27FC236}">
              <a16:creationId xmlns:a16="http://schemas.microsoft.com/office/drawing/2014/main" id="{060B5F3D-DA24-4509-96F2-17308AD03D19}"/>
            </a:ext>
          </a:extLst>
        </xdr:cNvPr>
        <xdr:cNvCxnSpPr>
          <a:endCxn id="678" idx="3"/>
        </xdr:cNvCxnSpPr>
      </xdr:nvCxnSpPr>
      <xdr:spPr>
        <a:xfrm flipH="1">
          <a:off x="6830157" y="171490821"/>
          <a:ext cx="600704" cy="17455"/>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200757</xdr:colOff>
      <xdr:row>1039</xdr:row>
      <xdr:rowOff>47625</xdr:rowOff>
    </xdr:from>
    <xdr:to>
      <xdr:col>32</xdr:col>
      <xdr:colOff>129268</xdr:colOff>
      <xdr:row>1039</xdr:row>
      <xdr:rowOff>58276</xdr:rowOff>
    </xdr:to>
    <xdr:cxnSp macro="">
      <xdr:nvCxnSpPr>
        <xdr:cNvPr id="690" name="直線コネクタ 689">
          <a:extLst>
            <a:ext uri="{FF2B5EF4-FFF2-40B4-BE49-F238E27FC236}">
              <a16:creationId xmlns:a16="http://schemas.microsoft.com/office/drawing/2014/main" id="{2D7C4057-BE13-4978-AC11-E248C5600DAE}"/>
            </a:ext>
          </a:extLst>
        </xdr:cNvPr>
        <xdr:cNvCxnSpPr>
          <a:endCxn id="682" idx="3"/>
        </xdr:cNvCxnSpPr>
      </xdr:nvCxnSpPr>
      <xdr:spPr>
        <a:xfrm flipH="1">
          <a:off x="6830157" y="178184175"/>
          <a:ext cx="614311" cy="10651"/>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198854</xdr:colOff>
      <xdr:row>906</xdr:row>
      <xdr:rowOff>63699</xdr:rowOff>
    </xdr:from>
    <xdr:to>
      <xdr:col>33</xdr:col>
      <xdr:colOff>13337</xdr:colOff>
      <xdr:row>1068</xdr:row>
      <xdr:rowOff>72929</xdr:rowOff>
    </xdr:to>
    <xdr:cxnSp macro="">
      <xdr:nvCxnSpPr>
        <xdr:cNvPr id="691" name="直線コネクタ 31">
          <a:extLst>
            <a:ext uri="{FF2B5EF4-FFF2-40B4-BE49-F238E27FC236}">
              <a16:creationId xmlns:a16="http://schemas.microsoft.com/office/drawing/2014/main" id="{5870E708-09AB-40C5-BBF8-B8FE2F0A90C6}"/>
            </a:ext>
          </a:extLst>
        </xdr:cNvPr>
        <xdr:cNvCxnSpPr>
          <a:stCxn id="686" idx="1"/>
          <a:endCxn id="671" idx="3"/>
        </xdr:cNvCxnSpPr>
      </xdr:nvCxnSpPr>
      <xdr:spPr>
        <a:xfrm rot="10800000">
          <a:off x="6828254" y="155397399"/>
          <a:ext cx="728883" cy="27784130"/>
        </a:xfrm>
        <a:prstGeom prst="bentConnector3">
          <a:avLst>
            <a:gd name="adj1" fmla="val 29767"/>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198853</xdr:colOff>
      <xdr:row>954</xdr:row>
      <xdr:rowOff>61232</xdr:rowOff>
    </xdr:from>
    <xdr:to>
      <xdr:col>32</xdr:col>
      <xdr:colOff>40822</xdr:colOff>
      <xdr:row>954</xdr:row>
      <xdr:rowOff>63699</xdr:rowOff>
    </xdr:to>
    <xdr:cxnSp macro="">
      <xdr:nvCxnSpPr>
        <xdr:cNvPr id="692" name="直線コネクタ 691">
          <a:extLst>
            <a:ext uri="{FF2B5EF4-FFF2-40B4-BE49-F238E27FC236}">
              <a16:creationId xmlns:a16="http://schemas.microsoft.com/office/drawing/2014/main" id="{7EDB718F-00DE-4BCE-953B-F15E51357954}"/>
            </a:ext>
          </a:extLst>
        </xdr:cNvPr>
        <xdr:cNvCxnSpPr>
          <a:cxnSpLocks/>
          <a:stCxn id="675" idx="3"/>
        </xdr:cNvCxnSpPr>
      </xdr:nvCxnSpPr>
      <xdr:spPr>
        <a:xfrm flipV="1">
          <a:off x="6828253" y="163624532"/>
          <a:ext cx="527769" cy="2467"/>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198853</xdr:colOff>
      <xdr:row>1002</xdr:row>
      <xdr:rowOff>54428</xdr:rowOff>
    </xdr:from>
    <xdr:to>
      <xdr:col>32</xdr:col>
      <xdr:colOff>40822</xdr:colOff>
      <xdr:row>1002</xdr:row>
      <xdr:rowOff>63699</xdr:rowOff>
    </xdr:to>
    <xdr:cxnSp macro="">
      <xdr:nvCxnSpPr>
        <xdr:cNvPr id="693" name="直線コネクタ 692">
          <a:extLst>
            <a:ext uri="{FF2B5EF4-FFF2-40B4-BE49-F238E27FC236}">
              <a16:creationId xmlns:a16="http://schemas.microsoft.com/office/drawing/2014/main" id="{520555C4-C8F8-4134-9B75-A91A18A6ED98}"/>
            </a:ext>
          </a:extLst>
        </xdr:cNvPr>
        <xdr:cNvCxnSpPr>
          <a:cxnSpLocks/>
          <a:stCxn id="679" idx="3"/>
        </xdr:cNvCxnSpPr>
      </xdr:nvCxnSpPr>
      <xdr:spPr>
        <a:xfrm flipV="1">
          <a:off x="6828253" y="171847328"/>
          <a:ext cx="527769" cy="9271"/>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198853</xdr:colOff>
      <xdr:row>1041</xdr:row>
      <xdr:rowOff>61232</xdr:rowOff>
    </xdr:from>
    <xdr:to>
      <xdr:col>32</xdr:col>
      <xdr:colOff>27215</xdr:colOff>
      <xdr:row>1041</xdr:row>
      <xdr:rowOff>63699</xdr:rowOff>
    </xdr:to>
    <xdr:cxnSp macro="">
      <xdr:nvCxnSpPr>
        <xdr:cNvPr id="694" name="直線コネクタ 693">
          <a:extLst>
            <a:ext uri="{FF2B5EF4-FFF2-40B4-BE49-F238E27FC236}">
              <a16:creationId xmlns:a16="http://schemas.microsoft.com/office/drawing/2014/main" id="{49349DC0-4C37-4C27-8459-5424ED99F236}"/>
            </a:ext>
          </a:extLst>
        </xdr:cNvPr>
        <xdr:cNvCxnSpPr>
          <a:cxnSpLocks/>
          <a:stCxn id="683" idx="3"/>
        </xdr:cNvCxnSpPr>
      </xdr:nvCxnSpPr>
      <xdr:spPr>
        <a:xfrm flipV="1">
          <a:off x="6828253" y="178540682"/>
          <a:ext cx="514162" cy="2467"/>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43</xdr:col>
      <xdr:colOff>108857</xdr:colOff>
      <xdr:row>877</xdr:row>
      <xdr:rowOff>40820</xdr:rowOff>
    </xdr:from>
    <xdr:to>
      <xdr:col>55</xdr:col>
      <xdr:colOff>156481</xdr:colOff>
      <xdr:row>883</xdr:row>
      <xdr:rowOff>74839</xdr:rowOff>
    </xdr:to>
    <xdr:sp macro="" textlink="">
      <xdr:nvSpPr>
        <xdr:cNvPr id="695" name="吹き出し: 線 694">
          <a:extLst>
            <a:ext uri="{FF2B5EF4-FFF2-40B4-BE49-F238E27FC236}">
              <a16:creationId xmlns:a16="http://schemas.microsoft.com/office/drawing/2014/main" id="{FC6A68EB-871E-4BBF-9CA6-947CED42AD53}"/>
            </a:ext>
          </a:extLst>
        </xdr:cNvPr>
        <xdr:cNvSpPr/>
      </xdr:nvSpPr>
      <xdr:spPr>
        <a:xfrm>
          <a:off x="9938657" y="150402470"/>
          <a:ext cx="2790824" cy="1062719"/>
        </a:xfrm>
        <a:prstGeom prst="borderCallout1">
          <a:avLst>
            <a:gd name="adj1" fmla="val 11141"/>
            <a:gd name="adj2" fmla="val -218"/>
            <a:gd name="adj3" fmla="val 4799"/>
            <a:gd name="adj4" fmla="val -23673"/>
          </a:avLst>
        </a:prstGeom>
        <a:noFill/>
        <a:ln w="952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rtlCol="0" anchor="t"/>
        <a:lstStyle/>
        <a:p>
          <a:pPr algn="l"/>
          <a:r>
            <a:rPr kumimoji="1" lang="ja-JP" altLang="en-US" sz="900" b="0" i="1">
              <a:solidFill>
                <a:srgbClr val="FF0000"/>
              </a:solidFill>
              <a:latin typeface="ＭＳ ゴシック" panose="020B0609070205080204" pitchFamily="49" charset="-128"/>
              <a:ea typeface="ＭＳ ゴシック" panose="020B0609070205080204" pitchFamily="49" charset="-128"/>
            </a:rPr>
            <a:t>バンドルミックス対象明細の③期間特売売価に④自動値引</a:t>
          </a:r>
          <a:r>
            <a:rPr kumimoji="1" lang="en-US" altLang="ja-JP" sz="900" b="0" i="1">
              <a:solidFill>
                <a:srgbClr val="FF0000"/>
              </a:solidFill>
              <a:latin typeface="ＭＳ ゴシック" panose="020B0609070205080204" pitchFamily="49" charset="-128"/>
              <a:ea typeface="ＭＳ ゴシック" panose="020B0609070205080204" pitchFamily="49" charset="-128"/>
            </a:rPr>
            <a:t>/</a:t>
          </a:r>
          <a:r>
            <a:rPr kumimoji="1" lang="ja-JP" altLang="en-US" sz="900" b="0" i="1">
              <a:solidFill>
                <a:srgbClr val="FF0000"/>
              </a:solidFill>
              <a:latin typeface="ＭＳ ゴシック" panose="020B0609070205080204" pitchFamily="49" charset="-128"/>
              <a:ea typeface="ＭＳ ゴシック" panose="020B0609070205080204" pitchFamily="49" charset="-128"/>
            </a:rPr>
            <a:t>割引を適用した売価からの差額を設定</a:t>
          </a:r>
          <a:r>
            <a:rPr kumimoji="1" lang="en-US" altLang="ja-JP" sz="900" b="0" i="1">
              <a:solidFill>
                <a:srgbClr val="FF0000"/>
              </a:solidFill>
              <a:latin typeface="ＭＳ ゴシック" panose="020B0609070205080204" pitchFamily="49" charset="-128"/>
              <a:ea typeface="ＭＳ ゴシック" panose="020B0609070205080204" pitchFamily="49" charset="-128"/>
            </a:rPr>
            <a:t>(</a:t>
          </a:r>
          <a:r>
            <a:rPr kumimoji="1" lang="ja-JP" altLang="en-US" sz="900" b="0" i="1">
              <a:solidFill>
                <a:srgbClr val="FF0000"/>
              </a:solidFill>
              <a:latin typeface="ＭＳ ゴシック" panose="020B0609070205080204" pitchFamily="49" charset="-128"/>
              <a:ea typeface="ＭＳ ゴシック" panose="020B0609070205080204" pitchFamily="49" charset="-128"/>
            </a:rPr>
            <a:t>マイナス値</a:t>
          </a:r>
          <a:r>
            <a:rPr kumimoji="1" lang="en-US" altLang="ja-JP" sz="900" b="0" i="1">
              <a:solidFill>
                <a:srgbClr val="FF0000"/>
              </a:solidFill>
              <a:latin typeface="ＭＳ ゴシック" panose="020B0609070205080204" pitchFamily="49" charset="-128"/>
              <a:ea typeface="ＭＳ ゴシック" panose="020B0609070205080204" pitchFamily="49" charset="-128"/>
            </a:rPr>
            <a:t>)</a:t>
          </a:r>
        </a:p>
        <a:p>
          <a:pPr algn="l"/>
          <a:r>
            <a:rPr kumimoji="1" lang="ja-JP" altLang="en-US" sz="900" b="0" i="1">
              <a:solidFill>
                <a:srgbClr val="FF0000"/>
              </a:solidFill>
              <a:latin typeface="ＭＳ ゴシック" panose="020B0609070205080204" pitchFamily="49" charset="-128"/>
              <a:ea typeface="ＭＳ ゴシック" panose="020B0609070205080204" pitchFamily="49" charset="-128"/>
            </a:rPr>
            <a:t>・バンドル成立価格</a:t>
          </a:r>
          <a:r>
            <a:rPr kumimoji="1" lang="en-US" altLang="ja-JP" sz="900" b="0" i="1">
              <a:solidFill>
                <a:srgbClr val="FF0000"/>
              </a:solidFill>
              <a:latin typeface="ＭＳ ゴシック" panose="020B0609070205080204" pitchFamily="49" charset="-128"/>
              <a:ea typeface="ＭＳ ゴシック" panose="020B0609070205080204" pitchFamily="49" charset="-128"/>
            </a:rPr>
            <a:t>\320</a:t>
          </a:r>
          <a:r>
            <a:rPr kumimoji="1" lang="ja-JP" altLang="en-US" sz="900" b="0" i="1">
              <a:solidFill>
                <a:srgbClr val="FF0000"/>
              </a:solidFill>
              <a:latin typeface="ＭＳ ゴシック" panose="020B0609070205080204" pitchFamily="49" charset="-128"/>
              <a:ea typeface="ＭＳ ゴシック" panose="020B0609070205080204" pitchFamily="49" charset="-128"/>
            </a:rPr>
            <a:t>－</a:t>
          </a:r>
          <a:r>
            <a:rPr kumimoji="1" lang="en-US" altLang="ja-JP" sz="900" b="0" i="1">
              <a:solidFill>
                <a:srgbClr val="FF0000"/>
              </a:solidFill>
              <a:latin typeface="ＭＳ ゴシック" panose="020B0609070205080204" pitchFamily="49" charset="-128"/>
              <a:ea typeface="ＭＳ ゴシック" panose="020B0609070205080204" pitchFamily="49" charset="-128"/>
            </a:rPr>
            <a:t>(</a:t>
          </a:r>
          <a:r>
            <a:rPr kumimoji="1" lang="ja-JP" altLang="en-US" sz="900" b="0" i="1">
              <a:solidFill>
                <a:srgbClr val="FF0000"/>
              </a:solidFill>
              <a:latin typeface="ＭＳ ゴシック" panose="020B0609070205080204" pitchFamily="49" charset="-128"/>
              <a:ea typeface="ＭＳ ゴシック" panose="020B0609070205080204" pitchFamily="49" charset="-128"/>
            </a:rPr>
            <a:t>明細</a:t>
          </a:r>
          <a:r>
            <a:rPr kumimoji="1" lang="en-US" altLang="ja-JP" sz="900" b="0" i="1">
              <a:solidFill>
                <a:srgbClr val="FF0000"/>
              </a:solidFill>
              <a:latin typeface="ＭＳ ゴシック" panose="020B0609070205080204" pitchFamily="49" charset="-128"/>
              <a:ea typeface="ＭＳ ゴシック" panose="020B0609070205080204" pitchFamily="49" charset="-128"/>
            </a:rPr>
            <a:t>No.1:\166[=\196-\30]</a:t>
          </a:r>
          <a:r>
            <a:rPr kumimoji="1" lang="ja-JP" altLang="en-US" sz="900" b="0" i="1">
              <a:solidFill>
                <a:srgbClr val="FF0000"/>
              </a:solidFill>
              <a:latin typeface="ＭＳ ゴシック" panose="020B0609070205080204" pitchFamily="49" charset="-128"/>
              <a:ea typeface="ＭＳ ゴシック" panose="020B0609070205080204" pitchFamily="49" charset="-128"/>
            </a:rPr>
            <a:t>＋明細</a:t>
          </a:r>
          <a:r>
            <a:rPr kumimoji="1" lang="en-US" altLang="ja-JP" sz="900" b="0" i="1">
              <a:solidFill>
                <a:srgbClr val="FF0000"/>
              </a:solidFill>
              <a:latin typeface="ＭＳ ゴシック" panose="020B0609070205080204" pitchFamily="49" charset="-128"/>
              <a:ea typeface="ＭＳ ゴシック" panose="020B0609070205080204" pitchFamily="49" charset="-128"/>
            </a:rPr>
            <a:t>No.2:\166[=\196-\30)]</a:t>
          </a:r>
          <a:r>
            <a:rPr kumimoji="1" lang="ja-JP" altLang="en-US" sz="900" b="0" i="1">
              <a:solidFill>
                <a:srgbClr val="FF0000"/>
              </a:solidFill>
              <a:latin typeface="ＭＳ ゴシック" panose="020B0609070205080204" pitchFamily="49" charset="-128"/>
              <a:ea typeface="ＭＳ ゴシック" panose="020B0609070205080204" pitchFamily="49" charset="-128"/>
            </a:rPr>
            <a:t>＝</a:t>
          </a:r>
          <a:r>
            <a:rPr kumimoji="1" lang="en-US" altLang="ja-JP" sz="900" b="0" i="1">
              <a:solidFill>
                <a:srgbClr val="FF0000"/>
              </a:solidFill>
              <a:latin typeface="ＭＳ ゴシック" panose="020B0609070205080204" pitchFamily="49" charset="-128"/>
              <a:ea typeface="ＭＳ ゴシック" panose="020B0609070205080204" pitchFamily="49" charset="-128"/>
            </a:rPr>
            <a:t>\-12</a:t>
          </a:r>
          <a:endParaRPr kumimoji="1" lang="ja-JP" altLang="en-US" sz="900" b="0" i="1">
            <a:solidFill>
              <a:srgbClr val="FF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43</xdr:col>
      <xdr:colOff>115660</xdr:colOff>
      <xdr:row>678</xdr:row>
      <xdr:rowOff>54428</xdr:rowOff>
    </xdr:from>
    <xdr:to>
      <xdr:col>55</xdr:col>
      <xdr:colOff>163284</xdr:colOff>
      <xdr:row>684</xdr:row>
      <xdr:rowOff>88447</xdr:rowOff>
    </xdr:to>
    <xdr:sp macro="" textlink="">
      <xdr:nvSpPr>
        <xdr:cNvPr id="696" name="吹き出し: 線 695">
          <a:extLst>
            <a:ext uri="{FF2B5EF4-FFF2-40B4-BE49-F238E27FC236}">
              <a16:creationId xmlns:a16="http://schemas.microsoft.com/office/drawing/2014/main" id="{1F099DDF-CD16-4900-BD0B-AAB639AFB666}"/>
            </a:ext>
          </a:extLst>
        </xdr:cNvPr>
        <xdr:cNvSpPr/>
      </xdr:nvSpPr>
      <xdr:spPr>
        <a:xfrm>
          <a:off x="9945460" y="116297528"/>
          <a:ext cx="2790824" cy="1062719"/>
        </a:xfrm>
        <a:prstGeom prst="borderCallout1">
          <a:avLst>
            <a:gd name="adj1" fmla="val 11141"/>
            <a:gd name="adj2" fmla="val -218"/>
            <a:gd name="adj3" fmla="val 3273"/>
            <a:gd name="adj4" fmla="val -23673"/>
          </a:avLst>
        </a:prstGeom>
        <a:noFill/>
        <a:ln w="952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rtlCol="0" anchor="t"/>
        <a:lstStyle/>
        <a:p>
          <a:pPr algn="l"/>
          <a:r>
            <a:rPr kumimoji="1" lang="ja-JP" altLang="en-US" sz="900" b="0" i="1">
              <a:solidFill>
                <a:srgbClr val="FF0000"/>
              </a:solidFill>
              <a:latin typeface="ＭＳ ゴシック" panose="020B0609070205080204" pitchFamily="49" charset="-128"/>
              <a:ea typeface="ＭＳ ゴシック" panose="020B0609070205080204" pitchFamily="49" charset="-128"/>
            </a:rPr>
            <a:t>バンドルミックス対象明細の③期間特売売価に④自動値引</a:t>
          </a:r>
          <a:r>
            <a:rPr kumimoji="1" lang="en-US" altLang="ja-JP" sz="900" b="0" i="1">
              <a:solidFill>
                <a:srgbClr val="FF0000"/>
              </a:solidFill>
              <a:latin typeface="ＭＳ ゴシック" panose="020B0609070205080204" pitchFamily="49" charset="-128"/>
              <a:ea typeface="ＭＳ ゴシック" panose="020B0609070205080204" pitchFamily="49" charset="-128"/>
            </a:rPr>
            <a:t>/</a:t>
          </a:r>
          <a:r>
            <a:rPr kumimoji="1" lang="ja-JP" altLang="en-US" sz="900" b="0" i="1">
              <a:solidFill>
                <a:srgbClr val="FF0000"/>
              </a:solidFill>
              <a:latin typeface="ＭＳ ゴシック" panose="020B0609070205080204" pitchFamily="49" charset="-128"/>
              <a:ea typeface="ＭＳ ゴシック" panose="020B0609070205080204" pitchFamily="49" charset="-128"/>
            </a:rPr>
            <a:t>割引を適用した売価からの差額を設定</a:t>
          </a:r>
          <a:r>
            <a:rPr kumimoji="1" lang="en-US" altLang="ja-JP" sz="900" b="0" i="1">
              <a:solidFill>
                <a:srgbClr val="FF0000"/>
              </a:solidFill>
              <a:latin typeface="ＭＳ ゴシック" panose="020B0609070205080204" pitchFamily="49" charset="-128"/>
              <a:ea typeface="ＭＳ ゴシック" panose="020B0609070205080204" pitchFamily="49" charset="-128"/>
            </a:rPr>
            <a:t>(</a:t>
          </a:r>
          <a:r>
            <a:rPr kumimoji="1" lang="ja-JP" altLang="en-US" sz="900" b="0" i="1">
              <a:solidFill>
                <a:srgbClr val="FF0000"/>
              </a:solidFill>
              <a:latin typeface="ＭＳ ゴシック" panose="020B0609070205080204" pitchFamily="49" charset="-128"/>
              <a:ea typeface="ＭＳ ゴシック" panose="020B0609070205080204" pitchFamily="49" charset="-128"/>
            </a:rPr>
            <a:t>マイナス値</a:t>
          </a:r>
          <a:r>
            <a:rPr kumimoji="1" lang="en-US" altLang="ja-JP" sz="900" b="0" i="1">
              <a:solidFill>
                <a:srgbClr val="FF0000"/>
              </a:solidFill>
              <a:latin typeface="ＭＳ ゴシック" panose="020B0609070205080204" pitchFamily="49" charset="-128"/>
              <a:ea typeface="ＭＳ ゴシック" panose="020B0609070205080204" pitchFamily="49" charset="-128"/>
            </a:rPr>
            <a:t>)</a:t>
          </a:r>
        </a:p>
        <a:p>
          <a:pPr algn="l"/>
          <a:r>
            <a:rPr kumimoji="1" lang="ja-JP" altLang="en-US" sz="900" b="0" i="1">
              <a:solidFill>
                <a:srgbClr val="FF0000"/>
              </a:solidFill>
              <a:latin typeface="ＭＳ ゴシック" panose="020B0609070205080204" pitchFamily="49" charset="-128"/>
              <a:ea typeface="ＭＳ ゴシック" panose="020B0609070205080204" pitchFamily="49" charset="-128"/>
            </a:rPr>
            <a:t>・バンドル成立価格</a:t>
          </a:r>
          <a:r>
            <a:rPr kumimoji="1" lang="en-US" altLang="ja-JP" sz="900" b="0" i="1">
              <a:solidFill>
                <a:srgbClr val="FF0000"/>
              </a:solidFill>
              <a:latin typeface="ＭＳ ゴシック" panose="020B0609070205080204" pitchFamily="49" charset="-128"/>
              <a:ea typeface="ＭＳ ゴシック" panose="020B0609070205080204" pitchFamily="49" charset="-128"/>
            </a:rPr>
            <a:t>\320</a:t>
          </a:r>
          <a:r>
            <a:rPr kumimoji="1" lang="ja-JP" altLang="en-US" sz="900" b="0" i="1">
              <a:solidFill>
                <a:srgbClr val="FF0000"/>
              </a:solidFill>
              <a:latin typeface="ＭＳ ゴシック" panose="020B0609070205080204" pitchFamily="49" charset="-128"/>
              <a:ea typeface="ＭＳ ゴシック" panose="020B0609070205080204" pitchFamily="49" charset="-128"/>
            </a:rPr>
            <a:t>－</a:t>
          </a:r>
          <a:r>
            <a:rPr kumimoji="1" lang="en-US" altLang="ja-JP" sz="900" b="0" i="1">
              <a:solidFill>
                <a:srgbClr val="FF0000"/>
              </a:solidFill>
              <a:latin typeface="ＭＳ ゴシック" panose="020B0609070205080204" pitchFamily="49" charset="-128"/>
              <a:ea typeface="ＭＳ ゴシック" panose="020B0609070205080204" pitchFamily="49" charset="-128"/>
            </a:rPr>
            <a:t>(</a:t>
          </a:r>
          <a:r>
            <a:rPr kumimoji="1" lang="ja-JP" altLang="en-US" sz="900" b="0" i="1">
              <a:solidFill>
                <a:srgbClr val="FF0000"/>
              </a:solidFill>
              <a:latin typeface="ＭＳ ゴシック" panose="020B0609070205080204" pitchFamily="49" charset="-128"/>
              <a:ea typeface="ＭＳ ゴシック" panose="020B0609070205080204" pitchFamily="49" charset="-128"/>
            </a:rPr>
            <a:t>明細</a:t>
          </a:r>
          <a:r>
            <a:rPr kumimoji="1" lang="en-US" altLang="ja-JP" sz="900" b="0" i="1">
              <a:solidFill>
                <a:srgbClr val="FF0000"/>
              </a:solidFill>
              <a:latin typeface="ＭＳ ゴシック" panose="020B0609070205080204" pitchFamily="49" charset="-128"/>
              <a:ea typeface="ＭＳ ゴシック" panose="020B0609070205080204" pitchFamily="49" charset="-128"/>
            </a:rPr>
            <a:t>No.1:\166[=\196-\30]</a:t>
          </a:r>
          <a:r>
            <a:rPr kumimoji="1" lang="ja-JP" altLang="en-US" sz="900" b="0" i="1">
              <a:solidFill>
                <a:srgbClr val="FF0000"/>
              </a:solidFill>
              <a:latin typeface="ＭＳ ゴシック" panose="020B0609070205080204" pitchFamily="49" charset="-128"/>
              <a:ea typeface="ＭＳ ゴシック" panose="020B0609070205080204" pitchFamily="49" charset="-128"/>
            </a:rPr>
            <a:t>＋明細</a:t>
          </a:r>
          <a:r>
            <a:rPr kumimoji="1" lang="en-US" altLang="ja-JP" sz="900" b="0" i="1">
              <a:solidFill>
                <a:srgbClr val="FF0000"/>
              </a:solidFill>
              <a:latin typeface="ＭＳ ゴシック" panose="020B0609070205080204" pitchFamily="49" charset="-128"/>
              <a:ea typeface="ＭＳ ゴシック" panose="020B0609070205080204" pitchFamily="49" charset="-128"/>
            </a:rPr>
            <a:t>No.2:\166[=\196-\30)]</a:t>
          </a:r>
          <a:r>
            <a:rPr kumimoji="1" lang="ja-JP" altLang="en-US" sz="900" b="0" i="1">
              <a:solidFill>
                <a:srgbClr val="FF0000"/>
              </a:solidFill>
              <a:latin typeface="ＭＳ ゴシック" panose="020B0609070205080204" pitchFamily="49" charset="-128"/>
              <a:ea typeface="ＭＳ ゴシック" panose="020B0609070205080204" pitchFamily="49" charset="-128"/>
            </a:rPr>
            <a:t>＝</a:t>
          </a:r>
          <a:r>
            <a:rPr kumimoji="1" lang="en-US" altLang="ja-JP" sz="900" b="0" i="1">
              <a:solidFill>
                <a:srgbClr val="FF0000"/>
              </a:solidFill>
              <a:latin typeface="ＭＳ ゴシック" panose="020B0609070205080204" pitchFamily="49" charset="-128"/>
              <a:ea typeface="ＭＳ ゴシック" panose="020B0609070205080204" pitchFamily="49" charset="-128"/>
            </a:rPr>
            <a:t>\-12</a:t>
          </a:r>
          <a:endParaRPr kumimoji="1" lang="ja-JP" altLang="en-US" sz="900" b="0" i="1">
            <a:solidFill>
              <a:srgbClr val="FF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20</xdr:col>
      <xdr:colOff>210576</xdr:colOff>
      <xdr:row>864</xdr:row>
      <xdr:rowOff>75494</xdr:rowOff>
    </xdr:from>
    <xdr:to>
      <xdr:col>22</xdr:col>
      <xdr:colOff>21981</xdr:colOff>
      <xdr:row>905</xdr:row>
      <xdr:rowOff>75787</xdr:rowOff>
    </xdr:to>
    <xdr:cxnSp macro="">
      <xdr:nvCxnSpPr>
        <xdr:cNvPr id="697" name="直線コネクタ 31">
          <a:extLst>
            <a:ext uri="{FF2B5EF4-FFF2-40B4-BE49-F238E27FC236}">
              <a16:creationId xmlns:a16="http://schemas.microsoft.com/office/drawing/2014/main" id="{84B42CF0-5E66-44A0-8DC8-4C6655FFBABE}"/>
            </a:ext>
          </a:extLst>
        </xdr:cNvPr>
        <xdr:cNvCxnSpPr>
          <a:stCxn id="672" idx="1"/>
          <a:endCxn id="513" idx="3"/>
        </xdr:cNvCxnSpPr>
      </xdr:nvCxnSpPr>
      <xdr:spPr>
        <a:xfrm rot="10800000">
          <a:off x="4782576" y="148208294"/>
          <a:ext cx="268605" cy="7029743"/>
        </a:xfrm>
        <a:prstGeom prst="bentConnector3">
          <a:avLst>
            <a:gd name="adj1" fmla="val 72063"/>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199146</xdr:colOff>
      <xdr:row>863</xdr:row>
      <xdr:rowOff>65604</xdr:rowOff>
    </xdr:from>
    <xdr:to>
      <xdr:col>22</xdr:col>
      <xdr:colOff>18757</xdr:colOff>
      <xdr:row>904</xdr:row>
      <xdr:rowOff>71192</xdr:rowOff>
    </xdr:to>
    <xdr:cxnSp macro="">
      <xdr:nvCxnSpPr>
        <xdr:cNvPr id="698" name="直線コネクタ 31">
          <a:extLst>
            <a:ext uri="{FF2B5EF4-FFF2-40B4-BE49-F238E27FC236}">
              <a16:creationId xmlns:a16="http://schemas.microsoft.com/office/drawing/2014/main" id="{FF0B848C-9B4E-4301-AE5C-34F0AF9E1AC0}"/>
            </a:ext>
          </a:extLst>
        </xdr:cNvPr>
        <xdr:cNvCxnSpPr>
          <a:stCxn id="669" idx="1"/>
          <a:endCxn id="504" idx="3"/>
        </xdr:cNvCxnSpPr>
      </xdr:nvCxnSpPr>
      <xdr:spPr>
        <a:xfrm rot="10800000">
          <a:off x="4771146" y="148026954"/>
          <a:ext cx="276811" cy="7035038"/>
        </a:xfrm>
        <a:prstGeom prst="bentConnector3">
          <a:avLst>
            <a:gd name="adj1" fmla="val 31274"/>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210576</xdr:colOff>
      <xdr:row>915</xdr:row>
      <xdr:rowOff>75494</xdr:rowOff>
    </xdr:from>
    <xdr:to>
      <xdr:col>22</xdr:col>
      <xdr:colOff>21981</xdr:colOff>
      <xdr:row>953</xdr:row>
      <xdr:rowOff>75787</xdr:rowOff>
    </xdr:to>
    <xdr:cxnSp macro="">
      <xdr:nvCxnSpPr>
        <xdr:cNvPr id="699" name="直線コネクタ 31">
          <a:extLst>
            <a:ext uri="{FF2B5EF4-FFF2-40B4-BE49-F238E27FC236}">
              <a16:creationId xmlns:a16="http://schemas.microsoft.com/office/drawing/2014/main" id="{08AEDC3B-E04B-4F83-A364-013B457973B0}"/>
            </a:ext>
          </a:extLst>
        </xdr:cNvPr>
        <xdr:cNvCxnSpPr>
          <a:stCxn id="676" idx="1"/>
          <a:endCxn id="545" idx="3"/>
        </xdr:cNvCxnSpPr>
      </xdr:nvCxnSpPr>
      <xdr:spPr>
        <a:xfrm rot="10800000">
          <a:off x="4782576" y="156952244"/>
          <a:ext cx="268605" cy="6515393"/>
        </a:xfrm>
        <a:prstGeom prst="bentConnector3">
          <a:avLst>
            <a:gd name="adj1" fmla="val 69305"/>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199146</xdr:colOff>
      <xdr:row>914</xdr:row>
      <xdr:rowOff>65603</xdr:rowOff>
    </xdr:from>
    <xdr:to>
      <xdr:col>22</xdr:col>
      <xdr:colOff>18757</xdr:colOff>
      <xdr:row>952</xdr:row>
      <xdr:rowOff>71191</xdr:rowOff>
    </xdr:to>
    <xdr:cxnSp macro="">
      <xdr:nvCxnSpPr>
        <xdr:cNvPr id="700" name="直線コネクタ 31">
          <a:extLst>
            <a:ext uri="{FF2B5EF4-FFF2-40B4-BE49-F238E27FC236}">
              <a16:creationId xmlns:a16="http://schemas.microsoft.com/office/drawing/2014/main" id="{B31AD27C-0074-430F-97F5-38301C571BD6}"/>
            </a:ext>
          </a:extLst>
        </xdr:cNvPr>
        <xdr:cNvCxnSpPr>
          <a:stCxn id="673" idx="1"/>
          <a:endCxn id="543" idx="3"/>
        </xdr:cNvCxnSpPr>
      </xdr:nvCxnSpPr>
      <xdr:spPr>
        <a:xfrm rot="10800000">
          <a:off x="4771146" y="156770903"/>
          <a:ext cx="276811" cy="6520688"/>
        </a:xfrm>
        <a:prstGeom prst="bentConnector3">
          <a:avLst>
            <a:gd name="adj1" fmla="val 31274"/>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210576</xdr:colOff>
      <xdr:row>963</xdr:row>
      <xdr:rowOff>75495</xdr:rowOff>
    </xdr:from>
    <xdr:to>
      <xdr:col>22</xdr:col>
      <xdr:colOff>21981</xdr:colOff>
      <xdr:row>1001</xdr:row>
      <xdr:rowOff>75788</xdr:rowOff>
    </xdr:to>
    <xdr:cxnSp macro="">
      <xdr:nvCxnSpPr>
        <xdr:cNvPr id="701" name="直線コネクタ 31">
          <a:extLst>
            <a:ext uri="{FF2B5EF4-FFF2-40B4-BE49-F238E27FC236}">
              <a16:creationId xmlns:a16="http://schemas.microsoft.com/office/drawing/2014/main" id="{6ED26CE3-CB32-4468-A4A9-01CCC4E6287D}"/>
            </a:ext>
          </a:extLst>
        </xdr:cNvPr>
        <xdr:cNvCxnSpPr>
          <a:stCxn id="680" idx="1"/>
          <a:endCxn id="588" idx="3"/>
        </xdr:cNvCxnSpPr>
      </xdr:nvCxnSpPr>
      <xdr:spPr>
        <a:xfrm rot="10800000">
          <a:off x="4782576" y="165181845"/>
          <a:ext cx="268605" cy="6515393"/>
        </a:xfrm>
        <a:prstGeom prst="bentConnector3">
          <a:avLst>
            <a:gd name="adj1" fmla="val 63789"/>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199146</xdr:colOff>
      <xdr:row>962</xdr:row>
      <xdr:rowOff>65604</xdr:rowOff>
    </xdr:from>
    <xdr:to>
      <xdr:col>22</xdr:col>
      <xdr:colOff>18757</xdr:colOff>
      <xdr:row>1000</xdr:row>
      <xdr:rowOff>71192</xdr:rowOff>
    </xdr:to>
    <xdr:cxnSp macro="">
      <xdr:nvCxnSpPr>
        <xdr:cNvPr id="702" name="直線コネクタ 31">
          <a:extLst>
            <a:ext uri="{FF2B5EF4-FFF2-40B4-BE49-F238E27FC236}">
              <a16:creationId xmlns:a16="http://schemas.microsoft.com/office/drawing/2014/main" id="{0AB1ABF9-F281-420B-82C6-A5D6DDE8F4C7}"/>
            </a:ext>
          </a:extLst>
        </xdr:cNvPr>
        <xdr:cNvCxnSpPr>
          <a:stCxn id="677" idx="1"/>
          <a:endCxn id="586" idx="3"/>
        </xdr:cNvCxnSpPr>
      </xdr:nvCxnSpPr>
      <xdr:spPr>
        <a:xfrm rot="10800000">
          <a:off x="4771146" y="165000504"/>
          <a:ext cx="276811" cy="6520688"/>
        </a:xfrm>
        <a:prstGeom prst="bentConnector3">
          <a:avLst>
            <a:gd name="adj1" fmla="val 33949"/>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210576</xdr:colOff>
      <xdr:row>1011</xdr:row>
      <xdr:rowOff>75495</xdr:rowOff>
    </xdr:from>
    <xdr:to>
      <xdr:col>22</xdr:col>
      <xdr:colOff>21981</xdr:colOff>
      <xdr:row>1040</xdr:row>
      <xdr:rowOff>75788</xdr:rowOff>
    </xdr:to>
    <xdr:cxnSp macro="">
      <xdr:nvCxnSpPr>
        <xdr:cNvPr id="703" name="直線コネクタ 31">
          <a:extLst>
            <a:ext uri="{FF2B5EF4-FFF2-40B4-BE49-F238E27FC236}">
              <a16:creationId xmlns:a16="http://schemas.microsoft.com/office/drawing/2014/main" id="{1BC58E42-F02F-491B-B8E4-1F46A173D5CC}"/>
            </a:ext>
          </a:extLst>
        </xdr:cNvPr>
        <xdr:cNvCxnSpPr>
          <a:stCxn id="684" idx="1"/>
          <a:endCxn id="607" idx="3"/>
        </xdr:cNvCxnSpPr>
      </xdr:nvCxnSpPr>
      <xdr:spPr>
        <a:xfrm rot="10800000">
          <a:off x="4782576" y="173411445"/>
          <a:ext cx="268605" cy="4972343"/>
        </a:xfrm>
        <a:prstGeom prst="bentConnector3">
          <a:avLst>
            <a:gd name="adj1" fmla="val 61032"/>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199146</xdr:colOff>
      <xdr:row>1010</xdr:row>
      <xdr:rowOff>65604</xdr:rowOff>
    </xdr:from>
    <xdr:to>
      <xdr:col>22</xdr:col>
      <xdr:colOff>18757</xdr:colOff>
      <xdr:row>1039</xdr:row>
      <xdr:rowOff>71192</xdr:rowOff>
    </xdr:to>
    <xdr:cxnSp macro="">
      <xdr:nvCxnSpPr>
        <xdr:cNvPr id="704" name="直線コネクタ 31">
          <a:extLst>
            <a:ext uri="{FF2B5EF4-FFF2-40B4-BE49-F238E27FC236}">
              <a16:creationId xmlns:a16="http://schemas.microsoft.com/office/drawing/2014/main" id="{82853E12-7923-485A-9192-648BAD9186DE}"/>
            </a:ext>
          </a:extLst>
        </xdr:cNvPr>
        <xdr:cNvCxnSpPr>
          <a:stCxn id="681" idx="1"/>
          <a:endCxn id="605" idx="3"/>
        </xdr:cNvCxnSpPr>
      </xdr:nvCxnSpPr>
      <xdr:spPr>
        <a:xfrm rot="10800000">
          <a:off x="4771146" y="173230104"/>
          <a:ext cx="276811" cy="4977638"/>
        </a:xfrm>
        <a:prstGeom prst="bentConnector3">
          <a:avLst>
            <a:gd name="adj1" fmla="val 36624"/>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8.xml><?xml version="1.0" encoding="utf-8"?>
<xdr:wsDr xmlns:xdr="http://schemas.openxmlformats.org/drawingml/2006/spreadsheetDrawing" xmlns:a="http://schemas.openxmlformats.org/drawingml/2006/main">
  <xdr:twoCellAnchor>
    <xdr:from>
      <xdr:col>3</xdr:col>
      <xdr:colOff>192405</xdr:colOff>
      <xdr:row>0</xdr:row>
      <xdr:rowOff>325755</xdr:rowOff>
    </xdr:from>
    <xdr:to>
      <xdr:col>3</xdr:col>
      <xdr:colOff>472440</xdr:colOff>
      <xdr:row>0</xdr:row>
      <xdr:rowOff>478155</xdr:rowOff>
    </xdr:to>
    <xdr:sp macro="" textlink="">
      <xdr:nvSpPr>
        <xdr:cNvPr id="2" name="正方形/長方形 1">
          <a:extLst>
            <a:ext uri="{FF2B5EF4-FFF2-40B4-BE49-F238E27FC236}">
              <a16:creationId xmlns:a16="http://schemas.microsoft.com/office/drawing/2014/main" id="{FFCE5500-AA35-2953-9D0B-401FAAD3EC11}"/>
            </a:ext>
          </a:extLst>
        </xdr:cNvPr>
        <xdr:cNvSpPr/>
      </xdr:nvSpPr>
      <xdr:spPr>
        <a:xfrm>
          <a:off x="6183630" y="325755"/>
          <a:ext cx="280035" cy="152400"/>
        </a:xfrm>
        <a:prstGeom prst="rect">
          <a:avLst/>
        </a:prstGeom>
        <a:solidFill>
          <a:schemeClr val="bg1">
            <a:lumMod val="75000"/>
          </a:schemeClr>
        </a:solidFill>
        <a:ln w="952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188595</xdr:colOff>
      <xdr:row>0</xdr:row>
      <xdr:rowOff>131445</xdr:rowOff>
    </xdr:from>
    <xdr:to>
      <xdr:col>3</xdr:col>
      <xdr:colOff>462915</xdr:colOff>
      <xdr:row>0</xdr:row>
      <xdr:rowOff>283845</xdr:rowOff>
    </xdr:to>
    <xdr:sp macro="" textlink="">
      <xdr:nvSpPr>
        <xdr:cNvPr id="3" name="正方形/長方形 2">
          <a:extLst>
            <a:ext uri="{FF2B5EF4-FFF2-40B4-BE49-F238E27FC236}">
              <a16:creationId xmlns:a16="http://schemas.microsoft.com/office/drawing/2014/main" id="{0E0F47DD-43EF-4755-86D1-5D30D0911941}"/>
            </a:ext>
          </a:extLst>
        </xdr:cNvPr>
        <xdr:cNvSpPr/>
      </xdr:nvSpPr>
      <xdr:spPr>
        <a:xfrm>
          <a:off x="6179820" y="131445"/>
          <a:ext cx="274320" cy="152400"/>
        </a:xfrm>
        <a:prstGeom prst="rect">
          <a:avLst/>
        </a:prstGeom>
        <a:solidFill>
          <a:schemeClr val="bg1"/>
        </a:solidFill>
        <a:ln w="952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409576</xdr:colOff>
      <xdr:row>0</xdr:row>
      <xdr:rowOff>99059</xdr:rowOff>
    </xdr:from>
    <xdr:to>
      <xdr:col>5</xdr:col>
      <xdr:colOff>154305</xdr:colOff>
      <xdr:row>0</xdr:row>
      <xdr:rowOff>297179</xdr:rowOff>
    </xdr:to>
    <xdr:sp macro="" textlink="">
      <xdr:nvSpPr>
        <xdr:cNvPr id="4" name="正方形/長方形 3">
          <a:extLst>
            <a:ext uri="{FF2B5EF4-FFF2-40B4-BE49-F238E27FC236}">
              <a16:creationId xmlns:a16="http://schemas.microsoft.com/office/drawing/2014/main" id="{13BA9567-1E70-4A11-ABFC-563A07331892}"/>
            </a:ext>
          </a:extLst>
        </xdr:cNvPr>
        <xdr:cNvSpPr/>
      </xdr:nvSpPr>
      <xdr:spPr>
        <a:xfrm>
          <a:off x="6400801" y="99059"/>
          <a:ext cx="1049654" cy="198120"/>
        </a:xfrm>
        <a:prstGeom prst="rect">
          <a:avLst/>
        </a:prstGeom>
        <a:noFill/>
        <a:ln w="952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ysClr val="windowText" lastClr="000000"/>
              </a:solidFill>
            </a:rPr>
            <a:t>行・・・連携あり</a:t>
          </a:r>
          <a:endParaRPr kumimoji="1" lang="en-US" altLang="ja-JP" sz="900">
            <a:solidFill>
              <a:sysClr val="windowText" lastClr="000000"/>
            </a:solidFill>
          </a:endParaRPr>
        </a:p>
        <a:p>
          <a:pPr algn="l"/>
          <a:endParaRPr kumimoji="1" lang="ja-JP" altLang="en-US" sz="1100"/>
        </a:p>
      </xdr:txBody>
    </xdr:sp>
    <xdr:clientData/>
  </xdr:twoCellAnchor>
  <xdr:twoCellAnchor>
    <xdr:from>
      <xdr:col>3</xdr:col>
      <xdr:colOff>413384</xdr:colOff>
      <xdr:row>0</xdr:row>
      <xdr:rowOff>297181</xdr:rowOff>
    </xdr:from>
    <xdr:to>
      <xdr:col>5</xdr:col>
      <xdr:colOff>800100</xdr:colOff>
      <xdr:row>0</xdr:row>
      <xdr:rowOff>510540</xdr:rowOff>
    </xdr:to>
    <xdr:sp macro="" textlink="">
      <xdr:nvSpPr>
        <xdr:cNvPr id="5" name="正方形/長方形 4">
          <a:extLst>
            <a:ext uri="{FF2B5EF4-FFF2-40B4-BE49-F238E27FC236}">
              <a16:creationId xmlns:a16="http://schemas.microsoft.com/office/drawing/2014/main" id="{75610A95-2B09-478A-8E3C-686978F8ED6C}"/>
            </a:ext>
          </a:extLst>
        </xdr:cNvPr>
        <xdr:cNvSpPr/>
      </xdr:nvSpPr>
      <xdr:spPr>
        <a:xfrm>
          <a:off x="7743824" y="297181"/>
          <a:ext cx="1834516" cy="213359"/>
        </a:xfrm>
        <a:prstGeom prst="rect">
          <a:avLst/>
        </a:prstGeom>
        <a:noFill/>
        <a:ln w="952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ja-JP" sz="900">
              <a:solidFill>
                <a:sysClr val="windowText" lastClr="000000"/>
              </a:solidFill>
              <a:effectLst/>
              <a:latin typeface="+mn-lt"/>
              <a:ea typeface="+mn-ea"/>
              <a:cs typeface="+mn-cs"/>
            </a:rPr>
            <a:t>行</a:t>
          </a:r>
          <a:r>
            <a:rPr kumimoji="1" lang="ja-JP" altLang="en-US" sz="900">
              <a:solidFill>
                <a:sysClr val="windowText" lastClr="000000"/>
              </a:solidFill>
            </a:rPr>
            <a:t>・・・連携なし</a:t>
          </a:r>
          <a:r>
            <a:rPr kumimoji="1" lang="en-US" altLang="ja-JP" sz="900">
              <a:solidFill>
                <a:sysClr val="windowText" lastClr="000000"/>
              </a:solidFill>
            </a:rPr>
            <a:t>(""(</a:t>
          </a:r>
          <a:r>
            <a:rPr kumimoji="1" lang="ja-JP" altLang="en-US" sz="900">
              <a:solidFill>
                <a:sysClr val="windowText" lastClr="000000"/>
              </a:solidFill>
            </a:rPr>
            <a:t>空</a:t>
          </a:r>
          <a:r>
            <a:rPr kumimoji="1" lang="en-US" altLang="ja-JP" sz="900">
              <a:solidFill>
                <a:sysClr val="windowText" lastClr="000000"/>
              </a:solidFill>
            </a:rPr>
            <a:t>)</a:t>
          </a:r>
          <a:r>
            <a:rPr kumimoji="1" lang="ja-JP" altLang="en-US" sz="900">
              <a:solidFill>
                <a:sysClr val="windowText" lastClr="000000"/>
              </a:solidFill>
            </a:rPr>
            <a:t>設定</a:t>
          </a:r>
          <a:r>
            <a:rPr kumimoji="1" lang="en-US" altLang="ja-JP" sz="900">
              <a:solidFill>
                <a:sysClr val="windowText" lastClr="000000"/>
              </a:solidFill>
            </a:rPr>
            <a:t>)</a:t>
          </a:r>
          <a:endParaRPr kumimoji="1" lang="ja-JP" altLang="en-US" sz="1100"/>
        </a:p>
      </xdr:txBody>
    </xdr:sp>
    <xdr:clientData/>
  </xdr:twoCellAnchor>
  <xdr:twoCellAnchor>
    <xdr:from>
      <xdr:col>10</xdr:col>
      <xdr:colOff>15240</xdr:colOff>
      <xdr:row>0</xdr:row>
      <xdr:rowOff>91440</xdr:rowOff>
    </xdr:from>
    <xdr:to>
      <xdr:col>11</xdr:col>
      <xdr:colOff>971550</xdr:colOff>
      <xdr:row>0</xdr:row>
      <xdr:rowOff>588645</xdr:rowOff>
    </xdr:to>
    <xdr:sp macro="" textlink="">
      <xdr:nvSpPr>
        <xdr:cNvPr id="7" name="Text Box 1">
          <a:extLst>
            <a:ext uri="{FF2B5EF4-FFF2-40B4-BE49-F238E27FC236}">
              <a16:creationId xmlns:a16="http://schemas.microsoft.com/office/drawing/2014/main" id="{831D8A51-8D53-400E-95E8-CD52CF28F8C7}"/>
            </a:ext>
          </a:extLst>
        </xdr:cNvPr>
        <xdr:cNvSpPr txBox="1">
          <a:spLocks noChangeArrowheads="1"/>
        </xdr:cNvSpPr>
      </xdr:nvSpPr>
      <xdr:spPr bwMode="auto">
        <a:xfrm>
          <a:off x="25942290" y="91440"/>
          <a:ext cx="2108835" cy="497205"/>
        </a:xfrm>
        <a:prstGeom prst="rect">
          <a:avLst/>
        </a:prstGeom>
        <a:noFill/>
        <a:ln w="9525">
          <a:noFill/>
          <a:miter lim="800000"/>
          <a:headEnd/>
          <a:tailEnd/>
        </a:ln>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Ｐゴシック"/>
              <a:ea typeface="ＭＳ Ｐゴシック"/>
            </a:rPr>
            <a:t>◎</a:t>
          </a:r>
          <a:r>
            <a:rPr lang="en-US" altLang="ja-JP" sz="900" b="0" i="0" u="none" strike="noStrike" baseline="0">
              <a:solidFill>
                <a:srgbClr val="000000"/>
              </a:solidFill>
              <a:latin typeface="ＭＳ Ｐゴシック"/>
              <a:ea typeface="ＭＳ Ｐゴシック"/>
            </a:rPr>
            <a:t>…1</a:t>
          </a:r>
          <a:r>
            <a:rPr lang="ja-JP" altLang="en-US" sz="900" b="0" i="0" u="none" strike="noStrike" baseline="0">
              <a:solidFill>
                <a:srgbClr val="000000"/>
              </a:solidFill>
              <a:latin typeface="ＭＳ Ｐゴシック"/>
              <a:ea typeface="ＭＳ Ｐゴシック"/>
            </a:rPr>
            <a:t>次開発</a:t>
          </a:r>
          <a:r>
            <a:rPr lang="ja-JP" altLang="ja-JP" sz="1000" b="0" i="0" baseline="0">
              <a:effectLst/>
              <a:latin typeface="+mn-lt"/>
              <a:ea typeface="+mn-ea"/>
              <a:cs typeface="+mn-cs"/>
            </a:rPr>
            <a:t>向け</a:t>
          </a:r>
          <a:endParaRPr lang="ja-JP" altLang="en-US" sz="900" b="0" i="0" u="none" strike="noStrike" baseline="0">
            <a:solidFill>
              <a:srgbClr val="000000"/>
            </a:solidFill>
            <a:latin typeface="ＭＳ Ｐゴシック"/>
            <a:ea typeface="ＭＳ Ｐゴシック"/>
          </a:endParaRPr>
        </a:p>
        <a:p>
          <a:pPr algn="l" rtl="0">
            <a:defRPr sz="1000"/>
          </a:pPr>
          <a:r>
            <a:rPr lang="ja-JP" altLang="en-US" sz="900" b="0" i="0" u="none" strike="noStrike" baseline="0">
              <a:solidFill>
                <a:srgbClr val="000000"/>
              </a:solidFill>
              <a:latin typeface="ＭＳ Ｐゴシック"/>
              <a:ea typeface="ＭＳ Ｐゴシック"/>
            </a:rPr>
            <a:t>●</a:t>
          </a:r>
          <a:r>
            <a:rPr lang="en-US" altLang="ja-JP" sz="900" b="0" i="0" u="none" strike="noStrike" baseline="0">
              <a:solidFill>
                <a:srgbClr val="000000"/>
              </a:solidFill>
              <a:latin typeface="ＭＳ Ｐゴシック"/>
              <a:ea typeface="ＭＳ Ｐゴシック"/>
            </a:rPr>
            <a:t>…TSM</a:t>
          </a:r>
          <a:r>
            <a:rPr lang="ja-JP" altLang="en-US" sz="900" b="0" i="0" u="none" strike="noStrike" baseline="0">
              <a:solidFill>
                <a:srgbClr val="000000"/>
              </a:solidFill>
              <a:latin typeface="ＭＳ Ｐゴシック"/>
              <a:ea typeface="ＭＳ Ｐゴシック"/>
            </a:rPr>
            <a:t>側で設定（設定不要を含む）</a:t>
          </a:r>
        </a:p>
        <a:p>
          <a:pPr algn="l" rtl="0">
            <a:defRPr sz="1000"/>
          </a:pPr>
          <a:r>
            <a:rPr lang="ja-JP" altLang="en-US" sz="900" b="0" i="0" u="none" strike="noStrike" baseline="0">
              <a:solidFill>
                <a:srgbClr val="000000"/>
              </a:solidFill>
              <a:latin typeface="ＭＳ Ｐゴシック"/>
              <a:ea typeface="ＭＳ Ｐゴシック"/>
            </a:rPr>
            <a:t>〇</a:t>
          </a:r>
          <a:r>
            <a:rPr lang="en-US" altLang="ja-JP" sz="900" b="0" i="0" u="none" strike="noStrike" baseline="0">
              <a:solidFill>
                <a:srgbClr val="000000"/>
              </a:solidFill>
              <a:latin typeface="ＭＳ Ｐゴシック"/>
              <a:ea typeface="ＭＳ Ｐゴシック"/>
            </a:rPr>
            <a:t>…2</a:t>
          </a:r>
          <a:r>
            <a:rPr lang="ja-JP" altLang="en-US" sz="900" b="0" i="0" u="none" strike="noStrike" baseline="0">
              <a:solidFill>
                <a:srgbClr val="000000"/>
              </a:solidFill>
              <a:latin typeface="ＭＳ Ｐゴシック"/>
              <a:ea typeface="ＭＳ Ｐゴシック"/>
            </a:rPr>
            <a:t>次開発向け</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3</xdr:col>
      <xdr:colOff>192405</xdr:colOff>
      <xdr:row>0</xdr:row>
      <xdr:rowOff>325755</xdr:rowOff>
    </xdr:from>
    <xdr:to>
      <xdr:col>3</xdr:col>
      <xdr:colOff>472440</xdr:colOff>
      <xdr:row>0</xdr:row>
      <xdr:rowOff>478155</xdr:rowOff>
    </xdr:to>
    <xdr:sp macro="" textlink="">
      <xdr:nvSpPr>
        <xdr:cNvPr id="2" name="正方形/長方形 1">
          <a:extLst>
            <a:ext uri="{FF2B5EF4-FFF2-40B4-BE49-F238E27FC236}">
              <a16:creationId xmlns:a16="http://schemas.microsoft.com/office/drawing/2014/main" id="{3E53C1CE-D141-4C2C-8E2C-5D5B3B76DF28}"/>
            </a:ext>
          </a:extLst>
        </xdr:cNvPr>
        <xdr:cNvSpPr/>
      </xdr:nvSpPr>
      <xdr:spPr>
        <a:xfrm>
          <a:off x="6183630" y="321945"/>
          <a:ext cx="283845" cy="152400"/>
        </a:xfrm>
        <a:prstGeom prst="rect">
          <a:avLst/>
        </a:prstGeom>
        <a:solidFill>
          <a:schemeClr val="bg1">
            <a:lumMod val="75000"/>
          </a:schemeClr>
        </a:solidFill>
        <a:ln w="952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188595</xdr:colOff>
      <xdr:row>0</xdr:row>
      <xdr:rowOff>131445</xdr:rowOff>
    </xdr:from>
    <xdr:to>
      <xdr:col>3</xdr:col>
      <xdr:colOff>462915</xdr:colOff>
      <xdr:row>0</xdr:row>
      <xdr:rowOff>283845</xdr:rowOff>
    </xdr:to>
    <xdr:sp macro="" textlink="">
      <xdr:nvSpPr>
        <xdr:cNvPr id="3" name="正方形/長方形 2">
          <a:extLst>
            <a:ext uri="{FF2B5EF4-FFF2-40B4-BE49-F238E27FC236}">
              <a16:creationId xmlns:a16="http://schemas.microsoft.com/office/drawing/2014/main" id="{90687C57-9DFC-499C-9535-D6D4329E6F67}"/>
            </a:ext>
          </a:extLst>
        </xdr:cNvPr>
        <xdr:cNvSpPr/>
      </xdr:nvSpPr>
      <xdr:spPr>
        <a:xfrm>
          <a:off x="6179820" y="135255"/>
          <a:ext cx="276225" cy="152400"/>
        </a:xfrm>
        <a:prstGeom prst="rect">
          <a:avLst/>
        </a:prstGeom>
        <a:solidFill>
          <a:schemeClr val="bg1"/>
        </a:solidFill>
        <a:ln w="952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409576</xdr:colOff>
      <xdr:row>0</xdr:row>
      <xdr:rowOff>99059</xdr:rowOff>
    </xdr:from>
    <xdr:to>
      <xdr:col>5</xdr:col>
      <xdr:colOff>154305</xdr:colOff>
      <xdr:row>0</xdr:row>
      <xdr:rowOff>297179</xdr:rowOff>
    </xdr:to>
    <xdr:sp macro="" textlink="">
      <xdr:nvSpPr>
        <xdr:cNvPr id="4" name="正方形/長方形 3">
          <a:extLst>
            <a:ext uri="{FF2B5EF4-FFF2-40B4-BE49-F238E27FC236}">
              <a16:creationId xmlns:a16="http://schemas.microsoft.com/office/drawing/2014/main" id="{466F003D-964C-41F6-A775-E7FBAFF74979}"/>
            </a:ext>
          </a:extLst>
        </xdr:cNvPr>
        <xdr:cNvSpPr/>
      </xdr:nvSpPr>
      <xdr:spPr>
        <a:xfrm>
          <a:off x="6398896" y="95249"/>
          <a:ext cx="1051559" cy="200025"/>
        </a:xfrm>
        <a:prstGeom prst="rect">
          <a:avLst/>
        </a:prstGeom>
        <a:noFill/>
        <a:ln w="952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ysClr val="windowText" lastClr="000000"/>
              </a:solidFill>
            </a:rPr>
            <a:t>行・・・連携あり</a:t>
          </a:r>
          <a:endParaRPr kumimoji="1" lang="en-US" altLang="ja-JP" sz="900">
            <a:solidFill>
              <a:sysClr val="windowText" lastClr="000000"/>
            </a:solidFill>
          </a:endParaRPr>
        </a:p>
        <a:p>
          <a:pPr algn="l"/>
          <a:endParaRPr kumimoji="1" lang="ja-JP" altLang="en-US" sz="1100"/>
        </a:p>
      </xdr:txBody>
    </xdr:sp>
    <xdr:clientData/>
  </xdr:twoCellAnchor>
  <xdr:twoCellAnchor>
    <xdr:from>
      <xdr:col>3</xdr:col>
      <xdr:colOff>413384</xdr:colOff>
      <xdr:row>0</xdr:row>
      <xdr:rowOff>297181</xdr:rowOff>
    </xdr:from>
    <xdr:to>
      <xdr:col>6</xdr:col>
      <xdr:colOff>160020</xdr:colOff>
      <xdr:row>0</xdr:row>
      <xdr:rowOff>518160</xdr:rowOff>
    </xdr:to>
    <xdr:sp macro="" textlink="">
      <xdr:nvSpPr>
        <xdr:cNvPr id="5" name="正方形/長方形 4">
          <a:extLst>
            <a:ext uri="{FF2B5EF4-FFF2-40B4-BE49-F238E27FC236}">
              <a16:creationId xmlns:a16="http://schemas.microsoft.com/office/drawing/2014/main" id="{A580C3B6-4363-44DB-A920-C50D95C243D2}"/>
            </a:ext>
          </a:extLst>
        </xdr:cNvPr>
        <xdr:cNvSpPr/>
      </xdr:nvSpPr>
      <xdr:spPr>
        <a:xfrm>
          <a:off x="7118984" y="297181"/>
          <a:ext cx="1674496" cy="220979"/>
        </a:xfrm>
        <a:prstGeom prst="rect">
          <a:avLst/>
        </a:prstGeom>
        <a:noFill/>
        <a:ln w="952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ja-JP" sz="900">
              <a:solidFill>
                <a:sysClr val="windowText" lastClr="000000"/>
              </a:solidFill>
              <a:effectLst/>
              <a:latin typeface="+mn-lt"/>
              <a:ea typeface="+mn-ea"/>
              <a:cs typeface="+mn-cs"/>
            </a:rPr>
            <a:t>行</a:t>
          </a:r>
          <a:r>
            <a:rPr kumimoji="1" lang="ja-JP" altLang="en-US" sz="900">
              <a:solidFill>
                <a:sysClr val="windowText" lastClr="000000"/>
              </a:solidFill>
            </a:rPr>
            <a:t>・・・連携なし</a:t>
          </a:r>
          <a:r>
            <a:rPr kumimoji="1" lang="en-US" altLang="ja-JP" sz="900">
              <a:solidFill>
                <a:sysClr val="windowText" lastClr="000000"/>
              </a:solidFill>
            </a:rPr>
            <a:t>(""(</a:t>
          </a:r>
          <a:r>
            <a:rPr kumimoji="1" lang="ja-JP" altLang="en-US" sz="900">
              <a:solidFill>
                <a:sysClr val="windowText" lastClr="000000"/>
              </a:solidFill>
            </a:rPr>
            <a:t>空</a:t>
          </a:r>
          <a:r>
            <a:rPr kumimoji="1" lang="en-US" altLang="ja-JP" sz="900">
              <a:solidFill>
                <a:sysClr val="windowText" lastClr="000000"/>
              </a:solidFill>
            </a:rPr>
            <a:t>)</a:t>
          </a:r>
          <a:r>
            <a:rPr kumimoji="1" lang="ja-JP" altLang="en-US" sz="900">
              <a:solidFill>
                <a:sysClr val="windowText" lastClr="000000"/>
              </a:solidFill>
            </a:rPr>
            <a:t>設定</a:t>
          </a:r>
          <a:r>
            <a:rPr kumimoji="1" lang="en-US" altLang="ja-JP" sz="900">
              <a:solidFill>
                <a:sysClr val="windowText" lastClr="000000"/>
              </a:solidFill>
            </a:rPr>
            <a:t>)</a:t>
          </a:r>
          <a:endParaRPr kumimoji="1" lang="ja-JP" altLang="en-US" sz="1100"/>
        </a:p>
      </xdr:txBody>
    </xdr:sp>
    <xdr:clientData/>
  </xdr:twoCellAnchor>
  <xdr:twoCellAnchor>
    <xdr:from>
      <xdr:col>10</xdr:col>
      <xdr:colOff>19049</xdr:colOff>
      <xdr:row>0</xdr:row>
      <xdr:rowOff>95250</xdr:rowOff>
    </xdr:from>
    <xdr:to>
      <xdr:col>11</xdr:col>
      <xdr:colOff>1514474</xdr:colOff>
      <xdr:row>0</xdr:row>
      <xdr:rowOff>592455</xdr:rowOff>
    </xdr:to>
    <xdr:sp macro="" textlink="">
      <xdr:nvSpPr>
        <xdr:cNvPr id="7" name="Text Box 1">
          <a:extLst>
            <a:ext uri="{FF2B5EF4-FFF2-40B4-BE49-F238E27FC236}">
              <a16:creationId xmlns:a16="http://schemas.microsoft.com/office/drawing/2014/main" id="{1F49A0BF-DD99-4332-B52D-5FE2FB4DA38A}"/>
            </a:ext>
          </a:extLst>
        </xdr:cNvPr>
        <xdr:cNvSpPr txBox="1">
          <a:spLocks noChangeArrowheads="1"/>
        </xdr:cNvSpPr>
      </xdr:nvSpPr>
      <xdr:spPr bwMode="auto">
        <a:xfrm>
          <a:off x="23822024" y="95250"/>
          <a:ext cx="2105025" cy="497205"/>
        </a:xfrm>
        <a:prstGeom prst="rect">
          <a:avLst/>
        </a:prstGeom>
        <a:noFill/>
        <a:ln w="9525">
          <a:noFill/>
          <a:miter lim="800000"/>
          <a:headEnd/>
          <a:tailEnd/>
        </a:ln>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Ｐゴシック"/>
              <a:ea typeface="ＭＳ Ｐゴシック"/>
            </a:rPr>
            <a:t>◎</a:t>
          </a:r>
          <a:r>
            <a:rPr lang="en-US" altLang="ja-JP" sz="900" b="0" i="0" u="none" strike="noStrike" baseline="0">
              <a:solidFill>
                <a:srgbClr val="000000"/>
              </a:solidFill>
              <a:latin typeface="ＭＳ Ｐゴシック"/>
              <a:ea typeface="ＭＳ Ｐゴシック"/>
            </a:rPr>
            <a:t>…1</a:t>
          </a:r>
          <a:r>
            <a:rPr lang="ja-JP" altLang="en-US" sz="900" b="0" i="0" u="none" strike="noStrike" baseline="0">
              <a:solidFill>
                <a:srgbClr val="000000"/>
              </a:solidFill>
              <a:latin typeface="ＭＳ Ｐゴシック"/>
              <a:ea typeface="ＭＳ Ｐゴシック"/>
            </a:rPr>
            <a:t>次開発</a:t>
          </a:r>
          <a:r>
            <a:rPr lang="ja-JP" altLang="ja-JP" sz="1000" b="0" i="0" baseline="0">
              <a:effectLst/>
              <a:latin typeface="+mn-lt"/>
              <a:ea typeface="+mn-ea"/>
              <a:cs typeface="+mn-cs"/>
            </a:rPr>
            <a:t>向け</a:t>
          </a:r>
          <a:endParaRPr lang="ja-JP" altLang="en-US" sz="900" b="0" i="0" u="none" strike="noStrike" baseline="0">
            <a:solidFill>
              <a:srgbClr val="000000"/>
            </a:solidFill>
            <a:latin typeface="ＭＳ Ｐゴシック"/>
            <a:ea typeface="ＭＳ Ｐゴシック"/>
          </a:endParaRPr>
        </a:p>
        <a:p>
          <a:pPr algn="l" rtl="0">
            <a:defRPr sz="1000"/>
          </a:pPr>
          <a:r>
            <a:rPr lang="ja-JP" altLang="en-US" sz="900" b="0" i="0" u="none" strike="noStrike" baseline="0">
              <a:solidFill>
                <a:srgbClr val="000000"/>
              </a:solidFill>
              <a:latin typeface="ＭＳ Ｐゴシック"/>
              <a:ea typeface="ＭＳ Ｐゴシック"/>
            </a:rPr>
            <a:t>●</a:t>
          </a:r>
          <a:r>
            <a:rPr lang="en-US" altLang="ja-JP" sz="900" b="0" i="0" u="none" strike="noStrike" baseline="0">
              <a:solidFill>
                <a:srgbClr val="000000"/>
              </a:solidFill>
              <a:latin typeface="ＭＳ Ｐゴシック"/>
              <a:ea typeface="ＭＳ Ｐゴシック"/>
            </a:rPr>
            <a:t>…TSM</a:t>
          </a:r>
          <a:r>
            <a:rPr lang="ja-JP" altLang="en-US" sz="900" b="0" i="0" u="none" strike="noStrike" baseline="0">
              <a:solidFill>
                <a:srgbClr val="000000"/>
              </a:solidFill>
              <a:latin typeface="ＭＳ Ｐゴシック"/>
              <a:ea typeface="ＭＳ Ｐゴシック"/>
            </a:rPr>
            <a:t>側で設定（設定不要を含む）</a:t>
          </a:r>
        </a:p>
        <a:p>
          <a:pPr algn="l" rtl="0">
            <a:defRPr sz="1000"/>
          </a:pPr>
          <a:r>
            <a:rPr lang="ja-JP" altLang="en-US" sz="900" b="0" i="0" u="none" strike="noStrike" baseline="0">
              <a:solidFill>
                <a:srgbClr val="000000"/>
              </a:solidFill>
              <a:latin typeface="ＭＳ Ｐゴシック"/>
              <a:ea typeface="ＭＳ Ｐゴシック"/>
            </a:rPr>
            <a:t>〇</a:t>
          </a:r>
          <a:r>
            <a:rPr lang="en-US" altLang="ja-JP" sz="900" b="0" i="0" u="none" strike="noStrike" baseline="0">
              <a:solidFill>
                <a:srgbClr val="000000"/>
              </a:solidFill>
              <a:latin typeface="ＭＳ Ｐゴシック"/>
              <a:ea typeface="ＭＳ Ｐゴシック"/>
            </a:rPr>
            <a:t>…2</a:t>
          </a:r>
          <a:r>
            <a:rPr lang="ja-JP" altLang="en-US" sz="900" b="0" i="0" u="none" strike="noStrike" baseline="0">
              <a:solidFill>
                <a:srgbClr val="000000"/>
              </a:solidFill>
              <a:latin typeface="ＭＳ Ｐゴシック"/>
              <a:ea typeface="ＭＳ Ｐゴシック"/>
            </a:rPr>
            <a:t>次開発向け</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3</xdr:col>
      <xdr:colOff>192405</xdr:colOff>
      <xdr:row>0</xdr:row>
      <xdr:rowOff>325755</xdr:rowOff>
    </xdr:from>
    <xdr:to>
      <xdr:col>3</xdr:col>
      <xdr:colOff>472440</xdr:colOff>
      <xdr:row>0</xdr:row>
      <xdr:rowOff>478155</xdr:rowOff>
    </xdr:to>
    <xdr:sp macro="" textlink="">
      <xdr:nvSpPr>
        <xdr:cNvPr id="2" name="正方形/長方形 1">
          <a:extLst>
            <a:ext uri="{FF2B5EF4-FFF2-40B4-BE49-F238E27FC236}">
              <a16:creationId xmlns:a16="http://schemas.microsoft.com/office/drawing/2014/main" id="{60F70BFA-ADB3-410C-8680-80CBC905BF6D}"/>
            </a:ext>
          </a:extLst>
        </xdr:cNvPr>
        <xdr:cNvSpPr/>
      </xdr:nvSpPr>
      <xdr:spPr>
        <a:xfrm>
          <a:off x="6183630" y="321945"/>
          <a:ext cx="283845" cy="152400"/>
        </a:xfrm>
        <a:prstGeom prst="rect">
          <a:avLst/>
        </a:prstGeom>
        <a:solidFill>
          <a:schemeClr val="bg1">
            <a:lumMod val="75000"/>
          </a:schemeClr>
        </a:solidFill>
        <a:ln w="952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188595</xdr:colOff>
      <xdr:row>0</xdr:row>
      <xdr:rowOff>131445</xdr:rowOff>
    </xdr:from>
    <xdr:to>
      <xdr:col>3</xdr:col>
      <xdr:colOff>462915</xdr:colOff>
      <xdr:row>0</xdr:row>
      <xdr:rowOff>283845</xdr:rowOff>
    </xdr:to>
    <xdr:sp macro="" textlink="">
      <xdr:nvSpPr>
        <xdr:cNvPr id="3" name="正方形/長方形 2">
          <a:extLst>
            <a:ext uri="{FF2B5EF4-FFF2-40B4-BE49-F238E27FC236}">
              <a16:creationId xmlns:a16="http://schemas.microsoft.com/office/drawing/2014/main" id="{C91C3D7D-42BC-4882-95A4-5FAB0164470E}"/>
            </a:ext>
          </a:extLst>
        </xdr:cNvPr>
        <xdr:cNvSpPr/>
      </xdr:nvSpPr>
      <xdr:spPr>
        <a:xfrm>
          <a:off x="6179820" y="135255"/>
          <a:ext cx="276225" cy="152400"/>
        </a:xfrm>
        <a:prstGeom prst="rect">
          <a:avLst/>
        </a:prstGeom>
        <a:solidFill>
          <a:schemeClr val="bg1"/>
        </a:solidFill>
        <a:ln w="952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409576</xdr:colOff>
      <xdr:row>0</xdr:row>
      <xdr:rowOff>99059</xdr:rowOff>
    </xdr:from>
    <xdr:to>
      <xdr:col>5</xdr:col>
      <xdr:colOff>154305</xdr:colOff>
      <xdr:row>0</xdr:row>
      <xdr:rowOff>297179</xdr:rowOff>
    </xdr:to>
    <xdr:sp macro="" textlink="">
      <xdr:nvSpPr>
        <xdr:cNvPr id="4" name="正方形/長方形 3">
          <a:extLst>
            <a:ext uri="{FF2B5EF4-FFF2-40B4-BE49-F238E27FC236}">
              <a16:creationId xmlns:a16="http://schemas.microsoft.com/office/drawing/2014/main" id="{E6002D17-5571-4DE7-853B-D6EF96683AB1}"/>
            </a:ext>
          </a:extLst>
        </xdr:cNvPr>
        <xdr:cNvSpPr/>
      </xdr:nvSpPr>
      <xdr:spPr>
        <a:xfrm>
          <a:off x="6398896" y="95249"/>
          <a:ext cx="1051559" cy="200025"/>
        </a:xfrm>
        <a:prstGeom prst="rect">
          <a:avLst/>
        </a:prstGeom>
        <a:noFill/>
        <a:ln w="952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ysClr val="windowText" lastClr="000000"/>
              </a:solidFill>
            </a:rPr>
            <a:t>行・・・連携あり</a:t>
          </a:r>
          <a:endParaRPr kumimoji="1" lang="en-US" altLang="ja-JP" sz="900">
            <a:solidFill>
              <a:sysClr val="windowText" lastClr="000000"/>
            </a:solidFill>
          </a:endParaRPr>
        </a:p>
        <a:p>
          <a:pPr algn="l"/>
          <a:endParaRPr kumimoji="1" lang="ja-JP" altLang="en-US" sz="1100"/>
        </a:p>
      </xdr:txBody>
    </xdr:sp>
    <xdr:clientData/>
  </xdr:twoCellAnchor>
  <xdr:twoCellAnchor>
    <xdr:from>
      <xdr:col>3</xdr:col>
      <xdr:colOff>413384</xdr:colOff>
      <xdr:row>0</xdr:row>
      <xdr:rowOff>297181</xdr:rowOff>
    </xdr:from>
    <xdr:to>
      <xdr:col>6</xdr:col>
      <xdr:colOff>152400</xdr:colOff>
      <xdr:row>0</xdr:row>
      <xdr:rowOff>518160</xdr:rowOff>
    </xdr:to>
    <xdr:sp macro="" textlink="">
      <xdr:nvSpPr>
        <xdr:cNvPr id="5" name="正方形/長方形 4">
          <a:extLst>
            <a:ext uri="{FF2B5EF4-FFF2-40B4-BE49-F238E27FC236}">
              <a16:creationId xmlns:a16="http://schemas.microsoft.com/office/drawing/2014/main" id="{31F51598-107F-4A9D-97B0-51AC4CDDC995}"/>
            </a:ext>
          </a:extLst>
        </xdr:cNvPr>
        <xdr:cNvSpPr/>
      </xdr:nvSpPr>
      <xdr:spPr>
        <a:xfrm>
          <a:off x="7408544" y="297181"/>
          <a:ext cx="1918336" cy="220979"/>
        </a:xfrm>
        <a:prstGeom prst="rect">
          <a:avLst/>
        </a:prstGeom>
        <a:noFill/>
        <a:ln w="952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ja-JP" sz="900">
              <a:solidFill>
                <a:sysClr val="windowText" lastClr="000000"/>
              </a:solidFill>
              <a:effectLst/>
              <a:latin typeface="+mn-lt"/>
              <a:ea typeface="+mn-ea"/>
              <a:cs typeface="+mn-cs"/>
            </a:rPr>
            <a:t>行</a:t>
          </a:r>
          <a:r>
            <a:rPr kumimoji="1" lang="ja-JP" altLang="en-US" sz="900">
              <a:solidFill>
                <a:sysClr val="windowText" lastClr="000000"/>
              </a:solidFill>
            </a:rPr>
            <a:t>・・・連携なし</a:t>
          </a:r>
          <a:r>
            <a:rPr kumimoji="1" lang="en-US" altLang="ja-JP" sz="900">
              <a:solidFill>
                <a:sysClr val="windowText" lastClr="000000"/>
              </a:solidFill>
            </a:rPr>
            <a:t>(""(</a:t>
          </a:r>
          <a:r>
            <a:rPr kumimoji="1" lang="ja-JP" altLang="en-US" sz="900">
              <a:solidFill>
                <a:sysClr val="windowText" lastClr="000000"/>
              </a:solidFill>
            </a:rPr>
            <a:t>空</a:t>
          </a:r>
          <a:r>
            <a:rPr kumimoji="1" lang="en-US" altLang="ja-JP" sz="900">
              <a:solidFill>
                <a:sysClr val="windowText" lastClr="000000"/>
              </a:solidFill>
            </a:rPr>
            <a:t>)</a:t>
          </a:r>
          <a:r>
            <a:rPr kumimoji="1" lang="ja-JP" altLang="en-US" sz="900">
              <a:solidFill>
                <a:sysClr val="windowText" lastClr="000000"/>
              </a:solidFill>
            </a:rPr>
            <a:t>設定</a:t>
          </a:r>
          <a:r>
            <a:rPr kumimoji="1" lang="en-US" altLang="ja-JP" sz="900">
              <a:solidFill>
                <a:sysClr val="windowText" lastClr="000000"/>
              </a:solidFill>
            </a:rPr>
            <a:t>)</a:t>
          </a:r>
          <a:endParaRPr kumimoji="1" lang="ja-JP" altLang="en-US" sz="1100"/>
        </a:p>
      </xdr:txBody>
    </xdr:sp>
    <xdr:clientData/>
  </xdr:twoCellAnchor>
  <xdr:twoCellAnchor>
    <xdr:from>
      <xdr:col>10</xdr:col>
      <xdr:colOff>15240</xdr:colOff>
      <xdr:row>0</xdr:row>
      <xdr:rowOff>91440</xdr:rowOff>
    </xdr:from>
    <xdr:to>
      <xdr:col>11</xdr:col>
      <xdr:colOff>971550</xdr:colOff>
      <xdr:row>0</xdr:row>
      <xdr:rowOff>588645</xdr:rowOff>
    </xdr:to>
    <xdr:sp macro="" textlink="">
      <xdr:nvSpPr>
        <xdr:cNvPr id="7" name="Text Box 1">
          <a:extLst>
            <a:ext uri="{FF2B5EF4-FFF2-40B4-BE49-F238E27FC236}">
              <a16:creationId xmlns:a16="http://schemas.microsoft.com/office/drawing/2014/main" id="{925635DB-F0CB-4E0B-83CF-7EB6C4850986}"/>
            </a:ext>
          </a:extLst>
        </xdr:cNvPr>
        <xdr:cNvSpPr txBox="1">
          <a:spLocks noChangeArrowheads="1"/>
        </xdr:cNvSpPr>
      </xdr:nvSpPr>
      <xdr:spPr bwMode="auto">
        <a:xfrm>
          <a:off x="25946100" y="95250"/>
          <a:ext cx="2101215" cy="497205"/>
        </a:xfrm>
        <a:prstGeom prst="rect">
          <a:avLst/>
        </a:prstGeom>
        <a:noFill/>
        <a:ln w="9525">
          <a:noFill/>
          <a:miter lim="800000"/>
          <a:headEnd/>
          <a:tailEnd/>
        </a:ln>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Ｐゴシック"/>
              <a:ea typeface="ＭＳ Ｐゴシック"/>
            </a:rPr>
            <a:t>◎</a:t>
          </a:r>
          <a:r>
            <a:rPr lang="en-US" altLang="ja-JP" sz="900" b="0" i="0" u="none" strike="noStrike" baseline="0">
              <a:solidFill>
                <a:srgbClr val="000000"/>
              </a:solidFill>
              <a:latin typeface="ＭＳ Ｐゴシック"/>
              <a:ea typeface="ＭＳ Ｐゴシック"/>
            </a:rPr>
            <a:t>…1</a:t>
          </a:r>
          <a:r>
            <a:rPr lang="ja-JP" altLang="en-US" sz="900" b="0" i="0" u="none" strike="noStrike" baseline="0">
              <a:solidFill>
                <a:srgbClr val="000000"/>
              </a:solidFill>
              <a:latin typeface="ＭＳ Ｐゴシック"/>
              <a:ea typeface="ＭＳ Ｐゴシック"/>
            </a:rPr>
            <a:t>次開発</a:t>
          </a:r>
          <a:r>
            <a:rPr lang="ja-JP" altLang="ja-JP" sz="1000" b="0" i="0" baseline="0">
              <a:effectLst/>
              <a:latin typeface="+mn-lt"/>
              <a:ea typeface="+mn-ea"/>
              <a:cs typeface="+mn-cs"/>
            </a:rPr>
            <a:t>向け</a:t>
          </a:r>
          <a:endParaRPr lang="ja-JP" altLang="en-US" sz="900" b="0" i="0" u="none" strike="noStrike" baseline="0">
            <a:solidFill>
              <a:srgbClr val="000000"/>
            </a:solidFill>
            <a:latin typeface="ＭＳ Ｐゴシック"/>
            <a:ea typeface="ＭＳ Ｐゴシック"/>
          </a:endParaRPr>
        </a:p>
        <a:p>
          <a:pPr algn="l" rtl="0">
            <a:defRPr sz="1000"/>
          </a:pPr>
          <a:r>
            <a:rPr lang="ja-JP" altLang="en-US" sz="900" b="0" i="0" u="none" strike="noStrike" baseline="0">
              <a:solidFill>
                <a:srgbClr val="000000"/>
              </a:solidFill>
              <a:latin typeface="ＭＳ Ｐゴシック"/>
              <a:ea typeface="ＭＳ Ｐゴシック"/>
            </a:rPr>
            <a:t>●</a:t>
          </a:r>
          <a:r>
            <a:rPr lang="en-US" altLang="ja-JP" sz="900" b="0" i="0" u="none" strike="noStrike" baseline="0">
              <a:solidFill>
                <a:srgbClr val="000000"/>
              </a:solidFill>
              <a:latin typeface="ＭＳ Ｐゴシック"/>
              <a:ea typeface="ＭＳ Ｐゴシック"/>
            </a:rPr>
            <a:t>…TSM</a:t>
          </a:r>
          <a:r>
            <a:rPr lang="ja-JP" altLang="en-US" sz="900" b="0" i="0" u="none" strike="noStrike" baseline="0">
              <a:solidFill>
                <a:srgbClr val="000000"/>
              </a:solidFill>
              <a:latin typeface="ＭＳ Ｐゴシック"/>
              <a:ea typeface="ＭＳ Ｐゴシック"/>
            </a:rPr>
            <a:t>側で設定（設定不要を含む）</a:t>
          </a:r>
        </a:p>
        <a:p>
          <a:pPr algn="l" rtl="0">
            <a:defRPr sz="1000"/>
          </a:pPr>
          <a:r>
            <a:rPr lang="ja-JP" altLang="en-US" sz="900" b="0" i="0" u="none" strike="noStrike" baseline="0">
              <a:solidFill>
                <a:srgbClr val="000000"/>
              </a:solidFill>
              <a:latin typeface="ＭＳ Ｐゴシック"/>
              <a:ea typeface="ＭＳ Ｐゴシック"/>
            </a:rPr>
            <a:t>〇</a:t>
          </a:r>
          <a:r>
            <a:rPr lang="en-US" altLang="ja-JP" sz="900" b="0" i="0" u="none" strike="noStrike" baseline="0">
              <a:solidFill>
                <a:srgbClr val="000000"/>
              </a:solidFill>
              <a:latin typeface="ＭＳ Ｐゴシック"/>
              <a:ea typeface="ＭＳ Ｐゴシック"/>
            </a:rPr>
            <a:t>…2</a:t>
          </a:r>
          <a:r>
            <a:rPr lang="ja-JP" altLang="en-US" sz="900" b="0" i="0" u="none" strike="noStrike" baseline="0">
              <a:solidFill>
                <a:srgbClr val="000000"/>
              </a:solidFill>
              <a:latin typeface="ＭＳ Ｐゴシック"/>
              <a:ea typeface="ＭＳ Ｐゴシック"/>
            </a:rPr>
            <a:t>次開発向け</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3</xdr:col>
      <xdr:colOff>192405</xdr:colOff>
      <xdr:row>0</xdr:row>
      <xdr:rowOff>325755</xdr:rowOff>
    </xdr:from>
    <xdr:to>
      <xdr:col>3</xdr:col>
      <xdr:colOff>472440</xdr:colOff>
      <xdr:row>0</xdr:row>
      <xdr:rowOff>478155</xdr:rowOff>
    </xdr:to>
    <xdr:sp macro="" textlink="">
      <xdr:nvSpPr>
        <xdr:cNvPr id="2" name="正方形/長方形 1">
          <a:extLst>
            <a:ext uri="{FF2B5EF4-FFF2-40B4-BE49-F238E27FC236}">
              <a16:creationId xmlns:a16="http://schemas.microsoft.com/office/drawing/2014/main" id="{F9C09103-29F0-43C6-A26C-8133D09C02AD}"/>
            </a:ext>
          </a:extLst>
        </xdr:cNvPr>
        <xdr:cNvSpPr/>
      </xdr:nvSpPr>
      <xdr:spPr>
        <a:xfrm>
          <a:off x="6183630" y="321945"/>
          <a:ext cx="283845" cy="152400"/>
        </a:xfrm>
        <a:prstGeom prst="rect">
          <a:avLst/>
        </a:prstGeom>
        <a:solidFill>
          <a:schemeClr val="bg1">
            <a:lumMod val="75000"/>
          </a:schemeClr>
        </a:solidFill>
        <a:ln w="952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188595</xdr:colOff>
      <xdr:row>0</xdr:row>
      <xdr:rowOff>131445</xdr:rowOff>
    </xdr:from>
    <xdr:to>
      <xdr:col>3</xdr:col>
      <xdr:colOff>462915</xdr:colOff>
      <xdr:row>0</xdr:row>
      <xdr:rowOff>283845</xdr:rowOff>
    </xdr:to>
    <xdr:sp macro="" textlink="">
      <xdr:nvSpPr>
        <xdr:cNvPr id="3" name="正方形/長方形 2">
          <a:extLst>
            <a:ext uri="{FF2B5EF4-FFF2-40B4-BE49-F238E27FC236}">
              <a16:creationId xmlns:a16="http://schemas.microsoft.com/office/drawing/2014/main" id="{7ECB75F5-CB7B-4F93-B97B-1EB93340DD52}"/>
            </a:ext>
          </a:extLst>
        </xdr:cNvPr>
        <xdr:cNvSpPr/>
      </xdr:nvSpPr>
      <xdr:spPr>
        <a:xfrm>
          <a:off x="6179820" y="135255"/>
          <a:ext cx="276225" cy="152400"/>
        </a:xfrm>
        <a:prstGeom prst="rect">
          <a:avLst/>
        </a:prstGeom>
        <a:solidFill>
          <a:schemeClr val="bg1"/>
        </a:solidFill>
        <a:ln w="952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409576</xdr:colOff>
      <xdr:row>0</xdr:row>
      <xdr:rowOff>99059</xdr:rowOff>
    </xdr:from>
    <xdr:to>
      <xdr:col>5</xdr:col>
      <xdr:colOff>154305</xdr:colOff>
      <xdr:row>0</xdr:row>
      <xdr:rowOff>297179</xdr:rowOff>
    </xdr:to>
    <xdr:sp macro="" textlink="">
      <xdr:nvSpPr>
        <xdr:cNvPr id="4" name="正方形/長方形 3">
          <a:extLst>
            <a:ext uri="{FF2B5EF4-FFF2-40B4-BE49-F238E27FC236}">
              <a16:creationId xmlns:a16="http://schemas.microsoft.com/office/drawing/2014/main" id="{024F0DD0-9A83-45F4-97F9-453C37AFD38D}"/>
            </a:ext>
          </a:extLst>
        </xdr:cNvPr>
        <xdr:cNvSpPr/>
      </xdr:nvSpPr>
      <xdr:spPr>
        <a:xfrm>
          <a:off x="6398896" y="95249"/>
          <a:ext cx="1051559" cy="200025"/>
        </a:xfrm>
        <a:prstGeom prst="rect">
          <a:avLst/>
        </a:prstGeom>
        <a:noFill/>
        <a:ln w="952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ysClr val="windowText" lastClr="000000"/>
              </a:solidFill>
            </a:rPr>
            <a:t>行・・・連携あり</a:t>
          </a:r>
          <a:endParaRPr kumimoji="1" lang="en-US" altLang="ja-JP" sz="900">
            <a:solidFill>
              <a:sysClr val="windowText" lastClr="000000"/>
            </a:solidFill>
          </a:endParaRPr>
        </a:p>
        <a:p>
          <a:pPr algn="l"/>
          <a:endParaRPr kumimoji="1" lang="ja-JP" altLang="en-US" sz="1100"/>
        </a:p>
      </xdr:txBody>
    </xdr:sp>
    <xdr:clientData/>
  </xdr:twoCellAnchor>
  <xdr:twoCellAnchor>
    <xdr:from>
      <xdr:col>3</xdr:col>
      <xdr:colOff>413384</xdr:colOff>
      <xdr:row>0</xdr:row>
      <xdr:rowOff>297181</xdr:rowOff>
    </xdr:from>
    <xdr:to>
      <xdr:col>7</xdr:col>
      <xdr:colOff>83820</xdr:colOff>
      <xdr:row>0</xdr:row>
      <xdr:rowOff>556260</xdr:rowOff>
    </xdr:to>
    <xdr:sp macro="" textlink="">
      <xdr:nvSpPr>
        <xdr:cNvPr id="5" name="正方形/長方形 4">
          <a:extLst>
            <a:ext uri="{FF2B5EF4-FFF2-40B4-BE49-F238E27FC236}">
              <a16:creationId xmlns:a16="http://schemas.microsoft.com/office/drawing/2014/main" id="{1C78C0E6-4BEF-4B69-90C3-BA0DCA12B19C}"/>
            </a:ext>
          </a:extLst>
        </xdr:cNvPr>
        <xdr:cNvSpPr/>
      </xdr:nvSpPr>
      <xdr:spPr>
        <a:xfrm>
          <a:off x="7576184" y="297181"/>
          <a:ext cx="2306956" cy="259079"/>
        </a:xfrm>
        <a:prstGeom prst="rect">
          <a:avLst/>
        </a:prstGeom>
        <a:noFill/>
        <a:ln w="952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ja-JP" sz="900">
              <a:solidFill>
                <a:sysClr val="windowText" lastClr="000000"/>
              </a:solidFill>
              <a:effectLst/>
              <a:latin typeface="+mn-lt"/>
              <a:ea typeface="+mn-ea"/>
              <a:cs typeface="+mn-cs"/>
            </a:rPr>
            <a:t>行</a:t>
          </a:r>
          <a:r>
            <a:rPr kumimoji="1" lang="ja-JP" altLang="en-US" sz="900">
              <a:solidFill>
                <a:sysClr val="windowText" lastClr="000000"/>
              </a:solidFill>
            </a:rPr>
            <a:t>・・・連携なし</a:t>
          </a:r>
          <a:r>
            <a:rPr kumimoji="1" lang="en-US" altLang="ja-JP" sz="900">
              <a:solidFill>
                <a:sysClr val="windowText" lastClr="000000"/>
              </a:solidFill>
            </a:rPr>
            <a:t>(""(</a:t>
          </a:r>
          <a:r>
            <a:rPr kumimoji="1" lang="ja-JP" altLang="en-US" sz="900">
              <a:solidFill>
                <a:sysClr val="windowText" lastClr="000000"/>
              </a:solidFill>
            </a:rPr>
            <a:t>空</a:t>
          </a:r>
          <a:r>
            <a:rPr kumimoji="1" lang="en-US" altLang="ja-JP" sz="900">
              <a:solidFill>
                <a:sysClr val="windowText" lastClr="000000"/>
              </a:solidFill>
            </a:rPr>
            <a:t>)</a:t>
          </a:r>
          <a:r>
            <a:rPr kumimoji="1" lang="ja-JP" altLang="en-US" sz="900">
              <a:solidFill>
                <a:sysClr val="windowText" lastClr="000000"/>
              </a:solidFill>
            </a:rPr>
            <a:t>設定</a:t>
          </a:r>
          <a:r>
            <a:rPr kumimoji="1" lang="en-US" altLang="ja-JP" sz="900">
              <a:solidFill>
                <a:sysClr val="windowText" lastClr="000000"/>
              </a:solidFill>
            </a:rPr>
            <a:t>)</a:t>
          </a:r>
          <a:endParaRPr kumimoji="1" lang="ja-JP" altLang="en-US" sz="1100"/>
        </a:p>
      </xdr:txBody>
    </xdr:sp>
    <xdr:clientData/>
  </xdr:twoCellAnchor>
  <xdr:twoCellAnchor>
    <xdr:from>
      <xdr:col>10</xdr:col>
      <xdr:colOff>19050</xdr:colOff>
      <xdr:row>0</xdr:row>
      <xdr:rowOff>95250</xdr:rowOff>
    </xdr:from>
    <xdr:to>
      <xdr:col>11</xdr:col>
      <xdr:colOff>1428750</xdr:colOff>
      <xdr:row>0</xdr:row>
      <xdr:rowOff>592455</xdr:rowOff>
    </xdr:to>
    <xdr:sp macro="" textlink="">
      <xdr:nvSpPr>
        <xdr:cNvPr id="7" name="Text Box 1">
          <a:extLst>
            <a:ext uri="{FF2B5EF4-FFF2-40B4-BE49-F238E27FC236}">
              <a16:creationId xmlns:a16="http://schemas.microsoft.com/office/drawing/2014/main" id="{95675692-0C5E-4898-9303-51927115C281}"/>
            </a:ext>
          </a:extLst>
        </xdr:cNvPr>
        <xdr:cNvSpPr txBox="1">
          <a:spLocks noChangeArrowheads="1"/>
        </xdr:cNvSpPr>
      </xdr:nvSpPr>
      <xdr:spPr bwMode="auto">
        <a:xfrm>
          <a:off x="23831550" y="95250"/>
          <a:ext cx="2019300" cy="497205"/>
        </a:xfrm>
        <a:prstGeom prst="rect">
          <a:avLst/>
        </a:prstGeom>
        <a:noFill/>
        <a:ln w="9525">
          <a:noFill/>
          <a:miter lim="800000"/>
          <a:headEnd/>
          <a:tailEnd/>
        </a:ln>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Ｐゴシック"/>
              <a:ea typeface="ＭＳ Ｐゴシック"/>
            </a:rPr>
            <a:t>◎</a:t>
          </a:r>
          <a:r>
            <a:rPr lang="en-US" altLang="ja-JP" sz="900" b="0" i="0" u="none" strike="noStrike" baseline="0">
              <a:solidFill>
                <a:srgbClr val="000000"/>
              </a:solidFill>
              <a:latin typeface="ＭＳ Ｐゴシック"/>
              <a:ea typeface="ＭＳ Ｐゴシック"/>
            </a:rPr>
            <a:t>…1</a:t>
          </a:r>
          <a:r>
            <a:rPr lang="ja-JP" altLang="en-US" sz="900" b="0" i="0" u="none" strike="noStrike" baseline="0">
              <a:solidFill>
                <a:srgbClr val="000000"/>
              </a:solidFill>
              <a:latin typeface="ＭＳ Ｐゴシック"/>
              <a:ea typeface="ＭＳ Ｐゴシック"/>
            </a:rPr>
            <a:t>次開発</a:t>
          </a:r>
          <a:r>
            <a:rPr lang="ja-JP" altLang="ja-JP" sz="1000" b="0" i="0" baseline="0">
              <a:effectLst/>
              <a:latin typeface="+mn-lt"/>
              <a:ea typeface="+mn-ea"/>
              <a:cs typeface="+mn-cs"/>
            </a:rPr>
            <a:t>向け</a:t>
          </a:r>
          <a:endParaRPr lang="ja-JP" altLang="en-US" sz="900" b="0" i="0" u="none" strike="noStrike" baseline="0">
            <a:solidFill>
              <a:srgbClr val="000000"/>
            </a:solidFill>
            <a:latin typeface="ＭＳ Ｐゴシック"/>
            <a:ea typeface="ＭＳ Ｐゴシック"/>
          </a:endParaRPr>
        </a:p>
        <a:p>
          <a:pPr algn="l" rtl="0">
            <a:defRPr sz="1000"/>
          </a:pPr>
          <a:r>
            <a:rPr lang="ja-JP" altLang="en-US" sz="900" b="0" i="0" u="none" strike="noStrike" baseline="0">
              <a:solidFill>
                <a:srgbClr val="000000"/>
              </a:solidFill>
              <a:latin typeface="ＭＳ Ｐゴシック"/>
              <a:ea typeface="ＭＳ Ｐゴシック"/>
            </a:rPr>
            <a:t>●</a:t>
          </a:r>
          <a:r>
            <a:rPr lang="en-US" altLang="ja-JP" sz="900" b="0" i="0" u="none" strike="noStrike" baseline="0">
              <a:solidFill>
                <a:srgbClr val="000000"/>
              </a:solidFill>
              <a:latin typeface="ＭＳ Ｐゴシック"/>
              <a:ea typeface="ＭＳ Ｐゴシック"/>
            </a:rPr>
            <a:t>…TSM</a:t>
          </a:r>
          <a:r>
            <a:rPr lang="ja-JP" altLang="en-US" sz="900" b="0" i="0" u="none" strike="noStrike" baseline="0">
              <a:solidFill>
                <a:srgbClr val="000000"/>
              </a:solidFill>
              <a:latin typeface="ＭＳ Ｐゴシック"/>
              <a:ea typeface="ＭＳ Ｐゴシック"/>
            </a:rPr>
            <a:t>側で設定（設定不要を含む）</a:t>
          </a:r>
        </a:p>
        <a:p>
          <a:pPr algn="l" rtl="0">
            <a:defRPr sz="1000"/>
          </a:pPr>
          <a:r>
            <a:rPr lang="ja-JP" altLang="en-US" sz="900" b="0" i="0" u="none" strike="noStrike" baseline="0">
              <a:solidFill>
                <a:srgbClr val="000000"/>
              </a:solidFill>
              <a:latin typeface="ＭＳ Ｐゴシック"/>
              <a:ea typeface="ＭＳ Ｐゴシック"/>
            </a:rPr>
            <a:t>〇</a:t>
          </a:r>
          <a:r>
            <a:rPr lang="en-US" altLang="ja-JP" sz="900" b="0" i="0" u="none" strike="noStrike" baseline="0">
              <a:solidFill>
                <a:srgbClr val="000000"/>
              </a:solidFill>
              <a:latin typeface="ＭＳ Ｐゴシック"/>
              <a:ea typeface="ＭＳ Ｐゴシック"/>
            </a:rPr>
            <a:t>…2</a:t>
          </a:r>
          <a:r>
            <a:rPr lang="ja-JP" altLang="en-US" sz="900" b="0" i="0" u="none" strike="noStrike" baseline="0">
              <a:solidFill>
                <a:srgbClr val="000000"/>
              </a:solidFill>
              <a:latin typeface="ＭＳ Ｐゴシック"/>
              <a:ea typeface="ＭＳ Ｐゴシック"/>
            </a:rPr>
            <a:t>次開発向け</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3</xdr:col>
      <xdr:colOff>192405</xdr:colOff>
      <xdr:row>0</xdr:row>
      <xdr:rowOff>325755</xdr:rowOff>
    </xdr:from>
    <xdr:to>
      <xdr:col>3</xdr:col>
      <xdr:colOff>472440</xdr:colOff>
      <xdr:row>0</xdr:row>
      <xdr:rowOff>478155</xdr:rowOff>
    </xdr:to>
    <xdr:sp macro="" textlink="">
      <xdr:nvSpPr>
        <xdr:cNvPr id="6" name="正方形/長方形 5">
          <a:extLst>
            <a:ext uri="{FF2B5EF4-FFF2-40B4-BE49-F238E27FC236}">
              <a16:creationId xmlns:a16="http://schemas.microsoft.com/office/drawing/2014/main" id="{DA198659-3BC7-4097-A298-763AA200D353}"/>
            </a:ext>
          </a:extLst>
        </xdr:cNvPr>
        <xdr:cNvSpPr/>
      </xdr:nvSpPr>
      <xdr:spPr>
        <a:xfrm>
          <a:off x="6278880" y="321945"/>
          <a:ext cx="283845" cy="152400"/>
        </a:xfrm>
        <a:prstGeom prst="rect">
          <a:avLst/>
        </a:prstGeom>
        <a:solidFill>
          <a:schemeClr val="bg1">
            <a:lumMod val="75000"/>
          </a:schemeClr>
        </a:solidFill>
        <a:ln w="952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188595</xdr:colOff>
      <xdr:row>0</xdr:row>
      <xdr:rowOff>131445</xdr:rowOff>
    </xdr:from>
    <xdr:to>
      <xdr:col>3</xdr:col>
      <xdr:colOff>462915</xdr:colOff>
      <xdr:row>0</xdr:row>
      <xdr:rowOff>283845</xdr:rowOff>
    </xdr:to>
    <xdr:sp macro="" textlink="">
      <xdr:nvSpPr>
        <xdr:cNvPr id="7" name="正方形/長方形 6">
          <a:extLst>
            <a:ext uri="{FF2B5EF4-FFF2-40B4-BE49-F238E27FC236}">
              <a16:creationId xmlns:a16="http://schemas.microsoft.com/office/drawing/2014/main" id="{A60B626A-6CAB-4086-9533-858B471AA4C4}"/>
            </a:ext>
          </a:extLst>
        </xdr:cNvPr>
        <xdr:cNvSpPr/>
      </xdr:nvSpPr>
      <xdr:spPr>
        <a:xfrm>
          <a:off x="6275070" y="135255"/>
          <a:ext cx="276225" cy="152400"/>
        </a:xfrm>
        <a:prstGeom prst="rect">
          <a:avLst/>
        </a:prstGeom>
        <a:solidFill>
          <a:schemeClr val="bg1"/>
        </a:solidFill>
        <a:ln w="952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409576</xdr:colOff>
      <xdr:row>0</xdr:row>
      <xdr:rowOff>99059</xdr:rowOff>
    </xdr:from>
    <xdr:to>
      <xdr:col>5</xdr:col>
      <xdr:colOff>154305</xdr:colOff>
      <xdr:row>0</xdr:row>
      <xdr:rowOff>297179</xdr:rowOff>
    </xdr:to>
    <xdr:sp macro="" textlink="">
      <xdr:nvSpPr>
        <xdr:cNvPr id="8" name="正方形/長方形 7">
          <a:extLst>
            <a:ext uri="{FF2B5EF4-FFF2-40B4-BE49-F238E27FC236}">
              <a16:creationId xmlns:a16="http://schemas.microsoft.com/office/drawing/2014/main" id="{9BC814C8-7960-4F52-9022-C9C33BB2D282}"/>
            </a:ext>
          </a:extLst>
        </xdr:cNvPr>
        <xdr:cNvSpPr/>
      </xdr:nvSpPr>
      <xdr:spPr>
        <a:xfrm>
          <a:off x="6494146" y="95249"/>
          <a:ext cx="1013459" cy="200025"/>
        </a:xfrm>
        <a:prstGeom prst="rect">
          <a:avLst/>
        </a:prstGeom>
        <a:noFill/>
        <a:ln w="952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ysClr val="windowText" lastClr="000000"/>
              </a:solidFill>
            </a:rPr>
            <a:t>行・・・連携あり</a:t>
          </a:r>
          <a:endParaRPr kumimoji="1" lang="en-US" altLang="ja-JP" sz="900">
            <a:solidFill>
              <a:sysClr val="windowText" lastClr="000000"/>
            </a:solidFill>
          </a:endParaRPr>
        </a:p>
        <a:p>
          <a:pPr algn="l"/>
          <a:endParaRPr kumimoji="1" lang="ja-JP" altLang="en-US" sz="1100"/>
        </a:p>
      </xdr:txBody>
    </xdr:sp>
    <xdr:clientData/>
  </xdr:twoCellAnchor>
  <xdr:twoCellAnchor>
    <xdr:from>
      <xdr:col>3</xdr:col>
      <xdr:colOff>413384</xdr:colOff>
      <xdr:row>0</xdr:row>
      <xdr:rowOff>297181</xdr:rowOff>
    </xdr:from>
    <xdr:to>
      <xdr:col>6</xdr:col>
      <xdr:colOff>213360</xdr:colOff>
      <xdr:row>0</xdr:row>
      <xdr:rowOff>502920</xdr:rowOff>
    </xdr:to>
    <xdr:sp macro="" textlink="">
      <xdr:nvSpPr>
        <xdr:cNvPr id="9" name="正方形/長方形 8">
          <a:extLst>
            <a:ext uri="{FF2B5EF4-FFF2-40B4-BE49-F238E27FC236}">
              <a16:creationId xmlns:a16="http://schemas.microsoft.com/office/drawing/2014/main" id="{FD8787B7-EF70-4937-A7B2-5638636F8670}"/>
            </a:ext>
          </a:extLst>
        </xdr:cNvPr>
        <xdr:cNvSpPr/>
      </xdr:nvSpPr>
      <xdr:spPr>
        <a:xfrm>
          <a:off x="6867524" y="297181"/>
          <a:ext cx="1880236" cy="205739"/>
        </a:xfrm>
        <a:prstGeom prst="rect">
          <a:avLst/>
        </a:prstGeom>
        <a:noFill/>
        <a:ln w="952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ja-JP" sz="900">
              <a:solidFill>
                <a:sysClr val="windowText" lastClr="000000"/>
              </a:solidFill>
              <a:effectLst/>
              <a:latin typeface="+mn-lt"/>
              <a:ea typeface="+mn-ea"/>
              <a:cs typeface="+mn-cs"/>
            </a:rPr>
            <a:t>行</a:t>
          </a:r>
          <a:r>
            <a:rPr kumimoji="1" lang="ja-JP" altLang="en-US" sz="900">
              <a:solidFill>
                <a:sysClr val="windowText" lastClr="000000"/>
              </a:solidFill>
            </a:rPr>
            <a:t>・・・連携なし</a:t>
          </a:r>
          <a:r>
            <a:rPr kumimoji="1" lang="en-US" altLang="ja-JP" sz="900">
              <a:solidFill>
                <a:sysClr val="windowText" lastClr="000000"/>
              </a:solidFill>
            </a:rPr>
            <a:t>(""(</a:t>
          </a:r>
          <a:r>
            <a:rPr kumimoji="1" lang="ja-JP" altLang="en-US" sz="900">
              <a:solidFill>
                <a:sysClr val="windowText" lastClr="000000"/>
              </a:solidFill>
            </a:rPr>
            <a:t>空</a:t>
          </a:r>
          <a:r>
            <a:rPr kumimoji="1" lang="en-US" altLang="ja-JP" sz="900">
              <a:solidFill>
                <a:sysClr val="windowText" lastClr="000000"/>
              </a:solidFill>
            </a:rPr>
            <a:t>)</a:t>
          </a:r>
          <a:r>
            <a:rPr kumimoji="1" lang="ja-JP" altLang="en-US" sz="900">
              <a:solidFill>
                <a:sysClr val="windowText" lastClr="000000"/>
              </a:solidFill>
            </a:rPr>
            <a:t>設定</a:t>
          </a:r>
          <a:r>
            <a:rPr kumimoji="1" lang="en-US" altLang="ja-JP" sz="900">
              <a:solidFill>
                <a:sysClr val="windowText" lastClr="000000"/>
              </a:solidFill>
            </a:rPr>
            <a:t>)</a:t>
          </a:r>
          <a:endParaRPr kumimoji="1" lang="ja-JP" altLang="en-US" sz="1100"/>
        </a:p>
      </xdr:txBody>
    </xdr:sp>
    <xdr:clientData/>
  </xdr:twoCellAnchor>
  <xdr:twoCellAnchor>
    <xdr:from>
      <xdr:col>10</xdr:col>
      <xdr:colOff>19049</xdr:colOff>
      <xdr:row>0</xdr:row>
      <xdr:rowOff>95250</xdr:rowOff>
    </xdr:from>
    <xdr:to>
      <xdr:col>11</xdr:col>
      <xdr:colOff>1476374</xdr:colOff>
      <xdr:row>0</xdr:row>
      <xdr:rowOff>592455</xdr:rowOff>
    </xdr:to>
    <xdr:sp macro="" textlink="">
      <xdr:nvSpPr>
        <xdr:cNvPr id="11" name="Text Box 1">
          <a:extLst>
            <a:ext uri="{FF2B5EF4-FFF2-40B4-BE49-F238E27FC236}">
              <a16:creationId xmlns:a16="http://schemas.microsoft.com/office/drawing/2014/main" id="{0C851AB2-DD61-4828-B1F0-B6ADD1E033FD}"/>
            </a:ext>
          </a:extLst>
        </xdr:cNvPr>
        <xdr:cNvSpPr txBox="1">
          <a:spLocks noChangeArrowheads="1"/>
        </xdr:cNvSpPr>
      </xdr:nvSpPr>
      <xdr:spPr bwMode="auto">
        <a:xfrm>
          <a:off x="25279349" y="95250"/>
          <a:ext cx="2047875" cy="497205"/>
        </a:xfrm>
        <a:prstGeom prst="rect">
          <a:avLst/>
        </a:prstGeom>
        <a:noFill/>
        <a:ln w="9525">
          <a:noFill/>
          <a:miter lim="800000"/>
          <a:headEnd/>
          <a:tailEnd/>
        </a:ln>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Ｐゴシック"/>
              <a:ea typeface="ＭＳ Ｐゴシック"/>
            </a:rPr>
            <a:t>◎</a:t>
          </a:r>
          <a:r>
            <a:rPr lang="en-US" altLang="ja-JP" sz="900" b="0" i="0" u="none" strike="noStrike" baseline="0">
              <a:solidFill>
                <a:srgbClr val="000000"/>
              </a:solidFill>
              <a:latin typeface="ＭＳ Ｐゴシック"/>
              <a:ea typeface="ＭＳ Ｐゴシック"/>
            </a:rPr>
            <a:t>…1</a:t>
          </a:r>
          <a:r>
            <a:rPr lang="ja-JP" altLang="en-US" sz="900" b="0" i="0" u="none" strike="noStrike" baseline="0">
              <a:solidFill>
                <a:srgbClr val="000000"/>
              </a:solidFill>
              <a:latin typeface="ＭＳ Ｐゴシック"/>
              <a:ea typeface="ＭＳ Ｐゴシック"/>
            </a:rPr>
            <a:t>次開発</a:t>
          </a:r>
          <a:r>
            <a:rPr lang="ja-JP" altLang="ja-JP" sz="1000" b="0" i="0" baseline="0">
              <a:effectLst/>
              <a:latin typeface="+mn-lt"/>
              <a:ea typeface="+mn-ea"/>
              <a:cs typeface="+mn-cs"/>
            </a:rPr>
            <a:t>向け</a:t>
          </a:r>
          <a:endParaRPr lang="ja-JP" altLang="en-US" sz="900" b="0" i="0" u="none" strike="noStrike" baseline="0">
            <a:solidFill>
              <a:srgbClr val="000000"/>
            </a:solidFill>
            <a:latin typeface="ＭＳ Ｐゴシック"/>
            <a:ea typeface="ＭＳ Ｐゴシック"/>
          </a:endParaRPr>
        </a:p>
        <a:p>
          <a:pPr algn="l" rtl="0">
            <a:defRPr sz="1000"/>
          </a:pPr>
          <a:r>
            <a:rPr lang="ja-JP" altLang="en-US" sz="900" b="0" i="0" u="none" strike="noStrike" baseline="0">
              <a:solidFill>
                <a:srgbClr val="000000"/>
              </a:solidFill>
              <a:latin typeface="ＭＳ Ｐゴシック"/>
              <a:ea typeface="ＭＳ Ｐゴシック"/>
            </a:rPr>
            <a:t>●</a:t>
          </a:r>
          <a:r>
            <a:rPr lang="en-US" altLang="ja-JP" sz="900" b="0" i="0" u="none" strike="noStrike" baseline="0">
              <a:solidFill>
                <a:srgbClr val="000000"/>
              </a:solidFill>
              <a:latin typeface="ＭＳ Ｐゴシック"/>
              <a:ea typeface="ＭＳ Ｐゴシック"/>
            </a:rPr>
            <a:t>…TSM</a:t>
          </a:r>
          <a:r>
            <a:rPr lang="ja-JP" altLang="en-US" sz="900" b="0" i="0" u="none" strike="noStrike" baseline="0">
              <a:solidFill>
                <a:srgbClr val="000000"/>
              </a:solidFill>
              <a:latin typeface="ＭＳ Ｐゴシック"/>
              <a:ea typeface="ＭＳ Ｐゴシック"/>
            </a:rPr>
            <a:t>側で設定（設定不要を含む）</a:t>
          </a:r>
        </a:p>
        <a:p>
          <a:pPr algn="l" rtl="0">
            <a:defRPr sz="1000"/>
          </a:pPr>
          <a:r>
            <a:rPr lang="ja-JP" altLang="en-US" sz="900" b="0" i="0" u="none" strike="noStrike" baseline="0">
              <a:solidFill>
                <a:srgbClr val="000000"/>
              </a:solidFill>
              <a:latin typeface="ＭＳ Ｐゴシック"/>
              <a:ea typeface="ＭＳ Ｐゴシック"/>
            </a:rPr>
            <a:t>〇</a:t>
          </a:r>
          <a:r>
            <a:rPr lang="en-US" altLang="ja-JP" sz="900" b="0" i="0" u="none" strike="noStrike" baseline="0">
              <a:solidFill>
                <a:srgbClr val="000000"/>
              </a:solidFill>
              <a:latin typeface="ＭＳ Ｐゴシック"/>
              <a:ea typeface="ＭＳ Ｐゴシック"/>
            </a:rPr>
            <a:t>…2</a:t>
          </a:r>
          <a:r>
            <a:rPr lang="ja-JP" altLang="en-US" sz="900" b="0" i="0" u="none" strike="noStrike" baseline="0">
              <a:solidFill>
                <a:srgbClr val="000000"/>
              </a:solidFill>
              <a:latin typeface="ＭＳ Ｐゴシック"/>
              <a:ea typeface="ＭＳ Ｐゴシック"/>
            </a:rPr>
            <a:t>次開発向け</a:t>
          </a: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3</xdr:col>
      <xdr:colOff>192405</xdr:colOff>
      <xdr:row>0</xdr:row>
      <xdr:rowOff>325755</xdr:rowOff>
    </xdr:from>
    <xdr:to>
      <xdr:col>3</xdr:col>
      <xdr:colOff>472440</xdr:colOff>
      <xdr:row>0</xdr:row>
      <xdr:rowOff>478155</xdr:rowOff>
    </xdr:to>
    <xdr:sp macro="" textlink="">
      <xdr:nvSpPr>
        <xdr:cNvPr id="2" name="正方形/長方形 1">
          <a:extLst>
            <a:ext uri="{FF2B5EF4-FFF2-40B4-BE49-F238E27FC236}">
              <a16:creationId xmlns:a16="http://schemas.microsoft.com/office/drawing/2014/main" id="{B3DE100E-0505-4A09-986B-02844E5DDA79}"/>
            </a:ext>
          </a:extLst>
        </xdr:cNvPr>
        <xdr:cNvSpPr/>
      </xdr:nvSpPr>
      <xdr:spPr>
        <a:xfrm>
          <a:off x="5297805" y="321945"/>
          <a:ext cx="283845" cy="152400"/>
        </a:xfrm>
        <a:prstGeom prst="rect">
          <a:avLst/>
        </a:prstGeom>
        <a:solidFill>
          <a:schemeClr val="bg1">
            <a:lumMod val="75000"/>
          </a:schemeClr>
        </a:solidFill>
        <a:ln w="952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188595</xdr:colOff>
      <xdr:row>0</xdr:row>
      <xdr:rowOff>131445</xdr:rowOff>
    </xdr:from>
    <xdr:to>
      <xdr:col>3</xdr:col>
      <xdr:colOff>462915</xdr:colOff>
      <xdr:row>0</xdr:row>
      <xdr:rowOff>283845</xdr:rowOff>
    </xdr:to>
    <xdr:sp macro="" textlink="">
      <xdr:nvSpPr>
        <xdr:cNvPr id="3" name="正方形/長方形 2">
          <a:extLst>
            <a:ext uri="{FF2B5EF4-FFF2-40B4-BE49-F238E27FC236}">
              <a16:creationId xmlns:a16="http://schemas.microsoft.com/office/drawing/2014/main" id="{C3162E1C-7AFA-44D3-815F-270AE0A62D28}"/>
            </a:ext>
          </a:extLst>
        </xdr:cNvPr>
        <xdr:cNvSpPr/>
      </xdr:nvSpPr>
      <xdr:spPr>
        <a:xfrm>
          <a:off x="5293995" y="135255"/>
          <a:ext cx="276225" cy="152400"/>
        </a:xfrm>
        <a:prstGeom prst="rect">
          <a:avLst/>
        </a:prstGeom>
        <a:solidFill>
          <a:schemeClr val="bg1"/>
        </a:solidFill>
        <a:ln w="952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409576</xdr:colOff>
      <xdr:row>0</xdr:row>
      <xdr:rowOff>99059</xdr:rowOff>
    </xdr:from>
    <xdr:to>
      <xdr:col>5</xdr:col>
      <xdr:colOff>154305</xdr:colOff>
      <xdr:row>0</xdr:row>
      <xdr:rowOff>297179</xdr:rowOff>
    </xdr:to>
    <xdr:sp macro="" textlink="">
      <xdr:nvSpPr>
        <xdr:cNvPr id="4" name="正方形/長方形 3">
          <a:extLst>
            <a:ext uri="{FF2B5EF4-FFF2-40B4-BE49-F238E27FC236}">
              <a16:creationId xmlns:a16="http://schemas.microsoft.com/office/drawing/2014/main" id="{C3514567-A55A-4ABC-BDAA-BB40E551A8CF}"/>
            </a:ext>
          </a:extLst>
        </xdr:cNvPr>
        <xdr:cNvSpPr/>
      </xdr:nvSpPr>
      <xdr:spPr>
        <a:xfrm>
          <a:off x="5513071" y="95249"/>
          <a:ext cx="927734" cy="200025"/>
        </a:xfrm>
        <a:prstGeom prst="rect">
          <a:avLst/>
        </a:prstGeom>
        <a:noFill/>
        <a:ln w="952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ysClr val="windowText" lastClr="000000"/>
              </a:solidFill>
            </a:rPr>
            <a:t>行・・・連携あり</a:t>
          </a:r>
          <a:endParaRPr kumimoji="1" lang="en-US" altLang="ja-JP" sz="900">
            <a:solidFill>
              <a:sysClr val="windowText" lastClr="000000"/>
            </a:solidFill>
          </a:endParaRPr>
        </a:p>
        <a:p>
          <a:pPr algn="l"/>
          <a:endParaRPr kumimoji="1" lang="ja-JP" altLang="en-US" sz="1100"/>
        </a:p>
      </xdr:txBody>
    </xdr:sp>
    <xdr:clientData/>
  </xdr:twoCellAnchor>
  <xdr:twoCellAnchor>
    <xdr:from>
      <xdr:col>3</xdr:col>
      <xdr:colOff>415289</xdr:colOff>
      <xdr:row>0</xdr:row>
      <xdr:rowOff>299086</xdr:rowOff>
    </xdr:from>
    <xdr:to>
      <xdr:col>6</xdr:col>
      <xdr:colOff>152400</xdr:colOff>
      <xdr:row>0</xdr:row>
      <xdr:rowOff>548640</xdr:rowOff>
    </xdr:to>
    <xdr:sp macro="" textlink="">
      <xdr:nvSpPr>
        <xdr:cNvPr id="5" name="正方形/長方形 4">
          <a:extLst>
            <a:ext uri="{FF2B5EF4-FFF2-40B4-BE49-F238E27FC236}">
              <a16:creationId xmlns:a16="http://schemas.microsoft.com/office/drawing/2014/main" id="{6943D16A-B1EB-4396-896D-FDD7D7870BC5}"/>
            </a:ext>
          </a:extLst>
        </xdr:cNvPr>
        <xdr:cNvSpPr/>
      </xdr:nvSpPr>
      <xdr:spPr>
        <a:xfrm>
          <a:off x="8042909" y="299086"/>
          <a:ext cx="1916431" cy="249554"/>
        </a:xfrm>
        <a:prstGeom prst="rect">
          <a:avLst/>
        </a:prstGeom>
        <a:noFill/>
        <a:ln w="952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ja-JP" sz="900">
              <a:solidFill>
                <a:sysClr val="windowText" lastClr="000000"/>
              </a:solidFill>
              <a:effectLst/>
              <a:latin typeface="+mn-lt"/>
              <a:ea typeface="+mn-ea"/>
              <a:cs typeface="+mn-cs"/>
            </a:rPr>
            <a:t>行</a:t>
          </a:r>
          <a:r>
            <a:rPr kumimoji="1" lang="ja-JP" altLang="en-US" sz="900">
              <a:solidFill>
                <a:sysClr val="windowText" lastClr="000000"/>
              </a:solidFill>
            </a:rPr>
            <a:t>・・・連携なし</a:t>
          </a:r>
          <a:r>
            <a:rPr kumimoji="1" lang="en-US" altLang="ja-JP" sz="900">
              <a:solidFill>
                <a:sysClr val="windowText" lastClr="000000"/>
              </a:solidFill>
            </a:rPr>
            <a:t>(""(</a:t>
          </a:r>
          <a:r>
            <a:rPr kumimoji="1" lang="ja-JP" altLang="en-US" sz="900">
              <a:solidFill>
                <a:sysClr val="windowText" lastClr="000000"/>
              </a:solidFill>
            </a:rPr>
            <a:t>空</a:t>
          </a:r>
          <a:r>
            <a:rPr kumimoji="1" lang="en-US" altLang="ja-JP" sz="900">
              <a:solidFill>
                <a:sysClr val="windowText" lastClr="000000"/>
              </a:solidFill>
            </a:rPr>
            <a:t>)</a:t>
          </a:r>
          <a:r>
            <a:rPr kumimoji="1" lang="ja-JP" altLang="en-US" sz="900">
              <a:solidFill>
                <a:sysClr val="windowText" lastClr="000000"/>
              </a:solidFill>
            </a:rPr>
            <a:t>設定</a:t>
          </a:r>
          <a:r>
            <a:rPr kumimoji="1" lang="en-US" altLang="ja-JP" sz="900">
              <a:solidFill>
                <a:sysClr val="windowText" lastClr="000000"/>
              </a:solidFill>
            </a:rPr>
            <a:t>)</a:t>
          </a:r>
          <a:endParaRPr kumimoji="1" lang="ja-JP" altLang="en-US" sz="1100"/>
        </a:p>
      </xdr:txBody>
    </xdr:sp>
    <xdr:clientData/>
  </xdr:twoCellAnchor>
  <xdr:twoCellAnchor>
    <xdr:from>
      <xdr:col>10</xdr:col>
      <xdr:colOff>19050</xdr:colOff>
      <xdr:row>0</xdr:row>
      <xdr:rowOff>95250</xdr:rowOff>
    </xdr:from>
    <xdr:to>
      <xdr:col>11</xdr:col>
      <xdr:colOff>1104900</xdr:colOff>
      <xdr:row>0</xdr:row>
      <xdr:rowOff>592455</xdr:rowOff>
    </xdr:to>
    <xdr:sp macro="" textlink="">
      <xdr:nvSpPr>
        <xdr:cNvPr id="7" name="Text Box 1">
          <a:extLst>
            <a:ext uri="{FF2B5EF4-FFF2-40B4-BE49-F238E27FC236}">
              <a16:creationId xmlns:a16="http://schemas.microsoft.com/office/drawing/2014/main" id="{32C06EA2-37F1-4DFD-BA81-842C0CA9F53A}"/>
            </a:ext>
          </a:extLst>
        </xdr:cNvPr>
        <xdr:cNvSpPr txBox="1">
          <a:spLocks noChangeArrowheads="1"/>
        </xdr:cNvSpPr>
      </xdr:nvSpPr>
      <xdr:spPr bwMode="auto">
        <a:xfrm>
          <a:off x="26527125" y="95250"/>
          <a:ext cx="1981200" cy="497205"/>
        </a:xfrm>
        <a:prstGeom prst="rect">
          <a:avLst/>
        </a:prstGeom>
        <a:noFill/>
        <a:ln w="9525">
          <a:noFill/>
          <a:miter lim="800000"/>
          <a:headEnd/>
          <a:tailEnd/>
        </a:ln>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Ｐゴシック"/>
              <a:ea typeface="ＭＳ Ｐゴシック"/>
            </a:rPr>
            <a:t>◎</a:t>
          </a:r>
          <a:r>
            <a:rPr lang="en-US" altLang="ja-JP" sz="900" b="0" i="0" u="none" strike="noStrike" baseline="0">
              <a:solidFill>
                <a:srgbClr val="000000"/>
              </a:solidFill>
              <a:latin typeface="ＭＳ Ｐゴシック"/>
              <a:ea typeface="ＭＳ Ｐゴシック"/>
            </a:rPr>
            <a:t>…1</a:t>
          </a:r>
          <a:r>
            <a:rPr lang="ja-JP" altLang="en-US" sz="900" b="0" i="0" u="none" strike="noStrike" baseline="0">
              <a:solidFill>
                <a:srgbClr val="000000"/>
              </a:solidFill>
              <a:latin typeface="ＭＳ Ｐゴシック"/>
              <a:ea typeface="ＭＳ Ｐゴシック"/>
            </a:rPr>
            <a:t>次開発</a:t>
          </a:r>
          <a:r>
            <a:rPr lang="ja-JP" altLang="ja-JP" sz="1000" b="0" i="0" baseline="0">
              <a:effectLst/>
              <a:latin typeface="+mn-lt"/>
              <a:ea typeface="+mn-ea"/>
              <a:cs typeface="+mn-cs"/>
            </a:rPr>
            <a:t>向け</a:t>
          </a:r>
          <a:endParaRPr lang="ja-JP" altLang="en-US" sz="900" b="0" i="0" u="none" strike="noStrike" baseline="0">
            <a:solidFill>
              <a:srgbClr val="000000"/>
            </a:solidFill>
            <a:latin typeface="ＭＳ Ｐゴシック"/>
            <a:ea typeface="ＭＳ Ｐゴシック"/>
          </a:endParaRPr>
        </a:p>
        <a:p>
          <a:pPr algn="l" rtl="0">
            <a:defRPr sz="1000"/>
          </a:pPr>
          <a:r>
            <a:rPr lang="ja-JP" altLang="en-US" sz="900" b="0" i="0" u="none" strike="noStrike" baseline="0">
              <a:solidFill>
                <a:srgbClr val="000000"/>
              </a:solidFill>
              <a:latin typeface="ＭＳ Ｐゴシック"/>
              <a:ea typeface="ＭＳ Ｐゴシック"/>
            </a:rPr>
            <a:t>●</a:t>
          </a:r>
          <a:r>
            <a:rPr lang="en-US" altLang="ja-JP" sz="900" b="0" i="0" u="none" strike="noStrike" baseline="0">
              <a:solidFill>
                <a:srgbClr val="000000"/>
              </a:solidFill>
              <a:latin typeface="ＭＳ Ｐゴシック"/>
              <a:ea typeface="ＭＳ Ｐゴシック"/>
            </a:rPr>
            <a:t>…TSM</a:t>
          </a:r>
          <a:r>
            <a:rPr lang="ja-JP" altLang="en-US" sz="900" b="0" i="0" u="none" strike="noStrike" baseline="0">
              <a:solidFill>
                <a:srgbClr val="000000"/>
              </a:solidFill>
              <a:latin typeface="ＭＳ Ｐゴシック"/>
              <a:ea typeface="ＭＳ Ｐゴシック"/>
            </a:rPr>
            <a:t>側で設定（設定不要を含む）</a:t>
          </a:r>
        </a:p>
        <a:p>
          <a:pPr algn="l" rtl="0">
            <a:defRPr sz="1000"/>
          </a:pPr>
          <a:r>
            <a:rPr lang="ja-JP" altLang="en-US" sz="900" b="0" i="0" u="none" strike="noStrike" baseline="0">
              <a:solidFill>
                <a:srgbClr val="000000"/>
              </a:solidFill>
              <a:latin typeface="ＭＳ Ｐゴシック"/>
              <a:ea typeface="ＭＳ Ｐゴシック"/>
            </a:rPr>
            <a:t>〇</a:t>
          </a:r>
          <a:r>
            <a:rPr lang="en-US" altLang="ja-JP" sz="900" b="0" i="0" u="none" strike="noStrike" baseline="0">
              <a:solidFill>
                <a:srgbClr val="000000"/>
              </a:solidFill>
              <a:latin typeface="ＭＳ Ｐゴシック"/>
              <a:ea typeface="ＭＳ Ｐゴシック"/>
            </a:rPr>
            <a:t>…2</a:t>
          </a:r>
          <a:r>
            <a:rPr lang="ja-JP" altLang="en-US" sz="900" b="0" i="0" u="none" strike="noStrike" baseline="0">
              <a:solidFill>
                <a:srgbClr val="000000"/>
              </a:solidFill>
              <a:latin typeface="ＭＳ Ｐゴシック"/>
              <a:ea typeface="ＭＳ Ｐゴシック"/>
            </a:rPr>
            <a:t>次開発向け</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3</xdr:col>
      <xdr:colOff>192405</xdr:colOff>
      <xdr:row>0</xdr:row>
      <xdr:rowOff>325755</xdr:rowOff>
    </xdr:from>
    <xdr:to>
      <xdr:col>3</xdr:col>
      <xdr:colOff>472440</xdr:colOff>
      <xdr:row>0</xdr:row>
      <xdr:rowOff>478155</xdr:rowOff>
    </xdr:to>
    <xdr:sp macro="" textlink="">
      <xdr:nvSpPr>
        <xdr:cNvPr id="2" name="正方形/長方形 1">
          <a:extLst>
            <a:ext uri="{FF2B5EF4-FFF2-40B4-BE49-F238E27FC236}">
              <a16:creationId xmlns:a16="http://schemas.microsoft.com/office/drawing/2014/main" id="{50A760BC-091C-46ED-A214-A3442E4F8401}"/>
            </a:ext>
          </a:extLst>
        </xdr:cNvPr>
        <xdr:cNvSpPr/>
      </xdr:nvSpPr>
      <xdr:spPr>
        <a:xfrm>
          <a:off x="6345555" y="321945"/>
          <a:ext cx="283845" cy="152400"/>
        </a:xfrm>
        <a:prstGeom prst="rect">
          <a:avLst/>
        </a:prstGeom>
        <a:solidFill>
          <a:schemeClr val="bg1">
            <a:lumMod val="75000"/>
          </a:schemeClr>
        </a:solidFill>
        <a:ln w="952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188595</xdr:colOff>
      <xdr:row>0</xdr:row>
      <xdr:rowOff>131445</xdr:rowOff>
    </xdr:from>
    <xdr:to>
      <xdr:col>3</xdr:col>
      <xdr:colOff>462915</xdr:colOff>
      <xdr:row>0</xdr:row>
      <xdr:rowOff>283845</xdr:rowOff>
    </xdr:to>
    <xdr:sp macro="" textlink="">
      <xdr:nvSpPr>
        <xdr:cNvPr id="3" name="正方形/長方形 2">
          <a:extLst>
            <a:ext uri="{FF2B5EF4-FFF2-40B4-BE49-F238E27FC236}">
              <a16:creationId xmlns:a16="http://schemas.microsoft.com/office/drawing/2014/main" id="{86884433-357B-415F-B9DB-9C20F9F259A7}"/>
            </a:ext>
          </a:extLst>
        </xdr:cNvPr>
        <xdr:cNvSpPr/>
      </xdr:nvSpPr>
      <xdr:spPr>
        <a:xfrm>
          <a:off x="6341745" y="135255"/>
          <a:ext cx="276225" cy="152400"/>
        </a:xfrm>
        <a:prstGeom prst="rect">
          <a:avLst/>
        </a:prstGeom>
        <a:solidFill>
          <a:schemeClr val="bg1"/>
        </a:solidFill>
        <a:ln w="952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409576</xdr:colOff>
      <xdr:row>0</xdr:row>
      <xdr:rowOff>99059</xdr:rowOff>
    </xdr:from>
    <xdr:to>
      <xdr:col>5</xdr:col>
      <xdr:colOff>154305</xdr:colOff>
      <xdr:row>0</xdr:row>
      <xdr:rowOff>297179</xdr:rowOff>
    </xdr:to>
    <xdr:sp macro="" textlink="">
      <xdr:nvSpPr>
        <xdr:cNvPr id="4" name="正方形/長方形 3">
          <a:extLst>
            <a:ext uri="{FF2B5EF4-FFF2-40B4-BE49-F238E27FC236}">
              <a16:creationId xmlns:a16="http://schemas.microsoft.com/office/drawing/2014/main" id="{CCC54027-FF02-4D67-83EC-4A37391D7815}"/>
            </a:ext>
          </a:extLst>
        </xdr:cNvPr>
        <xdr:cNvSpPr/>
      </xdr:nvSpPr>
      <xdr:spPr>
        <a:xfrm>
          <a:off x="6560821" y="95249"/>
          <a:ext cx="1022984" cy="200025"/>
        </a:xfrm>
        <a:prstGeom prst="rect">
          <a:avLst/>
        </a:prstGeom>
        <a:noFill/>
        <a:ln w="952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ysClr val="windowText" lastClr="000000"/>
              </a:solidFill>
            </a:rPr>
            <a:t>行・・・連携あり</a:t>
          </a:r>
          <a:endParaRPr kumimoji="1" lang="en-US" altLang="ja-JP" sz="900">
            <a:solidFill>
              <a:sysClr val="windowText" lastClr="000000"/>
            </a:solidFill>
          </a:endParaRPr>
        </a:p>
        <a:p>
          <a:pPr algn="l"/>
          <a:endParaRPr kumimoji="1" lang="ja-JP" altLang="en-US" sz="1100"/>
        </a:p>
      </xdr:txBody>
    </xdr:sp>
    <xdr:clientData/>
  </xdr:twoCellAnchor>
  <xdr:twoCellAnchor>
    <xdr:from>
      <xdr:col>3</xdr:col>
      <xdr:colOff>415289</xdr:colOff>
      <xdr:row>0</xdr:row>
      <xdr:rowOff>299086</xdr:rowOff>
    </xdr:from>
    <xdr:to>
      <xdr:col>6</xdr:col>
      <xdr:colOff>198120</xdr:colOff>
      <xdr:row>0</xdr:row>
      <xdr:rowOff>563880</xdr:rowOff>
    </xdr:to>
    <xdr:sp macro="" textlink="">
      <xdr:nvSpPr>
        <xdr:cNvPr id="5" name="正方形/長方形 4">
          <a:extLst>
            <a:ext uri="{FF2B5EF4-FFF2-40B4-BE49-F238E27FC236}">
              <a16:creationId xmlns:a16="http://schemas.microsoft.com/office/drawing/2014/main" id="{8B1CDF73-E2DF-4F24-810C-62A2A02F1557}"/>
            </a:ext>
          </a:extLst>
        </xdr:cNvPr>
        <xdr:cNvSpPr/>
      </xdr:nvSpPr>
      <xdr:spPr>
        <a:xfrm>
          <a:off x="7113269" y="299086"/>
          <a:ext cx="1962151" cy="264794"/>
        </a:xfrm>
        <a:prstGeom prst="rect">
          <a:avLst/>
        </a:prstGeom>
        <a:noFill/>
        <a:ln w="952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ja-JP" sz="900">
              <a:solidFill>
                <a:sysClr val="windowText" lastClr="000000"/>
              </a:solidFill>
              <a:effectLst/>
              <a:latin typeface="+mn-lt"/>
              <a:ea typeface="+mn-ea"/>
              <a:cs typeface="+mn-cs"/>
            </a:rPr>
            <a:t>行</a:t>
          </a:r>
          <a:r>
            <a:rPr kumimoji="1" lang="ja-JP" altLang="en-US" sz="900">
              <a:solidFill>
                <a:sysClr val="windowText" lastClr="000000"/>
              </a:solidFill>
            </a:rPr>
            <a:t>・・・連携なし</a:t>
          </a:r>
          <a:r>
            <a:rPr kumimoji="1" lang="en-US" altLang="ja-JP" sz="900">
              <a:solidFill>
                <a:sysClr val="windowText" lastClr="000000"/>
              </a:solidFill>
            </a:rPr>
            <a:t>(""(</a:t>
          </a:r>
          <a:r>
            <a:rPr kumimoji="1" lang="ja-JP" altLang="en-US" sz="900">
              <a:solidFill>
                <a:sysClr val="windowText" lastClr="000000"/>
              </a:solidFill>
            </a:rPr>
            <a:t>空</a:t>
          </a:r>
          <a:r>
            <a:rPr kumimoji="1" lang="en-US" altLang="ja-JP" sz="900">
              <a:solidFill>
                <a:sysClr val="windowText" lastClr="000000"/>
              </a:solidFill>
            </a:rPr>
            <a:t>)</a:t>
          </a:r>
          <a:r>
            <a:rPr kumimoji="1" lang="ja-JP" altLang="en-US" sz="900">
              <a:solidFill>
                <a:sysClr val="windowText" lastClr="000000"/>
              </a:solidFill>
            </a:rPr>
            <a:t>設定</a:t>
          </a:r>
          <a:r>
            <a:rPr kumimoji="1" lang="en-US" altLang="ja-JP" sz="900">
              <a:solidFill>
                <a:sysClr val="windowText" lastClr="000000"/>
              </a:solidFill>
            </a:rPr>
            <a:t>)</a:t>
          </a:r>
          <a:endParaRPr kumimoji="1" lang="ja-JP" altLang="en-US" sz="1100"/>
        </a:p>
      </xdr:txBody>
    </xdr:sp>
    <xdr:clientData/>
  </xdr:twoCellAnchor>
  <xdr:twoCellAnchor>
    <xdr:from>
      <xdr:col>10</xdr:col>
      <xdr:colOff>19049</xdr:colOff>
      <xdr:row>0</xdr:row>
      <xdr:rowOff>47625</xdr:rowOff>
    </xdr:from>
    <xdr:to>
      <xdr:col>11</xdr:col>
      <xdr:colOff>1203959</xdr:colOff>
      <xdr:row>0</xdr:row>
      <xdr:rowOff>554355</xdr:rowOff>
    </xdr:to>
    <xdr:sp macro="" textlink="">
      <xdr:nvSpPr>
        <xdr:cNvPr id="7" name="Text Box 1">
          <a:extLst>
            <a:ext uri="{FF2B5EF4-FFF2-40B4-BE49-F238E27FC236}">
              <a16:creationId xmlns:a16="http://schemas.microsoft.com/office/drawing/2014/main" id="{AB7FEB3E-A4C8-4B79-AE38-D03BEB96921D}"/>
            </a:ext>
          </a:extLst>
        </xdr:cNvPr>
        <xdr:cNvSpPr txBox="1">
          <a:spLocks noChangeArrowheads="1"/>
        </xdr:cNvSpPr>
      </xdr:nvSpPr>
      <xdr:spPr bwMode="auto">
        <a:xfrm>
          <a:off x="24383999" y="47625"/>
          <a:ext cx="2099310" cy="506730"/>
        </a:xfrm>
        <a:prstGeom prst="rect">
          <a:avLst/>
        </a:prstGeom>
        <a:noFill/>
        <a:ln w="9525">
          <a:noFill/>
          <a:miter lim="800000"/>
          <a:headEnd/>
          <a:tailEnd/>
        </a:ln>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Ｐゴシック"/>
              <a:ea typeface="ＭＳ Ｐゴシック"/>
            </a:rPr>
            <a:t>◎</a:t>
          </a:r>
          <a:r>
            <a:rPr lang="en-US" altLang="ja-JP" sz="900" b="0" i="0" u="none" strike="noStrike" baseline="0">
              <a:solidFill>
                <a:srgbClr val="000000"/>
              </a:solidFill>
              <a:latin typeface="ＭＳ Ｐゴシック"/>
              <a:ea typeface="ＭＳ Ｐゴシック"/>
            </a:rPr>
            <a:t>…1</a:t>
          </a:r>
          <a:r>
            <a:rPr lang="ja-JP" altLang="en-US" sz="900" b="0" i="0" u="none" strike="noStrike" baseline="0">
              <a:solidFill>
                <a:srgbClr val="000000"/>
              </a:solidFill>
              <a:latin typeface="ＭＳ Ｐゴシック"/>
              <a:ea typeface="ＭＳ Ｐゴシック"/>
            </a:rPr>
            <a:t>次開発</a:t>
          </a:r>
          <a:r>
            <a:rPr lang="ja-JP" altLang="ja-JP" sz="1000" b="0" i="0" baseline="0">
              <a:effectLst/>
              <a:latin typeface="+mn-lt"/>
              <a:ea typeface="+mn-ea"/>
              <a:cs typeface="+mn-cs"/>
            </a:rPr>
            <a:t>向け</a:t>
          </a:r>
          <a:endParaRPr lang="ja-JP" altLang="en-US" sz="900" b="0" i="0" u="none" strike="noStrike" baseline="0">
            <a:solidFill>
              <a:srgbClr val="000000"/>
            </a:solidFill>
            <a:latin typeface="ＭＳ Ｐゴシック"/>
            <a:ea typeface="ＭＳ Ｐゴシック"/>
          </a:endParaRPr>
        </a:p>
        <a:p>
          <a:pPr algn="l" rtl="0">
            <a:defRPr sz="1000"/>
          </a:pPr>
          <a:r>
            <a:rPr lang="ja-JP" altLang="en-US" sz="900" b="0" i="0" u="none" strike="noStrike" baseline="0">
              <a:solidFill>
                <a:srgbClr val="000000"/>
              </a:solidFill>
              <a:latin typeface="ＭＳ Ｐゴシック"/>
              <a:ea typeface="ＭＳ Ｐゴシック"/>
            </a:rPr>
            <a:t>●</a:t>
          </a:r>
          <a:r>
            <a:rPr lang="en-US" altLang="ja-JP" sz="900" b="0" i="0" u="none" strike="noStrike" baseline="0">
              <a:solidFill>
                <a:srgbClr val="000000"/>
              </a:solidFill>
              <a:latin typeface="ＭＳ Ｐゴシック"/>
              <a:ea typeface="ＭＳ Ｐゴシック"/>
            </a:rPr>
            <a:t>…TSM</a:t>
          </a:r>
          <a:r>
            <a:rPr lang="ja-JP" altLang="en-US" sz="900" b="0" i="0" u="none" strike="noStrike" baseline="0">
              <a:solidFill>
                <a:srgbClr val="000000"/>
              </a:solidFill>
              <a:latin typeface="ＭＳ Ｐゴシック"/>
              <a:ea typeface="ＭＳ Ｐゴシック"/>
            </a:rPr>
            <a:t>側で設定（設定不要を含む）</a:t>
          </a:r>
        </a:p>
        <a:p>
          <a:pPr algn="l" rtl="0">
            <a:defRPr sz="1000"/>
          </a:pPr>
          <a:r>
            <a:rPr lang="ja-JP" altLang="en-US" sz="900" b="0" i="0" u="none" strike="noStrike" baseline="0">
              <a:solidFill>
                <a:srgbClr val="000000"/>
              </a:solidFill>
              <a:latin typeface="ＭＳ Ｐゴシック"/>
              <a:ea typeface="ＭＳ Ｐゴシック"/>
            </a:rPr>
            <a:t>〇</a:t>
          </a:r>
          <a:r>
            <a:rPr lang="en-US" altLang="ja-JP" sz="900" b="0" i="0" u="none" strike="noStrike" baseline="0">
              <a:solidFill>
                <a:srgbClr val="000000"/>
              </a:solidFill>
              <a:latin typeface="ＭＳ Ｐゴシック"/>
              <a:ea typeface="ＭＳ Ｐゴシック"/>
            </a:rPr>
            <a:t>…2</a:t>
          </a:r>
          <a:r>
            <a:rPr lang="ja-JP" altLang="en-US" sz="900" b="0" i="0" u="none" strike="noStrike" baseline="0">
              <a:solidFill>
                <a:srgbClr val="000000"/>
              </a:solidFill>
              <a:latin typeface="ＭＳ Ｐゴシック"/>
              <a:ea typeface="ＭＳ Ｐゴシック"/>
            </a:rPr>
            <a:t>次開発向け</a:t>
          </a: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3</xdr:col>
      <xdr:colOff>192405</xdr:colOff>
      <xdr:row>0</xdr:row>
      <xdr:rowOff>325755</xdr:rowOff>
    </xdr:from>
    <xdr:to>
      <xdr:col>3</xdr:col>
      <xdr:colOff>472440</xdr:colOff>
      <xdr:row>0</xdr:row>
      <xdr:rowOff>478155</xdr:rowOff>
    </xdr:to>
    <xdr:sp macro="" textlink="">
      <xdr:nvSpPr>
        <xdr:cNvPr id="2" name="正方形/長方形 1">
          <a:extLst>
            <a:ext uri="{FF2B5EF4-FFF2-40B4-BE49-F238E27FC236}">
              <a16:creationId xmlns:a16="http://schemas.microsoft.com/office/drawing/2014/main" id="{9F301171-CBE9-4939-B29F-C0E2D4058145}"/>
            </a:ext>
          </a:extLst>
        </xdr:cNvPr>
        <xdr:cNvSpPr/>
      </xdr:nvSpPr>
      <xdr:spPr>
        <a:xfrm>
          <a:off x="5516880" y="321945"/>
          <a:ext cx="283845" cy="152400"/>
        </a:xfrm>
        <a:prstGeom prst="rect">
          <a:avLst/>
        </a:prstGeom>
        <a:solidFill>
          <a:schemeClr val="bg1">
            <a:lumMod val="75000"/>
          </a:schemeClr>
        </a:solidFill>
        <a:ln w="952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188595</xdr:colOff>
      <xdr:row>0</xdr:row>
      <xdr:rowOff>131445</xdr:rowOff>
    </xdr:from>
    <xdr:to>
      <xdr:col>3</xdr:col>
      <xdr:colOff>462915</xdr:colOff>
      <xdr:row>0</xdr:row>
      <xdr:rowOff>283845</xdr:rowOff>
    </xdr:to>
    <xdr:sp macro="" textlink="">
      <xdr:nvSpPr>
        <xdr:cNvPr id="3" name="正方形/長方形 2">
          <a:extLst>
            <a:ext uri="{FF2B5EF4-FFF2-40B4-BE49-F238E27FC236}">
              <a16:creationId xmlns:a16="http://schemas.microsoft.com/office/drawing/2014/main" id="{EC4D7FB7-7A86-442E-8D20-B705F1B83175}"/>
            </a:ext>
          </a:extLst>
        </xdr:cNvPr>
        <xdr:cNvSpPr/>
      </xdr:nvSpPr>
      <xdr:spPr>
        <a:xfrm>
          <a:off x="5513070" y="135255"/>
          <a:ext cx="276225" cy="152400"/>
        </a:xfrm>
        <a:prstGeom prst="rect">
          <a:avLst/>
        </a:prstGeom>
        <a:solidFill>
          <a:schemeClr val="bg1"/>
        </a:solidFill>
        <a:ln w="952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409576</xdr:colOff>
      <xdr:row>0</xdr:row>
      <xdr:rowOff>99059</xdr:rowOff>
    </xdr:from>
    <xdr:to>
      <xdr:col>5</xdr:col>
      <xdr:colOff>154305</xdr:colOff>
      <xdr:row>0</xdr:row>
      <xdr:rowOff>297179</xdr:rowOff>
    </xdr:to>
    <xdr:sp macro="" textlink="">
      <xdr:nvSpPr>
        <xdr:cNvPr id="4" name="正方形/長方形 3">
          <a:extLst>
            <a:ext uri="{FF2B5EF4-FFF2-40B4-BE49-F238E27FC236}">
              <a16:creationId xmlns:a16="http://schemas.microsoft.com/office/drawing/2014/main" id="{DDAFCF78-8086-4F0E-BA2F-8AB7A95B4D2C}"/>
            </a:ext>
          </a:extLst>
        </xdr:cNvPr>
        <xdr:cNvSpPr/>
      </xdr:nvSpPr>
      <xdr:spPr>
        <a:xfrm>
          <a:off x="5732146" y="95249"/>
          <a:ext cx="1022984" cy="200025"/>
        </a:xfrm>
        <a:prstGeom prst="rect">
          <a:avLst/>
        </a:prstGeom>
        <a:noFill/>
        <a:ln w="952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ysClr val="windowText" lastClr="000000"/>
              </a:solidFill>
            </a:rPr>
            <a:t>行・・・連携あり</a:t>
          </a:r>
          <a:endParaRPr kumimoji="1" lang="en-US" altLang="ja-JP" sz="900">
            <a:solidFill>
              <a:sysClr val="windowText" lastClr="000000"/>
            </a:solidFill>
          </a:endParaRPr>
        </a:p>
        <a:p>
          <a:pPr algn="l"/>
          <a:endParaRPr kumimoji="1" lang="ja-JP" altLang="en-US" sz="1100"/>
        </a:p>
      </xdr:txBody>
    </xdr:sp>
    <xdr:clientData/>
  </xdr:twoCellAnchor>
  <xdr:twoCellAnchor>
    <xdr:from>
      <xdr:col>3</xdr:col>
      <xdr:colOff>415289</xdr:colOff>
      <xdr:row>0</xdr:row>
      <xdr:rowOff>299086</xdr:rowOff>
    </xdr:from>
    <xdr:to>
      <xdr:col>6</xdr:col>
      <xdr:colOff>22860</xdr:colOff>
      <xdr:row>0</xdr:row>
      <xdr:rowOff>571500</xdr:rowOff>
    </xdr:to>
    <xdr:sp macro="" textlink="">
      <xdr:nvSpPr>
        <xdr:cNvPr id="5" name="正方形/長方形 4">
          <a:extLst>
            <a:ext uri="{FF2B5EF4-FFF2-40B4-BE49-F238E27FC236}">
              <a16:creationId xmlns:a16="http://schemas.microsoft.com/office/drawing/2014/main" id="{FFCA7B97-085D-4D04-BDA2-82A90FF17B8D}"/>
            </a:ext>
          </a:extLst>
        </xdr:cNvPr>
        <xdr:cNvSpPr/>
      </xdr:nvSpPr>
      <xdr:spPr>
        <a:xfrm>
          <a:off x="7966709" y="299086"/>
          <a:ext cx="1786891" cy="272414"/>
        </a:xfrm>
        <a:prstGeom prst="rect">
          <a:avLst/>
        </a:prstGeom>
        <a:noFill/>
        <a:ln w="952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ja-JP" sz="900">
              <a:solidFill>
                <a:sysClr val="windowText" lastClr="000000"/>
              </a:solidFill>
              <a:effectLst/>
              <a:latin typeface="+mn-lt"/>
              <a:ea typeface="+mn-ea"/>
              <a:cs typeface="+mn-cs"/>
            </a:rPr>
            <a:t>行</a:t>
          </a:r>
          <a:r>
            <a:rPr kumimoji="1" lang="ja-JP" altLang="en-US" sz="900">
              <a:solidFill>
                <a:sysClr val="windowText" lastClr="000000"/>
              </a:solidFill>
            </a:rPr>
            <a:t>・・・連携なし</a:t>
          </a:r>
          <a:r>
            <a:rPr kumimoji="1" lang="en-US" altLang="ja-JP" sz="900">
              <a:solidFill>
                <a:sysClr val="windowText" lastClr="000000"/>
              </a:solidFill>
            </a:rPr>
            <a:t>(""(</a:t>
          </a:r>
          <a:r>
            <a:rPr kumimoji="1" lang="ja-JP" altLang="en-US" sz="900">
              <a:solidFill>
                <a:sysClr val="windowText" lastClr="000000"/>
              </a:solidFill>
            </a:rPr>
            <a:t>空</a:t>
          </a:r>
          <a:r>
            <a:rPr kumimoji="1" lang="en-US" altLang="ja-JP" sz="900">
              <a:solidFill>
                <a:sysClr val="windowText" lastClr="000000"/>
              </a:solidFill>
            </a:rPr>
            <a:t>)</a:t>
          </a:r>
          <a:r>
            <a:rPr kumimoji="1" lang="ja-JP" altLang="en-US" sz="900">
              <a:solidFill>
                <a:sysClr val="windowText" lastClr="000000"/>
              </a:solidFill>
            </a:rPr>
            <a:t>設定</a:t>
          </a:r>
          <a:r>
            <a:rPr kumimoji="1" lang="en-US" altLang="ja-JP" sz="900">
              <a:solidFill>
                <a:sysClr val="windowText" lastClr="000000"/>
              </a:solidFill>
            </a:rPr>
            <a:t>)</a:t>
          </a:r>
          <a:endParaRPr kumimoji="1" lang="ja-JP" altLang="en-US" sz="1100"/>
        </a:p>
      </xdr:txBody>
    </xdr:sp>
    <xdr:clientData/>
  </xdr:twoCellAnchor>
  <xdr:twoCellAnchor>
    <xdr:from>
      <xdr:col>10</xdr:col>
      <xdr:colOff>15240</xdr:colOff>
      <xdr:row>0</xdr:row>
      <xdr:rowOff>91440</xdr:rowOff>
    </xdr:from>
    <xdr:to>
      <xdr:col>11</xdr:col>
      <xdr:colOff>971550</xdr:colOff>
      <xdr:row>0</xdr:row>
      <xdr:rowOff>588645</xdr:rowOff>
    </xdr:to>
    <xdr:sp macro="" textlink="">
      <xdr:nvSpPr>
        <xdr:cNvPr id="7" name="Text Box 1">
          <a:extLst>
            <a:ext uri="{FF2B5EF4-FFF2-40B4-BE49-F238E27FC236}">
              <a16:creationId xmlns:a16="http://schemas.microsoft.com/office/drawing/2014/main" id="{3F2DA533-0D72-43FD-8774-D6414364D17C}"/>
            </a:ext>
          </a:extLst>
        </xdr:cNvPr>
        <xdr:cNvSpPr txBox="1">
          <a:spLocks noChangeArrowheads="1"/>
        </xdr:cNvSpPr>
      </xdr:nvSpPr>
      <xdr:spPr bwMode="auto">
        <a:xfrm>
          <a:off x="24536400" y="95250"/>
          <a:ext cx="1844040" cy="497205"/>
        </a:xfrm>
        <a:prstGeom prst="rect">
          <a:avLst/>
        </a:prstGeom>
        <a:noFill/>
        <a:ln w="9525">
          <a:noFill/>
          <a:miter lim="800000"/>
          <a:headEnd/>
          <a:tailEnd/>
        </a:ln>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Ｐゴシック"/>
              <a:ea typeface="ＭＳ Ｐゴシック"/>
            </a:rPr>
            <a:t>◎</a:t>
          </a:r>
          <a:r>
            <a:rPr lang="en-US" altLang="ja-JP" sz="900" b="0" i="0" u="none" strike="noStrike" baseline="0">
              <a:solidFill>
                <a:srgbClr val="000000"/>
              </a:solidFill>
              <a:latin typeface="ＭＳ Ｐゴシック"/>
              <a:ea typeface="ＭＳ Ｐゴシック"/>
            </a:rPr>
            <a:t>…1</a:t>
          </a:r>
          <a:r>
            <a:rPr lang="ja-JP" altLang="en-US" sz="900" b="0" i="0" u="none" strike="noStrike" baseline="0">
              <a:solidFill>
                <a:srgbClr val="000000"/>
              </a:solidFill>
              <a:latin typeface="ＭＳ Ｐゴシック"/>
              <a:ea typeface="ＭＳ Ｐゴシック"/>
            </a:rPr>
            <a:t>次開発</a:t>
          </a:r>
          <a:r>
            <a:rPr lang="ja-JP" altLang="ja-JP" sz="1000" b="0" i="0" baseline="0">
              <a:effectLst/>
              <a:latin typeface="+mn-lt"/>
              <a:ea typeface="+mn-ea"/>
              <a:cs typeface="+mn-cs"/>
            </a:rPr>
            <a:t>向け</a:t>
          </a:r>
          <a:endParaRPr lang="ja-JP" altLang="en-US" sz="900" b="0" i="0" u="none" strike="noStrike" baseline="0">
            <a:solidFill>
              <a:srgbClr val="000000"/>
            </a:solidFill>
            <a:latin typeface="ＭＳ Ｐゴシック"/>
            <a:ea typeface="ＭＳ Ｐゴシック"/>
          </a:endParaRPr>
        </a:p>
        <a:p>
          <a:pPr algn="l" rtl="0">
            <a:defRPr sz="1000"/>
          </a:pPr>
          <a:r>
            <a:rPr lang="ja-JP" altLang="en-US" sz="900" b="0" i="0" u="none" strike="noStrike" baseline="0">
              <a:solidFill>
                <a:srgbClr val="000000"/>
              </a:solidFill>
              <a:latin typeface="ＭＳ Ｐゴシック"/>
              <a:ea typeface="ＭＳ Ｐゴシック"/>
            </a:rPr>
            <a:t>●</a:t>
          </a:r>
          <a:r>
            <a:rPr lang="en-US" altLang="ja-JP" sz="900" b="0" i="0" u="none" strike="noStrike" baseline="0">
              <a:solidFill>
                <a:srgbClr val="000000"/>
              </a:solidFill>
              <a:latin typeface="ＭＳ Ｐゴシック"/>
              <a:ea typeface="ＭＳ Ｐゴシック"/>
            </a:rPr>
            <a:t>…TSM</a:t>
          </a:r>
          <a:r>
            <a:rPr lang="ja-JP" altLang="en-US" sz="900" b="0" i="0" u="none" strike="noStrike" baseline="0">
              <a:solidFill>
                <a:srgbClr val="000000"/>
              </a:solidFill>
              <a:latin typeface="ＭＳ Ｐゴシック"/>
              <a:ea typeface="ＭＳ Ｐゴシック"/>
            </a:rPr>
            <a:t>側で設定（設定不要を含む）</a:t>
          </a:r>
        </a:p>
        <a:p>
          <a:pPr algn="l" rtl="0">
            <a:defRPr sz="1000"/>
          </a:pPr>
          <a:r>
            <a:rPr lang="ja-JP" altLang="en-US" sz="900" b="0" i="0" u="none" strike="noStrike" baseline="0">
              <a:solidFill>
                <a:srgbClr val="000000"/>
              </a:solidFill>
              <a:latin typeface="ＭＳ Ｐゴシック"/>
              <a:ea typeface="ＭＳ Ｐゴシック"/>
            </a:rPr>
            <a:t>〇</a:t>
          </a:r>
          <a:r>
            <a:rPr lang="en-US" altLang="ja-JP" sz="900" b="0" i="0" u="none" strike="noStrike" baseline="0">
              <a:solidFill>
                <a:srgbClr val="000000"/>
              </a:solidFill>
              <a:latin typeface="ＭＳ Ｐゴシック"/>
              <a:ea typeface="ＭＳ Ｐゴシック"/>
            </a:rPr>
            <a:t>…2</a:t>
          </a:r>
          <a:r>
            <a:rPr lang="ja-JP" altLang="en-US" sz="900" b="0" i="0" u="none" strike="noStrike" baseline="0">
              <a:solidFill>
                <a:srgbClr val="000000"/>
              </a:solidFill>
              <a:latin typeface="ＭＳ Ｐゴシック"/>
              <a:ea typeface="ＭＳ Ｐゴシック"/>
            </a:rPr>
            <a:t>次開発向け</a:t>
          </a: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3</xdr:col>
      <xdr:colOff>192405</xdr:colOff>
      <xdr:row>0</xdr:row>
      <xdr:rowOff>325755</xdr:rowOff>
    </xdr:from>
    <xdr:to>
      <xdr:col>3</xdr:col>
      <xdr:colOff>472440</xdr:colOff>
      <xdr:row>0</xdr:row>
      <xdr:rowOff>478155</xdr:rowOff>
    </xdr:to>
    <xdr:sp macro="" textlink="">
      <xdr:nvSpPr>
        <xdr:cNvPr id="2" name="正方形/長方形 1">
          <a:extLst>
            <a:ext uri="{FF2B5EF4-FFF2-40B4-BE49-F238E27FC236}">
              <a16:creationId xmlns:a16="http://schemas.microsoft.com/office/drawing/2014/main" id="{D526991C-9AA0-4786-AECF-0AF7FBFC79F6}"/>
            </a:ext>
          </a:extLst>
        </xdr:cNvPr>
        <xdr:cNvSpPr/>
      </xdr:nvSpPr>
      <xdr:spPr>
        <a:xfrm>
          <a:off x="5516880" y="321945"/>
          <a:ext cx="283845" cy="152400"/>
        </a:xfrm>
        <a:prstGeom prst="rect">
          <a:avLst/>
        </a:prstGeom>
        <a:solidFill>
          <a:schemeClr val="bg1">
            <a:lumMod val="75000"/>
          </a:schemeClr>
        </a:solidFill>
        <a:ln w="952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188595</xdr:colOff>
      <xdr:row>0</xdr:row>
      <xdr:rowOff>131445</xdr:rowOff>
    </xdr:from>
    <xdr:to>
      <xdr:col>3</xdr:col>
      <xdr:colOff>462915</xdr:colOff>
      <xdr:row>0</xdr:row>
      <xdr:rowOff>283845</xdr:rowOff>
    </xdr:to>
    <xdr:sp macro="" textlink="">
      <xdr:nvSpPr>
        <xdr:cNvPr id="3" name="正方形/長方形 2">
          <a:extLst>
            <a:ext uri="{FF2B5EF4-FFF2-40B4-BE49-F238E27FC236}">
              <a16:creationId xmlns:a16="http://schemas.microsoft.com/office/drawing/2014/main" id="{95B749BE-4A40-4CEF-BCF4-189ECA77F249}"/>
            </a:ext>
          </a:extLst>
        </xdr:cNvPr>
        <xdr:cNvSpPr/>
      </xdr:nvSpPr>
      <xdr:spPr>
        <a:xfrm>
          <a:off x="5513070" y="135255"/>
          <a:ext cx="276225" cy="152400"/>
        </a:xfrm>
        <a:prstGeom prst="rect">
          <a:avLst/>
        </a:prstGeom>
        <a:solidFill>
          <a:schemeClr val="bg1"/>
        </a:solidFill>
        <a:ln w="952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409576</xdr:colOff>
      <xdr:row>0</xdr:row>
      <xdr:rowOff>99059</xdr:rowOff>
    </xdr:from>
    <xdr:to>
      <xdr:col>5</xdr:col>
      <xdr:colOff>154305</xdr:colOff>
      <xdr:row>0</xdr:row>
      <xdr:rowOff>297179</xdr:rowOff>
    </xdr:to>
    <xdr:sp macro="" textlink="">
      <xdr:nvSpPr>
        <xdr:cNvPr id="4" name="正方形/長方形 3">
          <a:extLst>
            <a:ext uri="{FF2B5EF4-FFF2-40B4-BE49-F238E27FC236}">
              <a16:creationId xmlns:a16="http://schemas.microsoft.com/office/drawing/2014/main" id="{0779ACE2-5553-4AAF-9288-579096C15EA0}"/>
            </a:ext>
          </a:extLst>
        </xdr:cNvPr>
        <xdr:cNvSpPr/>
      </xdr:nvSpPr>
      <xdr:spPr>
        <a:xfrm>
          <a:off x="5732146" y="95249"/>
          <a:ext cx="1022984" cy="200025"/>
        </a:xfrm>
        <a:prstGeom prst="rect">
          <a:avLst/>
        </a:prstGeom>
        <a:noFill/>
        <a:ln w="952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ysClr val="windowText" lastClr="000000"/>
              </a:solidFill>
            </a:rPr>
            <a:t>行・・・連携あり</a:t>
          </a:r>
          <a:endParaRPr kumimoji="1" lang="en-US" altLang="ja-JP" sz="900">
            <a:solidFill>
              <a:sysClr val="windowText" lastClr="000000"/>
            </a:solidFill>
          </a:endParaRPr>
        </a:p>
        <a:p>
          <a:pPr algn="l"/>
          <a:endParaRPr kumimoji="1" lang="ja-JP" altLang="en-US" sz="1100"/>
        </a:p>
      </xdr:txBody>
    </xdr:sp>
    <xdr:clientData/>
  </xdr:twoCellAnchor>
  <xdr:twoCellAnchor>
    <xdr:from>
      <xdr:col>3</xdr:col>
      <xdr:colOff>413384</xdr:colOff>
      <xdr:row>0</xdr:row>
      <xdr:rowOff>297181</xdr:rowOff>
    </xdr:from>
    <xdr:to>
      <xdr:col>5</xdr:col>
      <xdr:colOff>647700</xdr:colOff>
      <xdr:row>0</xdr:row>
      <xdr:rowOff>548640</xdr:rowOff>
    </xdr:to>
    <xdr:sp macro="" textlink="">
      <xdr:nvSpPr>
        <xdr:cNvPr id="5" name="正方形/長方形 4">
          <a:extLst>
            <a:ext uri="{FF2B5EF4-FFF2-40B4-BE49-F238E27FC236}">
              <a16:creationId xmlns:a16="http://schemas.microsoft.com/office/drawing/2014/main" id="{4E1F2C28-E48D-44EA-8783-AD4762506D97}"/>
            </a:ext>
          </a:extLst>
        </xdr:cNvPr>
        <xdr:cNvSpPr/>
      </xdr:nvSpPr>
      <xdr:spPr>
        <a:xfrm>
          <a:off x="6158864" y="297181"/>
          <a:ext cx="1651636" cy="251459"/>
        </a:xfrm>
        <a:prstGeom prst="rect">
          <a:avLst/>
        </a:prstGeom>
        <a:noFill/>
        <a:ln w="952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ja-JP" sz="900">
              <a:solidFill>
                <a:sysClr val="windowText" lastClr="000000"/>
              </a:solidFill>
              <a:effectLst/>
              <a:latin typeface="+mn-lt"/>
              <a:ea typeface="+mn-ea"/>
              <a:cs typeface="+mn-cs"/>
            </a:rPr>
            <a:t>行</a:t>
          </a:r>
          <a:r>
            <a:rPr kumimoji="1" lang="ja-JP" altLang="en-US" sz="900">
              <a:solidFill>
                <a:sysClr val="windowText" lastClr="000000"/>
              </a:solidFill>
            </a:rPr>
            <a:t>・・・連携なし</a:t>
          </a:r>
          <a:r>
            <a:rPr kumimoji="1" lang="en-US" altLang="ja-JP" sz="900">
              <a:solidFill>
                <a:sysClr val="windowText" lastClr="000000"/>
              </a:solidFill>
            </a:rPr>
            <a:t>(""(</a:t>
          </a:r>
          <a:r>
            <a:rPr kumimoji="1" lang="ja-JP" altLang="en-US" sz="900">
              <a:solidFill>
                <a:sysClr val="windowText" lastClr="000000"/>
              </a:solidFill>
            </a:rPr>
            <a:t>空</a:t>
          </a:r>
          <a:r>
            <a:rPr kumimoji="1" lang="en-US" altLang="ja-JP" sz="900">
              <a:solidFill>
                <a:sysClr val="windowText" lastClr="000000"/>
              </a:solidFill>
            </a:rPr>
            <a:t>)</a:t>
          </a:r>
          <a:r>
            <a:rPr kumimoji="1" lang="ja-JP" altLang="en-US" sz="900">
              <a:solidFill>
                <a:sysClr val="windowText" lastClr="000000"/>
              </a:solidFill>
            </a:rPr>
            <a:t>設定</a:t>
          </a:r>
          <a:r>
            <a:rPr kumimoji="1" lang="en-US" altLang="ja-JP" sz="900">
              <a:solidFill>
                <a:sysClr val="windowText" lastClr="000000"/>
              </a:solidFill>
            </a:rPr>
            <a:t>)</a:t>
          </a:r>
          <a:endParaRPr kumimoji="1" lang="ja-JP" altLang="en-US" sz="1100"/>
        </a:p>
      </xdr:txBody>
    </xdr:sp>
    <xdr:clientData/>
  </xdr:twoCellAnchor>
  <xdr:twoCellAnchor>
    <xdr:from>
      <xdr:col>10</xdr:col>
      <xdr:colOff>15240</xdr:colOff>
      <xdr:row>0</xdr:row>
      <xdr:rowOff>91440</xdr:rowOff>
    </xdr:from>
    <xdr:to>
      <xdr:col>11</xdr:col>
      <xdr:colOff>971550</xdr:colOff>
      <xdr:row>0</xdr:row>
      <xdr:rowOff>588645</xdr:rowOff>
    </xdr:to>
    <xdr:sp macro="" textlink="">
      <xdr:nvSpPr>
        <xdr:cNvPr id="7" name="Text Box 1">
          <a:extLst>
            <a:ext uri="{FF2B5EF4-FFF2-40B4-BE49-F238E27FC236}">
              <a16:creationId xmlns:a16="http://schemas.microsoft.com/office/drawing/2014/main" id="{4A782FBA-6463-488F-B881-96F97919BAC6}"/>
            </a:ext>
          </a:extLst>
        </xdr:cNvPr>
        <xdr:cNvSpPr txBox="1">
          <a:spLocks noChangeArrowheads="1"/>
        </xdr:cNvSpPr>
      </xdr:nvSpPr>
      <xdr:spPr bwMode="auto">
        <a:xfrm>
          <a:off x="23231475" y="95250"/>
          <a:ext cx="1863090" cy="497205"/>
        </a:xfrm>
        <a:prstGeom prst="rect">
          <a:avLst/>
        </a:prstGeom>
        <a:noFill/>
        <a:ln w="9525">
          <a:noFill/>
          <a:miter lim="800000"/>
          <a:headEnd/>
          <a:tailEnd/>
        </a:ln>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Ｐゴシック"/>
              <a:ea typeface="ＭＳ Ｐゴシック"/>
            </a:rPr>
            <a:t>◎</a:t>
          </a:r>
          <a:r>
            <a:rPr lang="en-US" altLang="ja-JP" sz="900" b="0" i="0" u="none" strike="noStrike" baseline="0">
              <a:solidFill>
                <a:srgbClr val="000000"/>
              </a:solidFill>
              <a:latin typeface="ＭＳ Ｐゴシック"/>
              <a:ea typeface="ＭＳ Ｐゴシック"/>
            </a:rPr>
            <a:t>…1</a:t>
          </a:r>
          <a:r>
            <a:rPr lang="ja-JP" altLang="en-US" sz="900" b="0" i="0" u="none" strike="noStrike" baseline="0">
              <a:solidFill>
                <a:srgbClr val="000000"/>
              </a:solidFill>
              <a:latin typeface="ＭＳ Ｐゴシック"/>
              <a:ea typeface="ＭＳ Ｐゴシック"/>
            </a:rPr>
            <a:t>次開発</a:t>
          </a:r>
          <a:r>
            <a:rPr lang="ja-JP" altLang="ja-JP" sz="1000" b="0" i="0" baseline="0">
              <a:effectLst/>
              <a:latin typeface="+mn-lt"/>
              <a:ea typeface="+mn-ea"/>
              <a:cs typeface="+mn-cs"/>
            </a:rPr>
            <a:t>向け</a:t>
          </a:r>
          <a:endParaRPr lang="ja-JP" altLang="en-US" sz="900" b="0" i="0" u="none" strike="noStrike" baseline="0">
            <a:solidFill>
              <a:srgbClr val="000000"/>
            </a:solidFill>
            <a:latin typeface="ＭＳ Ｐゴシック"/>
            <a:ea typeface="ＭＳ Ｐゴシック"/>
          </a:endParaRPr>
        </a:p>
        <a:p>
          <a:pPr algn="l" rtl="0">
            <a:defRPr sz="1000"/>
          </a:pPr>
          <a:r>
            <a:rPr lang="ja-JP" altLang="en-US" sz="900" b="0" i="0" u="none" strike="noStrike" baseline="0">
              <a:solidFill>
                <a:srgbClr val="000000"/>
              </a:solidFill>
              <a:latin typeface="ＭＳ Ｐゴシック"/>
              <a:ea typeface="ＭＳ Ｐゴシック"/>
            </a:rPr>
            <a:t>●</a:t>
          </a:r>
          <a:r>
            <a:rPr lang="en-US" altLang="ja-JP" sz="900" b="0" i="0" u="none" strike="noStrike" baseline="0">
              <a:solidFill>
                <a:srgbClr val="000000"/>
              </a:solidFill>
              <a:latin typeface="ＭＳ Ｐゴシック"/>
              <a:ea typeface="ＭＳ Ｐゴシック"/>
            </a:rPr>
            <a:t>…TSM</a:t>
          </a:r>
          <a:r>
            <a:rPr lang="ja-JP" altLang="en-US" sz="900" b="0" i="0" u="none" strike="noStrike" baseline="0">
              <a:solidFill>
                <a:srgbClr val="000000"/>
              </a:solidFill>
              <a:latin typeface="ＭＳ Ｐゴシック"/>
              <a:ea typeface="ＭＳ Ｐゴシック"/>
            </a:rPr>
            <a:t>側で設定（設定不要を含む）</a:t>
          </a:r>
        </a:p>
        <a:p>
          <a:pPr algn="l" rtl="0">
            <a:defRPr sz="1000"/>
          </a:pPr>
          <a:r>
            <a:rPr lang="ja-JP" altLang="en-US" sz="900" b="0" i="0" u="none" strike="noStrike" baseline="0">
              <a:solidFill>
                <a:srgbClr val="000000"/>
              </a:solidFill>
              <a:latin typeface="ＭＳ Ｐゴシック"/>
              <a:ea typeface="ＭＳ Ｐゴシック"/>
            </a:rPr>
            <a:t>〇</a:t>
          </a:r>
          <a:r>
            <a:rPr lang="en-US" altLang="ja-JP" sz="900" b="0" i="0" u="none" strike="noStrike" baseline="0">
              <a:solidFill>
                <a:srgbClr val="000000"/>
              </a:solidFill>
              <a:latin typeface="ＭＳ Ｐゴシック"/>
              <a:ea typeface="ＭＳ Ｐゴシック"/>
            </a:rPr>
            <a:t>…2</a:t>
          </a:r>
          <a:r>
            <a:rPr lang="ja-JP" altLang="en-US" sz="900" b="0" i="0" u="none" strike="noStrike" baseline="0">
              <a:solidFill>
                <a:srgbClr val="000000"/>
              </a:solidFill>
              <a:latin typeface="ＭＳ Ｐゴシック"/>
              <a:ea typeface="ＭＳ Ｐゴシック"/>
            </a:rPr>
            <a:t>次開発向け</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4</xdr:col>
      <xdr:colOff>192405</xdr:colOff>
      <xdr:row>0</xdr:row>
      <xdr:rowOff>325755</xdr:rowOff>
    </xdr:from>
    <xdr:to>
      <xdr:col>4</xdr:col>
      <xdr:colOff>472440</xdr:colOff>
      <xdr:row>0</xdr:row>
      <xdr:rowOff>478155</xdr:rowOff>
    </xdr:to>
    <xdr:sp macro="" textlink="">
      <xdr:nvSpPr>
        <xdr:cNvPr id="2" name="正方形/長方形 1">
          <a:extLst>
            <a:ext uri="{FF2B5EF4-FFF2-40B4-BE49-F238E27FC236}">
              <a16:creationId xmlns:a16="http://schemas.microsoft.com/office/drawing/2014/main" id="{BD8BD139-1504-4C7C-8504-D0F79337AF81}"/>
            </a:ext>
          </a:extLst>
        </xdr:cNvPr>
        <xdr:cNvSpPr/>
      </xdr:nvSpPr>
      <xdr:spPr>
        <a:xfrm>
          <a:off x="5012055" y="321945"/>
          <a:ext cx="283845" cy="152400"/>
        </a:xfrm>
        <a:prstGeom prst="rect">
          <a:avLst/>
        </a:prstGeom>
        <a:solidFill>
          <a:schemeClr val="bg1">
            <a:lumMod val="75000"/>
          </a:schemeClr>
        </a:solidFill>
        <a:ln w="952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188595</xdr:colOff>
      <xdr:row>0</xdr:row>
      <xdr:rowOff>131445</xdr:rowOff>
    </xdr:from>
    <xdr:to>
      <xdr:col>4</xdr:col>
      <xdr:colOff>462915</xdr:colOff>
      <xdr:row>0</xdr:row>
      <xdr:rowOff>283845</xdr:rowOff>
    </xdr:to>
    <xdr:sp macro="" textlink="">
      <xdr:nvSpPr>
        <xdr:cNvPr id="3" name="正方形/長方形 2">
          <a:extLst>
            <a:ext uri="{FF2B5EF4-FFF2-40B4-BE49-F238E27FC236}">
              <a16:creationId xmlns:a16="http://schemas.microsoft.com/office/drawing/2014/main" id="{1F3815AC-38C1-4D6F-9B7F-BE3D5DE02404}"/>
            </a:ext>
          </a:extLst>
        </xdr:cNvPr>
        <xdr:cNvSpPr/>
      </xdr:nvSpPr>
      <xdr:spPr>
        <a:xfrm>
          <a:off x="5008245" y="135255"/>
          <a:ext cx="276225" cy="152400"/>
        </a:xfrm>
        <a:prstGeom prst="rect">
          <a:avLst/>
        </a:prstGeom>
        <a:solidFill>
          <a:schemeClr val="bg1"/>
        </a:solidFill>
        <a:ln w="952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409576</xdr:colOff>
      <xdr:row>0</xdr:row>
      <xdr:rowOff>99059</xdr:rowOff>
    </xdr:from>
    <xdr:to>
      <xdr:col>6</xdr:col>
      <xdr:colOff>154305</xdr:colOff>
      <xdr:row>0</xdr:row>
      <xdr:rowOff>297179</xdr:rowOff>
    </xdr:to>
    <xdr:sp macro="" textlink="">
      <xdr:nvSpPr>
        <xdr:cNvPr id="4" name="正方形/長方形 3">
          <a:extLst>
            <a:ext uri="{FF2B5EF4-FFF2-40B4-BE49-F238E27FC236}">
              <a16:creationId xmlns:a16="http://schemas.microsoft.com/office/drawing/2014/main" id="{061DEA89-5A0D-4116-8DC1-41116969DF90}"/>
            </a:ext>
          </a:extLst>
        </xdr:cNvPr>
        <xdr:cNvSpPr/>
      </xdr:nvSpPr>
      <xdr:spPr>
        <a:xfrm>
          <a:off x="5227321" y="95249"/>
          <a:ext cx="1022984" cy="200025"/>
        </a:xfrm>
        <a:prstGeom prst="rect">
          <a:avLst/>
        </a:prstGeom>
        <a:noFill/>
        <a:ln w="952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ysClr val="windowText" lastClr="000000"/>
              </a:solidFill>
            </a:rPr>
            <a:t>行・・・連携あり</a:t>
          </a:r>
          <a:endParaRPr kumimoji="1" lang="en-US" altLang="ja-JP" sz="900">
            <a:solidFill>
              <a:sysClr val="windowText" lastClr="000000"/>
            </a:solidFill>
          </a:endParaRPr>
        </a:p>
        <a:p>
          <a:pPr algn="l"/>
          <a:endParaRPr kumimoji="1" lang="ja-JP" altLang="en-US" sz="1100"/>
        </a:p>
      </xdr:txBody>
    </xdr:sp>
    <xdr:clientData/>
  </xdr:twoCellAnchor>
  <xdr:twoCellAnchor>
    <xdr:from>
      <xdr:col>4</xdr:col>
      <xdr:colOff>413384</xdr:colOff>
      <xdr:row>0</xdr:row>
      <xdr:rowOff>297181</xdr:rowOff>
    </xdr:from>
    <xdr:to>
      <xdr:col>6</xdr:col>
      <xdr:colOff>632460</xdr:colOff>
      <xdr:row>0</xdr:row>
      <xdr:rowOff>533400</xdr:rowOff>
    </xdr:to>
    <xdr:sp macro="" textlink="">
      <xdr:nvSpPr>
        <xdr:cNvPr id="5" name="正方形/長方形 4">
          <a:extLst>
            <a:ext uri="{FF2B5EF4-FFF2-40B4-BE49-F238E27FC236}">
              <a16:creationId xmlns:a16="http://schemas.microsoft.com/office/drawing/2014/main" id="{60B4A67A-A736-4D89-B110-880D999A43EB}"/>
            </a:ext>
          </a:extLst>
        </xdr:cNvPr>
        <xdr:cNvSpPr/>
      </xdr:nvSpPr>
      <xdr:spPr>
        <a:xfrm>
          <a:off x="5282564" y="297181"/>
          <a:ext cx="1689736" cy="236219"/>
        </a:xfrm>
        <a:prstGeom prst="rect">
          <a:avLst/>
        </a:prstGeom>
        <a:noFill/>
        <a:ln w="952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ja-JP" sz="900">
              <a:solidFill>
                <a:sysClr val="windowText" lastClr="000000"/>
              </a:solidFill>
              <a:effectLst/>
              <a:latin typeface="+mn-lt"/>
              <a:ea typeface="+mn-ea"/>
              <a:cs typeface="+mn-cs"/>
            </a:rPr>
            <a:t>行</a:t>
          </a:r>
          <a:r>
            <a:rPr kumimoji="1" lang="ja-JP" altLang="en-US" sz="900">
              <a:solidFill>
                <a:sysClr val="windowText" lastClr="000000"/>
              </a:solidFill>
            </a:rPr>
            <a:t>・・・連携なし</a:t>
          </a:r>
          <a:r>
            <a:rPr kumimoji="1" lang="en-US" altLang="ja-JP" sz="900">
              <a:solidFill>
                <a:sysClr val="windowText" lastClr="000000"/>
              </a:solidFill>
            </a:rPr>
            <a:t>(""(</a:t>
          </a:r>
          <a:r>
            <a:rPr kumimoji="1" lang="ja-JP" altLang="en-US" sz="900">
              <a:solidFill>
                <a:sysClr val="windowText" lastClr="000000"/>
              </a:solidFill>
            </a:rPr>
            <a:t>空</a:t>
          </a:r>
          <a:r>
            <a:rPr kumimoji="1" lang="en-US" altLang="ja-JP" sz="900">
              <a:solidFill>
                <a:sysClr val="windowText" lastClr="000000"/>
              </a:solidFill>
            </a:rPr>
            <a:t>)</a:t>
          </a:r>
          <a:r>
            <a:rPr kumimoji="1" lang="ja-JP" altLang="en-US" sz="900">
              <a:solidFill>
                <a:sysClr val="windowText" lastClr="000000"/>
              </a:solidFill>
            </a:rPr>
            <a:t>設定</a:t>
          </a:r>
          <a:r>
            <a:rPr kumimoji="1" lang="en-US" altLang="ja-JP" sz="900">
              <a:solidFill>
                <a:sysClr val="windowText" lastClr="000000"/>
              </a:solidFill>
            </a:rPr>
            <a:t>)</a:t>
          </a:r>
          <a:endParaRPr kumimoji="1" lang="ja-JP" altLang="en-US" sz="1100"/>
        </a:p>
      </xdr:txBody>
    </xdr:sp>
    <xdr:clientData/>
  </xdr:twoCellAnchor>
  <xdr:twoCellAnchor>
    <xdr:from>
      <xdr:col>10</xdr:col>
      <xdr:colOff>15240</xdr:colOff>
      <xdr:row>0</xdr:row>
      <xdr:rowOff>91440</xdr:rowOff>
    </xdr:from>
    <xdr:to>
      <xdr:col>11</xdr:col>
      <xdr:colOff>971550</xdr:colOff>
      <xdr:row>0</xdr:row>
      <xdr:rowOff>588645</xdr:rowOff>
    </xdr:to>
    <xdr:sp macro="" textlink="">
      <xdr:nvSpPr>
        <xdr:cNvPr id="7" name="Text Box 1">
          <a:extLst>
            <a:ext uri="{FF2B5EF4-FFF2-40B4-BE49-F238E27FC236}">
              <a16:creationId xmlns:a16="http://schemas.microsoft.com/office/drawing/2014/main" id="{D5660D76-0153-4D9D-AECE-9EC654B94F0E}"/>
            </a:ext>
          </a:extLst>
        </xdr:cNvPr>
        <xdr:cNvSpPr txBox="1">
          <a:spLocks noChangeArrowheads="1"/>
        </xdr:cNvSpPr>
      </xdr:nvSpPr>
      <xdr:spPr bwMode="auto">
        <a:xfrm>
          <a:off x="23231475" y="95250"/>
          <a:ext cx="1863090" cy="497205"/>
        </a:xfrm>
        <a:prstGeom prst="rect">
          <a:avLst/>
        </a:prstGeom>
        <a:noFill/>
        <a:ln w="9525">
          <a:noFill/>
          <a:miter lim="800000"/>
          <a:headEnd/>
          <a:tailEnd/>
        </a:ln>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Ｐゴシック"/>
              <a:ea typeface="ＭＳ Ｐゴシック"/>
            </a:rPr>
            <a:t>◎</a:t>
          </a:r>
          <a:r>
            <a:rPr lang="en-US" altLang="ja-JP" sz="900" b="0" i="0" u="none" strike="noStrike" baseline="0">
              <a:solidFill>
                <a:srgbClr val="000000"/>
              </a:solidFill>
              <a:latin typeface="ＭＳ Ｐゴシック"/>
              <a:ea typeface="ＭＳ Ｐゴシック"/>
            </a:rPr>
            <a:t>…1</a:t>
          </a:r>
          <a:r>
            <a:rPr lang="ja-JP" altLang="en-US" sz="900" b="0" i="0" u="none" strike="noStrike" baseline="0">
              <a:solidFill>
                <a:srgbClr val="000000"/>
              </a:solidFill>
              <a:latin typeface="ＭＳ Ｐゴシック"/>
              <a:ea typeface="ＭＳ Ｐゴシック"/>
            </a:rPr>
            <a:t>次開発</a:t>
          </a:r>
          <a:r>
            <a:rPr lang="ja-JP" altLang="ja-JP" sz="1000" b="0" i="0" baseline="0">
              <a:effectLst/>
              <a:latin typeface="+mn-lt"/>
              <a:ea typeface="+mn-ea"/>
              <a:cs typeface="+mn-cs"/>
            </a:rPr>
            <a:t>向け</a:t>
          </a:r>
          <a:endParaRPr lang="ja-JP" altLang="en-US" sz="900" b="0" i="0" u="none" strike="noStrike" baseline="0">
            <a:solidFill>
              <a:srgbClr val="000000"/>
            </a:solidFill>
            <a:latin typeface="ＭＳ Ｐゴシック"/>
            <a:ea typeface="ＭＳ Ｐゴシック"/>
          </a:endParaRPr>
        </a:p>
        <a:p>
          <a:pPr algn="l" rtl="0">
            <a:defRPr sz="1000"/>
          </a:pPr>
          <a:r>
            <a:rPr lang="ja-JP" altLang="en-US" sz="900" b="0" i="0" u="none" strike="noStrike" baseline="0">
              <a:solidFill>
                <a:srgbClr val="000000"/>
              </a:solidFill>
              <a:latin typeface="ＭＳ Ｐゴシック"/>
              <a:ea typeface="ＭＳ Ｐゴシック"/>
            </a:rPr>
            <a:t>●</a:t>
          </a:r>
          <a:r>
            <a:rPr lang="en-US" altLang="ja-JP" sz="900" b="0" i="0" u="none" strike="noStrike" baseline="0">
              <a:solidFill>
                <a:srgbClr val="000000"/>
              </a:solidFill>
              <a:latin typeface="ＭＳ Ｐゴシック"/>
              <a:ea typeface="ＭＳ Ｐゴシック"/>
            </a:rPr>
            <a:t>…TSM</a:t>
          </a:r>
          <a:r>
            <a:rPr lang="ja-JP" altLang="en-US" sz="900" b="0" i="0" u="none" strike="noStrike" baseline="0">
              <a:solidFill>
                <a:srgbClr val="000000"/>
              </a:solidFill>
              <a:latin typeface="ＭＳ Ｐゴシック"/>
              <a:ea typeface="ＭＳ Ｐゴシック"/>
            </a:rPr>
            <a:t>側で設定（設定不要を含む）</a:t>
          </a:r>
        </a:p>
        <a:p>
          <a:pPr algn="l" rtl="0">
            <a:defRPr sz="1000"/>
          </a:pPr>
          <a:r>
            <a:rPr lang="ja-JP" altLang="en-US" sz="900" b="0" i="0" u="none" strike="noStrike" baseline="0">
              <a:solidFill>
                <a:srgbClr val="000000"/>
              </a:solidFill>
              <a:latin typeface="ＭＳ Ｐゴシック"/>
              <a:ea typeface="ＭＳ Ｐゴシック"/>
            </a:rPr>
            <a:t>〇</a:t>
          </a:r>
          <a:r>
            <a:rPr lang="en-US" altLang="ja-JP" sz="900" b="0" i="0" u="none" strike="noStrike" baseline="0">
              <a:solidFill>
                <a:srgbClr val="000000"/>
              </a:solidFill>
              <a:latin typeface="ＭＳ Ｐゴシック"/>
              <a:ea typeface="ＭＳ Ｐゴシック"/>
            </a:rPr>
            <a:t>…2</a:t>
          </a:r>
          <a:r>
            <a:rPr lang="ja-JP" altLang="en-US" sz="900" b="0" i="0" u="none" strike="noStrike" baseline="0">
              <a:solidFill>
                <a:srgbClr val="000000"/>
              </a:solidFill>
              <a:latin typeface="ＭＳ Ｐゴシック"/>
              <a:ea typeface="ＭＳ Ｐゴシック"/>
            </a:rPr>
            <a:t>次開発向け</a:t>
          </a: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4</xdr:col>
      <xdr:colOff>192405</xdr:colOff>
      <xdr:row>0</xdr:row>
      <xdr:rowOff>325755</xdr:rowOff>
    </xdr:from>
    <xdr:to>
      <xdr:col>4</xdr:col>
      <xdr:colOff>472440</xdr:colOff>
      <xdr:row>0</xdr:row>
      <xdr:rowOff>478155</xdr:rowOff>
    </xdr:to>
    <xdr:sp macro="" textlink="">
      <xdr:nvSpPr>
        <xdr:cNvPr id="2" name="正方形/長方形 1">
          <a:extLst>
            <a:ext uri="{FF2B5EF4-FFF2-40B4-BE49-F238E27FC236}">
              <a16:creationId xmlns:a16="http://schemas.microsoft.com/office/drawing/2014/main" id="{13003319-3A37-4EC8-9AB6-BB06A69FF14A}"/>
            </a:ext>
          </a:extLst>
        </xdr:cNvPr>
        <xdr:cNvSpPr/>
      </xdr:nvSpPr>
      <xdr:spPr>
        <a:xfrm>
          <a:off x="4173855" y="321945"/>
          <a:ext cx="283845" cy="152400"/>
        </a:xfrm>
        <a:prstGeom prst="rect">
          <a:avLst/>
        </a:prstGeom>
        <a:solidFill>
          <a:schemeClr val="bg1">
            <a:lumMod val="75000"/>
          </a:schemeClr>
        </a:solidFill>
        <a:ln w="952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188595</xdr:colOff>
      <xdr:row>0</xdr:row>
      <xdr:rowOff>131445</xdr:rowOff>
    </xdr:from>
    <xdr:to>
      <xdr:col>4</xdr:col>
      <xdr:colOff>462915</xdr:colOff>
      <xdr:row>0</xdr:row>
      <xdr:rowOff>283845</xdr:rowOff>
    </xdr:to>
    <xdr:sp macro="" textlink="">
      <xdr:nvSpPr>
        <xdr:cNvPr id="3" name="正方形/長方形 2">
          <a:extLst>
            <a:ext uri="{FF2B5EF4-FFF2-40B4-BE49-F238E27FC236}">
              <a16:creationId xmlns:a16="http://schemas.microsoft.com/office/drawing/2014/main" id="{94E38246-3287-4239-835A-B0C78206C148}"/>
            </a:ext>
          </a:extLst>
        </xdr:cNvPr>
        <xdr:cNvSpPr/>
      </xdr:nvSpPr>
      <xdr:spPr>
        <a:xfrm>
          <a:off x="4170045" y="135255"/>
          <a:ext cx="276225" cy="152400"/>
        </a:xfrm>
        <a:prstGeom prst="rect">
          <a:avLst/>
        </a:prstGeom>
        <a:solidFill>
          <a:schemeClr val="bg1"/>
        </a:solidFill>
        <a:ln w="952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409576</xdr:colOff>
      <xdr:row>0</xdr:row>
      <xdr:rowOff>99059</xdr:rowOff>
    </xdr:from>
    <xdr:to>
      <xdr:col>6</xdr:col>
      <xdr:colOff>154305</xdr:colOff>
      <xdr:row>0</xdr:row>
      <xdr:rowOff>297179</xdr:rowOff>
    </xdr:to>
    <xdr:sp macro="" textlink="">
      <xdr:nvSpPr>
        <xdr:cNvPr id="4" name="正方形/長方形 3">
          <a:extLst>
            <a:ext uri="{FF2B5EF4-FFF2-40B4-BE49-F238E27FC236}">
              <a16:creationId xmlns:a16="http://schemas.microsoft.com/office/drawing/2014/main" id="{DF7761AE-3A92-4C8D-82B9-36665F2A856C}"/>
            </a:ext>
          </a:extLst>
        </xdr:cNvPr>
        <xdr:cNvSpPr/>
      </xdr:nvSpPr>
      <xdr:spPr>
        <a:xfrm>
          <a:off x="4389121" y="95249"/>
          <a:ext cx="1061084" cy="200025"/>
        </a:xfrm>
        <a:prstGeom prst="rect">
          <a:avLst/>
        </a:prstGeom>
        <a:noFill/>
        <a:ln w="952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ysClr val="windowText" lastClr="000000"/>
              </a:solidFill>
            </a:rPr>
            <a:t>行・・・連携あり</a:t>
          </a:r>
          <a:endParaRPr kumimoji="1" lang="en-US" altLang="ja-JP" sz="900">
            <a:solidFill>
              <a:sysClr val="windowText" lastClr="000000"/>
            </a:solidFill>
          </a:endParaRPr>
        </a:p>
        <a:p>
          <a:pPr algn="l"/>
          <a:endParaRPr kumimoji="1" lang="ja-JP" altLang="en-US" sz="1100"/>
        </a:p>
      </xdr:txBody>
    </xdr:sp>
    <xdr:clientData/>
  </xdr:twoCellAnchor>
  <xdr:twoCellAnchor>
    <xdr:from>
      <xdr:col>4</xdr:col>
      <xdr:colOff>413384</xdr:colOff>
      <xdr:row>0</xdr:row>
      <xdr:rowOff>297181</xdr:rowOff>
    </xdr:from>
    <xdr:to>
      <xdr:col>6</xdr:col>
      <xdr:colOff>586740</xdr:colOff>
      <xdr:row>0</xdr:row>
      <xdr:rowOff>510540</xdr:rowOff>
    </xdr:to>
    <xdr:sp macro="" textlink="">
      <xdr:nvSpPr>
        <xdr:cNvPr id="5" name="正方形/長方形 4">
          <a:extLst>
            <a:ext uri="{FF2B5EF4-FFF2-40B4-BE49-F238E27FC236}">
              <a16:creationId xmlns:a16="http://schemas.microsoft.com/office/drawing/2014/main" id="{0E490FB7-B3B4-41B3-A599-2E07B3EE0FB7}"/>
            </a:ext>
          </a:extLst>
        </xdr:cNvPr>
        <xdr:cNvSpPr/>
      </xdr:nvSpPr>
      <xdr:spPr>
        <a:xfrm>
          <a:off x="6235064" y="297181"/>
          <a:ext cx="1758316" cy="213359"/>
        </a:xfrm>
        <a:prstGeom prst="rect">
          <a:avLst/>
        </a:prstGeom>
        <a:noFill/>
        <a:ln w="952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ja-JP" sz="900">
              <a:solidFill>
                <a:sysClr val="windowText" lastClr="000000"/>
              </a:solidFill>
              <a:effectLst/>
              <a:latin typeface="+mn-lt"/>
              <a:ea typeface="+mn-ea"/>
              <a:cs typeface="+mn-cs"/>
            </a:rPr>
            <a:t>行</a:t>
          </a:r>
          <a:r>
            <a:rPr kumimoji="1" lang="ja-JP" altLang="en-US" sz="900">
              <a:solidFill>
                <a:sysClr val="windowText" lastClr="000000"/>
              </a:solidFill>
            </a:rPr>
            <a:t>・・・連携なし</a:t>
          </a:r>
          <a:r>
            <a:rPr kumimoji="1" lang="en-US" altLang="ja-JP" sz="900">
              <a:solidFill>
                <a:sysClr val="windowText" lastClr="000000"/>
              </a:solidFill>
            </a:rPr>
            <a:t>(""(</a:t>
          </a:r>
          <a:r>
            <a:rPr kumimoji="1" lang="ja-JP" altLang="en-US" sz="900">
              <a:solidFill>
                <a:sysClr val="windowText" lastClr="000000"/>
              </a:solidFill>
            </a:rPr>
            <a:t>空</a:t>
          </a:r>
          <a:r>
            <a:rPr kumimoji="1" lang="en-US" altLang="ja-JP" sz="900">
              <a:solidFill>
                <a:sysClr val="windowText" lastClr="000000"/>
              </a:solidFill>
            </a:rPr>
            <a:t>)</a:t>
          </a:r>
          <a:r>
            <a:rPr kumimoji="1" lang="ja-JP" altLang="en-US" sz="900">
              <a:solidFill>
                <a:sysClr val="windowText" lastClr="000000"/>
              </a:solidFill>
            </a:rPr>
            <a:t>設定</a:t>
          </a:r>
          <a:r>
            <a:rPr kumimoji="1" lang="en-US" altLang="ja-JP" sz="900">
              <a:solidFill>
                <a:sysClr val="windowText" lastClr="000000"/>
              </a:solidFill>
            </a:rPr>
            <a:t>)</a:t>
          </a:r>
          <a:endParaRPr kumimoji="1" lang="ja-JP" altLang="en-US" sz="1100"/>
        </a:p>
      </xdr:txBody>
    </xdr:sp>
    <xdr:clientData/>
  </xdr:twoCellAnchor>
  <xdr:twoCellAnchor>
    <xdr:from>
      <xdr:col>10</xdr:col>
      <xdr:colOff>19050</xdr:colOff>
      <xdr:row>0</xdr:row>
      <xdr:rowOff>95250</xdr:rowOff>
    </xdr:from>
    <xdr:to>
      <xdr:col>11</xdr:col>
      <xdr:colOff>1181100</xdr:colOff>
      <xdr:row>0</xdr:row>
      <xdr:rowOff>592455</xdr:rowOff>
    </xdr:to>
    <xdr:sp macro="" textlink="">
      <xdr:nvSpPr>
        <xdr:cNvPr id="7" name="Text Box 1">
          <a:extLst>
            <a:ext uri="{FF2B5EF4-FFF2-40B4-BE49-F238E27FC236}">
              <a16:creationId xmlns:a16="http://schemas.microsoft.com/office/drawing/2014/main" id="{71F258C4-77B0-4FC5-A7CE-20763FDE8E25}"/>
            </a:ext>
          </a:extLst>
        </xdr:cNvPr>
        <xdr:cNvSpPr txBox="1">
          <a:spLocks noChangeArrowheads="1"/>
        </xdr:cNvSpPr>
      </xdr:nvSpPr>
      <xdr:spPr bwMode="auto">
        <a:xfrm>
          <a:off x="23345775" y="95250"/>
          <a:ext cx="2162175" cy="497205"/>
        </a:xfrm>
        <a:prstGeom prst="rect">
          <a:avLst/>
        </a:prstGeom>
        <a:noFill/>
        <a:ln w="9525">
          <a:noFill/>
          <a:miter lim="800000"/>
          <a:headEnd/>
          <a:tailEnd/>
        </a:ln>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Ｐゴシック"/>
              <a:ea typeface="ＭＳ Ｐゴシック"/>
            </a:rPr>
            <a:t>◎</a:t>
          </a:r>
          <a:r>
            <a:rPr lang="en-US" altLang="ja-JP" sz="900" b="0" i="0" u="none" strike="noStrike" baseline="0">
              <a:solidFill>
                <a:srgbClr val="000000"/>
              </a:solidFill>
              <a:latin typeface="ＭＳ Ｐゴシック"/>
              <a:ea typeface="ＭＳ Ｐゴシック"/>
            </a:rPr>
            <a:t>…1</a:t>
          </a:r>
          <a:r>
            <a:rPr lang="ja-JP" altLang="en-US" sz="900" b="0" i="0" u="none" strike="noStrike" baseline="0">
              <a:solidFill>
                <a:srgbClr val="000000"/>
              </a:solidFill>
              <a:latin typeface="ＭＳ Ｐゴシック"/>
              <a:ea typeface="ＭＳ Ｐゴシック"/>
            </a:rPr>
            <a:t>次開発</a:t>
          </a:r>
          <a:r>
            <a:rPr lang="ja-JP" altLang="ja-JP" sz="900" b="0" i="0" baseline="0">
              <a:effectLst/>
              <a:latin typeface="+mn-lt"/>
              <a:ea typeface="+mn-ea"/>
              <a:cs typeface="+mn-cs"/>
            </a:rPr>
            <a:t>向け</a:t>
          </a:r>
          <a:endParaRPr lang="ja-JP" altLang="en-US" sz="900" b="0" i="0" u="none" strike="noStrike" baseline="0">
            <a:solidFill>
              <a:srgbClr val="000000"/>
            </a:solidFill>
            <a:latin typeface="ＭＳ Ｐゴシック"/>
            <a:ea typeface="ＭＳ Ｐゴシック"/>
          </a:endParaRPr>
        </a:p>
        <a:p>
          <a:pPr marL="0" marR="0" lvl="0" indent="0" algn="l" defTabSz="914400" rtl="0" eaLnBrk="1" fontAlgn="auto" latinLnBrk="0" hangingPunct="1">
            <a:lnSpc>
              <a:spcPct val="100000"/>
            </a:lnSpc>
            <a:spcBef>
              <a:spcPts val="0"/>
            </a:spcBef>
            <a:spcAft>
              <a:spcPts val="0"/>
            </a:spcAft>
            <a:buClrTx/>
            <a:buSzTx/>
            <a:buFontTx/>
            <a:buNone/>
            <a:tabLst/>
            <a:defRPr sz="1000"/>
          </a:pPr>
          <a:r>
            <a:rPr lang="ja-JP" altLang="en-US" sz="900" b="0" i="0" u="none" strike="noStrike" baseline="0">
              <a:solidFill>
                <a:srgbClr val="000000"/>
              </a:solidFill>
              <a:latin typeface="ＭＳ Ｐゴシック"/>
              <a:ea typeface="ＭＳ Ｐゴシック"/>
            </a:rPr>
            <a:t>●</a:t>
          </a:r>
          <a:r>
            <a:rPr lang="en-US" altLang="ja-JP" sz="900" b="0" i="0" u="none" strike="noStrike" baseline="0">
              <a:solidFill>
                <a:srgbClr val="000000"/>
              </a:solidFill>
              <a:latin typeface="ＭＳ Ｐゴシック"/>
              <a:ea typeface="ＭＳ Ｐゴシック"/>
            </a:rPr>
            <a:t>…</a:t>
          </a:r>
          <a:r>
            <a:rPr lang="en-US" altLang="ja-JP" sz="900" b="0" i="0" baseline="0">
              <a:effectLst/>
              <a:latin typeface="+mn-lt"/>
              <a:ea typeface="+mn-ea"/>
              <a:cs typeface="+mn-cs"/>
            </a:rPr>
            <a:t>TSM</a:t>
          </a:r>
          <a:r>
            <a:rPr lang="ja-JP" altLang="ja-JP" sz="900" b="0" i="0" baseline="0">
              <a:effectLst/>
              <a:latin typeface="+mn-lt"/>
              <a:ea typeface="+mn-ea"/>
              <a:cs typeface="+mn-cs"/>
            </a:rPr>
            <a:t>側で設定（設定不要を含む）</a:t>
          </a:r>
          <a:endParaRPr lang="en-US" altLang="ja-JP" sz="900" b="0" i="0" baseline="0">
            <a:effectLst/>
            <a:latin typeface="+mn-lt"/>
            <a:ea typeface="+mn-ea"/>
            <a:cs typeface="+mn-cs"/>
          </a:endParaRPr>
        </a:p>
        <a:p>
          <a:pPr algn="l" rtl="0">
            <a:defRPr sz="1000"/>
          </a:pPr>
          <a:r>
            <a:rPr lang="ja-JP" altLang="en-US" sz="900" b="0" i="0" u="none" strike="noStrike" baseline="0">
              <a:solidFill>
                <a:srgbClr val="000000"/>
              </a:solidFill>
              <a:latin typeface="ＭＳ Ｐゴシック"/>
              <a:ea typeface="ＭＳ Ｐゴシック"/>
            </a:rPr>
            <a:t>〇</a:t>
          </a:r>
          <a:r>
            <a:rPr lang="en-US" altLang="ja-JP" sz="900" b="0" i="0" u="none" strike="noStrike" baseline="0">
              <a:solidFill>
                <a:srgbClr val="000000"/>
              </a:solidFill>
              <a:latin typeface="ＭＳ Ｐゴシック"/>
              <a:ea typeface="ＭＳ Ｐゴシック"/>
            </a:rPr>
            <a:t>…2</a:t>
          </a:r>
          <a:r>
            <a:rPr lang="ja-JP" altLang="en-US" sz="900" b="0" i="0" u="none" strike="noStrike" baseline="0">
              <a:solidFill>
                <a:srgbClr val="000000"/>
              </a:solidFill>
              <a:latin typeface="ＭＳ Ｐゴシック"/>
              <a:ea typeface="ＭＳ Ｐゴシック"/>
            </a:rPr>
            <a:t>次開発向け</a:t>
          </a:r>
        </a:p>
      </xdr:txBody>
    </xdr:sp>
    <xdr:clientData/>
  </xdr:twoCellAnchor>
</xdr:wsDr>
</file>

<file path=xl/drawings/drawing19.xml><?xml version="1.0" encoding="utf-8"?>
<xdr:wsDr xmlns:xdr="http://schemas.openxmlformats.org/drawingml/2006/spreadsheetDrawing" xmlns:a="http://schemas.openxmlformats.org/drawingml/2006/main">
  <xdr:twoCellAnchor editAs="oneCell">
    <xdr:from>
      <xdr:col>3</xdr:col>
      <xdr:colOff>45720</xdr:colOff>
      <xdr:row>120</xdr:row>
      <xdr:rowOff>15240</xdr:rowOff>
    </xdr:from>
    <xdr:to>
      <xdr:col>77</xdr:col>
      <xdr:colOff>38100</xdr:colOff>
      <xdr:row>122</xdr:row>
      <xdr:rowOff>53340</xdr:rowOff>
    </xdr:to>
    <xdr:pic>
      <xdr:nvPicPr>
        <xdr:cNvPr id="2" name="図 1">
          <a:extLst>
            <a:ext uri="{FF2B5EF4-FFF2-40B4-BE49-F238E27FC236}">
              <a16:creationId xmlns:a16="http://schemas.microsoft.com/office/drawing/2014/main" id="{50CA7079-A7FB-4D78-85F1-AE818138E80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19125" y="19735800"/>
          <a:ext cx="14087475" cy="381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30480</xdr:colOff>
      <xdr:row>123</xdr:row>
      <xdr:rowOff>91440</xdr:rowOff>
    </xdr:from>
    <xdr:to>
      <xdr:col>39</xdr:col>
      <xdr:colOff>19050</xdr:colOff>
      <xdr:row>125</xdr:row>
      <xdr:rowOff>0</xdr:rowOff>
    </xdr:to>
    <xdr:pic>
      <xdr:nvPicPr>
        <xdr:cNvPr id="3" name="図 2">
          <a:extLst>
            <a:ext uri="{FF2B5EF4-FFF2-40B4-BE49-F238E27FC236}">
              <a16:creationId xmlns:a16="http://schemas.microsoft.com/office/drawing/2014/main" id="{3D276370-3FA6-45E8-80FC-33585F126CA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0575" y="20326350"/>
          <a:ext cx="6648450"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129</xdr:row>
      <xdr:rowOff>114300</xdr:rowOff>
    </xdr:from>
    <xdr:to>
      <xdr:col>55</xdr:col>
      <xdr:colOff>158115</xdr:colOff>
      <xdr:row>133</xdr:row>
      <xdr:rowOff>171450</xdr:rowOff>
    </xdr:to>
    <xdr:pic>
      <xdr:nvPicPr>
        <xdr:cNvPr id="4" name="図 3">
          <a:extLst>
            <a:ext uri="{FF2B5EF4-FFF2-40B4-BE49-F238E27FC236}">
              <a16:creationId xmlns:a16="http://schemas.microsoft.com/office/drawing/2014/main" id="{A5328B04-D973-46AB-BFF2-96231BD0CE2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762000" y="21412200"/>
          <a:ext cx="9886950" cy="733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138</xdr:row>
      <xdr:rowOff>0</xdr:rowOff>
    </xdr:from>
    <xdr:to>
      <xdr:col>74</xdr:col>
      <xdr:colOff>133350</xdr:colOff>
      <xdr:row>140</xdr:row>
      <xdr:rowOff>38100</xdr:rowOff>
    </xdr:to>
    <xdr:pic>
      <xdr:nvPicPr>
        <xdr:cNvPr id="5" name="図 4">
          <a:extLst>
            <a:ext uri="{FF2B5EF4-FFF2-40B4-BE49-F238E27FC236}">
              <a16:creationId xmlns:a16="http://schemas.microsoft.com/office/drawing/2014/main" id="{4ECA58CA-ECFB-4C02-B8A1-A2268D42057C}"/>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571500" y="22850475"/>
          <a:ext cx="13649325" cy="381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91440</xdr:colOff>
      <xdr:row>140</xdr:row>
      <xdr:rowOff>152400</xdr:rowOff>
    </xdr:from>
    <xdr:to>
      <xdr:col>39</xdr:col>
      <xdr:colOff>59055</xdr:colOff>
      <xdr:row>142</xdr:row>
      <xdr:rowOff>53340</xdr:rowOff>
    </xdr:to>
    <xdr:pic>
      <xdr:nvPicPr>
        <xdr:cNvPr id="6" name="図 5">
          <a:extLst>
            <a:ext uri="{FF2B5EF4-FFF2-40B4-BE49-F238E27FC236}">
              <a16:creationId xmlns:a16="http://schemas.microsoft.com/office/drawing/2014/main" id="{46C936E7-E5C1-460E-B8A8-2492A18F9465}"/>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857250" y="23345775"/>
          <a:ext cx="6638925"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45720</xdr:colOff>
      <xdr:row>147</xdr:row>
      <xdr:rowOff>0</xdr:rowOff>
    </xdr:from>
    <xdr:to>
      <xdr:col>56</xdr:col>
      <xdr:colOff>15240</xdr:colOff>
      <xdr:row>151</xdr:row>
      <xdr:rowOff>57150</xdr:rowOff>
    </xdr:to>
    <xdr:pic>
      <xdr:nvPicPr>
        <xdr:cNvPr id="7" name="図 6">
          <a:extLst>
            <a:ext uri="{FF2B5EF4-FFF2-40B4-BE49-F238E27FC236}">
              <a16:creationId xmlns:a16="http://schemas.microsoft.com/office/drawing/2014/main" id="{FDD6D546-E1F6-45E8-AED9-039834EF1B3F}"/>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809625" y="24431625"/>
          <a:ext cx="9877425" cy="733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48</xdr:col>
      <xdr:colOff>152401</xdr:colOff>
      <xdr:row>3</xdr:row>
      <xdr:rowOff>60961</xdr:rowOff>
    </xdr:from>
    <xdr:to>
      <xdr:col>68</xdr:col>
      <xdr:colOff>15241</xdr:colOff>
      <xdr:row>7</xdr:row>
      <xdr:rowOff>91440</xdr:rowOff>
    </xdr:to>
    <xdr:sp macro="" textlink="">
      <xdr:nvSpPr>
        <xdr:cNvPr id="8" name="テキスト ボックス 7">
          <a:extLst>
            <a:ext uri="{FF2B5EF4-FFF2-40B4-BE49-F238E27FC236}">
              <a16:creationId xmlns:a16="http://schemas.microsoft.com/office/drawing/2014/main" id="{D0D6166D-19C3-4F01-BC73-DBC74C6F68A9}"/>
            </a:ext>
          </a:extLst>
        </xdr:cNvPr>
        <xdr:cNvSpPr txBox="1"/>
      </xdr:nvSpPr>
      <xdr:spPr>
        <a:xfrm>
          <a:off x="9296401" y="571501"/>
          <a:ext cx="3676650" cy="7238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800">
              <a:solidFill>
                <a:srgbClr val="FF0000"/>
              </a:solidFill>
              <a:latin typeface="+mn-ea"/>
              <a:ea typeface="+mn-ea"/>
            </a:rPr>
            <a:t>※</a:t>
          </a:r>
          <a:r>
            <a:rPr kumimoji="1" lang="ja-JP" altLang="en-US" sz="800">
              <a:solidFill>
                <a:srgbClr val="FF0000"/>
              </a:solidFill>
              <a:latin typeface="+mn-ea"/>
              <a:ea typeface="+mn-ea"/>
            </a:rPr>
            <a:t>カラム格納形式の凡例</a:t>
          </a:r>
          <a:r>
            <a:rPr kumimoji="1" lang="en-US" altLang="ja-JP" sz="800">
              <a:solidFill>
                <a:srgbClr val="FF0000"/>
              </a:solidFill>
              <a:latin typeface="+mn-ea"/>
              <a:ea typeface="+mn-ea"/>
            </a:rPr>
            <a:t>※</a:t>
          </a:r>
        </a:p>
        <a:p>
          <a:r>
            <a:rPr kumimoji="1" lang="ja-JP" altLang="en-US" sz="800">
              <a:latin typeface="+mn-ea"/>
              <a:ea typeface="+mn-ea"/>
            </a:rPr>
            <a:t>　固　　　　：桁数分の数値または文字（スペース含む）　</a:t>
          </a:r>
          <a:r>
            <a:rPr kumimoji="1" lang="en-US" altLang="ja-JP" sz="800">
              <a:latin typeface="+mn-ea"/>
              <a:ea typeface="+mn-ea"/>
            </a:rPr>
            <a:t>※,</a:t>
          </a:r>
          <a:r>
            <a:rPr kumimoji="1" lang="ja-JP" altLang="en-US" sz="800">
              <a:latin typeface="+mn-ea"/>
              <a:ea typeface="+mn-ea"/>
            </a:rPr>
            <a:t>（カンマ）区切りなし</a:t>
          </a:r>
          <a:endParaRPr kumimoji="1" lang="en-US" altLang="ja-JP" sz="800">
            <a:latin typeface="+mn-ea"/>
            <a:ea typeface="+mn-ea"/>
          </a:endParaRPr>
        </a:p>
        <a:p>
          <a:r>
            <a:rPr kumimoji="1" lang="ja-JP" altLang="en-US" sz="800">
              <a:latin typeface="+mn-ea"/>
              <a:ea typeface="+mn-ea"/>
            </a:rPr>
            <a:t>　</a:t>
          </a:r>
          <a:r>
            <a:rPr kumimoji="1" lang="en-US" altLang="ja-JP" sz="800">
              <a:latin typeface="+mn-ea"/>
              <a:ea typeface="+mn-ea"/>
            </a:rPr>
            <a:t>,</a:t>
          </a:r>
          <a:r>
            <a:rPr kumimoji="1" lang="ja-JP" altLang="en-US" sz="800">
              <a:latin typeface="+mn-ea"/>
              <a:ea typeface="+mn-ea"/>
            </a:rPr>
            <a:t>数値　　：桁数内の数値（例：項目の桁数：</a:t>
          </a:r>
          <a:r>
            <a:rPr kumimoji="1" lang="en-US" altLang="ja-JP" sz="800">
              <a:latin typeface="+mn-ea"/>
              <a:ea typeface="+mn-ea"/>
            </a:rPr>
            <a:t>4</a:t>
          </a:r>
          <a:r>
            <a:rPr kumimoji="1" lang="ja-JP" altLang="en-US" sz="800">
              <a:latin typeface="+mn-ea"/>
              <a:ea typeface="+mn-ea"/>
            </a:rPr>
            <a:t>で値</a:t>
          </a:r>
          <a:r>
            <a:rPr kumimoji="1" lang="en-US" altLang="ja-JP" sz="800">
              <a:latin typeface="+mn-ea"/>
              <a:ea typeface="+mn-ea"/>
            </a:rPr>
            <a:t>13</a:t>
          </a:r>
          <a:r>
            <a:rPr kumimoji="1" lang="ja-JP" altLang="en-US" sz="800">
              <a:latin typeface="+mn-ea"/>
              <a:ea typeface="+mn-ea"/>
            </a:rPr>
            <a:t>の場合、</a:t>
          </a:r>
          <a:r>
            <a:rPr kumimoji="1" lang="en-US" altLang="ja-JP" sz="800">
              <a:latin typeface="+mn-ea"/>
              <a:ea typeface="+mn-ea"/>
            </a:rPr>
            <a:t>,13</a:t>
          </a:r>
          <a:r>
            <a:rPr kumimoji="1" lang="ja-JP" altLang="en-US" sz="800">
              <a:latin typeface="+mn-ea"/>
              <a:ea typeface="+mn-ea"/>
            </a:rPr>
            <a:t>）</a:t>
          </a:r>
          <a:endParaRPr kumimoji="1" lang="en-US" altLang="ja-JP" sz="800">
            <a:latin typeface="+mn-ea"/>
            <a:ea typeface="+mn-ea"/>
          </a:endParaRPr>
        </a:p>
        <a:p>
          <a:r>
            <a:rPr kumimoji="1" lang="ja-JP" altLang="en-US" sz="800">
              <a:latin typeface="+mn-ea"/>
              <a:ea typeface="+mn-ea"/>
            </a:rPr>
            <a:t>　</a:t>
          </a:r>
          <a:r>
            <a:rPr kumimoji="1" lang="en-US" altLang="ja-JP" sz="800">
              <a:latin typeface="+mn-ea"/>
              <a:ea typeface="+mn-ea"/>
            </a:rPr>
            <a:t>,'</a:t>
          </a:r>
          <a:r>
            <a:rPr kumimoji="1" lang="ja-JP" altLang="en-US" sz="800">
              <a:latin typeface="+mn-ea"/>
              <a:ea typeface="+mn-ea"/>
            </a:rPr>
            <a:t>文字</a:t>
          </a:r>
          <a:r>
            <a:rPr kumimoji="1" lang="en-US" altLang="ja-JP" sz="800">
              <a:latin typeface="+mn-ea"/>
              <a:ea typeface="+mn-ea"/>
            </a:rPr>
            <a:t>'</a:t>
          </a:r>
          <a:r>
            <a:rPr kumimoji="1" lang="ja-JP" altLang="en-US" sz="800">
              <a:latin typeface="+mn-ea"/>
              <a:ea typeface="+mn-ea"/>
            </a:rPr>
            <a:t>　：</a:t>
          </a:r>
          <a:r>
            <a:rPr kumimoji="1" lang="en-US" altLang="ja-JP" sz="800">
              <a:latin typeface="+mn-ea"/>
              <a:ea typeface="+mn-ea"/>
            </a:rPr>
            <a:t>'</a:t>
          </a:r>
          <a:r>
            <a:rPr kumimoji="1" lang="ja-JP" altLang="en-US" sz="800">
              <a:latin typeface="+mn-ea"/>
              <a:ea typeface="+mn-ea"/>
            </a:rPr>
            <a:t>（シングルコーテーション）で桁数分を囲む</a:t>
          </a: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9</xdr:col>
      <xdr:colOff>956310</xdr:colOff>
      <xdr:row>4</xdr:row>
      <xdr:rowOff>293369</xdr:rowOff>
    </xdr:from>
    <xdr:to>
      <xdr:col>14</xdr:col>
      <xdr:colOff>508000</xdr:colOff>
      <xdr:row>8</xdr:row>
      <xdr:rowOff>9525</xdr:rowOff>
    </xdr:to>
    <xdr:sp macro="" textlink="">
      <xdr:nvSpPr>
        <xdr:cNvPr id="2" name="吹き出し: 角を丸めた四角形 1">
          <a:extLst>
            <a:ext uri="{FF2B5EF4-FFF2-40B4-BE49-F238E27FC236}">
              <a16:creationId xmlns:a16="http://schemas.microsoft.com/office/drawing/2014/main" id="{5F4DB074-6E2C-4903-89DF-F1EB9DA4C70C}"/>
            </a:ext>
          </a:extLst>
        </xdr:cNvPr>
        <xdr:cNvSpPr/>
      </xdr:nvSpPr>
      <xdr:spPr>
        <a:xfrm>
          <a:off x="2575560" y="855344"/>
          <a:ext cx="1285240" cy="525781"/>
        </a:xfrm>
        <a:prstGeom prst="wedgeRoundRectCallout">
          <a:avLst>
            <a:gd name="adj1" fmla="val -23475"/>
            <a:gd name="adj2" fmla="val 19112"/>
            <a:gd name="adj3" fmla="val 1666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rtlCol="0" anchor="ctr"/>
        <a:lstStyle/>
        <a:p>
          <a:pPr algn="l"/>
          <a:r>
            <a:rPr kumimoji="1" lang="ja-JP" altLang="en-US" sz="1100" b="1"/>
            <a:t>同じ種類</a:t>
          </a:r>
          <a:r>
            <a:rPr kumimoji="1" lang="en-US" altLang="ja-JP" sz="1100" b="1"/>
            <a:t>(DISC_CLSS_ID)</a:t>
          </a:r>
          <a:r>
            <a:rPr kumimoji="1" lang="ja-JP" altLang="en-US" sz="1100" b="1"/>
            <a:t>の値引併用時は、採用された値引</a:t>
          </a:r>
          <a:r>
            <a:rPr kumimoji="1" lang="en-US" altLang="ja-JP" sz="1100" b="1"/>
            <a:t>(</a:t>
          </a:r>
          <a:r>
            <a:rPr kumimoji="1" lang="ja-JP" altLang="en-US" sz="1100" b="1"/>
            <a:t>安価</a:t>
          </a:r>
          <a:r>
            <a:rPr kumimoji="1" lang="en-US" altLang="ja-JP" sz="1100" b="1"/>
            <a:t>)</a:t>
          </a:r>
          <a:r>
            <a:rPr kumimoji="1" lang="ja-JP" altLang="en-US" sz="1100" b="1"/>
            <a:t>のトランのみを生成する</a:t>
          </a:r>
          <a:endParaRPr kumimoji="1" lang="en-US" altLang="ja-JP" sz="1100" b="1"/>
        </a:p>
        <a:p>
          <a:pPr algn="l"/>
          <a:r>
            <a:rPr kumimoji="1" lang="en-US" altLang="ja-JP" sz="1100" b="1"/>
            <a:t>※</a:t>
          </a:r>
          <a:r>
            <a:rPr kumimoji="1" lang="ja-JP" altLang="en-US" sz="1100" b="1"/>
            <a:t>違う種類の値引併用時は、採用</a:t>
          </a:r>
          <a:r>
            <a:rPr kumimoji="1" lang="en-US" altLang="ja-JP" sz="1100" b="1"/>
            <a:t>/</a:t>
          </a:r>
          <a:r>
            <a:rPr kumimoji="1" lang="ja-JP" altLang="en-US" sz="1100" b="1"/>
            <a:t>未採用の両方の値引のトランを生成する</a:t>
          </a:r>
        </a:p>
      </xdr:txBody>
    </xdr:sp>
    <xdr:clientData/>
  </xdr:twoCellAnchor>
  <xdr:twoCellAnchor>
    <xdr:from>
      <xdr:col>5</xdr:col>
      <xdr:colOff>76200</xdr:colOff>
      <xdr:row>6</xdr:row>
      <xdr:rowOff>151447</xdr:rowOff>
    </xdr:from>
    <xdr:to>
      <xdr:col>9</xdr:col>
      <xdr:colOff>956310</xdr:colOff>
      <xdr:row>7</xdr:row>
      <xdr:rowOff>104775</xdr:rowOff>
    </xdr:to>
    <xdr:cxnSp macro="">
      <xdr:nvCxnSpPr>
        <xdr:cNvPr id="3" name="直線矢印コネクタ 2">
          <a:extLst>
            <a:ext uri="{FF2B5EF4-FFF2-40B4-BE49-F238E27FC236}">
              <a16:creationId xmlns:a16="http://schemas.microsoft.com/office/drawing/2014/main" id="{A5E26369-B7FB-4E99-9505-94B99E928C73}"/>
            </a:ext>
          </a:extLst>
        </xdr:cNvPr>
        <xdr:cNvCxnSpPr>
          <a:stCxn id="2" idx="1"/>
        </xdr:cNvCxnSpPr>
      </xdr:nvCxnSpPr>
      <xdr:spPr>
        <a:xfrm flipH="1">
          <a:off x="1362075" y="1180147"/>
          <a:ext cx="1213485" cy="124778"/>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28575</xdr:colOff>
      <xdr:row>6</xdr:row>
      <xdr:rowOff>151447</xdr:rowOff>
    </xdr:from>
    <xdr:to>
      <xdr:col>9</xdr:col>
      <xdr:colOff>956310</xdr:colOff>
      <xdr:row>9</xdr:row>
      <xdr:rowOff>95250</xdr:rowOff>
    </xdr:to>
    <xdr:cxnSp macro="">
      <xdr:nvCxnSpPr>
        <xdr:cNvPr id="4" name="直線矢印コネクタ 3">
          <a:extLst>
            <a:ext uri="{FF2B5EF4-FFF2-40B4-BE49-F238E27FC236}">
              <a16:creationId xmlns:a16="http://schemas.microsoft.com/office/drawing/2014/main" id="{6508C28B-986F-4A2F-A439-66A2A1665F42}"/>
            </a:ext>
          </a:extLst>
        </xdr:cNvPr>
        <xdr:cNvCxnSpPr>
          <a:stCxn id="2" idx="1"/>
        </xdr:cNvCxnSpPr>
      </xdr:nvCxnSpPr>
      <xdr:spPr>
        <a:xfrm flipH="1">
          <a:off x="1571625" y="1180147"/>
          <a:ext cx="1003935" cy="458153"/>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76200</xdr:colOff>
      <xdr:row>6</xdr:row>
      <xdr:rowOff>151447</xdr:rowOff>
    </xdr:from>
    <xdr:to>
      <xdr:col>9</xdr:col>
      <xdr:colOff>956310</xdr:colOff>
      <xdr:row>11</xdr:row>
      <xdr:rowOff>19050</xdr:rowOff>
    </xdr:to>
    <xdr:cxnSp macro="">
      <xdr:nvCxnSpPr>
        <xdr:cNvPr id="5" name="直線矢印コネクタ 4">
          <a:extLst>
            <a:ext uri="{FF2B5EF4-FFF2-40B4-BE49-F238E27FC236}">
              <a16:creationId xmlns:a16="http://schemas.microsoft.com/office/drawing/2014/main" id="{3767AA0E-FD80-4E36-B77B-DF6178C1ECC8}"/>
            </a:ext>
          </a:extLst>
        </xdr:cNvPr>
        <xdr:cNvCxnSpPr>
          <a:stCxn id="2" idx="1"/>
        </xdr:cNvCxnSpPr>
      </xdr:nvCxnSpPr>
      <xdr:spPr>
        <a:xfrm flipH="1">
          <a:off x="1876425" y="1180147"/>
          <a:ext cx="699135" cy="724853"/>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28575</xdr:colOff>
      <xdr:row>6</xdr:row>
      <xdr:rowOff>151447</xdr:rowOff>
    </xdr:from>
    <xdr:to>
      <xdr:col>9</xdr:col>
      <xdr:colOff>956310</xdr:colOff>
      <xdr:row>11</xdr:row>
      <xdr:rowOff>466725</xdr:rowOff>
    </xdr:to>
    <xdr:cxnSp macro="">
      <xdr:nvCxnSpPr>
        <xdr:cNvPr id="6" name="直線矢印コネクタ 5">
          <a:extLst>
            <a:ext uri="{FF2B5EF4-FFF2-40B4-BE49-F238E27FC236}">
              <a16:creationId xmlns:a16="http://schemas.microsoft.com/office/drawing/2014/main" id="{A1CE5243-CA38-43A7-A632-AF4EEC9B5BBE}"/>
            </a:ext>
          </a:extLst>
        </xdr:cNvPr>
        <xdr:cNvCxnSpPr>
          <a:stCxn id="2" idx="1"/>
        </xdr:cNvCxnSpPr>
      </xdr:nvCxnSpPr>
      <xdr:spPr>
        <a:xfrm flipH="1">
          <a:off x="2085975" y="1180147"/>
          <a:ext cx="489585" cy="877253"/>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981075</xdr:colOff>
      <xdr:row>6</xdr:row>
      <xdr:rowOff>151447</xdr:rowOff>
    </xdr:from>
    <xdr:to>
      <xdr:col>9</xdr:col>
      <xdr:colOff>956310</xdr:colOff>
      <xdr:row>14</xdr:row>
      <xdr:rowOff>0</xdr:rowOff>
    </xdr:to>
    <xdr:cxnSp macro="">
      <xdr:nvCxnSpPr>
        <xdr:cNvPr id="7" name="直線矢印コネクタ 6">
          <a:extLst>
            <a:ext uri="{FF2B5EF4-FFF2-40B4-BE49-F238E27FC236}">
              <a16:creationId xmlns:a16="http://schemas.microsoft.com/office/drawing/2014/main" id="{F315E0E1-46EA-4C72-9794-0003BC190947}"/>
            </a:ext>
          </a:extLst>
        </xdr:cNvPr>
        <xdr:cNvCxnSpPr>
          <a:stCxn id="2" idx="1"/>
        </xdr:cNvCxnSpPr>
      </xdr:nvCxnSpPr>
      <xdr:spPr>
        <a:xfrm flipH="1">
          <a:off x="2314575" y="1180147"/>
          <a:ext cx="260985" cy="1220153"/>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1285874</xdr:colOff>
      <xdr:row>9</xdr:row>
      <xdr:rowOff>0</xdr:rowOff>
    </xdr:from>
    <xdr:to>
      <xdr:col>15</xdr:col>
      <xdr:colOff>962025</xdr:colOff>
      <xdr:row>14</xdr:row>
      <xdr:rowOff>0</xdr:rowOff>
    </xdr:to>
    <xdr:sp macro="" textlink="">
      <xdr:nvSpPr>
        <xdr:cNvPr id="8" name="四角形: 角を丸くする 7">
          <a:extLst>
            <a:ext uri="{FF2B5EF4-FFF2-40B4-BE49-F238E27FC236}">
              <a16:creationId xmlns:a16="http://schemas.microsoft.com/office/drawing/2014/main" id="{81E16213-708C-402B-8FEF-E216100F39BF}"/>
            </a:ext>
          </a:extLst>
        </xdr:cNvPr>
        <xdr:cNvSpPr/>
      </xdr:nvSpPr>
      <xdr:spPr>
        <a:xfrm>
          <a:off x="2571749" y="1543050"/>
          <a:ext cx="1543051" cy="857250"/>
        </a:xfrm>
        <a:prstGeom prst="roundRect">
          <a:avLst/>
        </a:prstGeom>
        <a:solidFill>
          <a:schemeClr val="bg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400" b="1" u="sng">
              <a:solidFill>
                <a:sysClr val="windowText" lastClr="000000"/>
              </a:solidFill>
            </a:rPr>
            <a:t>凡例</a:t>
          </a:r>
          <a:endParaRPr kumimoji="1" lang="en-US" altLang="ja-JP" sz="1400" b="1" u="sng">
            <a:solidFill>
              <a:sysClr val="windowText" lastClr="000000"/>
            </a:solidFill>
          </a:endParaRPr>
        </a:p>
        <a:p>
          <a:pPr algn="l"/>
          <a:r>
            <a:rPr kumimoji="1" lang="en-US" altLang="ja-JP" sz="1400" b="1">
              <a:solidFill>
                <a:srgbClr val="0000FF"/>
              </a:solidFill>
            </a:rPr>
            <a:t>【</a:t>
          </a:r>
          <a:r>
            <a:rPr kumimoji="1" lang="ja-JP" altLang="en-US" sz="1400" b="1">
              <a:solidFill>
                <a:srgbClr val="0000FF"/>
              </a:solidFill>
            </a:rPr>
            <a:t>トラン</a:t>
          </a:r>
          <a:r>
            <a:rPr kumimoji="1" lang="en-US" altLang="ja-JP" sz="1400" b="1">
              <a:solidFill>
                <a:srgbClr val="0000FF"/>
              </a:solidFill>
            </a:rPr>
            <a:t>】</a:t>
          </a:r>
          <a:r>
            <a:rPr kumimoji="1" lang="ja-JP" altLang="en-US" sz="1400" b="1">
              <a:solidFill>
                <a:srgbClr val="0000FF"/>
              </a:solidFill>
            </a:rPr>
            <a:t>○付数字</a:t>
          </a:r>
          <a:r>
            <a:rPr kumimoji="1" lang="en-US" altLang="ja-JP" sz="1400" b="1">
              <a:solidFill>
                <a:srgbClr val="0000FF"/>
              </a:solidFill>
            </a:rPr>
            <a:t>(</a:t>
          </a:r>
          <a:r>
            <a:rPr kumimoji="1" lang="ja-JP" altLang="en-US" sz="1400" b="1">
              <a:solidFill>
                <a:srgbClr val="0000FF"/>
              </a:solidFill>
            </a:rPr>
            <a:t>青太字</a:t>
          </a:r>
          <a:r>
            <a:rPr kumimoji="1" lang="en-US" altLang="ja-JP" sz="1400" b="1">
              <a:solidFill>
                <a:srgbClr val="0000FF"/>
              </a:solidFill>
            </a:rPr>
            <a:t>)</a:t>
          </a:r>
          <a:r>
            <a:rPr kumimoji="1" lang="ja-JP" altLang="en-US" sz="1400" b="0">
              <a:solidFill>
                <a:sysClr val="windowText" lastClr="000000"/>
              </a:solidFill>
            </a:rPr>
            <a:t>：生成する値引トラン</a:t>
          </a:r>
          <a:r>
            <a:rPr kumimoji="1" lang="en-US" altLang="ja-JP" sz="1400" b="0">
              <a:solidFill>
                <a:sysClr val="windowText" lastClr="000000"/>
              </a:solidFill>
            </a:rPr>
            <a:t>(LN_DISCOUNT/LN_LINK)</a:t>
          </a:r>
          <a:r>
            <a:rPr kumimoji="1" lang="ja-JP" altLang="en-US" sz="1400" b="0">
              <a:solidFill>
                <a:sysClr val="windowText" lastClr="000000"/>
              </a:solidFill>
            </a:rPr>
            <a:t>の対象</a:t>
          </a:r>
          <a:endParaRPr kumimoji="1" lang="en-US" altLang="ja-JP" sz="1400" b="0">
            <a:solidFill>
              <a:sysClr val="windowText" lastClr="000000"/>
            </a:solidFill>
          </a:endParaRPr>
        </a:p>
        <a:p>
          <a:pPr algn="l"/>
          <a:r>
            <a:rPr kumimoji="1" lang="en-US" altLang="ja-JP" sz="1400" b="0">
              <a:solidFill>
                <a:sysClr val="windowText" lastClr="000000"/>
              </a:solidFill>
            </a:rPr>
            <a:t>※</a:t>
          </a:r>
          <a:r>
            <a:rPr kumimoji="1" lang="ja-JP" altLang="en-US" sz="1400" b="0">
              <a:solidFill>
                <a:sysClr val="windowText" lastClr="000000"/>
              </a:solidFill>
            </a:rPr>
            <a:t>○付数字の右側文字</a:t>
          </a:r>
          <a:endParaRPr kumimoji="1" lang="en-US" altLang="ja-JP" sz="1400" b="0">
            <a:solidFill>
              <a:sysClr val="windowText" lastClr="000000"/>
            </a:solidFill>
          </a:endParaRPr>
        </a:p>
        <a:p>
          <a:pPr algn="l"/>
          <a:r>
            <a:rPr kumimoji="1" lang="ja-JP" altLang="en-US" sz="1400" b="0">
              <a:solidFill>
                <a:sysClr val="windowText" lastClr="000000"/>
              </a:solidFill>
            </a:rPr>
            <a:t>　・安価： 採用された値引</a:t>
          </a:r>
          <a:r>
            <a:rPr kumimoji="1" lang="en-US" altLang="ja-JP" sz="1400" b="0">
              <a:solidFill>
                <a:sysClr val="windowText" lastClr="000000"/>
              </a:solidFill>
            </a:rPr>
            <a:t>(</a:t>
          </a:r>
          <a:r>
            <a:rPr kumimoji="1" lang="ja-JP" altLang="en-US" sz="1400" b="0">
              <a:solidFill>
                <a:sysClr val="windowText" lastClr="000000"/>
              </a:solidFill>
            </a:rPr>
            <a:t>安価</a:t>
          </a:r>
          <a:r>
            <a:rPr kumimoji="1" lang="en-US" altLang="ja-JP" sz="1400" b="0">
              <a:solidFill>
                <a:sysClr val="windowText" lastClr="000000"/>
              </a:solidFill>
            </a:rPr>
            <a:t>)</a:t>
          </a:r>
          <a:r>
            <a:rPr kumimoji="1" lang="ja-JP" altLang="en-US" sz="1400" b="0">
              <a:solidFill>
                <a:sysClr val="windowText" lastClr="000000"/>
              </a:solidFill>
            </a:rPr>
            <a:t>のトランのみを生成</a:t>
          </a:r>
          <a:endParaRPr kumimoji="1" lang="en-US" altLang="ja-JP" sz="1400" b="0">
            <a:solidFill>
              <a:sysClr val="windowText" lastClr="000000"/>
            </a:solidFill>
          </a:endParaRPr>
        </a:p>
        <a:p>
          <a:pPr algn="l"/>
          <a:r>
            <a:rPr kumimoji="1" lang="ja-JP" altLang="en-US" sz="1400" b="0">
              <a:solidFill>
                <a:sysClr val="windowText" lastClr="000000"/>
              </a:solidFill>
            </a:rPr>
            <a:t>　・</a:t>
          </a:r>
          <a:r>
            <a:rPr kumimoji="1" lang="en-US" altLang="ja-JP" sz="1400" b="0">
              <a:solidFill>
                <a:sysClr val="windowText" lastClr="000000"/>
              </a:solidFill>
            </a:rPr>
            <a:t>0</a:t>
          </a:r>
          <a:r>
            <a:rPr kumimoji="1" lang="ja-JP" altLang="en-US" sz="1400" b="0">
              <a:solidFill>
                <a:sysClr val="windowText" lastClr="000000"/>
              </a:solidFill>
            </a:rPr>
            <a:t>： 値引額</a:t>
          </a:r>
          <a:r>
            <a:rPr kumimoji="1" lang="en-US" altLang="ja-JP" sz="1400" b="0">
              <a:solidFill>
                <a:sysClr val="windowText" lastClr="000000"/>
              </a:solidFill>
            </a:rPr>
            <a:t>\0</a:t>
          </a:r>
          <a:r>
            <a:rPr kumimoji="1" lang="ja-JP" altLang="en-US" sz="1400" b="0">
              <a:solidFill>
                <a:sysClr val="windowText" lastClr="000000"/>
              </a:solidFill>
            </a:rPr>
            <a:t>のトランを生成</a:t>
          </a:r>
          <a:endParaRPr kumimoji="1" lang="en-US" altLang="ja-JP" sz="1400" b="0">
            <a:solidFill>
              <a:sysClr val="windowText" lastClr="000000"/>
            </a:solidFill>
          </a:endParaRPr>
        </a:p>
        <a:p>
          <a:pPr algn="l"/>
          <a:r>
            <a:rPr kumimoji="1" lang="ja-JP" altLang="en-US" sz="1400" b="0">
              <a:solidFill>
                <a:sysClr val="windowText" lastClr="000000"/>
              </a:solidFill>
            </a:rPr>
            <a:t>　・差： もう一方の値引後価格からの差額を値引額としてトランを生成</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F3C79A-AF61-4966-A32B-96888D5808AB}">
  <sheetPr>
    <pageSetUpPr fitToPage="1"/>
  </sheetPr>
  <dimension ref="A3:P45"/>
  <sheetViews>
    <sheetView showGridLines="0" zoomScaleNormal="100" zoomScaleSheetLayoutView="100" workbookViewId="0">
      <selection activeCell="N32" sqref="N32"/>
    </sheetView>
  </sheetViews>
  <sheetFormatPr defaultColWidth="8.875" defaultRowHeight="11.25" customHeight="1" x14ac:dyDescent="0.15"/>
  <cols>
    <col min="1" max="16384" width="8.875" style="41"/>
  </cols>
  <sheetData>
    <row r="3" spans="1:16" ht="11.25" customHeight="1" x14ac:dyDescent="0.15">
      <c r="B3" s="1222" t="s">
        <v>0</v>
      </c>
      <c r="C3" s="1222"/>
      <c r="D3" s="1222"/>
      <c r="E3" s="1222"/>
      <c r="F3" s="1222"/>
      <c r="G3" s="1222"/>
      <c r="H3" s="1222"/>
      <c r="I3" s="1222"/>
      <c r="L3" s="1223"/>
      <c r="M3" s="1223"/>
      <c r="N3" s="1223"/>
      <c r="O3" s="1223"/>
      <c r="P3" s="1223"/>
    </row>
    <row r="4" spans="1:16" ht="11.25" customHeight="1" x14ac:dyDescent="0.15">
      <c r="B4" s="1222"/>
      <c r="C4" s="1222"/>
      <c r="D4" s="1222"/>
      <c r="E4" s="1222"/>
      <c r="F4" s="1222"/>
      <c r="G4" s="1222"/>
      <c r="H4" s="1222"/>
      <c r="I4" s="1222"/>
      <c r="L4" s="1223"/>
      <c r="M4" s="1223"/>
      <c r="N4" s="1223"/>
      <c r="O4" s="1223"/>
      <c r="P4" s="1223"/>
    </row>
    <row r="5" spans="1:16" ht="11.25" customHeight="1" x14ac:dyDescent="0.2">
      <c r="A5" s="42"/>
      <c r="B5" s="42"/>
      <c r="C5" s="42"/>
      <c r="D5" s="42"/>
      <c r="E5" s="42"/>
      <c r="F5" s="42"/>
    </row>
    <row r="12" spans="1:16" ht="11.25" customHeight="1" x14ac:dyDescent="0.15">
      <c r="D12" s="43"/>
      <c r="E12" s="43"/>
      <c r="F12" s="43"/>
      <c r="G12" s="43"/>
      <c r="H12" s="43"/>
      <c r="I12" s="43"/>
      <c r="J12" s="43"/>
      <c r="K12" s="43"/>
      <c r="L12" s="43"/>
      <c r="M12" s="43"/>
      <c r="N12" s="43"/>
    </row>
    <row r="13" spans="1:16" ht="11.25" customHeight="1" x14ac:dyDescent="0.15">
      <c r="D13" s="43"/>
      <c r="E13" s="43"/>
      <c r="F13" s="43"/>
      <c r="G13" s="43"/>
      <c r="H13" s="43"/>
      <c r="I13" s="43"/>
      <c r="J13" s="43"/>
      <c r="K13" s="43"/>
      <c r="L13" s="43"/>
      <c r="M13" s="43"/>
      <c r="N13" s="43"/>
    </row>
    <row r="14" spans="1:16" ht="11.25" customHeight="1" x14ac:dyDescent="0.15">
      <c r="D14" s="43"/>
      <c r="E14" s="43"/>
      <c r="F14" s="43"/>
      <c r="G14" s="43"/>
      <c r="H14" s="43"/>
      <c r="I14" s="43"/>
      <c r="J14" s="43"/>
      <c r="K14" s="43"/>
      <c r="L14" s="43"/>
      <c r="M14" s="43"/>
      <c r="N14" s="43"/>
    </row>
    <row r="15" spans="1:16" ht="11.25" customHeight="1" x14ac:dyDescent="0.15">
      <c r="D15" s="43"/>
      <c r="E15" s="43"/>
      <c r="F15" s="43"/>
      <c r="G15" s="43"/>
      <c r="H15" s="43"/>
      <c r="I15" s="43"/>
      <c r="J15" s="43"/>
      <c r="K15" s="43"/>
      <c r="L15" s="43"/>
      <c r="M15" s="43"/>
      <c r="N15" s="43"/>
    </row>
    <row r="16" spans="1:16" ht="11.25" customHeight="1" x14ac:dyDescent="0.15">
      <c r="D16" s="43"/>
      <c r="E16" s="43"/>
      <c r="F16" s="43"/>
      <c r="G16" s="43"/>
      <c r="H16" s="43"/>
      <c r="I16" s="43"/>
      <c r="J16" s="43"/>
      <c r="K16" s="43"/>
      <c r="L16" s="43"/>
      <c r="M16" s="43"/>
      <c r="N16" s="43"/>
    </row>
    <row r="17" spans="4:14" ht="11.25" customHeight="1" x14ac:dyDescent="0.15">
      <c r="D17" s="43"/>
      <c r="E17" s="43"/>
      <c r="F17" s="43"/>
      <c r="G17" s="43"/>
      <c r="H17" s="43"/>
      <c r="I17" s="43"/>
      <c r="J17" s="43"/>
      <c r="K17" s="43"/>
      <c r="L17" s="43"/>
      <c r="M17" s="43"/>
      <c r="N17" s="43"/>
    </row>
    <row r="18" spans="4:14" ht="11.25" customHeight="1" x14ac:dyDescent="0.15">
      <c r="D18" s="43"/>
      <c r="E18" s="43"/>
      <c r="F18" s="43"/>
      <c r="G18" s="43"/>
      <c r="H18" s="43"/>
      <c r="I18" s="43"/>
      <c r="J18" s="43"/>
      <c r="K18" s="43"/>
      <c r="L18" s="43"/>
      <c r="M18" s="43"/>
      <c r="N18" s="43"/>
    </row>
    <row r="19" spans="4:14" ht="11.25" customHeight="1" x14ac:dyDescent="0.15">
      <c r="D19" s="43"/>
      <c r="E19" s="43"/>
      <c r="F19" s="43"/>
      <c r="G19" s="43"/>
      <c r="H19" s="43"/>
      <c r="I19" s="43"/>
      <c r="J19" s="43"/>
      <c r="K19" s="43"/>
      <c r="L19" s="43"/>
      <c r="M19" s="43"/>
      <c r="N19" s="43"/>
    </row>
    <row r="20" spans="4:14" ht="11.25" customHeight="1" x14ac:dyDescent="0.15">
      <c r="D20" s="43"/>
      <c r="E20" s="43"/>
      <c r="F20" s="43"/>
      <c r="G20" s="43"/>
      <c r="H20" s="43"/>
      <c r="I20" s="43"/>
      <c r="J20" s="43"/>
      <c r="K20" s="43"/>
      <c r="L20" s="43"/>
      <c r="M20" s="43"/>
      <c r="N20" s="43"/>
    </row>
    <row r="21" spans="4:14" ht="11.25" customHeight="1" x14ac:dyDescent="0.15">
      <c r="D21" s="43"/>
      <c r="E21" s="43"/>
      <c r="F21" s="43"/>
      <c r="G21" s="43"/>
      <c r="H21" s="43"/>
      <c r="I21" s="43"/>
      <c r="J21" s="43"/>
      <c r="K21" s="43"/>
      <c r="L21" s="43"/>
      <c r="M21" s="43"/>
      <c r="N21" s="43"/>
    </row>
    <row r="22" spans="4:14" ht="11.25" customHeight="1" x14ac:dyDescent="0.15">
      <c r="D22" s="43"/>
      <c r="E22" s="43"/>
      <c r="F22" s="43"/>
      <c r="G22" s="43"/>
      <c r="H22" s="43"/>
      <c r="I22" s="43"/>
      <c r="J22" s="43"/>
      <c r="K22" s="43"/>
      <c r="L22" s="43"/>
      <c r="M22" s="43"/>
      <c r="N22" s="43"/>
    </row>
    <row r="24" spans="4:14" ht="11.25" customHeight="1" x14ac:dyDescent="0.15">
      <c r="H24" s="1224">
        <v>1.1299999999999999</v>
      </c>
      <c r="I24" s="1224"/>
      <c r="J24" s="1224"/>
    </row>
    <row r="25" spans="4:14" ht="11.25" customHeight="1" x14ac:dyDescent="0.15">
      <c r="H25" s="1224"/>
      <c r="I25" s="1224"/>
      <c r="J25" s="1224"/>
    </row>
    <row r="27" spans="4:14" ht="11.25" customHeight="1" x14ac:dyDescent="0.15">
      <c r="G27" s="1225">
        <f>MAX(改版履歴!C10:F226)</f>
        <v>45709</v>
      </c>
      <c r="H27" s="1226"/>
      <c r="I27" s="1226"/>
      <c r="J27" s="1226"/>
      <c r="K27" s="1226"/>
    </row>
    <row r="28" spans="4:14" ht="11.25" customHeight="1" x14ac:dyDescent="0.15">
      <c r="G28" s="1226"/>
      <c r="H28" s="1226"/>
      <c r="I28" s="1226"/>
      <c r="J28" s="1226"/>
      <c r="K28" s="1226"/>
    </row>
    <row r="29" spans="4:14" ht="11.25" customHeight="1" x14ac:dyDescent="0.15">
      <c r="G29" s="1226"/>
      <c r="H29" s="1226"/>
      <c r="I29" s="1226"/>
      <c r="J29" s="1226"/>
      <c r="K29" s="1226"/>
    </row>
    <row r="31" spans="4:14" ht="11.25" customHeight="1" x14ac:dyDescent="0.15">
      <c r="F31" s="1226" t="s">
        <v>1</v>
      </c>
      <c r="G31" s="1226"/>
      <c r="H31" s="1226"/>
      <c r="I31" s="1226"/>
      <c r="J31" s="1226"/>
      <c r="K31" s="1226"/>
      <c r="L31" s="1226"/>
    </row>
    <row r="32" spans="4:14" ht="11.25" customHeight="1" x14ac:dyDescent="0.15">
      <c r="F32" s="1226"/>
      <c r="G32" s="1226"/>
      <c r="H32" s="1226"/>
      <c r="I32" s="1226"/>
      <c r="J32" s="1226"/>
      <c r="K32" s="1226"/>
      <c r="L32" s="1226"/>
    </row>
    <row r="33" spans="4:16" ht="11.25" customHeight="1" x14ac:dyDescent="0.15">
      <c r="F33" s="1226"/>
      <c r="G33" s="1226"/>
      <c r="H33" s="1226"/>
      <c r="I33" s="1226"/>
      <c r="J33" s="1226"/>
      <c r="K33" s="1226"/>
      <c r="L33" s="1226"/>
    </row>
    <row r="34" spans="4:16" ht="11.25" customHeight="1" x14ac:dyDescent="0.25">
      <c r="D34" s="44"/>
      <c r="E34" s="44"/>
      <c r="F34" s="44"/>
      <c r="G34" s="44"/>
      <c r="H34" s="44"/>
      <c r="I34" s="44"/>
      <c r="J34" s="44"/>
      <c r="K34" s="44"/>
      <c r="L34" s="44"/>
      <c r="M34" s="44"/>
      <c r="N34" s="44"/>
    </row>
    <row r="36" spans="4:16" ht="14.25" customHeight="1" x14ac:dyDescent="0.15">
      <c r="D36" s="1227" t="s">
        <v>0</v>
      </c>
      <c r="E36" s="1228"/>
      <c r="F36" s="1228"/>
      <c r="G36" s="1228"/>
      <c r="H36" s="1228"/>
      <c r="I36" s="1229"/>
      <c r="J36" s="1227" t="s">
        <v>2</v>
      </c>
      <c r="K36" s="1228"/>
      <c r="L36" s="1228"/>
      <c r="M36" s="1228"/>
      <c r="N36" s="1228"/>
      <c r="O36" s="1229"/>
      <c r="P36" s="45"/>
    </row>
    <row r="37" spans="4:16" ht="15" customHeight="1" x14ac:dyDescent="0.15">
      <c r="D37" s="1220" t="s">
        <v>3</v>
      </c>
      <c r="E37" s="1221"/>
      <c r="F37" s="1220" t="s">
        <v>3</v>
      </c>
      <c r="G37" s="1221"/>
      <c r="H37" s="1220" t="s">
        <v>3</v>
      </c>
      <c r="I37" s="1221"/>
      <c r="J37" s="1220" t="s">
        <v>3</v>
      </c>
      <c r="K37" s="1221"/>
      <c r="L37" s="1220" t="s">
        <v>4</v>
      </c>
      <c r="M37" s="1221"/>
      <c r="N37" s="1220" t="s">
        <v>5</v>
      </c>
      <c r="O37" s="1221"/>
      <c r="P37" s="45"/>
    </row>
    <row r="38" spans="4:16" ht="11.25" customHeight="1" x14ac:dyDescent="0.15">
      <c r="D38" s="734"/>
      <c r="E38" s="717"/>
      <c r="F38" s="734"/>
      <c r="G38" s="717"/>
      <c r="H38" s="734"/>
      <c r="I38" s="717"/>
      <c r="J38" s="734"/>
      <c r="K38" s="717"/>
      <c r="L38" s="734"/>
      <c r="M38" s="717"/>
      <c r="N38" s="734"/>
      <c r="O38" s="717"/>
    </row>
    <row r="39" spans="4:16" ht="11.25" customHeight="1" x14ac:dyDescent="0.15">
      <c r="D39" s="631"/>
      <c r="E39" s="46"/>
      <c r="F39" s="631"/>
      <c r="G39" s="46"/>
      <c r="H39" s="631"/>
      <c r="I39" s="46"/>
      <c r="J39" s="631"/>
      <c r="K39" s="46"/>
      <c r="L39" s="631"/>
      <c r="M39" s="46"/>
      <c r="N39" s="631"/>
      <c r="O39" s="46"/>
    </row>
    <row r="40" spans="4:16" ht="11.25" customHeight="1" x14ac:dyDescent="0.15">
      <c r="D40" s="631"/>
      <c r="E40" s="46"/>
      <c r="F40" s="631"/>
      <c r="G40" s="46"/>
      <c r="H40" s="631"/>
      <c r="I40" s="46"/>
      <c r="J40" s="631"/>
      <c r="K40" s="46"/>
      <c r="L40" s="631"/>
      <c r="M40" s="46"/>
      <c r="N40" s="631"/>
      <c r="O40" s="46"/>
    </row>
    <row r="41" spans="4:16" ht="11.25" customHeight="1" x14ac:dyDescent="0.15">
      <c r="D41" s="631"/>
      <c r="E41" s="46"/>
      <c r="F41" s="631"/>
      <c r="G41" s="46"/>
      <c r="H41" s="631"/>
      <c r="I41" s="46"/>
      <c r="J41" s="631"/>
      <c r="K41" s="46"/>
      <c r="L41" s="631"/>
      <c r="M41" s="46"/>
      <c r="N41" s="631"/>
      <c r="O41" s="46"/>
    </row>
    <row r="42" spans="4:16" ht="11.25" customHeight="1" x14ac:dyDescent="0.15">
      <c r="D42" s="631"/>
      <c r="E42" s="46"/>
      <c r="F42" s="631"/>
      <c r="G42" s="46"/>
      <c r="H42" s="631"/>
      <c r="I42" s="46"/>
      <c r="J42" s="631"/>
      <c r="K42" s="46"/>
      <c r="L42" s="631"/>
      <c r="M42" s="46"/>
      <c r="N42" s="631"/>
      <c r="O42" s="46"/>
    </row>
    <row r="43" spans="4:16" ht="11.25" customHeight="1" x14ac:dyDescent="0.15">
      <c r="D43" s="735"/>
      <c r="E43" s="736"/>
      <c r="F43" s="735"/>
      <c r="G43" s="736"/>
      <c r="H43" s="735"/>
      <c r="I43" s="736"/>
      <c r="J43" s="735"/>
      <c r="K43" s="736"/>
      <c r="L43" s="735"/>
      <c r="M43" s="736"/>
      <c r="N43" s="735"/>
      <c r="O43" s="736"/>
    </row>
    <row r="44" spans="4:16" ht="11.25" customHeight="1" x14ac:dyDescent="0.25">
      <c r="D44" s="44"/>
      <c r="E44" s="44"/>
      <c r="F44" s="44"/>
      <c r="G44" s="44"/>
      <c r="H44" s="44"/>
      <c r="I44" s="44"/>
      <c r="J44" s="44"/>
      <c r="K44" s="44"/>
      <c r="L44" s="44"/>
      <c r="M44" s="44"/>
      <c r="N44" s="44"/>
    </row>
    <row r="45" spans="4:16" ht="11.25" customHeight="1" x14ac:dyDescent="0.25">
      <c r="D45" s="44"/>
      <c r="E45" s="44"/>
      <c r="F45" s="44"/>
      <c r="G45" s="44"/>
      <c r="H45" s="44"/>
      <c r="I45" s="44"/>
      <c r="J45" s="44"/>
      <c r="K45" s="44"/>
      <c r="L45" s="44"/>
      <c r="M45" s="44"/>
      <c r="N45" s="44"/>
    </row>
  </sheetData>
  <mergeCells count="13">
    <mergeCell ref="N37:O37"/>
    <mergeCell ref="B3:I4"/>
    <mergeCell ref="L3:P4"/>
    <mergeCell ref="H24:J25"/>
    <mergeCell ref="G27:K29"/>
    <mergeCell ref="F31:L33"/>
    <mergeCell ref="D36:I36"/>
    <mergeCell ref="J36:O36"/>
    <mergeCell ref="D37:E37"/>
    <mergeCell ref="F37:G37"/>
    <mergeCell ref="H37:I37"/>
    <mergeCell ref="J37:K37"/>
    <mergeCell ref="L37:M37"/>
  </mergeCells>
  <phoneticPr fontId="4"/>
  <pageMargins left="0.74803149606299213" right="0.74803149606299213" top="0.82677165354330717" bottom="0.47244094488188981" header="0.51181102362204722" footer="0.23622047244094491"/>
  <pageSetup paperSize="9" scale="88" fitToHeight="0" orientation="landscape" r:id="rId1"/>
  <headerFooter alignWithMargins="0">
    <oddFooter xml:space="preserve">&amp;RAll rights reserved. Copyright 　FUJITSU　Limited. 2024
</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A7749A-BAF7-4218-8355-AB3E6F09203D}">
  <dimension ref="B1:BD225"/>
  <sheetViews>
    <sheetView showGridLines="0" view="pageBreakPreview" zoomScaleNormal="100" zoomScaleSheetLayoutView="100" workbookViewId="0">
      <pane ySplit="9" topLeftCell="A163" activePane="bottomLeft" state="frozen"/>
      <selection pane="bottomLeft" activeCell="O182" sqref="O182"/>
    </sheetView>
  </sheetViews>
  <sheetFormatPr defaultColWidth="3.125" defaultRowHeight="12.95" customHeight="1" x14ac:dyDescent="0.15"/>
  <cols>
    <col min="1" max="1" width="1.375" style="47" customWidth="1"/>
    <col min="2" max="3" width="3.125" style="47" customWidth="1"/>
    <col min="4" max="4" width="3.375" style="47" customWidth="1"/>
    <col min="5" max="7" width="3.125" style="47" customWidth="1"/>
    <col min="8" max="9" width="3.125" style="48" customWidth="1"/>
    <col min="10" max="11" width="3.125" style="47" customWidth="1"/>
    <col min="12" max="12" width="3.125" style="49" customWidth="1"/>
    <col min="13" max="16384" width="3.125" style="47"/>
  </cols>
  <sheetData>
    <row r="1" spans="2:56" ht="12.95" customHeight="1" thickBot="1" x14ac:dyDescent="0.2"/>
    <row r="2" spans="2:56" ht="12.75" customHeight="1" thickTop="1" x14ac:dyDescent="0.15">
      <c r="B2" s="50" t="s">
        <v>6</v>
      </c>
      <c r="C2" s="51"/>
      <c r="D2" s="51"/>
      <c r="E2" s="51"/>
      <c r="F2" s="51"/>
      <c r="G2" s="51"/>
      <c r="H2" s="51"/>
      <c r="I2" s="51"/>
      <c r="J2" s="51"/>
      <c r="K2" s="51"/>
      <c r="L2" s="51"/>
      <c r="M2" s="51"/>
      <c r="N2" s="52"/>
      <c r="O2" s="1247" t="s">
        <v>7</v>
      </c>
      <c r="P2" s="1248"/>
      <c r="Q2" s="1248"/>
      <c r="R2" s="1248"/>
      <c r="S2" s="1248"/>
      <c r="T2" s="1249"/>
      <c r="U2" s="1250" t="s">
        <v>8</v>
      </c>
      <c r="V2" s="1248"/>
      <c r="W2" s="1248"/>
      <c r="X2" s="1248"/>
      <c r="Y2" s="1248"/>
      <c r="Z2" s="1248"/>
      <c r="AA2" s="1249"/>
      <c r="AB2" s="1251" t="s">
        <v>9</v>
      </c>
      <c r="AC2" s="1252"/>
      <c r="AD2" s="1252"/>
      <c r="AE2" s="1252"/>
      <c r="AF2" s="1252"/>
      <c r="AG2" s="1252"/>
      <c r="AH2" s="1252"/>
      <c r="AI2" s="1252"/>
      <c r="AJ2" s="1252"/>
      <c r="AK2" s="1252"/>
      <c r="AL2" s="1252"/>
      <c r="AM2" s="1252"/>
      <c r="AN2" s="1253"/>
      <c r="AO2" s="1250" t="s">
        <v>10</v>
      </c>
      <c r="AP2" s="1249"/>
      <c r="AQ2" s="1257" t="s">
        <v>11</v>
      </c>
      <c r="AR2" s="1258"/>
      <c r="AS2" s="1259"/>
      <c r="AT2" s="1250" t="s">
        <v>12</v>
      </c>
      <c r="AU2" s="1248"/>
      <c r="AV2" s="1248"/>
      <c r="AW2" s="1249"/>
      <c r="AX2" s="1257" t="s">
        <v>13</v>
      </c>
      <c r="AY2" s="1258"/>
      <c r="AZ2" s="1259"/>
      <c r="BA2" s="1250" t="s">
        <v>14</v>
      </c>
      <c r="BB2" s="1248"/>
      <c r="BC2" s="1248"/>
      <c r="BD2" s="1249"/>
    </row>
    <row r="3" spans="2:56" ht="12.75" customHeight="1" thickBot="1" x14ac:dyDescent="0.2">
      <c r="B3" s="1260" t="s">
        <v>15</v>
      </c>
      <c r="C3" s="1261"/>
      <c r="D3" s="1261"/>
      <c r="E3" s="1261"/>
      <c r="F3" s="1261"/>
      <c r="G3" s="1261"/>
      <c r="H3" s="1261"/>
      <c r="I3" s="1261"/>
      <c r="J3" s="1261"/>
      <c r="K3" s="1261"/>
      <c r="L3" s="1261"/>
      <c r="M3" s="1261"/>
      <c r="N3" s="1262"/>
      <c r="O3" s="1263" t="s">
        <v>16</v>
      </c>
      <c r="P3" s="1264"/>
      <c r="Q3" s="1264"/>
      <c r="R3" s="1264"/>
      <c r="S3" s="1264"/>
      <c r="T3" s="1265"/>
      <c r="U3" s="1266" t="s">
        <v>17</v>
      </c>
      <c r="V3" s="1264"/>
      <c r="W3" s="1264"/>
      <c r="X3" s="1264"/>
      <c r="Y3" s="1264"/>
      <c r="Z3" s="1264"/>
      <c r="AA3" s="1265"/>
      <c r="AB3" s="1254"/>
      <c r="AC3" s="1255"/>
      <c r="AD3" s="1255"/>
      <c r="AE3" s="1255"/>
      <c r="AF3" s="1255"/>
      <c r="AG3" s="1255"/>
      <c r="AH3" s="1255"/>
      <c r="AI3" s="1255"/>
      <c r="AJ3" s="1255"/>
      <c r="AK3" s="1255"/>
      <c r="AL3" s="1255"/>
      <c r="AM3" s="1255"/>
      <c r="AN3" s="1256"/>
      <c r="AO3" s="1267">
        <v>1.1200000000000001</v>
      </c>
      <c r="AP3" s="1268"/>
      <c r="AQ3" s="1266" t="s">
        <v>18</v>
      </c>
      <c r="AR3" s="1264"/>
      <c r="AS3" s="1265"/>
      <c r="AT3" s="1269">
        <f>MAX(C10:F226)</f>
        <v>45709</v>
      </c>
      <c r="AU3" s="1270"/>
      <c r="AV3" s="1270"/>
      <c r="AW3" s="1270"/>
      <c r="AX3" s="1266" t="s">
        <v>18</v>
      </c>
      <c r="AY3" s="1264"/>
      <c r="AZ3" s="1265"/>
      <c r="BA3" s="1269">
        <v>45460</v>
      </c>
      <c r="BB3" s="1270"/>
      <c r="BC3" s="1270"/>
      <c r="BD3" s="1271"/>
    </row>
    <row r="4" spans="2:56" ht="12.75" customHeight="1" thickTop="1" x14ac:dyDescent="0.15">
      <c r="AU4" s="53"/>
    </row>
    <row r="5" spans="2:56" ht="12.95" customHeight="1" x14ac:dyDescent="0.15">
      <c r="B5" s="737"/>
      <c r="C5" s="696"/>
      <c r="D5" s="696"/>
      <c r="E5" s="696"/>
      <c r="F5" s="696"/>
      <c r="G5" s="696"/>
      <c r="H5" s="697"/>
      <c r="I5" s="697"/>
      <c r="J5" s="696"/>
      <c r="K5" s="696"/>
      <c r="L5" s="696"/>
      <c r="M5" s="696"/>
      <c r="N5" s="696"/>
      <c r="O5" s="696"/>
      <c r="P5" s="696"/>
      <c r="Q5" s="696"/>
      <c r="R5" s="696"/>
      <c r="S5" s="696"/>
      <c r="T5" s="696"/>
      <c r="U5" s="696"/>
      <c r="V5" s="696"/>
      <c r="W5" s="696"/>
      <c r="X5" s="696"/>
      <c r="Y5" s="696"/>
      <c r="Z5" s="696"/>
      <c r="AA5" s="696"/>
      <c r="AB5" s="696"/>
      <c r="AC5" s="696"/>
      <c r="AD5" s="696"/>
      <c r="AE5" s="696"/>
      <c r="AF5" s="696"/>
      <c r="AG5" s="696"/>
      <c r="AH5" s="696"/>
      <c r="AI5" s="696"/>
      <c r="AJ5" s="696"/>
      <c r="AK5" s="696"/>
      <c r="AL5" s="696"/>
      <c r="AM5" s="696"/>
      <c r="AN5" s="696"/>
      <c r="AO5" s="696"/>
      <c r="AP5" s="696"/>
      <c r="AQ5" s="696"/>
      <c r="AR5" s="696"/>
      <c r="AS5" s="696"/>
      <c r="AT5" s="696"/>
      <c r="AU5" s="696"/>
      <c r="AV5" s="696"/>
      <c r="AW5" s="696"/>
      <c r="AX5" s="696"/>
      <c r="AY5" s="696"/>
      <c r="AZ5" s="696"/>
      <c r="BA5" s="696"/>
      <c r="BB5" s="696"/>
      <c r="BC5" s="696"/>
      <c r="BD5" s="718"/>
    </row>
    <row r="6" spans="2:56" ht="12.95" customHeight="1" x14ac:dyDescent="0.15">
      <c r="B6" s="632"/>
      <c r="C6" s="54" t="s">
        <v>9</v>
      </c>
      <c r="D6" s="55"/>
      <c r="E6" s="49"/>
      <c r="F6" s="49"/>
      <c r="G6" s="49"/>
      <c r="H6" s="56"/>
      <c r="I6" s="56"/>
      <c r="J6" s="49"/>
      <c r="K6" s="49"/>
      <c r="M6" s="49"/>
      <c r="N6" s="49"/>
      <c r="O6" s="49"/>
      <c r="Q6" s="49"/>
      <c r="S6" s="49"/>
      <c r="U6" s="49"/>
      <c r="V6" s="49"/>
      <c r="Y6" s="49"/>
      <c r="Z6" s="49"/>
      <c r="AA6" s="49"/>
      <c r="AB6" s="49"/>
      <c r="AC6" s="49"/>
      <c r="AD6" s="49"/>
      <c r="AE6" s="49"/>
      <c r="AF6" s="49"/>
      <c r="AG6" s="49"/>
      <c r="AI6" s="49"/>
      <c r="AJ6" s="49"/>
      <c r="AK6" s="49"/>
      <c r="AL6" s="49"/>
      <c r="AM6" s="57"/>
      <c r="AN6" s="49"/>
      <c r="AO6" s="49"/>
      <c r="AP6" s="49"/>
      <c r="AQ6" s="58"/>
      <c r="AR6" s="58"/>
      <c r="AS6" s="58"/>
      <c r="AU6" s="49"/>
      <c r="AV6" s="49"/>
      <c r="AW6" s="49"/>
      <c r="AX6" s="49"/>
      <c r="AY6" s="49"/>
      <c r="AZ6" s="49"/>
      <c r="BA6" s="49"/>
      <c r="BB6" s="49"/>
      <c r="BC6" s="49"/>
      <c r="BD6" s="59"/>
    </row>
    <row r="7" spans="2:56" ht="12.95" customHeight="1" x14ac:dyDescent="0.15">
      <c r="B7" s="632"/>
      <c r="C7" s="49"/>
      <c r="D7" s="49"/>
      <c r="E7" s="49"/>
      <c r="F7" s="49"/>
      <c r="G7" s="49"/>
      <c r="H7" s="56"/>
      <c r="I7" s="56"/>
      <c r="J7" s="49"/>
      <c r="K7" s="49"/>
      <c r="M7" s="49"/>
      <c r="N7" s="49"/>
      <c r="O7" s="49"/>
      <c r="Q7" s="49"/>
      <c r="S7" s="49"/>
      <c r="U7" s="49"/>
      <c r="V7" s="49"/>
      <c r="Y7" s="49"/>
      <c r="Z7" s="49"/>
      <c r="AA7" s="49"/>
      <c r="AB7" s="49"/>
      <c r="AC7" s="49"/>
      <c r="AD7" s="49"/>
      <c r="AE7" s="49"/>
      <c r="AF7" s="49"/>
      <c r="AG7" s="49"/>
      <c r="AH7" s="49"/>
      <c r="AI7" s="49"/>
      <c r="AJ7" s="49"/>
      <c r="AK7" s="49"/>
      <c r="AL7" s="49"/>
      <c r="AM7" s="49"/>
      <c r="AN7" s="49"/>
      <c r="AO7" s="49"/>
      <c r="AP7" s="49"/>
      <c r="AQ7" s="58"/>
      <c r="AR7" s="58"/>
      <c r="AS7" s="58"/>
      <c r="AU7" s="49"/>
      <c r="AV7" s="49"/>
      <c r="AW7" s="49"/>
      <c r="AX7" s="49"/>
      <c r="AY7" s="49"/>
      <c r="AZ7" s="49"/>
      <c r="BA7" s="49"/>
      <c r="BB7" s="49"/>
      <c r="BC7" s="49"/>
      <c r="BD7" s="59"/>
    </row>
    <row r="8" spans="2:56" ht="12.95" customHeight="1" x14ac:dyDescent="0.15">
      <c r="B8" s="632"/>
      <c r="C8" s="738" t="s">
        <v>19</v>
      </c>
      <c r="D8" s="698"/>
      <c r="E8" s="698"/>
      <c r="F8" s="719"/>
      <c r="G8" s="698" t="s">
        <v>20</v>
      </c>
      <c r="H8" s="719"/>
      <c r="I8" s="699" t="s">
        <v>21</v>
      </c>
      <c r="J8" s="698"/>
      <c r="K8" s="698"/>
      <c r="L8" s="698"/>
      <c r="M8" s="698"/>
      <c r="N8" s="719"/>
      <c r="O8" s="698" t="s">
        <v>22</v>
      </c>
      <c r="P8" s="698"/>
      <c r="Q8" s="698"/>
      <c r="R8" s="698"/>
      <c r="S8" s="698"/>
      <c r="T8" s="698"/>
      <c r="U8" s="698"/>
      <c r="V8" s="698"/>
      <c r="W8" s="698"/>
      <c r="X8" s="698"/>
      <c r="Y8" s="698"/>
      <c r="Z8" s="698"/>
      <c r="AA8" s="698"/>
      <c r="AB8" s="698"/>
      <c r="AC8" s="698"/>
      <c r="AD8" s="698"/>
      <c r="AE8" s="698"/>
      <c r="AF8" s="698"/>
      <c r="AG8" s="698"/>
      <c r="AH8" s="698"/>
      <c r="AI8" s="698"/>
      <c r="AJ8" s="698"/>
      <c r="AK8" s="698"/>
      <c r="AL8" s="698"/>
      <c r="AM8" s="698"/>
      <c r="AN8" s="698"/>
      <c r="AO8" s="698"/>
      <c r="AP8" s="698"/>
      <c r="AQ8" s="698"/>
      <c r="AR8" s="698"/>
      <c r="AS8" s="698"/>
      <c r="AT8" s="698"/>
      <c r="AU8" s="698"/>
      <c r="AV8" s="698"/>
      <c r="AW8" s="698"/>
      <c r="AX8" s="698"/>
      <c r="AY8" s="719"/>
      <c r="AZ8" s="698" t="s">
        <v>23</v>
      </c>
      <c r="BA8" s="698"/>
      <c r="BB8" s="698"/>
      <c r="BC8" s="720"/>
      <c r="BD8" s="59"/>
    </row>
    <row r="9" spans="2:56" ht="12.95" customHeight="1" x14ac:dyDescent="0.15">
      <c r="B9" s="632"/>
      <c r="C9" s="739"/>
      <c r="D9" s="740"/>
      <c r="E9" s="740"/>
      <c r="F9" s="646"/>
      <c r="G9" s="741"/>
      <c r="H9" s="647"/>
      <c r="I9" s="742"/>
      <c r="J9" s="741"/>
      <c r="K9" s="741"/>
      <c r="L9" s="741"/>
      <c r="M9" s="741"/>
      <c r="N9" s="647"/>
      <c r="O9" s="740"/>
      <c r="P9" s="740"/>
      <c r="Q9" s="740"/>
      <c r="R9" s="740"/>
      <c r="S9" s="740"/>
      <c r="T9" s="740"/>
      <c r="U9" s="740"/>
      <c r="V9" s="741"/>
      <c r="W9" s="740"/>
      <c r="X9" s="741"/>
      <c r="Y9" s="741"/>
      <c r="Z9" s="741"/>
      <c r="AA9" s="741"/>
      <c r="AB9" s="741"/>
      <c r="AC9" s="741"/>
      <c r="AD9" s="740"/>
      <c r="AE9" s="741"/>
      <c r="AF9" s="740"/>
      <c r="AG9" s="740"/>
      <c r="AH9" s="740"/>
      <c r="AI9" s="740"/>
      <c r="AJ9" s="741"/>
      <c r="AK9" s="741"/>
      <c r="AL9" s="741"/>
      <c r="AM9" s="740"/>
      <c r="AN9" s="741"/>
      <c r="AO9" s="741"/>
      <c r="AP9" s="741"/>
      <c r="AQ9" s="741"/>
      <c r="AR9" s="741"/>
      <c r="AS9" s="741"/>
      <c r="AT9" s="740"/>
      <c r="AU9" s="741"/>
      <c r="AV9" s="740"/>
      <c r="AW9" s="740"/>
      <c r="AX9" s="740"/>
      <c r="AY9" s="647"/>
      <c r="AZ9" s="741"/>
      <c r="BA9" s="740"/>
      <c r="BB9" s="740"/>
      <c r="BC9" s="743"/>
      <c r="BD9" s="59"/>
    </row>
    <row r="10" spans="2:56" ht="12.95" customHeight="1" x14ac:dyDescent="0.15">
      <c r="B10" s="632"/>
      <c r="C10" s="1239">
        <v>45460</v>
      </c>
      <c r="D10" s="1240"/>
      <c r="E10" s="1240"/>
      <c r="F10" s="1241"/>
      <c r="G10" s="1281">
        <v>0.1</v>
      </c>
      <c r="H10" s="1282"/>
      <c r="I10" s="744"/>
      <c r="J10" s="700"/>
      <c r="K10" s="700"/>
      <c r="L10" s="700"/>
      <c r="M10" s="700"/>
      <c r="N10" s="721"/>
      <c r="O10" s="701" t="s">
        <v>24</v>
      </c>
      <c r="P10" s="701"/>
      <c r="Q10" s="701"/>
      <c r="R10" s="701"/>
      <c r="S10" s="702"/>
      <c r="T10" s="701"/>
      <c r="U10" s="701"/>
      <c r="V10" s="700"/>
      <c r="W10" s="701"/>
      <c r="X10" s="700"/>
      <c r="Y10" s="700"/>
      <c r="Z10" s="700"/>
      <c r="AA10" s="700"/>
      <c r="AB10" s="700"/>
      <c r="AC10" s="700"/>
      <c r="AD10" s="701"/>
      <c r="AE10" s="700"/>
      <c r="AF10" s="701"/>
      <c r="AG10" s="701"/>
      <c r="AH10" s="701"/>
      <c r="AI10" s="701"/>
      <c r="AJ10" s="700"/>
      <c r="AK10" s="700"/>
      <c r="AL10" s="700"/>
      <c r="AM10" s="701"/>
      <c r="AN10" s="700"/>
      <c r="AO10" s="700"/>
      <c r="AP10" s="700"/>
      <c r="AQ10" s="700"/>
      <c r="AR10" s="700"/>
      <c r="AS10" s="700"/>
      <c r="AT10" s="701"/>
      <c r="AU10" s="700"/>
      <c r="AV10" s="701"/>
      <c r="AW10" s="701"/>
      <c r="AX10" s="701"/>
      <c r="AY10" s="722"/>
      <c r="AZ10" s="703" t="s">
        <v>25</v>
      </c>
      <c r="BA10" s="703"/>
      <c r="BB10" s="703"/>
      <c r="BC10" s="723"/>
      <c r="BD10" s="59"/>
    </row>
    <row r="11" spans="2:56" ht="12.95" customHeight="1" x14ac:dyDescent="0.15">
      <c r="B11" s="632"/>
      <c r="C11" s="633"/>
      <c r="D11" s="60"/>
      <c r="E11" s="60"/>
      <c r="F11" s="61"/>
      <c r="G11" s="62"/>
      <c r="H11" s="63"/>
      <c r="I11" s="64"/>
      <c r="J11" s="65"/>
      <c r="K11" s="65"/>
      <c r="L11" s="65"/>
      <c r="M11" s="65"/>
      <c r="N11" s="66"/>
      <c r="O11" s="67"/>
      <c r="P11" s="68"/>
      <c r="Q11" s="68"/>
      <c r="R11" s="68"/>
      <c r="S11" s="69"/>
      <c r="T11" s="68"/>
      <c r="U11" s="68"/>
      <c r="V11" s="70"/>
      <c r="W11" s="68"/>
      <c r="X11" s="70"/>
      <c r="Y11" s="70"/>
      <c r="Z11" s="70"/>
      <c r="AA11" s="70"/>
      <c r="AB11" s="70"/>
      <c r="AC11" s="70"/>
      <c r="AD11" s="68"/>
      <c r="AE11" s="70"/>
      <c r="AF11" s="68"/>
      <c r="AG11" s="68"/>
      <c r="AH11" s="68"/>
      <c r="AI11" s="68"/>
      <c r="AJ11" s="70"/>
      <c r="AK11" s="70"/>
      <c r="AL11" s="70"/>
      <c r="AM11" s="68"/>
      <c r="AN11" s="70"/>
      <c r="AO11" s="70"/>
      <c r="AP11" s="70"/>
      <c r="AQ11" s="70"/>
      <c r="AR11" s="70"/>
      <c r="AS11" s="70"/>
      <c r="AT11" s="68"/>
      <c r="AU11" s="70"/>
      <c r="AV11" s="68"/>
      <c r="AW11" s="68"/>
      <c r="AX11" s="68"/>
      <c r="AY11" s="71"/>
      <c r="AZ11" s="65"/>
      <c r="BA11" s="65"/>
      <c r="BB11" s="65"/>
      <c r="BC11" s="72"/>
      <c r="BD11" s="59"/>
    </row>
    <row r="12" spans="2:56" ht="12.95" customHeight="1" x14ac:dyDescent="0.15">
      <c r="B12" s="632"/>
      <c r="C12" s="1285">
        <v>45462</v>
      </c>
      <c r="D12" s="1286"/>
      <c r="E12" s="1286"/>
      <c r="F12" s="1287"/>
      <c r="G12" s="1283">
        <v>1</v>
      </c>
      <c r="H12" s="1288"/>
      <c r="I12" s="1289"/>
      <c r="J12" s="1290"/>
      <c r="K12" s="1290"/>
      <c r="L12" s="1290"/>
      <c r="M12" s="1290"/>
      <c r="N12" s="1291"/>
      <c r="O12" s="75" t="s">
        <v>26</v>
      </c>
      <c r="P12" s="76"/>
      <c r="Q12" s="76"/>
      <c r="R12" s="76"/>
      <c r="S12" s="77"/>
      <c r="T12" s="76"/>
      <c r="U12" s="76"/>
      <c r="V12" s="78"/>
      <c r="W12" s="76"/>
      <c r="X12" s="78"/>
      <c r="Y12" s="78"/>
      <c r="Z12" s="78"/>
      <c r="AA12" s="78"/>
      <c r="AB12" s="78"/>
      <c r="AC12" s="78"/>
      <c r="AD12" s="76"/>
      <c r="AE12" s="78"/>
      <c r="AF12" s="76"/>
      <c r="AG12" s="76"/>
      <c r="AH12" s="76"/>
      <c r="AI12" s="76"/>
      <c r="AJ12" s="78"/>
      <c r="AK12" s="78"/>
      <c r="AL12" s="78"/>
      <c r="AM12" s="76"/>
      <c r="AN12" s="78"/>
      <c r="AO12" s="78"/>
      <c r="AP12" s="78"/>
      <c r="AQ12" s="78"/>
      <c r="AR12" s="78"/>
      <c r="AS12" s="78"/>
      <c r="AT12" s="76"/>
      <c r="AU12" s="78"/>
      <c r="AV12" s="76"/>
      <c r="AW12" s="76"/>
      <c r="AX12" s="76"/>
      <c r="AY12" s="79"/>
      <c r="AZ12" s="73" t="s">
        <v>25</v>
      </c>
      <c r="BA12" s="74"/>
      <c r="BB12" s="74"/>
      <c r="BC12" s="80"/>
      <c r="BD12" s="59"/>
    </row>
    <row r="13" spans="2:56" ht="12" x14ac:dyDescent="0.15">
      <c r="B13" s="632"/>
      <c r="C13" s="633"/>
      <c r="D13" s="60"/>
      <c r="E13" s="60"/>
      <c r="F13" s="61"/>
      <c r="G13" s="62"/>
      <c r="H13" s="63"/>
      <c r="I13" s="1272"/>
      <c r="J13" s="1273"/>
      <c r="K13" s="1273"/>
      <c r="L13" s="1273"/>
      <c r="M13" s="1273"/>
      <c r="N13" s="1274"/>
      <c r="O13" s="67" t="s">
        <v>27</v>
      </c>
      <c r="P13" s="67"/>
      <c r="Q13" s="67"/>
      <c r="R13" s="67"/>
      <c r="S13" s="81"/>
      <c r="T13" s="67"/>
      <c r="U13" s="82"/>
      <c r="V13" s="82"/>
      <c r="W13" s="295"/>
      <c r="X13" s="296"/>
      <c r="Y13" s="296"/>
      <c r="Z13" s="82"/>
      <c r="AA13" s="82"/>
      <c r="AB13" s="82"/>
      <c r="AC13" s="82"/>
      <c r="AD13" s="82"/>
      <c r="AE13" s="82"/>
      <c r="AF13" s="82"/>
      <c r="AG13" s="82"/>
      <c r="AH13" s="82"/>
      <c r="AI13" s="295"/>
      <c r="AJ13" s="296"/>
      <c r="AK13" s="296"/>
      <c r="AL13" s="82"/>
      <c r="AM13" s="295"/>
      <c r="AN13" s="296"/>
      <c r="AO13" s="296"/>
      <c r="AP13" s="82"/>
      <c r="AQ13" s="82"/>
      <c r="AR13" s="82"/>
      <c r="AS13" s="82"/>
      <c r="AT13" s="82"/>
      <c r="AU13" s="82"/>
      <c r="AV13" s="82"/>
      <c r="AW13" s="82"/>
      <c r="AX13" s="82"/>
      <c r="AY13" s="85"/>
      <c r="AZ13" s="86"/>
      <c r="BA13" s="87"/>
      <c r="BB13" s="87"/>
      <c r="BC13" s="88"/>
      <c r="BD13" s="59"/>
    </row>
    <row r="14" spans="2:56" ht="12.95" customHeight="1" x14ac:dyDescent="0.15">
      <c r="B14" s="632"/>
      <c r="C14" s="1230"/>
      <c r="D14" s="1231"/>
      <c r="E14" s="1231"/>
      <c r="F14" s="1232"/>
      <c r="G14" s="1233"/>
      <c r="H14" s="1234"/>
      <c r="I14" s="326"/>
      <c r="J14" s="327"/>
      <c r="K14" s="327"/>
      <c r="L14" s="327"/>
      <c r="M14" s="327"/>
      <c r="N14" s="328"/>
      <c r="O14" s="90" t="s">
        <v>28</v>
      </c>
      <c r="P14" s="67"/>
      <c r="Q14" s="67"/>
      <c r="R14" s="67"/>
      <c r="S14" s="81"/>
      <c r="T14" s="67"/>
      <c r="U14" s="67"/>
      <c r="V14" s="322"/>
      <c r="W14" s="67"/>
      <c r="X14" s="322"/>
      <c r="Y14" s="322"/>
      <c r="Z14" s="322"/>
      <c r="AA14" s="322"/>
      <c r="AB14" s="322"/>
      <c r="AC14" s="322"/>
      <c r="AD14" s="67"/>
      <c r="AE14" s="322"/>
      <c r="AF14" s="67"/>
      <c r="AG14" s="67"/>
      <c r="AH14" s="67"/>
      <c r="AI14" s="67"/>
      <c r="AJ14" s="322"/>
      <c r="AK14" s="322"/>
      <c r="AL14" s="322"/>
      <c r="AM14" s="67"/>
      <c r="AN14" s="322"/>
      <c r="AO14" s="322"/>
      <c r="AP14" s="322"/>
      <c r="AQ14" s="322"/>
      <c r="AR14" s="322"/>
      <c r="AS14" s="322"/>
      <c r="AT14" s="67"/>
      <c r="AU14" s="322"/>
      <c r="AV14" s="67"/>
      <c r="AW14" s="67"/>
      <c r="AX14" s="67"/>
      <c r="AY14" s="323"/>
      <c r="AZ14" s="64"/>
      <c r="BA14" s="65"/>
      <c r="BB14" s="65"/>
      <c r="BC14" s="72"/>
      <c r="BD14" s="59"/>
    </row>
    <row r="15" spans="2:56" ht="12.95" customHeight="1" x14ac:dyDescent="0.15">
      <c r="B15" s="632"/>
      <c r="C15" s="633"/>
      <c r="D15" s="60"/>
      <c r="E15" s="60"/>
      <c r="F15" s="61"/>
      <c r="G15" s="62"/>
      <c r="H15" s="63"/>
      <c r="I15" s="64"/>
      <c r="J15" s="65"/>
      <c r="K15" s="65"/>
      <c r="L15" s="65"/>
      <c r="M15" s="65"/>
      <c r="N15" s="66"/>
      <c r="O15" s="67" t="s">
        <v>29</v>
      </c>
      <c r="P15" s="67"/>
      <c r="Q15" s="67"/>
      <c r="R15" s="67"/>
      <c r="S15" s="81"/>
      <c r="T15" s="67"/>
      <c r="U15" s="82"/>
      <c r="V15" s="82"/>
      <c r="W15" s="83"/>
      <c r="X15" s="84"/>
      <c r="Y15" s="84"/>
      <c r="Z15" s="82"/>
      <c r="AA15" s="82"/>
      <c r="AB15" s="82"/>
      <c r="AC15" s="82"/>
      <c r="AD15" s="82"/>
      <c r="AE15" s="82"/>
      <c r="AF15" s="82"/>
      <c r="AG15" s="82"/>
      <c r="AH15" s="82"/>
      <c r="AI15" s="83"/>
      <c r="AJ15" s="84"/>
      <c r="AK15" s="84"/>
      <c r="AL15" s="82"/>
      <c r="AM15" s="83"/>
      <c r="AN15" s="84"/>
      <c r="AO15" s="84"/>
      <c r="AP15" s="82"/>
      <c r="AQ15" s="82"/>
      <c r="AR15" s="82"/>
      <c r="AS15" s="82"/>
      <c r="AT15" s="82"/>
      <c r="AU15" s="82"/>
      <c r="AV15" s="82"/>
      <c r="AW15" s="82"/>
      <c r="AX15" s="82"/>
      <c r="AY15" s="85"/>
      <c r="AZ15" s="86"/>
      <c r="BA15" s="87"/>
      <c r="BB15" s="87"/>
      <c r="BC15" s="88"/>
      <c r="BD15" s="59"/>
    </row>
    <row r="16" spans="2:56" ht="12.95" customHeight="1" x14ac:dyDescent="0.15">
      <c r="B16" s="632"/>
      <c r="C16" s="1230"/>
      <c r="D16" s="1231"/>
      <c r="E16" s="1231"/>
      <c r="F16" s="1232"/>
      <c r="G16" s="1233"/>
      <c r="H16" s="1234"/>
      <c r="I16" s="64"/>
      <c r="J16" s="65"/>
      <c r="K16" s="65"/>
      <c r="L16" s="65"/>
      <c r="M16" s="65"/>
      <c r="N16" s="66"/>
      <c r="O16" s="90" t="s">
        <v>30</v>
      </c>
      <c r="P16" s="67"/>
      <c r="Q16" s="67"/>
      <c r="R16" s="67"/>
      <c r="S16" s="81"/>
      <c r="T16" s="67"/>
      <c r="U16" s="67"/>
      <c r="V16" s="322"/>
      <c r="W16" s="67"/>
      <c r="X16" s="322"/>
      <c r="Y16" s="322"/>
      <c r="Z16" s="322"/>
      <c r="AA16" s="322"/>
      <c r="AB16" s="322"/>
      <c r="AC16" s="322"/>
      <c r="AD16" s="67"/>
      <c r="AE16" s="322"/>
      <c r="AF16" s="67"/>
      <c r="AG16" s="67"/>
      <c r="AH16" s="67"/>
      <c r="AI16" s="67"/>
      <c r="AJ16" s="322"/>
      <c r="AK16" s="322"/>
      <c r="AL16" s="322"/>
      <c r="AM16" s="67"/>
      <c r="AN16" s="322"/>
      <c r="AO16" s="322"/>
      <c r="AP16" s="322"/>
      <c r="AQ16" s="322"/>
      <c r="AR16" s="322"/>
      <c r="AS16" s="322"/>
      <c r="AT16" s="67"/>
      <c r="AU16" s="322"/>
      <c r="AV16" s="67"/>
      <c r="AW16" s="67"/>
      <c r="AX16" s="67"/>
      <c r="AY16" s="323"/>
      <c r="AZ16" s="64"/>
      <c r="BA16" s="65"/>
      <c r="BB16" s="65"/>
      <c r="BC16" s="72"/>
      <c r="BD16" s="59"/>
    </row>
    <row r="17" spans="2:56" ht="12.95" customHeight="1" x14ac:dyDescent="0.15">
      <c r="B17" s="632"/>
      <c r="C17" s="633"/>
      <c r="D17" s="60"/>
      <c r="E17" s="60"/>
      <c r="F17" s="61"/>
      <c r="G17" s="62"/>
      <c r="H17" s="63"/>
      <c r="I17" s="64"/>
      <c r="J17" s="65"/>
      <c r="K17" s="65"/>
      <c r="L17" s="65"/>
      <c r="M17" s="65"/>
      <c r="N17" s="66"/>
      <c r="O17" s="90" t="s">
        <v>31</v>
      </c>
      <c r="P17" s="67"/>
      <c r="Q17" s="67"/>
      <c r="R17" s="67"/>
      <c r="S17" s="81"/>
      <c r="T17" s="67"/>
      <c r="U17" s="82"/>
      <c r="V17" s="82"/>
      <c r="W17" s="83"/>
      <c r="X17" s="84"/>
      <c r="Y17" s="84"/>
      <c r="Z17" s="82"/>
      <c r="AA17" s="82"/>
      <c r="AB17" s="82"/>
      <c r="AC17" s="82"/>
      <c r="AD17" s="82"/>
      <c r="AE17" s="82"/>
      <c r="AF17" s="82"/>
      <c r="AG17" s="82"/>
      <c r="AH17" s="82"/>
      <c r="AI17" s="83"/>
      <c r="AJ17" s="84"/>
      <c r="AK17" s="84"/>
      <c r="AL17" s="82"/>
      <c r="AM17" s="83"/>
      <c r="AN17" s="84"/>
      <c r="AO17" s="84"/>
      <c r="AP17" s="82"/>
      <c r="AQ17" s="82"/>
      <c r="AR17" s="82"/>
      <c r="AS17" s="82"/>
      <c r="AT17" s="82"/>
      <c r="AU17" s="82"/>
      <c r="AV17" s="82"/>
      <c r="AW17" s="82"/>
      <c r="AX17" s="82"/>
      <c r="AY17" s="85"/>
      <c r="AZ17" s="86"/>
      <c r="BA17" s="87"/>
      <c r="BB17" s="87"/>
      <c r="BC17" s="88"/>
      <c r="BD17" s="59"/>
    </row>
    <row r="18" spans="2:56" ht="12.95" customHeight="1" x14ac:dyDescent="0.15">
      <c r="B18" s="632"/>
      <c r="C18" s="1230"/>
      <c r="D18" s="1231"/>
      <c r="E18" s="1231"/>
      <c r="F18" s="1232"/>
      <c r="G18" s="1233"/>
      <c r="H18" s="1234"/>
      <c r="I18" s="64"/>
      <c r="J18" s="65"/>
      <c r="K18" s="65"/>
      <c r="L18" s="65"/>
      <c r="M18" s="65"/>
      <c r="N18" s="66"/>
      <c r="O18" s="90" t="s">
        <v>32</v>
      </c>
      <c r="P18" s="67"/>
      <c r="Q18" s="67"/>
      <c r="R18" s="67"/>
      <c r="S18" s="81"/>
      <c r="T18" s="67"/>
      <c r="U18" s="67"/>
      <c r="V18" s="322"/>
      <c r="W18" s="67"/>
      <c r="X18" s="322"/>
      <c r="Y18" s="322"/>
      <c r="Z18" s="322"/>
      <c r="AA18" s="322"/>
      <c r="AB18" s="322"/>
      <c r="AC18" s="322"/>
      <c r="AD18" s="67"/>
      <c r="AE18" s="322"/>
      <c r="AF18" s="67"/>
      <c r="AG18" s="67"/>
      <c r="AH18" s="67"/>
      <c r="AI18" s="67"/>
      <c r="AJ18" s="322"/>
      <c r="AK18" s="84"/>
      <c r="AL18" s="322"/>
      <c r="AM18" s="67"/>
      <c r="AN18" s="322"/>
      <c r="AO18" s="322"/>
      <c r="AP18" s="322"/>
      <c r="AQ18" s="322"/>
      <c r="AR18" s="322"/>
      <c r="AS18" s="322"/>
      <c r="AT18" s="67"/>
      <c r="AU18" s="322"/>
      <c r="AV18" s="67"/>
      <c r="AW18" s="67"/>
      <c r="AX18" s="67"/>
      <c r="AY18" s="323"/>
      <c r="AZ18" s="64"/>
      <c r="BA18" s="65"/>
      <c r="BB18" s="65"/>
      <c r="BC18" s="72"/>
      <c r="BD18" s="59"/>
    </row>
    <row r="19" spans="2:56" ht="12.95" customHeight="1" x14ac:dyDescent="0.15">
      <c r="B19" s="632"/>
      <c r="C19" s="633"/>
      <c r="D19" s="60"/>
      <c r="E19" s="60"/>
      <c r="F19" s="61"/>
      <c r="G19" s="62"/>
      <c r="H19" s="63"/>
      <c r="I19" s="64"/>
      <c r="J19" s="65"/>
      <c r="K19" s="65"/>
      <c r="L19" s="65"/>
      <c r="M19" s="65"/>
      <c r="N19" s="66"/>
      <c r="O19" s="67" t="s">
        <v>33</v>
      </c>
      <c r="P19" s="67"/>
      <c r="Q19" s="67"/>
      <c r="R19" s="67"/>
      <c r="S19" s="81"/>
      <c r="T19" s="67"/>
      <c r="U19" s="82"/>
      <c r="V19" s="82"/>
      <c r="W19" s="83"/>
      <c r="X19" s="84"/>
      <c r="Y19" s="84"/>
      <c r="Z19" s="82"/>
      <c r="AA19" s="82"/>
      <c r="AB19" s="82"/>
      <c r="AC19" s="82"/>
      <c r="AD19" s="82"/>
      <c r="AE19" s="82"/>
      <c r="AF19" s="82"/>
      <c r="AG19" s="82"/>
      <c r="AH19" s="82"/>
      <c r="AI19" s="83"/>
      <c r="AJ19" s="84"/>
      <c r="AK19" s="84"/>
      <c r="AL19" s="82"/>
      <c r="AM19" s="83"/>
      <c r="AN19" s="84"/>
      <c r="AO19" s="84"/>
      <c r="AP19" s="82"/>
      <c r="AQ19" s="82"/>
      <c r="AR19" s="82"/>
      <c r="AS19" s="82"/>
      <c r="AT19" s="82"/>
      <c r="AU19" s="82"/>
      <c r="AV19" s="82"/>
      <c r="AW19" s="82"/>
      <c r="AX19" s="82"/>
      <c r="AY19" s="85"/>
      <c r="AZ19" s="86"/>
      <c r="BA19" s="87"/>
      <c r="BB19" s="87"/>
      <c r="BC19" s="88"/>
      <c r="BD19" s="59"/>
    </row>
    <row r="20" spans="2:56" ht="12.95" customHeight="1" x14ac:dyDescent="0.15">
      <c r="B20" s="632"/>
      <c r="C20" s="1230"/>
      <c r="D20" s="1231"/>
      <c r="E20" s="1231"/>
      <c r="F20" s="1232"/>
      <c r="G20" s="1233"/>
      <c r="H20" s="1234"/>
      <c r="I20" s="64"/>
      <c r="J20" s="65"/>
      <c r="K20" s="65"/>
      <c r="L20" s="65"/>
      <c r="M20" s="65"/>
      <c r="N20" s="66"/>
      <c r="O20" s="90" t="s">
        <v>34</v>
      </c>
      <c r="P20" s="67"/>
      <c r="Q20" s="67"/>
      <c r="R20" s="67"/>
      <c r="S20" s="81"/>
      <c r="T20" s="67"/>
      <c r="U20" s="67"/>
      <c r="V20" s="322"/>
      <c r="W20" s="67"/>
      <c r="X20" s="322"/>
      <c r="Y20" s="322"/>
      <c r="Z20" s="322"/>
      <c r="AA20" s="322"/>
      <c r="AB20" s="322"/>
      <c r="AC20" s="322"/>
      <c r="AD20" s="67"/>
      <c r="AE20" s="322"/>
      <c r="AF20" s="67"/>
      <c r="AG20" s="67"/>
      <c r="AH20" s="67"/>
      <c r="AI20" s="67"/>
      <c r="AJ20" s="322"/>
      <c r="AK20" s="322"/>
      <c r="AL20" s="322"/>
      <c r="AM20" s="67"/>
      <c r="AN20" s="322"/>
      <c r="AO20" s="322"/>
      <c r="AP20" s="322"/>
      <c r="AQ20" s="322"/>
      <c r="AR20" s="322"/>
      <c r="AS20" s="322"/>
      <c r="AT20" s="67"/>
      <c r="AU20" s="322"/>
      <c r="AV20" s="67"/>
      <c r="AW20" s="67"/>
      <c r="AX20" s="67"/>
      <c r="AY20" s="323"/>
      <c r="AZ20" s="64"/>
      <c r="BA20" s="65"/>
      <c r="BB20" s="65"/>
      <c r="BC20" s="72"/>
      <c r="BD20" s="59"/>
    </row>
    <row r="21" spans="2:56" ht="12.95" customHeight="1" x14ac:dyDescent="0.15">
      <c r="B21" s="632"/>
      <c r="C21" s="633"/>
      <c r="D21" s="60"/>
      <c r="E21" s="60"/>
      <c r="F21" s="61"/>
      <c r="G21" s="62"/>
      <c r="H21" s="63"/>
      <c r="I21" s="64"/>
      <c r="J21" s="65"/>
      <c r="K21" s="65"/>
      <c r="L21" s="65"/>
      <c r="M21" s="65"/>
      <c r="N21" s="66"/>
      <c r="O21" s="67" t="s">
        <v>35</v>
      </c>
      <c r="P21" s="67"/>
      <c r="Q21" s="67"/>
      <c r="R21" s="67"/>
      <c r="S21" s="81"/>
      <c r="T21" s="67"/>
      <c r="U21" s="82"/>
      <c r="V21" s="82"/>
      <c r="W21" s="83"/>
      <c r="X21" s="84"/>
      <c r="Y21" s="84"/>
      <c r="Z21" s="82"/>
      <c r="AA21" s="82"/>
      <c r="AB21" s="82"/>
      <c r="AC21" s="82"/>
      <c r="AD21" s="82"/>
      <c r="AE21" s="82"/>
      <c r="AF21" s="82"/>
      <c r="AG21" s="82"/>
      <c r="AH21" s="82"/>
      <c r="AI21" s="83"/>
      <c r="AJ21" s="84"/>
      <c r="AK21" s="84"/>
      <c r="AL21" s="82"/>
      <c r="AM21" s="83"/>
      <c r="AN21" s="84"/>
      <c r="AO21" s="84"/>
      <c r="AP21" s="82"/>
      <c r="AQ21" s="82"/>
      <c r="AR21" s="82"/>
      <c r="AS21" s="82"/>
      <c r="AT21" s="82"/>
      <c r="AU21" s="82"/>
      <c r="AV21" s="82"/>
      <c r="AW21" s="82"/>
      <c r="AX21" s="82"/>
      <c r="AY21" s="85"/>
      <c r="AZ21" s="86"/>
      <c r="BA21" s="87"/>
      <c r="BB21" s="87"/>
      <c r="BC21" s="88"/>
      <c r="BD21" s="59"/>
    </row>
    <row r="22" spans="2:56" ht="12.95" customHeight="1" x14ac:dyDescent="0.15">
      <c r="B22" s="632"/>
      <c r="C22" s="1230"/>
      <c r="D22" s="1231"/>
      <c r="E22" s="1231"/>
      <c r="F22" s="1232"/>
      <c r="G22" s="1233"/>
      <c r="H22" s="1234"/>
      <c r="I22" s="64"/>
      <c r="J22" s="65"/>
      <c r="K22" s="65"/>
      <c r="L22" s="65"/>
      <c r="M22" s="65"/>
      <c r="N22" s="66"/>
      <c r="O22" s="90" t="s">
        <v>36</v>
      </c>
      <c r="P22" s="67"/>
      <c r="Q22" s="67"/>
      <c r="R22" s="67"/>
      <c r="S22" s="81"/>
      <c r="T22" s="67"/>
      <c r="U22" s="67"/>
      <c r="V22" s="322"/>
      <c r="W22" s="67"/>
      <c r="X22" s="322"/>
      <c r="Y22" s="322"/>
      <c r="Z22" s="322"/>
      <c r="AA22" s="322"/>
      <c r="AB22" s="322"/>
      <c r="AC22" s="322"/>
      <c r="AD22" s="67"/>
      <c r="AE22" s="322"/>
      <c r="AF22" s="67"/>
      <c r="AG22" s="67"/>
      <c r="AH22" s="67"/>
      <c r="AI22" s="67"/>
      <c r="AJ22" s="322"/>
      <c r="AK22" s="322"/>
      <c r="AL22" s="322"/>
      <c r="AM22" s="67"/>
      <c r="AN22" s="322"/>
      <c r="AO22" s="322"/>
      <c r="AP22" s="322"/>
      <c r="AQ22" s="322"/>
      <c r="AR22" s="322"/>
      <c r="AS22" s="322"/>
      <c r="AT22" s="67"/>
      <c r="AU22" s="322"/>
      <c r="AV22" s="67"/>
      <c r="AW22" s="67"/>
      <c r="AX22" s="67"/>
      <c r="AY22" s="323"/>
      <c r="AZ22" s="64"/>
      <c r="BA22" s="65"/>
      <c r="BB22" s="65"/>
      <c r="BC22" s="72"/>
      <c r="BD22" s="59"/>
    </row>
    <row r="23" spans="2:56" ht="12.95" customHeight="1" x14ac:dyDescent="0.15">
      <c r="B23" s="632"/>
      <c r="C23" s="633"/>
      <c r="D23" s="60"/>
      <c r="E23" s="60"/>
      <c r="F23" s="61"/>
      <c r="G23" s="62"/>
      <c r="H23" s="63"/>
      <c r="I23" s="64"/>
      <c r="J23" s="65"/>
      <c r="K23" s="65"/>
      <c r="L23" s="65"/>
      <c r="M23" s="65"/>
      <c r="N23" s="66"/>
      <c r="O23" s="67" t="s">
        <v>37</v>
      </c>
      <c r="P23" s="67"/>
      <c r="Q23" s="67"/>
      <c r="R23" s="67"/>
      <c r="S23" s="81"/>
      <c r="T23" s="67"/>
      <c r="U23" s="82"/>
      <c r="V23" s="82"/>
      <c r="W23" s="83"/>
      <c r="X23" s="84"/>
      <c r="Y23" s="84"/>
      <c r="Z23" s="82"/>
      <c r="AA23" s="82"/>
      <c r="AB23" s="82"/>
      <c r="AC23" s="82"/>
      <c r="AD23" s="82"/>
      <c r="AE23" s="82"/>
      <c r="AF23" s="82"/>
      <c r="AG23" s="82"/>
      <c r="AH23" s="82"/>
      <c r="AI23" s="83"/>
      <c r="AJ23" s="84"/>
      <c r="AK23" s="84"/>
      <c r="AL23" s="82"/>
      <c r="AM23" s="83"/>
      <c r="AN23" s="84"/>
      <c r="AO23" s="84"/>
      <c r="AP23" s="82"/>
      <c r="AQ23" s="82"/>
      <c r="AR23" s="82"/>
      <c r="AS23" s="82"/>
      <c r="AT23" s="82"/>
      <c r="AU23" s="82"/>
      <c r="AV23" s="82"/>
      <c r="AW23" s="82"/>
      <c r="AX23" s="82"/>
      <c r="AY23" s="85"/>
      <c r="AZ23" s="86"/>
      <c r="BA23" s="87"/>
      <c r="BB23" s="87"/>
      <c r="BC23" s="88"/>
      <c r="BD23" s="59"/>
    </row>
    <row r="24" spans="2:56" ht="12.95" customHeight="1" x14ac:dyDescent="0.15">
      <c r="B24" s="632"/>
      <c r="C24" s="1230"/>
      <c r="D24" s="1231"/>
      <c r="E24" s="1231"/>
      <c r="F24" s="1232"/>
      <c r="G24" s="1233"/>
      <c r="H24" s="1234"/>
      <c r="I24" s="64"/>
      <c r="J24" s="65"/>
      <c r="K24" s="65"/>
      <c r="L24" s="65"/>
      <c r="M24" s="65"/>
      <c r="N24" s="66"/>
      <c r="O24" s="90" t="s">
        <v>38</v>
      </c>
      <c r="P24" s="67"/>
      <c r="Q24" s="67"/>
      <c r="R24" s="67"/>
      <c r="S24" s="81"/>
      <c r="T24" s="67"/>
      <c r="U24" s="67"/>
      <c r="V24" s="322"/>
      <c r="W24" s="67"/>
      <c r="X24" s="322"/>
      <c r="Y24" s="322"/>
      <c r="Z24" s="322"/>
      <c r="AA24" s="322"/>
      <c r="AB24" s="322"/>
      <c r="AC24" s="322"/>
      <c r="AD24" s="67"/>
      <c r="AE24" s="322"/>
      <c r="AF24" s="67"/>
      <c r="AG24" s="67"/>
      <c r="AH24" s="67"/>
      <c r="AI24" s="67"/>
      <c r="AJ24" s="322"/>
      <c r="AK24" s="322"/>
      <c r="AL24" s="322"/>
      <c r="AM24" s="67"/>
      <c r="AN24" s="322"/>
      <c r="AO24" s="322"/>
      <c r="AP24" s="322"/>
      <c r="AQ24" s="322"/>
      <c r="AR24" s="322"/>
      <c r="AS24" s="322"/>
      <c r="AT24" s="67"/>
      <c r="AU24" s="322"/>
      <c r="AV24" s="67"/>
      <c r="AW24" s="67"/>
      <c r="AX24" s="67"/>
      <c r="AY24" s="323"/>
      <c r="AZ24" s="64"/>
      <c r="BA24" s="65"/>
      <c r="BB24" s="65"/>
      <c r="BC24" s="72"/>
      <c r="BD24" s="59"/>
    </row>
    <row r="25" spans="2:56" ht="12.95" customHeight="1" x14ac:dyDescent="0.15">
      <c r="B25" s="632"/>
      <c r="C25" s="633"/>
      <c r="D25" s="60"/>
      <c r="E25" s="60"/>
      <c r="F25" s="61"/>
      <c r="G25" s="62"/>
      <c r="H25" s="63"/>
      <c r="I25" s="64"/>
      <c r="J25" s="65"/>
      <c r="K25" s="65"/>
      <c r="L25" s="65"/>
      <c r="M25" s="65"/>
      <c r="N25" s="66"/>
      <c r="O25" s="67" t="s">
        <v>39</v>
      </c>
      <c r="P25" s="67"/>
      <c r="Q25" s="67"/>
      <c r="R25" s="67"/>
      <c r="S25" s="81"/>
      <c r="T25" s="67"/>
      <c r="U25" s="82"/>
      <c r="V25" s="82"/>
      <c r="W25" s="83"/>
      <c r="X25" s="84"/>
      <c r="Y25" s="84"/>
      <c r="Z25" s="82"/>
      <c r="AA25" s="82"/>
      <c r="AB25" s="82"/>
      <c r="AC25" s="82"/>
      <c r="AD25" s="82"/>
      <c r="AE25" s="82"/>
      <c r="AF25" s="82"/>
      <c r="AG25" s="82"/>
      <c r="AH25" s="82"/>
      <c r="AI25" s="83"/>
      <c r="AJ25" s="84"/>
      <c r="AK25" s="84"/>
      <c r="AL25" s="82"/>
      <c r="AM25" s="83"/>
      <c r="AN25" s="84"/>
      <c r="AO25" s="84"/>
      <c r="AP25" s="82"/>
      <c r="AQ25" s="82"/>
      <c r="AR25" s="82"/>
      <c r="AS25" s="82"/>
      <c r="AT25" s="82"/>
      <c r="AU25" s="82"/>
      <c r="AV25" s="82"/>
      <c r="AW25" s="82"/>
      <c r="AX25" s="82"/>
      <c r="AY25" s="85"/>
      <c r="AZ25" s="86"/>
      <c r="BA25" s="87"/>
      <c r="BB25" s="87"/>
      <c r="BC25" s="88"/>
      <c r="BD25" s="59"/>
    </row>
    <row r="26" spans="2:56" ht="12.95" customHeight="1" x14ac:dyDescent="0.15">
      <c r="B26" s="632"/>
      <c r="C26" s="1230"/>
      <c r="D26" s="1231"/>
      <c r="E26" s="1231"/>
      <c r="F26" s="1232"/>
      <c r="G26" s="1233"/>
      <c r="H26" s="1234"/>
      <c r="I26" s="64"/>
      <c r="J26" s="65"/>
      <c r="K26" s="65"/>
      <c r="L26" s="65"/>
      <c r="M26" s="65"/>
      <c r="N26" s="66"/>
      <c r="O26" s="90" t="s">
        <v>40</v>
      </c>
      <c r="P26" s="67"/>
      <c r="Q26" s="67"/>
      <c r="R26" s="67"/>
      <c r="S26" s="81"/>
      <c r="T26" s="67"/>
      <c r="U26" s="67"/>
      <c r="V26" s="322"/>
      <c r="W26" s="67"/>
      <c r="X26" s="322"/>
      <c r="Y26" s="322"/>
      <c r="Z26" s="322"/>
      <c r="AA26" s="322"/>
      <c r="AB26" s="322"/>
      <c r="AC26" s="322"/>
      <c r="AD26" s="67"/>
      <c r="AE26" s="322"/>
      <c r="AF26" s="67"/>
      <c r="AG26" s="67"/>
      <c r="AH26" s="67"/>
      <c r="AI26" s="67"/>
      <c r="AJ26" s="322"/>
      <c r="AK26" s="322"/>
      <c r="AL26" s="322"/>
      <c r="AM26" s="67"/>
      <c r="AN26" s="322"/>
      <c r="AO26" s="322"/>
      <c r="AP26" s="322"/>
      <c r="AQ26" s="322"/>
      <c r="AR26" s="322"/>
      <c r="AS26" s="322"/>
      <c r="AT26" s="67"/>
      <c r="AU26" s="322"/>
      <c r="AV26" s="67"/>
      <c r="AW26" s="67"/>
      <c r="AX26" s="67"/>
      <c r="AY26" s="323"/>
      <c r="AZ26" s="64"/>
      <c r="BA26" s="65"/>
      <c r="BB26" s="65"/>
      <c r="BC26" s="72"/>
      <c r="BD26" s="59"/>
    </row>
    <row r="27" spans="2:56" ht="12.95" customHeight="1" x14ac:dyDescent="0.15">
      <c r="B27" s="632"/>
      <c r="C27" s="633"/>
      <c r="D27" s="60"/>
      <c r="E27" s="60"/>
      <c r="F27" s="61"/>
      <c r="G27" s="62"/>
      <c r="H27" s="63"/>
      <c r="I27" s="64"/>
      <c r="J27" s="65"/>
      <c r="K27" s="65"/>
      <c r="L27" s="65"/>
      <c r="M27" s="65"/>
      <c r="N27" s="66"/>
      <c r="O27" s="67" t="s">
        <v>41</v>
      </c>
      <c r="P27" s="67"/>
      <c r="Q27" s="67"/>
      <c r="R27" s="67"/>
      <c r="S27" s="81"/>
      <c r="T27" s="67"/>
      <c r="U27" s="82"/>
      <c r="V27" s="82"/>
      <c r="W27" s="83"/>
      <c r="X27" s="84"/>
      <c r="Y27" s="84"/>
      <c r="Z27" s="82"/>
      <c r="AA27" s="82"/>
      <c r="AB27" s="82"/>
      <c r="AC27" s="82"/>
      <c r="AD27" s="82"/>
      <c r="AE27" s="82"/>
      <c r="AF27" s="82"/>
      <c r="AG27" s="82"/>
      <c r="AH27" s="82"/>
      <c r="AI27" s="83"/>
      <c r="AJ27" s="84"/>
      <c r="AK27" s="84"/>
      <c r="AL27" s="82"/>
      <c r="AM27" s="83"/>
      <c r="AN27" s="84"/>
      <c r="AO27" s="84"/>
      <c r="AP27" s="82"/>
      <c r="AQ27" s="322"/>
      <c r="AR27" s="322"/>
      <c r="AS27" s="322"/>
      <c r="AT27" s="82"/>
      <c r="AU27" s="82"/>
      <c r="AV27" s="82"/>
      <c r="AW27" s="82"/>
      <c r="AX27" s="82"/>
      <c r="AY27" s="85"/>
      <c r="AZ27" s="86"/>
      <c r="BA27" s="87"/>
      <c r="BB27" s="87"/>
      <c r="BC27" s="88"/>
      <c r="BD27" s="59"/>
    </row>
    <row r="28" spans="2:56" ht="12.95" customHeight="1" x14ac:dyDescent="0.15">
      <c r="B28" s="632"/>
      <c r="C28" s="1230"/>
      <c r="D28" s="1231"/>
      <c r="E28" s="1231"/>
      <c r="F28" s="1232"/>
      <c r="G28" s="1233"/>
      <c r="H28" s="1234"/>
      <c r="I28" s="64"/>
      <c r="J28" s="65"/>
      <c r="K28" s="65"/>
      <c r="L28" s="65"/>
      <c r="M28" s="65"/>
      <c r="N28" s="66"/>
      <c r="O28" s="90" t="s">
        <v>42</v>
      </c>
      <c r="P28" s="67"/>
      <c r="Q28" s="67"/>
      <c r="R28" s="67"/>
      <c r="S28" s="81"/>
      <c r="T28" s="67"/>
      <c r="U28" s="67"/>
      <c r="V28" s="322"/>
      <c r="W28" s="67"/>
      <c r="X28" s="322"/>
      <c r="Y28" s="322"/>
      <c r="Z28" s="322"/>
      <c r="AA28" s="322"/>
      <c r="AB28" s="322"/>
      <c r="AC28" s="322"/>
      <c r="AD28" s="67"/>
      <c r="AE28" s="322"/>
      <c r="AF28" s="67"/>
      <c r="AG28" s="67"/>
      <c r="AH28" s="67"/>
      <c r="AI28" s="67"/>
      <c r="AJ28" s="322"/>
      <c r="AK28" s="84"/>
      <c r="AL28" s="322"/>
      <c r="AM28" s="67"/>
      <c r="AN28" s="322"/>
      <c r="AO28" s="322"/>
      <c r="AP28" s="322"/>
      <c r="AQ28" s="82"/>
      <c r="AR28" s="82"/>
      <c r="AS28" s="82"/>
      <c r="AT28" s="67"/>
      <c r="AU28" s="322"/>
      <c r="AV28" s="67"/>
      <c r="AW28" s="67"/>
      <c r="AX28" s="67"/>
      <c r="AY28" s="323"/>
      <c r="AZ28" s="64"/>
      <c r="BA28" s="65"/>
      <c r="BB28" s="65"/>
      <c r="BC28" s="72"/>
      <c r="BD28" s="59"/>
    </row>
    <row r="29" spans="2:56" ht="12.95" customHeight="1" x14ac:dyDescent="0.15">
      <c r="B29" s="632"/>
      <c r="C29" s="633"/>
      <c r="D29" s="60"/>
      <c r="E29" s="60"/>
      <c r="F29" s="61"/>
      <c r="G29" s="62"/>
      <c r="H29" s="63"/>
      <c r="I29" s="64"/>
      <c r="J29" s="65"/>
      <c r="K29" s="65"/>
      <c r="L29" s="65"/>
      <c r="M29" s="65"/>
      <c r="N29" s="66"/>
      <c r="O29" s="67" t="s">
        <v>43</v>
      </c>
      <c r="P29" s="67"/>
      <c r="Q29" s="67"/>
      <c r="R29" s="67"/>
      <c r="S29" s="81"/>
      <c r="T29" s="67"/>
      <c r="U29" s="82"/>
      <c r="V29" s="82"/>
      <c r="W29" s="83"/>
      <c r="X29" s="84"/>
      <c r="Y29" s="84"/>
      <c r="Z29" s="82"/>
      <c r="AA29" s="82"/>
      <c r="AB29" s="82"/>
      <c r="AC29" s="82"/>
      <c r="AD29" s="82"/>
      <c r="AE29" s="82"/>
      <c r="AF29" s="82"/>
      <c r="AG29" s="82"/>
      <c r="AH29" s="82"/>
      <c r="AI29" s="83"/>
      <c r="AJ29" s="84"/>
      <c r="AK29" s="84"/>
      <c r="AL29" s="82"/>
      <c r="AM29" s="83"/>
      <c r="AN29" s="84"/>
      <c r="AO29" s="84"/>
      <c r="AP29" s="82"/>
      <c r="AQ29" s="322"/>
      <c r="AR29" s="322"/>
      <c r="AS29" s="322"/>
      <c r="AT29" s="82"/>
      <c r="AU29" s="82"/>
      <c r="AV29" s="82"/>
      <c r="AW29" s="82"/>
      <c r="AX29" s="82"/>
      <c r="AY29" s="85"/>
      <c r="AZ29" s="86"/>
      <c r="BA29" s="87"/>
      <c r="BB29" s="87"/>
      <c r="BC29" s="88"/>
      <c r="BD29" s="59"/>
    </row>
    <row r="30" spans="2:56" ht="12.95" customHeight="1" x14ac:dyDescent="0.15">
      <c r="B30" s="632"/>
      <c r="C30" s="1230"/>
      <c r="D30" s="1231"/>
      <c r="E30" s="1231"/>
      <c r="F30" s="1232"/>
      <c r="G30" s="1233"/>
      <c r="H30" s="1234"/>
      <c r="I30" s="64"/>
      <c r="J30" s="65"/>
      <c r="K30" s="65"/>
      <c r="L30" s="65"/>
      <c r="M30" s="65"/>
      <c r="N30" s="66"/>
      <c r="O30" s="90" t="s">
        <v>44</v>
      </c>
      <c r="P30" s="67"/>
      <c r="Q30" s="67"/>
      <c r="R30" s="67"/>
      <c r="S30" s="81"/>
      <c r="T30" s="67"/>
      <c r="U30" s="67"/>
      <c r="V30" s="322"/>
      <c r="W30" s="67"/>
      <c r="X30" s="322"/>
      <c r="Y30" s="322"/>
      <c r="Z30" s="322"/>
      <c r="AA30" s="322"/>
      <c r="AB30" s="322"/>
      <c r="AC30" s="322"/>
      <c r="AD30" s="67"/>
      <c r="AE30" s="322"/>
      <c r="AF30" s="67"/>
      <c r="AG30" s="67"/>
      <c r="AH30" s="67"/>
      <c r="AI30" s="67"/>
      <c r="AJ30" s="322"/>
      <c r="AK30" s="322"/>
      <c r="AL30" s="322"/>
      <c r="AM30" s="67"/>
      <c r="AN30" s="322"/>
      <c r="AO30" s="322"/>
      <c r="AP30" s="322"/>
      <c r="AQ30" s="82"/>
      <c r="AR30" s="82"/>
      <c r="AS30" s="82"/>
      <c r="AT30" s="67"/>
      <c r="AU30" s="322"/>
      <c r="AV30" s="67"/>
      <c r="AW30" s="67"/>
      <c r="AX30" s="67"/>
      <c r="AY30" s="323"/>
      <c r="AZ30" s="64"/>
      <c r="BA30" s="65"/>
      <c r="BB30" s="65"/>
      <c r="BC30" s="72"/>
      <c r="BD30" s="59"/>
    </row>
    <row r="31" spans="2:56" ht="12.95" customHeight="1" x14ac:dyDescent="0.15">
      <c r="B31" s="632"/>
      <c r="C31" s="633"/>
      <c r="D31" s="60"/>
      <c r="E31" s="60"/>
      <c r="F31" s="61"/>
      <c r="G31" s="62"/>
      <c r="H31" s="63"/>
      <c r="I31" s="64"/>
      <c r="J31" s="65"/>
      <c r="K31" s="65"/>
      <c r="L31" s="65"/>
      <c r="M31" s="65"/>
      <c r="N31" s="66"/>
      <c r="O31" s="67" t="s">
        <v>45</v>
      </c>
      <c r="P31" s="67"/>
      <c r="Q31" s="67"/>
      <c r="R31" s="67"/>
      <c r="S31" s="81"/>
      <c r="T31" s="67"/>
      <c r="U31" s="82"/>
      <c r="V31" s="82"/>
      <c r="W31" s="83"/>
      <c r="X31" s="84"/>
      <c r="Y31" s="84"/>
      <c r="Z31" s="82"/>
      <c r="AA31" s="82"/>
      <c r="AB31" s="82"/>
      <c r="AC31" s="82"/>
      <c r="AD31" s="82"/>
      <c r="AE31" s="82"/>
      <c r="AF31" s="82"/>
      <c r="AG31" s="82"/>
      <c r="AH31" s="82"/>
      <c r="AI31" s="83"/>
      <c r="AJ31" s="84"/>
      <c r="AK31" s="84"/>
      <c r="AL31" s="82"/>
      <c r="AM31" s="83"/>
      <c r="AN31" s="84"/>
      <c r="AO31" s="84"/>
      <c r="AP31" s="82"/>
      <c r="AQ31" s="322"/>
      <c r="AR31" s="322"/>
      <c r="AS31" s="322"/>
      <c r="AT31" s="82"/>
      <c r="AU31" s="82"/>
      <c r="AV31" s="82"/>
      <c r="AW31" s="82"/>
      <c r="AX31" s="82"/>
      <c r="AY31" s="85"/>
      <c r="AZ31" s="86"/>
      <c r="BA31" s="87"/>
      <c r="BB31" s="87"/>
      <c r="BC31" s="88"/>
      <c r="BD31" s="59"/>
    </row>
    <row r="32" spans="2:56" ht="12.95" customHeight="1" x14ac:dyDescent="0.15">
      <c r="B32" s="632"/>
      <c r="C32" s="1230"/>
      <c r="D32" s="1231"/>
      <c r="E32" s="1231"/>
      <c r="F32" s="1232"/>
      <c r="G32" s="1233"/>
      <c r="H32" s="1234"/>
      <c r="I32" s="64"/>
      <c r="J32" s="65"/>
      <c r="K32" s="65"/>
      <c r="L32" s="65"/>
      <c r="M32" s="65"/>
      <c r="N32" s="66"/>
      <c r="O32" s="90" t="s">
        <v>46</v>
      </c>
      <c r="P32" s="67"/>
      <c r="Q32" s="67"/>
      <c r="R32" s="67"/>
      <c r="S32" s="81"/>
      <c r="T32" s="67"/>
      <c r="U32" s="67"/>
      <c r="V32" s="322"/>
      <c r="W32" s="67"/>
      <c r="X32" s="322"/>
      <c r="Y32" s="322"/>
      <c r="Z32" s="322"/>
      <c r="AA32" s="322"/>
      <c r="AB32" s="322"/>
      <c r="AC32" s="322"/>
      <c r="AD32" s="67"/>
      <c r="AE32" s="322"/>
      <c r="AF32" s="67"/>
      <c r="AG32" s="67"/>
      <c r="AH32" s="67"/>
      <c r="AI32" s="67"/>
      <c r="AJ32" s="322"/>
      <c r="AK32" s="322"/>
      <c r="AL32" s="322"/>
      <c r="AM32" s="67"/>
      <c r="AN32" s="322"/>
      <c r="AO32" s="322"/>
      <c r="AP32" s="322"/>
      <c r="AQ32" s="82"/>
      <c r="AR32" s="82"/>
      <c r="AS32" s="82"/>
      <c r="AT32" s="67"/>
      <c r="AU32" s="322"/>
      <c r="AV32" s="67"/>
      <c r="AW32" s="67"/>
      <c r="AX32" s="67"/>
      <c r="AY32" s="323"/>
      <c r="AZ32" s="64"/>
      <c r="BA32" s="65"/>
      <c r="BB32" s="65"/>
      <c r="BC32" s="72"/>
      <c r="BD32" s="59"/>
    </row>
    <row r="33" spans="2:56" ht="12.95" customHeight="1" x14ac:dyDescent="0.15">
      <c r="B33" s="632"/>
      <c r="C33" s="633"/>
      <c r="D33" s="60"/>
      <c r="E33" s="60"/>
      <c r="F33" s="61"/>
      <c r="G33" s="62"/>
      <c r="H33" s="63"/>
      <c r="I33" s="64"/>
      <c r="J33" s="65"/>
      <c r="K33" s="65"/>
      <c r="L33" s="65"/>
      <c r="M33" s="65"/>
      <c r="N33" s="66"/>
      <c r="O33" s="67" t="s">
        <v>47</v>
      </c>
      <c r="P33" s="67"/>
      <c r="Q33" s="67"/>
      <c r="R33" s="67"/>
      <c r="S33" s="81"/>
      <c r="T33" s="67"/>
      <c r="U33" s="82"/>
      <c r="V33" s="82"/>
      <c r="W33" s="83"/>
      <c r="X33" s="84"/>
      <c r="Y33" s="84"/>
      <c r="Z33" s="82"/>
      <c r="AA33" s="82"/>
      <c r="AB33" s="82"/>
      <c r="AC33" s="82"/>
      <c r="AD33" s="82"/>
      <c r="AE33" s="82"/>
      <c r="AF33" s="82"/>
      <c r="AG33" s="82"/>
      <c r="AH33" s="82"/>
      <c r="AI33" s="83"/>
      <c r="AJ33" s="84"/>
      <c r="AK33" s="84"/>
      <c r="AL33" s="82"/>
      <c r="AM33" s="83"/>
      <c r="AN33" s="84"/>
      <c r="AO33" s="84"/>
      <c r="AP33" s="82"/>
      <c r="AQ33" s="322"/>
      <c r="AR33" s="322"/>
      <c r="AS33" s="322"/>
      <c r="AT33" s="82"/>
      <c r="AU33" s="82"/>
      <c r="AV33" s="82"/>
      <c r="AW33" s="82"/>
      <c r="AX33" s="82"/>
      <c r="AY33" s="85"/>
      <c r="AZ33" s="86"/>
      <c r="BA33" s="87"/>
      <c r="BB33" s="87"/>
      <c r="BC33" s="88"/>
      <c r="BD33" s="59"/>
    </row>
    <row r="34" spans="2:56" ht="12.95" customHeight="1" x14ac:dyDescent="0.15">
      <c r="B34" s="632"/>
      <c r="C34" s="1230"/>
      <c r="D34" s="1231"/>
      <c r="E34" s="1231"/>
      <c r="F34" s="1232"/>
      <c r="G34" s="1233"/>
      <c r="H34" s="1234"/>
      <c r="I34" s="64"/>
      <c r="J34" s="65"/>
      <c r="K34" s="65"/>
      <c r="L34" s="65"/>
      <c r="M34" s="65"/>
      <c r="N34" s="66"/>
      <c r="O34" s="90" t="s">
        <v>48</v>
      </c>
      <c r="P34" s="67"/>
      <c r="Q34" s="67"/>
      <c r="R34" s="67"/>
      <c r="S34" s="81"/>
      <c r="T34" s="67"/>
      <c r="U34" s="67"/>
      <c r="V34" s="322"/>
      <c r="W34" s="67"/>
      <c r="X34" s="322"/>
      <c r="Y34" s="322"/>
      <c r="Z34" s="322"/>
      <c r="AA34" s="322"/>
      <c r="AB34" s="322"/>
      <c r="AC34" s="322"/>
      <c r="AD34" s="67"/>
      <c r="AE34" s="322"/>
      <c r="AF34" s="67"/>
      <c r="AG34" s="67"/>
      <c r="AH34" s="67"/>
      <c r="AI34" s="67"/>
      <c r="AJ34" s="322"/>
      <c r="AK34" s="322"/>
      <c r="AL34" s="322"/>
      <c r="AM34" s="67"/>
      <c r="AN34" s="322"/>
      <c r="AO34" s="322"/>
      <c r="AP34" s="322"/>
      <c r="AQ34" s="82"/>
      <c r="AR34" s="82"/>
      <c r="AS34" s="82"/>
      <c r="AT34" s="67"/>
      <c r="AU34" s="322"/>
      <c r="AV34" s="67"/>
      <c r="AW34" s="67"/>
      <c r="AX34" s="67"/>
      <c r="AY34" s="323"/>
      <c r="AZ34" s="64"/>
      <c r="BA34" s="65"/>
      <c r="BB34" s="65"/>
      <c r="BC34" s="72"/>
      <c r="BD34" s="59"/>
    </row>
    <row r="35" spans="2:56" ht="12.95" customHeight="1" x14ac:dyDescent="0.15">
      <c r="B35" s="632"/>
      <c r="C35" s="633"/>
      <c r="D35" s="60"/>
      <c r="E35" s="60"/>
      <c r="F35" s="61"/>
      <c r="G35" s="62"/>
      <c r="H35" s="63"/>
      <c r="I35" s="64"/>
      <c r="J35" s="65"/>
      <c r="K35" s="65"/>
      <c r="L35" s="65"/>
      <c r="M35" s="65"/>
      <c r="N35" s="66"/>
      <c r="O35" s="67" t="s">
        <v>49</v>
      </c>
      <c r="P35" s="67"/>
      <c r="Q35" s="67"/>
      <c r="R35" s="67"/>
      <c r="S35" s="81"/>
      <c r="T35" s="67"/>
      <c r="U35" s="82"/>
      <c r="V35" s="82"/>
      <c r="W35" s="83"/>
      <c r="X35" s="84"/>
      <c r="Y35" s="84"/>
      <c r="Z35" s="82"/>
      <c r="AA35" s="82"/>
      <c r="AB35" s="82"/>
      <c r="AC35" s="82"/>
      <c r="AD35" s="82"/>
      <c r="AE35" s="82"/>
      <c r="AF35" s="82"/>
      <c r="AG35" s="82"/>
      <c r="AH35" s="82"/>
      <c r="AI35" s="83"/>
      <c r="AJ35" s="84"/>
      <c r="AK35" s="84"/>
      <c r="AL35" s="82"/>
      <c r="AM35" s="83"/>
      <c r="AN35" s="84"/>
      <c r="AO35" s="84"/>
      <c r="AP35" s="82"/>
      <c r="AQ35" s="322"/>
      <c r="AR35" s="322"/>
      <c r="AS35" s="322"/>
      <c r="AT35" s="82"/>
      <c r="AU35" s="82"/>
      <c r="AV35" s="82"/>
      <c r="AW35" s="82"/>
      <c r="AX35" s="82"/>
      <c r="AY35" s="85"/>
      <c r="AZ35" s="86"/>
      <c r="BA35" s="87"/>
      <c r="BB35" s="87"/>
      <c r="BC35" s="88"/>
      <c r="BD35" s="59"/>
    </row>
    <row r="36" spans="2:56" ht="12.95" customHeight="1" x14ac:dyDescent="0.15">
      <c r="B36" s="632"/>
      <c r="C36" s="1230"/>
      <c r="D36" s="1231"/>
      <c r="E36" s="1231"/>
      <c r="F36" s="1232"/>
      <c r="G36" s="1233"/>
      <c r="H36" s="1234"/>
      <c r="I36" s="64"/>
      <c r="J36" s="65"/>
      <c r="K36" s="65"/>
      <c r="L36" s="65"/>
      <c r="M36" s="65"/>
      <c r="N36" s="66"/>
      <c r="O36" s="90" t="s">
        <v>50</v>
      </c>
      <c r="P36" s="67"/>
      <c r="Q36" s="67"/>
      <c r="R36" s="67"/>
      <c r="S36" s="81"/>
      <c r="T36" s="67"/>
      <c r="U36" s="67"/>
      <c r="V36" s="322"/>
      <c r="W36" s="67"/>
      <c r="X36" s="322"/>
      <c r="Y36" s="322"/>
      <c r="Z36" s="322"/>
      <c r="AA36" s="322"/>
      <c r="AB36" s="322"/>
      <c r="AC36" s="322"/>
      <c r="AD36" s="67"/>
      <c r="AE36" s="322"/>
      <c r="AF36" s="67"/>
      <c r="AG36" s="67"/>
      <c r="AH36" s="67"/>
      <c r="AI36" s="67"/>
      <c r="AJ36" s="322"/>
      <c r="AK36" s="322"/>
      <c r="AL36" s="322"/>
      <c r="AM36" s="67"/>
      <c r="AN36" s="322"/>
      <c r="AO36" s="322"/>
      <c r="AP36" s="322"/>
      <c r="AQ36" s="82"/>
      <c r="AR36" s="82"/>
      <c r="AS36" s="82"/>
      <c r="AT36" s="67"/>
      <c r="AU36" s="322"/>
      <c r="AV36" s="67"/>
      <c r="AW36" s="67"/>
      <c r="AX36" s="67"/>
      <c r="AY36" s="323"/>
      <c r="AZ36" s="64"/>
      <c r="BA36" s="65"/>
      <c r="BB36" s="65"/>
      <c r="BC36" s="72"/>
      <c r="BD36" s="59"/>
    </row>
    <row r="37" spans="2:56" ht="12.95" customHeight="1" x14ac:dyDescent="0.15">
      <c r="B37" s="632"/>
      <c r="C37" s="633"/>
      <c r="D37" s="60"/>
      <c r="E37" s="60"/>
      <c r="F37" s="61"/>
      <c r="G37" s="62"/>
      <c r="H37" s="63"/>
      <c r="I37" s="64"/>
      <c r="J37" s="65"/>
      <c r="K37" s="65"/>
      <c r="L37" s="65"/>
      <c r="M37" s="65"/>
      <c r="N37" s="66"/>
      <c r="O37" s="67" t="s">
        <v>51</v>
      </c>
      <c r="P37" s="67"/>
      <c r="Q37" s="67"/>
      <c r="R37" s="67"/>
      <c r="S37" s="81"/>
      <c r="T37" s="67"/>
      <c r="U37" s="82"/>
      <c r="V37" s="82"/>
      <c r="W37" s="83"/>
      <c r="X37" s="84"/>
      <c r="Y37" s="84"/>
      <c r="Z37" s="82"/>
      <c r="AA37" s="82"/>
      <c r="AB37" s="82"/>
      <c r="AC37" s="82"/>
      <c r="AD37" s="82"/>
      <c r="AE37" s="82"/>
      <c r="AF37" s="82"/>
      <c r="AG37" s="82"/>
      <c r="AH37" s="82"/>
      <c r="AI37" s="83"/>
      <c r="AJ37" s="84"/>
      <c r="AK37" s="84"/>
      <c r="AL37" s="82"/>
      <c r="AM37" s="83"/>
      <c r="AN37" s="84"/>
      <c r="AO37" s="84"/>
      <c r="AP37" s="82"/>
      <c r="AQ37" s="322"/>
      <c r="AR37" s="322"/>
      <c r="AS37" s="322"/>
      <c r="AT37" s="82"/>
      <c r="AU37" s="82"/>
      <c r="AV37" s="82"/>
      <c r="AW37" s="82"/>
      <c r="AX37" s="82"/>
      <c r="AY37" s="85"/>
      <c r="AZ37" s="86"/>
      <c r="BA37" s="87"/>
      <c r="BB37" s="87"/>
      <c r="BC37" s="88"/>
      <c r="BD37" s="59"/>
    </row>
    <row r="38" spans="2:56" ht="12.95" customHeight="1" x14ac:dyDescent="0.15">
      <c r="B38" s="632"/>
      <c r="C38" s="1230"/>
      <c r="D38" s="1231"/>
      <c r="E38" s="1231"/>
      <c r="F38" s="1232"/>
      <c r="G38" s="1233"/>
      <c r="H38" s="1234"/>
      <c r="I38" s="64"/>
      <c r="J38" s="65"/>
      <c r="K38" s="65"/>
      <c r="L38" s="65"/>
      <c r="M38" s="65"/>
      <c r="N38" s="66"/>
      <c r="O38" s="90"/>
      <c r="P38" s="67"/>
      <c r="Q38" s="67"/>
      <c r="R38" s="67"/>
      <c r="S38" s="81"/>
      <c r="T38" s="67"/>
      <c r="U38" s="67"/>
      <c r="V38" s="322"/>
      <c r="W38" s="67"/>
      <c r="X38" s="322"/>
      <c r="Y38" s="322"/>
      <c r="Z38" s="322"/>
      <c r="AA38" s="322"/>
      <c r="AB38" s="322"/>
      <c r="AC38" s="322"/>
      <c r="AD38" s="67"/>
      <c r="AE38" s="322"/>
      <c r="AF38" s="67"/>
      <c r="AG38" s="67"/>
      <c r="AH38" s="67"/>
      <c r="AI38" s="67"/>
      <c r="AJ38" s="322"/>
      <c r="AK38" s="322"/>
      <c r="AL38" s="322"/>
      <c r="AM38" s="67"/>
      <c r="AN38" s="322"/>
      <c r="AO38" s="322"/>
      <c r="AP38" s="322"/>
      <c r="AQ38" s="322"/>
      <c r="AR38" s="322"/>
      <c r="AS38" s="322"/>
      <c r="AT38" s="67"/>
      <c r="AU38" s="322"/>
      <c r="AV38" s="67"/>
      <c r="AW38" s="67"/>
      <c r="AX38" s="67"/>
      <c r="AY38" s="323"/>
      <c r="AZ38" s="64"/>
      <c r="BA38" s="65"/>
      <c r="BB38" s="65"/>
      <c r="BC38" s="72"/>
      <c r="BD38" s="59"/>
    </row>
    <row r="39" spans="2:56" ht="12.95" customHeight="1" x14ac:dyDescent="0.15">
      <c r="B39" s="632"/>
      <c r="C39" s="1230"/>
      <c r="D39" s="1231"/>
      <c r="E39" s="1231"/>
      <c r="F39" s="1232"/>
      <c r="G39" s="1233"/>
      <c r="H39" s="1234"/>
      <c r="I39" s="64"/>
      <c r="J39" s="65"/>
      <c r="K39" s="65"/>
      <c r="L39" s="65"/>
      <c r="M39" s="65"/>
      <c r="N39" s="66"/>
      <c r="O39" s="67" t="s">
        <v>52</v>
      </c>
      <c r="P39" s="67"/>
      <c r="Q39" s="67"/>
      <c r="R39" s="67"/>
      <c r="S39" s="81"/>
      <c r="T39" s="67"/>
      <c r="U39" s="82"/>
      <c r="V39" s="82"/>
      <c r="W39" s="83"/>
      <c r="X39" s="84"/>
      <c r="Y39" s="84"/>
      <c r="Z39" s="82"/>
      <c r="AA39" s="82"/>
      <c r="AB39" s="82"/>
      <c r="AC39" s="82"/>
      <c r="AD39" s="82"/>
      <c r="AE39" s="82"/>
      <c r="AF39" s="82"/>
      <c r="AG39" s="82"/>
      <c r="AH39" s="82"/>
      <c r="AI39" s="83"/>
      <c r="AJ39" s="84"/>
      <c r="AK39" s="84"/>
      <c r="AL39" s="82"/>
      <c r="AM39" s="83"/>
      <c r="AN39" s="84"/>
      <c r="AO39" s="84"/>
      <c r="AP39" s="82"/>
      <c r="AQ39" s="82"/>
      <c r="AR39" s="82"/>
      <c r="AS39" s="82"/>
      <c r="AT39" s="67"/>
      <c r="AU39" s="322"/>
      <c r="AV39" s="67"/>
      <c r="AW39" s="67"/>
      <c r="AX39" s="67"/>
      <c r="AY39" s="323"/>
      <c r="AZ39" s="64"/>
      <c r="BA39" s="65"/>
      <c r="BB39" s="65"/>
      <c r="BC39" s="72"/>
      <c r="BD39" s="59"/>
    </row>
    <row r="40" spans="2:56" ht="12.95" customHeight="1" x14ac:dyDescent="0.15">
      <c r="B40" s="632"/>
      <c r="C40" s="633"/>
      <c r="D40" s="60"/>
      <c r="E40" s="60"/>
      <c r="F40" s="61"/>
      <c r="G40" s="62"/>
      <c r="H40" s="63"/>
      <c r="I40" s="64"/>
      <c r="J40" s="65"/>
      <c r="K40" s="65"/>
      <c r="L40" s="65"/>
      <c r="M40" s="65"/>
      <c r="N40" s="66"/>
      <c r="O40" s="90" t="s">
        <v>53</v>
      </c>
      <c r="P40" s="67"/>
      <c r="Q40" s="67"/>
      <c r="R40" s="67"/>
      <c r="S40" s="81"/>
      <c r="T40" s="67"/>
      <c r="U40" s="67"/>
      <c r="V40" s="322"/>
      <c r="W40" s="67"/>
      <c r="X40" s="322"/>
      <c r="Y40" s="322"/>
      <c r="Z40" s="322"/>
      <c r="AA40" s="322"/>
      <c r="AB40" s="322"/>
      <c r="AC40" s="322"/>
      <c r="AD40" s="67"/>
      <c r="AE40" s="322"/>
      <c r="AF40" s="67"/>
      <c r="AG40" s="67"/>
      <c r="AH40" s="67"/>
      <c r="AI40" s="67"/>
      <c r="AJ40" s="322"/>
      <c r="AK40" s="322"/>
      <c r="AL40" s="322"/>
      <c r="AM40" s="67"/>
      <c r="AN40" s="322"/>
      <c r="AO40" s="322"/>
      <c r="AP40" s="322"/>
      <c r="AQ40" s="322"/>
      <c r="AR40" s="322"/>
      <c r="AS40" s="322"/>
      <c r="AT40" s="82"/>
      <c r="AU40" s="82"/>
      <c r="AV40" s="82"/>
      <c r="AW40" s="82"/>
      <c r="AX40" s="82"/>
      <c r="AY40" s="85"/>
      <c r="AZ40" s="86"/>
      <c r="BA40" s="87"/>
      <c r="BB40" s="87"/>
      <c r="BC40" s="88"/>
      <c r="BD40" s="59"/>
    </row>
    <row r="41" spans="2:56" ht="12.95" customHeight="1" x14ac:dyDescent="0.15">
      <c r="B41" s="632"/>
      <c r="C41" s="1230"/>
      <c r="D41" s="1231"/>
      <c r="E41" s="1231"/>
      <c r="F41" s="1232"/>
      <c r="G41" s="1233"/>
      <c r="H41" s="1234"/>
      <c r="I41" s="64"/>
      <c r="J41" s="65"/>
      <c r="K41" s="65"/>
      <c r="L41" s="65"/>
      <c r="M41" s="65"/>
      <c r="N41" s="66"/>
      <c r="O41" s="89" t="s">
        <v>54</v>
      </c>
      <c r="P41" s="82"/>
      <c r="Q41" s="82"/>
      <c r="R41" s="82"/>
      <c r="S41" s="82"/>
      <c r="T41" s="82"/>
      <c r="U41" s="82"/>
      <c r="V41" s="82"/>
      <c r="W41" s="83"/>
      <c r="X41" s="84"/>
      <c r="Y41" s="84"/>
      <c r="Z41" s="82"/>
      <c r="AA41" s="82"/>
      <c r="AB41" s="82"/>
      <c r="AC41" s="82"/>
      <c r="AD41" s="82"/>
      <c r="AE41" s="82"/>
      <c r="AF41" s="82"/>
      <c r="AG41" s="82"/>
      <c r="AH41" s="82"/>
      <c r="AI41" s="83"/>
      <c r="AJ41" s="84"/>
      <c r="AK41" s="84"/>
      <c r="AL41" s="82"/>
      <c r="AM41" s="83"/>
      <c r="AN41" s="84"/>
      <c r="AO41" s="84"/>
      <c r="AP41" s="82"/>
      <c r="AQ41" s="82"/>
      <c r="AR41" s="82"/>
      <c r="AS41" s="82"/>
      <c r="AT41" s="67"/>
      <c r="AU41" s="322"/>
      <c r="AV41" s="67"/>
      <c r="AW41" s="67"/>
      <c r="AX41" s="67"/>
      <c r="AY41" s="323"/>
      <c r="AZ41" s="64"/>
      <c r="BA41" s="65"/>
      <c r="BB41" s="65"/>
      <c r="BC41" s="72"/>
      <c r="BD41" s="59"/>
    </row>
    <row r="42" spans="2:56" ht="12.95" customHeight="1" x14ac:dyDescent="0.15">
      <c r="B42" s="632"/>
      <c r="C42" s="633"/>
      <c r="D42" s="60"/>
      <c r="E42" s="60"/>
      <c r="F42" s="61"/>
      <c r="G42" s="62"/>
      <c r="H42" s="63"/>
      <c r="I42" s="326"/>
      <c r="J42" s="327"/>
      <c r="K42" s="327"/>
      <c r="L42" s="327"/>
      <c r="M42" s="327"/>
      <c r="N42" s="328"/>
      <c r="O42" s="90" t="s">
        <v>27</v>
      </c>
      <c r="P42" s="67"/>
      <c r="Q42" s="67"/>
      <c r="R42" s="67"/>
      <c r="S42" s="81"/>
      <c r="T42" s="67"/>
      <c r="U42" s="67"/>
      <c r="V42" s="322"/>
      <c r="W42" s="67"/>
      <c r="X42" s="322"/>
      <c r="Y42" s="322"/>
      <c r="Z42" s="322"/>
      <c r="AA42" s="322"/>
      <c r="AB42" s="322"/>
      <c r="AC42" s="322"/>
      <c r="AD42" s="67"/>
      <c r="AE42" s="322"/>
      <c r="AF42" s="67"/>
      <c r="AG42" s="67"/>
      <c r="AH42" s="67"/>
      <c r="AI42" s="67"/>
      <c r="AJ42" s="322"/>
      <c r="AK42" s="322"/>
      <c r="AL42" s="322"/>
      <c r="AM42" s="67"/>
      <c r="AN42" s="322"/>
      <c r="AO42" s="322"/>
      <c r="AP42" s="322"/>
      <c r="AQ42" s="322"/>
      <c r="AR42" s="322"/>
      <c r="AS42" s="322"/>
      <c r="AT42" s="82"/>
      <c r="AU42" s="82"/>
      <c r="AV42" s="82"/>
      <c r="AW42" s="82"/>
      <c r="AX42" s="82"/>
      <c r="AY42" s="85"/>
      <c r="AZ42" s="329"/>
      <c r="BA42" s="330"/>
      <c r="BB42" s="330"/>
      <c r="BC42" s="331"/>
      <c r="BD42" s="59"/>
    </row>
    <row r="43" spans="2:56" ht="12.95" customHeight="1" x14ac:dyDescent="0.15">
      <c r="B43" s="632"/>
      <c r="C43" s="634"/>
      <c r="D43" s="332"/>
      <c r="E43" s="332"/>
      <c r="F43" s="333"/>
      <c r="G43" s="334"/>
      <c r="H43" s="335"/>
      <c r="I43" s="326"/>
      <c r="J43" s="327"/>
      <c r="K43" s="327"/>
      <c r="L43" s="327"/>
      <c r="M43" s="327"/>
      <c r="N43" s="328"/>
      <c r="O43" s="89" t="s">
        <v>55</v>
      </c>
      <c r="P43" s="82"/>
      <c r="Q43" s="82"/>
      <c r="R43" s="82"/>
      <c r="S43" s="82"/>
      <c r="T43" s="82"/>
      <c r="U43" s="82"/>
      <c r="V43" s="82"/>
      <c r="W43" s="83"/>
      <c r="X43" s="84"/>
      <c r="Y43" s="84"/>
      <c r="Z43" s="82"/>
      <c r="AA43" s="82"/>
      <c r="AB43" s="82"/>
      <c r="AC43" s="82"/>
      <c r="AD43" s="82"/>
      <c r="AE43" s="82"/>
      <c r="AF43" s="82"/>
      <c r="AG43" s="82"/>
      <c r="AH43" s="82"/>
      <c r="AI43" s="83"/>
      <c r="AJ43" s="84"/>
      <c r="AK43" s="84"/>
      <c r="AL43" s="82"/>
      <c r="AM43" s="83"/>
      <c r="AN43" s="84"/>
      <c r="AO43" s="84"/>
      <c r="AP43" s="82"/>
      <c r="AQ43" s="82"/>
      <c r="AR43" s="82"/>
      <c r="AS43" s="82"/>
      <c r="AT43" s="67"/>
      <c r="AU43" s="322"/>
      <c r="AV43" s="67"/>
      <c r="AW43" s="67"/>
      <c r="AX43" s="67"/>
      <c r="AY43" s="323"/>
      <c r="AZ43" s="326"/>
      <c r="BA43" s="327"/>
      <c r="BB43" s="327"/>
      <c r="BC43" s="336"/>
      <c r="BD43" s="59"/>
    </row>
    <row r="44" spans="2:56" ht="12.95" customHeight="1" x14ac:dyDescent="0.15">
      <c r="B44" s="632"/>
      <c r="C44" s="633"/>
      <c r="D44" s="60"/>
      <c r="E44" s="60"/>
      <c r="F44" s="61"/>
      <c r="G44" s="62"/>
      <c r="H44" s="63"/>
      <c r="I44" s="326"/>
      <c r="J44" s="327"/>
      <c r="K44" s="327"/>
      <c r="L44" s="327"/>
      <c r="M44" s="327"/>
      <c r="N44" s="328"/>
      <c r="O44" s="90" t="s">
        <v>56</v>
      </c>
      <c r="P44" s="67"/>
      <c r="Q44" s="67"/>
      <c r="R44" s="67"/>
      <c r="S44" s="81"/>
      <c r="T44" s="67"/>
      <c r="U44" s="67"/>
      <c r="V44" s="322"/>
      <c r="W44" s="67"/>
      <c r="X44" s="322"/>
      <c r="Y44" s="322"/>
      <c r="Z44" s="322"/>
      <c r="AA44" s="322"/>
      <c r="AB44" s="322"/>
      <c r="AC44" s="322"/>
      <c r="AD44" s="67"/>
      <c r="AE44" s="322"/>
      <c r="AF44" s="67"/>
      <c r="AG44" s="67"/>
      <c r="AH44" s="67"/>
      <c r="AI44" s="67"/>
      <c r="AJ44" s="322"/>
      <c r="AK44" s="322"/>
      <c r="AL44" s="322"/>
      <c r="AM44" s="67"/>
      <c r="AN44" s="322"/>
      <c r="AO44" s="322"/>
      <c r="AP44" s="322"/>
      <c r="AQ44" s="322"/>
      <c r="AR44" s="322"/>
      <c r="AS44" s="322"/>
      <c r="AT44" s="82"/>
      <c r="AU44" s="82"/>
      <c r="AV44" s="82"/>
      <c r="AW44" s="82"/>
      <c r="AX44" s="82"/>
      <c r="AY44" s="85"/>
      <c r="AZ44" s="329"/>
      <c r="BA44" s="330"/>
      <c r="BB44" s="330"/>
      <c r="BC44" s="331"/>
      <c r="BD44" s="59"/>
    </row>
    <row r="45" spans="2:56" ht="12.95" customHeight="1" x14ac:dyDescent="0.15">
      <c r="B45" s="632"/>
      <c r="C45" s="634"/>
      <c r="D45" s="332"/>
      <c r="E45" s="332"/>
      <c r="F45" s="333"/>
      <c r="G45" s="334"/>
      <c r="H45" s="335"/>
      <c r="I45" s="326"/>
      <c r="J45" s="327"/>
      <c r="K45" s="327"/>
      <c r="L45" s="327"/>
      <c r="M45" s="327"/>
      <c r="N45" s="328"/>
      <c r="O45" s="89" t="s">
        <v>57</v>
      </c>
      <c r="P45" s="82"/>
      <c r="Q45" s="82"/>
      <c r="R45" s="82"/>
      <c r="S45" s="82"/>
      <c r="T45" s="82"/>
      <c r="U45" s="82"/>
      <c r="V45" s="82"/>
      <c r="W45" s="83"/>
      <c r="X45" s="84"/>
      <c r="Y45" s="84"/>
      <c r="Z45" s="82"/>
      <c r="AA45" s="82"/>
      <c r="AB45" s="82"/>
      <c r="AC45" s="82"/>
      <c r="AD45" s="82"/>
      <c r="AE45" s="82"/>
      <c r="AF45" s="82"/>
      <c r="AG45" s="82"/>
      <c r="AH45" s="82"/>
      <c r="AI45" s="83"/>
      <c r="AJ45" s="84"/>
      <c r="AK45" s="84"/>
      <c r="AL45" s="82"/>
      <c r="AM45" s="83"/>
      <c r="AN45" s="84"/>
      <c r="AO45" s="84"/>
      <c r="AP45" s="82"/>
      <c r="AQ45" s="82"/>
      <c r="AR45" s="82"/>
      <c r="AS45" s="82"/>
      <c r="AT45" s="67"/>
      <c r="AU45" s="322"/>
      <c r="AV45" s="67"/>
      <c r="AW45" s="67"/>
      <c r="AX45" s="67"/>
      <c r="AY45" s="323"/>
      <c r="AZ45" s="326"/>
      <c r="BA45" s="327"/>
      <c r="BB45" s="327"/>
      <c r="BC45" s="336"/>
      <c r="BD45" s="59"/>
    </row>
    <row r="46" spans="2:56" ht="12.95" customHeight="1" x14ac:dyDescent="0.15">
      <c r="B46" s="632"/>
      <c r="C46" s="633"/>
      <c r="D46" s="60"/>
      <c r="E46" s="60"/>
      <c r="F46" s="61"/>
      <c r="G46" s="62"/>
      <c r="H46" s="63"/>
      <c r="I46" s="326"/>
      <c r="J46" s="327"/>
      <c r="K46" s="327"/>
      <c r="L46" s="327"/>
      <c r="M46" s="327"/>
      <c r="N46" s="328"/>
      <c r="O46" s="90" t="s">
        <v>48</v>
      </c>
      <c r="P46" s="67"/>
      <c r="Q46" s="67"/>
      <c r="R46" s="67"/>
      <c r="S46" s="81"/>
      <c r="T46" s="67"/>
      <c r="U46" s="67"/>
      <c r="V46" s="322"/>
      <c r="W46" s="67"/>
      <c r="X46" s="322"/>
      <c r="Y46" s="322"/>
      <c r="Z46" s="322"/>
      <c r="AA46" s="322"/>
      <c r="AB46" s="322"/>
      <c r="AC46" s="322"/>
      <c r="AD46" s="67"/>
      <c r="AE46" s="322"/>
      <c r="AF46" s="67"/>
      <c r="AG46" s="67"/>
      <c r="AH46" s="67"/>
      <c r="AI46" s="67"/>
      <c r="AJ46" s="322"/>
      <c r="AK46" s="322"/>
      <c r="AL46" s="322"/>
      <c r="AM46" s="67"/>
      <c r="AN46" s="322"/>
      <c r="AO46" s="322"/>
      <c r="AP46" s="322"/>
      <c r="AQ46" s="322"/>
      <c r="AR46" s="322"/>
      <c r="AS46" s="322"/>
      <c r="AT46" s="82"/>
      <c r="AU46" s="82"/>
      <c r="AV46" s="82"/>
      <c r="AW46" s="82"/>
      <c r="AX46" s="82"/>
      <c r="AY46" s="85"/>
      <c r="AZ46" s="329"/>
      <c r="BA46" s="330"/>
      <c r="BB46" s="330"/>
      <c r="BC46" s="331"/>
      <c r="BD46" s="59"/>
    </row>
    <row r="47" spans="2:56" ht="12.95" customHeight="1" x14ac:dyDescent="0.15">
      <c r="B47" s="632"/>
      <c r="C47" s="633"/>
      <c r="D47" s="332"/>
      <c r="E47" s="332"/>
      <c r="F47" s="333"/>
      <c r="G47" s="334"/>
      <c r="H47" s="335"/>
      <c r="I47" s="326"/>
      <c r="J47" s="327"/>
      <c r="K47" s="327"/>
      <c r="L47" s="327"/>
      <c r="M47" s="327"/>
      <c r="N47" s="328"/>
      <c r="O47" s="90" t="s">
        <v>58</v>
      </c>
      <c r="P47" s="82"/>
      <c r="Q47" s="82"/>
      <c r="R47" s="82"/>
      <c r="S47" s="82"/>
      <c r="T47" s="82"/>
      <c r="U47" s="82"/>
      <c r="V47" s="82"/>
      <c r="W47" s="83"/>
      <c r="X47" s="84"/>
      <c r="Y47" s="84"/>
      <c r="Z47" s="82"/>
      <c r="AA47" s="82"/>
      <c r="AB47" s="82"/>
      <c r="AC47" s="82"/>
      <c r="AD47" s="82"/>
      <c r="AE47" s="82"/>
      <c r="AF47" s="82"/>
      <c r="AG47" s="82"/>
      <c r="AH47" s="82"/>
      <c r="AI47" s="83"/>
      <c r="AJ47" s="84"/>
      <c r="AK47" s="84"/>
      <c r="AL47" s="82"/>
      <c r="AM47" s="83"/>
      <c r="AN47" s="84"/>
      <c r="AO47" s="84"/>
      <c r="AP47" s="82"/>
      <c r="AQ47" s="82"/>
      <c r="AR47" s="82"/>
      <c r="AS47" s="82"/>
      <c r="AT47" s="67"/>
      <c r="AU47" s="322"/>
      <c r="AV47" s="67"/>
      <c r="AW47" s="67"/>
      <c r="AX47" s="67"/>
      <c r="AY47" s="323"/>
      <c r="AZ47" s="326"/>
      <c r="BA47" s="327"/>
      <c r="BB47" s="327"/>
      <c r="BC47" s="336"/>
      <c r="BD47" s="59"/>
    </row>
    <row r="48" spans="2:56" ht="12.95" customHeight="1" x14ac:dyDescent="0.15">
      <c r="B48" s="632"/>
      <c r="C48" s="633"/>
      <c r="D48" s="60"/>
      <c r="E48" s="60"/>
      <c r="F48" s="61"/>
      <c r="G48" s="62"/>
      <c r="H48" s="63"/>
      <c r="I48" s="326"/>
      <c r="J48" s="327"/>
      <c r="K48" s="327"/>
      <c r="L48" s="327"/>
      <c r="M48" s="327"/>
      <c r="N48" s="328"/>
      <c r="O48" s="90" t="s">
        <v>59</v>
      </c>
      <c r="P48" s="82"/>
      <c r="Q48" s="82"/>
      <c r="R48" s="82"/>
      <c r="S48" s="82"/>
      <c r="T48" s="82"/>
      <c r="U48" s="82"/>
      <c r="V48" s="82"/>
      <c r="W48" s="83"/>
      <c r="X48" s="84"/>
      <c r="Y48" s="84"/>
      <c r="Z48" s="82"/>
      <c r="AA48" s="82"/>
      <c r="AB48" s="82"/>
      <c r="AC48" s="82"/>
      <c r="AD48" s="82"/>
      <c r="AE48" s="82"/>
      <c r="AF48" s="82"/>
      <c r="AG48" s="82"/>
      <c r="AH48" s="82"/>
      <c r="AI48" s="83"/>
      <c r="AJ48" s="84"/>
      <c r="AK48" s="84"/>
      <c r="AL48" s="82"/>
      <c r="AM48" s="83"/>
      <c r="AN48" s="84"/>
      <c r="AO48" s="84"/>
      <c r="AP48" s="82"/>
      <c r="AQ48" s="82"/>
      <c r="AR48" s="82"/>
      <c r="AS48" s="82"/>
      <c r="AT48" s="82"/>
      <c r="AU48" s="82"/>
      <c r="AV48" s="82"/>
      <c r="AW48" s="82"/>
      <c r="AX48" s="82"/>
      <c r="AY48" s="85"/>
      <c r="AZ48" s="329"/>
      <c r="BA48" s="330"/>
      <c r="BB48" s="330"/>
      <c r="BC48" s="331"/>
      <c r="BD48" s="59"/>
    </row>
    <row r="49" spans="2:56" ht="12.95" customHeight="1" x14ac:dyDescent="0.15">
      <c r="B49" s="632"/>
      <c r="C49" s="1236"/>
      <c r="D49" s="1237"/>
      <c r="E49" s="1237"/>
      <c r="F49" s="1238"/>
      <c r="G49" s="745"/>
      <c r="H49" s="673"/>
      <c r="I49" s="746"/>
      <c r="J49" s="747"/>
      <c r="K49" s="747"/>
      <c r="L49" s="747"/>
      <c r="M49" s="747"/>
      <c r="N49" s="674"/>
      <c r="O49" s="748" t="s">
        <v>60</v>
      </c>
      <c r="P49" s="749"/>
      <c r="Q49" s="749"/>
      <c r="R49" s="749"/>
      <c r="S49" s="749"/>
      <c r="T49" s="749"/>
      <c r="U49" s="749"/>
      <c r="V49" s="749"/>
      <c r="W49" s="749"/>
      <c r="X49" s="750"/>
      <c r="Y49" s="750"/>
      <c r="Z49" s="749"/>
      <c r="AA49" s="749"/>
      <c r="AB49" s="749"/>
      <c r="AC49" s="749"/>
      <c r="AD49" s="749"/>
      <c r="AE49" s="749"/>
      <c r="AF49" s="749"/>
      <c r="AG49" s="749"/>
      <c r="AH49" s="749"/>
      <c r="AI49" s="749"/>
      <c r="AJ49" s="750"/>
      <c r="AK49" s="750"/>
      <c r="AL49" s="749"/>
      <c r="AM49" s="749"/>
      <c r="AN49" s="750"/>
      <c r="AO49" s="750"/>
      <c r="AP49" s="749"/>
      <c r="AQ49" s="749"/>
      <c r="AR49" s="749"/>
      <c r="AS49" s="749"/>
      <c r="AT49" s="749"/>
      <c r="AU49" s="749"/>
      <c r="AV49" s="749"/>
      <c r="AW49" s="749"/>
      <c r="AX49" s="749"/>
      <c r="AY49" s="675"/>
      <c r="AZ49" s="751"/>
      <c r="BA49" s="752"/>
      <c r="BB49" s="752"/>
      <c r="BC49" s="753"/>
      <c r="BD49" s="59"/>
    </row>
    <row r="50" spans="2:56" ht="12.95" customHeight="1" x14ac:dyDescent="0.15">
      <c r="B50" s="754"/>
      <c r="C50" s="755"/>
      <c r="D50" s="755"/>
      <c r="E50" s="755"/>
      <c r="F50" s="755"/>
      <c r="G50" s="755"/>
      <c r="H50" s="756"/>
      <c r="I50" s="756"/>
      <c r="J50" s="755"/>
      <c r="K50" s="755"/>
      <c r="L50" s="755"/>
      <c r="M50" s="755"/>
      <c r="N50" s="755"/>
      <c r="O50" s="755"/>
      <c r="P50" s="755"/>
      <c r="Q50" s="755"/>
      <c r="R50" s="755"/>
      <c r="S50" s="755"/>
      <c r="T50" s="755"/>
      <c r="U50" s="755"/>
      <c r="V50" s="755"/>
      <c r="W50" s="755"/>
      <c r="X50" s="755"/>
      <c r="Y50" s="755"/>
      <c r="Z50" s="755"/>
      <c r="AA50" s="755"/>
      <c r="AB50" s="755"/>
      <c r="AC50" s="755"/>
      <c r="AD50" s="755"/>
      <c r="AE50" s="755"/>
      <c r="AF50" s="755"/>
      <c r="AG50" s="755"/>
      <c r="AH50" s="755"/>
      <c r="AI50" s="755"/>
      <c r="AJ50" s="755"/>
      <c r="AK50" s="755"/>
      <c r="AL50" s="755"/>
      <c r="AM50" s="755"/>
      <c r="AN50" s="755"/>
      <c r="AO50" s="755"/>
      <c r="AP50" s="755"/>
      <c r="AQ50" s="755"/>
      <c r="AR50" s="755"/>
      <c r="AS50" s="755"/>
      <c r="AT50" s="755"/>
      <c r="AU50" s="755"/>
      <c r="AV50" s="755"/>
      <c r="AW50" s="755"/>
      <c r="AX50" s="755"/>
      <c r="AY50" s="755"/>
      <c r="AZ50" s="755"/>
      <c r="BA50" s="755"/>
      <c r="BB50" s="755"/>
      <c r="BC50" s="755"/>
      <c r="BD50" s="757"/>
    </row>
    <row r="51" spans="2:56" ht="12.95" customHeight="1" thickBot="1" x14ac:dyDescent="0.2"/>
    <row r="52" spans="2:56" ht="12.95" customHeight="1" thickTop="1" x14ac:dyDescent="0.15">
      <c r="B52" s="50" t="s">
        <v>6</v>
      </c>
      <c r="C52" s="51"/>
      <c r="D52" s="51"/>
      <c r="E52" s="51"/>
      <c r="F52" s="51"/>
      <c r="G52" s="51"/>
      <c r="H52" s="51"/>
      <c r="I52" s="51"/>
      <c r="J52" s="51"/>
      <c r="K52" s="51"/>
      <c r="L52" s="51"/>
      <c r="M52" s="51"/>
      <c r="N52" s="52"/>
      <c r="O52" s="1247" t="s">
        <v>7</v>
      </c>
      <c r="P52" s="1248"/>
      <c r="Q52" s="1248"/>
      <c r="R52" s="1248"/>
      <c r="S52" s="1248"/>
      <c r="T52" s="1249"/>
      <c r="U52" s="1250" t="s">
        <v>8</v>
      </c>
      <c r="V52" s="1248"/>
      <c r="W52" s="1248"/>
      <c r="X52" s="1248"/>
      <c r="Y52" s="1248"/>
      <c r="Z52" s="1248"/>
      <c r="AA52" s="1249"/>
      <c r="AB52" s="1251" t="s">
        <v>9</v>
      </c>
      <c r="AC52" s="1252"/>
      <c r="AD52" s="1252"/>
      <c r="AE52" s="1252"/>
      <c r="AF52" s="1252"/>
      <c r="AG52" s="1252"/>
      <c r="AH52" s="1252"/>
      <c r="AI52" s="1252"/>
      <c r="AJ52" s="1252"/>
      <c r="AK52" s="1252"/>
      <c r="AL52" s="1252"/>
      <c r="AM52" s="1252"/>
      <c r="AN52" s="1253"/>
      <c r="AO52" s="1250" t="s">
        <v>10</v>
      </c>
      <c r="AP52" s="1249"/>
      <c r="AQ52" s="1257" t="s">
        <v>11</v>
      </c>
      <c r="AR52" s="1258"/>
      <c r="AS52" s="1259"/>
      <c r="AT52" s="1250" t="s">
        <v>12</v>
      </c>
      <c r="AU52" s="1248"/>
      <c r="AV52" s="1248"/>
      <c r="AW52" s="1249"/>
      <c r="AX52" s="1257" t="s">
        <v>13</v>
      </c>
      <c r="AY52" s="1258"/>
      <c r="AZ52" s="1259"/>
      <c r="BA52" s="1250" t="s">
        <v>14</v>
      </c>
      <c r="BB52" s="1248"/>
      <c r="BC52" s="1248"/>
      <c r="BD52" s="1249"/>
    </row>
    <row r="53" spans="2:56" ht="12.95" customHeight="1" thickBot="1" x14ac:dyDescent="0.2">
      <c r="B53" s="1260" t="s">
        <v>15</v>
      </c>
      <c r="C53" s="1261"/>
      <c r="D53" s="1261"/>
      <c r="E53" s="1261"/>
      <c r="F53" s="1261"/>
      <c r="G53" s="1261"/>
      <c r="H53" s="1261"/>
      <c r="I53" s="1261"/>
      <c r="J53" s="1261"/>
      <c r="K53" s="1261"/>
      <c r="L53" s="1261"/>
      <c r="M53" s="1261"/>
      <c r="N53" s="1262"/>
      <c r="O53" s="1263" t="s">
        <v>16</v>
      </c>
      <c r="P53" s="1264"/>
      <c r="Q53" s="1264"/>
      <c r="R53" s="1264"/>
      <c r="S53" s="1264"/>
      <c r="T53" s="1265"/>
      <c r="U53" s="1266" t="s">
        <v>17</v>
      </c>
      <c r="V53" s="1264"/>
      <c r="W53" s="1264"/>
      <c r="X53" s="1264"/>
      <c r="Y53" s="1264"/>
      <c r="Z53" s="1264"/>
      <c r="AA53" s="1265"/>
      <c r="AB53" s="1254"/>
      <c r="AC53" s="1255"/>
      <c r="AD53" s="1255"/>
      <c r="AE53" s="1255"/>
      <c r="AF53" s="1255"/>
      <c r="AG53" s="1255"/>
      <c r="AH53" s="1255"/>
      <c r="AI53" s="1255"/>
      <c r="AJ53" s="1255"/>
      <c r="AK53" s="1255"/>
      <c r="AL53" s="1255"/>
      <c r="AM53" s="1255"/>
      <c r="AN53" s="1256"/>
      <c r="AO53" s="1267">
        <f>AO3</f>
        <v>1.1200000000000001</v>
      </c>
      <c r="AP53" s="1268"/>
      <c r="AQ53" s="1266" t="s">
        <v>18</v>
      </c>
      <c r="AR53" s="1264"/>
      <c r="AS53" s="1265"/>
      <c r="AT53" s="1269">
        <f>AT3</f>
        <v>45709</v>
      </c>
      <c r="AU53" s="1270"/>
      <c r="AV53" s="1270"/>
      <c r="AW53" s="1270"/>
      <c r="AX53" s="1266" t="s">
        <v>18</v>
      </c>
      <c r="AY53" s="1264"/>
      <c r="AZ53" s="1265"/>
      <c r="BA53" s="1269">
        <f>BA3</f>
        <v>45460</v>
      </c>
      <c r="BB53" s="1270"/>
      <c r="BC53" s="1270"/>
      <c r="BD53" s="1271"/>
    </row>
    <row r="54" spans="2:56" ht="12.95" customHeight="1" thickTop="1" x14ac:dyDescent="0.15">
      <c r="AU54" s="53"/>
    </row>
    <row r="55" spans="2:56" ht="12.95" customHeight="1" x14ac:dyDescent="0.15">
      <c r="B55" s="737"/>
      <c r="C55" s="696"/>
      <c r="D55" s="696"/>
      <c r="E55" s="696"/>
      <c r="F55" s="696"/>
      <c r="G55" s="696"/>
      <c r="H55" s="697"/>
      <c r="I55" s="697"/>
      <c r="J55" s="696"/>
      <c r="K55" s="696"/>
      <c r="L55" s="696"/>
      <c r="M55" s="696"/>
      <c r="N55" s="696"/>
      <c r="O55" s="696"/>
      <c r="P55" s="696"/>
      <c r="Q55" s="696"/>
      <c r="R55" s="696"/>
      <c r="S55" s="696"/>
      <c r="T55" s="696"/>
      <c r="U55" s="696"/>
      <c r="V55" s="696"/>
      <c r="W55" s="696"/>
      <c r="X55" s="696"/>
      <c r="Y55" s="696"/>
      <c r="Z55" s="696"/>
      <c r="AA55" s="696"/>
      <c r="AB55" s="696"/>
      <c r="AC55" s="696"/>
      <c r="AD55" s="696"/>
      <c r="AE55" s="696"/>
      <c r="AF55" s="696"/>
      <c r="AG55" s="696"/>
      <c r="AH55" s="696"/>
      <c r="AI55" s="696"/>
      <c r="AJ55" s="696"/>
      <c r="AK55" s="696"/>
      <c r="AL55" s="696"/>
      <c r="AM55" s="696"/>
      <c r="AN55" s="696"/>
      <c r="AO55" s="696"/>
      <c r="AP55" s="696"/>
      <c r="AQ55" s="696"/>
      <c r="AR55" s="696"/>
      <c r="AS55" s="696"/>
      <c r="AT55" s="696"/>
      <c r="AU55" s="696"/>
      <c r="AV55" s="696"/>
      <c r="AW55" s="696"/>
      <c r="AX55" s="696"/>
      <c r="AY55" s="696"/>
      <c r="AZ55" s="696"/>
      <c r="BA55" s="696"/>
      <c r="BB55" s="696"/>
      <c r="BC55" s="696"/>
      <c r="BD55" s="718"/>
    </row>
    <row r="56" spans="2:56" ht="12.95" customHeight="1" x14ac:dyDescent="0.15">
      <c r="B56" s="632"/>
      <c r="C56" s="54" t="s">
        <v>9</v>
      </c>
      <c r="D56" s="55"/>
      <c r="E56" s="49"/>
      <c r="F56" s="49"/>
      <c r="G56" s="49"/>
      <c r="H56" s="56"/>
      <c r="I56" s="56"/>
      <c r="J56" s="49"/>
      <c r="K56" s="49"/>
      <c r="M56" s="49"/>
      <c r="N56" s="49"/>
      <c r="O56" s="49"/>
      <c r="Q56" s="49"/>
      <c r="S56" s="49"/>
      <c r="U56" s="49"/>
      <c r="V56" s="49"/>
      <c r="Y56" s="49"/>
      <c r="Z56" s="49"/>
      <c r="AA56" s="49"/>
      <c r="AB56" s="49"/>
      <c r="AC56" s="49"/>
      <c r="AD56" s="49"/>
      <c r="AE56" s="49"/>
      <c r="AF56" s="49"/>
      <c r="AG56" s="49"/>
      <c r="AI56" s="49"/>
      <c r="AJ56" s="49"/>
      <c r="AK56" s="49"/>
      <c r="AL56" s="49"/>
      <c r="AM56" s="57"/>
      <c r="AN56" s="49"/>
      <c r="AO56" s="49"/>
      <c r="AP56" s="49"/>
      <c r="AQ56" s="58"/>
      <c r="AR56" s="58"/>
      <c r="AS56" s="58"/>
      <c r="AU56" s="49"/>
      <c r="AV56" s="49"/>
      <c r="AW56" s="49"/>
      <c r="AX56" s="49"/>
      <c r="AY56" s="49"/>
      <c r="AZ56" s="49"/>
      <c r="BA56" s="49"/>
      <c r="BB56" s="49"/>
      <c r="BC56" s="49"/>
      <c r="BD56" s="59"/>
    </row>
    <row r="57" spans="2:56" ht="12.95" customHeight="1" x14ac:dyDescent="0.15">
      <c r="B57" s="632"/>
      <c r="C57" s="49"/>
      <c r="D57" s="49"/>
      <c r="E57" s="49"/>
      <c r="F57" s="49"/>
      <c r="G57" s="49"/>
      <c r="H57" s="56"/>
      <c r="I57" s="56"/>
      <c r="J57" s="49"/>
      <c r="K57" s="49"/>
      <c r="M57" s="49"/>
      <c r="N57" s="49"/>
      <c r="O57" s="49"/>
      <c r="Q57" s="49"/>
      <c r="S57" s="49"/>
      <c r="U57" s="49"/>
      <c r="V57" s="49"/>
      <c r="Y57" s="49"/>
      <c r="Z57" s="49"/>
      <c r="AA57" s="49"/>
      <c r="AB57" s="49"/>
      <c r="AC57" s="49"/>
      <c r="AD57" s="49"/>
      <c r="AE57" s="49"/>
      <c r="AF57" s="49"/>
      <c r="AG57" s="49"/>
      <c r="AH57" s="49"/>
      <c r="AI57" s="49"/>
      <c r="AJ57" s="49"/>
      <c r="AK57" s="49"/>
      <c r="AL57" s="49"/>
      <c r="AM57" s="49"/>
      <c r="AN57" s="49"/>
      <c r="AO57" s="49"/>
      <c r="AP57" s="49"/>
      <c r="AQ57" s="58"/>
      <c r="AR57" s="58"/>
      <c r="AS57" s="58"/>
      <c r="AU57" s="49"/>
      <c r="AV57" s="49"/>
      <c r="AW57" s="49"/>
      <c r="AX57" s="49"/>
      <c r="AY57" s="49"/>
      <c r="AZ57" s="49"/>
      <c r="BA57" s="49"/>
      <c r="BB57" s="49"/>
      <c r="BC57" s="49"/>
      <c r="BD57" s="59"/>
    </row>
    <row r="58" spans="2:56" ht="12.95" customHeight="1" x14ac:dyDescent="0.15">
      <c r="B58" s="632"/>
      <c r="C58" s="738" t="s">
        <v>19</v>
      </c>
      <c r="D58" s="698"/>
      <c r="E58" s="698"/>
      <c r="F58" s="719"/>
      <c r="G58" s="698" t="s">
        <v>20</v>
      </c>
      <c r="H58" s="719"/>
      <c r="I58" s="699" t="s">
        <v>21</v>
      </c>
      <c r="J58" s="698"/>
      <c r="K58" s="698"/>
      <c r="L58" s="698"/>
      <c r="M58" s="698"/>
      <c r="N58" s="719"/>
      <c r="O58" s="698" t="s">
        <v>22</v>
      </c>
      <c r="P58" s="698"/>
      <c r="Q58" s="698"/>
      <c r="R58" s="698"/>
      <c r="S58" s="698"/>
      <c r="T58" s="698"/>
      <c r="U58" s="698"/>
      <c r="V58" s="698"/>
      <c r="W58" s="698"/>
      <c r="X58" s="698"/>
      <c r="Y58" s="698"/>
      <c r="Z58" s="698"/>
      <c r="AA58" s="698"/>
      <c r="AB58" s="698"/>
      <c r="AC58" s="698"/>
      <c r="AD58" s="698"/>
      <c r="AE58" s="698"/>
      <c r="AF58" s="698"/>
      <c r="AG58" s="698"/>
      <c r="AH58" s="698"/>
      <c r="AI58" s="698"/>
      <c r="AJ58" s="698"/>
      <c r="AK58" s="698"/>
      <c r="AL58" s="698"/>
      <c r="AM58" s="698"/>
      <c r="AN58" s="698"/>
      <c r="AO58" s="698"/>
      <c r="AP58" s="698"/>
      <c r="AQ58" s="698"/>
      <c r="AR58" s="698"/>
      <c r="AS58" s="698"/>
      <c r="AT58" s="698"/>
      <c r="AU58" s="698"/>
      <c r="AV58" s="698"/>
      <c r="AW58" s="698"/>
      <c r="AX58" s="698"/>
      <c r="AY58" s="719"/>
      <c r="AZ58" s="698" t="s">
        <v>23</v>
      </c>
      <c r="BA58" s="698"/>
      <c r="BB58" s="698"/>
      <c r="BC58" s="720"/>
      <c r="BD58" s="59"/>
    </row>
    <row r="59" spans="2:56" ht="12.95" customHeight="1" x14ac:dyDescent="0.15">
      <c r="B59" s="632"/>
      <c r="C59" s="739"/>
      <c r="D59" s="740"/>
      <c r="E59" s="740"/>
      <c r="F59" s="646"/>
      <c r="G59" s="741"/>
      <c r="H59" s="647"/>
      <c r="I59" s="742"/>
      <c r="J59" s="741"/>
      <c r="K59" s="741"/>
      <c r="L59" s="741"/>
      <c r="M59" s="741"/>
      <c r="N59" s="647"/>
      <c r="O59" s="740"/>
      <c r="P59" s="740"/>
      <c r="Q59" s="740"/>
      <c r="R59" s="740"/>
      <c r="S59" s="740"/>
      <c r="T59" s="740"/>
      <c r="U59" s="740"/>
      <c r="V59" s="741"/>
      <c r="W59" s="740"/>
      <c r="X59" s="741"/>
      <c r="Y59" s="741"/>
      <c r="Z59" s="741"/>
      <c r="AA59" s="741"/>
      <c r="AB59" s="741"/>
      <c r="AC59" s="741"/>
      <c r="AD59" s="740"/>
      <c r="AE59" s="741"/>
      <c r="AF59" s="740"/>
      <c r="AG59" s="740"/>
      <c r="AH59" s="740"/>
      <c r="AI59" s="740"/>
      <c r="AJ59" s="741"/>
      <c r="AK59" s="741"/>
      <c r="AL59" s="741"/>
      <c r="AM59" s="740"/>
      <c r="AN59" s="741"/>
      <c r="AO59" s="741"/>
      <c r="AP59" s="741"/>
      <c r="AQ59" s="741"/>
      <c r="AR59" s="741"/>
      <c r="AS59" s="741"/>
      <c r="AT59" s="740"/>
      <c r="AU59" s="741"/>
      <c r="AV59" s="740"/>
      <c r="AW59" s="740"/>
      <c r="AX59" s="740"/>
      <c r="AY59" s="647"/>
      <c r="AZ59" s="741"/>
      <c r="BA59" s="740"/>
      <c r="BB59" s="740"/>
      <c r="BC59" s="743"/>
      <c r="BD59" s="59"/>
    </row>
    <row r="60" spans="2:56" ht="12.95" customHeight="1" x14ac:dyDescent="0.15">
      <c r="B60" s="632"/>
      <c r="C60" s="1239">
        <v>45462</v>
      </c>
      <c r="D60" s="1240"/>
      <c r="E60" s="1240"/>
      <c r="F60" s="1241"/>
      <c r="G60" s="1281">
        <v>1</v>
      </c>
      <c r="H60" s="1282"/>
      <c r="I60" s="744"/>
      <c r="J60" s="700"/>
      <c r="K60" s="700"/>
      <c r="L60" s="700"/>
      <c r="M60" s="700"/>
      <c r="N60" s="721"/>
      <c r="O60" s="701" t="s">
        <v>61</v>
      </c>
      <c r="P60" s="701"/>
      <c r="Q60" s="701"/>
      <c r="R60" s="701"/>
      <c r="S60" s="702"/>
      <c r="T60" s="701"/>
      <c r="U60" s="701"/>
      <c r="V60" s="700"/>
      <c r="W60" s="701"/>
      <c r="X60" s="700"/>
      <c r="Y60" s="700"/>
      <c r="Z60" s="700"/>
      <c r="AA60" s="700"/>
      <c r="AB60" s="700"/>
      <c r="AC60" s="700"/>
      <c r="AD60" s="701"/>
      <c r="AE60" s="700"/>
      <c r="AF60" s="701"/>
      <c r="AG60" s="701"/>
      <c r="AH60" s="701"/>
      <c r="AI60" s="701"/>
      <c r="AJ60" s="700"/>
      <c r="AK60" s="700"/>
      <c r="AL60" s="700"/>
      <c r="AM60" s="701"/>
      <c r="AN60" s="700"/>
      <c r="AO60" s="700"/>
      <c r="AP60" s="700"/>
      <c r="AQ60" s="700"/>
      <c r="AR60" s="700"/>
      <c r="AS60" s="700"/>
      <c r="AT60" s="701"/>
      <c r="AU60" s="700"/>
      <c r="AV60" s="701"/>
      <c r="AW60" s="701"/>
      <c r="AX60" s="701"/>
      <c r="AY60" s="722"/>
      <c r="AZ60" s="703" t="s">
        <v>25</v>
      </c>
      <c r="BA60" s="703"/>
      <c r="BB60" s="703"/>
      <c r="BC60" s="723"/>
      <c r="BD60" s="59"/>
    </row>
    <row r="61" spans="2:56" ht="12.95" customHeight="1" x14ac:dyDescent="0.15">
      <c r="B61" s="632"/>
      <c r="C61" s="633"/>
      <c r="D61" s="60"/>
      <c r="E61" s="60"/>
      <c r="F61" s="61"/>
      <c r="G61" s="62"/>
      <c r="H61" s="63"/>
      <c r="I61" s="64"/>
      <c r="J61" s="65"/>
      <c r="K61" s="65"/>
      <c r="L61" s="65"/>
      <c r="M61" s="65"/>
      <c r="N61" s="66"/>
      <c r="O61" s="67" t="s">
        <v>32</v>
      </c>
      <c r="P61" s="67"/>
      <c r="Q61" s="67"/>
      <c r="R61" s="67"/>
      <c r="S61" s="81"/>
      <c r="T61" s="67"/>
      <c r="U61" s="82"/>
      <c r="V61" s="82"/>
      <c r="W61" s="83"/>
      <c r="X61" s="84"/>
      <c r="Y61" s="322"/>
      <c r="Z61" s="322"/>
      <c r="AA61" s="322"/>
      <c r="AB61" s="322"/>
      <c r="AC61" s="322"/>
      <c r="AD61" s="67"/>
      <c r="AE61" s="322"/>
      <c r="AF61" s="67"/>
      <c r="AG61" s="67"/>
      <c r="AH61" s="67"/>
      <c r="AI61" s="67"/>
      <c r="AJ61" s="322"/>
      <c r="AK61" s="322"/>
      <c r="AL61" s="322"/>
      <c r="AM61" s="67"/>
      <c r="AN61" s="322"/>
      <c r="AO61" s="322"/>
      <c r="AP61" s="322"/>
      <c r="AQ61" s="322"/>
      <c r="AR61" s="322"/>
      <c r="AS61" s="322"/>
      <c r="AT61" s="67"/>
      <c r="AU61" s="322"/>
      <c r="AV61" s="67"/>
      <c r="AW61" s="67"/>
      <c r="AX61" s="67"/>
      <c r="AY61" s="323"/>
      <c r="AZ61" s="65"/>
      <c r="BA61" s="65"/>
      <c r="BB61" s="65"/>
      <c r="BC61" s="72"/>
      <c r="BD61" s="59"/>
    </row>
    <row r="62" spans="2:56" ht="12.95" customHeight="1" x14ac:dyDescent="0.15">
      <c r="B62" s="632"/>
      <c r="C62" s="1230"/>
      <c r="D62" s="1231"/>
      <c r="E62" s="1231"/>
      <c r="F62" s="1232"/>
      <c r="G62" s="1233"/>
      <c r="H62" s="1234"/>
      <c r="I62" s="1272"/>
      <c r="J62" s="1273"/>
      <c r="K62" s="1273"/>
      <c r="L62" s="1273"/>
      <c r="M62" s="1273"/>
      <c r="N62" s="1274"/>
      <c r="O62" s="90" t="s">
        <v>62</v>
      </c>
      <c r="P62" s="67"/>
      <c r="Q62" s="67"/>
      <c r="R62" s="67"/>
      <c r="S62" s="81"/>
      <c r="T62" s="67"/>
      <c r="U62" s="67"/>
      <c r="V62" s="322"/>
      <c r="W62" s="67"/>
      <c r="X62" s="322"/>
      <c r="Y62" s="322"/>
      <c r="Z62" s="322"/>
      <c r="AA62" s="322"/>
      <c r="AB62" s="322"/>
      <c r="AC62" s="322"/>
      <c r="AD62" s="67"/>
      <c r="AE62" s="322"/>
      <c r="AF62" s="67"/>
      <c r="AG62" s="67"/>
      <c r="AH62" s="67"/>
      <c r="AI62" s="67"/>
      <c r="AJ62" s="322"/>
      <c r="AK62" s="322"/>
      <c r="AL62" s="322"/>
      <c r="AM62" s="67"/>
      <c r="AN62" s="322"/>
      <c r="AO62" s="322"/>
      <c r="AP62" s="322"/>
      <c r="AQ62" s="322"/>
      <c r="AR62" s="322"/>
      <c r="AS62" s="322"/>
      <c r="AT62" s="67"/>
      <c r="AU62" s="322"/>
      <c r="AV62" s="67"/>
      <c r="AW62" s="67"/>
      <c r="AX62" s="67"/>
      <c r="AY62" s="323"/>
      <c r="AZ62" s="64"/>
      <c r="BA62" s="65"/>
      <c r="BB62" s="65"/>
      <c r="BC62" s="72"/>
      <c r="BD62" s="59"/>
    </row>
    <row r="63" spans="2:56" ht="12.95" customHeight="1" x14ac:dyDescent="0.15">
      <c r="B63" s="632"/>
      <c r="C63" s="633"/>
      <c r="D63" s="60"/>
      <c r="E63" s="60"/>
      <c r="F63" s="61"/>
      <c r="G63" s="62"/>
      <c r="H63" s="63"/>
      <c r="I63" s="1272"/>
      <c r="J63" s="1273"/>
      <c r="K63" s="1273"/>
      <c r="L63" s="1273"/>
      <c r="M63" s="1273"/>
      <c r="N63" s="1274"/>
      <c r="O63" s="67" t="s">
        <v>34</v>
      </c>
      <c r="P63" s="67"/>
      <c r="Q63" s="67"/>
      <c r="R63" s="67"/>
      <c r="S63" s="81"/>
      <c r="T63" s="67"/>
      <c r="U63" s="82"/>
      <c r="V63" s="82"/>
      <c r="W63" s="83"/>
      <c r="X63" s="84"/>
      <c r="Y63" s="296"/>
      <c r="Z63" s="82"/>
      <c r="AA63" s="82"/>
      <c r="AB63" s="82"/>
      <c r="AC63" s="82"/>
      <c r="AD63" s="82"/>
      <c r="AE63" s="82"/>
      <c r="AF63" s="82"/>
      <c r="AG63" s="82"/>
      <c r="AH63" s="82"/>
      <c r="AI63" s="295"/>
      <c r="AJ63" s="296"/>
      <c r="AK63" s="296"/>
      <c r="AL63" s="82"/>
      <c r="AM63" s="295"/>
      <c r="AN63" s="296"/>
      <c r="AO63" s="296"/>
      <c r="AP63" s="82"/>
      <c r="AQ63" s="82"/>
      <c r="AR63" s="82"/>
      <c r="AS63" s="82"/>
      <c r="AT63" s="82"/>
      <c r="AU63" s="82"/>
      <c r="AV63" s="82"/>
      <c r="AW63" s="82"/>
      <c r="AX63" s="82"/>
      <c r="AY63" s="85"/>
      <c r="AZ63" s="86"/>
      <c r="BA63" s="87"/>
      <c r="BB63" s="87"/>
      <c r="BC63" s="88"/>
      <c r="BD63" s="59"/>
    </row>
    <row r="64" spans="2:56" ht="12.95" customHeight="1" x14ac:dyDescent="0.15">
      <c r="B64" s="632"/>
      <c r="C64" s="1230"/>
      <c r="D64" s="1231"/>
      <c r="E64" s="1231"/>
      <c r="F64" s="1232"/>
      <c r="G64" s="1233"/>
      <c r="H64" s="1234"/>
      <c r="I64" s="64"/>
      <c r="J64" s="65"/>
      <c r="K64" s="65"/>
      <c r="L64" s="65"/>
      <c r="M64" s="65"/>
      <c r="N64" s="66"/>
      <c r="O64" s="90" t="s">
        <v>63</v>
      </c>
      <c r="P64" s="67"/>
      <c r="Q64" s="67"/>
      <c r="R64" s="67"/>
      <c r="S64" s="81"/>
      <c r="T64" s="67"/>
      <c r="U64" s="67"/>
      <c r="V64" s="322"/>
      <c r="W64" s="67"/>
      <c r="X64" s="322"/>
      <c r="Y64" s="322"/>
      <c r="Z64" s="322"/>
      <c r="AA64" s="322"/>
      <c r="AB64" s="322"/>
      <c r="AC64" s="322"/>
      <c r="AD64" s="67"/>
      <c r="AE64" s="322"/>
      <c r="AF64" s="67"/>
      <c r="AG64" s="67"/>
      <c r="AH64" s="67"/>
      <c r="AI64" s="67"/>
      <c r="AJ64" s="322"/>
      <c r="AK64" s="322"/>
      <c r="AL64" s="322"/>
      <c r="AM64" s="67"/>
      <c r="AN64" s="322"/>
      <c r="AO64" s="322"/>
      <c r="AP64" s="322"/>
      <c r="AQ64" s="322"/>
      <c r="AR64" s="322"/>
      <c r="AS64" s="322"/>
      <c r="AT64" s="67"/>
      <c r="AU64" s="322"/>
      <c r="AV64" s="67"/>
      <c r="AW64" s="67"/>
      <c r="AX64" s="67"/>
      <c r="AY64" s="323"/>
      <c r="AZ64" s="64"/>
      <c r="BA64" s="65"/>
      <c r="BB64" s="65"/>
      <c r="BC64" s="72"/>
      <c r="BD64" s="59"/>
    </row>
    <row r="65" spans="2:56" ht="12.95" customHeight="1" x14ac:dyDescent="0.15">
      <c r="B65" s="632"/>
      <c r="C65" s="633"/>
      <c r="D65" s="60"/>
      <c r="E65" s="60"/>
      <c r="F65" s="61"/>
      <c r="G65" s="62"/>
      <c r="H65" s="63"/>
      <c r="I65" s="64"/>
      <c r="J65" s="65"/>
      <c r="K65" s="65"/>
      <c r="L65" s="65"/>
      <c r="M65" s="65"/>
      <c r="N65" s="66"/>
      <c r="O65" s="67" t="s">
        <v>64</v>
      </c>
      <c r="P65" s="67"/>
      <c r="Q65" s="67"/>
      <c r="R65" s="67"/>
      <c r="S65" s="81"/>
      <c r="T65" s="67"/>
      <c r="U65" s="82"/>
      <c r="V65" s="82"/>
      <c r="W65" s="83"/>
      <c r="X65" s="84"/>
      <c r="Y65" s="84"/>
      <c r="Z65" s="82"/>
      <c r="AA65" s="82"/>
      <c r="AB65" s="82"/>
      <c r="AC65" s="82"/>
      <c r="AD65" s="82"/>
      <c r="AE65" s="82"/>
      <c r="AF65" s="82"/>
      <c r="AG65" s="82"/>
      <c r="AH65" s="82"/>
      <c r="AI65" s="83"/>
      <c r="AJ65" s="84"/>
      <c r="AK65" s="84"/>
      <c r="AL65" s="82"/>
      <c r="AM65" s="83"/>
      <c r="AN65" s="84"/>
      <c r="AO65" s="84"/>
      <c r="AP65" s="82"/>
      <c r="AQ65" s="82"/>
      <c r="AR65" s="82"/>
      <c r="AS65" s="82"/>
      <c r="AT65" s="82"/>
      <c r="AU65" s="82"/>
      <c r="AV65" s="82"/>
      <c r="AW65" s="82"/>
      <c r="AX65" s="82"/>
      <c r="AY65" s="85"/>
      <c r="AZ65" s="86"/>
      <c r="BA65" s="87"/>
      <c r="BB65" s="87"/>
      <c r="BC65" s="88"/>
      <c r="BD65" s="59"/>
    </row>
    <row r="66" spans="2:56" ht="12.95" customHeight="1" x14ac:dyDescent="0.15">
      <c r="B66" s="632"/>
      <c r="C66" s="1230"/>
      <c r="D66" s="1231"/>
      <c r="E66" s="1231"/>
      <c r="F66" s="1232"/>
      <c r="G66" s="1233"/>
      <c r="H66" s="1234"/>
      <c r="I66" s="64"/>
      <c r="J66" s="65"/>
      <c r="K66" s="65"/>
      <c r="L66" s="65"/>
      <c r="M66" s="65"/>
      <c r="N66" s="66"/>
      <c r="O66" s="90" t="s">
        <v>65</v>
      </c>
      <c r="P66" s="67"/>
      <c r="Q66" s="67"/>
      <c r="R66" s="67"/>
      <c r="S66" s="81"/>
      <c r="T66" s="67"/>
      <c r="U66" s="67"/>
      <c r="V66" s="322"/>
      <c r="W66" s="67"/>
      <c r="X66" s="322"/>
      <c r="Y66" s="322"/>
      <c r="Z66" s="322"/>
      <c r="AA66" s="322"/>
      <c r="AB66" s="322"/>
      <c r="AC66" s="322"/>
      <c r="AD66" s="67"/>
      <c r="AE66" s="322"/>
      <c r="AF66" s="67"/>
      <c r="AG66" s="67"/>
      <c r="AH66" s="67"/>
      <c r="AI66" s="67"/>
      <c r="AJ66" s="322"/>
      <c r="AK66" s="322"/>
      <c r="AL66" s="322"/>
      <c r="AM66" s="67"/>
      <c r="AN66" s="322"/>
      <c r="AO66" s="322"/>
      <c r="AP66" s="322"/>
      <c r="AQ66" s="322"/>
      <c r="AR66" s="322"/>
      <c r="AS66" s="322"/>
      <c r="AT66" s="67"/>
      <c r="AU66" s="322"/>
      <c r="AV66" s="67"/>
      <c r="AW66" s="67"/>
      <c r="AX66" s="67"/>
      <c r="AY66" s="323"/>
      <c r="AZ66" s="64"/>
      <c r="BA66" s="65"/>
      <c r="BB66" s="65"/>
      <c r="BC66" s="72"/>
      <c r="BD66" s="59"/>
    </row>
    <row r="67" spans="2:56" ht="12.95" customHeight="1" x14ac:dyDescent="0.15">
      <c r="B67" s="632"/>
      <c r="C67" s="633"/>
      <c r="D67" s="60"/>
      <c r="E67" s="60"/>
      <c r="F67" s="61"/>
      <c r="G67" s="62"/>
      <c r="H67" s="63"/>
      <c r="I67" s="64"/>
      <c r="J67" s="65"/>
      <c r="K67" s="65"/>
      <c r="L67" s="65"/>
      <c r="M67" s="65"/>
      <c r="N67" s="66"/>
      <c r="O67" s="67" t="s">
        <v>66</v>
      </c>
      <c r="P67" s="67"/>
      <c r="Q67" s="67"/>
      <c r="R67" s="67"/>
      <c r="S67" s="81"/>
      <c r="T67" s="67"/>
      <c r="U67" s="82"/>
      <c r="V67" s="82"/>
      <c r="W67" s="83"/>
      <c r="X67" s="84"/>
      <c r="Y67" s="84"/>
      <c r="Z67" s="82"/>
      <c r="AA67" s="82"/>
      <c r="AB67" s="82"/>
      <c r="AC67" s="82"/>
      <c r="AD67" s="82"/>
      <c r="AE67" s="82"/>
      <c r="AF67" s="82"/>
      <c r="AG67" s="82"/>
      <c r="AH67" s="82"/>
      <c r="AI67" s="83"/>
      <c r="AJ67" s="84"/>
      <c r="AK67" s="84"/>
      <c r="AL67" s="82"/>
      <c r="AM67" s="83"/>
      <c r="AN67" s="84"/>
      <c r="AO67" s="84"/>
      <c r="AP67" s="82"/>
      <c r="AQ67" s="82"/>
      <c r="AR67" s="82"/>
      <c r="AS67" s="82"/>
      <c r="AT67" s="82"/>
      <c r="AU67" s="82"/>
      <c r="AV67" s="82"/>
      <c r="AW67" s="82"/>
      <c r="AX67" s="82"/>
      <c r="AY67" s="85"/>
      <c r="AZ67" s="86"/>
      <c r="BA67" s="87"/>
      <c r="BB67" s="87"/>
      <c r="BC67" s="88"/>
      <c r="BD67" s="59"/>
    </row>
    <row r="68" spans="2:56" ht="12.95" customHeight="1" x14ac:dyDescent="0.15">
      <c r="B68" s="632"/>
      <c r="C68" s="1230"/>
      <c r="D68" s="1231"/>
      <c r="E68" s="1231"/>
      <c r="F68" s="1232"/>
      <c r="G68" s="1233"/>
      <c r="H68" s="1234"/>
      <c r="I68" s="64"/>
      <c r="J68" s="65"/>
      <c r="K68" s="65"/>
      <c r="L68" s="65"/>
      <c r="M68" s="65"/>
      <c r="N68" s="66"/>
      <c r="O68" s="90" t="s">
        <v>67</v>
      </c>
      <c r="P68" s="67"/>
      <c r="Q68" s="67"/>
      <c r="R68" s="67"/>
      <c r="S68" s="81"/>
      <c r="T68" s="67"/>
      <c r="U68" s="67"/>
      <c r="V68" s="322"/>
      <c r="W68" s="67"/>
      <c r="X68" s="322"/>
      <c r="Y68" s="322"/>
      <c r="Z68" s="322"/>
      <c r="AA68" s="322"/>
      <c r="AB68" s="322"/>
      <c r="AC68" s="322"/>
      <c r="AD68" s="67"/>
      <c r="AE68" s="322"/>
      <c r="AF68" s="67"/>
      <c r="AG68" s="67"/>
      <c r="AH68" s="67"/>
      <c r="AI68" s="67"/>
      <c r="AJ68" s="322"/>
      <c r="AK68" s="84"/>
      <c r="AL68" s="322"/>
      <c r="AM68" s="67"/>
      <c r="AN68" s="322"/>
      <c r="AO68" s="322"/>
      <c r="AP68" s="322"/>
      <c r="AQ68" s="322"/>
      <c r="AR68" s="322"/>
      <c r="AS68" s="322"/>
      <c r="AT68" s="67"/>
      <c r="AU68" s="322"/>
      <c r="AV68" s="67"/>
      <c r="AW68" s="67"/>
      <c r="AX68" s="67"/>
      <c r="AY68" s="323"/>
      <c r="AZ68" s="64"/>
      <c r="BA68" s="65"/>
      <c r="BB68" s="65"/>
      <c r="BC68" s="72"/>
      <c r="BD68" s="59"/>
    </row>
    <row r="69" spans="2:56" ht="12.95" customHeight="1" x14ac:dyDescent="0.15">
      <c r="B69" s="632"/>
      <c r="C69" s="633"/>
      <c r="D69" s="60"/>
      <c r="E69" s="60"/>
      <c r="F69" s="61"/>
      <c r="G69" s="62"/>
      <c r="H69" s="63"/>
      <c r="I69" s="64"/>
      <c r="J69" s="65"/>
      <c r="K69" s="65"/>
      <c r="L69" s="65"/>
      <c r="M69" s="65"/>
      <c r="N69" s="66"/>
      <c r="O69" s="67" t="s">
        <v>68</v>
      </c>
      <c r="P69" s="67"/>
      <c r="Q69" s="67"/>
      <c r="R69" s="67"/>
      <c r="S69" s="81"/>
      <c r="T69" s="67"/>
      <c r="U69" s="82"/>
      <c r="V69" s="82"/>
      <c r="W69" s="83"/>
      <c r="X69" s="84"/>
      <c r="Y69" s="84"/>
      <c r="Z69" s="82"/>
      <c r="AA69" s="82"/>
      <c r="AB69" s="82"/>
      <c r="AC69" s="82"/>
      <c r="AD69" s="82"/>
      <c r="AE69" s="82"/>
      <c r="AF69" s="82"/>
      <c r="AG69" s="82"/>
      <c r="AH69" s="82"/>
      <c r="AI69" s="83"/>
      <c r="AJ69" s="84"/>
      <c r="AK69" s="84"/>
      <c r="AL69" s="82"/>
      <c r="AM69" s="83"/>
      <c r="AN69" s="84"/>
      <c r="AO69" s="84"/>
      <c r="AP69" s="82"/>
      <c r="AQ69" s="82"/>
      <c r="AR69" s="82"/>
      <c r="AS69" s="82"/>
      <c r="AT69" s="82"/>
      <c r="AU69" s="82"/>
      <c r="AV69" s="82"/>
      <c r="AW69" s="82"/>
      <c r="AX69" s="82"/>
      <c r="AY69" s="85"/>
      <c r="AZ69" s="86"/>
      <c r="BA69" s="87"/>
      <c r="BB69" s="87"/>
      <c r="BC69" s="88"/>
      <c r="BD69" s="59"/>
    </row>
    <row r="70" spans="2:56" ht="12.95" customHeight="1" x14ac:dyDescent="0.15">
      <c r="B70" s="632"/>
      <c r="C70" s="1230"/>
      <c r="D70" s="1231"/>
      <c r="E70" s="1231"/>
      <c r="F70" s="1232"/>
      <c r="G70" s="1233"/>
      <c r="H70" s="1234"/>
      <c r="I70" s="64"/>
      <c r="J70" s="65"/>
      <c r="K70" s="65"/>
      <c r="L70" s="65"/>
      <c r="M70" s="65"/>
      <c r="N70" s="66"/>
      <c r="O70" s="90" t="s">
        <v>69</v>
      </c>
      <c r="P70" s="67"/>
      <c r="Q70" s="67"/>
      <c r="R70" s="67"/>
      <c r="S70" s="81"/>
      <c r="T70" s="67"/>
      <c r="U70" s="67"/>
      <c r="V70" s="322"/>
      <c r="W70" s="67"/>
      <c r="X70" s="322"/>
      <c r="Y70" s="322"/>
      <c r="Z70" s="322"/>
      <c r="AA70" s="322"/>
      <c r="AB70" s="322"/>
      <c r="AC70" s="322"/>
      <c r="AD70" s="67"/>
      <c r="AE70" s="322"/>
      <c r="AF70" s="67"/>
      <c r="AG70" s="67"/>
      <c r="AH70" s="67"/>
      <c r="AI70" s="67"/>
      <c r="AJ70" s="322"/>
      <c r="AK70" s="322"/>
      <c r="AL70" s="322"/>
      <c r="AM70" s="67"/>
      <c r="AN70" s="322"/>
      <c r="AO70" s="322"/>
      <c r="AP70" s="322"/>
      <c r="AQ70" s="322"/>
      <c r="AR70" s="322"/>
      <c r="AS70" s="322"/>
      <c r="AT70" s="67"/>
      <c r="AU70" s="322"/>
      <c r="AV70" s="67"/>
      <c r="AW70" s="67"/>
      <c r="AX70" s="67"/>
      <c r="AY70" s="323"/>
      <c r="AZ70" s="64"/>
      <c r="BA70" s="65"/>
      <c r="BB70" s="65"/>
      <c r="BC70" s="72"/>
      <c r="BD70" s="59"/>
    </row>
    <row r="71" spans="2:56" ht="12.95" customHeight="1" x14ac:dyDescent="0.15">
      <c r="B71" s="632"/>
      <c r="C71" s="633"/>
      <c r="D71" s="60"/>
      <c r="E71" s="60"/>
      <c r="F71" s="61"/>
      <c r="G71" s="62"/>
      <c r="H71" s="63"/>
      <c r="I71" s="64"/>
      <c r="J71" s="65"/>
      <c r="K71" s="65"/>
      <c r="L71" s="65"/>
      <c r="M71" s="65"/>
      <c r="N71" s="66"/>
      <c r="O71" s="67" t="s">
        <v>70</v>
      </c>
      <c r="P71" s="67"/>
      <c r="Q71" s="67"/>
      <c r="R71" s="67"/>
      <c r="S71" s="81"/>
      <c r="T71" s="67"/>
      <c r="U71" s="82"/>
      <c r="V71" s="82"/>
      <c r="W71" s="83"/>
      <c r="X71" s="84"/>
      <c r="Y71" s="84"/>
      <c r="Z71" s="82"/>
      <c r="AA71" s="82"/>
      <c r="AB71" s="82"/>
      <c r="AC71" s="82"/>
      <c r="AD71" s="82"/>
      <c r="AE71" s="82"/>
      <c r="AF71" s="82"/>
      <c r="AG71" s="82"/>
      <c r="AH71" s="82"/>
      <c r="AI71" s="83"/>
      <c r="AJ71" s="84"/>
      <c r="AK71" s="84"/>
      <c r="AL71" s="82"/>
      <c r="AM71" s="83"/>
      <c r="AN71" s="84"/>
      <c r="AO71" s="84"/>
      <c r="AP71" s="82"/>
      <c r="AQ71" s="82"/>
      <c r="AR71" s="82"/>
      <c r="AS71" s="82"/>
      <c r="AT71" s="82"/>
      <c r="AU71" s="82"/>
      <c r="AV71" s="82"/>
      <c r="AW71" s="82"/>
      <c r="AX71" s="82"/>
      <c r="AY71" s="85"/>
      <c r="AZ71" s="86"/>
      <c r="BA71" s="87"/>
      <c r="BB71" s="87"/>
      <c r="BC71" s="88"/>
      <c r="BD71" s="59"/>
    </row>
    <row r="72" spans="2:56" ht="12.95" customHeight="1" x14ac:dyDescent="0.15">
      <c r="B72" s="632"/>
      <c r="C72" s="1230"/>
      <c r="D72" s="1231"/>
      <c r="E72" s="1231"/>
      <c r="F72" s="1232"/>
      <c r="G72" s="1233"/>
      <c r="H72" s="1234"/>
      <c r="I72" s="64"/>
      <c r="J72" s="65"/>
      <c r="K72" s="65"/>
      <c r="L72" s="65"/>
      <c r="M72" s="65"/>
      <c r="N72" s="66"/>
      <c r="O72" s="90" t="s">
        <v>48</v>
      </c>
      <c r="P72" s="67"/>
      <c r="Q72" s="67"/>
      <c r="R72" s="67"/>
      <c r="S72" s="81"/>
      <c r="T72" s="67"/>
      <c r="U72" s="67"/>
      <c r="V72" s="322"/>
      <c r="W72" s="67"/>
      <c r="X72" s="322"/>
      <c r="Y72" s="322"/>
      <c r="Z72" s="322"/>
      <c r="AA72" s="322"/>
      <c r="AB72" s="322"/>
      <c r="AC72" s="322"/>
      <c r="AD72" s="67"/>
      <c r="AE72" s="322"/>
      <c r="AF72" s="67"/>
      <c r="AG72" s="67"/>
      <c r="AH72" s="67"/>
      <c r="AI72" s="67"/>
      <c r="AJ72" s="322"/>
      <c r="AK72" s="322"/>
      <c r="AL72" s="322"/>
      <c r="AM72" s="67"/>
      <c r="AN72" s="322"/>
      <c r="AO72" s="322"/>
      <c r="AP72" s="322"/>
      <c r="AQ72" s="322"/>
      <c r="AR72" s="322"/>
      <c r="AS72" s="322"/>
      <c r="AT72" s="67"/>
      <c r="AU72" s="322"/>
      <c r="AV72" s="67"/>
      <c r="AW72" s="67"/>
      <c r="AX72" s="67"/>
      <c r="AY72" s="323"/>
      <c r="AZ72" s="64"/>
      <c r="BA72" s="65"/>
      <c r="BB72" s="65"/>
      <c r="BC72" s="72"/>
      <c r="BD72" s="59"/>
    </row>
    <row r="73" spans="2:56" ht="12.95" customHeight="1" x14ac:dyDescent="0.15">
      <c r="B73" s="632"/>
      <c r="C73" s="633"/>
      <c r="D73" s="60"/>
      <c r="E73" s="60"/>
      <c r="F73" s="61"/>
      <c r="G73" s="62"/>
      <c r="H73" s="63"/>
      <c r="I73" s="64"/>
      <c r="J73" s="65"/>
      <c r="K73" s="65"/>
      <c r="L73" s="65"/>
      <c r="M73" s="65"/>
      <c r="N73" s="66"/>
      <c r="O73" s="67" t="s">
        <v>46</v>
      </c>
      <c r="P73" s="67"/>
      <c r="Q73" s="67"/>
      <c r="R73" s="67"/>
      <c r="S73" s="81"/>
      <c r="T73" s="67"/>
      <c r="U73" s="82"/>
      <c r="V73" s="82"/>
      <c r="W73" s="83"/>
      <c r="X73" s="84"/>
      <c r="Y73" s="84"/>
      <c r="Z73" s="82"/>
      <c r="AA73" s="82"/>
      <c r="AB73" s="82"/>
      <c r="AC73" s="82"/>
      <c r="AD73" s="82"/>
      <c r="AE73" s="82"/>
      <c r="AF73" s="82"/>
      <c r="AG73" s="82"/>
      <c r="AH73" s="82"/>
      <c r="AI73" s="83"/>
      <c r="AJ73" s="84"/>
      <c r="AK73" s="84"/>
      <c r="AL73" s="82"/>
      <c r="AM73" s="83"/>
      <c r="AN73" s="84"/>
      <c r="AO73" s="84"/>
      <c r="AP73" s="82"/>
      <c r="AQ73" s="82"/>
      <c r="AR73" s="82"/>
      <c r="AS73" s="82"/>
      <c r="AT73" s="82"/>
      <c r="AU73" s="82"/>
      <c r="AV73" s="82"/>
      <c r="AW73" s="82"/>
      <c r="AX73" s="82"/>
      <c r="AY73" s="85"/>
      <c r="AZ73" s="86"/>
      <c r="BA73" s="87"/>
      <c r="BB73" s="87"/>
      <c r="BC73" s="88"/>
      <c r="BD73" s="59"/>
    </row>
    <row r="74" spans="2:56" ht="12.95" customHeight="1" x14ac:dyDescent="0.15">
      <c r="B74" s="632"/>
      <c r="C74" s="1230"/>
      <c r="D74" s="1231"/>
      <c r="E74" s="1231"/>
      <c r="F74" s="1232"/>
      <c r="G74" s="1233"/>
      <c r="H74" s="1234"/>
      <c r="I74" s="64"/>
      <c r="J74" s="65"/>
      <c r="K74" s="65"/>
      <c r="L74" s="65"/>
      <c r="M74" s="65"/>
      <c r="N74" s="66"/>
      <c r="O74" s="90" t="s">
        <v>71</v>
      </c>
      <c r="P74" s="67"/>
      <c r="Q74" s="67"/>
      <c r="R74" s="67"/>
      <c r="S74" s="81"/>
      <c r="T74" s="67"/>
      <c r="U74" s="67"/>
      <c r="V74" s="322"/>
      <c r="W74" s="67"/>
      <c r="X74" s="322"/>
      <c r="Y74" s="322"/>
      <c r="Z74" s="322"/>
      <c r="AA74" s="322"/>
      <c r="AB74" s="322"/>
      <c r="AC74" s="322"/>
      <c r="AD74" s="67"/>
      <c r="AE74" s="322"/>
      <c r="AF74" s="67"/>
      <c r="AG74" s="67"/>
      <c r="AH74" s="67"/>
      <c r="AI74" s="67"/>
      <c r="AJ74" s="322"/>
      <c r="AK74" s="322"/>
      <c r="AL74" s="322"/>
      <c r="AM74" s="67"/>
      <c r="AN74" s="322"/>
      <c r="AO74" s="322"/>
      <c r="AP74" s="322"/>
      <c r="AQ74" s="322"/>
      <c r="AR74" s="322"/>
      <c r="AS74" s="322"/>
      <c r="AT74" s="67"/>
      <c r="AU74" s="322"/>
      <c r="AV74" s="67"/>
      <c r="AW74" s="67"/>
      <c r="AX74" s="67"/>
      <c r="AY74" s="323"/>
      <c r="AZ74" s="64"/>
      <c r="BA74" s="65"/>
      <c r="BB74" s="65"/>
      <c r="BC74" s="72"/>
      <c r="BD74" s="59"/>
    </row>
    <row r="75" spans="2:56" ht="12.95" customHeight="1" x14ac:dyDescent="0.15">
      <c r="B75" s="632"/>
      <c r="C75" s="633"/>
      <c r="D75" s="60"/>
      <c r="E75" s="60"/>
      <c r="F75" s="61"/>
      <c r="G75" s="62"/>
      <c r="H75" s="63"/>
      <c r="I75" s="64"/>
      <c r="J75" s="65"/>
      <c r="K75" s="65"/>
      <c r="L75" s="65"/>
      <c r="M75" s="65"/>
      <c r="N75" s="66"/>
      <c r="O75" s="67" t="s">
        <v>72</v>
      </c>
      <c r="P75" s="67"/>
      <c r="Q75" s="67"/>
      <c r="R75" s="67"/>
      <c r="S75" s="81"/>
      <c r="T75" s="67"/>
      <c r="U75" s="82"/>
      <c r="V75" s="82"/>
      <c r="W75" s="83"/>
      <c r="X75" s="84"/>
      <c r="Y75" s="84"/>
      <c r="Z75" s="82"/>
      <c r="AA75" s="82"/>
      <c r="AB75" s="82"/>
      <c r="AC75" s="82"/>
      <c r="AD75" s="82"/>
      <c r="AE75" s="82"/>
      <c r="AF75" s="82"/>
      <c r="AG75" s="82"/>
      <c r="AH75" s="82"/>
      <c r="AI75" s="83"/>
      <c r="AJ75" s="84"/>
      <c r="AK75" s="84"/>
      <c r="AL75" s="82"/>
      <c r="AM75" s="83"/>
      <c r="AN75" s="84"/>
      <c r="AO75" s="84"/>
      <c r="AP75" s="82"/>
      <c r="AQ75" s="82"/>
      <c r="AR75" s="82"/>
      <c r="AS75" s="82"/>
      <c r="AT75" s="82"/>
      <c r="AU75" s="82"/>
      <c r="AV75" s="82"/>
      <c r="AW75" s="82"/>
      <c r="AX75" s="82"/>
      <c r="AY75" s="85"/>
      <c r="AZ75" s="86"/>
      <c r="BA75" s="87"/>
      <c r="BB75" s="87"/>
      <c r="BC75" s="88"/>
      <c r="BD75" s="59"/>
    </row>
    <row r="76" spans="2:56" ht="12.95" customHeight="1" x14ac:dyDescent="0.15">
      <c r="B76" s="632"/>
      <c r="C76" s="1285">
        <v>45467</v>
      </c>
      <c r="D76" s="1286"/>
      <c r="E76" s="1286"/>
      <c r="F76" s="1287"/>
      <c r="G76" s="1283">
        <v>1.1000000000000001</v>
      </c>
      <c r="H76" s="1288"/>
      <c r="I76" s="73"/>
      <c r="J76" s="74"/>
      <c r="K76" s="74"/>
      <c r="L76" s="74"/>
      <c r="M76" s="74"/>
      <c r="N76" s="350"/>
      <c r="O76" s="351" t="s">
        <v>73</v>
      </c>
      <c r="P76" s="76"/>
      <c r="Q76" s="76"/>
      <c r="R76" s="76"/>
      <c r="S76" s="77"/>
      <c r="T76" s="76"/>
      <c r="U76" s="76"/>
      <c r="V76" s="78"/>
      <c r="W76" s="76"/>
      <c r="X76" s="78"/>
      <c r="Y76" s="78"/>
      <c r="Z76" s="78"/>
      <c r="AA76" s="78"/>
      <c r="AB76" s="78"/>
      <c r="AC76" s="78"/>
      <c r="AD76" s="76"/>
      <c r="AE76" s="78"/>
      <c r="AF76" s="76"/>
      <c r="AG76" s="76"/>
      <c r="AH76" s="76"/>
      <c r="AI76" s="76"/>
      <c r="AJ76" s="78"/>
      <c r="AK76" s="78"/>
      <c r="AL76" s="78"/>
      <c r="AM76" s="76"/>
      <c r="AN76" s="78"/>
      <c r="AO76" s="78"/>
      <c r="AP76" s="78"/>
      <c r="AQ76" s="78"/>
      <c r="AR76" s="78"/>
      <c r="AS76" s="78"/>
      <c r="AT76" s="76"/>
      <c r="AU76" s="78"/>
      <c r="AV76" s="76"/>
      <c r="AW76" s="76"/>
      <c r="AX76" s="76"/>
      <c r="AY76" s="79"/>
      <c r="AZ76" s="74" t="s">
        <v>25</v>
      </c>
      <c r="BA76" s="74"/>
      <c r="BB76" s="74"/>
      <c r="BC76" s="80"/>
      <c r="BD76" s="59"/>
    </row>
    <row r="77" spans="2:56" ht="12.95" customHeight="1" x14ac:dyDescent="0.15">
      <c r="B77" s="632"/>
      <c r="C77" s="633"/>
      <c r="D77" s="332"/>
      <c r="E77" s="332"/>
      <c r="F77" s="333"/>
      <c r="G77" s="334"/>
      <c r="H77" s="335"/>
      <c r="I77" s="326"/>
      <c r="J77" s="327"/>
      <c r="K77" s="327"/>
      <c r="L77" s="327"/>
      <c r="M77" s="327"/>
      <c r="N77" s="328"/>
      <c r="O77" s="90" t="s">
        <v>53</v>
      </c>
      <c r="P77" s="82"/>
      <c r="Q77" s="82"/>
      <c r="R77" s="82"/>
      <c r="S77" s="82"/>
      <c r="T77" s="82"/>
      <c r="U77" s="82"/>
      <c r="V77" s="82"/>
      <c r="W77" s="83"/>
      <c r="X77" s="84"/>
      <c r="Y77" s="84"/>
      <c r="Z77" s="82"/>
      <c r="AA77" s="82"/>
      <c r="AB77" s="82"/>
      <c r="AC77" s="82"/>
      <c r="AD77" s="82"/>
      <c r="AE77" s="82"/>
      <c r="AF77" s="82"/>
      <c r="AG77" s="82"/>
      <c r="AH77" s="82"/>
      <c r="AI77" s="83"/>
      <c r="AJ77" s="84"/>
      <c r="AK77" s="84"/>
      <c r="AL77" s="82"/>
      <c r="AM77" s="83"/>
      <c r="AN77" s="84"/>
      <c r="AO77" s="84"/>
      <c r="AP77" s="82"/>
      <c r="AQ77" s="82"/>
      <c r="AR77" s="82"/>
      <c r="AS77" s="82"/>
      <c r="AT77" s="67"/>
      <c r="AU77" s="322"/>
      <c r="AV77" s="67"/>
      <c r="AW77" s="67"/>
      <c r="AX77" s="67"/>
      <c r="AY77" s="323"/>
      <c r="AZ77" s="326"/>
      <c r="BA77" s="327"/>
      <c r="BB77" s="327"/>
      <c r="BC77" s="336"/>
      <c r="BD77" s="59"/>
    </row>
    <row r="78" spans="2:56" ht="12.95" customHeight="1" x14ac:dyDescent="0.15">
      <c r="B78" s="632"/>
      <c r="C78" s="633"/>
      <c r="D78" s="60"/>
      <c r="E78" s="60"/>
      <c r="F78" s="61"/>
      <c r="G78" s="62"/>
      <c r="H78" s="63"/>
      <c r="I78" s="326"/>
      <c r="J78" s="327"/>
      <c r="K78" s="327"/>
      <c r="L78" s="327"/>
      <c r="M78" s="327"/>
      <c r="N78" s="328"/>
      <c r="O78" s="89" t="s">
        <v>74</v>
      </c>
      <c r="P78" s="82"/>
      <c r="Q78" s="82"/>
      <c r="R78" s="82"/>
      <c r="S78" s="82"/>
      <c r="T78" s="82"/>
      <c r="U78" s="82"/>
      <c r="V78" s="82"/>
      <c r="W78" s="83"/>
      <c r="X78" s="84"/>
      <c r="Y78" s="84"/>
      <c r="Z78" s="82"/>
      <c r="AA78" s="82"/>
      <c r="AB78" s="82"/>
      <c r="AC78" s="82"/>
      <c r="AD78" s="82"/>
      <c r="AE78" s="82"/>
      <c r="AF78" s="82"/>
      <c r="AG78" s="82"/>
      <c r="AH78" s="82"/>
      <c r="AI78" s="83"/>
      <c r="AJ78" s="84"/>
      <c r="AK78" s="84"/>
      <c r="AL78" s="82"/>
      <c r="AM78" s="83"/>
      <c r="AN78" s="84"/>
      <c r="AO78" s="84"/>
      <c r="AP78" s="82"/>
      <c r="AQ78" s="82"/>
      <c r="AR78" s="82"/>
      <c r="AS78" s="82"/>
      <c r="AT78" s="82"/>
      <c r="AU78" s="82"/>
      <c r="AV78" s="82"/>
      <c r="AW78" s="82"/>
      <c r="AX78" s="82"/>
      <c r="AY78" s="85"/>
      <c r="AZ78" s="329"/>
      <c r="BA78" s="330"/>
      <c r="BB78" s="330"/>
      <c r="BC78" s="331"/>
      <c r="BD78" s="59"/>
    </row>
    <row r="79" spans="2:56" ht="12.95" customHeight="1" x14ac:dyDescent="0.15">
      <c r="B79" s="632"/>
      <c r="C79" s="633"/>
      <c r="D79" s="60"/>
      <c r="E79" s="60"/>
      <c r="F79" s="61"/>
      <c r="G79" s="62"/>
      <c r="H79" s="63"/>
      <c r="I79" s="64"/>
      <c r="J79" s="65"/>
      <c r="K79" s="65"/>
      <c r="L79" s="65"/>
      <c r="M79" s="65"/>
      <c r="N79" s="66"/>
      <c r="O79" s="90" t="s">
        <v>63</v>
      </c>
      <c r="P79" s="67"/>
      <c r="Q79" s="67"/>
      <c r="R79" s="67"/>
      <c r="S79" s="81"/>
      <c r="T79" s="67"/>
      <c r="U79" s="82"/>
      <c r="V79" s="82"/>
      <c r="W79" s="83"/>
      <c r="X79" s="84"/>
      <c r="Y79" s="84"/>
      <c r="Z79" s="82"/>
      <c r="AA79" s="82"/>
      <c r="AB79" s="82"/>
      <c r="AC79" s="82"/>
      <c r="AD79" s="82"/>
      <c r="AE79" s="82"/>
      <c r="AF79" s="82"/>
      <c r="AG79" s="82"/>
      <c r="AH79" s="82"/>
      <c r="AI79" s="83"/>
      <c r="AJ79" s="84"/>
      <c r="AK79" s="84"/>
      <c r="AL79" s="82"/>
      <c r="AM79" s="83"/>
      <c r="AN79" s="84"/>
      <c r="AO79" s="84"/>
      <c r="AP79" s="82"/>
      <c r="AQ79" s="322"/>
      <c r="AR79" s="322"/>
      <c r="AS79" s="322"/>
      <c r="AT79" s="82"/>
      <c r="AU79" s="82"/>
      <c r="AV79" s="82"/>
      <c r="AW79" s="82"/>
      <c r="AX79" s="82"/>
      <c r="AY79" s="85"/>
      <c r="AZ79" s="86"/>
      <c r="BA79" s="87"/>
      <c r="BB79" s="87"/>
      <c r="BC79" s="88"/>
      <c r="BD79" s="59"/>
    </row>
    <row r="80" spans="2:56" ht="12.95" customHeight="1" x14ac:dyDescent="0.15">
      <c r="B80" s="632"/>
      <c r="C80" s="1230"/>
      <c r="D80" s="1231"/>
      <c r="E80" s="1231"/>
      <c r="F80" s="1232"/>
      <c r="G80" s="1233"/>
      <c r="H80" s="1234"/>
      <c r="I80" s="64"/>
      <c r="J80" s="65"/>
      <c r="K80" s="65"/>
      <c r="L80" s="65"/>
      <c r="M80" s="65"/>
      <c r="N80" s="66"/>
      <c r="O80" s="67" t="s">
        <v>75</v>
      </c>
      <c r="P80" s="67"/>
      <c r="Q80" s="67"/>
      <c r="R80" s="67"/>
      <c r="S80" s="81"/>
      <c r="T80" s="67"/>
      <c r="U80" s="67"/>
      <c r="V80" s="322"/>
      <c r="W80" s="67"/>
      <c r="X80" s="322"/>
      <c r="Y80" s="322"/>
      <c r="Z80" s="322"/>
      <c r="AA80" s="322"/>
      <c r="AB80" s="322"/>
      <c r="AC80" s="322"/>
      <c r="AD80" s="67"/>
      <c r="AE80" s="322"/>
      <c r="AF80" s="67"/>
      <c r="AG80" s="67"/>
      <c r="AH80" s="67"/>
      <c r="AI80" s="67"/>
      <c r="AJ80" s="322"/>
      <c r="AK80" s="84"/>
      <c r="AL80" s="322"/>
      <c r="AM80" s="67"/>
      <c r="AN80" s="322"/>
      <c r="AO80" s="322"/>
      <c r="AP80" s="322"/>
      <c r="AQ80" s="82"/>
      <c r="AR80" s="82"/>
      <c r="AS80" s="82"/>
      <c r="AT80" s="67"/>
      <c r="AU80" s="322"/>
      <c r="AV80" s="67"/>
      <c r="AW80" s="67"/>
      <c r="AX80" s="67"/>
      <c r="AY80" s="323"/>
      <c r="AZ80" s="64"/>
      <c r="BA80" s="65"/>
      <c r="BB80" s="65"/>
      <c r="BC80" s="72"/>
      <c r="BD80" s="59"/>
    </row>
    <row r="81" spans="2:56" ht="12.95" customHeight="1" x14ac:dyDescent="0.15">
      <c r="B81" s="632"/>
      <c r="C81" s="633"/>
      <c r="D81" s="60"/>
      <c r="E81" s="60"/>
      <c r="F81" s="61"/>
      <c r="G81" s="62"/>
      <c r="H81" s="63"/>
      <c r="I81" s="64"/>
      <c r="J81" s="65"/>
      <c r="K81" s="65"/>
      <c r="L81" s="65"/>
      <c r="M81" s="65"/>
      <c r="N81" s="66"/>
      <c r="O81" s="90" t="s">
        <v>76</v>
      </c>
      <c r="P81" s="67"/>
      <c r="Q81" s="67"/>
      <c r="R81" s="67"/>
      <c r="S81" s="81"/>
      <c r="T81" s="67"/>
      <c r="U81" s="82"/>
      <c r="V81" s="82"/>
      <c r="W81" s="83"/>
      <c r="X81" s="84"/>
      <c r="Y81" s="84"/>
      <c r="Z81" s="82"/>
      <c r="AA81" s="82"/>
      <c r="AB81" s="82"/>
      <c r="AC81" s="82"/>
      <c r="AD81" s="82"/>
      <c r="AE81" s="82"/>
      <c r="AF81" s="82"/>
      <c r="AG81" s="82"/>
      <c r="AH81" s="82"/>
      <c r="AI81" s="83"/>
      <c r="AJ81" s="84"/>
      <c r="AK81" s="84"/>
      <c r="AL81" s="82"/>
      <c r="AM81" s="83"/>
      <c r="AN81" s="84"/>
      <c r="AO81" s="84"/>
      <c r="AP81" s="82"/>
      <c r="AQ81" s="322"/>
      <c r="AR81" s="322"/>
      <c r="AS81" s="322"/>
      <c r="AT81" s="82"/>
      <c r="AU81" s="82"/>
      <c r="AV81" s="82"/>
      <c r="AW81" s="82"/>
      <c r="AX81" s="82"/>
      <c r="AY81" s="85"/>
      <c r="AZ81" s="86"/>
      <c r="BA81" s="87"/>
      <c r="BB81" s="87"/>
      <c r="BC81" s="88"/>
      <c r="BD81" s="59"/>
    </row>
    <row r="82" spans="2:56" ht="12.95" customHeight="1" x14ac:dyDescent="0.15">
      <c r="B82" s="632"/>
      <c r="C82" s="1230"/>
      <c r="D82" s="1231"/>
      <c r="E82" s="1231"/>
      <c r="F82" s="1232"/>
      <c r="G82" s="1233"/>
      <c r="H82" s="1234"/>
      <c r="I82" s="64"/>
      <c r="J82" s="65"/>
      <c r="K82" s="65"/>
      <c r="L82" s="65"/>
      <c r="M82" s="65"/>
      <c r="N82" s="66"/>
      <c r="O82" s="90" t="s">
        <v>27</v>
      </c>
      <c r="P82" s="67"/>
      <c r="Q82" s="67"/>
      <c r="R82" s="67"/>
      <c r="S82" s="81"/>
      <c r="T82" s="67"/>
      <c r="U82" s="67"/>
      <c r="V82" s="322"/>
      <c r="W82" s="67"/>
      <c r="X82" s="322"/>
      <c r="Y82" s="322"/>
      <c r="Z82" s="322"/>
      <c r="AA82" s="322"/>
      <c r="AB82" s="322"/>
      <c r="AC82" s="322"/>
      <c r="AD82" s="67"/>
      <c r="AE82" s="322"/>
      <c r="AF82" s="67"/>
      <c r="AG82" s="67"/>
      <c r="AH82" s="67"/>
      <c r="AI82" s="67"/>
      <c r="AJ82" s="322"/>
      <c r="AK82" s="322"/>
      <c r="AL82" s="322"/>
      <c r="AM82" s="67"/>
      <c r="AN82" s="322"/>
      <c r="AO82" s="322"/>
      <c r="AP82" s="322"/>
      <c r="AQ82" s="82"/>
      <c r="AR82" s="82"/>
      <c r="AS82" s="82"/>
      <c r="AT82" s="67"/>
      <c r="AU82" s="322"/>
      <c r="AV82" s="67"/>
      <c r="AW82" s="67"/>
      <c r="AX82" s="67"/>
      <c r="AY82" s="323"/>
      <c r="AZ82" s="64"/>
      <c r="BA82" s="65"/>
      <c r="BB82" s="65"/>
      <c r="BC82" s="72"/>
      <c r="BD82" s="59"/>
    </row>
    <row r="83" spans="2:56" ht="12.95" customHeight="1" x14ac:dyDescent="0.15">
      <c r="B83" s="632"/>
      <c r="C83" s="633"/>
      <c r="D83" s="60"/>
      <c r="E83" s="60"/>
      <c r="F83" s="61"/>
      <c r="G83" s="62"/>
      <c r="H83" s="63"/>
      <c r="I83" s="64"/>
      <c r="J83" s="65"/>
      <c r="K83" s="65"/>
      <c r="L83" s="65"/>
      <c r="M83" s="65"/>
      <c r="N83" s="66"/>
      <c r="O83" s="67" t="s">
        <v>77</v>
      </c>
      <c r="P83" s="67"/>
      <c r="Q83" s="67"/>
      <c r="R83" s="67"/>
      <c r="S83" s="81"/>
      <c r="T83" s="67"/>
      <c r="U83" s="82"/>
      <c r="V83" s="82"/>
      <c r="W83" s="83"/>
      <c r="X83" s="84"/>
      <c r="Y83" s="84"/>
      <c r="Z83" s="82"/>
      <c r="AA83" s="82"/>
      <c r="AB83" s="82"/>
      <c r="AC83" s="82"/>
      <c r="AD83" s="82"/>
      <c r="AE83" s="82"/>
      <c r="AF83" s="82"/>
      <c r="AG83" s="82"/>
      <c r="AH83" s="82"/>
      <c r="AI83" s="83"/>
      <c r="AJ83" s="84"/>
      <c r="AK83" s="84"/>
      <c r="AL83" s="82"/>
      <c r="AM83" s="83"/>
      <c r="AN83" s="84"/>
      <c r="AO83" s="84"/>
      <c r="AP83" s="82"/>
      <c r="AQ83" s="322"/>
      <c r="AR83" s="322"/>
      <c r="AS83" s="322"/>
      <c r="AT83" s="82"/>
      <c r="AU83" s="82"/>
      <c r="AV83" s="82"/>
      <c r="AW83" s="82"/>
      <c r="AX83" s="82"/>
      <c r="AY83" s="85"/>
      <c r="AZ83" s="86"/>
      <c r="BA83" s="87"/>
      <c r="BB83" s="87"/>
      <c r="BC83" s="88"/>
      <c r="BD83" s="59"/>
    </row>
    <row r="84" spans="2:56" ht="12.95" customHeight="1" x14ac:dyDescent="0.15">
      <c r="B84" s="632"/>
      <c r="C84" s="1230"/>
      <c r="D84" s="1231"/>
      <c r="E84" s="1231"/>
      <c r="F84" s="1232"/>
      <c r="G84" s="1233"/>
      <c r="H84" s="1234"/>
      <c r="I84" s="64"/>
      <c r="J84" s="65"/>
      <c r="K84" s="65"/>
      <c r="L84" s="65"/>
      <c r="M84" s="65"/>
      <c r="N84" s="66"/>
      <c r="O84" s="67" t="s">
        <v>78</v>
      </c>
      <c r="P84" s="67"/>
      <c r="Q84" s="67"/>
      <c r="R84" s="67"/>
      <c r="S84" s="81"/>
      <c r="T84" s="67"/>
      <c r="U84" s="67"/>
      <c r="V84" s="322"/>
      <c r="W84" s="67"/>
      <c r="X84" s="322"/>
      <c r="Y84" s="322"/>
      <c r="Z84" s="322"/>
      <c r="AA84" s="322"/>
      <c r="AB84" s="322"/>
      <c r="AC84" s="322"/>
      <c r="AD84" s="67"/>
      <c r="AE84" s="322"/>
      <c r="AF84" s="67"/>
      <c r="AG84" s="67"/>
      <c r="AH84" s="67"/>
      <c r="AI84" s="67"/>
      <c r="AJ84" s="322"/>
      <c r="AK84" s="322"/>
      <c r="AL84" s="322"/>
      <c r="AM84" s="67"/>
      <c r="AN84" s="322"/>
      <c r="AO84" s="322"/>
      <c r="AP84" s="322"/>
      <c r="AQ84" s="82"/>
      <c r="AR84" s="82"/>
      <c r="AS84" s="82"/>
      <c r="AT84" s="67"/>
      <c r="AU84" s="322"/>
      <c r="AV84" s="67"/>
      <c r="AW84" s="67"/>
      <c r="AX84" s="67"/>
      <c r="AY84" s="323"/>
      <c r="AZ84" s="64"/>
      <c r="BA84" s="65"/>
      <c r="BB84" s="65"/>
      <c r="BC84" s="72"/>
      <c r="BD84" s="59"/>
    </row>
    <row r="85" spans="2:56" ht="12.95" customHeight="1" x14ac:dyDescent="0.15">
      <c r="B85" s="632"/>
      <c r="C85" s="633"/>
      <c r="D85" s="60"/>
      <c r="E85" s="60"/>
      <c r="F85" s="61"/>
      <c r="G85" s="62"/>
      <c r="H85" s="63"/>
      <c r="I85" s="64"/>
      <c r="J85" s="65"/>
      <c r="K85" s="65"/>
      <c r="L85" s="65"/>
      <c r="M85" s="65"/>
      <c r="N85" s="66"/>
      <c r="O85" s="90" t="s">
        <v>79</v>
      </c>
      <c r="P85" s="67"/>
      <c r="Q85" s="67"/>
      <c r="R85" s="67"/>
      <c r="S85" s="81"/>
      <c r="T85" s="67"/>
      <c r="U85" s="82"/>
      <c r="V85" s="82"/>
      <c r="W85" s="83"/>
      <c r="X85" s="84"/>
      <c r="Y85" s="84"/>
      <c r="Z85" s="82"/>
      <c r="AA85" s="82"/>
      <c r="AB85" s="82"/>
      <c r="AC85" s="82"/>
      <c r="AD85" s="82"/>
      <c r="AE85" s="82"/>
      <c r="AF85" s="82"/>
      <c r="AG85" s="82"/>
      <c r="AH85" s="82"/>
      <c r="AI85" s="83"/>
      <c r="AJ85" s="84"/>
      <c r="AK85" s="84"/>
      <c r="AL85" s="82"/>
      <c r="AM85" s="83"/>
      <c r="AN85" s="84"/>
      <c r="AO85" s="84"/>
      <c r="AP85" s="82"/>
      <c r="AQ85" s="322"/>
      <c r="AR85" s="322"/>
      <c r="AS85" s="322"/>
      <c r="AT85" s="82"/>
      <c r="AU85" s="82"/>
      <c r="AV85" s="82"/>
      <c r="AW85" s="82"/>
      <c r="AX85" s="82"/>
      <c r="AY85" s="85"/>
      <c r="AZ85" s="86"/>
      <c r="BA85" s="87"/>
      <c r="BB85" s="87"/>
      <c r="BC85" s="88"/>
      <c r="BD85" s="59"/>
    </row>
    <row r="86" spans="2:56" ht="12.95" customHeight="1" x14ac:dyDescent="0.15">
      <c r="B86" s="632"/>
      <c r="C86" s="1230"/>
      <c r="D86" s="1231"/>
      <c r="E86" s="1231"/>
      <c r="F86" s="1232"/>
      <c r="G86" s="1233"/>
      <c r="H86" s="1234"/>
      <c r="I86" s="64"/>
      <c r="J86" s="65"/>
      <c r="K86" s="65"/>
      <c r="L86" s="65"/>
      <c r="M86" s="65"/>
      <c r="N86" s="66"/>
      <c r="O86" s="67" t="s">
        <v>80</v>
      </c>
      <c r="P86" s="67"/>
      <c r="Q86" s="67"/>
      <c r="R86" s="67"/>
      <c r="S86" s="81"/>
      <c r="T86" s="67"/>
      <c r="U86" s="67"/>
      <c r="V86" s="322"/>
      <c r="W86" s="67"/>
      <c r="X86" s="322"/>
      <c r="Y86" s="322"/>
      <c r="Z86" s="322"/>
      <c r="AA86" s="322"/>
      <c r="AB86" s="322"/>
      <c r="AC86" s="322"/>
      <c r="AD86" s="67"/>
      <c r="AE86" s="322"/>
      <c r="AF86" s="67"/>
      <c r="AG86" s="67"/>
      <c r="AH86" s="67"/>
      <c r="AI86" s="67"/>
      <c r="AJ86" s="322"/>
      <c r="AK86" s="322"/>
      <c r="AL86" s="322"/>
      <c r="AM86" s="67"/>
      <c r="AN86" s="322"/>
      <c r="AO86" s="322"/>
      <c r="AP86" s="322"/>
      <c r="AQ86" s="82"/>
      <c r="AR86" s="82"/>
      <c r="AS86" s="82"/>
      <c r="AT86" s="67"/>
      <c r="AU86" s="322"/>
      <c r="AV86" s="67"/>
      <c r="AW86" s="67"/>
      <c r="AX86" s="67"/>
      <c r="AY86" s="323"/>
      <c r="AZ86" s="64"/>
      <c r="BA86" s="65"/>
      <c r="BB86" s="65"/>
      <c r="BC86" s="72"/>
      <c r="BD86" s="59"/>
    </row>
    <row r="87" spans="2:56" ht="12.95" customHeight="1" x14ac:dyDescent="0.15">
      <c r="B87" s="632"/>
      <c r="C87" s="633"/>
      <c r="D87" s="60"/>
      <c r="E87" s="60"/>
      <c r="F87" s="61"/>
      <c r="G87" s="62"/>
      <c r="H87" s="63"/>
      <c r="I87" s="64"/>
      <c r="J87" s="65"/>
      <c r="K87" s="65"/>
      <c r="L87" s="65"/>
      <c r="M87" s="65"/>
      <c r="N87" s="66"/>
      <c r="O87" s="90" t="s">
        <v>81</v>
      </c>
      <c r="P87" s="67"/>
      <c r="Q87" s="67"/>
      <c r="R87" s="67"/>
      <c r="S87" s="81"/>
      <c r="T87" s="67"/>
      <c r="U87" s="82"/>
      <c r="V87" s="82"/>
      <c r="W87" s="83"/>
      <c r="X87" s="84"/>
      <c r="Y87" s="84"/>
      <c r="Z87" s="82"/>
      <c r="AA87" s="82"/>
      <c r="AB87" s="82"/>
      <c r="AC87" s="82"/>
      <c r="AD87" s="82"/>
      <c r="AE87" s="82"/>
      <c r="AF87" s="82"/>
      <c r="AG87" s="82"/>
      <c r="AH87" s="82"/>
      <c r="AI87" s="83"/>
      <c r="AJ87" s="84"/>
      <c r="AK87" s="84"/>
      <c r="AL87" s="82"/>
      <c r="AM87" s="83"/>
      <c r="AN87" s="84"/>
      <c r="AO87" s="84"/>
      <c r="AP87" s="82"/>
      <c r="AQ87" s="322"/>
      <c r="AR87" s="322"/>
      <c r="AS87" s="322"/>
      <c r="AT87" s="82"/>
      <c r="AU87" s="82"/>
      <c r="AV87" s="82"/>
      <c r="AW87" s="82"/>
      <c r="AX87" s="82"/>
      <c r="AY87" s="85"/>
      <c r="AZ87" s="86"/>
      <c r="BA87" s="87"/>
      <c r="BB87" s="87"/>
      <c r="BC87" s="88"/>
      <c r="BD87" s="59"/>
    </row>
    <row r="88" spans="2:56" ht="12.95" customHeight="1" x14ac:dyDescent="0.15">
      <c r="B88" s="632"/>
      <c r="C88" s="633"/>
      <c r="D88" s="60"/>
      <c r="E88" s="60"/>
      <c r="F88" s="61"/>
      <c r="G88" s="62"/>
      <c r="H88" s="63"/>
      <c r="I88" s="64"/>
      <c r="J88" s="65"/>
      <c r="K88" s="65"/>
      <c r="L88" s="65"/>
      <c r="M88" s="65"/>
      <c r="N88" s="66"/>
      <c r="O88" s="67" t="s">
        <v>82</v>
      </c>
      <c r="P88" s="67"/>
      <c r="Q88" s="67"/>
      <c r="R88" s="67"/>
      <c r="S88" s="81"/>
      <c r="T88" s="67"/>
      <c r="U88" s="82"/>
      <c r="V88" s="82"/>
      <c r="W88" s="83"/>
      <c r="X88" s="84"/>
      <c r="Y88" s="84"/>
      <c r="Z88" s="82"/>
      <c r="AA88" s="82"/>
      <c r="AB88" s="82"/>
      <c r="AC88" s="82"/>
      <c r="AD88" s="82"/>
      <c r="AE88" s="82"/>
      <c r="AF88" s="82"/>
      <c r="AG88" s="82"/>
      <c r="AH88" s="82"/>
      <c r="AI88" s="83"/>
      <c r="AJ88" s="84"/>
      <c r="AK88" s="84"/>
      <c r="AL88" s="82"/>
      <c r="AM88" s="83"/>
      <c r="AN88" s="84"/>
      <c r="AO88" s="84"/>
      <c r="AP88" s="82"/>
      <c r="AQ88" s="322"/>
      <c r="AR88" s="322"/>
      <c r="AS88" s="322"/>
      <c r="AT88" s="82"/>
      <c r="AU88" s="82"/>
      <c r="AV88" s="82"/>
      <c r="AW88" s="82"/>
      <c r="AX88" s="82"/>
      <c r="AY88" s="85"/>
      <c r="AZ88" s="86"/>
      <c r="BA88" s="87"/>
      <c r="BB88" s="87"/>
      <c r="BC88" s="88"/>
      <c r="BD88" s="59"/>
    </row>
    <row r="89" spans="2:56" ht="12.95" customHeight="1" x14ac:dyDescent="0.15">
      <c r="B89" s="632"/>
      <c r="C89" s="1230"/>
      <c r="D89" s="1231"/>
      <c r="E89" s="1231"/>
      <c r="F89" s="1232"/>
      <c r="G89" s="1233"/>
      <c r="H89" s="1234"/>
      <c r="I89" s="64"/>
      <c r="J89" s="65"/>
      <c r="K89" s="65"/>
      <c r="L89" s="65"/>
      <c r="M89" s="65"/>
      <c r="N89" s="66"/>
      <c r="O89" s="90" t="s">
        <v>83</v>
      </c>
      <c r="P89" s="67"/>
      <c r="Q89" s="67"/>
      <c r="R89" s="67"/>
      <c r="S89" s="81"/>
      <c r="T89" s="67"/>
      <c r="U89" s="67"/>
      <c r="V89" s="322"/>
      <c r="W89" s="67"/>
      <c r="X89" s="322"/>
      <c r="Y89" s="322"/>
      <c r="Z89" s="322"/>
      <c r="AA89" s="322"/>
      <c r="AB89" s="322"/>
      <c r="AC89" s="322"/>
      <c r="AD89" s="67"/>
      <c r="AE89" s="322"/>
      <c r="AF89" s="67"/>
      <c r="AG89" s="67"/>
      <c r="AH89" s="67"/>
      <c r="AI89" s="67"/>
      <c r="AJ89" s="322"/>
      <c r="AK89" s="322"/>
      <c r="AL89" s="322"/>
      <c r="AM89" s="67"/>
      <c r="AN89" s="322"/>
      <c r="AO89" s="322"/>
      <c r="AP89" s="322"/>
      <c r="AQ89" s="322"/>
      <c r="AR89" s="322"/>
      <c r="AS89" s="322"/>
      <c r="AT89" s="67"/>
      <c r="AU89" s="322"/>
      <c r="AV89" s="67"/>
      <c r="AW89" s="67"/>
      <c r="AX89" s="67"/>
      <c r="AY89" s="323"/>
      <c r="AZ89" s="64"/>
      <c r="BA89" s="65"/>
      <c r="BB89" s="65"/>
      <c r="BC89" s="72"/>
      <c r="BD89" s="59"/>
    </row>
    <row r="90" spans="2:56" ht="12.95" customHeight="1" x14ac:dyDescent="0.15">
      <c r="B90" s="632"/>
      <c r="C90" s="1230"/>
      <c r="D90" s="1231"/>
      <c r="E90" s="1231"/>
      <c r="F90" s="1232"/>
      <c r="G90" s="1233"/>
      <c r="H90" s="1234"/>
      <c r="I90" s="64"/>
      <c r="J90" s="65"/>
      <c r="K90" s="65"/>
      <c r="L90" s="65"/>
      <c r="M90" s="65"/>
      <c r="N90" s="66"/>
      <c r="O90" s="67" t="s">
        <v>84</v>
      </c>
      <c r="P90" s="82"/>
      <c r="Q90" s="67"/>
      <c r="R90" s="67"/>
      <c r="S90" s="81"/>
      <c r="T90" s="67"/>
      <c r="U90" s="82"/>
      <c r="V90" s="82"/>
      <c r="W90" s="83"/>
      <c r="X90" s="84"/>
      <c r="Y90" s="84"/>
      <c r="Z90" s="82"/>
      <c r="AA90" s="82"/>
      <c r="AB90" s="82"/>
      <c r="AC90" s="82"/>
      <c r="AD90" s="82"/>
      <c r="AE90" s="82"/>
      <c r="AF90" s="82"/>
      <c r="AG90" s="82"/>
      <c r="AH90" s="82"/>
      <c r="AI90" s="83"/>
      <c r="AJ90" s="84"/>
      <c r="AK90" s="84"/>
      <c r="AL90" s="82"/>
      <c r="AM90" s="83"/>
      <c r="AN90" s="84"/>
      <c r="AO90" s="84"/>
      <c r="AP90" s="82"/>
      <c r="AQ90" s="82"/>
      <c r="AR90" s="82"/>
      <c r="AS90" s="82"/>
      <c r="AT90" s="67"/>
      <c r="AU90" s="322"/>
      <c r="AV90" s="67"/>
      <c r="AW90" s="67"/>
      <c r="AX90" s="67"/>
      <c r="AY90" s="323"/>
      <c r="AZ90" s="64"/>
      <c r="BA90" s="65"/>
      <c r="BB90" s="65"/>
      <c r="BC90" s="72"/>
      <c r="BD90" s="59"/>
    </row>
    <row r="91" spans="2:56" ht="12.95" customHeight="1" x14ac:dyDescent="0.15">
      <c r="B91" s="632"/>
      <c r="C91" s="633"/>
      <c r="D91" s="60"/>
      <c r="E91" s="60"/>
      <c r="F91" s="61"/>
      <c r="G91" s="62"/>
      <c r="H91" s="63"/>
      <c r="I91" s="64"/>
      <c r="J91" s="65"/>
      <c r="K91" s="65"/>
      <c r="L91" s="65"/>
      <c r="M91" s="65"/>
      <c r="N91" s="66"/>
      <c r="O91" s="90" t="s">
        <v>85</v>
      </c>
      <c r="P91" s="67"/>
      <c r="Q91" s="67"/>
      <c r="R91" s="67"/>
      <c r="S91" s="81"/>
      <c r="T91" s="67"/>
      <c r="U91" s="67"/>
      <c r="V91" s="322"/>
      <c r="W91" s="67"/>
      <c r="X91" s="322"/>
      <c r="Y91" s="322"/>
      <c r="Z91" s="322"/>
      <c r="AA91" s="322"/>
      <c r="AB91" s="322"/>
      <c r="AC91" s="322"/>
      <c r="AD91" s="67"/>
      <c r="AE91" s="322"/>
      <c r="AF91" s="67"/>
      <c r="AG91" s="67"/>
      <c r="AH91" s="67"/>
      <c r="AI91" s="67"/>
      <c r="AJ91" s="322"/>
      <c r="AK91" s="322"/>
      <c r="AL91" s="322"/>
      <c r="AM91" s="67"/>
      <c r="AN91" s="322"/>
      <c r="AO91" s="322"/>
      <c r="AP91" s="322"/>
      <c r="AQ91" s="322"/>
      <c r="AR91" s="322"/>
      <c r="AS91" s="322"/>
      <c r="AT91" s="82"/>
      <c r="AU91" s="82"/>
      <c r="AV91" s="82"/>
      <c r="AW91" s="82"/>
      <c r="AX91" s="82"/>
      <c r="AY91" s="85"/>
      <c r="AZ91" s="86"/>
      <c r="BA91" s="87"/>
      <c r="BB91" s="87"/>
      <c r="BC91" s="88"/>
      <c r="BD91" s="59"/>
    </row>
    <row r="92" spans="2:56" ht="12.95" customHeight="1" x14ac:dyDescent="0.15">
      <c r="B92" s="632"/>
      <c r="C92" s="1230"/>
      <c r="D92" s="1231"/>
      <c r="E92" s="1231"/>
      <c r="F92" s="1232"/>
      <c r="G92" s="1233"/>
      <c r="H92" s="1234"/>
      <c r="I92" s="64"/>
      <c r="J92" s="65"/>
      <c r="K92" s="65"/>
      <c r="L92" s="65"/>
      <c r="M92" s="65"/>
      <c r="N92" s="66"/>
      <c r="O92" s="67" t="s">
        <v>86</v>
      </c>
      <c r="P92" s="82"/>
      <c r="Q92" s="82"/>
      <c r="R92" s="82"/>
      <c r="S92" s="82"/>
      <c r="T92" s="82"/>
      <c r="U92" s="82"/>
      <c r="V92" s="82"/>
      <c r="W92" s="83"/>
      <c r="X92" s="84"/>
      <c r="Y92" s="84"/>
      <c r="Z92" s="82"/>
      <c r="AA92" s="82"/>
      <c r="AB92" s="82"/>
      <c r="AC92" s="82"/>
      <c r="AD92" s="82"/>
      <c r="AE92" s="82"/>
      <c r="AF92" s="82"/>
      <c r="AG92" s="82"/>
      <c r="AH92" s="82"/>
      <c r="AI92" s="83"/>
      <c r="AJ92" s="84"/>
      <c r="AK92" s="84"/>
      <c r="AL92" s="82"/>
      <c r="AM92" s="83"/>
      <c r="AN92" s="84"/>
      <c r="AO92" s="84"/>
      <c r="AP92" s="82"/>
      <c r="AQ92" s="82"/>
      <c r="AR92" s="82"/>
      <c r="AS92" s="82"/>
      <c r="AT92" s="67"/>
      <c r="AU92" s="322"/>
      <c r="AV92" s="67"/>
      <c r="AW92" s="67"/>
      <c r="AX92" s="67"/>
      <c r="AY92" s="323"/>
      <c r="AZ92" s="64"/>
      <c r="BA92" s="65"/>
      <c r="BB92" s="65"/>
      <c r="BC92" s="72"/>
      <c r="BD92" s="59"/>
    </row>
    <row r="93" spans="2:56" ht="12.95" customHeight="1" x14ac:dyDescent="0.15">
      <c r="B93" s="632"/>
      <c r="C93" s="633"/>
      <c r="D93" s="60"/>
      <c r="E93" s="60"/>
      <c r="F93" s="61"/>
      <c r="G93" s="62"/>
      <c r="H93" s="63"/>
      <c r="I93" s="326"/>
      <c r="J93" s="327"/>
      <c r="K93" s="327"/>
      <c r="L93" s="327"/>
      <c r="M93" s="327"/>
      <c r="N93" s="328"/>
      <c r="O93" s="90" t="s">
        <v>87</v>
      </c>
      <c r="P93" s="67"/>
      <c r="Q93" s="67"/>
      <c r="R93" s="67"/>
      <c r="S93" s="81"/>
      <c r="T93" s="67"/>
      <c r="U93" s="67"/>
      <c r="V93" s="322"/>
      <c r="W93" s="67"/>
      <c r="X93" s="322"/>
      <c r="Y93" s="322"/>
      <c r="Z93" s="322"/>
      <c r="AA93" s="322"/>
      <c r="AB93" s="322"/>
      <c r="AC93" s="322"/>
      <c r="AD93" s="67"/>
      <c r="AE93" s="322"/>
      <c r="AF93" s="67"/>
      <c r="AG93" s="67"/>
      <c r="AH93" s="67"/>
      <c r="AI93" s="67"/>
      <c r="AJ93" s="322"/>
      <c r="AK93" s="322"/>
      <c r="AL93" s="322"/>
      <c r="AM93" s="67"/>
      <c r="AN93" s="322"/>
      <c r="AO93" s="322"/>
      <c r="AP93" s="322"/>
      <c r="AQ93" s="322"/>
      <c r="AR93" s="322"/>
      <c r="AS93" s="322"/>
      <c r="AT93" s="82"/>
      <c r="AU93" s="82"/>
      <c r="AV93" s="82"/>
      <c r="AW93" s="82"/>
      <c r="AX93" s="82"/>
      <c r="AY93" s="85"/>
      <c r="AZ93" s="329"/>
      <c r="BA93" s="330"/>
      <c r="BB93" s="330"/>
      <c r="BC93" s="331"/>
      <c r="BD93" s="59"/>
    </row>
    <row r="94" spans="2:56" ht="12.95" customHeight="1" x14ac:dyDescent="0.15">
      <c r="B94" s="632"/>
      <c r="C94" s="634"/>
      <c r="D94" s="332"/>
      <c r="E94" s="332"/>
      <c r="F94" s="333"/>
      <c r="G94" s="334"/>
      <c r="H94" s="335"/>
      <c r="I94" s="326"/>
      <c r="J94" s="327"/>
      <c r="K94" s="327"/>
      <c r="L94" s="327"/>
      <c r="M94" s="327"/>
      <c r="N94" s="328"/>
      <c r="O94" s="67" t="s">
        <v>88</v>
      </c>
      <c r="P94" s="82"/>
      <c r="Q94" s="82"/>
      <c r="R94" s="82"/>
      <c r="S94" s="82"/>
      <c r="T94" s="82"/>
      <c r="U94" s="82"/>
      <c r="V94" s="82"/>
      <c r="W94" s="83"/>
      <c r="X94" s="84"/>
      <c r="Y94" s="84"/>
      <c r="Z94" s="82"/>
      <c r="AA94" s="82"/>
      <c r="AB94" s="82"/>
      <c r="AC94" s="82"/>
      <c r="AD94" s="82"/>
      <c r="AE94" s="82"/>
      <c r="AF94" s="82"/>
      <c r="AG94" s="82"/>
      <c r="AH94" s="82"/>
      <c r="AI94" s="83"/>
      <c r="AJ94" s="84"/>
      <c r="AK94" s="84"/>
      <c r="AL94" s="82"/>
      <c r="AM94" s="83"/>
      <c r="AN94" s="84"/>
      <c r="AO94" s="84"/>
      <c r="AP94" s="82"/>
      <c r="AQ94" s="82"/>
      <c r="AR94" s="82"/>
      <c r="AS94" s="82"/>
      <c r="AT94" s="67"/>
      <c r="AU94" s="322"/>
      <c r="AV94" s="67"/>
      <c r="AW94" s="67"/>
      <c r="AX94" s="67"/>
      <c r="AY94" s="323"/>
      <c r="AZ94" s="326"/>
      <c r="BA94" s="327"/>
      <c r="BB94" s="327"/>
      <c r="BC94" s="336"/>
      <c r="BD94" s="59"/>
    </row>
    <row r="95" spans="2:56" ht="12.95" customHeight="1" x14ac:dyDescent="0.15">
      <c r="B95" s="632"/>
      <c r="C95" s="633"/>
      <c r="D95" s="60"/>
      <c r="E95" s="60"/>
      <c r="F95" s="61"/>
      <c r="G95" s="62"/>
      <c r="H95" s="63"/>
      <c r="I95" s="326"/>
      <c r="J95" s="327"/>
      <c r="K95" s="327"/>
      <c r="L95" s="327"/>
      <c r="M95" s="327"/>
      <c r="N95" s="328"/>
      <c r="O95" s="90" t="s">
        <v>89</v>
      </c>
      <c r="P95" s="67"/>
      <c r="Q95" s="67"/>
      <c r="R95" s="67"/>
      <c r="S95" s="81"/>
      <c r="T95" s="67"/>
      <c r="U95" s="67"/>
      <c r="V95" s="322"/>
      <c r="W95" s="67"/>
      <c r="X95" s="322"/>
      <c r="Y95" s="322"/>
      <c r="Z95" s="322"/>
      <c r="AA95" s="322"/>
      <c r="AB95" s="322"/>
      <c r="AC95" s="322"/>
      <c r="AD95" s="67"/>
      <c r="AE95" s="322"/>
      <c r="AF95" s="67"/>
      <c r="AG95" s="67"/>
      <c r="AH95" s="67"/>
      <c r="AI95" s="67"/>
      <c r="AJ95" s="322"/>
      <c r="AK95" s="322"/>
      <c r="AL95" s="322"/>
      <c r="AM95" s="67"/>
      <c r="AN95" s="322"/>
      <c r="AO95" s="322"/>
      <c r="AP95" s="322"/>
      <c r="AQ95" s="322"/>
      <c r="AR95" s="322"/>
      <c r="AS95" s="322"/>
      <c r="AT95" s="82"/>
      <c r="AU95" s="82"/>
      <c r="AV95" s="82"/>
      <c r="AW95" s="82"/>
      <c r="AX95" s="82"/>
      <c r="AY95" s="85"/>
      <c r="AZ95" s="329"/>
      <c r="BA95" s="330"/>
      <c r="BB95" s="330"/>
      <c r="BC95" s="331"/>
      <c r="BD95" s="59"/>
    </row>
    <row r="96" spans="2:56" ht="12.95" customHeight="1" x14ac:dyDescent="0.15">
      <c r="B96" s="632"/>
      <c r="C96" s="634"/>
      <c r="D96" s="332"/>
      <c r="E96" s="332"/>
      <c r="F96" s="333"/>
      <c r="G96" s="334"/>
      <c r="H96" s="335"/>
      <c r="I96" s="326"/>
      <c r="J96" s="327"/>
      <c r="K96" s="327"/>
      <c r="L96" s="327"/>
      <c r="M96" s="327"/>
      <c r="N96" s="328"/>
      <c r="O96" s="67" t="s">
        <v>43</v>
      </c>
      <c r="P96" s="67"/>
      <c r="Q96" s="67"/>
      <c r="R96" s="67"/>
      <c r="S96" s="82"/>
      <c r="T96" s="82"/>
      <c r="U96" s="82"/>
      <c r="V96" s="82"/>
      <c r="W96" s="83"/>
      <c r="X96" s="84"/>
      <c r="Y96" s="84"/>
      <c r="Z96" s="82"/>
      <c r="AA96" s="82"/>
      <c r="AB96" s="82"/>
      <c r="AC96" s="82"/>
      <c r="AD96" s="82"/>
      <c r="AE96" s="82"/>
      <c r="AF96" s="82"/>
      <c r="AG96" s="82"/>
      <c r="AH96" s="82"/>
      <c r="AI96" s="83"/>
      <c r="AJ96" s="84"/>
      <c r="AK96" s="84"/>
      <c r="AL96" s="82"/>
      <c r="AM96" s="83"/>
      <c r="AN96" s="84"/>
      <c r="AO96" s="84"/>
      <c r="AP96" s="82"/>
      <c r="AQ96" s="82"/>
      <c r="AR96" s="82"/>
      <c r="AS96" s="82"/>
      <c r="AT96" s="67"/>
      <c r="AU96" s="322"/>
      <c r="AV96" s="67"/>
      <c r="AW96" s="67"/>
      <c r="AX96" s="67"/>
      <c r="AY96" s="323"/>
      <c r="AZ96" s="326"/>
      <c r="BA96" s="327"/>
      <c r="BB96" s="327"/>
      <c r="BC96" s="336"/>
      <c r="BD96" s="59"/>
    </row>
    <row r="97" spans="2:56" ht="12.95" customHeight="1" x14ac:dyDescent="0.15">
      <c r="B97" s="632"/>
      <c r="C97" s="633"/>
      <c r="D97" s="60"/>
      <c r="E97" s="60"/>
      <c r="F97" s="61"/>
      <c r="G97" s="62"/>
      <c r="H97" s="63"/>
      <c r="I97" s="326"/>
      <c r="J97" s="327"/>
      <c r="K97" s="327"/>
      <c r="L97" s="327"/>
      <c r="M97" s="327"/>
      <c r="N97" s="328"/>
      <c r="O97" s="90" t="s">
        <v>44</v>
      </c>
      <c r="P97" s="67"/>
      <c r="Q97" s="67"/>
      <c r="R97" s="67"/>
      <c r="S97" s="81"/>
      <c r="T97" s="67"/>
      <c r="U97" s="67"/>
      <c r="V97" s="322"/>
      <c r="W97" s="67"/>
      <c r="X97" s="322"/>
      <c r="Y97" s="322"/>
      <c r="Z97" s="322"/>
      <c r="AA97" s="322"/>
      <c r="AB97" s="322"/>
      <c r="AC97" s="322"/>
      <c r="AD97" s="67"/>
      <c r="AE97" s="322"/>
      <c r="AF97" s="67"/>
      <c r="AG97" s="67"/>
      <c r="AH97" s="67"/>
      <c r="AI97" s="67"/>
      <c r="AJ97" s="322"/>
      <c r="AK97" s="322"/>
      <c r="AL97" s="322"/>
      <c r="AM97" s="67"/>
      <c r="AN97" s="322"/>
      <c r="AO97" s="322"/>
      <c r="AP97" s="322"/>
      <c r="AQ97" s="322"/>
      <c r="AR97" s="322"/>
      <c r="AS97" s="322"/>
      <c r="AT97" s="82"/>
      <c r="AU97" s="82"/>
      <c r="AV97" s="82"/>
      <c r="AW97" s="82"/>
      <c r="AX97" s="82"/>
      <c r="AY97" s="85"/>
      <c r="AZ97" s="329"/>
      <c r="BA97" s="330"/>
      <c r="BB97" s="330"/>
      <c r="BC97" s="331"/>
      <c r="BD97" s="59"/>
    </row>
    <row r="98" spans="2:56" ht="12.95" customHeight="1" x14ac:dyDescent="0.15">
      <c r="B98" s="632"/>
      <c r="C98" s="1230"/>
      <c r="D98" s="1231"/>
      <c r="E98" s="1231"/>
      <c r="F98" s="1232"/>
      <c r="G98" s="1233"/>
      <c r="H98" s="1234"/>
      <c r="I98" s="64"/>
      <c r="J98" s="65"/>
      <c r="K98" s="65"/>
      <c r="L98" s="65"/>
      <c r="M98" s="65"/>
      <c r="N98" s="66"/>
      <c r="O98" s="67" t="s">
        <v>90</v>
      </c>
      <c r="P98" s="67"/>
      <c r="Q98" s="67"/>
      <c r="R98" s="67"/>
      <c r="S98" s="81"/>
      <c r="T98" s="67"/>
      <c r="U98" s="67"/>
      <c r="V98" s="322"/>
      <c r="W98" s="67"/>
      <c r="X98" s="322"/>
      <c r="Y98" s="322"/>
      <c r="Z98" s="322"/>
      <c r="AA98" s="322"/>
      <c r="AB98" s="322"/>
      <c r="AC98" s="322"/>
      <c r="AD98" s="67"/>
      <c r="AE98" s="322"/>
      <c r="AF98" s="67"/>
      <c r="AG98" s="67"/>
      <c r="AH98" s="67"/>
      <c r="AI98" s="67"/>
      <c r="AJ98" s="322"/>
      <c r="AK98" s="322"/>
      <c r="AL98" s="322"/>
      <c r="AM98" s="67"/>
      <c r="AN98" s="322"/>
      <c r="AO98" s="322"/>
      <c r="AP98" s="322"/>
      <c r="AQ98" s="82"/>
      <c r="AR98" s="82"/>
      <c r="AS98" s="82"/>
      <c r="AT98" s="67"/>
      <c r="AU98" s="322"/>
      <c r="AV98" s="67"/>
      <c r="AW98" s="67"/>
      <c r="AX98" s="67"/>
      <c r="AY98" s="323"/>
      <c r="AZ98" s="64"/>
      <c r="BA98" s="65"/>
      <c r="BB98" s="65"/>
      <c r="BC98" s="72"/>
      <c r="BD98" s="59"/>
    </row>
    <row r="99" spans="2:56" ht="12.95" customHeight="1" x14ac:dyDescent="0.15">
      <c r="B99" s="632"/>
      <c r="C99" s="1236"/>
      <c r="D99" s="1237"/>
      <c r="E99" s="1237"/>
      <c r="F99" s="1238"/>
      <c r="G99" s="745"/>
      <c r="H99" s="673"/>
      <c r="I99" s="746"/>
      <c r="J99" s="747"/>
      <c r="K99" s="747"/>
      <c r="L99" s="747"/>
      <c r="M99" s="747"/>
      <c r="N99" s="674"/>
      <c r="O99" s="748"/>
      <c r="P99" s="749"/>
      <c r="Q99" s="749"/>
      <c r="R99" s="749"/>
      <c r="S99" s="749"/>
      <c r="T99" s="749"/>
      <c r="U99" s="749"/>
      <c r="V99" s="749"/>
      <c r="W99" s="749"/>
      <c r="X99" s="750"/>
      <c r="Y99" s="750"/>
      <c r="Z99" s="749"/>
      <c r="AA99" s="749"/>
      <c r="AB99" s="749"/>
      <c r="AC99" s="749"/>
      <c r="AD99" s="749"/>
      <c r="AE99" s="749"/>
      <c r="AF99" s="749"/>
      <c r="AG99" s="749"/>
      <c r="AH99" s="749"/>
      <c r="AI99" s="749"/>
      <c r="AJ99" s="750"/>
      <c r="AK99" s="750"/>
      <c r="AL99" s="749"/>
      <c r="AM99" s="749"/>
      <c r="AN99" s="750"/>
      <c r="AO99" s="750"/>
      <c r="AP99" s="749"/>
      <c r="AQ99" s="749"/>
      <c r="AR99" s="749"/>
      <c r="AS99" s="749"/>
      <c r="AT99" s="749"/>
      <c r="AU99" s="749"/>
      <c r="AV99" s="749"/>
      <c r="AW99" s="749"/>
      <c r="AX99" s="749"/>
      <c r="AY99" s="675"/>
      <c r="AZ99" s="751"/>
      <c r="BA99" s="752"/>
      <c r="BB99" s="752"/>
      <c r="BC99" s="753"/>
      <c r="BD99" s="59"/>
    </row>
    <row r="100" spans="2:56" ht="12.95" customHeight="1" thickBot="1" x14ac:dyDescent="0.2">
      <c r="B100" s="754"/>
      <c r="C100" s="755"/>
      <c r="D100" s="755"/>
      <c r="E100" s="755"/>
      <c r="F100" s="755"/>
      <c r="G100" s="755"/>
      <c r="H100" s="756"/>
      <c r="I100" s="756"/>
      <c r="J100" s="755"/>
      <c r="K100" s="755"/>
      <c r="L100" s="755"/>
      <c r="M100" s="755"/>
      <c r="N100" s="755"/>
      <c r="O100" s="755"/>
      <c r="P100" s="755"/>
      <c r="Q100" s="755"/>
      <c r="R100" s="755"/>
      <c r="S100" s="755"/>
      <c r="T100" s="755"/>
      <c r="U100" s="755"/>
      <c r="V100" s="755"/>
      <c r="W100" s="755"/>
      <c r="X100" s="755"/>
      <c r="Y100" s="755"/>
      <c r="Z100" s="755"/>
      <c r="AA100" s="755"/>
      <c r="AB100" s="755"/>
      <c r="AC100" s="755"/>
      <c r="AD100" s="755"/>
      <c r="AE100" s="755"/>
      <c r="AF100" s="755"/>
      <c r="AG100" s="755"/>
      <c r="AH100" s="755"/>
      <c r="AI100" s="755"/>
      <c r="AJ100" s="755"/>
      <c r="AK100" s="755"/>
      <c r="AL100" s="755"/>
      <c r="AM100" s="755"/>
      <c r="AN100" s="755"/>
      <c r="AO100" s="755"/>
      <c r="AP100" s="755"/>
      <c r="AQ100" s="755"/>
      <c r="AR100" s="755"/>
      <c r="AS100" s="755"/>
      <c r="AT100" s="755"/>
      <c r="AU100" s="755"/>
      <c r="AV100" s="755"/>
      <c r="AW100" s="755"/>
      <c r="AX100" s="755"/>
      <c r="AY100" s="755"/>
      <c r="AZ100" s="755"/>
      <c r="BA100" s="755"/>
      <c r="BB100" s="755"/>
      <c r="BC100" s="755"/>
      <c r="BD100" s="757"/>
    </row>
    <row r="101" spans="2:56" ht="12.95" customHeight="1" thickTop="1" x14ac:dyDescent="0.15">
      <c r="B101" s="50" t="s">
        <v>6</v>
      </c>
      <c r="C101" s="51"/>
      <c r="D101" s="51"/>
      <c r="E101" s="51"/>
      <c r="F101" s="51"/>
      <c r="G101" s="51"/>
      <c r="H101" s="51"/>
      <c r="I101" s="51"/>
      <c r="J101" s="51"/>
      <c r="K101" s="51"/>
      <c r="L101" s="51"/>
      <c r="M101" s="51"/>
      <c r="N101" s="52"/>
      <c r="O101" s="1247" t="s">
        <v>7</v>
      </c>
      <c r="P101" s="1248"/>
      <c r="Q101" s="1248"/>
      <c r="R101" s="1248"/>
      <c r="S101" s="1248"/>
      <c r="T101" s="1249"/>
      <c r="U101" s="1250" t="s">
        <v>8</v>
      </c>
      <c r="V101" s="1248"/>
      <c r="W101" s="1248"/>
      <c r="X101" s="1248"/>
      <c r="Y101" s="1248"/>
      <c r="Z101" s="1248"/>
      <c r="AA101" s="1249"/>
      <c r="AB101" s="1251" t="s">
        <v>9</v>
      </c>
      <c r="AC101" s="1252"/>
      <c r="AD101" s="1252"/>
      <c r="AE101" s="1252"/>
      <c r="AF101" s="1252"/>
      <c r="AG101" s="1252"/>
      <c r="AH101" s="1252"/>
      <c r="AI101" s="1252"/>
      <c r="AJ101" s="1252"/>
      <c r="AK101" s="1252"/>
      <c r="AL101" s="1252"/>
      <c r="AM101" s="1252"/>
      <c r="AN101" s="1253"/>
      <c r="AO101" s="1250" t="s">
        <v>10</v>
      </c>
      <c r="AP101" s="1249"/>
      <c r="AQ101" s="1257" t="s">
        <v>11</v>
      </c>
      <c r="AR101" s="1258"/>
      <c r="AS101" s="1259"/>
      <c r="AT101" s="1250" t="s">
        <v>12</v>
      </c>
      <c r="AU101" s="1248"/>
      <c r="AV101" s="1248"/>
      <c r="AW101" s="1249"/>
      <c r="AX101" s="1257" t="s">
        <v>13</v>
      </c>
      <c r="AY101" s="1258"/>
      <c r="AZ101" s="1259"/>
      <c r="BA101" s="1250" t="s">
        <v>14</v>
      </c>
      <c r="BB101" s="1248"/>
      <c r="BC101" s="1248"/>
      <c r="BD101" s="1249"/>
    </row>
    <row r="102" spans="2:56" ht="12.95" customHeight="1" thickBot="1" x14ac:dyDescent="0.2">
      <c r="B102" s="1260" t="s">
        <v>15</v>
      </c>
      <c r="C102" s="1261"/>
      <c r="D102" s="1261"/>
      <c r="E102" s="1261"/>
      <c r="F102" s="1261"/>
      <c r="G102" s="1261"/>
      <c r="H102" s="1261"/>
      <c r="I102" s="1261"/>
      <c r="J102" s="1261"/>
      <c r="K102" s="1261"/>
      <c r="L102" s="1261"/>
      <c r="M102" s="1261"/>
      <c r="N102" s="1262"/>
      <c r="O102" s="1263" t="s">
        <v>16</v>
      </c>
      <c r="P102" s="1264"/>
      <c r="Q102" s="1264"/>
      <c r="R102" s="1264"/>
      <c r="S102" s="1264"/>
      <c r="T102" s="1265"/>
      <c r="U102" s="1266" t="s">
        <v>17</v>
      </c>
      <c r="V102" s="1264"/>
      <c r="W102" s="1264"/>
      <c r="X102" s="1264"/>
      <c r="Y102" s="1264"/>
      <c r="Z102" s="1264"/>
      <c r="AA102" s="1265"/>
      <c r="AB102" s="1254"/>
      <c r="AC102" s="1255"/>
      <c r="AD102" s="1255"/>
      <c r="AE102" s="1255"/>
      <c r="AF102" s="1255"/>
      <c r="AG102" s="1255"/>
      <c r="AH102" s="1255"/>
      <c r="AI102" s="1255"/>
      <c r="AJ102" s="1255"/>
      <c r="AK102" s="1255"/>
      <c r="AL102" s="1255"/>
      <c r="AM102" s="1255"/>
      <c r="AN102" s="1256"/>
      <c r="AO102" s="1267">
        <f>AO3</f>
        <v>1.1200000000000001</v>
      </c>
      <c r="AP102" s="1268"/>
      <c r="AQ102" s="1266" t="s">
        <v>18</v>
      </c>
      <c r="AR102" s="1264"/>
      <c r="AS102" s="1265"/>
      <c r="AT102" s="1269">
        <f>AT3</f>
        <v>45709</v>
      </c>
      <c r="AU102" s="1270"/>
      <c r="AV102" s="1270"/>
      <c r="AW102" s="1270"/>
      <c r="AX102" s="1266" t="s">
        <v>18</v>
      </c>
      <c r="AY102" s="1264"/>
      <c r="AZ102" s="1265"/>
      <c r="BA102" s="1269">
        <f>BA3</f>
        <v>45460</v>
      </c>
      <c r="BB102" s="1270"/>
      <c r="BC102" s="1270"/>
      <c r="BD102" s="1271"/>
    </row>
    <row r="103" spans="2:56" ht="12.95" customHeight="1" thickTop="1" x14ac:dyDescent="0.15">
      <c r="AU103" s="53"/>
    </row>
    <row r="104" spans="2:56" ht="12.95" customHeight="1" x14ac:dyDescent="0.15">
      <c r="B104" s="737"/>
      <c r="C104" s="696"/>
      <c r="D104" s="696"/>
      <c r="E104" s="696"/>
      <c r="F104" s="696"/>
      <c r="G104" s="696"/>
      <c r="H104" s="697"/>
      <c r="I104" s="697"/>
      <c r="J104" s="696"/>
      <c r="K104" s="696"/>
      <c r="L104" s="696"/>
      <c r="M104" s="696"/>
      <c r="N104" s="696"/>
      <c r="O104" s="696"/>
      <c r="P104" s="696"/>
      <c r="Q104" s="696"/>
      <c r="R104" s="696"/>
      <c r="S104" s="696"/>
      <c r="T104" s="696"/>
      <c r="U104" s="696"/>
      <c r="V104" s="696"/>
      <c r="W104" s="696"/>
      <c r="X104" s="696"/>
      <c r="Y104" s="696"/>
      <c r="Z104" s="696"/>
      <c r="AA104" s="696"/>
      <c r="AB104" s="696"/>
      <c r="AC104" s="696"/>
      <c r="AD104" s="696"/>
      <c r="AE104" s="696"/>
      <c r="AF104" s="696"/>
      <c r="AG104" s="696"/>
      <c r="AH104" s="696"/>
      <c r="AI104" s="696"/>
      <c r="AJ104" s="696"/>
      <c r="AK104" s="696"/>
      <c r="AL104" s="696"/>
      <c r="AM104" s="696"/>
      <c r="AN104" s="696"/>
      <c r="AO104" s="696"/>
      <c r="AP104" s="696"/>
      <c r="AQ104" s="696"/>
      <c r="AR104" s="696"/>
      <c r="AS104" s="696"/>
      <c r="AT104" s="696"/>
      <c r="AU104" s="696"/>
      <c r="AV104" s="696"/>
      <c r="AW104" s="696"/>
      <c r="AX104" s="696"/>
      <c r="AY104" s="696"/>
      <c r="AZ104" s="696"/>
      <c r="BA104" s="696"/>
      <c r="BB104" s="696"/>
      <c r="BC104" s="696"/>
      <c r="BD104" s="718"/>
    </row>
    <row r="105" spans="2:56" ht="12.95" customHeight="1" x14ac:dyDescent="0.15">
      <c r="B105" s="632"/>
      <c r="C105" s="54" t="s">
        <v>9</v>
      </c>
      <c r="D105" s="55"/>
      <c r="E105" s="49"/>
      <c r="F105" s="49"/>
      <c r="G105" s="49"/>
      <c r="H105" s="56"/>
      <c r="I105" s="56"/>
      <c r="J105" s="49"/>
      <c r="K105" s="49"/>
      <c r="M105" s="49"/>
      <c r="N105" s="49"/>
      <c r="O105" s="49"/>
      <c r="Q105" s="49"/>
      <c r="S105" s="49"/>
      <c r="U105" s="49"/>
      <c r="V105" s="49"/>
      <c r="Y105" s="49"/>
      <c r="Z105" s="49"/>
      <c r="AA105" s="49"/>
      <c r="AB105" s="49"/>
      <c r="AC105" s="49"/>
      <c r="AD105" s="49"/>
      <c r="AE105" s="49"/>
      <c r="AF105" s="49"/>
      <c r="AG105" s="49"/>
      <c r="AI105" s="49"/>
      <c r="AJ105" s="49"/>
      <c r="AK105" s="49"/>
      <c r="AL105" s="49"/>
      <c r="AM105" s="57"/>
      <c r="AN105" s="49"/>
      <c r="AO105" s="49"/>
      <c r="AP105" s="49"/>
      <c r="AQ105" s="58"/>
      <c r="AR105" s="58"/>
      <c r="AS105" s="58"/>
      <c r="AU105" s="49"/>
      <c r="AV105" s="49"/>
      <c r="AW105" s="49"/>
      <c r="AX105" s="49"/>
      <c r="AY105" s="49"/>
      <c r="AZ105" s="49"/>
      <c r="BA105" s="49"/>
      <c r="BB105" s="49"/>
      <c r="BC105" s="49"/>
      <c r="BD105" s="59"/>
    </row>
    <row r="106" spans="2:56" ht="12.95" customHeight="1" x14ac:dyDescent="0.15">
      <c r="B106" s="632"/>
      <c r="C106" s="49"/>
      <c r="D106" s="49"/>
      <c r="E106" s="49"/>
      <c r="F106" s="49"/>
      <c r="G106" s="49"/>
      <c r="H106" s="56"/>
      <c r="I106" s="56"/>
      <c r="J106" s="49"/>
      <c r="K106" s="49"/>
      <c r="M106" s="49"/>
      <c r="N106" s="49"/>
      <c r="O106" s="49"/>
      <c r="Q106" s="49"/>
      <c r="S106" s="49"/>
      <c r="U106" s="49"/>
      <c r="V106" s="49"/>
      <c r="Y106" s="49"/>
      <c r="Z106" s="49"/>
      <c r="AA106" s="49"/>
      <c r="AB106" s="49"/>
      <c r="AC106" s="49"/>
      <c r="AD106" s="49"/>
      <c r="AE106" s="49"/>
      <c r="AF106" s="49"/>
      <c r="AG106" s="49"/>
      <c r="AH106" s="49"/>
      <c r="AI106" s="49"/>
      <c r="AJ106" s="49"/>
      <c r="AK106" s="49"/>
      <c r="AL106" s="49"/>
      <c r="AM106" s="49"/>
      <c r="AN106" s="49"/>
      <c r="AO106" s="49"/>
      <c r="AP106" s="49"/>
      <c r="AQ106" s="58"/>
      <c r="AR106" s="58"/>
      <c r="AS106" s="58"/>
      <c r="AU106" s="49"/>
      <c r="AV106" s="49"/>
      <c r="AW106" s="49"/>
      <c r="AX106" s="49"/>
      <c r="AY106" s="49"/>
      <c r="AZ106" s="49"/>
      <c r="BA106" s="49"/>
      <c r="BB106" s="49"/>
      <c r="BC106" s="49"/>
      <c r="BD106" s="59"/>
    </row>
    <row r="107" spans="2:56" ht="12.95" customHeight="1" x14ac:dyDescent="0.15">
      <c r="B107" s="632"/>
      <c r="C107" s="738" t="s">
        <v>19</v>
      </c>
      <c r="D107" s="698"/>
      <c r="E107" s="698"/>
      <c r="F107" s="719"/>
      <c r="G107" s="698" t="s">
        <v>20</v>
      </c>
      <c r="H107" s="719"/>
      <c r="I107" s="699" t="s">
        <v>21</v>
      </c>
      <c r="J107" s="698"/>
      <c r="K107" s="698"/>
      <c r="L107" s="698"/>
      <c r="M107" s="698"/>
      <c r="N107" s="719"/>
      <c r="O107" s="698" t="s">
        <v>22</v>
      </c>
      <c r="P107" s="698"/>
      <c r="Q107" s="698"/>
      <c r="R107" s="698"/>
      <c r="S107" s="698"/>
      <c r="T107" s="698"/>
      <c r="U107" s="698"/>
      <c r="V107" s="698"/>
      <c r="W107" s="698"/>
      <c r="X107" s="698"/>
      <c r="Y107" s="698"/>
      <c r="Z107" s="698"/>
      <c r="AA107" s="698"/>
      <c r="AB107" s="698"/>
      <c r="AC107" s="698"/>
      <c r="AD107" s="698"/>
      <c r="AE107" s="698"/>
      <c r="AF107" s="698"/>
      <c r="AG107" s="698"/>
      <c r="AH107" s="698"/>
      <c r="AI107" s="698"/>
      <c r="AJ107" s="698"/>
      <c r="AK107" s="698"/>
      <c r="AL107" s="698"/>
      <c r="AM107" s="698"/>
      <c r="AN107" s="698"/>
      <c r="AO107" s="698"/>
      <c r="AP107" s="698"/>
      <c r="AQ107" s="698"/>
      <c r="AR107" s="698"/>
      <c r="AS107" s="698"/>
      <c r="AT107" s="698"/>
      <c r="AU107" s="698"/>
      <c r="AV107" s="698"/>
      <c r="AW107" s="698"/>
      <c r="AX107" s="698"/>
      <c r="AY107" s="719"/>
      <c r="AZ107" s="698" t="s">
        <v>23</v>
      </c>
      <c r="BA107" s="698"/>
      <c r="BB107" s="698"/>
      <c r="BC107" s="720"/>
      <c r="BD107" s="59"/>
    </row>
    <row r="108" spans="2:56" ht="12.95" customHeight="1" x14ac:dyDescent="0.15">
      <c r="B108" s="632"/>
      <c r="C108" s="739"/>
      <c r="D108" s="740"/>
      <c r="E108" s="740"/>
      <c r="F108" s="646"/>
      <c r="G108" s="741"/>
      <c r="H108" s="647"/>
      <c r="I108" s="742"/>
      <c r="J108" s="741"/>
      <c r="K108" s="741"/>
      <c r="L108" s="741"/>
      <c r="M108" s="741"/>
      <c r="N108" s="647"/>
      <c r="O108" s="740"/>
      <c r="P108" s="740"/>
      <c r="Q108" s="740"/>
      <c r="R108" s="740"/>
      <c r="S108" s="740"/>
      <c r="T108" s="740"/>
      <c r="U108" s="740"/>
      <c r="V108" s="741"/>
      <c r="W108" s="740"/>
      <c r="X108" s="741"/>
      <c r="Y108" s="741"/>
      <c r="Z108" s="741"/>
      <c r="AA108" s="741"/>
      <c r="AB108" s="741"/>
      <c r="AC108" s="741"/>
      <c r="AD108" s="740"/>
      <c r="AE108" s="741"/>
      <c r="AF108" s="740"/>
      <c r="AG108" s="740"/>
      <c r="AH108" s="740"/>
      <c r="AI108" s="740"/>
      <c r="AJ108" s="741"/>
      <c r="AK108" s="741"/>
      <c r="AL108" s="741"/>
      <c r="AM108" s="740"/>
      <c r="AN108" s="741"/>
      <c r="AO108" s="741"/>
      <c r="AP108" s="741"/>
      <c r="AQ108" s="741"/>
      <c r="AR108" s="741"/>
      <c r="AS108" s="741"/>
      <c r="AT108" s="740"/>
      <c r="AU108" s="741"/>
      <c r="AV108" s="740"/>
      <c r="AW108" s="740"/>
      <c r="AX108" s="740"/>
      <c r="AY108" s="647"/>
      <c r="AZ108" s="741"/>
      <c r="BA108" s="740"/>
      <c r="BB108" s="740"/>
      <c r="BC108" s="743"/>
      <c r="BD108" s="59"/>
    </row>
    <row r="109" spans="2:56" ht="12.95" customHeight="1" x14ac:dyDescent="0.15">
      <c r="B109" s="632"/>
      <c r="C109" s="1239">
        <v>45490</v>
      </c>
      <c r="D109" s="1240"/>
      <c r="E109" s="1240"/>
      <c r="F109" s="1241"/>
      <c r="G109" s="1281">
        <v>1.2</v>
      </c>
      <c r="H109" s="1282"/>
      <c r="I109" s="744"/>
      <c r="J109" s="700"/>
      <c r="K109" s="700"/>
      <c r="L109" s="700"/>
      <c r="M109" s="700"/>
      <c r="N109" s="721"/>
      <c r="O109" s="701" t="s">
        <v>52</v>
      </c>
      <c r="P109" s="701"/>
      <c r="Q109" s="701"/>
      <c r="R109" s="701"/>
      <c r="S109" s="702"/>
      <c r="T109" s="701"/>
      <c r="U109" s="701"/>
      <c r="V109" s="700"/>
      <c r="W109" s="701"/>
      <c r="X109" s="700"/>
      <c r="Y109" s="700"/>
      <c r="Z109" s="700"/>
      <c r="AA109" s="700"/>
      <c r="AB109" s="700"/>
      <c r="AC109" s="700"/>
      <c r="AD109" s="701"/>
      <c r="AE109" s="700"/>
      <c r="AF109" s="701"/>
      <c r="AG109" s="701"/>
      <c r="AH109" s="701"/>
      <c r="AI109" s="701"/>
      <c r="AJ109" s="700"/>
      <c r="AK109" s="700"/>
      <c r="AL109" s="700"/>
      <c r="AM109" s="701"/>
      <c r="AN109" s="700"/>
      <c r="AO109" s="700"/>
      <c r="AP109" s="700"/>
      <c r="AQ109" s="700"/>
      <c r="AR109" s="700"/>
      <c r="AS109" s="700"/>
      <c r="AT109" s="701"/>
      <c r="AU109" s="700"/>
      <c r="AV109" s="701"/>
      <c r="AW109" s="701"/>
      <c r="AX109" s="701"/>
      <c r="AY109" s="722"/>
      <c r="AZ109" s="703" t="s">
        <v>25</v>
      </c>
      <c r="BA109" s="703"/>
      <c r="BB109" s="703"/>
      <c r="BC109" s="723"/>
      <c r="BD109" s="59"/>
    </row>
    <row r="110" spans="2:56" ht="12.95" customHeight="1" x14ac:dyDescent="0.15">
      <c r="B110" s="632"/>
      <c r="C110" s="633"/>
      <c r="D110" s="60"/>
      <c r="E110" s="60"/>
      <c r="F110" s="61"/>
      <c r="G110" s="62"/>
      <c r="H110" s="63"/>
      <c r="I110" s="64"/>
      <c r="J110" s="65"/>
      <c r="K110" s="65"/>
      <c r="L110" s="65"/>
      <c r="M110" s="65"/>
      <c r="N110" s="66"/>
      <c r="O110" s="90" t="s">
        <v>27</v>
      </c>
      <c r="P110" s="67"/>
      <c r="Q110" s="67"/>
      <c r="R110" s="67"/>
      <c r="S110" s="81"/>
      <c r="T110" s="67"/>
      <c r="U110" s="82"/>
      <c r="V110" s="82"/>
      <c r="W110" s="83"/>
      <c r="X110" s="84"/>
      <c r="Y110" s="322"/>
      <c r="Z110" s="322"/>
      <c r="AA110" s="322"/>
      <c r="AB110" s="322"/>
      <c r="AC110" s="322"/>
      <c r="AD110" s="67"/>
      <c r="AE110" s="322"/>
      <c r="AF110" s="67"/>
      <c r="AG110" s="67"/>
      <c r="AH110" s="67"/>
      <c r="AI110" s="67"/>
      <c r="AJ110" s="322"/>
      <c r="AK110" s="322"/>
      <c r="AL110" s="322"/>
      <c r="AM110" s="67"/>
      <c r="AN110" s="322"/>
      <c r="AO110" s="322"/>
      <c r="AP110" s="322"/>
      <c r="AQ110" s="322"/>
      <c r="AR110" s="322"/>
      <c r="AS110" s="322"/>
      <c r="AT110" s="67"/>
      <c r="AU110" s="322"/>
      <c r="AV110" s="67"/>
      <c r="AW110" s="67"/>
      <c r="AX110" s="67"/>
      <c r="AY110" s="323"/>
      <c r="AZ110" s="65"/>
      <c r="BA110" s="65"/>
      <c r="BB110" s="65"/>
      <c r="BC110" s="72"/>
      <c r="BD110" s="59"/>
    </row>
    <row r="111" spans="2:56" ht="12.95" customHeight="1" x14ac:dyDescent="0.15">
      <c r="B111" s="632"/>
      <c r="C111" s="1230"/>
      <c r="D111" s="1231"/>
      <c r="E111" s="1231"/>
      <c r="F111" s="1232"/>
      <c r="G111" s="1233"/>
      <c r="H111" s="1234"/>
      <c r="I111" s="1272"/>
      <c r="J111" s="1273"/>
      <c r="K111" s="1273"/>
      <c r="L111" s="1273"/>
      <c r="M111" s="1273"/>
      <c r="N111" s="1274"/>
      <c r="O111" s="89" t="s">
        <v>91</v>
      </c>
      <c r="P111" s="82"/>
      <c r="Q111" s="82"/>
      <c r="R111" s="82"/>
      <c r="S111" s="81"/>
      <c r="T111" s="67"/>
      <c r="U111" s="67"/>
      <c r="V111" s="322"/>
      <c r="W111" s="67"/>
      <c r="X111" s="322"/>
      <c r="Y111" s="322"/>
      <c r="Z111" s="322"/>
      <c r="AA111" s="322"/>
      <c r="AB111" s="322"/>
      <c r="AC111" s="322"/>
      <c r="AD111" s="67"/>
      <c r="AE111" s="322"/>
      <c r="AF111" s="67"/>
      <c r="AG111" s="67"/>
      <c r="AH111" s="67"/>
      <c r="AI111" s="67"/>
      <c r="AJ111" s="322"/>
      <c r="AK111" s="322"/>
      <c r="AL111" s="322"/>
      <c r="AM111" s="67"/>
      <c r="AN111" s="322"/>
      <c r="AO111" s="322"/>
      <c r="AP111" s="322"/>
      <c r="AQ111" s="322"/>
      <c r="AR111" s="322"/>
      <c r="AS111" s="322"/>
      <c r="AT111" s="67"/>
      <c r="AU111" s="322"/>
      <c r="AV111" s="67"/>
      <c r="AW111" s="67"/>
      <c r="AX111" s="67"/>
      <c r="AY111" s="323"/>
      <c r="AZ111" s="64"/>
      <c r="BA111" s="65"/>
      <c r="BB111" s="65"/>
      <c r="BC111" s="72"/>
      <c r="BD111" s="59"/>
    </row>
    <row r="112" spans="2:56" ht="12.95" customHeight="1" x14ac:dyDescent="0.15">
      <c r="B112" s="632"/>
      <c r="C112" s="633"/>
      <c r="D112" s="60"/>
      <c r="E112" s="60"/>
      <c r="F112" s="61"/>
      <c r="G112" s="62"/>
      <c r="H112" s="63"/>
      <c r="I112" s="1272"/>
      <c r="J112" s="1273"/>
      <c r="K112" s="1273"/>
      <c r="L112" s="1273"/>
      <c r="M112" s="1273"/>
      <c r="N112" s="1274"/>
      <c r="O112" s="90" t="s">
        <v>92</v>
      </c>
      <c r="P112" s="67"/>
      <c r="Q112" s="67"/>
      <c r="R112" s="67"/>
      <c r="S112" s="81"/>
      <c r="T112" s="67"/>
      <c r="U112" s="82"/>
      <c r="V112" s="82"/>
      <c r="W112" s="83"/>
      <c r="X112" s="84"/>
      <c r="Y112" s="296"/>
      <c r="Z112" s="82"/>
      <c r="AA112" s="82"/>
      <c r="AB112" s="82"/>
      <c r="AC112" s="82"/>
      <c r="AD112" s="82"/>
      <c r="AE112" s="82"/>
      <c r="AF112" s="82"/>
      <c r="AG112" s="82"/>
      <c r="AH112" s="82"/>
      <c r="AI112" s="295"/>
      <c r="AJ112" s="296"/>
      <c r="AK112" s="296"/>
      <c r="AL112" s="82"/>
      <c r="AM112" s="295"/>
      <c r="AN112" s="296"/>
      <c r="AO112" s="296"/>
      <c r="AP112" s="82"/>
      <c r="AQ112" s="82"/>
      <c r="AR112" s="82"/>
      <c r="AS112" s="82"/>
      <c r="AT112" s="82"/>
      <c r="AU112" s="82"/>
      <c r="AV112" s="82"/>
      <c r="AW112" s="82"/>
      <c r="AX112" s="82"/>
      <c r="AY112" s="85"/>
      <c r="AZ112" s="86"/>
      <c r="BA112" s="87"/>
      <c r="BB112" s="87"/>
      <c r="BC112" s="88"/>
      <c r="BD112" s="59"/>
    </row>
    <row r="113" spans="2:56" ht="12.95" customHeight="1" x14ac:dyDescent="0.15">
      <c r="B113" s="632"/>
      <c r="C113" s="1230"/>
      <c r="D113" s="1231"/>
      <c r="E113" s="1231"/>
      <c r="F113" s="1232"/>
      <c r="G113" s="1233"/>
      <c r="H113" s="1234"/>
      <c r="I113" s="64"/>
      <c r="J113" s="65"/>
      <c r="K113" s="65"/>
      <c r="L113" s="65"/>
      <c r="M113" s="65"/>
      <c r="N113" s="66"/>
      <c r="O113" s="90"/>
      <c r="P113" s="67"/>
      <c r="Q113" s="67" t="s">
        <v>93</v>
      </c>
      <c r="R113" s="67"/>
      <c r="S113" s="81"/>
      <c r="T113" s="67"/>
      <c r="U113" s="67"/>
      <c r="V113" s="322"/>
      <c r="W113" s="67"/>
      <c r="X113" s="322"/>
      <c r="Y113" s="322"/>
      <c r="Z113" s="322"/>
      <c r="AA113" s="322"/>
      <c r="AB113" s="322"/>
      <c r="AC113" s="322"/>
      <c r="AD113" s="67"/>
      <c r="AE113" s="322"/>
      <c r="AF113" s="67"/>
      <c r="AG113" s="67"/>
      <c r="AH113" s="67"/>
      <c r="AI113" s="67"/>
      <c r="AJ113" s="322"/>
      <c r="AK113" s="322"/>
      <c r="AL113" s="322"/>
      <c r="AM113" s="67"/>
      <c r="AN113" s="322"/>
      <c r="AO113" s="322"/>
      <c r="AP113" s="322"/>
      <c r="AQ113" s="322"/>
      <c r="AR113" s="322"/>
      <c r="AS113" s="322"/>
      <c r="AT113" s="67"/>
      <c r="AU113" s="322"/>
      <c r="AV113" s="67"/>
      <c r="AW113" s="67"/>
      <c r="AX113" s="67"/>
      <c r="AY113" s="323"/>
      <c r="AZ113" s="64"/>
      <c r="BA113" s="65"/>
      <c r="BB113" s="65"/>
      <c r="BC113" s="72"/>
      <c r="BD113" s="59"/>
    </row>
    <row r="114" spans="2:56" ht="12.95" customHeight="1" x14ac:dyDescent="0.15">
      <c r="B114" s="632"/>
      <c r="C114" s="1285">
        <v>45539</v>
      </c>
      <c r="D114" s="1286"/>
      <c r="E114" s="1286"/>
      <c r="F114" s="1287"/>
      <c r="G114" s="1283">
        <v>1.3</v>
      </c>
      <c r="H114" s="1284"/>
      <c r="I114" s="477"/>
      <c r="J114" s="478"/>
      <c r="K114" s="478"/>
      <c r="L114" s="478"/>
      <c r="M114" s="478"/>
      <c r="N114" s="479"/>
      <c r="O114" s="351" t="s">
        <v>94</v>
      </c>
      <c r="P114" s="76"/>
      <c r="Q114" s="76"/>
      <c r="R114" s="76"/>
      <c r="S114" s="77"/>
      <c r="T114" s="76"/>
      <c r="U114" s="76"/>
      <c r="V114" s="78"/>
      <c r="W114" s="76"/>
      <c r="X114" s="78"/>
      <c r="Y114" s="78"/>
      <c r="Z114" s="78"/>
      <c r="AA114" s="78"/>
      <c r="AB114" s="78"/>
      <c r="AC114" s="78"/>
      <c r="AD114" s="76"/>
      <c r="AE114" s="78"/>
      <c r="AF114" s="76"/>
      <c r="AG114" s="76"/>
      <c r="AH114" s="76"/>
      <c r="AI114" s="76"/>
      <c r="AJ114" s="78"/>
      <c r="AK114" s="78"/>
      <c r="AL114" s="78"/>
      <c r="AM114" s="76"/>
      <c r="AN114" s="78"/>
      <c r="AO114" s="78"/>
      <c r="AP114" s="78"/>
      <c r="AQ114" s="78"/>
      <c r="AR114" s="78"/>
      <c r="AS114" s="78"/>
      <c r="AT114" s="76"/>
      <c r="AU114" s="78"/>
      <c r="AV114" s="76"/>
      <c r="AW114" s="76"/>
      <c r="AX114" s="76"/>
      <c r="AY114" s="79"/>
      <c r="AZ114" s="73" t="s">
        <v>25</v>
      </c>
      <c r="BA114" s="74"/>
      <c r="BB114" s="74"/>
      <c r="BC114" s="80"/>
      <c r="BD114" s="59"/>
    </row>
    <row r="115" spans="2:56" ht="12.95" customHeight="1" x14ac:dyDescent="0.15">
      <c r="B115" s="632"/>
      <c r="C115" s="633"/>
      <c r="D115" s="332"/>
      <c r="E115" s="332"/>
      <c r="F115" s="333"/>
      <c r="G115" s="334"/>
      <c r="H115" s="335"/>
      <c r="I115" s="326"/>
      <c r="J115" s="327"/>
      <c r="K115" s="327"/>
      <c r="L115" s="327"/>
      <c r="M115" s="327"/>
      <c r="N115" s="328"/>
      <c r="O115" s="89" t="s">
        <v>95</v>
      </c>
      <c r="P115" s="82"/>
      <c r="Q115" s="82"/>
      <c r="R115" s="82"/>
      <c r="S115" s="82"/>
      <c r="T115" s="82"/>
      <c r="U115" s="82"/>
      <c r="V115" s="82"/>
      <c r="W115" s="83"/>
      <c r="X115" s="84"/>
      <c r="Y115" s="84"/>
      <c r="Z115" s="82"/>
      <c r="AA115" s="82"/>
      <c r="AB115" s="82"/>
      <c r="AC115" s="82"/>
      <c r="AD115" s="82"/>
      <c r="AE115" s="82"/>
      <c r="AF115" s="82"/>
      <c r="AG115" s="82"/>
      <c r="AH115" s="82"/>
      <c r="AI115" s="83"/>
      <c r="AJ115" s="84"/>
      <c r="AK115" s="84"/>
      <c r="AL115" s="82"/>
      <c r="AM115" s="83"/>
      <c r="AN115" s="84"/>
      <c r="AO115" s="84"/>
      <c r="AP115" s="82"/>
      <c r="AQ115" s="82"/>
      <c r="AR115" s="82"/>
      <c r="AS115" s="82"/>
      <c r="AT115" s="67"/>
      <c r="AU115" s="322"/>
      <c r="AV115" s="67"/>
      <c r="AW115" s="67"/>
      <c r="AX115" s="67"/>
      <c r="AY115" s="323"/>
      <c r="AZ115" s="326"/>
      <c r="BA115" s="327"/>
      <c r="BB115" s="327"/>
      <c r="BC115" s="336"/>
      <c r="BD115" s="59"/>
    </row>
    <row r="116" spans="2:56" ht="12.95" customHeight="1" x14ac:dyDescent="0.15">
      <c r="B116" s="632"/>
      <c r="C116" s="633"/>
      <c r="D116" s="60"/>
      <c r="E116" s="60"/>
      <c r="F116" s="61"/>
      <c r="G116" s="62"/>
      <c r="H116" s="63"/>
      <c r="I116" s="326"/>
      <c r="J116" s="327"/>
      <c r="K116" s="327"/>
      <c r="L116" s="327"/>
      <c r="M116" s="327"/>
      <c r="N116" s="328"/>
      <c r="O116" s="89"/>
      <c r="P116" s="82" t="s">
        <v>96</v>
      </c>
      <c r="Q116" s="82"/>
      <c r="R116" s="82"/>
      <c r="S116" s="82"/>
      <c r="T116" s="82"/>
      <c r="U116" s="82"/>
      <c r="V116" s="82"/>
      <c r="W116" s="83"/>
      <c r="X116" s="84"/>
      <c r="Y116" s="84"/>
      <c r="Z116" s="82"/>
      <c r="AA116" s="82"/>
      <c r="AB116" s="82"/>
      <c r="AC116" s="82"/>
      <c r="AD116" s="82"/>
      <c r="AE116" s="82"/>
      <c r="AF116" s="82"/>
      <c r="AG116" s="82"/>
      <c r="AH116" s="82"/>
      <c r="AI116" s="83"/>
      <c r="AJ116" s="84"/>
      <c r="AK116" s="84"/>
      <c r="AL116" s="82"/>
      <c r="AM116" s="83"/>
      <c r="AN116" s="84"/>
      <c r="AO116" s="84"/>
      <c r="AP116" s="82"/>
      <c r="AQ116" s="82"/>
      <c r="AR116" s="82"/>
      <c r="AS116" s="82"/>
      <c r="AT116" s="82"/>
      <c r="AU116" s="82"/>
      <c r="AV116" s="82"/>
      <c r="AW116" s="82"/>
      <c r="AX116" s="82"/>
      <c r="AY116" s="85"/>
      <c r="AZ116" s="329"/>
      <c r="BA116" s="330"/>
      <c r="BB116" s="330"/>
      <c r="BC116" s="331"/>
      <c r="BD116" s="59"/>
    </row>
    <row r="117" spans="2:56" ht="12.95" customHeight="1" x14ac:dyDescent="0.15">
      <c r="B117" s="632"/>
      <c r="C117" s="633"/>
      <c r="D117" s="60"/>
      <c r="E117" s="60"/>
      <c r="F117" s="61"/>
      <c r="G117" s="62"/>
      <c r="H117" s="63"/>
      <c r="I117" s="64"/>
      <c r="J117" s="65"/>
      <c r="K117" s="65"/>
      <c r="L117" s="65"/>
      <c r="M117" s="65"/>
      <c r="N117" s="66"/>
      <c r="O117" s="90"/>
      <c r="P117" s="67" t="s">
        <v>97</v>
      </c>
      <c r="Q117" s="67"/>
      <c r="R117" s="67"/>
      <c r="S117" s="81"/>
      <c r="T117" s="67"/>
      <c r="U117" s="82"/>
      <c r="V117" s="82"/>
      <c r="W117" s="83"/>
      <c r="X117" s="84"/>
      <c r="Y117" s="84"/>
      <c r="Z117" s="82"/>
      <c r="AA117" s="82"/>
      <c r="AB117" s="82"/>
      <c r="AC117" s="82"/>
      <c r="AD117" s="82"/>
      <c r="AE117" s="82"/>
      <c r="AF117" s="82"/>
      <c r="AG117" s="82"/>
      <c r="AH117" s="82"/>
      <c r="AI117" s="83"/>
      <c r="AJ117" s="84"/>
      <c r="AK117" s="84"/>
      <c r="AL117" s="82"/>
      <c r="AM117" s="83"/>
      <c r="AN117" s="84"/>
      <c r="AO117" s="84"/>
      <c r="AP117" s="82"/>
      <c r="AQ117" s="322"/>
      <c r="AR117" s="322"/>
      <c r="AS117" s="322"/>
      <c r="AT117" s="82"/>
      <c r="AU117" s="82"/>
      <c r="AV117" s="82"/>
      <c r="AW117" s="82"/>
      <c r="AX117" s="82"/>
      <c r="AY117" s="85"/>
      <c r="AZ117" s="86"/>
      <c r="BA117" s="87"/>
      <c r="BB117" s="87"/>
      <c r="BC117" s="88"/>
      <c r="BD117" s="59"/>
    </row>
    <row r="118" spans="2:56" ht="12.95" customHeight="1" x14ac:dyDescent="0.15">
      <c r="B118" s="632"/>
      <c r="C118" s="1230"/>
      <c r="D118" s="1231"/>
      <c r="E118" s="1231"/>
      <c r="F118" s="1232"/>
      <c r="G118" s="1233"/>
      <c r="H118" s="1234"/>
      <c r="I118" s="64"/>
      <c r="J118" s="65"/>
      <c r="K118" s="65"/>
      <c r="L118" s="65"/>
      <c r="M118" s="65"/>
      <c r="N118" s="66"/>
      <c r="O118" s="67"/>
      <c r="P118" s="67" t="s">
        <v>98</v>
      </c>
      <c r="Q118" s="67"/>
      <c r="R118" s="67"/>
      <c r="S118" s="81"/>
      <c r="T118" s="67"/>
      <c r="U118" s="67"/>
      <c r="V118" s="322"/>
      <c r="W118" s="67"/>
      <c r="X118" s="322"/>
      <c r="Y118" s="322"/>
      <c r="Z118" s="322"/>
      <c r="AA118" s="322"/>
      <c r="AB118" s="322"/>
      <c r="AC118" s="322"/>
      <c r="AD118" s="67"/>
      <c r="AE118" s="322"/>
      <c r="AF118" s="67"/>
      <c r="AG118" s="67"/>
      <c r="AH118" s="67"/>
      <c r="AI118" s="67"/>
      <c r="AJ118" s="322"/>
      <c r="AK118" s="84"/>
      <c r="AL118" s="322"/>
      <c r="AM118" s="67"/>
      <c r="AN118" s="322"/>
      <c r="AO118" s="322"/>
      <c r="AP118" s="322"/>
      <c r="AQ118" s="82"/>
      <c r="AR118" s="82"/>
      <c r="AS118" s="82"/>
      <c r="AT118" s="67"/>
      <c r="AU118" s="322"/>
      <c r="AV118" s="67"/>
      <c r="AW118" s="67"/>
      <c r="AX118" s="67"/>
      <c r="AY118" s="323"/>
      <c r="AZ118" s="64"/>
      <c r="BA118" s="65"/>
      <c r="BB118" s="65"/>
      <c r="BC118" s="72"/>
      <c r="BD118" s="59"/>
    </row>
    <row r="119" spans="2:56" ht="12.95" customHeight="1" x14ac:dyDescent="0.15">
      <c r="B119" s="632"/>
      <c r="C119" s="1285">
        <v>45548</v>
      </c>
      <c r="D119" s="1286"/>
      <c r="E119" s="1286"/>
      <c r="F119" s="1287"/>
      <c r="G119" s="1283">
        <v>1.4</v>
      </c>
      <c r="H119" s="1284"/>
      <c r="I119" s="73"/>
      <c r="J119" s="74"/>
      <c r="K119" s="74"/>
      <c r="L119" s="74"/>
      <c r="M119" s="74"/>
      <c r="N119" s="350"/>
      <c r="O119" s="75" t="s">
        <v>27</v>
      </c>
      <c r="P119" s="76"/>
      <c r="Q119" s="76"/>
      <c r="R119" s="76"/>
      <c r="S119" s="77"/>
      <c r="T119" s="76"/>
      <c r="U119" s="485"/>
      <c r="V119" s="485"/>
      <c r="W119" s="486"/>
      <c r="X119" s="487"/>
      <c r="Y119" s="487"/>
      <c r="Z119" s="485"/>
      <c r="AA119" s="485"/>
      <c r="AB119" s="485"/>
      <c r="AC119" s="485"/>
      <c r="AD119" s="485"/>
      <c r="AE119" s="485"/>
      <c r="AF119" s="485"/>
      <c r="AG119" s="485"/>
      <c r="AH119" s="485"/>
      <c r="AI119" s="486"/>
      <c r="AJ119" s="487"/>
      <c r="AK119" s="487"/>
      <c r="AL119" s="485"/>
      <c r="AM119" s="486"/>
      <c r="AN119" s="487"/>
      <c r="AO119" s="487"/>
      <c r="AP119" s="485"/>
      <c r="AQ119" s="78"/>
      <c r="AR119" s="78"/>
      <c r="AS119" s="78"/>
      <c r="AT119" s="485"/>
      <c r="AU119" s="485"/>
      <c r="AV119" s="485"/>
      <c r="AW119" s="485"/>
      <c r="AX119" s="485"/>
      <c r="AY119" s="488"/>
      <c r="AZ119" s="489" t="s">
        <v>25</v>
      </c>
      <c r="BA119" s="490"/>
      <c r="BB119" s="490"/>
      <c r="BC119" s="491"/>
      <c r="BD119" s="59"/>
    </row>
    <row r="120" spans="2:56" ht="12.95" customHeight="1" x14ac:dyDescent="0.15">
      <c r="B120" s="632"/>
      <c r="C120" s="1230"/>
      <c r="D120" s="1231"/>
      <c r="E120" s="1231"/>
      <c r="F120" s="1232"/>
      <c r="G120" s="1233"/>
      <c r="H120" s="1234"/>
      <c r="I120" s="64"/>
      <c r="J120" s="65"/>
      <c r="K120" s="65"/>
      <c r="L120" s="65"/>
      <c r="M120" s="65"/>
      <c r="N120" s="66"/>
      <c r="O120" s="89" t="s">
        <v>99</v>
      </c>
      <c r="P120" s="82"/>
      <c r="Q120" s="82"/>
      <c r="R120" s="67"/>
      <c r="S120" s="81"/>
      <c r="T120" s="67"/>
      <c r="U120" s="67"/>
      <c r="V120" s="322"/>
      <c r="W120" s="67"/>
      <c r="X120" s="322"/>
      <c r="Y120" s="322"/>
      <c r="Z120" s="322"/>
      <c r="AA120" s="322"/>
      <c r="AB120" s="322"/>
      <c r="AC120" s="322"/>
      <c r="AD120" s="67"/>
      <c r="AE120" s="322"/>
      <c r="AF120" s="67"/>
      <c r="AG120" s="67"/>
      <c r="AH120" s="67"/>
      <c r="AI120" s="67"/>
      <c r="AJ120" s="322"/>
      <c r="AK120" s="322"/>
      <c r="AL120" s="322"/>
      <c r="AM120" s="67"/>
      <c r="AN120" s="322"/>
      <c r="AO120" s="322"/>
      <c r="AP120" s="322"/>
      <c r="AQ120" s="82"/>
      <c r="AR120" s="82"/>
      <c r="AS120" s="82"/>
      <c r="AT120" s="67"/>
      <c r="AU120" s="322"/>
      <c r="AV120" s="67"/>
      <c r="AW120" s="67"/>
      <c r="AX120" s="67"/>
      <c r="AY120" s="323"/>
      <c r="AZ120" s="64"/>
      <c r="BA120" s="65"/>
      <c r="BB120" s="65"/>
      <c r="BC120" s="72"/>
      <c r="BD120" s="59"/>
    </row>
    <row r="121" spans="2:56" ht="12.95" customHeight="1" x14ac:dyDescent="0.15">
      <c r="B121" s="632"/>
      <c r="C121" s="633"/>
      <c r="D121" s="60"/>
      <c r="E121" s="60"/>
      <c r="F121" s="61"/>
      <c r="G121" s="62"/>
      <c r="H121" s="63"/>
      <c r="I121" s="64"/>
      <c r="J121" s="65"/>
      <c r="K121" s="65"/>
      <c r="L121" s="65"/>
      <c r="M121" s="65"/>
      <c r="N121" s="66"/>
      <c r="O121" s="67" t="s">
        <v>100</v>
      </c>
      <c r="P121" s="67"/>
      <c r="Q121" s="67"/>
      <c r="R121" s="67"/>
      <c r="S121" s="81"/>
      <c r="T121" s="67"/>
      <c r="U121" s="82"/>
      <c r="V121" s="82"/>
      <c r="W121" s="83"/>
      <c r="X121" s="84"/>
      <c r="Y121" s="84"/>
      <c r="Z121" s="82"/>
      <c r="AA121" s="82"/>
      <c r="AB121" s="82"/>
      <c r="AC121" s="82"/>
      <c r="AD121" s="82"/>
      <c r="AE121" s="82"/>
      <c r="AF121" s="82"/>
      <c r="AG121" s="82"/>
      <c r="AH121" s="82"/>
      <c r="AI121" s="83"/>
      <c r="AJ121" s="84"/>
      <c r="AK121" s="84"/>
      <c r="AL121" s="82"/>
      <c r="AM121" s="83"/>
      <c r="AN121" s="84"/>
      <c r="AO121" s="84"/>
      <c r="AP121" s="82"/>
      <c r="AQ121" s="322"/>
      <c r="AR121" s="322"/>
      <c r="AS121" s="322"/>
      <c r="AT121" s="82"/>
      <c r="AU121" s="82"/>
      <c r="AV121" s="82"/>
      <c r="AW121" s="82"/>
      <c r="AX121" s="82"/>
      <c r="AY121" s="85"/>
      <c r="AZ121" s="86"/>
      <c r="BA121" s="87"/>
      <c r="BB121" s="87"/>
      <c r="BC121" s="88"/>
      <c r="BD121" s="59"/>
    </row>
    <row r="122" spans="2:56" ht="12.95" customHeight="1" x14ac:dyDescent="0.15">
      <c r="B122" s="632"/>
      <c r="C122" s="1230"/>
      <c r="D122" s="1231"/>
      <c r="E122" s="1231"/>
      <c r="F122" s="1232"/>
      <c r="G122" s="1233"/>
      <c r="H122" s="1234"/>
      <c r="I122" s="64"/>
      <c r="J122" s="65"/>
      <c r="K122" s="65"/>
      <c r="L122" s="65"/>
      <c r="M122" s="65"/>
      <c r="N122" s="66"/>
      <c r="O122" s="67" t="s">
        <v>101</v>
      </c>
      <c r="P122" s="67"/>
      <c r="Q122" s="67"/>
      <c r="R122" s="67"/>
      <c r="S122" s="81"/>
      <c r="T122" s="67"/>
      <c r="U122" s="67"/>
      <c r="V122" s="322"/>
      <c r="W122" s="67"/>
      <c r="X122" s="322"/>
      <c r="Y122" s="322"/>
      <c r="Z122" s="322"/>
      <c r="AA122" s="322"/>
      <c r="AB122" s="322"/>
      <c r="AC122" s="322"/>
      <c r="AD122" s="67"/>
      <c r="AE122" s="322"/>
      <c r="AF122" s="67"/>
      <c r="AG122" s="67"/>
      <c r="AH122" s="67"/>
      <c r="AI122" s="67"/>
      <c r="AJ122" s="322"/>
      <c r="AK122" s="322"/>
      <c r="AL122" s="322"/>
      <c r="AM122" s="67"/>
      <c r="AN122" s="322"/>
      <c r="AO122" s="322"/>
      <c r="AP122" s="322"/>
      <c r="AQ122" s="82"/>
      <c r="AR122" s="82"/>
      <c r="AS122" s="82"/>
      <c r="AT122" s="67"/>
      <c r="AU122" s="322"/>
      <c r="AV122" s="67"/>
      <c r="AW122" s="67"/>
      <c r="AX122" s="67"/>
      <c r="AY122" s="323"/>
      <c r="AZ122" s="64"/>
      <c r="BA122" s="65"/>
      <c r="BB122" s="65"/>
      <c r="BC122" s="72"/>
      <c r="BD122" s="59"/>
    </row>
    <row r="123" spans="2:56" ht="12.95" customHeight="1" x14ac:dyDescent="0.15">
      <c r="B123" s="632"/>
      <c r="C123" s="633"/>
      <c r="D123" s="60"/>
      <c r="E123" s="60"/>
      <c r="F123" s="61"/>
      <c r="G123" s="62"/>
      <c r="H123" s="63"/>
      <c r="I123" s="64"/>
      <c r="J123" s="65"/>
      <c r="K123" s="65"/>
      <c r="L123" s="65"/>
      <c r="M123" s="65"/>
      <c r="N123" s="66"/>
      <c r="O123" s="90" t="s">
        <v>102</v>
      </c>
      <c r="P123" s="67"/>
      <c r="Q123" s="67"/>
      <c r="R123" s="67"/>
      <c r="S123" s="81"/>
      <c r="T123" s="67"/>
      <c r="U123" s="82"/>
      <c r="V123" s="82"/>
      <c r="W123" s="83"/>
      <c r="X123" s="84"/>
      <c r="Y123" s="84"/>
      <c r="Z123" s="82"/>
      <c r="AA123" s="82"/>
      <c r="AB123" s="82"/>
      <c r="AC123" s="82"/>
      <c r="AD123" s="82"/>
      <c r="AE123" s="82"/>
      <c r="AF123" s="82"/>
      <c r="AG123" s="82"/>
      <c r="AH123" s="82"/>
      <c r="AI123" s="83"/>
      <c r="AJ123" s="84"/>
      <c r="AK123" s="84"/>
      <c r="AL123" s="82"/>
      <c r="AM123" s="83"/>
      <c r="AN123" s="84"/>
      <c r="AO123" s="84"/>
      <c r="AP123" s="82"/>
      <c r="AQ123" s="322"/>
      <c r="AR123" s="322"/>
      <c r="AS123" s="322"/>
      <c r="AT123" s="82"/>
      <c r="AU123" s="82"/>
      <c r="AV123" s="82"/>
      <c r="AW123" s="82"/>
      <c r="AX123" s="82"/>
      <c r="AY123" s="85"/>
      <c r="AZ123" s="86"/>
      <c r="BA123" s="87"/>
      <c r="BB123" s="87"/>
      <c r="BC123" s="88"/>
      <c r="BD123" s="59"/>
    </row>
    <row r="124" spans="2:56" ht="12.95" customHeight="1" x14ac:dyDescent="0.15">
      <c r="B124" s="632"/>
      <c r="C124" s="1230"/>
      <c r="D124" s="1231"/>
      <c r="E124" s="1231"/>
      <c r="F124" s="1232"/>
      <c r="G124" s="1233"/>
      <c r="H124" s="1234"/>
      <c r="I124" s="64"/>
      <c r="J124" s="65"/>
      <c r="K124" s="65"/>
      <c r="L124" s="65"/>
      <c r="M124" s="65"/>
      <c r="N124" s="66"/>
      <c r="O124" s="67" t="s">
        <v>103</v>
      </c>
      <c r="P124" s="67"/>
      <c r="Q124" s="67"/>
      <c r="R124" s="67"/>
      <c r="S124" s="81"/>
      <c r="T124" s="67"/>
      <c r="U124" s="67"/>
      <c r="V124" s="322"/>
      <c r="W124" s="67"/>
      <c r="X124" s="322"/>
      <c r="Y124" s="322"/>
      <c r="Z124" s="322"/>
      <c r="AA124" s="322"/>
      <c r="AB124" s="322"/>
      <c r="AC124" s="322"/>
      <c r="AD124" s="67"/>
      <c r="AE124" s="322"/>
      <c r="AF124" s="67"/>
      <c r="AG124" s="67"/>
      <c r="AH124" s="67"/>
      <c r="AI124" s="67"/>
      <c r="AJ124" s="322"/>
      <c r="AK124" s="322"/>
      <c r="AL124" s="322"/>
      <c r="AM124" s="67"/>
      <c r="AN124" s="322"/>
      <c r="AO124" s="322"/>
      <c r="AP124" s="322"/>
      <c r="AQ124" s="82"/>
      <c r="AR124" s="82"/>
      <c r="AS124" s="82"/>
      <c r="AT124" s="67"/>
      <c r="AU124" s="322"/>
      <c r="AV124" s="67"/>
      <c r="AW124" s="67"/>
      <c r="AX124" s="67"/>
      <c r="AY124" s="323"/>
      <c r="AZ124" s="64"/>
      <c r="BA124" s="65"/>
      <c r="BB124" s="65"/>
      <c r="BC124" s="72"/>
      <c r="BD124" s="59"/>
    </row>
    <row r="125" spans="2:56" ht="12.95" customHeight="1" x14ac:dyDescent="0.15">
      <c r="B125" s="632"/>
      <c r="C125" s="633"/>
      <c r="D125" s="60"/>
      <c r="E125" s="60"/>
      <c r="F125" s="61"/>
      <c r="G125" s="62"/>
      <c r="H125" s="63"/>
      <c r="I125" s="64"/>
      <c r="J125" s="65"/>
      <c r="K125" s="65"/>
      <c r="L125" s="65"/>
      <c r="M125" s="65"/>
      <c r="N125" s="66"/>
      <c r="O125" s="90" t="s">
        <v>102</v>
      </c>
      <c r="P125" s="67"/>
      <c r="Q125" s="67"/>
      <c r="R125" s="67"/>
      <c r="S125" s="81"/>
      <c r="T125" s="67"/>
      <c r="U125" s="82"/>
      <c r="V125" s="82"/>
      <c r="W125" s="83"/>
      <c r="X125" s="84"/>
      <c r="Y125" s="84"/>
      <c r="Z125" s="82"/>
      <c r="AA125" s="82"/>
      <c r="AB125" s="82"/>
      <c r="AC125" s="82"/>
      <c r="AD125" s="82"/>
      <c r="AE125" s="82"/>
      <c r="AF125" s="82"/>
      <c r="AG125" s="82"/>
      <c r="AH125" s="82"/>
      <c r="AI125" s="83"/>
      <c r="AJ125" s="84"/>
      <c r="AK125" s="84"/>
      <c r="AL125" s="82"/>
      <c r="AM125" s="83"/>
      <c r="AN125" s="84"/>
      <c r="AO125" s="84"/>
      <c r="AP125" s="82"/>
      <c r="AQ125" s="322"/>
      <c r="AR125" s="322"/>
      <c r="AS125" s="322"/>
      <c r="AT125" s="82"/>
      <c r="AU125" s="82"/>
      <c r="AV125" s="82"/>
      <c r="AW125" s="82"/>
      <c r="AX125" s="82"/>
      <c r="AY125" s="85"/>
      <c r="AZ125" s="86"/>
      <c r="BA125" s="87"/>
      <c r="BB125" s="87"/>
      <c r="BC125" s="88"/>
      <c r="BD125" s="59"/>
    </row>
    <row r="126" spans="2:56" ht="12.95" customHeight="1" x14ac:dyDescent="0.15">
      <c r="B126" s="632"/>
      <c r="C126" s="1285">
        <v>45590</v>
      </c>
      <c r="D126" s="1286"/>
      <c r="E126" s="1286"/>
      <c r="F126" s="1287"/>
      <c r="G126" s="1283">
        <v>1.5</v>
      </c>
      <c r="H126" s="1284"/>
      <c r="I126" s="73"/>
      <c r="J126" s="74"/>
      <c r="K126" s="74"/>
      <c r="L126" s="74"/>
      <c r="M126" s="74"/>
      <c r="N126" s="350"/>
      <c r="O126" s="75" t="s">
        <v>104</v>
      </c>
      <c r="P126" s="76"/>
      <c r="Q126" s="76"/>
      <c r="R126" s="76"/>
      <c r="S126" s="77"/>
      <c r="T126" s="76"/>
      <c r="U126" s="485"/>
      <c r="V126" s="485"/>
      <c r="W126" s="486"/>
      <c r="X126" s="487"/>
      <c r="Y126" s="487"/>
      <c r="Z126" s="485"/>
      <c r="AA126" s="485"/>
      <c r="AB126" s="485"/>
      <c r="AC126" s="485"/>
      <c r="AD126" s="485"/>
      <c r="AE126" s="485"/>
      <c r="AF126" s="485"/>
      <c r="AG126" s="485"/>
      <c r="AH126" s="485"/>
      <c r="AI126" s="486"/>
      <c r="AJ126" s="487"/>
      <c r="AK126" s="487"/>
      <c r="AL126" s="485"/>
      <c r="AM126" s="486"/>
      <c r="AN126" s="487"/>
      <c r="AO126" s="487"/>
      <c r="AP126" s="485"/>
      <c r="AQ126" s="78"/>
      <c r="AR126" s="78"/>
      <c r="AS126" s="78"/>
      <c r="AT126" s="485"/>
      <c r="AU126" s="485"/>
      <c r="AV126" s="485"/>
      <c r="AW126" s="485"/>
      <c r="AX126" s="485"/>
      <c r="AY126" s="488"/>
      <c r="AZ126" s="489" t="s">
        <v>25</v>
      </c>
      <c r="BA126" s="490"/>
      <c r="BB126" s="490"/>
      <c r="BC126" s="491"/>
      <c r="BD126" s="59"/>
    </row>
    <row r="127" spans="2:56" ht="12.95" customHeight="1" x14ac:dyDescent="0.15">
      <c r="B127" s="632"/>
      <c r="C127" s="1230"/>
      <c r="D127" s="1231"/>
      <c r="E127" s="1231"/>
      <c r="F127" s="1232"/>
      <c r="G127" s="1233"/>
      <c r="H127" s="1234"/>
      <c r="I127" s="64"/>
      <c r="J127" s="65"/>
      <c r="K127" s="65"/>
      <c r="L127" s="65"/>
      <c r="M127" s="65"/>
      <c r="N127" s="66"/>
      <c r="O127" s="67" t="s">
        <v>105</v>
      </c>
      <c r="P127" s="67"/>
      <c r="Q127" s="82"/>
      <c r="R127" s="82"/>
      <c r="S127" s="82"/>
      <c r="T127" s="82"/>
      <c r="U127" s="82"/>
      <c r="V127" s="82"/>
      <c r="W127" s="83"/>
      <c r="X127" s="84"/>
      <c r="Y127" s="84"/>
      <c r="Z127" s="82"/>
      <c r="AA127" s="82"/>
      <c r="AB127" s="82"/>
      <c r="AC127" s="82"/>
      <c r="AD127" s="82"/>
      <c r="AE127" s="82"/>
      <c r="AF127" s="82"/>
      <c r="AG127" s="82"/>
      <c r="AH127" s="82"/>
      <c r="AI127" s="83"/>
      <c r="AJ127" s="84"/>
      <c r="AK127" s="84"/>
      <c r="AL127" s="82"/>
      <c r="AM127" s="83"/>
      <c r="AN127" s="84"/>
      <c r="AO127" s="84"/>
      <c r="AP127" s="82"/>
      <c r="AQ127" s="82"/>
      <c r="AR127" s="82"/>
      <c r="AS127" s="82"/>
      <c r="AT127" s="67"/>
      <c r="AU127" s="322"/>
      <c r="AV127" s="67"/>
      <c r="AW127" s="67"/>
      <c r="AX127" s="67"/>
      <c r="AY127" s="323"/>
      <c r="AZ127" s="64"/>
      <c r="BA127" s="65"/>
      <c r="BB127" s="65"/>
      <c r="BC127" s="72"/>
      <c r="BD127" s="59"/>
    </row>
    <row r="128" spans="2:56" ht="12.95" customHeight="1" x14ac:dyDescent="0.15">
      <c r="B128" s="632"/>
      <c r="C128" s="633"/>
      <c r="D128" s="60"/>
      <c r="E128" s="60"/>
      <c r="F128" s="61"/>
      <c r="G128" s="62"/>
      <c r="H128" s="63"/>
      <c r="I128" s="64"/>
      <c r="J128" s="65"/>
      <c r="K128" s="65"/>
      <c r="L128" s="65"/>
      <c r="M128" s="65"/>
      <c r="N128" s="66"/>
      <c r="O128" s="67" t="s">
        <v>106</v>
      </c>
      <c r="P128" s="82"/>
      <c r="Q128" s="67"/>
      <c r="R128" s="67"/>
      <c r="S128" s="81"/>
      <c r="T128" s="67"/>
      <c r="U128" s="67"/>
      <c r="V128" s="322"/>
      <c r="W128" s="67"/>
      <c r="X128" s="322"/>
      <c r="Y128" s="322"/>
      <c r="Z128" s="322"/>
      <c r="AA128" s="322"/>
      <c r="AB128" s="322"/>
      <c r="AC128" s="322"/>
      <c r="AD128" s="67"/>
      <c r="AE128" s="322"/>
      <c r="AF128" s="67"/>
      <c r="AG128" s="67"/>
      <c r="AH128" s="67"/>
      <c r="AI128" s="67"/>
      <c r="AJ128" s="322"/>
      <c r="AK128" s="322"/>
      <c r="AL128" s="322"/>
      <c r="AM128" s="67"/>
      <c r="AN128" s="322"/>
      <c r="AO128" s="322"/>
      <c r="AP128" s="322"/>
      <c r="AQ128" s="322"/>
      <c r="AR128" s="322"/>
      <c r="AS128" s="322"/>
      <c r="AT128" s="82"/>
      <c r="AU128" s="82"/>
      <c r="AV128" s="82"/>
      <c r="AW128" s="82"/>
      <c r="AX128" s="82"/>
      <c r="AY128" s="85"/>
      <c r="AZ128" s="86"/>
      <c r="BA128" s="87"/>
      <c r="BB128" s="87"/>
      <c r="BC128" s="88"/>
      <c r="BD128" s="59"/>
    </row>
    <row r="129" spans="2:56" ht="12.95" customHeight="1" x14ac:dyDescent="0.15">
      <c r="B129" s="632"/>
      <c r="C129" s="1230"/>
      <c r="D129" s="1231"/>
      <c r="E129" s="1231"/>
      <c r="F129" s="1232"/>
      <c r="G129" s="1233"/>
      <c r="H129" s="1234"/>
      <c r="I129" s="64"/>
      <c r="J129" s="65"/>
      <c r="K129" s="65"/>
      <c r="L129" s="65"/>
      <c r="M129" s="65"/>
      <c r="N129" s="66"/>
      <c r="O129" s="67" t="s">
        <v>107</v>
      </c>
      <c r="P129" s="82"/>
      <c r="Q129" s="67"/>
      <c r="R129" s="67"/>
      <c r="S129" s="81"/>
      <c r="T129" s="67"/>
      <c r="U129" s="67"/>
      <c r="V129" s="322"/>
      <c r="W129" s="67"/>
      <c r="X129" s="322"/>
      <c r="Y129" s="322"/>
      <c r="Z129" s="322"/>
      <c r="AA129" s="322"/>
      <c r="AB129" s="322"/>
      <c r="AC129" s="322"/>
      <c r="AD129" s="82"/>
      <c r="AE129" s="82"/>
      <c r="AF129" s="82"/>
      <c r="AG129" s="82"/>
      <c r="AH129" s="82"/>
      <c r="AI129" s="83"/>
      <c r="AJ129" s="84"/>
      <c r="AK129" s="84"/>
      <c r="AL129" s="82"/>
      <c r="AM129" s="83"/>
      <c r="AN129" s="84"/>
      <c r="AO129" s="84"/>
      <c r="AP129" s="82"/>
      <c r="AQ129" s="82"/>
      <c r="AR129" s="82"/>
      <c r="AS129" s="82"/>
      <c r="AT129" s="67"/>
      <c r="AU129" s="322"/>
      <c r="AV129" s="67"/>
      <c r="AW129" s="67"/>
      <c r="AX129" s="67"/>
      <c r="AY129" s="323"/>
      <c r="AZ129" s="64"/>
      <c r="BA129" s="65"/>
      <c r="BB129" s="65"/>
      <c r="BC129" s="72"/>
      <c r="BD129" s="59"/>
    </row>
    <row r="130" spans="2:56" ht="12.95" customHeight="1" x14ac:dyDescent="0.15">
      <c r="B130" s="632"/>
      <c r="C130" s="633"/>
      <c r="D130" s="60"/>
      <c r="E130" s="60"/>
      <c r="F130" s="61"/>
      <c r="G130" s="62"/>
      <c r="H130" s="63"/>
      <c r="I130" s="64"/>
      <c r="J130" s="65"/>
      <c r="K130" s="65"/>
      <c r="L130" s="65"/>
      <c r="M130" s="65"/>
      <c r="N130" s="66"/>
      <c r="O130" s="67" t="s">
        <v>108</v>
      </c>
      <c r="P130" s="67"/>
      <c r="Q130" s="67"/>
      <c r="R130" s="67"/>
      <c r="S130" s="82"/>
      <c r="T130" s="82"/>
      <c r="U130" s="82"/>
      <c r="V130" s="82"/>
      <c r="W130" s="83"/>
      <c r="X130" s="84"/>
      <c r="Y130" s="84"/>
      <c r="Z130" s="82"/>
      <c r="AA130" s="82"/>
      <c r="AB130" s="82"/>
      <c r="AC130" s="82"/>
      <c r="AD130" s="67"/>
      <c r="AE130" s="322"/>
      <c r="AF130" s="67"/>
      <c r="AG130" s="67"/>
      <c r="AH130" s="67"/>
      <c r="AI130" s="67"/>
      <c r="AJ130" s="322"/>
      <c r="AK130" s="322"/>
      <c r="AL130" s="322"/>
      <c r="AM130" s="67"/>
      <c r="AN130" s="322"/>
      <c r="AO130" s="322"/>
      <c r="AP130" s="322"/>
      <c r="AQ130" s="322"/>
      <c r="AR130" s="322"/>
      <c r="AS130" s="322"/>
      <c r="AT130" s="82"/>
      <c r="AU130" s="82"/>
      <c r="AV130" s="82"/>
      <c r="AW130" s="82"/>
      <c r="AX130" s="82"/>
      <c r="AY130" s="323"/>
      <c r="AZ130" s="64"/>
      <c r="BA130" s="65"/>
      <c r="BB130" s="65"/>
      <c r="BC130" s="72"/>
      <c r="BD130" s="59"/>
    </row>
    <row r="131" spans="2:56" ht="12.95" customHeight="1" x14ac:dyDescent="0.15">
      <c r="B131" s="632"/>
      <c r="C131" s="1230"/>
      <c r="D131" s="1231"/>
      <c r="E131" s="1231"/>
      <c r="F131" s="1232"/>
      <c r="G131" s="1233"/>
      <c r="H131" s="1234"/>
      <c r="I131" s="64"/>
      <c r="J131" s="65"/>
      <c r="K131" s="65"/>
      <c r="L131" s="65"/>
      <c r="M131" s="65"/>
      <c r="N131" s="66"/>
      <c r="O131" s="67" t="s">
        <v>109</v>
      </c>
      <c r="P131" s="67"/>
      <c r="Q131" s="67"/>
      <c r="R131" s="67"/>
      <c r="S131" s="81"/>
      <c r="T131" s="67"/>
      <c r="U131" s="67"/>
      <c r="V131" s="322"/>
      <c r="W131" s="67"/>
      <c r="X131" s="322"/>
      <c r="Y131" s="322"/>
      <c r="Z131" s="322"/>
      <c r="AA131" s="322"/>
      <c r="AB131" s="322"/>
      <c r="AC131" s="322"/>
      <c r="AD131" s="67"/>
      <c r="AE131" s="322"/>
      <c r="AF131" s="67"/>
      <c r="AG131" s="67"/>
      <c r="AH131" s="67"/>
      <c r="AI131" s="67"/>
      <c r="AJ131" s="322"/>
      <c r="AK131" s="322"/>
      <c r="AL131" s="322"/>
      <c r="AM131" s="67"/>
      <c r="AN131" s="322"/>
      <c r="AO131" s="322"/>
      <c r="AP131" s="322"/>
      <c r="AQ131" s="82"/>
      <c r="AR131" s="82"/>
      <c r="AS131" s="82"/>
      <c r="AT131" s="67"/>
      <c r="AU131" s="322"/>
      <c r="AV131" s="67"/>
      <c r="AW131" s="67"/>
      <c r="AX131" s="67"/>
      <c r="AY131" s="85"/>
      <c r="AZ131" s="86"/>
      <c r="BA131" s="87"/>
      <c r="BB131" s="87"/>
      <c r="BC131" s="88"/>
      <c r="BD131" s="59"/>
    </row>
    <row r="132" spans="2:56" ht="12.95" customHeight="1" x14ac:dyDescent="0.15">
      <c r="B132" s="632"/>
      <c r="C132" s="633"/>
      <c r="D132" s="60"/>
      <c r="E132" s="60"/>
      <c r="F132" s="61"/>
      <c r="G132" s="62"/>
      <c r="H132" s="63"/>
      <c r="I132" s="64"/>
      <c r="J132" s="65"/>
      <c r="K132" s="65"/>
      <c r="L132" s="65"/>
      <c r="M132" s="65"/>
      <c r="N132" s="66"/>
      <c r="O132" s="67" t="s">
        <v>110</v>
      </c>
      <c r="P132" s="67"/>
      <c r="Q132" s="67"/>
      <c r="R132" s="67"/>
      <c r="S132" s="81"/>
      <c r="T132" s="67"/>
      <c r="U132" s="67"/>
      <c r="V132" s="322"/>
      <c r="W132" s="67"/>
      <c r="X132" s="322"/>
      <c r="Y132" s="322"/>
      <c r="Z132" s="322"/>
      <c r="AA132" s="322"/>
      <c r="AB132" s="322"/>
      <c r="AC132" s="322"/>
      <c r="AD132" s="82"/>
      <c r="AE132" s="82"/>
      <c r="AF132" s="82"/>
      <c r="AG132" s="82"/>
      <c r="AH132" s="82"/>
      <c r="AI132" s="83"/>
      <c r="AJ132" s="84"/>
      <c r="AK132" s="84"/>
      <c r="AL132" s="82"/>
      <c r="AM132" s="83"/>
      <c r="AN132" s="84"/>
      <c r="AO132" s="84"/>
      <c r="AP132" s="82"/>
      <c r="AQ132" s="322"/>
      <c r="AR132" s="322"/>
      <c r="AS132" s="322"/>
      <c r="AT132" s="82"/>
      <c r="AU132" s="82"/>
      <c r="AV132" s="82"/>
      <c r="AW132" s="82"/>
      <c r="AX132" s="82"/>
      <c r="AY132" s="323"/>
      <c r="AZ132" s="64"/>
      <c r="BA132" s="65"/>
      <c r="BB132" s="65"/>
      <c r="BC132" s="72"/>
      <c r="BD132" s="59"/>
    </row>
    <row r="133" spans="2:56" ht="12.95" customHeight="1" x14ac:dyDescent="0.15">
      <c r="B133" s="632"/>
      <c r="C133" s="1230"/>
      <c r="D133" s="1231"/>
      <c r="E133" s="1231"/>
      <c r="F133" s="1232"/>
      <c r="G133" s="1233"/>
      <c r="H133" s="1234"/>
      <c r="I133" s="64"/>
      <c r="J133" s="65"/>
      <c r="K133" s="65"/>
      <c r="L133" s="65"/>
      <c r="M133" s="65"/>
      <c r="N133" s="66"/>
      <c r="O133" s="90" t="s">
        <v>111</v>
      </c>
      <c r="P133" s="67"/>
      <c r="Q133" s="67"/>
      <c r="R133" s="67"/>
      <c r="S133" s="81"/>
      <c r="T133" s="67"/>
      <c r="U133" s="82"/>
      <c r="V133" s="82"/>
      <c r="W133" s="83"/>
      <c r="X133" s="84"/>
      <c r="Y133" s="84"/>
      <c r="Z133" s="82"/>
      <c r="AA133" s="82"/>
      <c r="AB133" s="82"/>
      <c r="AC133" s="82"/>
      <c r="AD133" s="67"/>
      <c r="AE133" s="322"/>
      <c r="AF133" s="67"/>
      <c r="AG133" s="67"/>
      <c r="AH133" s="67"/>
      <c r="AI133" s="67"/>
      <c r="AJ133" s="322"/>
      <c r="AK133" s="84"/>
      <c r="AL133" s="322"/>
      <c r="AM133" s="67"/>
      <c r="AN133" s="322"/>
      <c r="AO133" s="322"/>
      <c r="AP133" s="322"/>
      <c r="AQ133" s="82"/>
      <c r="AR133" s="82"/>
      <c r="AS133" s="82"/>
      <c r="AT133" s="67"/>
      <c r="AU133" s="322"/>
      <c r="AV133" s="67"/>
      <c r="AW133" s="67"/>
      <c r="AX133" s="67"/>
      <c r="AY133" s="85"/>
      <c r="AZ133" s="86"/>
      <c r="BA133" s="87"/>
      <c r="BB133" s="87"/>
      <c r="BC133" s="88"/>
      <c r="BD133" s="59"/>
    </row>
    <row r="134" spans="2:56" ht="12.95" customHeight="1" x14ac:dyDescent="0.15">
      <c r="B134" s="632"/>
      <c r="C134" s="633"/>
      <c r="D134" s="60"/>
      <c r="E134" s="60"/>
      <c r="F134" s="61"/>
      <c r="G134" s="62"/>
      <c r="H134" s="63"/>
      <c r="I134" s="64"/>
      <c r="J134" s="65"/>
      <c r="K134" s="65"/>
      <c r="L134" s="65"/>
      <c r="M134" s="65"/>
      <c r="N134" s="66"/>
      <c r="O134" s="67" t="s">
        <v>112</v>
      </c>
      <c r="P134" s="67"/>
      <c r="Q134" s="67"/>
      <c r="R134" s="67"/>
      <c r="S134" s="81"/>
      <c r="T134" s="67"/>
      <c r="U134" s="67"/>
      <c r="V134" s="322"/>
      <c r="W134" s="67"/>
      <c r="X134" s="322"/>
      <c r="Y134" s="322"/>
      <c r="Z134" s="322"/>
      <c r="AA134" s="322"/>
      <c r="AB134" s="322"/>
      <c r="AC134" s="322"/>
      <c r="AD134" s="67"/>
      <c r="AE134" s="322"/>
      <c r="AF134" s="67"/>
      <c r="AG134" s="67"/>
      <c r="AH134" s="67"/>
      <c r="AI134" s="67"/>
      <c r="AJ134" s="322"/>
      <c r="AK134" s="322"/>
      <c r="AL134" s="322"/>
      <c r="AM134" s="67"/>
      <c r="AN134" s="322"/>
      <c r="AO134" s="322"/>
      <c r="AP134" s="322"/>
      <c r="AQ134" s="322"/>
      <c r="AR134" s="322"/>
      <c r="AS134" s="322"/>
      <c r="AT134" s="67"/>
      <c r="AU134" s="322"/>
      <c r="AV134" s="67"/>
      <c r="AW134" s="67"/>
      <c r="AX134" s="67"/>
      <c r="AY134" s="85"/>
      <c r="AZ134" s="86"/>
      <c r="BA134" s="87"/>
      <c r="BB134" s="87"/>
      <c r="BC134" s="88"/>
      <c r="BD134" s="59"/>
    </row>
    <row r="135" spans="2:56" ht="12.95" customHeight="1" x14ac:dyDescent="0.15">
      <c r="B135" s="632"/>
      <c r="C135" s="1230"/>
      <c r="D135" s="1231"/>
      <c r="E135" s="1231"/>
      <c r="F135" s="1232"/>
      <c r="G135" s="1233"/>
      <c r="H135" s="1234"/>
      <c r="I135" s="64"/>
      <c r="J135" s="65"/>
      <c r="K135" s="65"/>
      <c r="L135" s="65"/>
      <c r="M135" s="65"/>
      <c r="N135" s="66"/>
      <c r="O135" s="89" t="s">
        <v>113</v>
      </c>
      <c r="P135" s="82"/>
      <c r="Q135" s="82"/>
      <c r="R135" s="82"/>
      <c r="S135" s="81"/>
      <c r="T135" s="67"/>
      <c r="U135" s="67"/>
      <c r="V135" s="322"/>
      <c r="W135" s="67"/>
      <c r="X135" s="322"/>
      <c r="Y135" s="322"/>
      <c r="Z135" s="322"/>
      <c r="AA135" s="322"/>
      <c r="AB135" s="322"/>
      <c r="AC135" s="322"/>
      <c r="AD135" s="82"/>
      <c r="AE135" s="82"/>
      <c r="AF135" s="82"/>
      <c r="AG135" s="82"/>
      <c r="AH135" s="82"/>
      <c r="AI135" s="83"/>
      <c r="AJ135" s="84"/>
      <c r="AK135" s="84"/>
      <c r="AL135" s="82"/>
      <c r="AM135" s="83"/>
      <c r="AN135" s="84"/>
      <c r="AO135" s="84"/>
      <c r="AP135" s="82"/>
      <c r="AQ135" s="322"/>
      <c r="AR135" s="322"/>
      <c r="AS135" s="322"/>
      <c r="AT135" s="82"/>
      <c r="AU135" s="82"/>
      <c r="AV135" s="82"/>
      <c r="AW135" s="82"/>
      <c r="AX135" s="82"/>
      <c r="AY135" s="323"/>
      <c r="AZ135" s="64"/>
      <c r="BA135" s="65"/>
      <c r="BB135" s="65"/>
      <c r="BC135" s="72"/>
      <c r="BD135" s="59"/>
    </row>
    <row r="136" spans="2:56" ht="12.95" customHeight="1" x14ac:dyDescent="0.15">
      <c r="B136" s="632"/>
      <c r="C136" s="633"/>
      <c r="D136" s="60"/>
      <c r="E136" s="60"/>
      <c r="F136" s="61"/>
      <c r="G136" s="62"/>
      <c r="H136" s="63"/>
      <c r="I136" s="64"/>
      <c r="J136" s="65"/>
      <c r="K136" s="65"/>
      <c r="L136" s="65"/>
      <c r="M136" s="65"/>
      <c r="N136" s="66"/>
      <c r="O136" s="89" t="s">
        <v>114</v>
      </c>
      <c r="P136" s="67"/>
      <c r="Q136" s="67"/>
      <c r="R136" s="67"/>
      <c r="S136" s="81"/>
      <c r="T136" s="67"/>
      <c r="U136" s="82"/>
      <c r="V136" s="82"/>
      <c r="W136" s="83"/>
      <c r="X136" s="84"/>
      <c r="Y136" s="84"/>
      <c r="Z136" s="82"/>
      <c r="AA136" s="82"/>
      <c r="AB136" s="82"/>
      <c r="AC136" s="82"/>
      <c r="AD136" s="67"/>
      <c r="AE136" s="322"/>
      <c r="AF136" s="67"/>
      <c r="AG136" s="67"/>
      <c r="AH136" s="67"/>
      <c r="AI136" s="67"/>
      <c r="AJ136" s="322"/>
      <c r="AK136" s="322"/>
      <c r="AL136" s="322"/>
      <c r="AM136" s="67"/>
      <c r="AN136" s="322"/>
      <c r="AO136" s="322"/>
      <c r="AP136" s="322"/>
      <c r="AQ136" s="322"/>
      <c r="AR136" s="322"/>
      <c r="AS136" s="322"/>
      <c r="AT136" s="67"/>
      <c r="AU136" s="322"/>
      <c r="AV136" s="67"/>
      <c r="AW136" s="67"/>
      <c r="AX136" s="67"/>
      <c r="AY136" s="85"/>
      <c r="AZ136" s="86"/>
      <c r="BA136" s="87"/>
      <c r="BB136" s="87"/>
      <c r="BC136" s="88"/>
      <c r="BD136" s="59"/>
    </row>
    <row r="137" spans="2:56" ht="12.95" customHeight="1" x14ac:dyDescent="0.15">
      <c r="B137" s="632"/>
      <c r="C137" s="633"/>
      <c r="D137" s="60"/>
      <c r="E137" s="60"/>
      <c r="F137" s="61"/>
      <c r="G137" s="62"/>
      <c r="H137" s="63"/>
      <c r="I137" s="64"/>
      <c r="J137" s="65"/>
      <c r="K137" s="65"/>
      <c r="L137" s="65"/>
      <c r="M137" s="65"/>
      <c r="N137" s="66"/>
      <c r="O137" s="90" t="s">
        <v>32</v>
      </c>
      <c r="P137" s="82"/>
      <c r="Q137" s="82"/>
      <c r="R137" s="82"/>
      <c r="S137" s="81"/>
      <c r="T137" s="67"/>
      <c r="U137" s="67"/>
      <c r="V137" s="322"/>
      <c r="W137" s="67"/>
      <c r="X137" s="322"/>
      <c r="Y137" s="322"/>
      <c r="Z137" s="322"/>
      <c r="AA137" s="322"/>
      <c r="AB137" s="322"/>
      <c r="AC137" s="322"/>
      <c r="AD137" s="82"/>
      <c r="AE137" s="82"/>
      <c r="AF137" s="82"/>
      <c r="AG137" s="82"/>
      <c r="AH137" s="82"/>
      <c r="AI137" s="83"/>
      <c r="AJ137" s="84"/>
      <c r="AK137" s="84"/>
      <c r="AL137" s="82"/>
      <c r="AM137" s="83"/>
      <c r="AN137" s="84"/>
      <c r="AO137" s="84"/>
      <c r="AP137" s="82"/>
      <c r="AQ137" s="322"/>
      <c r="AR137" s="322"/>
      <c r="AS137" s="322"/>
      <c r="AT137" s="82"/>
      <c r="AU137" s="82"/>
      <c r="AV137" s="82"/>
      <c r="AW137" s="82"/>
      <c r="AX137" s="82"/>
      <c r="AY137" s="85"/>
      <c r="AZ137" s="86"/>
      <c r="BA137" s="87"/>
      <c r="BB137" s="87"/>
      <c r="BC137" s="88"/>
      <c r="BD137" s="59"/>
    </row>
    <row r="138" spans="2:56" ht="12.95" customHeight="1" x14ac:dyDescent="0.15">
      <c r="B138" s="632"/>
      <c r="C138" s="1230"/>
      <c r="D138" s="1231"/>
      <c r="E138" s="1231"/>
      <c r="F138" s="1232"/>
      <c r="G138" s="1233"/>
      <c r="H138" s="1234"/>
      <c r="I138" s="64"/>
      <c r="J138" s="65"/>
      <c r="K138" s="65"/>
      <c r="L138" s="65"/>
      <c r="M138" s="65"/>
      <c r="N138" s="66"/>
      <c r="O138" s="67" t="s">
        <v>115</v>
      </c>
      <c r="P138" s="67"/>
      <c r="Q138" s="67"/>
      <c r="R138" s="67"/>
      <c r="S138" s="81"/>
      <c r="T138" s="67"/>
      <c r="U138" s="82"/>
      <c r="V138" s="82"/>
      <c r="W138" s="83"/>
      <c r="X138" s="84"/>
      <c r="Y138" s="84"/>
      <c r="Z138" s="82"/>
      <c r="AA138" s="82"/>
      <c r="AB138" s="82"/>
      <c r="AC138" s="82"/>
      <c r="AD138" s="82"/>
      <c r="AE138" s="82"/>
      <c r="AF138" s="82"/>
      <c r="AG138" s="82"/>
      <c r="AH138" s="82"/>
      <c r="AI138" s="83"/>
      <c r="AJ138" s="84"/>
      <c r="AK138" s="84"/>
      <c r="AL138" s="82"/>
      <c r="AM138" s="83"/>
      <c r="AN138" s="84"/>
      <c r="AO138" s="84"/>
      <c r="AP138" s="82"/>
      <c r="AQ138" s="322"/>
      <c r="AR138" s="322"/>
      <c r="AS138" s="322"/>
      <c r="AT138" s="82"/>
      <c r="AU138" s="82"/>
      <c r="AV138" s="82"/>
      <c r="AW138" s="82"/>
      <c r="AX138" s="82"/>
      <c r="AY138" s="323"/>
      <c r="AZ138" s="64"/>
      <c r="BA138" s="65"/>
      <c r="BB138" s="65"/>
      <c r="BC138" s="72"/>
      <c r="BD138" s="59"/>
    </row>
    <row r="139" spans="2:56" ht="12.95" customHeight="1" x14ac:dyDescent="0.15">
      <c r="B139" s="632"/>
      <c r="C139" s="1230"/>
      <c r="D139" s="1231"/>
      <c r="E139" s="1231"/>
      <c r="F139" s="1232"/>
      <c r="G139" s="1233"/>
      <c r="H139" s="1234"/>
      <c r="I139" s="64"/>
      <c r="J139" s="65"/>
      <c r="K139" s="65"/>
      <c r="L139" s="65"/>
      <c r="M139" s="65"/>
      <c r="N139" s="66"/>
      <c r="O139" s="90" t="s">
        <v>35</v>
      </c>
      <c r="P139" s="67"/>
      <c r="Q139" s="67"/>
      <c r="R139" s="67"/>
      <c r="S139" s="81"/>
      <c r="T139" s="67"/>
      <c r="U139" s="82"/>
      <c r="V139" s="82"/>
      <c r="W139" s="83"/>
      <c r="X139" s="84"/>
      <c r="Y139" s="84"/>
      <c r="Z139" s="82"/>
      <c r="AA139" s="82"/>
      <c r="AB139" s="82"/>
      <c r="AC139" s="82"/>
      <c r="AD139" s="82"/>
      <c r="AE139" s="82"/>
      <c r="AF139" s="82"/>
      <c r="AG139" s="82"/>
      <c r="AH139" s="82"/>
      <c r="AI139" s="83"/>
      <c r="AJ139" s="84"/>
      <c r="AK139" s="84"/>
      <c r="AL139" s="82"/>
      <c r="AM139" s="83"/>
      <c r="AN139" s="84"/>
      <c r="AO139" s="84"/>
      <c r="AP139" s="82"/>
      <c r="AQ139" s="82"/>
      <c r="AR139" s="82"/>
      <c r="AS139" s="82"/>
      <c r="AT139" s="67"/>
      <c r="AU139" s="322"/>
      <c r="AV139" s="67"/>
      <c r="AW139" s="67"/>
      <c r="AX139" s="67"/>
      <c r="AY139" s="85"/>
      <c r="AZ139" s="86"/>
      <c r="BA139" s="87"/>
      <c r="BB139" s="87"/>
      <c r="BC139" s="88"/>
      <c r="BD139" s="59"/>
    </row>
    <row r="140" spans="2:56" ht="12.95" customHeight="1" x14ac:dyDescent="0.15">
      <c r="B140" s="632"/>
      <c r="C140" s="633"/>
      <c r="D140" s="60"/>
      <c r="E140" s="60"/>
      <c r="F140" s="61"/>
      <c r="G140" s="62"/>
      <c r="H140" s="63"/>
      <c r="I140" s="64"/>
      <c r="J140" s="65"/>
      <c r="K140" s="65"/>
      <c r="L140" s="65"/>
      <c r="M140" s="65"/>
      <c r="N140" s="66"/>
      <c r="O140" s="67" t="s">
        <v>116</v>
      </c>
      <c r="P140" s="82"/>
      <c r="Q140" s="67"/>
      <c r="R140" s="67"/>
      <c r="S140" s="81"/>
      <c r="T140" s="67"/>
      <c r="U140" s="82"/>
      <c r="V140" s="82"/>
      <c r="W140" s="83"/>
      <c r="X140" s="84"/>
      <c r="Y140" s="84"/>
      <c r="Z140" s="82"/>
      <c r="AA140" s="82"/>
      <c r="AB140" s="82"/>
      <c r="AC140" s="82"/>
      <c r="AD140" s="67"/>
      <c r="AE140" s="322"/>
      <c r="AF140" s="67"/>
      <c r="AG140" s="67"/>
      <c r="AH140" s="67"/>
      <c r="AI140" s="67"/>
      <c r="AJ140" s="322"/>
      <c r="AK140" s="322"/>
      <c r="AL140" s="322"/>
      <c r="AM140" s="67"/>
      <c r="AN140" s="322"/>
      <c r="AO140" s="322"/>
      <c r="AP140" s="322"/>
      <c r="AQ140" s="322"/>
      <c r="AR140" s="322"/>
      <c r="AS140" s="322"/>
      <c r="AT140" s="82"/>
      <c r="AU140" s="82"/>
      <c r="AV140" s="82"/>
      <c r="AW140" s="82"/>
      <c r="AX140" s="82"/>
      <c r="AY140" s="323"/>
      <c r="AZ140" s="64"/>
      <c r="BA140" s="65"/>
      <c r="BB140" s="65"/>
      <c r="BC140" s="72"/>
      <c r="BD140" s="59"/>
    </row>
    <row r="141" spans="2:56" ht="12.95" customHeight="1" x14ac:dyDescent="0.15">
      <c r="B141" s="632"/>
      <c r="C141" s="1230"/>
      <c r="D141" s="1231"/>
      <c r="E141" s="1231"/>
      <c r="F141" s="1232"/>
      <c r="G141" s="1233"/>
      <c r="H141" s="1234"/>
      <c r="I141" s="64"/>
      <c r="J141" s="65"/>
      <c r="K141" s="65"/>
      <c r="L141" s="65"/>
      <c r="M141" s="65"/>
      <c r="N141" s="66"/>
      <c r="O141" s="67" t="s">
        <v>117</v>
      </c>
      <c r="P141" s="67"/>
      <c r="Q141" s="67"/>
      <c r="R141" s="67"/>
      <c r="S141" s="81"/>
      <c r="T141" s="67"/>
      <c r="U141" s="67"/>
      <c r="V141" s="322"/>
      <c r="W141" s="67"/>
      <c r="X141" s="322"/>
      <c r="Y141" s="322"/>
      <c r="Z141" s="322"/>
      <c r="AA141" s="322"/>
      <c r="AB141" s="322"/>
      <c r="AC141" s="322"/>
      <c r="AD141" s="82"/>
      <c r="AE141" s="82"/>
      <c r="AF141" s="82"/>
      <c r="AG141" s="82"/>
      <c r="AH141" s="82"/>
      <c r="AI141" s="83"/>
      <c r="AJ141" s="84"/>
      <c r="AK141" s="84"/>
      <c r="AL141" s="82"/>
      <c r="AM141" s="83"/>
      <c r="AN141" s="84"/>
      <c r="AO141" s="84"/>
      <c r="AP141" s="82"/>
      <c r="AQ141" s="322"/>
      <c r="AR141" s="322"/>
      <c r="AS141" s="322"/>
      <c r="AT141" s="82"/>
      <c r="AU141" s="82"/>
      <c r="AV141" s="82"/>
      <c r="AW141" s="82"/>
      <c r="AX141" s="82"/>
      <c r="AY141" s="323"/>
      <c r="AZ141" s="64"/>
      <c r="BA141" s="65"/>
      <c r="BB141" s="65"/>
      <c r="BC141" s="72"/>
      <c r="BD141" s="59"/>
    </row>
    <row r="142" spans="2:56" ht="12.95" customHeight="1" x14ac:dyDescent="0.15">
      <c r="B142" s="632"/>
      <c r="C142" s="633"/>
      <c r="D142" s="60"/>
      <c r="E142" s="60"/>
      <c r="F142" s="61"/>
      <c r="G142" s="62"/>
      <c r="H142" s="63"/>
      <c r="I142" s="326"/>
      <c r="J142" s="327"/>
      <c r="K142" s="327"/>
      <c r="L142" s="327"/>
      <c r="M142" s="327"/>
      <c r="N142" s="328"/>
      <c r="O142" s="67" t="s">
        <v>118</v>
      </c>
      <c r="P142" s="67"/>
      <c r="Q142" s="67"/>
      <c r="R142" s="67"/>
      <c r="S142" s="81"/>
      <c r="T142" s="67"/>
      <c r="U142" s="82"/>
      <c r="V142" s="82"/>
      <c r="W142" s="83"/>
      <c r="X142" s="84"/>
      <c r="Y142" s="84"/>
      <c r="Z142" s="82"/>
      <c r="AA142" s="82"/>
      <c r="AB142" s="82"/>
      <c r="AC142" s="82"/>
      <c r="AD142" s="67"/>
      <c r="AE142" s="322"/>
      <c r="AF142" s="67"/>
      <c r="AG142" s="67"/>
      <c r="AH142" s="67"/>
      <c r="AI142" s="67"/>
      <c r="AJ142" s="322"/>
      <c r="AK142" s="322"/>
      <c r="AL142" s="322"/>
      <c r="AM142" s="67"/>
      <c r="AN142" s="322"/>
      <c r="AO142" s="322"/>
      <c r="AP142" s="322"/>
      <c r="AQ142" s="82"/>
      <c r="AR142" s="82"/>
      <c r="AS142" s="82"/>
      <c r="AT142" s="67"/>
      <c r="AU142" s="322"/>
      <c r="AV142" s="67"/>
      <c r="AW142" s="67"/>
      <c r="AX142" s="67"/>
      <c r="AY142" s="85"/>
      <c r="AZ142" s="329"/>
      <c r="BA142" s="330"/>
      <c r="BB142" s="330"/>
      <c r="BC142" s="331"/>
      <c r="BD142" s="59"/>
    </row>
    <row r="143" spans="2:56" ht="12.95" customHeight="1" x14ac:dyDescent="0.15">
      <c r="B143" s="632"/>
      <c r="C143" s="634"/>
      <c r="D143" s="332"/>
      <c r="E143" s="332"/>
      <c r="F143" s="333"/>
      <c r="G143" s="334"/>
      <c r="H143" s="335"/>
      <c r="I143" s="326"/>
      <c r="J143" s="327"/>
      <c r="K143" s="327"/>
      <c r="L143" s="327"/>
      <c r="M143" s="327"/>
      <c r="N143" s="328"/>
      <c r="O143" s="90" t="s">
        <v>119</v>
      </c>
      <c r="P143" s="67"/>
      <c r="Q143" s="67"/>
      <c r="R143" s="67"/>
      <c r="S143" s="81"/>
      <c r="T143" s="67"/>
      <c r="U143" s="67"/>
      <c r="V143" s="322"/>
      <c r="W143" s="67"/>
      <c r="X143" s="322"/>
      <c r="Y143" s="322"/>
      <c r="Z143" s="322"/>
      <c r="AA143" s="322"/>
      <c r="AB143" s="322"/>
      <c r="AC143" s="322"/>
      <c r="AD143" s="82"/>
      <c r="AE143" s="82"/>
      <c r="AF143" s="82"/>
      <c r="AG143" s="82"/>
      <c r="AH143" s="82"/>
      <c r="AI143" s="83"/>
      <c r="AJ143" s="84"/>
      <c r="AK143" s="84"/>
      <c r="AL143" s="82"/>
      <c r="AM143" s="83"/>
      <c r="AN143" s="84"/>
      <c r="AO143" s="84"/>
      <c r="AP143" s="82"/>
      <c r="AQ143" s="322"/>
      <c r="AR143" s="322"/>
      <c r="AS143" s="322"/>
      <c r="AT143" s="82"/>
      <c r="AU143" s="82"/>
      <c r="AV143" s="82"/>
      <c r="AW143" s="82"/>
      <c r="AX143" s="82"/>
      <c r="AY143" s="323"/>
      <c r="AZ143" s="326"/>
      <c r="BA143" s="327"/>
      <c r="BB143" s="327"/>
      <c r="BC143" s="336"/>
      <c r="BD143" s="59"/>
    </row>
    <row r="144" spans="2:56" ht="12.95" customHeight="1" x14ac:dyDescent="0.15">
      <c r="B144" s="632"/>
      <c r="C144" s="633"/>
      <c r="D144" s="60"/>
      <c r="E144" s="60"/>
      <c r="F144" s="61"/>
      <c r="G144" s="62"/>
      <c r="H144" s="63"/>
      <c r="I144" s="326"/>
      <c r="J144" s="327"/>
      <c r="K144" s="327"/>
      <c r="L144" s="327"/>
      <c r="M144" s="327"/>
      <c r="N144" s="328"/>
      <c r="O144" s="67" t="s">
        <v>49</v>
      </c>
      <c r="P144" s="67"/>
      <c r="Q144" s="67"/>
      <c r="R144" s="67"/>
      <c r="S144" s="81"/>
      <c r="T144" s="67"/>
      <c r="U144" s="82"/>
      <c r="V144" s="82"/>
      <c r="W144" s="83"/>
      <c r="X144" s="84"/>
      <c r="Y144" s="84"/>
      <c r="Z144" s="82"/>
      <c r="AA144" s="82"/>
      <c r="AB144" s="82"/>
      <c r="AC144" s="82"/>
      <c r="AD144" s="67"/>
      <c r="AE144" s="322"/>
      <c r="AF144" s="67"/>
      <c r="AG144" s="67"/>
      <c r="AH144" s="67"/>
      <c r="AI144" s="67"/>
      <c r="AJ144" s="322"/>
      <c r="AK144" s="322"/>
      <c r="AL144" s="322"/>
      <c r="AM144" s="67"/>
      <c r="AN144" s="322"/>
      <c r="AO144" s="322"/>
      <c r="AP144" s="322"/>
      <c r="AQ144" s="82"/>
      <c r="AR144" s="82"/>
      <c r="AS144" s="82"/>
      <c r="AT144" s="67"/>
      <c r="AU144" s="322"/>
      <c r="AV144" s="67"/>
      <c r="AW144" s="67"/>
      <c r="AX144" s="67"/>
      <c r="AY144" s="85"/>
      <c r="AZ144" s="329"/>
      <c r="BA144" s="330"/>
      <c r="BB144" s="330"/>
      <c r="BC144" s="331"/>
      <c r="BD144" s="59"/>
    </row>
    <row r="145" spans="2:56" ht="12.95" customHeight="1" x14ac:dyDescent="0.15">
      <c r="B145" s="632"/>
      <c r="C145" s="634"/>
      <c r="D145" s="332"/>
      <c r="E145" s="332"/>
      <c r="F145" s="333"/>
      <c r="G145" s="334"/>
      <c r="H145" s="335"/>
      <c r="I145" s="326"/>
      <c r="J145" s="327"/>
      <c r="K145" s="327"/>
      <c r="L145" s="327"/>
      <c r="M145" s="327"/>
      <c r="N145" s="328"/>
      <c r="O145" s="67" t="s">
        <v>120</v>
      </c>
      <c r="P145" s="67"/>
      <c r="Q145" s="67"/>
      <c r="R145" s="67"/>
      <c r="S145" s="81"/>
      <c r="T145" s="67"/>
      <c r="U145" s="67"/>
      <c r="V145" s="322"/>
      <c r="W145" s="67"/>
      <c r="X145" s="322"/>
      <c r="Y145" s="322"/>
      <c r="Z145" s="322"/>
      <c r="AA145" s="322"/>
      <c r="AB145" s="322"/>
      <c r="AC145" s="322"/>
      <c r="AD145" s="82"/>
      <c r="AE145" s="82"/>
      <c r="AF145" s="82"/>
      <c r="AG145" s="82"/>
      <c r="AH145" s="82"/>
      <c r="AI145" s="83"/>
      <c r="AJ145" s="84"/>
      <c r="AK145" s="84"/>
      <c r="AL145" s="82"/>
      <c r="AM145" s="83"/>
      <c r="AN145" s="84"/>
      <c r="AO145" s="84"/>
      <c r="AP145" s="82"/>
      <c r="AQ145" s="82"/>
      <c r="AR145" s="82"/>
      <c r="AS145" s="82"/>
      <c r="AT145" s="67"/>
      <c r="AU145" s="322"/>
      <c r="AV145" s="67"/>
      <c r="AW145" s="67"/>
      <c r="AX145" s="67"/>
      <c r="AY145" s="323"/>
      <c r="AZ145" s="326"/>
      <c r="BA145" s="327"/>
      <c r="BB145" s="327"/>
      <c r="BC145" s="336"/>
      <c r="BD145" s="59"/>
    </row>
    <row r="146" spans="2:56" ht="12.95" customHeight="1" x14ac:dyDescent="0.15">
      <c r="B146" s="632"/>
      <c r="C146" s="633"/>
      <c r="D146" s="60"/>
      <c r="E146" s="60"/>
      <c r="F146" s="61"/>
      <c r="G146" s="62"/>
      <c r="H146" s="63"/>
      <c r="I146" s="326"/>
      <c r="J146" s="327"/>
      <c r="K146" s="327"/>
      <c r="L146" s="327"/>
      <c r="M146" s="327"/>
      <c r="N146" s="328"/>
      <c r="O146" s="67" t="s">
        <v>121</v>
      </c>
      <c r="P146" s="82"/>
      <c r="Q146" s="82"/>
      <c r="R146" s="82"/>
      <c r="S146" s="82"/>
      <c r="T146" s="82"/>
      <c r="U146" s="82"/>
      <c r="V146" s="82"/>
      <c r="W146" s="83"/>
      <c r="X146" s="84"/>
      <c r="Y146" s="84"/>
      <c r="Z146" s="82"/>
      <c r="AA146" s="82"/>
      <c r="AB146" s="82"/>
      <c r="AC146" s="82"/>
      <c r="AD146" s="67"/>
      <c r="AE146" s="322"/>
      <c r="AF146" s="67"/>
      <c r="AG146" s="67"/>
      <c r="AH146" s="67"/>
      <c r="AI146" s="67"/>
      <c r="AJ146" s="322"/>
      <c r="AK146" s="322"/>
      <c r="AL146" s="322"/>
      <c r="AM146" s="67"/>
      <c r="AN146" s="322"/>
      <c r="AO146" s="322"/>
      <c r="AP146" s="322"/>
      <c r="AQ146" s="322"/>
      <c r="AR146" s="322"/>
      <c r="AS146" s="322"/>
      <c r="AT146" s="67"/>
      <c r="AU146" s="322"/>
      <c r="AV146" s="67"/>
      <c r="AW146" s="67"/>
      <c r="AX146" s="67"/>
      <c r="AY146" s="85"/>
      <c r="AZ146" s="329"/>
      <c r="BA146" s="330"/>
      <c r="BB146" s="330"/>
      <c r="BC146" s="331"/>
      <c r="BD146" s="59"/>
    </row>
    <row r="147" spans="2:56" ht="12.95" customHeight="1" x14ac:dyDescent="0.15">
      <c r="B147" s="632"/>
      <c r="C147" s="1230"/>
      <c r="D147" s="1231"/>
      <c r="E147" s="1231"/>
      <c r="F147" s="1232"/>
      <c r="G147" s="1233"/>
      <c r="H147" s="1234"/>
      <c r="I147" s="64"/>
      <c r="J147" s="65"/>
      <c r="K147" s="65"/>
      <c r="L147" s="65"/>
      <c r="M147" s="65"/>
      <c r="N147" s="66"/>
      <c r="O147" s="499" t="s">
        <v>122</v>
      </c>
      <c r="P147" s="67"/>
      <c r="Q147" s="67"/>
      <c r="R147" s="67"/>
      <c r="S147" s="81"/>
      <c r="T147" s="67"/>
      <c r="U147" s="67"/>
      <c r="V147" s="322"/>
      <c r="W147" s="67"/>
      <c r="X147" s="322"/>
      <c r="Y147" s="322"/>
      <c r="Z147" s="322"/>
      <c r="AA147" s="322"/>
      <c r="AB147" s="322"/>
      <c r="AC147" s="322"/>
      <c r="AD147" s="67"/>
      <c r="AE147" s="322"/>
      <c r="AF147" s="67"/>
      <c r="AG147" s="67"/>
      <c r="AH147" s="67"/>
      <c r="AI147" s="67"/>
      <c r="AJ147" s="322"/>
      <c r="AK147" s="322"/>
      <c r="AL147" s="322"/>
      <c r="AM147" s="67"/>
      <c r="AN147" s="322"/>
      <c r="AO147" s="322"/>
      <c r="AP147" s="322"/>
      <c r="AQ147" s="322"/>
      <c r="AR147" s="322"/>
      <c r="AS147" s="322"/>
      <c r="AT147" s="67"/>
      <c r="AU147" s="322"/>
      <c r="AV147" s="67"/>
      <c r="AW147" s="67"/>
      <c r="AX147" s="67"/>
      <c r="AY147" s="323"/>
      <c r="AZ147" s="64"/>
      <c r="BA147" s="65"/>
      <c r="BB147" s="65"/>
      <c r="BC147" s="72"/>
      <c r="BD147" s="59"/>
    </row>
    <row r="148" spans="2:56" ht="12.95" customHeight="1" x14ac:dyDescent="0.15">
      <c r="B148" s="632"/>
      <c r="C148" s="1230"/>
      <c r="D148" s="1231"/>
      <c r="E148" s="1231"/>
      <c r="F148" s="1232"/>
      <c r="G148" s="1233"/>
      <c r="H148" s="1234"/>
      <c r="I148" s="64"/>
      <c r="J148" s="65"/>
      <c r="K148" s="65"/>
      <c r="L148" s="65"/>
      <c r="M148" s="65"/>
      <c r="N148" s="66"/>
      <c r="O148" s="89" t="s">
        <v>123</v>
      </c>
      <c r="P148" s="67"/>
      <c r="Q148" s="67"/>
      <c r="R148" s="67"/>
      <c r="S148" s="81"/>
      <c r="T148" s="67"/>
      <c r="U148" s="67"/>
      <c r="V148" s="322"/>
      <c r="W148" s="67"/>
      <c r="X148" s="322"/>
      <c r="Y148" s="322"/>
      <c r="Z148" s="322"/>
      <c r="AA148" s="322"/>
      <c r="AB148" s="322"/>
      <c r="AC148" s="322"/>
      <c r="AD148" s="67"/>
      <c r="AE148" s="322"/>
      <c r="AF148" s="67"/>
      <c r="AG148" s="67"/>
      <c r="AH148" s="67"/>
      <c r="AI148" s="67"/>
      <c r="AJ148" s="322"/>
      <c r="AK148" s="322"/>
      <c r="AL148" s="322"/>
      <c r="AM148" s="67"/>
      <c r="AN148" s="322"/>
      <c r="AO148" s="322"/>
      <c r="AP148" s="322"/>
      <c r="AQ148" s="322"/>
      <c r="AR148" s="322"/>
      <c r="AS148" s="322"/>
      <c r="AT148" s="67"/>
      <c r="AU148" s="322"/>
      <c r="AV148" s="67"/>
      <c r="AW148" s="67"/>
      <c r="AX148" s="67"/>
      <c r="AY148" s="323"/>
      <c r="AZ148" s="64"/>
      <c r="BA148" s="65"/>
      <c r="BB148" s="65"/>
      <c r="BC148" s="72"/>
      <c r="BD148" s="59"/>
    </row>
    <row r="149" spans="2:56" ht="12.95" customHeight="1" x14ac:dyDescent="0.15">
      <c r="B149" s="632"/>
      <c r="C149" s="1236"/>
      <c r="D149" s="1237"/>
      <c r="E149" s="1237"/>
      <c r="F149" s="1238"/>
      <c r="G149" s="745"/>
      <c r="H149" s="673"/>
      <c r="I149" s="746"/>
      <c r="J149" s="747"/>
      <c r="K149" s="747"/>
      <c r="L149" s="747"/>
      <c r="M149" s="747"/>
      <c r="N149" s="674"/>
      <c r="O149" s="748" t="s">
        <v>124</v>
      </c>
      <c r="P149" s="749"/>
      <c r="Q149" s="749"/>
      <c r="R149" s="749"/>
      <c r="S149" s="749"/>
      <c r="T149" s="749"/>
      <c r="U149" s="749"/>
      <c r="V149" s="749"/>
      <c r="W149" s="749"/>
      <c r="X149" s="750"/>
      <c r="Y149" s="750"/>
      <c r="Z149" s="749"/>
      <c r="AA149" s="749"/>
      <c r="AB149" s="749"/>
      <c r="AC149" s="749"/>
      <c r="AD149" s="749"/>
      <c r="AE149" s="749"/>
      <c r="AF149" s="749"/>
      <c r="AG149" s="749"/>
      <c r="AH149" s="749"/>
      <c r="AI149" s="749"/>
      <c r="AJ149" s="750"/>
      <c r="AK149" s="750"/>
      <c r="AL149" s="749"/>
      <c r="AM149" s="749"/>
      <c r="AN149" s="750"/>
      <c r="AO149" s="750"/>
      <c r="AP149" s="749"/>
      <c r="AQ149" s="749"/>
      <c r="AR149" s="749"/>
      <c r="AS149" s="749"/>
      <c r="AT149" s="749"/>
      <c r="AU149" s="749"/>
      <c r="AV149" s="749"/>
      <c r="AW149" s="749"/>
      <c r="AX149" s="749"/>
      <c r="AY149" s="675"/>
      <c r="AZ149" s="751"/>
      <c r="BA149" s="752"/>
      <c r="BB149" s="752"/>
      <c r="BC149" s="753"/>
      <c r="BD149" s="59"/>
    </row>
    <row r="150" spans="2:56" ht="12.95" customHeight="1" thickBot="1" x14ac:dyDescent="0.2">
      <c r="B150" s="754"/>
      <c r="C150" s="755"/>
      <c r="D150" s="755"/>
      <c r="E150" s="755"/>
      <c r="F150" s="755"/>
      <c r="G150" s="755"/>
      <c r="H150" s="756"/>
      <c r="I150" s="756"/>
      <c r="J150" s="755"/>
      <c r="K150" s="755"/>
      <c r="L150" s="755"/>
      <c r="M150" s="755"/>
      <c r="N150" s="755"/>
      <c r="O150" s="755"/>
      <c r="P150" s="755"/>
      <c r="Q150" s="755"/>
      <c r="R150" s="755"/>
      <c r="S150" s="755"/>
      <c r="T150" s="755"/>
      <c r="U150" s="755"/>
      <c r="V150" s="755"/>
      <c r="W150" s="755"/>
      <c r="X150" s="755"/>
      <c r="Y150" s="755"/>
      <c r="Z150" s="755"/>
      <c r="AA150" s="755"/>
      <c r="AB150" s="755"/>
      <c r="AC150" s="755"/>
      <c r="AD150" s="755"/>
      <c r="AE150" s="755"/>
      <c r="AF150" s="755"/>
      <c r="AG150" s="755"/>
      <c r="AH150" s="755"/>
      <c r="AI150" s="755"/>
      <c r="AJ150" s="755"/>
      <c r="AK150" s="755"/>
      <c r="AL150" s="755"/>
      <c r="AM150" s="755"/>
      <c r="AN150" s="755"/>
      <c r="AO150" s="755"/>
      <c r="AP150" s="755"/>
      <c r="AQ150" s="755"/>
      <c r="AR150" s="755"/>
      <c r="AS150" s="755"/>
      <c r="AT150" s="755"/>
      <c r="AU150" s="755"/>
      <c r="AV150" s="755"/>
      <c r="AW150" s="755"/>
      <c r="AX150" s="755"/>
      <c r="AY150" s="755"/>
      <c r="AZ150" s="755"/>
      <c r="BA150" s="755"/>
      <c r="BB150" s="755"/>
      <c r="BC150" s="755"/>
      <c r="BD150" s="757"/>
    </row>
    <row r="151" spans="2:56" ht="12.95" customHeight="1" thickTop="1" x14ac:dyDescent="0.15">
      <c r="B151" s="50" t="s">
        <v>6</v>
      </c>
      <c r="C151" s="51"/>
      <c r="D151" s="51"/>
      <c r="E151" s="51"/>
      <c r="F151" s="51"/>
      <c r="G151" s="51"/>
      <c r="H151" s="51"/>
      <c r="I151" s="51"/>
      <c r="J151" s="51"/>
      <c r="K151" s="51"/>
      <c r="L151" s="51"/>
      <c r="M151" s="51"/>
      <c r="N151" s="52"/>
      <c r="O151" s="1247" t="s">
        <v>7</v>
      </c>
      <c r="P151" s="1248"/>
      <c r="Q151" s="1248"/>
      <c r="R151" s="1248"/>
      <c r="S151" s="1248"/>
      <c r="T151" s="1249"/>
      <c r="U151" s="1250" t="s">
        <v>8</v>
      </c>
      <c r="V151" s="1248"/>
      <c r="W151" s="1248"/>
      <c r="X151" s="1248"/>
      <c r="Y151" s="1248"/>
      <c r="Z151" s="1248"/>
      <c r="AA151" s="1249"/>
      <c r="AB151" s="1251" t="s">
        <v>9</v>
      </c>
      <c r="AC151" s="1252"/>
      <c r="AD151" s="1252"/>
      <c r="AE151" s="1252"/>
      <c r="AF151" s="1252"/>
      <c r="AG151" s="1252"/>
      <c r="AH151" s="1252"/>
      <c r="AI151" s="1252"/>
      <c r="AJ151" s="1252"/>
      <c r="AK151" s="1252"/>
      <c r="AL151" s="1252"/>
      <c r="AM151" s="1252"/>
      <c r="AN151" s="1253"/>
      <c r="AO151" s="1250" t="s">
        <v>10</v>
      </c>
      <c r="AP151" s="1249"/>
      <c r="AQ151" s="1257" t="s">
        <v>11</v>
      </c>
      <c r="AR151" s="1258"/>
      <c r="AS151" s="1259"/>
      <c r="AT151" s="1250" t="s">
        <v>12</v>
      </c>
      <c r="AU151" s="1248"/>
      <c r="AV151" s="1248"/>
      <c r="AW151" s="1249"/>
      <c r="AX151" s="1257" t="s">
        <v>13</v>
      </c>
      <c r="AY151" s="1258"/>
      <c r="AZ151" s="1259"/>
      <c r="BA151" s="1250" t="s">
        <v>14</v>
      </c>
      <c r="BB151" s="1248"/>
      <c r="BC151" s="1248"/>
      <c r="BD151" s="1249"/>
    </row>
    <row r="152" spans="2:56" ht="12.95" customHeight="1" thickBot="1" x14ac:dyDescent="0.2">
      <c r="B152" s="1260" t="s">
        <v>15</v>
      </c>
      <c r="C152" s="1261"/>
      <c r="D152" s="1261"/>
      <c r="E152" s="1261"/>
      <c r="F152" s="1261"/>
      <c r="G152" s="1261"/>
      <c r="H152" s="1261"/>
      <c r="I152" s="1261"/>
      <c r="J152" s="1261"/>
      <c r="K152" s="1261"/>
      <c r="L152" s="1261"/>
      <c r="M152" s="1261"/>
      <c r="N152" s="1262"/>
      <c r="O152" s="1263" t="s">
        <v>16</v>
      </c>
      <c r="P152" s="1264"/>
      <c r="Q152" s="1264"/>
      <c r="R152" s="1264"/>
      <c r="S152" s="1264"/>
      <c r="T152" s="1265"/>
      <c r="U152" s="1266" t="s">
        <v>17</v>
      </c>
      <c r="V152" s="1264"/>
      <c r="W152" s="1264"/>
      <c r="X152" s="1264"/>
      <c r="Y152" s="1264"/>
      <c r="Z152" s="1264"/>
      <c r="AA152" s="1265"/>
      <c r="AB152" s="1254"/>
      <c r="AC152" s="1255"/>
      <c r="AD152" s="1255"/>
      <c r="AE152" s="1255"/>
      <c r="AF152" s="1255"/>
      <c r="AG152" s="1255"/>
      <c r="AH152" s="1255"/>
      <c r="AI152" s="1255"/>
      <c r="AJ152" s="1255"/>
      <c r="AK152" s="1255"/>
      <c r="AL152" s="1255"/>
      <c r="AM152" s="1255"/>
      <c r="AN152" s="1256"/>
      <c r="AO152" s="1267">
        <f>AO3</f>
        <v>1.1200000000000001</v>
      </c>
      <c r="AP152" s="1268"/>
      <c r="AQ152" s="1266" t="s">
        <v>18</v>
      </c>
      <c r="AR152" s="1264"/>
      <c r="AS152" s="1265"/>
      <c r="AT152" s="1269">
        <f>AT3</f>
        <v>45709</v>
      </c>
      <c r="AU152" s="1270"/>
      <c r="AV152" s="1270"/>
      <c r="AW152" s="1270"/>
      <c r="AX152" s="1266" t="s">
        <v>18</v>
      </c>
      <c r="AY152" s="1264"/>
      <c r="AZ152" s="1265"/>
      <c r="BA152" s="1269">
        <f>BA3</f>
        <v>45460</v>
      </c>
      <c r="BB152" s="1270"/>
      <c r="BC152" s="1270"/>
      <c r="BD152" s="1271"/>
    </row>
    <row r="153" spans="2:56" ht="12.95" customHeight="1" thickTop="1" x14ac:dyDescent="0.15">
      <c r="AU153" s="53"/>
    </row>
    <row r="154" spans="2:56" ht="12.95" customHeight="1" x14ac:dyDescent="0.15">
      <c r="B154" s="737"/>
      <c r="C154" s="696"/>
      <c r="D154" s="696"/>
      <c r="E154" s="696"/>
      <c r="F154" s="696"/>
      <c r="G154" s="696"/>
      <c r="H154" s="697"/>
      <c r="I154" s="697"/>
      <c r="J154" s="696"/>
      <c r="K154" s="696"/>
      <c r="L154" s="696"/>
      <c r="M154" s="696"/>
      <c r="N154" s="696"/>
      <c r="O154" s="696"/>
      <c r="P154" s="696"/>
      <c r="Q154" s="696"/>
      <c r="R154" s="696"/>
      <c r="S154" s="696"/>
      <c r="T154" s="696"/>
      <c r="U154" s="696"/>
      <c r="V154" s="696"/>
      <c r="W154" s="696"/>
      <c r="X154" s="696"/>
      <c r="Y154" s="696"/>
      <c r="Z154" s="696"/>
      <c r="AA154" s="696"/>
      <c r="AB154" s="696"/>
      <c r="AC154" s="696"/>
      <c r="AD154" s="696"/>
      <c r="AE154" s="696"/>
      <c r="AF154" s="696"/>
      <c r="AG154" s="696"/>
      <c r="AH154" s="696"/>
      <c r="AI154" s="696"/>
      <c r="AJ154" s="696"/>
      <c r="AK154" s="696"/>
      <c r="AL154" s="696"/>
      <c r="AM154" s="696"/>
      <c r="AN154" s="696"/>
      <c r="AO154" s="696"/>
      <c r="AP154" s="696"/>
      <c r="AQ154" s="696"/>
      <c r="AR154" s="696"/>
      <c r="AS154" s="696"/>
      <c r="AT154" s="696"/>
      <c r="AU154" s="696"/>
      <c r="AV154" s="696"/>
      <c r="AW154" s="696"/>
      <c r="AX154" s="696"/>
      <c r="AY154" s="696"/>
      <c r="AZ154" s="696"/>
      <c r="BA154" s="696"/>
      <c r="BB154" s="696"/>
      <c r="BC154" s="696"/>
      <c r="BD154" s="718"/>
    </row>
    <row r="155" spans="2:56" ht="12.95" customHeight="1" x14ac:dyDescent="0.15">
      <c r="B155" s="632"/>
      <c r="C155" s="54" t="s">
        <v>9</v>
      </c>
      <c r="D155" s="55"/>
      <c r="E155" s="49"/>
      <c r="F155" s="49"/>
      <c r="G155" s="49"/>
      <c r="H155" s="56"/>
      <c r="I155" s="56"/>
      <c r="J155" s="49"/>
      <c r="K155" s="49"/>
      <c r="M155" s="49"/>
      <c r="N155" s="49"/>
      <c r="O155" s="49"/>
      <c r="Q155" s="49"/>
      <c r="S155" s="49"/>
      <c r="U155" s="49"/>
      <c r="V155" s="49"/>
      <c r="Y155" s="49"/>
      <c r="Z155" s="49"/>
      <c r="AA155" s="49"/>
      <c r="AB155" s="49"/>
      <c r="AC155" s="49"/>
      <c r="AD155" s="49"/>
      <c r="AE155" s="49"/>
      <c r="AF155" s="49"/>
      <c r="AG155" s="49"/>
      <c r="AI155" s="49"/>
      <c r="AJ155" s="49"/>
      <c r="AK155" s="49"/>
      <c r="AL155" s="49"/>
      <c r="AM155" s="57"/>
      <c r="AN155" s="49"/>
      <c r="AO155" s="49"/>
      <c r="AP155" s="49"/>
      <c r="AQ155" s="58"/>
      <c r="AR155" s="58"/>
      <c r="AS155" s="58"/>
      <c r="AU155" s="49"/>
      <c r="AV155" s="49"/>
      <c r="AW155" s="49"/>
      <c r="AX155" s="49"/>
      <c r="AY155" s="49"/>
      <c r="AZ155" s="49"/>
      <c r="BA155" s="49"/>
      <c r="BB155" s="49"/>
      <c r="BC155" s="49"/>
      <c r="BD155" s="59"/>
    </row>
    <row r="156" spans="2:56" ht="12.95" customHeight="1" x14ac:dyDescent="0.15">
      <c r="B156" s="632"/>
      <c r="C156" s="49"/>
      <c r="D156" s="49"/>
      <c r="E156" s="49"/>
      <c r="F156" s="49"/>
      <c r="G156" s="49"/>
      <c r="H156" s="56"/>
      <c r="I156" s="56"/>
      <c r="J156" s="49"/>
      <c r="K156" s="49"/>
      <c r="M156" s="49"/>
      <c r="N156" s="49"/>
      <c r="O156" s="49"/>
      <c r="Q156" s="49"/>
      <c r="S156" s="49"/>
      <c r="U156" s="49"/>
      <c r="V156" s="49"/>
      <c r="Y156" s="49"/>
      <c r="Z156" s="49"/>
      <c r="AA156" s="49"/>
      <c r="AB156" s="49"/>
      <c r="AC156" s="49"/>
      <c r="AD156" s="49"/>
      <c r="AE156" s="49"/>
      <c r="AF156" s="49"/>
      <c r="AG156" s="49"/>
      <c r="AH156" s="49"/>
      <c r="AI156" s="49"/>
      <c r="AJ156" s="49"/>
      <c r="AK156" s="49"/>
      <c r="AL156" s="49"/>
      <c r="AM156" s="49"/>
      <c r="AN156" s="49"/>
      <c r="AO156" s="49"/>
      <c r="AP156" s="49"/>
      <c r="AQ156" s="58"/>
      <c r="AR156" s="58"/>
      <c r="AS156" s="58"/>
      <c r="AU156" s="49"/>
      <c r="AV156" s="49"/>
      <c r="AW156" s="49"/>
      <c r="AX156" s="49"/>
      <c r="AY156" s="49"/>
      <c r="AZ156" s="49"/>
      <c r="BA156" s="49"/>
      <c r="BB156" s="49"/>
      <c r="BC156" s="49"/>
      <c r="BD156" s="59"/>
    </row>
    <row r="157" spans="2:56" ht="12.95" customHeight="1" x14ac:dyDescent="0.15">
      <c r="B157" s="632"/>
      <c r="C157" s="738" t="s">
        <v>19</v>
      </c>
      <c r="D157" s="698"/>
      <c r="E157" s="698"/>
      <c r="F157" s="719"/>
      <c r="G157" s="698" t="s">
        <v>20</v>
      </c>
      <c r="H157" s="719"/>
      <c r="I157" s="699" t="s">
        <v>21</v>
      </c>
      <c r="J157" s="698"/>
      <c r="K157" s="698"/>
      <c r="L157" s="698"/>
      <c r="M157" s="698"/>
      <c r="N157" s="719"/>
      <c r="O157" s="698" t="s">
        <v>22</v>
      </c>
      <c r="P157" s="698"/>
      <c r="Q157" s="698"/>
      <c r="R157" s="698"/>
      <c r="S157" s="698"/>
      <c r="T157" s="698"/>
      <c r="U157" s="698"/>
      <c r="V157" s="698"/>
      <c r="W157" s="698"/>
      <c r="X157" s="698"/>
      <c r="Y157" s="698"/>
      <c r="Z157" s="698"/>
      <c r="AA157" s="698"/>
      <c r="AB157" s="698"/>
      <c r="AC157" s="698"/>
      <c r="AD157" s="698"/>
      <c r="AE157" s="698"/>
      <c r="AF157" s="698"/>
      <c r="AG157" s="698"/>
      <c r="AH157" s="698"/>
      <c r="AI157" s="698"/>
      <c r="AJ157" s="698"/>
      <c r="AK157" s="698"/>
      <c r="AL157" s="698"/>
      <c r="AM157" s="698"/>
      <c r="AN157" s="698"/>
      <c r="AO157" s="698"/>
      <c r="AP157" s="698"/>
      <c r="AQ157" s="698"/>
      <c r="AR157" s="698"/>
      <c r="AS157" s="698"/>
      <c r="AT157" s="698"/>
      <c r="AU157" s="698"/>
      <c r="AV157" s="698"/>
      <c r="AW157" s="698"/>
      <c r="AX157" s="698"/>
      <c r="AY157" s="719"/>
      <c r="AZ157" s="698" t="s">
        <v>23</v>
      </c>
      <c r="BA157" s="698"/>
      <c r="BB157" s="698"/>
      <c r="BC157" s="720"/>
      <c r="BD157" s="59"/>
    </row>
    <row r="158" spans="2:56" ht="12.95" customHeight="1" x14ac:dyDescent="0.15">
      <c r="B158" s="632"/>
      <c r="C158" s="739"/>
      <c r="D158" s="740"/>
      <c r="E158" s="740"/>
      <c r="F158" s="646"/>
      <c r="G158" s="741"/>
      <c r="H158" s="647"/>
      <c r="I158" s="742"/>
      <c r="J158" s="741"/>
      <c r="K158" s="741"/>
      <c r="L158" s="741"/>
      <c r="M158" s="741"/>
      <c r="N158" s="647"/>
      <c r="O158" s="740"/>
      <c r="P158" s="740"/>
      <c r="Q158" s="740"/>
      <c r="R158" s="740"/>
      <c r="S158" s="740"/>
      <c r="T158" s="740"/>
      <c r="U158" s="740"/>
      <c r="V158" s="741"/>
      <c r="W158" s="740"/>
      <c r="X158" s="741"/>
      <c r="Y158" s="741"/>
      <c r="Z158" s="741"/>
      <c r="AA158" s="741"/>
      <c r="AB158" s="741"/>
      <c r="AC158" s="741"/>
      <c r="AD158" s="740"/>
      <c r="AE158" s="741"/>
      <c r="AF158" s="740"/>
      <c r="AG158" s="740"/>
      <c r="AH158" s="740"/>
      <c r="AI158" s="740"/>
      <c r="AJ158" s="741"/>
      <c r="AK158" s="741"/>
      <c r="AL158" s="741"/>
      <c r="AM158" s="740"/>
      <c r="AN158" s="741"/>
      <c r="AO158" s="741"/>
      <c r="AP158" s="741"/>
      <c r="AQ158" s="741"/>
      <c r="AR158" s="741"/>
      <c r="AS158" s="741"/>
      <c r="AT158" s="740"/>
      <c r="AU158" s="741"/>
      <c r="AV158" s="740"/>
      <c r="AW158" s="740"/>
      <c r="AX158" s="740"/>
      <c r="AY158" s="647"/>
      <c r="AZ158" s="741"/>
      <c r="BA158" s="740"/>
      <c r="BB158" s="740"/>
      <c r="BC158" s="743"/>
      <c r="BD158" s="59"/>
    </row>
    <row r="159" spans="2:56" ht="12.95" customHeight="1" x14ac:dyDescent="0.15">
      <c r="B159" s="632"/>
      <c r="C159" s="1239">
        <v>45625</v>
      </c>
      <c r="D159" s="1240"/>
      <c r="E159" s="1240"/>
      <c r="F159" s="1241"/>
      <c r="G159" s="1281">
        <v>1.6</v>
      </c>
      <c r="H159" s="1282"/>
      <c r="I159" s="744"/>
      <c r="J159" s="700"/>
      <c r="K159" s="700"/>
      <c r="L159" s="700"/>
      <c r="M159" s="700"/>
      <c r="N159" s="721"/>
      <c r="O159" s="701" t="s">
        <v>52</v>
      </c>
      <c r="P159" s="701"/>
      <c r="Q159" s="701"/>
      <c r="R159" s="701"/>
      <c r="S159" s="702"/>
      <c r="T159" s="701"/>
      <c r="U159" s="701"/>
      <c r="V159" s="700"/>
      <c r="W159" s="701"/>
      <c r="X159" s="700"/>
      <c r="Y159" s="700"/>
      <c r="Z159" s="700"/>
      <c r="AA159" s="700"/>
      <c r="AB159" s="700"/>
      <c r="AC159" s="700"/>
      <c r="AD159" s="701"/>
      <c r="AE159" s="700"/>
      <c r="AF159" s="701"/>
      <c r="AG159" s="701"/>
      <c r="AH159" s="701"/>
      <c r="AI159" s="701"/>
      <c r="AJ159" s="700"/>
      <c r="AK159" s="700"/>
      <c r="AL159" s="700"/>
      <c r="AM159" s="701"/>
      <c r="AN159" s="700"/>
      <c r="AO159" s="700"/>
      <c r="AP159" s="700"/>
      <c r="AQ159" s="700"/>
      <c r="AR159" s="700"/>
      <c r="AS159" s="700"/>
      <c r="AT159" s="701"/>
      <c r="AU159" s="700"/>
      <c r="AV159" s="701"/>
      <c r="AW159" s="701"/>
      <c r="AX159" s="701"/>
      <c r="AY159" s="722"/>
      <c r="AZ159" s="703" t="s">
        <v>25</v>
      </c>
      <c r="BA159" s="703"/>
      <c r="BB159" s="703"/>
      <c r="BC159" s="723"/>
      <c r="BD159" s="59"/>
    </row>
    <row r="160" spans="2:56" ht="12.95" customHeight="1" x14ac:dyDescent="0.15">
      <c r="B160" s="632"/>
      <c r="C160" s="633"/>
      <c r="D160" s="60"/>
      <c r="E160" s="60"/>
      <c r="F160" s="61"/>
      <c r="G160" s="62"/>
      <c r="H160" s="63"/>
      <c r="I160" s="64"/>
      <c r="J160" s="65"/>
      <c r="K160" s="65"/>
      <c r="L160" s="65"/>
      <c r="M160" s="65"/>
      <c r="N160" s="66"/>
      <c r="O160" s="90" t="s">
        <v>27</v>
      </c>
      <c r="P160" s="67"/>
      <c r="Q160" s="67"/>
      <c r="R160" s="67"/>
      <c r="S160" s="81"/>
      <c r="T160" s="67"/>
      <c r="U160" s="82"/>
      <c r="V160" s="82"/>
      <c r="W160" s="83"/>
      <c r="X160" s="84"/>
      <c r="Y160" s="322"/>
      <c r="Z160" s="322"/>
      <c r="AA160" s="322"/>
      <c r="AB160" s="322"/>
      <c r="AC160" s="322"/>
      <c r="AD160" s="67"/>
      <c r="AE160" s="322"/>
      <c r="AF160" s="67"/>
      <c r="AG160" s="67"/>
      <c r="AH160" s="67"/>
      <c r="AI160" s="67"/>
      <c r="AJ160" s="322"/>
      <c r="AK160" s="322"/>
      <c r="AL160" s="322"/>
      <c r="AM160" s="67"/>
      <c r="AN160" s="322"/>
      <c r="AO160" s="322"/>
      <c r="AP160" s="322"/>
      <c r="AQ160" s="322"/>
      <c r="AR160" s="322"/>
      <c r="AS160" s="322"/>
      <c r="AT160" s="67"/>
      <c r="AU160" s="322"/>
      <c r="AV160" s="67"/>
      <c r="AW160" s="67"/>
      <c r="AX160" s="67"/>
      <c r="AY160" s="323"/>
      <c r="AZ160" s="65"/>
      <c r="BA160" s="65"/>
      <c r="BB160" s="65"/>
      <c r="BC160" s="72"/>
      <c r="BD160" s="59"/>
    </row>
    <row r="161" spans="2:56" ht="12.95" customHeight="1" x14ac:dyDescent="0.15">
      <c r="B161" s="632"/>
      <c r="C161" s="1230"/>
      <c r="D161" s="1231"/>
      <c r="E161" s="1231"/>
      <c r="F161" s="1232"/>
      <c r="G161" s="1233"/>
      <c r="H161" s="1234"/>
      <c r="I161" s="1272"/>
      <c r="J161" s="1273"/>
      <c r="K161" s="1273"/>
      <c r="L161" s="1273"/>
      <c r="M161" s="1273"/>
      <c r="N161" s="1274"/>
      <c r="O161" s="89" t="s">
        <v>125</v>
      </c>
      <c r="P161" s="82"/>
      <c r="Q161" s="82"/>
      <c r="R161" s="82"/>
      <c r="S161" s="81"/>
      <c r="T161" s="67"/>
      <c r="U161" s="67"/>
      <c r="V161" s="322"/>
      <c r="W161" s="67"/>
      <c r="X161" s="322"/>
      <c r="Y161" s="322"/>
      <c r="Z161" s="322"/>
      <c r="AA161" s="322"/>
      <c r="AB161" s="322"/>
      <c r="AC161" s="322"/>
      <c r="AD161" s="67"/>
      <c r="AE161" s="322"/>
      <c r="AF161" s="67"/>
      <c r="AG161" s="67"/>
      <c r="AH161" s="67"/>
      <c r="AI161" s="67"/>
      <c r="AJ161" s="322"/>
      <c r="AK161" s="322"/>
      <c r="AL161" s="322"/>
      <c r="AM161" s="67"/>
      <c r="AN161" s="322"/>
      <c r="AO161" s="322"/>
      <c r="AP161" s="322"/>
      <c r="AQ161" s="322"/>
      <c r="AR161" s="322"/>
      <c r="AS161" s="322"/>
      <c r="AT161" s="67"/>
      <c r="AU161" s="322"/>
      <c r="AV161" s="67"/>
      <c r="AW161" s="67"/>
      <c r="AX161" s="67"/>
      <c r="AY161" s="323"/>
      <c r="AZ161" s="64"/>
      <c r="BA161" s="65"/>
      <c r="BB161" s="65"/>
      <c r="BC161" s="72"/>
      <c r="BD161" s="59"/>
    </row>
    <row r="162" spans="2:56" ht="12.95" customHeight="1" x14ac:dyDescent="0.15">
      <c r="B162" s="632"/>
      <c r="C162" s="1230"/>
      <c r="D162" s="1231"/>
      <c r="E162" s="1231"/>
      <c r="F162" s="1232"/>
      <c r="G162" s="1233"/>
      <c r="H162" s="1234"/>
      <c r="I162" s="1272"/>
      <c r="J162" s="1273"/>
      <c r="K162" s="1273"/>
      <c r="L162" s="1273"/>
      <c r="M162" s="1273"/>
      <c r="N162" s="1274"/>
      <c r="O162" s="89" t="s">
        <v>126</v>
      </c>
      <c r="P162" s="82"/>
      <c r="Q162" s="82"/>
      <c r="R162" s="82"/>
      <c r="S162" s="81"/>
      <c r="T162" s="67"/>
      <c r="U162" s="67"/>
      <c r="V162" s="322"/>
      <c r="W162" s="67"/>
      <c r="X162" s="322"/>
      <c r="Y162" s="322"/>
      <c r="Z162" s="322"/>
      <c r="AA162" s="322"/>
      <c r="AB162" s="322"/>
      <c r="AC162" s="322"/>
      <c r="AD162" s="67"/>
      <c r="AE162" s="322"/>
      <c r="AF162" s="67"/>
      <c r="AG162" s="67"/>
      <c r="AH162" s="67"/>
      <c r="AI162" s="67"/>
      <c r="AJ162" s="322"/>
      <c r="AK162" s="322"/>
      <c r="AL162" s="322"/>
      <c r="AM162" s="67"/>
      <c r="AN162" s="322"/>
      <c r="AO162" s="322"/>
      <c r="AP162" s="322"/>
      <c r="AQ162" s="322"/>
      <c r="AR162" s="322"/>
      <c r="AS162" s="322"/>
      <c r="AT162" s="67"/>
      <c r="AU162" s="322"/>
      <c r="AV162" s="67"/>
      <c r="AW162" s="67"/>
      <c r="AX162" s="67"/>
      <c r="AY162" s="323"/>
      <c r="AZ162" s="64"/>
      <c r="BA162" s="65"/>
      <c r="BB162" s="65"/>
      <c r="BC162" s="72"/>
      <c r="BD162" s="59"/>
    </row>
    <row r="163" spans="2:56" ht="12.95" customHeight="1" x14ac:dyDescent="0.15">
      <c r="B163" s="632"/>
      <c r="C163" s="633"/>
      <c r="D163" s="60"/>
      <c r="E163" s="60"/>
      <c r="F163" s="61"/>
      <c r="G163" s="62"/>
      <c r="H163" s="63"/>
      <c r="I163" s="1272"/>
      <c r="J163" s="1273"/>
      <c r="K163" s="1273"/>
      <c r="L163" s="1273"/>
      <c r="M163" s="1273"/>
      <c r="N163" s="1274"/>
      <c r="O163" s="90"/>
      <c r="P163" s="67"/>
      <c r="Q163" s="67"/>
      <c r="R163" s="67"/>
      <c r="S163" s="81"/>
      <c r="T163" s="67"/>
      <c r="U163" s="82"/>
      <c r="V163" s="82"/>
      <c r="W163" s="83"/>
      <c r="X163" s="67" t="s">
        <v>127</v>
      </c>
      <c r="Y163" s="296"/>
      <c r="Z163" s="82"/>
      <c r="AA163" s="82"/>
      <c r="AB163" s="82"/>
      <c r="AC163" s="82"/>
      <c r="AD163" s="82"/>
      <c r="AE163" s="82"/>
      <c r="AF163" s="82"/>
      <c r="AG163" s="82"/>
      <c r="AH163" s="82"/>
      <c r="AI163" s="295"/>
      <c r="AJ163" s="296"/>
      <c r="AK163" s="296"/>
      <c r="AL163" s="82"/>
      <c r="AM163" s="295"/>
      <c r="AN163" s="296"/>
      <c r="AO163" s="296"/>
      <c r="AP163" s="82"/>
      <c r="AQ163" s="82"/>
      <c r="AR163" s="82"/>
      <c r="AS163" s="82"/>
      <c r="AT163" s="82"/>
      <c r="AU163" s="82"/>
      <c r="AV163" s="82"/>
      <c r="AW163" s="82"/>
      <c r="AX163" s="82"/>
      <c r="AY163" s="85"/>
      <c r="AZ163" s="86"/>
      <c r="BA163" s="87"/>
      <c r="BB163" s="87"/>
      <c r="BC163" s="88"/>
      <c r="BD163" s="59"/>
    </row>
    <row r="164" spans="2:56" ht="12.95" customHeight="1" x14ac:dyDescent="0.15">
      <c r="B164" s="632"/>
      <c r="C164" s="1230"/>
      <c r="D164" s="1231"/>
      <c r="E164" s="1231"/>
      <c r="F164" s="1232"/>
      <c r="G164" s="1233"/>
      <c r="H164" s="1234"/>
      <c r="I164" s="64"/>
      <c r="J164" s="65"/>
      <c r="K164" s="65"/>
      <c r="L164" s="65"/>
      <c r="M164" s="65"/>
      <c r="N164" s="66"/>
      <c r="O164" s="90"/>
      <c r="P164" s="67"/>
      <c r="Q164" s="67"/>
      <c r="R164" s="67"/>
      <c r="S164" s="81"/>
      <c r="T164" s="67"/>
      <c r="U164" s="67"/>
      <c r="V164" s="322"/>
      <c r="W164" s="67"/>
      <c r="X164" s="67" t="s">
        <v>128</v>
      </c>
      <c r="Y164" s="322"/>
      <c r="Z164" s="322"/>
      <c r="AA164" s="322"/>
      <c r="AB164" s="322"/>
      <c r="AC164" s="322"/>
      <c r="AD164" s="67"/>
      <c r="AE164" s="322"/>
      <c r="AF164" s="67"/>
      <c r="AG164" s="67"/>
      <c r="AH164" s="67"/>
      <c r="AI164" s="67"/>
      <c r="AJ164" s="322"/>
      <c r="AK164" s="322"/>
      <c r="AL164" s="322"/>
      <c r="AM164" s="67"/>
      <c r="AN164" s="322"/>
      <c r="AO164" s="322"/>
      <c r="AP164" s="322"/>
      <c r="AQ164" s="322"/>
      <c r="AR164" s="322"/>
      <c r="AS164" s="322"/>
      <c r="AT164" s="67"/>
      <c r="AU164" s="322"/>
      <c r="AV164" s="67"/>
      <c r="AW164" s="67"/>
      <c r="AX164" s="67"/>
      <c r="AY164" s="323"/>
      <c r="AZ164" s="64"/>
      <c r="BA164" s="65"/>
      <c r="BB164" s="65"/>
      <c r="BC164" s="72"/>
      <c r="BD164" s="59"/>
    </row>
    <row r="165" spans="2:56" ht="12.95" customHeight="1" x14ac:dyDescent="0.15">
      <c r="B165" s="632"/>
      <c r="C165" s="1230"/>
      <c r="D165" s="1231"/>
      <c r="E165" s="1231"/>
      <c r="F165" s="1232"/>
      <c r="G165" s="1233"/>
      <c r="H165" s="1235"/>
      <c r="I165" s="326"/>
      <c r="J165" s="327"/>
      <c r="K165" s="327"/>
      <c r="L165" s="327"/>
      <c r="M165" s="327"/>
      <c r="N165" s="328"/>
      <c r="O165" s="499"/>
      <c r="P165" s="67"/>
      <c r="Q165" s="67"/>
      <c r="R165" s="67"/>
      <c r="S165" s="81"/>
      <c r="T165" s="67"/>
      <c r="U165" s="67"/>
      <c r="V165" s="322"/>
      <c r="W165" s="67"/>
      <c r="X165" s="82" t="s">
        <v>129</v>
      </c>
      <c r="Y165" s="322"/>
      <c r="Z165" s="322"/>
      <c r="AA165" s="322"/>
      <c r="AB165" s="322"/>
      <c r="AC165" s="322"/>
      <c r="AD165" s="67"/>
      <c r="AE165" s="322"/>
      <c r="AF165" s="67"/>
      <c r="AG165" s="67"/>
      <c r="AH165" s="67"/>
      <c r="AI165" s="67"/>
      <c r="AJ165" s="322"/>
      <c r="AK165" s="322"/>
      <c r="AL165" s="322"/>
      <c r="AM165" s="67"/>
      <c r="AN165" s="322"/>
      <c r="AO165" s="322"/>
      <c r="AP165" s="322"/>
      <c r="AQ165" s="322"/>
      <c r="AR165" s="322"/>
      <c r="AS165" s="322"/>
      <c r="AT165" s="67"/>
      <c r="AU165" s="322"/>
      <c r="AV165" s="67"/>
      <c r="AW165" s="67"/>
      <c r="AX165" s="67"/>
      <c r="AY165" s="323"/>
      <c r="AZ165" s="64"/>
      <c r="BA165" s="65"/>
      <c r="BB165" s="65"/>
      <c r="BC165" s="72"/>
      <c r="BD165" s="59"/>
    </row>
    <row r="166" spans="2:56" ht="12.95" customHeight="1" x14ac:dyDescent="0.15">
      <c r="B166" s="632"/>
      <c r="C166" s="633"/>
      <c r="D166" s="332"/>
      <c r="E166" s="332"/>
      <c r="F166" s="333"/>
      <c r="G166" s="334"/>
      <c r="H166" s="335"/>
      <c r="I166" s="326"/>
      <c r="J166" s="327"/>
      <c r="K166" s="327"/>
      <c r="L166" s="327"/>
      <c r="M166" s="327"/>
      <c r="N166" s="328"/>
      <c r="O166" s="89"/>
      <c r="P166" s="82"/>
      <c r="Q166" s="82"/>
      <c r="R166" s="82"/>
      <c r="S166" s="82"/>
      <c r="T166" s="82"/>
      <c r="U166" s="82"/>
      <c r="V166" s="82"/>
      <c r="W166" s="83"/>
      <c r="X166" s="82" t="s">
        <v>130</v>
      </c>
      <c r="Y166" s="84"/>
      <c r="Z166" s="82"/>
      <c r="AA166" s="82"/>
      <c r="AB166" s="82"/>
      <c r="AC166" s="82"/>
      <c r="AD166" s="82"/>
      <c r="AE166" s="82"/>
      <c r="AF166" s="82"/>
      <c r="AG166" s="82"/>
      <c r="AH166" s="82"/>
      <c r="AI166" s="83"/>
      <c r="AJ166" s="84"/>
      <c r="AK166" s="84"/>
      <c r="AL166" s="82"/>
      <c r="AM166" s="83"/>
      <c r="AN166" s="84"/>
      <c r="AO166" s="84"/>
      <c r="AP166" s="82"/>
      <c r="AQ166" s="82"/>
      <c r="AR166" s="82"/>
      <c r="AS166" s="82"/>
      <c r="AT166" s="67"/>
      <c r="AU166" s="322"/>
      <c r="AV166" s="67"/>
      <c r="AW166" s="67"/>
      <c r="AX166" s="67"/>
      <c r="AY166" s="323"/>
      <c r="AZ166" s="326"/>
      <c r="BA166" s="327"/>
      <c r="BB166" s="327"/>
      <c r="BC166" s="336"/>
      <c r="BD166" s="59"/>
    </row>
    <row r="167" spans="2:56" ht="12.95" customHeight="1" x14ac:dyDescent="0.15">
      <c r="B167" s="632"/>
      <c r="C167" s="633"/>
      <c r="D167" s="60"/>
      <c r="E167" s="60"/>
      <c r="F167" s="61"/>
      <c r="G167" s="62"/>
      <c r="H167" s="63"/>
      <c r="I167" s="64"/>
      <c r="J167" s="65"/>
      <c r="K167" s="65"/>
      <c r="L167" s="65"/>
      <c r="M167" s="65"/>
      <c r="N167" s="66"/>
      <c r="O167" s="89" t="s">
        <v>131</v>
      </c>
      <c r="P167" s="67"/>
      <c r="Q167" s="67"/>
      <c r="R167" s="67"/>
      <c r="S167" s="81"/>
      <c r="T167" s="67"/>
      <c r="U167" s="82"/>
      <c r="V167" s="82"/>
      <c r="W167" s="83"/>
      <c r="X167" s="84"/>
      <c r="Y167" s="84"/>
      <c r="Z167" s="82"/>
      <c r="AA167" s="82"/>
      <c r="AB167" s="82"/>
      <c r="AC167" s="82"/>
      <c r="AD167" s="67"/>
      <c r="AE167" s="322"/>
      <c r="AF167" s="67"/>
      <c r="AG167" s="67"/>
      <c r="AH167" s="67"/>
      <c r="AI167" s="67"/>
      <c r="AJ167" s="322"/>
      <c r="AK167" s="322"/>
      <c r="AL167" s="322"/>
      <c r="AM167" s="67"/>
      <c r="AN167" s="322"/>
      <c r="AO167" s="322"/>
      <c r="AP167" s="322"/>
      <c r="AQ167" s="322"/>
      <c r="AR167" s="322"/>
      <c r="AS167" s="322"/>
      <c r="AT167" s="67"/>
      <c r="AU167" s="322"/>
      <c r="AV167" s="67"/>
      <c r="AW167" s="67"/>
      <c r="AX167" s="67"/>
      <c r="AY167" s="85"/>
      <c r="AZ167" s="86"/>
      <c r="BA167" s="87"/>
      <c r="BB167" s="87"/>
      <c r="BC167" s="88"/>
      <c r="BD167" s="59"/>
    </row>
    <row r="168" spans="2:56" ht="12.95" customHeight="1" x14ac:dyDescent="0.15">
      <c r="B168" s="632"/>
      <c r="C168" s="633"/>
      <c r="D168" s="60"/>
      <c r="E168" s="60"/>
      <c r="F168" s="61"/>
      <c r="G168" s="62"/>
      <c r="H168" s="63"/>
      <c r="I168" s="326"/>
      <c r="J168" s="327"/>
      <c r="K168" s="327"/>
      <c r="L168" s="327"/>
      <c r="M168" s="327"/>
      <c r="N168" s="328"/>
      <c r="O168" s="89" t="s">
        <v>132</v>
      </c>
      <c r="P168" s="82"/>
      <c r="Q168" s="82"/>
      <c r="R168" s="82"/>
      <c r="S168" s="82"/>
      <c r="T168" s="82"/>
      <c r="U168" s="82"/>
      <c r="V168" s="82"/>
      <c r="W168" s="83"/>
      <c r="X168" s="84"/>
      <c r="Y168" s="84"/>
      <c r="Z168" s="82"/>
      <c r="AA168" s="82"/>
      <c r="AB168" s="82"/>
      <c r="AC168" s="82"/>
      <c r="AD168" s="82"/>
      <c r="AE168" s="82"/>
      <c r="AF168" s="82"/>
      <c r="AG168" s="82"/>
      <c r="AH168" s="82"/>
      <c r="AI168" s="83"/>
      <c r="AJ168" s="84"/>
      <c r="AK168" s="84"/>
      <c r="AL168" s="82"/>
      <c r="AM168" s="83"/>
      <c r="AN168" s="84"/>
      <c r="AO168" s="84"/>
      <c r="AP168" s="82"/>
      <c r="AQ168" s="82"/>
      <c r="AR168" s="82"/>
      <c r="AS168" s="82"/>
      <c r="AT168" s="82"/>
      <c r="AU168" s="82"/>
      <c r="AV168" s="82"/>
      <c r="AW168" s="82"/>
      <c r="AX168" s="82"/>
      <c r="AY168" s="85"/>
      <c r="AZ168" s="329"/>
      <c r="BA168" s="330"/>
      <c r="BB168" s="330"/>
      <c r="BC168" s="331"/>
      <c r="BD168" s="59"/>
    </row>
    <row r="169" spans="2:56" ht="12.95" customHeight="1" x14ac:dyDescent="0.15">
      <c r="B169" s="632"/>
      <c r="C169" s="633"/>
      <c r="D169" s="60"/>
      <c r="E169" s="60"/>
      <c r="F169" s="61"/>
      <c r="G169" s="62"/>
      <c r="H169" s="63"/>
      <c r="I169" s="64"/>
      <c r="J169" s="65"/>
      <c r="K169" s="65"/>
      <c r="L169" s="65"/>
      <c r="M169" s="65"/>
      <c r="N169" s="66"/>
      <c r="O169" s="90" t="s">
        <v>133</v>
      </c>
      <c r="P169" s="67"/>
      <c r="Q169" s="67"/>
      <c r="R169" s="67"/>
      <c r="S169" s="81"/>
      <c r="T169" s="67"/>
      <c r="U169" s="82"/>
      <c r="V169" s="82"/>
      <c r="W169" s="83"/>
      <c r="X169" s="84"/>
      <c r="Y169" s="84"/>
      <c r="Z169" s="82"/>
      <c r="AA169" s="82"/>
      <c r="AB169" s="82"/>
      <c r="AC169" s="82"/>
      <c r="AD169" s="82"/>
      <c r="AE169" s="82"/>
      <c r="AF169" s="82"/>
      <c r="AG169" s="82"/>
      <c r="AH169" s="82"/>
      <c r="AI169" s="83"/>
      <c r="AJ169" s="84"/>
      <c r="AK169" s="84"/>
      <c r="AL169" s="82"/>
      <c r="AM169" s="83"/>
      <c r="AN169" s="84"/>
      <c r="AO169" s="84"/>
      <c r="AP169" s="82"/>
      <c r="AQ169" s="322"/>
      <c r="AR169" s="322"/>
      <c r="AS169" s="322"/>
      <c r="AT169" s="82"/>
      <c r="AU169" s="82"/>
      <c r="AV169" s="82"/>
      <c r="AW169" s="82"/>
      <c r="AX169" s="82"/>
      <c r="AY169" s="85"/>
      <c r="AZ169" s="86"/>
      <c r="BA169" s="87"/>
      <c r="BB169" s="87"/>
      <c r="BC169" s="88"/>
      <c r="BD169" s="59"/>
    </row>
    <row r="170" spans="2:56" ht="12.95" customHeight="1" x14ac:dyDescent="0.15">
      <c r="B170" s="632"/>
      <c r="C170" s="1230"/>
      <c r="D170" s="1231"/>
      <c r="E170" s="1231"/>
      <c r="F170" s="1232"/>
      <c r="G170" s="1233"/>
      <c r="H170" s="1234"/>
      <c r="I170" s="64"/>
      <c r="J170" s="65"/>
      <c r="K170" s="65"/>
      <c r="L170" s="65"/>
      <c r="M170" s="65"/>
      <c r="N170" s="66"/>
      <c r="O170" s="67" t="s">
        <v>134</v>
      </c>
      <c r="P170" s="67"/>
      <c r="Q170" s="67"/>
      <c r="R170" s="67"/>
      <c r="S170" s="81"/>
      <c r="T170" s="67"/>
      <c r="U170" s="67"/>
      <c r="V170" s="322"/>
      <c r="W170" s="67"/>
      <c r="X170" s="322"/>
      <c r="Y170" s="322"/>
      <c r="Z170" s="322"/>
      <c r="AA170" s="322"/>
      <c r="AB170" s="322"/>
      <c r="AC170" s="322"/>
      <c r="AD170" s="67"/>
      <c r="AE170" s="322"/>
      <c r="AF170" s="67"/>
      <c r="AG170" s="67"/>
      <c r="AH170" s="67"/>
      <c r="AI170" s="67"/>
      <c r="AJ170" s="322"/>
      <c r="AK170" s="84"/>
      <c r="AL170" s="322"/>
      <c r="AM170" s="67"/>
      <c r="AN170" s="322"/>
      <c r="AO170" s="322"/>
      <c r="AP170" s="322"/>
      <c r="AQ170" s="82"/>
      <c r="AR170" s="82"/>
      <c r="AS170" s="82"/>
      <c r="AT170" s="67"/>
      <c r="AU170" s="322"/>
      <c r="AV170" s="67"/>
      <c r="AW170" s="67"/>
      <c r="AX170" s="67"/>
      <c r="AY170" s="323"/>
      <c r="AZ170" s="64"/>
      <c r="BA170" s="65"/>
      <c r="BB170" s="65"/>
      <c r="BC170" s="72"/>
      <c r="BD170" s="59"/>
    </row>
    <row r="171" spans="2:56" ht="12.95" customHeight="1" x14ac:dyDescent="0.15">
      <c r="B171" s="632"/>
      <c r="C171" s="1230"/>
      <c r="D171" s="1231"/>
      <c r="E171" s="1231"/>
      <c r="F171" s="1232"/>
      <c r="G171" s="1233"/>
      <c r="H171" s="1234"/>
      <c r="I171" s="64"/>
      <c r="J171" s="65"/>
      <c r="K171" s="65"/>
      <c r="L171" s="65"/>
      <c r="M171" s="65"/>
      <c r="N171" s="66"/>
      <c r="O171" s="67" t="s">
        <v>135</v>
      </c>
      <c r="P171" s="82"/>
      <c r="Q171" s="82"/>
      <c r="R171" s="67"/>
      <c r="S171" s="81"/>
      <c r="T171" s="67"/>
      <c r="U171" s="67"/>
      <c r="V171" s="322"/>
      <c r="W171" s="67"/>
      <c r="X171" s="322"/>
      <c r="Y171" s="322"/>
      <c r="Z171" s="322"/>
      <c r="AA171" s="322"/>
      <c r="AB171" s="322"/>
      <c r="AC171" s="322"/>
      <c r="AD171" s="67"/>
      <c r="AE171" s="322"/>
      <c r="AF171" s="67"/>
      <c r="AG171" s="67"/>
      <c r="AH171" s="67"/>
      <c r="AI171" s="67"/>
      <c r="AJ171" s="322"/>
      <c r="AK171" s="322"/>
      <c r="AL171" s="322"/>
      <c r="AM171" s="67"/>
      <c r="AN171" s="322"/>
      <c r="AO171" s="322"/>
      <c r="AP171" s="322"/>
      <c r="AQ171" s="82"/>
      <c r="AR171" s="82"/>
      <c r="AS171" s="82"/>
      <c r="AT171" s="67"/>
      <c r="AU171" s="322"/>
      <c r="AV171" s="67"/>
      <c r="AW171" s="67"/>
      <c r="AX171" s="67"/>
      <c r="AY171" s="323"/>
      <c r="AZ171" s="64"/>
      <c r="BA171" s="65"/>
      <c r="BB171" s="65"/>
      <c r="BC171" s="72"/>
      <c r="BD171" s="59"/>
    </row>
    <row r="172" spans="2:56" ht="12.95" customHeight="1" x14ac:dyDescent="0.15">
      <c r="B172" s="632"/>
      <c r="C172" s="1239">
        <v>45631</v>
      </c>
      <c r="D172" s="1240"/>
      <c r="E172" s="1240"/>
      <c r="F172" s="1241"/>
      <c r="G172" s="1281">
        <v>1.7</v>
      </c>
      <c r="H172" s="1282"/>
      <c r="I172" s="758"/>
      <c r="J172" s="703"/>
      <c r="K172" s="703"/>
      <c r="L172" s="703"/>
      <c r="M172" s="703"/>
      <c r="N172" s="724"/>
      <c r="O172" s="701" t="s">
        <v>52</v>
      </c>
      <c r="P172" s="701"/>
      <c r="Q172" s="701"/>
      <c r="R172" s="701"/>
      <c r="S172" s="702"/>
      <c r="T172" s="701"/>
      <c r="U172" s="704"/>
      <c r="V172" s="704"/>
      <c r="W172" s="705"/>
      <c r="X172" s="706"/>
      <c r="Y172" s="706"/>
      <c r="Z172" s="704"/>
      <c r="AA172" s="704"/>
      <c r="AB172" s="704"/>
      <c r="AC172" s="704"/>
      <c r="AD172" s="704"/>
      <c r="AE172" s="704"/>
      <c r="AF172" s="704"/>
      <c r="AG172" s="704"/>
      <c r="AH172" s="704"/>
      <c r="AI172" s="705"/>
      <c r="AJ172" s="706"/>
      <c r="AK172" s="706"/>
      <c r="AL172" s="704"/>
      <c r="AM172" s="705"/>
      <c r="AN172" s="706"/>
      <c r="AO172" s="706"/>
      <c r="AP172" s="704"/>
      <c r="AQ172" s="700"/>
      <c r="AR172" s="700"/>
      <c r="AS172" s="700"/>
      <c r="AT172" s="704"/>
      <c r="AU172" s="704"/>
      <c r="AV172" s="704"/>
      <c r="AW172" s="704"/>
      <c r="AX172" s="704"/>
      <c r="AY172" s="725"/>
      <c r="AZ172" s="703" t="s">
        <v>25</v>
      </c>
      <c r="BA172" s="703"/>
      <c r="BB172" s="703"/>
      <c r="BC172" s="723"/>
      <c r="BD172" s="59"/>
    </row>
    <row r="173" spans="2:56" ht="12.95" customHeight="1" x14ac:dyDescent="0.15">
      <c r="B173" s="632"/>
      <c r="C173" s="1230"/>
      <c r="D173" s="1231"/>
      <c r="E173" s="1231"/>
      <c r="F173" s="1232"/>
      <c r="G173" s="1233"/>
      <c r="H173" s="1234"/>
      <c r="I173" s="64"/>
      <c r="J173" s="65"/>
      <c r="K173" s="65"/>
      <c r="L173" s="65"/>
      <c r="M173" s="65"/>
      <c r="N173" s="66"/>
      <c r="O173" s="67" t="s">
        <v>27</v>
      </c>
      <c r="P173" s="67"/>
      <c r="Q173" s="67"/>
      <c r="R173" s="67"/>
      <c r="S173" s="81"/>
      <c r="T173" s="67"/>
      <c r="U173" s="67"/>
      <c r="V173" s="322"/>
      <c r="W173" s="67"/>
      <c r="X173" s="322"/>
      <c r="Y173" s="322"/>
      <c r="Z173" s="322"/>
      <c r="AA173" s="322"/>
      <c r="AB173" s="322"/>
      <c r="AC173" s="322"/>
      <c r="AD173" s="67"/>
      <c r="AE173" s="322"/>
      <c r="AF173" s="67"/>
      <c r="AG173" s="67"/>
      <c r="AH173" s="67"/>
      <c r="AI173" s="67"/>
      <c r="AJ173" s="322"/>
      <c r="AK173" s="322"/>
      <c r="AL173" s="322"/>
      <c r="AM173" s="67"/>
      <c r="AN173" s="322"/>
      <c r="AO173" s="322"/>
      <c r="AP173" s="322"/>
      <c r="AQ173" s="82"/>
      <c r="AR173" s="82"/>
      <c r="AS173" s="82"/>
      <c r="AT173" s="67"/>
      <c r="AU173" s="322"/>
      <c r="AV173" s="67"/>
      <c r="AW173" s="67"/>
      <c r="AX173" s="67"/>
      <c r="AY173" s="323"/>
      <c r="AZ173" s="64"/>
      <c r="BA173" s="65"/>
      <c r="BB173" s="65"/>
      <c r="BC173" s="72"/>
      <c r="BD173" s="59"/>
    </row>
    <row r="174" spans="2:56" ht="12.95" customHeight="1" x14ac:dyDescent="0.15">
      <c r="B174" s="632"/>
      <c r="C174" s="633"/>
      <c r="D174" s="60"/>
      <c r="E174" s="60"/>
      <c r="F174" s="61"/>
      <c r="G174" s="62"/>
      <c r="H174" s="63"/>
      <c r="I174" s="64"/>
      <c r="J174" s="65"/>
      <c r="K174" s="65"/>
      <c r="L174" s="65"/>
      <c r="M174" s="65"/>
      <c r="N174" s="65"/>
      <c r="O174" s="90" t="s">
        <v>136</v>
      </c>
      <c r="P174" s="67"/>
      <c r="Q174" s="67"/>
      <c r="R174" s="67"/>
      <c r="S174" s="81"/>
      <c r="T174" s="67"/>
      <c r="U174" s="82"/>
      <c r="V174" s="82"/>
      <c r="W174" s="83"/>
      <c r="X174" s="84"/>
      <c r="Y174" s="84"/>
      <c r="Z174" s="82"/>
      <c r="AA174" s="82"/>
      <c r="AB174" s="82"/>
      <c r="AC174" s="82"/>
      <c r="AD174" s="82"/>
      <c r="AE174" s="82"/>
      <c r="AF174" s="82"/>
      <c r="AG174" s="82"/>
      <c r="AH174" s="82"/>
      <c r="AI174" s="83"/>
      <c r="AJ174" s="84"/>
      <c r="AK174" s="84"/>
      <c r="AL174" s="82"/>
      <c r="AM174" s="83"/>
      <c r="AN174" s="84"/>
      <c r="AO174" s="84"/>
      <c r="AP174" s="82"/>
      <c r="AQ174" s="322"/>
      <c r="AR174" s="322"/>
      <c r="AS174" s="322"/>
      <c r="AT174" s="82"/>
      <c r="AU174" s="82"/>
      <c r="AV174" s="82"/>
      <c r="AW174" s="82"/>
      <c r="AX174" s="82"/>
      <c r="AY174" s="85"/>
      <c r="AZ174" s="86"/>
      <c r="BA174" s="87"/>
      <c r="BB174" s="87"/>
      <c r="BC174" s="88"/>
      <c r="BD174" s="59"/>
    </row>
    <row r="175" spans="2:56" ht="12.95" customHeight="1" x14ac:dyDescent="0.15">
      <c r="B175" s="632"/>
      <c r="C175" s="1239">
        <v>45645</v>
      </c>
      <c r="D175" s="1240"/>
      <c r="E175" s="1240"/>
      <c r="F175" s="1241"/>
      <c r="G175" s="1281">
        <v>1.8</v>
      </c>
      <c r="H175" s="1282"/>
      <c r="I175" s="758"/>
      <c r="J175" s="703"/>
      <c r="K175" s="703"/>
      <c r="L175" s="703"/>
      <c r="M175" s="703"/>
      <c r="N175" s="724"/>
      <c r="O175" s="701" t="s">
        <v>52</v>
      </c>
      <c r="P175" s="701"/>
      <c r="Q175" s="701"/>
      <c r="R175" s="701"/>
      <c r="S175" s="702"/>
      <c r="T175" s="701"/>
      <c r="U175" s="704"/>
      <c r="V175" s="704"/>
      <c r="W175" s="705"/>
      <c r="X175" s="706"/>
      <c r="Y175" s="706"/>
      <c r="Z175" s="704"/>
      <c r="AA175" s="704"/>
      <c r="AB175" s="704"/>
      <c r="AC175" s="704"/>
      <c r="AD175" s="704"/>
      <c r="AE175" s="704"/>
      <c r="AF175" s="704"/>
      <c r="AG175" s="704"/>
      <c r="AH175" s="704"/>
      <c r="AI175" s="705"/>
      <c r="AJ175" s="706"/>
      <c r="AK175" s="706"/>
      <c r="AL175" s="704"/>
      <c r="AM175" s="705"/>
      <c r="AN175" s="706"/>
      <c r="AO175" s="706"/>
      <c r="AP175" s="704"/>
      <c r="AQ175" s="700"/>
      <c r="AR175" s="700"/>
      <c r="AS175" s="700"/>
      <c r="AT175" s="704"/>
      <c r="AU175" s="704"/>
      <c r="AV175" s="704"/>
      <c r="AW175" s="704"/>
      <c r="AX175" s="704"/>
      <c r="AY175" s="725"/>
      <c r="AZ175" s="703" t="s">
        <v>25</v>
      </c>
      <c r="BA175" s="703"/>
      <c r="BB175" s="703"/>
      <c r="BC175" s="723"/>
      <c r="BD175" s="59"/>
    </row>
    <row r="176" spans="2:56" ht="12.95" customHeight="1" x14ac:dyDescent="0.15">
      <c r="B176" s="632"/>
      <c r="C176" s="1230"/>
      <c r="D176" s="1231"/>
      <c r="E176" s="1231"/>
      <c r="F176" s="1232"/>
      <c r="G176" s="1233"/>
      <c r="H176" s="1234"/>
      <c r="I176" s="64"/>
      <c r="J176" s="65"/>
      <c r="K176" s="65"/>
      <c r="L176" s="65"/>
      <c r="M176" s="65"/>
      <c r="N176" s="66"/>
      <c r="O176" s="90" t="s">
        <v>137</v>
      </c>
      <c r="P176" s="67"/>
      <c r="Q176" s="67"/>
      <c r="R176" s="67"/>
      <c r="S176" s="81"/>
      <c r="T176" s="67"/>
      <c r="U176" s="67"/>
      <c r="V176" s="322"/>
      <c r="W176" s="67"/>
      <c r="X176" s="322"/>
      <c r="Y176" s="322"/>
      <c r="Z176" s="322"/>
      <c r="AA176" s="322"/>
      <c r="AB176" s="322"/>
      <c r="AC176" s="322"/>
      <c r="AD176" s="67"/>
      <c r="AE176" s="322"/>
      <c r="AF176" s="67"/>
      <c r="AG176" s="67"/>
      <c r="AH176" s="67"/>
      <c r="AI176" s="67"/>
      <c r="AJ176" s="322"/>
      <c r="AK176" s="322"/>
      <c r="AL176" s="322"/>
      <c r="AM176" s="67"/>
      <c r="AN176" s="322"/>
      <c r="AO176" s="322"/>
      <c r="AP176" s="322"/>
      <c r="AQ176" s="82"/>
      <c r="AR176" s="82"/>
      <c r="AS176" s="82"/>
      <c r="AT176" s="67"/>
      <c r="AU176" s="322"/>
      <c r="AV176" s="67"/>
      <c r="AW176" s="67"/>
      <c r="AX176" s="67"/>
      <c r="AY176" s="323"/>
      <c r="AZ176" s="64"/>
      <c r="BA176" s="65"/>
      <c r="BB176" s="65"/>
      <c r="BC176" s="72"/>
      <c r="BD176" s="59"/>
    </row>
    <row r="177" spans="2:56" ht="12.95" customHeight="1" x14ac:dyDescent="0.15">
      <c r="B177" s="632"/>
      <c r="C177" s="633"/>
      <c r="D177" s="60"/>
      <c r="E177" s="60"/>
      <c r="F177" s="61"/>
      <c r="G177" s="62"/>
      <c r="H177" s="63"/>
      <c r="I177" s="64"/>
      <c r="J177" s="65"/>
      <c r="K177" s="65"/>
      <c r="L177" s="65"/>
      <c r="M177" s="65"/>
      <c r="N177" s="66"/>
      <c r="O177" s="67" t="s">
        <v>138</v>
      </c>
      <c r="P177" s="67"/>
      <c r="Q177" s="67"/>
      <c r="R177" s="67"/>
      <c r="S177" s="81"/>
      <c r="T177" s="67"/>
      <c r="U177" s="82"/>
      <c r="V177" s="82"/>
      <c r="W177" s="83"/>
      <c r="X177" s="84"/>
      <c r="Y177" s="84"/>
      <c r="Z177" s="82"/>
      <c r="AA177" s="82"/>
      <c r="AB177" s="82"/>
      <c r="AC177" s="82"/>
      <c r="AD177" s="82"/>
      <c r="AE177" s="82"/>
      <c r="AF177" s="82"/>
      <c r="AG177" s="82"/>
      <c r="AH177" s="82"/>
      <c r="AI177" s="83"/>
      <c r="AJ177" s="84"/>
      <c r="AK177" s="84"/>
      <c r="AL177" s="82"/>
      <c r="AM177" s="83"/>
      <c r="AN177" s="84"/>
      <c r="AO177" s="84"/>
      <c r="AP177" s="82"/>
      <c r="AQ177" s="322"/>
      <c r="AR177" s="322"/>
      <c r="AS177" s="322"/>
      <c r="AT177" s="82"/>
      <c r="AU177" s="82"/>
      <c r="AV177" s="82"/>
      <c r="AW177" s="82"/>
      <c r="AX177" s="82"/>
      <c r="AY177" s="85"/>
      <c r="AZ177" s="86"/>
      <c r="BA177" s="87"/>
      <c r="BB177" s="87"/>
      <c r="BC177" s="88"/>
      <c r="BD177" s="59"/>
    </row>
    <row r="178" spans="2:56" ht="12.95" customHeight="1" x14ac:dyDescent="0.15">
      <c r="B178" s="632"/>
      <c r="C178" s="1275"/>
      <c r="D178" s="1276"/>
      <c r="E178" s="1276"/>
      <c r="F178" s="1277"/>
      <c r="G178" s="1278"/>
      <c r="H178" s="1280"/>
      <c r="I178" s="746"/>
      <c r="J178" s="747"/>
      <c r="K178" s="747"/>
      <c r="L178" s="747"/>
      <c r="M178" s="747"/>
      <c r="N178" s="674"/>
      <c r="O178" s="759" t="s">
        <v>139</v>
      </c>
      <c r="P178" s="759"/>
      <c r="Q178" s="759"/>
      <c r="R178" s="759"/>
      <c r="S178" s="760"/>
      <c r="T178" s="759"/>
      <c r="U178" s="749"/>
      <c r="V178" s="749"/>
      <c r="W178" s="750"/>
      <c r="X178" s="761"/>
      <c r="Y178" s="761"/>
      <c r="Z178" s="749"/>
      <c r="AA178" s="749"/>
      <c r="AB178" s="749"/>
      <c r="AC178" s="749"/>
      <c r="AD178" s="749"/>
      <c r="AE178" s="749"/>
      <c r="AF178" s="749"/>
      <c r="AG178" s="749"/>
      <c r="AH178" s="749"/>
      <c r="AI178" s="750"/>
      <c r="AJ178" s="761"/>
      <c r="AK178" s="761"/>
      <c r="AL178" s="749"/>
      <c r="AM178" s="750"/>
      <c r="AN178" s="761"/>
      <c r="AO178" s="761"/>
      <c r="AP178" s="749"/>
      <c r="AQ178" s="762"/>
      <c r="AR178" s="762"/>
      <c r="AS178" s="762"/>
      <c r="AT178" s="749"/>
      <c r="AU178" s="749"/>
      <c r="AV178" s="749"/>
      <c r="AW178" s="749"/>
      <c r="AX178" s="749"/>
      <c r="AY178" s="675"/>
      <c r="AZ178" s="751"/>
      <c r="BA178" s="752"/>
      <c r="BB178" s="752"/>
      <c r="BC178" s="753"/>
      <c r="BD178" s="59"/>
    </row>
    <row r="179" spans="2:56" ht="12.95" customHeight="1" x14ac:dyDescent="0.15">
      <c r="B179" s="632"/>
      <c r="C179" s="1239">
        <v>45652</v>
      </c>
      <c r="D179" s="1240"/>
      <c r="E179" s="1240"/>
      <c r="F179" s="1241"/>
      <c r="G179" s="1281">
        <v>1.9</v>
      </c>
      <c r="H179" s="1282"/>
      <c r="I179" s="758"/>
      <c r="J179" s="703"/>
      <c r="K179" s="703"/>
      <c r="L179" s="703"/>
      <c r="M179" s="703"/>
      <c r="N179" s="724"/>
      <c r="O179" s="701" t="s">
        <v>52</v>
      </c>
      <c r="P179" s="701"/>
      <c r="Q179" s="701"/>
      <c r="R179" s="701"/>
      <c r="S179" s="702"/>
      <c r="T179" s="701"/>
      <c r="U179" s="704"/>
      <c r="V179" s="704"/>
      <c r="W179" s="705"/>
      <c r="X179" s="706"/>
      <c r="Y179" s="706"/>
      <c r="Z179" s="704"/>
      <c r="AA179" s="704"/>
      <c r="AB179" s="704"/>
      <c r="AC179" s="704"/>
      <c r="AD179" s="704"/>
      <c r="AE179" s="704"/>
      <c r="AF179" s="704"/>
      <c r="AG179" s="704"/>
      <c r="AH179" s="704"/>
      <c r="AI179" s="705"/>
      <c r="AJ179" s="706"/>
      <c r="AK179" s="706"/>
      <c r="AL179" s="704"/>
      <c r="AM179" s="705"/>
      <c r="AN179" s="706"/>
      <c r="AO179" s="706"/>
      <c r="AP179" s="704"/>
      <c r="AQ179" s="700"/>
      <c r="AR179" s="700"/>
      <c r="AS179" s="700"/>
      <c r="AT179" s="704"/>
      <c r="AU179" s="704"/>
      <c r="AV179" s="704"/>
      <c r="AW179" s="704"/>
      <c r="AX179" s="704"/>
      <c r="AY179" s="725"/>
      <c r="AZ179" s="703" t="s">
        <v>25</v>
      </c>
      <c r="BA179" s="703"/>
      <c r="BB179" s="703"/>
      <c r="BC179" s="723"/>
      <c r="BD179" s="59"/>
    </row>
    <row r="180" spans="2:56" ht="12.95" customHeight="1" x14ac:dyDescent="0.15">
      <c r="B180" s="632"/>
      <c r="C180" s="1230"/>
      <c r="D180" s="1231"/>
      <c r="E180" s="1231"/>
      <c r="F180" s="1232"/>
      <c r="G180" s="1233"/>
      <c r="H180" s="1234"/>
      <c r="I180" s="64"/>
      <c r="J180" s="65"/>
      <c r="K180" s="65"/>
      <c r="L180" s="65"/>
      <c r="M180" s="65"/>
      <c r="N180" s="66"/>
      <c r="O180" s="90" t="s">
        <v>27</v>
      </c>
      <c r="P180" s="67"/>
      <c r="Q180" s="67"/>
      <c r="R180" s="67"/>
      <c r="S180" s="81"/>
      <c r="T180" s="67"/>
      <c r="U180" s="67"/>
      <c r="V180" s="322"/>
      <c r="W180" s="67"/>
      <c r="X180" s="322"/>
      <c r="Y180" s="322"/>
      <c r="Z180" s="322"/>
      <c r="AA180" s="322"/>
      <c r="AB180" s="322"/>
      <c r="AC180" s="322"/>
      <c r="AD180" s="67"/>
      <c r="AE180" s="322"/>
      <c r="AF180" s="67"/>
      <c r="AG180" s="67"/>
      <c r="AH180" s="67"/>
      <c r="AI180" s="67"/>
      <c r="AJ180" s="322"/>
      <c r="AK180" s="322"/>
      <c r="AL180" s="322"/>
      <c r="AM180" s="67"/>
      <c r="AN180" s="322"/>
      <c r="AO180" s="322"/>
      <c r="AP180" s="322"/>
      <c r="AQ180" s="82"/>
      <c r="AR180" s="82"/>
      <c r="AS180" s="82"/>
      <c r="AT180" s="67"/>
      <c r="AU180" s="322"/>
      <c r="AV180" s="67"/>
      <c r="AW180" s="67"/>
      <c r="AX180" s="67"/>
      <c r="AY180" s="323"/>
      <c r="AZ180" s="64"/>
      <c r="BA180" s="65"/>
      <c r="BB180" s="65"/>
      <c r="BC180" s="72"/>
      <c r="BD180" s="59"/>
    </row>
    <row r="181" spans="2:56" ht="12.95" customHeight="1" x14ac:dyDescent="0.15">
      <c r="B181" s="632"/>
      <c r="C181" s="633"/>
      <c r="D181" s="60"/>
      <c r="E181" s="60"/>
      <c r="F181" s="61"/>
      <c r="G181" s="62"/>
      <c r="H181" s="63"/>
      <c r="I181" s="64"/>
      <c r="J181" s="65"/>
      <c r="K181" s="65"/>
      <c r="L181" s="65"/>
      <c r="M181" s="65"/>
      <c r="N181" s="66"/>
      <c r="O181" s="67" t="s">
        <v>140</v>
      </c>
      <c r="P181" s="67"/>
      <c r="Q181" s="67"/>
      <c r="R181" s="67"/>
      <c r="S181" s="81"/>
      <c r="T181" s="67"/>
      <c r="U181" s="82"/>
      <c r="V181" s="82"/>
      <c r="W181" s="83"/>
      <c r="X181" s="84"/>
      <c r="Y181" s="84"/>
      <c r="Z181" s="82"/>
      <c r="AA181" s="82"/>
      <c r="AB181" s="82"/>
      <c r="AC181" s="82"/>
      <c r="AD181" s="82"/>
      <c r="AE181" s="82"/>
      <c r="AF181" s="82"/>
      <c r="AG181" s="82"/>
      <c r="AH181" s="82"/>
      <c r="AI181" s="83"/>
      <c r="AJ181" s="84"/>
      <c r="AK181" s="84"/>
      <c r="AL181" s="82"/>
      <c r="AM181" s="83"/>
      <c r="AN181" s="84"/>
      <c r="AO181" s="84"/>
      <c r="AP181" s="82"/>
      <c r="AQ181" s="322"/>
      <c r="AR181" s="322"/>
      <c r="AS181" s="322"/>
      <c r="AT181" s="82"/>
      <c r="AU181" s="82"/>
      <c r="AV181" s="82"/>
      <c r="AW181" s="82"/>
      <c r="AX181" s="82"/>
      <c r="AY181" s="85"/>
      <c r="AZ181" s="86"/>
      <c r="BA181" s="87"/>
      <c r="BB181" s="87"/>
      <c r="BC181" s="88"/>
      <c r="BD181" s="59"/>
    </row>
    <row r="182" spans="2:56" ht="12.95" customHeight="1" x14ac:dyDescent="0.15">
      <c r="B182" s="632"/>
      <c r="C182" s="1230"/>
      <c r="D182" s="1231"/>
      <c r="E182" s="1231"/>
      <c r="F182" s="1232"/>
      <c r="G182" s="1233"/>
      <c r="H182" s="1235"/>
      <c r="I182" s="64"/>
      <c r="J182" s="65"/>
      <c r="K182" s="65"/>
      <c r="L182" s="65"/>
      <c r="M182" s="65"/>
      <c r="N182" s="66"/>
      <c r="O182" s="67" t="s">
        <v>141</v>
      </c>
      <c r="P182" s="67"/>
      <c r="Q182" s="67"/>
      <c r="R182" s="67"/>
      <c r="S182" s="81"/>
      <c r="T182" s="67"/>
      <c r="U182" s="82"/>
      <c r="V182" s="82"/>
      <c r="W182" s="83"/>
      <c r="X182" s="84"/>
      <c r="Y182" s="84"/>
      <c r="Z182" s="82"/>
      <c r="AA182" s="82"/>
      <c r="AB182" s="82"/>
      <c r="AC182" s="82"/>
      <c r="AD182" s="82"/>
      <c r="AE182" s="82"/>
      <c r="AF182" s="82"/>
      <c r="AG182" s="82"/>
      <c r="AH182" s="82"/>
      <c r="AI182" s="83"/>
      <c r="AJ182" s="84"/>
      <c r="AK182" s="84"/>
      <c r="AL182" s="82"/>
      <c r="AM182" s="83"/>
      <c r="AN182" s="84"/>
      <c r="AO182" s="84"/>
      <c r="AP182" s="82"/>
      <c r="AQ182" s="322"/>
      <c r="AR182" s="322"/>
      <c r="AS182" s="322"/>
      <c r="AT182" s="82"/>
      <c r="AU182" s="82"/>
      <c r="AV182" s="82"/>
      <c r="AW182" s="82"/>
      <c r="AX182" s="82"/>
      <c r="AY182" s="85"/>
      <c r="AZ182" s="86"/>
      <c r="BA182" s="87"/>
      <c r="BB182" s="87"/>
      <c r="BC182" s="88"/>
      <c r="BD182" s="59"/>
    </row>
    <row r="183" spans="2:56" ht="12.95" customHeight="1" x14ac:dyDescent="0.15">
      <c r="B183" s="632"/>
      <c r="C183" s="1230"/>
      <c r="D183" s="1231"/>
      <c r="E183" s="1231"/>
      <c r="F183" s="1232"/>
      <c r="G183" s="1233"/>
      <c r="H183" s="1234"/>
      <c r="I183" s="64"/>
      <c r="J183" s="65"/>
      <c r="K183" s="65"/>
      <c r="L183" s="65"/>
      <c r="M183" s="65"/>
      <c r="N183" s="66"/>
      <c r="O183" s="67" t="s">
        <v>142</v>
      </c>
      <c r="P183" s="67"/>
      <c r="Q183" s="67"/>
      <c r="R183" s="67"/>
      <c r="S183" s="81"/>
      <c r="T183" s="67"/>
      <c r="U183" s="67"/>
      <c r="V183" s="322"/>
      <c r="W183" s="67"/>
      <c r="X183" s="322"/>
      <c r="Y183" s="322"/>
      <c r="Z183" s="322"/>
      <c r="AA183" s="322"/>
      <c r="AB183" s="322"/>
      <c r="AC183" s="322"/>
      <c r="AD183" s="67"/>
      <c r="AE183" s="322"/>
      <c r="AF183" s="67"/>
      <c r="AG183" s="67"/>
      <c r="AH183" s="67"/>
      <c r="AI183" s="67"/>
      <c r="AJ183" s="322"/>
      <c r="AK183" s="322"/>
      <c r="AL183" s="322"/>
      <c r="AM183" s="67"/>
      <c r="AN183" s="322"/>
      <c r="AO183" s="322"/>
      <c r="AP183" s="322"/>
      <c r="AQ183" s="82"/>
      <c r="AR183" s="82"/>
      <c r="AS183" s="82"/>
      <c r="AT183" s="67"/>
      <c r="AU183" s="322"/>
      <c r="AV183" s="67"/>
      <c r="AW183" s="67"/>
      <c r="AX183" s="67"/>
      <c r="AY183" s="323"/>
      <c r="AZ183" s="64"/>
      <c r="BA183" s="65"/>
      <c r="BB183" s="65"/>
      <c r="BC183" s="72"/>
      <c r="BD183" s="59"/>
    </row>
    <row r="184" spans="2:56" ht="12.95" customHeight="1" x14ac:dyDescent="0.15">
      <c r="B184" s="632"/>
      <c r="C184" s="633"/>
      <c r="D184" s="60"/>
      <c r="E184" s="60"/>
      <c r="F184" s="61"/>
      <c r="G184" s="62"/>
      <c r="H184" s="63"/>
      <c r="I184" s="64"/>
      <c r="J184" s="65"/>
      <c r="K184" s="65"/>
      <c r="L184" s="65"/>
      <c r="M184" s="65"/>
      <c r="N184" s="66"/>
      <c r="O184" s="67" t="s">
        <v>143</v>
      </c>
      <c r="P184" s="67"/>
      <c r="Q184" s="67"/>
      <c r="R184" s="67"/>
      <c r="S184" s="81"/>
      <c r="T184" s="67"/>
      <c r="U184" s="82"/>
      <c r="V184" s="82"/>
      <c r="W184" s="83"/>
      <c r="X184" s="84"/>
      <c r="Y184" s="84"/>
      <c r="Z184" s="82"/>
      <c r="AA184" s="82"/>
      <c r="AB184" s="82"/>
      <c r="AC184" s="82"/>
      <c r="AD184" s="82"/>
      <c r="AE184" s="82"/>
      <c r="AF184" s="82"/>
      <c r="AG184" s="82"/>
      <c r="AH184" s="82"/>
      <c r="AI184" s="83"/>
      <c r="AJ184" s="84"/>
      <c r="AK184" s="84"/>
      <c r="AL184" s="82"/>
      <c r="AM184" s="83"/>
      <c r="AN184" s="84"/>
      <c r="AO184" s="84"/>
      <c r="AP184" s="82"/>
      <c r="AQ184" s="322"/>
      <c r="AR184" s="322"/>
      <c r="AS184" s="322"/>
      <c r="AT184" s="82"/>
      <c r="AU184" s="82"/>
      <c r="AV184" s="82"/>
      <c r="AW184" s="82"/>
      <c r="AX184" s="82"/>
      <c r="AY184" s="85"/>
      <c r="AZ184" s="86"/>
      <c r="BA184" s="87"/>
      <c r="BB184" s="87"/>
      <c r="BC184" s="88"/>
      <c r="BD184" s="59"/>
    </row>
    <row r="185" spans="2:56" ht="12.95" customHeight="1" x14ac:dyDescent="0.15">
      <c r="B185" s="632"/>
      <c r="C185" s="1230"/>
      <c r="D185" s="1231"/>
      <c r="E185" s="1231"/>
      <c r="F185" s="1232"/>
      <c r="G185" s="1233"/>
      <c r="H185" s="1234"/>
      <c r="I185" s="64"/>
      <c r="J185" s="65"/>
      <c r="K185" s="65"/>
      <c r="L185" s="65"/>
      <c r="M185" s="65"/>
      <c r="N185" s="66"/>
      <c r="O185" s="67" t="s">
        <v>144</v>
      </c>
      <c r="P185" s="67"/>
      <c r="Q185" s="67"/>
      <c r="R185" s="67"/>
      <c r="S185" s="81"/>
      <c r="T185" s="67"/>
      <c r="U185" s="67"/>
      <c r="V185" s="322"/>
      <c r="W185" s="67"/>
      <c r="X185" s="322"/>
      <c r="Y185" s="322"/>
      <c r="Z185" s="322"/>
      <c r="AA185" s="322"/>
      <c r="AB185" s="322"/>
      <c r="AC185" s="322"/>
      <c r="AD185" s="67"/>
      <c r="AE185" s="322"/>
      <c r="AF185" s="67"/>
      <c r="AG185" s="67"/>
      <c r="AH185" s="67"/>
      <c r="AI185" s="67"/>
      <c r="AJ185" s="322"/>
      <c r="AK185" s="84"/>
      <c r="AL185" s="322"/>
      <c r="AM185" s="67"/>
      <c r="AN185" s="322"/>
      <c r="AO185" s="322"/>
      <c r="AP185" s="322"/>
      <c r="AQ185" s="82"/>
      <c r="AR185" s="82"/>
      <c r="AS185" s="82"/>
      <c r="AT185" s="67"/>
      <c r="AU185" s="322"/>
      <c r="AV185" s="67"/>
      <c r="AW185" s="67"/>
      <c r="AX185" s="67"/>
      <c r="AY185" s="323"/>
      <c r="AZ185" s="64"/>
      <c r="BA185" s="65"/>
      <c r="BB185" s="65"/>
      <c r="BC185" s="72"/>
      <c r="BD185" s="59"/>
    </row>
    <row r="186" spans="2:56" ht="12.95" customHeight="1" x14ac:dyDescent="0.15">
      <c r="B186" s="632"/>
      <c r="C186" s="1230"/>
      <c r="D186" s="1231"/>
      <c r="E186" s="1231"/>
      <c r="F186" s="1232"/>
      <c r="G186" s="1233"/>
      <c r="H186" s="1234"/>
      <c r="I186" s="1272"/>
      <c r="J186" s="1273"/>
      <c r="K186" s="1273"/>
      <c r="L186" s="1273"/>
      <c r="M186" s="1273"/>
      <c r="N186" s="1274"/>
      <c r="O186" s="67" t="s">
        <v>145</v>
      </c>
      <c r="P186" s="82"/>
      <c r="Q186" s="82"/>
      <c r="R186" s="82"/>
      <c r="S186" s="81"/>
      <c r="T186" s="67"/>
      <c r="U186" s="67"/>
      <c r="V186" s="322"/>
      <c r="W186" s="67"/>
      <c r="X186" s="322"/>
      <c r="Y186" s="322"/>
      <c r="Z186" s="322"/>
      <c r="AA186" s="322"/>
      <c r="AB186" s="322"/>
      <c r="AC186" s="322"/>
      <c r="AD186" s="67"/>
      <c r="AE186" s="322"/>
      <c r="AF186" s="67"/>
      <c r="AG186" s="67"/>
      <c r="AH186" s="67"/>
      <c r="AI186" s="67"/>
      <c r="AJ186" s="322"/>
      <c r="AK186" s="322"/>
      <c r="AL186" s="322"/>
      <c r="AM186" s="67"/>
      <c r="AN186" s="322"/>
      <c r="AO186" s="322"/>
      <c r="AP186" s="322"/>
      <c r="AQ186" s="322"/>
      <c r="AR186" s="322"/>
      <c r="AS186" s="322"/>
      <c r="AT186" s="67"/>
      <c r="AU186" s="322"/>
      <c r="AV186" s="67"/>
      <c r="AW186" s="67"/>
      <c r="AX186" s="67"/>
      <c r="AY186" s="323"/>
      <c r="AZ186" s="64"/>
      <c r="BA186" s="65"/>
      <c r="BB186" s="65"/>
      <c r="BC186" s="72"/>
      <c r="BD186" s="59"/>
    </row>
    <row r="187" spans="2:56" ht="12.95" customHeight="1" x14ac:dyDescent="0.15">
      <c r="B187" s="632"/>
      <c r="C187" s="633"/>
      <c r="D187" s="60"/>
      <c r="E187" s="60"/>
      <c r="F187" s="61"/>
      <c r="G187" s="62"/>
      <c r="H187" s="63"/>
      <c r="I187" s="64"/>
      <c r="J187" s="65"/>
      <c r="K187" s="65"/>
      <c r="L187" s="65"/>
      <c r="M187" s="65"/>
      <c r="N187" s="66"/>
      <c r="O187" s="67" t="s">
        <v>146</v>
      </c>
      <c r="P187" s="67"/>
      <c r="Q187" s="67"/>
      <c r="R187" s="67"/>
      <c r="S187" s="81"/>
      <c r="T187" s="67"/>
      <c r="U187" s="82"/>
      <c r="V187" s="82"/>
      <c r="W187" s="83"/>
      <c r="X187" s="84"/>
      <c r="Y187" s="84"/>
      <c r="Z187" s="82"/>
      <c r="AA187" s="82"/>
      <c r="AB187" s="82"/>
      <c r="AC187" s="82"/>
      <c r="AD187" s="82"/>
      <c r="AE187" s="82"/>
      <c r="AF187" s="82"/>
      <c r="AG187" s="82"/>
      <c r="AH187" s="82"/>
      <c r="AI187" s="83"/>
      <c r="AJ187" s="84"/>
      <c r="AK187" s="84"/>
      <c r="AL187" s="82"/>
      <c r="AM187" s="83"/>
      <c r="AN187" s="84"/>
      <c r="AO187" s="84"/>
      <c r="AP187" s="82"/>
      <c r="AQ187" s="322"/>
      <c r="AR187" s="322"/>
      <c r="AS187" s="322"/>
      <c r="AT187" s="82"/>
      <c r="AU187" s="82"/>
      <c r="AV187" s="82"/>
      <c r="AW187" s="82"/>
      <c r="AX187" s="82"/>
      <c r="AY187" s="85"/>
      <c r="AZ187" s="86"/>
      <c r="BA187" s="87"/>
      <c r="BB187" s="87"/>
      <c r="BC187" s="88"/>
      <c r="BD187" s="59"/>
    </row>
    <row r="188" spans="2:56" ht="12.95" customHeight="1" x14ac:dyDescent="0.15">
      <c r="B188" s="632"/>
      <c r="C188" s="1230"/>
      <c r="D188" s="1231"/>
      <c r="E188" s="1231"/>
      <c r="F188" s="1232"/>
      <c r="G188" s="1233"/>
      <c r="H188" s="1234"/>
      <c r="I188" s="1272"/>
      <c r="J188" s="1273"/>
      <c r="K188" s="1273"/>
      <c r="L188" s="1273"/>
      <c r="M188" s="1273"/>
      <c r="N188" s="1274"/>
      <c r="O188" s="67" t="s">
        <v>147</v>
      </c>
      <c r="P188" s="82"/>
      <c r="Q188" s="82"/>
      <c r="R188" s="82"/>
      <c r="S188" s="81"/>
      <c r="T188" s="67"/>
      <c r="U188" s="67"/>
      <c r="V188" s="322"/>
      <c r="W188" s="67"/>
      <c r="X188" s="322"/>
      <c r="Y188" s="322"/>
      <c r="Z188" s="322"/>
      <c r="AA188" s="322"/>
      <c r="AB188" s="322"/>
      <c r="AC188" s="322"/>
      <c r="AD188" s="67"/>
      <c r="AE188" s="322"/>
      <c r="AF188" s="67"/>
      <c r="AG188" s="67"/>
      <c r="AH188" s="67"/>
      <c r="AI188" s="67"/>
      <c r="AJ188" s="322"/>
      <c r="AK188" s="322"/>
      <c r="AL188" s="322"/>
      <c r="AM188" s="67"/>
      <c r="AN188" s="322"/>
      <c r="AO188" s="322"/>
      <c r="AP188" s="322"/>
      <c r="AQ188" s="322"/>
      <c r="AR188" s="322"/>
      <c r="AS188" s="322"/>
      <c r="AT188" s="67"/>
      <c r="AU188" s="322"/>
      <c r="AV188" s="67"/>
      <c r="AW188" s="67"/>
      <c r="AX188" s="67"/>
      <c r="AY188" s="323"/>
      <c r="AZ188" s="64"/>
      <c r="BA188" s="65"/>
      <c r="BB188" s="65"/>
      <c r="BC188" s="72"/>
      <c r="BD188" s="59"/>
    </row>
    <row r="189" spans="2:56" ht="12.95" customHeight="1" x14ac:dyDescent="0.15">
      <c r="B189" s="632"/>
      <c r="C189" s="633"/>
      <c r="D189" s="60"/>
      <c r="E189" s="60"/>
      <c r="F189" s="61"/>
      <c r="G189" s="62"/>
      <c r="H189" s="63"/>
      <c r="I189" s="64"/>
      <c r="J189" s="65"/>
      <c r="K189" s="65"/>
      <c r="L189" s="65"/>
      <c r="M189" s="65"/>
      <c r="N189" s="66"/>
      <c r="O189" s="67" t="s">
        <v>148</v>
      </c>
      <c r="P189" s="67"/>
      <c r="Q189" s="67"/>
      <c r="R189" s="67"/>
      <c r="S189" s="81"/>
      <c r="T189" s="67"/>
      <c r="U189" s="82"/>
      <c r="V189" s="82"/>
      <c r="W189" s="83"/>
      <c r="X189" s="84"/>
      <c r="Y189" s="84"/>
      <c r="Z189" s="82"/>
      <c r="AA189" s="82"/>
      <c r="AB189" s="82"/>
      <c r="AC189" s="82"/>
      <c r="AD189" s="82"/>
      <c r="AE189" s="82"/>
      <c r="AF189" s="82"/>
      <c r="AG189" s="82"/>
      <c r="AH189" s="82"/>
      <c r="AI189" s="83"/>
      <c r="AJ189" s="84"/>
      <c r="AK189" s="84"/>
      <c r="AL189" s="82"/>
      <c r="AM189" s="83"/>
      <c r="AN189" s="84"/>
      <c r="AO189" s="84"/>
      <c r="AP189" s="82"/>
      <c r="AQ189" s="322"/>
      <c r="AR189" s="322"/>
      <c r="AS189" s="322"/>
      <c r="AT189" s="82"/>
      <c r="AU189" s="82"/>
      <c r="AV189" s="82"/>
      <c r="AW189" s="82"/>
      <c r="AX189" s="82"/>
      <c r="AY189" s="85"/>
      <c r="AZ189" s="86"/>
      <c r="BA189" s="87"/>
      <c r="BB189" s="87"/>
      <c r="BC189" s="88"/>
      <c r="BD189" s="59"/>
    </row>
    <row r="190" spans="2:56" ht="12.95" customHeight="1" x14ac:dyDescent="0.15">
      <c r="B190" s="632"/>
      <c r="C190" s="633"/>
      <c r="D190" s="60"/>
      <c r="E190" s="60"/>
      <c r="F190" s="61"/>
      <c r="G190" s="62"/>
      <c r="H190" s="63"/>
      <c r="I190" s="64"/>
      <c r="J190" s="65"/>
      <c r="K190" s="65"/>
      <c r="L190" s="65"/>
      <c r="M190" s="65"/>
      <c r="N190" s="66"/>
      <c r="O190" s="67" t="s">
        <v>149</v>
      </c>
      <c r="P190" s="67"/>
      <c r="Q190" s="67"/>
      <c r="R190" s="67"/>
      <c r="S190" s="81"/>
      <c r="T190" s="67"/>
      <c r="U190" s="82"/>
      <c r="V190" s="82"/>
      <c r="W190" s="83"/>
      <c r="X190" s="84"/>
      <c r="Y190" s="84"/>
      <c r="Z190" s="82"/>
      <c r="AA190" s="82"/>
      <c r="AB190" s="82"/>
      <c r="AC190" s="82"/>
      <c r="AD190" s="82"/>
      <c r="AE190" s="82"/>
      <c r="AF190" s="82"/>
      <c r="AG190" s="82"/>
      <c r="AH190" s="82"/>
      <c r="AI190" s="83"/>
      <c r="AJ190" s="84"/>
      <c r="AK190" s="84"/>
      <c r="AL190" s="82"/>
      <c r="AM190" s="83"/>
      <c r="AN190" s="84"/>
      <c r="AO190" s="84"/>
      <c r="AP190" s="82"/>
      <c r="AQ190" s="322"/>
      <c r="AR190" s="322"/>
      <c r="AS190" s="322"/>
      <c r="AT190" s="82"/>
      <c r="AU190" s="82"/>
      <c r="AV190" s="82"/>
      <c r="AW190" s="82"/>
      <c r="AX190" s="82"/>
      <c r="AY190" s="85"/>
      <c r="AZ190" s="86"/>
      <c r="BA190" s="87"/>
      <c r="BB190" s="87"/>
      <c r="BC190" s="88"/>
      <c r="BD190" s="59"/>
    </row>
    <row r="191" spans="2:56" ht="12.95" customHeight="1" x14ac:dyDescent="0.15">
      <c r="B191" s="632"/>
      <c r="C191" s="1230"/>
      <c r="D191" s="1231"/>
      <c r="E191" s="1231"/>
      <c r="F191" s="1232"/>
      <c r="G191" s="1233"/>
      <c r="H191" s="1234"/>
      <c r="I191" s="64"/>
      <c r="J191" s="65"/>
      <c r="K191" s="65"/>
      <c r="L191" s="65"/>
      <c r="M191" s="65"/>
      <c r="N191" s="66"/>
      <c r="O191" s="67" t="s">
        <v>150</v>
      </c>
      <c r="P191" s="82"/>
      <c r="Q191" s="67"/>
      <c r="R191" s="67"/>
      <c r="S191" s="81"/>
      <c r="T191" s="67"/>
      <c r="U191" s="82"/>
      <c r="V191" s="82"/>
      <c r="W191" s="83"/>
      <c r="X191" s="84"/>
      <c r="Y191" s="84"/>
      <c r="Z191" s="82"/>
      <c r="AA191" s="82"/>
      <c r="AB191" s="82"/>
      <c r="AC191" s="82"/>
      <c r="AD191" s="82"/>
      <c r="AE191" s="82"/>
      <c r="AF191" s="82"/>
      <c r="AG191" s="82"/>
      <c r="AH191" s="82"/>
      <c r="AI191" s="83"/>
      <c r="AJ191" s="84"/>
      <c r="AK191" s="84"/>
      <c r="AL191" s="82"/>
      <c r="AM191" s="83"/>
      <c r="AN191" s="84"/>
      <c r="AO191" s="84"/>
      <c r="AP191" s="82"/>
      <c r="AQ191" s="82"/>
      <c r="AR191" s="82"/>
      <c r="AS191" s="82"/>
      <c r="AT191" s="67"/>
      <c r="AU191" s="322"/>
      <c r="AV191" s="67"/>
      <c r="AW191" s="67"/>
      <c r="AX191" s="67"/>
      <c r="AY191" s="323"/>
      <c r="AZ191" s="64"/>
      <c r="BA191" s="65"/>
      <c r="BB191" s="65"/>
      <c r="BC191" s="72"/>
      <c r="BD191" s="59"/>
    </row>
    <row r="192" spans="2:56" ht="12.95" customHeight="1" x14ac:dyDescent="0.15">
      <c r="B192" s="632"/>
      <c r="C192" s="1275"/>
      <c r="D192" s="1276"/>
      <c r="E192" s="1276"/>
      <c r="F192" s="1277"/>
      <c r="G192" s="1278"/>
      <c r="H192" s="1279"/>
      <c r="I192" s="746"/>
      <c r="J192" s="747"/>
      <c r="K192" s="747"/>
      <c r="L192" s="747"/>
      <c r="M192" s="747"/>
      <c r="N192" s="674"/>
      <c r="O192" s="759" t="s">
        <v>151</v>
      </c>
      <c r="P192" s="749"/>
      <c r="Q192" s="759"/>
      <c r="R192" s="759"/>
      <c r="S192" s="760"/>
      <c r="T192" s="759"/>
      <c r="U192" s="749"/>
      <c r="V192" s="749"/>
      <c r="W192" s="750"/>
      <c r="X192" s="761"/>
      <c r="Y192" s="761"/>
      <c r="Z192" s="749"/>
      <c r="AA192" s="749"/>
      <c r="AB192" s="749"/>
      <c r="AC192" s="749"/>
      <c r="AD192" s="749"/>
      <c r="AE192" s="749"/>
      <c r="AF192" s="749"/>
      <c r="AG192" s="749"/>
      <c r="AH192" s="749"/>
      <c r="AI192" s="750"/>
      <c r="AJ192" s="761"/>
      <c r="AK192" s="761"/>
      <c r="AL192" s="749"/>
      <c r="AM192" s="750"/>
      <c r="AN192" s="761"/>
      <c r="AO192" s="761"/>
      <c r="AP192" s="749"/>
      <c r="AQ192" s="749"/>
      <c r="AR192" s="749"/>
      <c r="AS192" s="749"/>
      <c r="AT192" s="759"/>
      <c r="AU192" s="762"/>
      <c r="AV192" s="759"/>
      <c r="AW192" s="759"/>
      <c r="AX192" s="759"/>
      <c r="AY192" s="676"/>
      <c r="AZ192" s="746"/>
      <c r="BA192" s="747"/>
      <c r="BB192" s="747"/>
      <c r="BC192" s="763"/>
      <c r="BD192" s="59"/>
    </row>
    <row r="193" spans="2:56" ht="12.95" customHeight="1" x14ac:dyDescent="0.15">
      <c r="B193" s="632"/>
      <c r="C193" s="1239">
        <v>45684</v>
      </c>
      <c r="D193" s="1240"/>
      <c r="E193" s="1240"/>
      <c r="F193" s="1241"/>
      <c r="G193" s="1242">
        <v>1.1000000000000001</v>
      </c>
      <c r="H193" s="1243"/>
      <c r="I193" s="758"/>
      <c r="J193" s="703"/>
      <c r="K193" s="703"/>
      <c r="L193" s="703"/>
      <c r="M193" s="703"/>
      <c r="N193" s="724"/>
      <c r="O193" s="701" t="s">
        <v>52</v>
      </c>
      <c r="P193" s="701"/>
      <c r="Q193" s="701"/>
      <c r="R193" s="701"/>
      <c r="S193" s="702"/>
      <c r="T193" s="701"/>
      <c r="U193" s="704"/>
      <c r="V193" s="704"/>
      <c r="W193" s="705"/>
      <c r="X193" s="706"/>
      <c r="Y193" s="706"/>
      <c r="Z193" s="704"/>
      <c r="AA193" s="704"/>
      <c r="AB193" s="704"/>
      <c r="AC193" s="704"/>
      <c r="AD193" s="704"/>
      <c r="AE193" s="704"/>
      <c r="AF193" s="704"/>
      <c r="AG193" s="704"/>
      <c r="AH193" s="704"/>
      <c r="AI193" s="705"/>
      <c r="AJ193" s="706"/>
      <c r="AK193" s="706"/>
      <c r="AL193" s="704"/>
      <c r="AM193" s="705"/>
      <c r="AN193" s="706"/>
      <c r="AO193" s="706"/>
      <c r="AP193" s="704"/>
      <c r="AQ193" s="700"/>
      <c r="AR193" s="700"/>
      <c r="AS193" s="700"/>
      <c r="AT193" s="704"/>
      <c r="AU193" s="704"/>
      <c r="AV193" s="704"/>
      <c r="AW193" s="704"/>
      <c r="AX193" s="704"/>
      <c r="AY193" s="725"/>
      <c r="AZ193" s="703" t="s">
        <v>25</v>
      </c>
      <c r="BA193" s="703"/>
      <c r="BB193" s="703"/>
      <c r="BC193" s="723"/>
      <c r="BD193" s="59"/>
    </row>
    <row r="194" spans="2:56" ht="12.95" customHeight="1" x14ac:dyDescent="0.15">
      <c r="B194" s="632"/>
      <c r="C194" s="1230"/>
      <c r="D194" s="1231"/>
      <c r="E194" s="1231"/>
      <c r="F194" s="1232"/>
      <c r="G194" s="1233"/>
      <c r="H194" s="1234"/>
      <c r="I194" s="64"/>
      <c r="J194" s="65"/>
      <c r="K194" s="65"/>
      <c r="L194" s="65"/>
      <c r="M194" s="65"/>
      <c r="N194" s="66"/>
      <c r="O194" s="90" t="s">
        <v>27</v>
      </c>
      <c r="P194" s="67"/>
      <c r="Q194" s="67"/>
      <c r="R194" s="67"/>
      <c r="S194" s="81"/>
      <c r="T194" s="67"/>
      <c r="U194" s="67"/>
      <c r="V194" s="322"/>
      <c r="W194" s="67"/>
      <c r="X194" s="322"/>
      <c r="Y194" s="322"/>
      <c r="Z194" s="322"/>
      <c r="AA194" s="322"/>
      <c r="AB194" s="322"/>
      <c r="AC194" s="322"/>
      <c r="AD194" s="67"/>
      <c r="AE194" s="322"/>
      <c r="AF194" s="67"/>
      <c r="AG194" s="67"/>
      <c r="AH194" s="67"/>
      <c r="AI194" s="67"/>
      <c r="AJ194" s="322"/>
      <c r="AK194" s="322"/>
      <c r="AL194" s="322"/>
      <c r="AM194" s="67"/>
      <c r="AN194" s="322"/>
      <c r="AO194" s="322"/>
      <c r="AP194" s="322"/>
      <c r="AQ194" s="82"/>
      <c r="AR194" s="82"/>
      <c r="AS194" s="82"/>
      <c r="AT194" s="67"/>
      <c r="AU194" s="322"/>
      <c r="AV194" s="67"/>
      <c r="AW194" s="67"/>
      <c r="AX194" s="67"/>
      <c r="AY194" s="323"/>
      <c r="AZ194" s="64"/>
      <c r="BA194" s="65"/>
      <c r="BB194" s="65"/>
      <c r="BC194" s="72"/>
      <c r="BD194" s="59"/>
    </row>
    <row r="195" spans="2:56" ht="12.95" customHeight="1" x14ac:dyDescent="0.15">
      <c r="B195" s="632"/>
      <c r="C195" s="633"/>
      <c r="D195" s="60"/>
      <c r="E195" s="60"/>
      <c r="F195" s="61"/>
      <c r="G195" s="62"/>
      <c r="H195" s="63"/>
      <c r="I195" s="64"/>
      <c r="J195" s="65"/>
      <c r="K195" s="65"/>
      <c r="L195" s="65"/>
      <c r="M195" s="65"/>
      <c r="N195" s="66"/>
      <c r="O195" s="67" t="s">
        <v>152</v>
      </c>
      <c r="P195" s="67"/>
      <c r="Q195" s="67"/>
      <c r="R195" s="67"/>
      <c r="S195" s="81"/>
      <c r="T195" s="67"/>
      <c r="U195" s="82"/>
      <c r="V195" s="82"/>
      <c r="W195" s="83"/>
      <c r="X195" s="84"/>
      <c r="Y195" s="84"/>
      <c r="Z195" s="82"/>
      <c r="AA195" s="82"/>
      <c r="AB195" s="82"/>
      <c r="AC195" s="82"/>
      <c r="AD195" s="82"/>
      <c r="AE195" s="82"/>
      <c r="AF195" s="82"/>
      <c r="AG195" s="82"/>
      <c r="AH195" s="82"/>
      <c r="AI195" s="83"/>
      <c r="AJ195" s="84"/>
      <c r="AK195" s="84"/>
      <c r="AL195" s="82"/>
      <c r="AM195" s="83"/>
      <c r="AN195" s="84"/>
      <c r="AO195" s="84"/>
      <c r="AP195" s="82"/>
      <c r="AQ195" s="322"/>
      <c r="AR195" s="322"/>
      <c r="AS195" s="322"/>
      <c r="AT195" s="82"/>
      <c r="AU195" s="82"/>
      <c r="AV195" s="82"/>
      <c r="AW195" s="82"/>
      <c r="AX195" s="82"/>
      <c r="AY195" s="85"/>
      <c r="AZ195" s="86"/>
      <c r="BA195" s="87"/>
      <c r="BB195" s="87"/>
      <c r="BC195" s="88"/>
      <c r="BD195" s="59"/>
    </row>
    <row r="196" spans="2:56" ht="12.95" customHeight="1" x14ac:dyDescent="0.15">
      <c r="B196" s="632"/>
      <c r="C196" s="1230"/>
      <c r="D196" s="1231"/>
      <c r="E196" s="1231"/>
      <c r="F196" s="1232"/>
      <c r="G196" s="1233"/>
      <c r="H196" s="1234"/>
      <c r="I196" s="64"/>
      <c r="J196" s="65"/>
      <c r="K196" s="65"/>
      <c r="L196" s="65"/>
      <c r="M196" s="65"/>
      <c r="N196" s="66"/>
      <c r="O196" s="90" t="s">
        <v>35</v>
      </c>
      <c r="P196" s="67"/>
      <c r="Q196" s="67"/>
      <c r="R196" s="67"/>
      <c r="S196" s="81"/>
      <c r="T196" s="67"/>
      <c r="U196" s="67"/>
      <c r="V196" s="322"/>
      <c r="W196" s="67"/>
      <c r="X196" s="322"/>
      <c r="Y196" s="322"/>
      <c r="Z196" s="322"/>
      <c r="AA196" s="322"/>
      <c r="AB196" s="322"/>
      <c r="AC196" s="322"/>
      <c r="AD196" s="67"/>
      <c r="AE196" s="322"/>
      <c r="AF196" s="67"/>
      <c r="AG196" s="67"/>
      <c r="AH196" s="67"/>
      <c r="AI196" s="67"/>
      <c r="AJ196" s="322"/>
      <c r="AK196" s="322"/>
      <c r="AL196" s="322"/>
      <c r="AM196" s="67"/>
      <c r="AN196" s="322"/>
      <c r="AO196" s="322"/>
      <c r="AP196" s="322"/>
      <c r="AQ196" s="82"/>
      <c r="AR196" s="82"/>
      <c r="AS196" s="82"/>
      <c r="AT196" s="67"/>
      <c r="AU196" s="322"/>
      <c r="AV196" s="67"/>
      <c r="AW196" s="67"/>
      <c r="AX196" s="67"/>
      <c r="AY196" s="323"/>
      <c r="AZ196" s="64"/>
      <c r="BA196" s="65"/>
      <c r="BB196" s="65"/>
      <c r="BC196" s="72"/>
      <c r="BD196" s="59"/>
    </row>
    <row r="197" spans="2:56" ht="13.15" customHeight="1" x14ac:dyDescent="0.15">
      <c r="B197" s="632"/>
      <c r="C197" s="633"/>
      <c r="D197" s="60"/>
      <c r="E197" s="60"/>
      <c r="F197" s="61"/>
      <c r="G197" s="62"/>
      <c r="H197" s="63"/>
      <c r="I197" s="64"/>
      <c r="J197" s="65"/>
      <c r="K197" s="65"/>
      <c r="L197" s="65"/>
      <c r="M197" s="65"/>
      <c r="N197" s="66"/>
      <c r="O197" s="67" t="s">
        <v>153</v>
      </c>
      <c r="P197" s="67"/>
      <c r="Q197" s="67"/>
      <c r="R197" s="67"/>
      <c r="S197" s="81"/>
      <c r="T197" s="67"/>
      <c r="U197" s="67"/>
      <c r="V197" s="322"/>
      <c r="W197" s="67"/>
      <c r="X197" s="322"/>
      <c r="Y197" s="322"/>
      <c r="Z197" s="322"/>
      <c r="AA197" s="322"/>
      <c r="AB197" s="322"/>
      <c r="AC197" s="322"/>
      <c r="AD197" s="67"/>
      <c r="AE197" s="322"/>
      <c r="AF197" s="67"/>
      <c r="AG197" s="67"/>
      <c r="AH197" s="67"/>
      <c r="AI197" s="67"/>
      <c r="AJ197" s="322"/>
      <c r="AK197" s="322"/>
      <c r="AL197" s="322"/>
      <c r="AM197" s="67"/>
      <c r="AN197" s="322"/>
      <c r="AO197" s="322"/>
      <c r="AP197" s="322"/>
      <c r="AQ197" s="322"/>
      <c r="AR197" s="322"/>
      <c r="AS197" s="322"/>
      <c r="AT197" s="82"/>
      <c r="AU197" s="82"/>
      <c r="AV197" s="82"/>
      <c r="AW197" s="82"/>
      <c r="AX197" s="82"/>
      <c r="AY197" s="85"/>
      <c r="AZ197" s="86"/>
      <c r="BA197" s="87"/>
      <c r="BB197" s="87"/>
      <c r="BC197" s="88"/>
      <c r="BD197" s="59"/>
    </row>
    <row r="198" spans="2:56" ht="12.95" customHeight="1" x14ac:dyDescent="0.15">
      <c r="B198" s="632"/>
      <c r="C198" s="1239">
        <v>45695</v>
      </c>
      <c r="D198" s="1240"/>
      <c r="E198" s="1240"/>
      <c r="F198" s="1241"/>
      <c r="G198" s="1242">
        <v>1.1100000000000001</v>
      </c>
      <c r="H198" s="1243"/>
      <c r="I198" s="758"/>
      <c r="J198" s="703"/>
      <c r="K198" s="703"/>
      <c r="L198" s="703"/>
      <c r="M198" s="703"/>
      <c r="N198" s="724"/>
      <c r="O198" s="701" t="s">
        <v>154</v>
      </c>
      <c r="P198" s="701"/>
      <c r="Q198" s="701"/>
      <c r="R198" s="701"/>
      <c r="S198" s="702"/>
      <c r="T198" s="701"/>
      <c r="U198" s="704"/>
      <c r="V198" s="704"/>
      <c r="W198" s="705"/>
      <c r="X198" s="706"/>
      <c r="Y198" s="706"/>
      <c r="Z198" s="704"/>
      <c r="AA198" s="704"/>
      <c r="AB198" s="704"/>
      <c r="AC198" s="704"/>
      <c r="AD198" s="704"/>
      <c r="AE198" s="704"/>
      <c r="AF198" s="704"/>
      <c r="AG198" s="704"/>
      <c r="AH198" s="704"/>
      <c r="AI198" s="705"/>
      <c r="AJ198" s="706"/>
      <c r="AK198" s="706"/>
      <c r="AL198" s="704"/>
      <c r="AM198" s="705"/>
      <c r="AN198" s="706"/>
      <c r="AO198" s="706"/>
      <c r="AP198" s="704"/>
      <c r="AQ198" s="700"/>
      <c r="AR198" s="700"/>
      <c r="AS198" s="700"/>
      <c r="AT198" s="704"/>
      <c r="AU198" s="704"/>
      <c r="AV198" s="704"/>
      <c r="AW198" s="704"/>
      <c r="AX198" s="704"/>
      <c r="AY198" s="725"/>
      <c r="AZ198" s="703" t="s">
        <v>25</v>
      </c>
      <c r="BA198" s="703"/>
      <c r="BB198" s="703"/>
      <c r="BC198" s="723"/>
      <c r="BD198" s="59"/>
    </row>
    <row r="199" spans="2:56" ht="12.95" customHeight="1" x14ac:dyDescent="0.15">
      <c r="B199" s="632"/>
      <c r="C199" s="1230"/>
      <c r="D199" s="1231"/>
      <c r="E199" s="1231"/>
      <c r="F199" s="1232"/>
      <c r="G199" s="1233"/>
      <c r="H199" s="1234"/>
      <c r="I199" s="64"/>
      <c r="J199" s="65"/>
      <c r="K199" s="65"/>
      <c r="L199" s="65"/>
      <c r="M199" s="65"/>
      <c r="N199" s="66"/>
      <c r="O199" s="90" t="s">
        <v>27</v>
      </c>
      <c r="P199" s="67"/>
      <c r="Q199" s="67"/>
      <c r="R199" s="67"/>
      <c r="S199" s="81"/>
      <c r="T199" s="67"/>
      <c r="U199" s="67"/>
      <c r="V199" s="322"/>
      <c r="W199" s="67"/>
      <c r="X199" s="322"/>
      <c r="Y199" s="322"/>
      <c r="Z199" s="322"/>
      <c r="AA199" s="322"/>
      <c r="AB199" s="322"/>
      <c r="AC199" s="322"/>
      <c r="AD199" s="67"/>
      <c r="AE199" s="322"/>
      <c r="AF199" s="67"/>
      <c r="AG199" s="67"/>
      <c r="AH199" s="67"/>
      <c r="AI199" s="67"/>
      <c r="AJ199" s="322"/>
      <c r="AK199" s="322"/>
      <c r="AL199" s="322"/>
      <c r="AM199" s="67"/>
      <c r="AN199" s="322"/>
      <c r="AO199" s="322"/>
      <c r="AP199" s="322"/>
      <c r="AQ199" s="82"/>
      <c r="AR199" s="82"/>
      <c r="AS199" s="82"/>
      <c r="AT199" s="67"/>
      <c r="AU199" s="322"/>
      <c r="AV199" s="67"/>
      <c r="AW199" s="67"/>
      <c r="AX199" s="67"/>
      <c r="AY199" s="323"/>
      <c r="AZ199" s="64"/>
      <c r="BA199" s="65"/>
      <c r="BB199" s="65"/>
      <c r="BC199" s="72"/>
      <c r="BD199" s="59"/>
    </row>
    <row r="200" spans="2:56" ht="12.95" customHeight="1" x14ac:dyDescent="0.15">
      <c r="B200" s="632"/>
      <c r="C200" s="633"/>
      <c r="D200" s="60"/>
      <c r="E200" s="60"/>
      <c r="F200" s="61"/>
      <c r="G200" s="62"/>
      <c r="H200" s="63"/>
      <c r="I200" s="64"/>
      <c r="J200" s="65"/>
      <c r="K200" s="65"/>
      <c r="L200" s="65"/>
      <c r="M200" s="65"/>
      <c r="N200" s="66"/>
      <c r="O200" s="67" t="s">
        <v>155</v>
      </c>
      <c r="P200" s="67"/>
      <c r="Q200" s="67"/>
      <c r="R200" s="67"/>
      <c r="S200" s="81"/>
      <c r="T200" s="67"/>
      <c r="U200" s="82"/>
      <c r="V200" s="82"/>
      <c r="W200" s="83"/>
      <c r="X200" s="84"/>
      <c r="Y200" s="84"/>
      <c r="Z200" s="82"/>
      <c r="AA200" s="82"/>
      <c r="AB200" s="82"/>
      <c r="AC200" s="82"/>
      <c r="AD200" s="82"/>
      <c r="AE200" s="82"/>
      <c r="AF200" s="82"/>
      <c r="AG200" s="82"/>
      <c r="AH200" s="82"/>
      <c r="AI200" s="83"/>
      <c r="AJ200" s="84"/>
      <c r="AK200" s="84"/>
      <c r="AL200" s="82"/>
      <c r="AM200" s="83"/>
      <c r="AN200" s="84"/>
      <c r="AO200" s="84"/>
      <c r="AP200" s="82"/>
      <c r="AQ200" s="322"/>
      <c r="AR200" s="322"/>
      <c r="AS200" s="322"/>
      <c r="AT200" s="82"/>
      <c r="AU200" s="82"/>
      <c r="AV200" s="82"/>
      <c r="AW200" s="82"/>
      <c r="AX200" s="82"/>
      <c r="AY200" s="85"/>
      <c r="AZ200" s="86"/>
      <c r="BA200" s="87"/>
      <c r="BB200" s="87"/>
      <c r="BC200" s="88"/>
      <c r="BD200" s="59"/>
    </row>
    <row r="201" spans="2:56" ht="12.95" customHeight="1" x14ac:dyDescent="0.15">
      <c r="B201" s="632"/>
      <c r="C201" s="633"/>
      <c r="D201" s="60"/>
      <c r="E201" s="60"/>
      <c r="F201" s="61"/>
      <c r="G201" s="62"/>
      <c r="H201" s="63"/>
      <c r="I201" s="1272"/>
      <c r="J201" s="1273"/>
      <c r="K201" s="1273"/>
      <c r="L201" s="1273"/>
      <c r="M201" s="1273"/>
      <c r="N201" s="1274"/>
      <c r="O201" s="90"/>
      <c r="P201" s="67"/>
      <c r="Q201" s="67"/>
      <c r="R201" s="67"/>
      <c r="S201" s="81"/>
      <c r="T201" s="67"/>
      <c r="U201" s="82"/>
      <c r="V201" s="82"/>
      <c r="W201" s="83"/>
      <c r="X201" s="67" t="s">
        <v>127</v>
      </c>
      <c r="Y201" s="296"/>
      <c r="Z201" s="82"/>
      <c r="AA201" s="82"/>
      <c r="AB201" s="82"/>
      <c r="AC201" s="82"/>
      <c r="AD201" s="82"/>
      <c r="AE201" s="82"/>
      <c r="AF201" s="82"/>
      <c r="AG201" s="82"/>
      <c r="AH201" s="82"/>
      <c r="AI201" s="295"/>
      <c r="AJ201" s="296"/>
      <c r="AK201" s="296"/>
      <c r="AL201" s="82"/>
      <c r="AM201" s="295"/>
      <c r="AN201" s="296"/>
      <c r="AO201" s="296"/>
      <c r="AP201" s="82"/>
      <c r="AQ201" s="82"/>
      <c r="AR201" s="82"/>
      <c r="AS201" s="82"/>
      <c r="AT201" s="82"/>
      <c r="AU201" s="82"/>
      <c r="AV201" s="82"/>
      <c r="AW201" s="82"/>
      <c r="AX201" s="82"/>
      <c r="AY201" s="85"/>
      <c r="AZ201" s="86"/>
      <c r="BA201" s="87"/>
      <c r="BB201" s="87"/>
      <c r="BC201" s="88"/>
      <c r="BD201" s="59"/>
    </row>
    <row r="202" spans="2:56" ht="12.95" customHeight="1" x14ac:dyDescent="0.15">
      <c r="B202" s="632"/>
      <c r="C202" s="1230"/>
      <c r="D202" s="1231"/>
      <c r="E202" s="1231"/>
      <c r="F202" s="1232"/>
      <c r="G202" s="1233"/>
      <c r="H202" s="1234"/>
      <c r="I202" s="64"/>
      <c r="J202" s="65"/>
      <c r="K202" s="65"/>
      <c r="L202" s="65"/>
      <c r="M202" s="65"/>
      <c r="N202" s="66"/>
      <c r="O202" s="90"/>
      <c r="P202" s="67"/>
      <c r="Q202" s="67"/>
      <c r="R202" s="67"/>
      <c r="S202" s="81"/>
      <c r="T202" s="67"/>
      <c r="U202" s="67"/>
      <c r="V202" s="322"/>
      <c r="W202" s="67"/>
      <c r="X202" s="67" t="s">
        <v>156</v>
      </c>
      <c r="Y202" s="322"/>
      <c r="Z202" s="322"/>
      <c r="AA202" s="322"/>
      <c r="AB202" s="322"/>
      <c r="AC202" s="322"/>
      <c r="AD202" s="67"/>
      <c r="AE202" s="322"/>
      <c r="AF202" s="67"/>
      <c r="AG202" s="67"/>
      <c r="AH202" s="67"/>
      <c r="AI202" s="67"/>
      <c r="AJ202" s="322"/>
      <c r="AK202" s="322"/>
      <c r="AL202" s="322"/>
      <c r="AM202" s="67"/>
      <c r="AN202" s="322"/>
      <c r="AO202" s="322"/>
      <c r="AP202" s="322"/>
      <c r="AQ202" s="322"/>
      <c r="AR202" s="322"/>
      <c r="AS202" s="322"/>
      <c r="AT202" s="67"/>
      <c r="AU202" s="322"/>
      <c r="AV202" s="67"/>
      <c r="AW202" s="67"/>
      <c r="AX202" s="67"/>
      <c r="AY202" s="323"/>
      <c r="AZ202" s="64"/>
      <c r="BA202" s="65"/>
      <c r="BB202" s="65"/>
      <c r="BC202" s="72"/>
      <c r="BD202" s="59"/>
    </row>
    <row r="203" spans="2:56" ht="12.95" customHeight="1" x14ac:dyDescent="0.15">
      <c r="B203" s="632"/>
      <c r="C203" s="1230"/>
      <c r="D203" s="1231"/>
      <c r="E203" s="1231"/>
      <c r="F203" s="1232"/>
      <c r="G203" s="1233"/>
      <c r="H203" s="1235"/>
      <c r="I203" s="326"/>
      <c r="J203" s="327"/>
      <c r="K203" s="327"/>
      <c r="L203" s="327"/>
      <c r="M203" s="327"/>
      <c r="N203" s="328"/>
      <c r="O203" s="499"/>
      <c r="P203" s="67"/>
      <c r="Q203" s="67"/>
      <c r="R203" s="67"/>
      <c r="S203" s="81"/>
      <c r="T203" s="67"/>
      <c r="U203" s="67"/>
      <c r="V203" s="322"/>
      <c r="W203" s="67"/>
      <c r="X203" s="82" t="s">
        <v>129</v>
      </c>
      <c r="Y203" s="322"/>
      <c r="Z203" s="322"/>
      <c r="AA203" s="322"/>
      <c r="AB203" s="322"/>
      <c r="AC203" s="322"/>
      <c r="AD203" s="67"/>
      <c r="AE203" s="322"/>
      <c r="AF203" s="67"/>
      <c r="AG203" s="67"/>
      <c r="AH203" s="67"/>
      <c r="AI203" s="67"/>
      <c r="AJ203" s="322"/>
      <c r="AK203" s="322"/>
      <c r="AL203" s="322"/>
      <c r="AM203" s="67"/>
      <c r="AN203" s="322"/>
      <c r="AO203" s="322"/>
      <c r="AP203" s="322"/>
      <c r="AQ203" s="322"/>
      <c r="AR203" s="322"/>
      <c r="AS203" s="322"/>
      <c r="AT203" s="67"/>
      <c r="AU203" s="322"/>
      <c r="AV203" s="67"/>
      <c r="AW203" s="67"/>
      <c r="AX203" s="67"/>
      <c r="AY203" s="323"/>
      <c r="AZ203" s="64"/>
      <c r="BA203" s="65"/>
      <c r="BB203" s="65"/>
      <c r="BC203" s="72"/>
      <c r="BD203" s="59"/>
    </row>
    <row r="204" spans="2:56" ht="12.95" customHeight="1" x14ac:dyDescent="0.15">
      <c r="B204" s="632"/>
      <c r="C204" s="633"/>
      <c r="D204" s="332"/>
      <c r="E204" s="332"/>
      <c r="F204" s="333"/>
      <c r="G204" s="334"/>
      <c r="H204" s="335"/>
      <c r="I204" s="326"/>
      <c r="J204" s="327"/>
      <c r="K204" s="327"/>
      <c r="L204" s="327"/>
      <c r="M204" s="327"/>
      <c r="N204" s="328"/>
      <c r="O204" s="89"/>
      <c r="P204" s="82"/>
      <c r="Q204" s="82"/>
      <c r="R204" s="82"/>
      <c r="S204" s="82"/>
      <c r="T204" s="82"/>
      <c r="U204" s="82"/>
      <c r="V204" s="82"/>
      <c r="W204" s="83"/>
      <c r="X204" s="82" t="s">
        <v>157</v>
      </c>
      <c r="Y204" s="84"/>
      <c r="Z204" s="82"/>
      <c r="AA204" s="82"/>
      <c r="AB204" s="82"/>
      <c r="AC204" s="82"/>
      <c r="AD204" s="82"/>
      <c r="AE204" s="82"/>
      <c r="AF204" s="82"/>
      <c r="AG204" s="82"/>
      <c r="AH204" s="82"/>
      <c r="AI204" s="83"/>
      <c r="AJ204" s="84"/>
      <c r="AK204" s="84"/>
      <c r="AL204" s="82"/>
      <c r="AM204" s="83"/>
      <c r="AN204" s="84"/>
      <c r="AO204" s="84"/>
      <c r="AP204" s="82"/>
      <c r="AQ204" s="82"/>
      <c r="AR204" s="82"/>
      <c r="AS204" s="82"/>
      <c r="AT204" s="67"/>
      <c r="AU204" s="322"/>
      <c r="AV204" s="67"/>
      <c r="AW204" s="67"/>
      <c r="AX204" s="67"/>
      <c r="AY204" s="323"/>
      <c r="AZ204" s="326"/>
      <c r="BA204" s="327"/>
      <c r="BB204" s="327"/>
      <c r="BC204" s="336"/>
      <c r="BD204" s="59"/>
    </row>
    <row r="205" spans="2:56" ht="12.95" customHeight="1" x14ac:dyDescent="0.15">
      <c r="B205" s="632"/>
      <c r="C205" s="633"/>
      <c r="D205" s="60"/>
      <c r="E205" s="60"/>
      <c r="F205" s="61"/>
      <c r="G205" s="62"/>
      <c r="H205" s="63"/>
      <c r="I205" s="64"/>
      <c r="J205" s="65"/>
      <c r="K205" s="65"/>
      <c r="L205" s="65"/>
      <c r="M205" s="65"/>
      <c r="N205" s="66"/>
      <c r="O205" s="67"/>
      <c r="P205" s="67"/>
      <c r="Q205" s="67"/>
      <c r="R205" s="67"/>
      <c r="S205" s="81"/>
      <c r="T205" s="67"/>
      <c r="U205" s="82"/>
      <c r="V205" s="82"/>
      <c r="W205" s="83"/>
      <c r="X205" s="84" t="s">
        <v>158</v>
      </c>
      <c r="Y205" s="84"/>
      <c r="Z205" s="82"/>
      <c r="AA205" s="82"/>
      <c r="AB205" s="82"/>
      <c r="AC205" s="82"/>
      <c r="AD205" s="82"/>
      <c r="AE205" s="82"/>
      <c r="AF205" s="82"/>
      <c r="AG205" s="82"/>
      <c r="AH205" s="82"/>
      <c r="AI205" s="83"/>
      <c r="AJ205" s="84"/>
      <c r="AK205" s="84"/>
      <c r="AL205" s="82"/>
      <c r="AM205" s="83"/>
      <c r="AN205" s="84"/>
      <c r="AO205" s="84"/>
      <c r="AP205" s="82"/>
      <c r="AQ205" s="322"/>
      <c r="AR205" s="322"/>
      <c r="AS205" s="322"/>
      <c r="AT205" s="82"/>
      <c r="AU205" s="82"/>
      <c r="AV205" s="82"/>
      <c r="AW205" s="82"/>
      <c r="AX205" s="82"/>
      <c r="AY205" s="85"/>
      <c r="AZ205" s="86"/>
      <c r="BA205" s="87"/>
      <c r="BB205" s="87"/>
      <c r="BC205" s="88"/>
      <c r="BD205" s="59"/>
    </row>
    <row r="206" spans="2:56" ht="12.95" customHeight="1" x14ac:dyDescent="0.15">
      <c r="B206" s="632"/>
      <c r="C206" s="1236"/>
      <c r="D206" s="1237"/>
      <c r="E206" s="1237"/>
      <c r="F206" s="1238"/>
      <c r="G206" s="745"/>
      <c r="H206" s="673"/>
      <c r="I206" s="746"/>
      <c r="J206" s="747"/>
      <c r="K206" s="747"/>
      <c r="L206" s="747"/>
      <c r="M206" s="747"/>
      <c r="N206" s="674"/>
      <c r="O206" s="748"/>
      <c r="P206" s="749"/>
      <c r="Q206" s="749"/>
      <c r="R206" s="749"/>
      <c r="S206" s="749"/>
      <c r="T206" s="749"/>
      <c r="U206" s="749"/>
      <c r="V206" s="749"/>
      <c r="W206" s="749"/>
      <c r="X206" s="750"/>
      <c r="Y206" s="750"/>
      <c r="Z206" s="749"/>
      <c r="AA206" s="749"/>
      <c r="AB206" s="749"/>
      <c r="AC206" s="749"/>
      <c r="AD206" s="749"/>
      <c r="AE206" s="749"/>
      <c r="AF206" s="749"/>
      <c r="AG206" s="749"/>
      <c r="AH206" s="749"/>
      <c r="AI206" s="749"/>
      <c r="AJ206" s="750"/>
      <c r="AK206" s="750"/>
      <c r="AL206" s="749"/>
      <c r="AM206" s="749"/>
      <c r="AN206" s="750"/>
      <c r="AO206" s="750"/>
      <c r="AP206" s="749"/>
      <c r="AQ206" s="749"/>
      <c r="AR206" s="749"/>
      <c r="AS206" s="749"/>
      <c r="AT206" s="749"/>
      <c r="AU206" s="749"/>
      <c r="AV206" s="749"/>
      <c r="AW206" s="749"/>
      <c r="AX206" s="749"/>
      <c r="AY206" s="675"/>
      <c r="AZ206" s="751"/>
      <c r="BA206" s="752"/>
      <c r="BB206" s="752"/>
      <c r="BC206" s="753"/>
      <c r="BD206" s="59"/>
    </row>
    <row r="207" spans="2:56" ht="12.95" customHeight="1" thickBot="1" x14ac:dyDescent="0.2">
      <c r="B207" s="754"/>
      <c r="C207" s="755"/>
      <c r="D207" s="755"/>
      <c r="E207" s="755"/>
      <c r="F207" s="755"/>
      <c r="G207" s="755"/>
      <c r="H207" s="756"/>
      <c r="I207" s="756"/>
      <c r="J207" s="755"/>
      <c r="K207" s="755"/>
      <c r="L207" s="755"/>
      <c r="M207" s="755"/>
      <c r="N207" s="755"/>
      <c r="O207" s="755"/>
      <c r="P207" s="755"/>
      <c r="Q207" s="755"/>
      <c r="R207" s="755"/>
      <c r="S207" s="755"/>
      <c r="T207" s="755"/>
      <c r="U207" s="755"/>
      <c r="V207" s="755"/>
      <c r="W207" s="755"/>
      <c r="X207" s="755"/>
      <c r="Y207" s="755"/>
      <c r="Z207" s="755"/>
      <c r="AA207" s="755"/>
      <c r="AB207" s="755"/>
      <c r="AC207" s="755"/>
      <c r="AD207" s="755"/>
      <c r="AE207" s="755"/>
      <c r="AF207" s="755"/>
      <c r="AG207" s="755"/>
      <c r="AH207" s="755"/>
      <c r="AI207" s="755"/>
      <c r="AJ207" s="755"/>
      <c r="AK207" s="755"/>
      <c r="AL207" s="755"/>
      <c r="AM207" s="755"/>
      <c r="AN207" s="755"/>
      <c r="AO207" s="755"/>
      <c r="AP207" s="755"/>
      <c r="AQ207" s="755"/>
      <c r="AR207" s="755"/>
      <c r="AS207" s="755"/>
      <c r="AT207" s="755"/>
      <c r="AU207" s="755"/>
      <c r="AV207" s="755"/>
      <c r="AW207" s="755"/>
      <c r="AX207" s="755"/>
      <c r="AY207" s="755"/>
      <c r="AZ207" s="755"/>
      <c r="BA207" s="755"/>
      <c r="BB207" s="755"/>
      <c r="BC207" s="755"/>
      <c r="BD207" s="757"/>
    </row>
    <row r="208" spans="2:56" ht="12.95" customHeight="1" thickTop="1" x14ac:dyDescent="0.15">
      <c r="B208" s="50" t="s">
        <v>6</v>
      </c>
      <c r="C208" s="51"/>
      <c r="D208" s="51"/>
      <c r="E208" s="51"/>
      <c r="F208" s="51"/>
      <c r="G208" s="51"/>
      <c r="H208" s="51"/>
      <c r="I208" s="51"/>
      <c r="J208" s="51"/>
      <c r="K208" s="51"/>
      <c r="L208" s="51"/>
      <c r="M208" s="51"/>
      <c r="N208" s="52"/>
      <c r="O208" s="1247" t="s">
        <v>7</v>
      </c>
      <c r="P208" s="1248"/>
      <c r="Q208" s="1248"/>
      <c r="R208" s="1248"/>
      <c r="S208" s="1248"/>
      <c r="T208" s="1249"/>
      <c r="U208" s="1250" t="s">
        <v>8</v>
      </c>
      <c r="V208" s="1248"/>
      <c r="W208" s="1248"/>
      <c r="X208" s="1248"/>
      <c r="Y208" s="1248"/>
      <c r="Z208" s="1248"/>
      <c r="AA208" s="1249"/>
      <c r="AB208" s="1251" t="s">
        <v>9</v>
      </c>
      <c r="AC208" s="1252"/>
      <c r="AD208" s="1252"/>
      <c r="AE208" s="1252"/>
      <c r="AF208" s="1252"/>
      <c r="AG208" s="1252"/>
      <c r="AH208" s="1252"/>
      <c r="AI208" s="1252"/>
      <c r="AJ208" s="1252"/>
      <c r="AK208" s="1252"/>
      <c r="AL208" s="1252"/>
      <c r="AM208" s="1252"/>
      <c r="AN208" s="1253"/>
      <c r="AO208" s="1250" t="s">
        <v>10</v>
      </c>
      <c r="AP208" s="1249"/>
      <c r="AQ208" s="1257" t="s">
        <v>11</v>
      </c>
      <c r="AR208" s="1258"/>
      <c r="AS208" s="1259"/>
      <c r="AT208" s="1250" t="s">
        <v>12</v>
      </c>
      <c r="AU208" s="1248"/>
      <c r="AV208" s="1248"/>
      <c r="AW208" s="1249"/>
      <c r="AX208" s="1257" t="s">
        <v>13</v>
      </c>
      <c r="AY208" s="1258"/>
      <c r="AZ208" s="1259"/>
      <c r="BA208" s="1250" t="s">
        <v>14</v>
      </c>
      <c r="BB208" s="1248"/>
      <c r="BC208" s="1248"/>
      <c r="BD208" s="1249"/>
    </row>
    <row r="209" spans="2:56" ht="12.95" customHeight="1" thickBot="1" x14ac:dyDescent="0.2">
      <c r="B209" s="1260" t="s">
        <v>15</v>
      </c>
      <c r="C209" s="1261"/>
      <c r="D209" s="1261"/>
      <c r="E209" s="1261"/>
      <c r="F209" s="1261"/>
      <c r="G209" s="1261"/>
      <c r="H209" s="1261"/>
      <c r="I209" s="1261"/>
      <c r="J209" s="1261"/>
      <c r="K209" s="1261"/>
      <c r="L209" s="1261"/>
      <c r="M209" s="1261"/>
      <c r="N209" s="1262"/>
      <c r="O209" s="1263" t="s">
        <v>16</v>
      </c>
      <c r="P209" s="1264"/>
      <c r="Q209" s="1264"/>
      <c r="R209" s="1264"/>
      <c r="S209" s="1264"/>
      <c r="T209" s="1265"/>
      <c r="U209" s="1266" t="s">
        <v>17</v>
      </c>
      <c r="V209" s="1264"/>
      <c r="W209" s="1264"/>
      <c r="X209" s="1264"/>
      <c r="Y209" s="1264"/>
      <c r="Z209" s="1264"/>
      <c r="AA209" s="1265"/>
      <c r="AB209" s="1254"/>
      <c r="AC209" s="1255"/>
      <c r="AD209" s="1255"/>
      <c r="AE209" s="1255"/>
      <c r="AF209" s="1255"/>
      <c r="AG209" s="1255"/>
      <c r="AH209" s="1255"/>
      <c r="AI209" s="1255"/>
      <c r="AJ209" s="1255"/>
      <c r="AK209" s="1255"/>
      <c r="AL209" s="1255"/>
      <c r="AM209" s="1255"/>
      <c r="AN209" s="1256"/>
      <c r="AO209" s="1267">
        <f>AO3</f>
        <v>1.1200000000000001</v>
      </c>
      <c r="AP209" s="1268"/>
      <c r="AQ209" s="1266" t="s">
        <v>18</v>
      </c>
      <c r="AR209" s="1264"/>
      <c r="AS209" s="1265"/>
      <c r="AT209" s="1269">
        <f>AT3</f>
        <v>45709</v>
      </c>
      <c r="AU209" s="1270"/>
      <c r="AV209" s="1270"/>
      <c r="AW209" s="1270"/>
      <c r="AX209" s="1266" t="s">
        <v>18</v>
      </c>
      <c r="AY209" s="1264"/>
      <c r="AZ209" s="1265"/>
      <c r="BA209" s="1269">
        <f>BA3</f>
        <v>45460</v>
      </c>
      <c r="BB209" s="1270"/>
      <c r="BC209" s="1270"/>
      <c r="BD209" s="1271"/>
    </row>
    <row r="210" spans="2:56" ht="12.95" customHeight="1" thickTop="1" x14ac:dyDescent="0.15">
      <c r="AU210" s="53"/>
    </row>
    <row r="211" spans="2:56" ht="12.95" customHeight="1" x14ac:dyDescent="0.15">
      <c r="B211" s="737"/>
      <c r="C211" s="696"/>
      <c r="D211" s="696"/>
      <c r="E211" s="696"/>
      <c r="F211" s="696"/>
      <c r="G211" s="696"/>
      <c r="H211" s="697"/>
      <c r="I211" s="697"/>
      <c r="J211" s="696"/>
      <c r="K211" s="696"/>
      <c r="L211" s="696"/>
      <c r="M211" s="696"/>
      <c r="N211" s="696"/>
      <c r="O211" s="696"/>
      <c r="P211" s="696"/>
      <c r="Q211" s="696"/>
      <c r="R211" s="696"/>
      <c r="S211" s="696"/>
      <c r="T211" s="696"/>
      <c r="U211" s="696"/>
      <c r="V211" s="696"/>
      <c r="W211" s="696"/>
      <c r="X211" s="696"/>
      <c r="Y211" s="696"/>
      <c r="Z211" s="696"/>
      <c r="AA211" s="696"/>
      <c r="AB211" s="696"/>
      <c r="AC211" s="696"/>
      <c r="AD211" s="696"/>
      <c r="AE211" s="696"/>
      <c r="AF211" s="696"/>
      <c r="AG211" s="696"/>
      <c r="AH211" s="696"/>
      <c r="AI211" s="696"/>
      <c r="AJ211" s="696"/>
      <c r="AK211" s="696"/>
      <c r="AL211" s="696"/>
      <c r="AM211" s="696"/>
      <c r="AN211" s="696"/>
      <c r="AO211" s="696"/>
      <c r="AP211" s="696"/>
      <c r="AQ211" s="696"/>
      <c r="AR211" s="696"/>
      <c r="AS211" s="696"/>
      <c r="AT211" s="696"/>
      <c r="AU211" s="696"/>
      <c r="AV211" s="696"/>
      <c r="AW211" s="696"/>
      <c r="AX211" s="696"/>
      <c r="AY211" s="696"/>
      <c r="AZ211" s="696"/>
      <c r="BA211" s="696"/>
      <c r="BB211" s="696"/>
      <c r="BC211" s="696"/>
      <c r="BD211" s="718"/>
    </row>
    <row r="212" spans="2:56" ht="12.95" customHeight="1" x14ac:dyDescent="0.15">
      <c r="B212" s="632"/>
      <c r="C212" s="54" t="s">
        <v>9</v>
      </c>
      <c r="D212" s="55"/>
      <c r="E212" s="49"/>
      <c r="F212" s="49"/>
      <c r="G212" s="49"/>
      <c r="H212" s="56"/>
      <c r="I212" s="56"/>
      <c r="J212" s="49"/>
      <c r="K212" s="49"/>
      <c r="M212" s="49"/>
      <c r="N212" s="49"/>
      <c r="O212" s="49"/>
      <c r="Q212" s="49"/>
      <c r="S212" s="49"/>
      <c r="U212" s="49"/>
      <c r="V212" s="49"/>
      <c r="Y212" s="49"/>
      <c r="Z212" s="49"/>
      <c r="AA212" s="49"/>
      <c r="AB212" s="49"/>
      <c r="AC212" s="49"/>
      <c r="AD212" s="49"/>
      <c r="AE212" s="49"/>
      <c r="AF212" s="49"/>
      <c r="AG212" s="49"/>
      <c r="AI212" s="49"/>
      <c r="AJ212" s="49"/>
      <c r="AK212" s="49"/>
      <c r="AL212" s="49"/>
      <c r="AM212" s="57"/>
      <c r="AN212" s="49"/>
      <c r="AO212" s="49"/>
      <c r="AP212" s="49"/>
      <c r="AQ212" s="58"/>
      <c r="AR212" s="58"/>
      <c r="AS212" s="58"/>
      <c r="AU212" s="49"/>
      <c r="AV212" s="49"/>
      <c r="AW212" s="49"/>
      <c r="AX212" s="49"/>
      <c r="AY212" s="49"/>
      <c r="AZ212" s="49"/>
      <c r="BA212" s="49"/>
      <c r="BB212" s="49"/>
      <c r="BC212" s="49"/>
      <c r="BD212" s="59"/>
    </row>
    <row r="213" spans="2:56" ht="12.95" customHeight="1" x14ac:dyDescent="0.15">
      <c r="B213" s="632"/>
      <c r="C213" s="49"/>
      <c r="D213" s="49"/>
      <c r="E213" s="49"/>
      <c r="F213" s="49"/>
      <c r="G213" s="49"/>
      <c r="H213" s="56"/>
      <c r="I213" s="56"/>
      <c r="J213" s="49"/>
      <c r="K213" s="49"/>
      <c r="M213" s="49"/>
      <c r="N213" s="49"/>
      <c r="O213" s="49"/>
      <c r="Q213" s="49"/>
      <c r="S213" s="49"/>
      <c r="U213" s="49"/>
      <c r="V213" s="49"/>
      <c r="Y213" s="49"/>
      <c r="Z213" s="49"/>
      <c r="AA213" s="49"/>
      <c r="AB213" s="49"/>
      <c r="AC213" s="49"/>
      <c r="AD213" s="49"/>
      <c r="AE213" s="49"/>
      <c r="AF213" s="49"/>
      <c r="AG213" s="49"/>
      <c r="AH213" s="49"/>
      <c r="AI213" s="49"/>
      <c r="AJ213" s="49"/>
      <c r="AK213" s="49"/>
      <c r="AL213" s="49"/>
      <c r="AM213" s="49"/>
      <c r="AN213" s="49"/>
      <c r="AO213" s="49"/>
      <c r="AP213" s="49"/>
      <c r="AQ213" s="58"/>
      <c r="AR213" s="58"/>
      <c r="AS213" s="58"/>
      <c r="AU213" s="49"/>
      <c r="AV213" s="49"/>
      <c r="AW213" s="49"/>
      <c r="AX213" s="49"/>
      <c r="AY213" s="49"/>
      <c r="AZ213" s="49"/>
      <c r="BA213" s="49"/>
      <c r="BB213" s="49"/>
      <c r="BC213" s="49"/>
      <c r="BD213" s="59"/>
    </row>
    <row r="214" spans="2:56" ht="12.95" customHeight="1" x14ac:dyDescent="0.15">
      <c r="B214" s="632"/>
      <c r="C214" s="738" t="s">
        <v>19</v>
      </c>
      <c r="D214" s="698"/>
      <c r="E214" s="698"/>
      <c r="F214" s="719"/>
      <c r="G214" s="698" t="s">
        <v>20</v>
      </c>
      <c r="H214" s="719"/>
      <c r="I214" s="699" t="s">
        <v>21</v>
      </c>
      <c r="J214" s="698"/>
      <c r="K214" s="698"/>
      <c r="L214" s="698"/>
      <c r="M214" s="698"/>
      <c r="N214" s="719"/>
      <c r="O214" s="698" t="s">
        <v>22</v>
      </c>
      <c r="P214" s="698"/>
      <c r="Q214" s="698"/>
      <c r="R214" s="698"/>
      <c r="S214" s="698"/>
      <c r="T214" s="698"/>
      <c r="U214" s="698"/>
      <c r="V214" s="698"/>
      <c r="W214" s="698"/>
      <c r="X214" s="698"/>
      <c r="Y214" s="698"/>
      <c r="Z214" s="698"/>
      <c r="AA214" s="698"/>
      <c r="AB214" s="698"/>
      <c r="AC214" s="698"/>
      <c r="AD214" s="698"/>
      <c r="AE214" s="698"/>
      <c r="AF214" s="698"/>
      <c r="AG214" s="698"/>
      <c r="AH214" s="698"/>
      <c r="AI214" s="698"/>
      <c r="AJ214" s="698"/>
      <c r="AK214" s="698"/>
      <c r="AL214" s="698"/>
      <c r="AM214" s="698"/>
      <c r="AN214" s="698"/>
      <c r="AO214" s="698"/>
      <c r="AP214" s="698"/>
      <c r="AQ214" s="698"/>
      <c r="AR214" s="698"/>
      <c r="AS214" s="698"/>
      <c r="AT214" s="698"/>
      <c r="AU214" s="698"/>
      <c r="AV214" s="698"/>
      <c r="AW214" s="698"/>
      <c r="AX214" s="698"/>
      <c r="AY214" s="719"/>
      <c r="AZ214" s="698" t="s">
        <v>23</v>
      </c>
      <c r="BA214" s="698"/>
      <c r="BB214" s="698"/>
      <c r="BC214" s="720"/>
      <c r="BD214" s="59"/>
    </row>
    <row r="215" spans="2:56" ht="12.95" customHeight="1" x14ac:dyDescent="0.15">
      <c r="B215" s="632"/>
      <c r="C215" s="739"/>
      <c r="D215" s="740"/>
      <c r="E215" s="740"/>
      <c r="F215" s="646"/>
      <c r="G215" s="741"/>
      <c r="H215" s="647"/>
      <c r="I215" s="742"/>
      <c r="J215" s="741"/>
      <c r="K215" s="741"/>
      <c r="L215" s="741"/>
      <c r="M215" s="741"/>
      <c r="N215" s="647"/>
      <c r="O215" s="740"/>
      <c r="P215" s="740"/>
      <c r="Q215" s="740"/>
      <c r="R215" s="740"/>
      <c r="S215" s="740"/>
      <c r="T215" s="740"/>
      <c r="U215" s="740"/>
      <c r="V215" s="741"/>
      <c r="W215" s="740"/>
      <c r="X215" s="741"/>
      <c r="Y215" s="741"/>
      <c r="Z215" s="741"/>
      <c r="AA215" s="741"/>
      <c r="AB215" s="741"/>
      <c r="AC215" s="741"/>
      <c r="AD215" s="740"/>
      <c r="AE215" s="741"/>
      <c r="AF215" s="740"/>
      <c r="AG215" s="740"/>
      <c r="AH215" s="740"/>
      <c r="AI215" s="740"/>
      <c r="AJ215" s="741"/>
      <c r="AK215" s="741"/>
      <c r="AL215" s="741"/>
      <c r="AM215" s="740"/>
      <c r="AN215" s="741"/>
      <c r="AO215" s="741"/>
      <c r="AP215" s="741"/>
      <c r="AQ215" s="741"/>
      <c r="AR215" s="741"/>
      <c r="AS215" s="741"/>
      <c r="AT215" s="740"/>
      <c r="AU215" s="741"/>
      <c r="AV215" s="740"/>
      <c r="AW215" s="740"/>
      <c r="AX215" s="740"/>
      <c r="AY215" s="647"/>
      <c r="AZ215" s="741"/>
      <c r="BA215" s="740"/>
      <c r="BB215" s="740"/>
      <c r="BC215" s="743"/>
      <c r="BD215" s="59"/>
    </row>
    <row r="216" spans="2:56" ht="12.95" customHeight="1" x14ac:dyDescent="0.15">
      <c r="B216" s="632"/>
      <c r="C216" s="1239">
        <v>45701</v>
      </c>
      <c r="D216" s="1240"/>
      <c r="E216" s="1240"/>
      <c r="F216" s="1241"/>
      <c r="G216" s="1242">
        <v>1.1200000000000001</v>
      </c>
      <c r="H216" s="1243"/>
      <c r="I216" s="758"/>
      <c r="J216" s="703"/>
      <c r="K216" s="703"/>
      <c r="L216" s="703"/>
      <c r="M216" s="703"/>
      <c r="N216" s="724"/>
      <c r="O216" s="701" t="s">
        <v>154</v>
      </c>
      <c r="P216" s="701"/>
      <c r="Q216" s="701"/>
      <c r="R216" s="701"/>
      <c r="S216" s="702"/>
      <c r="T216" s="701"/>
      <c r="U216" s="704"/>
      <c r="V216" s="704"/>
      <c r="W216" s="705"/>
      <c r="X216" s="706"/>
      <c r="Y216" s="706"/>
      <c r="Z216" s="704"/>
      <c r="AA216" s="704"/>
      <c r="AB216" s="704"/>
      <c r="AC216" s="704"/>
      <c r="AD216" s="704"/>
      <c r="AE216" s="704"/>
      <c r="AF216" s="704"/>
      <c r="AG216" s="704"/>
      <c r="AH216" s="704"/>
      <c r="AI216" s="705"/>
      <c r="AJ216" s="706"/>
      <c r="AK216" s="706"/>
      <c r="AL216" s="704"/>
      <c r="AM216" s="705"/>
      <c r="AN216" s="706"/>
      <c r="AO216" s="706"/>
      <c r="AP216" s="704"/>
      <c r="AQ216" s="700"/>
      <c r="AR216" s="700"/>
      <c r="AS216" s="700"/>
      <c r="AT216" s="704"/>
      <c r="AU216" s="704"/>
      <c r="AV216" s="704"/>
      <c r="AW216" s="704"/>
      <c r="AX216" s="704"/>
      <c r="AY216" s="725"/>
      <c r="AZ216" s="703" t="s">
        <v>25</v>
      </c>
      <c r="BA216" s="703"/>
      <c r="BB216" s="703"/>
      <c r="BC216" s="723"/>
      <c r="BD216" s="59"/>
    </row>
    <row r="217" spans="2:56" ht="12.95" customHeight="1" x14ac:dyDescent="0.15">
      <c r="B217" s="632"/>
      <c r="C217" s="1230"/>
      <c r="D217" s="1231"/>
      <c r="E217" s="1231"/>
      <c r="F217" s="1232"/>
      <c r="G217" s="1233"/>
      <c r="H217" s="1234"/>
      <c r="I217" s="64"/>
      <c r="J217" s="65"/>
      <c r="K217" s="65"/>
      <c r="L217" s="65"/>
      <c r="M217" s="65"/>
      <c r="N217" s="66"/>
      <c r="O217" s="90" t="s">
        <v>27</v>
      </c>
      <c r="P217" s="67"/>
      <c r="Q217" s="67"/>
      <c r="R217" s="67"/>
      <c r="S217" s="81"/>
      <c r="T217" s="67"/>
      <c r="U217" s="67"/>
      <c r="V217" s="322"/>
      <c r="W217" s="67"/>
      <c r="X217" s="322"/>
      <c r="Y217" s="322"/>
      <c r="Z217" s="322"/>
      <c r="AA217" s="322"/>
      <c r="AB217" s="322"/>
      <c r="AC217" s="322"/>
      <c r="AD217" s="67"/>
      <c r="AE217" s="322"/>
      <c r="AF217" s="67"/>
      <c r="AG217" s="67"/>
      <c r="AH217" s="67"/>
      <c r="AI217" s="67"/>
      <c r="AJ217" s="322"/>
      <c r="AK217" s="322"/>
      <c r="AL217" s="322"/>
      <c r="AM217" s="67"/>
      <c r="AN217" s="322"/>
      <c r="AO217" s="322"/>
      <c r="AP217" s="322"/>
      <c r="AQ217" s="82"/>
      <c r="AR217" s="82"/>
      <c r="AS217" s="82"/>
      <c r="AT217" s="67"/>
      <c r="AU217" s="322"/>
      <c r="AV217" s="67"/>
      <c r="AW217" s="67"/>
      <c r="AX217" s="67"/>
      <c r="AY217" s="323"/>
      <c r="AZ217" s="64"/>
      <c r="BA217" s="65"/>
      <c r="BB217" s="65"/>
      <c r="BC217" s="72"/>
      <c r="BD217" s="59"/>
    </row>
    <row r="218" spans="2:56" ht="12.95" customHeight="1" x14ac:dyDescent="0.15">
      <c r="B218" s="632"/>
      <c r="C218" s="633"/>
      <c r="D218" s="60"/>
      <c r="E218" s="60"/>
      <c r="F218" s="61"/>
      <c r="G218" s="62"/>
      <c r="H218" s="63"/>
      <c r="I218" s="64"/>
      <c r="J218" s="65"/>
      <c r="K218" s="65"/>
      <c r="L218" s="65"/>
      <c r="M218" s="65"/>
      <c r="N218" s="66"/>
      <c r="O218" s="67" t="s">
        <v>159</v>
      </c>
      <c r="P218" s="67"/>
      <c r="Q218" s="67"/>
      <c r="R218" s="67"/>
      <c r="S218" s="81"/>
      <c r="T218" s="67"/>
      <c r="U218" s="82"/>
      <c r="V218" s="82"/>
      <c r="W218" s="83"/>
      <c r="X218" s="84"/>
      <c r="Y218" s="84"/>
      <c r="Z218" s="82"/>
      <c r="AA218" s="82"/>
      <c r="AB218" s="82"/>
      <c r="AC218" s="82"/>
      <c r="AD218" s="82"/>
      <c r="AE218" s="82"/>
      <c r="AF218" s="82"/>
      <c r="AG218" s="82"/>
      <c r="AH218" s="82"/>
      <c r="AI218" s="83"/>
      <c r="AJ218" s="84"/>
      <c r="AK218" s="84"/>
      <c r="AL218" s="82"/>
      <c r="AM218" s="83"/>
      <c r="AN218" s="84"/>
      <c r="AO218" s="84"/>
      <c r="AP218" s="82"/>
      <c r="AQ218" s="322"/>
      <c r="AR218" s="322"/>
      <c r="AS218" s="322"/>
      <c r="AT218" s="82"/>
      <c r="AU218" s="82"/>
      <c r="AV218" s="82"/>
      <c r="AW218" s="82"/>
      <c r="AX218" s="82"/>
      <c r="AY218" s="85"/>
      <c r="AZ218" s="86"/>
      <c r="BA218" s="87"/>
      <c r="BB218" s="87"/>
      <c r="BC218" s="88"/>
      <c r="BD218" s="59"/>
    </row>
    <row r="219" spans="2:56" ht="12.95" customHeight="1" x14ac:dyDescent="0.15">
      <c r="B219" s="632"/>
      <c r="C219" s="1239">
        <v>45709</v>
      </c>
      <c r="D219" s="1240"/>
      <c r="E219" s="1240"/>
      <c r="F219" s="1241"/>
      <c r="G219" s="1242">
        <v>1.1299999999999999</v>
      </c>
      <c r="H219" s="1243"/>
      <c r="I219" s="1244"/>
      <c r="J219" s="1245"/>
      <c r="K219" s="1245"/>
      <c r="L219" s="1245"/>
      <c r="M219" s="1245"/>
      <c r="N219" s="1246"/>
      <c r="O219" s="701" t="s">
        <v>154</v>
      </c>
      <c r="P219" s="701"/>
      <c r="Q219" s="701"/>
      <c r="R219" s="701"/>
      <c r="S219" s="702"/>
      <c r="T219" s="701"/>
      <c r="U219" s="704"/>
      <c r="V219" s="704"/>
      <c r="W219" s="705"/>
      <c r="X219" s="701"/>
      <c r="Y219" s="707"/>
      <c r="Z219" s="704"/>
      <c r="AA219" s="704"/>
      <c r="AB219" s="704"/>
      <c r="AC219" s="704"/>
      <c r="AD219" s="704"/>
      <c r="AE219" s="704"/>
      <c r="AF219" s="704"/>
      <c r="AG219" s="704"/>
      <c r="AH219" s="704"/>
      <c r="AI219" s="708"/>
      <c r="AJ219" s="707"/>
      <c r="AK219" s="707"/>
      <c r="AL219" s="704"/>
      <c r="AM219" s="708"/>
      <c r="AN219" s="707"/>
      <c r="AO219" s="707"/>
      <c r="AP219" s="704"/>
      <c r="AQ219" s="704"/>
      <c r="AR219" s="704"/>
      <c r="AS219" s="704"/>
      <c r="AT219" s="704"/>
      <c r="AU219" s="704"/>
      <c r="AV219" s="704"/>
      <c r="AW219" s="704"/>
      <c r="AX219" s="704"/>
      <c r="AY219" s="725"/>
      <c r="AZ219" s="703" t="s">
        <v>25</v>
      </c>
      <c r="BA219" s="709"/>
      <c r="BB219" s="709"/>
      <c r="BC219" s="726"/>
      <c r="BD219" s="59"/>
    </row>
    <row r="220" spans="2:56" ht="12.95" customHeight="1" x14ac:dyDescent="0.15">
      <c r="B220" s="632"/>
      <c r="C220" s="1230"/>
      <c r="D220" s="1231"/>
      <c r="E220" s="1231"/>
      <c r="F220" s="1232"/>
      <c r="G220" s="1233"/>
      <c r="H220" s="1234"/>
      <c r="I220" s="64"/>
      <c r="J220" s="65"/>
      <c r="K220" s="65"/>
      <c r="L220" s="65"/>
      <c r="M220" s="65"/>
      <c r="N220" s="66"/>
      <c r="O220" s="90" t="s">
        <v>63</v>
      </c>
      <c r="P220" s="67"/>
      <c r="Q220" s="67"/>
      <c r="R220" s="67"/>
      <c r="S220" s="81"/>
      <c r="T220" s="67"/>
      <c r="U220" s="67"/>
      <c r="V220" s="322"/>
      <c r="W220" s="67"/>
      <c r="X220" s="67"/>
      <c r="Y220" s="322"/>
      <c r="Z220" s="322"/>
      <c r="AA220" s="322"/>
      <c r="AB220" s="322"/>
      <c r="AC220" s="322"/>
      <c r="AD220" s="67"/>
      <c r="AE220" s="322"/>
      <c r="AF220" s="67"/>
      <c r="AG220" s="67"/>
      <c r="AH220" s="67"/>
      <c r="AI220" s="67"/>
      <c r="AJ220" s="322"/>
      <c r="AK220" s="322"/>
      <c r="AL220" s="322"/>
      <c r="AM220" s="67"/>
      <c r="AN220" s="322"/>
      <c r="AO220" s="322"/>
      <c r="AP220" s="322"/>
      <c r="AQ220" s="322"/>
      <c r="AR220" s="322"/>
      <c r="AS220" s="322"/>
      <c r="AT220" s="67"/>
      <c r="AU220" s="322"/>
      <c r="AV220" s="67"/>
      <c r="AW220" s="67"/>
      <c r="AX220" s="67"/>
      <c r="AY220" s="323"/>
      <c r="AZ220" s="64"/>
      <c r="BA220" s="65"/>
      <c r="BB220" s="65"/>
      <c r="BC220" s="72"/>
      <c r="BD220" s="59"/>
    </row>
    <row r="221" spans="2:56" ht="12.95" customHeight="1" x14ac:dyDescent="0.15">
      <c r="B221" s="632"/>
      <c r="C221" s="1230"/>
      <c r="D221" s="1231"/>
      <c r="E221" s="1231"/>
      <c r="F221" s="1232"/>
      <c r="G221" s="1233"/>
      <c r="H221" s="1235"/>
      <c r="I221" s="326"/>
      <c r="J221" s="327"/>
      <c r="K221" s="327"/>
      <c r="L221" s="327"/>
      <c r="M221" s="327"/>
      <c r="N221" s="328"/>
      <c r="O221" s="90" t="s">
        <v>160</v>
      </c>
      <c r="P221" s="67"/>
      <c r="Q221" s="67"/>
      <c r="R221" s="67"/>
      <c r="S221" s="81"/>
      <c r="T221" s="67"/>
      <c r="U221" s="67"/>
      <c r="V221" s="322"/>
      <c r="W221" s="67"/>
      <c r="X221" s="82"/>
      <c r="Y221" s="322"/>
      <c r="Z221" s="322"/>
      <c r="AA221" s="322"/>
      <c r="AB221" s="322"/>
      <c r="AC221" s="322"/>
      <c r="AD221" s="67"/>
      <c r="AE221" s="322"/>
      <c r="AF221" s="67"/>
      <c r="AG221" s="67"/>
      <c r="AH221" s="67"/>
      <c r="AI221" s="67"/>
      <c r="AJ221" s="322"/>
      <c r="AK221" s="322"/>
      <c r="AL221" s="322"/>
      <c r="AM221" s="67"/>
      <c r="AN221" s="322"/>
      <c r="AO221" s="322"/>
      <c r="AP221" s="322"/>
      <c r="AQ221" s="322"/>
      <c r="AR221" s="322"/>
      <c r="AS221" s="322"/>
      <c r="AT221" s="67"/>
      <c r="AU221" s="322"/>
      <c r="AV221" s="67"/>
      <c r="AW221" s="67"/>
      <c r="AX221" s="67"/>
      <c r="AY221" s="323"/>
      <c r="AZ221" s="64"/>
      <c r="BA221" s="65"/>
      <c r="BB221" s="65"/>
      <c r="BC221" s="72"/>
      <c r="BD221" s="59"/>
    </row>
    <row r="222" spans="2:56" ht="12.95" customHeight="1" x14ac:dyDescent="0.15">
      <c r="B222" s="632"/>
      <c r="C222" s="633"/>
      <c r="D222" s="332"/>
      <c r="E222" s="332"/>
      <c r="F222" s="333"/>
      <c r="G222" s="334"/>
      <c r="H222" s="335"/>
      <c r="I222" s="326"/>
      <c r="J222" s="327"/>
      <c r="K222" s="327"/>
      <c r="L222" s="327"/>
      <c r="M222" s="327"/>
      <c r="N222" s="328"/>
      <c r="O222" s="89"/>
      <c r="P222" s="82"/>
      <c r="Q222" s="82"/>
      <c r="R222" s="82"/>
      <c r="S222" s="82"/>
      <c r="T222" s="82"/>
      <c r="U222" s="82"/>
      <c r="V222" s="82"/>
      <c r="W222" s="83"/>
      <c r="X222" s="82"/>
      <c r="Y222" s="84"/>
      <c r="Z222" s="82"/>
      <c r="AA222" s="82"/>
      <c r="AB222" s="82"/>
      <c r="AC222" s="82"/>
      <c r="AD222" s="82"/>
      <c r="AE222" s="82"/>
      <c r="AF222" s="82"/>
      <c r="AG222" s="82"/>
      <c r="AH222" s="82"/>
      <c r="AI222" s="83"/>
      <c r="AJ222" s="84"/>
      <c r="AK222" s="84"/>
      <c r="AL222" s="82"/>
      <c r="AM222" s="83"/>
      <c r="AN222" s="84"/>
      <c r="AO222" s="84"/>
      <c r="AP222" s="82"/>
      <c r="AQ222" s="82"/>
      <c r="AR222" s="82"/>
      <c r="AS222" s="82"/>
      <c r="AT222" s="67"/>
      <c r="AU222" s="322"/>
      <c r="AV222" s="67"/>
      <c r="AW222" s="67"/>
      <c r="AX222" s="67"/>
      <c r="AY222" s="323"/>
      <c r="AZ222" s="326"/>
      <c r="BA222" s="327"/>
      <c r="BB222" s="327"/>
      <c r="BC222" s="336"/>
      <c r="BD222" s="59"/>
    </row>
    <row r="223" spans="2:56" ht="12.95" customHeight="1" x14ac:dyDescent="0.15">
      <c r="B223" s="632"/>
      <c r="C223" s="633"/>
      <c r="D223" s="60"/>
      <c r="E223" s="60"/>
      <c r="F223" s="61"/>
      <c r="G223" s="62"/>
      <c r="H223" s="63"/>
      <c r="I223" s="64"/>
      <c r="J223" s="65"/>
      <c r="K223" s="65"/>
      <c r="L223" s="65"/>
      <c r="M223" s="65"/>
      <c r="N223" s="66"/>
      <c r="O223" s="67"/>
      <c r="P223" s="67"/>
      <c r="Q223" s="67"/>
      <c r="R223" s="67"/>
      <c r="S223" s="81"/>
      <c r="T223" s="67"/>
      <c r="U223" s="82"/>
      <c r="V223" s="82"/>
      <c r="W223" s="83"/>
      <c r="X223" s="84" t="s">
        <v>161</v>
      </c>
      <c r="Y223" s="84"/>
      <c r="Z223" s="82"/>
      <c r="AA223" s="82"/>
      <c r="AB223" s="82"/>
      <c r="AC223" s="82"/>
      <c r="AD223" s="82"/>
      <c r="AE223" s="82"/>
      <c r="AF223" s="82"/>
      <c r="AG223" s="82"/>
      <c r="AH223" s="82"/>
      <c r="AI223" s="83"/>
      <c r="AJ223" s="84"/>
      <c r="AK223" s="84"/>
      <c r="AL223" s="82"/>
      <c r="AM223" s="83"/>
      <c r="AN223" s="84"/>
      <c r="AO223" s="84"/>
      <c r="AP223" s="82"/>
      <c r="AQ223" s="322"/>
      <c r="AR223" s="322"/>
      <c r="AS223" s="322"/>
      <c r="AT223" s="82"/>
      <c r="AU223" s="82"/>
      <c r="AV223" s="82"/>
      <c r="AW223" s="82"/>
      <c r="AX223" s="82"/>
      <c r="AY223" s="85"/>
      <c r="AZ223" s="86"/>
      <c r="BA223" s="87"/>
      <c r="BB223" s="87"/>
      <c r="BC223" s="88"/>
      <c r="BD223" s="59"/>
    </row>
    <row r="224" spans="2:56" ht="12.95" customHeight="1" x14ac:dyDescent="0.15">
      <c r="B224" s="632"/>
      <c r="C224" s="1236"/>
      <c r="D224" s="1237"/>
      <c r="E224" s="1237"/>
      <c r="F224" s="1238"/>
      <c r="G224" s="745"/>
      <c r="H224" s="673"/>
      <c r="I224" s="746"/>
      <c r="J224" s="747"/>
      <c r="K224" s="747"/>
      <c r="L224" s="747"/>
      <c r="M224" s="747"/>
      <c r="N224" s="674"/>
      <c r="O224" s="748"/>
      <c r="P224" s="749"/>
      <c r="Q224" s="749"/>
      <c r="R224" s="749"/>
      <c r="S224" s="749"/>
      <c r="T224" s="749"/>
      <c r="U224" s="749"/>
      <c r="V224" s="749"/>
      <c r="W224" s="749"/>
      <c r="X224" s="750"/>
      <c r="Y224" s="750"/>
      <c r="Z224" s="749"/>
      <c r="AA224" s="749"/>
      <c r="AB224" s="749"/>
      <c r="AC224" s="749"/>
      <c r="AD224" s="749"/>
      <c r="AE224" s="749"/>
      <c r="AF224" s="749"/>
      <c r="AG224" s="749"/>
      <c r="AH224" s="749"/>
      <c r="AI224" s="749"/>
      <c r="AJ224" s="750"/>
      <c r="AK224" s="750"/>
      <c r="AL224" s="749"/>
      <c r="AM224" s="749"/>
      <c r="AN224" s="750"/>
      <c r="AO224" s="750"/>
      <c r="AP224" s="749"/>
      <c r="AQ224" s="749"/>
      <c r="AR224" s="749"/>
      <c r="AS224" s="749"/>
      <c r="AT224" s="749"/>
      <c r="AU224" s="749"/>
      <c r="AV224" s="749"/>
      <c r="AW224" s="749"/>
      <c r="AX224" s="749"/>
      <c r="AY224" s="675"/>
      <c r="AZ224" s="751"/>
      <c r="BA224" s="752"/>
      <c r="BB224" s="752"/>
      <c r="BC224" s="753"/>
      <c r="BD224" s="59"/>
    </row>
    <row r="225" spans="2:56" ht="12.95" customHeight="1" x14ac:dyDescent="0.15">
      <c r="B225" s="754"/>
      <c r="C225" s="755"/>
      <c r="D225" s="755"/>
      <c r="E225" s="755"/>
      <c r="F225" s="755"/>
      <c r="G225" s="755"/>
      <c r="H225" s="756"/>
      <c r="I225" s="756"/>
      <c r="J225" s="755"/>
      <c r="K225" s="755"/>
      <c r="L225" s="755"/>
      <c r="M225" s="755"/>
      <c r="N225" s="755"/>
      <c r="O225" s="755"/>
      <c r="P225" s="755"/>
      <c r="Q225" s="755"/>
      <c r="R225" s="755"/>
      <c r="S225" s="755"/>
      <c r="T225" s="755"/>
      <c r="U225" s="755"/>
      <c r="V225" s="755"/>
      <c r="W225" s="755"/>
      <c r="X225" s="755"/>
      <c r="Y225" s="755"/>
      <c r="Z225" s="755"/>
      <c r="AA225" s="755"/>
      <c r="AB225" s="755"/>
      <c r="AC225" s="755"/>
      <c r="AD225" s="755"/>
      <c r="AE225" s="755"/>
      <c r="AF225" s="755"/>
      <c r="AG225" s="755"/>
      <c r="AH225" s="755"/>
      <c r="AI225" s="755"/>
      <c r="AJ225" s="755"/>
      <c r="AK225" s="755"/>
      <c r="AL225" s="755"/>
      <c r="AM225" s="755"/>
      <c r="AN225" s="755"/>
      <c r="AO225" s="755"/>
      <c r="AP225" s="755"/>
      <c r="AQ225" s="755"/>
      <c r="AR225" s="755"/>
      <c r="AS225" s="755"/>
      <c r="AT225" s="755"/>
      <c r="AU225" s="755"/>
      <c r="AV225" s="755"/>
      <c r="AW225" s="755"/>
      <c r="AX225" s="755"/>
      <c r="AY225" s="755"/>
      <c r="AZ225" s="755"/>
      <c r="BA225" s="755"/>
      <c r="BB225" s="755"/>
      <c r="BC225" s="755"/>
      <c r="BD225" s="757"/>
    </row>
  </sheetData>
  <mergeCells count="272">
    <mergeCell ref="I111:N111"/>
    <mergeCell ref="I112:N112"/>
    <mergeCell ref="C113:F113"/>
    <mergeCell ref="G113:H113"/>
    <mergeCell ref="C120:F120"/>
    <mergeCell ref="C90:F90"/>
    <mergeCell ref="G90:H90"/>
    <mergeCell ref="C92:F92"/>
    <mergeCell ref="G92:H92"/>
    <mergeCell ref="C98:F98"/>
    <mergeCell ref="G98:H98"/>
    <mergeCell ref="C99:F99"/>
    <mergeCell ref="C118:F118"/>
    <mergeCell ref="G118:H118"/>
    <mergeCell ref="C109:F109"/>
    <mergeCell ref="G109:H109"/>
    <mergeCell ref="C111:F111"/>
    <mergeCell ref="G111:H111"/>
    <mergeCell ref="C114:F114"/>
    <mergeCell ref="G114:H114"/>
    <mergeCell ref="C119:F119"/>
    <mergeCell ref="G119:H119"/>
    <mergeCell ref="C80:F80"/>
    <mergeCell ref="G80:H80"/>
    <mergeCell ref="C82:F82"/>
    <mergeCell ref="G82:H82"/>
    <mergeCell ref="C84:F84"/>
    <mergeCell ref="G84:H84"/>
    <mergeCell ref="C86:F86"/>
    <mergeCell ref="G86:H86"/>
    <mergeCell ref="C89:F89"/>
    <mergeCell ref="G89:H89"/>
    <mergeCell ref="C68:F68"/>
    <mergeCell ref="G68:H68"/>
    <mergeCell ref="C70:F70"/>
    <mergeCell ref="G70:H70"/>
    <mergeCell ref="C72:F72"/>
    <mergeCell ref="G72:H72"/>
    <mergeCell ref="C74:F74"/>
    <mergeCell ref="G74:H74"/>
    <mergeCell ref="C76:F76"/>
    <mergeCell ref="G76:H76"/>
    <mergeCell ref="C60:F60"/>
    <mergeCell ref="G60:H60"/>
    <mergeCell ref="C62:F62"/>
    <mergeCell ref="G62:H62"/>
    <mergeCell ref="I62:N62"/>
    <mergeCell ref="I63:N63"/>
    <mergeCell ref="C64:F64"/>
    <mergeCell ref="G64:H64"/>
    <mergeCell ref="C66:F66"/>
    <mergeCell ref="G66:H66"/>
    <mergeCell ref="O52:T52"/>
    <mergeCell ref="U52:AA52"/>
    <mergeCell ref="AB52:AN53"/>
    <mergeCell ref="AO52:AP52"/>
    <mergeCell ref="AQ52:AS52"/>
    <mergeCell ref="AT52:AW52"/>
    <mergeCell ref="AX52:AZ52"/>
    <mergeCell ref="BA52:BD52"/>
    <mergeCell ref="B53:N53"/>
    <mergeCell ref="O53:T53"/>
    <mergeCell ref="U53:AA53"/>
    <mergeCell ref="AO53:AP53"/>
    <mergeCell ref="AQ53:AS53"/>
    <mergeCell ref="AT53:AW53"/>
    <mergeCell ref="AX53:AZ53"/>
    <mergeCell ref="BA53:BD53"/>
    <mergeCell ref="AX2:AZ2"/>
    <mergeCell ref="BA2:BD2"/>
    <mergeCell ref="B3:N3"/>
    <mergeCell ref="O3:T3"/>
    <mergeCell ref="U3:AA3"/>
    <mergeCell ref="AO3:AP3"/>
    <mergeCell ref="AQ3:AS3"/>
    <mergeCell ref="AT3:AW3"/>
    <mergeCell ref="AX3:AZ3"/>
    <mergeCell ref="BA3:BD3"/>
    <mergeCell ref="O2:T2"/>
    <mergeCell ref="U2:AA2"/>
    <mergeCell ref="AB2:AN3"/>
    <mergeCell ref="AO2:AP2"/>
    <mergeCell ref="C14:F14"/>
    <mergeCell ref="G14:H14"/>
    <mergeCell ref="C16:F16"/>
    <mergeCell ref="G16:H16"/>
    <mergeCell ref="C18:F18"/>
    <mergeCell ref="G18:H18"/>
    <mergeCell ref="AQ2:AS2"/>
    <mergeCell ref="AT2:AW2"/>
    <mergeCell ref="C10:F10"/>
    <mergeCell ref="G10:H10"/>
    <mergeCell ref="C12:F12"/>
    <mergeCell ref="G12:H12"/>
    <mergeCell ref="I12:N12"/>
    <mergeCell ref="I13:N13"/>
    <mergeCell ref="C26:F26"/>
    <mergeCell ref="G26:H26"/>
    <mergeCell ref="C28:F28"/>
    <mergeCell ref="G28:H28"/>
    <mergeCell ref="C30:F30"/>
    <mergeCell ref="G30:H30"/>
    <mergeCell ref="C20:F20"/>
    <mergeCell ref="G20:H20"/>
    <mergeCell ref="C22:F22"/>
    <mergeCell ref="G22:H22"/>
    <mergeCell ref="C24:F24"/>
    <mergeCell ref="G24:H24"/>
    <mergeCell ref="C49:F49"/>
    <mergeCell ref="G41:H41"/>
    <mergeCell ref="C41:F41"/>
    <mergeCell ref="G39:H39"/>
    <mergeCell ref="C39:F39"/>
    <mergeCell ref="C38:F38"/>
    <mergeCell ref="G38:H38"/>
    <mergeCell ref="C32:F32"/>
    <mergeCell ref="G32:H32"/>
    <mergeCell ref="C34:F34"/>
    <mergeCell ref="G34:H34"/>
    <mergeCell ref="C36:F36"/>
    <mergeCell ref="G36:H36"/>
    <mergeCell ref="AT101:AW101"/>
    <mergeCell ref="AX101:AZ101"/>
    <mergeCell ref="BA101:BD101"/>
    <mergeCell ref="B102:N102"/>
    <mergeCell ref="O102:T102"/>
    <mergeCell ref="U102:AA102"/>
    <mergeCell ref="AO102:AP102"/>
    <mergeCell ref="AQ102:AS102"/>
    <mergeCell ref="AT102:AW102"/>
    <mergeCell ref="AX102:AZ102"/>
    <mergeCell ref="BA102:BD102"/>
    <mergeCell ref="O101:T101"/>
    <mergeCell ref="U101:AA101"/>
    <mergeCell ref="AB101:AN102"/>
    <mergeCell ref="AO101:AP101"/>
    <mergeCell ref="AQ101:AS101"/>
    <mergeCell ref="G126:H126"/>
    <mergeCell ref="C126:F126"/>
    <mergeCell ref="C135:F135"/>
    <mergeCell ref="G135:H135"/>
    <mergeCell ref="C129:F129"/>
    <mergeCell ref="G129:H129"/>
    <mergeCell ref="G120:H120"/>
    <mergeCell ref="C131:F131"/>
    <mergeCell ref="G131:H131"/>
    <mergeCell ref="C133:F133"/>
    <mergeCell ref="G133:H133"/>
    <mergeCell ref="C122:F122"/>
    <mergeCell ref="G122:H122"/>
    <mergeCell ref="C124:F124"/>
    <mergeCell ref="G124:H124"/>
    <mergeCell ref="C127:F127"/>
    <mergeCell ref="G127:H127"/>
    <mergeCell ref="C141:F141"/>
    <mergeCell ref="G141:H141"/>
    <mergeCell ref="C149:F149"/>
    <mergeCell ref="C148:F148"/>
    <mergeCell ref="G148:H148"/>
    <mergeCell ref="C138:F138"/>
    <mergeCell ref="G138:H138"/>
    <mergeCell ref="C139:F139"/>
    <mergeCell ref="G139:H139"/>
    <mergeCell ref="C147:F147"/>
    <mergeCell ref="G147:H147"/>
    <mergeCell ref="O151:T151"/>
    <mergeCell ref="U151:AA151"/>
    <mergeCell ref="AB151:AN152"/>
    <mergeCell ref="AO151:AP151"/>
    <mergeCell ref="AQ151:AS151"/>
    <mergeCell ref="AT151:AW151"/>
    <mergeCell ref="AX151:AZ151"/>
    <mergeCell ref="BA151:BD151"/>
    <mergeCell ref="B152:N152"/>
    <mergeCell ref="O152:T152"/>
    <mergeCell ref="U152:AA152"/>
    <mergeCell ref="AO152:AP152"/>
    <mergeCell ref="AQ152:AS152"/>
    <mergeCell ref="AT152:AW152"/>
    <mergeCell ref="AX152:AZ152"/>
    <mergeCell ref="BA152:BD152"/>
    <mergeCell ref="G172:H172"/>
    <mergeCell ref="C175:F175"/>
    <mergeCell ref="G175:H175"/>
    <mergeCell ref="C159:F159"/>
    <mergeCell ref="G159:H159"/>
    <mergeCell ref="C162:F162"/>
    <mergeCell ref="G162:H162"/>
    <mergeCell ref="I162:N162"/>
    <mergeCell ref="I163:N163"/>
    <mergeCell ref="C164:F164"/>
    <mergeCell ref="G164:H164"/>
    <mergeCell ref="C165:F165"/>
    <mergeCell ref="G165:H165"/>
    <mergeCell ref="I161:N161"/>
    <mergeCell ref="C206:F206"/>
    <mergeCell ref="C161:F161"/>
    <mergeCell ref="G161:H161"/>
    <mergeCell ref="C186:F186"/>
    <mergeCell ref="G186:H186"/>
    <mergeCell ref="C192:F192"/>
    <mergeCell ref="G192:H192"/>
    <mergeCell ref="C178:F178"/>
    <mergeCell ref="G178:H178"/>
    <mergeCell ref="C179:F179"/>
    <mergeCell ref="G179:H179"/>
    <mergeCell ref="C182:F182"/>
    <mergeCell ref="G182:H182"/>
    <mergeCell ref="C170:F170"/>
    <mergeCell ref="G170:H170"/>
    <mergeCell ref="C171:F171"/>
    <mergeCell ref="G171:H171"/>
    <mergeCell ref="C173:F173"/>
    <mergeCell ref="G173:H173"/>
    <mergeCell ref="C176:F176"/>
    <mergeCell ref="G176:H176"/>
    <mergeCell ref="C172:F172"/>
    <mergeCell ref="C193:F193"/>
    <mergeCell ref="G193:H193"/>
    <mergeCell ref="C180:F180"/>
    <mergeCell ref="G180:H180"/>
    <mergeCell ref="C185:F185"/>
    <mergeCell ref="G185:H185"/>
    <mergeCell ref="C196:F196"/>
    <mergeCell ref="G196:H196"/>
    <mergeCell ref="C198:F198"/>
    <mergeCell ref="G198:H198"/>
    <mergeCell ref="C199:F199"/>
    <mergeCell ref="G199:H199"/>
    <mergeCell ref="C188:F188"/>
    <mergeCell ref="G188:H188"/>
    <mergeCell ref="C191:F191"/>
    <mergeCell ref="G191:H191"/>
    <mergeCell ref="I201:N201"/>
    <mergeCell ref="C202:F202"/>
    <mergeCell ref="G202:H202"/>
    <mergeCell ref="C203:F203"/>
    <mergeCell ref="G203:H203"/>
    <mergeCell ref="C194:F194"/>
    <mergeCell ref="G194:H194"/>
    <mergeCell ref="C183:F183"/>
    <mergeCell ref="G183:H183"/>
    <mergeCell ref="I186:N186"/>
    <mergeCell ref="I188:N188"/>
    <mergeCell ref="I219:N219"/>
    <mergeCell ref="O208:T208"/>
    <mergeCell ref="U208:AA208"/>
    <mergeCell ref="AB208:AN209"/>
    <mergeCell ref="AO208:AP208"/>
    <mergeCell ref="AQ208:AS208"/>
    <mergeCell ref="AT208:AW208"/>
    <mergeCell ref="AX208:AZ208"/>
    <mergeCell ref="BA208:BD208"/>
    <mergeCell ref="B209:N209"/>
    <mergeCell ref="O209:T209"/>
    <mergeCell ref="U209:AA209"/>
    <mergeCell ref="AO209:AP209"/>
    <mergeCell ref="AQ209:AS209"/>
    <mergeCell ref="AT209:AW209"/>
    <mergeCell ref="AX209:AZ209"/>
    <mergeCell ref="BA209:BD209"/>
    <mergeCell ref="C220:F220"/>
    <mergeCell ref="G220:H220"/>
    <mergeCell ref="C221:F221"/>
    <mergeCell ref="G221:H221"/>
    <mergeCell ref="C224:F224"/>
    <mergeCell ref="C216:F216"/>
    <mergeCell ref="G216:H216"/>
    <mergeCell ref="C217:F217"/>
    <mergeCell ref="G217:H217"/>
    <mergeCell ref="C219:F219"/>
    <mergeCell ref="G219:H219"/>
  </mergeCells>
  <phoneticPr fontId="4"/>
  <pageMargins left="0.19685039370078741" right="0.19685039370078741" top="0.51181102362204722" bottom="0.35433070866141736" header="0.19685039370078741" footer="0.19685039370078741"/>
  <pageSetup paperSize="9" scale="77" fitToHeight="0" orientation="landscape" r:id="rId1"/>
  <headerFooter alignWithMargins="0">
    <oddHeader>&amp;R&amp;UFUJITSU CONFIDENTIAL</oddHeader>
    <oddFooter>&amp;RAll Rights Reserved, Copyright(c) Fujitsu  Limited 2024</oddFooter>
  </headerFooter>
  <rowBreaks count="4" manualBreakCount="4">
    <brk id="51" max="56" man="1"/>
    <brk id="100" max="56" man="1"/>
    <brk id="150" max="56" man="1"/>
    <brk id="207" max="56"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E8E363-4B8C-49BD-BE69-056CABB07B49}">
  <sheetPr>
    <pageSetUpPr fitToPage="1"/>
  </sheetPr>
  <dimension ref="B1:BD93"/>
  <sheetViews>
    <sheetView showGridLines="0" tabSelected="1" zoomScaleNormal="100" zoomScaleSheetLayoutView="100" workbookViewId="0">
      <selection activeCell="O9" sqref="O9:O19"/>
    </sheetView>
  </sheetViews>
  <sheetFormatPr defaultColWidth="3.125" defaultRowHeight="12.95" customHeight="1" x14ac:dyDescent="0.15"/>
  <cols>
    <col min="1" max="1" width="1.375" style="91" customWidth="1"/>
    <col min="2" max="3" width="3.125" style="91" customWidth="1"/>
    <col min="4" max="4" width="3.375" style="91" customWidth="1"/>
    <col min="5" max="256" width="3.125" style="91"/>
    <col min="257" max="257" width="1.375" style="91" customWidth="1"/>
    <col min="258" max="259" width="3.125" style="91"/>
    <col min="260" max="260" width="3.375" style="91" customWidth="1"/>
    <col min="261" max="512" width="3.125" style="91"/>
    <col min="513" max="513" width="1.375" style="91" customWidth="1"/>
    <col min="514" max="515" width="3.125" style="91"/>
    <col min="516" max="516" width="3.375" style="91" customWidth="1"/>
    <col min="517" max="768" width="3.125" style="91"/>
    <col min="769" max="769" width="1.375" style="91" customWidth="1"/>
    <col min="770" max="771" width="3.125" style="91"/>
    <col min="772" max="772" width="3.375" style="91" customWidth="1"/>
    <col min="773" max="1024" width="3.125" style="91"/>
    <col min="1025" max="1025" width="1.375" style="91" customWidth="1"/>
    <col min="1026" max="1027" width="3.125" style="91"/>
    <col min="1028" max="1028" width="3.375" style="91" customWidth="1"/>
    <col min="1029" max="1280" width="3.125" style="91"/>
    <col min="1281" max="1281" width="1.375" style="91" customWidth="1"/>
    <col min="1282" max="1283" width="3.125" style="91"/>
    <col min="1284" max="1284" width="3.375" style="91" customWidth="1"/>
    <col min="1285" max="1536" width="3.125" style="91"/>
    <col min="1537" max="1537" width="1.375" style="91" customWidth="1"/>
    <col min="1538" max="1539" width="3.125" style="91"/>
    <col min="1540" max="1540" width="3.375" style="91" customWidth="1"/>
    <col min="1541" max="1792" width="3.125" style="91"/>
    <col min="1793" max="1793" width="1.375" style="91" customWidth="1"/>
    <col min="1794" max="1795" width="3.125" style="91"/>
    <col min="1796" max="1796" width="3.375" style="91" customWidth="1"/>
    <col min="1797" max="2048" width="3.125" style="91"/>
    <col min="2049" max="2049" width="1.375" style="91" customWidth="1"/>
    <col min="2050" max="2051" width="3.125" style="91"/>
    <col min="2052" max="2052" width="3.375" style="91" customWidth="1"/>
    <col min="2053" max="2304" width="3.125" style="91"/>
    <col min="2305" max="2305" width="1.375" style="91" customWidth="1"/>
    <col min="2306" max="2307" width="3.125" style="91"/>
    <col min="2308" max="2308" width="3.375" style="91" customWidth="1"/>
    <col min="2309" max="2560" width="3.125" style="91"/>
    <col min="2561" max="2561" width="1.375" style="91" customWidth="1"/>
    <col min="2562" max="2563" width="3.125" style="91"/>
    <col min="2564" max="2564" width="3.375" style="91" customWidth="1"/>
    <col min="2565" max="2816" width="3.125" style="91"/>
    <col min="2817" max="2817" width="1.375" style="91" customWidth="1"/>
    <col min="2818" max="2819" width="3.125" style="91"/>
    <col min="2820" max="2820" width="3.375" style="91" customWidth="1"/>
    <col min="2821" max="3072" width="3.125" style="91"/>
    <col min="3073" max="3073" width="1.375" style="91" customWidth="1"/>
    <col min="3074" max="3075" width="3.125" style="91"/>
    <col min="3076" max="3076" width="3.375" style="91" customWidth="1"/>
    <col min="3077" max="3328" width="3.125" style="91"/>
    <col min="3329" max="3329" width="1.375" style="91" customWidth="1"/>
    <col min="3330" max="3331" width="3.125" style="91"/>
    <col min="3332" max="3332" width="3.375" style="91" customWidth="1"/>
    <col min="3333" max="3584" width="3.125" style="91"/>
    <col min="3585" max="3585" width="1.375" style="91" customWidth="1"/>
    <col min="3586" max="3587" width="3.125" style="91"/>
    <col min="3588" max="3588" width="3.375" style="91" customWidth="1"/>
    <col min="3589" max="3840" width="3.125" style="91"/>
    <col min="3841" max="3841" width="1.375" style="91" customWidth="1"/>
    <col min="3842" max="3843" width="3.125" style="91"/>
    <col min="3844" max="3844" width="3.375" style="91" customWidth="1"/>
    <col min="3845" max="4096" width="3.125" style="91"/>
    <col min="4097" max="4097" width="1.375" style="91" customWidth="1"/>
    <col min="4098" max="4099" width="3.125" style="91"/>
    <col min="4100" max="4100" width="3.375" style="91" customWidth="1"/>
    <col min="4101" max="4352" width="3.125" style="91"/>
    <col min="4353" max="4353" width="1.375" style="91" customWidth="1"/>
    <col min="4354" max="4355" width="3.125" style="91"/>
    <col min="4356" max="4356" width="3.375" style="91" customWidth="1"/>
    <col min="4357" max="4608" width="3.125" style="91"/>
    <col min="4609" max="4609" width="1.375" style="91" customWidth="1"/>
    <col min="4610" max="4611" width="3.125" style="91"/>
    <col min="4612" max="4612" width="3.375" style="91" customWidth="1"/>
    <col min="4613" max="4864" width="3.125" style="91"/>
    <col min="4865" max="4865" width="1.375" style="91" customWidth="1"/>
    <col min="4866" max="4867" width="3.125" style="91"/>
    <col min="4868" max="4868" width="3.375" style="91" customWidth="1"/>
    <col min="4869" max="5120" width="3.125" style="91"/>
    <col min="5121" max="5121" width="1.375" style="91" customWidth="1"/>
    <col min="5122" max="5123" width="3.125" style="91"/>
    <col min="5124" max="5124" width="3.375" style="91" customWidth="1"/>
    <col min="5125" max="5376" width="3.125" style="91"/>
    <col min="5377" max="5377" width="1.375" style="91" customWidth="1"/>
    <col min="5378" max="5379" width="3.125" style="91"/>
    <col min="5380" max="5380" width="3.375" style="91" customWidth="1"/>
    <col min="5381" max="5632" width="3.125" style="91"/>
    <col min="5633" max="5633" width="1.375" style="91" customWidth="1"/>
    <col min="5634" max="5635" width="3.125" style="91"/>
    <col min="5636" max="5636" width="3.375" style="91" customWidth="1"/>
    <col min="5637" max="5888" width="3.125" style="91"/>
    <col min="5889" max="5889" width="1.375" style="91" customWidth="1"/>
    <col min="5890" max="5891" width="3.125" style="91"/>
    <col min="5892" max="5892" width="3.375" style="91" customWidth="1"/>
    <col min="5893" max="6144" width="3.125" style="91"/>
    <col min="6145" max="6145" width="1.375" style="91" customWidth="1"/>
    <col min="6146" max="6147" width="3.125" style="91"/>
    <col min="6148" max="6148" width="3.375" style="91" customWidth="1"/>
    <col min="6149" max="6400" width="3.125" style="91"/>
    <col min="6401" max="6401" width="1.375" style="91" customWidth="1"/>
    <col min="6402" max="6403" width="3.125" style="91"/>
    <col min="6404" max="6404" width="3.375" style="91" customWidth="1"/>
    <col min="6405" max="6656" width="3.125" style="91"/>
    <col min="6657" max="6657" width="1.375" style="91" customWidth="1"/>
    <col min="6658" max="6659" width="3.125" style="91"/>
    <col min="6660" max="6660" width="3.375" style="91" customWidth="1"/>
    <col min="6661" max="6912" width="3.125" style="91"/>
    <col min="6913" max="6913" width="1.375" style="91" customWidth="1"/>
    <col min="6914" max="6915" width="3.125" style="91"/>
    <col min="6916" max="6916" width="3.375" style="91" customWidth="1"/>
    <col min="6917" max="7168" width="3.125" style="91"/>
    <col min="7169" max="7169" width="1.375" style="91" customWidth="1"/>
    <col min="7170" max="7171" width="3.125" style="91"/>
    <col min="7172" max="7172" width="3.375" style="91" customWidth="1"/>
    <col min="7173" max="7424" width="3.125" style="91"/>
    <col min="7425" max="7425" width="1.375" style="91" customWidth="1"/>
    <col min="7426" max="7427" width="3.125" style="91"/>
    <col min="7428" max="7428" width="3.375" style="91" customWidth="1"/>
    <col min="7429" max="7680" width="3.125" style="91"/>
    <col min="7681" max="7681" width="1.375" style="91" customWidth="1"/>
    <col min="7682" max="7683" width="3.125" style="91"/>
    <col min="7684" max="7684" width="3.375" style="91" customWidth="1"/>
    <col min="7685" max="7936" width="3.125" style="91"/>
    <col min="7937" max="7937" width="1.375" style="91" customWidth="1"/>
    <col min="7938" max="7939" width="3.125" style="91"/>
    <col min="7940" max="7940" width="3.375" style="91" customWidth="1"/>
    <col min="7941" max="8192" width="3.125" style="91"/>
    <col min="8193" max="8193" width="1.375" style="91" customWidth="1"/>
    <col min="8194" max="8195" width="3.125" style="91"/>
    <col min="8196" max="8196" width="3.375" style="91" customWidth="1"/>
    <col min="8197" max="8448" width="3.125" style="91"/>
    <col min="8449" max="8449" width="1.375" style="91" customWidth="1"/>
    <col min="8450" max="8451" width="3.125" style="91"/>
    <col min="8452" max="8452" width="3.375" style="91" customWidth="1"/>
    <col min="8453" max="8704" width="3.125" style="91"/>
    <col min="8705" max="8705" width="1.375" style="91" customWidth="1"/>
    <col min="8706" max="8707" width="3.125" style="91"/>
    <col min="8708" max="8708" width="3.375" style="91" customWidth="1"/>
    <col min="8709" max="8960" width="3.125" style="91"/>
    <col min="8961" max="8961" width="1.375" style="91" customWidth="1"/>
    <col min="8962" max="8963" width="3.125" style="91"/>
    <col min="8964" max="8964" width="3.375" style="91" customWidth="1"/>
    <col min="8965" max="9216" width="3.125" style="91"/>
    <col min="9217" max="9217" width="1.375" style="91" customWidth="1"/>
    <col min="9218" max="9219" width="3.125" style="91"/>
    <col min="9220" max="9220" width="3.375" style="91" customWidth="1"/>
    <col min="9221" max="9472" width="3.125" style="91"/>
    <col min="9473" max="9473" width="1.375" style="91" customWidth="1"/>
    <col min="9474" max="9475" width="3.125" style="91"/>
    <col min="9476" max="9476" width="3.375" style="91" customWidth="1"/>
    <col min="9477" max="9728" width="3.125" style="91"/>
    <col min="9729" max="9729" width="1.375" style="91" customWidth="1"/>
    <col min="9730" max="9731" width="3.125" style="91"/>
    <col min="9732" max="9732" width="3.375" style="91" customWidth="1"/>
    <col min="9733" max="9984" width="3.125" style="91"/>
    <col min="9985" max="9985" width="1.375" style="91" customWidth="1"/>
    <col min="9986" max="9987" width="3.125" style="91"/>
    <col min="9988" max="9988" width="3.375" style="91" customWidth="1"/>
    <col min="9989" max="10240" width="3.125" style="91"/>
    <col min="10241" max="10241" width="1.375" style="91" customWidth="1"/>
    <col min="10242" max="10243" width="3.125" style="91"/>
    <col min="10244" max="10244" width="3.375" style="91" customWidth="1"/>
    <col min="10245" max="10496" width="3.125" style="91"/>
    <col min="10497" max="10497" width="1.375" style="91" customWidth="1"/>
    <col min="10498" max="10499" width="3.125" style="91"/>
    <col min="10500" max="10500" width="3.375" style="91" customWidth="1"/>
    <col min="10501" max="10752" width="3.125" style="91"/>
    <col min="10753" max="10753" width="1.375" style="91" customWidth="1"/>
    <col min="10754" max="10755" width="3.125" style="91"/>
    <col min="10756" max="10756" width="3.375" style="91" customWidth="1"/>
    <col min="10757" max="11008" width="3.125" style="91"/>
    <col min="11009" max="11009" width="1.375" style="91" customWidth="1"/>
    <col min="11010" max="11011" width="3.125" style="91"/>
    <col min="11012" max="11012" width="3.375" style="91" customWidth="1"/>
    <col min="11013" max="11264" width="3.125" style="91"/>
    <col min="11265" max="11265" width="1.375" style="91" customWidth="1"/>
    <col min="11266" max="11267" width="3.125" style="91"/>
    <col min="11268" max="11268" width="3.375" style="91" customWidth="1"/>
    <col min="11269" max="11520" width="3.125" style="91"/>
    <col min="11521" max="11521" width="1.375" style="91" customWidth="1"/>
    <col min="11522" max="11523" width="3.125" style="91"/>
    <col min="11524" max="11524" width="3.375" style="91" customWidth="1"/>
    <col min="11525" max="11776" width="3.125" style="91"/>
    <col min="11777" max="11777" width="1.375" style="91" customWidth="1"/>
    <col min="11778" max="11779" width="3.125" style="91"/>
    <col min="11780" max="11780" width="3.375" style="91" customWidth="1"/>
    <col min="11781" max="12032" width="3.125" style="91"/>
    <col min="12033" max="12033" width="1.375" style="91" customWidth="1"/>
    <col min="12034" max="12035" width="3.125" style="91"/>
    <col min="12036" max="12036" width="3.375" style="91" customWidth="1"/>
    <col min="12037" max="12288" width="3.125" style="91"/>
    <col min="12289" max="12289" width="1.375" style="91" customWidth="1"/>
    <col min="12290" max="12291" width="3.125" style="91"/>
    <col min="12292" max="12292" width="3.375" style="91" customWidth="1"/>
    <col min="12293" max="12544" width="3.125" style="91"/>
    <col min="12545" max="12545" width="1.375" style="91" customWidth="1"/>
    <col min="12546" max="12547" width="3.125" style="91"/>
    <col min="12548" max="12548" width="3.375" style="91" customWidth="1"/>
    <col min="12549" max="12800" width="3.125" style="91"/>
    <col min="12801" max="12801" width="1.375" style="91" customWidth="1"/>
    <col min="12802" max="12803" width="3.125" style="91"/>
    <col min="12804" max="12804" width="3.375" style="91" customWidth="1"/>
    <col min="12805" max="13056" width="3.125" style="91"/>
    <col min="13057" max="13057" width="1.375" style="91" customWidth="1"/>
    <col min="13058" max="13059" width="3.125" style="91"/>
    <col min="13060" max="13060" width="3.375" style="91" customWidth="1"/>
    <col min="13061" max="13312" width="3.125" style="91"/>
    <col min="13313" max="13313" width="1.375" style="91" customWidth="1"/>
    <col min="13314" max="13315" width="3.125" style="91"/>
    <col min="13316" max="13316" width="3.375" style="91" customWidth="1"/>
    <col min="13317" max="13568" width="3.125" style="91"/>
    <col min="13569" max="13569" width="1.375" style="91" customWidth="1"/>
    <col min="13570" max="13571" width="3.125" style="91"/>
    <col min="13572" max="13572" width="3.375" style="91" customWidth="1"/>
    <col min="13573" max="13824" width="3.125" style="91"/>
    <col min="13825" max="13825" width="1.375" style="91" customWidth="1"/>
    <col min="13826" max="13827" width="3.125" style="91"/>
    <col min="13828" max="13828" width="3.375" style="91" customWidth="1"/>
    <col min="13829" max="14080" width="3.125" style="91"/>
    <col min="14081" max="14081" width="1.375" style="91" customWidth="1"/>
    <col min="14082" max="14083" width="3.125" style="91"/>
    <col min="14084" max="14084" width="3.375" style="91" customWidth="1"/>
    <col min="14085" max="14336" width="3.125" style="91"/>
    <col min="14337" max="14337" width="1.375" style="91" customWidth="1"/>
    <col min="14338" max="14339" width="3.125" style="91"/>
    <col min="14340" max="14340" width="3.375" style="91" customWidth="1"/>
    <col min="14341" max="14592" width="3.125" style="91"/>
    <col min="14593" max="14593" width="1.375" style="91" customWidth="1"/>
    <col min="14594" max="14595" width="3.125" style="91"/>
    <col min="14596" max="14596" width="3.375" style="91" customWidth="1"/>
    <col min="14597" max="14848" width="3.125" style="91"/>
    <col min="14849" max="14849" width="1.375" style="91" customWidth="1"/>
    <col min="14850" max="14851" width="3.125" style="91"/>
    <col min="14852" max="14852" width="3.375" style="91" customWidth="1"/>
    <col min="14853" max="15104" width="3.125" style="91"/>
    <col min="15105" max="15105" width="1.375" style="91" customWidth="1"/>
    <col min="15106" max="15107" width="3.125" style="91"/>
    <col min="15108" max="15108" width="3.375" style="91" customWidth="1"/>
    <col min="15109" max="15360" width="3.125" style="91"/>
    <col min="15361" max="15361" width="1.375" style="91" customWidth="1"/>
    <col min="15362" max="15363" width="3.125" style="91"/>
    <col min="15364" max="15364" width="3.375" style="91" customWidth="1"/>
    <col min="15365" max="15616" width="3.125" style="91"/>
    <col min="15617" max="15617" width="1.375" style="91" customWidth="1"/>
    <col min="15618" max="15619" width="3.125" style="91"/>
    <col min="15620" max="15620" width="3.375" style="91" customWidth="1"/>
    <col min="15621" max="15872" width="3.125" style="91"/>
    <col min="15873" max="15873" width="1.375" style="91" customWidth="1"/>
    <col min="15874" max="15875" width="3.125" style="91"/>
    <col min="15876" max="15876" width="3.375" style="91" customWidth="1"/>
    <col min="15877" max="16128" width="3.125" style="91"/>
    <col min="16129" max="16129" width="1.375" style="91" customWidth="1"/>
    <col min="16130" max="16131" width="3.125" style="91"/>
    <col min="16132" max="16132" width="3.375" style="91" customWidth="1"/>
    <col min="16133" max="16384" width="3.125" style="91"/>
  </cols>
  <sheetData>
    <row r="1" spans="2:56" ht="12.95" customHeight="1" thickBot="1" x14ac:dyDescent="0.2"/>
    <row r="2" spans="2:56" ht="12.75" customHeight="1" thickTop="1" x14ac:dyDescent="0.15">
      <c r="B2" s="50" t="s">
        <v>6</v>
      </c>
      <c r="C2" s="51"/>
      <c r="D2" s="51"/>
      <c r="E2" s="51"/>
      <c r="F2" s="51"/>
      <c r="G2" s="51"/>
      <c r="H2" s="51"/>
      <c r="I2" s="51"/>
      <c r="J2" s="51"/>
      <c r="K2" s="51"/>
      <c r="L2" s="51"/>
      <c r="M2" s="51"/>
      <c r="N2" s="52"/>
      <c r="O2" s="1247" t="s">
        <v>7</v>
      </c>
      <c r="P2" s="1248"/>
      <c r="Q2" s="1248"/>
      <c r="R2" s="1248"/>
      <c r="S2" s="1248"/>
      <c r="T2" s="1249"/>
      <c r="U2" s="1250" t="s">
        <v>8</v>
      </c>
      <c r="V2" s="1248"/>
      <c r="W2" s="1248"/>
      <c r="X2" s="1248"/>
      <c r="Y2" s="1248"/>
      <c r="Z2" s="1248"/>
      <c r="AA2" s="1249"/>
      <c r="AB2" s="1251" t="s">
        <v>162</v>
      </c>
      <c r="AC2" s="1252"/>
      <c r="AD2" s="1252"/>
      <c r="AE2" s="1252"/>
      <c r="AF2" s="1252"/>
      <c r="AG2" s="1252"/>
      <c r="AH2" s="1252"/>
      <c r="AI2" s="1252"/>
      <c r="AJ2" s="1252"/>
      <c r="AK2" s="1252"/>
      <c r="AL2" s="1252"/>
      <c r="AM2" s="1252"/>
      <c r="AN2" s="1253"/>
      <c r="AO2" s="1250" t="s">
        <v>10</v>
      </c>
      <c r="AP2" s="1249"/>
      <c r="AQ2" s="1257" t="s">
        <v>11</v>
      </c>
      <c r="AR2" s="1258"/>
      <c r="AS2" s="1259"/>
      <c r="AT2" s="1250" t="s">
        <v>12</v>
      </c>
      <c r="AU2" s="1248"/>
      <c r="AV2" s="1248"/>
      <c r="AW2" s="1249"/>
      <c r="AX2" s="1257" t="s">
        <v>13</v>
      </c>
      <c r="AY2" s="1258"/>
      <c r="AZ2" s="1259"/>
      <c r="BA2" s="1250" t="s">
        <v>14</v>
      </c>
      <c r="BB2" s="1248"/>
      <c r="BC2" s="1248"/>
      <c r="BD2" s="1249"/>
    </row>
    <row r="3" spans="2:56" ht="12.75" customHeight="1" thickBot="1" x14ac:dyDescent="0.2">
      <c r="B3" s="1260" t="s">
        <v>15</v>
      </c>
      <c r="C3" s="1261"/>
      <c r="D3" s="1261"/>
      <c r="E3" s="1261"/>
      <c r="F3" s="1261"/>
      <c r="G3" s="1261"/>
      <c r="H3" s="1261"/>
      <c r="I3" s="1261"/>
      <c r="J3" s="1261"/>
      <c r="K3" s="1261"/>
      <c r="L3" s="1261"/>
      <c r="M3" s="1261"/>
      <c r="N3" s="1262"/>
      <c r="O3" s="1263" t="s">
        <v>16</v>
      </c>
      <c r="P3" s="1264"/>
      <c r="Q3" s="1264"/>
      <c r="R3" s="1264"/>
      <c r="S3" s="1264"/>
      <c r="T3" s="1265"/>
      <c r="U3" s="1266" t="s">
        <v>163</v>
      </c>
      <c r="V3" s="1264"/>
      <c r="W3" s="1264"/>
      <c r="X3" s="1264"/>
      <c r="Y3" s="1264"/>
      <c r="Z3" s="1264"/>
      <c r="AA3" s="1265"/>
      <c r="AB3" s="1254"/>
      <c r="AC3" s="1255"/>
      <c r="AD3" s="1255"/>
      <c r="AE3" s="1255"/>
      <c r="AF3" s="1255"/>
      <c r="AG3" s="1255"/>
      <c r="AH3" s="1255"/>
      <c r="AI3" s="1255"/>
      <c r="AJ3" s="1255"/>
      <c r="AK3" s="1255"/>
      <c r="AL3" s="1255"/>
      <c r="AM3" s="1255"/>
      <c r="AN3" s="1256"/>
      <c r="AO3" s="1267">
        <f>改版履歴!AO3</f>
        <v>1.1200000000000001</v>
      </c>
      <c r="AP3" s="1268"/>
      <c r="AQ3" s="1266" t="s">
        <v>18</v>
      </c>
      <c r="AR3" s="1264"/>
      <c r="AS3" s="1265"/>
      <c r="AT3" s="1269">
        <f>改版履歴!AT3</f>
        <v>45709</v>
      </c>
      <c r="AU3" s="1270"/>
      <c r="AV3" s="1270"/>
      <c r="AW3" s="1270"/>
      <c r="AX3" s="1266" t="s">
        <v>18</v>
      </c>
      <c r="AY3" s="1264"/>
      <c r="AZ3" s="1265"/>
      <c r="BA3" s="1269">
        <v>45460</v>
      </c>
      <c r="BB3" s="1270"/>
      <c r="BC3" s="1270"/>
      <c r="BD3" s="1271"/>
    </row>
    <row r="4" spans="2:56" ht="12.75" customHeight="1" thickTop="1" x14ac:dyDescent="0.15"/>
    <row r="5" spans="2:56" ht="12.95" customHeight="1" x14ac:dyDescent="0.15">
      <c r="B5" s="764"/>
      <c r="C5" s="710"/>
      <c r="D5" s="710"/>
      <c r="E5" s="710"/>
      <c r="F5" s="710"/>
      <c r="G5" s="710"/>
      <c r="H5" s="710"/>
      <c r="I5" s="710"/>
      <c r="J5" s="710"/>
      <c r="K5" s="710"/>
      <c r="L5" s="710"/>
      <c r="M5" s="710"/>
      <c r="N5" s="710"/>
      <c r="O5" s="710"/>
      <c r="P5" s="710"/>
      <c r="Q5" s="710"/>
      <c r="R5" s="710"/>
      <c r="S5" s="710"/>
      <c r="T5" s="710"/>
      <c r="U5" s="710"/>
      <c r="V5" s="710"/>
      <c r="W5" s="710"/>
      <c r="X5" s="710"/>
      <c r="Y5" s="710"/>
      <c r="Z5" s="710"/>
      <c r="AA5" s="710"/>
      <c r="AB5" s="710"/>
      <c r="AC5" s="710"/>
      <c r="AD5" s="710"/>
      <c r="AE5" s="710"/>
      <c r="AF5" s="710"/>
      <c r="AG5" s="710"/>
      <c r="AH5" s="710"/>
      <c r="AI5" s="710"/>
      <c r="AJ5" s="710"/>
      <c r="AK5" s="710"/>
      <c r="AL5" s="710"/>
      <c r="AM5" s="710"/>
      <c r="AN5" s="710"/>
      <c r="AO5" s="710"/>
      <c r="AP5" s="710"/>
      <c r="AQ5" s="710"/>
      <c r="AR5" s="710"/>
      <c r="AS5" s="710"/>
      <c r="AT5" s="710"/>
      <c r="AU5" s="710"/>
      <c r="AV5" s="710"/>
      <c r="AW5" s="710"/>
      <c r="AX5" s="710"/>
      <c r="AY5" s="710"/>
      <c r="AZ5" s="710"/>
      <c r="BA5" s="710"/>
      <c r="BB5" s="710"/>
      <c r="BC5" s="710"/>
      <c r="BD5" s="727"/>
    </row>
    <row r="6" spans="2:56" ht="12.95" customHeight="1" x14ac:dyDescent="0.15">
      <c r="B6" s="635"/>
      <c r="C6" s="92" t="s">
        <v>162</v>
      </c>
      <c r="D6" s="92"/>
      <c r="E6" s="92"/>
      <c r="F6" s="92"/>
      <c r="G6" s="92"/>
      <c r="H6" s="92"/>
      <c r="I6" s="92"/>
      <c r="J6" s="92"/>
      <c r="K6" s="92"/>
      <c r="L6" s="92"/>
      <c r="M6" s="92"/>
      <c r="N6" s="92"/>
      <c r="O6" s="92"/>
      <c r="P6" s="92"/>
      <c r="Q6" s="92"/>
      <c r="R6" s="92"/>
      <c r="S6" s="92"/>
      <c r="T6" s="92"/>
      <c r="U6" s="92"/>
      <c r="V6" s="92"/>
      <c r="W6" s="92"/>
      <c r="X6" s="92"/>
      <c r="Y6" s="92"/>
      <c r="Z6" s="92"/>
      <c r="AA6" s="92"/>
      <c r="AB6" s="92"/>
      <c r="AC6" s="92"/>
      <c r="AD6" s="92"/>
      <c r="AE6" s="92"/>
      <c r="AF6" s="92"/>
      <c r="AG6" s="92"/>
      <c r="AH6" s="92"/>
      <c r="AI6" s="92"/>
      <c r="AJ6" s="92"/>
      <c r="AK6" s="92"/>
      <c r="AL6" s="92"/>
      <c r="AM6" s="92"/>
      <c r="AN6" s="92"/>
      <c r="AO6" s="92"/>
      <c r="AP6" s="92"/>
      <c r="AQ6" s="92"/>
      <c r="AR6" s="92"/>
      <c r="AS6" s="92"/>
      <c r="AT6" s="92"/>
      <c r="AU6" s="92"/>
      <c r="AV6" s="92"/>
      <c r="AW6" s="92"/>
      <c r="AX6" s="92"/>
      <c r="AY6" s="92"/>
      <c r="AZ6" s="92"/>
      <c r="BA6" s="92"/>
      <c r="BB6" s="92"/>
      <c r="BC6" s="92"/>
      <c r="BD6" s="93"/>
    </row>
    <row r="7" spans="2:56" ht="12.95" customHeight="1" x14ac:dyDescent="0.15">
      <c r="B7" s="635"/>
      <c r="C7" s="92"/>
      <c r="D7" s="92"/>
      <c r="E7" s="92"/>
      <c r="F7" s="92"/>
      <c r="G7" s="92"/>
      <c r="H7" s="92"/>
      <c r="I7" s="92"/>
      <c r="J7" s="92"/>
      <c r="K7" s="92"/>
      <c r="L7" s="92"/>
      <c r="M7" s="92"/>
      <c r="N7" s="92"/>
      <c r="O7" s="92"/>
      <c r="P7" s="92"/>
      <c r="Q7" s="92"/>
      <c r="R7" s="92"/>
      <c r="S7" s="92"/>
      <c r="T7" s="92"/>
      <c r="U7" s="92"/>
      <c r="V7" s="92"/>
      <c r="W7" s="92"/>
      <c r="X7" s="92"/>
      <c r="Y7" s="92"/>
      <c r="Z7" s="92"/>
      <c r="AA7" s="92"/>
      <c r="AB7" s="92"/>
      <c r="AC7" s="92"/>
      <c r="AD7" s="92"/>
      <c r="AE7" s="92"/>
      <c r="AF7" s="92"/>
      <c r="AG7" s="92"/>
      <c r="AH7" s="92"/>
      <c r="AI7" s="92"/>
      <c r="AJ7" s="92"/>
      <c r="AK7" s="92"/>
      <c r="AL7" s="92"/>
      <c r="AM7" s="92"/>
      <c r="AN7" s="92"/>
      <c r="AO7" s="92"/>
      <c r="AP7" s="92"/>
      <c r="AQ7" s="92"/>
      <c r="AR7" s="92"/>
      <c r="AS7" s="92"/>
      <c r="AT7" s="92"/>
      <c r="AU7" s="92"/>
      <c r="AV7" s="92"/>
      <c r="AW7" s="92"/>
      <c r="AX7" s="92"/>
      <c r="AY7" s="92"/>
      <c r="AZ7" s="92"/>
      <c r="BA7" s="92"/>
      <c r="BB7" s="92"/>
      <c r="BC7" s="92"/>
      <c r="BD7" s="93"/>
    </row>
    <row r="8" spans="2:56" ht="12.95" customHeight="1" x14ac:dyDescent="0.15">
      <c r="B8" s="635"/>
      <c r="C8" s="94"/>
      <c r="D8" s="765" t="s">
        <v>164</v>
      </c>
      <c r="E8" s="766" t="s">
        <v>165</v>
      </c>
      <c r="F8" s="711"/>
      <c r="G8" s="711"/>
      <c r="H8" s="711"/>
      <c r="I8" s="711"/>
      <c r="J8" s="711"/>
      <c r="K8" s="711"/>
      <c r="L8" s="711"/>
      <c r="M8" s="711"/>
      <c r="N8" s="711"/>
      <c r="O8" s="767" t="s">
        <v>166</v>
      </c>
      <c r="P8" s="711"/>
      <c r="Q8" s="711"/>
      <c r="R8" s="711"/>
      <c r="S8" s="711"/>
      <c r="T8" s="711"/>
      <c r="U8" s="711"/>
      <c r="V8" s="711"/>
      <c r="W8" s="711"/>
      <c r="X8" s="728"/>
      <c r="Y8" s="768" t="s">
        <v>167</v>
      </c>
      <c r="Z8" s="711"/>
      <c r="AA8" s="767"/>
      <c r="AB8" s="711"/>
      <c r="AC8" s="711"/>
      <c r="AD8" s="728"/>
      <c r="AE8" s="768" t="s">
        <v>168</v>
      </c>
      <c r="AF8" s="711"/>
      <c r="AG8" s="767"/>
      <c r="AH8" s="729"/>
      <c r="AI8" s="769" t="s">
        <v>169</v>
      </c>
      <c r="AJ8" s="770"/>
      <c r="AK8" s="770"/>
      <c r="AL8" s="771"/>
      <c r="AM8" s="772"/>
      <c r="AN8" s="772"/>
      <c r="AO8" s="772"/>
      <c r="AP8" s="772"/>
      <c r="AQ8" s="772"/>
      <c r="AR8" s="772"/>
      <c r="AS8" s="770"/>
      <c r="AT8" s="770"/>
      <c r="AU8" s="773"/>
      <c r="AZ8" s="92"/>
      <c r="BA8" s="92"/>
      <c r="BB8" s="92"/>
      <c r="BC8" s="92"/>
      <c r="BD8" s="93"/>
    </row>
    <row r="9" spans="2:56" ht="12.95" customHeight="1" x14ac:dyDescent="0.15">
      <c r="B9" s="635"/>
      <c r="C9" s="92"/>
      <c r="D9" s="774">
        <v>1</v>
      </c>
      <c r="E9" s="775" t="s">
        <v>170</v>
      </c>
      <c r="F9" s="776"/>
      <c r="G9" s="776"/>
      <c r="H9" s="776"/>
      <c r="I9" s="776"/>
      <c r="J9" s="776"/>
      <c r="K9" s="776"/>
      <c r="L9" s="776"/>
      <c r="M9" s="776"/>
      <c r="N9" s="776"/>
      <c r="O9" s="777" t="s">
        <v>171</v>
      </c>
      <c r="P9" s="776"/>
      <c r="Q9" s="776"/>
      <c r="R9" s="776"/>
      <c r="S9" s="776"/>
      <c r="T9" s="776"/>
      <c r="U9" s="776"/>
      <c r="V9" s="776"/>
      <c r="W9" s="776"/>
      <c r="X9" s="778"/>
      <c r="Y9" s="779" t="s">
        <v>172</v>
      </c>
      <c r="Z9" s="780"/>
      <c r="AA9" s="781"/>
      <c r="AB9" s="780"/>
      <c r="AC9" s="780"/>
      <c r="AD9" s="782"/>
      <c r="AE9" s="779" t="s">
        <v>173</v>
      </c>
      <c r="AF9" s="780"/>
      <c r="AG9" s="781"/>
      <c r="AH9" s="783"/>
      <c r="AI9" s="784"/>
      <c r="AJ9" s="776"/>
      <c r="AK9" s="776"/>
      <c r="AL9" s="785"/>
      <c r="AM9" s="784"/>
      <c r="AN9" s="784"/>
      <c r="AO9" s="784"/>
      <c r="AP9" s="784"/>
      <c r="AQ9" s="784"/>
      <c r="AR9" s="784"/>
      <c r="AS9" s="776"/>
      <c r="AT9" s="776"/>
      <c r="AU9" s="778"/>
      <c r="AZ9" s="92"/>
      <c r="BA9" s="92"/>
      <c r="BB9" s="92"/>
      <c r="BC9" s="92"/>
      <c r="BD9" s="93"/>
    </row>
    <row r="10" spans="2:56" ht="12.95" customHeight="1" x14ac:dyDescent="0.15">
      <c r="B10" s="635"/>
      <c r="C10" s="92"/>
      <c r="D10" s="774">
        <f t="shared" ref="D10:D27" ca="1" si="0">OFFSET(D10,-1,0,1,1)+1</f>
        <v>2</v>
      </c>
      <c r="E10" s="775" t="s">
        <v>174</v>
      </c>
      <c r="F10" s="776"/>
      <c r="G10" s="776"/>
      <c r="H10" s="776"/>
      <c r="I10" s="776"/>
      <c r="J10" s="776"/>
      <c r="K10" s="776"/>
      <c r="L10" s="776"/>
      <c r="M10" s="776"/>
      <c r="N10" s="776"/>
      <c r="O10" s="775" t="s">
        <v>175</v>
      </c>
      <c r="P10" s="776"/>
      <c r="Q10" s="776"/>
      <c r="R10" s="776"/>
      <c r="S10" s="776"/>
      <c r="T10" s="776"/>
      <c r="U10" s="776"/>
      <c r="V10" s="776"/>
      <c r="W10" s="776"/>
      <c r="X10" s="778"/>
      <c r="Y10" s="786" t="s">
        <v>172</v>
      </c>
      <c r="Z10" s="780"/>
      <c r="AA10" s="787"/>
      <c r="AB10" s="780"/>
      <c r="AC10" s="780"/>
      <c r="AD10" s="782"/>
      <c r="AE10" s="786" t="s">
        <v>176</v>
      </c>
      <c r="AF10" s="780"/>
      <c r="AG10" s="787"/>
      <c r="AH10" s="783"/>
      <c r="AI10" s="784"/>
      <c r="AJ10" s="776"/>
      <c r="AK10" s="776"/>
      <c r="AL10" s="788"/>
      <c r="AM10" s="784"/>
      <c r="AN10" s="784"/>
      <c r="AO10" s="784"/>
      <c r="AP10" s="784"/>
      <c r="AQ10" s="784"/>
      <c r="AR10" s="784"/>
      <c r="AS10" s="776"/>
      <c r="AT10" s="776"/>
      <c r="AU10" s="778"/>
      <c r="AZ10" s="92"/>
      <c r="BA10" s="92"/>
      <c r="BB10" s="92"/>
      <c r="BC10" s="92"/>
      <c r="BD10" s="93"/>
    </row>
    <row r="11" spans="2:56" ht="12.95" customHeight="1" x14ac:dyDescent="0.15">
      <c r="B11" s="635"/>
      <c r="C11" s="92"/>
      <c r="D11" s="774">
        <f t="shared" ca="1" si="0"/>
        <v>3</v>
      </c>
      <c r="E11" s="775" t="s">
        <v>177</v>
      </c>
      <c r="F11" s="776"/>
      <c r="G11" s="776"/>
      <c r="H11" s="776"/>
      <c r="I11" s="776"/>
      <c r="J11" s="776"/>
      <c r="K11" s="776"/>
      <c r="L11" s="776"/>
      <c r="M11" s="776"/>
      <c r="N11" s="776"/>
      <c r="O11" s="775" t="s">
        <v>178</v>
      </c>
      <c r="P11" s="776"/>
      <c r="Q11" s="776"/>
      <c r="R11" s="776"/>
      <c r="S11" s="776"/>
      <c r="T11" s="776"/>
      <c r="U11" s="776"/>
      <c r="V11" s="776"/>
      <c r="W11" s="776"/>
      <c r="X11" s="778"/>
      <c r="Y11" s="786" t="s">
        <v>172</v>
      </c>
      <c r="Z11" s="780"/>
      <c r="AA11" s="787"/>
      <c r="AB11" s="780"/>
      <c r="AC11" s="780"/>
      <c r="AD11" s="782"/>
      <c r="AE11" s="786" t="s">
        <v>176</v>
      </c>
      <c r="AF11" s="780"/>
      <c r="AG11" s="787"/>
      <c r="AH11" s="783"/>
      <c r="AI11" s="784"/>
      <c r="AJ11" s="776"/>
      <c r="AK11" s="776"/>
      <c r="AL11" s="788"/>
      <c r="AM11" s="784"/>
      <c r="AN11" s="784"/>
      <c r="AO11" s="784"/>
      <c r="AP11" s="784"/>
      <c r="AQ11" s="784"/>
      <c r="AR11" s="784"/>
      <c r="AS11" s="776"/>
      <c r="AT11" s="776"/>
      <c r="AU11" s="778"/>
      <c r="AZ11" s="92"/>
      <c r="BA11" s="92"/>
      <c r="BB11" s="92"/>
      <c r="BC11" s="92"/>
      <c r="BD11" s="93"/>
    </row>
    <row r="12" spans="2:56" ht="12.95" customHeight="1" x14ac:dyDescent="0.15">
      <c r="B12" s="635"/>
      <c r="C12" s="92"/>
      <c r="D12" s="774">
        <f t="shared" ca="1" si="0"/>
        <v>4</v>
      </c>
      <c r="E12" s="775" t="s">
        <v>179</v>
      </c>
      <c r="F12" s="776"/>
      <c r="G12" s="776"/>
      <c r="H12" s="776"/>
      <c r="I12" s="776"/>
      <c r="J12" s="776"/>
      <c r="K12" s="776"/>
      <c r="L12" s="776"/>
      <c r="M12" s="776"/>
      <c r="N12" s="776"/>
      <c r="O12" s="775" t="s">
        <v>180</v>
      </c>
      <c r="P12" s="776"/>
      <c r="Q12" s="776"/>
      <c r="R12" s="776"/>
      <c r="S12" s="776"/>
      <c r="T12" s="776"/>
      <c r="U12" s="776"/>
      <c r="V12" s="776"/>
      <c r="W12" s="776"/>
      <c r="X12" s="778"/>
      <c r="Y12" s="786" t="s">
        <v>172</v>
      </c>
      <c r="Z12" s="780"/>
      <c r="AA12" s="787"/>
      <c r="AB12" s="780"/>
      <c r="AC12" s="780"/>
      <c r="AD12" s="782"/>
      <c r="AE12" s="786" t="s">
        <v>176</v>
      </c>
      <c r="AF12" s="780"/>
      <c r="AG12" s="787"/>
      <c r="AH12" s="783"/>
      <c r="AI12" s="784"/>
      <c r="AJ12" s="776"/>
      <c r="AK12" s="776"/>
      <c r="AL12" s="788"/>
      <c r="AM12" s="789"/>
      <c r="AN12" s="784"/>
      <c r="AO12" s="784"/>
      <c r="AP12" s="784"/>
      <c r="AQ12" s="784"/>
      <c r="AR12" s="784"/>
      <c r="AS12" s="776"/>
      <c r="AT12" s="776"/>
      <c r="AU12" s="778"/>
      <c r="AZ12" s="92"/>
      <c r="BA12" s="92"/>
      <c r="BB12" s="92"/>
      <c r="BC12" s="92"/>
      <c r="BD12" s="93"/>
    </row>
    <row r="13" spans="2:56" ht="12.95" customHeight="1" x14ac:dyDescent="0.15">
      <c r="B13" s="635"/>
      <c r="C13" s="92"/>
      <c r="D13" s="774">
        <f t="shared" ca="1" si="0"/>
        <v>5</v>
      </c>
      <c r="E13" s="775" t="s">
        <v>181</v>
      </c>
      <c r="F13" s="776"/>
      <c r="G13" s="776"/>
      <c r="H13" s="776"/>
      <c r="I13" s="776"/>
      <c r="J13" s="776"/>
      <c r="K13" s="776"/>
      <c r="L13" s="776"/>
      <c r="M13" s="776"/>
      <c r="N13" s="776"/>
      <c r="O13" s="775" t="s">
        <v>182</v>
      </c>
      <c r="P13" s="776"/>
      <c r="Q13" s="776"/>
      <c r="R13" s="776"/>
      <c r="S13" s="776"/>
      <c r="T13" s="776"/>
      <c r="U13" s="776"/>
      <c r="V13" s="776"/>
      <c r="W13" s="776"/>
      <c r="X13" s="778"/>
      <c r="Y13" s="786" t="s">
        <v>172</v>
      </c>
      <c r="Z13" s="780"/>
      <c r="AA13" s="787"/>
      <c r="AB13" s="780"/>
      <c r="AC13" s="780"/>
      <c r="AD13" s="782"/>
      <c r="AE13" s="786" t="s">
        <v>176</v>
      </c>
      <c r="AF13" s="780"/>
      <c r="AG13" s="787"/>
      <c r="AH13" s="783"/>
      <c r="AI13" s="784"/>
      <c r="AJ13" s="776"/>
      <c r="AK13" s="776"/>
      <c r="AL13" s="788"/>
      <c r="AM13" s="784"/>
      <c r="AN13" s="784"/>
      <c r="AO13" s="784"/>
      <c r="AP13" s="784"/>
      <c r="AQ13" s="784"/>
      <c r="AR13" s="784"/>
      <c r="AS13" s="776"/>
      <c r="AT13" s="776"/>
      <c r="AU13" s="778"/>
      <c r="AZ13" s="92"/>
      <c r="BA13" s="92"/>
      <c r="BB13" s="92"/>
      <c r="BC13" s="92"/>
      <c r="BD13" s="93"/>
    </row>
    <row r="14" spans="2:56" ht="12.95" customHeight="1" x14ac:dyDescent="0.15">
      <c r="B14" s="635"/>
      <c r="C14" s="92"/>
      <c r="D14" s="774">
        <f t="shared" ca="1" si="0"/>
        <v>6</v>
      </c>
      <c r="E14" s="775" t="s">
        <v>183</v>
      </c>
      <c r="F14" s="776"/>
      <c r="G14" s="776"/>
      <c r="H14" s="776"/>
      <c r="I14" s="776"/>
      <c r="J14" s="776"/>
      <c r="K14" s="776"/>
      <c r="L14" s="776"/>
      <c r="M14" s="776"/>
      <c r="N14" s="776"/>
      <c r="O14" s="775" t="s">
        <v>184</v>
      </c>
      <c r="P14" s="776"/>
      <c r="Q14" s="776"/>
      <c r="R14" s="776"/>
      <c r="S14" s="776"/>
      <c r="T14" s="776"/>
      <c r="U14" s="776"/>
      <c r="V14" s="776"/>
      <c r="W14" s="776"/>
      <c r="X14" s="778"/>
      <c r="Y14" s="786" t="s">
        <v>172</v>
      </c>
      <c r="Z14" s="780"/>
      <c r="AA14" s="787"/>
      <c r="AB14" s="780"/>
      <c r="AC14" s="780"/>
      <c r="AD14" s="782"/>
      <c r="AE14" s="786" t="s">
        <v>176</v>
      </c>
      <c r="AF14" s="780"/>
      <c r="AG14" s="787"/>
      <c r="AH14" s="783"/>
      <c r="AI14" s="784"/>
      <c r="AJ14" s="776"/>
      <c r="AK14" s="776"/>
      <c r="AL14" s="788"/>
      <c r="AM14" s="784"/>
      <c r="AN14" s="784"/>
      <c r="AO14" s="784"/>
      <c r="AP14" s="784"/>
      <c r="AQ14" s="784"/>
      <c r="AR14" s="784"/>
      <c r="AS14" s="776"/>
      <c r="AT14" s="776"/>
      <c r="AU14" s="778"/>
      <c r="AZ14" s="92"/>
      <c r="BA14" s="92"/>
      <c r="BB14" s="92"/>
      <c r="BC14" s="92"/>
      <c r="BD14" s="93"/>
    </row>
    <row r="15" spans="2:56" ht="12.95" customHeight="1" x14ac:dyDescent="0.15">
      <c r="B15" s="635"/>
      <c r="C15" s="92"/>
      <c r="D15" s="774">
        <f t="shared" ca="1" si="0"/>
        <v>7</v>
      </c>
      <c r="E15" s="775" t="s">
        <v>185</v>
      </c>
      <c r="F15" s="776"/>
      <c r="G15" s="776"/>
      <c r="H15" s="776"/>
      <c r="I15" s="776"/>
      <c r="J15" s="776"/>
      <c r="K15" s="776"/>
      <c r="L15" s="776"/>
      <c r="M15" s="776"/>
      <c r="N15" s="776"/>
      <c r="O15" s="775" t="s">
        <v>186</v>
      </c>
      <c r="P15" s="776"/>
      <c r="Q15" s="776"/>
      <c r="R15" s="776"/>
      <c r="S15" s="776"/>
      <c r="T15" s="776"/>
      <c r="U15" s="776"/>
      <c r="V15" s="776"/>
      <c r="W15" s="776"/>
      <c r="X15" s="778"/>
      <c r="Y15" s="786" t="s">
        <v>172</v>
      </c>
      <c r="Z15" s="780"/>
      <c r="AA15" s="787"/>
      <c r="AB15" s="780"/>
      <c r="AC15" s="780"/>
      <c r="AD15" s="782"/>
      <c r="AE15" s="786" t="s">
        <v>176</v>
      </c>
      <c r="AF15" s="780"/>
      <c r="AG15" s="787"/>
      <c r="AH15" s="783"/>
      <c r="AI15" s="784"/>
      <c r="AJ15" s="776"/>
      <c r="AK15" s="776"/>
      <c r="AL15" s="788"/>
      <c r="AM15" s="784"/>
      <c r="AN15" s="784"/>
      <c r="AO15" s="784"/>
      <c r="AP15" s="784"/>
      <c r="AQ15" s="784"/>
      <c r="AR15" s="784"/>
      <c r="AS15" s="776"/>
      <c r="AT15" s="776"/>
      <c r="AU15" s="778"/>
      <c r="AZ15" s="92"/>
      <c r="BA15" s="92"/>
      <c r="BB15" s="92"/>
      <c r="BC15" s="92"/>
      <c r="BD15" s="93"/>
    </row>
    <row r="16" spans="2:56" ht="12.95" customHeight="1" x14ac:dyDescent="0.15">
      <c r="B16" s="635"/>
      <c r="C16" s="92"/>
      <c r="D16" s="774">
        <f t="shared" ca="1" si="0"/>
        <v>8</v>
      </c>
      <c r="E16" s="775" t="s">
        <v>187</v>
      </c>
      <c r="F16" s="776"/>
      <c r="G16" s="776"/>
      <c r="H16" s="776"/>
      <c r="I16" s="776"/>
      <c r="J16" s="776"/>
      <c r="K16" s="776"/>
      <c r="L16" s="776"/>
      <c r="M16" s="776"/>
      <c r="N16" s="776"/>
      <c r="O16" s="790" t="s">
        <v>188</v>
      </c>
      <c r="P16" s="776"/>
      <c r="Q16" s="776"/>
      <c r="R16" s="776"/>
      <c r="S16" s="776"/>
      <c r="T16" s="776"/>
      <c r="U16" s="776"/>
      <c r="V16" s="776"/>
      <c r="W16" s="776"/>
      <c r="X16" s="778"/>
      <c r="Y16" s="779" t="s">
        <v>172</v>
      </c>
      <c r="Z16" s="780"/>
      <c r="AA16" s="781"/>
      <c r="AB16" s="780"/>
      <c r="AC16" s="780"/>
      <c r="AD16" s="782"/>
      <c r="AE16" s="779" t="s">
        <v>173</v>
      </c>
      <c r="AF16" s="780"/>
      <c r="AG16" s="781"/>
      <c r="AH16" s="783"/>
      <c r="AI16" s="784"/>
      <c r="AJ16" s="776"/>
      <c r="AK16" s="776"/>
      <c r="AL16" s="791"/>
      <c r="AM16" s="784"/>
      <c r="AN16" s="784"/>
      <c r="AO16" s="784"/>
      <c r="AP16" s="784"/>
      <c r="AQ16" s="784"/>
      <c r="AR16" s="784"/>
      <c r="AS16" s="776"/>
      <c r="AT16" s="776"/>
      <c r="AU16" s="778"/>
      <c r="AZ16" s="92"/>
      <c r="BA16" s="92"/>
      <c r="BB16" s="92"/>
      <c r="BC16" s="92"/>
      <c r="BD16" s="93"/>
    </row>
    <row r="17" spans="2:56" ht="12.95" customHeight="1" x14ac:dyDescent="0.15">
      <c r="B17" s="635"/>
      <c r="C17" s="92"/>
      <c r="D17" s="774">
        <f t="shared" ca="1" si="0"/>
        <v>9</v>
      </c>
      <c r="E17" s="775" t="s">
        <v>189</v>
      </c>
      <c r="F17" s="776"/>
      <c r="G17" s="776"/>
      <c r="H17" s="776"/>
      <c r="I17" s="776"/>
      <c r="J17" s="776"/>
      <c r="K17" s="776"/>
      <c r="L17" s="776"/>
      <c r="M17" s="776"/>
      <c r="N17" s="776"/>
      <c r="O17" s="775" t="s">
        <v>190</v>
      </c>
      <c r="P17" s="776"/>
      <c r="Q17" s="776"/>
      <c r="R17" s="776"/>
      <c r="S17" s="776"/>
      <c r="T17" s="776"/>
      <c r="U17" s="776"/>
      <c r="V17" s="776"/>
      <c r="W17" s="776"/>
      <c r="X17" s="778"/>
      <c r="Y17" s="792" t="s">
        <v>191</v>
      </c>
      <c r="Z17" s="780"/>
      <c r="AA17" s="793"/>
      <c r="AB17" s="780"/>
      <c r="AC17" s="780"/>
      <c r="AD17" s="782"/>
      <c r="AE17" s="779" t="s">
        <v>173</v>
      </c>
      <c r="AF17" s="780"/>
      <c r="AG17" s="781"/>
      <c r="AH17" s="783"/>
      <c r="AI17" s="784" t="s">
        <v>192</v>
      </c>
      <c r="AJ17" s="784"/>
      <c r="AK17" s="784"/>
      <c r="AL17" s="794"/>
      <c r="AM17" s="784"/>
      <c r="AN17" s="784"/>
      <c r="AO17" s="784"/>
      <c r="AP17" s="784"/>
      <c r="AQ17" s="784"/>
      <c r="AR17" s="784"/>
      <c r="AS17" s="776"/>
      <c r="AT17" s="776"/>
      <c r="AU17" s="778"/>
      <c r="AZ17" s="92"/>
      <c r="BA17" s="92"/>
      <c r="BB17" s="92"/>
      <c r="BC17" s="92"/>
      <c r="BD17" s="93"/>
    </row>
    <row r="18" spans="2:56" ht="12.95" customHeight="1" x14ac:dyDescent="0.15">
      <c r="B18" s="635"/>
      <c r="C18" s="92"/>
      <c r="D18" s="774">
        <f t="shared" ca="1" si="0"/>
        <v>10</v>
      </c>
      <c r="E18" s="775" t="s">
        <v>193</v>
      </c>
      <c r="F18" s="776"/>
      <c r="G18" s="776"/>
      <c r="H18" s="776"/>
      <c r="I18" s="776"/>
      <c r="J18" s="776"/>
      <c r="K18" s="776"/>
      <c r="L18" s="776"/>
      <c r="M18" s="776"/>
      <c r="N18" s="776"/>
      <c r="O18" s="775" t="s">
        <v>194</v>
      </c>
      <c r="P18" s="776"/>
      <c r="Q18" s="776"/>
      <c r="R18" s="776"/>
      <c r="S18" s="776"/>
      <c r="T18" s="776"/>
      <c r="U18" s="776"/>
      <c r="V18" s="776"/>
      <c r="W18" s="776"/>
      <c r="X18" s="778"/>
      <c r="Y18" s="779" t="s">
        <v>195</v>
      </c>
      <c r="Z18" s="780"/>
      <c r="AA18" s="781"/>
      <c r="AB18" s="780"/>
      <c r="AC18" s="780"/>
      <c r="AD18" s="782"/>
      <c r="AE18" s="779" t="s">
        <v>173</v>
      </c>
      <c r="AF18" s="780"/>
      <c r="AG18" s="781"/>
      <c r="AH18" s="783"/>
      <c r="AI18" s="784"/>
      <c r="AJ18" s="784"/>
      <c r="AK18" s="784"/>
      <c r="AL18" s="785"/>
      <c r="AM18" s="784"/>
      <c r="AN18" s="784"/>
      <c r="AO18" s="784"/>
      <c r="AP18" s="784"/>
      <c r="AQ18" s="784"/>
      <c r="AR18" s="784"/>
      <c r="AS18" s="776"/>
      <c r="AT18" s="776"/>
      <c r="AU18" s="778"/>
      <c r="AZ18" s="92"/>
      <c r="BA18" s="92"/>
      <c r="BB18" s="92"/>
      <c r="BC18" s="92"/>
      <c r="BD18" s="93"/>
    </row>
    <row r="19" spans="2:56" ht="12.95" customHeight="1" x14ac:dyDescent="0.15">
      <c r="B19" s="635"/>
      <c r="C19" s="92"/>
      <c r="D19" s="774">
        <f t="shared" ca="1" si="0"/>
        <v>11</v>
      </c>
      <c r="E19" s="775" t="s">
        <v>196</v>
      </c>
      <c r="F19" s="776"/>
      <c r="G19" s="776"/>
      <c r="H19" s="776"/>
      <c r="I19" s="776"/>
      <c r="J19" s="776"/>
      <c r="K19" s="776"/>
      <c r="L19" s="776"/>
      <c r="M19" s="776"/>
      <c r="N19" s="776"/>
      <c r="O19" s="775" t="s">
        <v>197</v>
      </c>
      <c r="P19" s="776"/>
      <c r="Q19" s="776"/>
      <c r="R19" s="776"/>
      <c r="S19" s="776"/>
      <c r="T19" s="776"/>
      <c r="U19" s="776"/>
      <c r="V19" s="776"/>
      <c r="W19" s="776"/>
      <c r="X19" s="778"/>
      <c r="Y19" s="779" t="s">
        <v>172</v>
      </c>
      <c r="Z19" s="780"/>
      <c r="AA19" s="781"/>
      <c r="AB19" s="780"/>
      <c r="AC19" s="780"/>
      <c r="AD19" s="782"/>
      <c r="AE19" s="779" t="s">
        <v>173</v>
      </c>
      <c r="AF19" s="780"/>
      <c r="AG19" s="781"/>
      <c r="AH19" s="783"/>
      <c r="AI19" s="784"/>
      <c r="AJ19" s="784"/>
      <c r="AK19" s="784"/>
      <c r="AL19" s="785"/>
      <c r="AM19" s="784"/>
      <c r="AN19" s="784"/>
      <c r="AO19" s="784"/>
      <c r="AP19" s="784"/>
      <c r="AQ19" s="784"/>
      <c r="AR19" s="784"/>
      <c r="AS19" s="776"/>
      <c r="AT19" s="776"/>
      <c r="AU19" s="778"/>
      <c r="AZ19" s="92"/>
      <c r="BA19" s="92"/>
      <c r="BB19" s="92"/>
      <c r="BC19" s="92"/>
      <c r="BD19" s="93"/>
    </row>
    <row r="20" spans="2:56" ht="12.95" customHeight="1" x14ac:dyDescent="0.15">
      <c r="B20" s="635"/>
      <c r="C20" s="92"/>
      <c r="D20" s="795">
        <f ca="1">OFFSET(D20,-1,0,1,1)+1</f>
        <v>12</v>
      </c>
      <c r="E20" s="796" t="s">
        <v>198</v>
      </c>
      <c r="F20" s="797"/>
      <c r="G20" s="797"/>
      <c r="H20" s="797"/>
      <c r="I20" s="797"/>
      <c r="J20" s="797"/>
      <c r="K20" s="797"/>
      <c r="L20" s="797"/>
      <c r="M20" s="797"/>
      <c r="N20" s="797"/>
      <c r="O20" s="798" t="s">
        <v>199</v>
      </c>
      <c r="P20" s="797"/>
      <c r="Q20" s="797"/>
      <c r="R20" s="797"/>
      <c r="S20" s="797"/>
      <c r="T20" s="797"/>
      <c r="U20" s="797"/>
      <c r="V20" s="797"/>
      <c r="W20" s="797"/>
      <c r="X20" s="799"/>
      <c r="Y20" s="800" t="s">
        <v>200</v>
      </c>
      <c r="Z20" s="801"/>
      <c r="AA20" s="802"/>
      <c r="AB20" s="801"/>
      <c r="AC20" s="801"/>
      <c r="AD20" s="803"/>
      <c r="AE20" s="800" t="s">
        <v>201</v>
      </c>
      <c r="AF20" s="801"/>
      <c r="AG20" s="802"/>
      <c r="AH20" s="804"/>
      <c r="AI20" s="805"/>
      <c r="AJ20" s="805"/>
      <c r="AK20" s="805"/>
      <c r="AL20" s="806"/>
      <c r="AM20" s="805"/>
      <c r="AN20" s="805"/>
      <c r="AO20" s="805"/>
      <c r="AP20" s="805"/>
      <c r="AQ20" s="805"/>
      <c r="AR20" s="805"/>
      <c r="AS20" s="797"/>
      <c r="AT20" s="797"/>
      <c r="AU20" s="799"/>
      <c r="AZ20" s="92"/>
      <c r="BA20" s="92"/>
      <c r="BB20" s="92"/>
      <c r="BC20" s="92"/>
      <c r="BD20" s="93"/>
    </row>
    <row r="21" spans="2:56" ht="12.95" customHeight="1" x14ac:dyDescent="0.15">
      <c r="B21" s="635"/>
      <c r="C21" s="92"/>
      <c r="D21" s="807">
        <f ca="1">OFFSET(D21,-1,0,1,1)+1</f>
        <v>13</v>
      </c>
      <c r="E21" s="796" t="s">
        <v>202</v>
      </c>
      <c r="F21" s="797"/>
      <c r="G21" s="797"/>
      <c r="H21" s="797"/>
      <c r="I21" s="797"/>
      <c r="J21" s="797"/>
      <c r="K21" s="797"/>
      <c r="L21" s="797"/>
      <c r="M21" s="797"/>
      <c r="N21" s="797"/>
      <c r="O21" s="798" t="s">
        <v>203</v>
      </c>
      <c r="P21" s="797"/>
      <c r="Q21" s="797"/>
      <c r="R21" s="797"/>
      <c r="S21" s="797"/>
      <c r="T21" s="797"/>
      <c r="U21" s="797"/>
      <c r="V21" s="797"/>
      <c r="W21" s="797"/>
      <c r="X21" s="799"/>
      <c r="Y21" s="800" t="s">
        <v>200</v>
      </c>
      <c r="Z21" s="801"/>
      <c r="AA21" s="802"/>
      <c r="AB21" s="801"/>
      <c r="AC21" s="801"/>
      <c r="AD21" s="803"/>
      <c r="AE21" s="800" t="s">
        <v>201</v>
      </c>
      <c r="AF21" s="801"/>
      <c r="AG21" s="802"/>
      <c r="AH21" s="804"/>
      <c r="AI21" s="805"/>
      <c r="AJ21" s="797"/>
      <c r="AK21" s="797"/>
      <c r="AL21" s="808"/>
      <c r="AM21" s="805"/>
      <c r="AN21" s="805"/>
      <c r="AO21" s="805"/>
      <c r="AP21" s="805"/>
      <c r="AQ21" s="805"/>
      <c r="AR21" s="805"/>
      <c r="AS21" s="797"/>
      <c r="AT21" s="797"/>
      <c r="AU21" s="799"/>
      <c r="AZ21" s="92"/>
      <c r="BA21" s="92"/>
      <c r="BB21" s="92"/>
      <c r="BC21" s="92"/>
      <c r="BD21" s="93"/>
    </row>
    <row r="22" spans="2:56" ht="12.95" customHeight="1" x14ac:dyDescent="0.15">
      <c r="B22" s="635"/>
      <c r="C22" s="92"/>
      <c r="D22" s="807">
        <f ca="1">OFFSET(D22,-1,0,1,1)+1</f>
        <v>14</v>
      </c>
      <c r="E22" s="796" t="s">
        <v>204</v>
      </c>
      <c r="F22" s="797"/>
      <c r="G22" s="797"/>
      <c r="H22" s="797"/>
      <c r="I22" s="797"/>
      <c r="J22" s="797"/>
      <c r="K22" s="797"/>
      <c r="L22" s="797"/>
      <c r="M22" s="797"/>
      <c r="N22" s="797"/>
      <c r="O22" s="798" t="s">
        <v>205</v>
      </c>
      <c r="P22" s="797"/>
      <c r="Q22" s="797"/>
      <c r="R22" s="797"/>
      <c r="S22" s="797"/>
      <c r="T22" s="797"/>
      <c r="U22" s="797"/>
      <c r="V22" s="797"/>
      <c r="W22" s="797"/>
      <c r="X22" s="799"/>
      <c r="Y22" s="809" t="s">
        <v>200</v>
      </c>
      <c r="Z22" s="801"/>
      <c r="AA22" s="810"/>
      <c r="AB22" s="801"/>
      <c r="AC22" s="801"/>
      <c r="AD22" s="803"/>
      <c r="AE22" s="809" t="s">
        <v>201</v>
      </c>
      <c r="AF22" s="801"/>
      <c r="AG22" s="810"/>
      <c r="AH22" s="804"/>
      <c r="AI22" s="805"/>
      <c r="AJ22" s="797"/>
      <c r="AK22" s="797"/>
      <c r="AL22" s="806"/>
      <c r="AM22" s="805"/>
      <c r="AN22" s="805"/>
      <c r="AO22" s="805"/>
      <c r="AP22" s="805"/>
      <c r="AQ22" s="805"/>
      <c r="AR22" s="805"/>
      <c r="AS22" s="797"/>
      <c r="AT22" s="797"/>
      <c r="AU22" s="799"/>
      <c r="AZ22" s="92"/>
      <c r="BA22" s="92"/>
      <c r="BB22" s="92"/>
      <c r="BC22" s="92"/>
      <c r="BD22" s="93"/>
    </row>
    <row r="23" spans="2:56" ht="12.95" customHeight="1" x14ac:dyDescent="0.15">
      <c r="B23" s="635"/>
      <c r="C23" s="92"/>
      <c r="D23" s="811">
        <f ca="1">OFFSET(D23,-1,0,1,1)+1</f>
        <v>15</v>
      </c>
      <c r="E23" s="812" t="s">
        <v>206</v>
      </c>
      <c r="F23" s="813"/>
      <c r="G23" s="813"/>
      <c r="H23" s="813"/>
      <c r="I23" s="813"/>
      <c r="J23" s="813"/>
      <c r="K23" s="813"/>
      <c r="L23" s="813"/>
      <c r="M23" s="813"/>
      <c r="N23" s="813"/>
      <c r="O23" s="814" t="s">
        <v>207</v>
      </c>
      <c r="P23" s="813"/>
      <c r="Q23" s="813"/>
      <c r="R23" s="813"/>
      <c r="S23" s="813"/>
      <c r="T23" s="813"/>
      <c r="U23" s="813"/>
      <c r="V23" s="813"/>
      <c r="W23" s="813"/>
      <c r="X23" s="815"/>
      <c r="Y23" s="816" t="s">
        <v>208</v>
      </c>
      <c r="Z23" s="817"/>
      <c r="AA23" s="818"/>
      <c r="AB23" s="817"/>
      <c r="AC23" s="817"/>
      <c r="AD23" s="819"/>
      <c r="AE23" s="816" t="s">
        <v>208</v>
      </c>
      <c r="AF23" s="817"/>
      <c r="AG23" s="818"/>
      <c r="AH23" s="820"/>
      <c r="AI23" s="821"/>
      <c r="AJ23" s="813"/>
      <c r="AK23" s="813"/>
      <c r="AL23" s="822"/>
      <c r="AM23" s="823"/>
      <c r="AN23" s="823"/>
      <c r="AO23" s="823"/>
      <c r="AP23" s="823"/>
      <c r="AQ23" s="823"/>
      <c r="AR23" s="823"/>
      <c r="AS23" s="813"/>
      <c r="AT23" s="813"/>
      <c r="AU23" s="815"/>
      <c r="AZ23" s="92"/>
      <c r="BA23" s="92"/>
      <c r="BB23" s="92"/>
      <c r="BC23" s="92"/>
      <c r="BD23" s="93"/>
    </row>
    <row r="24" spans="2:56" ht="12.95" customHeight="1" x14ac:dyDescent="0.15">
      <c r="B24" s="635"/>
      <c r="C24" s="92"/>
      <c r="D24" s="811">
        <f t="shared" ca="1" si="0"/>
        <v>16</v>
      </c>
      <c r="E24" s="812" t="s">
        <v>209</v>
      </c>
      <c r="F24" s="813"/>
      <c r="G24" s="813"/>
      <c r="H24" s="813"/>
      <c r="I24" s="813"/>
      <c r="J24" s="813"/>
      <c r="K24" s="813"/>
      <c r="L24" s="813"/>
      <c r="M24" s="813"/>
      <c r="N24" s="813"/>
      <c r="O24" s="812" t="s">
        <v>210</v>
      </c>
      <c r="P24" s="813"/>
      <c r="Q24" s="813"/>
      <c r="R24" s="813"/>
      <c r="S24" s="813"/>
      <c r="T24" s="813"/>
      <c r="U24" s="813"/>
      <c r="V24" s="813"/>
      <c r="W24" s="813"/>
      <c r="X24" s="815"/>
      <c r="Y24" s="824" t="s">
        <v>211</v>
      </c>
      <c r="Z24" s="817"/>
      <c r="AA24" s="825"/>
      <c r="AB24" s="817"/>
      <c r="AC24" s="817"/>
      <c r="AD24" s="819"/>
      <c r="AE24" s="824" t="s">
        <v>211</v>
      </c>
      <c r="AF24" s="817"/>
      <c r="AG24" s="825"/>
      <c r="AH24" s="820"/>
      <c r="AI24" s="823"/>
      <c r="AJ24" s="823"/>
      <c r="AK24" s="823"/>
      <c r="AL24" s="826"/>
      <c r="AM24" s="823"/>
      <c r="AN24" s="823"/>
      <c r="AO24" s="823"/>
      <c r="AP24" s="823"/>
      <c r="AQ24" s="823"/>
      <c r="AR24" s="823"/>
      <c r="AS24" s="813"/>
      <c r="AT24" s="813"/>
      <c r="AU24" s="815"/>
      <c r="AZ24" s="92"/>
      <c r="BA24" s="92"/>
      <c r="BB24" s="92"/>
      <c r="BC24" s="92"/>
      <c r="BD24" s="93"/>
    </row>
    <row r="25" spans="2:56" ht="12.95" customHeight="1" x14ac:dyDescent="0.15">
      <c r="B25" s="635"/>
      <c r="C25" s="92"/>
      <c r="D25" s="811">
        <f t="shared" ca="1" si="0"/>
        <v>17</v>
      </c>
      <c r="E25" s="812" t="s">
        <v>212</v>
      </c>
      <c r="F25" s="813"/>
      <c r="G25" s="813"/>
      <c r="H25" s="813"/>
      <c r="I25" s="813"/>
      <c r="J25" s="813"/>
      <c r="K25" s="813"/>
      <c r="L25" s="813"/>
      <c r="M25" s="813"/>
      <c r="N25" s="813"/>
      <c r="O25" s="812" t="s">
        <v>213</v>
      </c>
      <c r="P25" s="813"/>
      <c r="Q25" s="813"/>
      <c r="R25" s="813"/>
      <c r="S25" s="813"/>
      <c r="T25" s="813"/>
      <c r="U25" s="813"/>
      <c r="V25" s="813"/>
      <c r="W25" s="813"/>
      <c r="X25" s="815"/>
      <c r="Y25" s="824" t="s">
        <v>211</v>
      </c>
      <c r="Z25" s="817"/>
      <c r="AA25" s="825"/>
      <c r="AB25" s="817"/>
      <c r="AC25" s="817"/>
      <c r="AD25" s="819"/>
      <c r="AE25" s="824" t="s">
        <v>211</v>
      </c>
      <c r="AF25" s="817"/>
      <c r="AG25" s="825"/>
      <c r="AH25" s="820"/>
      <c r="AI25" s="823"/>
      <c r="AJ25" s="823"/>
      <c r="AK25" s="823"/>
      <c r="AL25" s="826"/>
      <c r="AM25" s="823"/>
      <c r="AN25" s="823"/>
      <c r="AO25" s="823"/>
      <c r="AP25" s="823"/>
      <c r="AQ25" s="823"/>
      <c r="AR25" s="823"/>
      <c r="AS25" s="813"/>
      <c r="AT25" s="813"/>
      <c r="AU25" s="815"/>
      <c r="AZ25" s="92"/>
      <c r="BA25" s="92"/>
      <c r="BB25" s="92"/>
      <c r="BC25" s="92"/>
      <c r="BD25" s="93"/>
    </row>
    <row r="26" spans="2:56" ht="12.95" customHeight="1" x14ac:dyDescent="0.15">
      <c r="B26" s="635"/>
      <c r="C26" s="92"/>
      <c r="D26" s="811">
        <f t="shared" ca="1" si="0"/>
        <v>18</v>
      </c>
      <c r="E26" s="812" t="s">
        <v>214</v>
      </c>
      <c r="F26" s="813"/>
      <c r="G26" s="813"/>
      <c r="H26" s="813"/>
      <c r="I26" s="813"/>
      <c r="J26" s="813"/>
      <c r="K26" s="813"/>
      <c r="L26" s="813"/>
      <c r="M26" s="813"/>
      <c r="N26" s="813"/>
      <c r="O26" s="812" t="s">
        <v>215</v>
      </c>
      <c r="P26" s="813"/>
      <c r="Q26" s="813"/>
      <c r="R26" s="813"/>
      <c r="S26" s="813"/>
      <c r="T26" s="813"/>
      <c r="U26" s="813"/>
      <c r="V26" s="813"/>
      <c r="W26" s="813"/>
      <c r="X26" s="815"/>
      <c r="Y26" s="824" t="s">
        <v>211</v>
      </c>
      <c r="Z26" s="817"/>
      <c r="AA26" s="825"/>
      <c r="AB26" s="817"/>
      <c r="AC26" s="817"/>
      <c r="AD26" s="819"/>
      <c r="AE26" s="824" t="s">
        <v>211</v>
      </c>
      <c r="AF26" s="817"/>
      <c r="AG26" s="825"/>
      <c r="AH26" s="820"/>
      <c r="AI26" s="823"/>
      <c r="AJ26" s="823"/>
      <c r="AK26" s="823"/>
      <c r="AL26" s="826"/>
      <c r="AM26" s="823"/>
      <c r="AN26" s="823"/>
      <c r="AO26" s="823"/>
      <c r="AP26" s="823"/>
      <c r="AQ26" s="823"/>
      <c r="AR26" s="823"/>
      <c r="AS26" s="813"/>
      <c r="AT26" s="813"/>
      <c r="AU26" s="815"/>
      <c r="AV26" s="92"/>
      <c r="AX26" s="92"/>
      <c r="AZ26" s="92"/>
      <c r="BA26" s="92"/>
      <c r="BB26" s="92"/>
      <c r="BC26" s="92"/>
      <c r="BD26" s="93"/>
    </row>
    <row r="27" spans="2:56" ht="12.95" customHeight="1" x14ac:dyDescent="0.15">
      <c r="B27" s="635"/>
      <c r="C27" s="92"/>
      <c r="D27" s="811">
        <f t="shared" ca="1" si="0"/>
        <v>19</v>
      </c>
      <c r="E27" s="812" t="s">
        <v>216</v>
      </c>
      <c r="F27" s="813"/>
      <c r="G27" s="813"/>
      <c r="H27" s="813"/>
      <c r="I27" s="813"/>
      <c r="J27" s="813"/>
      <c r="K27" s="813"/>
      <c r="L27" s="813"/>
      <c r="M27" s="813"/>
      <c r="N27" s="813"/>
      <c r="O27" s="812" t="s">
        <v>217</v>
      </c>
      <c r="P27" s="813"/>
      <c r="Q27" s="813"/>
      <c r="R27" s="813"/>
      <c r="S27" s="813"/>
      <c r="T27" s="813"/>
      <c r="U27" s="813"/>
      <c r="V27" s="813"/>
      <c r="W27" s="813"/>
      <c r="X27" s="815"/>
      <c r="Y27" s="824" t="s">
        <v>211</v>
      </c>
      <c r="Z27" s="817"/>
      <c r="AA27" s="825"/>
      <c r="AB27" s="817"/>
      <c r="AC27" s="817"/>
      <c r="AD27" s="819"/>
      <c r="AE27" s="824" t="s">
        <v>211</v>
      </c>
      <c r="AF27" s="817"/>
      <c r="AG27" s="825"/>
      <c r="AH27" s="820"/>
      <c r="AI27" s="823"/>
      <c r="AJ27" s="823"/>
      <c r="AK27" s="823"/>
      <c r="AL27" s="826"/>
      <c r="AM27" s="823"/>
      <c r="AN27" s="823"/>
      <c r="AO27" s="823"/>
      <c r="AP27" s="823"/>
      <c r="AQ27" s="823"/>
      <c r="AR27" s="823"/>
      <c r="AS27" s="813"/>
      <c r="AT27" s="813"/>
      <c r="AU27" s="815"/>
      <c r="AV27" s="92"/>
      <c r="AX27" s="92"/>
      <c r="AY27" s="92"/>
      <c r="AZ27" s="92"/>
      <c r="BA27" s="92"/>
      <c r="BB27" s="92"/>
      <c r="BC27" s="92"/>
      <c r="BD27" s="93"/>
    </row>
    <row r="28" spans="2:56" ht="12.95" customHeight="1" x14ac:dyDescent="0.15">
      <c r="B28" s="635"/>
      <c r="C28" s="92"/>
      <c r="D28" s="92"/>
      <c r="F28" s="92"/>
      <c r="G28" s="92"/>
      <c r="H28" s="92"/>
      <c r="I28" s="92"/>
      <c r="J28" s="92"/>
      <c r="K28" s="92"/>
      <c r="L28" s="92"/>
      <c r="M28" s="92"/>
      <c r="N28" s="92"/>
      <c r="O28" s="92"/>
      <c r="P28" s="92"/>
      <c r="Q28" s="92"/>
      <c r="R28" s="92"/>
      <c r="S28" s="92"/>
      <c r="T28" s="92"/>
      <c r="U28" s="92"/>
      <c r="V28" s="92"/>
      <c r="W28" s="92"/>
      <c r="X28" s="92"/>
      <c r="Y28" s="92"/>
      <c r="Z28" s="92"/>
      <c r="AA28" s="92"/>
      <c r="AB28" s="92"/>
      <c r="AC28" s="92"/>
      <c r="AD28" s="92"/>
      <c r="AE28" s="92"/>
      <c r="AF28" s="92"/>
      <c r="AG28" s="92"/>
      <c r="AH28" s="92"/>
      <c r="AI28" s="92"/>
      <c r="AJ28" s="92"/>
      <c r="AK28" s="92"/>
      <c r="AL28" s="92"/>
      <c r="AM28" s="92"/>
      <c r="AN28" s="92"/>
      <c r="AO28" s="92"/>
      <c r="AP28" s="92"/>
      <c r="AQ28" s="92"/>
      <c r="AR28" s="92"/>
      <c r="AS28" s="92"/>
      <c r="AT28" s="92"/>
      <c r="AU28" s="92"/>
      <c r="AV28" s="92"/>
      <c r="AX28" s="92"/>
      <c r="AY28" s="92"/>
      <c r="AZ28" s="92"/>
      <c r="BA28" s="92"/>
      <c r="BB28" s="92"/>
      <c r="BC28" s="92"/>
      <c r="BD28" s="93"/>
    </row>
    <row r="29" spans="2:56" ht="12.95" customHeight="1" x14ac:dyDescent="0.15">
      <c r="B29" s="635"/>
      <c r="C29" s="92"/>
      <c r="D29" s="92"/>
      <c r="E29" s="92"/>
      <c r="F29" s="92"/>
      <c r="G29" s="92"/>
      <c r="H29" s="92"/>
      <c r="I29" s="92"/>
      <c r="J29" s="92"/>
      <c r="K29" s="92"/>
      <c r="L29" s="92"/>
      <c r="M29" s="92"/>
      <c r="N29" s="92"/>
      <c r="O29" s="92"/>
      <c r="P29" s="92"/>
      <c r="Q29" s="92"/>
      <c r="R29" s="92"/>
      <c r="S29" s="92"/>
      <c r="T29" s="92"/>
      <c r="U29" s="92"/>
      <c r="V29" s="92"/>
      <c r="W29" s="92"/>
      <c r="X29" s="92"/>
      <c r="Y29" s="92"/>
      <c r="Z29" s="92"/>
      <c r="AA29" s="92"/>
      <c r="AB29" s="92"/>
      <c r="AC29" s="92"/>
      <c r="AD29" s="92"/>
      <c r="AE29" s="92"/>
      <c r="AF29" s="92"/>
      <c r="AG29" s="92"/>
      <c r="AH29" s="92"/>
      <c r="AI29" s="92"/>
      <c r="AJ29" s="92"/>
      <c r="AK29" s="92"/>
      <c r="AL29" s="92"/>
      <c r="AM29" s="92"/>
      <c r="AN29" s="92"/>
      <c r="AO29" s="92"/>
      <c r="AP29" s="92"/>
      <c r="AQ29" s="92"/>
      <c r="AR29" s="92"/>
      <c r="AS29" s="92"/>
      <c r="AT29" s="92"/>
      <c r="AU29" s="92"/>
      <c r="AV29" s="92"/>
      <c r="AX29" s="92"/>
      <c r="AY29" s="92"/>
      <c r="AZ29" s="92"/>
      <c r="BA29" s="92"/>
      <c r="BB29" s="92"/>
      <c r="BC29" s="92"/>
      <c r="BD29" s="93"/>
    </row>
    <row r="30" spans="2:56" ht="12.95" customHeight="1" x14ac:dyDescent="0.15">
      <c r="B30" s="635"/>
      <c r="C30" s="92"/>
      <c r="D30" s="92"/>
      <c r="E30" s="92"/>
      <c r="F30" s="92"/>
      <c r="G30" s="92"/>
      <c r="H30" s="92"/>
      <c r="I30" s="92"/>
      <c r="J30" s="92"/>
      <c r="K30" s="92"/>
      <c r="L30" s="92"/>
      <c r="M30" s="92"/>
      <c r="N30" s="92"/>
      <c r="O30" s="92"/>
      <c r="P30" s="92"/>
      <c r="Q30" s="92"/>
      <c r="R30" s="92"/>
      <c r="S30" s="92"/>
      <c r="T30" s="92"/>
      <c r="U30" s="92"/>
      <c r="V30" s="92"/>
      <c r="W30" s="92"/>
      <c r="X30" s="92"/>
      <c r="Y30" s="92"/>
      <c r="Z30" s="92"/>
      <c r="AA30" s="92"/>
      <c r="AB30" s="92"/>
      <c r="AC30" s="92"/>
      <c r="AD30" s="92"/>
      <c r="AE30" s="92"/>
      <c r="AF30" s="92"/>
      <c r="AG30" s="92"/>
      <c r="AH30" s="92"/>
      <c r="AI30" s="92"/>
      <c r="AJ30" s="92"/>
      <c r="AK30" s="92"/>
      <c r="AL30" s="92"/>
      <c r="AM30" s="92"/>
      <c r="AN30" s="92"/>
      <c r="AO30" s="92"/>
      <c r="AP30" s="92"/>
      <c r="AQ30" s="92"/>
      <c r="AR30" s="92"/>
      <c r="AS30" s="92"/>
      <c r="AT30" s="92"/>
      <c r="AU30" s="92"/>
      <c r="AV30" s="92"/>
      <c r="AW30" s="92"/>
      <c r="AX30" s="92"/>
      <c r="AY30" s="92"/>
      <c r="AZ30" s="92"/>
      <c r="BA30" s="92"/>
      <c r="BB30" s="92"/>
      <c r="BC30" s="92"/>
      <c r="BD30" s="93"/>
    </row>
    <row r="31" spans="2:56" ht="12.95" customHeight="1" x14ac:dyDescent="0.15">
      <c r="B31" s="635"/>
      <c r="C31" s="92"/>
      <c r="H31" s="92"/>
      <c r="I31" s="92"/>
      <c r="J31" s="92"/>
      <c r="K31" s="92"/>
      <c r="L31" s="92"/>
      <c r="M31" s="92"/>
      <c r="N31" s="92"/>
      <c r="O31" s="92"/>
      <c r="P31" s="92"/>
      <c r="Q31" s="92"/>
      <c r="R31" s="92"/>
      <c r="S31" s="92"/>
      <c r="T31" s="92"/>
      <c r="U31" s="92"/>
      <c r="V31" s="92"/>
      <c r="W31" s="92"/>
      <c r="X31" s="92"/>
      <c r="Y31" s="92"/>
      <c r="Z31" s="92"/>
      <c r="AA31" s="92"/>
      <c r="AB31" s="92"/>
      <c r="AC31" s="92"/>
      <c r="AD31" s="92"/>
      <c r="AE31" s="92"/>
      <c r="AF31" s="92"/>
      <c r="AG31" s="92"/>
      <c r="AH31" s="92"/>
      <c r="AI31" s="92"/>
      <c r="AJ31" s="92"/>
      <c r="AK31" s="92"/>
      <c r="AL31" s="92"/>
      <c r="AM31" s="92"/>
      <c r="AN31" s="92"/>
      <c r="AO31" s="92"/>
      <c r="AP31" s="92"/>
      <c r="AQ31" s="92"/>
      <c r="AR31" s="92"/>
      <c r="AS31" s="92"/>
      <c r="AT31" s="92"/>
      <c r="AU31" s="92"/>
      <c r="AV31" s="92"/>
      <c r="AW31" s="92"/>
      <c r="AX31" s="92"/>
      <c r="AY31" s="92"/>
      <c r="AZ31" s="92"/>
      <c r="BA31" s="92"/>
      <c r="BB31" s="92"/>
      <c r="BC31" s="92"/>
      <c r="BD31" s="93"/>
    </row>
    <row r="32" spans="2:56" ht="12.95" customHeight="1" x14ac:dyDescent="0.15">
      <c r="B32" s="635"/>
      <c r="C32" s="92"/>
      <c r="D32" s="92"/>
      <c r="E32" s="92"/>
      <c r="F32" s="92"/>
      <c r="G32" s="92"/>
      <c r="H32" s="92"/>
      <c r="I32" s="92"/>
      <c r="J32" s="92"/>
      <c r="K32" s="92"/>
      <c r="L32" s="92"/>
      <c r="M32" s="92"/>
      <c r="N32" s="92"/>
      <c r="O32" s="92"/>
      <c r="P32" s="92"/>
      <c r="Q32" s="92"/>
      <c r="R32" s="92"/>
      <c r="S32" s="92"/>
      <c r="T32" s="92"/>
      <c r="U32" s="92"/>
      <c r="V32" s="92"/>
      <c r="W32" s="92"/>
      <c r="X32" s="92"/>
      <c r="Y32" s="92"/>
      <c r="Z32" s="92"/>
      <c r="AA32" s="92"/>
      <c r="AB32" s="92"/>
      <c r="AC32" s="92"/>
      <c r="AD32" s="92"/>
      <c r="AE32" s="92"/>
      <c r="AF32" s="92"/>
      <c r="AG32" s="92"/>
      <c r="AH32" s="92"/>
      <c r="AI32" s="92"/>
      <c r="AJ32" s="92"/>
      <c r="AK32" s="92"/>
      <c r="AL32" s="92"/>
      <c r="AM32" s="92"/>
      <c r="AN32" s="92"/>
      <c r="AO32" s="92"/>
      <c r="AP32" s="92"/>
      <c r="AQ32" s="92"/>
      <c r="AR32" s="92"/>
      <c r="AS32" s="92"/>
      <c r="AT32" s="92"/>
      <c r="AU32" s="92"/>
      <c r="AV32" s="92"/>
      <c r="AW32" s="92"/>
      <c r="AX32" s="92"/>
      <c r="AY32" s="92"/>
      <c r="AZ32" s="92"/>
      <c r="BA32" s="92"/>
      <c r="BB32" s="92"/>
      <c r="BC32" s="92"/>
      <c r="BD32" s="93"/>
    </row>
    <row r="33" spans="2:56" ht="12.95" customHeight="1" x14ac:dyDescent="0.15">
      <c r="B33" s="635"/>
      <c r="C33" s="92"/>
      <c r="D33" s="92"/>
      <c r="F33" s="92"/>
      <c r="G33" s="92"/>
      <c r="H33" s="92"/>
      <c r="I33" s="92"/>
      <c r="J33" s="92"/>
      <c r="K33" s="92"/>
      <c r="L33" s="92"/>
      <c r="M33" s="92"/>
      <c r="N33" s="92"/>
      <c r="O33" s="92"/>
      <c r="P33" s="92"/>
      <c r="Q33" s="92"/>
      <c r="R33" s="92"/>
      <c r="S33" s="92"/>
      <c r="T33" s="92"/>
      <c r="U33" s="92"/>
      <c r="V33" s="92"/>
      <c r="W33" s="92"/>
      <c r="X33" s="92"/>
      <c r="Y33" s="92"/>
      <c r="Z33" s="92"/>
      <c r="AA33" s="92"/>
      <c r="AB33" s="92"/>
      <c r="AC33" s="92"/>
      <c r="AD33" s="92"/>
      <c r="AE33" s="92"/>
      <c r="AF33" s="92"/>
      <c r="AG33" s="92"/>
      <c r="AH33" s="92"/>
      <c r="AI33" s="92"/>
      <c r="AJ33" s="92"/>
      <c r="AK33" s="92"/>
      <c r="AL33" s="92"/>
      <c r="AM33" s="92"/>
      <c r="AN33" s="92"/>
      <c r="AO33" s="92"/>
      <c r="AP33" s="92"/>
      <c r="AQ33" s="92"/>
      <c r="AR33" s="92"/>
      <c r="AS33" s="92"/>
      <c r="AT33" s="92"/>
      <c r="AU33" s="92"/>
      <c r="AV33" s="92"/>
      <c r="AW33" s="92"/>
      <c r="AX33" s="92"/>
      <c r="AY33" s="92"/>
      <c r="AZ33" s="92"/>
      <c r="BA33" s="92"/>
      <c r="BB33" s="92"/>
      <c r="BC33" s="92"/>
      <c r="BD33" s="93"/>
    </row>
    <row r="34" spans="2:56" ht="12.95" customHeight="1" x14ac:dyDescent="0.15">
      <c r="B34" s="635"/>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92"/>
      <c r="AC34" s="92"/>
      <c r="AD34" s="92"/>
      <c r="AE34" s="92"/>
      <c r="AF34" s="92"/>
      <c r="AG34" s="92"/>
      <c r="AH34" s="92"/>
      <c r="AI34" s="92"/>
      <c r="AJ34" s="92"/>
      <c r="AK34" s="92"/>
      <c r="AL34" s="92"/>
      <c r="AM34" s="92"/>
      <c r="AN34" s="92"/>
      <c r="AO34" s="92"/>
      <c r="AP34" s="92"/>
      <c r="AQ34" s="92"/>
      <c r="AR34" s="92"/>
      <c r="AS34" s="92"/>
      <c r="AT34" s="92"/>
      <c r="AU34" s="92"/>
      <c r="AV34" s="92"/>
      <c r="AW34" s="92"/>
      <c r="AX34" s="92"/>
      <c r="AY34" s="92"/>
      <c r="AZ34" s="92"/>
      <c r="BA34" s="92"/>
      <c r="BB34" s="92"/>
      <c r="BC34" s="92"/>
      <c r="BD34" s="93"/>
    </row>
    <row r="35" spans="2:56" ht="12.95" customHeight="1" x14ac:dyDescent="0.15">
      <c r="B35" s="635"/>
      <c r="C35" s="92"/>
      <c r="D35" s="92"/>
      <c r="F35" s="92"/>
      <c r="G35" s="92"/>
      <c r="H35" s="92"/>
      <c r="I35" s="92"/>
      <c r="J35" s="92"/>
      <c r="K35" s="92"/>
      <c r="L35" s="92"/>
      <c r="M35" s="92"/>
      <c r="N35" s="92"/>
      <c r="O35" s="92"/>
      <c r="P35" s="92"/>
      <c r="Q35" s="92"/>
      <c r="R35" s="92"/>
      <c r="S35" s="92"/>
      <c r="T35" s="92"/>
      <c r="U35" s="92"/>
      <c r="V35" s="92"/>
      <c r="W35" s="92"/>
      <c r="X35" s="92"/>
      <c r="Y35" s="92"/>
      <c r="Z35" s="92"/>
      <c r="AA35" s="92"/>
      <c r="AB35" s="92"/>
      <c r="AC35" s="92"/>
      <c r="AD35" s="92"/>
      <c r="AE35" s="92"/>
      <c r="AF35" s="92"/>
      <c r="AG35" s="92"/>
      <c r="AH35" s="92"/>
      <c r="AI35" s="92"/>
      <c r="AJ35" s="92"/>
      <c r="AK35" s="92"/>
      <c r="AL35" s="92"/>
      <c r="AM35" s="92"/>
      <c r="AN35" s="92"/>
      <c r="AO35" s="92"/>
      <c r="AP35" s="92"/>
      <c r="AQ35" s="92"/>
      <c r="AR35" s="92"/>
      <c r="AS35" s="92"/>
      <c r="AT35" s="92"/>
      <c r="AU35" s="92"/>
      <c r="AV35" s="92"/>
      <c r="AW35" s="92"/>
      <c r="AX35" s="92"/>
      <c r="AY35" s="92"/>
      <c r="AZ35" s="92"/>
      <c r="BA35" s="92"/>
      <c r="BB35" s="92"/>
      <c r="BC35" s="92"/>
      <c r="BD35" s="93"/>
    </row>
    <row r="36" spans="2:56" ht="12.95" customHeight="1" x14ac:dyDescent="0.15">
      <c r="B36" s="635"/>
      <c r="C36" s="92"/>
      <c r="I36" s="92"/>
      <c r="J36" s="92"/>
      <c r="K36" s="92"/>
      <c r="L36" s="92"/>
      <c r="M36" s="92"/>
      <c r="N36" s="92"/>
      <c r="O36" s="92"/>
      <c r="P36" s="92"/>
      <c r="Q36" s="92"/>
      <c r="R36" s="92"/>
      <c r="S36" s="92"/>
      <c r="T36" s="92"/>
      <c r="U36" s="92"/>
      <c r="V36" s="92"/>
      <c r="W36" s="92"/>
      <c r="X36" s="92"/>
      <c r="Y36" s="92"/>
      <c r="Z36" s="92"/>
      <c r="AA36" s="92"/>
      <c r="AB36" s="92"/>
      <c r="AC36" s="92"/>
      <c r="AD36" s="92"/>
      <c r="AE36" s="92"/>
      <c r="AF36" s="92"/>
      <c r="AG36" s="92"/>
      <c r="AH36" s="92"/>
      <c r="AI36" s="92"/>
      <c r="AJ36" s="92"/>
      <c r="AK36" s="92"/>
      <c r="AL36" s="92"/>
      <c r="AM36" s="92"/>
      <c r="AN36" s="92"/>
      <c r="AO36" s="92"/>
      <c r="AP36" s="92"/>
      <c r="AQ36" s="92"/>
      <c r="AR36" s="92"/>
      <c r="AS36" s="92"/>
      <c r="AT36" s="92"/>
      <c r="AU36" s="92"/>
      <c r="AV36" s="92"/>
      <c r="AW36" s="92"/>
      <c r="AX36" s="92"/>
      <c r="AY36" s="92"/>
      <c r="AZ36" s="92"/>
      <c r="BA36" s="92"/>
      <c r="BB36" s="92"/>
      <c r="BC36" s="92"/>
      <c r="BD36" s="93"/>
    </row>
    <row r="37" spans="2:56" ht="12.95" customHeight="1" x14ac:dyDescent="0.15">
      <c r="B37" s="635"/>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92"/>
      <c r="AC37" s="92"/>
      <c r="AD37" s="92"/>
      <c r="AE37" s="92"/>
      <c r="AF37" s="92"/>
      <c r="AG37" s="92"/>
      <c r="AH37" s="92"/>
      <c r="AI37" s="92"/>
      <c r="AJ37" s="92"/>
      <c r="AK37" s="92"/>
      <c r="AL37" s="92"/>
      <c r="AM37" s="92"/>
      <c r="AN37" s="92"/>
      <c r="AO37" s="92"/>
      <c r="AP37" s="92"/>
      <c r="AQ37" s="92"/>
      <c r="AR37" s="92"/>
      <c r="AS37" s="92"/>
      <c r="AT37" s="92"/>
      <c r="AU37" s="92"/>
      <c r="AV37" s="92"/>
      <c r="AW37" s="92"/>
      <c r="AX37" s="92"/>
      <c r="AY37" s="92"/>
      <c r="AZ37" s="92"/>
      <c r="BA37" s="92"/>
      <c r="BB37" s="92"/>
      <c r="BC37" s="92"/>
      <c r="BD37" s="93"/>
    </row>
    <row r="38" spans="2:56" ht="12.95" customHeight="1" x14ac:dyDescent="0.15">
      <c r="B38" s="635"/>
      <c r="C38" s="92"/>
      <c r="D38" s="92"/>
      <c r="E38" s="92"/>
      <c r="F38" s="92"/>
      <c r="G38" s="92"/>
      <c r="H38" s="92"/>
      <c r="I38" s="92"/>
      <c r="J38" s="92"/>
      <c r="K38" s="92"/>
      <c r="L38" s="92"/>
      <c r="M38" s="92"/>
      <c r="N38" s="92"/>
      <c r="O38" s="92"/>
      <c r="P38" s="92"/>
      <c r="Q38" s="92"/>
      <c r="R38" s="92"/>
      <c r="S38" s="92"/>
      <c r="T38" s="92"/>
      <c r="U38" s="92"/>
      <c r="V38" s="92"/>
      <c r="W38" s="92"/>
      <c r="X38" s="92"/>
      <c r="Y38" s="92"/>
      <c r="Z38" s="92"/>
      <c r="AA38" s="92"/>
      <c r="AB38" s="92"/>
      <c r="AC38" s="92"/>
      <c r="AD38" s="92"/>
      <c r="AE38" s="92"/>
      <c r="AF38" s="92"/>
      <c r="AG38" s="92"/>
      <c r="AH38" s="92"/>
      <c r="AI38" s="92"/>
      <c r="AJ38" s="92"/>
      <c r="AK38" s="92"/>
      <c r="AL38" s="92"/>
      <c r="AM38" s="92"/>
      <c r="AN38" s="92"/>
      <c r="AO38" s="92"/>
      <c r="AP38" s="92"/>
      <c r="AQ38" s="92"/>
      <c r="AR38" s="92"/>
      <c r="AS38" s="92"/>
      <c r="AT38" s="92"/>
      <c r="AU38" s="92"/>
      <c r="AV38" s="92"/>
      <c r="AW38" s="92"/>
      <c r="AX38" s="92"/>
      <c r="AY38" s="92"/>
      <c r="AZ38" s="92"/>
      <c r="BA38" s="92"/>
      <c r="BB38" s="92"/>
      <c r="BC38" s="92"/>
      <c r="BD38" s="93"/>
    </row>
    <row r="39" spans="2:56" ht="12.95" customHeight="1" x14ac:dyDescent="0.15">
      <c r="B39" s="635"/>
      <c r="C39" s="92"/>
      <c r="D39" s="92"/>
      <c r="E39" s="92"/>
      <c r="F39" s="92"/>
      <c r="G39" s="92"/>
      <c r="H39" s="92"/>
      <c r="I39" s="92"/>
      <c r="J39" s="92"/>
      <c r="K39" s="92"/>
      <c r="L39" s="92"/>
      <c r="M39" s="92"/>
      <c r="N39" s="92"/>
      <c r="O39" s="92"/>
      <c r="P39" s="92"/>
      <c r="Q39" s="92"/>
      <c r="R39" s="92"/>
      <c r="S39" s="92"/>
      <c r="T39" s="92"/>
      <c r="U39" s="92"/>
      <c r="V39" s="92"/>
      <c r="W39" s="92"/>
      <c r="X39" s="92"/>
      <c r="Y39" s="92"/>
      <c r="Z39" s="92"/>
      <c r="AA39" s="92"/>
      <c r="AB39" s="92"/>
      <c r="AC39" s="92"/>
      <c r="AD39" s="92"/>
      <c r="AE39" s="92"/>
      <c r="AF39" s="92"/>
      <c r="AG39" s="92"/>
      <c r="AH39" s="92"/>
      <c r="AI39" s="92"/>
      <c r="AJ39" s="92"/>
      <c r="AK39" s="92"/>
      <c r="AL39" s="92"/>
      <c r="AM39" s="92"/>
      <c r="AN39" s="92"/>
      <c r="AO39" s="92"/>
      <c r="AP39" s="92"/>
      <c r="AQ39" s="92"/>
      <c r="AR39" s="92"/>
      <c r="AS39" s="92"/>
      <c r="AT39" s="92"/>
      <c r="AU39" s="92"/>
      <c r="AV39" s="92"/>
      <c r="AW39" s="92"/>
      <c r="AX39" s="92"/>
      <c r="AY39" s="92"/>
      <c r="AZ39" s="92"/>
      <c r="BA39" s="92"/>
      <c r="BB39" s="92"/>
      <c r="BC39" s="92"/>
      <c r="BD39" s="93"/>
    </row>
    <row r="40" spans="2:56" ht="12.95" customHeight="1" x14ac:dyDescent="0.15">
      <c r="B40" s="635"/>
      <c r="C40" s="92"/>
      <c r="D40" s="92"/>
      <c r="E40" s="92"/>
      <c r="F40" s="92"/>
      <c r="G40" s="92"/>
      <c r="H40" s="92"/>
      <c r="I40" s="92"/>
      <c r="J40" s="92"/>
      <c r="K40" s="92"/>
      <c r="L40" s="92"/>
      <c r="M40" s="92"/>
      <c r="N40" s="92"/>
      <c r="O40" s="92"/>
      <c r="P40" s="92"/>
      <c r="Q40" s="92"/>
      <c r="R40" s="92"/>
      <c r="S40" s="92"/>
      <c r="T40" s="92"/>
      <c r="U40" s="92"/>
      <c r="V40" s="92"/>
      <c r="W40" s="92"/>
      <c r="X40" s="92"/>
      <c r="Y40" s="92"/>
      <c r="Z40" s="92"/>
      <c r="AA40" s="92"/>
      <c r="AB40" s="92"/>
      <c r="AC40" s="92"/>
      <c r="AD40" s="92"/>
      <c r="AE40" s="92"/>
      <c r="AF40" s="92"/>
      <c r="AG40" s="92"/>
      <c r="AH40" s="92"/>
      <c r="AI40" s="92"/>
      <c r="AJ40" s="92"/>
      <c r="AK40" s="92"/>
      <c r="AL40" s="92"/>
      <c r="AM40" s="92"/>
      <c r="AN40" s="92"/>
      <c r="AO40" s="92"/>
      <c r="AP40" s="92"/>
      <c r="AQ40" s="92"/>
      <c r="AR40" s="92"/>
      <c r="AS40" s="92"/>
      <c r="AT40" s="92"/>
      <c r="AU40" s="92"/>
      <c r="AV40" s="92"/>
      <c r="AW40" s="92"/>
      <c r="AX40" s="92"/>
      <c r="AY40" s="92"/>
      <c r="AZ40" s="92"/>
      <c r="BA40" s="92"/>
      <c r="BB40" s="92"/>
      <c r="BC40" s="92"/>
      <c r="BD40" s="93"/>
    </row>
    <row r="41" spans="2:56" ht="12.95" customHeight="1" x14ac:dyDescent="0.15">
      <c r="B41" s="635"/>
      <c r="C41" s="92"/>
      <c r="D41" s="92"/>
      <c r="E41" s="92"/>
      <c r="F41" s="92"/>
      <c r="G41" s="92"/>
      <c r="H41" s="92"/>
      <c r="I41" s="92"/>
      <c r="J41" s="92"/>
      <c r="K41" s="92"/>
      <c r="L41" s="92"/>
      <c r="M41" s="92"/>
      <c r="N41" s="92"/>
      <c r="O41" s="92"/>
      <c r="P41" s="92"/>
      <c r="Q41" s="92"/>
      <c r="R41" s="92"/>
      <c r="S41" s="92"/>
      <c r="T41" s="92"/>
      <c r="U41" s="92"/>
      <c r="V41" s="92"/>
      <c r="W41" s="92"/>
      <c r="X41" s="92"/>
      <c r="Y41" s="92"/>
      <c r="Z41" s="92"/>
      <c r="AA41" s="92"/>
      <c r="AB41" s="92"/>
      <c r="AC41" s="92"/>
      <c r="AD41" s="92"/>
      <c r="AE41" s="92"/>
      <c r="AF41" s="92"/>
      <c r="AG41" s="92"/>
      <c r="AH41" s="92"/>
      <c r="AI41" s="92"/>
      <c r="AJ41" s="92"/>
      <c r="AK41" s="92"/>
      <c r="AL41" s="92"/>
      <c r="AM41" s="92"/>
      <c r="AN41" s="92"/>
      <c r="AO41" s="92"/>
      <c r="AP41" s="92"/>
      <c r="AQ41" s="92"/>
      <c r="AR41" s="92"/>
      <c r="AS41" s="92"/>
      <c r="AT41" s="92"/>
      <c r="AU41" s="92"/>
      <c r="AV41" s="92"/>
      <c r="AW41" s="92"/>
      <c r="AX41" s="92"/>
      <c r="AY41" s="92"/>
      <c r="AZ41" s="92"/>
      <c r="BA41" s="92"/>
      <c r="BB41" s="92"/>
      <c r="BC41" s="92"/>
      <c r="BD41" s="93"/>
    </row>
    <row r="42" spans="2:56" ht="12.95" customHeight="1" x14ac:dyDescent="0.15">
      <c r="B42" s="635"/>
      <c r="C42" s="92"/>
      <c r="D42" s="92"/>
      <c r="E42" s="92"/>
      <c r="F42" s="92"/>
      <c r="G42" s="92"/>
      <c r="H42" s="92"/>
      <c r="I42" s="92"/>
      <c r="J42" s="92"/>
      <c r="K42" s="92"/>
      <c r="L42" s="92"/>
      <c r="M42" s="92"/>
      <c r="N42" s="92"/>
      <c r="O42" s="92"/>
      <c r="P42" s="92"/>
      <c r="Q42" s="92"/>
      <c r="R42" s="92"/>
      <c r="S42" s="92"/>
      <c r="T42" s="92"/>
      <c r="U42" s="92"/>
      <c r="V42" s="92"/>
      <c r="W42" s="92"/>
      <c r="X42" s="92"/>
      <c r="Y42" s="92"/>
      <c r="Z42" s="92"/>
      <c r="AA42" s="92"/>
      <c r="AB42" s="92"/>
      <c r="AC42" s="92"/>
      <c r="AD42" s="92"/>
      <c r="AE42" s="92"/>
      <c r="AF42" s="92"/>
      <c r="AG42" s="92"/>
      <c r="AH42" s="92"/>
      <c r="AI42" s="92"/>
      <c r="AJ42" s="92"/>
      <c r="AK42" s="92"/>
      <c r="AL42" s="92"/>
      <c r="AM42" s="92"/>
      <c r="AN42" s="92"/>
      <c r="AO42" s="92"/>
      <c r="AP42" s="92"/>
      <c r="AQ42" s="92"/>
      <c r="AR42" s="92"/>
      <c r="AS42" s="92"/>
      <c r="AT42" s="92"/>
      <c r="AU42" s="92"/>
      <c r="AV42" s="92"/>
      <c r="AW42" s="92"/>
      <c r="AX42" s="92"/>
      <c r="AY42" s="92"/>
      <c r="AZ42" s="92"/>
      <c r="BA42" s="92"/>
      <c r="BB42" s="92"/>
      <c r="BC42" s="92"/>
      <c r="BD42" s="93"/>
    </row>
    <row r="43" spans="2:56" ht="12.95" customHeight="1" x14ac:dyDescent="0.15">
      <c r="B43" s="635"/>
      <c r="C43" s="92"/>
      <c r="D43" s="92"/>
      <c r="E43" s="92"/>
      <c r="F43" s="92"/>
      <c r="G43" s="92"/>
      <c r="H43" s="92"/>
      <c r="I43" s="92"/>
      <c r="J43" s="92"/>
      <c r="K43" s="92"/>
      <c r="L43" s="92"/>
      <c r="M43" s="92"/>
      <c r="N43" s="92"/>
      <c r="O43" s="92"/>
      <c r="P43" s="92"/>
      <c r="Q43" s="92"/>
      <c r="R43" s="92"/>
      <c r="S43" s="92"/>
      <c r="T43" s="92"/>
      <c r="U43" s="92"/>
      <c r="V43" s="92"/>
      <c r="W43" s="92"/>
      <c r="X43" s="92"/>
      <c r="Y43" s="92"/>
      <c r="Z43" s="92"/>
      <c r="AA43" s="92"/>
      <c r="AB43" s="92"/>
      <c r="AC43" s="92"/>
      <c r="AD43" s="92"/>
      <c r="AE43" s="92"/>
      <c r="AF43" s="92"/>
      <c r="AG43" s="92"/>
      <c r="AH43" s="92"/>
      <c r="AI43" s="92"/>
      <c r="AJ43" s="92"/>
      <c r="AK43" s="92"/>
      <c r="AL43" s="92"/>
      <c r="AM43" s="92"/>
      <c r="AN43" s="92"/>
      <c r="AO43" s="92"/>
      <c r="AP43" s="92"/>
      <c r="AQ43" s="92"/>
      <c r="AR43" s="92"/>
      <c r="AS43" s="92"/>
      <c r="AT43" s="92"/>
      <c r="AU43" s="92"/>
      <c r="AV43" s="92"/>
      <c r="AW43" s="92"/>
      <c r="AX43" s="92"/>
      <c r="AY43" s="92"/>
      <c r="AZ43" s="92"/>
      <c r="BA43" s="92"/>
      <c r="BB43" s="92"/>
      <c r="BC43" s="92"/>
      <c r="BD43" s="93"/>
    </row>
    <row r="44" spans="2:56" ht="12.95" customHeight="1" x14ac:dyDescent="0.15">
      <c r="B44" s="635"/>
      <c r="C44" s="92"/>
      <c r="D44" s="92"/>
      <c r="E44" s="92"/>
      <c r="F44" s="92"/>
      <c r="G44" s="92"/>
      <c r="H44" s="92"/>
      <c r="I44" s="92"/>
      <c r="J44" s="92"/>
      <c r="K44" s="92"/>
      <c r="L44" s="92"/>
      <c r="M44" s="92"/>
      <c r="N44" s="92"/>
      <c r="O44" s="92"/>
      <c r="P44" s="92"/>
      <c r="Q44" s="92"/>
      <c r="R44" s="92"/>
      <c r="S44" s="92"/>
      <c r="T44" s="92"/>
      <c r="U44" s="92"/>
      <c r="V44" s="92"/>
      <c r="W44" s="92"/>
      <c r="X44" s="92"/>
      <c r="Y44" s="92"/>
      <c r="Z44" s="92"/>
      <c r="AA44" s="92"/>
      <c r="AB44" s="92"/>
      <c r="AC44" s="92"/>
      <c r="AD44" s="92"/>
      <c r="AE44" s="92"/>
      <c r="AF44" s="92"/>
      <c r="AG44" s="92"/>
      <c r="AH44" s="92"/>
      <c r="AI44" s="92"/>
      <c r="AJ44" s="92"/>
      <c r="AK44" s="92"/>
      <c r="AL44" s="92"/>
      <c r="AM44" s="92"/>
      <c r="AN44" s="92"/>
      <c r="AO44" s="92"/>
      <c r="AP44" s="92"/>
      <c r="AQ44" s="92"/>
      <c r="AR44" s="92"/>
      <c r="AS44" s="92"/>
      <c r="AT44" s="92"/>
      <c r="AU44" s="92"/>
      <c r="AV44" s="92"/>
      <c r="AW44" s="92"/>
      <c r="AX44" s="92"/>
      <c r="AY44" s="92"/>
      <c r="AZ44" s="92"/>
      <c r="BA44" s="92"/>
      <c r="BB44" s="92"/>
      <c r="BC44" s="92"/>
      <c r="BD44" s="93"/>
    </row>
    <row r="45" spans="2:56" ht="12.95" customHeight="1" x14ac:dyDescent="0.15">
      <c r="B45" s="635"/>
      <c r="C45" s="92"/>
      <c r="D45" s="92"/>
      <c r="E45" s="92"/>
      <c r="F45" s="92"/>
      <c r="G45" s="92"/>
      <c r="H45" s="92"/>
      <c r="I45" s="92"/>
      <c r="J45" s="92"/>
      <c r="K45" s="92"/>
      <c r="L45" s="92"/>
      <c r="M45" s="92"/>
      <c r="N45" s="92"/>
      <c r="O45" s="92"/>
      <c r="P45" s="92"/>
      <c r="Q45" s="92"/>
      <c r="R45" s="92"/>
      <c r="S45" s="92"/>
      <c r="T45" s="92"/>
      <c r="U45" s="92"/>
      <c r="V45" s="92"/>
      <c r="W45" s="92"/>
      <c r="X45" s="92"/>
      <c r="Y45" s="92"/>
      <c r="Z45" s="92"/>
      <c r="AA45" s="92"/>
      <c r="AB45" s="92"/>
      <c r="AC45" s="92"/>
      <c r="AD45" s="92"/>
      <c r="AE45" s="92"/>
      <c r="AF45" s="92"/>
      <c r="AG45" s="92"/>
      <c r="AH45" s="92"/>
      <c r="AI45" s="92"/>
      <c r="AJ45" s="92"/>
      <c r="AK45" s="92"/>
      <c r="AL45" s="92"/>
      <c r="AM45" s="92"/>
      <c r="AN45" s="92"/>
      <c r="AO45" s="92"/>
      <c r="AP45" s="92"/>
      <c r="AQ45" s="92"/>
      <c r="AR45" s="92"/>
      <c r="AS45" s="92"/>
      <c r="AT45" s="92"/>
      <c r="AU45" s="92"/>
      <c r="AV45" s="92"/>
      <c r="AW45" s="92"/>
      <c r="AX45" s="92"/>
      <c r="AY45" s="92"/>
      <c r="AZ45" s="92"/>
      <c r="BA45" s="92"/>
      <c r="BB45" s="92"/>
      <c r="BC45" s="92"/>
      <c r="BD45" s="93"/>
    </row>
    <row r="46" spans="2:56" ht="12.95" customHeight="1" x14ac:dyDescent="0.15">
      <c r="B46" s="635"/>
      <c r="C46" s="92"/>
      <c r="D46" s="92"/>
      <c r="E46" s="92"/>
      <c r="F46" s="92"/>
      <c r="G46" s="92"/>
      <c r="H46" s="92"/>
      <c r="I46" s="92"/>
      <c r="J46" s="92"/>
      <c r="K46" s="92"/>
      <c r="L46" s="92"/>
      <c r="M46" s="92"/>
      <c r="N46" s="92"/>
      <c r="O46" s="92"/>
      <c r="P46" s="92"/>
      <c r="Q46" s="92"/>
      <c r="R46" s="92"/>
      <c r="S46" s="92"/>
      <c r="T46" s="92"/>
      <c r="U46" s="92"/>
      <c r="V46" s="92"/>
      <c r="W46" s="92"/>
      <c r="X46" s="92"/>
      <c r="Y46" s="92"/>
      <c r="Z46" s="92"/>
      <c r="AA46" s="92"/>
      <c r="AB46" s="92"/>
      <c r="AC46" s="92"/>
      <c r="AD46" s="92"/>
      <c r="AE46" s="92"/>
      <c r="AF46" s="92"/>
      <c r="AG46" s="92"/>
      <c r="AH46" s="92"/>
      <c r="AI46" s="92"/>
      <c r="AJ46" s="92"/>
      <c r="AK46" s="92"/>
      <c r="AL46" s="92"/>
      <c r="AM46" s="92"/>
      <c r="AN46" s="92"/>
      <c r="AO46" s="92"/>
      <c r="AP46" s="92"/>
      <c r="AQ46" s="92"/>
      <c r="AR46" s="92"/>
      <c r="AS46" s="92"/>
      <c r="AT46" s="92"/>
      <c r="AU46" s="92"/>
      <c r="AV46" s="92"/>
      <c r="AW46" s="92"/>
      <c r="AX46" s="92"/>
      <c r="AY46" s="92"/>
      <c r="AZ46" s="92"/>
      <c r="BA46" s="92"/>
      <c r="BB46" s="92"/>
      <c r="BC46" s="92"/>
      <c r="BD46" s="93"/>
    </row>
    <row r="47" spans="2:56" ht="12.95" customHeight="1" x14ac:dyDescent="0.15">
      <c r="B47" s="635"/>
      <c r="C47" s="92"/>
      <c r="D47" s="92"/>
      <c r="E47" s="92"/>
      <c r="F47" s="92"/>
      <c r="G47" s="92"/>
      <c r="H47" s="92"/>
      <c r="I47" s="92"/>
      <c r="J47" s="92"/>
      <c r="K47" s="92"/>
      <c r="L47" s="92"/>
      <c r="M47" s="92"/>
      <c r="N47" s="92"/>
      <c r="O47" s="92"/>
      <c r="P47" s="92"/>
      <c r="Q47" s="92"/>
      <c r="R47" s="92"/>
      <c r="S47" s="92"/>
      <c r="T47" s="92"/>
      <c r="U47" s="92"/>
      <c r="V47" s="92"/>
      <c r="W47" s="92"/>
      <c r="X47" s="92"/>
      <c r="Y47" s="92"/>
      <c r="Z47" s="92"/>
      <c r="AA47" s="92"/>
      <c r="AB47" s="92"/>
      <c r="AC47" s="92"/>
      <c r="AD47" s="92"/>
      <c r="AE47" s="92"/>
      <c r="AF47" s="92"/>
      <c r="AG47" s="92"/>
      <c r="AH47" s="92"/>
      <c r="AI47" s="92"/>
      <c r="AJ47" s="92"/>
      <c r="AK47" s="92"/>
      <c r="AL47" s="92"/>
      <c r="AM47" s="92"/>
      <c r="AN47" s="92"/>
      <c r="AO47" s="92"/>
      <c r="AP47" s="92"/>
      <c r="AQ47" s="92"/>
      <c r="AR47" s="92"/>
      <c r="AS47" s="92"/>
      <c r="AT47" s="92"/>
      <c r="AU47" s="92"/>
      <c r="AV47" s="92"/>
      <c r="AW47" s="92"/>
      <c r="AX47" s="92"/>
      <c r="AY47" s="92"/>
      <c r="AZ47" s="92"/>
      <c r="BA47" s="92"/>
      <c r="BB47" s="92"/>
      <c r="BC47" s="92"/>
      <c r="BD47" s="93"/>
    </row>
    <row r="48" spans="2:56" ht="12.95" customHeight="1" x14ac:dyDescent="0.15">
      <c r="B48" s="635"/>
      <c r="C48" s="92"/>
      <c r="D48" s="92"/>
      <c r="E48" s="92"/>
      <c r="F48" s="92"/>
      <c r="G48" s="92"/>
      <c r="H48" s="92"/>
      <c r="I48" s="92"/>
      <c r="J48" s="92"/>
      <c r="K48" s="92"/>
      <c r="L48" s="92"/>
      <c r="M48" s="92"/>
      <c r="N48" s="92"/>
      <c r="O48" s="92"/>
      <c r="P48" s="92"/>
      <c r="Q48" s="92"/>
      <c r="R48" s="92"/>
      <c r="S48" s="92"/>
      <c r="T48" s="92"/>
      <c r="U48" s="92"/>
      <c r="V48" s="92"/>
      <c r="W48" s="92"/>
      <c r="X48" s="92"/>
      <c r="Y48" s="92"/>
      <c r="Z48" s="92"/>
      <c r="AA48" s="92"/>
      <c r="AB48" s="92"/>
      <c r="AC48" s="92"/>
      <c r="AD48" s="92"/>
      <c r="AE48" s="92"/>
      <c r="AF48" s="92"/>
      <c r="AG48" s="92"/>
      <c r="AH48" s="92"/>
      <c r="AI48" s="92"/>
      <c r="AJ48" s="92"/>
      <c r="AK48" s="92"/>
      <c r="AL48" s="92"/>
      <c r="AM48" s="92"/>
      <c r="AN48" s="92"/>
      <c r="AO48" s="92"/>
      <c r="AP48" s="92"/>
      <c r="AQ48" s="92"/>
      <c r="AR48" s="92"/>
      <c r="AS48" s="92"/>
      <c r="AT48" s="92"/>
      <c r="AU48" s="92"/>
      <c r="AV48" s="92"/>
      <c r="AW48" s="92"/>
      <c r="AX48" s="92"/>
      <c r="AY48" s="92"/>
      <c r="AZ48" s="92"/>
      <c r="BA48" s="92"/>
      <c r="BB48" s="92"/>
      <c r="BC48" s="92"/>
      <c r="BD48" s="93"/>
    </row>
    <row r="49" spans="2:56" ht="12.95" customHeight="1" x14ac:dyDescent="0.15">
      <c r="B49" s="827"/>
      <c r="C49" s="828"/>
      <c r="D49" s="828"/>
      <c r="E49" s="828"/>
      <c r="F49" s="828"/>
      <c r="G49" s="828"/>
      <c r="H49" s="828"/>
      <c r="I49" s="828"/>
      <c r="J49" s="828"/>
      <c r="K49" s="828"/>
      <c r="L49" s="828"/>
      <c r="M49" s="828"/>
      <c r="N49" s="828"/>
      <c r="O49" s="828"/>
      <c r="P49" s="828"/>
      <c r="Q49" s="828"/>
      <c r="R49" s="828"/>
      <c r="S49" s="828"/>
      <c r="T49" s="828"/>
      <c r="U49" s="828"/>
      <c r="V49" s="828"/>
      <c r="W49" s="828"/>
      <c r="X49" s="828"/>
      <c r="Y49" s="828"/>
      <c r="Z49" s="828"/>
      <c r="AA49" s="828"/>
      <c r="AB49" s="828"/>
      <c r="AC49" s="828"/>
      <c r="AD49" s="828"/>
      <c r="AE49" s="828"/>
      <c r="AF49" s="828"/>
      <c r="AG49" s="828"/>
      <c r="AH49" s="828"/>
      <c r="AI49" s="828"/>
      <c r="AJ49" s="828"/>
      <c r="AK49" s="828"/>
      <c r="AL49" s="828"/>
      <c r="AM49" s="828"/>
      <c r="AN49" s="828"/>
      <c r="AO49" s="828"/>
      <c r="AP49" s="828"/>
      <c r="AQ49" s="828"/>
      <c r="AR49" s="828"/>
      <c r="AS49" s="828"/>
      <c r="AT49" s="828"/>
      <c r="AU49" s="828"/>
      <c r="AV49" s="828"/>
      <c r="AW49" s="828"/>
      <c r="AX49" s="828"/>
      <c r="AY49" s="828"/>
      <c r="AZ49" s="828"/>
      <c r="BA49" s="828"/>
      <c r="BB49" s="828"/>
      <c r="BC49" s="828"/>
      <c r="BD49" s="829"/>
    </row>
    <row r="51" spans="2:56" ht="12.95" customHeight="1" x14ac:dyDescent="0.15">
      <c r="B51" s="95"/>
      <c r="C51" s="102"/>
      <c r="D51" s="103"/>
      <c r="E51" s="95"/>
      <c r="F51" s="95"/>
      <c r="G51" s="95"/>
      <c r="H51" s="95"/>
      <c r="I51" s="95"/>
      <c r="J51" s="95"/>
      <c r="K51" s="95"/>
      <c r="L51" s="95"/>
      <c r="M51" s="95"/>
      <c r="N51" s="95"/>
      <c r="O51" s="95"/>
      <c r="Q51" s="95"/>
      <c r="S51" s="95"/>
      <c r="U51" s="95"/>
      <c r="V51" s="95"/>
      <c r="W51" s="95"/>
      <c r="X51" s="95"/>
      <c r="Y51" s="95"/>
      <c r="Z51" s="95"/>
      <c r="AA51" s="95"/>
      <c r="AB51" s="95"/>
      <c r="AC51" s="95"/>
      <c r="AD51" s="95"/>
      <c r="AE51" s="95"/>
      <c r="AF51" s="95"/>
      <c r="AG51" s="95"/>
      <c r="AH51" s="95"/>
      <c r="AI51" s="95"/>
      <c r="AJ51" s="95"/>
      <c r="AK51" s="95"/>
      <c r="AL51" s="95"/>
      <c r="AM51" s="95"/>
      <c r="AN51" s="95"/>
      <c r="AO51" s="95"/>
      <c r="AP51" s="95"/>
      <c r="AQ51" s="95"/>
      <c r="AR51" s="95"/>
      <c r="AS51" s="95"/>
      <c r="AT51" s="95"/>
      <c r="AU51" s="95"/>
      <c r="AV51" s="95"/>
      <c r="AW51" s="95"/>
      <c r="AX51" s="95"/>
      <c r="AY51" s="95"/>
      <c r="AZ51" s="95"/>
      <c r="BA51" s="95"/>
      <c r="BB51" s="95"/>
      <c r="BC51" s="95"/>
      <c r="BD51" s="95"/>
    </row>
    <row r="52" spans="2:56" ht="12.95" customHeight="1" x14ac:dyDescent="0.15">
      <c r="B52" s="95"/>
      <c r="C52" s="95"/>
      <c r="D52" s="95"/>
      <c r="E52" s="95"/>
      <c r="F52" s="95"/>
      <c r="G52" s="95"/>
      <c r="H52" s="95"/>
      <c r="I52" s="95"/>
      <c r="J52" s="95"/>
      <c r="K52" s="95"/>
      <c r="L52" s="95"/>
      <c r="M52" s="95"/>
      <c r="N52" s="95"/>
      <c r="O52" s="95"/>
      <c r="Q52" s="95"/>
      <c r="S52" s="95"/>
      <c r="U52" s="95"/>
      <c r="V52" s="95"/>
      <c r="W52" s="95"/>
      <c r="X52" s="95"/>
      <c r="Y52" s="95"/>
      <c r="Z52" s="95"/>
      <c r="AA52" s="95"/>
      <c r="AB52" s="95"/>
      <c r="AC52" s="95"/>
      <c r="AD52" s="95"/>
      <c r="AE52" s="95"/>
      <c r="AF52" s="95"/>
      <c r="AG52" s="95"/>
      <c r="AH52" s="95"/>
      <c r="AI52" s="95"/>
      <c r="AJ52" s="95"/>
      <c r="AK52" s="95"/>
      <c r="AL52" s="95"/>
      <c r="AM52" s="95"/>
      <c r="AN52" s="95"/>
      <c r="AO52" s="95"/>
      <c r="AP52" s="95"/>
      <c r="AQ52" s="95"/>
      <c r="AR52" s="95"/>
      <c r="AS52" s="95"/>
      <c r="AT52" s="95"/>
      <c r="AU52" s="95"/>
      <c r="AV52" s="95"/>
      <c r="AW52" s="95"/>
      <c r="AX52" s="95"/>
      <c r="AY52" s="95"/>
      <c r="AZ52" s="95"/>
      <c r="BA52" s="95"/>
      <c r="BB52" s="95"/>
      <c r="BC52" s="95"/>
      <c r="BD52" s="95"/>
    </row>
    <row r="53" spans="2:56" ht="12.95" customHeight="1" x14ac:dyDescent="0.15">
      <c r="B53" s="95"/>
      <c r="C53" s="102"/>
      <c r="D53" s="95"/>
      <c r="E53" s="95"/>
      <c r="F53" s="95"/>
      <c r="G53" s="95"/>
      <c r="H53" s="95"/>
      <c r="I53" s="95"/>
      <c r="J53" s="95"/>
      <c r="K53" s="95"/>
      <c r="L53" s="95"/>
      <c r="M53" s="95"/>
      <c r="N53" s="95"/>
      <c r="O53" s="95"/>
      <c r="Q53" s="95"/>
      <c r="S53" s="95"/>
      <c r="U53" s="95"/>
      <c r="V53" s="95"/>
      <c r="W53" s="95"/>
      <c r="X53" s="95"/>
      <c r="Y53" s="95"/>
      <c r="Z53" s="95"/>
      <c r="AA53" s="95"/>
      <c r="AB53" s="95"/>
      <c r="AC53" s="95"/>
      <c r="AD53" s="95"/>
      <c r="AE53" s="95"/>
      <c r="AF53" s="95"/>
      <c r="AG53" s="95"/>
      <c r="AH53" s="95"/>
      <c r="AI53" s="95"/>
      <c r="AJ53" s="95"/>
      <c r="AK53" s="95"/>
      <c r="AL53" s="95"/>
      <c r="AM53" s="95"/>
      <c r="AN53" s="95"/>
      <c r="AO53" s="95"/>
      <c r="AP53" s="95"/>
      <c r="AQ53" s="95"/>
      <c r="AR53" s="95"/>
      <c r="AS53" s="95"/>
      <c r="AT53" s="95"/>
      <c r="AU53" s="95"/>
      <c r="AV53" s="95"/>
      <c r="AW53" s="95"/>
      <c r="AX53" s="95"/>
      <c r="AY53" s="95"/>
      <c r="AZ53" s="95"/>
      <c r="BA53" s="95"/>
      <c r="BB53" s="95"/>
      <c r="BC53" s="95"/>
      <c r="BD53" s="95"/>
    </row>
    <row r="54" spans="2:56" ht="12.95" customHeight="1" x14ac:dyDescent="0.15">
      <c r="B54" s="95"/>
      <c r="C54" s="95"/>
      <c r="D54" s="95"/>
      <c r="E54" s="95"/>
      <c r="H54" s="95"/>
      <c r="I54" s="95"/>
      <c r="J54" s="95"/>
      <c r="K54" s="95"/>
      <c r="L54" s="95"/>
      <c r="M54" s="95"/>
      <c r="N54" s="95"/>
      <c r="O54" s="95"/>
      <c r="P54" s="95"/>
      <c r="Q54" s="95"/>
      <c r="R54" s="95"/>
      <c r="S54" s="95"/>
      <c r="T54" s="95"/>
      <c r="V54" s="95"/>
      <c r="X54" s="95"/>
      <c r="Y54" s="95"/>
      <c r="Z54" s="95"/>
      <c r="AA54" s="95"/>
      <c r="AB54" s="95"/>
      <c r="AC54" s="95"/>
      <c r="AD54" s="95"/>
      <c r="AE54" s="95"/>
      <c r="AF54" s="95"/>
      <c r="AG54" s="95"/>
      <c r="AH54" s="95"/>
      <c r="AI54" s="95"/>
      <c r="AJ54" s="95"/>
      <c r="AK54" s="95"/>
      <c r="AL54" s="95"/>
      <c r="AM54" s="95"/>
      <c r="AN54" s="95"/>
      <c r="AO54" s="95"/>
      <c r="AP54" s="95"/>
      <c r="AQ54" s="95"/>
      <c r="AR54" s="95"/>
      <c r="AS54" s="95"/>
      <c r="AT54" s="95"/>
      <c r="AU54" s="95"/>
      <c r="AV54" s="95"/>
      <c r="AW54" s="95"/>
      <c r="AX54" s="95"/>
      <c r="AY54" s="95"/>
      <c r="AZ54" s="95"/>
      <c r="BA54" s="95"/>
      <c r="BB54" s="95"/>
      <c r="BC54" s="95"/>
      <c r="BD54" s="95"/>
    </row>
    <row r="55" spans="2:56" ht="12.95" customHeight="1" x14ac:dyDescent="0.15">
      <c r="B55" s="95"/>
      <c r="C55" s="95"/>
      <c r="D55" s="95"/>
      <c r="E55" s="95"/>
      <c r="F55" s="95"/>
      <c r="G55" s="95"/>
      <c r="H55" s="95"/>
      <c r="I55" s="95"/>
      <c r="J55" s="95"/>
      <c r="K55" s="95"/>
      <c r="L55" s="95"/>
      <c r="M55" s="95"/>
      <c r="N55" s="95"/>
      <c r="O55" s="95"/>
      <c r="P55" s="95"/>
      <c r="Q55" s="95"/>
      <c r="R55" s="104"/>
      <c r="S55" s="95"/>
      <c r="T55" s="95"/>
      <c r="V55" s="95"/>
      <c r="X55" s="95"/>
      <c r="Y55" s="95"/>
      <c r="Z55" s="95"/>
      <c r="AA55" s="95"/>
      <c r="AB55" s="95"/>
      <c r="AC55" s="95"/>
      <c r="AD55" s="95"/>
      <c r="AE55" s="95"/>
      <c r="AF55" s="95"/>
      <c r="AG55" s="95"/>
      <c r="AH55" s="95"/>
      <c r="AI55" s="95"/>
      <c r="AJ55" s="95"/>
      <c r="AK55" s="95"/>
      <c r="AL55" s="95"/>
      <c r="AM55" s="95"/>
      <c r="AN55" s="95"/>
      <c r="AO55" s="95"/>
      <c r="AP55" s="95"/>
      <c r="AQ55" s="95"/>
      <c r="AR55" s="95"/>
      <c r="AS55" s="95"/>
      <c r="AT55" s="95"/>
      <c r="AU55" s="95"/>
      <c r="AV55" s="95"/>
      <c r="AW55" s="95"/>
      <c r="AX55" s="95"/>
      <c r="AY55" s="95"/>
      <c r="AZ55" s="95"/>
      <c r="BA55" s="95"/>
      <c r="BB55" s="95"/>
      <c r="BC55" s="95"/>
      <c r="BD55" s="95"/>
    </row>
    <row r="56" spans="2:56" ht="12.95" customHeight="1" x14ac:dyDescent="0.15">
      <c r="B56" s="95"/>
      <c r="C56" s="95"/>
      <c r="D56" s="95"/>
      <c r="E56" s="95"/>
      <c r="G56" s="101"/>
      <c r="H56" s="101"/>
      <c r="I56" s="101"/>
      <c r="J56" s="101"/>
      <c r="K56" s="101"/>
      <c r="L56" s="101"/>
      <c r="M56" s="101"/>
      <c r="N56" s="101"/>
      <c r="O56" s="101"/>
      <c r="P56" s="101"/>
      <c r="Q56" s="101"/>
      <c r="R56" s="101"/>
      <c r="S56" s="101"/>
      <c r="T56" s="101"/>
      <c r="U56" s="101"/>
      <c r="V56" s="101"/>
      <c r="W56" s="101"/>
      <c r="X56" s="101"/>
      <c r="Y56" s="101"/>
      <c r="Z56" s="101"/>
      <c r="AA56" s="101"/>
      <c r="AB56" s="101"/>
      <c r="AC56" s="101"/>
      <c r="AD56" s="101"/>
      <c r="AE56" s="101"/>
      <c r="AF56" s="101"/>
      <c r="AG56" s="101"/>
      <c r="AH56" s="101"/>
      <c r="AI56" s="101"/>
      <c r="AJ56" s="101"/>
      <c r="AK56" s="101"/>
      <c r="AL56" s="101"/>
      <c r="AM56" s="101"/>
      <c r="AN56" s="101"/>
      <c r="AO56" s="101"/>
      <c r="AP56" s="101"/>
      <c r="AQ56" s="101"/>
      <c r="AR56" s="101"/>
      <c r="AS56" s="101"/>
      <c r="AT56" s="101"/>
      <c r="AU56" s="101"/>
      <c r="AV56" s="101"/>
      <c r="AW56" s="101"/>
      <c r="AX56" s="101"/>
      <c r="AY56" s="101"/>
      <c r="AZ56" s="101"/>
      <c r="BC56" s="95"/>
      <c r="BD56" s="95"/>
    </row>
    <row r="57" spans="2:56" ht="12.95" customHeight="1" x14ac:dyDescent="0.15">
      <c r="B57" s="95"/>
      <c r="C57" s="95"/>
      <c r="D57" s="95"/>
      <c r="E57" s="95"/>
      <c r="F57" s="105"/>
      <c r="G57" s="101"/>
      <c r="H57" s="101"/>
      <c r="I57" s="101"/>
      <c r="J57" s="101"/>
      <c r="K57" s="101"/>
      <c r="L57" s="101"/>
      <c r="M57" s="101"/>
      <c r="N57" s="101"/>
      <c r="O57" s="101"/>
      <c r="P57" s="101"/>
      <c r="Q57" s="101"/>
      <c r="R57" s="101"/>
      <c r="S57" s="101"/>
      <c r="T57" s="101"/>
      <c r="U57" s="101"/>
      <c r="V57" s="101"/>
      <c r="W57" s="101"/>
      <c r="X57" s="101"/>
      <c r="Y57" s="101"/>
      <c r="Z57" s="101"/>
      <c r="AA57" s="101"/>
      <c r="AB57" s="101"/>
      <c r="AC57" s="101"/>
      <c r="AD57" s="101"/>
      <c r="AE57" s="101"/>
      <c r="AF57" s="101"/>
      <c r="AG57" s="101"/>
      <c r="AH57" s="101"/>
      <c r="AI57" s="101"/>
      <c r="AJ57" s="101"/>
      <c r="AK57" s="101"/>
      <c r="AL57" s="101"/>
      <c r="AM57" s="101"/>
      <c r="AN57" s="101"/>
      <c r="AO57" s="101"/>
      <c r="AP57" s="101"/>
      <c r="AQ57" s="101"/>
      <c r="AR57" s="101"/>
      <c r="AS57" s="101"/>
      <c r="AT57" s="101"/>
      <c r="AU57" s="101"/>
      <c r="AV57" s="101"/>
      <c r="AW57" s="101"/>
      <c r="AX57" s="101"/>
      <c r="AY57" s="101"/>
      <c r="AZ57" s="101"/>
      <c r="BC57" s="95"/>
      <c r="BD57" s="95"/>
    </row>
    <row r="58" spans="2:56" ht="12.95" customHeight="1" x14ac:dyDescent="0.15">
      <c r="B58" s="95"/>
      <c r="C58" s="95"/>
      <c r="D58" s="95"/>
      <c r="J58" s="95"/>
      <c r="K58" s="95"/>
      <c r="L58" s="95"/>
      <c r="M58" s="95"/>
      <c r="N58" s="95"/>
      <c r="O58" s="95"/>
      <c r="P58" s="95"/>
      <c r="Q58" s="95"/>
      <c r="R58" s="95"/>
      <c r="S58" s="95"/>
      <c r="T58" s="95"/>
      <c r="U58" s="104"/>
      <c r="V58" s="95"/>
      <c r="W58" s="95"/>
      <c r="X58" s="95"/>
      <c r="AA58" s="95"/>
      <c r="AB58" s="95"/>
      <c r="AC58" s="95"/>
      <c r="AD58" s="95"/>
      <c r="AE58" s="95"/>
      <c r="AF58" s="95"/>
      <c r="AG58" s="95"/>
      <c r="AH58" s="95"/>
      <c r="AI58" s="95"/>
      <c r="AJ58" s="95"/>
      <c r="AK58" s="95"/>
      <c r="AM58" s="95"/>
      <c r="AN58" s="95"/>
      <c r="AO58" s="95"/>
      <c r="AP58" s="95"/>
      <c r="AQ58" s="95"/>
      <c r="AR58" s="95"/>
      <c r="AS58" s="95"/>
      <c r="AT58" s="95"/>
      <c r="AU58" s="95"/>
      <c r="AV58" s="95"/>
      <c r="AW58" s="95"/>
      <c r="AX58" s="95"/>
      <c r="AY58" s="95"/>
      <c r="BD58" s="95"/>
    </row>
    <row r="59" spans="2:56" ht="12.95" customHeight="1" x14ac:dyDescent="0.15">
      <c r="B59" s="95"/>
      <c r="J59" s="95"/>
      <c r="K59" s="95"/>
      <c r="L59" s="95"/>
      <c r="M59" s="95"/>
      <c r="N59" s="95"/>
      <c r="O59" s="95"/>
      <c r="P59" s="95"/>
      <c r="Q59" s="95"/>
      <c r="R59" s="95"/>
      <c r="S59" s="95"/>
      <c r="T59" s="95"/>
      <c r="U59" s="95"/>
      <c r="V59" s="95"/>
      <c r="W59" s="95"/>
      <c r="X59" s="95"/>
      <c r="AA59" s="95"/>
      <c r="AB59" s="95"/>
      <c r="AC59" s="95"/>
      <c r="AD59" s="95"/>
      <c r="AE59" s="95"/>
      <c r="AF59" s="95"/>
      <c r="AG59" s="95"/>
      <c r="AH59" s="95"/>
      <c r="AI59" s="95"/>
      <c r="AJ59" s="95"/>
      <c r="AK59" s="95"/>
      <c r="AM59" s="95"/>
      <c r="AN59" s="95"/>
      <c r="AO59" s="95"/>
      <c r="AP59" s="95"/>
      <c r="AQ59" s="95"/>
      <c r="AR59" s="95"/>
      <c r="AS59" s="95"/>
      <c r="AT59" s="95"/>
      <c r="AU59" s="95"/>
      <c r="AV59" s="95"/>
      <c r="AW59" s="95"/>
      <c r="AX59" s="95"/>
      <c r="AY59" s="95"/>
      <c r="BC59" s="95"/>
      <c r="BD59" s="95"/>
    </row>
    <row r="60" spans="2:56" ht="12.95" customHeight="1" x14ac:dyDescent="0.15">
      <c r="B60" s="95"/>
      <c r="J60" s="95"/>
      <c r="K60" s="95"/>
      <c r="L60" s="95"/>
      <c r="M60" s="95"/>
      <c r="N60" s="95"/>
      <c r="O60" s="95"/>
      <c r="P60" s="95"/>
      <c r="Q60" s="95"/>
      <c r="R60" s="95"/>
      <c r="S60" s="95"/>
      <c r="T60" s="95"/>
      <c r="U60" s="95"/>
      <c r="V60" s="95"/>
      <c r="W60" s="95"/>
      <c r="X60" s="95"/>
      <c r="AA60" s="95"/>
      <c r="AB60" s="95"/>
      <c r="AC60" s="95"/>
      <c r="AD60" s="95"/>
      <c r="AE60" s="95"/>
      <c r="AF60" s="95"/>
      <c r="AG60" s="95"/>
      <c r="AH60" s="95"/>
      <c r="AI60" s="95"/>
      <c r="AJ60" s="95"/>
      <c r="AK60" s="95"/>
      <c r="AM60" s="95"/>
      <c r="AN60" s="95"/>
      <c r="AO60" s="95"/>
      <c r="AP60" s="95"/>
      <c r="AQ60" s="95"/>
      <c r="AR60" s="95"/>
      <c r="AS60" s="95"/>
      <c r="AT60" s="95"/>
      <c r="AU60" s="95"/>
      <c r="AV60" s="95"/>
      <c r="AW60" s="95"/>
      <c r="AX60" s="95"/>
      <c r="AY60" s="95"/>
      <c r="BC60" s="95"/>
      <c r="BD60" s="95"/>
    </row>
    <row r="61" spans="2:56" ht="12.95" customHeight="1" x14ac:dyDescent="0.15">
      <c r="B61" s="95"/>
      <c r="C61" s="95"/>
      <c r="D61" s="95"/>
      <c r="E61" s="95"/>
      <c r="J61" s="95"/>
      <c r="K61" s="95"/>
      <c r="L61" s="102"/>
      <c r="M61" s="95"/>
      <c r="N61" s="95"/>
      <c r="O61" s="95"/>
      <c r="P61" s="95"/>
      <c r="Q61" s="95"/>
      <c r="R61" s="95"/>
      <c r="S61" s="95"/>
      <c r="T61" s="95"/>
      <c r="U61" s="95"/>
      <c r="V61" s="95"/>
      <c r="W61" s="95"/>
      <c r="X61" s="95"/>
      <c r="AA61" s="95"/>
      <c r="AB61" s="95"/>
      <c r="AC61" s="95"/>
      <c r="AD61" s="95"/>
      <c r="AE61" s="95"/>
      <c r="AF61" s="95"/>
      <c r="AG61" s="95"/>
      <c r="AH61" s="95"/>
      <c r="AI61" s="95"/>
      <c r="AJ61" s="95"/>
      <c r="AK61" s="95"/>
      <c r="AM61" s="95"/>
      <c r="AN61" s="95"/>
      <c r="AO61" s="95"/>
      <c r="AP61" s="95"/>
      <c r="AQ61" s="95"/>
      <c r="AR61" s="95"/>
      <c r="AS61" s="95"/>
      <c r="AT61" s="95"/>
      <c r="AU61" s="95"/>
      <c r="AV61" s="95"/>
      <c r="AW61" s="95"/>
      <c r="AX61" s="95"/>
      <c r="AY61" s="95"/>
      <c r="BC61" s="95"/>
      <c r="BD61" s="95"/>
    </row>
    <row r="62" spans="2:56" ht="12.95" customHeight="1" x14ac:dyDescent="0.15">
      <c r="B62" s="95"/>
      <c r="C62" s="95"/>
      <c r="D62" s="95"/>
      <c r="E62" s="95"/>
      <c r="J62" s="95"/>
      <c r="K62" s="95"/>
      <c r="L62" s="95"/>
      <c r="M62" s="95"/>
      <c r="N62" s="95"/>
      <c r="O62" s="95"/>
      <c r="P62" s="95"/>
      <c r="Q62" s="95"/>
      <c r="R62" s="95"/>
      <c r="S62" s="95"/>
      <c r="T62" s="95"/>
      <c r="U62" s="104"/>
      <c r="V62" s="95"/>
      <c r="W62" s="95"/>
      <c r="X62" s="95"/>
      <c r="AA62" s="95"/>
      <c r="AB62" s="95"/>
      <c r="AC62" s="95"/>
      <c r="AD62" s="95"/>
      <c r="AE62" s="95"/>
      <c r="AF62" s="95"/>
      <c r="AG62" s="95"/>
      <c r="AH62" s="95"/>
      <c r="AI62" s="95"/>
      <c r="AJ62" s="95"/>
      <c r="AK62" s="95"/>
      <c r="AM62" s="95"/>
      <c r="AN62" s="95"/>
      <c r="AO62" s="95"/>
      <c r="AP62" s="95"/>
      <c r="AQ62" s="95"/>
      <c r="AR62" s="95"/>
      <c r="AS62" s="95"/>
      <c r="AT62" s="95"/>
      <c r="AU62" s="95"/>
      <c r="AV62" s="95"/>
      <c r="AW62" s="95"/>
      <c r="AX62" s="95"/>
      <c r="AY62" s="95"/>
      <c r="BC62" s="95"/>
      <c r="BD62" s="95"/>
    </row>
    <row r="63" spans="2:56" ht="12.95" customHeight="1" x14ac:dyDescent="0.15">
      <c r="B63" s="95"/>
      <c r="C63" s="95"/>
      <c r="D63" s="95"/>
      <c r="E63" s="95"/>
      <c r="J63" s="95"/>
      <c r="K63" s="95"/>
      <c r="L63" s="95"/>
      <c r="M63" s="95"/>
      <c r="N63" s="95"/>
      <c r="O63" s="95"/>
      <c r="P63" s="95"/>
      <c r="Q63" s="95"/>
      <c r="R63" s="95"/>
      <c r="S63" s="95"/>
      <c r="T63" s="95"/>
      <c r="U63" s="95"/>
      <c r="V63" s="95"/>
      <c r="W63" s="95"/>
      <c r="X63" s="95"/>
      <c r="AA63" s="95"/>
      <c r="AB63" s="95"/>
      <c r="AC63" s="95"/>
      <c r="AD63" s="95"/>
      <c r="AE63" s="95"/>
      <c r="AF63" s="95"/>
      <c r="AG63" s="95"/>
      <c r="AH63" s="95"/>
      <c r="AI63" s="95"/>
      <c r="AJ63" s="95"/>
      <c r="AK63" s="95"/>
      <c r="AM63" s="95"/>
      <c r="AN63" s="95"/>
      <c r="AO63" s="95"/>
      <c r="AP63" s="95"/>
      <c r="AQ63" s="95"/>
      <c r="AR63" s="95"/>
      <c r="AS63" s="95"/>
      <c r="AT63" s="95"/>
      <c r="AU63" s="95"/>
      <c r="AV63" s="95"/>
      <c r="AW63" s="95"/>
      <c r="AX63" s="95"/>
      <c r="AY63" s="95"/>
      <c r="BC63" s="95"/>
      <c r="BD63" s="95"/>
    </row>
    <row r="64" spans="2:56" ht="12.95" customHeight="1" x14ac:dyDescent="0.15">
      <c r="B64" s="95"/>
      <c r="C64" s="95"/>
      <c r="D64" s="95"/>
      <c r="E64" s="95"/>
      <c r="J64" s="95"/>
      <c r="K64" s="95"/>
      <c r="L64" s="95"/>
      <c r="M64" s="95"/>
      <c r="N64" s="95"/>
      <c r="O64" s="95"/>
      <c r="P64" s="95"/>
      <c r="Q64" s="95"/>
      <c r="R64" s="95"/>
      <c r="S64" s="95"/>
      <c r="T64" s="95"/>
      <c r="U64" s="95"/>
      <c r="V64" s="95"/>
      <c r="W64" s="95"/>
      <c r="X64" s="95"/>
      <c r="AA64" s="95"/>
      <c r="AB64" s="95"/>
      <c r="AC64" s="95"/>
      <c r="AD64" s="95"/>
      <c r="AE64" s="95"/>
      <c r="AF64" s="95"/>
      <c r="AG64" s="95"/>
      <c r="AH64" s="95"/>
      <c r="AI64" s="95"/>
      <c r="AJ64" s="95"/>
      <c r="AK64" s="95"/>
      <c r="AM64" s="95"/>
      <c r="AN64" s="95"/>
      <c r="AO64" s="95"/>
      <c r="AP64" s="95"/>
      <c r="AQ64" s="95"/>
      <c r="AR64" s="95"/>
      <c r="AS64" s="95"/>
      <c r="AT64" s="95"/>
      <c r="AU64" s="95"/>
      <c r="AV64" s="95"/>
      <c r="AW64" s="95"/>
      <c r="AX64" s="95"/>
      <c r="AY64" s="95"/>
      <c r="BC64" s="95"/>
      <c r="BD64" s="95"/>
    </row>
    <row r="65" spans="2:56" ht="12.95" customHeight="1" x14ac:dyDescent="0.15">
      <c r="B65" s="95"/>
      <c r="E65" s="95"/>
      <c r="F65" s="95"/>
      <c r="J65" s="95"/>
      <c r="K65" s="95"/>
      <c r="L65" s="95"/>
      <c r="M65" s="95"/>
      <c r="N65" s="95"/>
      <c r="O65" s="95"/>
      <c r="P65" s="95"/>
      <c r="Q65" s="95"/>
      <c r="R65" s="95"/>
      <c r="S65" s="95"/>
      <c r="T65" s="95"/>
      <c r="U65" s="95"/>
      <c r="V65" s="95"/>
      <c r="W65" s="95"/>
      <c r="X65" s="95"/>
      <c r="AA65" s="95"/>
      <c r="AB65" s="95"/>
      <c r="AC65" s="95"/>
      <c r="AD65" s="95"/>
      <c r="AE65" s="95"/>
      <c r="AF65" s="95"/>
      <c r="AG65" s="95"/>
      <c r="AH65" s="95"/>
      <c r="AI65" s="95"/>
      <c r="AJ65" s="95"/>
      <c r="AK65" s="95"/>
      <c r="AM65" s="95"/>
      <c r="AN65" s="95"/>
      <c r="AO65" s="95"/>
      <c r="AP65" s="95"/>
      <c r="AQ65" s="95"/>
      <c r="AR65" s="95"/>
      <c r="AS65" s="95"/>
      <c r="AT65" s="95"/>
      <c r="AU65" s="95"/>
      <c r="AV65" s="95"/>
      <c r="AW65" s="95"/>
      <c r="AX65" s="95"/>
      <c r="AY65" s="95"/>
      <c r="BC65" s="95"/>
      <c r="BD65" s="95"/>
    </row>
    <row r="66" spans="2:56" ht="12.95" customHeight="1" x14ac:dyDescent="0.15">
      <c r="B66" s="95"/>
      <c r="E66" s="95"/>
      <c r="J66" s="95"/>
      <c r="K66" s="95"/>
      <c r="L66" s="95"/>
      <c r="M66" s="95"/>
      <c r="N66" s="95"/>
      <c r="O66" s="95"/>
      <c r="P66" s="95"/>
      <c r="Q66" s="95"/>
      <c r="R66" s="95"/>
      <c r="S66" s="95"/>
      <c r="T66" s="95"/>
      <c r="U66" s="95"/>
      <c r="V66" s="95"/>
      <c r="W66" s="95"/>
      <c r="X66" s="95"/>
      <c r="AA66" s="95"/>
      <c r="AB66" s="95"/>
      <c r="AC66" s="95"/>
      <c r="AD66" s="95"/>
      <c r="AE66" s="95"/>
      <c r="AF66" s="95"/>
      <c r="AG66" s="95"/>
      <c r="AH66" s="95"/>
      <c r="AI66" s="95"/>
      <c r="AJ66" s="95"/>
      <c r="AK66" s="95"/>
      <c r="AM66" s="95"/>
      <c r="AN66" s="95"/>
      <c r="AO66" s="95"/>
      <c r="AP66" s="95"/>
      <c r="AQ66" s="95"/>
      <c r="AR66" s="95"/>
      <c r="AS66" s="95"/>
      <c r="AT66" s="95"/>
      <c r="AU66" s="95"/>
      <c r="AV66" s="95"/>
      <c r="AW66" s="95"/>
      <c r="AX66" s="95"/>
      <c r="AY66" s="95"/>
      <c r="BB66" s="95"/>
      <c r="BD66" s="95"/>
    </row>
    <row r="67" spans="2:56" ht="12.95" customHeight="1" x14ac:dyDescent="0.15">
      <c r="B67" s="95"/>
      <c r="C67" s="95"/>
      <c r="E67" s="95"/>
      <c r="F67" s="95"/>
      <c r="J67" s="95"/>
      <c r="K67" s="95"/>
      <c r="L67" s="95"/>
      <c r="M67" s="95"/>
      <c r="N67" s="95"/>
      <c r="O67" s="95"/>
      <c r="P67" s="95"/>
      <c r="Q67" s="95"/>
      <c r="R67" s="95"/>
      <c r="S67" s="95"/>
      <c r="T67" s="95"/>
      <c r="U67" s="95"/>
      <c r="V67" s="95"/>
      <c r="W67" s="95"/>
      <c r="X67" s="95"/>
      <c r="AA67" s="95"/>
      <c r="AB67" s="95"/>
      <c r="AC67" s="95"/>
      <c r="AD67" s="95"/>
      <c r="AE67" s="95"/>
      <c r="AF67" s="95"/>
      <c r="AG67" s="95"/>
      <c r="AH67" s="95"/>
      <c r="AI67" s="95"/>
      <c r="AJ67" s="95"/>
      <c r="AK67" s="95"/>
      <c r="AM67" s="95"/>
      <c r="AN67" s="95"/>
      <c r="AO67" s="95"/>
      <c r="AP67" s="95"/>
      <c r="AQ67" s="95"/>
      <c r="AR67" s="95"/>
      <c r="AS67" s="95"/>
      <c r="AT67" s="95"/>
      <c r="AU67" s="95"/>
      <c r="AV67" s="95"/>
      <c r="AW67" s="95"/>
      <c r="AX67" s="95"/>
      <c r="AY67" s="95"/>
      <c r="BB67" s="95"/>
      <c r="BD67" s="95"/>
    </row>
    <row r="68" spans="2:56" ht="12.95" customHeight="1" x14ac:dyDescent="0.15">
      <c r="B68" s="95"/>
      <c r="C68" s="95"/>
      <c r="D68" s="95"/>
      <c r="BA68" s="95"/>
      <c r="BB68" s="95"/>
      <c r="BC68" s="95"/>
      <c r="BD68" s="95"/>
    </row>
    <row r="69" spans="2:56" ht="12.95" customHeight="1" x14ac:dyDescent="0.15">
      <c r="B69" s="95"/>
      <c r="C69" s="95"/>
      <c r="E69" s="95"/>
      <c r="BB69" s="95"/>
      <c r="BD69" s="95"/>
    </row>
    <row r="70" spans="2:56" ht="12.95" customHeight="1" x14ac:dyDescent="0.15">
      <c r="B70" s="95"/>
      <c r="C70" s="95"/>
      <c r="E70" s="95"/>
      <c r="BB70" s="95"/>
      <c r="BD70" s="95"/>
    </row>
    <row r="71" spans="2:56" ht="12.95" customHeight="1" x14ac:dyDescent="0.15">
      <c r="B71" s="95"/>
      <c r="C71" s="95"/>
      <c r="BB71" s="95"/>
      <c r="BD71" s="95"/>
    </row>
    <row r="72" spans="2:56" ht="12.95" customHeight="1" x14ac:dyDescent="0.15">
      <c r="B72" s="95"/>
      <c r="C72" s="95"/>
      <c r="BB72" s="95"/>
      <c r="BD72" s="95"/>
    </row>
    <row r="73" spans="2:56" ht="12.95" customHeight="1" x14ac:dyDescent="0.15">
      <c r="B73" s="95"/>
      <c r="C73" s="95"/>
      <c r="R73" s="100"/>
      <c r="X73" s="95"/>
      <c r="Y73" s="95"/>
      <c r="Z73" s="95"/>
      <c r="AA73" s="95"/>
      <c r="AB73" s="95"/>
      <c r="AC73" s="95"/>
      <c r="AD73" s="95"/>
      <c r="AE73" s="95"/>
      <c r="AF73" s="95"/>
      <c r="AG73" s="95"/>
      <c r="AH73" s="95"/>
      <c r="AI73" s="95"/>
      <c r="AJ73" s="95"/>
      <c r="AK73" s="95"/>
      <c r="AL73" s="95"/>
      <c r="AM73" s="95"/>
      <c r="AN73" s="95"/>
      <c r="AO73" s="95"/>
      <c r="AP73" s="95"/>
      <c r="AQ73" s="95"/>
      <c r="AR73" s="95"/>
      <c r="AS73" s="95"/>
      <c r="AT73" s="95"/>
      <c r="AU73" s="95"/>
      <c r="AV73" s="95"/>
      <c r="AW73" s="95"/>
      <c r="AX73" s="95"/>
      <c r="AY73" s="95"/>
      <c r="BD73" s="95"/>
    </row>
    <row r="74" spans="2:56" ht="12.95" customHeight="1" x14ac:dyDescent="0.15">
      <c r="B74" s="95"/>
      <c r="C74" s="95"/>
      <c r="AV74" s="95"/>
      <c r="AW74" s="95"/>
      <c r="AX74" s="95"/>
      <c r="AY74" s="95"/>
      <c r="BD74" s="95"/>
    </row>
    <row r="75" spans="2:56" ht="12.95" customHeight="1" x14ac:dyDescent="0.15">
      <c r="B75" s="95"/>
      <c r="C75" s="95"/>
      <c r="H75" s="96"/>
      <c r="I75" s="96"/>
      <c r="J75" s="96"/>
      <c r="K75" s="96"/>
      <c r="AV75" s="95"/>
      <c r="AW75" s="95"/>
      <c r="AX75" s="95"/>
      <c r="AY75" s="95"/>
      <c r="AZ75" s="95"/>
      <c r="BA75" s="95"/>
      <c r="BB75" s="95"/>
      <c r="BC75" s="95"/>
      <c r="BD75" s="95"/>
    </row>
    <row r="76" spans="2:56" ht="12.95" customHeight="1" x14ac:dyDescent="0.15">
      <c r="B76" s="95"/>
      <c r="C76" s="95"/>
      <c r="D76" s="95"/>
      <c r="H76" s="96"/>
      <c r="I76" s="97"/>
      <c r="J76" s="97"/>
      <c r="K76" s="97"/>
      <c r="L76" s="97"/>
      <c r="M76" s="97"/>
      <c r="N76" s="97"/>
      <c r="O76" s="97"/>
      <c r="P76" s="97"/>
      <c r="Q76" s="97"/>
      <c r="AA76" s="100"/>
      <c r="AB76" s="95"/>
      <c r="AC76" s="95"/>
      <c r="AD76" s="95"/>
      <c r="AE76" s="95"/>
      <c r="AV76" s="95"/>
      <c r="AW76" s="95"/>
      <c r="AX76" s="95"/>
      <c r="AY76" s="95"/>
      <c r="AZ76" s="95"/>
      <c r="BA76" s="95"/>
      <c r="BB76" s="95"/>
      <c r="BC76" s="95"/>
      <c r="BD76" s="95"/>
    </row>
    <row r="77" spans="2:56" ht="12.95" customHeight="1" x14ac:dyDescent="0.15">
      <c r="B77" s="95"/>
      <c r="C77" s="95"/>
      <c r="D77" s="95"/>
      <c r="H77" s="96"/>
      <c r="I77" s="97"/>
      <c r="J77" s="97"/>
      <c r="K77" s="97"/>
      <c r="L77" s="97"/>
      <c r="M77" s="97"/>
      <c r="N77" s="97"/>
      <c r="O77" s="97"/>
      <c r="P77" s="97"/>
      <c r="Q77" s="97"/>
      <c r="AA77" s="100"/>
      <c r="AB77" s="95"/>
      <c r="AC77" s="95"/>
      <c r="AD77" s="95"/>
      <c r="AE77" s="95"/>
      <c r="AV77" s="95"/>
      <c r="AW77" s="95"/>
      <c r="AX77" s="95"/>
      <c r="AY77" s="95"/>
      <c r="AZ77" s="95"/>
      <c r="BA77" s="95"/>
      <c r="BB77" s="95"/>
      <c r="BC77" s="95"/>
      <c r="BD77" s="95"/>
    </row>
    <row r="78" spans="2:56" ht="12.95" customHeight="1" x14ac:dyDescent="0.15">
      <c r="B78" s="95"/>
      <c r="C78" s="95"/>
      <c r="D78" s="95"/>
      <c r="H78" s="96"/>
      <c r="I78" s="97"/>
      <c r="J78" s="97"/>
      <c r="K78" s="97"/>
      <c r="L78" s="97"/>
      <c r="M78" s="97"/>
      <c r="N78" s="97"/>
      <c r="O78" s="97"/>
      <c r="P78" s="97"/>
      <c r="Q78" s="97"/>
      <c r="AA78" s="100"/>
      <c r="AB78" s="95"/>
      <c r="AC78" s="95"/>
      <c r="AD78" s="95"/>
      <c r="AE78" s="95"/>
      <c r="AV78" s="95"/>
      <c r="AW78" s="95"/>
      <c r="AX78" s="95"/>
      <c r="AY78" s="95"/>
      <c r="AZ78" s="95"/>
      <c r="BA78" s="95"/>
      <c r="BB78" s="95"/>
      <c r="BC78" s="95"/>
      <c r="BD78" s="95"/>
    </row>
    <row r="79" spans="2:56" ht="12.95" customHeight="1" x14ac:dyDescent="0.15">
      <c r="B79" s="95"/>
      <c r="C79" s="95"/>
      <c r="D79" s="95"/>
      <c r="H79" s="96"/>
      <c r="I79" s="97"/>
      <c r="J79" s="97"/>
      <c r="K79" s="97"/>
      <c r="L79" s="97"/>
      <c r="M79" s="97"/>
      <c r="N79" s="97"/>
      <c r="O79" s="97"/>
      <c r="P79" s="97"/>
      <c r="Q79" s="97"/>
      <c r="AA79" s="100"/>
      <c r="AB79" s="95"/>
      <c r="AC79" s="95"/>
      <c r="AD79" s="95"/>
      <c r="AE79" s="95"/>
      <c r="AV79" s="95"/>
      <c r="AW79" s="95"/>
      <c r="AX79" s="95"/>
      <c r="AY79" s="95"/>
      <c r="AZ79" s="95"/>
      <c r="BA79" s="95"/>
      <c r="BB79" s="95"/>
      <c r="BC79" s="95"/>
      <c r="BD79" s="95"/>
    </row>
    <row r="80" spans="2:56" ht="12.95" customHeight="1" x14ac:dyDescent="0.15">
      <c r="B80" s="95"/>
      <c r="C80" s="95"/>
      <c r="D80" s="95"/>
      <c r="H80" s="96"/>
      <c r="I80" s="97"/>
      <c r="J80" s="97"/>
      <c r="K80" s="97"/>
      <c r="L80" s="97"/>
      <c r="M80" s="97"/>
      <c r="N80" s="97"/>
      <c r="O80" s="97"/>
      <c r="P80" s="97"/>
      <c r="Q80" s="97"/>
      <c r="AA80" s="100"/>
      <c r="AB80" s="95"/>
      <c r="AC80" s="95"/>
      <c r="AD80" s="95"/>
      <c r="AE80" s="95"/>
      <c r="AV80" s="95"/>
      <c r="AW80" s="95"/>
      <c r="AX80" s="95"/>
      <c r="AY80" s="95"/>
      <c r="AZ80" s="95"/>
      <c r="BA80" s="95"/>
      <c r="BB80" s="95"/>
      <c r="BC80" s="95"/>
      <c r="BD80" s="95"/>
    </row>
    <row r="81" spans="2:56" ht="12.95" customHeight="1" x14ac:dyDescent="0.15">
      <c r="B81" s="95"/>
      <c r="C81" s="95"/>
      <c r="D81" s="95"/>
      <c r="H81" s="96"/>
      <c r="I81" s="97"/>
      <c r="J81" s="97"/>
      <c r="K81" s="97"/>
      <c r="L81" s="97"/>
      <c r="M81" s="97"/>
      <c r="N81" s="97"/>
      <c r="O81" s="97"/>
      <c r="P81" s="97"/>
      <c r="Q81" s="97"/>
      <c r="AA81" s="100"/>
      <c r="AB81" s="95"/>
      <c r="AC81" s="95"/>
      <c r="AD81" s="95"/>
      <c r="AE81" s="95"/>
      <c r="AV81" s="95"/>
      <c r="AW81" s="95"/>
      <c r="AX81" s="95"/>
      <c r="AY81" s="95"/>
      <c r="AZ81" s="95"/>
      <c r="BA81" s="95"/>
      <c r="BB81" s="95"/>
      <c r="BC81" s="95"/>
      <c r="BD81" s="95"/>
    </row>
    <row r="82" spans="2:56" ht="12.95" customHeight="1" x14ac:dyDescent="0.15">
      <c r="B82" s="95"/>
      <c r="C82" s="95"/>
      <c r="D82" s="95"/>
      <c r="H82" s="96"/>
      <c r="I82" s="97"/>
      <c r="J82" s="97"/>
      <c r="K82" s="97"/>
      <c r="L82" s="97"/>
      <c r="M82" s="97"/>
      <c r="N82" s="97"/>
      <c r="O82" s="97"/>
      <c r="P82" s="97"/>
      <c r="Q82" s="97"/>
      <c r="AA82" s="100"/>
      <c r="AB82" s="95"/>
      <c r="AC82" s="95"/>
      <c r="AD82" s="95"/>
      <c r="AE82" s="95"/>
      <c r="AV82" s="95"/>
      <c r="AW82" s="95"/>
      <c r="AX82" s="95"/>
      <c r="AY82" s="95"/>
      <c r="AZ82" s="95"/>
      <c r="BA82" s="95"/>
      <c r="BB82" s="95"/>
      <c r="BC82" s="95"/>
      <c r="BD82" s="95"/>
    </row>
    <row r="83" spans="2:56" ht="12.95" customHeight="1" x14ac:dyDescent="0.15">
      <c r="B83" s="95"/>
      <c r="C83" s="95"/>
      <c r="D83" s="95"/>
      <c r="H83" s="96"/>
      <c r="I83" s="97"/>
      <c r="J83" s="97"/>
      <c r="K83" s="97"/>
      <c r="L83" s="97"/>
      <c r="M83" s="97"/>
      <c r="N83" s="97"/>
      <c r="O83" s="97"/>
      <c r="P83" s="97"/>
      <c r="Q83" s="97"/>
      <c r="AA83" s="100"/>
      <c r="AB83" s="95"/>
      <c r="AC83" s="95"/>
      <c r="AD83" s="95"/>
      <c r="AE83" s="95"/>
      <c r="AV83" s="95"/>
      <c r="AW83" s="95"/>
      <c r="AX83" s="95"/>
      <c r="AY83" s="95"/>
      <c r="AZ83" s="95"/>
      <c r="BA83" s="95"/>
      <c r="BB83" s="95"/>
      <c r="BC83" s="95"/>
      <c r="BD83" s="95"/>
    </row>
    <row r="84" spans="2:56" ht="12.95" customHeight="1" x14ac:dyDescent="0.15">
      <c r="B84" s="95"/>
      <c r="C84" s="95"/>
      <c r="D84" s="95"/>
      <c r="H84" s="96"/>
      <c r="I84" s="97"/>
      <c r="J84" s="97"/>
      <c r="K84" s="97"/>
      <c r="L84" s="97"/>
      <c r="M84" s="97"/>
      <c r="N84" s="97"/>
      <c r="O84" s="97"/>
      <c r="P84" s="97"/>
      <c r="Q84" s="97"/>
      <c r="AA84" s="100"/>
      <c r="AB84" s="95"/>
      <c r="AC84" s="95"/>
      <c r="AD84" s="95"/>
      <c r="AE84" s="95"/>
      <c r="AV84" s="95"/>
      <c r="AW84" s="95"/>
      <c r="AX84" s="95"/>
      <c r="AY84" s="95"/>
      <c r="AZ84" s="95"/>
      <c r="BA84" s="95"/>
      <c r="BB84" s="95"/>
      <c r="BC84" s="95"/>
      <c r="BD84" s="95"/>
    </row>
    <row r="85" spans="2:56" ht="12.95" customHeight="1" x14ac:dyDescent="0.15">
      <c r="B85" s="95"/>
      <c r="C85" s="95"/>
      <c r="D85" s="95"/>
      <c r="H85" s="96"/>
      <c r="I85" s="97"/>
      <c r="J85" s="97"/>
      <c r="K85" s="97"/>
      <c r="L85" s="97"/>
      <c r="M85" s="97"/>
      <c r="N85" s="97"/>
      <c r="O85" s="97"/>
      <c r="P85" s="97"/>
      <c r="Q85" s="97"/>
      <c r="AA85" s="100"/>
      <c r="AB85" s="95"/>
      <c r="AC85" s="95"/>
      <c r="AD85" s="95"/>
      <c r="AE85" s="95"/>
      <c r="AV85" s="95"/>
      <c r="AW85" s="95"/>
      <c r="AX85" s="95"/>
      <c r="AY85" s="95"/>
      <c r="AZ85" s="95"/>
      <c r="BA85" s="95"/>
      <c r="BB85" s="95"/>
      <c r="BC85" s="95"/>
      <c r="BD85" s="95"/>
    </row>
    <row r="86" spans="2:56" ht="12.95" customHeight="1" x14ac:dyDescent="0.15">
      <c r="B86" s="95"/>
      <c r="C86" s="95"/>
      <c r="D86" s="95"/>
      <c r="H86" s="96"/>
      <c r="I86" s="97"/>
      <c r="J86" s="97"/>
      <c r="K86" s="97"/>
      <c r="L86" s="97"/>
      <c r="M86" s="97"/>
      <c r="N86" s="97"/>
      <c r="O86" s="97"/>
      <c r="P86" s="97"/>
      <c r="Q86" s="97"/>
      <c r="AB86" s="95"/>
      <c r="AC86" s="95"/>
      <c r="AD86" s="98"/>
      <c r="AE86" s="99"/>
      <c r="AV86" s="95"/>
      <c r="AW86" s="95"/>
      <c r="AX86" s="95"/>
      <c r="AY86" s="95"/>
      <c r="AZ86" s="95"/>
      <c r="BA86" s="95"/>
      <c r="BB86" s="95"/>
      <c r="BC86" s="95"/>
      <c r="BD86" s="95"/>
    </row>
    <row r="87" spans="2:56" ht="12.95" customHeight="1" x14ac:dyDescent="0.15">
      <c r="B87" s="95"/>
      <c r="C87" s="95"/>
      <c r="D87" s="95"/>
      <c r="H87" s="96"/>
      <c r="I87" s="97"/>
      <c r="J87" s="97"/>
      <c r="K87" s="97"/>
      <c r="L87" s="97"/>
      <c r="M87" s="97"/>
      <c r="N87" s="97"/>
      <c r="O87" s="97"/>
      <c r="P87" s="97"/>
      <c r="Q87" s="97"/>
      <c r="AA87" s="100"/>
      <c r="AB87" s="95"/>
      <c r="AC87" s="95"/>
      <c r="AD87" s="99"/>
      <c r="AE87" s="99"/>
      <c r="AV87" s="95"/>
      <c r="AW87" s="95"/>
      <c r="AX87" s="95"/>
      <c r="AY87" s="95"/>
      <c r="AZ87" s="95"/>
      <c r="BA87" s="95"/>
      <c r="BB87" s="95"/>
      <c r="BC87" s="95"/>
      <c r="BD87" s="95"/>
    </row>
    <row r="88" spans="2:56" ht="12.95" customHeight="1" x14ac:dyDescent="0.15">
      <c r="B88" s="95"/>
      <c r="C88" s="95"/>
      <c r="D88" s="95"/>
      <c r="H88" s="96"/>
      <c r="I88" s="97"/>
      <c r="J88" s="97"/>
      <c r="K88" s="97"/>
      <c r="L88" s="97"/>
      <c r="M88" s="97"/>
      <c r="N88" s="97"/>
      <c r="O88" s="97"/>
      <c r="P88" s="97"/>
      <c r="Q88" s="97"/>
      <c r="AB88" s="95"/>
      <c r="AC88" s="95"/>
      <c r="AD88" s="95"/>
      <c r="AE88" s="95"/>
      <c r="AV88" s="95"/>
      <c r="AW88" s="95"/>
      <c r="AX88" s="95"/>
      <c r="AY88" s="95"/>
      <c r="AZ88" s="95"/>
      <c r="BA88" s="95"/>
      <c r="BB88" s="95"/>
      <c r="BC88" s="95"/>
      <c r="BD88" s="95"/>
    </row>
    <row r="89" spans="2:56" ht="12.95" customHeight="1" x14ac:dyDescent="0.15">
      <c r="B89" s="95"/>
      <c r="C89" s="95"/>
      <c r="D89" s="95"/>
      <c r="H89" s="96"/>
      <c r="I89" s="97"/>
      <c r="J89" s="97"/>
      <c r="K89" s="97"/>
      <c r="L89" s="97"/>
      <c r="M89" s="97"/>
      <c r="N89" s="97"/>
      <c r="O89" s="97"/>
      <c r="P89" s="97"/>
      <c r="Q89" s="97"/>
      <c r="S89" s="100"/>
      <c r="AA89" s="100"/>
      <c r="AB89" s="95"/>
      <c r="AD89" s="95"/>
      <c r="AE89" s="95"/>
      <c r="AV89" s="95"/>
      <c r="AW89" s="95"/>
      <c r="AX89" s="95"/>
      <c r="AY89" s="95"/>
      <c r="AZ89" s="95"/>
      <c r="BA89" s="95"/>
      <c r="BB89" s="95"/>
      <c r="BC89" s="95"/>
      <c r="BD89" s="95"/>
    </row>
    <row r="90" spans="2:56" ht="12.95" customHeight="1" x14ac:dyDescent="0.15">
      <c r="B90" s="95"/>
      <c r="C90" s="95"/>
      <c r="D90" s="95"/>
      <c r="I90" s="96"/>
      <c r="AB90" s="95"/>
      <c r="AC90" s="95"/>
      <c r="AD90" s="95"/>
      <c r="AE90" s="95"/>
      <c r="AV90" s="95"/>
      <c r="AW90" s="95"/>
      <c r="AX90" s="95"/>
      <c r="AY90" s="95"/>
      <c r="AZ90" s="95"/>
      <c r="BA90" s="95"/>
      <c r="BB90" s="95"/>
      <c r="BC90" s="95"/>
      <c r="BD90" s="95"/>
    </row>
    <row r="91" spans="2:56" ht="12.95" customHeight="1" x14ac:dyDescent="0.15">
      <c r="B91" s="95"/>
      <c r="C91" s="95"/>
      <c r="D91" s="95"/>
      <c r="H91" s="96"/>
      <c r="I91" s="96"/>
      <c r="J91" s="96"/>
      <c r="K91" s="96"/>
      <c r="S91" s="100"/>
      <c r="AA91" s="100"/>
      <c r="AB91" s="95"/>
      <c r="AC91" s="95"/>
      <c r="AV91" s="95"/>
      <c r="AW91" s="95"/>
      <c r="AX91" s="95"/>
      <c r="AY91" s="95"/>
      <c r="BC91" s="95"/>
      <c r="BD91" s="95"/>
    </row>
    <row r="92" spans="2:56" ht="12.95" customHeight="1" x14ac:dyDescent="0.15">
      <c r="B92" s="95"/>
      <c r="C92" s="95"/>
      <c r="D92" s="95"/>
      <c r="BA92" s="95"/>
      <c r="BB92" s="95"/>
      <c r="BC92" s="95"/>
      <c r="BD92" s="95"/>
    </row>
    <row r="93" spans="2:56" ht="12.95" customHeight="1" x14ac:dyDescent="0.15">
      <c r="B93" s="95"/>
      <c r="C93" s="95"/>
      <c r="D93" s="95"/>
      <c r="E93" s="95"/>
      <c r="F93" s="95"/>
      <c r="G93" s="95"/>
      <c r="H93" s="95"/>
      <c r="I93" s="95"/>
      <c r="J93" s="95"/>
      <c r="K93" s="95"/>
      <c r="L93" s="95"/>
      <c r="M93" s="95"/>
      <c r="N93" s="95"/>
      <c r="O93" s="95"/>
      <c r="P93" s="95"/>
      <c r="Q93" s="95"/>
      <c r="R93" s="95"/>
      <c r="S93" s="95"/>
      <c r="T93" s="95"/>
      <c r="U93" s="95"/>
      <c r="V93" s="95"/>
      <c r="W93" s="95"/>
      <c r="X93" s="95"/>
      <c r="Y93" s="95"/>
      <c r="Z93" s="95"/>
      <c r="AA93" s="95"/>
      <c r="AB93" s="95"/>
      <c r="AC93" s="95"/>
      <c r="AD93" s="95"/>
      <c r="AE93" s="95"/>
      <c r="AF93" s="95"/>
      <c r="AG93" s="95"/>
      <c r="AH93" s="95"/>
      <c r="AI93" s="95"/>
      <c r="AJ93" s="95"/>
      <c r="AK93" s="95"/>
      <c r="AL93" s="95"/>
      <c r="AM93" s="95"/>
      <c r="AN93" s="95"/>
      <c r="AO93" s="95"/>
      <c r="AP93" s="95"/>
      <c r="AQ93" s="95"/>
      <c r="AR93" s="95"/>
      <c r="AS93" s="95"/>
      <c r="AT93" s="95"/>
      <c r="AU93" s="95"/>
      <c r="AV93" s="95"/>
      <c r="AW93" s="95"/>
      <c r="AX93" s="95"/>
      <c r="AY93" s="95"/>
      <c r="AZ93" s="95"/>
      <c r="BA93" s="95"/>
      <c r="BB93" s="95"/>
      <c r="BC93" s="95"/>
      <c r="BD93" s="95"/>
    </row>
  </sheetData>
  <mergeCells count="16">
    <mergeCell ref="AX2:AZ2"/>
    <mergeCell ref="BA2:BD2"/>
    <mergeCell ref="B3:N3"/>
    <mergeCell ref="O3:T3"/>
    <mergeCell ref="U3:AA3"/>
    <mergeCell ref="AO3:AP3"/>
    <mergeCell ref="AQ3:AS3"/>
    <mergeCell ref="AT3:AW3"/>
    <mergeCell ref="AX3:AZ3"/>
    <mergeCell ref="BA3:BD3"/>
    <mergeCell ref="O2:T2"/>
    <mergeCell ref="U2:AA2"/>
    <mergeCell ref="AB2:AN3"/>
    <mergeCell ref="AO2:AP2"/>
    <mergeCell ref="AQ2:AS2"/>
    <mergeCell ref="AT2:AW2"/>
  </mergeCells>
  <phoneticPr fontId="4"/>
  <pageMargins left="0.19685039370078741" right="0.19685039370078741" top="0.51181102362204722" bottom="0.35433070866141736" header="0.19685039370078741" footer="0.19685039370078741"/>
  <pageSetup paperSize="9" scale="84" orientation="landscape" r:id="rId1"/>
  <headerFooter alignWithMargins="0">
    <oddHeader>&amp;R&amp;UFUJITSU CONFIDENTIAL</oddHeader>
    <oddFooter>&amp;RAll Rights Reserved, Copyright(c) Fujitsu  Limited 2024</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164817-7692-4237-9064-0FF5CB193697}">
  <dimension ref="B1:BL149"/>
  <sheetViews>
    <sheetView showGridLines="0" topLeftCell="A60" zoomScaleNormal="100" zoomScaleSheetLayoutView="120" workbookViewId="0"/>
  </sheetViews>
  <sheetFormatPr defaultRowHeight="13.5" x14ac:dyDescent="0.15"/>
  <cols>
    <col min="1" max="2" width="2.125" style="270" customWidth="1"/>
    <col min="3" max="3" width="14.375" style="270" customWidth="1"/>
    <col min="4" max="4" width="16.375" style="270" customWidth="1"/>
    <col min="5" max="5" width="6" style="270" bestFit="1" customWidth="1"/>
    <col min="6" max="6" width="5" style="270" bestFit="1" customWidth="1"/>
    <col min="7" max="7" width="3.375" style="270" bestFit="1" customWidth="1"/>
    <col min="8" max="8" width="6.375" style="270" bestFit="1" customWidth="1"/>
    <col min="9" max="9" width="5.875" style="270" customWidth="1"/>
    <col min="10" max="10" width="1.375" style="270" customWidth="1"/>
    <col min="11" max="11" width="12.375" style="270" customWidth="1"/>
    <col min="12" max="12" width="15.375" style="270" customWidth="1"/>
    <col min="13" max="13" width="6" style="270" bestFit="1" customWidth="1"/>
    <col min="14" max="14" width="5" style="270" customWidth="1"/>
    <col min="15" max="15" width="3.375" style="270" bestFit="1" customWidth="1"/>
    <col min="16" max="16" width="6.375" style="270" bestFit="1" customWidth="1"/>
    <col min="17" max="17" width="5.875" style="274" customWidth="1"/>
    <col min="18" max="18" width="1.375" style="270" customWidth="1"/>
    <col min="19" max="19" width="13.375" style="270" customWidth="1"/>
    <col min="20" max="20" width="14.375" style="270" customWidth="1"/>
    <col min="21" max="21" width="6" style="270" bestFit="1" customWidth="1"/>
    <col min="22" max="23" width="3.375" style="270" bestFit="1" customWidth="1"/>
    <col min="24" max="24" width="6.375" style="270" bestFit="1" customWidth="1"/>
    <col min="25" max="25" width="5.875" style="270" customWidth="1"/>
    <col min="26" max="26" width="1.375" style="270" customWidth="1"/>
    <col min="27" max="27" width="17.875" style="270" customWidth="1"/>
    <col min="28" max="28" width="19.375" style="270" customWidth="1"/>
    <col min="29" max="29" width="6" style="270" bestFit="1" customWidth="1"/>
    <col min="30" max="30" width="3.375" style="270" customWidth="1"/>
    <col min="31" max="31" width="3.375" style="270" bestFit="1" customWidth="1"/>
    <col min="32" max="32" width="6.375" style="270" bestFit="1" customWidth="1"/>
    <col min="33" max="33" width="2.125" style="270" customWidth="1"/>
    <col min="34" max="261" width="9" style="270"/>
    <col min="262" max="262" width="4.375" style="270" customWidth="1"/>
    <col min="263" max="263" width="20.375" style="270" customWidth="1"/>
    <col min="264" max="264" width="23" style="270" customWidth="1"/>
    <col min="265" max="265" width="6" style="270" bestFit="1" customWidth="1"/>
    <col min="266" max="267" width="3.375" style="270" bestFit="1" customWidth="1"/>
    <col min="268" max="268" width="9" style="270"/>
    <col min="269" max="269" width="1.375" style="270" customWidth="1"/>
    <col min="270" max="270" width="14.375" style="270" customWidth="1"/>
    <col min="271" max="271" width="21.375" style="270" customWidth="1"/>
    <col min="272" max="272" width="6" style="270" bestFit="1" customWidth="1"/>
    <col min="273" max="273" width="5" style="270" bestFit="1" customWidth="1"/>
    <col min="274" max="274" width="3.375" style="270" bestFit="1" customWidth="1"/>
    <col min="275" max="275" width="9" style="270"/>
    <col min="276" max="276" width="0.375" style="270" customWidth="1"/>
    <col min="277" max="277" width="16.375" style="270" customWidth="1"/>
    <col min="278" max="278" width="24.375" style="270" customWidth="1"/>
    <col min="279" max="279" width="6" style="270" bestFit="1" customWidth="1"/>
    <col min="280" max="280" width="2.375" style="270" bestFit="1" customWidth="1"/>
    <col min="281" max="281" width="3.375" style="270" bestFit="1" customWidth="1"/>
    <col min="282" max="282" width="9" style="270"/>
    <col min="283" max="283" width="1.375" style="270" customWidth="1"/>
    <col min="284" max="284" width="17.875" style="270" customWidth="1"/>
    <col min="285" max="285" width="19.375" style="270" customWidth="1"/>
    <col min="286" max="286" width="6" style="270" bestFit="1" customWidth="1"/>
    <col min="287" max="287" width="2.375" style="270" bestFit="1" customWidth="1"/>
    <col min="288" max="288" width="3.375" style="270" bestFit="1" customWidth="1"/>
    <col min="289" max="517" width="9" style="270"/>
    <col min="518" max="518" width="4.375" style="270" customWidth="1"/>
    <col min="519" max="519" width="20.375" style="270" customWidth="1"/>
    <col min="520" max="520" width="23" style="270" customWidth="1"/>
    <col min="521" max="521" width="6" style="270" bestFit="1" customWidth="1"/>
    <col min="522" max="523" width="3.375" style="270" bestFit="1" customWidth="1"/>
    <col min="524" max="524" width="9" style="270"/>
    <col min="525" max="525" width="1.375" style="270" customWidth="1"/>
    <col min="526" max="526" width="14.375" style="270" customWidth="1"/>
    <col min="527" max="527" width="21.375" style="270" customWidth="1"/>
    <col min="528" max="528" width="6" style="270" bestFit="1" customWidth="1"/>
    <col min="529" max="529" width="5" style="270" bestFit="1" customWidth="1"/>
    <col min="530" max="530" width="3.375" style="270" bestFit="1" customWidth="1"/>
    <col min="531" max="531" width="9" style="270"/>
    <col min="532" max="532" width="0.375" style="270" customWidth="1"/>
    <col min="533" max="533" width="16.375" style="270" customWidth="1"/>
    <col min="534" max="534" width="24.375" style="270" customWidth="1"/>
    <col min="535" max="535" width="6" style="270" bestFit="1" customWidth="1"/>
    <col min="536" max="536" width="2.375" style="270" bestFit="1" customWidth="1"/>
    <col min="537" max="537" width="3.375" style="270" bestFit="1" customWidth="1"/>
    <col min="538" max="538" width="9" style="270"/>
    <col min="539" max="539" width="1.375" style="270" customWidth="1"/>
    <col min="540" max="540" width="17.875" style="270" customWidth="1"/>
    <col min="541" max="541" width="19.375" style="270" customWidth="1"/>
    <col min="542" max="542" width="6" style="270" bestFit="1" customWidth="1"/>
    <col min="543" max="543" width="2.375" style="270" bestFit="1" customWidth="1"/>
    <col min="544" max="544" width="3.375" style="270" bestFit="1" customWidth="1"/>
    <col min="545" max="773" width="9" style="270"/>
    <col min="774" max="774" width="4.375" style="270" customWidth="1"/>
    <col min="775" max="775" width="20.375" style="270" customWidth="1"/>
    <col min="776" max="776" width="23" style="270" customWidth="1"/>
    <col min="777" max="777" width="6" style="270" bestFit="1" customWidth="1"/>
    <col min="778" max="779" width="3.375" style="270" bestFit="1" customWidth="1"/>
    <col min="780" max="780" width="9" style="270"/>
    <col min="781" max="781" width="1.375" style="270" customWidth="1"/>
    <col min="782" max="782" width="14.375" style="270" customWidth="1"/>
    <col min="783" max="783" width="21.375" style="270" customWidth="1"/>
    <col min="784" max="784" width="6" style="270" bestFit="1" customWidth="1"/>
    <col min="785" max="785" width="5" style="270" bestFit="1" customWidth="1"/>
    <col min="786" max="786" width="3.375" style="270" bestFit="1" customWidth="1"/>
    <col min="787" max="787" width="9" style="270"/>
    <col min="788" max="788" width="0.375" style="270" customWidth="1"/>
    <col min="789" max="789" width="16.375" style="270" customWidth="1"/>
    <col min="790" max="790" width="24.375" style="270" customWidth="1"/>
    <col min="791" max="791" width="6" style="270" bestFit="1" customWidth="1"/>
    <col min="792" max="792" width="2.375" style="270" bestFit="1" customWidth="1"/>
    <col min="793" max="793" width="3.375" style="270" bestFit="1" customWidth="1"/>
    <col min="794" max="794" width="9" style="270"/>
    <col min="795" max="795" width="1.375" style="270" customWidth="1"/>
    <col min="796" max="796" width="17.875" style="270" customWidth="1"/>
    <col min="797" max="797" width="19.375" style="270" customWidth="1"/>
    <col min="798" max="798" width="6" style="270" bestFit="1" customWidth="1"/>
    <col min="799" max="799" width="2.375" style="270" bestFit="1" customWidth="1"/>
    <col min="800" max="800" width="3.375" style="270" bestFit="1" customWidth="1"/>
    <col min="801" max="1029" width="9" style="270"/>
    <col min="1030" max="1030" width="4.375" style="270" customWidth="1"/>
    <col min="1031" max="1031" width="20.375" style="270" customWidth="1"/>
    <col min="1032" max="1032" width="23" style="270" customWidth="1"/>
    <col min="1033" max="1033" width="6" style="270" bestFit="1" customWidth="1"/>
    <col min="1034" max="1035" width="3.375" style="270" bestFit="1" customWidth="1"/>
    <col min="1036" max="1036" width="9" style="270"/>
    <col min="1037" max="1037" width="1.375" style="270" customWidth="1"/>
    <col min="1038" max="1038" width="14.375" style="270" customWidth="1"/>
    <col min="1039" max="1039" width="21.375" style="270" customWidth="1"/>
    <col min="1040" max="1040" width="6" style="270" bestFit="1" customWidth="1"/>
    <col min="1041" max="1041" width="5" style="270" bestFit="1" customWidth="1"/>
    <col min="1042" max="1042" width="3.375" style="270" bestFit="1" customWidth="1"/>
    <col min="1043" max="1043" width="9" style="270"/>
    <col min="1044" max="1044" width="0.375" style="270" customWidth="1"/>
    <col min="1045" max="1045" width="16.375" style="270" customWidth="1"/>
    <col min="1046" max="1046" width="24.375" style="270" customWidth="1"/>
    <col min="1047" max="1047" width="6" style="270" bestFit="1" customWidth="1"/>
    <col min="1048" max="1048" width="2.375" style="270" bestFit="1" customWidth="1"/>
    <col min="1049" max="1049" width="3.375" style="270" bestFit="1" customWidth="1"/>
    <col min="1050" max="1050" width="9" style="270"/>
    <col min="1051" max="1051" width="1.375" style="270" customWidth="1"/>
    <col min="1052" max="1052" width="17.875" style="270" customWidth="1"/>
    <col min="1053" max="1053" width="19.375" style="270" customWidth="1"/>
    <col min="1054" max="1054" width="6" style="270" bestFit="1" customWidth="1"/>
    <col min="1055" max="1055" width="2.375" style="270" bestFit="1" customWidth="1"/>
    <col min="1056" max="1056" width="3.375" style="270" bestFit="1" customWidth="1"/>
    <col min="1057" max="1285" width="9" style="270"/>
    <col min="1286" max="1286" width="4.375" style="270" customWidth="1"/>
    <col min="1287" max="1287" width="20.375" style="270" customWidth="1"/>
    <col min="1288" max="1288" width="23" style="270" customWidth="1"/>
    <col min="1289" max="1289" width="6" style="270" bestFit="1" customWidth="1"/>
    <col min="1290" max="1291" width="3.375" style="270" bestFit="1" customWidth="1"/>
    <col min="1292" max="1292" width="9" style="270"/>
    <col min="1293" max="1293" width="1.375" style="270" customWidth="1"/>
    <col min="1294" max="1294" width="14.375" style="270" customWidth="1"/>
    <col min="1295" max="1295" width="21.375" style="270" customWidth="1"/>
    <col min="1296" max="1296" width="6" style="270" bestFit="1" customWidth="1"/>
    <col min="1297" max="1297" width="5" style="270" bestFit="1" customWidth="1"/>
    <col min="1298" max="1298" width="3.375" style="270" bestFit="1" customWidth="1"/>
    <col min="1299" max="1299" width="9" style="270"/>
    <col min="1300" max="1300" width="0.375" style="270" customWidth="1"/>
    <col min="1301" max="1301" width="16.375" style="270" customWidth="1"/>
    <col min="1302" max="1302" width="24.375" style="270" customWidth="1"/>
    <col min="1303" max="1303" width="6" style="270" bestFit="1" customWidth="1"/>
    <col min="1304" max="1304" width="2.375" style="270" bestFit="1" customWidth="1"/>
    <col min="1305" max="1305" width="3.375" style="270" bestFit="1" customWidth="1"/>
    <col min="1306" max="1306" width="9" style="270"/>
    <col min="1307" max="1307" width="1.375" style="270" customWidth="1"/>
    <col min="1308" max="1308" width="17.875" style="270" customWidth="1"/>
    <col min="1309" max="1309" width="19.375" style="270" customWidth="1"/>
    <col min="1310" max="1310" width="6" style="270" bestFit="1" customWidth="1"/>
    <col min="1311" max="1311" width="2.375" style="270" bestFit="1" customWidth="1"/>
    <col min="1312" max="1312" width="3.375" style="270" bestFit="1" customWidth="1"/>
    <col min="1313" max="1541" width="9" style="270"/>
    <col min="1542" max="1542" width="4.375" style="270" customWidth="1"/>
    <col min="1543" max="1543" width="20.375" style="270" customWidth="1"/>
    <col min="1544" max="1544" width="23" style="270" customWidth="1"/>
    <col min="1545" max="1545" width="6" style="270" bestFit="1" customWidth="1"/>
    <col min="1546" max="1547" width="3.375" style="270" bestFit="1" customWidth="1"/>
    <col min="1548" max="1548" width="9" style="270"/>
    <col min="1549" max="1549" width="1.375" style="270" customWidth="1"/>
    <col min="1550" max="1550" width="14.375" style="270" customWidth="1"/>
    <col min="1551" max="1551" width="21.375" style="270" customWidth="1"/>
    <col min="1552" max="1552" width="6" style="270" bestFit="1" customWidth="1"/>
    <col min="1553" max="1553" width="5" style="270" bestFit="1" customWidth="1"/>
    <col min="1554" max="1554" width="3.375" style="270" bestFit="1" customWidth="1"/>
    <col min="1555" max="1555" width="9" style="270"/>
    <col min="1556" max="1556" width="0.375" style="270" customWidth="1"/>
    <col min="1557" max="1557" width="16.375" style="270" customWidth="1"/>
    <col min="1558" max="1558" width="24.375" style="270" customWidth="1"/>
    <col min="1559" max="1559" width="6" style="270" bestFit="1" customWidth="1"/>
    <col min="1560" max="1560" width="2.375" style="270" bestFit="1" customWidth="1"/>
    <col min="1561" max="1561" width="3.375" style="270" bestFit="1" customWidth="1"/>
    <col min="1562" max="1562" width="9" style="270"/>
    <col min="1563" max="1563" width="1.375" style="270" customWidth="1"/>
    <col min="1564" max="1564" width="17.875" style="270" customWidth="1"/>
    <col min="1565" max="1565" width="19.375" style="270" customWidth="1"/>
    <col min="1566" max="1566" width="6" style="270" bestFit="1" customWidth="1"/>
    <col min="1567" max="1567" width="2.375" style="270" bestFit="1" customWidth="1"/>
    <col min="1568" max="1568" width="3.375" style="270" bestFit="1" customWidth="1"/>
    <col min="1569" max="1797" width="9" style="270"/>
    <col min="1798" max="1798" width="4.375" style="270" customWidth="1"/>
    <col min="1799" max="1799" width="20.375" style="270" customWidth="1"/>
    <col min="1800" max="1800" width="23" style="270" customWidth="1"/>
    <col min="1801" max="1801" width="6" style="270" bestFit="1" customWidth="1"/>
    <col min="1802" max="1803" width="3.375" style="270" bestFit="1" customWidth="1"/>
    <col min="1804" max="1804" width="9" style="270"/>
    <col min="1805" max="1805" width="1.375" style="270" customWidth="1"/>
    <col min="1806" max="1806" width="14.375" style="270" customWidth="1"/>
    <col min="1807" max="1807" width="21.375" style="270" customWidth="1"/>
    <col min="1808" max="1808" width="6" style="270" bestFit="1" customWidth="1"/>
    <col min="1809" max="1809" width="5" style="270" bestFit="1" customWidth="1"/>
    <col min="1810" max="1810" width="3.375" style="270" bestFit="1" customWidth="1"/>
    <col min="1811" max="1811" width="9" style="270"/>
    <col min="1812" max="1812" width="0.375" style="270" customWidth="1"/>
    <col min="1813" max="1813" width="16.375" style="270" customWidth="1"/>
    <col min="1814" max="1814" width="24.375" style="270" customWidth="1"/>
    <col min="1815" max="1815" width="6" style="270" bestFit="1" customWidth="1"/>
    <col min="1816" max="1816" width="2.375" style="270" bestFit="1" customWidth="1"/>
    <col min="1817" max="1817" width="3.375" style="270" bestFit="1" customWidth="1"/>
    <col min="1818" max="1818" width="9" style="270"/>
    <col min="1819" max="1819" width="1.375" style="270" customWidth="1"/>
    <col min="1820" max="1820" width="17.875" style="270" customWidth="1"/>
    <col min="1821" max="1821" width="19.375" style="270" customWidth="1"/>
    <col min="1822" max="1822" width="6" style="270" bestFit="1" customWidth="1"/>
    <col min="1823" max="1823" width="2.375" style="270" bestFit="1" customWidth="1"/>
    <col min="1824" max="1824" width="3.375" style="270" bestFit="1" customWidth="1"/>
    <col min="1825" max="2053" width="9" style="270"/>
    <col min="2054" max="2054" width="4.375" style="270" customWidth="1"/>
    <col min="2055" max="2055" width="20.375" style="270" customWidth="1"/>
    <col min="2056" max="2056" width="23" style="270" customWidth="1"/>
    <col min="2057" max="2057" width="6" style="270" bestFit="1" customWidth="1"/>
    <col min="2058" max="2059" width="3.375" style="270" bestFit="1" customWidth="1"/>
    <col min="2060" max="2060" width="9" style="270"/>
    <col min="2061" max="2061" width="1.375" style="270" customWidth="1"/>
    <col min="2062" max="2062" width="14.375" style="270" customWidth="1"/>
    <col min="2063" max="2063" width="21.375" style="270" customWidth="1"/>
    <col min="2064" max="2064" width="6" style="270" bestFit="1" customWidth="1"/>
    <col min="2065" max="2065" width="5" style="270" bestFit="1" customWidth="1"/>
    <col min="2066" max="2066" width="3.375" style="270" bestFit="1" customWidth="1"/>
    <col min="2067" max="2067" width="9" style="270"/>
    <col min="2068" max="2068" width="0.375" style="270" customWidth="1"/>
    <col min="2069" max="2069" width="16.375" style="270" customWidth="1"/>
    <col min="2070" max="2070" width="24.375" style="270" customWidth="1"/>
    <col min="2071" max="2071" width="6" style="270" bestFit="1" customWidth="1"/>
    <col min="2072" max="2072" width="2.375" style="270" bestFit="1" customWidth="1"/>
    <col min="2073" max="2073" width="3.375" style="270" bestFit="1" customWidth="1"/>
    <col min="2074" max="2074" width="9" style="270"/>
    <col min="2075" max="2075" width="1.375" style="270" customWidth="1"/>
    <col min="2076" max="2076" width="17.875" style="270" customWidth="1"/>
    <col min="2077" max="2077" width="19.375" style="270" customWidth="1"/>
    <col min="2078" max="2078" width="6" style="270" bestFit="1" customWidth="1"/>
    <col min="2079" max="2079" width="2.375" style="270" bestFit="1" customWidth="1"/>
    <col min="2080" max="2080" width="3.375" style="270" bestFit="1" customWidth="1"/>
    <col min="2081" max="2309" width="9" style="270"/>
    <col min="2310" max="2310" width="4.375" style="270" customWidth="1"/>
    <col min="2311" max="2311" width="20.375" style="270" customWidth="1"/>
    <col min="2312" max="2312" width="23" style="270" customWidth="1"/>
    <col min="2313" max="2313" width="6" style="270" bestFit="1" customWidth="1"/>
    <col min="2314" max="2315" width="3.375" style="270" bestFit="1" customWidth="1"/>
    <col min="2316" max="2316" width="9" style="270"/>
    <col min="2317" max="2317" width="1.375" style="270" customWidth="1"/>
    <col min="2318" max="2318" width="14.375" style="270" customWidth="1"/>
    <col min="2319" max="2319" width="21.375" style="270" customWidth="1"/>
    <col min="2320" max="2320" width="6" style="270" bestFit="1" customWidth="1"/>
    <col min="2321" max="2321" width="5" style="270" bestFit="1" customWidth="1"/>
    <col min="2322" max="2322" width="3.375" style="270" bestFit="1" customWidth="1"/>
    <col min="2323" max="2323" width="9" style="270"/>
    <col min="2324" max="2324" width="0.375" style="270" customWidth="1"/>
    <col min="2325" max="2325" width="16.375" style="270" customWidth="1"/>
    <col min="2326" max="2326" width="24.375" style="270" customWidth="1"/>
    <col min="2327" max="2327" width="6" style="270" bestFit="1" customWidth="1"/>
    <col min="2328" max="2328" width="2.375" style="270" bestFit="1" customWidth="1"/>
    <col min="2329" max="2329" width="3.375" style="270" bestFit="1" customWidth="1"/>
    <col min="2330" max="2330" width="9" style="270"/>
    <col min="2331" max="2331" width="1.375" style="270" customWidth="1"/>
    <col min="2332" max="2332" width="17.875" style="270" customWidth="1"/>
    <col min="2333" max="2333" width="19.375" style="270" customWidth="1"/>
    <col min="2334" max="2334" width="6" style="270" bestFit="1" customWidth="1"/>
    <col min="2335" max="2335" width="2.375" style="270" bestFit="1" customWidth="1"/>
    <col min="2336" max="2336" width="3.375" style="270" bestFit="1" customWidth="1"/>
    <col min="2337" max="2565" width="9" style="270"/>
    <col min="2566" max="2566" width="4.375" style="270" customWidth="1"/>
    <col min="2567" max="2567" width="20.375" style="270" customWidth="1"/>
    <col min="2568" max="2568" width="23" style="270" customWidth="1"/>
    <col min="2569" max="2569" width="6" style="270" bestFit="1" customWidth="1"/>
    <col min="2570" max="2571" width="3.375" style="270" bestFit="1" customWidth="1"/>
    <col min="2572" max="2572" width="9" style="270"/>
    <col min="2573" max="2573" width="1.375" style="270" customWidth="1"/>
    <col min="2574" max="2574" width="14.375" style="270" customWidth="1"/>
    <col min="2575" max="2575" width="21.375" style="270" customWidth="1"/>
    <col min="2576" max="2576" width="6" style="270" bestFit="1" customWidth="1"/>
    <col min="2577" max="2577" width="5" style="270" bestFit="1" customWidth="1"/>
    <col min="2578" max="2578" width="3.375" style="270" bestFit="1" customWidth="1"/>
    <col min="2579" max="2579" width="9" style="270"/>
    <col min="2580" max="2580" width="0.375" style="270" customWidth="1"/>
    <col min="2581" max="2581" width="16.375" style="270" customWidth="1"/>
    <col min="2582" max="2582" width="24.375" style="270" customWidth="1"/>
    <col min="2583" max="2583" width="6" style="270" bestFit="1" customWidth="1"/>
    <col min="2584" max="2584" width="2.375" style="270" bestFit="1" customWidth="1"/>
    <col min="2585" max="2585" width="3.375" style="270" bestFit="1" customWidth="1"/>
    <col min="2586" max="2586" width="9" style="270"/>
    <col min="2587" max="2587" width="1.375" style="270" customWidth="1"/>
    <col min="2588" max="2588" width="17.875" style="270" customWidth="1"/>
    <col min="2589" max="2589" width="19.375" style="270" customWidth="1"/>
    <col min="2590" max="2590" width="6" style="270" bestFit="1" customWidth="1"/>
    <col min="2591" max="2591" width="2.375" style="270" bestFit="1" customWidth="1"/>
    <col min="2592" max="2592" width="3.375" style="270" bestFit="1" customWidth="1"/>
    <col min="2593" max="2821" width="9" style="270"/>
    <col min="2822" max="2822" width="4.375" style="270" customWidth="1"/>
    <col min="2823" max="2823" width="20.375" style="270" customWidth="1"/>
    <col min="2824" max="2824" width="23" style="270" customWidth="1"/>
    <col min="2825" max="2825" width="6" style="270" bestFit="1" customWidth="1"/>
    <col min="2826" max="2827" width="3.375" style="270" bestFit="1" customWidth="1"/>
    <col min="2828" max="2828" width="9" style="270"/>
    <col min="2829" max="2829" width="1.375" style="270" customWidth="1"/>
    <col min="2830" max="2830" width="14.375" style="270" customWidth="1"/>
    <col min="2831" max="2831" width="21.375" style="270" customWidth="1"/>
    <col min="2832" max="2832" width="6" style="270" bestFit="1" customWidth="1"/>
    <col min="2833" max="2833" width="5" style="270" bestFit="1" customWidth="1"/>
    <col min="2834" max="2834" width="3.375" style="270" bestFit="1" customWidth="1"/>
    <col min="2835" max="2835" width="9" style="270"/>
    <col min="2836" max="2836" width="0.375" style="270" customWidth="1"/>
    <col min="2837" max="2837" width="16.375" style="270" customWidth="1"/>
    <col min="2838" max="2838" width="24.375" style="270" customWidth="1"/>
    <col min="2839" max="2839" width="6" style="270" bestFit="1" customWidth="1"/>
    <col min="2840" max="2840" width="2.375" style="270" bestFit="1" customWidth="1"/>
    <col min="2841" max="2841" width="3.375" style="270" bestFit="1" customWidth="1"/>
    <col min="2842" max="2842" width="9" style="270"/>
    <col min="2843" max="2843" width="1.375" style="270" customWidth="1"/>
    <col min="2844" max="2844" width="17.875" style="270" customWidth="1"/>
    <col min="2845" max="2845" width="19.375" style="270" customWidth="1"/>
    <col min="2846" max="2846" width="6" style="270" bestFit="1" customWidth="1"/>
    <col min="2847" max="2847" width="2.375" style="270" bestFit="1" customWidth="1"/>
    <col min="2848" max="2848" width="3.375" style="270" bestFit="1" customWidth="1"/>
    <col min="2849" max="3077" width="9" style="270"/>
    <col min="3078" max="3078" width="4.375" style="270" customWidth="1"/>
    <col min="3079" max="3079" width="20.375" style="270" customWidth="1"/>
    <col min="3080" max="3080" width="23" style="270" customWidth="1"/>
    <col min="3081" max="3081" width="6" style="270" bestFit="1" customWidth="1"/>
    <col min="3082" max="3083" width="3.375" style="270" bestFit="1" customWidth="1"/>
    <col min="3084" max="3084" width="9" style="270"/>
    <col min="3085" max="3085" width="1.375" style="270" customWidth="1"/>
    <col min="3086" max="3086" width="14.375" style="270" customWidth="1"/>
    <col min="3087" max="3087" width="21.375" style="270" customWidth="1"/>
    <col min="3088" max="3088" width="6" style="270" bestFit="1" customWidth="1"/>
    <col min="3089" max="3089" width="5" style="270" bestFit="1" customWidth="1"/>
    <col min="3090" max="3090" width="3.375" style="270" bestFit="1" customWidth="1"/>
    <col min="3091" max="3091" width="9" style="270"/>
    <col min="3092" max="3092" width="0.375" style="270" customWidth="1"/>
    <col min="3093" max="3093" width="16.375" style="270" customWidth="1"/>
    <col min="3094" max="3094" width="24.375" style="270" customWidth="1"/>
    <col min="3095" max="3095" width="6" style="270" bestFit="1" customWidth="1"/>
    <col min="3096" max="3096" width="2.375" style="270" bestFit="1" customWidth="1"/>
    <col min="3097" max="3097" width="3.375" style="270" bestFit="1" customWidth="1"/>
    <col min="3098" max="3098" width="9" style="270"/>
    <col min="3099" max="3099" width="1.375" style="270" customWidth="1"/>
    <col min="3100" max="3100" width="17.875" style="270" customWidth="1"/>
    <col min="3101" max="3101" width="19.375" style="270" customWidth="1"/>
    <col min="3102" max="3102" width="6" style="270" bestFit="1" customWidth="1"/>
    <col min="3103" max="3103" width="2.375" style="270" bestFit="1" customWidth="1"/>
    <col min="3104" max="3104" width="3.375" style="270" bestFit="1" customWidth="1"/>
    <col min="3105" max="3333" width="9" style="270"/>
    <col min="3334" max="3334" width="4.375" style="270" customWidth="1"/>
    <col min="3335" max="3335" width="20.375" style="270" customWidth="1"/>
    <col min="3336" max="3336" width="23" style="270" customWidth="1"/>
    <col min="3337" max="3337" width="6" style="270" bestFit="1" customWidth="1"/>
    <col min="3338" max="3339" width="3.375" style="270" bestFit="1" customWidth="1"/>
    <col min="3340" max="3340" width="9" style="270"/>
    <col min="3341" max="3341" width="1.375" style="270" customWidth="1"/>
    <col min="3342" max="3342" width="14.375" style="270" customWidth="1"/>
    <col min="3343" max="3343" width="21.375" style="270" customWidth="1"/>
    <col min="3344" max="3344" width="6" style="270" bestFit="1" customWidth="1"/>
    <col min="3345" max="3345" width="5" style="270" bestFit="1" customWidth="1"/>
    <col min="3346" max="3346" width="3.375" style="270" bestFit="1" customWidth="1"/>
    <col min="3347" max="3347" width="9" style="270"/>
    <col min="3348" max="3348" width="0.375" style="270" customWidth="1"/>
    <col min="3349" max="3349" width="16.375" style="270" customWidth="1"/>
    <col min="3350" max="3350" width="24.375" style="270" customWidth="1"/>
    <col min="3351" max="3351" width="6" style="270" bestFit="1" customWidth="1"/>
    <col min="3352" max="3352" width="2.375" style="270" bestFit="1" customWidth="1"/>
    <col min="3353" max="3353" width="3.375" style="270" bestFit="1" customWidth="1"/>
    <col min="3354" max="3354" width="9" style="270"/>
    <col min="3355" max="3355" width="1.375" style="270" customWidth="1"/>
    <col min="3356" max="3356" width="17.875" style="270" customWidth="1"/>
    <col min="3357" max="3357" width="19.375" style="270" customWidth="1"/>
    <col min="3358" max="3358" width="6" style="270" bestFit="1" customWidth="1"/>
    <col min="3359" max="3359" width="2.375" style="270" bestFit="1" customWidth="1"/>
    <col min="3360" max="3360" width="3.375" style="270" bestFit="1" customWidth="1"/>
    <col min="3361" max="3589" width="9" style="270"/>
    <col min="3590" max="3590" width="4.375" style="270" customWidth="1"/>
    <col min="3591" max="3591" width="20.375" style="270" customWidth="1"/>
    <col min="3592" max="3592" width="23" style="270" customWidth="1"/>
    <col min="3593" max="3593" width="6" style="270" bestFit="1" customWidth="1"/>
    <col min="3594" max="3595" width="3.375" style="270" bestFit="1" customWidth="1"/>
    <col min="3596" max="3596" width="9" style="270"/>
    <col min="3597" max="3597" width="1.375" style="270" customWidth="1"/>
    <col min="3598" max="3598" width="14.375" style="270" customWidth="1"/>
    <col min="3599" max="3599" width="21.375" style="270" customWidth="1"/>
    <col min="3600" max="3600" width="6" style="270" bestFit="1" customWidth="1"/>
    <col min="3601" max="3601" width="5" style="270" bestFit="1" customWidth="1"/>
    <col min="3602" max="3602" width="3.375" style="270" bestFit="1" customWidth="1"/>
    <col min="3603" max="3603" width="9" style="270"/>
    <col min="3604" max="3604" width="0.375" style="270" customWidth="1"/>
    <col min="3605" max="3605" width="16.375" style="270" customWidth="1"/>
    <col min="3606" max="3606" width="24.375" style="270" customWidth="1"/>
    <col min="3607" max="3607" width="6" style="270" bestFit="1" customWidth="1"/>
    <col min="3608" max="3608" width="2.375" style="270" bestFit="1" customWidth="1"/>
    <col min="3609" max="3609" width="3.375" style="270" bestFit="1" customWidth="1"/>
    <col min="3610" max="3610" width="9" style="270"/>
    <col min="3611" max="3611" width="1.375" style="270" customWidth="1"/>
    <col min="3612" max="3612" width="17.875" style="270" customWidth="1"/>
    <col min="3613" max="3613" width="19.375" style="270" customWidth="1"/>
    <col min="3614" max="3614" width="6" style="270" bestFit="1" customWidth="1"/>
    <col min="3615" max="3615" width="2.375" style="270" bestFit="1" customWidth="1"/>
    <col min="3616" max="3616" width="3.375" style="270" bestFit="1" customWidth="1"/>
    <col min="3617" max="3845" width="9" style="270"/>
    <col min="3846" max="3846" width="4.375" style="270" customWidth="1"/>
    <col min="3847" max="3847" width="20.375" style="270" customWidth="1"/>
    <col min="3848" max="3848" width="23" style="270" customWidth="1"/>
    <col min="3849" max="3849" width="6" style="270" bestFit="1" customWidth="1"/>
    <col min="3850" max="3851" width="3.375" style="270" bestFit="1" customWidth="1"/>
    <col min="3852" max="3852" width="9" style="270"/>
    <col min="3853" max="3853" width="1.375" style="270" customWidth="1"/>
    <col min="3854" max="3854" width="14.375" style="270" customWidth="1"/>
    <col min="3855" max="3855" width="21.375" style="270" customWidth="1"/>
    <col min="3856" max="3856" width="6" style="270" bestFit="1" customWidth="1"/>
    <col min="3857" max="3857" width="5" style="270" bestFit="1" customWidth="1"/>
    <col min="3858" max="3858" width="3.375" style="270" bestFit="1" customWidth="1"/>
    <col min="3859" max="3859" width="9" style="270"/>
    <col min="3860" max="3860" width="0.375" style="270" customWidth="1"/>
    <col min="3861" max="3861" width="16.375" style="270" customWidth="1"/>
    <col min="3862" max="3862" width="24.375" style="270" customWidth="1"/>
    <col min="3863" max="3863" width="6" style="270" bestFit="1" customWidth="1"/>
    <col min="3864" max="3864" width="2.375" style="270" bestFit="1" customWidth="1"/>
    <col min="3865" max="3865" width="3.375" style="270" bestFit="1" customWidth="1"/>
    <col min="3866" max="3866" width="9" style="270"/>
    <col min="3867" max="3867" width="1.375" style="270" customWidth="1"/>
    <col min="3868" max="3868" width="17.875" style="270" customWidth="1"/>
    <col min="3869" max="3869" width="19.375" style="270" customWidth="1"/>
    <col min="3870" max="3870" width="6" style="270" bestFit="1" customWidth="1"/>
    <col min="3871" max="3871" width="2.375" style="270" bestFit="1" customWidth="1"/>
    <col min="3872" max="3872" width="3.375" style="270" bestFit="1" customWidth="1"/>
    <col min="3873" max="4101" width="9" style="270"/>
    <col min="4102" max="4102" width="4.375" style="270" customWidth="1"/>
    <col min="4103" max="4103" width="20.375" style="270" customWidth="1"/>
    <col min="4104" max="4104" width="23" style="270" customWidth="1"/>
    <col min="4105" max="4105" width="6" style="270" bestFit="1" customWidth="1"/>
    <col min="4106" max="4107" width="3.375" style="270" bestFit="1" customWidth="1"/>
    <col min="4108" max="4108" width="9" style="270"/>
    <col min="4109" max="4109" width="1.375" style="270" customWidth="1"/>
    <col min="4110" max="4110" width="14.375" style="270" customWidth="1"/>
    <col min="4111" max="4111" width="21.375" style="270" customWidth="1"/>
    <col min="4112" max="4112" width="6" style="270" bestFit="1" customWidth="1"/>
    <col min="4113" max="4113" width="5" style="270" bestFit="1" customWidth="1"/>
    <col min="4114" max="4114" width="3.375" style="270" bestFit="1" customWidth="1"/>
    <col min="4115" max="4115" width="9" style="270"/>
    <col min="4116" max="4116" width="0.375" style="270" customWidth="1"/>
    <col min="4117" max="4117" width="16.375" style="270" customWidth="1"/>
    <col min="4118" max="4118" width="24.375" style="270" customWidth="1"/>
    <col min="4119" max="4119" width="6" style="270" bestFit="1" customWidth="1"/>
    <col min="4120" max="4120" width="2.375" style="270" bestFit="1" customWidth="1"/>
    <col min="4121" max="4121" width="3.375" style="270" bestFit="1" customWidth="1"/>
    <col min="4122" max="4122" width="9" style="270"/>
    <col min="4123" max="4123" width="1.375" style="270" customWidth="1"/>
    <col min="4124" max="4124" width="17.875" style="270" customWidth="1"/>
    <col min="4125" max="4125" width="19.375" style="270" customWidth="1"/>
    <col min="4126" max="4126" width="6" style="270" bestFit="1" customWidth="1"/>
    <col min="4127" max="4127" width="2.375" style="270" bestFit="1" customWidth="1"/>
    <col min="4128" max="4128" width="3.375" style="270" bestFit="1" customWidth="1"/>
    <col min="4129" max="4357" width="9" style="270"/>
    <col min="4358" max="4358" width="4.375" style="270" customWidth="1"/>
    <col min="4359" max="4359" width="20.375" style="270" customWidth="1"/>
    <col min="4360" max="4360" width="23" style="270" customWidth="1"/>
    <col min="4361" max="4361" width="6" style="270" bestFit="1" customWidth="1"/>
    <col min="4362" max="4363" width="3.375" style="270" bestFit="1" customWidth="1"/>
    <col min="4364" max="4364" width="9" style="270"/>
    <col min="4365" max="4365" width="1.375" style="270" customWidth="1"/>
    <col min="4366" max="4366" width="14.375" style="270" customWidth="1"/>
    <col min="4367" max="4367" width="21.375" style="270" customWidth="1"/>
    <col min="4368" max="4368" width="6" style="270" bestFit="1" customWidth="1"/>
    <col min="4369" max="4369" width="5" style="270" bestFit="1" customWidth="1"/>
    <col min="4370" max="4370" width="3.375" style="270" bestFit="1" customWidth="1"/>
    <col min="4371" max="4371" width="9" style="270"/>
    <col min="4372" max="4372" width="0.375" style="270" customWidth="1"/>
    <col min="4373" max="4373" width="16.375" style="270" customWidth="1"/>
    <col min="4374" max="4374" width="24.375" style="270" customWidth="1"/>
    <col min="4375" max="4375" width="6" style="270" bestFit="1" customWidth="1"/>
    <col min="4376" max="4376" width="2.375" style="270" bestFit="1" customWidth="1"/>
    <col min="4377" max="4377" width="3.375" style="270" bestFit="1" customWidth="1"/>
    <col min="4378" max="4378" width="9" style="270"/>
    <col min="4379" max="4379" width="1.375" style="270" customWidth="1"/>
    <col min="4380" max="4380" width="17.875" style="270" customWidth="1"/>
    <col min="4381" max="4381" width="19.375" style="270" customWidth="1"/>
    <col min="4382" max="4382" width="6" style="270" bestFit="1" customWidth="1"/>
    <col min="4383" max="4383" width="2.375" style="270" bestFit="1" customWidth="1"/>
    <col min="4384" max="4384" width="3.375" style="270" bestFit="1" customWidth="1"/>
    <col min="4385" max="4613" width="9" style="270"/>
    <col min="4614" max="4614" width="4.375" style="270" customWidth="1"/>
    <col min="4615" max="4615" width="20.375" style="270" customWidth="1"/>
    <col min="4616" max="4616" width="23" style="270" customWidth="1"/>
    <col min="4617" max="4617" width="6" style="270" bestFit="1" customWidth="1"/>
    <col min="4618" max="4619" width="3.375" style="270" bestFit="1" customWidth="1"/>
    <col min="4620" max="4620" width="9" style="270"/>
    <col min="4621" max="4621" width="1.375" style="270" customWidth="1"/>
    <col min="4622" max="4622" width="14.375" style="270" customWidth="1"/>
    <col min="4623" max="4623" width="21.375" style="270" customWidth="1"/>
    <col min="4624" max="4624" width="6" style="270" bestFit="1" customWidth="1"/>
    <col min="4625" max="4625" width="5" style="270" bestFit="1" customWidth="1"/>
    <col min="4626" max="4626" width="3.375" style="270" bestFit="1" customWidth="1"/>
    <col min="4627" max="4627" width="9" style="270"/>
    <col min="4628" max="4628" width="0.375" style="270" customWidth="1"/>
    <col min="4629" max="4629" width="16.375" style="270" customWidth="1"/>
    <col min="4630" max="4630" width="24.375" style="270" customWidth="1"/>
    <col min="4631" max="4631" width="6" style="270" bestFit="1" customWidth="1"/>
    <col min="4632" max="4632" width="2.375" style="270" bestFit="1" customWidth="1"/>
    <col min="4633" max="4633" width="3.375" style="270" bestFit="1" customWidth="1"/>
    <col min="4634" max="4634" width="9" style="270"/>
    <col min="4635" max="4635" width="1.375" style="270" customWidth="1"/>
    <col min="4636" max="4636" width="17.875" style="270" customWidth="1"/>
    <col min="4637" max="4637" width="19.375" style="270" customWidth="1"/>
    <col min="4638" max="4638" width="6" style="270" bestFit="1" customWidth="1"/>
    <col min="4639" max="4639" width="2.375" style="270" bestFit="1" customWidth="1"/>
    <col min="4640" max="4640" width="3.375" style="270" bestFit="1" customWidth="1"/>
    <col min="4641" max="4869" width="9" style="270"/>
    <col min="4870" max="4870" width="4.375" style="270" customWidth="1"/>
    <col min="4871" max="4871" width="20.375" style="270" customWidth="1"/>
    <col min="4872" max="4872" width="23" style="270" customWidth="1"/>
    <col min="4873" max="4873" width="6" style="270" bestFit="1" customWidth="1"/>
    <col min="4874" max="4875" width="3.375" style="270" bestFit="1" customWidth="1"/>
    <col min="4876" max="4876" width="9" style="270"/>
    <col min="4877" max="4877" width="1.375" style="270" customWidth="1"/>
    <col min="4878" max="4878" width="14.375" style="270" customWidth="1"/>
    <col min="4879" max="4879" width="21.375" style="270" customWidth="1"/>
    <col min="4880" max="4880" width="6" style="270" bestFit="1" customWidth="1"/>
    <col min="4881" max="4881" width="5" style="270" bestFit="1" customWidth="1"/>
    <col min="4882" max="4882" width="3.375" style="270" bestFit="1" customWidth="1"/>
    <col min="4883" max="4883" width="9" style="270"/>
    <col min="4884" max="4884" width="0.375" style="270" customWidth="1"/>
    <col min="4885" max="4885" width="16.375" style="270" customWidth="1"/>
    <col min="4886" max="4886" width="24.375" style="270" customWidth="1"/>
    <col min="4887" max="4887" width="6" style="270" bestFit="1" customWidth="1"/>
    <col min="4888" max="4888" width="2.375" style="270" bestFit="1" customWidth="1"/>
    <col min="4889" max="4889" width="3.375" style="270" bestFit="1" customWidth="1"/>
    <col min="4890" max="4890" width="9" style="270"/>
    <col min="4891" max="4891" width="1.375" style="270" customWidth="1"/>
    <col min="4892" max="4892" width="17.875" style="270" customWidth="1"/>
    <col min="4893" max="4893" width="19.375" style="270" customWidth="1"/>
    <col min="4894" max="4894" width="6" style="270" bestFit="1" customWidth="1"/>
    <col min="4895" max="4895" width="2.375" style="270" bestFit="1" customWidth="1"/>
    <col min="4896" max="4896" width="3.375" style="270" bestFit="1" customWidth="1"/>
    <col min="4897" max="5125" width="9" style="270"/>
    <col min="5126" max="5126" width="4.375" style="270" customWidth="1"/>
    <col min="5127" max="5127" width="20.375" style="270" customWidth="1"/>
    <col min="5128" max="5128" width="23" style="270" customWidth="1"/>
    <col min="5129" max="5129" width="6" style="270" bestFit="1" customWidth="1"/>
    <col min="5130" max="5131" width="3.375" style="270" bestFit="1" customWidth="1"/>
    <col min="5132" max="5132" width="9" style="270"/>
    <col min="5133" max="5133" width="1.375" style="270" customWidth="1"/>
    <col min="5134" max="5134" width="14.375" style="270" customWidth="1"/>
    <col min="5135" max="5135" width="21.375" style="270" customWidth="1"/>
    <col min="5136" max="5136" width="6" style="270" bestFit="1" customWidth="1"/>
    <col min="5137" max="5137" width="5" style="270" bestFit="1" customWidth="1"/>
    <col min="5138" max="5138" width="3.375" style="270" bestFit="1" customWidth="1"/>
    <col min="5139" max="5139" width="9" style="270"/>
    <col min="5140" max="5140" width="0.375" style="270" customWidth="1"/>
    <col min="5141" max="5141" width="16.375" style="270" customWidth="1"/>
    <col min="5142" max="5142" width="24.375" style="270" customWidth="1"/>
    <col min="5143" max="5143" width="6" style="270" bestFit="1" customWidth="1"/>
    <col min="5144" max="5144" width="2.375" style="270" bestFit="1" customWidth="1"/>
    <col min="5145" max="5145" width="3.375" style="270" bestFit="1" customWidth="1"/>
    <col min="5146" max="5146" width="9" style="270"/>
    <col min="5147" max="5147" width="1.375" style="270" customWidth="1"/>
    <col min="5148" max="5148" width="17.875" style="270" customWidth="1"/>
    <col min="5149" max="5149" width="19.375" style="270" customWidth="1"/>
    <col min="5150" max="5150" width="6" style="270" bestFit="1" customWidth="1"/>
    <col min="5151" max="5151" width="2.375" style="270" bestFit="1" customWidth="1"/>
    <col min="5152" max="5152" width="3.375" style="270" bestFit="1" customWidth="1"/>
    <col min="5153" max="5381" width="9" style="270"/>
    <col min="5382" max="5382" width="4.375" style="270" customWidth="1"/>
    <col min="5383" max="5383" width="20.375" style="270" customWidth="1"/>
    <col min="5384" max="5384" width="23" style="270" customWidth="1"/>
    <col min="5385" max="5385" width="6" style="270" bestFit="1" customWidth="1"/>
    <col min="5386" max="5387" width="3.375" style="270" bestFit="1" customWidth="1"/>
    <col min="5388" max="5388" width="9" style="270"/>
    <col min="5389" max="5389" width="1.375" style="270" customWidth="1"/>
    <col min="5390" max="5390" width="14.375" style="270" customWidth="1"/>
    <col min="5391" max="5391" width="21.375" style="270" customWidth="1"/>
    <col min="5392" max="5392" width="6" style="270" bestFit="1" customWidth="1"/>
    <col min="5393" max="5393" width="5" style="270" bestFit="1" customWidth="1"/>
    <col min="5394" max="5394" width="3.375" style="270" bestFit="1" customWidth="1"/>
    <col min="5395" max="5395" width="9" style="270"/>
    <col min="5396" max="5396" width="0.375" style="270" customWidth="1"/>
    <col min="5397" max="5397" width="16.375" style="270" customWidth="1"/>
    <col min="5398" max="5398" width="24.375" style="270" customWidth="1"/>
    <col min="5399" max="5399" width="6" style="270" bestFit="1" customWidth="1"/>
    <col min="5400" max="5400" width="2.375" style="270" bestFit="1" customWidth="1"/>
    <col min="5401" max="5401" width="3.375" style="270" bestFit="1" customWidth="1"/>
    <col min="5402" max="5402" width="9" style="270"/>
    <col min="5403" max="5403" width="1.375" style="270" customWidth="1"/>
    <col min="5404" max="5404" width="17.875" style="270" customWidth="1"/>
    <col min="5405" max="5405" width="19.375" style="270" customWidth="1"/>
    <col min="5406" max="5406" width="6" style="270" bestFit="1" customWidth="1"/>
    <col min="5407" max="5407" width="2.375" style="270" bestFit="1" customWidth="1"/>
    <col min="5408" max="5408" width="3.375" style="270" bestFit="1" customWidth="1"/>
    <col min="5409" max="5637" width="9" style="270"/>
    <col min="5638" max="5638" width="4.375" style="270" customWidth="1"/>
    <col min="5639" max="5639" width="20.375" style="270" customWidth="1"/>
    <col min="5640" max="5640" width="23" style="270" customWidth="1"/>
    <col min="5641" max="5641" width="6" style="270" bestFit="1" customWidth="1"/>
    <col min="5642" max="5643" width="3.375" style="270" bestFit="1" customWidth="1"/>
    <col min="5644" max="5644" width="9" style="270"/>
    <col min="5645" max="5645" width="1.375" style="270" customWidth="1"/>
    <col min="5646" max="5646" width="14.375" style="270" customWidth="1"/>
    <col min="5647" max="5647" width="21.375" style="270" customWidth="1"/>
    <col min="5648" max="5648" width="6" style="270" bestFit="1" customWidth="1"/>
    <col min="5649" max="5649" width="5" style="270" bestFit="1" customWidth="1"/>
    <col min="5650" max="5650" width="3.375" style="270" bestFit="1" customWidth="1"/>
    <col min="5651" max="5651" width="9" style="270"/>
    <col min="5652" max="5652" width="0.375" style="270" customWidth="1"/>
    <col min="5653" max="5653" width="16.375" style="270" customWidth="1"/>
    <col min="5654" max="5654" width="24.375" style="270" customWidth="1"/>
    <col min="5655" max="5655" width="6" style="270" bestFit="1" customWidth="1"/>
    <col min="5656" max="5656" width="2.375" style="270" bestFit="1" customWidth="1"/>
    <col min="5657" max="5657" width="3.375" style="270" bestFit="1" customWidth="1"/>
    <col min="5658" max="5658" width="9" style="270"/>
    <col min="5659" max="5659" width="1.375" style="270" customWidth="1"/>
    <col min="5660" max="5660" width="17.875" style="270" customWidth="1"/>
    <col min="5661" max="5661" width="19.375" style="270" customWidth="1"/>
    <col min="5662" max="5662" width="6" style="270" bestFit="1" customWidth="1"/>
    <col min="5663" max="5663" width="2.375" style="270" bestFit="1" customWidth="1"/>
    <col min="5664" max="5664" width="3.375" style="270" bestFit="1" customWidth="1"/>
    <col min="5665" max="5893" width="9" style="270"/>
    <col min="5894" max="5894" width="4.375" style="270" customWidth="1"/>
    <col min="5895" max="5895" width="20.375" style="270" customWidth="1"/>
    <col min="5896" max="5896" width="23" style="270" customWidth="1"/>
    <col min="5897" max="5897" width="6" style="270" bestFit="1" customWidth="1"/>
    <col min="5898" max="5899" width="3.375" style="270" bestFit="1" customWidth="1"/>
    <col min="5900" max="5900" width="9" style="270"/>
    <col min="5901" max="5901" width="1.375" style="270" customWidth="1"/>
    <col min="5902" max="5902" width="14.375" style="270" customWidth="1"/>
    <col min="5903" max="5903" width="21.375" style="270" customWidth="1"/>
    <col min="5904" max="5904" width="6" style="270" bestFit="1" customWidth="1"/>
    <col min="5905" max="5905" width="5" style="270" bestFit="1" customWidth="1"/>
    <col min="5906" max="5906" width="3.375" style="270" bestFit="1" customWidth="1"/>
    <col min="5907" max="5907" width="9" style="270"/>
    <col min="5908" max="5908" width="0.375" style="270" customWidth="1"/>
    <col min="5909" max="5909" width="16.375" style="270" customWidth="1"/>
    <col min="5910" max="5910" width="24.375" style="270" customWidth="1"/>
    <col min="5911" max="5911" width="6" style="270" bestFit="1" customWidth="1"/>
    <col min="5912" max="5912" width="2.375" style="270" bestFit="1" customWidth="1"/>
    <col min="5913" max="5913" width="3.375" style="270" bestFit="1" customWidth="1"/>
    <col min="5914" max="5914" width="9" style="270"/>
    <col min="5915" max="5915" width="1.375" style="270" customWidth="1"/>
    <col min="5916" max="5916" width="17.875" style="270" customWidth="1"/>
    <col min="5917" max="5917" width="19.375" style="270" customWidth="1"/>
    <col min="5918" max="5918" width="6" style="270" bestFit="1" customWidth="1"/>
    <col min="5919" max="5919" width="2.375" style="270" bestFit="1" customWidth="1"/>
    <col min="5920" max="5920" width="3.375" style="270" bestFit="1" customWidth="1"/>
    <col min="5921" max="6149" width="9" style="270"/>
    <col min="6150" max="6150" width="4.375" style="270" customWidth="1"/>
    <col min="6151" max="6151" width="20.375" style="270" customWidth="1"/>
    <col min="6152" max="6152" width="23" style="270" customWidth="1"/>
    <col min="6153" max="6153" width="6" style="270" bestFit="1" customWidth="1"/>
    <col min="6154" max="6155" width="3.375" style="270" bestFit="1" customWidth="1"/>
    <col min="6156" max="6156" width="9" style="270"/>
    <col min="6157" max="6157" width="1.375" style="270" customWidth="1"/>
    <col min="6158" max="6158" width="14.375" style="270" customWidth="1"/>
    <col min="6159" max="6159" width="21.375" style="270" customWidth="1"/>
    <col min="6160" max="6160" width="6" style="270" bestFit="1" customWidth="1"/>
    <col min="6161" max="6161" width="5" style="270" bestFit="1" customWidth="1"/>
    <col min="6162" max="6162" width="3.375" style="270" bestFit="1" customWidth="1"/>
    <col min="6163" max="6163" width="9" style="270"/>
    <col min="6164" max="6164" width="0.375" style="270" customWidth="1"/>
    <col min="6165" max="6165" width="16.375" style="270" customWidth="1"/>
    <col min="6166" max="6166" width="24.375" style="270" customWidth="1"/>
    <col min="6167" max="6167" width="6" style="270" bestFit="1" customWidth="1"/>
    <col min="6168" max="6168" width="2.375" style="270" bestFit="1" customWidth="1"/>
    <col min="6169" max="6169" width="3.375" style="270" bestFit="1" customWidth="1"/>
    <col min="6170" max="6170" width="9" style="270"/>
    <col min="6171" max="6171" width="1.375" style="270" customWidth="1"/>
    <col min="6172" max="6172" width="17.875" style="270" customWidth="1"/>
    <col min="6173" max="6173" width="19.375" style="270" customWidth="1"/>
    <col min="6174" max="6174" width="6" style="270" bestFit="1" customWidth="1"/>
    <col min="6175" max="6175" width="2.375" style="270" bestFit="1" customWidth="1"/>
    <col min="6176" max="6176" width="3.375" style="270" bestFit="1" customWidth="1"/>
    <col min="6177" max="6405" width="9" style="270"/>
    <col min="6406" max="6406" width="4.375" style="270" customWidth="1"/>
    <col min="6407" max="6407" width="20.375" style="270" customWidth="1"/>
    <col min="6408" max="6408" width="23" style="270" customWidth="1"/>
    <col min="6409" max="6409" width="6" style="270" bestFit="1" customWidth="1"/>
    <col min="6410" max="6411" width="3.375" style="270" bestFit="1" customWidth="1"/>
    <col min="6412" max="6412" width="9" style="270"/>
    <col min="6413" max="6413" width="1.375" style="270" customWidth="1"/>
    <col min="6414" max="6414" width="14.375" style="270" customWidth="1"/>
    <col min="6415" max="6415" width="21.375" style="270" customWidth="1"/>
    <col min="6416" max="6416" width="6" style="270" bestFit="1" customWidth="1"/>
    <col min="6417" max="6417" width="5" style="270" bestFit="1" customWidth="1"/>
    <col min="6418" max="6418" width="3.375" style="270" bestFit="1" customWidth="1"/>
    <col min="6419" max="6419" width="9" style="270"/>
    <col min="6420" max="6420" width="0.375" style="270" customWidth="1"/>
    <col min="6421" max="6421" width="16.375" style="270" customWidth="1"/>
    <col min="6422" max="6422" width="24.375" style="270" customWidth="1"/>
    <col min="6423" max="6423" width="6" style="270" bestFit="1" customWidth="1"/>
    <col min="6424" max="6424" width="2.375" style="270" bestFit="1" customWidth="1"/>
    <col min="6425" max="6425" width="3.375" style="270" bestFit="1" customWidth="1"/>
    <col min="6426" max="6426" width="9" style="270"/>
    <col min="6427" max="6427" width="1.375" style="270" customWidth="1"/>
    <col min="6428" max="6428" width="17.875" style="270" customWidth="1"/>
    <col min="6429" max="6429" width="19.375" style="270" customWidth="1"/>
    <col min="6430" max="6430" width="6" style="270" bestFit="1" customWidth="1"/>
    <col min="6431" max="6431" width="2.375" style="270" bestFit="1" customWidth="1"/>
    <col min="6432" max="6432" width="3.375" style="270" bestFit="1" customWidth="1"/>
    <col min="6433" max="6661" width="9" style="270"/>
    <col min="6662" max="6662" width="4.375" style="270" customWidth="1"/>
    <col min="6663" max="6663" width="20.375" style="270" customWidth="1"/>
    <col min="6664" max="6664" width="23" style="270" customWidth="1"/>
    <col min="6665" max="6665" width="6" style="270" bestFit="1" customWidth="1"/>
    <col min="6666" max="6667" width="3.375" style="270" bestFit="1" customWidth="1"/>
    <col min="6668" max="6668" width="9" style="270"/>
    <col min="6669" max="6669" width="1.375" style="270" customWidth="1"/>
    <col min="6670" max="6670" width="14.375" style="270" customWidth="1"/>
    <col min="6671" max="6671" width="21.375" style="270" customWidth="1"/>
    <col min="6672" max="6672" width="6" style="270" bestFit="1" customWidth="1"/>
    <col min="6673" max="6673" width="5" style="270" bestFit="1" customWidth="1"/>
    <col min="6674" max="6674" width="3.375" style="270" bestFit="1" customWidth="1"/>
    <col min="6675" max="6675" width="9" style="270"/>
    <col min="6676" max="6676" width="0.375" style="270" customWidth="1"/>
    <col min="6677" max="6677" width="16.375" style="270" customWidth="1"/>
    <col min="6678" max="6678" width="24.375" style="270" customWidth="1"/>
    <col min="6679" max="6679" width="6" style="270" bestFit="1" customWidth="1"/>
    <col min="6680" max="6680" width="2.375" style="270" bestFit="1" customWidth="1"/>
    <col min="6681" max="6681" width="3.375" style="270" bestFit="1" customWidth="1"/>
    <col min="6682" max="6682" width="9" style="270"/>
    <col min="6683" max="6683" width="1.375" style="270" customWidth="1"/>
    <col min="6684" max="6684" width="17.875" style="270" customWidth="1"/>
    <col min="6685" max="6685" width="19.375" style="270" customWidth="1"/>
    <col min="6686" max="6686" width="6" style="270" bestFit="1" customWidth="1"/>
    <col min="6687" max="6687" width="2.375" style="270" bestFit="1" customWidth="1"/>
    <col min="6688" max="6688" width="3.375" style="270" bestFit="1" customWidth="1"/>
    <col min="6689" max="6917" width="9" style="270"/>
    <col min="6918" max="6918" width="4.375" style="270" customWidth="1"/>
    <col min="6919" max="6919" width="20.375" style="270" customWidth="1"/>
    <col min="6920" max="6920" width="23" style="270" customWidth="1"/>
    <col min="6921" max="6921" width="6" style="270" bestFit="1" customWidth="1"/>
    <col min="6922" max="6923" width="3.375" style="270" bestFit="1" customWidth="1"/>
    <col min="6924" max="6924" width="9" style="270"/>
    <col min="6925" max="6925" width="1.375" style="270" customWidth="1"/>
    <col min="6926" max="6926" width="14.375" style="270" customWidth="1"/>
    <col min="6927" max="6927" width="21.375" style="270" customWidth="1"/>
    <col min="6928" max="6928" width="6" style="270" bestFit="1" customWidth="1"/>
    <col min="6929" max="6929" width="5" style="270" bestFit="1" customWidth="1"/>
    <col min="6930" max="6930" width="3.375" style="270" bestFit="1" customWidth="1"/>
    <col min="6931" max="6931" width="9" style="270"/>
    <col min="6932" max="6932" width="0.375" style="270" customWidth="1"/>
    <col min="6933" max="6933" width="16.375" style="270" customWidth="1"/>
    <col min="6934" max="6934" width="24.375" style="270" customWidth="1"/>
    <col min="6935" max="6935" width="6" style="270" bestFit="1" customWidth="1"/>
    <col min="6936" max="6936" width="2.375" style="270" bestFit="1" customWidth="1"/>
    <col min="6937" max="6937" width="3.375" style="270" bestFit="1" customWidth="1"/>
    <col min="6938" max="6938" width="9" style="270"/>
    <col min="6939" max="6939" width="1.375" style="270" customWidth="1"/>
    <col min="6940" max="6940" width="17.875" style="270" customWidth="1"/>
    <col min="6941" max="6941" width="19.375" style="270" customWidth="1"/>
    <col min="6942" max="6942" width="6" style="270" bestFit="1" customWidth="1"/>
    <col min="6943" max="6943" width="2.375" style="270" bestFit="1" customWidth="1"/>
    <col min="6944" max="6944" width="3.375" style="270" bestFit="1" customWidth="1"/>
    <col min="6945" max="7173" width="9" style="270"/>
    <col min="7174" max="7174" width="4.375" style="270" customWidth="1"/>
    <col min="7175" max="7175" width="20.375" style="270" customWidth="1"/>
    <col min="7176" max="7176" width="23" style="270" customWidth="1"/>
    <col min="7177" max="7177" width="6" style="270" bestFit="1" customWidth="1"/>
    <col min="7178" max="7179" width="3.375" style="270" bestFit="1" customWidth="1"/>
    <col min="7180" max="7180" width="9" style="270"/>
    <col min="7181" max="7181" width="1.375" style="270" customWidth="1"/>
    <col min="7182" max="7182" width="14.375" style="270" customWidth="1"/>
    <col min="7183" max="7183" width="21.375" style="270" customWidth="1"/>
    <col min="7184" max="7184" width="6" style="270" bestFit="1" customWidth="1"/>
    <col min="7185" max="7185" width="5" style="270" bestFit="1" customWidth="1"/>
    <col min="7186" max="7186" width="3.375" style="270" bestFit="1" customWidth="1"/>
    <col min="7187" max="7187" width="9" style="270"/>
    <col min="7188" max="7188" width="0.375" style="270" customWidth="1"/>
    <col min="7189" max="7189" width="16.375" style="270" customWidth="1"/>
    <col min="7190" max="7190" width="24.375" style="270" customWidth="1"/>
    <col min="7191" max="7191" width="6" style="270" bestFit="1" customWidth="1"/>
    <col min="7192" max="7192" width="2.375" style="270" bestFit="1" customWidth="1"/>
    <col min="7193" max="7193" width="3.375" style="270" bestFit="1" customWidth="1"/>
    <col min="7194" max="7194" width="9" style="270"/>
    <col min="7195" max="7195" width="1.375" style="270" customWidth="1"/>
    <col min="7196" max="7196" width="17.875" style="270" customWidth="1"/>
    <col min="7197" max="7197" width="19.375" style="270" customWidth="1"/>
    <col min="7198" max="7198" width="6" style="270" bestFit="1" customWidth="1"/>
    <col min="7199" max="7199" width="2.375" style="270" bestFit="1" customWidth="1"/>
    <col min="7200" max="7200" width="3.375" style="270" bestFit="1" customWidth="1"/>
    <col min="7201" max="7429" width="9" style="270"/>
    <col min="7430" max="7430" width="4.375" style="270" customWidth="1"/>
    <col min="7431" max="7431" width="20.375" style="270" customWidth="1"/>
    <col min="7432" max="7432" width="23" style="270" customWidth="1"/>
    <col min="7433" max="7433" width="6" style="270" bestFit="1" customWidth="1"/>
    <col min="7434" max="7435" width="3.375" style="270" bestFit="1" customWidth="1"/>
    <col min="7436" max="7436" width="9" style="270"/>
    <col min="7437" max="7437" width="1.375" style="270" customWidth="1"/>
    <col min="7438" max="7438" width="14.375" style="270" customWidth="1"/>
    <col min="7439" max="7439" width="21.375" style="270" customWidth="1"/>
    <col min="7440" max="7440" width="6" style="270" bestFit="1" customWidth="1"/>
    <col min="7441" max="7441" width="5" style="270" bestFit="1" customWidth="1"/>
    <col min="7442" max="7442" width="3.375" style="270" bestFit="1" customWidth="1"/>
    <col min="7443" max="7443" width="9" style="270"/>
    <col min="7444" max="7444" width="0.375" style="270" customWidth="1"/>
    <col min="7445" max="7445" width="16.375" style="270" customWidth="1"/>
    <col min="7446" max="7446" width="24.375" style="270" customWidth="1"/>
    <col min="7447" max="7447" width="6" style="270" bestFit="1" customWidth="1"/>
    <col min="7448" max="7448" width="2.375" style="270" bestFit="1" customWidth="1"/>
    <col min="7449" max="7449" width="3.375" style="270" bestFit="1" customWidth="1"/>
    <col min="7450" max="7450" width="9" style="270"/>
    <col min="7451" max="7451" width="1.375" style="270" customWidth="1"/>
    <col min="7452" max="7452" width="17.875" style="270" customWidth="1"/>
    <col min="7453" max="7453" width="19.375" style="270" customWidth="1"/>
    <col min="7454" max="7454" width="6" style="270" bestFit="1" customWidth="1"/>
    <col min="7455" max="7455" width="2.375" style="270" bestFit="1" customWidth="1"/>
    <col min="7456" max="7456" width="3.375" style="270" bestFit="1" customWidth="1"/>
    <col min="7457" max="7685" width="9" style="270"/>
    <col min="7686" max="7686" width="4.375" style="270" customWidth="1"/>
    <col min="7687" max="7687" width="20.375" style="270" customWidth="1"/>
    <col min="7688" max="7688" width="23" style="270" customWidth="1"/>
    <col min="7689" max="7689" width="6" style="270" bestFit="1" customWidth="1"/>
    <col min="7690" max="7691" width="3.375" style="270" bestFit="1" customWidth="1"/>
    <col min="7692" max="7692" width="9" style="270"/>
    <col min="7693" max="7693" width="1.375" style="270" customWidth="1"/>
    <col min="7694" max="7694" width="14.375" style="270" customWidth="1"/>
    <col min="7695" max="7695" width="21.375" style="270" customWidth="1"/>
    <col min="7696" max="7696" width="6" style="270" bestFit="1" customWidth="1"/>
    <col min="7697" max="7697" width="5" style="270" bestFit="1" customWidth="1"/>
    <col min="7698" max="7698" width="3.375" style="270" bestFit="1" customWidth="1"/>
    <col min="7699" max="7699" width="9" style="270"/>
    <col min="7700" max="7700" width="0.375" style="270" customWidth="1"/>
    <col min="7701" max="7701" width="16.375" style="270" customWidth="1"/>
    <col min="7702" max="7702" width="24.375" style="270" customWidth="1"/>
    <col min="7703" max="7703" width="6" style="270" bestFit="1" customWidth="1"/>
    <col min="7704" max="7704" width="2.375" style="270" bestFit="1" customWidth="1"/>
    <col min="7705" max="7705" width="3.375" style="270" bestFit="1" customWidth="1"/>
    <col min="7706" max="7706" width="9" style="270"/>
    <col min="7707" max="7707" width="1.375" style="270" customWidth="1"/>
    <col min="7708" max="7708" width="17.875" style="270" customWidth="1"/>
    <col min="7709" max="7709" width="19.375" style="270" customWidth="1"/>
    <col min="7710" max="7710" width="6" style="270" bestFit="1" customWidth="1"/>
    <col min="7711" max="7711" width="2.375" style="270" bestFit="1" customWidth="1"/>
    <col min="7712" max="7712" width="3.375" style="270" bestFit="1" customWidth="1"/>
    <col min="7713" max="7941" width="9" style="270"/>
    <col min="7942" max="7942" width="4.375" style="270" customWidth="1"/>
    <col min="7943" max="7943" width="20.375" style="270" customWidth="1"/>
    <col min="7944" max="7944" width="23" style="270" customWidth="1"/>
    <col min="7945" max="7945" width="6" style="270" bestFit="1" customWidth="1"/>
    <col min="7946" max="7947" width="3.375" style="270" bestFit="1" customWidth="1"/>
    <col min="7948" max="7948" width="9" style="270"/>
    <col min="7949" max="7949" width="1.375" style="270" customWidth="1"/>
    <col min="7950" max="7950" width="14.375" style="270" customWidth="1"/>
    <col min="7951" max="7951" width="21.375" style="270" customWidth="1"/>
    <col min="7952" max="7952" width="6" style="270" bestFit="1" customWidth="1"/>
    <col min="7953" max="7953" width="5" style="270" bestFit="1" customWidth="1"/>
    <col min="7954" max="7954" width="3.375" style="270" bestFit="1" customWidth="1"/>
    <col min="7955" max="7955" width="9" style="270"/>
    <col min="7956" max="7956" width="0.375" style="270" customWidth="1"/>
    <col min="7957" max="7957" width="16.375" style="270" customWidth="1"/>
    <col min="7958" max="7958" width="24.375" style="270" customWidth="1"/>
    <col min="7959" max="7959" width="6" style="270" bestFit="1" customWidth="1"/>
    <col min="7960" max="7960" width="2.375" style="270" bestFit="1" customWidth="1"/>
    <col min="7961" max="7961" width="3.375" style="270" bestFit="1" customWidth="1"/>
    <col min="7962" max="7962" width="9" style="270"/>
    <col min="7963" max="7963" width="1.375" style="270" customWidth="1"/>
    <col min="7964" max="7964" width="17.875" style="270" customWidth="1"/>
    <col min="7965" max="7965" width="19.375" style="270" customWidth="1"/>
    <col min="7966" max="7966" width="6" style="270" bestFit="1" customWidth="1"/>
    <col min="7967" max="7967" width="2.375" style="270" bestFit="1" customWidth="1"/>
    <col min="7968" max="7968" width="3.375" style="270" bestFit="1" customWidth="1"/>
    <col min="7969" max="8197" width="9" style="270"/>
    <col min="8198" max="8198" width="4.375" style="270" customWidth="1"/>
    <col min="8199" max="8199" width="20.375" style="270" customWidth="1"/>
    <col min="8200" max="8200" width="23" style="270" customWidth="1"/>
    <col min="8201" max="8201" width="6" style="270" bestFit="1" customWidth="1"/>
    <col min="8202" max="8203" width="3.375" style="270" bestFit="1" customWidth="1"/>
    <col min="8204" max="8204" width="9" style="270"/>
    <col min="8205" max="8205" width="1.375" style="270" customWidth="1"/>
    <col min="8206" max="8206" width="14.375" style="270" customWidth="1"/>
    <col min="8207" max="8207" width="21.375" style="270" customWidth="1"/>
    <col min="8208" max="8208" width="6" style="270" bestFit="1" customWidth="1"/>
    <col min="8209" max="8209" width="5" style="270" bestFit="1" customWidth="1"/>
    <col min="8210" max="8210" width="3.375" style="270" bestFit="1" customWidth="1"/>
    <col min="8211" max="8211" width="9" style="270"/>
    <col min="8212" max="8212" width="0.375" style="270" customWidth="1"/>
    <col min="8213" max="8213" width="16.375" style="270" customWidth="1"/>
    <col min="8214" max="8214" width="24.375" style="270" customWidth="1"/>
    <col min="8215" max="8215" width="6" style="270" bestFit="1" customWidth="1"/>
    <col min="8216" max="8216" width="2.375" style="270" bestFit="1" customWidth="1"/>
    <col min="8217" max="8217" width="3.375" style="270" bestFit="1" customWidth="1"/>
    <col min="8218" max="8218" width="9" style="270"/>
    <col min="8219" max="8219" width="1.375" style="270" customWidth="1"/>
    <col min="8220" max="8220" width="17.875" style="270" customWidth="1"/>
    <col min="8221" max="8221" width="19.375" style="270" customWidth="1"/>
    <col min="8222" max="8222" width="6" style="270" bestFit="1" customWidth="1"/>
    <col min="8223" max="8223" width="2.375" style="270" bestFit="1" customWidth="1"/>
    <col min="8224" max="8224" width="3.375" style="270" bestFit="1" customWidth="1"/>
    <col min="8225" max="8453" width="9" style="270"/>
    <col min="8454" max="8454" width="4.375" style="270" customWidth="1"/>
    <col min="8455" max="8455" width="20.375" style="270" customWidth="1"/>
    <col min="8456" max="8456" width="23" style="270" customWidth="1"/>
    <col min="8457" max="8457" width="6" style="270" bestFit="1" customWidth="1"/>
    <col min="8458" max="8459" width="3.375" style="270" bestFit="1" customWidth="1"/>
    <col min="8460" max="8460" width="9" style="270"/>
    <col min="8461" max="8461" width="1.375" style="270" customWidth="1"/>
    <col min="8462" max="8462" width="14.375" style="270" customWidth="1"/>
    <col min="8463" max="8463" width="21.375" style="270" customWidth="1"/>
    <col min="8464" max="8464" width="6" style="270" bestFit="1" customWidth="1"/>
    <col min="8465" max="8465" width="5" style="270" bestFit="1" customWidth="1"/>
    <col min="8466" max="8466" width="3.375" style="270" bestFit="1" customWidth="1"/>
    <col min="8467" max="8467" width="9" style="270"/>
    <col min="8468" max="8468" width="0.375" style="270" customWidth="1"/>
    <col min="8469" max="8469" width="16.375" style="270" customWidth="1"/>
    <col min="8470" max="8470" width="24.375" style="270" customWidth="1"/>
    <col min="8471" max="8471" width="6" style="270" bestFit="1" customWidth="1"/>
    <col min="8472" max="8472" width="2.375" style="270" bestFit="1" customWidth="1"/>
    <col min="8473" max="8473" width="3.375" style="270" bestFit="1" customWidth="1"/>
    <col min="8474" max="8474" width="9" style="270"/>
    <col min="8475" max="8475" width="1.375" style="270" customWidth="1"/>
    <col min="8476" max="8476" width="17.875" style="270" customWidth="1"/>
    <col min="8477" max="8477" width="19.375" style="270" customWidth="1"/>
    <col min="8478" max="8478" width="6" style="270" bestFit="1" customWidth="1"/>
    <col min="8479" max="8479" width="2.375" style="270" bestFit="1" customWidth="1"/>
    <col min="8480" max="8480" width="3.375" style="270" bestFit="1" customWidth="1"/>
    <col min="8481" max="8709" width="9" style="270"/>
    <col min="8710" max="8710" width="4.375" style="270" customWidth="1"/>
    <col min="8711" max="8711" width="20.375" style="270" customWidth="1"/>
    <col min="8712" max="8712" width="23" style="270" customWidth="1"/>
    <col min="8713" max="8713" width="6" style="270" bestFit="1" customWidth="1"/>
    <col min="8714" max="8715" width="3.375" style="270" bestFit="1" customWidth="1"/>
    <col min="8716" max="8716" width="9" style="270"/>
    <col min="8717" max="8717" width="1.375" style="270" customWidth="1"/>
    <col min="8718" max="8718" width="14.375" style="270" customWidth="1"/>
    <col min="8719" max="8719" width="21.375" style="270" customWidth="1"/>
    <col min="8720" max="8720" width="6" style="270" bestFit="1" customWidth="1"/>
    <col min="8721" max="8721" width="5" style="270" bestFit="1" customWidth="1"/>
    <col min="8722" max="8722" width="3.375" style="270" bestFit="1" customWidth="1"/>
    <col min="8723" max="8723" width="9" style="270"/>
    <col min="8724" max="8724" width="0.375" style="270" customWidth="1"/>
    <col min="8725" max="8725" width="16.375" style="270" customWidth="1"/>
    <col min="8726" max="8726" width="24.375" style="270" customWidth="1"/>
    <col min="8727" max="8727" width="6" style="270" bestFit="1" customWidth="1"/>
    <col min="8728" max="8728" width="2.375" style="270" bestFit="1" customWidth="1"/>
    <col min="8729" max="8729" width="3.375" style="270" bestFit="1" customWidth="1"/>
    <col min="8730" max="8730" width="9" style="270"/>
    <col min="8731" max="8731" width="1.375" style="270" customWidth="1"/>
    <col min="8732" max="8732" width="17.875" style="270" customWidth="1"/>
    <col min="8733" max="8733" width="19.375" style="270" customWidth="1"/>
    <col min="8734" max="8734" width="6" style="270" bestFit="1" customWidth="1"/>
    <col min="8735" max="8735" width="2.375" style="270" bestFit="1" customWidth="1"/>
    <col min="8736" max="8736" width="3.375" style="270" bestFit="1" customWidth="1"/>
    <col min="8737" max="8965" width="9" style="270"/>
    <col min="8966" max="8966" width="4.375" style="270" customWidth="1"/>
    <col min="8967" max="8967" width="20.375" style="270" customWidth="1"/>
    <col min="8968" max="8968" width="23" style="270" customWidth="1"/>
    <col min="8969" max="8969" width="6" style="270" bestFit="1" customWidth="1"/>
    <col min="8970" max="8971" width="3.375" style="270" bestFit="1" customWidth="1"/>
    <col min="8972" max="8972" width="9" style="270"/>
    <col min="8973" max="8973" width="1.375" style="270" customWidth="1"/>
    <col min="8974" max="8974" width="14.375" style="270" customWidth="1"/>
    <col min="8975" max="8975" width="21.375" style="270" customWidth="1"/>
    <col min="8976" max="8976" width="6" style="270" bestFit="1" customWidth="1"/>
    <col min="8977" max="8977" width="5" style="270" bestFit="1" customWidth="1"/>
    <col min="8978" max="8978" width="3.375" style="270" bestFit="1" customWidth="1"/>
    <col min="8979" max="8979" width="9" style="270"/>
    <col min="8980" max="8980" width="0.375" style="270" customWidth="1"/>
    <col min="8981" max="8981" width="16.375" style="270" customWidth="1"/>
    <col min="8982" max="8982" width="24.375" style="270" customWidth="1"/>
    <col min="8983" max="8983" width="6" style="270" bestFit="1" customWidth="1"/>
    <col min="8984" max="8984" width="2.375" style="270" bestFit="1" customWidth="1"/>
    <col min="8985" max="8985" width="3.375" style="270" bestFit="1" customWidth="1"/>
    <col min="8986" max="8986" width="9" style="270"/>
    <col min="8987" max="8987" width="1.375" style="270" customWidth="1"/>
    <col min="8988" max="8988" width="17.875" style="270" customWidth="1"/>
    <col min="8989" max="8989" width="19.375" style="270" customWidth="1"/>
    <col min="8990" max="8990" width="6" style="270" bestFit="1" customWidth="1"/>
    <col min="8991" max="8991" width="2.375" style="270" bestFit="1" customWidth="1"/>
    <col min="8992" max="8992" width="3.375" style="270" bestFit="1" customWidth="1"/>
    <col min="8993" max="9221" width="9" style="270"/>
    <col min="9222" max="9222" width="4.375" style="270" customWidth="1"/>
    <col min="9223" max="9223" width="20.375" style="270" customWidth="1"/>
    <col min="9224" max="9224" width="23" style="270" customWidth="1"/>
    <col min="9225" max="9225" width="6" style="270" bestFit="1" customWidth="1"/>
    <col min="9226" max="9227" width="3.375" style="270" bestFit="1" customWidth="1"/>
    <col min="9228" max="9228" width="9" style="270"/>
    <col min="9229" max="9229" width="1.375" style="270" customWidth="1"/>
    <col min="9230" max="9230" width="14.375" style="270" customWidth="1"/>
    <col min="9231" max="9231" width="21.375" style="270" customWidth="1"/>
    <col min="9232" max="9232" width="6" style="270" bestFit="1" customWidth="1"/>
    <col min="9233" max="9233" width="5" style="270" bestFit="1" customWidth="1"/>
    <col min="9234" max="9234" width="3.375" style="270" bestFit="1" customWidth="1"/>
    <col min="9235" max="9235" width="9" style="270"/>
    <col min="9236" max="9236" width="0.375" style="270" customWidth="1"/>
    <col min="9237" max="9237" width="16.375" style="270" customWidth="1"/>
    <col min="9238" max="9238" width="24.375" style="270" customWidth="1"/>
    <col min="9239" max="9239" width="6" style="270" bestFit="1" customWidth="1"/>
    <col min="9240" max="9240" width="2.375" style="270" bestFit="1" customWidth="1"/>
    <col min="9241" max="9241" width="3.375" style="270" bestFit="1" customWidth="1"/>
    <col min="9242" max="9242" width="9" style="270"/>
    <col min="9243" max="9243" width="1.375" style="270" customWidth="1"/>
    <col min="9244" max="9244" width="17.875" style="270" customWidth="1"/>
    <col min="9245" max="9245" width="19.375" style="270" customWidth="1"/>
    <col min="9246" max="9246" width="6" style="270" bestFit="1" customWidth="1"/>
    <col min="9247" max="9247" width="2.375" style="270" bestFit="1" customWidth="1"/>
    <col min="9248" max="9248" width="3.375" style="270" bestFit="1" customWidth="1"/>
    <col min="9249" max="9477" width="9" style="270"/>
    <col min="9478" max="9478" width="4.375" style="270" customWidth="1"/>
    <col min="9479" max="9479" width="20.375" style="270" customWidth="1"/>
    <col min="9480" max="9480" width="23" style="270" customWidth="1"/>
    <col min="9481" max="9481" width="6" style="270" bestFit="1" customWidth="1"/>
    <col min="9482" max="9483" width="3.375" style="270" bestFit="1" customWidth="1"/>
    <col min="9484" max="9484" width="9" style="270"/>
    <col min="9485" max="9485" width="1.375" style="270" customWidth="1"/>
    <col min="9486" max="9486" width="14.375" style="270" customWidth="1"/>
    <col min="9487" max="9487" width="21.375" style="270" customWidth="1"/>
    <col min="9488" max="9488" width="6" style="270" bestFit="1" customWidth="1"/>
    <col min="9489" max="9489" width="5" style="270" bestFit="1" customWidth="1"/>
    <col min="9490" max="9490" width="3.375" style="270" bestFit="1" customWidth="1"/>
    <col min="9491" max="9491" width="9" style="270"/>
    <col min="9492" max="9492" width="0.375" style="270" customWidth="1"/>
    <col min="9493" max="9493" width="16.375" style="270" customWidth="1"/>
    <col min="9494" max="9494" width="24.375" style="270" customWidth="1"/>
    <col min="9495" max="9495" width="6" style="270" bestFit="1" customWidth="1"/>
    <col min="9496" max="9496" width="2.375" style="270" bestFit="1" customWidth="1"/>
    <col min="9497" max="9497" width="3.375" style="270" bestFit="1" customWidth="1"/>
    <col min="9498" max="9498" width="9" style="270"/>
    <col min="9499" max="9499" width="1.375" style="270" customWidth="1"/>
    <col min="9500" max="9500" width="17.875" style="270" customWidth="1"/>
    <col min="9501" max="9501" width="19.375" style="270" customWidth="1"/>
    <col min="9502" max="9502" width="6" style="270" bestFit="1" customWidth="1"/>
    <col min="9503" max="9503" width="2.375" style="270" bestFit="1" customWidth="1"/>
    <col min="9504" max="9504" width="3.375" style="270" bestFit="1" customWidth="1"/>
    <col min="9505" max="9733" width="9" style="270"/>
    <col min="9734" max="9734" width="4.375" style="270" customWidth="1"/>
    <col min="9735" max="9735" width="20.375" style="270" customWidth="1"/>
    <col min="9736" max="9736" width="23" style="270" customWidth="1"/>
    <col min="9737" max="9737" width="6" style="270" bestFit="1" customWidth="1"/>
    <col min="9738" max="9739" width="3.375" style="270" bestFit="1" customWidth="1"/>
    <col min="9740" max="9740" width="9" style="270"/>
    <col min="9741" max="9741" width="1.375" style="270" customWidth="1"/>
    <col min="9742" max="9742" width="14.375" style="270" customWidth="1"/>
    <col min="9743" max="9743" width="21.375" style="270" customWidth="1"/>
    <col min="9744" max="9744" width="6" style="270" bestFit="1" customWidth="1"/>
    <col min="9745" max="9745" width="5" style="270" bestFit="1" customWidth="1"/>
    <col min="9746" max="9746" width="3.375" style="270" bestFit="1" customWidth="1"/>
    <col min="9747" max="9747" width="9" style="270"/>
    <col min="9748" max="9748" width="0.375" style="270" customWidth="1"/>
    <col min="9749" max="9749" width="16.375" style="270" customWidth="1"/>
    <col min="9750" max="9750" width="24.375" style="270" customWidth="1"/>
    <col min="9751" max="9751" width="6" style="270" bestFit="1" customWidth="1"/>
    <col min="9752" max="9752" width="2.375" style="270" bestFit="1" customWidth="1"/>
    <col min="9753" max="9753" width="3.375" style="270" bestFit="1" customWidth="1"/>
    <col min="9754" max="9754" width="9" style="270"/>
    <col min="9755" max="9755" width="1.375" style="270" customWidth="1"/>
    <col min="9756" max="9756" width="17.875" style="270" customWidth="1"/>
    <col min="9757" max="9757" width="19.375" style="270" customWidth="1"/>
    <col min="9758" max="9758" width="6" style="270" bestFit="1" customWidth="1"/>
    <col min="9759" max="9759" width="2.375" style="270" bestFit="1" customWidth="1"/>
    <col min="9760" max="9760" width="3.375" style="270" bestFit="1" customWidth="1"/>
    <col min="9761" max="9989" width="9" style="270"/>
    <col min="9990" max="9990" width="4.375" style="270" customWidth="1"/>
    <col min="9991" max="9991" width="20.375" style="270" customWidth="1"/>
    <col min="9992" max="9992" width="23" style="270" customWidth="1"/>
    <col min="9993" max="9993" width="6" style="270" bestFit="1" customWidth="1"/>
    <col min="9994" max="9995" width="3.375" style="270" bestFit="1" customWidth="1"/>
    <col min="9996" max="9996" width="9" style="270"/>
    <col min="9997" max="9997" width="1.375" style="270" customWidth="1"/>
    <col min="9998" max="9998" width="14.375" style="270" customWidth="1"/>
    <col min="9999" max="9999" width="21.375" style="270" customWidth="1"/>
    <col min="10000" max="10000" width="6" style="270" bestFit="1" customWidth="1"/>
    <col min="10001" max="10001" width="5" style="270" bestFit="1" customWidth="1"/>
    <col min="10002" max="10002" width="3.375" style="270" bestFit="1" customWidth="1"/>
    <col min="10003" max="10003" width="9" style="270"/>
    <col min="10004" max="10004" width="0.375" style="270" customWidth="1"/>
    <col min="10005" max="10005" width="16.375" style="270" customWidth="1"/>
    <col min="10006" max="10006" width="24.375" style="270" customWidth="1"/>
    <col min="10007" max="10007" width="6" style="270" bestFit="1" customWidth="1"/>
    <col min="10008" max="10008" width="2.375" style="270" bestFit="1" customWidth="1"/>
    <col min="10009" max="10009" width="3.375" style="270" bestFit="1" customWidth="1"/>
    <col min="10010" max="10010" width="9" style="270"/>
    <col min="10011" max="10011" width="1.375" style="270" customWidth="1"/>
    <col min="10012" max="10012" width="17.875" style="270" customWidth="1"/>
    <col min="10013" max="10013" width="19.375" style="270" customWidth="1"/>
    <col min="10014" max="10014" width="6" style="270" bestFit="1" customWidth="1"/>
    <col min="10015" max="10015" width="2.375" style="270" bestFit="1" customWidth="1"/>
    <col min="10016" max="10016" width="3.375" style="270" bestFit="1" customWidth="1"/>
    <col min="10017" max="10245" width="9" style="270"/>
    <col min="10246" max="10246" width="4.375" style="270" customWidth="1"/>
    <col min="10247" max="10247" width="20.375" style="270" customWidth="1"/>
    <col min="10248" max="10248" width="23" style="270" customWidth="1"/>
    <col min="10249" max="10249" width="6" style="270" bestFit="1" customWidth="1"/>
    <col min="10250" max="10251" width="3.375" style="270" bestFit="1" customWidth="1"/>
    <col min="10252" max="10252" width="9" style="270"/>
    <col min="10253" max="10253" width="1.375" style="270" customWidth="1"/>
    <col min="10254" max="10254" width="14.375" style="270" customWidth="1"/>
    <col min="10255" max="10255" width="21.375" style="270" customWidth="1"/>
    <col min="10256" max="10256" width="6" style="270" bestFit="1" customWidth="1"/>
    <col min="10257" max="10257" width="5" style="270" bestFit="1" customWidth="1"/>
    <col min="10258" max="10258" width="3.375" style="270" bestFit="1" customWidth="1"/>
    <col min="10259" max="10259" width="9" style="270"/>
    <col min="10260" max="10260" width="0.375" style="270" customWidth="1"/>
    <col min="10261" max="10261" width="16.375" style="270" customWidth="1"/>
    <col min="10262" max="10262" width="24.375" style="270" customWidth="1"/>
    <col min="10263" max="10263" width="6" style="270" bestFit="1" customWidth="1"/>
    <col min="10264" max="10264" width="2.375" style="270" bestFit="1" customWidth="1"/>
    <col min="10265" max="10265" width="3.375" style="270" bestFit="1" customWidth="1"/>
    <col min="10266" max="10266" width="9" style="270"/>
    <col min="10267" max="10267" width="1.375" style="270" customWidth="1"/>
    <col min="10268" max="10268" width="17.875" style="270" customWidth="1"/>
    <col min="10269" max="10269" width="19.375" style="270" customWidth="1"/>
    <col min="10270" max="10270" width="6" style="270" bestFit="1" customWidth="1"/>
    <col min="10271" max="10271" width="2.375" style="270" bestFit="1" customWidth="1"/>
    <col min="10272" max="10272" width="3.375" style="270" bestFit="1" customWidth="1"/>
    <col min="10273" max="10501" width="9" style="270"/>
    <col min="10502" max="10502" width="4.375" style="270" customWidth="1"/>
    <col min="10503" max="10503" width="20.375" style="270" customWidth="1"/>
    <col min="10504" max="10504" width="23" style="270" customWidth="1"/>
    <col min="10505" max="10505" width="6" style="270" bestFit="1" customWidth="1"/>
    <col min="10506" max="10507" width="3.375" style="270" bestFit="1" customWidth="1"/>
    <col min="10508" max="10508" width="9" style="270"/>
    <col min="10509" max="10509" width="1.375" style="270" customWidth="1"/>
    <col min="10510" max="10510" width="14.375" style="270" customWidth="1"/>
    <col min="10511" max="10511" width="21.375" style="270" customWidth="1"/>
    <col min="10512" max="10512" width="6" style="270" bestFit="1" customWidth="1"/>
    <col min="10513" max="10513" width="5" style="270" bestFit="1" customWidth="1"/>
    <col min="10514" max="10514" width="3.375" style="270" bestFit="1" customWidth="1"/>
    <col min="10515" max="10515" width="9" style="270"/>
    <col min="10516" max="10516" width="0.375" style="270" customWidth="1"/>
    <col min="10517" max="10517" width="16.375" style="270" customWidth="1"/>
    <col min="10518" max="10518" width="24.375" style="270" customWidth="1"/>
    <col min="10519" max="10519" width="6" style="270" bestFit="1" customWidth="1"/>
    <col min="10520" max="10520" width="2.375" style="270" bestFit="1" customWidth="1"/>
    <col min="10521" max="10521" width="3.375" style="270" bestFit="1" customWidth="1"/>
    <col min="10522" max="10522" width="9" style="270"/>
    <col min="10523" max="10523" width="1.375" style="270" customWidth="1"/>
    <col min="10524" max="10524" width="17.875" style="270" customWidth="1"/>
    <col min="10525" max="10525" width="19.375" style="270" customWidth="1"/>
    <col min="10526" max="10526" width="6" style="270" bestFit="1" customWidth="1"/>
    <col min="10527" max="10527" width="2.375" style="270" bestFit="1" customWidth="1"/>
    <col min="10528" max="10528" width="3.375" style="270" bestFit="1" customWidth="1"/>
    <col min="10529" max="10757" width="9" style="270"/>
    <col min="10758" max="10758" width="4.375" style="270" customWidth="1"/>
    <col min="10759" max="10759" width="20.375" style="270" customWidth="1"/>
    <col min="10760" max="10760" width="23" style="270" customWidth="1"/>
    <col min="10761" max="10761" width="6" style="270" bestFit="1" customWidth="1"/>
    <col min="10762" max="10763" width="3.375" style="270" bestFit="1" customWidth="1"/>
    <col min="10764" max="10764" width="9" style="270"/>
    <col min="10765" max="10765" width="1.375" style="270" customWidth="1"/>
    <col min="10766" max="10766" width="14.375" style="270" customWidth="1"/>
    <col min="10767" max="10767" width="21.375" style="270" customWidth="1"/>
    <col min="10768" max="10768" width="6" style="270" bestFit="1" customWidth="1"/>
    <col min="10769" max="10769" width="5" style="270" bestFit="1" customWidth="1"/>
    <col min="10770" max="10770" width="3.375" style="270" bestFit="1" customWidth="1"/>
    <col min="10771" max="10771" width="9" style="270"/>
    <col min="10772" max="10772" width="0.375" style="270" customWidth="1"/>
    <col min="10773" max="10773" width="16.375" style="270" customWidth="1"/>
    <col min="10774" max="10774" width="24.375" style="270" customWidth="1"/>
    <col min="10775" max="10775" width="6" style="270" bestFit="1" customWidth="1"/>
    <col min="10776" max="10776" width="2.375" style="270" bestFit="1" customWidth="1"/>
    <col min="10777" max="10777" width="3.375" style="270" bestFit="1" customWidth="1"/>
    <col min="10778" max="10778" width="9" style="270"/>
    <col min="10779" max="10779" width="1.375" style="270" customWidth="1"/>
    <col min="10780" max="10780" width="17.875" style="270" customWidth="1"/>
    <col min="10781" max="10781" width="19.375" style="270" customWidth="1"/>
    <col min="10782" max="10782" width="6" style="270" bestFit="1" customWidth="1"/>
    <col min="10783" max="10783" width="2.375" style="270" bestFit="1" customWidth="1"/>
    <col min="10784" max="10784" width="3.375" style="270" bestFit="1" customWidth="1"/>
    <col min="10785" max="11013" width="9" style="270"/>
    <col min="11014" max="11014" width="4.375" style="270" customWidth="1"/>
    <col min="11015" max="11015" width="20.375" style="270" customWidth="1"/>
    <col min="11016" max="11016" width="23" style="270" customWidth="1"/>
    <col min="11017" max="11017" width="6" style="270" bestFit="1" customWidth="1"/>
    <col min="11018" max="11019" width="3.375" style="270" bestFit="1" customWidth="1"/>
    <col min="11020" max="11020" width="9" style="270"/>
    <col min="11021" max="11021" width="1.375" style="270" customWidth="1"/>
    <col min="11022" max="11022" width="14.375" style="270" customWidth="1"/>
    <col min="11023" max="11023" width="21.375" style="270" customWidth="1"/>
    <col min="11024" max="11024" width="6" style="270" bestFit="1" customWidth="1"/>
    <col min="11025" max="11025" width="5" style="270" bestFit="1" customWidth="1"/>
    <col min="11026" max="11026" width="3.375" style="270" bestFit="1" customWidth="1"/>
    <col min="11027" max="11027" width="9" style="270"/>
    <col min="11028" max="11028" width="0.375" style="270" customWidth="1"/>
    <col min="11029" max="11029" width="16.375" style="270" customWidth="1"/>
    <col min="11030" max="11030" width="24.375" style="270" customWidth="1"/>
    <col min="11031" max="11031" width="6" style="270" bestFit="1" customWidth="1"/>
    <col min="11032" max="11032" width="2.375" style="270" bestFit="1" customWidth="1"/>
    <col min="11033" max="11033" width="3.375" style="270" bestFit="1" customWidth="1"/>
    <col min="11034" max="11034" width="9" style="270"/>
    <col min="11035" max="11035" width="1.375" style="270" customWidth="1"/>
    <col min="11036" max="11036" width="17.875" style="270" customWidth="1"/>
    <col min="11037" max="11037" width="19.375" style="270" customWidth="1"/>
    <col min="11038" max="11038" width="6" style="270" bestFit="1" customWidth="1"/>
    <col min="11039" max="11039" width="2.375" style="270" bestFit="1" customWidth="1"/>
    <col min="11040" max="11040" width="3.375" style="270" bestFit="1" customWidth="1"/>
    <col min="11041" max="11269" width="9" style="270"/>
    <col min="11270" max="11270" width="4.375" style="270" customWidth="1"/>
    <col min="11271" max="11271" width="20.375" style="270" customWidth="1"/>
    <col min="11272" max="11272" width="23" style="270" customWidth="1"/>
    <col min="11273" max="11273" width="6" style="270" bestFit="1" customWidth="1"/>
    <col min="11274" max="11275" width="3.375" style="270" bestFit="1" customWidth="1"/>
    <col min="11276" max="11276" width="9" style="270"/>
    <col min="11277" max="11277" width="1.375" style="270" customWidth="1"/>
    <col min="11278" max="11278" width="14.375" style="270" customWidth="1"/>
    <col min="11279" max="11279" width="21.375" style="270" customWidth="1"/>
    <col min="11280" max="11280" width="6" style="270" bestFit="1" customWidth="1"/>
    <col min="11281" max="11281" width="5" style="270" bestFit="1" customWidth="1"/>
    <col min="11282" max="11282" width="3.375" style="270" bestFit="1" customWidth="1"/>
    <col min="11283" max="11283" width="9" style="270"/>
    <col min="11284" max="11284" width="0.375" style="270" customWidth="1"/>
    <col min="11285" max="11285" width="16.375" style="270" customWidth="1"/>
    <col min="11286" max="11286" width="24.375" style="270" customWidth="1"/>
    <col min="11287" max="11287" width="6" style="270" bestFit="1" customWidth="1"/>
    <col min="11288" max="11288" width="2.375" style="270" bestFit="1" customWidth="1"/>
    <col min="11289" max="11289" width="3.375" style="270" bestFit="1" customWidth="1"/>
    <col min="11290" max="11290" width="9" style="270"/>
    <col min="11291" max="11291" width="1.375" style="270" customWidth="1"/>
    <col min="11292" max="11292" width="17.875" style="270" customWidth="1"/>
    <col min="11293" max="11293" width="19.375" style="270" customWidth="1"/>
    <col min="11294" max="11294" width="6" style="270" bestFit="1" customWidth="1"/>
    <col min="11295" max="11295" width="2.375" style="270" bestFit="1" customWidth="1"/>
    <col min="11296" max="11296" width="3.375" style="270" bestFit="1" customWidth="1"/>
    <col min="11297" max="11525" width="9" style="270"/>
    <col min="11526" max="11526" width="4.375" style="270" customWidth="1"/>
    <col min="11527" max="11527" width="20.375" style="270" customWidth="1"/>
    <col min="11528" max="11528" width="23" style="270" customWidth="1"/>
    <col min="11529" max="11529" width="6" style="270" bestFit="1" customWidth="1"/>
    <col min="11530" max="11531" width="3.375" style="270" bestFit="1" customWidth="1"/>
    <col min="11532" max="11532" width="9" style="270"/>
    <col min="11533" max="11533" width="1.375" style="270" customWidth="1"/>
    <col min="11534" max="11534" width="14.375" style="270" customWidth="1"/>
    <col min="11535" max="11535" width="21.375" style="270" customWidth="1"/>
    <col min="11536" max="11536" width="6" style="270" bestFit="1" customWidth="1"/>
    <col min="11537" max="11537" width="5" style="270" bestFit="1" customWidth="1"/>
    <col min="11538" max="11538" width="3.375" style="270" bestFit="1" customWidth="1"/>
    <col min="11539" max="11539" width="9" style="270"/>
    <col min="11540" max="11540" width="0.375" style="270" customWidth="1"/>
    <col min="11541" max="11541" width="16.375" style="270" customWidth="1"/>
    <col min="11542" max="11542" width="24.375" style="270" customWidth="1"/>
    <col min="11543" max="11543" width="6" style="270" bestFit="1" customWidth="1"/>
    <col min="11544" max="11544" width="2.375" style="270" bestFit="1" customWidth="1"/>
    <col min="11545" max="11545" width="3.375" style="270" bestFit="1" customWidth="1"/>
    <col min="11546" max="11546" width="9" style="270"/>
    <col min="11547" max="11547" width="1.375" style="270" customWidth="1"/>
    <col min="11548" max="11548" width="17.875" style="270" customWidth="1"/>
    <col min="11549" max="11549" width="19.375" style="270" customWidth="1"/>
    <col min="11550" max="11550" width="6" style="270" bestFit="1" customWidth="1"/>
    <col min="11551" max="11551" width="2.375" style="270" bestFit="1" customWidth="1"/>
    <col min="11552" max="11552" width="3.375" style="270" bestFit="1" customWidth="1"/>
    <col min="11553" max="11781" width="9" style="270"/>
    <col min="11782" max="11782" width="4.375" style="270" customWidth="1"/>
    <col min="11783" max="11783" width="20.375" style="270" customWidth="1"/>
    <col min="11784" max="11784" width="23" style="270" customWidth="1"/>
    <col min="11785" max="11785" width="6" style="270" bestFit="1" customWidth="1"/>
    <col min="11786" max="11787" width="3.375" style="270" bestFit="1" customWidth="1"/>
    <col min="11788" max="11788" width="9" style="270"/>
    <col min="11789" max="11789" width="1.375" style="270" customWidth="1"/>
    <col min="11790" max="11790" width="14.375" style="270" customWidth="1"/>
    <col min="11791" max="11791" width="21.375" style="270" customWidth="1"/>
    <col min="11792" max="11792" width="6" style="270" bestFit="1" customWidth="1"/>
    <col min="11793" max="11793" width="5" style="270" bestFit="1" customWidth="1"/>
    <col min="11794" max="11794" width="3.375" style="270" bestFit="1" customWidth="1"/>
    <col min="11795" max="11795" width="9" style="270"/>
    <col min="11796" max="11796" width="0.375" style="270" customWidth="1"/>
    <col min="11797" max="11797" width="16.375" style="270" customWidth="1"/>
    <col min="11798" max="11798" width="24.375" style="270" customWidth="1"/>
    <col min="11799" max="11799" width="6" style="270" bestFit="1" customWidth="1"/>
    <col min="11800" max="11800" width="2.375" style="270" bestFit="1" customWidth="1"/>
    <col min="11801" max="11801" width="3.375" style="270" bestFit="1" customWidth="1"/>
    <col min="11802" max="11802" width="9" style="270"/>
    <col min="11803" max="11803" width="1.375" style="270" customWidth="1"/>
    <col min="11804" max="11804" width="17.875" style="270" customWidth="1"/>
    <col min="11805" max="11805" width="19.375" style="270" customWidth="1"/>
    <col min="11806" max="11806" width="6" style="270" bestFit="1" customWidth="1"/>
    <col min="11807" max="11807" width="2.375" style="270" bestFit="1" customWidth="1"/>
    <col min="11808" max="11808" width="3.375" style="270" bestFit="1" customWidth="1"/>
    <col min="11809" max="12037" width="9" style="270"/>
    <col min="12038" max="12038" width="4.375" style="270" customWidth="1"/>
    <col min="12039" max="12039" width="20.375" style="270" customWidth="1"/>
    <col min="12040" max="12040" width="23" style="270" customWidth="1"/>
    <col min="12041" max="12041" width="6" style="270" bestFit="1" customWidth="1"/>
    <col min="12042" max="12043" width="3.375" style="270" bestFit="1" customWidth="1"/>
    <col min="12044" max="12044" width="9" style="270"/>
    <col min="12045" max="12045" width="1.375" style="270" customWidth="1"/>
    <col min="12046" max="12046" width="14.375" style="270" customWidth="1"/>
    <col min="12047" max="12047" width="21.375" style="270" customWidth="1"/>
    <col min="12048" max="12048" width="6" style="270" bestFit="1" customWidth="1"/>
    <col min="12049" max="12049" width="5" style="270" bestFit="1" customWidth="1"/>
    <col min="12050" max="12050" width="3.375" style="270" bestFit="1" customWidth="1"/>
    <col min="12051" max="12051" width="9" style="270"/>
    <col min="12052" max="12052" width="0.375" style="270" customWidth="1"/>
    <col min="12053" max="12053" width="16.375" style="270" customWidth="1"/>
    <col min="12054" max="12054" width="24.375" style="270" customWidth="1"/>
    <col min="12055" max="12055" width="6" style="270" bestFit="1" customWidth="1"/>
    <col min="12056" max="12056" width="2.375" style="270" bestFit="1" customWidth="1"/>
    <col min="12057" max="12057" width="3.375" style="270" bestFit="1" customWidth="1"/>
    <col min="12058" max="12058" width="9" style="270"/>
    <col min="12059" max="12059" width="1.375" style="270" customWidth="1"/>
    <col min="12060" max="12060" width="17.875" style="270" customWidth="1"/>
    <col min="12061" max="12061" width="19.375" style="270" customWidth="1"/>
    <col min="12062" max="12062" width="6" style="270" bestFit="1" customWidth="1"/>
    <col min="12063" max="12063" width="2.375" style="270" bestFit="1" customWidth="1"/>
    <col min="12064" max="12064" width="3.375" style="270" bestFit="1" customWidth="1"/>
    <col min="12065" max="12293" width="9" style="270"/>
    <col min="12294" max="12294" width="4.375" style="270" customWidth="1"/>
    <col min="12295" max="12295" width="20.375" style="270" customWidth="1"/>
    <col min="12296" max="12296" width="23" style="270" customWidth="1"/>
    <col min="12297" max="12297" width="6" style="270" bestFit="1" customWidth="1"/>
    <col min="12298" max="12299" width="3.375" style="270" bestFit="1" customWidth="1"/>
    <col min="12300" max="12300" width="9" style="270"/>
    <col min="12301" max="12301" width="1.375" style="270" customWidth="1"/>
    <col min="12302" max="12302" width="14.375" style="270" customWidth="1"/>
    <col min="12303" max="12303" width="21.375" style="270" customWidth="1"/>
    <col min="12304" max="12304" width="6" style="270" bestFit="1" customWidth="1"/>
    <col min="12305" max="12305" width="5" style="270" bestFit="1" customWidth="1"/>
    <col min="12306" max="12306" width="3.375" style="270" bestFit="1" customWidth="1"/>
    <col min="12307" max="12307" width="9" style="270"/>
    <col min="12308" max="12308" width="0.375" style="270" customWidth="1"/>
    <col min="12309" max="12309" width="16.375" style="270" customWidth="1"/>
    <col min="12310" max="12310" width="24.375" style="270" customWidth="1"/>
    <col min="12311" max="12311" width="6" style="270" bestFit="1" customWidth="1"/>
    <col min="12312" max="12312" width="2.375" style="270" bestFit="1" customWidth="1"/>
    <col min="12313" max="12313" width="3.375" style="270" bestFit="1" customWidth="1"/>
    <col min="12314" max="12314" width="9" style="270"/>
    <col min="12315" max="12315" width="1.375" style="270" customWidth="1"/>
    <col min="12316" max="12316" width="17.875" style="270" customWidth="1"/>
    <col min="12317" max="12317" width="19.375" style="270" customWidth="1"/>
    <col min="12318" max="12318" width="6" style="270" bestFit="1" customWidth="1"/>
    <col min="12319" max="12319" width="2.375" style="270" bestFit="1" customWidth="1"/>
    <col min="12320" max="12320" width="3.375" style="270" bestFit="1" customWidth="1"/>
    <col min="12321" max="12549" width="9" style="270"/>
    <col min="12550" max="12550" width="4.375" style="270" customWidth="1"/>
    <col min="12551" max="12551" width="20.375" style="270" customWidth="1"/>
    <col min="12552" max="12552" width="23" style="270" customWidth="1"/>
    <col min="12553" max="12553" width="6" style="270" bestFit="1" customWidth="1"/>
    <col min="12554" max="12555" width="3.375" style="270" bestFit="1" customWidth="1"/>
    <col min="12556" max="12556" width="9" style="270"/>
    <col min="12557" max="12557" width="1.375" style="270" customWidth="1"/>
    <col min="12558" max="12558" width="14.375" style="270" customWidth="1"/>
    <col min="12559" max="12559" width="21.375" style="270" customWidth="1"/>
    <col min="12560" max="12560" width="6" style="270" bestFit="1" customWidth="1"/>
    <col min="12561" max="12561" width="5" style="270" bestFit="1" customWidth="1"/>
    <col min="12562" max="12562" width="3.375" style="270" bestFit="1" customWidth="1"/>
    <col min="12563" max="12563" width="9" style="270"/>
    <col min="12564" max="12564" width="0.375" style="270" customWidth="1"/>
    <col min="12565" max="12565" width="16.375" style="270" customWidth="1"/>
    <col min="12566" max="12566" width="24.375" style="270" customWidth="1"/>
    <col min="12567" max="12567" width="6" style="270" bestFit="1" customWidth="1"/>
    <col min="12568" max="12568" width="2.375" style="270" bestFit="1" customWidth="1"/>
    <col min="12569" max="12569" width="3.375" style="270" bestFit="1" customWidth="1"/>
    <col min="12570" max="12570" width="9" style="270"/>
    <col min="12571" max="12571" width="1.375" style="270" customWidth="1"/>
    <col min="12572" max="12572" width="17.875" style="270" customWidth="1"/>
    <col min="12573" max="12573" width="19.375" style="270" customWidth="1"/>
    <col min="12574" max="12574" width="6" style="270" bestFit="1" customWidth="1"/>
    <col min="12575" max="12575" width="2.375" style="270" bestFit="1" customWidth="1"/>
    <col min="12576" max="12576" width="3.375" style="270" bestFit="1" customWidth="1"/>
    <col min="12577" max="12805" width="9" style="270"/>
    <col min="12806" max="12806" width="4.375" style="270" customWidth="1"/>
    <col min="12807" max="12807" width="20.375" style="270" customWidth="1"/>
    <col min="12808" max="12808" width="23" style="270" customWidth="1"/>
    <col min="12809" max="12809" width="6" style="270" bestFit="1" customWidth="1"/>
    <col min="12810" max="12811" width="3.375" style="270" bestFit="1" customWidth="1"/>
    <col min="12812" max="12812" width="9" style="270"/>
    <col min="12813" max="12813" width="1.375" style="270" customWidth="1"/>
    <col min="12814" max="12814" width="14.375" style="270" customWidth="1"/>
    <col min="12815" max="12815" width="21.375" style="270" customWidth="1"/>
    <col min="12816" max="12816" width="6" style="270" bestFit="1" customWidth="1"/>
    <col min="12817" max="12817" width="5" style="270" bestFit="1" customWidth="1"/>
    <col min="12818" max="12818" width="3.375" style="270" bestFit="1" customWidth="1"/>
    <col min="12819" max="12819" width="9" style="270"/>
    <col min="12820" max="12820" width="0.375" style="270" customWidth="1"/>
    <col min="12821" max="12821" width="16.375" style="270" customWidth="1"/>
    <col min="12822" max="12822" width="24.375" style="270" customWidth="1"/>
    <col min="12823" max="12823" width="6" style="270" bestFit="1" customWidth="1"/>
    <col min="12824" max="12824" width="2.375" style="270" bestFit="1" customWidth="1"/>
    <col min="12825" max="12825" width="3.375" style="270" bestFit="1" customWidth="1"/>
    <col min="12826" max="12826" width="9" style="270"/>
    <col min="12827" max="12827" width="1.375" style="270" customWidth="1"/>
    <col min="12828" max="12828" width="17.875" style="270" customWidth="1"/>
    <col min="12829" max="12829" width="19.375" style="270" customWidth="1"/>
    <col min="12830" max="12830" width="6" style="270" bestFit="1" customWidth="1"/>
    <col min="12831" max="12831" width="2.375" style="270" bestFit="1" customWidth="1"/>
    <col min="12832" max="12832" width="3.375" style="270" bestFit="1" customWidth="1"/>
    <col min="12833" max="13061" width="9" style="270"/>
    <col min="13062" max="13062" width="4.375" style="270" customWidth="1"/>
    <col min="13063" max="13063" width="20.375" style="270" customWidth="1"/>
    <col min="13064" max="13064" width="23" style="270" customWidth="1"/>
    <col min="13065" max="13065" width="6" style="270" bestFit="1" customWidth="1"/>
    <col min="13066" max="13067" width="3.375" style="270" bestFit="1" customWidth="1"/>
    <col min="13068" max="13068" width="9" style="270"/>
    <col min="13069" max="13069" width="1.375" style="270" customWidth="1"/>
    <col min="13070" max="13070" width="14.375" style="270" customWidth="1"/>
    <col min="13071" max="13071" width="21.375" style="270" customWidth="1"/>
    <col min="13072" max="13072" width="6" style="270" bestFit="1" customWidth="1"/>
    <col min="13073" max="13073" width="5" style="270" bestFit="1" customWidth="1"/>
    <col min="13074" max="13074" width="3.375" style="270" bestFit="1" customWidth="1"/>
    <col min="13075" max="13075" width="9" style="270"/>
    <col min="13076" max="13076" width="0.375" style="270" customWidth="1"/>
    <col min="13077" max="13077" width="16.375" style="270" customWidth="1"/>
    <col min="13078" max="13078" width="24.375" style="270" customWidth="1"/>
    <col min="13079" max="13079" width="6" style="270" bestFit="1" customWidth="1"/>
    <col min="13080" max="13080" width="2.375" style="270" bestFit="1" customWidth="1"/>
    <col min="13081" max="13081" width="3.375" style="270" bestFit="1" customWidth="1"/>
    <col min="13082" max="13082" width="9" style="270"/>
    <col min="13083" max="13083" width="1.375" style="270" customWidth="1"/>
    <col min="13084" max="13084" width="17.875" style="270" customWidth="1"/>
    <col min="13085" max="13085" width="19.375" style="270" customWidth="1"/>
    <col min="13086" max="13086" width="6" style="270" bestFit="1" customWidth="1"/>
    <col min="13087" max="13087" width="2.375" style="270" bestFit="1" customWidth="1"/>
    <col min="13088" max="13088" width="3.375" style="270" bestFit="1" customWidth="1"/>
    <col min="13089" max="13317" width="9" style="270"/>
    <col min="13318" max="13318" width="4.375" style="270" customWidth="1"/>
    <col min="13319" max="13319" width="20.375" style="270" customWidth="1"/>
    <col min="13320" max="13320" width="23" style="270" customWidth="1"/>
    <col min="13321" max="13321" width="6" style="270" bestFit="1" customWidth="1"/>
    <col min="13322" max="13323" width="3.375" style="270" bestFit="1" customWidth="1"/>
    <col min="13324" max="13324" width="9" style="270"/>
    <col min="13325" max="13325" width="1.375" style="270" customWidth="1"/>
    <col min="13326" max="13326" width="14.375" style="270" customWidth="1"/>
    <col min="13327" max="13327" width="21.375" style="270" customWidth="1"/>
    <col min="13328" max="13328" width="6" style="270" bestFit="1" customWidth="1"/>
    <col min="13329" max="13329" width="5" style="270" bestFit="1" customWidth="1"/>
    <col min="13330" max="13330" width="3.375" style="270" bestFit="1" customWidth="1"/>
    <col min="13331" max="13331" width="9" style="270"/>
    <col min="13332" max="13332" width="0.375" style="270" customWidth="1"/>
    <col min="13333" max="13333" width="16.375" style="270" customWidth="1"/>
    <col min="13334" max="13334" width="24.375" style="270" customWidth="1"/>
    <col min="13335" max="13335" width="6" style="270" bestFit="1" customWidth="1"/>
    <col min="13336" max="13336" width="2.375" style="270" bestFit="1" customWidth="1"/>
    <col min="13337" max="13337" width="3.375" style="270" bestFit="1" customWidth="1"/>
    <col min="13338" max="13338" width="9" style="270"/>
    <col min="13339" max="13339" width="1.375" style="270" customWidth="1"/>
    <col min="13340" max="13340" width="17.875" style="270" customWidth="1"/>
    <col min="13341" max="13341" width="19.375" style="270" customWidth="1"/>
    <col min="13342" max="13342" width="6" style="270" bestFit="1" customWidth="1"/>
    <col min="13343" max="13343" width="2.375" style="270" bestFit="1" customWidth="1"/>
    <col min="13344" max="13344" width="3.375" style="270" bestFit="1" customWidth="1"/>
    <col min="13345" max="13573" width="9" style="270"/>
    <col min="13574" max="13574" width="4.375" style="270" customWidth="1"/>
    <col min="13575" max="13575" width="20.375" style="270" customWidth="1"/>
    <col min="13576" max="13576" width="23" style="270" customWidth="1"/>
    <col min="13577" max="13577" width="6" style="270" bestFit="1" customWidth="1"/>
    <col min="13578" max="13579" width="3.375" style="270" bestFit="1" customWidth="1"/>
    <col min="13580" max="13580" width="9" style="270"/>
    <col min="13581" max="13581" width="1.375" style="270" customWidth="1"/>
    <col min="13582" max="13582" width="14.375" style="270" customWidth="1"/>
    <col min="13583" max="13583" width="21.375" style="270" customWidth="1"/>
    <col min="13584" max="13584" width="6" style="270" bestFit="1" customWidth="1"/>
    <col min="13585" max="13585" width="5" style="270" bestFit="1" customWidth="1"/>
    <col min="13586" max="13586" width="3.375" style="270" bestFit="1" customWidth="1"/>
    <col min="13587" max="13587" width="9" style="270"/>
    <col min="13588" max="13588" width="0.375" style="270" customWidth="1"/>
    <col min="13589" max="13589" width="16.375" style="270" customWidth="1"/>
    <col min="13590" max="13590" width="24.375" style="270" customWidth="1"/>
    <col min="13591" max="13591" width="6" style="270" bestFit="1" customWidth="1"/>
    <col min="13592" max="13592" width="2.375" style="270" bestFit="1" customWidth="1"/>
    <col min="13593" max="13593" width="3.375" style="270" bestFit="1" customWidth="1"/>
    <col min="13594" max="13594" width="9" style="270"/>
    <col min="13595" max="13595" width="1.375" style="270" customWidth="1"/>
    <col min="13596" max="13596" width="17.875" style="270" customWidth="1"/>
    <col min="13597" max="13597" width="19.375" style="270" customWidth="1"/>
    <col min="13598" max="13598" width="6" style="270" bestFit="1" customWidth="1"/>
    <col min="13599" max="13599" width="2.375" style="270" bestFit="1" customWidth="1"/>
    <col min="13600" max="13600" width="3.375" style="270" bestFit="1" customWidth="1"/>
    <col min="13601" max="13829" width="9" style="270"/>
    <col min="13830" max="13830" width="4.375" style="270" customWidth="1"/>
    <col min="13831" max="13831" width="20.375" style="270" customWidth="1"/>
    <col min="13832" max="13832" width="23" style="270" customWidth="1"/>
    <col min="13833" max="13833" width="6" style="270" bestFit="1" customWidth="1"/>
    <col min="13834" max="13835" width="3.375" style="270" bestFit="1" customWidth="1"/>
    <col min="13836" max="13836" width="9" style="270"/>
    <col min="13837" max="13837" width="1.375" style="270" customWidth="1"/>
    <col min="13838" max="13838" width="14.375" style="270" customWidth="1"/>
    <col min="13839" max="13839" width="21.375" style="270" customWidth="1"/>
    <col min="13840" max="13840" width="6" style="270" bestFit="1" customWidth="1"/>
    <col min="13841" max="13841" width="5" style="270" bestFit="1" customWidth="1"/>
    <col min="13842" max="13842" width="3.375" style="270" bestFit="1" customWidth="1"/>
    <col min="13843" max="13843" width="9" style="270"/>
    <col min="13844" max="13844" width="0.375" style="270" customWidth="1"/>
    <col min="13845" max="13845" width="16.375" style="270" customWidth="1"/>
    <col min="13846" max="13846" width="24.375" style="270" customWidth="1"/>
    <col min="13847" max="13847" width="6" style="270" bestFit="1" customWidth="1"/>
    <col min="13848" max="13848" width="2.375" style="270" bestFit="1" customWidth="1"/>
    <col min="13849" max="13849" width="3.375" style="270" bestFit="1" customWidth="1"/>
    <col min="13850" max="13850" width="9" style="270"/>
    <col min="13851" max="13851" width="1.375" style="270" customWidth="1"/>
    <col min="13852" max="13852" width="17.875" style="270" customWidth="1"/>
    <col min="13853" max="13853" width="19.375" style="270" customWidth="1"/>
    <col min="13854" max="13854" width="6" style="270" bestFit="1" customWidth="1"/>
    <col min="13855" max="13855" width="2.375" style="270" bestFit="1" customWidth="1"/>
    <col min="13856" max="13856" width="3.375" style="270" bestFit="1" customWidth="1"/>
    <col min="13857" max="14085" width="9" style="270"/>
    <col min="14086" max="14086" width="4.375" style="270" customWidth="1"/>
    <col min="14087" max="14087" width="20.375" style="270" customWidth="1"/>
    <col min="14088" max="14088" width="23" style="270" customWidth="1"/>
    <col min="14089" max="14089" width="6" style="270" bestFit="1" customWidth="1"/>
    <col min="14090" max="14091" width="3.375" style="270" bestFit="1" customWidth="1"/>
    <col min="14092" max="14092" width="9" style="270"/>
    <col min="14093" max="14093" width="1.375" style="270" customWidth="1"/>
    <col min="14094" max="14094" width="14.375" style="270" customWidth="1"/>
    <col min="14095" max="14095" width="21.375" style="270" customWidth="1"/>
    <col min="14096" max="14096" width="6" style="270" bestFit="1" customWidth="1"/>
    <col min="14097" max="14097" width="5" style="270" bestFit="1" customWidth="1"/>
    <col min="14098" max="14098" width="3.375" style="270" bestFit="1" customWidth="1"/>
    <col min="14099" max="14099" width="9" style="270"/>
    <col min="14100" max="14100" width="0.375" style="270" customWidth="1"/>
    <col min="14101" max="14101" width="16.375" style="270" customWidth="1"/>
    <col min="14102" max="14102" width="24.375" style="270" customWidth="1"/>
    <col min="14103" max="14103" width="6" style="270" bestFit="1" customWidth="1"/>
    <col min="14104" max="14104" width="2.375" style="270" bestFit="1" customWidth="1"/>
    <col min="14105" max="14105" width="3.375" style="270" bestFit="1" customWidth="1"/>
    <col min="14106" max="14106" width="9" style="270"/>
    <col min="14107" max="14107" width="1.375" style="270" customWidth="1"/>
    <col min="14108" max="14108" width="17.875" style="270" customWidth="1"/>
    <col min="14109" max="14109" width="19.375" style="270" customWidth="1"/>
    <col min="14110" max="14110" width="6" style="270" bestFit="1" customWidth="1"/>
    <col min="14111" max="14111" width="2.375" style="270" bestFit="1" customWidth="1"/>
    <col min="14112" max="14112" width="3.375" style="270" bestFit="1" customWidth="1"/>
    <col min="14113" max="14341" width="9" style="270"/>
    <col min="14342" max="14342" width="4.375" style="270" customWidth="1"/>
    <col min="14343" max="14343" width="20.375" style="270" customWidth="1"/>
    <col min="14344" max="14344" width="23" style="270" customWidth="1"/>
    <col min="14345" max="14345" width="6" style="270" bestFit="1" customWidth="1"/>
    <col min="14346" max="14347" width="3.375" style="270" bestFit="1" customWidth="1"/>
    <col min="14348" max="14348" width="9" style="270"/>
    <col min="14349" max="14349" width="1.375" style="270" customWidth="1"/>
    <col min="14350" max="14350" width="14.375" style="270" customWidth="1"/>
    <col min="14351" max="14351" width="21.375" style="270" customWidth="1"/>
    <col min="14352" max="14352" width="6" style="270" bestFit="1" customWidth="1"/>
    <col min="14353" max="14353" width="5" style="270" bestFit="1" customWidth="1"/>
    <col min="14354" max="14354" width="3.375" style="270" bestFit="1" customWidth="1"/>
    <col min="14355" max="14355" width="9" style="270"/>
    <col min="14356" max="14356" width="0.375" style="270" customWidth="1"/>
    <col min="14357" max="14357" width="16.375" style="270" customWidth="1"/>
    <col min="14358" max="14358" width="24.375" style="270" customWidth="1"/>
    <col min="14359" max="14359" width="6" style="270" bestFit="1" customWidth="1"/>
    <col min="14360" max="14360" width="2.375" style="270" bestFit="1" customWidth="1"/>
    <col min="14361" max="14361" width="3.375" style="270" bestFit="1" customWidth="1"/>
    <col min="14362" max="14362" width="9" style="270"/>
    <col min="14363" max="14363" width="1.375" style="270" customWidth="1"/>
    <col min="14364" max="14364" width="17.875" style="270" customWidth="1"/>
    <col min="14365" max="14365" width="19.375" style="270" customWidth="1"/>
    <col min="14366" max="14366" width="6" style="270" bestFit="1" customWidth="1"/>
    <col min="14367" max="14367" width="2.375" style="270" bestFit="1" customWidth="1"/>
    <col min="14368" max="14368" width="3.375" style="270" bestFit="1" customWidth="1"/>
    <col min="14369" max="14597" width="9" style="270"/>
    <col min="14598" max="14598" width="4.375" style="270" customWidth="1"/>
    <col min="14599" max="14599" width="20.375" style="270" customWidth="1"/>
    <col min="14600" max="14600" width="23" style="270" customWidth="1"/>
    <col min="14601" max="14601" width="6" style="270" bestFit="1" customWidth="1"/>
    <col min="14602" max="14603" width="3.375" style="270" bestFit="1" customWidth="1"/>
    <col min="14604" max="14604" width="9" style="270"/>
    <col min="14605" max="14605" width="1.375" style="270" customWidth="1"/>
    <col min="14606" max="14606" width="14.375" style="270" customWidth="1"/>
    <col min="14607" max="14607" width="21.375" style="270" customWidth="1"/>
    <col min="14608" max="14608" width="6" style="270" bestFit="1" customWidth="1"/>
    <col min="14609" max="14609" width="5" style="270" bestFit="1" customWidth="1"/>
    <col min="14610" max="14610" width="3.375" style="270" bestFit="1" customWidth="1"/>
    <col min="14611" max="14611" width="9" style="270"/>
    <col min="14612" max="14612" width="0.375" style="270" customWidth="1"/>
    <col min="14613" max="14613" width="16.375" style="270" customWidth="1"/>
    <col min="14614" max="14614" width="24.375" style="270" customWidth="1"/>
    <col min="14615" max="14615" width="6" style="270" bestFit="1" customWidth="1"/>
    <col min="14616" max="14616" width="2.375" style="270" bestFit="1" customWidth="1"/>
    <col min="14617" max="14617" width="3.375" style="270" bestFit="1" customWidth="1"/>
    <col min="14618" max="14618" width="9" style="270"/>
    <col min="14619" max="14619" width="1.375" style="270" customWidth="1"/>
    <col min="14620" max="14620" width="17.875" style="270" customWidth="1"/>
    <col min="14621" max="14621" width="19.375" style="270" customWidth="1"/>
    <col min="14622" max="14622" width="6" style="270" bestFit="1" customWidth="1"/>
    <col min="14623" max="14623" width="2.375" style="270" bestFit="1" customWidth="1"/>
    <col min="14624" max="14624" width="3.375" style="270" bestFit="1" customWidth="1"/>
    <col min="14625" max="14853" width="9" style="270"/>
    <col min="14854" max="14854" width="4.375" style="270" customWidth="1"/>
    <col min="14855" max="14855" width="20.375" style="270" customWidth="1"/>
    <col min="14856" max="14856" width="23" style="270" customWidth="1"/>
    <col min="14857" max="14857" width="6" style="270" bestFit="1" customWidth="1"/>
    <col min="14858" max="14859" width="3.375" style="270" bestFit="1" customWidth="1"/>
    <col min="14860" max="14860" width="9" style="270"/>
    <col min="14861" max="14861" width="1.375" style="270" customWidth="1"/>
    <col min="14862" max="14862" width="14.375" style="270" customWidth="1"/>
    <col min="14863" max="14863" width="21.375" style="270" customWidth="1"/>
    <col min="14864" max="14864" width="6" style="270" bestFit="1" customWidth="1"/>
    <col min="14865" max="14865" width="5" style="270" bestFit="1" customWidth="1"/>
    <col min="14866" max="14866" width="3.375" style="270" bestFit="1" customWidth="1"/>
    <col min="14867" max="14867" width="9" style="270"/>
    <col min="14868" max="14868" width="0.375" style="270" customWidth="1"/>
    <col min="14869" max="14869" width="16.375" style="270" customWidth="1"/>
    <col min="14870" max="14870" width="24.375" style="270" customWidth="1"/>
    <col min="14871" max="14871" width="6" style="270" bestFit="1" customWidth="1"/>
    <col min="14872" max="14872" width="2.375" style="270" bestFit="1" customWidth="1"/>
    <col min="14873" max="14873" width="3.375" style="270" bestFit="1" customWidth="1"/>
    <col min="14874" max="14874" width="9" style="270"/>
    <col min="14875" max="14875" width="1.375" style="270" customWidth="1"/>
    <col min="14876" max="14876" width="17.875" style="270" customWidth="1"/>
    <col min="14877" max="14877" width="19.375" style="270" customWidth="1"/>
    <col min="14878" max="14878" width="6" style="270" bestFit="1" customWidth="1"/>
    <col min="14879" max="14879" width="2.375" style="270" bestFit="1" customWidth="1"/>
    <col min="14880" max="14880" width="3.375" style="270" bestFit="1" customWidth="1"/>
    <col min="14881" max="15109" width="9" style="270"/>
    <col min="15110" max="15110" width="4.375" style="270" customWidth="1"/>
    <col min="15111" max="15111" width="20.375" style="270" customWidth="1"/>
    <col min="15112" max="15112" width="23" style="270" customWidth="1"/>
    <col min="15113" max="15113" width="6" style="270" bestFit="1" customWidth="1"/>
    <col min="15114" max="15115" width="3.375" style="270" bestFit="1" customWidth="1"/>
    <col min="15116" max="15116" width="9" style="270"/>
    <col min="15117" max="15117" width="1.375" style="270" customWidth="1"/>
    <col min="15118" max="15118" width="14.375" style="270" customWidth="1"/>
    <col min="15119" max="15119" width="21.375" style="270" customWidth="1"/>
    <col min="15120" max="15120" width="6" style="270" bestFit="1" customWidth="1"/>
    <col min="15121" max="15121" width="5" style="270" bestFit="1" customWidth="1"/>
    <col min="15122" max="15122" width="3.375" style="270" bestFit="1" customWidth="1"/>
    <col min="15123" max="15123" width="9" style="270"/>
    <col min="15124" max="15124" width="0.375" style="270" customWidth="1"/>
    <col min="15125" max="15125" width="16.375" style="270" customWidth="1"/>
    <col min="15126" max="15126" width="24.375" style="270" customWidth="1"/>
    <col min="15127" max="15127" width="6" style="270" bestFit="1" customWidth="1"/>
    <col min="15128" max="15128" width="2.375" style="270" bestFit="1" customWidth="1"/>
    <col min="15129" max="15129" width="3.375" style="270" bestFit="1" customWidth="1"/>
    <col min="15130" max="15130" width="9" style="270"/>
    <col min="15131" max="15131" width="1.375" style="270" customWidth="1"/>
    <col min="15132" max="15132" width="17.875" style="270" customWidth="1"/>
    <col min="15133" max="15133" width="19.375" style="270" customWidth="1"/>
    <col min="15134" max="15134" width="6" style="270" bestFit="1" customWidth="1"/>
    <col min="15135" max="15135" width="2.375" style="270" bestFit="1" customWidth="1"/>
    <col min="15136" max="15136" width="3.375" style="270" bestFit="1" customWidth="1"/>
    <col min="15137" max="15365" width="9" style="270"/>
    <col min="15366" max="15366" width="4.375" style="270" customWidth="1"/>
    <col min="15367" max="15367" width="20.375" style="270" customWidth="1"/>
    <col min="15368" max="15368" width="23" style="270" customWidth="1"/>
    <col min="15369" max="15369" width="6" style="270" bestFit="1" customWidth="1"/>
    <col min="15370" max="15371" width="3.375" style="270" bestFit="1" customWidth="1"/>
    <col min="15372" max="15372" width="9" style="270"/>
    <col min="15373" max="15373" width="1.375" style="270" customWidth="1"/>
    <col min="15374" max="15374" width="14.375" style="270" customWidth="1"/>
    <col min="15375" max="15375" width="21.375" style="270" customWidth="1"/>
    <col min="15376" max="15376" width="6" style="270" bestFit="1" customWidth="1"/>
    <col min="15377" max="15377" width="5" style="270" bestFit="1" customWidth="1"/>
    <col min="15378" max="15378" width="3.375" style="270" bestFit="1" customWidth="1"/>
    <col min="15379" max="15379" width="9" style="270"/>
    <col min="15380" max="15380" width="0.375" style="270" customWidth="1"/>
    <col min="15381" max="15381" width="16.375" style="270" customWidth="1"/>
    <col min="15382" max="15382" width="24.375" style="270" customWidth="1"/>
    <col min="15383" max="15383" width="6" style="270" bestFit="1" customWidth="1"/>
    <col min="15384" max="15384" width="2.375" style="270" bestFit="1" customWidth="1"/>
    <col min="15385" max="15385" width="3.375" style="270" bestFit="1" customWidth="1"/>
    <col min="15386" max="15386" width="9" style="270"/>
    <col min="15387" max="15387" width="1.375" style="270" customWidth="1"/>
    <col min="15388" max="15388" width="17.875" style="270" customWidth="1"/>
    <col min="15389" max="15389" width="19.375" style="270" customWidth="1"/>
    <col min="15390" max="15390" width="6" style="270" bestFit="1" customWidth="1"/>
    <col min="15391" max="15391" width="2.375" style="270" bestFit="1" customWidth="1"/>
    <col min="15392" max="15392" width="3.375" style="270" bestFit="1" customWidth="1"/>
    <col min="15393" max="15621" width="9" style="270"/>
    <col min="15622" max="15622" width="4.375" style="270" customWidth="1"/>
    <col min="15623" max="15623" width="20.375" style="270" customWidth="1"/>
    <col min="15624" max="15624" width="23" style="270" customWidth="1"/>
    <col min="15625" max="15625" width="6" style="270" bestFit="1" customWidth="1"/>
    <col min="15626" max="15627" width="3.375" style="270" bestFit="1" customWidth="1"/>
    <col min="15628" max="15628" width="9" style="270"/>
    <col min="15629" max="15629" width="1.375" style="270" customWidth="1"/>
    <col min="15630" max="15630" width="14.375" style="270" customWidth="1"/>
    <col min="15631" max="15631" width="21.375" style="270" customWidth="1"/>
    <col min="15632" max="15632" width="6" style="270" bestFit="1" customWidth="1"/>
    <col min="15633" max="15633" width="5" style="270" bestFit="1" customWidth="1"/>
    <col min="15634" max="15634" width="3.375" style="270" bestFit="1" customWidth="1"/>
    <col min="15635" max="15635" width="9" style="270"/>
    <col min="15636" max="15636" width="0.375" style="270" customWidth="1"/>
    <col min="15637" max="15637" width="16.375" style="270" customWidth="1"/>
    <col min="15638" max="15638" width="24.375" style="270" customWidth="1"/>
    <col min="15639" max="15639" width="6" style="270" bestFit="1" customWidth="1"/>
    <col min="15640" max="15640" width="2.375" style="270" bestFit="1" customWidth="1"/>
    <col min="15641" max="15641" width="3.375" style="270" bestFit="1" customWidth="1"/>
    <col min="15642" max="15642" width="9" style="270"/>
    <col min="15643" max="15643" width="1.375" style="270" customWidth="1"/>
    <col min="15644" max="15644" width="17.875" style="270" customWidth="1"/>
    <col min="15645" max="15645" width="19.375" style="270" customWidth="1"/>
    <col min="15646" max="15646" width="6" style="270" bestFit="1" customWidth="1"/>
    <col min="15647" max="15647" width="2.375" style="270" bestFit="1" customWidth="1"/>
    <col min="15648" max="15648" width="3.375" style="270" bestFit="1" customWidth="1"/>
    <col min="15649" max="15877" width="9" style="270"/>
    <col min="15878" max="15878" width="4.375" style="270" customWidth="1"/>
    <col min="15879" max="15879" width="20.375" style="270" customWidth="1"/>
    <col min="15880" max="15880" width="23" style="270" customWidth="1"/>
    <col min="15881" max="15881" width="6" style="270" bestFit="1" customWidth="1"/>
    <col min="15882" max="15883" width="3.375" style="270" bestFit="1" customWidth="1"/>
    <col min="15884" max="15884" width="9" style="270"/>
    <col min="15885" max="15885" width="1.375" style="270" customWidth="1"/>
    <col min="15886" max="15886" width="14.375" style="270" customWidth="1"/>
    <col min="15887" max="15887" width="21.375" style="270" customWidth="1"/>
    <col min="15888" max="15888" width="6" style="270" bestFit="1" customWidth="1"/>
    <col min="15889" max="15889" width="5" style="270" bestFit="1" customWidth="1"/>
    <col min="15890" max="15890" width="3.375" style="270" bestFit="1" customWidth="1"/>
    <col min="15891" max="15891" width="9" style="270"/>
    <col min="15892" max="15892" width="0.375" style="270" customWidth="1"/>
    <col min="15893" max="15893" width="16.375" style="270" customWidth="1"/>
    <col min="15894" max="15894" width="24.375" style="270" customWidth="1"/>
    <col min="15895" max="15895" width="6" style="270" bestFit="1" customWidth="1"/>
    <col min="15896" max="15896" width="2.375" style="270" bestFit="1" customWidth="1"/>
    <col min="15897" max="15897" width="3.375" style="270" bestFit="1" customWidth="1"/>
    <col min="15898" max="15898" width="9" style="270"/>
    <col min="15899" max="15899" width="1.375" style="270" customWidth="1"/>
    <col min="15900" max="15900" width="17.875" style="270" customWidth="1"/>
    <col min="15901" max="15901" width="19.375" style="270" customWidth="1"/>
    <col min="15902" max="15902" width="6" style="270" bestFit="1" customWidth="1"/>
    <col min="15903" max="15903" width="2.375" style="270" bestFit="1" customWidth="1"/>
    <col min="15904" max="15904" width="3.375" style="270" bestFit="1" customWidth="1"/>
    <col min="15905" max="16133" width="9" style="270"/>
    <col min="16134" max="16134" width="4.375" style="270" customWidth="1"/>
    <col min="16135" max="16135" width="20.375" style="270" customWidth="1"/>
    <col min="16136" max="16136" width="23" style="270" customWidth="1"/>
    <col min="16137" max="16137" width="6" style="270" bestFit="1" customWidth="1"/>
    <col min="16138" max="16139" width="3.375" style="270" bestFit="1" customWidth="1"/>
    <col min="16140" max="16140" width="9" style="270"/>
    <col min="16141" max="16141" width="1.375" style="270" customWidth="1"/>
    <col min="16142" max="16142" width="14.375" style="270" customWidth="1"/>
    <col min="16143" max="16143" width="21.375" style="270" customWidth="1"/>
    <col min="16144" max="16144" width="6" style="270" bestFit="1" customWidth="1"/>
    <col min="16145" max="16145" width="5" style="270" bestFit="1" customWidth="1"/>
    <col min="16146" max="16146" width="3.375" style="270" bestFit="1" customWidth="1"/>
    <col min="16147" max="16147" width="9" style="270"/>
    <col min="16148" max="16148" width="0.375" style="270" customWidth="1"/>
    <col min="16149" max="16149" width="16.375" style="270" customWidth="1"/>
    <col min="16150" max="16150" width="24.375" style="270" customWidth="1"/>
    <col min="16151" max="16151" width="6" style="270" bestFit="1" customWidth="1"/>
    <col min="16152" max="16152" width="2.375" style="270" bestFit="1" customWidth="1"/>
    <col min="16153" max="16153" width="3.375" style="270" bestFit="1" customWidth="1"/>
    <col min="16154" max="16154" width="9" style="270"/>
    <col min="16155" max="16155" width="1.375" style="270" customWidth="1"/>
    <col min="16156" max="16156" width="17.875" style="270" customWidth="1"/>
    <col min="16157" max="16157" width="19.375" style="270" customWidth="1"/>
    <col min="16158" max="16158" width="6" style="270" bestFit="1" customWidth="1"/>
    <col min="16159" max="16159" width="2.375" style="270" bestFit="1" customWidth="1"/>
    <col min="16160" max="16160" width="3.375" style="270" bestFit="1" customWidth="1"/>
    <col min="16161" max="16384" width="9" style="270"/>
  </cols>
  <sheetData>
    <row r="1" spans="2:64" s="47" customFormat="1" ht="12.95" customHeight="1" thickBot="1" x14ac:dyDescent="0.2">
      <c r="H1" s="48"/>
      <c r="I1" s="48"/>
      <c r="L1" s="49"/>
      <c r="AJ1" s="270"/>
      <c r="AK1" s="270"/>
      <c r="AL1" s="270"/>
      <c r="AM1" s="270"/>
      <c r="AN1" s="270"/>
      <c r="AO1" s="270"/>
      <c r="AP1" s="270"/>
      <c r="AQ1" s="270"/>
      <c r="AR1" s="270"/>
      <c r="AS1" s="270"/>
      <c r="AT1" s="270"/>
      <c r="AU1" s="270"/>
      <c r="AV1" s="270"/>
      <c r="AW1" s="270"/>
      <c r="AX1" s="270"/>
      <c r="AY1" s="270"/>
      <c r="AZ1" s="270"/>
      <c r="BA1" s="270"/>
      <c r="BB1" s="270"/>
      <c r="BC1" s="270"/>
      <c r="BD1" s="270"/>
      <c r="BE1" s="270"/>
      <c r="BF1" s="270"/>
      <c r="BG1" s="270"/>
      <c r="BH1" s="270"/>
      <c r="BI1" s="270"/>
      <c r="BJ1" s="270"/>
      <c r="BK1" s="270"/>
      <c r="BL1" s="270"/>
    </row>
    <row r="2" spans="2:64" s="47" customFormat="1" ht="12.75" customHeight="1" thickTop="1" x14ac:dyDescent="0.15">
      <c r="B2" s="50" t="s">
        <v>6</v>
      </c>
      <c r="C2" s="51"/>
      <c r="D2" s="52"/>
      <c r="E2" s="677" t="s">
        <v>7</v>
      </c>
      <c r="F2" s="830"/>
      <c r="G2" s="830"/>
      <c r="H2" s="830"/>
      <c r="I2" s="830"/>
      <c r="J2" s="831"/>
      <c r="K2" s="832" t="s">
        <v>8</v>
      </c>
      <c r="L2" s="830"/>
      <c r="M2" s="831"/>
      <c r="N2" s="1251" t="s">
        <v>218</v>
      </c>
      <c r="O2" s="1292"/>
      <c r="P2" s="1292"/>
      <c r="Q2" s="1292"/>
      <c r="R2" s="1292"/>
      <c r="S2" s="1292"/>
      <c r="T2" s="1292"/>
      <c r="U2" s="1292"/>
      <c r="V2" s="1292"/>
      <c r="W2" s="1293"/>
      <c r="X2" s="832" t="s">
        <v>10</v>
      </c>
      <c r="Y2" s="830"/>
      <c r="Z2" s="831"/>
      <c r="AA2" s="833" t="s">
        <v>11</v>
      </c>
      <c r="AB2" s="832" t="s">
        <v>12</v>
      </c>
      <c r="AC2" s="833" t="s">
        <v>13</v>
      </c>
      <c r="AD2" s="712"/>
      <c r="AE2" s="730"/>
      <c r="AF2" s="832" t="s">
        <v>14</v>
      </c>
      <c r="AG2" s="830"/>
      <c r="AH2" s="831"/>
      <c r="AJ2" s="270"/>
      <c r="AK2" s="270"/>
      <c r="AL2" s="270"/>
      <c r="AM2" s="270"/>
      <c r="AN2" s="270"/>
      <c r="AO2" s="270"/>
      <c r="AP2" s="270"/>
      <c r="AQ2" s="270"/>
      <c r="AR2" s="270"/>
      <c r="AS2" s="270"/>
      <c r="AT2" s="270"/>
      <c r="AU2" s="270"/>
      <c r="AV2" s="270"/>
      <c r="AW2" s="270"/>
      <c r="AX2" s="270"/>
      <c r="AY2" s="270"/>
      <c r="AZ2" s="270"/>
      <c r="BA2" s="270"/>
      <c r="BB2" s="270"/>
      <c r="BC2" s="270"/>
      <c r="BD2" s="270"/>
      <c r="BE2" s="270"/>
      <c r="BF2" s="270"/>
      <c r="BG2" s="270"/>
      <c r="BH2" s="270"/>
      <c r="BI2" s="270"/>
      <c r="BJ2" s="270"/>
      <c r="BK2" s="270"/>
      <c r="BL2" s="270"/>
    </row>
    <row r="3" spans="2:64" s="47" customFormat="1" ht="12.75" customHeight="1" thickBot="1" x14ac:dyDescent="0.2">
      <c r="B3" s="271" t="s">
        <v>15</v>
      </c>
      <c r="C3" s="272"/>
      <c r="D3" s="273"/>
      <c r="E3" s="678" t="s">
        <v>16</v>
      </c>
      <c r="F3" s="834"/>
      <c r="G3" s="834"/>
      <c r="H3" s="834"/>
      <c r="I3" s="834"/>
      <c r="J3" s="835"/>
      <c r="K3" s="836" t="s">
        <v>219</v>
      </c>
      <c r="L3" s="834"/>
      <c r="M3" s="835"/>
      <c r="N3" s="1294"/>
      <c r="O3" s="1295"/>
      <c r="P3" s="1295"/>
      <c r="Q3" s="1295"/>
      <c r="R3" s="1295"/>
      <c r="S3" s="1295"/>
      <c r="T3" s="1295"/>
      <c r="U3" s="1295"/>
      <c r="V3" s="1295"/>
      <c r="W3" s="1296"/>
      <c r="X3" s="837">
        <f>連携対象取引ログテーブル一覧!AO3</f>
        <v>1.1200000000000001</v>
      </c>
      <c r="Y3" s="838"/>
      <c r="Z3" s="839"/>
      <c r="AA3" s="836" t="s">
        <v>18</v>
      </c>
      <c r="AB3" s="840">
        <f>連携対象取引ログテーブル一覧!AT3</f>
        <v>45709</v>
      </c>
      <c r="AC3" s="836" t="s">
        <v>18</v>
      </c>
      <c r="AD3" s="834"/>
      <c r="AE3" s="835"/>
      <c r="AF3" s="840">
        <v>45460</v>
      </c>
      <c r="AG3" s="841"/>
      <c r="AH3" s="842"/>
      <c r="AJ3" s="270"/>
      <c r="AK3" s="270"/>
      <c r="AL3" s="270"/>
      <c r="AM3" s="270"/>
      <c r="AN3" s="270"/>
      <c r="AO3" s="270"/>
      <c r="AP3" s="270"/>
      <c r="AQ3" s="270"/>
      <c r="AR3" s="270"/>
      <c r="AS3" s="270"/>
      <c r="AT3" s="270"/>
      <c r="AU3" s="270"/>
      <c r="AV3" s="270"/>
      <c r="AW3" s="270"/>
      <c r="AX3" s="270"/>
      <c r="AY3" s="270"/>
      <c r="AZ3" s="270"/>
      <c r="BA3" s="270"/>
      <c r="BB3" s="270"/>
      <c r="BC3" s="270"/>
      <c r="BD3" s="270"/>
      <c r="BE3" s="270"/>
      <c r="BF3" s="270"/>
      <c r="BG3" s="270"/>
      <c r="BH3" s="270"/>
      <c r="BI3" s="270"/>
      <c r="BJ3" s="270"/>
      <c r="BK3" s="270"/>
      <c r="BL3" s="270"/>
    </row>
    <row r="4" spans="2:64" s="47" customFormat="1" ht="12.75" customHeight="1" thickTop="1" x14ac:dyDescent="0.15">
      <c r="H4" s="48"/>
      <c r="I4" s="48"/>
      <c r="L4" s="49"/>
      <c r="AJ4" s="270"/>
      <c r="AK4" s="270"/>
      <c r="AL4" s="270"/>
      <c r="AM4" s="270"/>
      <c r="AN4" s="270"/>
      <c r="AO4" s="270"/>
      <c r="AP4" s="270"/>
      <c r="AQ4" s="270"/>
      <c r="AR4" s="270"/>
      <c r="AS4" s="270"/>
      <c r="AT4" s="270"/>
      <c r="AU4" s="270"/>
      <c r="AV4" s="270"/>
      <c r="AW4" s="270"/>
      <c r="AX4" s="270"/>
      <c r="AY4" s="270"/>
      <c r="AZ4" s="270"/>
      <c r="BA4" s="270"/>
      <c r="BB4" s="270"/>
      <c r="BC4" s="270"/>
      <c r="BD4" s="270"/>
      <c r="BE4" s="270"/>
      <c r="BF4" s="270"/>
      <c r="BG4" s="270"/>
      <c r="BH4" s="270"/>
      <c r="BI4" s="270"/>
      <c r="BJ4" s="270"/>
      <c r="BK4" s="270"/>
      <c r="BL4" s="270"/>
    </row>
    <row r="5" spans="2:64" x14ac:dyDescent="0.15">
      <c r="B5" s="843"/>
      <c r="C5" s="691"/>
      <c r="D5" s="691"/>
      <c r="E5" s="691"/>
      <c r="F5" s="691"/>
      <c r="G5" s="691"/>
      <c r="H5" s="691"/>
      <c r="I5" s="691"/>
      <c r="J5" s="691"/>
      <c r="K5" s="691"/>
      <c r="L5" s="691"/>
      <c r="M5" s="691"/>
      <c r="N5" s="691"/>
      <c r="O5" s="691"/>
      <c r="P5" s="691"/>
      <c r="Q5" s="713"/>
      <c r="R5" s="691"/>
      <c r="S5" s="691"/>
      <c r="T5" s="691"/>
      <c r="U5" s="691"/>
      <c r="V5" s="691"/>
      <c r="W5" s="691"/>
      <c r="X5" s="691"/>
      <c r="Y5" s="691"/>
      <c r="Z5" s="691"/>
      <c r="AA5" s="691"/>
      <c r="AB5" s="691"/>
      <c r="AC5" s="691"/>
      <c r="AD5" s="691"/>
      <c r="AE5" s="691"/>
      <c r="AF5" s="691"/>
      <c r="AG5" s="691"/>
      <c r="AH5" s="731"/>
    </row>
    <row r="6" spans="2:64" x14ac:dyDescent="0.15">
      <c r="B6" s="603"/>
      <c r="AB6" s="283" t="s">
        <v>220</v>
      </c>
      <c r="AH6" s="284"/>
    </row>
    <row r="7" spans="2:64" ht="14.25" x14ac:dyDescent="0.15">
      <c r="B7" s="603"/>
      <c r="G7" s="285"/>
      <c r="AB7" s="283" t="s">
        <v>221</v>
      </c>
      <c r="AH7" s="284"/>
    </row>
    <row r="8" spans="2:64" x14ac:dyDescent="0.15">
      <c r="B8" s="603"/>
      <c r="AB8" s="283" t="s">
        <v>222</v>
      </c>
      <c r="AH8" s="284"/>
    </row>
    <row r="9" spans="2:64" x14ac:dyDescent="0.15">
      <c r="B9" s="603"/>
      <c r="C9" s="283" t="s">
        <v>223</v>
      </c>
      <c r="AH9" s="284"/>
    </row>
    <row r="10" spans="2:64" x14ac:dyDescent="0.15">
      <c r="B10" s="603"/>
      <c r="C10" s="844" t="s">
        <v>224</v>
      </c>
      <c r="D10" s="845"/>
      <c r="E10" s="845"/>
      <c r="F10" s="845"/>
      <c r="G10" s="845"/>
      <c r="H10" s="846"/>
      <c r="AA10" s="283" t="s">
        <v>225</v>
      </c>
      <c r="AH10" s="284"/>
    </row>
    <row r="11" spans="2:64" ht="12" customHeight="1" x14ac:dyDescent="0.15">
      <c r="B11" s="603"/>
      <c r="C11" s="847" t="s">
        <v>226</v>
      </c>
      <c r="D11" s="848" t="s">
        <v>227</v>
      </c>
      <c r="E11" s="849" t="s">
        <v>228</v>
      </c>
      <c r="F11" s="849" t="s">
        <v>229</v>
      </c>
      <c r="G11" s="849" t="s">
        <v>230</v>
      </c>
      <c r="H11" s="849" t="s">
        <v>231</v>
      </c>
      <c r="K11" s="283" t="s">
        <v>232</v>
      </c>
      <c r="S11" s="283" t="s">
        <v>233</v>
      </c>
      <c r="AA11" s="850" t="s">
        <v>234</v>
      </c>
      <c r="AB11" s="851"/>
      <c r="AC11" s="851"/>
      <c r="AD11" s="851"/>
      <c r="AE11" s="851"/>
      <c r="AF11" s="852"/>
      <c r="AH11" s="284"/>
    </row>
    <row r="12" spans="2:64" ht="12" x14ac:dyDescent="0.15">
      <c r="B12" s="603"/>
      <c r="C12" s="853" t="s">
        <v>235</v>
      </c>
      <c r="D12" s="854" t="s">
        <v>236</v>
      </c>
      <c r="E12" s="855" t="s">
        <v>237</v>
      </c>
      <c r="F12" s="855">
        <v>9</v>
      </c>
      <c r="G12" s="856"/>
      <c r="H12" s="857"/>
      <c r="K12" s="850" t="s">
        <v>238</v>
      </c>
      <c r="L12" s="851"/>
      <c r="M12" s="851"/>
      <c r="N12" s="851"/>
      <c r="O12" s="851"/>
      <c r="P12" s="852"/>
      <c r="Q12" s="270"/>
      <c r="S12" s="850" t="s">
        <v>239</v>
      </c>
      <c r="T12" s="851"/>
      <c r="U12" s="851"/>
      <c r="V12" s="851"/>
      <c r="W12" s="851"/>
      <c r="X12" s="852"/>
      <c r="AA12" s="847" t="s">
        <v>226</v>
      </c>
      <c r="AB12" s="848" t="s">
        <v>227</v>
      </c>
      <c r="AC12" s="849" t="s">
        <v>228</v>
      </c>
      <c r="AD12" s="849" t="s">
        <v>240</v>
      </c>
      <c r="AE12" s="849" t="s">
        <v>241</v>
      </c>
      <c r="AF12" s="849" t="s">
        <v>231</v>
      </c>
      <c r="AH12" s="284"/>
    </row>
    <row r="13" spans="2:64" ht="11.25" x14ac:dyDescent="0.15">
      <c r="B13" s="603"/>
      <c r="C13" s="858" t="s">
        <v>242</v>
      </c>
      <c r="D13" s="859" t="s">
        <v>243</v>
      </c>
      <c r="E13" s="860" t="s">
        <v>237</v>
      </c>
      <c r="F13" s="860">
        <v>9</v>
      </c>
      <c r="G13" s="861"/>
      <c r="H13" s="862"/>
      <c r="K13" s="847" t="s">
        <v>226</v>
      </c>
      <c r="L13" s="848" t="s">
        <v>227</v>
      </c>
      <c r="M13" s="849" t="s">
        <v>228</v>
      </c>
      <c r="N13" s="849" t="s">
        <v>240</v>
      </c>
      <c r="O13" s="849" t="s">
        <v>241</v>
      </c>
      <c r="P13" s="849" t="s">
        <v>231</v>
      </c>
      <c r="Q13" s="270"/>
      <c r="S13" s="847" t="s">
        <v>226</v>
      </c>
      <c r="T13" s="848" t="s">
        <v>227</v>
      </c>
      <c r="U13" s="849" t="s">
        <v>228</v>
      </c>
      <c r="V13" s="849" t="s">
        <v>240</v>
      </c>
      <c r="W13" s="849" t="s">
        <v>241</v>
      </c>
      <c r="X13" s="849" t="s">
        <v>231</v>
      </c>
      <c r="AA13" s="863" t="s">
        <v>244</v>
      </c>
      <c r="AB13" s="859" t="s">
        <v>245</v>
      </c>
      <c r="AC13" s="864" t="s">
        <v>246</v>
      </c>
      <c r="AD13" s="864"/>
      <c r="AE13" s="865" t="s">
        <v>247</v>
      </c>
      <c r="AF13" s="857"/>
      <c r="AH13" s="284"/>
    </row>
    <row r="14" spans="2:64" ht="11.25" x14ac:dyDescent="0.15">
      <c r="B14" s="603"/>
      <c r="C14" s="866" t="s">
        <v>248</v>
      </c>
      <c r="D14" s="867" t="s">
        <v>249</v>
      </c>
      <c r="E14" s="868" t="s">
        <v>250</v>
      </c>
      <c r="F14" s="868" t="s">
        <v>251</v>
      </c>
      <c r="G14" s="869" t="s">
        <v>252</v>
      </c>
      <c r="H14" s="595"/>
      <c r="K14" s="866" t="s">
        <v>248</v>
      </c>
      <c r="L14" s="867" t="s">
        <v>249</v>
      </c>
      <c r="M14" s="870" t="s">
        <v>250</v>
      </c>
      <c r="N14" s="870" t="s">
        <v>251</v>
      </c>
      <c r="O14" s="871" t="s">
        <v>247</v>
      </c>
      <c r="P14" s="872"/>
      <c r="Q14" s="270"/>
      <c r="S14" s="873" t="s">
        <v>248</v>
      </c>
      <c r="T14" s="874" t="s">
        <v>253</v>
      </c>
      <c r="U14" s="870" t="s">
        <v>250</v>
      </c>
      <c r="V14" s="871" t="s">
        <v>251</v>
      </c>
      <c r="W14" s="869" t="s">
        <v>247</v>
      </c>
      <c r="X14" s="872"/>
      <c r="AA14" s="873" t="s">
        <v>248</v>
      </c>
      <c r="AB14" s="874" t="s">
        <v>249</v>
      </c>
      <c r="AC14" s="870" t="s">
        <v>250</v>
      </c>
      <c r="AD14" s="870"/>
      <c r="AE14" s="871" t="s">
        <v>247</v>
      </c>
      <c r="AF14" s="875"/>
      <c r="AH14" s="284"/>
    </row>
    <row r="15" spans="2:64" ht="11.25" x14ac:dyDescent="0.15">
      <c r="B15" s="603"/>
      <c r="C15" s="876" t="s">
        <v>254</v>
      </c>
      <c r="D15" s="859" t="s">
        <v>255</v>
      </c>
      <c r="E15" s="860" t="s">
        <v>246</v>
      </c>
      <c r="F15" s="860" t="s">
        <v>251</v>
      </c>
      <c r="G15" s="861" t="s">
        <v>251</v>
      </c>
      <c r="H15" s="877"/>
      <c r="K15" s="878" t="s">
        <v>244</v>
      </c>
      <c r="L15" s="859" t="s">
        <v>256</v>
      </c>
      <c r="M15" s="860" t="s">
        <v>246</v>
      </c>
      <c r="N15" s="860" t="s">
        <v>251</v>
      </c>
      <c r="O15" s="861" t="s">
        <v>247</v>
      </c>
      <c r="P15" s="877"/>
      <c r="Q15" s="270"/>
      <c r="S15" s="879" t="s">
        <v>244</v>
      </c>
      <c r="T15" s="859" t="s">
        <v>245</v>
      </c>
      <c r="U15" s="860" t="s">
        <v>246</v>
      </c>
      <c r="V15" s="861" t="s">
        <v>251</v>
      </c>
      <c r="W15" s="880" t="s">
        <v>247</v>
      </c>
      <c r="X15" s="881"/>
      <c r="AA15" s="882" t="s">
        <v>257</v>
      </c>
      <c r="AB15" s="859" t="s">
        <v>258</v>
      </c>
      <c r="AC15" s="860" t="s">
        <v>250</v>
      </c>
      <c r="AD15" s="860"/>
      <c r="AE15" s="861" t="s">
        <v>247</v>
      </c>
      <c r="AF15" s="877"/>
      <c r="AH15" s="284"/>
    </row>
    <row r="16" spans="2:64" ht="11.25" x14ac:dyDescent="0.15">
      <c r="B16" s="603"/>
      <c r="C16" s="883" t="s">
        <v>259</v>
      </c>
      <c r="D16" s="884" t="s">
        <v>260</v>
      </c>
      <c r="E16" s="885" t="s">
        <v>246</v>
      </c>
      <c r="F16" s="885"/>
      <c r="G16" s="886" t="s">
        <v>251</v>
      </c>
      <c r="H16" s="887">
        <v>1</v>
      </c>
      <c r="K16" s="882" t="s">
        <v>257</v>
      </c>
      <c r="L16" s="859" t="s">
        <v>258</v>
      </c>
      <c r="M16" s="860" t="s">
        <v>250</v>
      </c>
      <c r="N16" s="860" t="s">
        <v>251</v>
      </c>
      <c r="O16" s="861" t="s">
        <v>247</v>
      </c>
      <c r="P16" s="877"/>
      <c r="Q16" s="270"/>
      <c r="S16" s="879" t="s">
        <v>261</v>
      </c>
      <c r="T16" s="859" t="s">
        <v>262</v>
      </c>
      <c r="U16" s="860" t="s">
        <v>246</v>
      </c>
      <c r="V16" s="861" t="s">
        <v>251</v>
      </c>
      <c r="W16" s="880" t="s">
        <v>247</v>
      </c>
      <c r="X16" s="881"/>
      <c r="AA16" s="883" t="s">
        <v>263</v>
      </c>
      <c r="AB16" s="884" t="s">
        <v>264</v>
      </c>
      <c r="AC16" s="885" t="s">
        <v>246</v>
      </c>
      <c r="AD16" s="885"/>
      <c r="AE16" s="886"/>
      <c r="AF16" s="888"/>
      <c r="AH16" s="284"/>
    </row>
    <row r="17" spans="2:34" ht="11.25" x14ac:dyDescent="0.15">
      <c r="B17" s="603"/>
      <c r="C17" s="597"/>
      <c r="D17" s="598" t="s">
        <v>265</v>
      </c>
      <c r="E17" s="599"/>
      <c r="F17" s="599"/>
      <c r="G17" s="600"/>
      <c r="H17" s="601"/>
      <c r="K17" s="889" t="s">
        <v>266</v>
      </c>
      <c r="L17" s="874" t="s">
        <v>267</v>
      </c>
      <c r="M17" s="870" t="s">
        <v>237</v>
      </c>
      <c r="N17" s="870">
        <v>12</v>
      </c>
      <c r="O17" s="871"/>
      <c r="P17" s="875"/>
      <c r="Q17" s="270"/>
      <c r="S17" s="883" t="s">
        <v>268</v>
      </c>
      <c r="T17" s="884" t="s">
        <v>269</v>
      </c>
      <c r="U17" s="885" t="s">
        <v>246</v>
      </c>
      <c r="V17" s="886" t="s">
        <v>251</v>
      </c>
      <c r="W17" s="890" t="s">
        <v>247</v>
      </c>
      <c r="X17" s="891">
        <v>1</v>
      </c>
      <c r="AA17" s="858" t="s">
        <v>270</v>
      </c>
      <c r="AB17" s="859" t="s">
        <v>271</v>
      </c>
      <c r="AC17" s="860" t="s">
        <v>272</v>
      </c>
      <c r="AD17" s="860"/>
      <c r="AE17" s="861"/>
      <c r="AF17" s="877"/>
      <c r="AH17" s="284"/>
    </row>
    <row r="18" spans="2:34" ht="11.25" x14ac:dyDescent="0.15">
      <c r="B18" s="603"/>
      <c r="C18" s="882" t="s">
        <v>257</v>
      </c>
      <c r="D18" s="859" t="s">
        <v>258</v>
      </c>
      <c r="E18" s="860" t="s">
        <v>250</v>
      </c>
      <c r="F18" s="860" t="s">
        <v>251</v>
      </c>
      <c r="G18" s="861" t="s">
        <v>247</v>
      </c>
      <c r="H18" s="877"/>
      <c r="K18" s="883" t="s">
        <v>273</v>
      </c>
      <c r="L18" s="884" t="s">
        <v>274</v>
      </c>
      <c r="M18" s="885" t="s">
        <v>246</v>
      </c>
      <c r="N18" s="885" t="s">
        <v>251</v>
      </c>
      <c r="O18" s="886"/>
      <c r="P18" s="888"/>
      <c r="Q18" s="270"/>
      <c r="S18" s="597"/>
      <c r="T18" s="598" t="s">
        <v>275</v>
      </c>
      <c r="U18" s="599"/>
      <c r="V18" s="600"/>
      <c r="W18" s="600"/>
      <c r="X18" s="601"/>
      <c r="AA18" s="883" t="s">
        <v>276</v>
      </c>
      <c r="AB18" s="884" t="s">
        <v>277</v>
      </c>
      <c r="AC18" s="885" t="s">
        <v>278</v>
      </c>
      <c r="AD18" s="885"/>
      <c r="AE18" s="886"/>
      <c r="AF18" s="888"/>
      <c r="AH18" s="284"/>
    </row>
    <row r="19" spans="2:34" ht="11.25" x14ac:dyDescent="0.15">
      <c r="B19" s="603"/>
      <c r="C19" s="858" t="s">
        <v>279</v>
      </c>
      <c r="D19" s="859" t="s">
        <v>280</v>
      </c>
      <c r="E19" s="860" t="s">
        <v>237</v>
      </c>
      <c r="F19" s="860">
        <v>12</v>
      </c>
      <c r="G19" s="861"/>
      <c r="H19" s="877"/>
      <c r="K19" s="597"/>
      <c r="L19" s="598" t="s">
        <v>281</v>
      </c>
      <c r="M19" s="599"/>
      <c r="N19" s="599"/>
      <c r="O19" s="600"/>
      <c r="P19" s="601"/>
      <c r="Q19" s="270"/>
      <c r="S19" s="858" t="s">
        <v>282</v>
      </c>
      <c r="T19" s="859" t="s">
        <v>283</v>
      </c>
      <c r="U19" s="860" t="s">
        <v>284</v>
      </c>
      <c r="V19" s="861" t="s">
        <v>251</v>
      </c>
      <c r="W19" s="861" t="s">
        <v>251</v>
      </c>
      <c r="X19" s="877"/>
      <c r="AA19" s="858" t="s">
        <v>285</v>
      </c>
      <c r="AB19" s="859" t="s">
        <v>286</v>
      </c>
      <c r="AC19" s="860" t="s">
        <v>250</v>
      </c>
      <c r="AD19" s="860"/>
      <c r="AE19" s="861"/>
      <c r="AF19" s="877"/>
      <c r="AH19" s="284"/>
    </row>
    <row r="20" spans="2:34" ht="11.25" x14ac:dyDescent="0.15">
      <c r="B20" s="603"/>
      <c r="C20" s="858" t="s">
        <v>287</v>
      </c>
      <c r="D20" s="859" t="s">
        <v>288</v>
      </c>
      <c r="E20" s="860" t="s">
        <v>250</v>
      </c>
      <c r="F20" s="860" t="s">
        <v>251</v>
      </c>
      <c r="G20" s="861"/>
      <c r="H20" s="877"/>
      <c r="K20" s="597"/>
      <c r="L20" s="598" t="s">
        <v>289</v>
      </c>
      <c r="M20" s="599"/>
      <c r="N20" s="599"/>
      <c r="O20" s="600"/>
      <c r="P20" s="601"/>
      <c r="Q20" s="270"/>
      <c r="S20" s="882" t="s">
        <v>257</v>
      </c>
      <c r="T20" s="859" t="s">
        <v>258</v>
      </c>
      <c r="U20" s="860" t="s">
        <v>250</v>
      </c>
      <c r="V20" s="861" t="s">
        <v>251</v>
      </c>
      <c r="W20" s="861" t="s">
        <v>247</v>
      </c>
      <c r="X20" s="877"/>
      <c r="AA20" s="892" t="s">
        <v>290</v>
      </c>
      <c r="AB20" s="893" t="s">
        <v>291</v>
      </c>
      <c r="AC20" s="894" t="s">
        <v>246</v>
      </c>
      <c r="AD20" s="894"/>
      <c r="AE20" s="895"/>
      <c r="AF20" s="896"/>
      <c r="AH20" s="284"/>
    </row>
    <row r="21" spans="2:34" ht="11.25" x14ac:dyDescent="0.15">
      <c r="B21" s="603"/>
      <c r="C21" s="889" t="s">
        <v>292</v>
      </c>
      <c r="D21" s="874" t="s">
        <v>293</v>
      </c>
      <c r="E21" s="870" t="s">
        <v>237</v>
      </c>
      <c r="F21" s="870">
        <v>12</v>
      </c>
      <c r="G21" s="871"/>
      <c r="H21" s="875"/>
      <c r="K21" s="597"/>
      <c r="L21" s="598" t="s">
        <v>294</v>
      </c>
      <c r="M21" s="599"/>
      <c r="N21" s="599"/>
      <c r="O21" s="600"/>
      <c r="P21" s="601"/>
      <c r="Q21" s="270"/>
      <c r="S21" s="897" t="s">
        <v>295</v>
      </c>
      <c r="T21" s="859" t="s">
        <v>296</v>
      </c>
      <c r="U21" s="860" t="s">
        <v>297</v>
      </c>
      <c r="V21" s="860"/>
      <c r="W21" s="861"/>
      <c r="X21" s="877"/>
      <c r="AA21" s="898" t="s">
        <v>298</v>
      </c>
      <c r="AB21" s="874" t="s">
        <v>299</v>
      </c>
      <c r="AC21" s="870" t="s">
        <v>237</v>
      </c>
      <c r="AD21" s="870">
        <v>24</v>
      </c>
      <c r="AE21" s="871"/>
      <c r="AF21" s="875"/>
      <c r="AH21" s="284"/>
    </row>
    <row r="22" spans="2:34" ht="11.25" x14ac:dyDescent="0.15">
      <c r="B22" s="603"/>
      <c r="C22" s="858" t="s">
        <v>300</v>
      </c>
      <c r="D22" s="859" t="s">
        <v>301</v>
      </c>
      <c r="E22" s="860" t="s">
        <v>302</v>
      </c>
      <c r="F22" s="860" t="s">
        <v>251</v>
      </c>
      <c r="G22" s="861"/>
      <c r="H22" s="877"/>
      <c r="K22" s="597"/>
      <c r="L22" s="598" t="s">
        <v>303</v>
      </c>
      <c r="M22" s="599"/>
      <c r="N22" s="599"/>
      <c r="O22" s="600"/>
      <c r="P22" s="601"/>
      <c r="Q22" s="270"/>
      <c r="S22" s="899"/>
      <c r="T22" s="900"/>
      <c r="U22" s="900"/>
      <c r="V22" s="900"/>
      <c r="W22" s="900"/>
      <c r="X22" s="901"/>
      <c r="AA22" s="897" t="s">
        <v>304</v>
      </c>
      <c r="AB22" s="859" t="s">
        <v>305</v>
      </c>
      <c r="AC22" s="860" t="s">
        <v>237</v>
      </c>
      <c r="AD22" s="860">
        <v>12</v>
      </c>
      <c r="AE22" s="861"/>
      <c r="AF22" s="877"/>
      <c r="AH22" s="284"/>
    </row>
    <row r="23" spans="2:34" ht="11.25" x14ac:dyDescent="0.15">
      <c r="B23" s="603"/>
      <c r="C23" s="858" t="s">
        <v>306</v>
      </c>
      <c r="D23" s="859" t="s">
        <v>307</v>
      </c>
      <c r="E23" s="860" t="s">
        <v>302</v>
      </c>
      <c r="F23" s="860" t="s">
        <v>251</v>
      </c>
      <c r="G23" s="861"/>
      <c r="H23" s="877"/>
      <c r="K23" s="597"/>
      <c r="L23" s="598" t="s">
        <v>308</v>
      </c>
      <c r="M23" s="599"/>
      <c r="N23" s="599"/>
      <c r="O23" s="600"/>
      <c r="P23" s="601"/>
      <c r="Q23" s="270"/>
      <c r="S23" s="275"/>
      <c r="X23" s="276"/>
      <c r="AA23" s="897" t="s">
        <v>309</v>
      </c>
      <c r="AB23" s="859" t="s">
        <v>310</v>
      </c>
      <c r="AC23" s="860" t="s">
        <v>237</v>
      </c>
      <c r="AD23" s="860">
        <v>6</v>
      </c>
      <c r="AE23" s="861"/>
      <c r="AF23" s="877"/>
      <c r="AH23" s="284"/>
    </row>
    <row r="24" spans="2:34" ht="11.25" x14ac:dyDescent="0.15">
      <c r="B24" s="603"/>
      <c r="C24" s="858" t="s">
        <v>311</v>
      </c>
      <c r="D24" s="859" t="s">
        <v>312</v>
      </c>
      <c r="E24" s="860" t="s">
        <v>302</v>
      </c>
      <c r="F24" s="860" t="s">
        <v>251</v>
      </c>
      <c r="G24" s="861"/>
      <c r="H24" s="877"/>
      <c r="K24" s="858" t="s">
        <v>313</v>
      </c>
      <c r="L24" s="859" t="s">
        <v>314</v>
      </c>
      <c r="M24" s="860" t="s">
        <v>237</v>
      </c>
      <c r="N24" s="860">
        <v>24</v>
      </c>
      <c r="O24" s="861"/>
      <c r="P24" s="877"/>
      <c r="Q24" s="270"/>
      <c r="S24" s="275"/>
      <c r="X24" s="276"/>
      <c r="AA24" s="902" t="s">
        <v>315</v>
      </c>
      <c r="AB24" s="884" t="s">
        <v>316</v>
      </c>
      <c r="AC24" s="885" t="s">
        <v>250</v>
      </c>
      <c r="AD24" s="885"/>
      <c r="AE24" s="886"/>
      <c r="AF24" s="888"/>
      <c r="AH24" s="284"/>
    </row>
    <row r="25" spans="2:34" ht="11.25" x14ac:dyDescent="0.15">
      <c r="B25" s="603"/>
      <c r="C25" s="889" t="s">
        <v>317</v>
      </c>
      <c r="D25" s="874" t="s">
        <v>318</v>
      </c>
      <c r="E25" s="870" t="s">
        <v>246</v>
      </c>
      <c r="F25" s="870" t="s">
        <v>251</v>
      </c>
      <c r="G25" s="871"/>
      <c r="H25" s="875"/>
      <c r="K25" s="858" t="s">
        <v>319</v>
      </c>
      <c r="L25" s="859" t="s">
        <v>320</v>
      </c>
      <c r="M25" s="860" t="s">
        <v>237</v>
      </c>
      <c r="N25" s="860">
        <v>24</v>
      </c>
      <c r="O25" s="861"/>
      <c r="P25" s="877"/>
      <c r="Q25" s="270"/>
      <c r="S25" s="275"/>
      <c r="X25" s="276"/>
      <c r="AA25" s="716"/>
      <c r="AB25" s="854" t="s">
        <v>321</v>
      </c>
      <c r="AC25" s="855"/>
      <c r="AD25" s="855"/>
      <c r="AE25" s="856"/>
      <c r="AF25" s="715"/>
      <c r="AH25" s="284"/>
    </row>
    <row r="26" spans="2:34" x14ac:dyDescent="0.15">
      <c r="B26" s="603"/>
      <c r="C26" s="903" t="s">
        <v>322</v>
      </c>
      <c r="D26" s="893" t="s">
        <v>323</v>
      </c>
      <c r="E26" s="894" t="s">
        <v>246</v>
      </c>
      <c r="F26" s="894" t="s">
        <v>251</v>
      </c>
      <c r="G26" s="895"/>
      <c r="H26" s="896"/>
      <c r="K26" s="858" t="s">
        <v>324</v>
      </c>
      <c r="L26" s="859" t="s">
        <v>325</v>
      </c>
      <c r="M26" s="860" t="s">
        <v>246</v>
      </c>
      <c r="N26" s="860" t="s">
        <v>251</v>
      </c>
      <c r="O26" s="861"/>
      <c r="P26" s="877"/>
      <c r="S26" s="275"/>
      <c r="X26" s="276"/>
      <c r="AA26" s="897" t="s">
        <v>326</v>
      </c>
      <c r="AB26" s="859" t="s">
        <v>326</v>
      </c>
      <c r="AC26" s="860"/>
      <c r="AD26" s="860"/>
      <c r="AE26" s="861"/>
      <c r="AF26" s="877"/>
      <c r="AH26" s="284"/>
    </row>
    <row r="27" spans="2:34" ht="11.25" x14ac:dyDescent="0.15">
      <c r="B27" s="603"/>
      <c r="C27" s="889" t="s">
        <v>327</v>
      </c>
      <c r="D27" s="874" t="s">
        <v>328</v>
      </c>
      <c r="E27" s="870" t="s">
        <v>246</v>
      </c>
      <c r="F27" s="870" t="s">
        <v>251</v>
      </c>
      <c r="G27" s="871"/>
      <c r="H27" s="875"/>
      <c r="K27" s="858" t="s">
        <v>329</v>
      </c>
      <c r="L27" s="859" t="s">
        <v>330</v>
      </c>
      <c r="M27" s="860" t="s">
        <v>250</v>
      </c>
      <c r="N27" s="860" t="s">
        <v>251</v>
      </c>
      <c r="O27" s="861"/>
      <c r="P27" s="877"/>
      <c r="Q27" s="270"/>
      <c r="S27" s="275"/>
      <c r="X27" s="276"/>
      <c r="AA27" s="897" t="s">
        <v>331</v>
      </c>
      <c r="AB27" s="859" t="s">
        <v>332</v>
      </c>
      <c r="AC27" s="860" t="s">
        <v>237</v>
      </c>
      <c r="AD27" s="860">
        <v>7</v>
      </c>
      <c r="AE27" s="861"/>
      <c r="AF27" s="877"/>
      <c r="AH27" s="284"/>
    </row>
    <row r="28" spans="2:34" ht="11.25" x14ac:dyDescent="0.15">
      <c r="B28" s="603"/>
      <c r="C28" s="883" t="s">
        <v>290</v>
      </c>
      <c r="D28" s="884" t="s">
        <v>291</v>
      </c>
      <c r="E28" s="885" t="s">
        <v>246</v>
      </c>
      <c r="F28" s="885" t="s">
        <v>251</v>
      </c>
      <c r="G28" s="886"/>
      <c r="H28" s="888"/>
      <c r="K28" s="889" t="s">
        <v>333</v>
      </c>
      <c r="L28" s="874" t="s">
        <v>334</v>
      </c>
      <c r="M28" s="870" t="s">
        <v>250</v>
      </c>
      <c r="N28" s="870" t="s">
        <v>251</v>
      </c>
      <c r="O28" s="871"/>
      <c r="P28" s="875"/>
      <c r="Q28" s="270"/>
      <c r="S28" s="275"/>
      <c r="X28" s="276"/>
      <c r="AA28" s="897" t="s">
        <v>335</v>
      </c>
      <c r="AB28" s="859" t="s">
        <v>335</v>
      </c>
      <c r="AC28" s="860"/>
      <c r="AD28" s="860"/>
      <c r="AE28" s="861"/>
      <c r="AF28" s="877"/>
      <c r="AH28" s="284"/>
    </row>
    <row r="29" spans="2:34" ht="11.25" x14ac:dyDescent="0.15">
      <c r="B29" s="603"/>
      <c r="C29" s="714"/>
      <c r="D29" s="854" t="s">
        <v>336</v>
      </c>
      <c r="E29" s="855"/>
      <c r="F29" s="855"/>
      <c r="G29" s="856"/>
      <c r="H29" s="715"/>
      <c r="K29" s="858" t="s">
        <v>337</v>
      </c>
      <c r="L29" s="859" t="s">
        <v>338</v>
      </c>
      <c r="M29" s="860" t="s">
        <v>278</v>
      </c>
      <c r="N29" s="860" t="s">
        <v>251</v>
      </c>
      <c r="O29" s="861"/>
      <c r="P29" s="877"/>
      <c r="Q29" s="270"/>
      <c r="S29" s="275"/>
      <c r="X29" s="276"/>
      <c r="AH29" s="284"/>
    </row>
    <row r="30" spans="2:34" ht="11.25" x14ac:dyDescent="0.15">
      <c r="B30" s="603"/>
      <c r="C30" s="858" t="s">
        <v>339</v>
      </c>
      <c r="D30" s="859" t="s">
        <v>340</v>
      </c>
      <c r="E30" s="860" t="s">
        <v>237</v>
      </c>
      <c r="F30" s="860">
        <v>24</v>
      </c>
      <c r="G30" s="861"/>
      <c r="H30" s="877"/>
      <c r="K30" s="889" t="s">
        <v>341</v>
      </c>
      <c r="L30" s="874" t="s">
        <v>342</v>
      </c>
      <c r="M30" s="870" t="s">
        <v>237</v>
      </c>
      <c r="N30" s="870">
        <v>4</v>
      </c>
      <c r="O30" s="871"/>
      <c r="P30" s="875"/>
      <c r="Q30" s="270"/>
      <c r="S30" s="275"/>
      <c r="X30" s="276"/>
      <c r="AH30" s="284"/>
    </row>
    <row r="31" spans="2:34" ht="12" x14ac:dyDescent="0.15">
      <c r="B31" s="603"/>
      <c r="C31" s="889" t="s">
        <v>343</v>
      </c>
      <c r="D31" s="874" t="s">
        <v>344</v>
      </c>
      <c r="E31" s="870" t="s">
        <v>237</v>
      </c>
      <c r="F31" s="870">
        <v>24</v>
      </c>
      <c r="G31" s="871"/>
      <c r="H31" s="875"/>
      <c r="K31" s="889" t="s">
        <v>345</v>
      </c>
      <c r="L31" s="874" t="s">
        <v>346</v>
      </c>
      <c r="M31" s="870" t="s">
        <v>246</v>
      </c>
      <c r="N31" s="870" t="s">
        <v>251</v>
      </c>
      <c r="O31" s="871"/>
      <c r="P31" s="875"/>
      <c r="Q31" s="270"/>
      <c r="S31" s="275"/>
      <c r="X31" s="276"/>
      <c r="AA31" s="283" t="s">
        <v>347</v>
      </c>
      <c r="AH31" s="284"/>
    </row>
    <row r="32" spans="2:34" ht="12" x14ac:dyDescent="0.15">
      <c r="B32" s="603"/>
      <c r="C32" s="903" t="s">
        <v>348</v>
      </c>
      <c r="D32" s="893" t="s">
        <v>349</v>
      </c>
      <c r="E32" s="894" t="s">
        <v>246</v>
      </c>
      <c r="F32" s="894" t="s">
        <v>251</v>
      </c>
      <c r="G32" s="895"/>
      <c r="H32" s="896"/>
      <c r="K32" s="858" t="s">
        <v>350</v>
      </c>
      <c r="L32" s="859" t="s">
        <v>351</v>
      </c>
      <c r="M32" s="860" t="s">
        <v>284</v>
      </c>
      <c r="N32" s="860" t="s">
        <v>251</v>
      </c>
      <c r="O32" s="861"/>
      <c r="P32" s="877"/>
      <c r="Q32" s="270"/>
      <c r="S32" s="275"/>
      <c r="X32" s="276"/>
      <c r="AA32" s="850" t="s">
        <v>352</v>
      </c>
      <c r="AB32" s="851"/>
      <c r="AC32" s="851"/>
      <c r="AD32" s="851"/>
      <c r="AE32" s="851"/>
      <c r="AF32" s="852"/>
      <c r="AH32" s="284"/>
    </row>
    <row r="33" spans="2:34" ht="11.25" x14ac:dyDescent="0.15">
      <c r="B33" s="603"/>
      <c r="C33" s="858" t="s">
        <v>353</v>
      </c>
      <c r="D33" s="859" t="s">
        <v>354</v>
      </c>
      <c r="E33" s="860" t="s">
        <v>355</v>
      </c>
      <c r="F33" s="860" t="s">
        <v>251</v>
      </c>
      <c r="G33" s="861"/>
      <c r="H33" s="877"/>
      <c r="K33" s="858" t="s">
        <v>356</v>
      </c>
      <c r="L33" s="859" t="s">
        <v>357</v>
      </c>
      <c r="M33" s="860" t="s">
        <v>284</v>
      </c>
      <c r="N33" s="860" t="s">
        <v>251</v>
      </c>
      <c r="O33" s="861"/>
      <c r="P33" s="877"/>
      <c r="Q33" s="270"/>
      <c r="S33" s="275"/>
      <c r="X33" s="276"/>
      <c r="AA33" s="847" t="s">
        <v>226</v>
      </c>
      <c r="AB33" s="848" t="s">
        <v>227</v>
      </c>
      <c r="AC33" s="849" t="s">
        <v>228</v>
      </c>
      <c r="AD33" s="849" t="s">
        <v>240</v>
      </c>
      <c r="AE33" s="849" t="s">
        <v>241</v>
      </c>
      <c r="AF33" s="849" t="s">
        <v>231</v>
      </c>
      <c r="AH33" s="284"/>
    </row>
    <row r="34" spans="2:34" ht="11.25" x14ac:dyDescent="0.15">
      <c r="B34" s="603"/>
      <c r="C34" s="897" t="s">
        <v>335</v>
      </c>
      <c r="D34" s="859" t="s">
        <v>335</v>
      </c>
      <c r="E34" s="860"/>
      <c r="F34" s="860"/>
      <c r="G34" s="861"/>
      <c r="H34" s="877"/>
      <c r="K34" s="858" t="s">
        <v>358</v>
      </c>
      <c r="L34" s="859" t="s">
        <v>359</v>
      </c>
      <c r="M34" s="860" t="s">
        <v>284</v>
      </c>
      <c r="N34" s="860" t="s">
        <v>251</v>
      </c>
      <c r="O34" s="861"/>
      <c r="P34" s="877"/>
      <c r="Q34" s="270"/>
      <c r="S34" s="275"/>
      <c r="X34" s="276"/>
      <c r="AA34" s="904" t="s">
        <v>360</v>
      </c>
      <c r="AB34" s="859" t="s">
        <v>245</v>
      </c>
      <c r="AC34" s="860" t="s">
        <v>246</v>
      </c>
      <c r="AD34" s="864"/>
      <c r="AE34" s="885" t="s">
        <v>252</v>
      </c>
      <c r="AF34" s="905"/>
      <c r="AH34" s="284"/>
    </row>
    <row r="35" spans="2:34" ht="11.25" x14ac:dyDescent="0.15">
      <c r="B35" s="603"/>
      <c r="C35" s="286"/>
      <c r="D35" s="287"/>
      <c r="E35" s="288"/>
      <c r="F35" s="288"/>
      <c r="G35" s="288"/>
      <c r="H35" s="288"/>
      <c r="K35" s="883" t="s">
        <v>361</v>
      </c>
      <c r="L35" s="884" t="s">
        <v>362</v>
      </c>
      <c r="M35" s="885" t="s">
        <v>246</v>
      </c>
      <c r="N35" s="885" t="s">
        <v>251</v>
      </c>
      <c r="O35" s="886"/>
      <c r="P35" s="888"/>
      <c r="Q35" s="270"/>
      <c r="S35" s="275"/>
      <c r="X35" s="276"/>
      <c r="AA35" s="906" t="s">
        <v>363</v>
      </c>
      <c r="AB35" s="859" t="s">
        <v>364</v>
      </c>
      <c r="AC35" s="860" t="s">
        <v>355</v>
      </c>
      <c r="AD35" s="860"/>
      <c r="AE35" s="860" t="s">
        <v>247</v>
      </c>
      <c r="AF35" s="907"/>
      <c r="AH35" s="284"/>
    </row>
    <row r="36" spans="2:34" ht="11.25" x14ac:dyDescent="0.15">
      <c r="B36" s="603"/>
      <c r="C36" s="286"/>
      <c r="D36" s="287"/>
      <c r="E36" s="288"/>
      <c r="F36" s="288"/>
      <c r="G36" s="288"/>
      <c r="H36" s="288"/>
      <c r="K36" s="889" t="s">
        <v>365</v>
      </c>
      <c r="L36" s="874" t="s">
        <v>366</v>
      </c>
      <c r="M36" s="870" t="s">
        <v>237</v>
      </c>
      <c r="N36" s="870">
        <v>12</v>
      </c>
      <c r="O36" s="871"/>
      <c r="P36" s="875"/>
      <c r="Q36" s="270"/>
      <c r="S36" s="275"/>
      <c r="X36" s="276"/>
      <c r="AA36" s="873" t="s">
        <v>248</v>
      </c>
      <c r="AB36" s="874" t="s">
        <v>249</v>
      </c>
      <c r="AC36" s="870" t="s">
        <v>250</v>
      </c>
      <c r="AD36" s="870"/>
      <c r="AE36" s="870" t="s">
        <v>247</v>
      </c>
      <c r="AF36" s="908"/>
      <c r="AH36" s="284"/>
    </row>
    <row r="37" spans="2:34" ht="12" x14ac:dyDescent="0.15">
      <c r="B37" s="603"/>
      <c r="C37" s="283" t="s">
        <v>367</v>
      </c>
      <c r="D37" s="287"/>
      <c r="E37" s="288"/>
      <c r="F37" s="288"/>
      <c r="G37" s="288"/>
      <c r="H37" s="288"/>
      <c r="K37" s="858" t="s">
        <v>326</v>
      </c>
      <c r="L37" s="859" t="s">
        <v>326</v>
      </c>
      <c r="M37" s="860"/>
      <c r="N37" s="860"/>
      <c r="O37" s="861"/>
      <c r="P37" s="877"/>
      <c r="Q37" s="270"/>
      <c r="S37" s="275"/>
      <c r="X37" s="276"/>
      <c r="AA37" s="882" t="s">
        <v>368</v>
      </c>
      <c r="AB37" s="884" t="s">
        <v>258</v>
      </c>
      <c r="AC37" s="885" t="s">
        <v>250</v>
      </c>
      <c r="AD37" s="885"/>
      <c r="AE37" s="885" t="s">
        <v>247</v>
      </c>
      <c r="AF37" s="909"/>
      <c r="AH37" s="284"/>
    </row>
    <row r="38" spans="2:34" ht="12" x14ac:dyDescent="0.15">
      <c r="B38" s="603"/>
      <c r="C38" s="850" t="s">
        <v>369</v>
      </c>
      <c r="D38" s="851"/>
      <c r="E38" s="851"/>
      <c r="F38" s="851"/>
      <c r="G38" s="851"/>
      <c r="H38" s="852"/>
      <c r="K38" s="858" t="s">
        <v>370</v>
      </c>
      <c r="L38" s="910" t="s">
        <v>371</v>
      </c>
      <c r="M38" s="860" t="s">
        <v>237</v>
      </c>
      <c r="N38" s="860">
        <v>75</v>
      </c>
      <c r="O38" s="861"/>
      <c r="P38" s="877"/>
      <c r="Q38" s="270"/>
      <c r="S38" s="275"/>
      <c r="X38" s="276"/>
      <c r="AA38" s="858" t="s">
        <v>372</v>
      </c>
      <c r="AB38" s="859" t="s">
        <v>373</v>
      </c>
      <c r="AC38" s="860" t="s">
        <v>237</v>
      </c>
      <c r="AD38" s="860">
        <v>12</v>
      </c>
      <c r="AE38" s="860" t="s">
        <v>251</v>
      </c>
      <c r="AF38" s="907"/>
      <c r="AH38" s="284"/>
    </row>
    <row r="39" spans="2:34" ht="11.25" x14ac:dyDescent="0.15">
      <c r="B39" s="603"/>
      <c r="C39" s="847" t="s">
        <v>226</v>
      </c>
      <c r="D39" s="848" t="s">
        <v>227</v>
      </c>
      <c r="E39" s="849" t="s">
        <v>228</v>
      </c>
      <c r="F39" s="849" t="s">
        <v>229</v>
      </c>
      <c r="G39" s="849" t="s">
        <v>230</v>
      </c>
      <c r="H39" s="849" t="s">
        <v>231</v>
      </c>
      <c r="K39" s="858" t="s">
        <v>326</v>
      </c>
      <c r="L39" s="859" t="s">
        <v>326</v>
      </c>
      <c r="M39" s="860"/>
      <c r="N39" s="860" t="s">
        <v>251</v>
      </c>
      <c r="O39" s="861"/>
      <c r="P39" s="877"/>
      <c r="Q39" s="270"/>
      <c r="S39" s="275"/>
      <c r="X39" s="276"/>
      <c r="AA39" s="858" t="s">
        <v>374</v>
      </c>
      <c r="AB39" s="859" t="s">
        <v>375</v>
      </c>
      <c r="AC39" s="860" t="s">
        <v>355</v>
      </c>
      <c r="AD39" s="860"/>
      <c r="AE39" s="860" t="s">
        <v>251</v>
      </c>
      <c r="AF39" s="907"/>
      <c r="AH39" s="284"/>
    </row>
    <row r="40" spans="2:34" ht="11.25" x14ac:dyDescent="0.15">
      <c r="B40" s="603"/>
      <c r="C40" s="873" t="s">
        <v>376</v>
      </c>
      <c r="D40" s="874" t="s">
        <v>249</v>
      </c>
      <c r="E40" s="870" t="s">
        <v>250</v>
      </c>
      <c r="F40" s="871"/>
      <c r="G40" s="869" t="s">
        <v>247</v>
      </c>
      <c r="H40" s="872"/>
      <c r="K40" s="883" t="s">
        <v>377</v>
      </c>
      <c r="L40" s="884" t="s">
        <v>378</v>
      </c>
      <c r="M40" s="885" t="s">
        <v>246</v>
      </c>
      <c r="N40" s="885" t="s">
        <v>251</v>
      </c>
      <c r="O40" s="886"/>
      <c r="P40" s="888"/>
      <c r="Q40" s="270"/>
      <c r="S40" s="275"/>
      <c r="X40" s="276"/>
      <c r="AA40" s="897" t="s">
        <v>335</v>
      </c>
      <c r="AB40" s="859" t="s">
        <v>335</v>
      </c>
      <c r="AC40" s="860"/>
      <c r="AD40" s="860"/>
      <c r="AE40" s="861"/>
      <c r="AF40" s="877"/>
      <c r="AH40" s="284"/>
    </row>
    <row r="41" spans="2:34" ht="11.25" x14ac:dyDescent="0.15">
      <c r="B41" s="603"/>
      <c r="C41" s="882" t="s">
        <v>368</v>
      </c>
      <c r="D41" s="859" t="s">
        <v>379</v>
      </c>
      <c r="E41" s="860" t="s">
        <v>250</v>
      </c>
      <c r="F41" s="861"/>
      <c r="G41" s="880" t="s">
        <v>247</v>
      </c>
      <c r="H41" s="881"/>
      <c r="K41" s="714"/>
      <c r="L41" s="854" t="s">
        <v>380</v>
      </c>
      <c r="M41" s="855"/>
      <c r="N41" s="855"/>
      <c r="O41" s="856"/>
      <c r="P41" s="715"/>
      <c r="Q41" s="270"/>
      <c r="S41" s="275"/>
      <c r="X41" s="276"/>
      <c r="AH41" s="284"/>
    </row>
    <row r="42" spans="2:34" ht="11.25" x14ac:dyDescent="0.15">
      <c r="B42" s="603"/>
      <c r="C42" s="876" t="s">
        <v>381</v>
      </c>
      <c r="D42" s="859" t="s">
        <v>382</v>
      </c>
      <c r="E42" s="860" t="s">
        <v>246</v>
      </c>
      <c r="F42" s="861"/>
      <c r="G42" s="880"/>
      <c r="H42" s="881"/>
      <c r="K42" s="858" t="s">
        <v>335</v>
      </c>
      <c r="L42" s="859" t="s">
        <v>335</v>
      </c>
      <c r="M42" s="860"/>
      <c r="N42" s="860"/>
      <c r="O42" s="861"/>
      <c r="P42" s="877"/>
      <c r="Q42" s="270"/>
      <c r="S42" s="275"/>
      <c r="X42" s="276"/>
      <c r="AH42" s="284"/>
    </row>
    <row r="43" spans="2:34" ht="12" x14ac:dyDescent="0.15">
      <c r="B43" s="603"/>
      <c r="C43" s="883" t="s">
        <v>383</v>
      </c>
      <c r="D43" s="884" t="s">
        <v>384</v>
      </c>
      <c r="E43" s="885" t="s">
        <v>250</v>
      </c>
      <c r="F43" s="886"/>
      <c r="G43" s="890"/>
      <c r="H43" s="891"/>
      <c r="K43" s="911" t="s">
        <v>385</v>
      </c>
      <c r="L43" s="884" t="s">
        <v>386</v>
      </c>
      <c r="M43" s="885" t="s">
        <v>246</v>
      </c>
      <c r="N43" s="885" t="s">
        <v>251</v>
      </c>
      <c r="O43" s="886"/>
      <c r="P43" s="888"/>
      <c r="Q43" s="270"/>
      <c r="S43" s="275"/>
      <c r="X43" s="276"/>
      <c r="AA43" s="283" t="s">
        <v>387</v>
      </c>
      <c r="AH43" s="284"/>
    </row>
    <row r="44" spans="2:34" ht="12" x14ac:dyDescent="0.15">
      <c r="B44" s="603"/>
      <c r="C44" s="858" t="s">
        <v>388</v>
      </c>
      <c r="D44" s="859" t="s">
        <v>389</v>
      </c>
      <c r="E44" s="860" t="s">
        <v>302</v>
      </c>
      <c r="F44" s="861"/>
      <c r="G44" s="861"/>
      <c r="H44" s="877"/>
      <c r="K44" s="714"/>
      <c r="L44" s="732" t="s">
        <v>390</v>
      </c>
      <c r="M44" s="855"/>
      <c r="N44" s="855"/>
      <c r="O44" s="856"/>
      <c r="P44" s="715"/>
      <c r="Q44" s="270"/>
      <c r="S44" s="847" t="s">
        <v>226</v>
      </c>
      <c r="T44" s="848" t="s">
        <v>227</v>
      </c>
      <c r="U44" s="849" t="s">
        <v>228</v>
      </c>
      <c r="V44" s="849" t="s">
        <v>240</v>
      </c>
      <c r="W44" s="849" t="s">
        <v>241</v>
      </c>
      <c r="X44" s="849" t="s">
        <v>231</v>
      </c>
      <c r="AA44" s="850" t="s">
        <v>391</v>
      </c>
      <c r="AB44" s="851"/>
      <c r="AC44" s="851"/>
      <c r="AD44" s="851"/>
      <c r="AE44" s="852"/>
      <c r="AF44" s="852"/>
      <c r="AH44" s="284"/>
    </row>
    <row r="45" spans="2:34" ht="11.25" x14ac:dyDescent="0.15">
      <c r="B45" s="603"/>
      <c r="C45" s="912" t="s">
        <v>392</v>
      </c>
      <c r="D45" s="859" t="s">
        <v>393</v>
      </c>
      <c r="E45" s="860" t="s">
        <v>237</v>
      </c>
      <c r="F45" s="861">
        <v>24</v>
      </c>
      <c r="G45" s="861"/>
      <c r="H45" s="877"/>
      <c r="K45" s="858" t="s">
        <v>335</v>
      </c>
      <c r="L45" s="859" t="s">
        <v>335</v>
      </c>
      <c r="M45" s="860"/>
      <c r="N45" s="860"/>
      <c r="O45" s="861"/>
      <c r="P45" s="877"/>
      <c r="Q45" s="270"/>
      <c r="S45" s="873" t="s">
        <v>248</v>
      </c>
      <c r="T45" s="874" t="s">
        <v>253</v>
      </c>
      <c r="U45" s="870" t="s">
        <v>250</v>
      </c>
      <c r="V45" s="871" t="s">
        <v>251</v>
      </c>
      <c r="W45" s="869" t="s">
        <v>247</v>
      </c>
      <c r="X45" s="872"/>
      <c r="AA45" s="847" t="s">
        <v>226</v>
      </c>
      <c r="AB45" s="848" t="s">
        <v>227</v>
      </c>
      <c r="AC45" s="849" t="s">
        <v>228</v>
      </c>
      <c r="AD45" s="849" t="s">
        <v>240</v>
      </c>
      <c r="AE45" s="849" t="s">
        <v>241</v>
      </c>
      <c r="AF45" s="849" t="s">
        <v>231</v>
      </c>
      <c r="AH45" s="284"/>
    </row>
    <row r="46" spans="2:34" ht="11.25" x14ac:dyDescent="0.15">
      <c r="B46" s="603"/>
      <c r="C46" s="897" t="s">
        <v>394</v>
      </c>
      <c r="D46" s="859" t="s">
        <v>395</v>
      </c>
      <c r="E46" s="860" t="s">
        <v>278</v>
      </c>
      <c r="F46" s="860"/>
      <c r="G46" s="861"/>
      <c r="H46" s="877"/>
      <c r="Q46" s="270"/>
      <c r="S46" s="879" t="s">
        <v>244</v>
      </c>
      <c r="T46" s="859" t="s">
        <v>245</v>
      </c>
      <c r="U46" s="860" t="s">
        <v>246</v>
      </c>
      <c r="V46" s="861" t="s">
        <v>251</v>
      </c>
      <c r="W46" s="880" t="s">
        <v>247</v>
      </c>
      <c r="X46" s="881"/>
      <c r="AA46" s="873" t="s">
        <v>248</v>
      </c>
      <c r="AB46" s="874" t="s">
        <v>249</v>
      </c>
      <c r="AC46" s="870" t="s">
        <v>250</v>
      </c>
      <c r="AD46" s="870" t="s">
        <v>251</v>
      </c>
      <c r="AE46" s="871" t="s">
        <v>247</v>
      </c>
      <c r="AF46" s="913"/>
      <c r="AH46" s="284"/>
    </row>
    <row r="47" spans="2:34" ht="11.25" x14ac:dyDescent="0.15">
      <c r="B47" s="603"/>
      <c r="C47" s="897" t="s">
        <v>335</v>
      </c>
      <c r="D47" s="859" t="s">
        <v>335</v>
      </c>
      <c r="E47" s="860"/>
      <c r="F47" s="860"/>
      <c r="G47" s="861"/>
      <c r="H47" s="877"/>
      <c r="Q47" s="270"/>
      <c r="S47" s="879" t="s">
        <v>261</v>
      </c>
      <c r="T47" s="859" t="s">
        <v>262</v>
      </c>
      <c r="U47" s="860" t="s">
        <v>246</v>
      </c>
      <c r="V47" s="861" t="s">
        <v>251</v>
      </c>
      <c r="W47" s="880" t="s">
        <v>247</v>
      </c>
      <c r="X47" s="881"/>
      <c r="AA47" s="914" t="s">
        <v>244</v>
      </c>
      <c r="AB47" s="859" t="s">
        <v>245</v>
      </c>
      <c r="AC47" s="860" t="s">
        <v>246</v>
      </c>
      <c r="AD47" s="860" t="s">
        <v>251</v>
      </c>
      <c r="AE47" s="861" t="s">
        <v>247</v>
      </c>
      <c r="AF47" s="907"/>
      <c r="AH47" s="284"/>
    </row>
    <row r="48" spans="2:34" ht="11.25" x14ac:dyDescent="0.15">
      <c r="B48" s="603"/>
      <c r="Q48" s="270"/>
      <c r="S48" s="883" t="s">
        <v>268</v>
      </c>
      <c r="T48" s="884" t="s">
        <v>269</v>
      </c>
      <c r="U48" s="885" t="s">
        <v>246</v>
      </c>
      <c r="V48" s="886" t="s">
        <v>251</v>
      </c>
      <c r="W48" s="890" t="s">
        <v>247</v>
      </c>
      <c r="X48" s="891">
        <v>3</v>
      </c>
      <c r="AA48" s="882" t="s">
        <v>257</v>
      </c>
      <c r="AB48" s="859" t="s">
        <v>258</v>
      </c>
      <c r="AC48" s="860" t="s">
        <v>250</v>
      </c>
      <c r="AD48" s="860" t="s">
        <v>251</v>
      </c>
      <c r="AE48" s="861" t="s">
        <v>247</v>
      </c>
      <c r="AF48" s="907"/>
      <c r="AH48" s="284"/>
    </row>
    <row r="49" spans="2:34" x14ac:dyDescent="0.15">
      <c r="B49" s="603"/>
      <c r="K49" s="283" t="s">
        <v>396</v>
      </c>
      <c r="S49" s="714"/>
      <c r="T49" s="854" t="s">
        <v>397</v>
      </c>
      <c r="U49" s="855"/>
      <c r="V49" s="856" t="s">
        <v>251</v>
      </c>
      <c r="W49" s="856" t="s">
        <v>251</v>
      </c>
      <c r="X49" s="715"/>
      <c r="AA49" s="915" t="s">
        <v>398</v>
      </c>
      <c r="AB49" s="884" t="s">
        <v>399</v>
      </c>
      <c r="AC49" s="885" t="s">
        <v>246</v>
      </c>
      <c r="AD49" s="885" t="s">
        <v>251</v>
      </c>
      <c r="AE49" s="886"/>
      <c r="AF49" s="909"/>
      <c r="AH49" s="284"/>
    </row>
    <row r="50" spans="2:34" x14ac:dyDescent="0.15">
      <c r="B50" s="603"/>
      <c r="K50" s="850" t="s">
        <v>400</v>
      </c>
      <c r="L50" s="851"/>
      <c r="M50" s="851"/>
      <c r="N50" s="851"/>
      <c r="O50" s="851"/>
      <c r="P50" s="852"/>
      <c r="S50" s="858" t="s">
        <v>282</v>
      </c>
      <c r="T50" s="859" t="s">
        <v>283</v>
      </c>
      <c r="U50" s="860" t="s">
        <v>284</v>
      </c>
      <c r="V50" s="861" t="s">
        <v>251</v>
      </c>
      <c r="W50" s="861" t="s">
        <v>251</v>
      </c>
      <c r="X50" s="877"/>
      <c r="AA50" s="714"/>
      <c r="AB50" s="854" t="s">
        <v>401</v>
      </c>
      <c r="AC50" s="855"/>
      <c r="AD50" s="855"/>
      <c r="AE50" s="856"/>
      <c r="AF50" s="733"/>
      <c r="AH50" s="284"/>
    </row>
    <row r="51" spans="2:34" x14ac:dyDescent="0.15">
      <c r="B51" s="603"/>
      <c r="K51" s="847" t="s">
        <v>226</v>
      </c>
      <c r="L51" s="848" t="s">
        <v>227</v>
      </c>
      <c r="M51" s="849" t="s">
        <v>228</v>
      </c>
      <c r="N51" s="849" t="s">
        <v>240</v>
      </c>
      <c r="O51" s="849" t="s">
        <v>241</v>
      </c>
      <c r="P51" s="849" t="s">
        <v>231</v>
      </c>
      <c r="S51" s="882" t="s">
        <v>257</v>
      </c>
      <c r="T51" s="859" t="s">
        <v>258</v>
      </c>
      <c r="U51" s="860" t="s">
        <v>250</v>
      </c>
      <c r="V51" s="861" t="s">
        <v>251</v>
      </c>
      <c r="W51" s="861" t="s">
        <v>247</v>
      </c>
      <c r="X51" s="877"/>
      <c r="AA51" s="858" t="s">
        <v>402</v>
      </c>
      <c r="AB51" s="859" t="s">
        <v>403</v>
      </c>
      <c r="AC51" s="860" t="s">
        <v>246</v>
      </c>
      <c r="AD51" s="860" t="s">
        <v>251</v>
      </c>
      <c r="AE51" s="861" t="s">
        <v>251</v>
      </c>
      <c r="AF51" s="907"/>
      <c r="AH51" s="284"/>
    </row>
    <row r="52" spans="2:34" x14ac:dyDescent="0.15">
      <c r="B52" s="603"/>
      <c r="K52" s="878" t="s">
        <v>244</v>
      </c>
      <c r="L52" s="859" t="s">
        <v>245</v>
      </c>
      <c r="M52" s="860" t="s">
        <v>246</v>
      </c>
      <c r="N52" s="864"/>
      <c r="O52" s="885" t="s">
        <v>252</v>
      </c>
      <c r="P52" s="905"/>
      <c r="S52" s="897" t="s">
        <v>295</v>
      </c>
      <c r="T52" s="859" t="s">
        <v>296</v>
      </c>
      <c r="U52" s="860" t="s">
        <v>297</v>
      </c>
      <c r="V52" s="860"/>
      <c r="W52" s="861"/>
      <c r="X52" s="877"/>
      <c r="AA52" s="858" t="s">
        <v>404</v>
      </c>
      <c r="AB52" s="859" t="s">
        <v>405</v>
      </c>
      <c r="AC52" s="860" t="s">
        <v>284</v>
      </c>
      <c r="AD52" s="860" t="s">
        <v>251</v>
      </c>
      <c r="AE52" s="861" t="s">
        <v>251</v>
      </c>
      <c r="AF52" s="907"/>
      <c r="AH52" s="284"/>
    </row>
    <row r="53" spans="2:34" x14ac:dyDescent="0.15">
      <c r="B53" s="603"/>
      <c r="K53" s="873" t="s">
        <v>248</v>
      </c>
      <c r="L53" s="874" t="s">
        <v>249</v>
      </c>
      <c r="M53" s="870" t="s">
        <v>250</v>
      </c>
      <c r="N53" s="870"/>
      <c r="O53" s="870" t="s">
        <v>247</v>
      </c>
      <c r="P53" s="908"/>
      <c r="AA53" s="903" t="s">
        <v>290</v>
      </c>
      <c r="AB53" s="893" t="s">
        <v>291</v>
      </c>
      <c r="AC53" s="894" t="s">
        <v>246</v>
      </c>
      <c r="AD53" s="894" t="s">
        <v>251</v>
      </c>
      <c r="AE53" s="895" t="s">
        <v>251</v>
      </c>
      <c r="AF53" s="916"/>
      <c r="AH53" s="284"/>
    </row>
    <row r="54" spans="2:34" x14ac:dyDescent="0.15">
      <c r="B54" s="603"/>
      <c r="K54" s="882" t="s">
        <v>257</v>
      </c>
      <c r="L54" s="859" t="s">
        <v>258</v>
      </c>
      <c r="M54" s="860" t="s">
        <v>250</v>
      </c>
      <c r="N54" s="860"/>
      <c r="O54" s="860" t="s">
        <v>247</v>
      </c>
      <c r="P54" s="907"/>
      <c r="AA54" s="858" t="s">
        <v>406</v>
      </c>
      <c r="AB54" s="859" t="s">
        <v>407</v>
      </c>
      <c r="AC54" s="860" t="s">
        <v>284</v>
      </c>
      <c r="AD54" s="860" t="s">
        <v>251</v>
      </c>
      <c r="AE54" s="861" t="s">
        <v>251</v>
      </c>
      <c r="AF54" s="907"/>
      <c r="AH54" s="284"/>
    </row>
    <row r="55" spans="2:34" x14ac:dyDescent="0.15">
      <c r="B55" s="603"/>
      <c r="K55" s="883" t="s">
        <v>408</v>
      </c>
      <c r="L55" s="884" t="s">
        <v>409</v>
      </c>
      <c r="M55" s="885" t="s">
        <v>246</v>
      </c>
      <c r="N55" s="885"/>
      <c r="O55" s="885"/>
      <c r="P55" s="909"/>
      <c r="AA55" s="897" t="s">
        <v>410</v>
      </c>
      <c r="AB55" s="859" t="s">
        <v>411</v>
      </c>
      <c r="AC55" s="860" t="s">
        <v>284</v>
      </c>
      <c r="AD55" s="860"/>
      <c r="AE55" s="861"/>
      <c r="AF55" s="907"/>
      <c r="AH55" s="284"/>
    </row>
    <row r="56" spans="2:34" x14ac:dyDescent="0.15">
      <c r="B56" s="603"/>
      <c r="K56" s="858" t="s">
        <v>412</v>
      </c>
      <c r="L56" s="859" t="s">
        <v>413</v>
      </c>
      <c r="M56" s="860" t="s">
        <v>302</v>
      </c>
      <c r="N56" s="860"/>
      <c r="O56" s="860" t="s">
        <v>251</v>
      </c>
      <c r="P56" s="907"/>
      <c r="AA56" s="897" t="s">
        <v>414</v>
      </c>
      <c r="AB56" s="859" t="s">
        <v>415</v>
      </c>
      <c r="AC56" s="860" t="s">
        <v>284</v>
      </c>
      <c r="AD56" s="860"/>
      <c r="AE56" s="861"/>
      <c r="AF56" s="907"/>
      <c r="AH56" s="284"/>
    </row>
    <row r="57" spans="2:34" x14ac:dyDescent="0.15">
      <c r="B57" s="603"/>
      <c r="K57" s="858" t="s">
        <v>416</v>
      </c>
      <c r="L57" s="859" t="s">
        <v>417</v>
      </c>
      <c r="M57" s="860" t="s">
        <v>284</v>
      </c>
      <c r="N57" s="860"/>
      <c r="O57" s="860" t="s">
        <v>251</v>
      </c>
      <c r="P57" s="907"/>
      <c r="AA57" s="897" t="s">
        <v>335</v>
      </c>
      <c r="AB57" s="859" t="s">
        <v>335</v>
      </c>
      <c r="AC57" s="917"/>
      <c r="AD57" s="917"/>
      <c r="AE57" s="918"/>
      <c r="AF57" s="907"/>
      <c r="AH57" s="284"/>
    </row>
    <row r="58" spans="2:34" x14ac:dyDescent="0.15">
      <c r="B58" s="603"/>
      <c r="K58" s="889" t="s">
        <v>361</v>
      </c>
      <c r="L58" s="874" t="s">
        <v>418</v>
      </c>
      <c r="M58" s="870" t="s">
        <v>246</v>
      </c>
      <c r="N58" s="870"/>
      <c r="O58" s="870" t="s">
        <v>251</v>
      </c>
      <c r="P58" s="908"/>
      <c r="AH58" s="284"/>
    </row>
    <row r="59" spans="2:34" x14ac:dyDescent="0.15">
      <c r="B59" s="603"/>
      <c r="K59" s="858" t="s">
        <v>419</v>
      </c>
      <c r="L59" s="859" t="s">
        <v>420</v>
      </c>
      <c r="M59" s="860" t="s">
        <v>284</v>
      </c>
      <c r="N59" s="860"/>
      <c r="O59" s="860" t="s">
        <v>251</v>
      </c>
      <c r="P59" s="907"/>
      <c r="AH59" s="284"/>
    </row>
    <row r="60" spans="2:34" x14ac:dyDescent="0.15">
      <c r="B60" s="603"/>
      <c r="K60" s="883" t="s">
        <v>290</v>
      </c>
      <c r="L60" s="884" t="s">
        <v>291</v>
      </c>
      <c r="M60" s="885" t="s">
        <v>246</v>
      </c>
      <c r="N60" s="885" t="s">
        <v>251</v>
      </c>
      <c r="O60" s="885" t="s">
        <v>251</v>
      </c>
      <c r="P60" s="909"/>
      <c r="AH60" s="284"/>
    </row>
    <row r="61" spans="2:34" x14ac:dyDescent="0.15">
      <c r="B61" s="603"/>
      <c r="K61" s="858" t="s">
        <v>335</v>
      </c>
      <c r="L61" s="859" t="s">
        <v>335</v>
      </c>
      <c r="M61" s="860"/>
      <c r="N61" s="860"/>
      <c r="O61" s="860"/>
      <c r="P61" s="907"/>
      <c r="AH61" s="284"/>
    </row>
    <row r="62" spans="2:34" x14ac:dyDescent="0.15">
      <c r="B62" s="603"/>
      <c r="AH62" s="284"/>
    </row>
    <row r="63" spans="2:34" x14ac:dyDescent="0.15">
      <c r="B63" s="603"/>
      <c r="AH63" s="284"/>
    </row>
    <row r="64" spans="2:34" x14ac:dyDescent="0.15">
      <c r="B64" s="603"/>
      <c r="K64" s="283" t="s">
        <v>421</v>
      </c>
      <c r="AH64" s="284"/>
    </row>
    <row r="65" spans="2:64" x14ac:dyDescent="0.15">
      <c r="B65" s="603"/>
      <c r="K65" s="850" t="s">
        <v>422</v>
      </c>
      <c r="L65" s="851"/>
      <c r="M65" s="851"/>
      <c r="N65" s="851"/>
      <c r="O65" s="851"/>
      <c r="P65" s="852"/>
      <c r="AH65" s="284"/>
    </row>
    <row r="66" spans="2:64" x14ac:dyDescent="0.15">
      <c r="B66" s="603"/>
      <c r="K66" s="847" t="s">
        <v>226</v>
      </c>
      <c r="L66" s="848" t="s">
        <v>227</v>
      </c>
      <c r="M66" s="849" t="s">
        <v>228</v>
      </c>
      <c r="N66" s="849" t="s">
        <v>240</v>
      </c>
      <c r="O66" s="849" t="s">
        <v>241</v>
      </c>
      <c r="P66" s="849" t="s">
        <v>231</v>
      </c>
      <c r="AH66" s="284"/>
    </row>
    <row r="67" spans="2:64" x14ac:dyDescent="0.15">
      <c r="B67" s="603"/>
      <c r="K67" s="919" t="s">
        <v>423</v>
      </c>
      <c r="L67" s="874" t="s">
        <v>424</v>
      </c>
      <c r="M67" s="870" t="s">
        <v>250</v>
      </c>
      <c r="N67" s="920"/>
      <c r="O67" s="894"/>
      <c r="P67" s="913"/>
      <c r="AH67" s="284"/>
    </row>
    <row r="68" spans="2:64" x14ac:dyDescent="0.15">
      <c r="B68" s="603"/>
      <c r="K68" s="921" t="s">
        <v>425</v>
      </c>
      <c r="L68" s="874" t="s">
        <v>426</v>
      </c>
      <c r="M68" s="870" t="s">
        <v>237</v>
      </c>
      <c r="N68" s="870">
        <v>24</v>
      </c>
      <c r="O68" s="870"/>
      <c r="P68" s="908"/>
      <c r="AH68" s="284"/>
    </row>
    <row r="69" spans="2:64" x14ac:dyDescent="0.15">
      <c r="B69" s="603"/>
      <c r="K69" s="882" t="s">
        <v>368</v>
      </c>
      <c r="L69" s="859" t="s">
        <v>258</v>
      </c>
      <c r="M69" s="860" t="s">
        <v>250</v>
      </c>
      <c r="N69" s="860"/>
      <c r="O69" s="860" t="s">
        <v>247</v>
      </c>
      <c r="P69" s="907"/>
      <c r="AH69" s="284"/>
    </row>
    <row r="70" spans="2:64" x14ac:dyDescent="0.15">
      <c r="B70" s="603"/>
      <c r="K70" s="879" t="s">
        <v>244</v>
      </c>
      <c r="L70" s="884" t="s">
        <v>245</v>
      </c>
      <c r="M70" s="885" t="s">
        <v>246</v>
      </c>
      <c r="N70" s="885"/>
      <c r="O70" s="885" t="s">
        <v>247</v>
      </c>
      <c r="P70" s="909"/>
      <c r="AH70" s="284"/>
    </row>
    <row r="71" spans="2:64" x14ac:dyDescent="0.15">
      <c r="B71" s="603"/>
      <c r="K71" s="873" t="s">
        <v>248</v>
      </c>
      <c r="L71" s="874" t="s">
        <v>427</v>
      </c>
      <c r="M71" s="870" t="s">
        <v>250</v>
      </c>
      <c r="N71" s="870"/>
      <c r="O71" s="870" t="s">
        <v>247</v>
      </c>
      <c r="P71" s="908"/>
      <c r="AH71" s="284"/>
    </row>
    <row r="72" spans="2:64" x14ac:dyDescent="0.15">
      <c r="B72" s="603"/>
      <c r="K72" s="858" t="s">
        <v>428</v>
      </c>
      <c r="L72" s="859" t="s">
        <v>429</v>
      </c>
      <c r="M72" s="860" t="s">
        <v>355</v>
      </c>
      <c r="N72" s="860"/>
      <c r="O72" s="860" t="s">
        <v>251</v>
      </c>
      <c r="P72" s="907"/>
      <c r="AH72" s="284"/>
    </row>
    <row r="73" spans="2:64" x14ac:dyDescent="0.15">
      <c r="B73" s="603"/>
      <c r="K73" s="889" t="s">
        <v>430</v>
      </c>
      <c r="L73" s="874" t="s">
        <v>431</v>
      </c>
      <c r="M73" s="870" t="s">
        <v>355</v>
      </c>
      <c r="N73" s="870"/>
      <c r="O73" s="870" t="s">
        <v>251</v>
      </c>
      <c r="P73" s="908"/>
      <c r="AH73" s="284"/>
    </row>
    <row r="74" spans="2:64" x14ac:dyDescent="0.15">
      <c r="B74" s="922"/>
      <c r="C74" s="923"/>
      <c r="D74" s="923"/>
      <c r="E74" s="923"/>
      <c r="F74" s="923"/>
      <c r="G74" s="923"/>
      <c r="H74" s="923"/>
      <c r="I74" s="923"/>
      <c r="J74" s="923"/>
      <c r="K74" s="923"/>
      <c r="L74" s="923"/>
      <c r="M74" s="923"/>
      <c r="N74" s="923"/>
      <c r="O74" s="923"/>
      <c r="P74" s="923"/>
      <c r="Q74" s="924"/>
      <c r="R74" s="923"/>
      <c r="S74" s="923"/>
      <c r="T74" s="923"/>
      <c r="U74" s="923"/>
      <c r="V74" s="923"/>
      <c r="W74" s="923"/>
      <c r="X74" s="923"/>
      <c r="Y74" s="923"/>
      <c r="Z74" s="923"/>
      <c r="AA74" s="923"/>
      <c r="AB74" s="923"/>
      <c r="AC74" s="923"/>
      <c r="AD74" s="923"/>
      <c r="AE74" s="923"/>
      <c r="AF74" s="923"/>
      <c r="AG74" s="923"/>
      <c r="AH74" s="925"/>
    </row>
    <row r="76" spans="2:64" s="47" customFormat="1" ht="12.95" customHeight="1" thickBot="1" x14ac:dyDescent="0.2">
      <c r="H76" s="48"/>
      <c r="I76" s="48"/>
      <c r="L76" s="49"/>
      <c r="AJ76" s="270"/>
      <c r="AK76" s="270"/>
      <c r="AL76" s="270"/>
      <c r="AM76" s="270"/>
      <c r="AN76" s="270"/>
      <c r="AO76" s="270"/>
      <c r="AP76" s="270"/>
      <c r="AQ76" s="270"/>
      <c r="AR76" s="270"/>
      <c r="AS76" s="270"/>
      <c r="AT76" s="270"/>
      <c r="AU76" s="270"/>
      <c r="AV76" s="270"/>
      <c r="AW76" s="270"/>
      <c r="AX76" s="270"/>
      <c r="AY76" s="270"/>
      <c r="AZ76" s="270"/>
      <c r="BA76" s="270"/>
      <c r="BB76" s="270"/>
      <c r="BC76" s="270"/>
      <c r="BD76" s="270"/>
      <c r="BE76" s="270"/>
      <c r="BF76" s="270"/>
      <c r="BG76" s="270"/>
      <c r="BH76" s="270"/>
      <c r="BI76" s="270"/>
      <c r="BJ76" s="270"/>
      <c r="BK76" s="270"/>
      <c r="BL76" s="270"/>
    </row>
    <row r="77" spans="2:64" s="47" customFormat="1" ht="12.75" customHeight="1" thickTop="1" x14ac:dyDescent="0.15">
      <c r="B77" s="50" t="s">
        <v>6</v>
      </c>
      <c r="C77" s="51"/>
      <c r="D77" s="52"/>
      <c r="E77" s="677" t="s">
        <v>7</v>
      </c>
      <c r="F77" s="830"/>
      <c r="G77" s="830"/>
      <c r="H77" s="830"/>
      <c r="I77" s="830"/>
      <c r="J77" s="831"/>
      <c r="K77" s="832" t="s">
        <v>8</v>
      </c>
      <c r="L77" s="830"/>
      <c r="M77" s="831"/>
      <c r="N77" s="1251" t="str">
        <f>N$2</f>
        <v>取引ログテーブル関連図</v>
      </c>
      <c r="O77" s="1292"/>
      <c r="P77" s="1292"/>
      <c r="Q77" s="1292"/>
      <c r="R77" s="1292"/>
      <c r="S77" s="1292"/>
      <c r="T77" s="1292"/>
      <c r="U77" s="1292"/>
      <c r="V77" s="1292"/>
      <c r="W77" s="1293"/>
      <c r="X77" s="832" t="s">
        <v>10</v>
      </c>
      <c r="Y77" s="830"/>
      <c r="Z77" s="831"/>
      <c r="AA77" s="833" t="s">
        <v>11</v>
      </c>
      <c r="AB77" s="832" t="s">
        <v>12</v>
      </c>
      <c r="AC77" s="833" t="s">
        <v>13</v>
      </c>
      <c r="AD77" s="712"/>
      <c r="AE77" s="730"/>
      <c r="AF77" s="832" t="s">
        <v>14</v>
      </c>
      <c r="AG77" s="830"/>
      <c r="AH77" s="831"/>
      <c r="AJ77" s="270"/>
      <c r="AK77" s="270"/>
      <c r="AL77" s="270"/>
      <c r="AM77" s="270"/>
      <c r="AN77" s="270"/>
      <c r="AO77" s="270"/>
      <c r="AP77" s="270"/>
      <c r="AQ77" s="270"/>
      <c r="AR77" s="270"/>
      <c r="AS77" s="270"/>
      <c r="AT77" s="270"/>
      <c r="AU77" s="270"/>
      <c r="AV77" s="270"/>
      <c r="AW77" s="270"/>
      <c r="AX77" s="270"/>
      <c r="AY77" s="270"/>
      <c r="AZ77" s="270"/>
      <c r="BA77" s="270"/>
      <c r="BB77" s="270"/>
      <c r="BC77" s="270"/>
      <c r="BD77" s="270"/>
      <c r="BE77" s="270"/>
      <c r="BF77" s="270"/>
      <c r="BG77" s="270"/>
      <c r="BH77" s="270"/>
      <c r="BI77" s="270"/>
      <c r="BJ77" s="270"/>
      <c r="BK77" s="270"/>
      <c r="BL77" s="270"/>
    </row>
    <row r="78" spans="2:64" s="47" customFormat="1" ht="12.75" customHeight="1" thickBot="1" x14ac:dyDescent="0.2">
      <c r="B78" s="271" t="s">
        <v>15</v>
      </c>
      <c r="C78" s="272"/>
      <c r="D78" s="273"/>
      <c r="E78" s="678" t="s">
        <v>16</v>
      </c>
      <c r="F78" s="834"/>
      <c r="G78" s="834"/>
      <c r="H78" s="834"/>
      <c r="I78" s="834"/>
      <c r="J78" s="835"/>
      <c r="K78" s="836" t="s">
        <v>219</v>
      </c>
      <c r="L78" s="834"/>
      <c r="M78" s="835"/>
      <c r="N78" s="1294"/>
      <c r="O78" s="1295"/>
      <c r="P78" s="1295"/>
      <c r="Q78" s="1295"/>
      <c r="R78" s="1295"/>
      <c r="S78" s="1295"/>
      <c r="T78" s="1295"/>
      <c r="U78" s="1295"/>
      <c r="V78" s="1295"/>
      <c r="W78" s="1296"/>
      <c r="X78" s="837">
        <f>X$3</f>
        <v>1.1200000000000001</v>
      </c>
      <c r="Y78" s="838"/>
      <c r="Z78" s="839"/>
      <c r="AA78" s="836" t="str">
        <f>AA$3</f>
        <v>富士通</v>
      </c>
      <c r="AB78" s="840">
        <f>AB$3</f>
        <v>45709</v>
      </c>
      <c r="AC78" s="836" t="str">
        <f>AC$3</f>
        <v>富士通</v>
      </c>
      <c r="AD78" s="834"/>
      <c r="AE78" s="835"/>
      <c r="AF78" s="840">
        <f>AF$3</f>
        <v>45460</v>
      </c>
      <c r="AG78" s="841"/>
      <c r="AH78" s="842"/>
      <c r="AJ78" s="270"/>
      <c r="AK78" s="270"/>
      <c r="AL78" s="270"/>
      <c r="AM78" s="270"/>
      <c r="AN78" s="270"/>
      <c r="AO78" s="270"/>
      <c r="AP78" s="270"/>
      <c r="AQ78" s="270"/>
      <c r="AR78" s="270"/>
      <c r="AS78" s="270"/>
      <c r="AT78" s="270"/>
      <c r="AU78" s="270"/>
      <c r="AV78" s="270"/>
      <c r="AW78" s="270"/>
      <c r="AX78" s="270"/>
      <c r="AY78" s="270"/>
      <c r="AZ78" s="270"/>
      <c r="BA78" s="270"/>
      <c r="BB78" s="270"/>
      <c r="BC78" s="270"/>
      <c r="BD78" s="270"/>
      <c r="BE78" s="270"/>
      <c r="BF78" s="270"/>
      <c r="BG78" s="270"/>
      <c r="BH78" s="270"/>
      <c r="BI78" s="270"/>
      <c r="BJ78" s="270"/>
      <c r="BK78" s="270"/>
      <c r="BL78" s="270"/>
    </row>
    <row r="79" spans="2:64" s="47" customFormat="1" ht="12.75" customHeight="1" thickTop="1" x14ac:dyDescent="0.15">
      <c r="H79" s="48"/>
      <c r="I79" s="48"/>
      <c r="L79" s="49"/>
      <c r="AJ79" s="270"/>
      <c r="AK79" s="270"/>
      <c r="AL79" s="270"/>
      <c r="AM79" s="270"/>
      <c r="AN79" s="270"/>
      <c r="AO79" s="270"/>
      <c r="AP79" s="270"/>
      <c r="AQ79" s="270"/>
      <c r="AR79" s="270"/>
      <c r="AS79" s="270"/>
      <c r="AT79" s="270"/>
      <c r="AU79" s="270"/>
      <c r="AV79" s="270"/>
      <c r="AW79" s="270"/>
      <c r="AX79" s="270"/>
      <c r="AY79" s="270"/>
      <c r="AZ79" s="270"/>
      <c r="BA79" s="270"/>
      <c r="BB79" s="270"/>
      <c r="BC79" s="270"/>
      <c r="BD79" s="270"/>
      <c r="BE79" s="270"/>
      <c r="BF79" s="270"/>
      <c r="BG79" s="270"/>
      <c r="BH79" s="270"/>
      <c r="BI79" s="270"/>
      <c r="BJ79" s="270"/>
      <c r="BK79" s="270"/>
      <c r="BL79" s="270"/>
    </row>
    <row r="80" spans="2:64" x14ac:dyDescent="0.15">
      <c r="B80" s="843"/>
      <c r="C80" s="691"/>
      <c r="D80" s="691"/>
      <c r="E80" s="691"/>
      <c r="F80" s="691"/>
      <c r="G80" s="691"/>
      <c r="H80" s="691"/>
      <c r="I80" s="691"/>
      <c r="J80" s="691"/>
      <c r="K80" s="691"/>
      <c r="L80" s="691"/>
      <c r="M80" s="691"/>
      <c r="N80" s="691"/>
      <c r="O80" s="691"/>
      <c r="P80" s="691"/>
      <c r="Q80" s="713"/>
      <c r="R80" s="691"/>
      <c r="S80" s="691"/>
      <c r="T80" s="691"/>
      <c r="U80" s="691"/>
      <c r="V80" s="691"/>
      <c r="W80" s="691"/>
      <c r="X80" s="691"/>
      <c r="Y80" s="691"/>
      <c r="Z80" s="691"/>
      <c r="AA80" s="691"/>
      <c r="AB80" s="691"/>
      <c r="AC80" s="691"/>
      <c r="AD80" s="691"/>
      <c r="AE80" s="691"/>
      <c r="AF80" s="691"/>
      <c r="AG80" s="691"/>
      <c r="AH80" s="731"/>
    </row>
    <row r="81" spans="2:34" x14ac:dyDescent="0.15">
      <c r="B81" s="603"/>
      <c r="AB81" s="283" t="s">
        <v>220</v>
      </c>
      <c r="AH81" s="284"/>
    </row>
    <row r="82" spans="2:34" ht="14.25" x14ac:dyDescent="0.15">
      <c r="B82" s="603"/>
      <c r="G82" s="285"/>
      <c r="AB82" s="283" t="s">
        <v>221</v>
      </c>
      <c r="AH82" s="284"/>
    </row>
    <row r="83" spans="2:34" x14ac:dyDescent="0.15">
      <c r="B83" s="603"/>
      <c r="AB83" s="283"/>
      <c r="AH83" s="284"/>
    </row>
    <row r="84" spans="2:34" x14ac:dyDescent="0.15">
      <c r="B84" s="603"/>
      <c r="C84" s="283" t="s">
        <v>223</v>
      </c>
      <c r="AH84" s="284"/>
    </row>
    <row r="85" spans="2:34" x14ac:dyDescent="0.15">
      <c r="B85" s="603"/>
      <c r="C85" s="844" t="s">
        <v>224</v>
      </c>
      <c r="D85" s="845"/>
      <c r="E85" s="845"/>
      <c r="F85" s="845"/>
      <c r="G85" s="845"/>
      <c r="H85" s="846"/>
      <c r="AH85" s="284"/>
    </row>
    <row r="86" spans="2:34" ht="12" customHeight="1" x14ac:dyDescent="0.15">
      <c r="B86" s="603"/>
      <c r="C86" s="847" t="s">
        <v>226</v>
      </c>
      <c r="D86" s="848" t="s">
        <v>227</v>
      </c>
      <c r="E86" s="849" t="s">
        <v>228</v>
      </c>
      <c r="F86" s="849" t="s">
        <v>229</v>
      </c>
      <c r="G86" s="849" t="s">
        <v>230</v>
      </c>
      <c r="H86" s="849" t="s">
        <v>231</v>
      </c>
      <c r="K86" s="283" t="s">
        <v>432</v>
      </c>
      <c r="AH86" s="284"/>
    </row>
    <row r="87" spans="2:34" ht="12" x14ac:dyDescent="0.15">
      <c r="B87" s="603"/>
      <c r="C87" s="853" t="s">
        <v>235</v>
      </c>
      <c r="D87" s="854" t="s">
        <v>236</v>
      </c>
      <c r="E87" s="855" t="s">
        <v>237</v>
      </c>
      <c r="F87" s="855">
        <v>9</v>
      </c>
      <c r="G87" s="856"/>
      <c r="H87" s="857"/>
      <c r="K87" s="850" t="s">
        <v>433</v>
      </c>
      <c r="L87" s="851"/>
      <c r="M87" s="851"/>
      <c r="N87" s="851"/>
      <c r="O87" s="851"/>
      <c r="P87" s="852"/>
      <c r="Q87" s="270"/>
      <c r="AH87" s="284"/>
    </row>
    <row r="88" spans="2:34" ht="11.25" x14ac:dyDescent="0.15">
      <c r="B88" s="603"/>
      <c r="C88" s="858" t="s">
        <v>242</v>
      </c>
      <c r="D88" s="859" t="s">
        <v>243</v>
      </c>
      <c r="E88" s="860" t="s">
        <v>237</v>
      </c>
      <c r="F88" s="860">
        <v>9</v>
      </c>
      <c r="G88" s="861"/>
      <c r="H88" s="862"/>
      <c r="K88" s="847" t="s">
        <v>226</v>
      </c>
      <c r="L88" s="848" t="s">
        <v>227</v>
      </c>
      <c r="M88" s="849" t="s">
        <v>228</v>
      </c>
      <c r="N88" s="849" t="s">
        <v>240</v>
      </c>
      <c r="O88" s="849" t="s">
        <v>241</v>
      </c>
      <c r="P88" s="849" t="s">
        <v>231</v>
      </c>
      <c r="Q88" s="270"/>
      <c r="AH88" s="284"/>
    </row>
    <row r="89" spans="2:34" ht="11.25" x14ac:dyDescent="0.15">
      <c r="B89" s="603"/>
      <c r="C89" s="866" t="s">
        <v>248</v>
      </c>
      <c r="D89" s="867" t="s">
        <v>249</v>
      </c>
      <c r="E89" s="868" t="s">
        <v>250</v>
      </c>
      <c r="F89" s="868" t="s">
        <v>251</v>
      </c>
      <c r="G89" s="869" t="s">
        <v>252</v>
      </c>
      <c r="H89" s="595"/>
      <c r="K89" s="926" t="s">
        <v>376</v>
      </c>
      <c r="L89" s="927" t="s">
        <v>249</v>
      </c>
      <c r="M89" s="928" t="s">
        <v>250</v>
      </c>
      <c r="N89" s="928" t="s">
        <v>251</v>
      </c>
      <c r="O89" s="929" t="s">
        <v>247</v>
      </c>
      <c r="P89" s="872"/>
      <c r="Q89" s="270"/>
      <c r="AH89" s="284"/>
    </row>
    <row r="90" spans="2:34" ht="11.25" x14ac:dyDescent="0.15">
      <c r="B90" s="603"/>
      <c r="C90" s="876" t="s">
        <v>254</v>
      </c>
      <c r="D90" s="859" t="s">
        <v>255</v>
      </c>
      <c r="E90" s="860" t="s">
        <v>246</v>
      </c>
      <c r="F90" s="860" t="s">
        <v>251</v>
      </c>
      <c r="G90" s="861" t="s">
        <v>251</v>
      </c>
      <c r="H90" s="877"/>
      <c r="K90" s="878" t="s">
        <v>360</v>
      </c>
      <c r="L90" s="859" t="s">
        <v>245</v>
      </c>
      <c r="M90" s="860" t="s">
        <v>246</v>
      </c>
      <c r="N90" s="860" t="s">
        <v>251</v>
      </c>
      <c r="O90" s="861" t="s">
        <v>247</v>
      </c>
      <c r="P90" s="877"/>
      <c r="Q90" s="270"/>
      <c r="AH90" s="284"/>
    </row>
    <row r="91" spans="2:34" ht="11.25" x14ac:dyDescent="0.15">
      <c r="B91" s="603"/>
      <c r="C91" s="883" t="s">
        <v>259</v>
      </c>
      <c r="D91" s="884" t="s">
        <v>260</v>
      </c>
      <c r="E91" s="885" t="s">
        <v>246</v>
      </c>
      <c r="F91" s="885"/>
      <c r="G91" s="886" t="s">
        <v>251</v>
      </c>
      <c r="H91" s="887" t="s">
        <v>434</v>
      </c>
      <c r="K91" s="912" t="s">
        <v>435</v>
      </c>
      <c r="L91" s="859" t="s">
        <v>436</v>
      </c>
      <c r="M91" s="860" t="s">
        <v>302</v>
      </c>
      <c r="N91" s="860" t="s">
        <v>251</v>
      </c>
      <c r="O91" s="861"/>
      <c r="P91" s="877"/>
      <c r="Q91" s="270"/>
      <c r="AH91" s="284"/>
    </row>
    <row r="92" spans="2:34" ht="11.25" x14ac:dyDescent="0.15">
      <c r="B92" s="603"/>
      <c r="C92" s="597"/>
      <c r="D92" s="598" t="s">
        <v>437</v>
      </c>
      <c r="E92" s="599"/>
      <c r="F92" s="599"/>
      <c r="G92" s="600"/>
      <c r="H92" s="601"/>
      <c r="K92" s="858" t="s">
        <v>438</v>
      </c>
      <c r="L92" s="859" t="s">
        <v>439</v>
      </c>
      <c r="M92" s="860" t="s">
        <v>246</v>
      </c>
      <c r="N92" s="860" t="s">
        <v>251</v>
      </c>
      <c r="O92" s="861"/>
      <c r="P92" s="877"/>
      <c r="Q92" s="270"/>
      <c r="AH92" s="284"/>
    </row>
    <row r="93" spans="2:34" ht="11.25" x14ac:dyDescent="0.15">
      <c r="B93" s="603"/>
      <c r="C93" s="882" t="s">
        <v>257</v>
      </c>
      <c r="D93" s="859" t="s">
        <v>258</v>
      </c>
      <c r="E93" s="860" t="s">
        <v>250</v>
      </c>
      <c r="F93" s="860" t="s">
        <v>251</v>
      </c>
      <c r="G93" s="861" t="s">
        <v>247</v>
      </c>
      <c r="H93" s="877"/>
      <c r="K93" s="889" t="s">
        <v>440</v>
      </c>
      <c r="L93" s="874" t="s">
        <v>441</v>
      </c>
      <c r="M93" s="870" t="s">
        <v>246</v>
      </c>
      <c r="N93" s="870" t="s">
        <v>251</v>
      </c>
      <c r="O93" s="871"/>
      <c r="P93" s="875"/>
      <c r="Q93" s="270"/>
      <c r="AH93" s="284"/>
    </row>
    <row r="94" spans="2:34" ht="11.25" x14ac:dyDescent="0.15">
      <c r="B94" s="603"/>
      <c r="C94" s="858" t="s">
        <v>279</v>
      </c>
      <c r="D94" s="859" t="s">
        <v>280</v>
      </c>
      <c r="E94" s="860" t="s">
        <v>237</v>
      </c>
      <c r="F94" s="860">
        <v>12</v>
      </c>
      <c r="G94" s="861"/>
      <c r="H94" s="877"/>
      <c r="K94" s="889" t="s">
        <v>442</v>
      </c>
      <c r="L94" s="874" t="s">
        <v>349</v>
      </c>
      <c r="M94" s="870" t="s">
        <v>246</v>
      </c>
      <c r="N94" s="870"/>
      <c r="O94" s="871"/>
      <c r="P94" s="875"/>
      <c r="Q94" s="270"/>
      <c r="AH94" s="284"/>
    </row>
    <row r="95" spans="2:34" ht="11.25" x14ac:dyDescent="0.15">
      <c r="B95" s="603"/>
      <c r="C95" s="858" t="s">
        <v>287</v>
      </c>
      <c r="D95" s="859" t="s">
        <v>288</v>
      </c>
      <c r="E95" s="860" t="s">
        <v>250</v>
      </c>
      <c r="F95" s="860" t="s">
        <v>251</v>
      </c>
      <c r="G95" s="861"/>
      <c r="H95" s="877"/>
      <c r="K95" s="889" t="s">
        <v>443</v>
      </c>
      <c r="L95" s="874" t="s">
        <v>444</v>
      </c>
      <c r="M95" s="870" t="s">
        <v>237</v>
      </c>
      <c r="N95" s="870">
        <v>20</v>
      </c>
      <c r="O95" s="871"/>
      <c r="P95" s="875"/>
      <c r="Q95" s="270"/>
      <c r="AH95" s="284"/>
    </row>
    <row r="96" spans="2:34" ht="11.25" x14ac:dyDescent="0.15">
      <c r="B96" s="603"/>
      <c r="C96" s="889" t="s">
        <v>292</v>
      </c>
      <c r="D96" s="874" t="s">
        <v>293</v>
      </c>
      <c r="E96" s="870" t="s">
        <v>237</v>
      </c>
      <c r="F96" s="870">
        <v>12</v>
      </c>
      <c r="G96" s="871"/>
      <c r="H96" s="875"/>
      <c r="K96" s="858" t="s">
        <v>445</v>
      </c>
      <c r="L96" s="859" t="s">
        <v>446</v>
      </c>
      <c r="M96" s="860" t="s">
        <v>355</v>
      </c>
      <c r="N96" s="860" t="s">
        <v>251</v>
      </c>
      <c r="O96" s="861"/>
      <c r="P96" s="877"/>
      <c r="Q96" s="270"/>
      <c r="AH96" s="284"/>
    </row>
    <row r="97" spans="2:34" ht="11.25" x14ac:dyDescent="0.15">
      <c r="B97" s="603"/>
      <c r="C97" s="858" t="s">
        <v>300</v>
      </c>
      <c r="D97" s="859" t="s">
        <v>301</v>
      </c>
      <c r="E97" s="860" t="s">
        <v>302</v>
      </c>
      <c r="F97" s="860" t="s">
        <v>251</v>
      </c>
      <c r="G97" s="861"/>
      <c r="H97" s="877"/>
      <c r="K97" s="858" t="s">
        <v>447</v>
      </c>
      <c r="L97" s="859" t="s">
        <v>448</v>
      </c>
      <c r="M97" s="860" t="s">
        <v>246</v>
      </c>
      <c r="N97" s="860" t="s">
        <v>251</v>
      </c>
      <c r="O97" s="861"/>
      <c r="P97" s="877"/>
      <c r="Q97" s="270"/>
      <c r="AH97" s="284"/>
    </row>
    <row r="98" spans="2:34" ht="11.25" x14ac:dyDescent="0.15">
      <c r="B98" s="603"/>
      <c r="C98" s="858" t="s">
        <v>306</v>
      </c>
      <c r="D98" s="859" t="s">
        <v>307</v>
      </c>
      <c r="E98" s="860" t="s">
        <v>302</v>
      </c>
      <c r="F98" s="860" t="s">
        <v>251</v>
      </c>
      <c r="G98" s="861"/>
      <c r="H98" s="877"/>
      <c r="K98" s="858" t="s">
        <v>449</v>
      </c>
      <c r="L98" s="859" t="s">
        <v>450</v>
      </c>
      <c r="M98" s="860" t="s">
        <v>237</v>
      </c>
      <c r="N98" s="860">
        <v>20</v>
      </c>
      <c r="O98" s="861"/>
      <c r="P98" s="877"/>
      <c r="Q98" s="270"/>
      <c r="AH98" s="284"/>
    </row>
    <row r="99" spans="2:34" ht="11.25" x14ac:dyDescent="0.15">
      <c r="B99" s="603"/>
      <c r="C99" s="858" t="s">
        <v>311</v>
      </c>
      <c r="D99" s="859" t="s">
        <v>312</v>
      </c>
      <c r="E99" s="860" t="s">
        <v>302</v>
      </c>
      <c r="F99" s="860" t="s">
        <v>251</v>
      </c>
      <c r="G99" s="861"/>
      <c r="H99" s="877"/>
      <c r="K99" s="930" t="s">
        <v>368</v>
      </c>
      <c r="L99" s="859" t="s">
        <v>258</v>
      </c>
      <c r="M99" s="860" t="s">
        <v>250</v>
      </c>
      <c r="N99" s="860" t="s">
        <v>251</v>
      </c>
      <c r="O99" s="861" t="s">
        <v>247</v>
      </c>
      <c r="P99" s="877"/>
      <c r="Q99" s="270"/>
      <c r="AH99" s="284"/>
    </row>
    <row r="100" spans="2:34" ht="11.25" x14ac:dyDescent="0.15">
      <c r="B100" s="603"/>
      <c r="C100" s="889" t="s">
        <v>317</v>
      </c>
      <c r="D100" s="874" t="s">
        <v>318</v>
      </c>
      <c r="E100" s="870" t="s">
        <v>246</v>
      </c>
      <c r="F100" s="870" t="s">
        <v>251</v>
      </c>
      <c r="G100" s="871"/>
      <c r="H100" s="875"/>
      <c r="Q100" s="270"/>
      <c r="AH100" s="284"/>
    </row>
    <row r="101" spans="2:34" ht="12" x14ac:dyDescent="0.15">
      <c r="B101" s="603"/>
      <c r="C101" s="903" t="s">
        <v>322</v>
      </c>
      <c r="D101" s="893" t="s">
        <v>323</v>
      </c>
      <c r="E101" s="894" t="s">
        <v>246</v>
      </c>
      <c r="F101" s="894" t="s">
        <v>251</v>
      </c>
      <c r="G101" s="895"/>
      <c r="H101" s="896"/>
      <c r="K101" s="283" t="s">
        <v>432</v>
      </c>
      <c r="Q101" s="270"/>
      <c r="AH101" s="284"/>
    </row>
    <row r="102" spans="2:34" ht="12" x14ac:dyDescent="0.15">
      <c r="B102" s="603"/>
      <c r="C102" s="889" t="s">
        <v>327</v>
      </c>
      <c r="D102" s="874" t="s">
        <v>328</v>
      </c>
      <c r="E102" s="870" t="s">
        <v>246</v>
      </c>
      <c r="F102" s="870" t="s">
        <v>251</v>
      </c>
      <c r="G102" s="871"/>
      <c r="H102" s="875"/>
      <c r="K102" s="850" t="s">
        <v>400</v>
      </c>
      <c r="L102" s="851"/>
      <c r="M102" s="851"/>
      <c r="N102" s="851"/>
      <c r="O102" s="851"/>
      <c r="P102" s="852"/>
      <c r="Q102" s="270"/>
      <c r="AH102" s="284"/>
    </row>
    <row r="103" spans="2:34" ht="11.25" x14ac:dyDescent="0.15">
      <c r="B103" s="603"/>
      <c r="C103" s="883" t="s">
        <v>290</v>
      </c>
      <c r="D103" s="884" t="s">
        <v>291</v>
      </c>
      <c r="E103" s="885" t="s">
        <v>246</v>
      </c>
      <c r="F103" s="885" t="s">
        <v>251</v>
      </c>
      <c r="G103" s="886"/>
      <c r="H103" s="888"/>
      <c r="K103" s="847" t="s">
        <v>226</v>
      </c>
      <c r="L103" s="848" t="s">
        <v>227</v>
      </c>
      <c r="M103" s="849" t="s">
        <v>228</v>
      </c>
      <c r="N103" s="849" t="s">
        <v>240</v>
      </c>
      <c r="O103" s="849" t="s">
        <v>241</v>
      </c>
      <c r="P103" s="849" t="s">
        <v>231</v>
      </c>
      <c r="Q103" s="270"/>
      <c r="AH103" s="284"/>
    </row>
    <row r="104" spans="2:34" ht="11.25" x14ac:dyDescent="0.15">
      <c r="B104" s="603"/>
      <c r="C104" s="714"/>
      <c r="D104" s="854" t="s">
        <v>336</v>
      </c>
      <c r="E104" s="855"/>
      <c r="F104" s="855"/>
      <c r="G104" s="856"/>
      <c r="H104" s="715"/>
      <c r="K104" s="878" t="s">
        <v>244</v>
      </c>
      <c r="L104" s="859" t="s">
        <v>245</v>
      </c>
      <c r="M104" s="860" t="s">
        <v>246</v>
      </c>
      <c r="N104" s="864"/>
      <c r="O104" s="885" t="s">
        <v>252</v>
      </c>
      <c r="P104" s="905"/>
      <c r="Q104" s="270"/>
      <c r="AH104" s="284"/>
    </row>
    <row r="105" spans="2:34" ht="11.25" x14ac:dyDescent="0.15">
      <c r="B105" s="603"/>
      <c r="C105" s="858" t="s">
        <v>339</v>
      </c>
      <c r="D105" s="859" t="s">
        <v>340</v>
      </c>
      <c r="E105" s="860" t="s">
        <v>237</v>
      </c>
      <c r="F105" s="860">
        <v>24</v>
      </c>
      <c r="G105" s="861"/>
      <c r="H105" s="877"/>
      <c r="K105" s="873" t="s">
        <v>248</v>
      </c>
      <c r="L105" s="874" t="s">
        <v>249</v>
      </c>
      <c r="M105" s="870" t="s">
        <v>250</v>
      </c>
      <c r="N105" s="870"/>
      <c r="O105" s="870" t="s">
        <v>247</v>
      </c>
      <c r="P105" s="908"/>
      <c r="Q105" s="270"/>
      <c r="AH105" s="284"/>
    </row>
    <row r="106" spans="2:34" ht="11.25" x14ac:dyDescent="0.15">
      <c r="B106" s="603"/>
      <c r="C106" s="889" t="s">
        <v>343</v>
      </c>
      <c r="D106" s="874" t="s">
        <v>344</v>
      </c>
      <c r="E106" s="870" t="s">
        <v>237</v>
      </c>
      <c r="F106" s="870">
        <v>24</v>
      </c>
      <c r="G106" s="871"/>
      <c r="H106" s="875"/>
      <c r="K106" s="882" t="s">
        <v>257</v>
      </c>
      <c r="L106" s="859" t="s">
        <v>258</v>
      </c>
      <c r="M106" s="860" t="s">
        <v>250</v>
      </c>
      <c r="N106" s="860"/>
      <c r="O106" s="860" t="s">
        <v>247</v>
      </c>
      <c r="P106" s="907"/>
      <c r="Q106" s="270"/>
      <c r="AH106" s="284"/>
    </row>
    <row r="107" spans="2:34" ht="11.25" x14ac:dyDescent="0.15">
      <c r="B107" s="603"/>
      <c r="C107" s="903" t="s">
        <v>348</v>
      </c>
      <c r="D107" s="893" t="s">
        <v>349</v>
      </c>
      <c r="E107" s="894" t="s">
        <v>246</v>
      </c>
      <c r="F107" s="894" t="s">
        <v>251</v>
      </c>
      <c r="G107" s="895"/>
      <c r="H107" s="896"/>
      <c r="K107" s="883" t="s">
        <v>408</v>
      </c>
      <c r="L107" s="884" t="s">
        <v>409</v>
      </c>
      <c r="M107" s="885" t="s">
        <v>246</v>
      </c>
      <c r="N107" s="885"/>
      <c r="O107" s="885"/>
      <c r="P107" s="909"/>
      <c r="Q107" s="270"/>
      <c r="AH107" s="284"/>
    </row>
    <row r="108" spans="2:34" ht="11.25" x14ac:dyDescent="0.15">
      <c r="B108" s="603"/>
      <c r="C108" s="858" t="s">
        <v>353</v>
      </c>
      <c r="D108" s="859" t="s">
        <v>354</v>
      </c>
      <c r="E108" s="860" t="s">
        <v>355</v>
      </c>
      <c r="F108" s="860" t="s">
        <v>251</v>
      </c>
      <c r="G108" s="861"/>
      <c r="H108" s="877"/>
      <c r="K108" s="858" t="s">
        <v>412</v>
      </c>
      <c r="L108" s="859" t="s">
        <v>413</v>
      </c>
      <c r="M108" s="860" t="s">
        <v>302</v>
      </c>
      <c r="N108" s="860"/>
      <c r="O108" s="860" t="s">
        <v>251</v>
      </c>
      <c r="P108" s="907"/>
      <c r="Q108" s="270"/>
      <c r="AH108" s="284"/>
    </row>
    <row r="109" spans="2:34" ht="11.25" x14ac:dyDescent="0.15">
      <c r="B109" s="603"/>
      <c r="C109" s="897" t="s">
        <v>335</v>
      </c>
      <c r="D109" s="859" t="s">
        <v>335</v>
      </c>
      <c r="E109" s="860"/>
      <c r="F109" s="860"/>
      <c r="G109" s="861"/>
      <c r="H109" s="877"/>
      <c r="K109" s="858" t="s">
        <v>335</v>
      </c>
      <c r="L109" s="859" t="s">
        <v>335</v>
      </c>
      <c r="M109" s="860"/>
      <c r="N109" s="860"/>
      <c r="O109" s="860"/>
      <c r="P109" s="907"/>
      <c r="Q109" s="270"/>
      <c r="AH109" s="284"/>
    </row>
    <row r="110" spans="2:34" ht="11.25" x14ac:dyDescent="0.15">
      <c r="B110" s="603"/>
      <c r="C110" s="286"/>
      <c r="D110" s="287"/>
      <c r="E110" s="288"/>
      <c r="F110" s="288"/>
      <c r="G110" s="288"/>
      <c r="H110" s="288"/>
      <c r="Q110" s="270"/>
      <c r="AH110" s="284"/>
    </row>
    <row r="111" spans="2:34" ht="10.5" x14ac:dyDescent="0.15">
      <c r="B111" s="603"/>
      <c r="Q111" s="270"/>
      <c r="AH111" s="284"/>
    </row>
    <row r="112" spans="2:34" ht="10.5" x14ac:dyDescent="0.15">
      <c r="B112" s="603"/>
      <c r="Q112" s="270"/>
      <c r="AH112" s="284"/>
    </row>
    <row r="113" spans="2:34" ht="11.25" x14ac:dyDescent="0.15">
      <c r="B113" s="603"/>
      <c r="C113" s="286"/>
      <c r="D113" s="287"/>
      <c r="E113" s="288"/>
      <c r="F113" s="288"/>
      <c r="G113" s="288"/>
      <c r="H113" s="288"/>
      <c r="Q113" s="270"/>
      <c r="AH113" s="284"/>
    </row>
    <row r="114" spans="2:34" ht="10.5" x14ac:dyDescent="0.15">
      <c r="B114" s="603"/>
      <c r="Q114" s="270"/>
      <c r="AH114" s="284"/>
    </row>
    <row r="115" spans="2:34" x14ac:dyDescent="0.15">
      <c r="B115" s="603"/>
      <c r="AH115" s="284"/>
    </row>
    <row r="116" spans="2:34" ht="14.25" x14ac:dyDescent="0.15">
      <c r="B116" s="603"/>
      <c r="G116" s="285"/>
      <c r="L116" s="274" t="s">
        <v>451</v>
      </c>
      <c r="AH116" s="284"/>
    </row>
    <row r="117" spans="2:34" x14ac:dyDescent="0.15">
      <c r="B117" s="603"/>
      <c r="AH117" s="284"/>
    </row>
    <row r="118" spans="2:34" x14ac:dyDescent="0.15">
      <c r="B118" s="603"/>
      <c r="C118" s="283" t="s">
        <v>223</v>
      </c>
      <c r="AH118" s="284"/>
    </row>
    <row r="119" spans="2:34" x14ac:dyDescent="0.15">
      <c r="B119" s="603"/>
      <c r="C119" s="844" t="s">
        <v>224</v>
      </c>
      <c r="D119" s="845"/>
      <c r="E119" s="845"/>
      <c r="F119" s="845"/>
      <c r="G119" s="845"/>
      <c r="H119" s="846"/>
      <c r="AH119" s="284"/>
    </row>
    <row r="120" spans="2:34" x14ac:dyDescent="0.15">
      <c r="B120" s="603"/>
      <c r="C120" s="847" t="s">
        <v>226</v>
      </c>
      <c r="D120" s="848" t="s">
        <v>227</v>
      </c>
      <c r="E120" s="849" t="s">
        <v>228</v>
      </c>
      <c r="F120" s="849" t="s">
        <v>229</v>
      </c>
      <c r="G120" s="849" t="s">
        <v>230</v>
      </c>
      <c r="H120" s="849" t="s">
        <v>231</v>
      </c>
      <c r="K120" s="283" t="s">
        <v>432</v>
      </c>
      <c r="AH120" s="284"/>
    </row>
    <row r="121" spans="2:34" ht="12" x14ac:dyDescent="0.15">
      <c r="B121" s="603"/>
      <c r="C121" s="853" t="s">
        <v>235</v>
      </c>
      <c r="D121" s="854" t="s">
        <v>236</v>
      </c>
      <c r="E121" s="855" t="s">
        <v>237</v>
      </c>
      <c r="F121" s="855">
        <v>9</v>
      </c>
      <c r="G121" s="856"/>
      <c r="H121" s="857"/>
      <c r="K121" s="850" t="s">
        <v>452</v>
      </c>
      <c r="L121" s="851"/>
      <c r="M121" s="851"/>
      <c r="N121" s="851"/>
      <c r="O121" s="851"/>
      <c r="P121" s="852"/>
      <c r="Q121" s="270"/>
      <c r="AH121" s="284"/>
    </row>
    <row r="122" spans="2:34" ht="11.25" x14ac:dyDescent="0.15">
      <c r="B122" s="603"/>
      <c r="C122" s="858" t="s">
        <v>242</v>
      </c>
      <c r="D122" s="859" t="s">
        <v>243</v>
      </c>
      <c r="E122" s="860" t="s">
        <v>237</v>
      </c>
      <c r="F122" s="860">
        <v>9</v>
      </c>
      <c r="G122" s="861"/>
      <c r="H122" s="862"/>
      <c r="K122" s="847" t="s">
        <v>226</v>
      </c>
      <c r="L122" s="848" t="s">
        <v>227</v>
      </c>
      <c r="M122" s="849" t="s">
        <v>228</v>
      </c>
      <c r="N122" s="849" t="s">
        <v>240</v>
      </c>
      <c r="O122" s="849" t="s">
        <v>241</v>
      </c>
      <c r="P122" s="849" t="s">
        <v>231</v>
      </c>
      <c r="Q122" s="270"/>
      <c r="AH122" s="284"/>
    </row>
    <row r="123" spans="2:34" ht="11.25" x14ac:dyDescent="0.15">
      <c r="B123" s="603"/>
      <c r="C123" s="866" t="s">
        <v>248</v>
      </c>
      <c r="D123" s="867" t="s">
        <v>249</v>
      </c>
      <c r="E123" s="868" t="s">
        <v>250</v>
      </c>
      <c r="F123" s="868" t="s">
        <v>251</v>
      </c>
      <c r="G123" s="869" t="s">
        <v>252</v>
      </c>
      <c r="H123" s="595"/>
      <c r="K123" s="931" t="s">
        <v>453</v>
      </c>
      <c r="L123" s="932" t="s">
        <v>454</v>
      </c>
      <c r="M123" s="933" t="s">
        <v>302</v>
      </c>
      <c r="N123" s="933"/>
      <c r="O123" s="934" t="s">
        <v>252</v>
      </c>
      <c r="P123" s="935"/>
      <c r="Q123" s="270"/>
      <c r="AH123" s="284"/>
    </row>
    <row r="124" spans="2:34" ht="11.25" x14ac:dyDescent="0.15">
      <c r="B124" s="603"/>
      <c r="C124" s="876" t="s">
        <v>254</v>
      </c>
      <c r="D124" s="859" t="s">
        <v>255</v>
      </c>
      <c r="E124" s="860" t="s">
        <v>246</v>
      </c>
      <c r="F124" s="860" t="s">
        <v>251</v>
      </c>
      <c r="G124" s="861" t="s">
        <v>251</v>
      </c>
      <c r="H124" s="877"/>
      <c r="K124" s="936" t="s">
        <v>455</v>
      </c>
      <c r="L124" s="937" t="s">
        <v>456</v>
      </c>
      <c r="M124" s="938" t="s">
        <v>237</v>
      </c>
      <c r="N124" s="938"/>
      <c r="O124" s="939" t="s">
        <v>252</v>
      </c>
      <c r="P124" s="940"/>
      <c r="Q124" s="270"/>
      <c r="AH124" s="284"/>
    </row>
    <row r="125" spans="2:34" ht="11.25" x14ac:dyDescent="0.15">
      <c r="B125" s="603"/>
      <c r="C125" s="883" t="s">
        <v>259</v>
      </c>
      <c r="D125" s="884" t="s">
        <v>260</v>
      </c>
      <c r="E125" s="885" t="s">
        <v>246</v>
      </c>
      <c r="F125" s="885"/>
      <c r="G125" s="886" t="s">
        <v>251</v>
      </c>
      <c r="H125" s="887" t="s">
        <v>457</v>
      </c>
      <c r="K125" s="930" t="s">
        <v>368</v>
      </c>
      <c r="L125" s="932" t="s">
        <v>458</v>
      </c>
      <c r="M125" s="933" t="s">
        <v>250</v>
      </c>
      <c r="N125" s="933"/>
      <c r="O125" s="934" t="s">
        <v>252</v>
      </c>
      <c r="P125" s="935"/>
      <c r="Q125" s="270"/>
      <c r="AH125" s="284"/>
    </row>
    <row r="126" spans="2:34" ht="11.25" x14ac:dyDescent="0.15">
      <c r="B126" s="603"/>
      <c r="C126" s="597"/>
      <c r="D126" s="598" t="s">
        <v>459</v>
      </c>
      <c r="E126" s="599"/>
      <c r="F126" s="599"/>
      <c r="G126" s="600"/>
      <c r="H126" s="602"/>
      <c r="K126" s="936" t="s">
        <v>440</v>
      </c>
      <c r="L126" s="937" t="s">
        <v>409</v>
      </c>
      <c r="M126" s="938" t="s">
        <v>246</v>
      </c>
      <c r="N126" s="938"/>
      <c r="O126" s="939" t="s">
        <v>252</v>
      </c>
      <c r="P126" s="940"/>
      <c r="Q126" s="270"/>
      <c r="AH126" s="284"/>
    </row>
    <row r="127" spans="2:34" ht="11.25" x14ac:dyDescent="0.15">
      <c r="B127" s="603"/>
      <c r="C127" s="882" t="s">
        <v>257</v>
      </c>
      <c r="D127" s="859" t="s">
        <v>258</v>
      </c>
      <c r="E127" s="860" t="s">
        <v>250</v>
      </c>
      <c r="F127" s="860" t="s">
        <v>251</v>
      </c>
      <c r="G127" s="861" t="s">
        <v>247</v>
      </c>
      <c r="H127" s="877"/>
      <c r="K127" s="941" t="s">
        <v>376</v>
      </c>
      <c r="L127" s="937" t="s">
        <v>253</v>
      </c>
      <c r="M127" s="938" t="s">
        <v>250</v>
      </c>
      <c r="N127" s="938"/>
      <c r="O127" s="939"/>
      <c r="P127" s="940"/>
      <c r="Q127" s="270"/>
      <c r="AH127" s="284"/>
    </row>
    <row r="128" spans="2:34" ht="11.25" x14ac:dyDescent="0.15">
      <c r="B128" s="603"/>
      <c r="C128" s="858" t="s">
        <v>279</v>
      </c>
      <c r="D128" s="859" t="s">
        <v>280</v>
      </c>
      <c r="E128" s="860" t="s">
        <v>237</v>
      </c>
      <c r="F128" s="860">
        <v>12</v>
      </c>
      <c r="G128" s="861"/>
      <c r="H128" s="877"/>
      <c r="K128" s="878" t="s">
        <v>360</v>
      </c>
      <c r="L128" s="932" t="s">
        <v>460</v>
      </c>
      <c r="M128" s="933" t="s">
        <v>246</v>
      </c>
      <c r="N128" s="933"/>
      <c r="O128" s="934"/>
      <c r="P128" s="935"/>
      <c r="Q128" s="270"/>
      <c r="AH128" s="284"/>
    </row>
    <row r="129" spans="2:34" ht="11.25" x14ac:dyDescent="0.15">
      <c r="B129" s="603"/>
      <c r="C129" s="858" t="s">
        <v>287</v>
      </c>
      <c r="D129" s="859" t="s">
        <v>288</v>
      </c>
      <c r="E129" s="860" t="s">
        <v>250</v>
      </c>
      <c r="F129" s="860" t="s">
        <v>251</v>
      </c>
      <c r="G129" s="861"/>
      <c r="H129" s="877"/>
      <c r="K129" s="931" t="s">
        <v>461</v>
      </c>
      <c r="L129" s="932" t="s">
        <v>462</v>
      </c>
      <c r="M129" s="933" t="s">
        <v>237</v>
      </c>
      <c r="N129" s="933"/>
      <c r="O129" s="934"/>
      <c r="P129" s="935"/>
      <c r="Q129" s="270"/>
      <c r="AH129" s="284"/>
    </row>
    <row r="130" spans="2:34" ht="11.25" x14ac:dyDescent="0.15">
      <c r="B130" s="603"/>
      <c r="C130" s="889" t="s">
        <v>292</v>
      </c>
      <c r="D130" s="874" t="s">
        <v>293</v>
      </c>
      <c r="E130" s="870" t="s">
        <v>237</v>
      </c>
      <c r="F130" s="870">
        <v>12</v>
      </c>
      <c r="G130" s="871"/>
      <c r="H130" s="875"/>
      <c r="K130" s="936" t="s">
        <v>463</v>
      </c>
      <c r="L130" s="937" t="s">
        <v>464</v>
      </c>
      <c r="M130" s="938" t="s">
        <v>237</v>
      </c>
      <c r="N130" s="938"/>
      <c r="O130" s="939"/>
      <c r="P130" s="940"/>
      <c r="Q130" s="270"/>
      <c r="AH130" s="284"/>
    </row>
    <row r="131" spans="2:34" ht="11.25" x14ac:dyDescent="0.15">
      <c r="B131" s="603"/>
      <c r="C131" s="858" t="s">
        <v>300</v>
      </c>
      <c r="D131" s="859" t="s">
        <v>301</v>
      </c>
      <c r="E131" s="860" t="s">
        <v>302</v>
      </c>
      <c r="F131" s="860" t="s">
        <v>251</v>
      </c>
      <c r="G131" s="861"/>
      <c r="H131" s="877"/>
      <c r="K131" s="936" t="s">
        <v>465</v>
      </c>
      <c r="L131" s="937" t="s">
        <v>466</v>
      </c>
      <c r="M131" s="938" t="s">
        <v>237</v>
      </c>
      <c r="N131" s="938"/>
      <c r="O131" s="939"/>
      <c r="P131" s="940"/>
      <c r="Q131" s="270"/>
      <c r="AH131" s="284"/>
    </row>
    <row r="132" spans="2:34" ht="11.25" x14ac:dyDescent="0.15">
      <c r="B132" s="603"/>
      <c r="C132" s="858" t="s">
        <v>306</v>
      </c>
      <c r="D132" s="859" t="s">
        <v>307</v>
      </c>
      <c r="E132" s="860" t="s">
        <v>302</v>
      </c>
      <c r="F132" s="860" t="s">
        <v>251</v>
      </c>
      <c r="G132" s="861"/>
      <c r="H132" s="877"/>
      <c r="K132" s="931" t="s">
        <v>467</v>
      </c>
      <c r="L132" s="932" t="s">
        <v>468</v>
      </c>
      <c r="M132" s="933" t="s">
        <v>355</v>
      </c>
      <c r="N132" s="933"/>
      <c r="O132" s="934"/>
      <c r="P132" s="935"/>
      <c r="Q132" s="270"/>
      <c r="AH132" s="284"/>
    </row>
    <row r="133" spans="2:34" ht="11.25" x14ac:dyDescent="0.15">
      <c r="B133" s="603"/>
      <c r="C133" s="858" t="s">
        <v>311</v>
      </c>
      <c r="D133" s="859" t="s">
        <v>312</v>
      </c>
      <c r="E133" s="860" t="s">
        <v>302</v>
      </c>
      <c r="F133" s="860" t="s">
        <v>251</v>
      </c>
      <c r="G133" s="861"/>
      <c r="H133" s="877"/>
      <c r="K133" s="936" t="s">
        <v>469</v>
      </c>
      <c r="L133" s="937" t="s">
        <v>470</v>
      </c>
      <c r="M133" s="938" t="s">
        <v>250</v>
      </c>
      <c r="N133" s="938"/>
      <c r="O133" s="939"/>
      <c r="P133" s="940"/>
      <c r="Q133" s="270"/>
      <c r="AH133" s="284"/>
    </row>
    <row r="134" spans="2:34" ht="11.25" x14ac:dyDescent="0.15">
      <c r="B134" s="603"/>
      <c r="C134" s="889" t="s">
        <v>317</v>
      </c>
      <c r="D134" s="874" t="s">
        <v>318</v>
      </c>
      <c r="E134" s="870" t="s">
        <v>246</v>
      </c>
      <c r="F134" s="870" t="s">
        <v>251</v>
      </c>
      <c r="G134" s="871"/>
      <c r="H134" s="875"/>
      <c r="K134" s="931" t="s">
        <v>471</v>
      </c>
      <c r="L134" s="932" t="s">
        <v>472</v>
      </c>
      <c r="M134" s="933" t="s">
        <v>246</v>
      </c>
      <c r="N134" s="933"/>
      <c r="O134" s="934"/>
      <c r="P134" s="935"/>
      <c r="Q134" s="270"/>
      <c r="AH134" s="284"/>
    </row>
    <row r="135" spans="2:34" ht="11.25" x14ac:dyDescent="0.15">
      <c r="B135" s="603"/>
      <c r="C135" s="903" t="s">
        <v>322</v>
      </c>
      <c r="D135" s="893" t="s">
        <v>323</v>
      </c>
      <c r="E135" s="894" t="s">
        <v>246</v>
      </c>
      <c r="F135" s="894" t="s">
        <v>251</v>
      </c>
      <c r="G135" s="895"/>
      <c r="H135" s="896"/>
      <c r="K135" s="936" t="s">
        <v>447</v>
      </c>
      <c r="L135" s="937" t="s">
        <v>473</v>
      </c>
      <c r="M135" s="938" t="s">
        <v>246</v>
      </c>
      <c r="N135" s="938"/>
      <c r="O135" s="939"/>
      <c r="P135" s="940"/>
      <c r="Q135" s="270"/>
      <c r="AH135" s="284"/>
    </row>
    <row r="136" spans="2:34" ht="11.25" x14ac:dyDescent="0.15">
      <c r="B136" s="603"/>
      <c r="C136" s="889" t="s">
        <v>327</v>
      </c>
      <c r="D136" s="874" t="s">
        <v>328</v>
      </c>
      <c r="E136" s="870" t="s">
        <v>246</v>
      </c>
      <c r="F136" s="870" t="s">
        <v>251</v>
      </c>
      <c r="G136" s="871"/>
      <c r="H136" s="875"/>
      <c r="K136" s="931" t="s">
        <v>438</v>
      </c>
      <c r="L136" s="932" t="s">
        <v>474</v>
      </c>
      <c r="M136" s="933" t="s">
        <v>246</v>
      </c>
      <c r="N136" s="933"/>
      <c r="O136" s="934"/>
      <c r="P136" s="935"/>
      <c r="Q136" s="270"/>
      <c r="AH136" s="284"/>
    </row>
    <row r="137" spans="2:34" ht="11.25" x14ac:dyDescent="0.15">
      <c r="B137" s="603"/>
      <c r="C137" s="883" t="s">
        <v>290</v>
      </c>
      <c r="D137" s="884" t="s">
        <v>291</v>
      </c>
      <c r="E137" s="885" t="s">
        <v>246</v>
      </c>
      <c r="F137" s="885" t="s">
        <v>251</v>
      </c>
      <c r="G137" s="886"/>
      <c r="H137" s="888"/>
      <c r="K137" s="942" t="s">
        <v>475</v>
      </c>
      <c r="L137" s="859" t="s">
        <v>476</v>
      </c>
      <c r="M137" s="860" t="s">
        <v>246</v>
      </c>
      <c r="N137" s="860"/>
      <c r="O137" s="861"/>
      <c r="P137" s="877"/>
      <c r="Q137" s="270"/>
      <c r="AH137" s="284"/>
    </row>
    <row r="138" spans="2:34" ht="11.25" x14ac:dyDescent="0.15">
      <c r="B138" s="603"/>
      <c r="C138" s="714"/>
      <c r="D138" s="854" t="s">
        <v>336</v>
      </c>
      <c r="E138" s="855"/>
      <c r="F138" s="855"/>
      <c r="G138" s="856"/>
      <c r="H138" s="715"/>
      <c r="Q138" s="270"/>
      <c r="AH138" s="284"/>
    </row>
    <row r="139" spans="2:34" ht="11.25" x14ac:dyDescent="0.15">
      <c r="B139" s="603"/>
      <c r="C139" s="858" t="s">
        <v>339</v>
      </c>
      <c r="D139" s="859" t="s">
        <v>340</v>
      </c>
      <c r="E139" s="860" t="s">
        <v>237</v>
      </c>
      <c r="F139" s="860">
        <v>24</v>
      </c>
      <c r="G139" s="861"/>
      <c r="H139" s="877"/>
      <c r="Q139" s="270"/>
      <c r="AH139" s="284"/>
    </row>
    <row r="140" spans="2:34" ht="11.25" x14ac:dyDescent="0.15">
      <c r="B140" s="603"/>
      <c r="C140" s="889" t="s">
        <v>343</v>
      </c>
      <c r="D140" s="874" t="s">
        <v>344</v>
      </c>
      <c r="E140" s="870" t="s">
        <v>237</v>
      </c>
      <c r="F140" s="870">
        <v>24</v>
      </c>
      <c r="G140" s="871"/>
      <c r="H140" s="875"/>
      <c r="Q140" s="270"/>
      <c r="AH140" s="284"/>
    </row>
    <row r="141" spans="2:34" ht="11.25" x14ac:dyDescent="0.15">
      <c r="B141" s="603"/>
      <c r="C141" s="903" t="s">
        <v>348</v>
      </c>
      <c r="D141" s="893" t="s">
        <v>349</v>
      </c>
      <c r="E141" s="894" t="s">
        <v>246</v>
      </c>
      <c r="F141" s="894" t="s">
        <v>251</v>
      </c>
      <c r="G141" s="895"/>
      <c r="H141" s="896"/>
      <c r="Q141" s="270"/>
      <c r="AH141" s="284"/>
    </row>
    <row r="142" spans="2:34" ht="11.25" x14ac:dyDescent="0.15">
      <c r="B142" s="603"/>
      <c r="C142" s="858" t="s">
        <v>353</v>
      </c>
      <c r="D142" s="859" t="s">
        <v>354</v>
      </c>
      <c r="E142" s="860" t="s">
        <v>355</v>
      </c>
      <c r="F142" s="860" t="s">
        <v>251</v>
      </c>
      <c r="G142" s="861"/>
      <c r="H142" s="877"/>
      <c r="Q142" s="270"/>
      <c r="AH142" s="284"/>
    </row>
    <row r="143" spans="2:34" ht="11.25" x14ac:dyDescent="0.15">
      <c r="B143" s="603"/>
      <c r="C143" s="897" t="s">
        <v>335</v>
      </c>
      <c r="D143" s="859" t="s">
        <v>335</v>
      </c>
      <c r="E143" s="860"/>
      <c r="F143" s="860"/>
      <c r="G143" s="861"/>
      <c r="H143" s="877"/>
      <c r="Q143" s="270"/>
      <c r="AH143" s="284"/>
    </row>
    <row r="144" spans="2:34" ht="11.25" x14ac:dyDescent="0.15">
      <c r="B144" s="603"/>
      <c r="C144" s="286"/>
      <c r="D144" s="287"/>
      <c r="E144" s="288"/>
      <c r="F144" s="288"/>
      <c r="G144" s="288"/>
      <c r="H144" s="288"/>
      <c r="Q144" s="270"/>
      <c r="AH144" s="284"/>
    </row>
    <row r="145" spans="2:34" ht="10.5" x14ac:dyDescent="0.15">
      <c r="B145" s="603"/>
      <c r="Q145" s="270"/>
      <c r="AH145" s="284"/>
    </row>
    <row r="146" spans="2:34" ht="10.5" x14ac:dyDescent="0.15">
      <c r="B146" s="603"/>
      <c r="Q146" s="270"/>
      <c r="AH146" s="284"/>
    </row>
    <row r="147" spans="2:34" ht="10.5" x14ac:dyDescent="0.15">
      <c r="B147" s="603"/>
      <c r="Q147" s="270"/>
      <c r="AH147" s="284"/>
    </row>
    <row r="148" spans="2:34" ht="10.5" x14ac:dyDescent="0.15">
      <c r="B148" s="603"/>
      <c r="Q148" s="270"/>
      <c r="AH148" s="284"/>
    </row>
    <row r="149" spans="2:34" x14ac:dyDescent="0.15">
      <c r="B149" s="922"/>
      <c r="C149" s="923"/>
      <c r="D149" s="923"/>
      <c r="E149" s="923"/>
      <c r="F149" s="923"/>
      <c r="G149" s="923"/>
      <c r="H149" s="923"/>
      <c r="I149" s="923"/>
      <c r="J149" s="923"/>
      <c r="K149" s="923"/>
      <c r="L149" s="923"/>
      <c r="M149" s="923"/>
      <c r="N149" s="923"/>
      <c r="O149" s="923"/>
      <c r="P149" s="923"/>
      <c r="Q149" s="924"/>
      <c r="R149" s="923"/>
      <c r="S149" s="923"/>
      <c r="T149" s="923"/>
      <c r="U149" s="923"/>
      <c r="V149" s="923"/>
      <c r="W149" s="923"/>
      <c r="X149" s="923"/>
      <c r="Y149" s="923"/>
      <c r="Z149" s="923"/>
      <c r="AA149" s="923"/>
      <c r="AB149" s="923"/>
      <c r="AC149" s="923"/>
      <c r="AD149" s="923"/>
      <c r="AE149" s="923"/>
      <c r="AF149" s="923"/>
      <c r="AG149" s="923"/>
      <c r="AH149" s="925"/>
    </row>
  </sheetData>
  <mergeCells count="2">
    <mergeCell ref="N2:W3"/>
    <mergeCell ref="N77:W78"/>
  </mergeCells>
  <phoneticPr fontId="4"/>
  <pageMargins left="0.39370078740157483" right="0.39370078740157483" top="0.59055118110236227" bottom="0.78740157480314965" header="0.51181102362204722" footer="0.51181102362204722"/>
  <pageSetup paperSize="9" scale="58" fitToHeight="0" orientation="landscape" r:id="rId1"/>
  <headerFooter alignWithMargins="0">
    <oddHeader>&amp;R&amp;UFUJITSU CONFIDENTIAL</oddHeader>
    <oddFooter>&amp;RAll Rights Reserved, Copyright(c) Fujitsu  Limited 2024</oddFooter>
  </headerFooter>
  <rowBreaks count="1" manualBreakCount="1">
    <brk id="75" max="33"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F00923-08FB-41A9-943C-FBAE7DBBAE11}">
  <dimension ref="B1:BL163"/>
  <sheetViews>
    <sheetView showGridLines="0" zoomScaleNormal="100" zoomScaleSheetLayoutView="100" workbookViewId="0"/>
  </sheetViews>
  <sheetFormatPr defaultRowHeight="13.5" x14ac:dyDescent="0.15"/>
  <cols>
    <col min="1" max="1" width="0.875" style="270" customWidth="1"/>
    <col min="2" max="2" width="2.125" style="270" customWidth="1"/>
    <col min="3" max="3" width="14.375" style="270" customWidth="1"/>
    <col min="4" max="4" width="16.375" style="270" customWidth="1"/>
    <col min="5" max="5" width="6" style="270" customWidth="1"/>
    <col min="6" max="6" width="5" style="270" customWidth="1"/>
    <col min="7" max="7" width="3.375" style="270" customWidth="1"/>
    <col min="8" max="8" width="12.375" style="270" bestFit="1" customWidth="1"/>
    <col min="9" max="9" width="5.875" style="270" customWidth="1"/>
    <col min="10" max="10" width="1.375" style="270" customWidth="1"/>
    <col min="11" max="11" width="12.375" style="270" customWidth="1"/>
    <col min="12" max="12" width="15.375" style="270" customWidth="1"/>
    <col min="13" max="13" width="6" style="270" customWidth="1"/>
    <col min="14" max="14" width="3" style="270" customWidth="1"/>
    <col min="15" max="15" width="3.375" style="270" customWidth="1"/>
    <col min="16" max="16" width="11.375" style="270" bestFit="1" customWidth="1"/>
    <col min="17" max="17" width="5.875" style="274" customWidth="1"/>
    <col min="18" max="18" width="1.375" style="270" customWidth="1"/>
    <col min="19" max="19" width="13.375" style="270" customWidth="1"/>
    <col min="20" max="20" width="14.375" style="270" customWidth="1"/>
    <col min="21" max="21" width="6" style="270" customWidth="1"/>
    <col min="22" max="23" width="3.375" style="270" customWidth="1"/>
    <col min="24" max="24" width="6.375" style="270" bestFit="1" customWidth="1"/>
    <col min="25" max="25" width="5.875" style="270" customWidth="1"/>
    <col min="26" max="26" width="1.375" style="270" customWidth="1"/>
    <col min="27" max="27" width="17.875" style="270" customWidth="1"/>
    <col min="28" max="28" width="19.375" style="270" customWidth="1"/>
    <col min="29" max="29" width="6" style="270" customWidth="1"/>
    <col min="30" max="31" width="3.375" style="270" customWidth="1"/>
    <col min="32" max="32" width="6.375" style="270" bestFit="1" customWidth="1"/>
    <col min="33" max="33" width="2.125" style="270" customWidth="1"/>
    <col min="34" max="261" width="9" style="270"/>
    <col min="262" max="262" width="4.375" style="270" customWidth="1"/>
    <col min="263" max="263" width="20.375" style="270" customWidth="1"/>
    <col min="264" max="264" width="23" style="270" customWidth="1"/>
    <col min="265" max="265" width="6" style="270" bestFit="1" customWidth="1"/>
    <col min="266" max="267" width="3.375" style="270" bestFit="1" customWidth="1"/>
    <col min="268" max="268" width="9" style="270"/>
    <col min="269" max="269" width="1.375" style="270" customWidth="1"/>
    <col min="270" max="270" width="14.375" style="270" customWidth="1"/>
    <col min="271" max="271" width="21.375" style="270" customWidth="1"/>
    <col min="272" max="272" width="6" style="270" bestFit="1" customWidth="1"/>
    <col min="273" max="273" width="5" style="270" bestFit="1" customWidth="1"/>
    <col min="274" max="274" width="3.375" style="270" bestFit="1" customWidth="1"/>
    <col min="275" max="275" width="9" style="270"/>
    <col min="276" max="276" width="0.375" style="270" customWidth="1"/>
    <col min="277" max="277" width="16.375" style="270" customWidth="1"/>
    <col min="278" max="278" width="24.375" style="270" customWidth="1"/>
    <col min="279" max="279" width="6" style="270" bestFit="1" customWidth="1"/>
    <col min="280" max="280" width="2.375" style="270" bestFit="1" customWidth="1"/>
    <col min="281" max="281" width="3.375" style="270" bestFit="1" customWidth="1"/>
    <col min="282" max="282" width="9" style="270"/>
    <col min="283" max="283" width="1.375" style="270" customWidth="1"/>
    <col min="284" max="284" width="17.875" style="270" customWidth="1"/>
    <col min="285" max="285" width="19.375" style="270" customWidth="1"/>
    <col min="286" max="286" width="6" style="270" bestFit="1" customWidth="1"/>
    <col min="287" max="287" width="2.375" style="270" bestFit="1" customWidth="1"/>
    <col min="288" max="288" width="3.375" style="270" bestFit="1" customWidth="1"/>
    <col min="289" max="517" width="9" style="270"/>
    <col min="518" max="518" width="4.375" style="270" customWidth="1"/>
    <col min="519" max="519" width="20.375" style="270" customWidth="1"/>
    <col min="520" max="520" width="23" style="270" customWidth="1"/>
    <col min="521" max="521" width="6" style="270" bestFit="1" customWidth="1"/>
    <col min="522" max="523" width="3.375" style="270" bestFit="1" customWidth="1"/>
    <col min="524" max="524" width="9" style="270"/>
    <col min="525" max="525" width="1.375" style="270" customWidth="1"/>
    <col min="526" max="526" width="14.375" style="270" customWidth="1"/>
    <col min="527" max="527" width="21.375" style="270" customWidth="1"/>
    <col min="528" max="528" width="6" style="270" bestFit="1" customWidth="1"/>
    <col min="529" max="529" width="5" style="270" bestFit="1" customWidth="1"/>
    <col min="530" max="530" width="3.375" style="270" bestFit="1" customWidth="1"/>
    <col min="531" max="531" width="9" style="270"/>
    <col min="532" max="532" width="0.375" style="270" customWidth="1"/>
    <col min="533" max="533" width="16.375" style="270" customWidth="1"/>
    <col min="534" max="534" width="24.375" style="270" customWidth="1"/>
    <col min="535" max="535" width="6" style="270" bestFit="1" customWidth="1"/>
    <col min="536" max="536" width="2.375" style="270" bestFit="1" customWidth="1"/>
    <col min="537" max="537" width="3.375" style="270" bestFit="1" customWidth="1"/>
    <col min="538" max="538" width="9" style="270"/>
    <col min="539" max="539" width="1.375" style="270" customWidth="1"/>
    <col min="540" max="540" width="17.875" style="270" customWidth="1"/>
    <col min="541" max="541" width="19.375" style="270" customWidth="1"/>
    <col min="542" max="542" width="6" style="270" bestFit="1" customWidth="1"/>
    <col min="543" max="543" width="2.375" style="270" bestFit="1" customWidth="1"/>
    <col min="544" max="544" width="3.375" style="270" bestFit="1" customWidth="1"/>
    <col min="545" max="773" width="9" style="270"/>
    <col min="774" max="774" width="4.375" style="270" customWidth="1"/>
    <col min="775" max="775" width="20.375" style="270" customWidth="1"/>
    <col min="776" max="776" width="23" style="270" customWidth="1"/>
    <col min="777" max="777" width="6" style="270" bestFit="1" customWidth="1"/>
    <col min="778" max="779" width="3.375" style="270" bestFit="1" customWidth="1"/>
    <col min="780" max="780" width="9" style="270"/>
    <col min="781" max="781" width="1.375" style="270" customWidth="1"/>
    <col min="782" max="782" width="14.375" style="270" customWidth="1"/>
    <col min="783" max="783" width="21.375" style="270" customWidth="1"/>
    <col min="784" max="784" width="6" style="270" bestFit="1" customWidth="1"/>
    <col min="785" max="785" width="5" style="270" bestFit="1" customWidth="1"/>
    <col min="786" max="786" width="3.375" style="270" bestFit="1" customWidth="1"/>
    <col min="787" max="787" width="9" style="270"/>
    <col min="788" max="788" width="0.375" style="270" customWidth="1"/>
    <col min="789" max="789" width="16.375" style="270" customWidth="1"/>
    <col min="790" max="790" width="24.375" style="270" customWidth="1"/>
    <col min="791" max="791" width="6" style="270" bestFit="1" customWidth="1"/>
    <col min="792" max="792" width="2.375" style="270" bestFit="1" customWidth="1"/>
    <col min="793" max="793" width="3.375" style="270" bestFit="1" customWidth="1"/>
    <col min="794" max="794" width="9" style="270"/>
    <col min="795" max="795" width="1.375" style="270" customWidth="1"/>
    <col min="796" max="796" width="17.875" style="270" customWidth="1"/>
    <col min="797" max="797" width="19.375" style="270" customWidth="1"/>
    <col min="798" max="798" width="6" style="270" bestFit="1" customWidth="1"/>
    <col min="799" max="799" width="2.375" style="270" bestFit="1" customWidth="1"/>
    <col min="800" max="800" width="3.375" style="270" bestFit="1" customWidth="1"/>
    <col min="801" max="1029" width="9" style="270"/>
    <col min="1030" max="1030" width="4.375" style="270" customWidth="1"/>
    <col min="1031" max="1031" width="20.375" style="270" customWidth="1"/>
    <col min="1032" max="1032" width="23" style="270" customWidth="1"/>
    <col min="1033" max="1033" width="6" style="270" bestFit="1" customWidth="1"/>
    <col min="1034" max="1035" width="3.375" style="270" bestFit="1" customWidth="1"/>
    <col min="1036" max="1036" width="9" style="270"/>
    <col min="1037" max="1037" width="1.375" style="270" customWidth="1"/>
    <col min="1038" max="1038" width="14.375" style="270" customWidth="1"/>
    <col min="1039" max="1039" width="21.375" style="270" customWidth="1"/>
    <col min="1040" max="1040" width="6" style="270" bestFit="1" customWidth="1"/>
    <col min="1041" max="1041" width="5" style="270" bestFit="1" customWidth="1"/>
    <col min="1042" max="1042" width="3.375" style="270" bestFit="1" customWidth="1"/>
    <col min="1043" max="1043" width="9" style="270"/>
    <col min="1044" max="1044" width="0.375" style="270" customWidth="1"/>
    <col min="1045" max="1045" width="16.375" style="270" customWidth="1"/>
    <col min="1046" max="1046" width="24.375" style="270" customWidth="1"/>
    <col min="1047" max="1047" width="6" style="270" bestFit="1" customWidth="1"/>
    <col min="1048" max="1048" width="2.375" style="270" bestFit="1" customWidth="1"/>
    <col min="1049" max="1049" width="3.375" style="270" bestFit="1" customWidth="1"/>
    <col min="1050" max="1050" width="9" style="270"/>
    <col min="1051" max="1051" width="1.375" style="270" customWidth="1"/>
    <col min="1052" max="1052" width="17.875" style="270" customWidth="1"/>
    <col min="1053" max="1053" width="19.375" style="270" customWidth="1"/>
    <col min="1054" max="1054" width="6" style="270" bestFit="1" customWidth="1"/>
    <col min="1055" max="1055" width="2.375" style="270" bestFit="1" customWidth="1"/>
    <col min="1056" max="1056" width="3.375" style="270" bestFit="1" customWidth="1"/>
    <col min="1057" max="1285" width="9" style="270"/>
    <col min="1286" max="1286" width="4.375" style="270" customWidth="1"/>
    <col min="1287" max="1287" width="20.375" style="270" customWidth="1"/>
    <col min="1288" max="1288" width="23" style="270" customWidth="1"/>
    <col min="1289" max="1289" width="6" style="270" bestFit="1" customWidth="1"/>
    <col min="1290" max="1291" width="3.375" style="270" bestFit="1" customWidth="1"/>
    <col min="1292" max="1292" width="9" style="270"/>
    <col min="1293" max="1293" width="1.375" style="270" customWidth="1"/>
    <col min="1294" max="1294" width="14.375" style="270" customWidth="1"/>
    <col min="1295" max="1295" width="21.375" style="270" customWidth="1"/>
    <col min="1296" max="1296" width="6" style="270" bestFit="1" customWidth="1"/>
    <col min="1297" max="1297" width="5" style="270" bestFit="1" customWidth="1"/>
    <col min="1298" max="1298" width="3.375" style="270" bestFit="1" customWidth="1"/>
    <col min="1299" max="1299" width="9" style="270"/>
    <col min="1300" max="1300" width="0.375" style="270" customWidth="1"/>
    <col min="1301" max="1301" width="16.375" style="270" customWidth="1"/>
    <col min="1302" max="1302" width="24.375" style="270" customWidth="1"/>
    <col min="1303" max="1303" width="6" style="270" bestFit="1" customWidth="1"/>
    <col min="1304" max="1304" width="2.375" style="270" bestFit="1" customWidth="1"/>
    <col min="1305" max="1305" width="3.375" style="270" bestFit="1" customWidth="1"/>
    <col min="1306" max="1306" width="9" style="270"/>
    <col min="1307" max="1307" width="1.375" style="270" customWidth="1"/>
    <col min="1308" max="1308" width="17.875" style="270" customWidth="1"/>
    <col min="1309" max="1309" width="19.375" style="270" customWidth="1"/>
    <col min="1310" max="1310" width="6" style="270" bestFit="1" customWidth="1"/>
    <col min="1311" max="1311" width="2.375" style="270" bestFit="1" customWidth="1"/>
    <col min="1312" max="1312" width="3.375" style="270" bestFit="1" customWidth="1"/>
    <col min="1313" max="1541" width="9" style="270"/>
    <col min="1542" max="1542" width="4.375" style="270" customWidth="1"/>
    <col min="1543" max="1543" width="20.375" style="270" customWidth="1"/>
    <col min="1544" max="1544" width="23" style="270" customWidth="1"/>
    <col min="1545" max="1545" width="6" style="270" bestFit="1" customWidth="1"/>
    <col min="1546" max="1547" width="3.375" style="270" bestFit="1" customWidth="1"/>
    <col min="1548" max="1548" width="9" style="270"/>
    <col min="1549" max="1549" width="1.375" style="270" customWidth="1"/>
    <col min="1550" max="1550" width="14.375" style="270" customWidth="1"/>
    <col min="1551" max="1551" width="21.375" style="270" customWidth="1"/>
    <col min="1552" max="1552" width="6" style="270" bestFit="1" customWidth="1"/>
    <col min="1553" max="1553" width="5" style="270" bestFit="1" customWidth="1"/>
    <col min="1554" max="1554" width="3.375" style="270" bestFit="1" customWidth="1"/>
    <col min="1555" max="1555" width="9" style="270"/>
    <col min="1556" max="1556" width="0.375" style="270" customWidth="1"/>
    <col min="1557" max="1557" width="16.375" style="270" customWidth="1"/>
    <col min="1558" max="1558" width="24.375" style="270" customWidth="1"/>
    <col min="1559" max="1559" width="6" style="270" bestFit="1" customWidth="1"/>
    <col min="1560" max="1560" width="2.375" style="270" bestFit="1" customWidth="1"/>
    <col min="1561" max="1561" width="3.375" style="270" bestFit="1" customWidth="1"/>
    <col min="1562" max="1562" width="9" style="270"/>
    <col min="1563" max="1563" width="1.375" style="270" customWidth="1"/>
    <col min="1564" max="1564" width="17.875" style="270" customWidth="1"/>
    <col min="1565" max="1565" width="19.375" style="270" customWidth="1"/>
    <col min="1566" max="1566" width="6" style="270" bestFit="1" customWidth="1"/>
    <col min="1567" max="1567" width="2.375" style="270" bestFit="1" customWidth="1"/>
    <col min="1568" max="1568" width="3.375" style="270" bestFit="1" customWidth="1"/>
    <col min="1569" max="1797" width="9" style="270"/>
    <col min="1798" max="1798" width="4.375" style="270" customWidth="1"/>
    <col min="1799" max="1799" width="20.375" style="270" customWidth="1"/>
    <col min="1800" max="1800" width="23" style="270" customWidth="1"/>
    <col min="1801" max="1801" width="6" style="270" bestFit="1" customWidth="1"/>
    <col min="1802" max="1803" width="3.375" style="270" bestFit="1" customWidth="1"/>
    <col min="1804" max="1804" width="9" style="270"/>
    <col min="1805" max="1805" width="1.375" style="270" customWidth="1"/>
    <col min="1806" max="1806" width="14.375" style="270" customWidth="1"/>
    <col min="1807" max="1807" width="21.375" style="270" customWidth="1"/>
    <col min="1808" max="1808" width="6" style="270" bestFit="1" customWidth="1"/>
    <col min="1809" max="1809" width="5" style="270" bestFit="1" customWidth="1"/>
    <col min="1810" max="1810" width="3.375" style="270" bestFit="1" customWidth="1"/>
    <col min="1811" max="1811" width="9" style="270"/>
    <col min="1812" max="1812" width="0.375" style="270" customWidth="1"/>
    <col min="1813" max="1813" width="16.375" style="270" customWidth="1"/>
    <col min="1814" max="1814" width="24.375" style="270" customWidth="1"/>
    <col min="1815" max="1815" width="6" style="270" bestFit="1" customWidth="1"/>
    <col min="1816" max="1816" width="2.375" style="270" bestFit="1" customWidth="1"/>
    <col min="1817" max="1817" width="3.375" style="270" bestFit="1" customWidth="1"/>
    <col min="1818" max="1818" width="9" style="270"/>
    <col min="1819" max="1819" width="1.375" style="270" customWidth="1"/>
    <col min="1820" max="1820" width="17.875" style="270" customWidth="1"/>
    <col min="1821" max="1821" width="19.375" style="270" customWidth="1"/>
    <col min="1822" max="1822" width="6" style="270" bestFit="1" customWidth="1"/>
    <col min="1823" max="1823" width="2.375" style="270" bestFit="1" customWidth="1"/>
    <col min="1824" max="1824" width="3.375" style="270" bestFit="1" customWidth="1"/>
    <col min="1825" max="2053" width="9" style="270"/>
    <col min="2054" max="2054" width="4.375" style="270" customWidth="1"/>
    <col min="2055" max="2055" width="20.375" style="270" customWidth="1"/>
    <col min="2056" max="2056" width="23" style="270" customWidth="1"/>
    <col min="2057" max="2057" width="6" style="270" bestFit="1" customWidth="1"/>
    <col min="2058" max="2059" width="3.375" style="270" bestFit="1" customWidth="1"/>
    <col min="2060" max="2060" width="9" style="270"/>
    <col min="2061" max="2061" width="1.375" style="270" customWidth="1"/>
    <col min="2062" max="2062" width="14.375" style="270" customWidth="1"/>
    <col min="2063" max="2063" width="21.375" style="270" customWidth="1"/>
    <col min="2064" max="2064" width="6" style="270" bestFit="1" customWidth="1"/>
    <col min="2065" max="2065" width="5" style="270" bestFit="1" customWidth="1"/>
    <col min="2066" max="2066" width="3.375" style="270" bestFit="1" customWidth="1"/>
    <col min="2067" max="2067" width="9" style="270"/>
    <col min="2068" max="2068" width="0.375" style="270" customWidth="1"/>
    <col min="2069" max="2069" width="16.375" style="270" customWidth="1"/>
    <col min="2070" max="2070" width="24.375" style="270" customWidth="1"/>
    <col min="2071" max="2071" width="6" style="270" bestFit="1" customWidth="1"/>
    <col min="2072" max="2072" width="2.375" style="270" bestFit="1" customWidth="1"/>
    <col min="2073" max="2073" width="3.375" style="270" bestFit="1" customWidth="1"/>
    <col min="2074" max="2074" width="9" style="270"/>
    <col min="2075" max="2075" width="1.375" style="270" customWidth="1"/>
    <col min="2076" max="2076" width="17.875" style="270" customWidth="1"/>
    <col min="2077" max="2077" width="19.375" style="270" customWidth="1"/>
    <col min="2078" max="2078" width="6" style="270" bestFit="1" customWidth="1"/>
    <col min="2079" max="2079" width="2.375" style="270" bestFit="1" customWidth="1"/>
    <col min="2080" max="2080" width="3.375" style="270" bestFit="1" customWidth="1"/>
    <col min="2081" max="2309" width="9" style="270"/>
    <col min="2310" max="2310" width="4.375" style="270" customWidth="1"/>
    <col min="2311" max="2311" width="20.375" style="270" customWidth="1"/>
    <col min="2312" max="2312" width="23" style="270" customWidth="1"/>
    <col min="2313" max="2313" width="6" style="270" bestFit="1" customWidth="1"/>
    <col min="2314" max="2315" width="3.375" style="270" bestFit="1" customWidth="1"/>
    <col min="2316" max="2316" width="9" style="270"/>
    <col min="2317" max="2317" width="1.375" style="270" customWidth="1"/>
    <col min="2318" max="2318" width="14.375" style="270" customWidth="1"/>
    <col min="2319" max="2319" width="21.375" style="270" customWidth="1"/>
    <col min="2320" max="2320" width="6" style="270" bestFit="1" customWidth="1"/>
    <col min="2321" max="2321" width="5" style="270" bestFit="1" customWidth="1"/>
    <col min="2322" max="2322" width="3.375" style="270" bestFit="1" customWidth="1"/>
    <col min="2323" max="2323" width="9" style="270"/>
    <col min="2324" max="2324" width="0.375" style="270" customWidth="1"/>
    <col min="2325" max="2325" width="16.375" style="270" customWidth="1"/>
    <col min="2326" max="2326" width="24.375" style="270" customWidth="1"/>
    <col min="2327" max="2327" width="6" style="270" bestFit="1" customWidth="1"/>
    <col min="2328" max="2328" width="2.375" style="270" bestFit="1" customWidth="1"/>
    <col min="2329" max="2329" width="3.375" style="270" bestFit="1" customWidth="1"/>
    <col min="2330" max="2330" width="9" style="270"/>
    <col min="2331" max="2331" width="1.375" style="270" customWidth="1"/>
    <col min="2332" max="2332" width="17.875" style="270" customWidth="1"/>
    <col min="2333" max="2333" width="19.375" style="270" customWidth="1"/>
    <col min="2334" max="2334" width="6" style="270" bestFit="1" customWidth="1"/>
    <col min="2335" max="2335" width="2.375" style="270" bestFit="1" customWidth="1"/>
    <col min="2336" max="2336" width="3.375" style="270" bestFit="1" customWidth="1"/>
    <col min="2337" max="2565" width="9" style="270"/>
    <col min="2566" max="2566" width="4.375" style="270" customWidth="1"/>
    <col min="2567" max="2567" width="20.375" style="270" customWidth="1"/>
    <col min="2568" max="2568" width="23" style="270" customWidth="1"/>
    <col min="2569" max="2569" width="6" style="270" bestFit="1" customWidth="1"/>
    <col min="2570" max="2571" width="3.375" style="270" bestFit="1" customWidth="1"/>
    <col min="2572" max="2572" width="9" style="270"/>
    <col min="2573" max="2573" width="1.375" style="270" customWidth="1"/>
    <col min="2574" max="2574" width="14.375" style="270" customWidth="1"/>
    <col min="2575" max="2575" width="21.375" style="270" customWidth="1"/>
    <col min="2576" max="2576" width="6" style="270" bestFit="1" customWidth="1"/>
    <col min="2577" max="2577" width="5" style="270" bestFit="1" customWidth="1"/>
    <col min="2578" max="2578" width="3.375" style="270" bestFit="1" customWidth="1"/>
    <col min="2579" max="2579" width="9" style="270"/>
    <col min="2580" max="2580" width="0.375" style="270" customWidth="1"/>
    <col min="2581" max="2581" width="16.375" style="270" customWidth="1"/>
    <col min="2582" max="2582" width="24.375" style="270" customWidth="1"/>
    <col min="2583" max="2583" width="6" style="270" bestFit="1" customWidth="1"/>
    <col min="2584" max="2584" width="2.375" style="270" bestFit="1" customWidth="1"/>
    <col min="2585" max="2585" width="3.375" style="270" bestFit="1" customWidth="1"/>
    <col min="2586" max="2586" width="9" style="270"/>
    <col min="2587" max="2587" width="1.375" style="270" customWidth="1"/>
    <col min="2588" max="2588" width="17.875" style="270" customWidth="1"/>
    <col min="2589" max="2589" width="19.375" style="270" customWidth="1"/>
    <col min="2590" max="2590" width="6" style="270" bestFit="1" customWidth="1"/>
    <col min="2591" max="2591" width="2.375" style="270" bestFit="1" customWidth="1"/>
    <col min="2592" max="2592" width="3.375" style="270" bestFit="1" customWidth="1"/>
    <col min="2593" max="2821" width="9" style="270"/>
    <col min="2822" max="2822" width="4.375" style="270" customWidth="1"/>
    <col min="2823" max="2823" width="20.375" style="270" customWidth="1"/>
    <col min="2824" max="2824" width="23" style="270" customWidth="1"/>
    <col min="2825" max="2825" width="6" style="270" bestFit="1" customWidth="1"/>
    <col min="2826" max="2827" width="3.375" style="270" bestFit="1" customWidth="1"/>
    <col min="2828" max="2828" width="9" style="270"/>
    <col min="2829" max="2829" width="1.375" style="270" customWidth="1"/>
    <col min="2830" max="2830" width="14.375" style="270" customWidth="1"/>
    <col min="2831" max="2831" width="21.375" style="270" customWidth="1"/>
    <col min="2832" max="2832" width="6" style="270" bestFit="1" customWidth="1"/>
    <col min="2833" max="2833" width="5" style="270" bestFit="1" customWidth="1"/>
    <col min="2834" max="2834" width="3.375" style="270" bestFit="1" customWidth="1"/>
    <col min="2835" max="2835" width="9" style="270"/>
    <col min="2836" max="2836" width="0.375" style="270" customWidth="1"/>
    <col min="2837" max="2837" width="16.375" style="270" customWidth="1"/>
    <col min="2838" max="2838" width="24.375" style="270" customWidth="1"/>
    <col min="2839" max="2839" width="6" style="270" bestFit="1" customWidth="1"/>
    <col min="2840" max="2840" width="2.375" style="270" bestFit="1" customWidth="1"/>
    <col min="2841" max="2841" width="3.375" style="270" bestFit="1" customWidth="1"/>
    <col min="2842" max="2842" width="9" style="270"/>
    <col min="2843" max="2843" width="1.375" style="270" customWidth="1"/>
    <col min="2844" max="2844" width="17.875" style="270" customWidth="1"/>
    <col min="2845" max="2845" width="19.375" style="270" customWidth="1"/>
    <col min="2846" max="2846" width="6" style="270" bestFit="1" customWidth="1"/>
    <col min="2847" max="2847" width="2.375" style="270" bestFit="1" customWidth="1"/>
    <col min="2848" max="2848" width="3.375" style="270" bestFit="1" customWidth="1"/>
    <col min="2849" max="3077" width="9" style="270"/>
    <col min="3078" max="3078" width="4.375" style="270" customWidth="1"/>
    <col min="3079" max="3079" width="20.375" style="270" customWidth="1"/>
    <col min="3080" max="3080" width="23" style="270" customWidth="1"/>
    <col min="3081" max="3081" width="6" style="270" bestFit="1" customWidth="1"/>
    <col min="3082" max="3083" width="3.375" style="270" bestFit="1" customWidth="1"/>
    <col min="3084" max="3084" width="9" style="270"/>
    <col min="3085" max="3085" width="1.375" style="270" customWidth="1"/>
    <col min="3086" max="3086" width="14.375" style="270" customWidth="1"/>
    <col min="3087" max="3087" width="21.375" style="270" customWidth="1"/>
    <col min="3088" max="3088" width="6" style="270" bestFit="1" customWidth="1"/>
    <col min="3089" max="3089" width="5" style="270" bestFit="1" customWidth="1"/>
    <col min="3090" max="3090" width="3.375" style="270" bestFit="1" customWidth="1"/>
    <col min="3091" max="3091" width="9" style="270"/>
    <col min="3092" max="3092" width="0.375" style="270" customWidth="1"/>
    <col min="3093" max="3093" width="16.375" style="270" customWidth="1"/>
    <col min="3094" max="3094" width="24.375" style="270" customWidth="1"/>
    <col min="3095" max="3095" width="6" style="270" bestFit="1" customWidth="1"/>
    <col min="3096" max="3096" width="2.375" style="270" bestFit="1" customWidth="1"/>
    <col min="3097" max="3097" width="3.375" style="270" bestFit="1" customWidth="1"/>
    <col min="3098" max="3098" width="9" style="270"/>
    <col min="3099" max="3099" width="1.375" style="270" customWidth="1"/>
    <col min="3100" max="3100" width="17.875" style="270" customWidth="1"/>
    <col min="3101" max="3101" width="19.375" style="270" customWidth="1"/>
    <col min="3102" max="3102" width="6" style="270" bestFit="1" customWidth="1"/>
    <col min="3103" max="3103" width="2.375" style="270" bestFit="1" customWidth="1"/>
    <col min="3104" max="3104" width="3.375" style="270" bestFit="1" customWidth="1"/>
    <col min="3105" max="3333" width="9" style="270"/>
    <col min="3334" max="3334" width="4.375" style="270" customWidth="1"/>
    <col min="3335" max="3335" width="20.375" style="270" customWidth="1"/>
    <col min="3336" max="3336" width="23" style="270" customWidth="1"/>
    <col min="3337" max="3337" width="6" style="270" bestFit="1" customWidth="1"/>
    <col min="3338" max="3339" width="3.375" style="270" bestFit="1" customWidth="1"/>
    <col min="3340" max="3340" width="9" style="270"/>
    <col min="3341" max="3341" width="1.375" style="270" customWidth="1"/>
    <col min="3342" max="3342" width="14.375" style="270" customWidth="1"/>
    <col min="3343" max="3343" width="21.375" style="270" customWidth="1"/>
    <col min="3344" max="3344" width="6" style="270" bestFit="1" customWidth="1"/>
    <col min="3345" max="3345" width="5" style="270" bestFit="1" customWidth="1"/>
    <col min="3346" max="3346" width="3.375" style="270" bestFit="1" customWidth="1"/>
    <col min="3347" max="3347" width="9" style="270"/>
    <col min="3348" max="3348" width="0.375" style="270" customWidth="1"/>
    <col min="3349" max="3349" width="16.375" style="270" customWidth="1"/>
    <col min="3350" max="3350" width="24.375" style="270" customWidth="1"/>
    <col min="3351" max="3351" width="6" style="270" bestFit="1" customWidth="1"/>
    <col min="3352" max="3352" width="2.375" style="270" bestFit="1" customWidth="1"/>
    <col min="3353" max="3353" width="3.375" style="270" bestFit="1" customWidth="1"/>
    <col min="3354" max="3354" width="9" style="270"/>
    <col min="3355" max="3355" width="1.375" style="270" customWidth="1"/>
    <col min="3356" max="3356" width="17.875" style="270" customWidth="1"/>
    <col min="3357" max="3357" width="19.375" style="270" customWidth="1"/>
    <col min="3358" max="3358" width="6" style="270" bestFit="1" customWidth="1"/>
    <col min="3359" max="3359" width="2.375" style="270" bestFit="1" customWidth="1"/>
    <col min="3360" max="3360" width="3.375" style="270" bestFit="1" customWidth="1"/>
    <col min="3361" max="3589" width="9" style="270"/>
    <col min="3590" max="3590" width="4.375" style="270" customWidth="1"/>
    <col min="3591" max="3591" width="20.375" style="270" customWidth="1"/>
    <col min="3592" max="3592" width="23" style="270" customWidth="1"/>
    <col min="3593" max="3593" width="6" style="270" bestFit="1" customWidth="1"/>
    <col min="3594" max="3595" width="3.375" style="270" bestFit="1" customWidth="1"/>
    <col min="3596" max="3596" width="9" style="270"/>
    <col min="3597" max="3597" width="1.375" style="270" customWidth="1"/>
    <col min="3598" max="3598" width="14.375" style="270" customWidth="1"/>
    <col min="3599" max="3599" width="21.375" style="270" customWidth="1"/>
    <col min="3600" max="3600" width="6" style="270" bestFit="1" customWidth="1"/>
    <col min="3601" max="3601" width="5" style="270" bestFit="1" customWidth="1"/>
    <col min="3602" max="3602" width="3.375" style="270" bestFit="1" customWidth="1"/>
    <col min="3603" max="3603" width="9" style="270"/>
    <col min="3604" max="3604" width="0.375" style="270" customWidth="1"/>
    <col min="3605" max="3605" width="16.375" style="270" customWidth="1"/>
    <col min="3606" max="3606" width="24.375" style="270" customWidth="1"/>
    <col min="3607" max="3607" width="6" style="270" bestFit="1" customWidth="1"/>
    <col min="3608" max="3608" width="2.375" style="270" bestFit="1" customWidth="1"/>
    <col min="3609" max="3609" width="3.375" style="270" bestFit="1" customWidth="1"/>
    <col min="3610" max="3610" width="9" style="270"/>
    <col min="3611" max="3611" width="1.375" style="270" customWidth="1"/>
    <col min="3612" max="3612" width="17.875" style="270" customWidth="1"/>
    <col min="3613" max="3613" width="19.375" style="270" customWidth="1"/>
    <col min="3614" max="3614" width="6" style="270" bestFit="1" customWidth="1"/>
    <col min="3615" max="3615" width="2.375" style="270" bestFit="1" customWidth="1"/>
    <col min="3616" max="3616" width="3.375" style="270" bestFit="1" customWidth="1"/>
    <col min="3617" max="3845" width="9" style="270"/>
    <col min="3846" max="3846" width="4.375" style="270" customWidth="1"/>
    <col min="3847" max="3847" width="20.375" style="270" customWidth="1"/>
    <col min="3848" max="3848" width="23" style="270" customWidth="1"/>
    <col min="3849" max="3849" width="6" style="270" bestFit="1" customWidth="1"/>
    <col min="3850" max="3851" width="3.375" style="270" bestFit="1" customWidth="1"/>
    <col min="3852" max="3852" width="9" style="270"/>
    <col min="3853" max="3853" width="1.375" style="270" customWidth="1"/>
    <col min="3854" max="3854" width="14.375" style="270" customWidth="1"/>
    <col min="3855" max="3855" width="21.375" style="270" customWidth="1"/>
    <col min="3856" max="3856" width="6" style="270" bestFit="1" customWidth="1"/>
    <col min="3857" max="3857" width="5" style="270" bestFit="1" customWidth="1"/>
    <col min="3858" max="3858" width="3.375" style="270" bestFit="1" customWidth="1"/>
    <col min="3859" max="3859" width="9" style="270"/>
    <col min="3860" max="3860" width="0.375" style="270" customWidth="1"/>
    <col min="3861" max="3861" width="16.375" style="270" customWidth="1"/>
    <col min="3862" max="3862" width="24.375" style="270" customWidth="1"/>
    <col min="3863" max="3863" width="6" style="270" bestFit="1" customWidth="1"/>
    <col min="3864" max="3864" width="2.375" style="270" bestFit="1" customWidth="1"/>
    <col min="3865" max="3865" width="3.375" style="270" bestFit="1" customWidth="1"/>
    <col min="3866" max="3866" width="9" style="270"/>
    <col min="3867" max="3867" width="1.375" style="270" customWidth="1"/>
    <col min="3868" max="3868" width="17.875" style="270" customWidth="1"/>
    <col min="3869" max="3869" width="19.375" style="270" customWidth="1"/>
    <col min="3870" max="3870" width="6" style="270" bestFit="1" customWidth="1"/>
    <col min="3871" max="3871" width="2.375" style="270" bestFit="1" customWidth="1"/>
    <col min="3872" max="3872" width="3.375" style="270" bestFit="1" customWidth="1"/>
    <col min="3873" max="4101" width="9" style="270"/>
    <col min="4102" max="4102" width="4.375" style="270" customWidth="1"/>
    <col min="4103" max="4103" width="20.375" style="270" customWidth="1"/>
    <col min="4104" max="4104" width="23" style="270" customWidth="1"/>
    <col min="4105" max="4105" width="6" style="270" bestFit="1" customWidth="1"/>
    <col min="4106" max="4107" width="3.375" style="270" bestFit="1" customWidth="1"/>
    <col min="4108" max="4108" width="9" style="270"/>
    <col min="4109" max="4109" width="1.375" style="270" customWidth="1"/>
    <col min="4110" max="4110" width="14.375" style="270" customWidth="1"/>
    <col min="4111" max="4111" width="21.375" style="270" customWidth="1"/>
    <col min="4112" max="4112" width="6" style="270" bestFit="1" customWidth="1"/>
    <col min="4113" max="4113" width="5" style="270" bestFit="1" customWidth="1"/>
    <col min="4114" max="4114" width="3.375" style="270" bestFit="1" customWidth="1"/>
    <col min="4115" max="4115" width="9" style="270"/>
    <col min="4116" max="4116" width="0.375" style="270" customWidth="1"/>
    <col min="4117" max="4117" width="16.375" style="270" customWidth="1"/>
    <col min="4118" max="4118" width="24.375" style="270" customWidth="1"/>
    <col min="4119" max="4119" width="6" style="270" bestFit="1" customWidth="1"/>
    <col min="4120" max="4120" width="2.375" style="270" bestFit="1" customWidth="1"/>
    <col min="4121" max="4121" width="3.375" style="270" bestFit="1" customWidth="1"/>
    <col min="4122" max="4122" width="9" style="270"/>
    <col min="4123" max="4123" width="1.375" style="270" customWidth="1"/>
    <col min="4124" max="4124" width="17.875" style="270" customWidth="1"/>
    <col min="4125" max="4125" width="19.375" style="270" customWidth="1"/>
    <col min="4126" max="4126" width="6" style="270" bestFit="1" customWidth="1"/>
    <col min="4127" max="4127" width="2.375" style="270" bestFit="1" customWidth="1"/>
    <col min="4128" max="4128" width="3.375" style="270" bestFit="1" customWidth="1"/>
    <col min="4129" max="4357" width="9" style="270"/>
    <col min="4358" max="4358" width="4.375" style="270" customWidth="1"/>
    <col min="4359" max="4359" width="20.375" style="270" customWidth="1"/>
    <col min="4360" max="4360" width="23" style="270" customWidth="1"/>
    <col min="4361" max="4361" width="6" style="270" bestFit="1" customWidth="1"/>
    <col min="4362" max="4363" width="3.375" style="270" bestFit="1" customWidth="1"/>
    <col min="4364" max="4364" width="9" style="270"/>
    <col min="4365" max="4365" width="1.375" style="270" customWidth="1"/>
    <col min="4366" max="4366" width="14.375" style="270" customWidth="1"/>
    <col min="4367" max="4367" width="21.375" style="270" customWidth="1"/>
    <col min="4368" max="4368" width="6" style="270" bestFit="1" customWidth="1"/>
    <col min="4369" max="4369" width="5" style="270" bestFit="1" customWidth="1"/>
    <col min="4370" max="4370" width="3.375" style="270" bestFit="1" customWidth="1"/>
    <col min="4371" max="4371" width="9" style="270"/>
    <col min="4372" max="4372" width="0.375" style="270" customWidth="1"/>
    <col min="4373" max="4373" width="16.375" style="270" customWidth="1"/>
    <col min="4374" max="4374" width="24.375" style="270" customWidth="1"/>
    <col min="4375" max="4375" width="6" style="270" bestFit="1" customWidth="1"/>
    <col min="4376" max="4376" width="2.375" style="270" bestFit="1" customWidth="1"/>
    <col min="4377" max="4377" width="3.375" style="270" bestFit="1" customWidth="1"/>
    <col min="4378" max="4378" width="9" style="270"/>
    <col min="4379" max="4379" width="1.375" style="270" customWidth="1"/>
    <col min="4380" max="4380" width="17.875" style="270" customWidth="1"/>
    <col min="4381" max="4381" width="19.375" style="270" customWidth="1"/>
    <col min="4382" max="4382" width="6" style="270" bestFit="1" customWidth="1"/>
    <col min="4383" max="4383" width="2.375" style="270" bestFit="1" customWidth="1"/>
    <col min="4384" max="4384" width="3.375" style="270" bestFit="1" customWidth="1"/>
    <col min="4385" max="4613" width="9" style="270"/>
    <col min="4614" max="4614" width="4.375" style="270" customWidth="1"/>
    <col min="4615" max="4615" width="20.375" style="270" customWidth="1"/>
    <col min="4616" max="4616" width="23" style="270" customWidth="1"/>
    <col min="4617" max="4617" width="6" style="270" bestFit="1" customWidth="1"/>
    <col min="4618" max="4619" width="3.375" style="270" bestFit="1" customWidth="1"/>
    <col min="4620" max="4620" width="9" style="270"/>
    <col min="4621" max="4621" width="1.375" style="270" customWidth="1"/>
    <col min="4622" max="4622" width="14.375" style="270" customWidth="1"/>
    <col min="4623" max="4623" width="21.375" style="270" customWidth="1"/>
    <col min="4624" max="4624" width="6" style="270" bestFit="1" customWidth="1"/>
    <col min="4625" max="4625" width="5" style="270" bestFit="1" customWidth="1"/>
    <col min="4626" max="4626" width="3.375" style="270" bestFit="1" customWidth="1"/>
    <col min="4627" max="4627" width="9" style="270"/>
    <col min="4628" max="4628" width="0.375" style="270" customWidth="1"/>
    <col min="4629" max="4629" width="16.375" style="270" customWidth="1"/>
    <col min="4630" max="4630" width="24.375" style="270" customWidth="1"/>
    <col min="4631" max="4631" width="6" style="270" bestFit="1" customWidth="1"/>
    <col min="4632" max="4632" width="2.375" style="270" bestFit="1" customWidth="1"/>
    <col min="4633" max="4633" width="3.375" style="270" bestFit="1" customWidth="1"/>
    <col min="4634" max="4634" width="9" style="270"/>
    <col min="4635" max="4635" width="1.375" style="270" customWidth="1"/>
    <col min="4636" max="4636" width="17.875" style="270" customWidth="1"/>
    <col min="4637" max="4637" width="19.375" style="270" customWidth="1"/>
    <col min="4638" max="4638" width="6" style="270" bestFit="1" customWidth="1"/>
    <col min="4639" max="4639" width="2.375" style="270" bestFit="1" customWidth="1"/>
    <col min="4640" max="4640" width="3.375" style="270" bestFit="1" customWidth="1"/>
    <col min="4641" max="4869" width="9" style="270"/>
    <col min="4870" max="4870" width="4.375" style="270" customWidth="1"/>
    <col min="4871" max="4871" width="20.375" style="270" customWidth="1"/>
    <col min="4872" max="4872" width="23" style="270" customWidth="1"/>
    <col min="4873" max="4873" width="6" style="270" bestFit="1" customWidth="1"/>
    <col min="4874" max="4875" width="3.375" style="270" bestFit="1" customWidth="1"/>
    <col min="4876" max="4876" width="9" style="270"/>
    <col min="4877" max="4877" width="1.375" style="270" customWidth="1"/>
    <col min="4878" max="4878" width="14.375" style="270" customWidth="1"/>
    <col min="4879" max="4879" width="21.375" style="270" customWidth="1"/>
    <col min="4880" max="4880" width="6" style="270" bestFit="1" customWidth="1"/>
    <col min="4881" max="4881" width="5" style="270" bestFit="1" customWidth="1"/>
    <col min="4882" max="4882" width="3.375" style="270" bestFit="1" customWidth="1"/>
    <col min="4883" max="4883" width="9" style="270"/>
    <col min="4884" max="4884" width="0.375" style="270" customWidth="1"/>
    <col min="4885" max="4885" width="16.375" style="270" customWidth="1"/>
    <col min="4886" max="4886" width="24.375" style="270" customWidth="1"/>
    <col min="4887" max="4887" width="6" style="270" bestFit="1" customWidth="1"/>
    <col min="4888" max="4888" width="2.375" style="270" bestFit="1" customWidth="1"/>
    <col min="4889" max="4889" width="3.375" style="270" bestFit="1" customWidth="1"/>
    <col min="4890" max="4890" width="9" style="270"/>
    <col min="4891" max="4891" width="1.375" style="270" customWidth="1"/>
    <col min="4892" max="4892" width="17.875" style="270" customWidth="1"/>
    <col min="4893" max="4893" width="19.375" style="270" customWidth="1"/>
    <col min="4894" max="4894" width="6" style="270" bestFit="1" customWidth="1"/>
    <col min="4895" max="4895" width="2.375" style="270" bestFit="1" customWidth="1"/>
    <col min="4896" max="4896" width="3.375" style="270" bestFit="1" customWidth="1"/>
    <col min="4897" max="5125" width="9" style="270"/>
    <col min="5126" max="5126" width="4.375" style="270" customWidth="1"/>
    <col min="5127" max="5127" width="20.375" style="270" customWidth="1"/>
    <col min="5128" max="5128" width="23" style="270" customWidth="1"/>
    <col min="5129" max="5129" width="6" style="270" bestFit="1" customWidth="1"/>
    <col min="5130" max="5131" width="3.375" style="270" bestFit="1" customWidth="1"/>
    <col min="5132" max="5132" width="9" style="270"/>
    <col min="5133" max="5133" width="1.375" style="270" customWidth="1"/>
    <col min="5134" max="5134" width="14.375" style="270" customWidth="1"/>
    <col min="5135" max="5135" width="21.375" style="270" customWidth="1"/>
    <col min="5136" max="5136" width="6" style="270" bestFit="1" customWidth="1"/>
    <col min="5137" max="5137" width="5" style="270" bestFit="1" customWidth="1"/>
    <col min="5138" max="5138" width="3.375" style="270" bestFit="1" customWidth="1"/>
    <col min="5139" max="5139" width="9" style="270"/>
    <col min="5140" max="5140" width="0.375" style="270" customWidth="1"/>
    <col min="5141" max="5141" width="16.375" style="270" customWidth="1"/>
    <col min="5142" max="5142" width="24.375" style="270" customWidth="1"/>
    <col min="5143" max="5143" width="6" style="270" bestFit="1" customWidth="1"/>
    <col min="5144" max="5144" width="2.375" style="270" bestFit="1" customWidth="1"/>
    <col min="5145" max="5145" width="3.375" style="270" bestFit="1" customWidth="1"/>
    <col min="5146" max="5146" width="9" style="270"/>
    <col min="5147" max="5147" width="1.375" style="270" customWidth="1"/>
    <col min="5148" max="5148" width="17.875" style="270" customWidth="1"/>
    <col min="5149" max="5149" width="19.375" style="270" customWidth="1"/>
    <col min="5150" max="5150" width="6" style="270" bestFit="1" customWidth="1"/>
    <col min="5151" max="5151" width="2.375" style="270" bestFit="1" customWidth="1"/>
    <col min="5152" max="5152" width="3.375" style="270" bestFit="1" customWidth="1"/>
    <col min="5153" max="5381" width="9" style="270"/>
    <col min="5382" max="5382" width="4.375" style="270" customWidth="1"/>
    <col min="5383" max="5383" width="20.375" style="270" customWidth="1"/>
    <col min="5384" max="5384" width="23" style="270" customWidth="1"/>
    <col min="5385" max="5385" width="6" style="270" bestFit="1" customWidth="1"/>
    <col min="5386" max="5387" width="3.375" style="270" bestFit="1" customWidth="1"/>
    <col min="5388" max="5388" width="9" style="270"/>
    <col min="5389" max="5389" width="1.375" style="270" customWidth="1"/>
    <col min="5390" max="5390" width="14.375" style="270" customWidth="1"/>
    <col min="5391" max="5391" width="21.375" style="270" customWidth="1"/>
    <col min="5392" max="5392" width="6" style="270" bestFit="1" customWidth="1"/>
    <col min="5393" max="5393" width="5" style="270" bestFit="1" customWidth="1"/>
    <col min="5394" max="5394" width="3.375" style="270" bestFit="1" customWidth="1"/>
    <col min="5395" max="5395" width="9" style="270"/>
    <col min="5396" max="5396" width="0.375" style="270" customWidth="1"/>
    <col min="5397" max="5397" width="16.375" style="270" customWidth="1"/>
    <col min="5398" max="5398" width="24.375" style="270" customWidth="1"/>
    <col min="5399" max="5399" width="6" style="270" bestFit="1" customWidth="1"/>
    <col min="5400" max="5400" width="2.375" style="270" bestFit="1" customWidth="1"/>
    <col min="5401" max="5401" width="3.375" style="270" bestFit="1" customWidth="1"/>
    <col min="5402" max="5402" width="9" style="270"/>
    <col min="5403" max="5403" width="1.375" style="270" customWidth="1"/>
    <col min="5404" max="5404" width="17.875" style="270" customWidth="1"/>
    <col min="5405" max="5405" width="19.375" style="270" customWidth="1"/>
    <col min="5406" max="5406" width="6" style="270" bestFit="1" customWidth="1"/>
    <col min="5407" max="5407" width="2.375" style="270" bestFit="1" customWidth="1"/>
    <col min="5408" max="5408" width="3.375" style="270" bestFit="1" customWidth="1"/>
    <col min="5409" max="5637" width="9" style="270"/>
    <col min="5638" max="5638" width="4.375" style="270" customWidth="1"/>
    <col min="5639" max="5639" width="20.375" style="270" customWidth="1"/>
    <col min="5640" max="5640" width="23" style="270" customWidth="1"/>
    <col min="5641" max="5641" width="6" style="270" bestFit="1" customWidth="1"/>
    <col min="5642" max="5643" width="3.375" style="270" bestFit="1" customWidth="1"/>
    <col min="5644" max="5644" width="9" style="270"/>
    <col min="5645" max="5645" width="1.375" style="270" customWidth="1"/>
    <col min="5646" max="5646" width="14.375" style="270" customWidth="1"/>
    <col min="5647" max="5647" width="21.375" style="270" customWidth="1"/>
    <col min="5648" max="5648" width="6" style="270" bestFit="1" customWidth="1"/>
    <col min="5649" max="5649" width="5" style="270" bestFit="1" customWidth="1"/>
    <col min="5650" max="5650" width="3.375" style="270" bestFit="1" customWidth="1"/>
    <col min="5651" max="5651" width="9" style="270"/>
    <col min="5652" max="5652" width="0.375" style="270" customWidth="1"/>
    <col min="5653" max="5653" width="16.375" style="270" customWidth="1"/>
    <col min="5654" max="5654" width="24.375" style="270" customWidth="1"/>
    <col min="5655" max="5655" width="6" style="270" bestFit="1" customWidth="1"/>
    <col min="5656" max="5656" width="2.375" style="270" bestFit="1" customWidth="1"/>
    <col min="5657" max="5657" width="3.375" style="270" bestFit="1" customWidth="1"/>
    <col min="5658" max="5658" width="9" style="270"/>
    <col min="5659" max="5659" width="1.375" style="270" customWidth="1"/>
    <col min="5660" max="5660" width="17.875" style="270" customWidth="1"/>
    <col min="5661" max="5661" width="19.375" style="270" customWidth="1"/>
    <col min="5662" max="5662" width="6" style="270" bestFit="1" customWidth="1"/>
    <col min="5663" max="5663" width="2.375" style="270" bestFit="1" customWidth="1"/>
    <col min="5664" max="5664" width="3.375" style="270" bestFit="1" customWidth="1"/>
    <col min="5665" max="5893" width="9" style="270"/>
    <col min="5894" max="5894" width="4.375" style="270" customWidth="1"/>
    <col min="5895" max="5895" width="20.375" style="270" customWidth="1"/>
    <col min="5896" max="5896" width="23" style="270" customWidth="1"/>
    <col min="5897" max="5897" width="6" style="270" bestFit="1" customWidth="1"/>
    <col min="5898" max="5899" width="3.375" style="270" bestFit="1" customWidth="1"/>
    <col min="5900" max="5900" width="9" style="270"/>
    <col min="5901" max="5901" width="1.375" style="270" customWidth="1"/>
    <col min="5902" max="5902" width="14.375" style="270" customWidth="1"/>
    <col min="5903" max="5903" width="21.375" style="270" customWidth="1"/>
    <col min="5904" max="5904" width="6" style="270" bestFit="1" customWidth="1"/>
    <col min="5905" max="5905" width="5" style="270" bestFit="1" customWidth="1"/>
    <col min="5906" max="5906" width="3.375" style="270" bestFit="1" customWidth="1"/>
    <col min="5907" max="5907" width="9" style="270"/>
    <col min="5908" max="5908" width="0.375" style="270" customWidth="1"/>
    <col min="5909" max="5909" width="16.375" style="270" customWidth="1"/>
    <col min="5910" max="5910" width="24.375" style="270" customWidth="1"/>
    <col min="5911" max="5911" width="6" style="270" bestFit="1" customWidth="1"/>
    <col min="5912" max="5912" width="2.375" style="270" bestFit="1" customWidth="1"/>
    <col min="5913" max="5913" width="3.375" style="270" bestFit="1" customWidth="1"/>
    <col min="5914" max="5914" width="9" style="270"/>
    <col min="5915" max="5915" width="1.375" style="270" customWidth="1"/>
    <col min="5916" max="5916" width="17.875" style="270" customWidth="1"/>
    <col min="5917" max="5917" width="19.375" style="270" customWidth="1"/>
    <col min="5918" max="5918" width="6" style="270" bestFit="1" customWidth="1"/>
    <col min="5919" max="5919" width="2.375" style="270" bestFit="1" customWidth="1"/>
    <col min="5920" max="5920" width="3.375" style="270" bestFit="1" customWidth="1"/>
    <col min="5921" max="6149" width="9" style="270"/>
    <col min="6150" max="6150" width="4.375" style="270" customWidth="1"/>
    <col min="6151" max="6151" width="20.375" style="270" customWidth="1"/>
    <col min="6152" max="6152" width="23" style="270" customWidth="1"/>
    <col min="6153" max="6153" width="6" style="270" bestFit="1" customWidth="1"/>
    <col min="6154" max="6155" width="3.375" style="270" bestFit="1" customWidth="1"/>
    <col min="6156" max="6156" width="9" style="270"/>
    <col min="6157" max="6157" width="1.375" style="270" customWidth="1"/>
    <col min="6158" max="6158" width="14.375" style="270" customWidth="1"/>
    <col min="6159" max="6159" width="21.375" style="270" customWidth="1"/>
    <col min="6160" max="6160" width="6" style="270" bestFit="1" customWidth="1"/>
    <col min="6161" max="6161" width="5" style="270" bestFit="1" customWidth="1"/>
    <col min="6162" max="6162" width="3.375" style="270" bestFit="1" customWidth="1"/>
    <col min="6163" max="6163" width="9" style="270"/>
    <col min="6164" max="6164" width="0.375" style="270" customWidth="1"/>
    <col min="6165" max="6165" width="16.375" style="270" customWidth="1"/>
    <col min="6166" max="6166" width="24.375" style="270" customWidth="1"/>
    <col min="6167" max="6167" width="6" style="270" bestFit="1" customWidth="1"/>
    <col min="6168" max="6168" width="2.375" style="270" bestFit="1" customWidth="1"/>
    <col min="6169" max="6169" width="3.375" style="270" bestFit="1" customWidth="1"/>
    <col min="6170" max="6170" width="9" style="270"/>
    <col min="6171" max="6171" width="1.375" style="270" customWidth="1"/>
    <col min="6172" max="6172" width="17.875" style="270" customWidth="1"/>
    <col min="6173" max="6173" width="19.375" style="270" customWidth="1"/>
    <col min="6174" max="6174" width="6" style="270" bestFit="1" customWidth="1"/>
    <col min="6175" max="6175" width="2.375" style="270" bestFit="1" customWidth="1"/>
    <col min="6176" max="6176" width="3.375" style="270" bestFit="1" customWidth="1"/>
    <col min="6177" max="6405" width="9" style="270"/>
    <col min="6406" max="6406" width="4.375" style="270" customWidth="1"/>
    <col min="6407" max="6407" width="20.375" style="270" customWidth="1"/>
    <col min="6408" max="6408" width="23" style="270" customWidth="1"/>
    <col min="6409" max="6409" width="6" style="270" bestFit="1" customWidth="1"/>
    <col min="6410" max="6411" width="3.375" style="270" bestFit="1" customWidth="1"/>
    <col min="6412" max="6412" width="9" style="270"/>
    <col min="6413" max="6413" width="1.375" style="270" customWidth="1"/>
    <col min="6414" max="6414" width="14.375" style="270" customWidth="1"/>
    <col min="6415" max="6415" width="21.375" style="270" customWidth="1"/>
    <col min="6416" max="6416" width="6" style="270" bestFit="1" customWidth="1"/>
    <col min="6417" max="6417" width="5" style="270" bestFit="1" customWidth="1"/>
    <col min="6418" max="6418" width="3.375" style="270" bestFit="1" customWidth="1"/>
    <col min="6419" max="6419" width="9" style="270"/>
    <col min="6420" max="6420" width="0.375" style="270" customWidth="1"/>
    <col min="6421" max="6421" width="16.375" style="270" customWidth="1"/>
    <col min="6422" max="6422" width="24.375" style="270" customWidth="1"/>
    <col min="6423" max="6423" width="6" style="270" bestFit="1" customWidth="1"/>
    <col min="6424" max="6424" width="2.375" style="270" bestFit="1" customWidth="1"/>
    <col min="6425" max="6425" width="3.375" style="270" bestFit="1" customWidth="1"/>
    <col min="6426" max="6426" width="9" style="270"/>
    <col min="6427" max="6427" width="1.375" style="270" customWidth="1"/>
    <col min="6428" max="6428" width="17.875" style="270" customWidth="1"/>
    <col min="6429" max="6429" width="19.375" style="270" customWidth="1"/>
    <col min="6430" max="6430" width="6" style="270" bestFit="1" customWidth="1"/>
    <col min="6431" max="6431" width="2.375" style="270" bestFit="1" customWidth="1"/>
    <col min="6432" max="6432" width="3.375" style="270" bestFit="1" customWidth="1"/>
    <col min="6433" max="6661" width="9" style="270"/>
    <col min="6662" max="6662" width="4.375" style="270" customWidth="1"/>
    <col min="6663" max="6663" width="20.375" style="270" customWidth="1"/>
    <col min="6664" max="6664" width="23" style="270" customWidth="1"/>
    <col min="6665" max="6665" width="6" style="270" bestFit="1" customWidth="1"/>
    <col min="6666" max="6667" width="3.375" style="270" bestFit="1" customWidth="1"/>
    <col min="6668" max="6668" width="9" style="270"/>
    <col min="6669" max="6669" width="1.375" style="270" customWidth="1"/>
    <col min="6670" max="6670" width="14.375" style="270" customWidth="1"/>
    <col min="6671" max="6671" width="21.375" style="270" customWidth="1"/>
    <col min="6672" max="6672" width="6" style="270" bestFit="1" customWidth="1"/>
    <col min="6673" max="6673" width="5" style="270" bestFit="1" customWidth="1"/>
    <col min="6674" max="6674" width="3.375" style="270" bestFit="1" customWidth="1"/>
    <col min="6675" max="6675" width="9" style="270"/>
    <col min="6676" max="6676" width="0.375" style="270" customWidth="1"/>
    <col min="6677" max="6677" width="16.375" style="270" customWidth="1"/>
    <col min="6678" max="6678" width="24.375" style="270" customWidth="1"/>
    <col min="6679" max="6679" width="6" style="270" bestFit="1" customWidth="1"/>
    <col min="6680" max="6680" width="2.375" style="270" bestFit="1" customWidth="1"/>
    <col min="6681" max="6681" width="3.375" style="270" bestFit="1" customWidth="1"/>
    <col min="6682" max="6682" width="9" style="270"/>
    <col min="6683" max="6683" width="1.375" style="270" customWidth="1"/>
    <col min="6684" max="6684" width="17.875" style="270" customWidth="1"/>
    <col min="6685" max="6685" width="19.375" style="270" customWidth="1"/>
    <col min="6686" max="6686" width="6" style="270" bestFit="1" customWidth="1"/>
    <col min="6687" max="6687" width="2.375" style="270" bestFit="1" customWidth="1"/>
    <col min="6688" max="6688" width="3.375" style="270" bestFit="1" customWidth="1"/>
    <col min="6689" max="6917" width="9" style="270"/>
    <col min="6918" max="6918" width="4.375" style="270" customWidth="1"/>
    <col min="6919" max="6919" width="20.375" style="270" customWidth="1"/>
    <col min="6920" max="6920" width="23" style="270" customWidth="1"/>
    <col min="6921" max="6921" width="6" style="270" bestFit="1" customWidth="1"/>
    <col min="6922" max="6923" width="3.375" style="270" bestFit="1" customWidth="1"/>
    <col min="6924" max="6924" width="9" style="270"/>
    <col min="6925" max="6925" width="1.375" style="270" customWidth="1"/>
    <col min="6926" max="6926" width="14.375" style="270" customWidth="1"/>
    <col min="6927" max="6927" width="21.375" style="270" customWidth="1"/>
    <col min="6928" max="6928" width="6" style="270" bestFit="1" customWidth="1"/>
    <col min="6929" max="6929" width="5" style="270" bestFit="1" customWidth="1"/>
    <col min="6930" max="6930" width="3.375" style="270" bestFit="1" customWidth="1"/>
    <col min="6931" max="6931" width="9" style="270"/>
    <col min="6932" max="6932" width="0.375" style="270" customWidth="1"/>
    <col min="6933" max="6933" width="16.375" style="270" customWidth="1"/>
    <col min="6934" max="6934" width="24.375" style="270" customWidth="1"/>
    <col min="6935" max="6935" width="6" style="270" bestFit="1" customWidth="1"/>
    <col min="6936" max="6936" width="2.375" style="270" bestFit="1" customWidth="1"/>
    <col min="6937" max="6937" width="3.375" style="270" bestFit="1" customWidth="1"/>
    <col min="6938" max="6938" width="9" style="270"/>
    <col min="6939" max="6939" width="1.375" style="270" customWidth="1"/>
    <col min="6940" max="6940" width="17.875" style="270" customWidth="1"/>
    <col min="6941" max="6941" width="19.375" style="270" customWidth="1"/>
    <col min="6942" max="6942" width="6" style="270" bestFit="1" customWidth="1"/>
    <col min="6943" max="6943" width="2.375" style="270" bestFit="1" customWidth="1"/>
    <col min="6944" max="6944" width="3.375" style="270" bestFit="1" customWidth="1"/>
    <col min="6945" max="7173" width="9" style="270"/>
    <col min="7174" max="7174" width="4.375" style="270" customWidth="1"/>
    <col min="7175" max="7175" width="20.375" style="270" customWidth="1"/>
    <col min="7176" max="7176" width="23" style="270" customWidth="1"/>
    <col min="7177" max="7177" width="6" style="270" bestFit="1" customWidth="1"/>
    <col min="7178" max="7179" width="3.375" style="270" bestFit="1" customWidth="1"/>
    <col min="7180" max="7180" width="9" style="270"/>
    <col min="7181" max="7181" width="1.375" style="270" customWidth="1"/>
    <col min="7182" max="7182" width="14.375" style="270" customWidth="1"/>
    <col min="7183" max="7183" width="21.375" style="270" customWidth="1"/>
    <col min="7184" max="7184" width="6" style="270" bestFit="1" customWidth="1"/>
    <col min="7185" max="7185" width="5" style="270" bestFit="1" customWidth="1"/>
    <col min="7186" max="7186" width="3.375" style="270" bestFit="1" customWidth="1"/>
    <col min="7187" max="7187" width="9" style="270"/>
    <col min="7188" max="7188" width="0.375" style="270" customWidth="1"/>
    <col min="7189" max="7189" width="16.375" style="270" customWidth="1"/>
    <col min="7190" max="7190" width="24.375" style="270" customWidth="1"/>
    <col min="7191" max="7191" width="6" style="270" bestFit="1" customWidth="1"/>
    <col min="7192" max="7192" width="2.375" style="270" bestFit="1" customWidth="1"/>
    <col min="7193" max="7193" width="3.375" style="270" bestFit="1" customWidth="1"/>
    <col min="7194" max="7194" width="9" style="270"/>
    <col min="7195" max="7195" width="1.375" style="270" customWidth="1"/>
    <col min="7196" max="7196" width="17.875" style="270" customWidth="1"/>
    <col min="7197" max="7197" width="19.375" style="270" customWidth="1"/>
    <col min="7198" max="7198" width="6" style="270" bestFit="1" customWidth="1"/>
    <col min="7199" max="7199" width="2.375" style="270" bestFit="1" customWidth="1"/>
    <col min="7200" max="7200" width="3.375" style="270" bestFit="1" customWidth="1"/>
    <col min="7201" max="7429" width="9" style="270"/>
    <col min="7430" max="7430" width="4.375" style="270" customWidth="1"/>
    <col min="7431" max="7431" width="20.375" style="270" customWidth="1"/>
    <col min="7432" max="7432" width="23" style="270" customWidth="1"/>
    <col min="7433" max="7433" width="6" style="270" bestFit="1" customWidth="1"/>
    <col min="7434" max="7435" width="3.375" style="270" bestFit="1" customWidth="1"/>
    <col min="7436" max="7436" width="9" style="270"/>
    <col min="7437" max="7437" width="1.375" style="270" customWidth="1"/>
    <col min="7438" max="7438" width="14.375" style="270" customWidth="1"/>
    <col min="7439" max="7439" width="21.375" style="270" customWidth="1"/>
    <col min="7440" max="7440" width="6" style="270" bestFit="1" customWidth="1"/>
    <col min="7441" max="7441" width="5" style="270" bestFit="1" customWidth="1"/>
    <col min="7442" max="7442" width="3.375" style="270" bestFit="1" customWidth="1"/>
    <col min="7443" max="7443" width="9" style="270"/>
    <col min="7444" max="7444" width="0.375" style="270" customWidth="1"/>
    <col min="7445" max="7445" width="16.375" style="270" customWidth="1"/>
    <col min="7446" max="7446" width="24.375" style="270" customWidth="1"/>
    <col min="7447" max="7447" width="6" style="270" bestFit="1" customWidth="1"/>
    <col min="7448" max="7448" width="2.375" style="270" bestFit="1" customWidth="1"/>
    <col min="7449" max="7449" width="3.375" style="270" bestFit="1" customWidth="1"/>
    <col min="7450" max="7450" width="9" style="270"/>
    <col min="7451" max="7451" width="1.375" style="270" customWidth="1"/>
    <col min="7452" max="7452" width="17.875" style="270" customWidth="1"/>
    <col min="7453" max="7453" width="19.375" style="270" customWidth="1"/>
    <col min="7454" max="7454" width="6" style="270" bestFit="1" customWidth="1"/>
    <col min="7455" max="7455" width="2.375" style="270" bestFit="1" customWidth="1"/>
    <col min="7456" max="7456" width="3.375" style="270" bestFit="1" customWidth="1"/>
    <col min="7457" max="7685" width="9" style="270"/>
    <col min="7686" max="7686" width="4.375" style="270" customWidth="1"/>
    <col min="7687" max="7687" width="20.375" style="270" customWidth="1"/>
    <col min="7688" max="7688" width="23" style="270" customWidth="1"/>
    <col min="7689" max="7689" width="6" style="270" bestFit="1" customWidth="1"/>
    <col min="7690" max="7691" width="3.375" style="270" bestFit="1" customWidth="1"/>
    <col min="7692" max="7692" width="9" style="270"/>
    <col min="7693" max="7693" width="1.375" style="270" customWidth="1"/>
    <col min="7694" max="7694" width="14.375" style="270" customWidth="1"/>
    <col min="7695" max="7695" width="21.375" style="270" customWidth="1"/>
    <col min="7696" max="7696" width="6" style="270" bestFit="1" customWidth="1"/>
    <col min="7697" max="7697" width="5" style="270" bestFit="1" customWidth="1"/>
    <col min="7698" max="7698" width="3.375" style="270" bestFit="1" customWidth="1"/>
    <col min="7699" max="7699" width="9" style="270"/>
    <col min="7700" max="7700" width="0.375" style="270" customWidth="1"/>
    <col min="7701" max="7701" width="16.375" style="270" customWidth="1"/>
    <col min="7702" max="7702" width="24.375" style="270" customWidth="1"/>
    <col min="7703" max="7703" width="6" style="270" bestFit="1" customWidth="1"/>
    <col min="7704" max="7704" width="2.375" style="270" bestFit="1" customWidth="1"/>
    <col min="7705" max="7705" width="3.375" style="270" bestFit="1" customWidth="1"/>
    <col min="7706" max="7706" width="9" style="270"/>
    <col min="7707" max="7707" width="1.375" style="270" customWidth="1"/>
    <col min="7708" max="7708" width="17.875" style="270" customWidth="1"/>
    <col min="7709" max="7709" width="19.375" style="270" customWidth="1"/>
    <col min="7710" max="7710" width="6" style="270" bestFit="1" customWidth="1"/>
    <col min="7711" max="7711" width="2.375" style="270" bestFit="1" customWidth="1"/>
    <col min="7712" max="7712" width="3.375" style="270" bestFit="1" customWidth="1"/>
    <col min="7713" max="7941" width="9" style="270"/>
    <col min="7942" max="7942" width="4.375" style="270" customWidth="1"/>
    <col min="7943" max="7943" width="20.375" style="270" customWidth="1"/>
    <col min="7944" max="7944" width="23" style="270" customWidth="1"/>
    <col min="7945" max="7945" width="6" style="270" bestFit="1" customWidth="1"/>
    <col min="7946" max="7947" width="3.375" style="270" bestFit="1" customWidth="1"/>
    <col min="7948" max="7948" width="9" style="270"/>
    <col min="7949" max="7949" width="1.375" style="270" customWidth="1"/>
    <col min="7950" max="7950" width="14.375" style="270" customWidth="1"/>
    <col min="7951" max="7951" width="21.375" style="270" customWidth="1"/>
    <col min="7952" max="7952" width="6" style="270" bestFit="1" customWidth="1"/>
    <col min="7953" max="7953" width="5" style="270" bestFit="1" customWidth="1"/>
    <col min="7954" max="7954" width="3.375" style="270" bestFit="1" customWidth="1"/>
    <col min="7955" max="7955" width="9" style="270"/>
    <col min="7956" max="7956" width="0.375" style="270" customWidth="1"/>
    <col min="7957" max="7957" width="16.375" style="270" customWidth="1"/>
    <col min="7958" max="7958" width="24.375" style="270" customWidth="1"/>
    <col min="7959" max="7959" width="6" style="270" bestFit="1" customWidth="1"/>
    <col min="7960" max="7960" width="2.375" style="270" bestFit="1" customWidth="1"/>
    <col min="7961" max="7961" width="3.375" style="270" bestFit="1" customWidth="1"/>
    <col min="7962" max="7962" width="9" style="270"/>
    <col min="7963" max="7963" width="1.375" style="270" customWidth="1"/>
    <col min="7964" max="7964" width="17.875" style="270" customWidth="1"/>
    <col min="7965" max="7965" width="19.375" style="270" customWidth="1"/>
    <col min="7966" max="7966" width="6" style="270" bestFit="1" customWidth="1"/>
    <col min="7967" max="7967" width="2.375" style="270" bestFit="1" customWidth="1"/>
    <col min="7968" max="7968" width="3.375" style="270" bestFit="1" customWidth="1"/>
    <col min="7969" max="8197" width="9" style="270"/>
    <col min="8198" max="8198" width="4.375" style="270" customWidth="1"/>
    <col min="8199" max="8199" width="20.375" style="270" customWidth="1"/>
    <col min="8200" max="8200" width="23" style="270" customWidth="1"/>
    <col min="8201" max="8201" width="6" style="270" bestFit="1" customWidth="1"/>
    <col min="8202" max="8203" width="3.375" style="270" bestFit="1" customWidth="1"/>
    <col min="8204" max="8204" width="9" style="270"/>
    <col min="8205" max="8205" width="1.375" style="270" customWidth="1"/>
    <col min="8206" max="8206" width="14.375" style="270" customWidth="1"/>
    <col min="8207" max="8207" width="21.375" style="270" customWidth="1"/>
    <col min="8208" max="8208" width="6" style="270" bestFit="1" customWidth="1"/>
    <col min="8209" max="8209" width="5" style="270" bestFit="1" customWidth="1"/>
    <col min="8210" max="8210" width="3.375" style="270" bestFit="1" customWidth="1"/>
    <col min="8211" max="8211" width="9" style="270"/>
    <col min="8212" max="8212" width="0.375" style="270" customWidth="1"/>
    <col min="8213" max="8213" width="16.375" style="270" customWidth="1"/>
    <col min="8214" max="8214" width="24.375" style="270" customWidth="1"/>
    <col min="8215" max="8215" width="6" style="270" bestFit="1" customWidth="1"/>
    <col min="8216" max="8216" width="2.375" style="270" bestFit="1" customWidth="1"/>
    <col min="8217" max="8217" width="3.375" style="270" bestFit="1" customWidth="1"/>
    <col min="8218" max="8218" width="9" style="270"/>
    <col min="8219" max="8219" width="1.375" style="270" customWidth="1"/>
    <col min="8220" max="8220" width="17.875" style="270" customWidth="1"/>
    <col min="8221" max="8221" width="19.375" style="270" customWidth="1"/>
    <col min="8222" max="8222" width="6" style="270" bestFit="1" customWidth="1"/>
    <col min="8223" max="8223" width="2.375" style="270" bestFit="1" customWidth="1"/>
    <col min="8224" max="8224" width="3.375" style="270" bestFit="1" customWidth="1"/>
    <col min="8225" max="8453" width="9" style="270"/>
    <col min="8454" max="8454" width="4.375" style="270" customWidth="1"/>
    <col min="8455" max="8455" width="20.375" style="270" customWidth="1"/>
    <col min="8456" max="8456" width="23" style="270" customWidth="1"/>
    <col min="8457" max="8457" width="6" style="270" bestFit="1" customWidth="1"/>
    <col min="8458" max="8459" width="3.375" style="270" bestFit="1" customWidth="1"/>
    <col min="8460" max="8460" width="9" style="270"/>
    <col min="8461" max="8461" width="1.375" style="270" customWidth="1"/>
    <col min="8462" max="8462" width="14.375" style="270" customWidth="1"/>
    <col min="8463" max="8463" width="21.375" style="270" customWidth="1"/>
    <col min="8464" max="8464" width="6" style="270" bestFit="1" customWidth="1"/>
    <col min="8465" max="8465" width="5" style="270" bestFit="1" customWidth="1"/>
    <col min="8466" max="8466" width="3.375" style="270" bestFit="1" customWidth="1"/>
    <col min="8467" max="8467" width="9" style="270"/>
    <col min="8468" max="8468" width="0.375" style="270" customWidth="1"/>
    <col min="8469" max="8469" width="16.375" style="270" customWidth="1"/>
    <col min="8470" max="8470" width="24.375" style="270" customWidth="1"/>
    <col min="8471" max="8471" width="6" style="270" bestFit="1" customWidth="1"/>
    <col min="8472" max="8472" width="2.375" style="270" bestFit="1" customWidth="1"/>
    <col min="8473" max="8473" width="3.375" style="270" bestFit="1" customWidth="1"/>
    <col min="8474" max="8474" width="9" style="270"/>
    <col min="8475" max="8475" width="1.375" style="270" customWidth="1"/>
    <col min="8476" max="8476" width="17.875" style="270" customWidth="1"/>
    <col min="8477" max="8477" width="19.375" style="270" customWidth="1"/>
    <col min="8478" max="8478" width="6" style="270" bestFit="1" customWidth="1"/>
    <col min="8479" max="8479" width="2.375" style="270" bestFit="1" customWidth="1"/>
    <col min="8480" max="8480" width="3.375" style="270" bestFit="1" customWidth="1"/>
    <col min="8481" max="8709" width="9" style="270"/>
    <col min="8710" max="8710" width="4.375" style="270" customWidth="1"/>
    <col min="8711" max="8711" width="20.375" style="270" customWidth="1"/>
    <col min="8712" max="8712" width="23" style="270" customWidth="1"/>
    <col min="8713" max="8713" width="6" style="270" bestFit="1" customWidth="1"/>
    <col min="8714" max="8715" width="3.375" style="270" bestFit="1" customWidth="1"/>
    <col min="8716" max="8716" width="9" style="270"/>
    <col min="8717" max="8717" width="1.375" style="270" customWidth="1"/>
    <col min="8718" max="8718" width="14.375" style="270" customWidth="1"/>
    <col min="8719" max="8719" width="21.375" style="270" customWidth="1"/>
    <col min="8720" max="8720" width="6" style="270" bestFit="1" customWidth="1"/>
    <col min="8721" max="8721" width="5" style="270" bestFit="1" customWidth="1"/>
    <col min="8722" max="8722" width="3.375" style="270" bestFit="1" customWidth="1"/>
    <col min="8723" max="8723" width="9" style="270"/>
    <col min="8724" max="8724" width="0.375" style="270" customWidth="1"/>
    <col min="8725" max="8725" width="16.375" style="270" customWidth="1"/>
    <col min="8726" max="8726" width="24.375" style="270" customWidth="1"/>
    <col min="8727" max="8727" width="6" style="270" bestFit="1" customWidth="1"/>
    <col min="8728" max="8728" width="2.375" style="270" bestFit="1" customWidth="1"/>
    <col min="8729" max="8729" width="3.375" style="270" bestFit="1" customWidth="1"/>
    <col min="8730" max="8730" width="9" style="270"/>
    <col min="8731" max="8731" width="1.375" style="270" customWidth="1"/>
    <col min="8732" max="8732" width="17.875" style="270" customWidth="1"/>
    <col min="8733" max="8733" width="19.375" style="270" customWidth="1"/>
    <col min="8734" max="8734" width="6" style="270" bestFit="1" customWidth="1"/>
    <col min="8735" max="8735" width="2.375" style="270" bestFit="1" customWidth="1"/>
    <col min="8736" max="8736" width="3.375" style="270" bestFit="1" customWidth="1"/>
    <col min="8737" max="8965" width="9" style="270"/>
    <col min="8966" max="8966" width="4.375" style="270" customWidth="1"/>
    <col min="8967" max="8967" width="20.375" style="270" customWidth="1"/>
    <col min="8968" max="8968" width="23" style="270" customWidth="1"/>
    <col min="8969" max="8969" width="6" style="270" bestFit="1" customWidth="1"/>
    <col min="8970" max="8971" width="3.375" style="270" bestFit="1" customWidth="1"/>
    <col min="8972" max="8972" width="9" style="270"/>
    <col min="8973" max="8973" width="1.375" style="270" customWidth="1"/>
    <col min="8974" max="8974" width="14.375" style="270" customWidth="1"/>
    <col min="8975" max="8975" width="21.375" style="270" customWidth="1"/>
    <col min="8976" max="8976" width="6" style="270" bestFit="1" customWidth="1"/>
    <col min="8977" max="8977" width="5" style="270" bestFit="1" customWidth="1"/>
    <col min="8978" max="8978" width="3.375" style="270" bestFit="1" customWidth="1"/>
    <col min="8979" max="8979" width="9" style="270"/>
    <col min="8980" max="8980" width="0.375" style="270" customWidth="1"/>
    <col min="8981" max="8981" width="16.375" style="270" customWidth="1"/>
    <col min="8982" max="8982" width="24.375" style="270" customWidth="1"/>
    <col min="8983" max="8983" width="6" style="270" bestFit="1" customWidth="1"/>
    <col min="8984" max="8984" width="2.375" style="270" bestFit="1" customWidth="1"/>
    <col min="8985" max="8985" width="3.375" style="270" bestFit="1" customWidth="1"/>
    <col min="8986" max="8986" width="9" style="270"/>
    <col min="8987" max="8987" width="1.375" style="270" customWidth="1"/>
    <col min="8988" max="8988" width="17.875" style="270" customWidth="1"/>
    <col min="8989" max="8989" width="19.375" style="270" customWidth="1"/>
    <col min="8990" max="8990" width="6" style="270" bestFit="1" customWidth="1"/>
    <col min="8991" max="8991" width="2.375" style="270" bestFit="1" customWidth="1"/>
    <col min="8992" max="8992" width="3.375" style="270" bestFit="1" customWidth="1"/>
    <col min="8993" max="9221" width="9" style="270"/>
    <col min="9222" max="9222" width="4.375" style="270" customWidth="1"/>
    <col min="9223" max="9223" width="20.375" style="270" customWidth="1"/>
    <col min="9224" max="9224" width="23" style="270" customWidth="1"/>
    <col min="9225" max="9225" width="6" style="270" bestFit="1" customWidth="1"/>
    <col min="9226" max="9227" width="3.375" style="270" bestFit="1" customWidth="1"/>
    <col min="9228" max="9228" width="9" style="270"/>
    <col min="9229" max="9229" width="1.375" style="270" customWidth="1"/>
    <col min="9230" max="9230" width="14.375" style="270" customWidth="1"/>
    <col min="9231" max="9231" width="21.375" style="270" customWidth="1"/>
    <col min="9232" max="9232" width="6" style="270" bestFit="1" customWidth="1"/>
    <col min="9233" max="9233" width="5" style="270" bestFit="1" customWidth="1"/>
    <col min="9234" max="9234" width="3.375" style="270" bestFit="1" customWidth="1"/>
    <col min="9235" max="9235" width="9" style="270"/>
    <col min="9236" max="9236" width="0.375" style="270" customWidth="1"/>
    <col min="9237" max="9237" width="16.375" style="270" customWidth="1"/>
    <col min="9238" max="9238" width="24.375" style="270" customWidth="1"/>
    <col min="9239" max="9239" width="6" style="270" bestFit="1" customWidth="1"/>
    <col min="9240" max="9240" width="2.375" style="270" bestFit="1" customWidth="1"/>
    <col min="9241" max="9241" width="3.375" style="270" bestFit="1" customWidth="1"/>
    <col min="9242" max="9242" width="9" style="270"/>
    <col min="9243" max="9243" width="1.375" style="270" customWidth="1"/>
    <col min="9244" max="9244" width="17.875" style="270" customWidth="1"/>
    <col min="9245" max="9245" width="19.375" style="270" customWidth="1"/>
    <col min="9246" max="9246" width="6" style="270" bestFit="1" customWidth="1"/>
    <col min="9247" max="9247" width="2.375" style="270" bestFit="1" customWidth="1"/>
    <col min="9248" max="9248" width="3.375" style="270" bestFit="1" customWidth="1"/>
    <col min="9249" max="9477" width="9" style="270"/>
    <col min="9478" max="9478" width="4.375" style="270" customWidth="1"/>
    <col min="9479" max="9479" width="20.375" style="270" customWidth="1"/>
    <col min="9480" max="9480" width="23" style="270" customWidth="1"/>
    <col min="9481" max="9481" width="6" style="270" bestFit="1" customWidth="1"/>
    <col min="9482" max="9483" width="3.375" style="270" bestFit="1" customWidth="1"/>
    <col min="9484" max="9484" width="9" style="270"/>
    <col min="9485" max="9485" width="1.375" style="270" customWidth="1"/>
    <col min="9486" max="9486" width="14.375" style="270" customWidth="1"/>
    <col min="9487" max="9487" width="21.375" style="270" customWidth="1"/>
    <col min="9488" max="9488" width="6" style="270" bestFit="1" customWidth="1"/>
    <col min="9489" max="9489" width="5" style="270" bestFit="1" customWidth="1"/>
    <col min="9490" max="9490" width="3.375" style="270" bestFit="1" customWidth="1"/>
    <col min="9491" max="9491" width="9" style="270"/>
    <col min="9492" max="9492" width="0.375" style="270" customWidth="1"/>
    <col min="9493" max="9493" width="16.375" style="270" customWidth="1"/>
    <col min="9494" max="9494" width="24.375" style="270" customWidth="1"/>
    <col min="9495" max="9495" width="6" style="270" bestFit="1" customWidth="1"/>
    <col min="9496" max="9496" width="2.375" style="270" bestFit="1" customWidth="1"/>
    <col min="9497" max="9497" width="3.375" style="270" bestFit="1" customWidth="1"/>
    <col min="9498" max="9498" width="9" style="270"/>
    <col min="9499" max="9499" width="1.375" style="270" customWidth="1"/>
    <col min="9500" max="9500" width="17.875" style="270" customWidth="1"/>
    <col min="9501" max="9501" width="19.375" style="270" customWidth="1"/>
    <col min="9502" max="9502" width="6" style="270" bestFit="1" customWidth="1"/>
    <col min="9503" max="9503" width="2.375" style="270" bestFit="1" customWidth="1"/>
    <col min="9504" max="9504" width="3.375" style="270" bestFit="1" customWidth="1"/>
    <col min="9505" max="9733" width="9" style="270"/>
    <col min="9734" max="9734" width="4.375" style="270" customWidth="1"/>
    <col min="9735" max="9735" width="20.375" style="270" customWidth="1"/>
    <col min="9736" max="9736" width="23" style="270" customWidth="1"/>
    <col min="9737" max="9737" width="6" style="270" bestFit="1" customWidth="1"/>
    <col min="9738" max="9739" width="3.375" style="270" bestFit="1" customWidth="1"/>
    <col min="9740" max="9740" width="9" style="270"/>
    <col min="9741" max="9741" width="1.375" style="270" customWidth="1"/>
    <col min="9742" max="9742" width="14.375" style="270" customWidth="1"/>
    <col min="9743" max="9743" width="21.375" style="270" customWidth="1"/>
    <col min="9744" max="9744" width="6" style="270" bestFit="1" customWidth="1"/>
    <col min="9745" max="9745" width="5" style="270" bestFit="1" customWidth="1"/>
    <col min="9746" max="9746" width="3.375" style="270" bestFit="1" customWidth="1"/>
    <col min="9747" max="9747" width="9" style="270"/>
    <col min="9748" max="9748" width="0.375" style="270" customWidth="1"/>
    <col min="9749" max="9749" width="16.375" style="270" customWidth="1"/>
    <col min="9750" max="9750" width="24.375" style="270" customWidth="1"/>
    <col min="9751" max="9751" width="6" style="270" bestFit="1" customWidth="1"/>
    <col min="9752" max="9752" width="2.375" style="270" bestFit="1" customWidth="1"/>
    <col min="9753" max="9753" width="3.375" style="270" bestFit="1" customWidth="1"/>
    <col min="9754" max="9754" width="9" style="270"/>
    <col min="9755" max="9755" width="1.375" style="270" customWidth="1"/>
    <col min="9756" max="9756" width="17.875" style="270" customWidth="1"/>
    <col min="9757" max="9757" width="19.375" style="270" customWidth="1"/>
    <col min="9758" max="9758" width="6" style="270" bestFit="1" customWidth="1"/>
    <col min="9759" max="9759" width="2.375" style="270" bestFit="1" customWidth="1"/>
    <col min="9760" max="9760" width="3.375" style="270" bestFit="1" customWidth="1"/>
    <col min="9761" max="9989" width="9" style="270"/>
    <col min="9990" max="9990" width="4.375" style="270" customWidth="1"/>
    <col min="9991" max="9991" width="20.375" style="270" customWidth="1"/>
    <col min="9992" max="9992" width="23" style="270" customWidth="1"/>
    <col min="9993" max="9993" width="6" style="270" bestFit="1" customWidth="1"/>
    <col min="9994" max="9995" width="3.375" style="270" bestFit="1" customWidth="1"/>
    <col min="9996" max="9996" width="9" style="270"/>
    <col min="9997" max="9997" width="1.375" style="270" customWidth="1"/>
    <col min="9998" max="9998" width="14.375" style="270" customWidth="1"/>
    <col min="9999" max="9999" width="21.375" style="270" customWidth="1"/>
    <col min="10000" max="10000" width="6" style="270" bestFit="1" customWidth="1"/>
    <col min="10001" max="10001" width="5" style="270" bestFit="1" customWidth="1"/>
    <col min="10002" max="10002" width="3.375" style="270" bestFit="1" customWidth="1"/>
    <col min="10003" max="10003" width="9" style="270"/>
    <col min="10004" max="10004" width="0.375" style="270" customWidth="1"/>
    <col min="10005" max="10005" width="16.375" style="270" customWidth="1"/>
    <col min="10006" max="10006" width="24.375" style="270" customWidth="1"/>
    <col min="10007" max="10007" width="6" style="270" bestFit="1" customWidth="1"/>
    <col min="10008" max="10008" width="2.375" style="270" bestFit="1" customWidth="1"/>
    <col min="10009" max="10009" width="3.375" style="270" bestFit="1" customWidth="1"/>
    <col min="10010" max="10010" width="9" style="270"/>
    <col min="10011" max="10011" width="1.375" style="270" customWidth="1"/>
    <col min="10012" max="10012" width="17.875" style="270" customWidth="1"/>
    <col min="10013" max="10013" width="19.375" style="270" customWidth="1"/>
    <col min="10014" max="10014" width="6" style="270" bestFit="1" customWidth="1"/>
    <col min="10015" max="10015" width="2.375" style="270" bestFit="1" customWidth="1"/>
    <col min="10016" max="10016" width="3.375" style="270" bestFit="1" customWidth="1"/>
    <col min="10017" max="10245" width="9" style="270"/>
    <col min="10246" max="10246" width="4.375" style="270" customWidth="1"/>
    <col min="10247" max="10247" width="20.375" style="270" customWidth="1"/>
    <col min="10248" max="10248" width="23" style="270" customWidth="1"/>
    <col min="10249" max="10249" width="6" style="270" bestFit="1" customWidth="1"/>
    <col min="10250" max="10251" width="3.375" style="270" bestFit="1" customWidth="1"/>
    <col min="10252" max="10252" width="9" style="270"/>
    <col min="10253" max="10253" width="1.375" style="270" customWidth="1"/>
    <col min="10254" max="10254" width="14.375" style="270" customWidth="1"/>
    <col min="10255" max="10255" width="21.375" style="270" customWidth="1"/>
    <col min="10256" max="10256" width="6" style="270" bestFit="1" customWidth="1"/>
    <col min="10257" max="10257" width="5" style="270" bestFit="1" customWidth="1"/>
    <col min="10258" max="10258" width="3.375" style="270" bestFit="1" customWidth="1"/>
    <col min="10259" max="10259" width="9" style="270"/>
    <col min="10260" max="10260" width="0.375" style="270" customWidth="1"/>
    <col min="10261" max="10261" width="16.375" style="270" customWidth="1"/>
    <col min="10262" max="10262" width="24.375" style="270" customWidth="1"/>
    <col min="10263" max="10263" width="6" style="270" bestFit="1" customWidth="1"/>
    <col min="10264" max="10264" width="2.375" style="270" bestFit="1" customWidth="1"/>
    <col min="10265" max="10265" width="3.375" style="270" bestFit="1" customWidth="1"/>
    <col min="10266" max="10266" width="9" style="270"/>
    <col min="10267" max="10267" width="1.375" style="270" customWidth="1"/>
    <col min="10268" max="10268" width="17.875" style="270" customWidth="1"/>
    <col min="10269" max="10269" width="19.375" style="270" customWidth="1"/>
    <col min="10270" max="10270" width="6" style="270" bestFit="1" customWidth="1"/>
    <col min="10271" max="10271" width="2.375" style="270" bestFit="1" customWidth="1"/>
    <col min="10272" max="10272" width="3.375" style="270" bestFit="1" customWidth="1"/>
    <col min="10273" max="10501" width="9" style="270"/>
    <col min="10502" max="10502" width="4.375" style="270" customWidth="1"/>
    <col min="10503" max="10503" width="20.375" style="270" customWidth="1"/>
    <col min="10504" max="10504" width="23" style="270" customWidth="1"/>
    <col min="10505" max="10505" width="6" style="270" bestFit="1" customWidth="1"/>
    <col min="10506" max="10507" width="3.375" style="270" bestFit="1" customWidth="1"/>
    <col min="10508" max="10508" width="9" style="270"/>
    <col min="10509" max="10509" width="1.375" style="270" customWidth="1"/>
    <col min="10510" max="10510" width="14.375" style="270" customWidth="1"/>
    <col min="10511" max="10511" width="21.375" style="270" customWidth="1"/>
    <col min="10512" max="10512" width="6" style="270" bestFit="1" customWidth="1"/>
    <col min="10513" max="10513" width="5" style="270" bestFit="1" customWidth="1"/>
    <col min="10514" max="10514" width="3.375" style="270" bestFit="1" customWidth="1"/>
    <col min="10515" max="10515" width="9" style="270"/>
    <col min="10516" max="10516" width="0.375" style="270" customWidth="1"/>
    <col min="10517" max="10517" width="16.375" style="270" customWidth="1"/>
    <col min="10518" max="10518" width="24.375" style="270" customWidth="1"/>
    <col min="10519" max="10519" width="6" style="270" bestFit="1" customWidth="1"/>
    <col min="10520" max="10520" width="2.375" style="270" bestFit="1" customWidth="1"/>
    <col min="10521" max="10521" width="3.375" style="270" bestFit="1" customWidth="1"/>
    <col min="10522" max="10522" width="9" style="270"/>
    <col min="10523" max="10523" width="1.375" style="270" customWidth="1"/>
    <col min="10524" max="10524" width="17.875" style="270" customWidth="1"/>
    <col min="10525" max="10525" width="19.375" style="270" customWidth="1"/>
    <col min="10526" max="10526" width="6" style="270" bestFit="1" customWidth="1"/>
    <col min="10527" max="10527" width="2.375" style="270" bestFit="1" customWidth="1"/>
    <col min="10528" max="10528" width="3.375" style="270" bestFit="1" customWidth="1"/>
    <col min="10529" max="10757" width="9" style="270"/>
    <col min="10758" max="10758" width="4.375" style="270" customWidth="1"/>
    <col min="10759" max="10759" width="20.375" style="270" customWidth="1"/>
    <col min="10760" max="10760" width="23" style="270" customWidth="1"/>
    <col min="10761" max="10761" width="6" style="270" bestFit="1" customWidth="1"/>
    <col min="10762" max="10763" width="3.375" style="270" bestFit="1" customWidth="1"/>
    <col min="10764" max="10764" width="9" style="270"/>
    <col min="10765" max="10765" width="1.375" style="270" customWidth="1"/>
    <col min="10766" max="10766" width="14.375" style="270" customWidth="1"/>
    <col min="10767" max="10767" width="21.375" style="270" customWidth="1"/>
    <col min="10768" max="10768" width="6" style="270" bestFit="1" customWidth="1"/>
    <col min="10769" max="10769" width="5" style="270" bestFit="1" customWidth="1"/>
    <col min="10770" max="10770" width="3.375" style="270" bestFit="1" customWidth="1"/>
    <col min="10771" max="10771" width="9" style="270"/>
    <col min="10772" max="10772" width="0.375" style="270" customWidth="1"/>
    <col min="10773" max="10773" width="16.375" style="270" customWidth="1"/>
    <col min="10774" max="10774" width="24.375" style="270" customWidth="1"/>
    <col min="10775" max="10775" width="6" style="270" bestFit="1" customWidth="1"/>
    <col min="10776" max="10776" width="2.375" style="270" bestFit="1" customWidth="1"/>
    <col min="10777" max="10777" width="3.375" style="270" bestFit="1" customWidth="1"/>
    <col min="10778" max="10778" width="9" style="270"/>
    <col min="10779" max="10779" width="1.375" style="270" customWidth="1"/>
    <col min="10780" max="10780" width="17.875" style="270" customWidth="1"/>
    <col min="10781" max="10781" width="19.375" style="270" customWidth="1"/>
    <col min="10782" max="10782" width="6" style="270" bestFit="1" customWidth="1"/>
    <col min="10783" max="10783" width="2.375" style="270" bestFit="1" customWidth="1"/>
    <col min="10784" max="10784" width="3.375" style="270" bestFit="1" customWidth="1"/>
    <col min="10785" max="11013" width="9" style="270"/>
    <col min="11014" max="11014" width="4.375" style="270" customWidth="1"/>
    <col min="11015" max="11015" width="20.375" style="270" customWidth="1"/>
    <col min="11016" max="11016" width="23" style="270" customWidth="1"/>
    <col min="11017" max="11017" width="6" style="270" bestFit="1" customWidth="1"/>
    <col min="11018" max="11019" width="3.375" style="270" bestFit="1" customWidth="1"/>
    <col min="11020" max="11020" width="9" style="270"/>
    <col min="11021" max="11021" width="1.375" style="270" customWidth="1"/>
    <col min="11022" max="11022" width="14.375" style="270" customWidth="1"/>
    <col min="11023" max="11023" width="21.375" style="270" customWidth="1"/>
    <col min="11024" max="11024" width="6" style="270" bestFit="1" customWidth="1"/>
    <col min="11025" max="11025" width="5" style="270" bestFit="1" customWidth="1"/>
    <col min="11026" max="11026" width="3.375" style="270" bestFit="1" customWidth="1"/>
    <col min="11027" max="11027" width="9" style="270"/>
    <col min="11028" max="11028" width="0.375" style="270" customWidth="1"/>
    <col min="11029" max="11029" width="16.375" style="270" customWidth="1"/>
    <col min="11030" max="11030" width="24.375" style="270" customWidth="1"/>
    <col min="11031" max="11031" width="6" style="270" bestFit="1" customWidth="1"/>
    <col min="11032" max="11032" width="2.375" style="270" bestFit="1" customWidth="1"/>
    <col min="11033" max="11033" width="3.375" style="270" bestFit="1" customWidth="1"/>
    <col min="11034" max="11034" width="9" style="270"/>
    <col min="11035" max="11035" width="1.375" style="270" customWidth="1"/>
    <col min="11036" max="11036" width="17.875" style="270" customWidth="1"/>
    <col min="11037" max="11037" width="19.375" style="270" customWidth="1"/>
    <col min="11038" max="11038" width="6" style="270" bestFit="1" customWidth="1"/>
    <col min="11039" max="11039" width="2.375" style="270" bestFit="1" customWidth="1"/>
    <col min="11040" max="11040" width="3.375" style="270" bestFit="1" customWidth="1"/>
    <col min="11041" max="11269" width="9" style="270"/>
    <col min="11270" max="11270" width="4.375" style="270" customWidth="1"/>
    <col min="11271" max="11271" width="20.375" style="270" customWidth="1"/>
    <col min="11272" max="11272" width="23" style="270" customWidth="1"/>
    <col min="11273" max="11273" width="6" style="270" bestFit="1" customWidth="1"/>
    <col min="11274" max="11275" width="3.375" style="270" bestFit="1" customWidth="1"/>
    <col min="11276" max="11276" width="9" style="270"/>
    <col min="11277" max="11277" width="1.375" style="270" customWidth="1"/>
    <col min="11278" max="11278" width="14.375" style="270" customWidth="1"/>
    <col min="11279" max="11279" width="21.375" style="270" customWidth="1"/>
    <col min="11280" max="11280" width="6" style="270" bestFit="1" customWidth="1"/>
    <col min="11281" max="11281" width="5" style="270" bestFit="1" customWidth="1"/>
    <col min="11282" max="11282" width="3.375" style="270" bestFit="1" customWidth="1"/>
    <col min="11283" max="11283" width="9" style="270"/>
    <col min="11284" max="11284" width="0.375" style="270" customWidth="1"/>
    <col min="11285" max="11285" width="16.375" style="270" customWidth="1"/>
    <col min="11286" max="11286" width="24.375" style="270" customWidth="1"/>
    <col min="11287" max="11287" width="6" style="270" bestFit="1" customWidth="1"/>
    <col min="11288" max="11288" width="2.375" style="270" bestFit="1" customWidth="1"/>
    <col min="11289" max="11289" width="3.375" style="270" bestFit="1" customWidth="1"/>
    <col min="11290" max="11290" width="9" style="270"/>
    <col min="11291" max="11291" width="1.375" style="270" customWidth="1"/>
    <col min="11292" max="11292" width="17.875" style="270" customWidth="1"/>
    <col min="11293" max="11293" width="19.375" style="270" customWidth="1"/>
    <col min="11294" max="11294" width="6" style="270" bestFit="1" customWidth="1"/>
    <col min="11295" max="11295" width="2.375" style="270" bestFit="1" customWidth="1"/>
    <col min="11296" max="11296" width="3.375" style="270" bestFit="1" customWidth="1"/>
    <col min="11297" max="11525" width="9" style="270"/>
    <col min="11526" max="11526" width="4.375" style="270" customWidth="1"/>
    <col min="11527" max="11527" width="20.375" style="270" customWidth="1"/>
    <col min="11528" max="11528" width="23" style="270" customWidth="1"/>
    <col min="11529" max="11529" width="6" style="270" bestFit="1" customWidth="1"/>
    <col min="11530" max="11531" width="3.375" style="270" bestFit="1" customWidth="1"/>
    <col min="11532" max="11532" width="9" style="270"/>
    <col min="11533" max="11533" width="1.375" style="270" customWidth="1"/>
    <col min="11534" max="11534" width="14.375" style="270" customWidth="1"/>
    <col min="11535" max="11535" width="21.375" style="270" customWidth="1"/>
    <col min="11536" max="11536" width="6" style="270" bestFit="1" customWidth="1"/>
    <col min="11537" max="11537" width="5" style="270" bestFit="1" customWidth="1"/>
    <col min="11538" max="11538" width="3.375" style="270" bestFit="1" customWidth="1"/>
    <col min="11539" max="11539" width="9" style="270"/>
    <col min="11540" max="11540" width="0.375" style="270" customWidth="1"/>
    <col min="11541" max="11541" width="16.375" style="270" customWidth="1"/>
    <col min="11542" max="11542" width="24.375" style="270" customWidth="1"/>
    <col min="11543" max="11543" width="6" style="270" bestFit="1" customWidth="1"/>
    <col min="11544" max="11544" width="2.375" style="270" bestFit="1" customWidth="1"/>
    <col min="11545" max="11545" width="3.375" style="270" bestFit="1" customWidth="1"/>
    <col min="11546" max="11546" width="9" style="270"/>
    <col min="11547" max="11547" width="1.375" style="270" customWidth="1"/>
    <col min="11548" max="11548" width="17.875" style="270" customWidth="1"/>
    <col min="11549" max="11549" width="19.375" style="270" customWidth="1"/>
    <col min="11550" max="11550" width="6" style="270" bestFit="1" customWidth="1"/>
    <col min="11551" max="11551" width="2.375" style="270" bestFit="1" customWidth="1"/>
    <col min="11552" max="11552" width="3.375" style="270" bestFit="1" customWidth="1"/>
    <col min="11553" max="11781" width="9" style="270"/>
    <col min="11782" max="11782" width="4.375" style="270" customWidth="1"/>
    <col min="11783" max="11783" width="20.375" style="270" customWidth="1"/>
    <col min="11784" max="11784" width="23" style="270" customWidth="1"/>
    <col min="11785" max="11785" width="6" style="270" bestFit="1" customWidth="1"/>
    <col min="11786" max="11787" width="3.375" style="270" bestFit="1" customWidth="1"/>
    <col min="11788" max="11788" width="9" style="270"/>
    <col min="11789" max="11789" width="1.375" style="270" customWidth="1"/>
    <col min="11790" max="11790" width="14.375" style="270" customWidth="1"/>
    <col min="11791" max="11791" width="21.375" style="270" customWidth="1"/>
    <col min="11792" max="11792" width="6" style="270" bestFit="1" customWidth="1"/>
    <col min="11793" max="11793" width="5" style="270" bestFit="1" customWidth="1"/>
    <col min="11794" max="11794" width="3.375" style="270" bestFit="1" customWidth="1"/>
    <col min="11795" max="11795" width="9" style="270"/>
    <col min="11796" max="11796" width="0.375" style="270" customWidth="1"/>
    <col min="11797" max="11797" width="16.375" style="270" customWidth="1"/>
    <col min="11798" max="11798" width="24.375" style="270" customWidth="1"/>
    <col min="11799" max="11799" width="6" style="270" bestFit="1" customWidth="1"/>
    <col min="11800" max="11800" width="2.375" style="270" bestFit="1" customWidth="1"/>
    <col min="11801" max="11801" width="3.375" style="270" bestFit="1" customWidth="1"/>
    <col min="11802" max="11802" width="9" style="270"/>
    <col min="11803" max="11803" width="1.375" style="270" customWidth="1"/>
    <col min="11804" max="11804" width="17.875" style="270" customWidth="1"/>
    <col min="11805" max="11805" width="19.375" style="270" customWidth="1"/>
    <col min="11806" max="11806" width="6" style="270" bestFit="1" customWidth="1"/>
    <col min="11807" max="11807" width="2.375" style="270" bestFit="1" customWidth="1"/>
    <col min="11808" max="11808" width="3.375" style="270" bestFit="1" customWidth="1"/>
    <col min="11809" max="12037" width="9" style="270"/>
    <col min="12038" max="12038" width="4.375" style="270" customWidth="1"/>
    <col min="12039" max="12039" width="20.375" style="270" customWidth="1"/>
    <col min="12040" max="12040" width="23" style="270" customWidth="1"/>
    <col min="12041" max="12041" width="6" style="270" bestFit="1" customWidth="1"/>
    <col min="12042" max="12043" width="3.375" style="270" bestFit="1" customWidth="1"/>
    <col min="12044" max="12044" width="9" style="270"/>
    <col min="12045" max="12045" width="1.375" style="270" customWidth="1"/>
    <col min="12046" max="12046" width="14.375" style="270" customWidth="1"/>
    <col min="12047" max="12047" width="21.375" style="270" customWidth="1"/>
    <col min="12048" max="12048" width="6" style="270" bestFit="1" customWidth="1"/>
    <col min="12049" max="12049" width="5" style="270" bestFit="1" customWidth="1"/>
    <col min="12050" max="12050" width="3.375" style="270" bestFit="1" customWidth="1"/>
    <col min="12051" max="12051" width="9" style="270"/>
    <col min="12052" max="12052" width="0.375" style="270" customWidth="1"/>
    <col min="12053" max="12053" width="16.375" style="270" customWidth="1"/>
    <col min="12054" max="12054" width="24.375" style="270" customWidth="1"/>
    <col min="12055" max="12055" width="6" style="270" bestFit="1" customWidth="1"/>
    <col min="12056" max="12056" width="2.375" style="270" bestFit="1" customWidth="1"/>
    <col min="12057" max="12057" width="3.375" style="270" bestFit="1" customWidth="1"/>
    <col min="12058" max="12058" width="9" style="270"/>
    <col min="12059" max="12059" width="1.375" style="270" customWidth="1"/>
    <col min="12060" max="12060" width="17.875" style="270" customWidth="1"/>
    <col min="12061" max="12061" width="19.375" style="270" customWidth="1"/>
    <col min="12062" max="12062" width="6" style="270" bestFit="1" customWidth="1"/>
    <col min="12063" max="12063" width="2.375" style="270" bestFit="1" customWidth="1"/>
    <col min="12064" max="12064" width="3.375" style="270" bestFit="1" customWidth="1"/>
    <col min="12065" max="12293" width="9" style="270"/>
    <col min="12294" max="12294" width="4.375" style="270" customWidth="1"/>
    <col min="12295" max="12295" width="20.375" style="270" customWidth="1"/>
    <col min="12296" max="12296" width="23" style="270" customWidth="1"/>
    <col min="12297" max="12297" width="6" style="270" bestFit="1" customWidth="1"/>
    <col min="12298" max="12299" width="3.375" style="270" bestFit="1" customWidth="1"/>
    <col min="12300" max="12300" width="9" style="270"/>
    <col min="12301" max="12301" width="1.375" style="270" customWidth="1"/>
    <col min="12302" max="12302" width="14.375" style="270" customWidth="1"/>
    <col min="12303" max="12303" width="21.375" style="270" customWidth="1"/>
    <col min="12304" max="12304" width="6" style="270" bestFit="1" customWidth="1"/>
    <col min="12305" max="12305" width="5" style="270" bestFit="1" customWidth="1"/>
    <col min="12306" max="12306" width="3.375" style="270" bestFit="1" customWidth="1"/>
    <col min="12307" max="12307" width="9" style="270"/>
    <col min="12308" max="12308" width="0.375" style="270" customWidth="1"/>
    <col min="12309" max="12309" width="16.375" style="270" customWidth="1"/>
    <col min="12310" max="12310" width="24.375" style="270" customWidth="1"/>
    <col min="12311" max="12311" width="6" style="270" bestFit="1" customWidth="1"/>
    <col min="12312" max="12312" width="2.375" style="270" bestFit="1" customWidth="1"/>
    <col min="12313" max="12313" width="3.375" style="270" bestFit="1" customWidth="1"/>
    <col min="12314" max="12314" width="9" style="270"/>
    <col min="12315" max="12315" width="1.375" style="270" customWidth="1"/>
    <col min="12316" max="12316" width="17.875" style="270" customWidth="1"/>
    <col min="12317" max="12317" width="19.375" style="270" customWidth="1"/>
    <col min="12318" max="12318" width="6" style="270" bestFit="1" customWidth="1"/>
    <col min="12319" max="12319" width="2.375" style="270" bestFit="1" customWidth="1"/>
    <col min="12320" max="12320" width="3.375" style="270" bestFit="1" customWidth="1"/>
    <col min="12321" max="12549" width="9" style="270"/>
    <col min="12550" max="12550" width="4.375" style="270" customWidth="1"/>
    <col min="12551" max="12551" width="20.375" style="270" customWidth="1"/>
    <col min="12552" max="12552" width="23" style="270" customWidth="1"/>
    <col min="12553" max="12553" width="6" style="270" bestFit="1" customWidth="1"/>
    <col min="12554" max="12555" width="3.375" style="270" bestFit="1" customWidth="1"/>
    <col min="12556" max="12556" width="9" style="270"/>
    <col min="12557" max="12557" width="1.375" style="270" customWidth="1"/>
    <col min="12558" max="12558" width="14.375" style="270" customWidth="1"/>
    <col min="12559" max="12559" width="21.375" style="270" customWidth="1"/>
    <col min="12560" max="12560" width="6" style="270" bestFit="1" customWidth="1"/>
    <col min="12561" max="12561" width="5" style="270" bestFit="1" customWidth="1"/>
    <col min="12562" max="12562" width="3.375" style="270" bestFit="1" customWidth="1"/>
    <col min="12563" max="12563" width="9" style="270"/>
    <col min="12564" max="12564" width="0.375" style="270" customWidth="1"/>
    <col min="12565" max="12565" width="16.375" style="270" customWidth="1"/>
    <col min="12566" max="12566" width="24.375" style="270" customWidth="1"/>
    <col min="12567" max="12567" width="6" style="270" bestFit="1" customWidth="1"/>
    <col min="12568" max="12568" width="2.375" style="270" bestFit="1" customWidth="1"/>
    <col min="12569" max="12569" width="3.375" style="270" bestFit="1" customWidth="1"/>
    <col min="12570" max="12570" width="9" style="270"/>
    <col min="12571" max="12571" width="1.375" style="270" customWidth="1"/>
    <col min="12572" max="12572" width="17.875" style="270" customWidth="1"/>
    <col min="12573" max="12573" width="19.375" style="270" customWidth="1"/>
    <col min="12574" max="12574" width="6" style="270" bestFit="1" customWidth="1"/>
    <col min="12575" max="12575" width="2.375" style="270" bestFit="1" customWidth="1"/>
    <col min="12576" max="12576" width="3.375" style="270" bestFit="1" customWidth="1"/>
    <col min="12577" max="12805" width="9" style="270"/>
    <col min="12806" max="12806" width="4.375" style="270" customWidth="1"/>
    <col min="12807" max="12807" width="20.375" style="270" customWidth="1"/>
    <col min="12808" max="12808" width="23" style="270" customWidth="1"/>
    <col min="12809" max="12809" width="6" style="270" bestFit="1" customWidth="1"/>
    <col min="12810" max="12811" width="3.375" style="270" bestFit="1" customWidth="1"/>
    <col min="12812" max="12812" width="9" style="270"/>
    <col min="12813" max="12813" width="1.375" style="270" customWidth="1"/>
    <col min="12814" max="12814" width="14.375" style="270" customWidth="1"/>
    <col min="12815" max="12815" width="21.375" style="270" customWidth="1"/>
    <col min="12816" max="12816" width="6" style="270" bestFit="1" customWidth="1"/>
    <col min="12817" max="12817" width="5" style="270" bestFit="1" customWidth="1"/>
    <col min="12818" max="12818" width="3.375" style="270" bestFit="1" customWidth="1"/>
    <col min="12819" max="12819" width="9" style="270"/>
    <col min="12820" max="12820" width="0.375" style="270" customWidth="1"/>
    <col min="12821" max="12821" width="16.375" style="270" customWidth="1"/>
    <col min="12822" max="12822" width="24.375" style="270" customWidth="1"/>
    <col min="12823" max="12823" width="6" style="270" bestFit="1" customWidth="1"/>
    <col min="12824" max="12824" width="2.375" style="270" bestFit="1" customWidth="1"/>
    <col min="12825" max="12825" width="3.375" style="270" bestFit="1" customWidth="1"/>
    <col min="12826" max="12826" width="9" style="270"/>
    <col min="12827" max="12827" width="1.375" style="270" customWidth="1"/>
    <col min="12828" max="12828" width="17.875" style="270" customWidth="1"/>
    <col min="12829" max="12829" width="19.375" style="270" customWidth="1"/>
    <col min="12830" max="12830" width="6" style="270" bestFit="1" customWidth="1"/>
    <col min="12831" max="12831" width="2.375" style="270" bestFit="1" customWidth="1"/>
    <col min="12832" max="12832" width="3.375" style="270" bestFit="1" customWidth="1"/>
    <col min="12833" max="13061" width="9" style="270"/>
    <col min="13062" max="13062" width="4.375" style="270" customWidth="1"/>
    <col min="13063" max="13063" width="20.375" style="270" customWidth="1"/>
    <col min="13064" max="13064" width="23" style="270" customWidth="1"/>
    <col min="13065" max="13065" width="6" style="270" bestFit="1" customWidth="1"/>
    <col min="13066" max="13067" width="3.375" style="270" bestFit="1" customWidth="1"/>
    <col min="13068" max="13068" width="9" style="270"/>
    <col min="13069" max="13069" width="1.375" style="270" customWidth="1"/>
    <col min="13070" max="13070" width="14.375" style="270" customWidth="1"/>
    <col min="13071" max="13071" width="21.375" style="270" customWidth="1"/>
    <col min="13072" max="13072" width="6" style="270" bestFit="1" customWidth="1"/>
    <col min="13073" max="13073" width="5" style="270" bestFit="1" customWidth="1"/>
    <col min="13074" max="13074" width="3.375" style="270" bestFit="1" customWidth="1"/>
    <col min="13075" max="13075" width="9" style="270"/>
    <col min="13076" max="13076" width="0.375" style="270" customWidth="1"/>
    <col min="13077" max="13077" width="16.375" style="270" customWidth="1"/>
    <col min="13078" max="13078" width="24.375" style="270" customWidth="1"/>
    <col min="13079" max="13079" width="6" style="270" bestFit="1" customWidth="1"/>
    <col min="13080" max="13080" width="2.375" style="270" bestFit="1" customWidth="1"/>
    <col min="13081" max="13081" width="3.375" style="270" bestFit="1" customWidth="1"/>
    <col min="13082" max="13082" width="9" style="270"/>
    <col min="13083" max="13083" width="1.375" style="270" customWidth="1"/>
    <col min="13084" max="13084" width="17.875" style="270" customWidth="1"/>
    <col min="13085" max="13085" width="19.375" style="270" customWidth="1"/>
    <col min="13086" max="13086" width="6" style="270" bestFit="1" customWidth="1"/>
    <col min="13087" max="13087" width="2.375" style="270" bestFit="1" customWidth="1"/>
    <col min="13088" max="13088" width="3.375" style="270" bestFit="1" customWidth="1"/>
    <col min="13089" max="13317" width="9" style="270"/>
    <col min="13318" max="13318" width="4.375" style="270" customWidth="1"/>
    <col min="13319" max="13319" width="20.375" style="270" customWidth="1"/>
    <col min="13320" max="13320" width="23" style="270" customWidth="1"/>
    <col min="13321" max="13321" width="6" style="270" bestFit="1" customWidth="1"/>
    <col min="13322" max="13323" width="3.375" style="270" bestFit="1" customWidth="1"/>
    <col min="13324" max="13324" width="9" style="270"/>
    <col min="13325" max="13325" width="1.375" style="270" customWidth="1"/>
    <col min="13326" max="13326" width="14.375" style="270" customWidth="1"/>
    <col min="13327" max="13327" width="21.375" style="270" customWidth="1"/>
    <col min="13328" max="13328" width="6" style="270" bestFit="1" customWidth="1"/>
    <col min="13329" max="13329" width="5" style="270" bestFit="1" customWidth="1"/>
    <col min="13330" max="13330" width="3.375" style="270" bestFit="1" customWidth="1"/>
    <col min="13331" max="13331" width="9" style="270"/>
    <col min="13332" max="13332" width="0.375" style="270" customWidth="1"/>
    <col min="13333" max="13333" width="16.375" style="270" customWidth="1"/>
    <col min="13334" max="13334" width="24.375" style="270" customWidth="1"/>
    <col min="13335" max="13335" width="6" style="270" bestFit="1" customWidth="1"/>
    <col min="13336" max="13336" width="2.375" style="270" bestFit="1" customWidth="1"/>
    <col min="13337" max="13337" width="3.375" style="270" bestFit="1" customWidth="1"/>
    <col min="13338" max="13338" width="9" style="270"/>
    <col min="13339" max="13339" width="1.375" style="270" customWidth="1"/>
    <col min="13340" max="13340" width="17.875" style="270" customWidth="1"/>
    <col min="13341" max="13341" width="19.375" style="270" customWidth="1"/>
    <col min="13342" max="13342" width="6" style="270" bestFit="1" customWidth="1"/>
    <col min="13343" max="13343" width="2.375" style="270" bestFit="1" customWidth="1"/>
    <col min="13344" max="13344" width="3.375" style="270" bestFit="1" customWidth="1"/>
    <col min="13345" max="13573" width="9" style="270"/>
    <col min="13574" max="13574" width="4.375" style="270" customWidth="1"/>
    <col min="13575" max="13575" width="20.375" style="270" customWidth="1"/>
    <col min="13576" max="13576" width="23" style="270" customWidth="1"/>
    <col min="13577" max="13577" width="6" style="270" bestFit="1" customWidth="1"/>
    <col min="13578" max="13579" width="3.375" style="270" bestFit="1" customWidth="1"/>
    <col min="13580" max="13580" width="9" style="270"/>
    <col min="13581" max="13581" width="1.375" style="270" customWidth="1"/>
    <col min="13582" max="13582" width="14.375" style="270" customWidth="1"/>
    <col min="13583" max="13583" width="21.375" style="270" customWidth="1"/>
    <col min="13584" max="13584" width="6" style="270" bestFit="1" customWidth="1"/>
    <col min="13585" max="13585" width="5" style="270" bestFit="1" customWidth="1"/>
    <col min="13586" max="13586" width="3.375" style="270" bestFit="1" customWidth="1"/>
    <col min="13587" max="13587" width="9" style="270"/>
    <col min="13588" max="13588" width="0.375" style="270" customWidth="1"/>
    <col min="13589" max="13589" width="16.375" style="270" customWidth="1"/>
    <col min="13590" max="13590" width="24.375" style="270" customWidth="1"/>
    <col min="13591" max="13591" width="6" style="270" bestFit="1" customWidth="1"/>
    <col min="13592" max="13592" width="2.375" style="270" bestFit="1" customWidth="1"/>
    <col min="13593" max="13593" width="3.375" style="270" bestFit="1" customWidth="1"/>
    <col min="13594" max="13594" width="9" style="270"/>
    <col min="13595" max="13595" width="1.375" style="270" customWidth="1"/>
    <col min="13596" max="13596" width="17.875" style="270" customWidth="1"/>
    <col min="13597" max="13597" width="19.375" style="270" customWidth="1"/>
    <col min="13598" max="13598" width="6" style="270" bestFit="1" customWidth="1"/>
    <col min="13599" max="13599" width="2.375" style="270" bestFit="1" customWidth="1"/>
    <col min="13600" max="13600" width="3.375" style="270" bestFit="1" customWidth="1"/>
    <col min="13601" max="13829" width="9" style="270"/>
    <col min="13830" max="13830" width="4.375" style="270" customWidth="1"/>
    <col min="13831" max="13831" width="20.375" style="270" customWidth="1"/>
    <col min="13832" max="13832" width="23" style="270" customWidth="1"/>
    <col min="13833" max="13833" width="6" style="270" bestFit="1" customWidth="1"/>
    <col min="13834" max="13835" width="3.375" style="270" bestFit="1" customWidth="1"/>
    <col min="13836" max="13836" width="9" style="270"/>
    <col min="13837" max="13837" width="1.375" style="270" customWidth="1"/>
    <col min="13838" max="13838" width="14.375" style="270" customWidth="1"/>
    <col min="13839" max="13839" width="21.375" style="270" customWidth="1"/>
    <col min="13840" max="13840" width="6" style="270" bestFit="1" customWidth="1"/>
    <col min="13841" max="13841" width="5" style="270" bestFit="1" customWidth="1"/>
    <col min="13842" max="13842" width="3.375" style="270" bestFit="1" customWidth="1"/>
    <col min="13843" max="13843" width="9" style="270"/>
    <col min="13844" max="13844" width="0.375" style="270" customWidth="1"/>
    <col min="13845" max="13845" width="16.375" style="270" customWidth="1"/>
    <col min="13846" max="13846" width="24.375" style="270" customWidth="1"/>
    <col min="13847" max="13847" width="6" style="270" bestFit="1" customWidth="1"/>
    <col min="13848" max="13848" width="2.375" style="270" bestFit="1" customWidth="1"/>
    <col min="13849" max="13849" width="3.375" style="270" bestFit="1" customWidth="1"/>
    <col min="13850" max="13850" width="9" style="270"/>
    <col min="13851" max="13851" width="1.375" style="270" customWidth="1"/>
    <col min="13852" max="13852" width="17.875" style="270" customWidth="1"/>
    <col min="13853" max="13853" width="19.375" style="270" customWidth="1"/>
    <col min="13854" max="13854" width="6" style="270" bestFit="1" customWidth="1"/>
    <col min="13855" max="13855" width="2.375" style="270" bestFit="1" customWidth="1"/>
    <col min="13856" max="13856" width="3.375" style="270" bestFit="1" customWidth="1"/>
    <col min="13857" max="14085" width="9" style="270"/>
    <col min="14086" max="14086" width="4.375" style="270" customWidth="1"/>
    <col min="14087" max="14087" width="20.375" style="270" customWidth="1"/>
    <col min="14088" max="14088" width="23" style="270" customWidth="1"/>
    <col min="14089" max="14089" width="6" style="270" bestFit="1" customWidth="1"/>
    <col min="14090" max="14091" width="3.375" style="270" bestFit="1" customWidth="1"/>
    <col min="14092" max="14092" width="9" style="270"/>
    <col min="14093" max="14093" width="1.375" style="270" customWidth="1"/>
    <col min="14094" max="14094" width="14.375" style="270" customWidth="1"/>
    <col min="14095" max="14095" width="21.375" style="270" customWidth="1"/>
    <col min="14096" max="14096" width="6" style="270" bestFit="1" customWidth="1"/>
    <col min="14097" max="14097" width="5" style="270" bestFit="1" customWidth="1"/>
    <col min="14098" max="14098" width="3.375" style="270" bestFit="1" customWidth="1"/>
    <col min="14099" max="14099" width="9" style="270"/>
    <col min="14100" max="14100" width="0.375" style="270" customWidth="1"/>
    <col min="14101" max="14101" width="16.375" style="270" customWidth="1"/>
    <col min="14102" max="14102" width="24.375" style="270" customWidth="1"/>
    <col min="14103" max="14103" width="6" style="270" bestFit="1" customWidth="1"/>
    <col min="14104" max="14104" width="2.375" style="270" bestFit="1" customWidth="1"/>
    <col min="14105" max="14105" width="3.375" style="270" bestFit="1" customWidth="1"/>
    <col min="14106" max="14106" width="9" style="270"/>
    <col min="14107" max="14107" width="1.375" style="270" customWidth="1"/>
    <col min="14108" max="14108" width="17.875" style="270" customWidth="1"/>
    <col min="14109" max="14109" width="19.375" style="270" customWidth="1"/>
    <col min="14110" max="14110" width="6" style="270" bestFit="1" customWidth="1"/>
    <col min="14111" max="14111" width="2.375" style="270" bestFit="1" customWidth="1"/>
    <col min="14112" max="14112" width="3.375" style="270" bestFit="1" customWidth="1"/>
    <col min="14113" max="14341" width="9" style="270"/>
    <col min="14342" max="14342" width="4.375" style="270" customWidth="1"/>
    <col min="14343" max="14343" width="20.375" style="270" customWidth="1"/>
    <col min="14344" max="14344" width="23" style="270" customWidth="1"/>
    <col min="14345" max="14345" width="6" style="270" bestFit="1" customWidth="1"/>
    <col min="14346" max="14347" width="3.375" style="270" bestFit="1" customWidth="1"/>
    <col min="14348" max="14348" width="9" style="270"/>
    <col min="14349" max="14349" width="1.375" style="270" customWidth="1"/>
    <col min="14350" max="14350" width="14.375" style="270" customWidth="1"/>
    <col min="14351" max="14351" width="21.375" style="270" customWidth="1"/>
    <col min="14352" max="14352" width="6" style="270" bestFit="1" customWidth="1"/>
    <col min="14353" max="14353" width="5" style="270" bestFit="1" customWidth="1"/>
    <col min="14354" max="14354" width="3.375" style="270" bestFit="1" customWidth="1"/>
    <col min="14355" max="14355" width="9" style="270"/>
    <col min="14356" max="14356" width="0.375" style="270" customWidth="1"/>
    <col min="14357" max="14357" width="16.375" style="270" customWidth="1"/>
    <col min="14358" max="14358" width="24.375" style="270" customWidth="1"/>
    <col min="14359" max="14359" width="6" style="270" bestFit="1" customWidth="1"/>
    <col min="14360" max="14360" width="2.375" style="270" bestFit="1" customWidth="1"/>
    <col min="14361" max="14361" width="3.375" style="270" bestFit="1" customWidth="1"/>
    <col min="14362" max="14362" width="9" style="270"/>
    <col min="14363" max="14363" width="1.375" style="270" customWidth="1"/>
    <col min="14364" max="14364" width="17.875" style="270" customWidth="1"/>
    <col min="14365" max="14365" width="19.375" style="270" customWidth="1"/>
    <col min="14366" max="14366" width="6" style="270" bestFit="1" customWidth="1"/>
    <col min="14367" max="14367" width="2.375" style="270" bestFit="1" customWidth="1"/>
    <col min="14368" max="14368" width="3.375" style="270" bestFit="1" customWidth="1"/>
    <col min="14369" max="14597" width="9" style="270"/>
    <col min="14598" max="14598" width="4.375" style="270" customWidth="1"/>
    <col min="14599" max="14599" width="20.375" style="270" customWidth="1"/>
    <col min="14600" max="14600" width="23" style="270" customWidth="1"/>
    <col min="14601" max="14601" width="6" style="270" bestFit="1" customWidth="1"/>
    <col min="14602" max="14603" width="3.375" style="270" bestFit="1" customWidth="1"/>
    <col min="14604" max="14604" width="9" style="270"/>
    <col min="14605" max="14605" width="1.375" style="270" customWidth="1"/>
    <col min="14606" max="14606" width="14.375" style="270" customWidth="1"/>
    <col min="14607" max="14607" width="21.375" style="270" customWidth="1"/>
    <col min="14608" max="14608" width="6" style="270" bestFit="1" customWidth="1"/>
    <col min="14609" max="14609" width="5" style="270" bestFit="1" customWidth="1"/>
    <col min="14610" max="14610" width="3.375" style="270" bestFit="1" customWidth="1"/>
    <col min="14611" max="14611" width="9" style="270"/>
    <col min="14612" max="14612" width="0.375" style="270" customWidth="1"/>
    <col min="14613" max="14613" width="16.375" style="270" customWidth="1"/>
    <col min="14614" max="14614" width="24.375" style="270" customWidth="1"/>
    <col min="14615" max="14615" width="6" style="270" bestFit="1" customWidth="1"/>
    <col min="14616" max="14616" width="2.375" style="270" bestFit="1" customWidth="1"/>
    <col min="14617" max="14617" width="3.375" style="270" bestFit="1" customWidth="1"/>
    <col min="14618" max="14618" width="9" style="270"/>
    <col min="14619" max="14619" width="1.375" style="270" customWidth="1"/>
    <col min="14620" max="14620" width="17.875" style="270" customWidth="1"/>
    <col min="14621" max="14621" width="19.375" style="270" customWidth="1"/>
    <col min="14622" max="14622" width="6" style="270" bestFit="1" customWidth="1"/>
    <col min="14623" max="14623" width="2.375" style="270" bestFit="1" customWidth="1"/>
    <col min="14624" max="14624" width="3.375" style="270" bestFit="1" customWidth="1"/>
    <col min="14625" max="14853" width="9" style="270"/>
    <col min="14854" max="14854" width="4.375" style="270" customWidth="1"/>
    <col min="14855" max="14855" width="20.375" style="270" customWidth="1"/>
    <col min="14856" max="14856" width="23" style="270" customWidth="1"/>
    <col min="14857" max="14857" width="6" style="270" bestFit="1" customWidth="1"/>
    <col min="14858" max="14859" width="3.375" style="270" bestFit="1" customWidth="1"/>
    <col min="14860" max="14860" width="9" style="270"/>
    <col min="14861" max="14861" width="1.375" style="270" customWidth="1"/>
    <col min="14862" max="14862" width="14.375" style="270" customWidth="1"/>
    <col min="14863" max="14863" width="21.375" style="270" customWidth="1"/>
    <col min="14864" max="14864" width="6" style="270" bestFit="1" customWidth="1"/>
    <col min="14865" max="14865" width="5" style="270" bestFit="1" customWidth="1"/>
    <col min="14866" max="14866" width="3.375" style="270" bestFit="1" customWidth="1"/>
    <col min="14867" max="14867" width="9" style="270"/>
    <col min="14868" max="14868" width="0.375" style="270" customWidth="1"/>
    <col min="14869" max="14869" width="16.375" style="270" customWidth="1"/>
    <col min="14870" max="14870" width="24.375" style="270" customWidth="1"/>
    <col min="14871" max="14871" width="6" style="270" bestFit="1" customWidth="1"/>
    <col min="14872" max="14872" width="2.375" style="270" bestFit="1" customWidth="1"/>
    <col min="14873" max="14873" width="3.375" style="270" bestFit="1" customWidth="1"/>
    <col min="14874" max="14874" width="9" style="270"/>
    <col min="14875" max="14875" width="1.375" style="270" customWidth="1"/>
    <col min="14876" max="14876" width="17.875" style="270" customWidth="1"/>
    <col min="14877" max="14877" width="19.375" style="270" customWidth="1"/>
    <col min="14878" max="14878" width="6" style="270" bestFit="1" customWidth="1"/>
    <col min="14879" max="14879" width="2.375" style="270" bestFit="1" customWidth="1"/>
    <col min="14880" max="14880" width="3.375" style="270" bestFit="1" customWidth="1"/>
    <col min="14881" max="15109" width="9" style="270"/>
    <col min="15110" max="15110" width="4.375" style="270" customWidth="1"/>
    <col min="15111" max="15111" width="20.375" style="270" customWidth="1"/>
    <col min="15112" max="15112" width="23" style="270" customWidth="1"/>
    <col min="15113" max="15113" width="6" style="270" bestFit="1" customWidth="1"/>
    <col min="15114" max="15115" width="3.375" style="270" bestFit="1" customWidth="1"/>
    <col min="15116" max="15116" width="9" style="270"/>
    <col min="15117" max="15117" width="1.375" style="270" customWidth="1"/>
    <col min="15118" max="15118" width="14.375" style="270" customWidth="1"/>
    <col min="15119" max="15119" width="21.375" style="270" customWidth="1"/>
    <col min="15120" max="15120" width="6" style="270" bestFit="1" customWidth="1"/>
    <col min="15121" max="15121" width="5" style="270" bestFit="1" customWidth="1"/>
    <col min="15122" max="15122" width="3.375" style="270" bestFit="1" customWidth="1"/>
    <col min="15123" max="15123" width="9" style="270"/>
    <col min="15124" max="15124" width="0.375" style="270" customWidth="1"/>
    <col min="15125" max="15125" width="16.375" style="270" customWidth="1"/>
    <col min="15126" max="15126" width="24.375" style="270" customWidth="1"/>
    <col min="15127" max="15127" width="6" style="270" bestFit="1" customWidth="1"/>
    <col min="15128" max="15128" width="2.375" style="270" bestFit="1" customWidth="1"/>
    <col min="15129" max="15129" width="3.375" style="270" bestFit="1" customWidth="1"/>
    <col min="15130" max="15130" width="9" style="270"/>
    <col min="15131" max="15131" width="1.375" style="270" customWidth="1"/>
    <col min="15132" max="15132" width="17.875" style="270" customWidth="1"/>
    <col min="15133" max="15133" width="19.375" style="270" customWidth="1"/>
    <col min="15134" max="15134" width="6" style="270" bestFit="1" customWidth="1"/>
    <col min="15135" max="15135" width="2.375" style="270" bestFit="1" customWidth="1"/>
    <col min="15136" max="15136" width="3.375" style="270" bestFit="1" customWidth="1"/>
    <col min="15137" max="15365" width="9" style="270"/>
    <col min="15366" max="15366" width="4.375" style="270" customWidth="1"/>
    <col min="15367" max="15367" width="20.375" style="270" customWidth="1"/>
    <col min="15368" max="15368" width="23" style="270" customWidth="1"/>
    <col min="15369" max="15369" width="6" style="270" bestFit="1" customWidth="1"/>
    <col min="15370" max="15371" width="3.375" style="270" bestFit="1" customWidth="1"/>
    <col min="15372" max="15372" width="9" style="270"/>
    <col min="15373" max="15373" width="1.375" style="270" customWidth="1"/>
    <col min="15374" max="15374" width="14.375" style="270" customWidth="1"/>
    <col min="15375" max="15375" width="21.375" style="270" customWidth="1"/>
    <col min="15376" max="15376" width="6" style="270" bestFit="1" customWidth="1"/>
    <col min="15377" max="15377" width="5" style="270" bestFit="1" customWidth="1"/>
    <col min="15378" max="15378" width="3.375" style="270" bestFit="1" customWidth="1"/>
    <col min="15379" max="15379" width="9" style="270"/>
    <col min="15380" max="15380" width="0.375" style="270" customWidth="1"/>
    <col min="15381" max="15381" width="16.375" style="270" customWidth="1"/>
    <col min="15382" max="15382" width="24.375" style="270" customWidth="1"/>
    <col min="15383" max="15383" width="6" style="270" bestFit="1" customWidth="1"/>
    <col min="15384" max="15384" width="2.375" style="270" bestFit="1" customWidth="1"/>
    <col min="15385" max="15385" width="3.375" style="270" bestFit="1" customWidth="1"/>
    <col min="15386" max="15386" width="9" style="270"/>
    <col min="15387" max="15387" width="1.375" style="270" customWidth="1"/>
    <col min="15388" max="15388" width="17.875" style="270" customWidth="1"/>
    <col min="15389" max="15389" width="19.375" style="270" customWidth="1"/>
    <col min="15390" max="15390" width="6" style="270" bestFit="1" customWidth="1"/>
    <col min="15391" max="15391" width="2.375" style="270" bestFit="1" customWidth="1"/>
    <col min="15392" max="15392" width="3.375" style="270" bestFit="1" customWidth="1"/>
    <col min="15393" max="15621" width="9" style="270"/>
    <col min="15622" max="15622" width="4.375" style="270" customWidth="1"/>
    <col min="15623" max="15623" width="20.375" style="270" customWidth="1"/>
    <col min="15624" max="15624" width="23" style="270" customWidth="1"/>
    <col min="15625" max="15625" width="6" style="270" bestFit="1" customWidth="1"/>
    <col min="15626" max="15627" width="3.375" style="270" bestFit="1" customWidth="1"/>
    <col min="15628" max="15628" width="9" style="270"/>
    <col min="15629" max="15629" width="1.375" style="270" customWidth="1"/>
    <col min="15630" max="15630" width="14.375" style="270" customWidth="1"/>
    <col min="15631" max="15631" width="21.375" style="270" customWidth="1"/>
    <col min="15632" max="15632" width="6" style="270" bestFit="1" customWidth="1"/>
    <col min="15633" max="15633" width="5" style="270" bestFit="1" customWidth="1"/>
    <col min="15634" max="15634" width="3.375" style="270" bestFit="1" customWidth="1"/>
    <col min="15635" max="15635" width="9" style="270"/>
    <col min="15636" max="15636" width="0.375" style="270" customWidth="1"/>
    <col min="15637" max="15637" width="16.375" style="270" customWidth="1"/>
    <col min="15638" max="15638" width="24.375" style="270" customWidth="1"/>
    <col min="15639" max="15639" width="6" style="270" bestFit="1" customWidth="1"/>
    <col min="15640" max="15640" width="2.375" style="270" bestFit="1" customWidth="1"/>
    <col min="15641" max="15641" width="3.375" style="270" bestFit="1" customWidth="1"/>
    <col min="15642" max="15642" width="9" style="270"/>
    <col min="15643" max="15643" width="1.375" style="270" customWidth="1"/>
    <col min="15644" max="15644" width="17.875" style="270" customWidth="1"/>
    <col min="15645" max="15645" width="19.375" style="270" customWidth="1"/>
    <col min="15646" max="15646" width="6" style="270" bestFit="1" customWidth="1"/>
    <col min="15647" max="15647" width="2.375" style="270" bestFit="1" customWidth="1"/>
    <col min="15648" max="15648" width="3.375" style="270" bestFit="1" customWidth="1"/>
    <col min="15649" max="15877" width="9" style="270"/>
    <col min="15878" max="15878" width="4.375" style="270" customWidth="1"/>
    <col min="15879" max="15879" width="20.375" style="270" customWidth="1"/>
    <col min="15880" max="15880" width="23" style="270" customWidth="1"/>
    <col min="15881" max="15881" width="6" style="270" bestFit="1" customWidth="1"/>
    <col min="15882" max="15883" width="3.375" style="270" bestFit="1" customWidth="1"/>
    <col min="15884" max="15884" width="9" style="270"/>
    <col min="15885" max="15885" width="1.375" style="270" customWidth="1"/>
    <col min="15886" max="15886" width="14.375" style="270" customWidth="1"/>
    <col min="15887" max="15887" width="21.375" style="270" customWidth="1"/>
    <col min="15888" max="15888" width="6" style="270" bestFit="1" customWidth="1"/>
    <col min="15889" max="15889" width="5" style="270" bestFit="1" customWidth="1"/>
    <col min="15890" max="15890" width="3.375" style="270" bestFit="1" customWidth="1"/>
    <col min="15891" max="15891" width="9" style="270"/>
    <col min="15892" max="15892" width="0.375" style="270" customWidth="1"/>
    <col min="15893" max="15893" width="16.375" style="270" customWidth="1"/>
    <col min="15894" max="15894" width="24.375" style="270" customWidth="1"/>
    <col min="15895" max="15895" width="6" style="270" bestFit="1" customWidth="1"/>
    <col min="15896" max="15896" width="2.375" style="270" bestFit="1" customWidth="1"/>
    <col min="15897" max="15897" width="3.375" style="270" bestFit="1" customWidth="1"/>
    <col min="15898" max="15898" width="9" style="270"/>
    <col min="15899" max="15899" width="1.375" style="270" customWidth="1"/>
    <col min="15900" max="15900" width="17.875" style="270" customWidth="1"/>
    <col min="15901" max="15901" width="19.375" style="270" customWidth="1"/>
    <col min="15902" max="15902" width="6" style="270" bestFit="1" customWidth="1"/>
    <col min="15903" max="15903" width="2.375" style="270" bestFit="1" customWidth="1"/>
    <col min="15904" max="15904" width="3.375" style="270" bestFit="1" customWidth="1"/>
    <col min="15905" max="16133" width="9" style="270"/>
    <col min="16134" max="16134" width="4.375" style="270" customWidth="1"/>
    <col min="16135" max="16135" width="20.375" style="270" customWidth="1"/>
    <col min="16136" max="16136" width="23" style="270" customWidth="1"/>
    <col min="16137" max="16137" width="6" style="270" bestFit="1" customWidth="1"/>
    <col min="16138" max="16139" width="3.375" style="270" bestFit="1" customWidth="1"/>
    <col min="16140" max="16140" width="9" style="270"/>
    <col min="16141" max="16141" width="1.375" style="270" customWidth="1"/>
    <col min="16142" max="16142" width="14.375" style="270" customWidth="1"/>
    <col min="16143" max="16143" width="21.375" style="270" customWidth="1"/>
    <col min="16144" max="16144" width="6" style="270" bestFit="1" customWidth="1"/>
    <col min="16145" max="16145" width="5" style="270" bestFit="1" customWidth="1"/>
    <col min="16146" max="16146" width="3.375" style="270" bestFit="1" customWidth="1"/>
    <col min="16147" max="16147" width="9" style="270"/>
    <col min="16148" max="16148" width="0.375" style="270" customWidth="1"/>
    <col min="16149" max="16149" width="16.375" style="270" customWidth="1"/>
    <col min="16150" max="16150" width="24.375" style="270" customWidth="1"/>
    <col min="16151" max="16151" width="6" style="270" bestFit="1" customWidth="1"/>
    <col min="16152" max="16152" width="2.375" style="270" bestFit="1" customWidth="1"/>
    <col min="16153" max="16153" width="3.375" style="270" bestFit="1" customWidth="1"/>
    <col min="16154" max="16154" width="9" style="270"/>
    <col min="16155" max="16155" width="1.375" style="270" customWidth="1"/>
    <col min="16156" max="16156" width="17.875" style="270" customWidth="1"/>
    <col min="16157" max="16157" width="19.375" style="270" customWidth="1"/>
    <col min="16158" max="16158" width="6" style="270" bestFit="1" customWidth="1"/>
    <col min="16159" max="16159" width="2.375" style="270" bestFit="1" customWidth="1"/>
    <col min="16160" max="16160" width="3.375" style="270" bestFit="1" customWidth="1"/>
    <col min="16161" max="16384" width="9" style="270"/>
  </cols>
  <sheetData>
    <row r="1" spans="2:64" s="47" customFormat="1" ht="12.95" customHeight="1" thickBot="1" x14ac:dyDescent="0.2">
      <c r="H1" s="48"/>
      <c r="I1" s="48"/>
      <c r="L1" s="49"/>
      <c r="AJ1" s="270"/>
      <c r="AK1" s="270"/>
      <c r="AL1" s="270"/>
      <c r="AM1" s="270"/>
      <c r="AN1" s="270"/>
      <c r="AO1" s="270"/>
      <c r="AP1" s="270"/>
      <c r="AQ1" s="270"/>
      <c r="AR1" s="270"/>
      <c r="AS1" s="270"/>
      <c r="AT1" s="270"/>
      <c r="AU1" s="270"/>
      <c r="AV1" s="270"/>
      <c r="AW1" s="270"/>
      <c r="AX1" s="270"/>
      <c r="AY1" s="270"/>
      <c r="AZ1" s="270"/>
      <c r="BA1" s="270"/>
      <c r="BB1" s="270"/>
      <c r="BC1" s="270"/>
      <c r="BD1" s="270"/>
      <c r="BE1" s="270"/>
      <c r="BF1" s="270"/>
      <c r="BG1" s="270"/>
      <c r="BH1" s="270"/>
      <c r="BI1" s="270"/>
      <c r="BJ1" s="270"/>
      <c r="BK1" s="270"/>
      <c r="BL1" s="270"/>
    </row>
    <row r="2" spans="2:64" s="47" customFormat="1" ht="12.75" customHeight="1" thickTop="1" x14ac:dyDescent="0.15">
      <c r="B2" s="50" t="s">
        <v>6</v>
      </c>
      <c r="C2" s="51"/>
      <c r="D2" s="52"/>
      <c r="E2" s="677" t="s">
        <v>7</v>
      </c>
      <c r="F2" s="830"/>
      <c r="G2" s="830"/>
      <c r="H2" s="830"/>
      <c r="I2" s="830"/>
      <c r="J2" s="831"/>
      <c r="K2" s="832" t="s">
        <v>8</v>
      </c>
      <c r="L2" s="830"/>
      <c r="M2" s="831"/>
      <c r="N2" s="1297" t="s">
        <v>477</v>
      </c>
      <c r="O2" s="1298"/>
      <c r="P2" s="1298"/>
      <c r="Q2" s="1298"/>
      <c r="R2" s="1298"/>
      <c r="S2" s="1298"/>
      <c r="T2" s="1298"/>
      <c r="U2" s="1298"/>
      <c r="V2" s="1298"/>
      <c r="W2" s="1299"/>
      <c r="X2" s="832" t="s">
        <v>10</v>
      </c>
      <c r="Y2" s="830"/>
      <c r="Z2" s="831"/>
      <c r="AA2" s="943" t="s">
        <v>11</v>
      </c>
      <c r="AB2" s="832" t="s">
        <v>12</v>
      </c>
      <c r="AC2" s="943" t="s">
        <v>13</v>
      </c>
      <c r="AD2" s="944"/>
      <c r="AE2" s="945"/>
      <c r="AF2" s="832" t="s">
        <v>14</v>
      </c>
      <c r="AG2" s="830"/>
      <c r="AH2" s="831"/>
      <c r="AJ2" s="270"/>
      <c r="AK2" s="270"/>
      <c r="AL2" s="270"/>
      <c r="AM2" s="270"/>
      <c r="AN2" s="270"/>
      <c r="AO2" s="270"/>
      <c r="AP2" s="270"/>
      <c r="AQ2" s="270"/>
      <c r="AR2" s="270"/>
      <c r="AS2" s="270"/>
      <c r="AT2" s="270"/>
      <c r="AU2" s="270"/>
      <c r="AV2" s="270"/>
      <c r="AW2" s="270"/>
      <c r="AX2" s="270"/>
      <c r="AY2" s="270"/>
      <c r="AZ2" s="270"/>
      <c r="BA2" s="270"/>
      <c r="BB2" s="270"/>
      <c r="BC2" s="270"/>
      <c r="BD2" s="270"/>
      <c r="BE2" s="270"/>
      <c r="BF2" s="270"/>
      <c r="BG2" s="270"/>
      <c r="BH2" s="270"/>
      <c r="BI2" s="270"/>
      <c r="BJ2" s="270"/>
      <c r="BK2" s="270"/>
      <c r="BL2" s="270"/>
    </row>
    <row r="3" spans="2:64" s="47" customFormat="1" ht="12.75" customHeight="1" thickBot="1" x14ac:dyDescent="0.2">
      <c r="B3" s="271" t="s">
        <v>15</v>
      </c>
      <c r="C3" s="272"/>
      <c r="D3" s="273"/>
      <c r="E3" s="678" t="s">
        <v>16</v>
      </c>
      <c r="F3" s="834"/>
      <c r="G3" s="834"/>
      <c r="H3" s="834"/>
      <c r="I3" s="834"/>
      <c r="J3" s="835"/>
      <c r="K3" s="836" t="s">
        <v>219</v>
      </c>
      <c r="L3" s="834"/>
      <c r="M3" s="835"/>
      <c r="N3" s="1300"/>
      <c r="O3" s="1301"/>
      <c r="P3" s="1301"/>
      <c r="Q3" s="1301"/>
      <c r="R3" s="1301"/>
      <c r="S3" s="1301"/>
      <c r="T3" s="1301"/>
      <c r="U3" s="1301"/>
      <c r="V3" s="1301"/>
      <c r="W3" s="1302"/>
      <c r="X3" s="837">
        <f>連携対象取引ログテーブル一覧!AO3</f>
        <v>1.1200000000000001</v>
      </c>
      <c r="Y3" s="838"/>
      <c r="Z3" s="839"/>
      <c r="AA3" s="836" t="s">
        <v>18</v>
      </c>
      <c r="AB3" s="840">
        <f>取引ログテーブル関連図!AB3</f>
        <v>45709</v>
      </c>
      <c r="AC3" s="836" t="s">
        <v>18</v>
      </c>
      <c r="AD3" s="834"/>
      <c r="AE3" s="835"/>
      <c r="AF3" s="840">
        <v>45460</v>
      </c>
      <c r="AG3" s="841"/>
      <c r="AH3" s="842"/>
      <c r="AJ3" s="270"/>
      <c r="AK3" s="270"/>
      <c r="AL3" s="270"/>
      <c r="AM3" s="270"/>
      <c r="AN3" s="270"/>
      <c r="AO3" s="270"/>
      <c r="AP3" s="270"/>
      <c r="AQ3" s="270"/>
      <c r="AR3" s="270"/>
      <c r="AS3" s="270"/>
      <c r="AT3" s="270"/>
      <c r="AU3" s="270"/>
      <c r="AV3" s="270"/>
      <c r="AW3" s="270"/>
      <c r="AX3" s="270"/>
      <c r="AY3" s="270"/>
      <c r="AZ3" s="270"/>
      <c r="BA3" s="270"/>
      <c r="BB3" s="270"/>
      <c r="BC3" s="270"/>
      <c r="BD3" s="270"/>
      <c r="BE3" s="270"/>
      <c r="BF3" s="270"/>
      <c r="BG3" s="270"/>
      <c r="BH3" s="270"/>
      <c r="BI3" s="270"/>
      <c r="BJ3" s="270"/>
      <c r="BK3" s="270"/>
      <c r="BL3" s="270"/>
    </row>
    <row r="4" spans="2:64" s="47" customFormat="1" ht="12.75" customHeight="1" thickTop="1" x14ac:dyDescent="0.15">
      <c r="H4" s="48"/>
      <c r="I4" s="48"/>
      <c r="L4" s="49"/>
      <c r="AJ4" s="270"/>
      <c r="AK4" s="270"/>
      <c r="AL4" s="270"/>
      <c r="AM4" s="270"/>
      <c r="AN4" s="270"/>
      <c r="AO4" s="270"/>
      <c r="AP4" s="270"/>
      <c r="AQ4" s="270"/>
      <c r="AR4" s="270"/>
      <c r="AS4" s="270"/>
      <c r="AT4" s="270"/>
      <c r="AU4" s="270"/>
      <c r="AV4" s="270"/>
      <c r="AW4" s="270"/>
      <c r="AX4" s="270"/>
      <c r="AY4" s="270"/>
      <c r="AZ4" s="270"/>
      <c r="BA4" s="270"/>
      <c r="BB4" s="270"/>
      <c r="BC4" s="270"/>
      <c r="BD4" s="270"/>
      <c r="BE4" s="270"/>
      <c r="BF4" s="270"/>
      <c r="BG4" s="270"/>
      <c r="BH4" s="270"/>
      <c r="BI4" s="270"/>
      <c r="BJ4" s="270"/>
      <c r="BK4" s="270"/>
      <c r="BL4" s="270"/>
    </row>
    <row r="5" spans="2:64" x14ac:dyDescent="0.15">
      <c r="B5" s="946"/>
      <c r="C5" s="947"/>
      <c r="D5" s="947"/>
      <c r="E5" s="947"/>
      <c r="F5" s="947"/>
      <c r="G5" s="947"/>
      <c r="H5" s="947"/>
      <c r="I5" s="947"/>
      <c r="J5" s="947"/>
      <c r="K5" s="947"/>
      <c r="L5" s="947"/>
      <c r="M5" s="947"/>
      <c r="N5" s="947"/>
      <c r="O5" s="947"/>
      <c r="P5" s="947"/>
      <c r="Q5" s="948"/>
      <c r="R5" s="947"/>
      <c r="S5" s="947"/>
      <c r="T5" s="947"/>
      <c r="U5" s="947"/>
      <c r="V5" s="947"/>
      <c r="W5" s="947"/>
      <c r="X5" s="947"/>
      <c r="Y5" s="947"/>
      <c r="Z5" s="947"/>
      <c r="AA5" s="947"/>
      <c r="AB5" s="947"/>
      <c r="AC5" s="947"/>
      <c r="AD5" s="947"/>
      <c r="AE5" s="947"/>
      <c r="AF5" s="947"/>
      <c r="AG5" s="947"/>
      <c r="AH5" s="949"/>
    </row>
    <row r="6" spans="2:64" x14ac:dyDescent="0.15">
      <c r="B6" s="603"/>
      <c r="AB6" s="283" t="s">
        <v>220</v>
      </c>
      <c r="AH6" s="284"/>
    </row>
    <row r="7" spans="2:64" ht="14.25" x14ac:dyDescent="0.15">
      <c r="B7" s="603"/>
      <c r="G7" s="285"/>
      <c r="J7" s="274" t="s">
        <v>478</v>
      </c>
      <c r="AB7" s="283" t="s">
        <v>221</v>
      </c>
      <c r="AH7" s="284"/>
    </row>
    <row r="8" spans="2:64" x14ac:dyDescent="0.15">
      <c r="B8" s="603"/>
      <c r="AB8" s="283" t="s">
        <v>222</v>
      </c>
      <c r="AH8" s="284"/>
    </row>
    <row r="9" spans="2:64" x14ac:dyDescent="0.15">
      <c r="B9" s="603"/>
      <c r="AH9" s="284"/>
    </row>
    <row r="10" spans="2:64" x14ac:dyDescent="0.15">
      <c r="B10" s="603"/>
      <c r="C10" s="844" t="s">
        <v>224</v>
      </c>
      <c r="D10" s="845"/>
      <c r="E10" s="845"/>
      <c r="F10" s="845"/>
      <c r="G10" s="845"/>
      <c r="H10" s="846"/>
      <c r="AH10" s="284"/>
    </row>
    <row r="11" spans="2:64" ht="12" customHeight="1" x14ac:dyDescent="0.15">
      <c r="B11" s="603"/>
      <c r="C11" s="847" t="s">
        <v>226</v>
      </c>
      <c r="D11" s="848" t="s">
        <v>227</v>
      </c>
      <c r="E11" s="849" t="s">
        <v>228</v>
      </c>
      <c r="F11" s="849" t="s">
        <v>229</v>
      </c>
      <c r="G11" s="849" t="s">
        <v>230</v>
      </c>
      <c r="H11" s="849" t="s">
        <v>231</v>
      </c>
      <c r="AH11" s="284"/>
    </row>
    <row r="12" spans="2:64" ht="12" x14ac:dyDescent="0.15">
      <c r="B12" s="603"/>
      <c r="C12" s="950" t="s">
        <v>235</v>
      </c>
      <c r="D12" s="951" t="s">
        <v>236</v>
      </c>
      <c r="E12" s="952" t="s">
        <v>237</v>
      </c>
      <c r="F12" s="952">
        <v>9</v>
      </c>
      <c r="G12" s="953"/>
      <c r="H12" s="954"/>
      <c r="K12" s="850" t="s">
        <v>238</v>
      </c>
      <c r="L12" s="851"/>
      <c r="M12" s="851"/>
      <c r="N12" s="851"/>
      <c r="O12" s="851"/>
      <c r="P12" s="852"/>
      <c r="Q12" s="270"/>
      <c r="S12" s="850" t="s">
        <v>239</v>
      </c>
      <c r="T12" s="851"/>
      <c r="U12" s="851"/>
      <c r="V12" s="851"/>
      <c r="W12" s="851"/>
      <c r="X12" s="852"/>
      <c r="AH12" s="284"/>
    </row>
    <row r="13" spans="2:64" ht="11.25" x14ac:dyDescent="0.15">
      <c r="B13" s="603"/>
      <c r="C13" s="955" t="s">
        <v>242</v>
      </c>
      <c r="D13" s="956" t="s">
        <v>243</v>
      </c>
      <c r="E13" s="957" t="s">
        <v>237</v>
      </c>
      <c r="F13" s="957">
        <v>9</v>
      </c>
      <c r="G13" s="958"/>
      <c r="H13" s="959"/>
      <c r="K13" s="847" t="s">
        <v>226</v>
      </c>
      <c r="L13" s="848" t="s">
        <v>227</v>
      </c>
      <c r="M13" s="849" t="s">
        <v>228</v>
      </c>
      <c r="N13" s="849" t="s">
        <v>229</v>
      </c>
      <c r="O13" s="849" t="s">
        <v>230</v>
      </c>
      <c r="P13" s="849" t="s">
        <v>231</v>
      </c>
      <c r="Q13" s="270"/>
      <c r="S13" s="847" t="s">
        <v>226</v>
      </c>
      <c r="T13" s="848" t="s">
        <v>227</v>
      </c>
      <c r="U13" s="849" t="s">
        <v>228</v>
      </c>
      <c r="V13" s="849" t="s">
        <v>229</v>
      </c>
      <c r="W13" s="849" t="s">
        <v>230</v>
      </c>
      <c r="X13" s="849" t="s">
        <v>231</v>
      </c>
      <c r="AH13" s="284"/>
    </row>
    <row r="14" spans="2:64" ht="11.25" x14ac:dyDescent="0.15">
      <c r="B14" s="603"/>
      <c r="C14" s="960" t="s">
        <v>248</v>
      </c>
      <c r="D14" s="961" t="s">
        <v>249</v>
      </c>
      <c r="E14" s="962" t="s">
        <v>250</v>
      </c>
      <c r="F14" s="962" t="s">
        <v>251</v>
      </c>
      <c r="G14" s="963" t="s">
        <v>252</v>
      </c>
      <c r="H14" s="596" t="s">
        <v>479</v>
      </c>
      <c r="K14" s="960" t="s">
        <v>248</v>
      </c>
      <c r="L14" s="961" t="s">
        <v>249</v>
      </c>
      <c r="M14" s="964" t="s">
        <v>250</v>
      </c>
      <c r="N14" s="964" t="s">
        <v>251</v>
      </c>
      <c r="O14" s="965" t="s">
        <v>247</v>
      </c>
      <c r="P14" s="966" t="s">
        <v>480</v>
      </c>
      <c r="Q14" s="270"/>
      <c r="S14" s="967" t="s">
        <v>248</v>
      </c>
      <c r="T14" s="968" t="s">
        <v>253</v>
      </c>
      <c r="U14" s="964" t="s">
        <v>250</v>
      </c>
      <c r="V14" s="965" t="s">
        <v>251</v>
      </c>
      <c r="W14" s="963" t="s">
        <v>247</v>
      </c>
      <c r="X14" s="969">
        <v>6079449</v>
      </c>
      <c r="AH14" s="284"/>
    </row>
    <row r="15" spans="2:64" ht="11.25" x14ac:dyDescent="0.15">
      <c r="B15" s="603"/>
      <c r="C15" s="970" t="s">
        <v>254</v>
      </c>
      <c r="D15" s="956" t="s">
        <v>255</v>
      </c>
      <c r="E15" s="957" t="s">
        <v>246</v>
      </c>
      <c r="F15" s="957" t="s">
        <v>251</v>
      </c>
      <c r="G15" s="958" t="s">
        <v>251</v>
      </c>
      <c r="H15" s="971" t="s">
        <v>481</v>
      </c>
      <c r="K15" s="972" t="s">
        <v>244</v>
      </c>
      <c r="L15" s="956" t="s">
        <v>256</v>
      </c>
      <c r="M15" s="957" t="s">
        <v>246</v>
      </c>
      <c r="N15" s="957" t="s">
        <v>251</v>
      </c>
      <c r="O15" s="958" t="s">
        <v>252</v>
      </c>
      <c r="P15" s="973">
        <v>1</v>
      </c>
      <c r="Q15" s="270"/>
      <c r="S15" s="974" t="s">
        <v>244</v>
      </c>
      <c r="T15" s="956" t="s">
        <v>245</v>
      </c>
      <c r="U15" s="957" t="s">
        <v>246</v>
      </c>
      <c r="V15" s="958" t="s">
        <v>251</v>
      </c>
      <c r="W15" s="975" t="s">
        <v>247</v>
      </c>
      <c r="X15" s="976">
        <v>1</v>
      </c>
      <c r="AH15" s="284"/>
    </row>
    <row r="16" spans="2:64" ht="11.25" x14ac:dyDescent="0.15">
      <c r="B16" s="603"/>
      <c r="C16" s="977" t="s">
        <v>259</v>
      </c>
      <c r="D16" s="978" t="s">
        <v>260</v>
      </c>
      <c r="E16" s="979" t="s">
        <v>246</v>
      </c>
      <c r="F16" s="979"/>
      <c r="G16" s="980" t="s">
        <v>251</v>
      </c>
      <c r="H16" s="981" t="s">
        <v>482</v>
      </c>
      <c r="K16" s="982" t="s">
        <v>257</v>
      </c>
      <c r="L16" s="956" t="s">
        <v>258</v>
      </c>
      <c r="M16" s="957" t="s">
        <v>250</v>
      </c>
      <c r="N16" s="957" t="s">
        <v>251</v>
      </c>
      <c r="O16" s="958" t="s">
        <v>247</v>
      </c>
      <c r="P16" s="973">
        <v>200000</v>
      </c>
      <c r="Q16" s="270"/>
      <c r="S16" s="974" t="s">
        <v>261</v>
      </c>
      <c r="T16" s="956" t="s">
        <v>262</v>
      </c>
      <c r="U16" s="957" t="s">
        <v>246</v>
      </c>
      <c r="V16" s="958" t="s">
        <v>251</v>
      </c>
      <c r="W16" s="975" t="s">
        <v>247</v>
      </c>
      <c r="X16" s="976">
        <v>8</v>
      </c>
      <c r="AH16" s="284"/>
    </row>
    <row r="17" spans="2:34" ht="11.25" x14ac:dyDescent="0.15">
      <c r="B17" s="603"/>
      <c r="C17" s="597"/>
      <c r="D17" s="598" t="s">
        <v>265</v>
      </c>
      <c r="E17" s="599"/>
      <c r="F17" s="599"/>
      <c r="G17" s="600"/>
      <c r="H17" s="601"/>
      <c r="K17" s="983" t="s">
        <v>266</v>
      </c>
      <c r="L17" s="968" t="s">
        <v>267</v>
      </c>
      <c r="M17" s="964" t="s">
        <v>237</v>
      </c>
      <c r="N17" s="964">
        <v>12</v>
      </c>
      <c r="O17" s="965"/>
      <c r="P17" s="984"/>
      <c r="Q17" s="270"/>
      <c r="S17" s="977" t="s">
        <v>268</v>
      </c>
      <c r="T17" s="978" t="s">
        <v>269</v>
      </c>
      <c r="U17" s="979" t="s">
        <v>246</v>
      </c>
      <c r="V17" s="980" t="s">
        <v>251</v>
      </c>
      <c r="W17" s="985" t="s">
        <v>247</v>
      </c>
      <c r="X17" s="986">
        <v>1</v>
      </c>
      <c r="AH17" s="284"/>
    </row>
    <row r="18" spans="2:34" ht="11.25" x14ac:dyDescent="0.15">
      <c r="B18" s="603"/>
      <c r="C18" s="982" t="s">
        <v>257</v>
      </c>
      <c r="D18" s="956" t="s">
        <v>258</v>
      </c>
      <c r="E18" s="957" t="s">
        <v>250</v>
      </c>
      <c r="F18" s="957" t="s">
        <v>251</v>
      </c>
      <c r="G18" s="958" t="s">
        <v>247</v>
      </c>
      <c r="H18" s="971">
        <v>200000</v>
      </c>
      <c r="K18" s="977" t="s">
        <v>273</v>
      </c>
      <c r="L18" s="978" t="s">
        <v>274</v>
      </c>
      <c r="M18" s="979" t="s">
        <v>246</v>
      </c>
      <c r="N18" s="979" t="s">
        <v>251</v>
      </c>
      <c r="O18" s="980"/>
      <c r="P18" s="987" t="s">
        <v>483</v>
      </c>
      <c r="Q18" s="270"/>
      <c r="S18" s="955" t="s">
        <v>282</v>
      </c>
      <c r="T18" s="956" t="s">
        <v>283</v>
      </c>
      <c r="U18" s="957" t="s">
        <v>284</v>
      </c>
      <c r="V18" s="958" t="s">
        <v>251</v>
      </c>
      <c r="W18" s="958" t="s">
        <v>251</v>
      </c>
      <c r="X18" s="971">
        <v>-113</v>
      </c>
      <c r="AH18" s="284"/>
    </row>
    <row r="19" spans="2:34" ht="11.25" x14ac:dyDescent="0.15">
      <c r="B19" s="603"/>
      <c r="C19" s="955" t="s">
        <v>279</v>
      </c>
      <c r="D19" s="956" t="s">
        <v>280</v>
      </c>
      <c r="E19" s="957" t="s">
        <v>237</v>
      </c>
      <c r="F19" s="957">
        <v>12</v>
      </c>
      <c r="G19" s="958"/>
      <c r="H19" s="971">
        <v>1111111</v>
      </c>
      <c r="K19" s="955" t="s">
        <v>313</v>
      </c>
      <c r="L19" s="956" t="s">
        <v>314</v>
      </c>
      <c r="M19" s="957" t="s">
        <v>237</v>
      </c>
      <c r="N19" s="957">
        <v>24</v>
      </c>
      <c r="O19" s="958"/>
      <c r="P19" s="973" t="s">
        <v>484</v>
      </c>
      <c r="Q19" s="270"/>
      <c r="S19" s="982" t="s">
        <v>257</v>
      </c>
      <c r="T19" s="956" t="s">
        <v>258</v>
      </c>
      <c r="U19" s="957" t="s">
        <v>250</v>
      </c>
      <c r="V19" s="958" t="s">
        <v>251</v>
      </c>
      <c r="W19" s="958" t="s">
        <v>247</v>
      </c>
      <c r="X19" s="971">
        <v>200000</v>
      </c>
      <c r="AH19" s="284"/>
    </row>
    <row r="20" spans="2:34" ht="11.25" x14ac:dyDescent="0.15">
      <c r="B20" s="603"/>
      <c r="C20" s="955" t="s">
        <v>287</v>
      </c>
      <c r="D20" s="956" t="s">
        <v>288</v>
      </c>
      <c r="E20" s="957" t="s">
        <v>250</v>
      </c>
      <c r="F20" s="957" t="s">
        <v>251</v>
      </c>
      <c r="G20" s="958"/>
      <c r="H20" s="971">
        <v>2</v>
      </c>
      <c r="K20" s="955" t="s">
        <v>319</v>
      </c>
      <c r="L20" s="956" t="s">
        <v>320</v>
      </c>
      <c r="M20" s="957" t="s">
        <v>237</v>
      </c>
      <c r="N20" s="957">
        <v>24</v>
      </c>
      <c r="O20" s="958"/>
      <c r="P20" s="973" t="s">
        <v>485</v>
      </c>
      <c r="Q20" s="270"/>
      <c r="S20" s="988" t="s">
        <v>295</v>
      </c>
      <c r="T20" s="956" t="s">
        <v>296</v>
      </c>
      <c r="U20" s="957" t="s">
        <v>297</v>
      </c>
      <c r="V20" s="957"/>
      <c r="W20" s="958"/>
      <c r="X20" s="971">
        <v>1</v>
      </c>
      <c r="AH20" s="284"/>
    </row>
    <row r="21" spans="2:34" ht="11.25" x14ac:dyDescent="0.15">
      <c r="B21" s="603"/>
      <c r="C21" s="983" t="s">
        <v>292</v>
      </c>
      <c r="D21" s="968" t="s">
        <v>293</v>
      </c>
      <c r="E21" s="964" t="s">
        <v>237</v>
      </c>
      <c r="F21" s="964">
        <v>12</v>
      </c>
      <c r="G21" s="965"/>
      <c r="H21" s="989"/>
      <c r="K21" s="955" t="s">
        <v>326</v>
      </c>
      <c r="L21" s="956" t="s">
        <v>326</v>
      </c>
      <c r="M21" s="957"/>
      <c r="N21" s="957" t="s">
        <v>251</v>
      </c>
      <c r="O21" s="958"/>
      <c r="P21" s="973"/>
      <c r="Q21" s="270"/>
      <c r="S21" s="990"/>
      <c r="T21" s="991"/>
      <c r="U21" s="991"/>
      <c r="V21" s="991"/>
      <c r="W21" s="991"/>
      <c r="X21" s="992"/>
      <c r="AH21" s="284"/>
    </row>
    <row r="22" spans="2:34" ht="11.25" x14ac:dyDescent="0.15">
      <c r="B22" s="603"/>
      <c r="C22" s="955" t="s">
        <v>300</v>
      </c>
      <c r="D22" s="956" t="s">
        <v>301</v>
      </c>
      <c r="E22" s="957" t="s">
        <v>302</v>
      </c>
      <c r="F22" s="957" t="s">
        <v>251</v>
      </c>
      <c r="G22" s="958"/>
      <c r="H22" s="993">
        <v>45442</v>
      </c>
      <c r="K22" s="955" t="s">
        <v>337</v>
      </c>
      <c r="L22" s="956" t="s">
        <v>338</v>
      </c>
      <c r="M22" s="957" t="s">
        <v>278</v>
      </c>
      <c r="N22" s="957" t="s">
        <v>251</v>
      </c>
      <c r="O22" s="958"/>
      <c r="P22" s="973" t="s">
        <v>486</v>
      </c>
      <c r="Q22" s="270"/>
      <c r="S22" s="275"/>
      <c r="X22" s="276"/>
      <c r="AH22" s="284"/>
    </row>
    <row r="23" spans="2:34" ht="11.25" x14ac:dyDescent="0.15">
      <c r="B23" s="603"/>
      <c r="C23" s="955" t="s">
        <v>306</v>
      </c>
      <c r="D23" s="956" t="s">
        <v>307</v>
      </c>
      <c r="E23" s="957" t="s">
        <v>302</v>
      </c>
      <c r="F23" s="957" t="s">
        <v>251</v>
      </c>
      <c r="G23" s="958"/>
      <c r="H23" s="993">
        <v>45442.849675925929</v>
      </c>
      <c r="K23" s="955" t="s">
        <v>326</v>
      </c>
      <c r="L23" s="956" t="s">
        <v>326</v>
      </c>
      <c r="M23" s="957"/>
      <c r="N23" s="957" t="s">
        <v>251</v>
      </c>
      <c r="O23" s="958"/>
      <c r="P23" s="973"/>
      <c r="Q23" s="270"/>
      <c r="S23" s="275"/>
      <c r="X23" s="276"/>
      <c r="AH23" s="284"/>
    </row>
    <row r="24" spans="2:34" ht="11.25" x14ac:dyDescent="0.15">
      <c r="B24" s="603"/>
      <c r="C24" s="955" t="s">
        <v>311</v>
      </c>
      <c r="D24" s="956" t="s">
        <v>312</v>
      </c>
      <c r="E24" s="957" t="s">
        <v>302</v>
      </c>
      <c r="F24" s="957" t="s">
        <v>251</v>
      </c>
      <c r="G24" s="958"/>
      <c r="H24" s="993">
        <v>45442.850590277776</v>
      </c>
      <c r="K24" s="955" t="s">
        <v>350</v>
      </c>
      <c r="L24" s="956" t="s">
        <v>351</v>
      </c>
      <c r="M24" s="957" t="s">
        <v>284</v>
      </c>
      <c r="N24" s="957" t="s">
        <v>251</v>
      </c>
      <c r="O24" s="958"/>
      <c r="P24" s="973" t="s">
        <v>487</v>
      </c>
      <c r="Q24" s="270"/>
      <c r="S24" s="275"/>
      <c r="X24" s="276"/>
      <c r="AH24" s="284"/>
    </row>
    <row r="25" spans="2:34" ht="11.25" x14ac:dyDescent="0.15">
      <c r="B25" s="603"/>
      <c r="C25" s="983" t="s">
        <v>317</v>
      </c>
      <c r="D25" s="968" t="s">
        <v>318</v>
      </c>
      <c r="E25" s="964" t="s">
        <v>246</v>
      </c>
      <c r="F25" s="964" t="s">
        <v>251</v>
      </c>
      <c r="G25" s="965"/>
      <c r="H25" s="989"/>
      <c r="K25" s="955" t="s">
        <v>326</v>
      </c>
      <c r="L25" s="956" t="s">
        <v>326</v>
      </c>
      <c r="M25" s="957"/>
      <c r="N25" s="957" t="s">
        <v>251</v>
      </c>
      <c r="O25" s="958"/>
      <c r="P25" s="973"/>
      <c r="Q25" s="270"/>
      <c r="S25" s="275"/>
      <c r="X25" s="276"/>
      <c r="AH25" s="284"/>
    </row>
    <row r="26" spans="2:34" x14ac:dyDescent="0.15">
      <c r="B26" s="603"/>
      <c r="C26" s="994" t="s">
        <v>322</v>
      </c>
      <c r="D26" s="995" t="s">
        <v>323</v>
      </c>
      <c r="E26" s="996" t="s">
        <v>246</v>
      </c>
      <c r="F26" s="996" t="s">
        <v>251</v>
      </c>
      <c r="G26" s="997"/>
      <c r="H26" s="998"/>
      <c r="K26" s="977" t="s">
        <v>488</v>
      </c>
      <c r="L26" s="978" t="s">
        <v>359</v>
      </c>
      <c r="M26" s="979" t="s">
        <v>284</v>
      </c>
      <c r="N26" s="979" t="s">
        <v>251</v>
      </c>
      <c r="O26" s="980"/>
      <c r="P26" s="987" t="s">
        <v>487</v>
      </c>
      <c r="S26" s="275"/>
      <c r="X26" s="276"/>
      <c r="AH26" s="284"/>
    </row>
    <row r="27" spans="2:34" ht="12" x14ac:dyDescent="0.15">
      <c r="B27" s="603"/>
      <c r="C27" s="983" t="s">
        <v>327</v>
      </c>
      <c r="D27" s="968" t="s">
        <v>328</v>
      </c>
      <c r="E27" s="964" t="s">
        <v>246</v>
      </c>
      <c r="F27" s="964" t="s">
        <v>251</v>
      </c>
      <c r="G27" s="965"/>
      <c r="H27" s="989"/>
      <c r="K27" s="955" t="s">
        <v>335</v>
      </c>
      <c r="L27" s="956" t="s">
        <v>335</v>
      </c>
      <c r="M27" s="957"/>
      <c r="N27" s="957"/>
      <c r="O27" s="958"/>
      <c r="P27" s="973"/>
      <c r="Q27" s="270"/>
      <c r="S27" s="275"/>
      <c r="X27" s="276"/>
      <c r="AA27" s="850" t="s">
        <v>489</v>
      </c>
      <c r="AB27" s="851"/>
      <c r="AC27" s="851"/>
      <c r="AD27" s="851"/>
      <c r="AE27" s="851"/>
      <c r="AF27" s="852"/>
      <c r="AH27" s="284"/>
    </row>
    <row r="28" spans="2:34" ht="11.25" x14ac:dyDescent="0.15">
      <c r="B28" s="603"/>
      <c r="C28" s="977" t="s">
        <v>290</v>
      </c>
      <c r="D28" s="978" t="s">
        <v>291</v>
      </c>
      <c r="E28" s="979" t="s">
        <v>246</v>
      </c>
      <c r="F28" s="979" t="s">
        <v>251</v>
      </c>
      <c r="G28" s="980"/>
      <c r="H28" s="981">
        <v>0</v>
      </c>
      <c r="K28" s="990"/>
      <c r="L28" s="991"/>
      <c r="M28" s="991"/>
      <c r="N28" s="991"/>
      <c r="O28" s="991"/>
      <c r="P28" s="992"/>
      <c r="Q28" s="270"/>
      <c r="S28" s="275"/>
      <c r="X28" s="276"/>
      <c r="AA28" s="270" t="s">
        <v>490</v>
      </c>
      <c r="AH28" s="284"/>
    </row>
    <row r="29" spans="2:34" ht="11.25" x14ac:dyDescent="0.15">
      <c r="B29" s="603"/>
      <c r="C29" s="999"/>
      <c r="D29" s="951" t="s">
        <v>336</v>
      </c>
      <c r="E29" s="952"/>
      <c r="F29" s="952"/>
      <c r="G29" s="953"/>
      <c r="H29" s="1000"/>
      <c r="K29" s="275"/>
      <c r="P29" s="276"/>
      <c r="Q29" s="270"/>
      <c r="S29" s="275"/>
      <c r="X29" s="276"/>
      <c r="AA29" s="847" t="s">
        <v>226</v>
      </c>
      <c r="AB29" s="848" t="s">
        <v>227</v>
      </c>
      <c r="AC29" s="849" t="s">
        <v>228</v>
      </c>
      <c r="AD29" s="849" t="s">
        <v>229</v>
      </c>
      <c r="AE29" s="849" t="s">
        <v>230</v>
      </c>
      <c r="AF29" s="849" t="s">
        <v>231</v>
      </c>
      <c r="AH29" s="284"/>
    </row>
    <row r="30" spans="2:34" ht="11.25" x14ac:dyDescent="0.15">
      <c r="B30" s="603"/>
      <c r="C30" s="955" t="s">
        <v>339</v>
      </c>
      <c r="D30" s="956" t="s">
        <v>340</v>
      </c>
      <c r="E30" s="957" t="s">
        <v>237</v>
      </c>
      <c r="F30" s="957">
        <v>24</v>
      </c>
      <c r="G30" s="958"/>
      <c r="H30" s="971" t="s">
        <v>491</v>
      </c>
      <c r="K30" s="847" t="s">
        <v>226</v>
      </c>
      <c r="L30" s="848" t="s">
        <v>227</v>
      </c>
      <c r="M30" s="849" t="s">
        <v>228</v>
      </c>
      <c r="N30" s="849" t="s">
        <v>229</v>
      </c>
      <c r="O30" s="849" t="s">
        <v>230</v>
      </c>
      <c r="P30" s="849" t="s">
        <v>231</v>
      </c>
      <c r="Q30" s="270"/>
      <c r="S30" s="847" t="s">
        <v>226</v>
      </c>
      <c r="T30" s="848" t="s">
        <v>227</v>
      </c>
      <c r="U30" s="849" t="s">
        <v>228</v>
      </c>
      <c r="V30" s="849" t="s">
        <v>229</v>
      </c>
      <c r="W30" s="849" t="s">
        <v>230</v>
      </c>
      <c r="X30" s="849" t="s">
        <v>231</v>
      </c>
      <c r="AA30" s="1001" t="s">
        <v>244</v>
      </c>
      <c r="AB30" s="956" t="s">
        <v>245</v>
      </c>
      <c r="AC30" s="1002" t="s">
        <v>246</v>
      </c>
      <c r="AD30" s="1002"/>
      <c r="AE30" s="1003" t="s">
        <v>247</v>
      </c>
      <c r="AF30" s="954">
        <v>4</v>
      </c>
      <c r="AH30" s="284"/>
    </row>
    <row r="31" spans="2:34" ht="11.25" x14ac:dyDescent="0.15">
      <c r="B31" s="603"/>
      <c r="C31" s="983" t="s">
        <v>343</v>
      </c>
      <c r="D31" s="968" t="s">
        <v>344</v>
      </c>
      <c r="E31" s="964" t="s">
        <v>237</v>
      </c>
      <c r="F31" s="964">
        <v>24</v>
      </c>
      <c r="G31" s="965"/>
      <c r="H31" s="989"/>
      <c r="K31" s="960" t="s">
        <v>248</v>
      </c>
      <c r="L31" s="961" t="s">
        <v>249</v>
      </c>
      <c r="M31" s="964" t="s">
        <v>250</v>
      </c>
      <c r="N31" s="964" t="s">
        <v>251</v>
      </c>
      <c r="O31" s="965" t="s">
        <v>247</v>
      </c>
      <c r="P31" s="966" t="s">
        <v>480</v>
      </c>
      <c r="Q31" s="270"/>
      <c r="S31" s="967" t="s">
        <v>248</v>
      </c>
      <c r="T31" s="968" t="s">
        <v>253</v>
      </c>
      <c r="U31" s="964" t="s">
        <v>250</v>
      </c>
      <c r="V31" s="965" t="s">
        <v>251</v>
      </c>
      <c r="W31" s="963" t="s">
        <v>252</v>
      </c>
      <c r="X31" s="969">
        <v>6079449</v>
      </c>
      <c r="AA31" s="967" t="s">
        <v>248</v>
      </c>
      <c r="AB31" s="968" t="s">
        <v>249</v>
      </c>
      <c r="AC31" s="964" t="s">
        <v>250</v>
      </c>
      <c r="AD31" s="964"/>
      <c r="AE31" s="965" t="s">
        <v>492</v>
      </c>
      <c r="AF31" s="1004">
        <v>6079449</v>
      </c>
      <c r="AH31" s="284"/>
    </row>
    <row r="32" spans="2:34" ht="11.25" x14ac:dyDescent="0.15">
      <c r="B32" s="603"/>
      <c r="C32" s="994" t="s">
        <v>348</v>
      </c>
      <c r="D32" s="995" t="s">
        <v>349</v>
      </c>
      <c r="E32" s="996" t="s">
        <v>246</v>
      </c>
      <c r="F32" s="996" t="s">
        <v>251</v>
      </c>
      <c r="G32" s="997"/>
      <c r="H32" s="998"/>
      <c r="K32" s="972" t="s">
        <v>244</v>
      </c>
      <c r="L32" s="956" t="s">
        <v>256</v>
      </c>
      <c r="M32" s="957" t="s">
        <v>246</v>
      </c>
      <c r="N32" s="957" t="s">
        <v>251</v>
      </c>
      <c r="O32" s="958" t="s">
        <v>252</v>
      </c>
      <c r="P32" s="973" t="s">
        <v>493</v>
      </c>
      <c r="Q32" s="270"/>
      <c r="S32" s="974" t="s">
        <v>244</v>
      </c>
      <c r="T32" s="956" t="s">
        <v>245</v>
      </c>
      <c r="U32" s="957" t="s">
        <v>246</v>
      </c>
      <c r="V32" s="958" t="s">
        <v>251</v>
      </c>
      <c r="W32" s="975" t="s">
        <v>252</v>
      </c>
      <c r="X32" s="976">
        <v>3</v>
      </c>
      <c r="AA32" s="982" t="s">
        <v>257</v>
      </c>
      <c r="AB32" s="956" t="s">
        <v>258</v>
      </c>
      <c r="AC32" s="957" t="s">
        <v>250</v>
      </c>
      <c r="AD32" s="957"/>
      <c r="AE32" s="958" t="s">
        <v>492</v>
      </c>
      <c r="AF32" s="971">
        <v>200000</v>
      </c>
      <c r="AH32" s="284"/>
    </row>
    <row r="33" spans="2:34" ht="11.25" x14ac:dyDescent="0.15">
      <c r="B33" s="603"/>
      <c r="C33" s="955" t="s">
        <v>353</v>
      </c>
      <c r="D33" s="956" t="s">
        <v>354</v>
      </c>
      <c r="E33" s="957" t="s">
        <v>355</v>
      </c>
      <c r="F33" s="957" t="s">
        <v>251</v>
      </c>
      <c r="G33" s="958"/>
      <c r="H33" s="971">
        <v>12000</v>
      </c>
      <c r="K33" s="982" t="s">
        <v>257</v>
      </c>
      <c r="L33" s="956" t="s">
        <v>258</v>
      </c>
      <c r="M33" s="957" t="s">
        <v>250</v>
      </c>
      <c r="N33" s="957" t="s">
        <v>251</v>
      </c>
      <c r="O33" s="958" t="s">
        <v>247</v>
      </c>
      <c r="P33" s="973">
        <v>200000</v>
      </c>
      <c r="Q33" s="270"/>
      <c r="S33" s="974" t="s">
        <v>261</v>
      </c>
      <c r="T33" s="956" t="s">
        <v>262</v>
      </c>
      <c r="U33" s="957" t="s">
        <v>246</v>
      </c>
      <c r="V33" s="958" t="s">
        <v>251</v>
      </c>
      <c r="W33" s="975" t="s">
        <v>252</v>
      </c>
      <c r="X33" s="976">
        <v>4</v>
      </c>
      <c r="AA33" s="977" t="s">
        <v>263</v>
      </c>
      <c r="AB33" s="978" t="s">
        <v>264</v>
      </c>
      <c r="AC33" s="979" t="s">
        <v>246</v>
      </c>
      <c r="AD33" s="979"/>
      <c r="AE33" s="980"/>
      <c r="AF33" s="981">
        <v>2</v>
      </c>
      <c r="AH33" s="284"/>
    </row>
    <row r="34" spans="2:34" ht="11.25" x14ac:dyDescent="0.15">
      <c r="B34" s="603"/>
      <c r="C34" s="988" t="s">
        <v>335</v>
      </c>
      <c r="D34" s="956" t="s">
        <v>335</v>
      </c>
      <c r="E34" s="957"/>
      <c r="F34" s="957"/>
      <c r="G34" s="958"/>
      <c r="H34" s="971"/>
      <c r="K34" s="983" t="s">
        <v>266</v>
      </c>
      <c r="L34" s="968" t="s">
        <v>267</v>
      </c>
      <c r="M34" s="964" t="s">
        <v>237</v>
      </c>
      <c r="N34" s="964">
        <v>12</v>
      </c>
      <c r="O34" s="965"/>
      <c r="P34" s="984"/>
      <c r="Q34" s="270"/>
      <c r="S34" s="977" t="s">
        <v>268</v>
      </c>
      <c r="T34" s="978" t="s">
        <v>269</v>
      </c>
      <c r="U34" s="979" t="s">
        <v>246</v>
      </c>
      <c r="V34" s="980" t="s">
        <v>251</v>
      </c>
      <c r="W34" s="985" t="s">
        <v>252</v>
      </c>
      <c r="X34" s="986">
        <v>1</v>
      </c>
      <c r="AA34" s="597"/>
      <c r="AB34" s="598" t="s">
        <v>494</v>
      </c>
      <c r="AC34" s="599"/>
      <c r="AD34" s="599"/>
      <c r="AE34" s="600"/>
      <c r="AF34" s="601"/>
      <c r="AH34" s="284"/>
    </row>
    <row r="35" spans="2:34" ht="14.25" x14ac:dyDescent="0.15">
      <c r="B35" s="603"/>
      <c r="G35" s="285"/>
      <c r="K35" s="977" t="s">
        <v>273</v>
      </c>
      <c r="L35" s="978" t="s">
        <v>274</v>
      </c>
      <c r="M35" s="979" t="s">
        <v>246</v>
      </c>
      <c r="N35" s="979" t="s">
        <v>251</v>
      </c>
      <c r="O35" s="980"/>
      <c r="P35" s="987" t="s">
        <v>483</v>
      </c>
      <c r="Q35" s="270"/>
      <c r="S35" s="955" t="s">
        <v>282</v>
      </c>
      <c r="T35" s="956" t="s">
        <v>283</v>
      </c>
      <c r="U35" s="957" t="s">
        <v>284</v>
      </c>
      <c r="V35" s="958" t="s">
        <v>251</v>
      </c>
      <c r="W35" s="958" t="s">
        <v>251</v>
      </c>
      <c r="X35" s="971">
        <v>-684</v>
      </c>
      <c r="AA35" s="955" t="s">
        <v>270</v>
      </c>
      <c r="AB35" s="956" t="s">
        <v>271</v>
      </c>
      <c r="AC35" s="957" t="s">
        <v>272</v>
      </c>
      <c r="AD35" s="957"/>
      <c r="AE35" s="958"/>
      <c r="AF35" s="971">
        <v>-684</v>
      </c>
      <c r="AH35" s="284"/>
    </row>
    <row r="36" spans="2:34" ht="14.25" x14ac:dyDescent="0.15">
      <c r="B36" s="603"/>
      <c r="G36" s="285"/>
      <c r="K36" s="955" t="s">
        <v>313</v>
      </c>
      <c r="L36" s="956" t="s">
        <v>314</v>
      </c>
      <c r="M36" s="957" t="s">
        <v>237</v>
      </c>
      <c r="N36" s="957">
        <v>24</v>
      </c>
      <c r="O36" s="958"/>
      <c r="P36" s="973" t="s">
        <v>495</v>
      </c>
      <c r="Q36" s="270"/>
      <c r="S36" s="982" t="s">
        <v>257</v>
      </c>
      <c r="T36" s="956" t="s">
        <v>258</v>
      </c>
      <c r="U36" s="957" t="s">
        <v>250</v>
      </c>
      <c r="V36" s="958" t="s">
        <v>251</v>
      </c>
      <c r="W36" s="958" t="s">
        <v>252</v>
      </c>
      <c r="X36" s="971">
        <v>200000</v>
      </c>
      <c r="AA36" s="977" t="s">
        <v>276</v>
      </c>
      <c r="AB36" s="978" t="s">
        <v>277</v>
      </c>
      <c r="AC36" s="979" t="s">
        <v>278</v>
      </c>
      <c r="AD36" s="979"/>
      <c r="AE36" s="980"/>
      <c r="AF36" s="981">
        <v>0.1</v>
      </c>
      <c r="AH36" s="284"/>
    </row>
    <row r="37" spans="2:34" ht="11.25" x14ac:dyDescent="0.15">
      <c r="B37" s="603"/>
      <c r="C37" s="290" t="s">
        <v>496</v>
      </c>
      <c r="D37" s="287"/>
      <c r="E37" s="288"/>
      <c r="F37" s="288"/>
      <c r="G37" s="288"/>
      <c r="H37" s="288"/>
      <c r="K37" s="955" t="s">
        <v>319</v>
      </c>
      <c r="L37" s="956" t="s">
        <v>320</v>
      </c>
      <c r="M37" s="957" t="s">
        <v>237</v>
      </c>
      <c r="N37" s="957">
        <v>24</v>
      </c>
      <c r="O37" s="958"/>
      <c r="P37" s="973" t="s">
        <v>497</v>
      </c>
      <c r="Q37" s="270"/>
      <c r="S37" s="988" t="s">
        <v>295</v>
      </c>
      <c r="T37" s="956" t="s">
        <v>296</v>
      </c>
      <c r="U37" s="957" t="s">
        <v>297</v>
      </c>
      <c r="V37" s="957"/>
      <c r="W37" s="958"/>
      <c r="X37" s="971">
        <v>3</v>
      </c>
      <c r="AA37" s="955" t="s">
        <v>285</v>
      </c>
      <c r="AB37" s="956" t="s">
        <v>286</v>
      </c>
      <c r="AC37" s="957" t="s">
        <v>250</v>
      </c>
      <c r="AD37" s="957"/>
      <c r="AE37" s="958"/>
      <c r="AF37" s="971">
        <v>2</v>
      </c>
      <c r="AH37" s="284"/>
    </row>
    <row r="38" spans="2:34" ht="11.25" x14ac:dyDescent="0.15">
      <c r="B38" s="603"/>
      <c r="C38" s="286"/>
      <c r="D38" s="287"/>
      <c r="E38" s="288"/>
      <c r="F38" s="288"/>
      <c r="G38" s="288"/>
      <c r="H38" s="288"/>
      <c r="K38" s="955" t="s">
        <v>326</v>
      </c>
      <c r="L38" s="956" t="s">
        <v>326</v>
      </c>
      <c r="M38" s="957"/>
      <c r="N38" s="957" t="s">
        <v>251</v>
      </c>
      <c r="O38" s="958"/>
      <c r="P38" s="973"/>
      <c r="Q38" s="270"/>
      <c r="S38" s="275"/>
      <c r="X38" s="276"/>
      <c r="AA38" s="1005" t="s">
        <v>290</v>
      </c>
      <c r="AB38" s="995" t="s">
        <v>291</v>
      </c>
      <c r="AC38" s="996" t="s">
        <v>246</v>
      </c>
      <c r="AD38" s="996"/>
      <c r="AE38" s="997"/>
      <c r="AF38" s="998"/>
      <c r="AH38" s="284"/>
    </row>
    <row r="39" spans="2:34" ht="11.25" x14ac:dyDescent="0.15">
      <c r="B39" s="603"/>
      <c r="C39" s="286"/>
      <c r="D39" s="287"/>
      <c r="E39" s="288"/>
      <c r="F39" s="288"/>
      <c r="G39" s="288"/>
      <c r="H39" s="288"/>
      <c r="K39" s="955" t="s">
        <v>337</v>
      </c>
      <c r="L39" s="956" t="s">
        <v>338</v>
      </c>
      <c r="M39" s="957" t="s">
        <v>278</v>
      </c>
      <c r="N39" s="957" t="s">
        <v>251</v>
      </c>
      <c r="O39" s="958"/>
      <c r="P39" s="973" t="s">
        <v>493</v>
      </c>
      <c r="Q39" s="270"/>
      <c r="S39" s="847" t="s">
        <v>226</v>
      </c>
      <c r="T39" s="848" t="s">
        <v>227</v>
      </c>
      <c r="U39" s="849" t="s">
        <v>228</v>
      </c>
      <c r="V39" s="849" t="s">
        <v>229</v>
      </c>
      <c r="W39" s="849" t="s">
        <v>230</v>
      </c>
      <c r="X39" s="849" t="s">
        <v>231</v>
      </c>
      <c r="AA39" s="1006" t="s">
        <v>298</v>
      </c>
      <c r="AB39" s="968" t="s">
        <v>299</v>
      </c>
      <c r="AC39" s="964" t="s">
        <v>237</v>
      </c>
      <c r="AD39" s="964">
        <v>24</v>
      </c>
      <c r="AE39" s="965"/>
      <c r="AF39" s="989"/>
      <c r="AH39" s="284"/>
    </row>
    <row r="40" spans="2:34" ht="11.25" x14ac:dyDescent="0.15">
      <c r="B40" s="603"/>
      <c r="C40" s="286"/>
      <c r="D40" s="287"/>
      <c r="E40" s="288"/>
      <c r="F40" s="288"/>
      <c r="G40" s="288"/>
      <c r="H40" s="288"/>
      <c r="K40" s="955" t="s">
        <v>326</v>
      </c>
      <c r="L40" s="956" t="s">
        <v>326</v>
      </c>
      <c r="M40" s="957"/>
      <c r="N40" s="957" t="s">
        <v>251</v>
      </c>
      <c r="O40" s="958"/>
      <c r="P40" s="973"/>
      <c r="Q40" s="270"/>
      <c r="S40" s="967" t="s">
        <v>248</v>
      </c>
      <c r="T40" s="968" t="s">
        <v>253</v>
      </c>
      <c r="U40" s="964" t="s">
        <v>250</v>
      </c>
      <c r="V40" s="965" t="s">
        <v>251</v>
      </c>
      <c r="W40" s="963" t="s">
        <v>252</v>
      </c>
      <c r="X40" s="969">
        <v>6079449</v>
      </c>
      <c r="AA40" s="988" t="s">
        <v>304</v>
      </c>
      <c r="AB40" s="956" t="s">
        <v>305</v>
      </c>
      <c r="AC40" s="957" t="s">
        <v>237</v>
      </c>
      <c r="AD40" s="957">
        <v>12</v>
      </c>
      <c r="AE40" s="958"/>
      <c r="AF40" s="971"/>
      <c r="AH40" s="284"/>
    </row>
    <row r="41" spans="2:34" ht="11.25" x14ac:dyDescent="0.15">
      <c r="B41" s="603"/>
      <c r="C41" s="286"/>
      <c r="D41" s="287"/>
      <c r="E41" s="288"/>
      <c r="F41" s="288"/>
      <c r="G41" s="288"/>
      <c r="H41" s="288"/>
      <c r="K41" s="955" t="s">
        <v>350</v>
      </c>
      <c r="L41" s="956" t="s">
        <v>351</v>
      </c>
      <c r="M41" s="957" t="s">
        <v>284</v>
      </c>
      <c r="N41" s="957" t="s">
        <v>251</v>
      </c>
      <c r="O41" s="958"/>
      <c r="P41" s="973">
        <v>6813</v>
      </c>
      <c r="Q41" s="270"/>
      <c r="S41" s="974" t="s">
        <v>244</v>
      </c>
      <c r="T41" s="956" t="s">
        <v>245</v>
      </c>
      <c r="U41" s="957" t="s">
        <v>246</v>
      </c>
      <c r="V41" s="958" t="s">
        <v>251</v>
      </c>
      <c r="W41" s="975" t="s">
        <v>252</v>
      </c>
      <c r="X41" s="976">
        <v>3</v>
      </c>
      <c r="AA41" s="988" t="s">
        <v>309</v>
      </c>
      <c r="AB41" s="956" t="s">
        <v>310</v>
      </c>
      <c r="AC41" s="957" t="s">
        <v>237</v>
      </c>
      <c r="AD41" s="957">
        <v>6</v>
      </c>
      <c r="AE41" s="958"/>
      <c r="AF41" s="971"/>
      <c r="AH41" s="284"/>
    </row>
    <row r="42" spans="2:34" ht="11.25" x14ac:dyDescent="0.15">
      <c r="B42" s="603"/>
      <c r="C42" s="286"/>
      <c r="D42" s="287"/>
      <c r="E42" s="288"/>
      <c r="F42" s="288"/>
      <c r="G42" s="288"/>
      <c r="H42" s="288"/>
      <c r="K42" s="955" t="s">
        <v>326</v>
      </c>
      <c r="L42" s="956" t="s">
        <v>326</v>
      </c>
      <c r="M42" s="957"/>
      <c r="N42" s="957" t="s">
        <v>251</v>
      </c>
      <c r="O42" s="958"/>
      <c r="P42" s="973"/>
      <c r="Q42" s="270"/>
      <c r="S42" s="974" t="s">
        <v>261</v>
      </c>
      <c r="T42" s="956" t="s">
        <v>262</v>
      </c>
      <c r="U42" s="957" t="s">
        <v>246</v>
      </c>
      <c r="V42" s="958" t="s">
        <v>251</v>
      </c>
      <c r="W42" s="975" t="s">
        <v>252</v>
      </c>
      <c r="X42" s="976">
        <v>8</v>
      </c>
      <c r="AA42" s="1007" t="s">
        <v>315</v>
      </c>
      <c r="AB42" s="978" t="s">
        <v>316</v>
      </c>
      <c r="AC42" s="979" t="s">
        <v>250</v>
      </c>
      <c r="AD42" s="979"/>
      <c r="AE42" s="980"/>
      <c r="AF42" s="981">
        <v>91220</v>
      </c>
      <c r="AH42" s="284"/>
    </row>
    <row r="43" spans="2:34" ht="11.25" x14ac:dyDescent="0.15">
      <c r="B43" s="603"/>
      <c r="C43" s="286"/>
      <c r="D43" s="287"/>
      <c r="E43" s="288"/>
      <c r="F43" s="288"/>
      <c r="G43" s="288"/>
      <c r="H43" s="288"/>
      <c r="K43" s="977" t="s">
        <v>488</v>
      </c>
      <c r="L43" s="978" t="s">
        <v>359</v>
      </c>
      <c r="M43" s="979" t="s">
        <v>284</v>
      </c>
      <c r="N43" s="979" t="s">
        <v>251</v>
      </c>
      <c r="O43" s="980"/>
      <c r="P43" s="987" t="s">
        <v>498</v>
      </c>
      <c r="Q43" s="270"/>
      <c r="S43" s="977" t="s">
        <v>268</v>
      </c>
      <c r="T43" s="978" t="s">
        <v>269</v>
      </c>
      <c r="U43" s="979" t="s">
        <v>246</v>
      </c>
      <c r="V43" s="980" t="s">
        <v>251</v>
      </c>
      <c r="W43" s="985" t="s">
        <v>252</v>
      </c>
      <c r="X43" s="986">
        <v>1</v>
      </c>
      <c r="AA43" s="1008"/>
      <c r="AB43" s="951" t="s">
        <v>499</v>
      </c>
      <c r="AC43" s="952"/>
      <c r="AD43" s="952"/>
      <c r="AE43" s="953"/>
      <c r="AF43" s="1000"/>
      <c r="AH43" s="284"/>
    </row>
    <row r="44" spans="2:34" ht="11.25" x14ac:dyDescent="0.15">
      <c r="B44" s="603"/>
      <c r="C44" s="286"/>
      <c r="D44" s="287"/>
      <c r="E44" s="288"/>
      <c r="F44" s="288"/>
      <c r="G44" s="288"/>
      <c r="H44" s="288"/>
      <c r="K44" s="955" t="s">
        <v>335</v>
      </c>
      <c r="L44" s="956" t="s">
        <v>335</v>
      </c>
      <c r="M44" s="957"/>
      <c r="N44" s="957"/>
      <c r="O44" s="958"/>
      <c r="P44" s="973"/>
      <c r="Q44" s="270"/>
      <c r="S44" s="955" t="s">
        <v>282</v>
      </c>
      <c r="T44" s="956" t="s">
        <v>283</v>
      </c>
      <c r="U44" s="957" t="s">
        <v>284</v>
      </c>
      <c r="V44" s="958" t="s">
        <v>251</v>
      </c>
      <c r="W44" s="958" t="s">
        <v>251</v>
      </c>
      <c r="X44" s="971">
        <v>-309</v>
      </c>
      <c r="AA44" s="988" t="s">
        <v>326</v>
      </c>
      <c r="AB44" s="956" t="s">
        <v>326</v>
      </c>
      <c r="AC44" s="957"/>
      <c r="AD44" s="957"/>
      <c r="AE44" s="958"/>
      <c r="AF44" s="971"/>
      <c r="AH44" s="284"/>
    </row>
    <row r="45" spans="2:34" ht="11.25" x14ac:dyDescent="0.15">
      <c r="B45" s="603"/>
      <c r="C45" s="286"/>
      <c r="D45" s="287"/>
      <c r="E45" s="288"/>
      <c r="F45" s="288"/>
      <c r="G45" s="288"/>
      <c r="H45" s="288"/>
      <c r="K45" s="990"/>
      <c r="L45" s="991"/>
      <c r="M45" s="991"/>
      <c r="N45" s="991"/>
      <c r="O45" s="991"/>
      <c r="P45" s="992"/>
      <c r="Q45" s="270"/>
      <c r="S45" s="982" t="s">
        <v>257</v>
      </c>
      <c r="T45" s="956" t="s">
        <v>258</v>
      </c>
      <c r="U45" s="957" t="s">
        <v>250</v>
      </c>
      <c r="V45" s="958" t="s">
        <v>251</v>
      </c>
      <c r="W45" s="958" t="s">
        <v>252</v>
      </c>
      <c r="X45" s="971">
        <v>200000</v>
      </c>
      <c r="AA45" s="990"/>
      <c r="AB45" s="991"/>
      <c r="AC45" s="991"/>
      <c r="AD45" s="991"/>
      <c r="AE45" s="991"/>
      <c r="AF45" s="992"/>
      <c r="AH45" s="284"/>
    </row>
    <row r="46" spans="2:34" ht="11.25" x14ac:dyDescent="0.15">
      <c r="B46" s="603"/>
      <c r="C46" s="286"/>
      <c r="D46" s="287"/>
      <c r="E46" s="288"/>
      <c r="F46" s="288"/>
      <c r="G46" s="288"/>
      <c r="H46" s="288"/>
      <c r="K46" s="275"/>
      <c r="P46" s="276"/>
      <c r="Q46" s="270"/>
      <c r="S46" s="988" t="s">
        <v>295</v>
      </c>
      <c r="T46" s="956" t="s">
        <v>296</v>
      </c>
      <c r="U46" s="957" t="s">
        <v>297</v>
      </c>
      <c r="V46" s="957"/>
      <c r="W46" s="958"/>
      <c r="X46" s="971">
        <v>3</v>
      </c>
      <c r="AA46" s="1009" t="s">
        <v>500</v>
      </c>
      <c r="AB46" s="1010"/>
      <c r="AC46" s="1010"/>
      <c r="AD46" s="1010"/>
      <c r="AE46" s="1010"/>
      <c r="AF46" s="1011"/>
      <c r="AG46" s="275"/>
      <c r="AH46" s="284"/>
    </row>
    <row r="47" spans="2:34" ht="11.25" x14ac:dyDescent="0.15">
      <c r="B47" s="603"/>
      <c r="C47" s="286"/>
      <c r="D47" s="287"/>
      <c r="E47" s="288"/>
      <c r="F47" s="288"/>
      <c r="G47" s="288"/>
      <c r="H47" s="288"/>
      <c r="K47" s="1009"/>
      <c r="L47" s="1010"/>
      <c r="M47" s="1010"/>
      <c r="N47" s="1010"/>
      <c r="O47" s="1010"/>
      <c r="P47" s="1011"/>
      <c r="Q47" s="270"/>
      <c r="S47" s="1009"/>
      <c r="T47" s="1010"/>
      <c r="U47" s="1010"/>
      <c r="V47" s="1010"/>
      <c r="W47" s="1010"/>
      <c r="X47" s="1011"/>
      <c r="AA47" s="847" t="s">
        <v>226</v>
      </c>
      <c r="AB47" s="848" t="s">
        <v>227</v>
      </c>
      <c r="AC47" s="849" t="s">
        <v>228</v>
      </c>
      <c r="AD47" s="849" t="s">
        <v>229</v>
      </c>
      <c r="AE47" s="849" t="s">
        <v>230</v>
      </c>
      <c r="AF47" s="849" t="s">
        <v>231</v>
      </c>
      <c r="AH47" s="284"/>
    </row>
    <row r="48" spans="2:34" ht="11.25" x14ac:dyDescent="0.15">
      <c r="B48" s="603"/>
      <c r="C48" s="286"/>
      <c r="D48" s="287"/>
      <c r="E48" s="288"/>
      <c r="F48" s="288"/>
      <c r="G48" s="288"/>
      <c r="H48" s="288"/>
      <c r="K48" s="847" t="s">
        <v>226</v>
      </c>
      <c r="L48" s="848" t="s">
        <v>227</v>
      </c>
      <c r="M48" s="849" t="s">
        <v>228</v>
      </c>
      <c r="N48" s="849" t="s">
        <v>229</v>
      </c>
      <c r="O48" s="849" t="s">
        <v>230</v>
      </c>
      <c r="P48" s="849" t="s">
        <v>231</v>
      </c>
      <c r="Q48" s="270"/>
      <c r="S48" s="847" t="s">
        <v>226</v>
      </c>
      <c r="T48" s="848" t="s">
        <v>227</v>
      </c>
      <c r="U48" s="849" t="s">
        <v>228</v>
      </c>
      <c r="V48" s="849" t="s">
        <v>229</v>
      </c>
      <c r="W48" s="849" t="s">
        <v>230</v>
      </c>
      <c r="X48" s="849" t="s">
        <v>231</v>
      </c>
      <c r="AA48" s="1001" t="s">
        <v>244</v>
      </c>
      <c r="AB48" s="956" t="s">
        <v>245</v>
      </c>
      <c r="AC48" s="1002" t="s">
        <v>246</v>
      </c>
      <c r="AD48" s="1002"/>
      <c r="AE48" s="1003" t="s">
        <v>247</v>
      </c>
      <c r="AF48" s="954">
        <v>8</v>
      </c>
      <c r="AH48" s="284"/>
    </row>
    <row r="49" spans="2:34" ht="11.25" x14ac:dyDescent="0.15">
      <c r="B49" s="603"/>
      <c r="C49" s="286"/>
      <c r="D49" s="287"/>
      <c r="E49" s="288"/>
      <c r="F49" s="288"/>
      <c r="G49" s="288"/>
      <c r="H49" s="288"/>
      <c r="K49" s="960" t="s">
        <v>248</v>
      </c>
      <c r="L49" s="961" t="s">
        <v>249</v>
      </c>
      <c r="M49" s="964" t="s">
        <v>250</v>
      </c>
      <c r="N49" s="964" t="s">
        <v>251</v>
      </c>
      <c r="O49" s="965" t="s">
        <v>252</v>
      </c>
      <c r="P49" s="966" t="s">
        <v>480</v>
      </c>
      <c r="Q49" s="270"/>
      <c r="S49" s="967" t="s">
        <v>248</v>
      </c>
      <c r="T49" s="968" t="s">
        <v>253</v>
      </c>
      <c r="U49" s="964" t="s">
        <v>250</v>
      </c>
      <c r="V49" s="965" t="s">
        <v>251</v>
      </c>
      <c r="W49" s="963" t="s">
        <v>252</v>
      </c>
      <c r="X49" s="969">
        <v>6079449</v>
      </c>
      <c r="AA49" s="967" t="s">
        <v>248</v>
      </c>
      <c r="AB49" s="968" t="s">
        <v>249</v>
      </c>
      <c r="AC49" s="964" t="s">
        <v>250</v>
      </c>
      <c r="AD49" s="964"/>
      <c r="AE49" s="965" t="s">
        <v>492</v>
      </c>
      <c r="AF49" s="1004">
        <v>6079449</v>
      </c>
      <c r="AH49" s="284"/>
    </row>
    <row r="50" spans="2:34" x14ac:dyDescent="0.15">
      <c r="B50" s="603"/>
      <c r="C50" s="286"/>
      <c r="D50" s="287"/>
      <c r="E50" s="288"/>
      <c r="F50" s="288"/>
      <c r="G50" s="288"/>
      <c r="H50" s="288"/>
      <c r="K50" s="972" t="s">
        <v>244</v>
      </c>
      <c r="L50" s="956" t="s">
        <v>256</v>
      </c>
      <c r="M50" s="957" t="s">
        <v>246</v>
      </c>
      <c r="N50" s="957" t="s">
        <v>251</v>
      </c>
      <c r="O50" s="958" t="s">
        <v>252</v>
      </c>
      <c r="P50" s="973" t="s">
        <v>483</v>
      </c>
      <c r="S50" s="974" t="s">
        <v>244</v>
      </c>
      <c r="T50" s="956" t="s">
        <v>245</v>
      </c>
      <c r="U50" s="957" t="s">
        <v>246</v>
      </c>
      <c r="V50" s="958" t="s">
        <v>251</v>
      </c>
      <c r="W50" s="975" t="s">
        <v>252</v>
      </c>
      <c r="X50" s="976">
        <v>5</v>
      </c>
      <c r="AA50" s="982" t="s">
        <v>257</v>
      </c>
      <c r="AB50" s="956" t="s">
        <v>258</v>
      </c>
      <c r="AC50" s="957" t="s">
        <v>250</v>
      </c>
      <c r="AD50" s="957"/>
      <c r="AE50" s="958" t="s">
        <v>492</v>
      </c>
      <c r="AF50" s="971">
        <v>200000</v>
      </c>
      <c r="AH50" s="284"/>
    </row>
    <row r="51" spans="2:34" x14ac:dyDescent="0.15">
      <c r="B51" s="603"/>
      <c r="C51" s="286"/>
      <c r="D51" s="287"/>
      <c r="E51" s="288"/>
      <c r="F51" s="288"/>
      <c r="G51" s="288"/>
      <c r="H51" s="288"/>
      <c r="K51" s="982" t="s">
        <v>257</v>
      </c>
      <c r="L51" s="956" t="s">
        <v>258</v>
      </c>
      <c r="M51" s="957" t="s">
        <v>250</v>
      </c>
      <c r="N51" s="957" t="s">
        <v>251</v>
      </c>
      <c r="O51" s="958" t="s">
        <v>252</v>
      </c>
      <c r="P51" s="973">
        <v>200000</v>
      </c>
      <c r="S51" s="974" t="s">
        <v>261</v>
      </c>
      <c r="T51" s="956" t="s">
        <v>262</v>
      </c>
      <c r="U51" s="957" t="s">
        <v>246</v>
      </c>
      <c r="V51" s="958" t="s">
        <v>251</v>
      </c>
      <c r="W51" s="975" t="s">
        <v>252</v>
      </c>
      <c r="X51" s="976">
        <v>8</v>
      </c>
      <c r="AA51" s="977" t="s">
        <v>263</v>
      </c>
      <c r="AB51" s="978" t="s">
        <v>264</v>
      </c>
      <c r="AC51" s="979" t="s">
        <v>246</v>
      </c>
      <c r="AD51" s="979"/>
      <c r="AE51" s="980"/>
      <c r="AF51" s="981">
        <v>13</v>
      </c>
      <c r="AH51" s="284"/>
    </row>
    <row r="52" spans="2:34" x14ac:dyDescent="0.15">
      <c r="B52" s="603"/>
      <c r="C52" s="286"/>
      <c r="D52" s="287"/>
      <c r="E52" s="288"/>
      <c r="F52" s="288"/>
      <c r="G52" s="288"/>
      <c r="H52" s="288"/>
      <c r="K52" s="983" t="s">
        <v>266</v>
      </c>
      <c r="L52" s="968" t="s">
        <v>267</v>
      </c>
      <c r="M52" s="964" t="s">
        <v>237</v>
      </c>
      <c r="N52" s="964">
        <v>12</v>
      </c>
      <c r="O52" s="965"/>
      <c r="P52" s="984"/>
      <c r="S52" s="977" t="s">
        <v>268</v>
      </c>
      <c r="T52" s="978" t="s">
        <v>269</v>
      </c>
      <c r="U52" s="979" t="s">
        <v>246</v>
      </c>
      <c r="V52" s="980" t="s">
        <v>251</v>
      </c>
      <c r="W52" s="985" t="s">
        <v>252</v>
      </c>
      <c r="X52" s="986">
        <v>1</v>
      </c>
      <c r="AA52" s="597"/>
      <c r="AB52" s="598" t="s">
        <v>501</v>
      </c>
      <c r="AC52" s="599"/>
      <c r="AD52" s="599"/>
      <c r="AE52" s="600"/>
      <c r="AF52" s="601"/>
      <c r="AH52" s="284"/>
    </row>
    <row r="53" spans="2:34" x14ac:dyDescent="0.15">
      <c r="B53" s="603"/>
      <c r="C53" s="286"/>
      <c r="D53" s="287"/>
      <c r="E53" s="288"/>
      <c r="F53" s="288"/>
      <c r="G53" s="288"/>
      <c r="H53" s="288"/>
      <c r="K53" s="977" t="s">
        <v>273</v>
      </c>
      <c r="L53" s="978" t="s">
        <v>274</v>
      </c>
      <c r="M53" s="979" t="s">
        <v>246</v>
      </c>
      <c r="N53" s="979" t="s">
        <v>251</v>
      </c>
      <c r="O53" s="980"/>
      <c r="P53" s="987" t="s">
        <v>483</v>
      </c>
      <c r="S53" s="955" t="s">
        <v>282</v>
      </c>
      <c r="T53" s="956" t="s">
        <v>283</v>
      </c>
      <c r="U53" s="957" t="s">
        <v>284</v>
      </c>
      <c r="V53" s="958" t="s">
        <v>251</v>
      </c>
      <c r="W53" s="958" t="s">
        <v>251</v>
      </c>
      <c r="X53" s="971">
        <v>-110</v>
      </c>
      <c r="AA53" s="955" t="s">
        <v>270</v>
      </c>
      <c r="AB53" s="956" t="s">
        <v>271</v>
      </c>
      <c r="AC53" s="957" t="s">
        <v>272</v>
      </c>
      <c r="AD53" s="957"/>
      <c r="AE53" s="958"/>
      <c r="AF53" s="971">
        <v>-532</v>
      </c>
      <c r="AH53" s="284"/>
    </row>
    <row r="54" spans="2:34" x14ac:dyDescent="0.15">
      <c r="B54" s="603"/>
      <c r="C54" s="286"/>
      <c r="D54" s="287"/>
      <c r="E54" s="288"/>
      <c r="F54" s="288"/>
      <c r="G54" s="288"/>
      <c r="H54" s="288"/>
      <c r="K54" s="955" t="s">
        <v>313</v>
      </c>
      <c r="L54" s="956" t="s">
        <v>314</v>
      </c>
      <c r="M54" s="957" t="s">
        <v>237</v>
      </c>
      <c r="N54" s="957">
        <v>24</v>
      </c>
      <c r="O54" s="958"/>
      <c r="P54" s="973" t="s">
        <v>502</v>
      </c>
      <c r="S54" s="982" t="s">
        <v>257</v>
      </c>
      <c r="T54" s="956" t="s">
        <v>258</v>
      </c>
      <c r="U54" s="957" t="s">
        <v>250</v>
      </c>
      <c r="V54" s="958" t="s">
        <v>251</v>
      </c>
      <c r="W54" s="958" t="s">
        <v>252</v>
      </c>
      <c r="X54" s="971">
        <v>200000</v>
      </c>
      <c r="AA54" s="977" t="s">
        <v>276</v>
      </c>
      <c r="AB54" s="978" t="s">
        <v>277</v>
      </c>
      <c r="AC54" s="979" t="s">
        <v>278</v>
      </c>
      <c r="AD54" s="979"/>
      <c r="AE54" s="980"/>
      <c r="AF54" s="981">
        <v>532</v>
      </c>
      <c r="AH54" s="284"/>
    </row>
    <row r="55" spans="2:34" x14ac:dyDescent="0.15">
      <c r="B55" s="603"/>
      <c r="C55" s="286"/>
      <c r="D55" s="287"/>
      <c r="E55" s="288"/>
      <c r="F55" s="288"/>
      <c r="G55" s="288"/>
      <c r="H55" s="288"/>
      <c r="K55" s="955" t="s">
        <v>319</v>
      </c>
      <c r="L55" s="956" t="s">
        <v>320</v>
      </c>
      <c r="M55" s="957" t="s">
        <v>237</v>
      </c>
      <c r="N55" s="957">
        <v>24</v>
      </c>
      <c r="O55" s="958"/>
      <c r="P55" s="973" t="s">
        <v>503</v>
      </c>
      <c r="S55" s="988" t="s">
        <v>295</v>
      </c>
      <c r="T55" s="956" t="s">
        <v>296</v>
      </c>
      <c r="U55" s="957" t="s">
        <v>297</v>
      </c>
      <c r="V55" s="957"/>
      <c r="W55" s="958"/>
      <c r="X55" s="971">
        <v>1</v>
      </c>
      <c r="AA55" s="955" t="s">
        <v>285</v>
      </c>
      <c r="AB55" s="956" t="s">
        <v>286</v>
      </c>
      <c r="AC55" s="957" t="s">
        <v>250</v>
      </c>
      <c r="AD55" s="957"/>
      <c r="AE55" s="958"/>
      <c r="AF55" s="971">
        <v>14</v>
      </c>
      <c r="AH55" s="284"/>
    </row>
    <row r="56" spans="2:34" x14ac:dyDescent="0.15">
      <c r="B56" s="603"/>
      <c r="C56" s="286"/>
      <c r="D56" s="287"/>
      <c r="E56" s="288"/>
      <c r="F56" s="288"/>
      <c r="G56" s="288"/>
      <c r="H56" s="288"/>
      <c r="K56" s="955" t="s">
        <v>326</v>
      </c>
      <c r="L56" s="956" t="s">
        <v>326</v>
      </c>
      <c r="M56" s="957"/>
      <c r="N56" s="957" t="s">
        <v>251</v>
      </c>
      <c r="O56" s="958"/>
      <c r="P56" s="973"/>
      <c r="AA56" s="1005" t="s">
        <v>290</v>
      </c>
      <c r="AB56" s="995" t="s">
        <v>291</v>
      </c>
      <c r="AC56" s="996" t="s">
        <v>246</v>
      </c>
      <c r="AD56" s="996"/>
      <c r="AE56" s="997"/>
      <c r="AF56" s="998"/>
      <c r="AH56" s="284"/>
    </row>
    <row r="57" spans="2:34" x14ac:dyDescent="0.15">
      <c r="B57" s="603"/>
      <c r="C57" s="286"/>
      <c r="D57" s="287"/>
      <c r="E57" s="288"/>
      <c r="F57" s="288"/>
      <c r="G57" s="288"/>
      <c r="H57" s="288"/>
      <c r="K57" s="955" t="s">
        <v>337</v>
      </c>
      <c r="L57" s="956" t="s">
        <v>338</v>
      </c>
      <c r="M57" s="957" t="s">
        <v>278</v>
      </c>
      <c r="N57" s="957" t="s">
        <v>251</v>
      </c>
      <c r="O57" s="958"/>
      <c r="P57" s="973" t="s">
        <v>486</v>
      </c>
      <c r="AA57" s="1006" t="s">
        <v>298</v>
      </c>
      <c r="AB57" s="968" t="s">
        <v>299</v>
      </c>
      <c r="AC57" s="964" t="s">
        <v>237</v>
      </c>
      <c r="AD57" s="964">
        <v>24</v>
      </c>
      <c r="AE57" s="965"/>
      <c r="AF57" s="989"/>
      <c r="AH57" s="284"/>
    </row>
    <row r="58" spans="2:34" x14ac:dyDescent="0.15">
      <c r="B58" s="603"/>
      <c r="C58" s="286"/>
      <c r="D58" s="287"/>
      <c r="E58" s="288"/>
      <c r="F58" s="288"/>
      <c r="G58" s="288"/>
      <c r="H58" s="288"/>
      <c r="K58" s="955" t="s">
        <v>326</v>
      </c>
      <c r="L58" s="956" t="s">
        <v>326</v>
      </c>
      <c r="M58" s="957"/>
      <c r="N58" s="957" t="s">
        <v>251</v>
      </c>
      <c r="O58" s="958"/>
      <c r="P58" s="973"/>
      <c r="AA58" s="988" t="s">
        <v>304</v>
      </c>
      <c r="AB58" s="956" t="s">
        <v>305</v>
      </c>
      <c r="AC58" s="957" t="s">
        <v>237</v>
      </c>
      <c r="AD58" s="957">
        <v>12</v>
      </c>
      <c r="AE58" s="958"/>
      <c r="AF58" s="971"/>
      <c r="AH58" s="284"/>
    </row>
    <row r="59" spans="2:34" x14ac:dyDescent="0.15">
      <c r="B59" s="603"/>
      <c r="C59" s="286"/>
      <c r="D59" s="287"/>
      <c r="E59" s="288"/>
      <c r="F59" s="288"/>
      <c r="G59" s="288"/>
      <c r="H59" s="288"/>
      <c r="K59" s="955" t="s">
        <v>350</v>
      </c>
      <c r="L59" s="956" t="s">
        <v>351</v>
      </c>
      <c r="M59" s="957" t="s">
        <v>284</v>
      </c>
      <c r="N59" s="957" t="s">
        <v>251</v>
      </c>
      <c r="O59" s="958"/>
      <c r="P59" s="973" t="s">
        <v>487</v>
      </c>
      <c r="AA59" s="988" t="s">
        <v>309</v>
      </c>
      <c r="AB59" s="956" t="s">
        <v>310</v>
      </c>
      <c r="AC59" s="957" t="s">
        <v>237</v>
      </c>
      <c r="AD59" s="957">
        <v>6</v>
      </c>
      <c r="AE59" s="958"/>
      <c r="AF59" s="971"/>
      <c r="AH59" s="284"/>
    </row>
    <row r="60" spans="2:34" x14ac:dyDescent="0.15">
      <c r="B60" s="603"/>
      <c r="C60" s="286"/>
      <c r="D60" s="287"/>
      <c r="E60" s="288"/>
      <c r="F60" s="288"/>
      <c r="G60" s="288"/>
      <c r="H60" s="288"/>
      <c r="K60" s="955" t="s">
        <v>326</v>
      </c>
      <c r="L60" s="956" t="s">
        <v>326</v>
      </c>
      <c r="M60" s="957"/>
      <c r="N60" s="957" t="s">
        <v>251</v>
      </c>
      <c r="O60" s="958"/>
      <c r="P60" s="973"/>
      <c r="AA60" s="1007" t="s">
        <v>315</v>
      </c>
      <c r="AB60" s="978" t="s">
        <v>316</v>
      </c>
      <c r="AC60" s="979" t="s">
        <v>250</v>
      </c>
      <c r="AD60" s="979"/>
      <c r="AE60" s="980"/>
      <c r="AF60" s="981">
        <v>91400</v>
      </c>
      <c r="AH60" s="284"/>
    </row>
    <row r="61" spans="2:34" x14ac:dyDescent="0.15">
      <c r="B61" s="603"/>
      <c r="C61" s="286"/>
      <c r="D61" s="287"/>
      <c r="E61" s="288"/>
      <c r="F61" s="288"/>
      <c r="G61" s="288"/>
      <c r="H61" s="288"/>
      <c r="K61" s="977" t="s">
        <v>488</v>
      </c>
      <c r="L61" s="978" t="s">
        <v>359</v>
      </c>
      <c r="M61" s="979" t="s">
        <v>284</v>
      </c>
      <c r="N61" s="979" t="s">
        <v>251</v>
      </c>
      <c r="O61" s="980"/>
      <c r="P61" s="987" t="s">
        <v>487</v>
      </c>
      <c r="AA61" s="1008"/>
      <c r="AB61" s="951" t="s">
        <v>504</v>
      </c>
      <c r="AC61" s="952"/>
      <c r="AD61" s="952"/>
      <c r="AE61" s="953"/>
      <c r="AF61" s="1000"/>
      <c r="AH61" s="284"/>
    </row>
    <row r="62" spans="2:34" x14ac:dyDescent="0.15">
      <c r="B62" s="603"/>
      <c r="K62" s="955" t="s">
        <v>335</v>
      </c>
      <c r="L62" s="956" t="s">
        <v>335</v>
      </c>
      <c r="M62" s="957"/>
      <c r="N62" s="957"/>
      <c r="O62" s="958"/>
      <c r="P62" s="973"/>
      <c r="AA62" s="988" t="s">
        <v>326</v>
      </c>
      <c r="AB62" s="956" t="s">
        <v>326</v>
      </c>
      <c r="AC62" s="957"/>
      <c r="AD62" s="957"/>
      <c r="AE62" s="958"/>
      <c r="AF62" s="971"/>
      <c r="AH62" s="284"/>
    </row>
    <row r="63" spans="2:34" x14ac:dyDescent="0.15">
      <c r="B63" s="603"/>
      <c r="K63" s="990"/>
      <c r="L63" s="991"/>
      <c r="M63" s="991"/>
      <c r="N63" s="991"/>
      <c r="O63" s="991"/>
      <c r="P63" s="992"/>
      <c r="AH63" s="284"/>
    </row>
    <row r="64" spans="2:34" x14ac:dyDescent="0.15">
      <c r="B64" s="603"/>
      <c r="K64" s="275"/>
      <c r="P64" s="276"/>
      <c r="AA64" s="289" t="s">
        <v>505</v>
      </c>
      <c r="AH64" s="284"/>
    </row>
    <row r="65" spans="2:34" x14ac:dyDescent="0.15">
      <c r="B65" s="603"/>
      <c r="K65" s="1009" t="s">
        <v>506</v>
      </c>
      <c r="L65" s="1010"/>
      <c r="M65" s="1010"/>
      <c r="N65" s="1010"/>
      <c r="O65" s="1010"/>
      <c r="P65" s="1011"/>
      <c r="AA65" s="1012" t="s">
        <v>507</v>
      </c>
      <c r="AB65" s="1012" t="s">
        <v>315</v>
      </c>
      <c r="AC65" s="1013" t="s">
        <v>508</v>
      </c>
      <c r="AD65" s="1014"/>
      <c r="AE65" s="1014"/>
      <c r="AF65" s="1015"/>
      <c r="AH65" s="284"/>
    </row>
    <row r="66" spans="2:34" x14ac:dyDescent="0.15">
      <c r="B66" s="603"/>
      <c r="K66" s="847" t="s">
        <v>226</v>
      </c>
      <c r="L66" s="848" t="s">
        <v>227</v>
      </c>
      <c r="M66" s="849" t="s">
        <v>228</v>
      </c>
      <c r="N66" s="849" t="s">
        <v>229</v>
      </c>
      <c r="O66" s="849" t="s">
        <v>230</v>
      </c>
      <c r="P66" s="849" t="s">
        <v>231</v>
      </c>
      <c r="AA66" s="1016" t="s">
        <v>509</v>
      </c>
      <c r="AB66" s="1017" t="s">
        <v>510</v>
      </c>
      <c r="AC66" s="1018" t="s">
        <v>511</v>
      </c>
      <c r="AD66" s="1019"/>
      <c r="AE66" s="1019"/>
      <c r="AF66" s="1020"/>
      <c r="AH66" s="284"/>
    </row>
    <row r="67" spans="2:34" x14ac:dyDescent="0.15">
      <c r="B67" s="603"/>
      <c r="K67" s="960" t="s">
        <v>248</v>
      </c>
      <c r="L67" s="961" t="s">
        <v>249</v>
      </c>
      <c r="M67" s="964" t="s">
        <v>250</v>
      </c>
      <c r="N67" s="964" t="s">
        <v>251</v>
      </c>
      <c r="O67" s="965" t="s">
        <v>252</v>
      </c>
      <c r="P67" s="966" t="s">
        <v>480</v>
      </c>
      <c r="AA67" s="604"/>
      <c r="AB67" s="277" t="s">
        <v>512</v>
      </c>
      <c r="AC67" s="278" t="s">
        <v>513</v>
      </c>
      <c r="AD67" s="279"/>
      <c r="AE67" s="279"/>
      <c r="AF67" s="280"/>
      <c r="AH67" s="284"/>
    </row>
    <row r="68" spans="2:34" x14ac:dyDescent="0.15">
      <c r="B68" s="603"/>
      <c r="K68" s="972" t="s">
        <v>244</v>
      </c>
      <c r="L68" s="956" t="s">
        <v>256</v>
      </c>
      <c r="M68" s="957" t="s">
        <v>246</v>
      </c>
      <c r="N68" s="957" t="s">
        <v>251</v>
      </c>
      <c r="O68" s="958" t="s">
        <v>252</v>
      </c>
      <c r="P68" s="973" t="s">
        <v>514</v>
      </c>
      <c r="AA68" s="604"/>
      <c r="AB68" s="277" t="s">
        <v>515</v>
      </c>
      <c r="AC68" s="278" t="s">
        <v>516</v>
      </c>
      <c r="AD68" s="279"/>
      <c r="AE68" s="279"/>
      <c r="AF68" s="280"/>
      <c r="AH68" s="284"/>
    </row>
    <row r="69" spans="2:34" x14ac:dyDescent="0.15">
      <c r="B69" s="603"/>
      <c r="K69" s="982" t="s">
        <v>257</v>
      </c>
      <c r="L69" s="956" t="s">
        <v>258</v>
      </c>
      <c r="M69" s="957" t="s">
        <v>250</v>
      </c>
      <c r="N69" s="957" t="s">
        <v>251</v>
      </c>
      <c r="O69" s="958" t="s">
        <v>252</v>
      </c>
      <c r="P69" s="973">
        <v>200000</v>
      </c>
      <c r="AA69" s="1021"/>
      <c r="AB69" s="642">
        <v>91220</v>
      </c>
      <c r="AC69" s="643" t="s">
        <v>517</v>
      </c>
      <c r="AD69" s="281"/>
      <c r="AE69" s="281"/>
      <c r="AF69" s="644"/>
      <c r="AH69" s="284"/>
    </row>
    <row r="70" spans="2:34" x14ac:dyDescent="0.15">
      <c r="B70" s="603"/>
      <c r="K70" s="983" t="s">
        <v>266</v>
      </c>
      <c r="L70" s="968" t="s">
        <v>267</v>
      </c>
      <c r="M70" s="964" t="s">
        <v>237</v>
      </c>
      <c r="N70" s="964">
        <v>12</v>
      </c>
      <c r="O70" s="965"/>
      <c r="P70" s="984"/>
      <c r="AA70" s="1016" t="s">
        <v>518</v>
      </c>
      <c r="AB70" s="1017" t="s">
        <v>519</v>
      </c>
      <c r="AC70" s="1018" t="s">
        <v>520</v>
      </c>
      <c r="AD70" s="1019"/>
      <c r="AE70" s="1019"/>
      <c r="AF70" s="1020"/>
      <c r="AH70" s="284"/>
    </row>
    <row r="71" spans="2:34" x14ac:dyDescent="0.15">
      <c r="B71" s="603"/>
      <c r="K71" s="977" t="s">
        <v>273</v>
      </c>
      <c r="L71" s="978" t="s">
        <v>274</v>
      </c>
      <c r="M71" s="979" t="s">
        <v>246</v>
      </c>
      <c r="N71" s="979" t="s">
        <v>251</v>
      </c>
      <c r="O71" s="980"/>
      <c r="P71" s="987" t="s">
        <v>483</v>
      </c>
      <c r="AA71" s="604"/>
      <c r="AB71" s="277" t="s">
        <v>521</v>
      </c>
      <c r="AC71" s="278" t="s">
        <v>522</v>
      </c>
      <c r="AD71" s="279"/>
      <c r="AE71" s="279"/>
      <c r="AF71" s="280"/>
      <c r="AH71" s="284"/>
    </row>
    <row r="72" spans="2:34" x14ac:dyDescent="0.15">
      <c r="B72" s="603"/>
      <c r="K72" s="955" t="s">
        <v>313</v>
      </c>
      <c r="L72" s="956" t="s">
        <v>314</v>
      </c>
      <c r="M72" s="957" t="s">
        <v>237</v>
      </c>
      <c r="N72" s="957">
        <v>24</v>
      </c>
      <c r="O72" s="958"/>
      <c r="P72" s="973" t="s">
        <v>523</v>
      </c>
      <c r="AA72" s="604"/>
      <c r="AB72" s="282">
        <v>91323</v>
      </c>
      <c r="AC72" s="278" t="s">
        <v>524</v>
      </c>
      <c r="AD72" s="279"/>
      <c r="AE72" s="279"/>
      <c r="AF72" s="280"/>
      <c r="AH72" s="284"/>
    </row>
    <row r="73" spans="2:34" x14ac:dyDescent="0.15">
      <c r="B73" s="603"/>
      <c r="K73" s="955" t="s">
        <v>319</v>
      </c>
      <c r="L73" s="956" t="s">
        <v>320</v>
      </c>
      <c r="M73" s="957" t="s">
        <v>237</v>
      </c>
      <c r="N73" s="957">
        <v>24</v>
      </c>
      <c r="O73" s="958"/>
      <c r="P73" s="973" t="s">
        <v>525</v>
      </c>
      <c r="AA73" s="604"/>
      <c r="AB73" s="282">
        <v>91324</v>
      </c>
      <c r="AC73" s="278" t="s">
        <v>526</v>
      </c>
      <c r="AD73" s="279"/>
      <c r="AE73" s="279"/>
      <c r="AF73" s="280"/>
      <c r="AH73" s="284"/>
    </row>
    <row r="74" spans="2:34" x14ac:dyDescent="0.15">
      <c r="B74" s="603"/>
      <c r="K74" s="955" t="s">
        <v>326</v>
      </c>
      <c r="L74" s="956" t="s">
        <v>326</v>
      </c>
      <c r="M74" s="957"/>
      <c r="N74" s="957" t="s">
        <v>251</v>
      </c>
      <c r="O74" s="958"/>
      <c r="P74" s="973"/>
      <c r="AA74" s="604"/>
      <c r="AB74" s="282">
        <v>91325</v>
      </c>
      <c r="AC74" s="278" t="s">
        <v>527</v>
      </c>
      <c r="AD74" s="279"/>
      <c r="AE74" s="279"/>
      <c r="AF74" s="280"/>
      <c r="AH74" s="284"/>
    </row>
    <row r="75" spans="2:34" x14ac:dyDescent="0.15">
      <c r="B75" s="603"/>
      <c r="K75" s="955" t="s">
        <v>337</v>
      </c>
      <c r="L75" s="956" t="s">
        <v>338</v>
      </c>
      <c r="M75" s="957" t="s">
        <v>278</v>
      </c>
      <c r="N75" s="957" t="s">
        <v>251</v>
      </c>
      <c r="O75" s="958"/>
      <c r="P75" s="973" t="s">
        <v>486</v>
      </c>
      <c r="AA75" s="604"/>
      <c r="AB75" s="282">
        <v>91326</v>
      </c>
      <c r="AC75" s="278" t="s">
        <v>528</v>
      </c>
      <c r="AD75" s="279"/>
      <c r="AE75" s="279"/>
      <c r="AF75" s="280"/>
      <c r="AH75" s="284"/>
    </row>
    <row r="76" spans="2:34" x14ac:dyDescent="0.15">
      <c r="B76" s="603"/>
      <c r="K76" s="955" t="s">
        <v>326</v>
      </c>
      <c r="L76" s="956" t="s">
        <v>326</v>
      </c>
      <c r="M76" s="957"/>
      <c r="N76" s="957" t="s">
        <v>251</v>
      </c>
      <c r="O76" s="958"/>
      <c r="P76" s="973"/>
      <c r="AA76" s="604"/>
      <c r="AB76" s="277" t="s">
        <v>529</v>
      </c>
      <c r="AC76" s="278" t="s">
        <v>530</v>
      </c>
      <c r="AD76" s="279"/>
      <c r="AE76" s="279"/>
      <c r="AF76" s="280"/>
      <c r="AH76" s="284"/>
    </row>
    <row r="77" spans="2:34" x14ac:dyDescent="0.15">
      <c r="B77" s="603"/>
      <c r="K77" s="955" t="s">
        <v>350</v>
      </c>
      <c r="L77" s="956" t="s">
        <v>351</v>
      </c>
      <c r="M77" s="957" t="s">
        <v>284</v>
      </c>
      <c r="N77" s="957" t="s">
        <v>251</v>
      </c>
      <c r="O77" s="958"/>
      <c r="P77" s="973" t="s">
        <v>531</v>
      </c>
      <c r="AA77" s="1021"/>
      <c r="AB77" s="642">
        <v>91400</v>
      </c>
      <c r="AC77" s="643" t="s">
        <v>532</v>
      </c>
      <c r="AD77" s="281"/>
      <c r="AE77" s="281"/>
      <c r="AF77" s="644"/>
      <c r="AH77" s="284"/>
    </row>
    <row r="78" spans="2:34" x14ac:dyDescent="0.15">
      <c r="B78" s="603"/>
      <c r="K78" s="955" t="s">
        <v>326</v>
      </c>
      <c r="L78" s="956" t="s">
        <v>326</v>
      </c>
      <c r="M78" s="957"/>
      <c r="N78" s="957" t="s">
        <v>251</v>
      </c>
      <c r="O78" s="958"/>
      <c r="P78" s="973"/>
      <c r="AH78" s="284"/>
    </row>
    <row r="79" spans="2:34" x14ac:dyDescent="0.15">
      <c r="B79" s="603"/>
      <c r="K79" s="977" t="s">
        <v>488</v>
      </c>
      <c r="L79" s="978" t="s">
        <v>359</v>
      </c>
      <c r="M79" s="979" t="s">
        <v>284</v>
      </c>
      <c r="N79" s="979" t="s">
        <v>251</v>
      </c>
      <c r="O79" s="980"/>
      <c r="P79" s="987" t="s">
        <v>531</v>
      </c>
      <c r="AH79" s="284"/>
    </row>
    <row r="80" spans="2:34" x14ac:dyDescent="0.15">
      <c r="B80" s="603"/>
      <c r="K80" s="955" t="s">
        <v>335</v>
      </c>
      <c r="L80" s="956" t="s">
        <v>335</v>
      </c>
      <c r="M80" s="957"/>
      <c r="N80" s="957"/>
      <c r="O80" s="958"/>
      <c r="P80" s="973"/>
      <c r="AH80" s="284"/>
    </row>
    <row r="81" spans="2:64" x14ac:dyDescent="0.15">
      <c r="B81" s="1022"/>
      <c r="C81" s="1010"/>
      <c r="D81" s="1010"/>
      <c r="E81" s="1010"/>
      <c r="F81" s="1010"/>
      <c r="G81" s="1010"/>
      <c r="H81" s="1010"/>
      <c r="I81" s="1010"/>
      <c r="J81" s="1010"/>
      <c r="K81" s="1010"/>
      <c r="L81" s="1010"/>
      <c r="M81" s="1010"/>
      <c r="N81" s="1010"/>
      <c r="O81" s="1010"/>
      <c r="P81" s="1010"/>
      <c r="Q81" s="1023"/>
      <c r="R81" s="1010"/>
      <c r="S81" s="1010"/>
      <c r="T81" s="1010"/>
      <c r="U81" s="1010"/>
      <c r="V81" s="1010"/>
      <c r="W81" s="1010"/>
      <c r="X81" s="1010"/>
      <c r="Y81" s="1010"/>
      <c r="Z81" s="1010"/>
      <c r="AA81" s="1010"/>
      <c r="AB81" s="1010"/>
      <c r="AC81" s="1010"/>
      <c r="AD81" s="1010"/>
      <c r="AE81" s="1010"/>
      <c r="AF81" s="1010"/>
      <c r="AG81" s="1010"/>
      <c r="AH81" s="1024"/>
    </row>
    <row r="83" spans="2:64" s="47" customFormat="1" ht="12.95" customHeight="1" thickBot="1" x14ac:dyDescent="0.2">
      <c r="H83" s="48"/>
      <c r="I83" s="48"/>
      <c r="L83" s="49"/>
      <c r="AJ83" s="270"/>
      <c r="AK83" s="270"/>
      <c r="AL83" s="270"/>
      <c r="AM83" s="270"/>
      <c r="AN83" s="270"/>
      <c r="AO83" s="270"/>
      <c r="AP83" s="270"/>
      <c r="AQ83" s="270"/>
      <c r="AR83" s="270"/>
      <c r="AS83" s="270"/>
      <c r="AT83" s="270"/>
      <c r="AU83" s="270"/>
      <c r="AV83" s="270"/>
      <c r="AW83" s="270"/>
      <c r="AX83" s="270"/>
      <c r="AY83" s="270"/>
      <c r="AZ83" s="270"/>
      <c r="BA83" s="270"/>
      <c r="BB83" s="270"/>
      <c r="BC83" s="270"/>
      <c r="BD83" s="270"/>
      <c r="BE83" s="270"/>
      <c r="BF83" s="270"/>
      <c r="BG83" s="270"/>
      <c r="BH83" s="270"/>
      <c r="BI83" s="270"/>
      <c r="BJ83" s="270"/>
      <c r="BK83" s="270"/>
      <c r="BL83" s="270"/>
    </row>
    <row r="84" spans="2:64" s="47" customFormat="1" ht="12.75" customHeight="1" thickTop="1" x14ac:dyDescent="0.15">
      <c r="B84" s="50" t="s">
        <v>6</v>
      </c>
      <c r="C84" s="51"/>
      <c r="D84" s="52"/>
      <c r="E84" s="677" t="s">
        <v>7</v>
      </c>
      <c r="F84" s="830"/>
      <c r="G84" s="830"/>
      <c r="H84" s="830"/>
      <c r="I84" s="830"/>
      <c r="J84" s="831"/>
      <c r="K84" s="832" t="s">
        <v>8</v>
      </c>
      <c r="L84" s="830"/>
      <c r="M84" s="831"/>
      <c r="N84" s="1297" t="str">
        <f>N$2</f>
        <v>取引ログテーブル関連図（補足説明）</v>
      </c>
      <c r="O84" s="1298"/>
      <c r="P84" s="1298"/>
      <c r="Q84" s="1298"/>
      <c r="R84" s="1298"/>
      <c r="S84" s="1298"/>
      <c r="T84" s="1298"/>
      <c r="U84" s="1298"/>
      <c r="V84" s="1298"/>
      <c r="W84" s="1299"/>
      <c r="X84" s="832" t="s">
        <v>10</v>
      </c>
      <c r="Y84" s="830"/>
      <c r="Z84" s="831"/>
      <c r="AA84" s="943" t="s">
        <v>11</v>
      </c>
      <c r="AB84" s="832" t="s">
        <v>12</v>
      </c>
      <c r="AC84" s="943" t="s">
        <v>13</v>
      </c>
      <c r="AD84" s="944"/>
      <c r="AE84" s="945"/>
      <c r="AF84" s="832" t="s">
        <v>14</v>
      </c>
      <c r="AG84" s="830"/>
      <c r="AH84" s="831"/>
      <c r="AJ84" s="270"/>
      <c r="AK84" s="270"/>
      <c r="AL84" s="270"/>
      <c r="AM84" s="270"/>
      <c r="AN84" s="270"/>
      <c r="AO84" s="270"/>
      <c r="AP84" s="270"/>
      <c r="AQ84" s="270"/>
      <c r="AR84" s="270"/>
      <c r="AS84" s="270"/>
      <c r="AT84" s="270"/>
      <c r="AU84" s="270"/>
      <c r="AV84" s="270"/>
      <c r="AW84" s="270"/>
      <c r="AX84" s="270"/>
      <c r="AY84" s="270"/>
      <c r="AZ84" s="270"/>
      <c r="BA84" s="270"/>
      <c r="BB84" s="270"/>
      <c r="BC84" s="270"/>
      <c r="BD84" s="270"/>
      <c r="BE84" s="270"/>
      <c r="BF84" s="270"/>
      <c r="BG84" s="270"/>
      <c r="BH84" s="270"/>
      <c r="BI84" s="270"/>
      <c r="BJ84" s="270"/>
      <c r="BK84" s="270"/>
      <c r="BL84" s="270"/>
    </row>
    <row r="85" spans="2:64" s="47" customFormat="1" ht="12.75" customHeight="1" thickBot="1" x14ac:dyDescent="0.2">
      <c r="B85" s="271" t="s">
        <v>15</v>
      </c>
      <c r="C85" s="272"/>
      <c r="D85" s="273"/>
      <c r="E85" s="678" t="s">
        <v>16</v>
      </c>
      <c r="F85" s="834"/>
      <c r="G85" s="834"/>
      <c r="H85" s="834"/>
      <c r="I85" s="834"/>
      <c r="J85" s="835"/>
      <c r="K85" s="836" t="s">
        <v>219</v>
      </c>
      <c r="L85" s="834"/>
      <c r="M85" s="835"/>
      <c r="N85" s="1300"/>
      <c r="O85" s="1301"/>
      <c r="P85" s="1301"/>
      <c r="Q85" s="1301"/>
      <c r="R85" s="1301"/>
      <c r="S85" s="1301"/>
      <c r="T85" s="1301"/>
      <c r="U85" s="1301"/>
      <c r="V85" s="1301"/>
      <c r="W85" s="1302"/>
      <c r="X85" s="837">
        <f>X$3</f>
        <v>1.1200000000000001</v>
      </c>
      <c r="Y85" s="838"/>
      <c r="Z85" s="839"/>
      <c r="AA85" s="836" t="str">
        <f>AA$3</f>
        <v>富士通</v>
      </c>
      <c r="AB85" s="840">
        <f>AB$3</f>
        <v>45709</v>
      </c>
      <c r="AC85" s="836" t="str">
        <f>AC$3</f>
        <v>富士通</v>
      </c>
      <c r="AD85" s="834"/>
      <c r="AE85" s="835"/>
      <c r="AF85" s="840">
        <f>AF$3</f>
        <v>45460</v>
      </c>
      <c r="AG85" s="841"/>
      <c r="AH85" s="842"/>
      <c r="AJ85" s="270"/>
      <c r="AK85" s="270"/>
      <c r="AL85" s="270"/>
      <c r="AM85" s="270"/>
      <c r="AN85" s="270"/>
      <c r="AO85" s="270"/>
      <c r="AP85" s="270"/>
      <c r="AQ85" s="270"/>
      <c r="AR85" s="270"/>
      <c r="AS85" s="270"/>
      <c r="AT85" s="270"/>
      <c r="AU85" s="270"/>
      <c r="AV85" s="270"/>
      <c r="AW85" s="270"/>
      <c r="AX85" s="270"/>
      <c r="AY85" s="270"/>
      <c r="AZ85" s="270"/>
      <c r="BA85" s="270"/>
      <c r="BB85" s="270"/>
      <c r="BC85" s="270"/>
      <c r="BD85" s="270"/>
      <c r="BE85" s="270"/>
      <c r="BF85" s="270"/>
      <c r="BG85" s="270"/>
      <c r="BH85" s="270"/>
      <c r="BI85" s="270"/>
      <c r="BJ85" s="270"/>
      <c r="BK85" s="270"/>
      <c r="BL85" s="270"/>
    </row>
    <row r="86" spans="2:64" s="47" customFormat="1" ht="12.75" customHeight="1" thickTop="1" x14ac:dyDescent="0.15">
      <c r="H86" s="48"/>
      <c r="I86" s="48"/>
      <c r="L86" s="49"/>
      <c r="AJ86" s="270"/>
      <c r="AK86" s="270"/>
      <c r="AL86" s="270"/>
      <c r="AM86" s="270"/>
      <c r="AN86" s="270"/>
      <c r="AO86" s="270"/>
      <c r="AP86" s="270"/>
      <c r="AQ86" s="270"/>
      <c r="AR86" s="270"/>
      <c r="AS86" s="270"/>
      <c r="AT86" s="270"/>
      <c r="AU86" s="270"/>
      <c r="AV86" s="270"/>
      <c r="AW86" s="270"/>
      <c r="AX86" s="270"/>
      <c r="AY86" s="270"/>
      <c r="AZ86" s="270"/>
      <c r="BA86" s="270"/>
      <c r="BB86" s="270"/>
      <c r="BC86" s="270"/>
      <c r="BD86" s="270"/>
      <c r="BE86" s="270"/>
      <c r="BF86" s="270"/>
      <c r="BG86" s="270"/>
      <c r="BH86" s="270"/>
      <c r="BI86" s="270"/>
      <c r="BJ86" s="270"/>
      <c r="BK86" s="270"/>
      <c r="BL86" s="270"/>
    </row>
    <row r="87" spans="2:64" x14ac:dyDescent="0.15">
      <c r="B87" s="946"/>
      <c r="C87" s="947"/>
      <c r="D87" s="947"/>
      <c r="E87" s="947"/>
      <c r="F87" s="947"/>
      <c r="G87" s="947"/>
      <c r="H87" s="947"/>
      <c r="I87" s="947"/>
      <c r="J87" s="947"/>
      <c r="K87" s="947"/>
      <c r="L87" s="947"/>
      <c r="M87" s="947"/>
      <c r="N87" s="947"/>
      <c r="O87" s="947"/>
      <c r="P87" s="947"/>
      <c r="Q87" s="948"/>
      <c r="R87" s="947"/>
      <c r="S87" s="947"/>
      <c r="T87" s="947"/>
      <c r="U87" s="947"/>
      <c r="V87" s="947"/>
      <c r="W87" s="947"/>
      <c r="X87" s="947"/>
      <c r="Y87" s="947"/>
      <c r="Z87" s="947"/>
      <c r="AA87" s="947"/>
      <c r="AB87" s="947"/>
      <c r="AC87" s="947"/>
      <c r="AD87" s="947"/>
      <c r="AE87" s="947"/>
      <c r="AF87" s="947"/>
      <c r="AG87" s="947"/>
      <c r="AH87" s="949"/>
    </row>
    <row r="88" spans="2:64" x14ac:dyDescent="0.15">
      <c r="B88" s="603"/>
      <c r="AB88" s="283" t="s">
        <v>220</v>
      </c>
      <c r="AH88" s="284"/>
    </row>
    <row r="89" spans="2:64" ht="14.25" x14ac:dyDescent="0.15">
      <c r="B89" s="603"/>
      <c r="G89" s="285"/>
      <c r="J89" s="274" t="s">
        <v>478</v>
      </c>
      <c r="AB89" s="283" t="s">
        <v>221</v>
      </c>
      <c r="AH89" s="284"/>
    </row>
    <row r="90" spans="2:64" x14ac:dyDescent="0.15">
      <c r="B90" s="603"/>
      <c r="AB90" s="283" t="s">
        <v>222</v>
      </c>
      <c r="AH90" s="284"/>
    </row>
    <row r="91" spans="2:64" x14ac:dyDescent="0.15">
      <c r="B91" s="603"/>
      <c r="AH91" s="284"/>
    </row>
    <row r="92" spans="2:64" x14ac:dyDescent="0.15">
      <c r="B92" s="603"/>
      <c r="C92" s="844" t="s">
        <v>224</v>
      </c>
      <c r="D92" s="845"/>
      <c r="E92" s="845"/>
      <c r="F92" s="845"/>
      <c r="G92" s="845"/>
      <c r="H92" s="846"/>
      <c r="AH92" s="284"/>
    </row>
    <row r="93" spans="2:64" ht="12" customHeight="1" x14ac:dyDescent="0.15">
      <c r="B93" s="603"/>
      <c r="C93" s="847" t="s">
        <v>226</v>
      </c>
      <c r="D93" s="848" t="s">
        <v>227</v>
      </c>
      <c r="E93" s="849" t="s">
        <v>228</v>
      </c>
      <c r="F93" s="849" t="s">
        <v>229</v>
      </c>
      <c r="G93" s="849" t="s">
        <v>230</v>
      </c>
      <c r="H93" s="849" t="s">
        <v>231</v>
      </c>
      <c r="AH93" s="284"/>
    </row>
    <row r="94" spans="2:64" ht="12" x14ac:dyDescent="0.15">
      <c r="B94" s="603"/>
      <c r="C94" s="950" t="s">
        <v>235</v>
      </c>
      <c r="D94" s="951" t="s">
        <v>236</v>
      </c>
      <c r="E94" s="952" t="s">
        <v>237</v>
      </c>
      <c r="F94" s="952">
        <v>9</v>
      </c>
      <c r="G94" s="953"/>
      <c r="H94" s="954"/>
      <c r="K94" s="850" t="s">
        <v>238</v>
      </c>
      <c r="L94" s="851"/>
      <c r="M94" s="851"/>
      <c r="N94" s="851"/>
      <c r="O94" s="851"/>
      <c r="P94" s="852"/>
      <c r="Q94" s="270"/>
      <c r="S94" s="850" t="s">
        <v>533</v>
      </c>
      <c r="T94" s="851"/>
      <c r="U94" s="851"/>
      <c r="V94" s="851"/>
      <c r="W94" s="851"/>
      <c r="X94" s="852"/>
      <c r="AA94" s="850" t="s">
        <v>391</v>
      </c>
      <c r="AB94" s="851"/>
      <c r="AC94" s="851"/>
      <c r="AD94" s="851"/>
      <c r="AE94" s="852"/>
      <c r="AF94" s="852"/>
      <c r="AH94" s="284"/>
    </row>
    <row r="95" spans="2:64" ht="11.25" x14ac:dyDescent="0.15">
      <c r="B95" s="603"/>
      <c r="C95" s="955" t="s">
        <v>242</v>
      </c>
      <c r="D95" s="956" t="s">
        <v>243</v>
      </c>
      <c r="E95" s="957" t="s">
        <v>237</v>
      </c>
      <c r="F95" s="957">
        <v>9</v>
      </c>
      <c r="G95" s="958"/>
      <c r="H95" s="959"/>
      <c r="K95" s="847" t="s">
        <v>226</v>
      </c>
      <c r="L95" s="848" t="s">
        <v>227</v>
      </c>
      <c r="M95" s="849" t="s">
        <v>228</v>
      </c>
      <c r="N95" s="849" t="s">
        <v>229</v>
      </c>
      <c r="O95" s="849" t="s">
        <v>230</v>
      </c>
      <c r="P95" s="849" t="s">
        <v>231</v>
      </c>
      <c r="Q95" s="270"/>
      <c r="S95" s="847" t="s">
        <v>226</v>
      </c>
      <c r="T95" s="848" t="s">
        <v>227</v>
      </c>
      <c r="U95" s="849" t="s">
        <v>228</v>
      </c>
      <c r="V95" s="849" t="s">
        <v>229</v>
      </c>
      <c r="W95" s="849" t="s">
        <v>230</v>
      </c>
      <c r="X95" s="849" t="s">
        <v>231</v>
      </c>
      <c r="AA95" s="847" t="s">
        <v>226</v>
      </c>
      <c r="AB95" s="848" t="s">
        <v>227</v>
      </c>
      <c r="AC95" s="849" t="s">
        <v>228</v>
      </c>
      <c r="AD95" s="849" t="s">
        <v>229</v>
      </c>
      <c r="AE95" s="849" t="s">
        <v>230</v>
      </c>
      <c r="AF95" s="849" t="s">
        <v>231</v>
      </c>
      <c r="AH95" s="284"/>
    </row>
    <row r="96" spans="2:64" ht="11.25" x14ac:dyDescent="0.15">
      <c r="B96" s="603"/>
      <c r="C96" s="960" t="s">
        <v>248</v>
      </c>
      <c r="D96" s="961" t="s">
        <v>249</v>
      </c>
      <c r="E96" s="962" t="s">
        <v>250</v>
      </c>
      <c r="F96" s="962" t="s">
        <v>251</v>
      </c>
      <c r="G96" s="963" t="s">
        <v>252</v>
      </c>
      <c r="H96" s="596" t="s">
        <v>479</v>
      </c>
      <c r="K96" s="960" t="s">
        <v>248</v>
      </c>
      <c r="L96" s="961" t="s">
        <v>249</v>
      </c>
      <c r="M96" s="964" t="s">
        <v>250</v>
      </c>
      <c r="N96" s="964" t="s">
        <v>251</v>
      </c>
      <c r="O96" s="965" t="s">
        <v>252</v>
      </c>
      <c r="P96" s="966" t="s">
        <v>480</v>
      </c>
      <c r="Q96" s="270"/>
      <c r="S96" s="967" t="s">
        <v>248</v>
      </c>
      <c r="T96" s="968" t="s">
        <v>253</v>
      </c>
      <c r="U96" s="964" t="s">
        <v>250</v>
      </c>
      <c r="V96" s="965" t="s">
        <v>251</v>
      </c>
      <c r="W96" s="963" t="s">
        <v>247</v>
      </c>
      <c r="X96" s="969">
        <v>6079449</v>
      </c>
      <c r="AA96" s="967" t="s">
        <v>248</v>
      </c>
      <c r="AB96" s="968" t="s">
        <v>249</v>
      </c>
      <c r="AC96" s="964" t="s">
        <v>250</v>
      </c>
      <c r="AD96" s="964" t="s">
        <v>251</v>
      </c>
      <c r="AE96" s="965" t="s">
        <v>247</v>
      </c>
      <c r="AF96" s="1025">
        <v>6079449</v>
      </c>
      <c r="AH96" s="284"/>
    </row>
    <row r="97" spans="2:34" ht="11.25" x14ac:dyDescent="0.15">
      <c r="B97" s="603"/>
      <c r="C97" s="970" t="s">
        <v>254</v>
      </c>
      <c r="D97" s="956" t="s">
        <v>255</v>
      </c>
      <c r="E97" s="957" t="s">
        <v>246</v>
      </c>
      <c r="F97" s="957" t="s">
        <v>251</v>
      </c>
      <c r="G97" s="958" t="s">
        <v>251</v>
      </c>
      <c r="H97" s="971" t="s">
        <v>481</v>
      </c>
      <c r="K97" s="972" t="s">
        <v>244</v>
      </c>
      <c r="L97" s="956" t="s">
        <v>256</v>
      </c>
      <c r="M97" s="957" t="s">
        <v>246</v>
      </c>
      <c r="N97" s="957" t="s">
        <v>251</v>
      </c>
      <c r="O97" s="958" t="s">
        <v>252</v>
      </c>
      <c r="P97" s="973">
        <v>1</v>
      </c>
      <c r="Q97" s="270"/>
      <c r="S97" s="974" t="s">
        <v>244</v>
      </c>
      <c r="T97" s="956" t="s">
        <v>245</v>
      </c>
      <c r="U97" s="957" t="s">
        <v>246</v>
      </c>
      <c r="V97" s="958" t="s">
        <v>251</v>
      </c>
      <c r="W97" s="975" t="s">
        <v>247</v>
      </c>
      <c r="X97" s="976">
        <v>1</v>
      </c>
      <c r="AA97" s="1026" t="s">
        <v>244</v>
      </c>
      <c r="AB97" s="956" t="s">
        <v>245</v>
      </c>
      <c r="AC97" s="957" t="s">
        <v>246</v>
      </c>
      <c r="AD97" s="957" t="s">
        <v>251</v>
      </c>
      <c r="AE97" s="958" t="s">
        <v>247</v>
      </c>
      <c r="AF97" s="1027">
        <v>2</v>
      </c>
      <c r="AH97" s="284"/>
    </row>
    <row r="98" spans="2:34" ht="11.25" x14ac:dyDescent="0.15">
      <c r="B98" s="603"/>
      <c r="C98" s="977" t="s">
        <v>259</v>
      </c>
      <c r="D98" s="978" t="s">
        <v>260</v>
      </c>
      <c r="E98" s="979" t="s">
        <v>246</v>
      </c>
      <c r="F98" s="979"/>
      <c r="G98" s="980" t="s">
        <v>251</v>
      </c>
      <c r="H98" s="981" t="s">
        <v>482</v>
      </c>
      <c r="K98" s="982" t="s">
        <v>257</v>
      </c>
      <c r="L98" s="956" t="s">
        <v>258</v>
      </c>
      <c r="M98" s="957" t="s">
        <v>250</v>
      </c>
      <c r="N98" s="957" t="s">
        <v>251</v>
      </c>
      <c r="O98" s="958" t="s">
        <v>252</v>
      </c>
      <c r="P98" s="973">
        <v>200000</v>
      </c>
      <c r="Q98" s="270"/>
      <c r="S98" s="974" t="s">
        <v>261</v>
      </c>
      <c r="T98" s="956" t="s">
        <v>262</v>
      </c>
      <c r="U98" s="957" t="s">
        <v>246</v>
      </c>
      <c r="V98" s="958" t="s">
        <v>251</v>
      </c>
      <c r="W98" s="975" t="s">
        <v>247</v>
      </c>
      <c r="X98" s="976">
        <v>2</v>
      </c>
      <c r="AA98" s="982" t="s">
        <v>257</v>
      </c>
      <c r="AB98" s="956" t="s">
        <v>258</v>
      </c>
      <c r="AC98" s="957" t="s">
        <v>250</v>
      </c>
      <c r="AD98" s="957" t="s">
        <v>251</v>
      </c>
      <c r="AE98" s="958" t="s">
        <v>247</v>
      </c>
      <c r="AF98" s="1027">
        <v>200000</v>
      </c>
      <c r="AH98" s="284"/>
    </row>
    <row r="99" spans="2:34" ht="11.25" x14ac:dyDescent="0.15">
      <c r="B99" s="603"/>
      <c r="C99" s="597"/>
      <c r="D99" s="598" t="s">
        <v>265</v>
      </c>
      <c r="E99" s="599"/>
      <c r="F99" s="599"/>
      <c r="G99" s="600"/>
      <c r="H99" s="601"/>
      <c r="K99" s="983" t="s">
        <v>266</v>
      </c>
      <c r="L99" s="968" t="s">
        <v>267</v>
      </c>
      <c r="M99" s="964" t="s">
        <v>237</v>
      </c>
      <c r="N99" s="964">
        <v>12</v>
      </c>
      <c r="O99" s="965"/>
      <c r="P99" s="984"/>
      <c r="Q99" s="270"/>
      <c r="S99" s="977" t="s">
        <v>268</v>
      </c>
      <c r="T99" s="978" t="s">
        <v>269</v>
      </c>
      <c r="U99" s="979" t="s">
        <v>246</v>
      </c>
      <c r="V99" s="980" t="s">
        <v>251</v>
      </c>
      <c r="W99" s="985" t="s">
        <v>247</v>
      </c>
      <c r="X99" s="986">
        <v>3</v>
      </c>
      <c r="AA99" s="1028" t="s">
        <v>398</v>
      </c>
      <c r="AB99" s="978" t="s">
        <v>399</v>
      </c>
      <c r="AC99" s="979" t="s">
        <v>246</v>
      </c>
      <c r="AD99" s="979" t="s">
        <v>251</v>
      </c>
      <c r="AE99" s="980"/>
      <c r="AF99" s="1029">
        <v>1</v>
      </c>
      <c r="AH99" s="284"/>
    </row>
    <row r="100" spans="2:34" ht="11.25" x14ac:dyDescent="0.15">
      <c r="B100" s="603"/>
      <c r="C100" s="982" t="s">
        <v>257</v>
      </c>
      <c r="D100" s="956" t="s">
        <v>258</v>
      </c>
      <c r="E100" s="957" t="s">
        <v>250</v>
      </c>
      <c r="F100" s="957" t="s">
        <v>251</v>
      </c>
      <c r="G100" s="958" t="s">
        <v>247</v>
      </c>
      <c r="H100" s="971">
        <v>200000</v>
      </c>
      <c r="K100" s="977" t="s">
        <v>273</v>
      </c>
      <c r="L100" s="978" t="s">
        <v>274</v>
      </c>
      <c r="M100" s="979" t="s">
        <v>246</v>
      </c>
      <c r="N100" s="979" t="s">
        <v>251</v>
      </c>
      <c r="O100" s="980"/>
      <c r="P100" s="987" t="s">
        <v>483</v>
      </c>
      <c r="Q100" s="270"/>
      <c r="S100" s="955" t="s">
        <v>282</v>
      </c>
      <c r="T100" s="956" t="s">
        <v>283</v>
      </c>
      <c r="U100" s="957" t="s">
        <v>284</v>
      </c>
      <c r="V100" s="958" t="s">
        <v>251</v>
      </c>
      <c r="W100" s="958" t="s">
        <v>251</v>
      </c>
      <c r="X100" s="971">
        <v>0</v>
      </c>
      <c r="AA100" s="999"/>
      <c r="AB100" s="951" t="s">
        <v>534</v>
      </c>
      <c r="AC100" s="952"/>
      <c r="AD100" s="952"/>
      <c r="AE100" s="953"/>
      <c r="AF100" s="1030"/>
      <c r="AH100" s="284"/>
    </row>
    <row r="101" spans="2:34" ht="11.25" x14ac:dyDescent="0.15">
      <c r="B101" s="603"/>
      <c r="C101" s="955" t="s">
        <v>279</v>
      </c>
      <c r="D101" s="956" t="s">
        <v>280</v>
      </c>
      <c r="E101" s="957" t="s">
        <v>237</v>
      </c>
      <c r="F101" s="957">
        <v>12</v>
      </c>
      <c r="G101" s="958"/>
      <c r="H101" s="971">
        <v>1111111</v>
      </c>
      <c r="K101" s="955" t="s">
        <v>313</v>
      </c>
      <c r="L101" s="956" t="s">
        <v>314</v>
      </c>
      <c r="M101" s="957" t="s">
        <v>237</v>
      </c>
      <c r="N101" s="957">
        <v>24</v>
      </c>
      <c r="O101" s="958"/>
      <c r="P101" s="973" t="s">
        <v>484</v>
      </c>
      <c r="Q101" s="270"/>
      <c r="S101" s="982" t="s">
        <v>257</v>
      </c>
      <c r="T101" s="956" t="s">
        <v>258</v>
      </c>
      <c r="U101" s="957" t="s">
        <v>250</v>
      </c>
      <c r="V101" s="958" t="s">
        <v>251</v>
      </c>
      <c r="W101" s="958" t="s">
        <v>247</v>
      </c>
      <c r="X101" s="971">
        <v>200000</v>
      </c>
      <c r="AA101" s="955" t="s">
        <v>402</v>
      </c>
      <c r="AB101" s="956" t="s">
        <v>403</v>
      </c>
      <c r="AC101" s="957" t="s">
        <v>246</v>
      </c>
      <c r="AD101" s="957" t="s">
        <v>251</v>
      </c>
      <c r="AE101" s="958" t="s">
        <v>251</v>
      </c>
      <c r="AF101" s="1027">
        <v>1</v>
      </c>
      <c r="AH101" s="284"/>
    </row>
    <row r="102" spans="2:34" ht="11.25" x14ac:dyDescent="0.15">
      <c r="B102" s="603"/>
      <c r="C102" s="955" t="s">
        <v>287</v>
      </c>
      <c r="D102" s="956" t="s">
        <v>288</v>
      </c>
      <c r="E102" s="957" t="s">
        <v>250</v>
      </c>
      <c r="F102" s="957" t="s">
        <v>251</v>
      </c>
      <c r="G102" s="958"/>
      <c r="H102" s="971">
        <v>2</v>
      </c>
      <c r="K102" s="955" t="s">
        <v>319</v>
      </c>
      <c r="L102" s="956" t="s">
        <v>320</v>
      </c>
      <c r="M102" s="957" t="s">
        <v>237</v>
      </c>
      <c r="N102" s="957">
        <v>24</v>
      </c>
      <c r="O102" s="958"/>
      <c r="P102" s="973" t="s">
        <v>485</v>
      </c>
      <c r="Q102" s="270"/>
      <c r="S102" s="988" t="s">
        <v>295</v>
      </c>
      <c r="T102" s="956" t="s">
        <v>296</v>
      </c>
      <c r="U102" s="957" t="s">
        <v>297</v>
      </c>
      <c r="V102" s="957"/>
      <c r="W102" s="958"/>
      <c r="X102" s="971">
        <v>0</v>
      </c>
      <c r="AA102" s="955" t="s">
        <v>404</v>
      </c>
      <c r="AB102" s="956" t="s">
        <v>405</v>
      </c>
      <c r="AC102" s="957" t="s">
        <v>284</v>
      </c>
      <c r="AD102" s="957" t="s">
        <v>251</v>
      </c>
      <c r="AE102" s="958" t="s">
        <v>251</v>
      </c>
      <c r="AF102" s="1027">
        <v>807</v>
      </c>
      <c r="AH102" s="284"/>
    </row>
    <row r="103" spans="2:34" ht="11.25" x14ac:dyDescent="0.15">
      <c r="B103" s="603"/>
      <c r="C103" s="983" t="s">
        <v>292</v>
      </c>
      <c r="D103" s="968" t="s">
        <v>293</v>
      </c>
      <c r="E103" s="964" t="s">
        <v>237</v>
      </c>
      <c r="F103" s="964">
        <v>12</v>
      </c>
      <c r="G103" s="965"/>
      <c r="H103" s="989"/>
      <c r="K103" s="955" t="s">
        <v>326</v>
      </c>
      <c r="L103" s="956" t="s">
        <v>326</v>
      </c>
      <c r="M103" s="957"/>
      <c r="N103" s="957" t="s">
        <v>251</v>
      </c>
      <c r="O103" s="958"/>
      <c r="P103" s="973"/>
      <c r="Q103" s="270"/>
      <c r="S103" s="990"/>
      <c r="T103" s="991"/>
      <c r="U103" s="991"/>
      <c r="V103" s="991"/>
      <c r="W103" s="991"/>
      <c r="X103" s="992"/>
      <c r="AA103" s="994" t="s">
        <v>290</v>
      </c>
      <c r="AB103" s="995" t="s">
        <v>291</v>
      </c>
      <c r="AC103" s="996" t="s">
        <v>246</v>
      </c>
      <c r="AD103" s="996" t="s">
        <v>251</v>
      </c>
      <c r="AE103" s="997" t="s">
        <v>251</v>
      </c>
      <c r="AF103" s="1031"/>
      <c r="AH103" s="284"/>
    </row>
    <row r="104" spans="2:34" ht="11.25" x14ac:dyDescent="0.15">
      <c r="B104" s="603"/>
      <c r="C104" s="955" t="s">
        <v>300</v>
      </c>
      <c r="D104" s="956" t="s">
        <v>301</v>
      </c>
      <c r="E104" s="957" t="s">
        <v>302</v>
      </c>
      <c r="F104" s="957" t="s">
        <v>251</v>
      </c>
      <c r="G104" s="958"/>
      <c r="H104" s="993">
        <v>45442</v>
      </c>
      <c r="K104" s="955" t="s">
        <v>337</v>
      </c>
      <c r="L104" s="956" t="s">
        <v>338</v>
      </c>
      <c r="M104" s="957" t="s">
        <v>278</v>
      </c>
      <c r="N104" s="957" t="s">
        <v>251</v>
      </c>
      <c r="O104" s="958"/>
      <c r="P104" s="973" t="s">
        <v>486</v>
      </c>
      <c r="Q104" s="270"/>
      <c r="S104" s="275"/>
      <c r="X104" s="276"/>
      <c r="AA104" s="955" t="s">
        <v>406</v>
      </c>
      <c r="AB104" s="956" t="s">
        <v>407</v>
      </c>
      <c r="AC104" s="957" t="s">
        <v>284</v>
      </c>
      <c r="AD104" s="957" t="s">
        <v>251</v>
      </c>
      <c r="AE104" s="958" t="s">
        <v>251</v>
      </c>
      <c r="AF104" s="1027">
        <v>0</v>
      </c>
      <c r="AH104" s="284"/>
    </row>
    <row r="105" spans="2:34" ht="11.25" x14ac:dyDescent="0.15">
      <c r="B105" s="603"/>
      <c r="C105" s="955" t="s">
        <v>306</v>
      </c>
      <c r="D105" s="956" t="s">
        <v>307</v>
      </c>
      <c r="E105" s="957" t="s">
        <v>302</v>
      </c>
      <c r="F105" s="957" t="s">
        <v>251</v>
      </c>
      <c r="G105" s="958"/>
      <c r="H105" s="993">
        <v>45442.849675925929</v>
      </c>
      <c r="K105" s="955" t="s">
        <v>326</v>
      </c>
      <c r="L105" s="956" t="s">
        <v>326</v>
      </c>
      <c r="M105" s="957"/>
      <c r="N105" s="957" t="s">
        <v>251</v>
      </c>
      <c r="O105" s="958"/>
      <c r="P105" s="973"/>
      <c r="Q105" s="270"/>
      <c r="S105" s="275"/>
      <c r="X105" s="276"/>
      <c r="AA105" s="988" t="s">
        <v>410</v>
      </c>
      <c r="AB105" s="956" t="s">
        <v>411</v>
      </c>
      <c r="AC105" s="957" t="s">
        <v>284</v>
      </c>
      <c r="AD105" s="957"/>
      <c r="AE105" s="958"/>
      <c r="AF105" s="1027">
        <v>0</v>
      </c>
      <c r="AH105" s="284"/>
    </row>
    <row r="106" spans="2:34" ht="11.25" x14ac:dyDescent="0.15">
      <c r="B106" s="603"/>
      <c r="C106" s="955" t="s">
        <v>311</v>
      </c>
      <c r="D106" s="956" t="s">
        <v>312</v>
      </c>
      <c r="E106" s="957" t="s">
        <v>302</v>
      </c>
      <c r="F106" s="957" t="s">
        <v>251</v>
      </c>
      <c r="G106" s="958"/>
      <c r="H106" s="993">
        <v>45442.850590277776</v>
      </c>
      <c r="K106" s="955" t="s">
        <v>350</v>
      </c>
      <c r="L106" s="956" t="s">
        <v>351</v>
      </c>
      <c r="M106" s="957" t="s">
        <v>284</v>
      </c>
      <c r="N106" s="957" t="s">
        <v>251</v>
      </c>
      <c r="O106" s="958"/>
      <c r="P106" s="973" t="s">
        <v>487</v>
      </c>
      <c r="Q106" s="270"/>
      <c r="S106" s="275"/>
      <c r="X106" s="276"/>
      <c r="AA106" s="988" t="s">
        <v>414</v>
      </c>
      <c r="AB106" s="956" t="s">
        <v>415</v>
      </c>
      <c r="AC106" s="957" t="s">
        <v>284</v>
      </c>
      <c r="AD106" s="957"/>
      <c r="AE106" s="958"/>
      <c r="AF106" s="1027">
        <v>10093</v>
      </c>
      <c r="AH106" s="284"/>
    </row>
    <row r="107" spans="2:34" ht="11.25" x14ac:dyDescent="0.15">
      <c r="B107" s="603"/>
      <c r="C107" s="983" t="s">
        <v>317</v>
      </c>
      <c r="D107" s="968" t="s">
        <v>318</v>
      </c>
      <c r="E107" s="964" t="s">
        <v>246</v>
      </c>
      <c r="F107" s="964" t="s">
        <v>251</v>
      </c>
      <c r="G107" s="965"/>
      <c r="H107" s="989"/>
      <c r="K107" s="955" t="s">
        <v>326</v>
      </c>
      <c r="L107" s="956" t="s">
        <v>326</v>
      </c>
      <c r="M107" s="957"/>
      <c r="N107" s="957" t="s">
        <v>251</v>
      </c>
      <c r="O107" s="958"/>
      <c r="P107" s="973"/>
      <c r="Q107" s="270"/>
      <c r="S107" s="275"/>
      <c r="X107" s="276"/>
      <c r="AA107" s="988" t="s">
        <v>335</v>
      </c>
      <c r="AB107" s="956" t="s">
        <v>335</v>
      </c>
      <c r="AC107" s="1032"/>
      <c r="AD107" s="1032"/>
      <c r="AE107" s="1033"/>
      <c r="AF107" s="1034"/>
      <c r="AH107" s="284"/>
    </row>
    <row r="108" spans="2:34" x14ac:dyDescent="0.15">
      <c r="B108" s="603"/>
      <c r="C108" s="994" t="s">
        <v>322</v>
      </c>
      <c r="D108" s="995" t="s">
        <v>323</v>
      </c>
      <c r="E108" s="996" t="s">
        <v>246</v>
      </c>
      <c r="F108" s="996" t="s">
        <v>251</v>
      </c>
      <c r="G108" s="997"/>
      <c r="H108" s="998"/>
      <c r="K108" s="977" t="s">
        <v>488</v>
      </c>
      <c r="L108" s="978" t="s">
        <v>359</v>
      </c>
      <c r="M108" s="979" t="s">
        <v>284</v>
      </c>
      <c r="N108" s="979" t="s">
        <v>251</v>
      </c>
      <c r="O108" s="980"/>
      <c r="P108" s="987" t="s">
        <v>487</v>
      </c>
      <c r="S108" s="275"/>
      <c r="X108" s="276"/>
      <c r="AA108" s="275"/>
      <c r="AF108" s="276"/>
      <c r="AH108" s="284"/>
    </row>
    <row r="109" spans="2:34" ht="11.25" x14ac:dyDescent="0.15">
      <c r="B109" s="603"/>
      <c r="C109" s="983" t="s">
        <v>327</v>
      </c>
      <c r="D109" s="968" t="s">
        <v>328</v>
      </c>
      <c r="E109" s="964" t="s">
        <v>246</v>
      </c>
      <c r="F109" s="964" t="s">
        <v>251</v>
      </c>
      <c r="G109" s="965"/>
      <c r="H109" s="989"/>
      <c r="K109" s="955" t="s">
        <v>335</v>
      </c>
      <c r="L109" s="956" t="s">
        <v>335</v>
      </c>
      <c r="M109" s="957"/>
      <c r="N109" s="957"/>
      <c r="O109" s="958"/>
      <c r="P109" s="973"/>
      <c r="Q109" s="270"/>
      <c r="S109" s="275"/>
      <c r="X109" s="276"/>
      <c r="AA109" s="275"/>
      <c r="AF109" s="276"/>
      <c r="AH109" s="284"/>
    </row>
    <row r="110" spans="2:34" ht="11.25" x14ac:dyDescent="0.15">
      <c r="B110" s="603"/>
      <c r="C110" s="977" t="s">
        <v>290</v>
      </c>
      <c r="D110" s="978" t="s">
        <v>291</v>
      </c>
      <c r="E110" s="979" t="s">
        <v>246</v>
      </c>
      <c r="F110" s="979" t="s">
        <v>251</v>
      </c>
      <c r="G110" s="980"/>
      <c r="H110" s="981">
        <v>0</v>
      </c>
      <c r="K110" s="990"/>
      <c r="L110" s="991"/>
      <c r="M110" s="991"/>
      <c r="N110" s="991"/>
      <c r="O110" s="991"/>
      <c r="P110" s="992"/>
      <c r="Q110" s="270"/>
      <c r="S110" s="275"/>
      <c r="X110" s="276"/>
      <c r="AA110" s="275"/>
      <c r="AF110" s="276"/>
      <c r="AH110" s="284"/>
    </row>
    <row r="111" spans="2:34" ht="11.25" x14ac:dyDescent="0.15">
      <c r="B111" s="603"/>
      <c r="C111" s="999"/>
      <c r="D111" s="951" t="s">
        <v>336</v>
      </c>
      <c r="E111" s="952"/>
      <c r="F111" s="952"/>
      <c r="G111" s="953"/>
      <c r="H111" s="1000"/>
      <c r="K111" s="275"/>
      <c r="P111" s="276"/>
      <c r="Q111" s="270"/>
      <c r="S111" s="275"/>
      <c r="X111" s="276"/>
      <c r="AA111" s="275"/>
      <c r="AF111" s="276"/>
      <c r="AH111" s="284"/>
    </row>
    <row r="112" spans="2:34" ht="11.25" x14ac:dyDescent="0.15">
      <c r="B112" s="603"/>
      <c r="C112" s="955" t="s">
        <v>339</v>
      </c>
      <c r="D112" s="956" t="s">
        <v>340</v>
      </c>
      <c r="E112" s="957" t="s">
        <v>237</v>
      </c>
      <c r="F112" s="957">
        <v>24</v>
      </c>
      <c r="G112" s="958"/>
      <c r="H112" s="971" t="s">
        <v>491</v>
      </c>
      <c r="K112" s="847" t="s">
        <v>226</v>
      </c>
      <c r="L112" s="848" t="s">
        <v>227</v>
      </c>
      <c r="M112" s="849" t="s">
        <v>228</v>
      </c>
      <c r="N112" s="849" t="s">
        <v>229</v>
      </c>
      <c r="O112" s="849" t="s">
        <v>230</v>
      </c>
      <c r="P112" s="849" t="s">
        <v>231</v>
      </c>
      <c r="Q112" s="270"/>
      <c r="S112" s="847" t="s">
        <v>226</v>
      </c>
      <c r="T112" s="848" t="s">
        <v>227</v>
      </c>
      <c r="U112" s="849" t="s">
        <v>228</v>
      </c>
      <c r="V112" s="849" t="s">
        <v>229</v>
      </c>
      <c r="W112" s="849" t="s">
        <v>230</v>
      </c>
      <c r="X112" s="849" t="s">
        <v>231</v>
      </c>
      <c r="AA112" s="275"/>
      <c r="AF112" s="276"/>
      <c r="AH112" s="284"/>
    </row>
    <row r="113" spans="2:34" ht="11.25" x14ac:dyDescent="0.15">
      <c r="B113" s="603"/>
      <c r="C113" s="983" t="s">
        <v>343</v>
      </c>
      <c r="D113" s="968" t="s">
        <v>344</v>
      </c>
      <c r="E113" s="964" t="s">
        <v>237</v>
      </c>
      <c r="F113" s="964">
        <v>24</v>
      </c>
      <c r="G113" s="965"/>
      <c r="H113" s="989"/>
      <c r="K113" s="960" t="s">
        <v>248</v>
      </c>
      <c r="L113" s="961" t="s">
        <v>249</v>
      </c>
      <c r="M113" s="964" t="s">
        <v>250</v>
      </c>
      <c r="N113" s="964" t="s">
        <v>251</v>
      </c>
      <c r="O113" s="965" t="s">
        <v>252</v>
      </c>
      <c r="P113" s="966" t="s">
        <v>480</v>
      </c>
      <c r="Q113" s="270"/>
      <c r="S113" s="967" t="s">
        <v>248</v>
      </c>
      <c r="T113" s="968" t="s">
        <v>253</v>
      </c>
      <c r="U113" s="964" t="s">
        <v>250</v>
      </c>
      <c r="V113" s="965" t="s">
        <v>251</v>
      </c>
      <c r="W113" s="963" t="s">
        <v>252</v>
      </c>
      <c r="X113" s="969">
        <v>6079449</v>
      </c>
      <c r="AA113" s="275"/>
      <c r="AF113" s="276"/>
      <c r="AH113" s="284"/>
    </row>
    <row r="114" spans="2:34" ht="11.25" x14ac:dyDescent="0.15">
      <c r="B114" s="603"/>
      <c r="C114" s="994" t="s">
        <v>348</v>
      </c>
      <c r="D114" s="995" t="s">
        <v>349</v>
      </c>
      <c r="E114" s="996" t="s">
        <v>246</v>
      </c>
      <c r="F114" s="996" t="s">
        <v>251</v>
      </c>
      <c r="G114" s="997"/>
      <c r="H114" s="998"/>
      <c r="K114" s="972" t="s">
        <v>244</v>
      </c>
      <c r="L114" s="956" t="s">
        <v>256</v>
      </c>
      <c r="M114" s="957" t="s">
        <v>246</v>
      </c>
      <c r="N114" s="957" t="s">
        <v>251</v>
      </c>
      <c r="O114" s="958" t="s">
        <v>252</v>
      </c>
      <c r="P114" s="973" t="s">
        <v>493</v>
      </c>
      <c r="Q114" s="270"/>
      <c r="S114" s="974" t="s">
        <v>244</v>
      </c>
      <c r="T114" s="956" t="s">
        <v>245</v>
      </c>
      <c r="U114" s="957" t="s">
        <v>246</v>
      </c>
      <c r="V114" s="958" t="s">
        <v>251</v>
      </c>
      <c r="W114" s="975" t="s">
        <v>252</v>
      </c>
      <c r="X114" s="976">
        <v>3</v>
      </c>
      <c r="AA114" s="275"/>
      <c r="AF114" s="276"/>
      <c r="AH114" s="284"/>
    </row>
    <row r="115" spans="2:34" ht="11.25" x14ac:dyDescent="0.15">
      <c r="B115" s="603"/>
      <c r="C115" s="955" t="s">
        <v>353</v>
      </c>
      <c r="D115" s="956" t="s">
        <v>354</v>
      </c>
      <c r="E115" s="957" t="s">
        <v>355</v>
      </c>
      <c r="F115" s="957" t="s">
        <v>251</v>
      </c>
      <c r="G115" s="958"/>
      <c r="H115" s="971">
        <v>12000</v>
      </c>
      <c r="K115" s="982" t="s">
        <v>257</v>
      </c>
      <c r="L115" s="956" t="s">
        <v>258</v>
      </c>
      <c r="M115" s="957" t="s">
        <v>250</v>
      </c>
      <c r="N115" s="957" t="s">
        <v>251</v>
      </c>
      <c r="O115" s="958" t="s">
        <v>252</v>
      </c>
      <c r="P115" s="973">
        <v>200000</v>
      </c>
      <c r="Q115" s="270"/>
      <c r="S115" s="974" t="s">
        <v>261</v>
      </c>
      <c r="T115" s="956" t="s">
        <v>262</v>
      </c>
      <c r="U115" s="957" t="s">
        <v>246</v>
      </c>
      <c r="V115" s="958" t="s">
        <v>251</v>
      </c>
      <c r="W115" s="975" t="s">
        <v>252</v>
      </c>
      <c r="X115" s="976">
        <v>2</v>
      </c>
      <c r="AA115" s="275"/>
      <c r="AF115" s="276"/>
      <c r="AH115" s="284"/>
    </row>
    <row r="116" spans="2:34" ht="11.25" x14ac:dyDescent="0.15">
      <c r="B116" s="603"/>
      <c r="C116" s="988" t="s">
        <v>335</v>
      </c>
      <c r="D116" s="956" t="s">
        <v>335</v>
      </c>
      <c r="E116" s="957"/>
      <c r="F116" s="957"/>
      <c r="G116" s="958"/>
      <c r="H116" s="971"/>
      <c r="K116" s="983" t="s">
        <v>266</v>
      </c>
      <c r="L116" s="968" t="s">
        <v>267</v>
      </c>
      <c r="M116" s="964" t="s">
        <v>237</v>
      </c>
      <c r="N116" s="964">
        <v>12</v>
      </c>
      <c r="O116" s="965"/>
      <c r="P116" s="984"/>
      <c r="Q116" s="270"/>
      <c r="S116" s="977" t="s">
        <v>268</v>
      </c>
      <c r="T116" s="978" t="s">
        <v>269</v>
      </c>
      <c r="U116" s="979" t="s">
        <v>246</v>
      </c>
      <c r="V116" s="980" t="s">
        <v>251</v>
      </c>
      <c r="W116" s="985" t="s">
        <v>252</v>
      </c>
      <c r="X116" s="986">
        <v>3</v>
      </c>
      <c r="AA116" s="275"/>
      <c r="AF116" s="276"/>
      <c r="AH116" s="284"/>
    </row>
    <row r="117" spans="2:34" ht="14.25" x14ac:dyDescent="0.15">
      <c r="B117" s="603"/>
      <c r="G117" s="285"/>
      <c r="K117" s="977" t="s">
        <v>273</v>
      </c>
      <c r="L117" s="978" t="s">
        <v>274</v>
      </c>
      <c r="M117" s="979" t="s">
        <v>246</v>
      </c>
      <c r="N117" s="979" t="s">
        <v>251</v>
      </c>
      <c r="O117" s="980"/>
      <c r="P117" s="987" t="s">
        <v>483</v>
      </c>
      <c r="Q117" s="270"/>
      <c r="S117" s="955" t="s">
        <v>282</v>
      </c>
      <c r="T117" s="956" t="s">
        <v>283</v>
      </c>
      <c r="U117" s="957" t="s">
        <v>284</v>
      </c>
      <c r="V117" s="958" t="s">
        <v>251</v>
      </c>
      <c r="W117" s="958" t="s">
        <v>251</v>
      </c>
      <c r="X117" s="971">
        <v>0</v>
      </c>
      <c r="AA117" s="275"/>
      <c r="AF117" s="276"/>
      <c r="AH117" s="284"/>
    </row>
    <row r="118" spans="2:34" ht="14.25" x14ac:dyDescent="0.15">
      <c r="B118" s="603"/>
      <c r="G118" s="285"/>
      <c r="K118" s="955" t="s">
        <v>313</v>
      </c>
      <c r="L118" s="956" t="s">
        <v>314</v>
      </c>
      <c r="M118" s="957" t="s">
        <v>237</v>
      </c>
      <c r="N118" s="957">
        <v>24</v>
      </c>
      <c r="O118" s="958"/>
      <c r="P118" s="973" t="s">
        <v>495</v>
      </c>
      <c r="Q118" s="270"/>
      <c r="S118" s="982" t="s">
        <v>257</v>
      </c>
      <c r="T118" s="956" t="s">
        <v>258</v>
      </c>
      <c r="U118" s="957" t="s">
        <v>250</v>
      </c>
      <c r="V118" s="958" t="s">
        <v>251</v>
      </c>
      <c r="W118" s="958" t="s">
        <v>252</v>
      </c>
      <c r="X118" s="971">
        <v>200000</v>
      </c>
      <c r="AA118" s="275"/>
      <c r="AF118" s="276"/>
      <c r="AH118" s="284"/>
    </row>
    <row r="119" spans="2:34" ht="11.25" x14ac:dyDescent="0.15">
      <c r="B119" s="603"/>
      <c r="C119" s="290" t="s">
        <v>496</v>
      </c>
      <c r="D119" s="287"/>
      <c r="E119" s="288"/>
      <c r="F119" s="288"/>
      <c r="G119" s="288"/>
      <c r="H119" s="288"/>
      <c r="K119" s="955" t="s">
        <v>319</v>
      </c>
      <c r="L119" s="956" t="s">
        <v>320</v>
      </c>
      <c r="M119" s="957" t="s">
        <v>237</v>
      </c>
      <c r="N119" s="957">
        <v>24</v>
      </c>
      <c r="O119" s="958"/>
      <c r="P119" s="973" t="s">
        <v>497</v>
      </c>
      <c r="Q119" s="270"/>
      <c r="S119" s="988" t="s">
        <v>295</v>
      </c>
      <c r="T119" s="956" t="s">
        <v>296</v>
      </c>
      <c r="U119" s="957" t="s">
        <v>297</v>
      </c>
      <c r="V119" s="957"/>
      <c r="W119" s="958"/>
      <c r="X119" s="971">
        <v>0</v>
      </c>
      <c r="AA119" s="275"/>
      <c r="AF119" s="276"/>
      <c r="AH119" s="284"/>
    </row>
    <row r="120" spans="2:34" ht="11.25" x14ac:dyDescent="0.15">
      <c r="B120" s="603"/>
      <c r="C120" s="286"/>
      <c r="D120" s="287"/>
      <c r="E120" s="288"/>
      <c r="F120" s="288"/>
      <c r="G120" s="288"/>
      <c r="H120" s="288"/>
      <c r="K120" s="955" t="s">
        <v>326</v>
      </c>
      <c r="L120" s="956" t="s">
        <v>326</v>
      </c>
      <c r="M120" s="957"/>
      <c r="N120" s="957" t="s">
        <v>251</v>
      </c>
      <c r="O120" s="958"/>
      <c r="P120" s="973"/>
      <c r="Q120" s="270"/>
      <c r="S120" s="275"/>
      <c r="X120" s="276"/>
      <c r="AA120" s="275"/>
      <c r="AF120" s="276"/>
      <c r="AH120" s="284"/>
    </row>
    <row r="121" spans="2:34" ht="11.25" x14ac:dyDescent="0.15">
      <c r="B121" s="603"/>
      <c r="C121" s="286"/>
      <c r="D121" s="287"/>
      <c r="E121" s="288"/>
      <c r="F121" s="288"/>
      <c r="G121" s="288"/>
      <c r="H121" s="288"/>
      <c r="K121" s="955" t="s">
        <v>337</v>
      </c>
      <c r="L121" s="956" t="s">
        <v>338</v>
      </c>
      <c r="M121" s="957" t="s">
        <v>278</v>
      </c>
      <c r="N121" s="957" t="s">
        <v>251</v>
      </c>
      <c r="O121" s="958"/>
      <c r="P121" s="973" t="s">
        <v>493</v>
      </c>
      <c r="Q121" s="270"/>
      <c r="S121" s="275"/>
      <c r="X121" s="276"/>
      <c r="AA121" s="275"/>
      <c r="AF121" s="276"/>
      <c r="AH121" s="284"/>
    </row>
    <row r="122" spans="2:34" ht="11.25" x14ac:dyDescent="0.15">
      <c r="B122" s="603"/>
      <c r="C122" s="286"/>
      <c r="D122" s="287"/>
      <c r="E122" s="288"/>
      <c r="F122" s="288"/>
      <c r="G122" s="288"/>
      <c r="H122" s="288"/>
      <c r="K122" s="955" t="s">
        <v>326</v>
      </c>
      <c r="L122" s="956" t="s">
        <v>326</v>
      </c>
      <c r="M122" s="957"/>
      <c r="N122" s="957" t="s">
        <v>251</v>
      </c>
      <c r="O122" s="958"/>
      <c r="P122" s="973"/>
      <c r="Q122" s="270"/>
      <c r="S122" s="275"/>
      <c r="X122" s="276"/>
      <c r="AA122" s="275"/>
      <c r="AF122" s="276"/>
      <c r="AH122" s="284"/>
    </row>
    <row r="123" spans="2:34" ht="11.25" x14ac:dyDescent="0.15">
      <c r="B123" s="603"/>
      <c r="C123" s="286"/>
      <c r="D123" s="287"/>
      <c r="E123" s="288"/>
      <c r="F123" s="288"/>
      <c r="G123" s="288"/>
      <c r="H123" s="288"/>
      <c r="K123" s="955" t="s">
        <v>350</v>
      </c>
      <c r="L123" s="956" t="s">
        <v>351</v>
      </c>
      <c r="M123" s="957" t="s">
        <v>284</v>
      </c>
      <c r="N123" s="957" t="s">
        <v>251</v>
      </c>
      <c r="O123" s="958"/>
      <c r="P123" s="973">
        <v>6813</v>
      </c>
      <c r="Q123" s="270"/>
      <c r="S123" s="275"/>
      <c r="X123" s="276"/>
      <c r="AA123" s="275"/>
      <c r="AF123" s="276"/>
      <c r="AH123" s="284"/>
    </row>
    <row r="124" spans="2:34" ht="11.25" x14ac:dyDescent="0.15">
      <c r="B124" s="603"/>
      <c r="C124" s="286"/>
      <c r="D124" s="287"/>
      <c r="E124" s="288"/>
      <c r="F124" s="288"/>
      <c r="G124" s="288"/>
      <c r="H124" s="288"/>
      <c r="K124" s="955" t="s">
        <v>326</v>
      </c>
      <c r="L124" s="956" t="s">
        <v>326</v>
      </c>
      <c r="M124" s="957"/>
      <c r="N124" s="957" t="s">
        <v>251</v>
      </c>
      <c r="O124" s="958"/>
      <c r="P124" s="973"/>
      <c r="Q124" s="270"/>
      <c r="S124" s="275"/>
      <c r="X124" s="276"/>
      <c r="AA124" s="275"/>
      <c r="AF124" s="276"/>
      <c r="AH124" s="284"/>
    </row>
    <row r="125" spans="2:34" ht="11.25" x14ac:dyDescent="0.15">
      <c r="B125" s="603"/>
      <c r="C125" s="286"/>
      <c r="D125" s="287"/>
      <c r="E125" s="288"/>
      <c r="F125" s="288"/>
      <c r="G125" s="288"/>
      <c r="H125" s="288"/>
      <c r="K125" s="977" t="s">
        <v>488</v>
      </c>
      <c r="L125" s="978" t="s">
        <v>359</v>
      </c>
      <c r="M125" s="979" t="s">
        <v>284</v>
      </c>
      <c r="N125" s="979" t="s">
        <v>251</v>
      </c>
      <c r="O125" s="980"/>
      <c r="P125" s="987" t="s">
        <v>498</v>
      </c>
      <c r="Q125" s="270"/>
      <c r="S125" s="275"/>
      <c r="X125" s="276"/>
      <c r="AA125" s="275"/>
      <c r="AF125" s="276"/>
      <c r="AH125" s="284"/>
    </row>
    <row r="126" spans="2:34" ht="11.25" x14ac:dyDescent="0.15">
      <c r="B126" s="603"/>
      <c r="C126" s="286"/>
      <c r="D126" s="287"/>
      <c r="E126" s="288"/>
      <c r="F126" s="288"/>
      <c r="G126" s="288"/>
      <c r="H126" s="288"/>
      <c r="K126" s="955" t="s">
        <v>335</v>
      </c>
      <c r="L126" s="956" t="s">
        <v>335</v>
      </c>
      <c r="M126" s="957"/>
      <c r="N126" s="957"/>
      <c r="O126" s="958"/>
      <c r="P126" s="973"/>
      <c r="Q126" s="270"/>
      <c r="S126" s="275"/>
      <c r="X126" s="276"/>
      <c r="AA126" s="275"/>
      <c r="AF126" s="276"/>
      <c r="AH126" s="284"/>
    </row>
    <row r="127" spans="2:34" ht="11.25" x14ac:dyDescent="0.15">
      <c r="B127" s="603"/>
      <c r="C127" s="286"/>
      <c r="D127" s="287"/>
      <c r="E127" s="288"/>
      <c r="F127" s="288"/>
      <c r="G127" s="288"/>
      <c r="H127" s="288"/>
      <c r="K127" s="990"/>
      <c r="L127" s="991"/>
      <c r="M127" s="991"/>
      <c r="N127" s="991"/>
      <c r="O127" s="991"/>
      <c r="P127" s="992"/>
      <c r="Q127" s="270"/>
      <c r="S127" s="275"/>
      <c r="X127" s="276"/>
      <c r="AA127" s="275"/>
      <c r="AF127" s="276"/>
      <c r="AH127" s="284"/>
    </row>
    <row r="128" spans="2:34" ht="11.25" x14ac:dyDescent="0.15">
      <c r="B128" s="603"/>
      <c r="C128" s="286"/>
      <c r="D128" s="287"/>
      <c r="E128" s="288"/>
      <c r="F128" s="288"/>
      <c r="G128" s="288"/>
      <c r="H128" s="288"/>
      <c r="K128" s="275"/>
      <c r="P128" s="276"/>
      <c r="Q128" s="270"/>
      <c r="S128" s="275"/>
      <c r="X128" s="276"/>
      <c r="AA128" s="275"/>
      <c r="AF128" s="276"/>
      <c r="AH128" s="284"/>
    </row>
    <row r="129" spans="2:34" ht="11.25" x14ac:dyDescent="0.15">
      <c r="B129" s="603"/>
      <c r="C129" s="286"/>
      <c r="D129" s="287"/>
      <c r="E129" s="288"/>
      <c r="F129" s="288"/>
      <c r="G129" s="288"/>
      <c r="H129" s="288"/>
      <c r="K129" s="1009"/>
      <c r="L129" s="923"/>
      <c r="M129" s="923"/>
      <c r="N129" s="923"/>
      <c r="O129" s="923"/>
      <c r="P129" s="1011"/>
      <c r="Q129" s="270"/>
      <c r="S129" s="1009"/>
      <c r="T129" s="923"/>
      <c r="U129" s="923"/>
      <c r="V129" s="923"/>
      <c r="W129" s="923"/>
      <c r="X129" s="1011"/>
      <c r="AA129" s="275"/>
      <c r="AF129" s="276"/>
      <c r="AH129" s="284"/>
    </row>
    <row r="130" spans="2:34" ht="11.25" x14ac:dyDescent="0.15">
      <c r="B130" s="603"/>
      <c r="C130" s="286"/>
      <c r="D130" s="287"/>
      <c r="E130" s="288"/>
      <c r="F130" s="288"/>
      <c r="G130" s="288"/>
      <c r="H130" s="288"/>
      <c r="K130" s="847" t="s">
        <v>226</v>
      </c>
      <c r="L130" s="848" t="s">
        <v>227</v>
      </c>
      <c r="M130" s="849" t="s">
        <v>228</v>
      </c>
      <c r="N130" s="849" t="s">
        <v>229</v>
      </c>
      <c r="O130" s="849" t="s">
        <v>230</v>
      </c>
      <c r="P130" s="849" t="s">
        <v>231</v>
      </c>
      <c r="Q130" s="270"/>
      <c r="S130" s="847" t="s">
        <v>226</v>
      </c>
      <c r="T130" s="848" t="s">
        <v>227</v>
      </c>
      <c r="U130" s="849" t="s">
        <v>228</v>
      </c>
      <c r="V130" s="849" t="s">
        <v>229</v>
      </c>
      <c r="W130" s="849" t="s">
        <v>230</v>
      </c>
      <c r="X130" s="849" t="s">
        <v>231</v>
      </c>
      <c r="AA130" s="275"/>
      <c r="AF130" s="276"/>
      <c r="AH130" s="284"/>
    </row>
    <row r="131" spans="2:34" ht="11.25" x14ac:dyDescent="0.15">
      <c r="B131" s="603"/>
      <c r="C131" s="286"/>
      <c r="D131" s="287"/>
      <c r="E131" s="288"/>
      <c r="F131" s="288"/>
      <c r="G131" s="288"/>
      <c r="H131" s="288"/>
      <c r="K131" s="960" t="s">
        <v>248</v>
      </c>
      <c r="L131" s="961" t="s">
        <v>249</v>
      </c>
      <c r="M131" s="964" t="s">
        <v>250</v>
      </c>
      <c r="N131" s="964" t="s">
        <v>251</v>
      </c>
      <c r="O131" s="965" t="s">
        <v>252</v>
      </c>
      <c r="P131" s="966" t="s">
        <v>480</v>
      </c>
      <c r="Q131" s="270"/>
      <c r="S131" s="967" t="s">
        <v>248</v>
      </c>
      <c r="T131" s="968" t="s">
        <v>253</v>
      </c>
      <c r="U131" s="964" t="s">
        <v>250</v>
      </c>
      <c r="V131" s="965" t="s">
        <v>251</v>
      </c>
      <c r="W131" s="963" t="s">
        <v>252</v>
      </c>
      <c r="X131" s="969">
        <v>6079449</v>
      </c>
      <c r="AA131" s="275"/>
      <c r="AF131" s="276"/>
      <c r="AH131" s="284"/>
    </row>
    <row r="132" spans="2:34" x14ac:dyDescent="0.15">
      <c r="B132" s="603"/>
      <c r="C132" s="286"/>
      <c r="D132" s="287"/>
      <c r="E132" s="288"/>
      <c r="F132" s="288"/>
      <c r="G132" s="288"/>
      <c r="H132" s="288"/>
      <c r="K132" s="972" t="s">
        <v>244</v>
      </c>
      <c r="L132" s="956" t="s">
        <v>256</v>
      </c>
      <c r="M132" s="957" t="s">
        <v>246</v>
      </c>
      <c r="N132" s="957" t="s">
        <v>251</v>
      </c>
      <c r="O132" s="958" t="s">
        <v>252</v>
      </c>
      <c r="P132" s="973" t="s">
        <v>483</v>
      </c>
      <c r="S132" s="974" t="s">
        <v>244</v>
      </c>
      <c r="T132" s="956" t="s">
        <v>245</v>
      </c>
      <c r="U132" s="957" t="s">
        <v>246</v>
      </c>
      <c r="V132" s="958" t="s">
        <v>251</v>
      </c>
      <c r="W132" s="975" t="s">
        <v>252</v>
      </c>
      <c r="X132" s="976">
        <v>5</v>
      </c>
      <c r="AA132" s="275"/>
      <c r="AF132" s="276"/>
      <c r="AH132" s="284"/>
    </row>
    <row r="133" spans="2:34" x14ac:dyDescent="0.15">
      <c r="B133" s="603"/>
      <c r="C133" s="286"/>
      <c r="D133" s="287"/>
      <c r="E133" s="288"/>
      <c r="F133" s="288"/>
      <c r="G133" s="288"/>
      <c r="H133" s="288"/>
      <c r="K133" s="982" t="s">
        <v>257</v>
      </c>
      <c r="L133" s="956" t="s">
        <v>258</v>
      </c>
      <c r="M133" s="957" t="s">
        <v>250</v>
      </c>
      <c r="N133" s="957" t="s">
        <v>251</v>
      </c>
      <c r="O133" s="958" t="s">
        <v>252</v>
      </c>
      <c r="P133" s="973">
        <v>200000</v>
      </c>
      <c r="S133" s="974" t="s">
        <v>261</v>
      </c>
      <c r="T133" s="956" t="s">
        <v>262</v>
      </c>
      <c r="U133" s="957" t="s">
        <v>246</v>
      </c>
      <c r="V133" s="958" t="s">
        <v>251</v>
      </c>
      <c r="W133" s="975" t="s">
        <v>252</v>
      </c>
      <c r="X133" s="976">
        <v>2</v>
      </c>
      <c r="AA133" s="275"/>
      <c r="AF133" s="276"/>
      <c r="AH133" s="284"/>
    </row>
    <row r="134" spans="2:34" x14ac:dyDescent="0.15">
      <c r="B134" s="603"/>
      <c r="C134" s="286"/>
      <c r="D134" s="287"/>
      <c r="E134" s="288"/>
      <c r="F134" s="288"/>
      <c r="G134" s="288"/>
      <c r="H134" s="288"/>
      <c r="K134" s="983" t="s">
        <v>266</v>
      </c>
      <c r="L134" s="968" t="s">
        <v>267</v>
      </c>
      <c r="M134" s="964" t="s">
        <v>237</v>
      </c>
      <c r="N134" s="964">
        <v>12</v>
      </c>
      <c r="O134" s="965"/>
      <c r="P134" s="984"/>
      <c r="S134" s="977" t="s">
        <v>268</v>
      </c>
      <c r="T134" s="978" t="s">
        <v>269</v>
      </c>
      <c r="U134" s="979" t="s">
        <v>246</v>
      </c>
      <c r="V134" s="980" t="s">
        <v>251</v>
      </c>
      <c r="W134" s="985" t="s">
        <v>252</v>
      </c>
      <c r="X134" s="986">
        <v>3</v>
      </c>
      <c r="AA134" s="275"/>
      <c r="AF134" s="276"/>
      <c r="AH134" s="284"/>
    </row>
    <row r="135" spans="2:34" x14ac:dyDescent="0.15">
      <c r="B135" s="603"/>
      <c r="C135" s="286"/>
      <c r="D135" s="287"/>
      <c r="E135" s="288"/>
      <c r="F135" s="288"/>
      <c r="G135" s="288"/>
      <c r="H135" s="288"/>
      <c r="K135" s="977" t="s">
        <v>273</v>
      </c>
      <c r="L135" s="978" t="s">
        <v>274</v>
      </c>
      <c r="M135" s="979" t="s">
        <v>246</v>
      </c>
      <c r="N135" s="979" t="s">
        <v>251</v>
      </c>
      <c r="O135" s="980"/>
      <c r="P135" s="987" t="s">
        <v>483</v>
      </c>
      <c r="S135" s="955" t="s">
        <v>282</v>
      </c>
      <c r="T135" s="956" t="s">
        <v>283</v>
      </c>
      <c r="U135" s="957" t="s">
        <v>284</v>
      </c>
      <c r="V135" s="958" t="s">
        <v>251</v>
      </c>
      <c r="W135" s="958" t="s">
        <v>251</v>
      </c>
      <c r="X135" s="971">
        <v>0</v>
      </c>
      <c r="AA135" s="275"/>
      <c r="AF135" s="276"/>
      <c r="AH135" s="284"/>
    </row>
    <row r="136" spans="2:34" x14ac:dyDescent="0.15">
      <c r="B136" s="603"/>
      <c r="C136" s="286"/>
      <c r="D136" s="287"/>
      <c r="E136" s="288"/>
      <c r="F136" s="288"/>
      <c r="G136" s="288"/>
      <c r="H136" s="288"/>
      <c r="K136" s="955" t="s">
        <v>313</v>
      </c>
      <c r="L136" s="956" t="s">
        <v>314</v>
      </c>
      <c r="M136" s="957" t="s">
        <v>237</v>
      </c>
      <c r="N136" s="957">
        <v>24</v>
      </c>
      <c r="O136" s="958"/>
      <c r="P136" s="973" t="s">
        <v>502</v>
      </c>
      <c r="S136" s="982" t="s">
        <v>257</v>
      </c>
      <c r="T136" s="956" t="s">
        <v>258</v>
      </c>
      <c r="U136" s="957" t="s">
        <v>250</v>
      </c>
      <c r="V136" s="958" t="s">
        <v>251</v>
      </c>
      <c r="W136" s="958" t="s">
        <v>252</v>
      </c>
      <c r="X136" s="971">
        <v>200000</v>
      </c>
      <c r="AA136" s="275"/>
      <c r="AF136" s="276"/>
      <c r="AH136" s="284"/>
    </row>
    <row r="137" spans="2:34" x14ac:dyDescent="0.15">
      <c r="B137" s="603"/>
      <c r="C137" s="286"/>
      <c r="D137" s="287"/>
      <c r="E137" s="288"/>
      <c r="F137" s="288"/>
      <c r="G137" s="288"/>
      <c r="H137" s="288"/>
      <c r="K137" s="955" t="s">
        <v>319</v>
      </c>
      <c r="L137" s="956" t="s">
        <v>320</v>
      </c>
      <c r="M137" s="957" t="s">
        <v>237</v>
      </c>
      <c r="N137" s="957">
        <v>24</v>
      </c>
      <c r="O137" s="958"/>
      <c r="P137" s="973" t="s">
        <v>503</v>
      </c>
      <c r="S137" s="988" t="s">
        <v>295</v>
      </c>
      <c r="T137" s="956" t="s">
        <v>296</v>
      </c>
      <c r="U137" s="957" t="s">
        <v>297</v>
      </c>
      <c r="V137" s="957"/>
      <c r="W137" s="958"/>
      <c r="X137" s="971">
        <v>0</v>
      </c>
      <c r="AA137" s="275"/>
      <c r="AF137" s="276"/>
      <c r="AH137" s="284"/>
    </row>
    <row r="138" spans="2:34" x14ac:dyDescent="0.15">
      <c r="B138" s="603"/>
      <c r="C138" s="286"/>
      <c r="D138" s="287"/>
      <c r="E138" s="288"/>
      <c r="F138" s="288"/>
      <c r="G138" s="288"/>
      <c r="H138" s="288"/>
      <c r="K138" s="955" t="s">
        <v>326</v>
      </c>
      <c r="L138" s="956" t="s">
        <v>326</v>
      </c>
      <c r="M138" s="957"/>
      <c r="N138" s="957" t="s">
        <v>251</v>
      </c>
      <c r="O138" s="958"/>
      <c r="P138" s="973"/>
      <c r="S138" s="275"/>
      <c r="X138" s="276"/>
      <c r="AA138" s="275"/>
      <c r="AF138" s="276"/>
      <c r="AH138" s="284"/>
    </row>
    <row r="139" spans="2:34" x14ac:dyDescent="0.15">
      <c r="B139" s="603"/>
      <c r="C139" s="286"/>
      <c r="D139" s="287"/>
      <c r="E139" s="288"/>
      <c r="F139" s="288"/>
      <c r="G139" s="288"/>
      <c r="H139" s="288"/>
      <c r="K139" s="955" t="s">
        <v>337</v>
      </c>
      <c r="L139" s="956" t="s">
        <v>338</v>
      </c>
      <c r="M139" s="957" t="s">
        <v>278</v>
      </c>
      <c r="N139" s="957" t="s">
        <v>251</v>
      </c>
      <c r="O139" s="958"/>
      <c r="P139" s="973" t="s">
        <v>486</v>
      </c>
      <c r="S139" s="275"/>
      <c r="X139" s="276"/>
      <c r="AA139" s="275"/>
      <c r="AF139" s="276"/>
      <c r="AH139" s="284"/>
    </row>
    <row r="140" spans="2:34" x14ac:dyDescent="0.15">
      <c r="B140" s="603"/>
      <c r="C140" s="286"/>
      <c r="D140" s="287"/>
      <c r="E140" s="288"/>
      <c r="F140" s="288"/>
      <c r="G140" s="288"/>
      <c r="H140" s="288"/>
      <c r="K140" s="955" t="s">
        <v>326</v>
      </c>
      <c r="L140" s="956" t="s">
        <v>326</v>
      </c>
      <c r="M140" s="957"/>
      <c r="N140" s="957" t="s">
        <v>251</v>
      </c>
      <c r="O140" s="958"/>
      <c r="P140" s="973"/>
      <c r="S140" s="275"/>
      <c r="X140" s="276"/>
      <c r="AA140" s="275"/>
      <c r="AF140" s="276"/>
      <c r="AH140" s="284"/>
    </row>
    <row r="141" spans="2:34" x14ac:dyDescent="0.15">
      <c r="B141" s="603"/>
      <c r="C141" s="286"/>
      <c r="D141" s="287"/>
      <c r="E141" s="288"/>
      <c r="F141" s="288"/>
      <c r="G141" s="288"/>
      <c r="H141" s="288"/>
      <c r="K141" s="955" t="s">
        <v>350</v>
      </c>
      <c r="L141" s="956" t="s">
        <v>351</v>
      </c>
      <c r="M141" s="957" t="s">
        <v>284</v>
      </c>
      <c r="N141" s="957" t="s">
        <v>251</v>
      </c>
      <c r="O141" s="958"/>
      <c r="P141" s="973" t="s">
        <v>487</v>
      </c>
      <c r="S141" s="275"/>
      <c r="X141" s="276"/>
      <c r="AA141" s="275"/>
      <c r="AF141" s="276"/>
      <c r="AH141" s="284"/>
    </row>
    <row r="142" spans="2:34" x14ac:dyDescent="0.15">
      <c r="B142" s="603"/>
      <c r="C142" s="286"/>
      <c r="D142" s="287"/>
      <c r="E142" s="288"/>
      <c r="F142" s="288"/>
      <c r="G142" s="288"/>
      <c r="H142" s="288"/>
      <c r="K142" s="955" t="s">
        <v>326</v>
      </c>
      <c r="L142" s="956" t="s">
        <v>326</v>
      </c>
      <c r="M142" s="957"/>
      <c r="N142" s="957" t="s">
        <v>251</v>
      </c>
      <c r="O142" s="958"/>
      <c r="P142" s="973"/>
      <c r="S142" s="275"/>
      <c r="X142" s="276"/>
      <c r="AA142" s="275"/>
      <c r="AF142" s="276"/>
      <c r="AH142" s="284"/>
    </row>
    <row r="143" spans="2:34" x14ac:dyDescent="0.15">
      <c r="B143" s="603"/>
      <c r="C143" s="286"/>
      <c r="D143" s="287"/>
      <c r="E143" s="288"/>
      <c r="F143" s="288"/>
      <c r="G143" s="288"/>
      <c r="H143" s="288"/>
      <c r="K143" s="977" t="s">
        <v>488</v>
      </c>
      <c r="L143" s="978" t="s">
        <v>359</v>
      </c>
      <c r="M143" s="979" t="s">
        <v>284</v>
      </c>
      <c r="N143" s="979" t="s">
        <v>251</v>
      </c>
      <c r="O143" s="980"/>
      <c r="P143" s="987" t="s">
        <v>487</v>
      </c>
      <c r="S143" s="275"/>
      <c r="X143" s="276"/>
      <c r="AA143" s="275"/>
      <c r="AF143" s="276"/>
      <c r="AH143" s="284"/>
    </row>
    <row r="144" spans="2:34" x14ac:dyDescent="0.15">
      <c r="B144" s="603"/>
      <c r="K144" s="955" t="s">
        <v>335</v>
      </c>
      <c r="L144" s="956" t="s">
        <v>335</v>
      </c>
      <c r="M144" s="957"/>
      <c r="N144" s="957"/>
      <c r="O144" s="958"/>
      <c r="P144" s="973"/>
      <c r="S144" s="275"/>
      <c r="X144" s="276"/>
      <c r="AA144" s="275"/>
      <c r="AF144" s="276"/>
      <c r="AH144" s="284"/>
    </row>
    <row r="145" spans="2:34" x14ac:dyDescent="0.15">
      <c r="B145" s="603"/>
      <c r="K145" s="990"/>
      <c r="L145" s="991"/>
      <c r="M145" s="991"/>
      <c r="N145" s="991"/>
      <c r="O145" s="991"/>
      <c r="P145" s="992"/>
      <c r="S145" s="275"/>
      <c r="X145" s="276"/>
      <c r="AA145" s="275"/>
      <c r="AF145" s="276"/>
      <c r="AH145" s="284"/>
    </row>
    <row r="146" spans="2:34" x14ac:dyDescent="0.15">
      <c r="B146" s="603"/>
      <c r="K146" s="275"/>
      <c r="P146" s="276"/>
      <c r="S146" s="275"/>
      <c r="X146" s="276"/>
      <c r="AA146" s="275"/>
      <c r="AF146" s="276"/>
      <c r="AH146" s="284"/>
    </row>
    <row r="147" spans="2:34" x14ac:dyDescent="0.15">
      <c r="B147" s="603"/>
      <c r="K147" s="1009" t="s">
        <v>506</v>
      </c>
      <c r="L147" s="1010"/>
      <c r="M147" s="1010"/>
      <c r="N147" s="1010"/>
      <c r="O147" s="1010"/>
      <c r="P147" s="1011"/>
      <c r="S147" s="275"/>
      <c r="X147" s="276"/>
      <c r="AA147" s="275"/>
      <c r="AF147" s="276"/>
      <c r="AH147" s="284"/>
    </row>
    <row r="148" spans="2:34" x14ac:dyDescent="0.15">
      <c r="B148" s="603"/>
      <c r="K148" s="847" t="s">
        <v>226</v>
      </c>
      <c r="L148" s="848" t="s">
        <v>227</v>
      </c>
      <c r="M148" s="849" t="s">
        <v>228</v>
      </c>
      <c r="N148" s="849" t="s">
        <v>229</v>
      </c>
      <c r="O148" s="849" t="s">
        <v>230</v>
      </c>
      <c r="P148" s="849" t="s">
        <v>231</v>
      </c>
      <c r="S148" s="847" t="s">
        <v>226</v>
      </c>
      <c r="T148" s="848" t="s">
        <v>227</v>
      </c>
      <c r="U148" s="849" t="s">
        <v>228</v>
      </c>
      <c r="V148" s="849" t="s">
        <v>229</v>
      </c>
      <c r="W148" s="849" t="s">
        <v>230</v>
      </c>
      <c r="X148" s="849" t="s">
        <v>231</v>
      </c>
      <c r="AA148" s="847" t="s">
        <v>226</v>
      </c>
      <c r="AB148" s="848" t="s">
        <v>227</v>
      </c>
      <c r="AC148" s="849" t="s">
        <v>228</v>
      </c>
      <c r="AD148" s="849" t="s">
        <v>229</v>
      </c>
      <c r="AE148" s="849" t="s">
        <v>230</v>
      </c>
      <c r="AF148" s="849" t="s">
        <v>231</v>
      </c>
      <c r="AH148" s="284"/>
    </row>
    <row r="149" spans="2:34" x14ac:dyDescent="0.15">
      <c r="B149" s="603"/>
      <c r="K149" s="960" t="s">
        <v>248</v>
      </c>
      <c r="L149" s="961" t="s">
        <v>249</v>
      </c>
      <c r="M149" s="964" t="s">
        <v>250</v>
      </c>
      <c r="N149" s="964" t="s">
        <v>251</v>
      </c>
      <c r="O149" s="965" t="s">
        <v>252</v>
      </c>
      <c r="P149" s="966" t="s">
        <v>480</v>
      </c>
      <c r="S149" s="967" t="s">
        <v>248</v>
      </c>
      <c r="T149" s="968" t="s">
        <v>253</v>
      </c>
      <c r="U149" s="964" t="s">
        <v>250</v>
      </c>
      <c r="V149" s="965" t="s">
        <v>251</v>
      </c>
      <c r="W149" s="963" t="s">
        <v>252</v>
      </c>
      <c r="X149" s="969">
        <v>6079449</v>
      </c>
      <c r="AA149" s="967" t="s">
        <v>248</v>
      </c>
      <c r="AB149" s="968" t="s">
        <v>249</v>
      </c>
      <c r="AC149" s="964" t="s">
        <v>250</v>
      </c>
      <c r="AD149" s="964" t="s">
        <v>251</v>
      </c>
      <c r="AE149" s="965" t="s">
        <v>247</v>
      </c>
      <c r="AF149" s="1025">
        <v>6079449</v>
      </c>
      <c r="AH149" s="284"/>
    </row>
    <row r="150" spans="2:34" x14ac:dyDescent="0.15">
      <c r="B150" s="603"/>
      <c r="K150" s="972" t="s">
        <v>244</v>
      </c>
      <c r="L150" s="956" t="s">
        <v>256</v>
      </c>
      <c r="M150" s="957" t="s">
        <v>246</v>
      </c>
      <c r="N150" s="957" t="s">
        <v>251</v>
      </c>
      <c r="O150" s="958" t="s">
        <v>252</v>
      </c>
      <c r="P150" s="973" t="s">
        <v>514</v>
      </c>
      <c r="S150" s="974" t="s">
        <v>244</v>
      </c>
      <c r="T150" s="956" t="s">
        <v>245</v>
      </c>
      <c r="U150" s="957" t="s">
        <v>246</v>
      </c>
      <c r="V150" s="958" t="s">
        <v>251</v>
      </c>
      <c r="W150" s="975" t="s">
        <v>252</v>
      </c>
      <c r="X150" s="976">
        <v>6</v>
      </c>
      <c r="AA150" s="1026" t="s">
        <v>244</v>
      </c>
      <c r="AB150" s="956" t="s">
        <v>245</v>
      </c>
      <c r="AC150" s="957" t="s">
        <v>246</v>
      </c>
      <c r="AD150" s="957" t="s">
        <v>251</v>
      </c>
      <c r="AE150" s="958" t="s">
        <v>247</v>
      </c>
      <c r="AF150" s="1027">
        <v>7</v>
      </c>
      <c r="AH150" s="284"/>
    </row>
    <row r="151" spans="2:34" x14ac:dyDescent="0.15">
      <c r="B151" s="603"/>
      <c r="K151" s="982" t="s">
        <v>257</v>
      </c>
      <c r="L151" s="956" t="s">
        <v>258</v>
      </c>
      <c r="M151" s="957" t="s">
        <v>250</v>
      </c>
      <c r="N151" s="957" t="s">
        <v>251</v>
      </c>
      <c r="O151" s="958" t="s">
        <v>252</v>
      </c>
      <c r="P151" s="973">
        <v>200000</v>
      </c>
      <c r="S151" s="974" t="s">
        <v>261</v>
      </c>
      <c r="T151" s="956" t="s">
        <v>262</v>
      </c>
      <c r="U151" s="957" t="s">
        <v>246</v>
      </c>
      <c r="V151" s="958" t="s">
        <v>251</v>
      </c>
      <c r="W151" s="975" t="s">
        <v>252</v>
      </c>
      <c r="X151" s="976">
        <v>7</v>
      </c>
      <c r="AA151" s="982" t="s">
        <v>257</v>
      </c>
      <c r="AB151" s="956" t="s">
        <v>258</v>
      </c>
      <c r="AC151" s="957" t="s">
        <v>250</v>
      </c>
      <c r="AD151" s="957" t="s">
        <v>251</v>
      </c>
      <c r="AE151" s="958" t="s">
        <v>247</v>
      </c>
      <c r="AF151" s="1027">
        <v>200000</v>
      </c>
      <c r="AH151" s="284"/>
    </row>
    <row r="152" spans="2:34" x14ac:dyDescent="0.15">
      <c r="B152" s="603"/>
      <c r="K152" s="983" t="s">
        <v>266</v>
      </c>
      <c r="L152" s="968" t="s">
        <v>267</v>
      </c>
      <c r="M152" s="964" t="s">
        <v>237</v>
      </c>
      <c r="N152" s="964">
        <v>12</v>
      </c>
      <c r="O152" s="965"/>
      <c r="P152" s="984"/>
      <c r="S152" s="977" t="s">
        <v>268</v>
      </c>
      <c r="T152" s="978" t="s">
        <v>269</v>
      </c>
      <c r="U152" s="979" t="s">
        <v>246</v>
      </c>
      <c r="V152" s="980" t="s">
        <v>251</v>
      </c>
      <c r="W152" s="985" t="s">
        <v>252</v>
      </c>
      <c r="X152" s="986">
        <v>3</v>
      </c>
      <c r="AA152" s="1028" t="s">
        <v>398</v>
      </c>
      <c r="AB152" s="978" t="s">
        <v>399</v>
      </c>
      <c r="AC152" s="979" t="s">
        <v>246</v>
      </c>
      <c r="AD152" s="979" t="s">
        <v>251</v>
      </c>
      <c r="AE152" s="980"/>
      <c r="AF152" s="1029">
        <v>1</v>
      </c>
      <c r="AH152" s="284"/>
    </row>
    <row r="153" spans="2:34" x14ac:dyDescent="0.15">
      <c r="B153" s="603"/>
      <c r="K153" s="977" t="s">
        <v>273</v>
      </c>
      <c r="L153" s="978" t="s">
        <v>274</v>
      </c>
      <c r="M153" s="979" t="s">
        <v>246</v>
      </c>
      <c r="N153" s="979" t="s">
        <v>251</v>
      </c>
      <c r="O153" s="980"/>
      <c r="P153" s="987" t="s">
        <v>483</v>
      </c>
      <c r="S153" s="955" t="s">
        <v>282</v>
      </c>
      <c r="T153" s="956" t="s">
        <v>283</v>
      </c>
      <c r="U153" s="957" t="s">
        <v>284</v>
      </c>
      <c r="V153" s="958" t="s">
        <v>251</v>
      </c>
      <c r="W153" s="958" t="s">
        <v>251</v>
      </c>
      <c r="X153" s="971">
        <v>0</v>
      </c>
      <c r="AA153" s="999"/>
      <c r="AB153" s="951" t="s">
        <v>535</v>
      </c>
      <c r="AC153" s="952"/>
      <c r="AD153" s="952"/>
      <c r="AE153" s="953"/>
      <c r="AF153" s="1030"/>
      <c r="AH153" s="284"/>
    </row>
    <row r="154" spans="2:34" x14ac:dyDescent="0.15">
      <c r="B154" s="603"/>
      <c r="K154" s="955" t="s">
        <v>313</v>
      </c>
      <c r="L154" s="956" t="s">
        <v>314</v>
      </c>
      <c r="M154" s="957" t="s">
        <v>237</v>
      </c>
      <c r="N154" s="957">
        <v>24</v>
      </c>
      <c r="O154" s="958"/>
      <c r="P154" s="973" t="s">
        <v>523</v>
      </c>
      <c r="S154" s="982" t="s">
        <v>257</v>
      </c>
      <c r="T154" s="956" t="s">
        <v>258</v>
      </c>
      <c r="U154" s="957" t="s">
        <v>250</v>
      </c>
      <c r="V154" s="958" t="s">
        <v>251</v>
      </c>
      <c r="W154" s="958" t="s">
        <v>252</v>
      </c>
      <c r="X154" s="971">
        <v>200000</v>
      </c>
      <c r="AA154" s="955" t="s">
        <v>402</v>
      </c>
      <c r="AB154" s="956" t="s">
        <v>403</v>
      </c>
      <c r="AC154" s="957" t="s">
        <v>246</v>
      </c>
      <c r="AD154" s="957" t="s">
        <v>251</v>
      </c>
      <c r="AE154" s="958" t="s">
        <v>251</v>
      </c>
      <c r="AF154" s="1027">
        <v>1</v>
      </c>
      <c r="AH154" s="284"/>
    </row>
    <row r="155" spans="2:34" x14ac:dyDescent="0.15">
      <c r="B155" s="603"/>
      <c r="K155" s="955" t="s">
        <v>319</v>
      </c>
      <c r="L155" s="956" t="s">
        <v>320</v>
      </c>
      <c r="M155" s="957" t="s">
        <v>237</v>
      </c>
      <c r="N155" s="957">
        <v>24</v>
      </c>
      <c r="O155" s="958"/>
      <c r="P155" s="973" t="s">
        <v>525</v>
      </c>
      <c r="S155" s="988" t="s">
        <v>295</v>
      </c>
      <c r="T155" s="956" t="s">
        <v>296</v>
      </c>
      <c r="U155" s="957" t="s">
        <v>297</v>
      </c>
      <c r="V155" s="957"/>
      <c r="W155" s="958"/>
      <c r="X155" s="971">
        <v>0</v>
      </c>
      <c r="AA155" s="955" t="s">
        <v>404</v>
      </c>
      <c r="AB155" s="956" t="s">
        <v>405</v>
      </c>
      <c r="AC155" s="957" t="s">
        <v>284</v>
      </c>
      <c r="AD155" s="957" t="s">
        <v>251</v>
      </c>
      <c r="AE155" s="958" t="s">
        <v>251</v>
      </c>
      <c r="AF155" s="1027">
        <v>100</v>
      </c>
      <c r="AH155" s="284"/>
    </row>
    <row r="156" spans="2:34" x14ac:dyDescent="0.15">
      <c r="B156" s="603"/>
      <c r="K156" s="955" t="s">
        <v>326</v>
      </c>
      <c r="L156" s="956" t="s">
        <v>326</v>
      </c>
      <c r="M156" s="957"/>
      <c r="N156" s="957" t="s">
        <v>251</v>
      </c>
      <c r="O156" s="958"/>
      <c r="P156" s="973"/>
      <c r="AA156" s="994" t="s">
        <v>290</v>
      </c>
      <c r="AB156" s="995" t="s">
        <v>291</v>
      </c>
      <c r="AC156" s="996" t="s">
        <v>246</v>
      </c>
      <c r="AD156" s="996" t="s">
        <v>251</v>
      </c>
      <c r="AE156" s="997" t="s">
        <v>251</v>
      </c>
      <c r="AF156" s="1031"/>
      <c r="AH156" s="284"/>
    </row>
    <row r="157" spans="2:34" x14ac:dyDescent="0.15">
      <c r="B157" s="603"/>
      <c r="K157" s="955" t="s">
        <v>337</v>
      </c>
      <c r="L157" s="956" t="s">
        <v>338</v>
      </c>
      <c r="M157" s="957" t="s">
        <v>278</v>
      </c>
      <c r="N157" s="957" t="s">
        <v>251</v>
      </c>
      <c r="O157" s="958"/>
      <c r="P157" s="973" t="s">
        <v>486</v>
      </c>
      <c r="AA157" s="955" t="s">
        <v>406</v>
      </c>
      <c r="AB157" s="956" t="s">
        <v>407</v>
      </c>
      <c r="AC157" s="957" t="s">
        <v>284</v>
      </c>
      <c r="AD157" s="957" t="s">
        <v>251</v>
      </c>
      <c r="AE157" s="958" t="s">
        <v>251</v>
      </c>
      <c r="AF157" s="1027">
        <v>0</v>
      </c>
      <c r="AH157" s="284"/>
    </row>
    <row r="158" spans="2:34" x14ac:dyDescent="0.15">
      <c r="B158" s="603"/>
      <c r="K158" s="955" t="s">
        <v>326</v>
      </c>
      <c r="L158" s="956" t="s">
        <v>326</v>
      </c>
      <c r="M158" s="957"/>
      <c r="N158" s="957" t="s">
        <v>251</v>
      </c>
      <c r="O158" s="958"/>
      <c r="P158" s="973"/>
      <c r="AA158" s="988" t="s">
        <v>410</v>
      </c>
      <c r="AB158" s="956" t="s">
        <v>411</v>
      </c>
      <c r="AC158" s="957" t="s">
        <v>284</v>
      </c>
      <c r="AD158" s="957"/>
      <c r="AE158" s="958"/>
      <c r="AF158" s="1027">
        <v>0</v>
      </c>
      <c r="AH158" s="284"/>
    </row>
    <row r="159" spans="2:34" x14ac:dyDescent="0.15">
      <c r="B159" s="603"/>
      <c r="K159" s="955" t="s">
        <v>350</v>
      </c>
      <c r="L159" s="956" t="s">
        <v>351</v>
      </c>
      <c r="M159" s="957" t="s">
        <v>284</v>
      </c>
      <c r="N159" s="957" t="s">
        <v>251</v>
      </c>
      <c r="O159" s="958"/>
      <c r="P159" s="973" t="s">
        <v>531</v>
      </c>
      <c r="AA159" s="988" t="s">
        <v>414</v>
      </c>
      <c r="AB159" s="956" t="s">
        <v>415</v>
      </c>
      <c r="AC159" s="957" t="s">
        <v>284</v>
      </c>
      <c r="AD159" s="957"/>
      <c r="AE159" s="958"/>
      <c r="AF159" s="1027">
        <v>1000</v>
      </c>
      <c r="AH159" s="284"/>
    </row>
    <row r="160" spans="2:34" x14ac:dyDescent="0.15">
      <c r="B160" s="603"/>
      <c r="K160" s="955" t="s">
        <v>326</v>
      </c>
      <c r="L160" s="956" t="s">
        <v>326</v>
      </c>
      <c r="M160" s="957"/>
      <c r="N160" s="957" t="s">
        <v>251</v>
      </c>
      <c r="O160" s="958"/>
      <c r="P160" s="973"/>
      <c r="AA160" s="988" t="s">
        <v>335</v>
      </c>
      <c r="AB160" s="956" t="s">
        <v>335</v>
      </c>
      <c r="AC160" s="1032"/>
      <c r="AD160" s="1032"/>
      <c r="AE160" s="1033"/>
      <c r="AF160" s="1034"/>
      <c r="AH160" s="284"/>
    </row>
    <row r="161" spans="2:34" x14ac:dyDescent="0.15">
      <c r="B161" s="603"/>
      <c r="K161" s="977" t="s">
        <v>488</v>
      </c>
      <c r="L161" s="978" t="s">
        <v>359</v>
      </c>
      <c r="M161" s="979" t="s">
        <v>284</v>
      </c>
      <c r="N161" s="979" t="s">
        <v>251</v>
      </c>
      <c r="O161" s="980"/>
      <c r="P161" s="987" t="s">
        <v>531</v>
      </c>
      <c r="AH161" s="284"/>
    </row>
    <row r="162" spans="2:34" x14ac:dyDescent="0.15">
      <c r="B162" s="603"/>
      <c r="K162" s="955" t="s">
        <v>335</v>
      </c>
      <c r="L162" s="956" t="s">
        <v>335</v>
      </c>
      <c r="M162" s="957"/>
      <c r="N162" s="957"/>
      <c r="O162" s="958"/>
      <c r="P162" s="973"/>
      <c r="AH162" s="284"/>
    </row>
    <row r="163" spans="2:34" x14ac:dyDescent="0.15">
      <c r="B163" s="1022"/>
      <c r="C163" s="1010"/>
      <c r="D163" s="1010"/>
      <c r="E163" s="1010"/>
      <c r="F163" s="1010"/>
      <c r="G163" s="1010"/>
      <c r="H163" s="1010"/>
      <c r="I163" s="1010"/>
      <c r="J163" s="1010"/>
      <c r="K163" s="1010"/>
      <c r="L163" s="1010"/>
      <c r="M163" s="1010"/>
      <c r="N163" s="1010"/>
      <c r="O163" s="1010"/>
      <c r="P163" s="1010"/>
      <c r="Q163" s="1023"/>
      <c r="R163" s="1010"/>
      <c r="S163" s="1010"/>
      <c r="T163" s="1010"/>
      <c r="U163" s="1010"/>
      <c r="V163" s="1010"/>
      <c r="W163" s="1010"/>
      <c r="X163" s="1010"/>
      <c r="Y163" s="1010"/>
      <c r="Z163" s="1010"/>
      <c r="AA163" s="1010"/>
      <c r="AB163" s="1010"/>
      <c r="AC163" s="1010"/>
      <c r="AD163" s="1010"/>
      <c r="AE163" s="1010"/>
      <c r="AF163" s="1010"/>
      <c r="AG163" s="1010"/>
      <c r="AH163" s="1024"/>
    </row>
  </sheetData>
  <mergeCells count="2">
    <mergeCell ref="N2:W3"/>
    <mergeCell ref="N84:W85"/>
  </mergeCells>
  <phoneticPr fontId="4"/>
  <pageMargins left="0.39370078740157483" right="0.39370078740157483" top="0.59055118110236227" bottom="0.78740157480314965" header="0.51181102362204722" footer="0.51181102362204722"/>
  <pageSetup paperSize="9" scale="53" fitToHeight="0" orientation="landscape" r:id="rId1"/>
  <headerFooter alignWithMargins="0">
    <oddFooter>&amp;RAll Rights Reserved, Copyright(c) Fujitsu  Limited 2024</oddFooter>
  </headerFooter>
  <rowBreaks count="1" manualBreakCount="1">
    <brk id="82" max="16383"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AD8DBB-15CE-49CA-B038-9844D76D081E}">
  <sheetPr>
    <pageSetUpPr fitToPage="1"/>
  </sheetPr>
  <dimension ref="A1:BE568"/>
  <sheetViews>
    <sheetView showGridLines="0" view="pageBreakPreview" topLeftCell="A410" zoomScaleNormal="115" zoomScaleSheetLayoutView="100" workbookViewId="0">
      <selection activeCell="T420" sqref="T420"/>
    </sheetView>
  </sheetViews>
  <sheetFormatPr defaultColWidth="3" defaultRowHeight="11.25" x14ac:dyDescent="0.15"/>
  <cols>
    <col min="1" max="8" width="3" style="291"/>
    <col min="9" max="10" width="4.875" style="291" bestFit="1" customWidth="1"/>
    <col min="11" max="11" width="4" style="291" bestFit="1" customWidth="1"/>
    <col min="12" max="18" width="3" style="291"/>
    <col min="19" max="20" width="4.875" style="291" bestFit="1" customWidth="1"/>
    <col min="21" max="27" width="3" style="291"/>
    <col min="28" max="28" width="4" style="291" bestFit="1" customWidth="1"/>
    <col min="29" max="36" width="3" style="291"/>
    <col min="37" max="37" width="4.875" style="291" bestFit="1" customWidth="1"/>
    <col min="38" max="38" width="4" style="291" bestFit="1" customWidth="1"/>
    <col min="39" max="16384" width="3" style="291"/>
  </cols>
  <sheetData>
    <row r="1" spans="2:57" s="91" customFormat="1" ht="12.95" customHeight="1" thickBot="1" x14ac:dyDescent="0.2"/>
    <row r="2" spans="2:57" s="91" customFormat="1" ht="12.75" customHeight="1" thickTop="1" x14ac:dyDescent="0.15">
      <c r="B2" s="50" t="s">
        <v>6</v>
      </c>
      <c r="C2" s="51"/>
      <c r="D2" s="51"/>
      <c r="E2" s="51"/>
      <c r="F2" s="51"/>
      <c r="G2" s="51"/>
      <c r="H2" s="51"/>
      <c r="I2" s="51"/>
      <c r="J2" s="51"/>
      <c r="K2" s="51"/>
      <c r="L2" s="51"/>
      <c r="M2" s="51"/>
      <c r="N2" s="52"/>
      <c r="O2" s="1247" t="s">
        <v>7</v>
      </c>
      <c r="P2" s="1248"/>
      <c r="Q2" s="1248"/>
      <c r="R2" s="1248"/>
      <c r="S2" s="1248"/>
      <c r="T2" s="1249"/>
      <c r="U2" s="1250" t="s">
        <v>8</v>
      </c>
      <c r="V2" s="1248"/>
      <c r="W2" s="1248"/>
      <c r="X2" s="1248"/>
      <c r="Y2" s="1248"/>
      <c r="Z2" s="1248"/>
      <c r="AA2" s="1249"/>
      <c r="AB2" s="1306" t="s">
        <v>536</v>
      </c>
      <c r="AC2" s="1307"/>
      <c r="AD2" s="1307"/>
      <c r="AE2" s="1307"/>
      <c r="AF2" s="1307"/>
      <c r="AG2" s="1307"/>
      <c r="AH2" s="1307"/>
      <c r="AI2" s="1307"/>
      <c r="AJ2" s="1307"/>
      <c r="AK2" s="1307"/>
      <c r="AL2" s="1307"/>
      <c r="AM2" s="1307"/>
      <c r="AN2" s="1308"/>
      <c r="AO2" s="1250" t="s">
        <v>10</v>
      </c>
      <c r="AP2" s="1249"/>
      <c r="AQ2" s="1303" t="s">
        <v>11</v>
      </c>
      <c r="AR2" s="1304"/>
      <c r="AS2" s="1305"/>
      <c r="AT2" s="1250" t="s">
        <v>12</v>
      </c>
      <c r="AU2" s="1248"/>
      <c r="AV2" s="1248"/>
      <c r="AW2" s="1249"/>
      <c r="AX2" s="1303" t="s">
        <v>13</v>
      </c>
      <c r="AY2" s="1304"/>
      <c r="AZ2" s="1305"/>
      <c r="BA2" s="1250" t="s">
        <v>14</v>
      </c>
      <c r="BB2" s="1248"/>
      <c r="BC2" s="1248"/>
      <c r="BD2" s="1249"/>
    </row>
    <row r="3" spans="2:57" s="91" customFormat="1" ht="12.75" customHeight="1" thickBot="1" x14ac:dyDescent="0.2">
      <c r="B3" s="1260" t="s">
        <v>15</v>
      </c>
      <c r="C3" s="1261"/>
      <c r="D3" s="1261"/>
      <c r="E3" s="1261"/>
      <c r="F3" s="1261"/>
      <c r="G3" s="1261"/>
      <c r="H3" s="1261"/>
      <c r="I3" s="1261"/>
      <c r="J3" s="1261"/>
      <c r="K3" s="1261"/>
      <c r="L3" s="1261"/>
      <c r="M3" s="1261"/>
      <c r="N3" s="1262"/>
      <c r="O3" s="1263" t="s">
        <v>16</v>
      </c>
      <c r="P3" s="1264"/>
      <c r="Q3" s="1264"/>
      <c r="R3" s="1264"/>
      <c r="S3" s="1264"/>
      <c r="T3" s="1265"/>
      <c r="U3" s="1266" t="s">
        <v>163</v>
      </c>
      <c r="V3" s="1264"/>
      <c r="W3" s="1264"/>
      <c r="X3" s="1264"/>
      <c r="Y3" s="1264"/>
      <c r="Z3" s="1264"/>
      <c r="AA3" s="1265"/>
      <c r="AB3" s="1309"/>
      <c r="AC3" s="1310"/>
      <c r="AD3" s="1310"/>
      <c r="AE3" s="1310"/>
      <c r="AF3" s="1310"/>
      <c r="AG3" s="1310"/>
      <c r="AH3" s="1310"/>
      <c r="AI3" s="1310"/>
      <c r="AJ3" s="1310"/>
      <c r="AK3" s="1310"/>
      <c r="AL3" s="1310"/>
      <c r="AM3" s="1310"/>
      <c r="AN3" s="1311"/>
      <c r="AO3" s="1267">
        <f>'取引ログテーブル関連図（補足説明）'!X3</f>
        <v>1.1200000000000001</v>
      </c>
      <c r="AP3" s="1268"/>
      <c r="AQ3" s="1266" t="s">
        <v>18</v>
      </c>
      <c r="AR3" s="1264"/>
      <c r="AS3" s="1265"/>
      <c r="AT3" s="1269">
        <f>'取引ログテーブル関連図（補足説明）'!AB3</f>
        <v>45709</v>
      </c>
      <c r="AU3" s="1270"/>
      <c r="AV3" s="1270"/>
      <c r="AW3" s="1270"/>
      <c r="AX3" s="1266" t="s">
        <v>18</v>
      </c>
      <c r="AY3" s="1264"/>
      <c r="AZ3" s="1265"/>
      <c r="BA3" s="1269">
        <v>45460</v>
      </c>
      <c r="BB3" s="1270"/>
      <c r="BC3" s="1270"/>
      <c r="BD3" s="1271"/>
    </row>
    <row r="4" spans="2:57" s="91" customFormat="1" ht="12.75" customHeight="1" thickTop="1" x14ac:dyDescent="0.15"/>
    <row r="5" spans="2:57" s="91" customFormat="1" ht="12.75" customHeight="1" x14ac:dyDescent="0.15">
      <c r="B5" s="1035"/>
      <c r="C5" s="1036"/>
      <c r="D5" s="1036"/>
      <c r="E5" s="1036"/>
      <c r="F5" s="1036"/>
      <c r="G5" s="1036"/>
      <c r="H5" s="1036"/>
      <c r="I5" s="1036"/>
      <c r="J5" s="1036"/>
      <c r="K5" s="1036"/>
      <c r="L5" s="1036"/>
      <c r="M5" s="1036"/>
      <c r="N5" s="1036"/>
      <c r="O5" s="1036"/>
      <c r="P5" s="1036"/>
      <c r="Q5" s="1036"/>
      <c r="R5" s="1036"/>
      <c r="S5" s="1036"/>
      <c r="T5" s="1036"/>
      <c r="U5" s="1036"/>
      <c r="V5" s="1036"/>
      <c r="W5" s="1036"/>
      <c r="X5" s="1036"/>
      <c r="Y5" s="1036"/>
      <c r="Z5" s="1036"/>
      <c r="AA5" s="1036"/>
      <c r="AB5" s="1036"/>
      <c r="AC5" s="1036"/>
      <c r="AD5" s="1036"/>
      <c r="AE5" s="1036"/>
      <c r="AF5" s="1036"/>
      <c r="AG5" s="1036"/>
      <c r="AH5" s="1036"/>
      <c r="AI5" s="1036"/>
      <c r="AJ5" s="1036"/>
      <c r="AK5" s="1036"/>
      <c r="AL5" s="1036"/>
      <c r="AM5" s="1036"/>
      <c r="AN5" s="1036"/>
      <c r="AO5" s="1036"/>
      <c r="AP5" s="1036"/>
      <c r="AQ5" s="1036"/>
      <c r="AR5" s="1036"/>
      <c r="AS5" s="1036"/>
      <c r="AT5" s="1036"/>
      <c r="AU5" s="1036"/>
      <c r="AV5" s="1036"/>
      <c r="AW5" s="1036"/>
      <c r="AX5" s="1036"/>
      <c r="AY5" s="1036"/>
      <c r="AZ5" s="1036"/>
      <c r="BA5" s="1036"/>
      <c r="BB5" s="1036"/>
      <c r="BC5" s="1036"/>
      <c r="BD5" s="1037"/>
    </row>
    <row r="6" spans="2:57" x14ac:dyDescent="0.15">
      <c r="B6" s="605"/>
      <c r="C6" s="500" t="s">
        <v>537</v>
      </c>
      <c r="D6" s="291" t="s">
        <v>538</v>
      </c>
      <c r="BD6" s="292"/>
      <c r="BE6" s="354" t="s">
        <v>539</v>
      </c>
    </row>
    <row r="7" spans="2:57" x14ac:dyDescent="0.15">
      <c r="B7" s="605"/>
      <c r="BD7" s="292"/>
    </row>
    <row r="8" spans="2:57" x14ac:dyDescent="0.15">
      <c r="B8" s="605"/>
      <c r="D8" s="340" t="s">
        <v>540</v>
      </c>
      <c r="F8" s="340"/>
      <c r="G8" s="340" t="s">
        <v>541</v>
      </c>
      <c r="H8" s="340"/>
      <c r="I8" s="341" t="s">
        <v>542</v>
      </c>
      <c r="J8" s="340" t="s">
        <v>543</v>
      </c>
      <c r="L8" s="340"/>
      <c r="M8" s="340"/>
      <c r="N8" s="340"/>
      <c r="O8" s="340"/>
      <c r="P8" s="340"/>
      <c r="Q8" s="340"/>
      <c r="R8" s="340"/>
      <c r="T8" s="340"/>
      <c r="BD8" s="292"/>
    </row>
    <row r="9" spans="2:57" x14ac:dyDescent="0.15">
      <c r="B9" s="605"/>
      <c r="D9" s="340" t="s">
        <v>540</v>
      </c>
      <c r="F9" s="340"/>
      <c r="G9" s="340" t="s">
        <v>541</v>
      </c>
      <c r="H9" s="340"/>
      <c r="I9" s="341" t="s">
        <v>542</v>
      </c>
      <c r="J9" s="340" t="s">
        <v>544</v>
      </c>
      <c r="L9" s="340"/>
      <c r="M9" s="340"/>
      <c r="N9" s="340"/>
      <c r="O9" s="340"/>
      <c r="P9" s="340"/>
      <c r="Q9" s="340"/>
      <c r="R9" s="340"/>
      <c r="T9" s="340"/>
      <c r="BD9" s="292"/>
    </row>
    <row r="10" spans="2:57" x14ac:dyDescent="0.15">
      <c r="B10" s="605"/>
      <c r="D10" s="340" t="s">
        <v>545</v>
      </c>
      <c r="F10" s="340"/>
      <c r="G10" s="340"/>
      <c r="H10" s="340"/>
      <c r="I10" s="341" t="s">
        <v>546</v>
      </c>
      <c r="J10" s="340"/>
      <c r="K10" s="340"/>
      <c r="L10" s="340"/>
      <c r="M10" s="340"/>
      <c r="N10" s="340"/>
      <c r="O10" s="340"/>
      <c r="P10" s="340"/>
      <c r="Q10" s="340"/>
      <c r="R10" s="340"/>
      <c r="T10" s="340"/>
      <c r="BD10" s="292"/>
    </row>
    <row r="11" spans="2:57" x14ac:dyDescent="0.15">
      <c r="B11" s="605"/>
      <c r="D11" s="340"/>
      <c r="E11" s="340"/>
      <c r="F11" s="340"/>
      <c r="G11" s="340"/>
      <c r="H11" s="340"/>
      <c r="I11" s="341"/>
      <c r="J11" s="340"/>
      <c r="K11" s="340"/>
      <c r="L11" s="340"/>
      <c r="M11" s="340"/>
      <c r="N11" s="340"/>
      <c r="O11" s="340"/>
      <c r="P11" s="340"/>
      <c r="Q11" s="340"/>
      <c r="R11" s="340"/>
      <c r="T11" s="340"/>
      <c r="BD11" s="292"/>
    </row>
    <row r="12" spans="2:57" x14ac:dyDescent="0.15">
      <c r="B12" s="605"/>
      <c r="D12" s="340" t="s">
        <v>547</v>
      </c>
      <c r="E12" s="340"/>
      <c r="F12" s="340"/>
      <c r="G12" s="340"/>
      <c r="H12" s="340"/>
      <c r="I12" s="340"/>
      <c r="J12" s="340"/>
      <c r="K12" s="340"/>
      <c r="L12" s="340"/>
      <c r="M12" s="340"/>
      <c r="N12" s="340"/>
      <c r="O12" s="340"/>
      <c r="P12" s="340"/>
      <c r="Q12" s="340"/>
      <c r="R12" s="340"/>
      <c r="T12" s="340"/>
      <c r="BD12" s="292"/>
    </row>
    <row r="13" spans="2:57" x14ac:dyDescent="0.15">
      <c r="B13" s="605"/>
      <c r="D13" s="340" t="s">
        <v>548</v>
      </c>
      <c r="E13" s="340"/>
      <c r="F13" s="340"/>
      <c r="G13" s="340"/>
      <c r="H13" s="340"/>
      <c r="I13" s="340"/>
      <c r="J13" s="340"/>
      <c r="K13" s="340"/>
      <c r="L13" s="340"/>
      <c r="M13" s="340"/>
      <c r="N13" s="340"/>
      <c r="O13" s="340"/>
      <c r="P13" s="340"/>
      <c r="Q13" s="340"/>
      <c r="R13" s="340"/>
      <c r="T13" s="340"/>
      <c r="BD13" s="292"/>
    </row>
    <row r="14" spans="2:57" x14ac:dyDescent="0.15">
      <c r="B14" s="605"/>
      <c r="D14" s="325"/>
      <c r="F14" s="325"/>
      <c r="I14" s="325"/>
      <c r="M14" s="325"/>
      <c r="BD14" s="292"/>
    </row>
    <row r="15" spans="2:57" x14ac:dyDescent="0.15">
      <c r="B15" s="605"/>
      <c r="D15" s="291" t="s">
        <v>549</v>
      </c>
      <c r="M15" s="291" t="s">
        <v>550</v>
      </c>
      <c r="V15" s="291" t="s">
        <v>551</v>
      </c>
      <c r="AE15" s="291" t="s">
        <v>182</v>
      </c>
      <c r="BD15" s="292"/>
    </row>
    <row r="16" spans="2:57" x14ac:dyDescent="0.15">
      <c r="B16" s="605"/>
      <c r="D16" s="1038" t="s">
        <v>552</v>
      </c>
      <c r="E16" s="1039"/>
      <c r="F16" s="1039"/>
      <c r="G16" s="1039"/>
      <c r="H16" s="1039"/>
      <c r="I16" s="1039"/>
      <c r="J16" s="1039"/>
      <c r="K16" s="1040"/>
      <c r="M16" s="1038" t="s">
        <v>553</v>
      </c>
      <c r="N16" s="1039"/>
      <c r="O16" s="1039"/>
      <c r="P16" s="1039"/>
      <c r="Q16" s="1039"/>
      <c r="R16" s="1039"/>
      <c r="S16" s="1039"/>
      <c r="T16" s="1040"/>
      <c r="V16" s="1038" t="s">
        <v>137</v>
      </c>
      <c r="W16" s="1039"/>
      <c r="X16" s="1039"/>
      <c r="Y16" s="1039"/>
      <c r="Z16" s="1039"/>
      <c r="AA16" s="1039"/>
      <c r="AB16" s="1039"/>
      <c r="AC16" s="1040"/>
      <c r="AE16" s="1038" t="s">
        <v>554</v>
      </c>
      <c r="AF16" s="1039"/>
      <c r="AG16" s="1039"/>
      <c r="AH16" s="1039"/>
      <c r="AI16" s="1039"/>
      <c r="AJ16" s="1039"/>
      <c r="AK16" s="1039"/>
      <c r="AL16" s="1040"/>
      <c r="AM16" s="291" t="s">
        <v>555</v>
      </c>
      <c r="BD16" s="292"/>
    </row>
    <row r="17" spans="2:56" x14ac:dyDescent="0.15">
      <c r="B17" s="605"/>
      <c r="D17" s="605"/>
      <c r="E17" s="291" t="s">
        <v>248</v>
      </c>
      <c r="J17" s="325" t="s">
        <v>556</v>
      </c>
      <c r="K17" s="292"/>
      <c r="M17" s="605"/>
      <c r="N17" s="291" t="s">
        <v>248</v>
      </c>
      <c r="S17" s="325" t="s">
        <v>556</v>
      </c>
      <c r="T17" s="292"/>
      <c r="V17" s="605"/>
      <c r="W17" s="291" t="s">
        <v>248</v>
      </c>
      <c r="AB17" s="325" t="s">
        <v>556</v>
      </c>
      <c r="AC17" s="292"/>
      <c r="AE17" s="605"/>
      <c r="AF17" s="291" t="s">
        <v>248</v>
      </c>
      <c r="AK17" s="325" t="s">
        <v>556</v>
      </c>
      <c r="AL17" s="292"/>
      <c r="BD17" s="292"/>
    </row>
    <row r="18" spans="2:56" x14ac:dyDescent="0.15">
      <c r="B18" s="605"/>
      <c r="D18" s="605"/>
      <c r="E18" s="291" t="s">
        <v>259</v>
      </c>
      <c r="J18" s="291">
        <v>1</v>
      </c>
      <c r="K18" s="292"/>
      <c r="M18" s="605"/>
      <c r="N18" s="291" t="s">
        <v>244</v>
      </c>
      <c r="S18" s="291">
        <v>1</v>
      </c>
      <c r="T18" s="292"/>
      <c r="V18" s="605"/>
      <c r="W18" s="291" t="s">
        <v>244</v>
      </c>
      <c r="AB18" s="291">
        <v>1</v>
      </c>
      <c r="AC18" s="292"/>
      <c r="AE18" s="605"/>
      <c r="AF18" s="291" t="s">
        <v>244</v>
      </c>
      <c r="AK18" s="291">
        <v>4</v>
      </c>
      <c r="AL18" s="292"/>
      <c r="BD18" s="292"/>
    </row>
    <row r="19" spans="2:56" x14ac:dyDescent="0.15">
      <c r="B19" s="605"/>
      <c r="D19" s="1041"/>
      <c r="E19" s="1042" t="s">
        <v>353</v>
      </c>
      <c r="F19" s="1042"/>
      <c r="G19" s="1042"/>
      <c r="H19" s="1042"/>
      <c r="I19" s="1042"/>
      <c r="J19" s="1042">
        <v>400</v>
      </c>
      <c r="K19" s="1043"/>
      <c r="M19" s="1041"/>
      <c r="N19" s="1042"/>
      <c r="O19" s="1042"/>
      <c r="P19" s="1042"/>
      <c r="Q19" s="1042"/>
      <c r="R19" s="1042"/>
      <c r="S19" s="1042"/>
      <c r="T19" s="1043"/>
      <c r="V19" s="605"/>
      <c r="W19" s="291" t="s">
        <v>261</v>
      </c>
      <c r="AB19" s="291">
        <v>4</v>
      </c>
      <c r="AC19" s="292"/>
      <c r="AE19" s="605"/>
      <c r="AF19" s="291" t="s">
        <v>557</v>
      </c>
      <c r="AK19" s="325" t="s">
        <v>558</v>
      </c>
      <c r="AL19" s="292"/>
      <c r="BD19" s="292"/>
    </row>
    <row r="20" spans="2:56" x14ac:dyDescent="0.15">
      <c r="B20" s="605"/>
      <c r="M20" s="291" t="s">
        <v>559</v>
      </c>
      <c r="V20" s="1041"/>
      <c r="W20" s="1042" t="s">
        <v>560</v>
      </c>
      <c r="X20" s="1042"/>
      <c r="Y20" s="1042"/>
      <c r="Z20" s="1042"/>
      <c r="AA20" s="1042"/>
      <c r="AB20" s="1042">
        <v>3</v>
      </c>
      <c r="AC20" s="1043"/>
      <c r="AE20" s="605"/>
      <c r="AF20" s="291" t="s">
        <v>406</v>
      </c>
      <c r="AK20" s="291">
        <v>18</v>
      </c>
      <c r="AL20" s="292"/>
      <c r="BD20" s="292"/>
    </row>
    <row r="21" spans="2:56" x14ac:dyDescent="0.15">
      <c r="B21" s="605"/>
      <c r="V21" s="291" t="s">
        <v>561</v>
      </c>
      <c r="AE21" s="605"/>
      <c r="AF21" s="291" t="s">
        <v>562</v>
      </c>
      <c r="AK21" s="291">
        <v>182</v>
      </c>
      <c r="AL21" s="292"/>
      <c r="BD21" s="292"/>
    </row>
    <row r="22" spans="2:56" x14ac:dyDescent="0.15">
      <c r="B22" s="605"/>
      <c r="AE22" s="605"/>
      <c r="AF22" s="291" t="s">
        <v>563</v>
      </c>
      <c r="AK22" s="291">
        <v>200</v>
      </c>
      <c r="AL22" s="292"/>
      <c r="BD22" s="292"/>
    </row>
    <row r="23" spans="2:56" x14ac:dyDescent="0.15">
      <c r="B23" s="605"/>
      <c r="V23" s="291" t="s">
        <v>551</v>
      </c>
      <c r="AE23" s="1041"/>
      <c r="AF23" s="1042"/>
      <c r="AG23" s="1042"/>
      <c r="AH23" s="1042"/>
      <c r="AI23" s="1042"/>
      <c r="AJ23" s="1042"/>
      <c r="AK23" s="1042"/>
      <c r="AL23" s="1043"/>
      <c r="BD23" s="292"/>
    </row>
    <row r="24" spans="2:56" x14ac:dyDescent="0.15">
      <c r="B24" s="605"/>
      <c r="V24" s="1038" t="s">
        <v>137</v>
      </c>
      <c r="W24" s="1039"/>
      <c r="X24" s="1039"/>
      <c r="Y24" s="1039"/>
      <c r="Z24" s="1039"/>
      <c r="AA24" s="1039"/>
      <c r="AB24" s="1039"/>
      <c r="AC24" s="1040"/>
      <c r="BD24" s="292"/>
    </row>
    <row r="25" spans="2:56" x14ac:dyDescent="0.15">
      <c r="B25" s="605"/>
      <c r="V25" s="605"/>
      <c r="W25" s="291" t="s">
        <v>248</v>
      </c>
      <c r="AB25" s="325" t="s">
        <v>556</v>
      </c>
      <c r="AC25" s="292"/>
      <c r="BD25" s="292"/>
    </row>
    <row r="26" spans="2:56" x14ac:dyDescent="0.15">
      <c r="B26" s="605"/>
      <c r="V26" s="605"/>
      <c r="W26" s="291" t="s">
        <v>244</v>
      </c>
      <c r="AB26" s="291">
        <v>1</v>
      </c>
      <c r="AC26" s="292"/>
      <c r="AR26" s="343"/>
      <c r="AS26" s="343" t="s">
        <v>564</v>
      </c>
      <c r="BD26" s="292"/>
    </row>
    <row r="27" spans="2:56" x14ac:dyDescent="0.15">
      <c r="B27" s="605"/>
      <c r="J27" s="342"/>
      <c r="V27" s="605"/>
      <c r="W27" s="291" t="s">
        <v>261</v>
      </c>
      <c r="AB27" s="291">
        <v>4</v>
      </c>
      <c r="AC27" s="292"/>
      <c r="AS27" s="343" t="s">
        <v>565</v>
      </c>
      <c r="BD27" s="292"/>
    </row>
    <row r="28" spans="2:56" x14ac:dyDescent="0.15">
      <c r="B28" s="605"/>
      <c r="V28" s="1041"/>
      <c r="W28" s="1042" t="s">
        <v>560</v>
      </c>
      <c r="X28" s="1042"/>
      <c r="Y28" s="1042"/>
      <c r="Z28" s="1042"/>
      <c r="AA28" s="1042"/>
      <c r="AB28" s="1042">
        <v>9</v>
      </c>
      <c r="AC28" s="1043"/>
      <c r="BD28" s="292"/>
    </row>
    <row r="29" spans="2:56" x14ac:dyDescent="0.15">
      <c r="B29" s="605"/>
      <c r="V29" s="291" t="s">
        <v>566</v>
      </c>
      <c r="BD29" s="292"/>
    </row>
    <row r="30" spans="2:56" x14ac:dyDescent="0.15">
      <c r="B30" s="605"/>
      <c r="AR30" s="343"/>
      <c r="BD30" s="292"/>
    </row>
    <row r="31" spans="2:56" x14ac:dyDescent="0.15">
      <c r="B31" s="605"/>
      <c r="V31" s="291" t="s">
        <v>551</v>
      </c>
      <c r="AR31" s="343"/>
      <c r="BD31" s="292"/>
    </row>
    <row r="32" spans="2:56" x14ac:dyDescent="0.15">
      <c r="B32" s="605"/>
      <c r="D32" s="340"/>
      <c r="F32" s="340"/>
      <c r="G32" s="340"/>
      <c r="H32" s="340"/>
      <c r="I32" s="341"/>
      <c r="J32" s="340"/>
      <c r="K32" s="340"/>
      <c r="L32" s="340"/>
      <c r="M32" s="340"/>
      <c r="N32" s="340"/>
      <c r="O32" s="340"/>
      <c r="P32" s="340"/>
      <c r="Q32" s="340"/>
      <c r="R32" s="340"/>
      <c r="T32" s="340"/>
      <c r="V32" s="1038" t="s">
        <v>137</v>
      </c>
      <c r="W32" s="1039"/>
      <c r="X32" s="1039"/>
      <c r="Y32" s="1039"/>
      <c r="Z32" s="1039"/>
      <c r="AA32" s="1039"/>
      <c r="AB32" s="1039"/>
      <c r="AC32" s="1040"/>
      <c r="AR32" s="343"/>
      <c r="BD32" s="292"/>
    </row>
    <row r="33" spans="2:56" x14ac:dyDescent="0.15">
      <c r="B33" s="605"/>
      <c r="D33" s="340"/>
      <c r="F33" s="340"/>
      <c r="G33" s="340"/>
      <c r="H33" s="340"/>
      <c r="I33" s="341"/>
      <c r="J33" s="340"/>
      <c r="K33" s="340"/>
      <c r="L33" s="340"/>
      <c r="M33" s="340"/>
      <c r="N33" s="340"/>
      <c r="O33" s="340"/>
      <c r="P33" s="340"/>
      <c r="Q33" s="340"/>
      <c r="R33" s="340"/>
      <c r="T33" s="340"/>
      <c r="V33" s="605"/>
      <c r="W33" s="291" t="s">
        <v>248</v>
      </c>
      <c r="AB33" s="325" t="s">
        <v>556</v>
      </c>
      <c r="AC33" s="292"/>
      <c r="AR33" s="343"/>
      <c r="BD33" s="292"/>
    </row>
    <row r="34" spans="2:56" x14ac:dyDescent="0.15">
      <c r="B34" s="605"/>
      <c r="D34" s="340"/>
      <c r="E34" s="340"/>
      <c r="F34" s="340"/>
      <c r="G34" s="340"/>
      <c r="H34" s="340"/>
      <c r="I34" s="341"/>
      <c r="J34" s="340"/>
      <c r="K34" s="340"/>
      <c r="L34" s="340"/>
      <c r="M34" s="340"/>
      <c r="N34" s="340"/>
      <c r="O34" s="340"/>
      <c r="P34" s="340"/>
      <c r="Q34" s="340"/>
      <c r="R34" s="340"/>
      <c r="T34" s="340"/>
      <c r="V34" s="605"/>
      <c r="W34" s="291" t="s">
        <v>244</v>
      </c>
      <c r="AB34" s="291">
        <v>1</v>
      </c>
      <c r="AC34" s="292"/>
      <c r="AR34" s="343"/>
      <c r="BD34" s="292"/>
    </row>
    <row r="35" spans="2:56" x14ac:dyDescent="0.15">
      <c r="B35" s="605"/>
      <c r="D35" s="340"/>
      <c r="E35" s="340"/>
      <c r="F35" s="340"/>
      <c r="G35" s="340"/>
      <c r="H35" s="340"/>
      <c r="I35" s="340"/>
      <c r="J35" s="340"/>
      <c r="K35" s="340"/>
      <c r="L35" s="340"/>
      <c r="M35" s="340"/>
      <c r="N35" s="340"/>
      <c r="O35" s="340"/>
      <c r="P35" s="340"/>
      <c r="Q35" s="340"/>
      <c r="R35" s="340"/>
      <c r="T35" s="340"/>
      <c r="V35" s="605"/>
      <c r="W35" s="291" t="s">
        <v>261</v>
      </c>
      <c r="AB35" s="291">
        <v>4</v>
      </c>
      <c r="AC35" s="292"/>
      <c r="BD35" s="292"/>
    </row>
    <row r="36" spans="2:56" x14ac:dyDescent="0.15">
      <c r="B36" s="605"/>
      <c r="D36" s="340"/>
      <c r="F36" s="340"/>
      <c r="G36" s="340"/>
      <c r="H36" s="340"/>
      <c r="I36" s="341"/>
      <c r="J36" s="340"/>
      <c r="K36" s="340"/>
      <c r="L36" s="340"/>
      <c r="M36" s="340"/>
      <c r="N36" s="340"/>
      <c r="O36" s="340"/>
      <c r="P36" s="340"/>
      <c r="Q36" s="340"/>
      <c r="R36" s="340"/>
      <c r="T36" s="340"/>
      <c r="V36" s="1041"/>
      <c r="W36" s="1042" t="s">
        <v>560</v>
      </c>
      <c r="X36" s="1042"/>
      <c r="Y36" s="1042"/>
      <c r="Z36" s="1042"/>
      <c r="AA36" s="1042"/>
      <c r="AB36" s="1042">
        <v>10</v>
      </c>
      <c r="AC36" s="1043"/>
      <c r="BD36" s="292"/>
    </row>
    <row r="37" spans="2:56" x14ac:dyDescent="0.15">
      <c r="B37" s="605"/>
      <c r="D37" s="340"/>
      <c r="F37" s="340"/>
      <c r="G37" s="340"/>
      <c r="H37" s="340"/>
      <c r="I37" s="341"/>
      <c r="J37" s="340"/>
      <c r="K37" s="340"/>
      <c r="L37" s="340"/>
      <c r="M37" s="340"/>
      <c r="N37" s="340"/>
      <c r="O37" s="340"/>
      <c r="P37" s="340"/>
      <c r="Q37" s="340"/>
      <c r="R37" s="340"/>
      <c r="T37" s="340"/>
      <c r="V37" s="291" t="s">
        <v>567</v>
      </c>
      <c r="BD37" s="292"/>
    </row>
    <row r="38" spans="2:56" x14ac:dyDescent="0.15">
      <c r="B38" s="605"/>
      <c r="D38" s="340"/>
      <c r="F38" s="340"/>
      <c r="G38" s="340"/>
      <c r="H38" s="340"/>
      <c r="I38" s="341"/>
      <c r="J38" s="340"/>
      <c r="K38" s="340"/>
      <c r="L38" s="340"/>
      <c r="M38" s="340"/>
      <c r="N38" s="340"/>
      <c r="O38" s="340"/>
      <c r="P38" s="340"/>
      <c r="Q38" s="340"/>
      <c r="R38" s="340"/>
      <c r="T38" s="340"/>
      <c r="BD38" s="292"/>
    </row>
    <row r="39" spans="2:56" x14ac:dyDescent="0.15">
      <c r="B39" s="605"/>
      <c r="D39" s="340"/>
      <c r="F39" s="340"/>
      <c r="G39" s="340"/>
      <c r="H39" s="340"/>
      <c r="I39" s="341"/>
      <c r="J39" s="340"/>
      <c r="K39" s="340"/>
      <c r="L39" s="340"/>
      <c r="M39" s="340"/>
      <c r="N39" s="340"/>
      <c r="O39" s="340"/>
      <c r="P39" s="340"/>
      <c r="Q39" s="340"/>
      <c r="R39" s="340"/>
      <c r="T39" s="340"/>
      <c r="BD39" s="292"/>
    </row>
    <row r="40" spans="2:56" x14ac:dyDescent="0.15">
      <c r="B40" s="605"/>
      <c r="D40" s="340"/>
      <c r="F40" s="340"/>
      <c r="G40" s="340"/>
      <c r="H40" s="340"/>
      <c r="I40" s="341"/>
      <c r="J40" s="340"/>
      <c r="K40" s="340"/>
      <c r="L40" s="340"/>
      <c r="M40" s="340"/>
      <c r="N40" s="340"/>
      <c r="O40" s="340"/>
      <c r="P40" s="340"/>
      <c r="Q40" s="340"/>
      <c r="R40" s="340"/>
      <c r="T40" s="340"/>
      <c r="BD40" s="292"/>
    </row>
    <row r="41" spans="2:56" x14ac:dyDescent="0.15">
      <c r="B41" s="605"/>
      <c r="D41" s="340"/>
      <c r="F41" s="340"/>
      <c r="G41" s="340"/>
      <c r="H41" s="340"/>
      <c r="I41" s="341"/>
      <c r="J41" s="340"/>
      <c r="K41" s="340"/>
      <c r="L41" s="340"/>
      <c r="M41" s="340"/>
      <c r="N41" s="340"/>
      <c r="O41" s="340"/>
      <c r="P41" s="340"/>
      <c r="Q41" s="340"/>
      <c r="R41" s="340"/>
      <c r="T41" s="340"/>
      <c r="BD41" s="292"/>
    </row>
    <row r="42" spans="2:56" x14ac:dyDescent="0.15">
      <c r="B42" s="605"/>
      <c r="D42" s="340"/>
      <c r="F42" s="340"/>
      <c r="G42" s="340"/>
      <c r="H42" s="340"/>
      <c r="I42" s="341"/>
      <c r="J42" s="340"/>
      <c r="K42" s="340"/>
      <c r="L42" s="340"/>
      <c r="M42" s="340"/>
      <c r="N42" s="340"/>
      <c r="O42" s="340"/>
      <c r="P42" s="340"/>
      <c r="Q42" s="340"/>
      <c r="R42" s="340"/>
      <c r="T42" s="340"/>
      <c r="BD42" s="292"/>
    </row>
    <row r="43" spans="2:56" x14ac:dyDescent="0.15">
      <c r="B43" s="605"/>
      <c r="D43" s="340"/>
      <c r="F43" s="340"/>
      <c r="G43" s="340"/>
      <c r="H43" s="340"/>
      <c r="I43" s="341"/>
      <c r="J43" s="340"/>
      <c r="K43" s="340"/>
      <c r="L43" s="340"/>
      <c r="M43" s="340"/>
      <c r="N43" s="340"/>
      <c r="O43" s="340"/>
      <c r="P43" s="340"/>
      <c r="Q43" s="340"/>
      <c r="R43" s="340"/>
      <c r="T43" s="340"/>
      <c r="V43" s="291" t="s">
        <v>551</v>
      </c>
      <c r="AE43" s="291" t="s">
        <v>182</v>
      </c>
      <c r="BD43" s="292"/>
    </row>
    <row r="44" spans="2:56" x14ac:dyDescent="0.15">
      <c r="B44" s="605"/>
      <c r="D44" s="340"/>
      <c r="E44" s="340"/>
      <c r="F44" s="340"/>
      <c r="G44" s="340"/>
      <c r="H44" s="340"/>
      <c r="I44" s="341"/>
      <c r="J44" s="340"/>
      <c r="K44" s="340"/>
      <c r="L44" s="340"/>
      <c r="M44" s="340"/>
      <c r="N44" s="340"/>
      <c r="O44" s="340"/>
      <c r="P44" s="340"/>
      <c r="Q44" s="340"/>
      <c r="R44" s="340"/>
      <c r="T44" s="340"/>
      <c r="V44" s="1038" t="s">
        <v>137</v>
      </c>
      <c r="W44" s="1039"/>
      <c r="X44" s="1039"/>
      <c r="Y44" s="1039"/>
      <c r="Z44" s="1039"/>
      <c r="AA44" s="1039"/>
      <c r="AB44" s="1039"/>
      <c r="AC44" s="1040"/>
      <c r="AE44" s="1038" t="s">
        <v>554</v>
      </c>
      <c r="AF44" s="1039"/>
      <c r="AG44" s="1039"/>
      <c r="AH44" s="1039"/>
      <c r="AI44" s="1039"/>
      <c r="AJ44" s="1039"/>
      <c r="AK44" s="1039"/>
      <c r="AL44" s="1040"/>
      <c r="AM44" s="291" t="s">
        <v>568</v>
      </c>
      <c r="BD44" s="292"/>
    </row>
    <row r="45" spans="2:56" x14ac:dyDescent="0.15">
      <c r="B45" s="605"/>
      <c r="D45" s="340"/>
      <c r="E45" s="340"/>
      <c r="F45" s="340"/>
      <c r="G45" s="340"/>
      <c r="H45" s="340"/>
      <c r="I45" s="340"/>
      <c r="J45" s="340"/>
      <c r="K45" s="340"/>
      <c r="L45" s="340"/>
      <c r="M45" s="340"/>
      <c r="N45" s="340"/>
      <c r="O45" s="340"/>
      <c r="P45" s="340"/>
      <c r="Q45" s="340"/>
      <c r="R45" s="340"/>
      <c r="T45" s="340"/>
      <c r="V45" s="605"/>
      <c r="W45" s="291" t="s">
        <v>248</v>
      </c>
      <c r="AB45" s="325" t="s">
        <v>556</v>
      </c>
      <c r="AC45" s="292"/>
      <c r="AE45" s="605"/>
      <c r="AF45" s="291" t="s">
        <v>248</v>
      </c>
      <c r="AK45" s="325" t="s">
        <v>556</v>
      </c>
      <c r="AL45" s="292"/>
      <c r="BD45" s="292"/>
    </row>
    <row r="46" spans="2:56" ht="10.15" customHeight="1" x14ac:dyDescent="0.15">
      <c r="B46" s="605"/>
      <c r="D46" s="340"/>
      <c r="E46" s="340"/>
      <c r="F46" s="340"/>
      <c r="G46" s="340"/>
      <c r="H46" s="340"/>
      <c r="I46" s="340"/>
      <c r="J46" s="340"/>
      <c r="K46" s="340"/>
      <c r="L46" s="340"/>
      <c r="M46" s="340"/>
      <c r="N46" s="340"/>
      <c r="O46" s="340"/>
      <c r="P46" s="340"/>
      <c r="Q46" s="340"/>
      <c r="R46" s="340"/>
      <c r="T46" s="340"/>
      <c r="V46" s="605"/>
      <c r="W46" s="291" t="s">
        <v>244</v>
      </c>
      <c r="AB46" s="291">
        <v>1</v>
      </c>
      <c r="AC46" s="292"/>
      <c r="AE46" s="605"/>
      <c r="AF46" s="291" t="s">
        <v>244</v>
      </c>
      <c r="AK46" s="291">
        <v>5</v>
      </c>
      <c r="AL46" s="292"/>
      <c r="BD46" s="292"/>
    </row>
    <row r="47" spans="2:56" x14ac:dyDescent="0.15">
      <c r="B47" s="605"/>
      <c r="D47" s="340"/>
      <c r="F47" s="340"/>
      <c r="G47" s="340"/>
      <c r="H47" s="340"/>
      <c r="I47" s="341"/>
      <c r="J47" s="340"/>
      <c r="K47" s="340"/>
      <c r="L47" s="340"/>
      <c r="M47" s="340"/>
      <c r="N47" s="340"/>
      <c r="O47" s="340"/>
      <c r="P47" s="340"/>
      <c r="Q47" s="340"/>
      <c r="R47" s="340"/>
      <c r="T47" s="340"/>
      <c r="V47" s="605"/>
      <c r="W47" s="291" t="s">
        <v>261</v>
      </c>
      <c r="AB47" s="291">
        <v>5</v>
      </c>
      <c r="AC47" s="292"/>
      <c r="AE47" s="605"/>
      <c r="AF47" s="291" t="s">
        <v>398</v>
      </c>
      <c r="AK47" s="325" t="s">
        <v>569</v>
      </c>
      <c r="AL47" s="292"/>
      <c r="AS47" s="343" t="s">
        <v>570</v>
      </c>
      <c r="BD47" s="292"/>
    </row>
    <row r="48" spans="2:56" x14ac:dyDescent="0.15">
      <c r="B48" s="605"/>
      <c r="D48" s="340"/>
      <c r="F48" s="340"/>
      <c r="G48" s="340"/>
      <c r="H48" s="340"/>
      <c r="I48" s="341"/>
      <c r="J48" s="340"/>
      <c r="K48" s="340"/>
      <c r="L48" s="340"/>
      <c r="M48" s="340"/>
      <c r="N48" s="340"/>
      <c r="O48" s="340"/>
      <c r="P48" s="340"/>
      <c r="Q48" s="340"/>
      <c r="R48" s="340"/>
      <c r="T48" s="340"/>
      <c r="V48" s="1041"/>
      <c r="W48" s="1042" t="s">
        <v>560</v>
      </c>
      <c r="X48" s="1042"/>
      <c r="Y48" s="1042"/>
      <c r="Z48" s="1042"/>
      <c r="AA48" s="1042"/>
      <c r="AB48" s="1042">
        <v>3</v>
      </c>
      <c r="AC48" s="1043"/>
      <c r="AE48" s="605"/>
      <c r="AF48" s="291" t="s">
        <v>406</v>
      </c>
      <c r="AK48" s="291">
        <v>0</v>
      </c>
      <c r="AL48" s="292"/>
      <c r="AS48" s="343" t="s">
        <v>571</v>
      </c>
      <c r="BD48" s="292"/>
    </row>
    <row r="49" spans="2:57" x14ac:dyDescent="0.15">
      <c r="B49" s="605"/>
      <c r="D49" s="340"/>
      <c r="F49" s="340"/>
      <c r="G49" s="340"/>
      <c r="H49" s="340"/>
      <c r="I49" s="341"/>
      <c r="J49" s="340"/>
      <c r="K49" s="340"/>
      <c r="L49" s="340"/>
      <c r="M49" s="340"/>
      <c r="N49" s="340"/>
      <c r="O49" s="340"/>
      <c r="P49" s="340"/>
      <c r="Q49" s="340"/>
      <c r="R49" s="340"/>
      <c r="T49" s="340"/>
      <c r="V49" s="291" t="s">
        <v>572</v>
      </c>
      <c r="AE49" s="605"/>
      <c r="AF49" s="291" t="s">
        <v>562</v>
      </c>
      <c r="AK49" s="291">
        <v>0</v>
      </c>
      <c r="AL49" s="292"/>
      <c r="BD49" s="292"/>
    </row>
    <row r="50" spans="2:57" x14ac:dyDescent="0.15">
      <c r="B50" s="605"/>
      <c r="D50" s="340"/>
      <c r="F50" s="340"/>
      <c r="G50" s="340"/>
      <c r="H50" s="340"/>
      <c r="I50" s="341"/>
      <c r="J50" s="340"/>
      <c r="K50" s="340"/>
      <c r="L50" s="340"/>
      <c r="M50" s="340"/>
      <c r="N50" s="340"/>
      <c r="O50" s="340"/>
      <c r="P50" s="340"/>
      <c r="Q50" s="340"/>
      <c r="R50" s="340"/>
      <c r="T50" s="340"/>
      <c r="AE50" s="605"/>
      <c r="AF50" s="291" t="s">
        <v>563</v>
      </c>
      <c r="AK50" s="291">
        <v>400</v>
      </c>
      <c r="AL50" s="292"/>
      <c r="BD50" s="292"/>
    </row>
    <row r="51" spans="2:57" x14ac:dyDescent="0.15">
      <c r="B51" s="605"/>
      <c r="D51" s="340"/>
      <c r="E51" s="340"/>
      <c r="F51" s="340"/>
      <c r="G51" s="340"/>
      <c r="H51" s="340"/>
      <c r="AE51" s="1041"/>
      <c r="AF51" s="1042"/>
      <c r="AG51" s="1042"/>
      <c r="AH51" s="1042"/>
      <c r="AI51" s="1042"/>
      <c r="AJ51" s="1042"/>
      <c r="AK51" s="1042"/>
      <c r="AL51" s="1043"/>
      <c r="BD51" s="292"/>
    </row>
    <row r="52" spans="2:57" x14ac:dyDescent="0.15">
      <c r="B52" s="605"/>
      <c r="D52" s="340"/>
      <c r="E52" s="340"/>
      <c r="F52" s="340"/>
      <c r="G52" s="340"/>
      <c r="H52" s="340"/>
      <c r="BD52" s="292"/>
    </row>
    <row r="53" spans="2:57" x14ac:dyDescent="0.15">
      <c r="B53" s="605"/>
      <c r="D53" s="340"/>
      <c r="E53" s="340"/>
      <c r="F53" s="340"/>
      <c r="G53" s="340"/>
      <c r="H53" s="340"/>
      <c r="BD53" s="292"/>
    </row>
    <row r="54" spans="2:57" ht="10.15" customHeight="1" x14ac:dyDescent="0.15">
      <c r="B54" s="1041"/>
      <c r="C54" s="1042"/>
      <c r="D54" s="1044"/>
      <c r="E54" s="1044"/>
      <c r="F54" s="1044"/>
      <c r="G54" s="1044"/>
      <c r="H54" s="1044"/>
      <c r="I54" s="1044"/>
      <c r="J54" s="1044"/>
      <c r="K54" s="1044"/>
      <c r="L54" s="1044"/>
      <c r="M54" s="1044"/>
      <c r="N54" s="1044"/>
      <c r="O54" s="1044"/>
      <c r="P54" s="1044"/>
      <c r="Q54" s="1044"/>
      <c r="R54" s="1044"/>
      <c r="S54" s="1042"/>
      <c r="T54" s="1044"/>
      <c r="U54" s="1042"/>
      <c r="V54" s="1042"/>
      <c r="W54" s="1042"/>
      <c r="X54" s="1042"/>
      <c r="Y54" s="1042"/>
      <c r="Z54" s="1042"/>
      <c r="AA54" s="1042"/>
      <c r="AB54" s="1042"/>
      <c r="AC54" s="1042"/>
      <c r="AD54" s="1042"/>
      <c r="AE54" s="1042"/>
      <c r="AF54" s="1042"/>
      <c r="AG54" s="1042"/>
      <c r="AH54" s="1042"/>
      <c r="AI54" s="1042"/>
      <c r="AJ54" s="1042"/>
      <c r="AK54" s="1042"/>
      <c r="AL54" s="1042"/>
      <c r="AM54" s="1042"/>
      <c r="AN54" s="1042"/>
      <c r="AO54" s="1042"/>
      <c r="AP54" s="1042"/>
      <c r="AQ54" s="1042"/>
      <c r="AR54" s="1042"/>
      <c r="AS54" s="1042"/>
      <c r="AT54" s="1042"/>
      <c r="AU54" s="1042"/>
      <c r="AV54" s="1042"/>
      <c r="AW54" s="1042"/>
      <c r="AX54" s="1042"/>
      <c r="AY54" s="1042"/>
      <c r="AZ54" s="1042"/>
      <c r="BA54" s="1042"/>
      <c r="BB54" s="1042"/>
      <c r="BC54" s="1042"/>
      <c r="BD54" s="1043"/>
    </row>
    <row r="55" spans="2:57" s="91" customFormat="1" ht="12.95" customHeight="1" thickBot="1" x14ac:dyDescent="0.2"/>
    <row r="56" spans="2:57" s="91" customFormat="1" ht="12.75" customHeight="1" thickTop="1" x14ac:dyDescent="0.15">
      <c r="B56" s="50" t="s">
        <v>6</v>
      </c>
      <c r="C56" s="51"/>
      <c r="D56" s="51"/>
      <c r="E56" s="51"/>
      <c r="F56" s="51"/>
      <c r="G56" s="51"/>
      <c r="H56" s="51"/>
      <c r="I56" s="51"/>
      <c r="J56" s="51"/>
      <c r="K56" s="51"/>
      <c r="L56" s="51"/>
      <c r="M56" s="51"/>
      <c r="N56" s="52"/>
      <c r="O56" s="1247" t="s">
        <v>7</v>
      </c>
      <c r="P56" s="1248"/>
      <c r="Q56" s="1248"/>
      <c r="R56" s="1248"/>
      <c r="S56" s="1248"/>
      <c r="T56" s="1249"/>
      <c r="U56" s="1250" t="s">
        <v>8</v>
      </c>
      <c r="V56" s="1248"/>
      <c r="W56" s="1248"/>
      <c r="X56" s="1248"/>
      <c r="Y56" s="1248"/>
      <c r="Z56" s="1248"/>
      <c r="AA56" s="1249"/>
      <c r="AB56" s="1306" t="s">
        <v>536</v>
      </c>
      <c r="AC56" s="1307"/>
      <c r="AD56" s="1307"/>
      <c r="AE56" s="1307"/>
      <c r="AF56" s="1307"/>
      <c r="AG56" s="1307"/>
      <c r="AH56" s="1307"/>
      <c r="AI56" s="1307"/>
      <c r="AJ56" s="1307"/>
      <c r="AK56" s="1307"/>
      <c r="AL56" s="1307"/>
      <c r="AM56" s="1307"/>
      <c r="AN56" s="1308"/>
      <c r="AO56" s="1250" t="s">
        <v>10</v>
      </c>
      <c r="AP56" s="1249"/>
      <c r="AQ56" s="1303" t="s">
        <v>11</v>
      </c>
      <c r="AR56" s="1304"/>
      <c r="AS56" s="1305"/>
      <c r="AT56" s="1250" t="s">
        <v>12</v>
      </c>
      <c r="AU56" s="1248"/>
      <c r="AV56" s="1248"/>
      <c r="AW56" s="1249"/>
      <c r="AX56" s="1303" t="s">
        <v>13</v>
      </c>
      <c r="AY56" s="1304"/>
      <c r="AZ56" s="1305"/>
      <c r="BA56" s="1250" t="s">
        <v>14</v>
      </c>
      <c r="BB56" s="1248"/>
      <c r="BC56" s="1248"/>
      <c r="BD56" s="1249"/>
    </row>
    <row r="57" spans="2:57" s="91" customFormat="1" ht="12.75" customHeight="1" thickBot="1" x14ac:dyDescent="0.2">
      <c r="B57" s="1260" t="s">
        <v>15</v>
      </c>
      <c r="C57" s="1261"/>
      <c r="D57" s="1261"/>
      <c r="E57" s="1261"/>
      <c r="F57" s="1261"/>
      <c r="G57" s="1261"/>
      <c r="H57" s="1261"/>
      <c r="I57" s="1261"/>
      <c r="J57" s="1261"/>
      <c r="K57" s="1261"/>
      <c r="L57" s="1261"/>
      <c r="M57" s="1261"/>
      <c r="N57" s="1262"/>
      <c r="O57" s="1263" t="s">
        <v>16</v>
      </c>
      <c r="P57" s="1264"/>
      <c r="Q57" s="1264"/>
      <c r="R57" s="1264"/>
      <c r="S57" s="1264"/>
      <c r="T57" s="1265"/>
      <c r="U57" s="1266" t="s">
        <v>163</v>
      </c>
      <c r="V57" s="1264"/>
      <c r="W57" s="1264"/>
      <c r="X57" s="1264"/>
      <c r="Y57" s="1264"/>
      <c r="Z57" s="1264"/>
      <c r="AA57" s="1265"/>
      <c r="AB57" s="1309"/>
      <c r="AC57" s="1310"/>
      <c r="AD57" s="1310"/>
      <c r="AE57" s="1310"/>
      <c r="AF57" s="1310"/>
      <c r="AG57" s="1310"/>
      <c r="AH57" s="1310"/>
      <c r="AI57" s="1310"/>
      <c r="AJ57" s="1310"/>
      <c r="AK57" s="1310"/>
      <c r="AL57" s="1310"/>
      <c r="AM57" s="1310"/>
      <c r="AN57" s="1311"/>
      <c r="AO57" s="1267">
        <f>AO$3</f>
        <v>1.1200000000000001</v>
      </c>
      <c r="AP57" s="1268"/>
      <c r="AQ57" s="1266" t="s">
        <v>18</v>
      </c>
      <c r="AR57" s="1264"/>
      <c r="AS57" s="1265"/>
      <c r="AT57" s="1269">
        <f>AT$3</f>
        <v>45709</v>
      </c>
      <c r="AU57" s="1270"/>
      <c r="AV57" s="1270"/>
      <c r="AW57" s="1270"/>
      <c r="AX57" s="1266" t="s">
        <v>18</v>
      </c>
      <c r="AY57" s="1264"/>
      <c r="AZ57" s="1265"/>
      <c r="BA57" s="1269">
        <v>45460</v>
      </c>
      <c r="BB57" s="1270"/>
      <c r="BC57" s="1270"/>
      <c r="BD57" s="1271"/>
    </row>
    <row r="58" spans="2:57" s="91" customFormat="1" ht="12.75" customHeight="1" thickTop="1" x14ac:dyDescent="0.15"/>
    <row r="59" spans="2:57" s="91" customFormat="1" ht="12.75" customHeight="1" x14ac:dyDescent="0.15">
      <c r="B59" s="1035"/>
      <c r="C59" s="1036"/>
      <c r="D59" s="1036"/>
      <c r="E59" s="1036"/>
      <c r="F59" s="1036"/>
      <c r="G59" s="1036"/>
      <c r="H59" s="1036"/>
      <c r="I59" s="1036"/>
      <c r="J59" s="1036"/>
      <c r="K59" s="1036"/>
      <c r="L59" s="1036"/>
      <c r="M59" s="1036"/>
      <c r="N59" s="1036"/>
      <c r="O59" s="1036"/>
      <c r="P59" s="1036"/>
      <c r="Q59" s="1036"/>
      <c r="R59" s="1036"/>
      <c r="S59" s="1036"/>
      <c r="T59" s="1036"/>
      <c r="U59" s="1036"/>
      <c r="V59" s="1036"/>
      <c r="W59" s="1036"/>
      <c r="X59" s="1036"/>
      <c r="Y59" s="1036"/>
      <c r="Z59" s="1036"/>
      <c r="AA59" s="1036"/>
      <c r="AB59" s="1036"/>
      <c r="AC59" s="1036"/>
      <c r="AD59" s="1036"/>
      <c r="AE59" s="1036"/>
      <c r="AF59" s="1036"/>
      <c r="AG59" s="1036"/>
      <c r="AH59" s="1036"/>
      <c r="AI59" s="1036"/>
      <c r="AJ59" s="1036"/>
      <c r="AK59" s="1036"/>
      <c r="AL59" s="1036"/>
      <c r="AM59" s="1036"/>
      <c r="AN59" s="1036"/>
      <c r="AO59" s="1036"/>
      <c r="AP59" s="1036"/>
      <c r="AQ59" s="1036"/>
      <c r="AR59" s="1036"/>
      <c r="AS59" s="1036"/>
      <c r="AT59" s="1036"/>
      <c r="AU59" s="1036"/>
      <c r="AV59" s="1036"/>
      <c r="AW59" s="1036"/>
      <c r="AX59" s="1036"/>
      <c r="AY59" s="1036"/>
      <c r="AZ59" s="1036"/>
      <c r="BA59" s="1036"/>
      <c r="BB59" s="1036"/>
      <c r="BC59" s="1036"/>
      <c r="BD59" s="1037"/>
    </row>
    <row r="60" spans="2:57" x14ac:dyDescent="0.15">
      <c r="B60" s="605"/>
      <c r="C60" s="344"/>
      <c r="D60" s="91"/>
      <c r="BD60" s="292"/>
      <c r="BE60" s="354" t="s">
        <v>539</v>
      </c>
    </row>
    <row r="61" spans="2:57" x14ac:dyDescent="0.15">
      <c r="B61" s="605"/>
      <c r="M61" s="291" t="s">
        <v>550</v>
      </c>
      <c r="V61" s="291" t="s">
        <v>551</v>
      </c>
      <c r="AE61" s="291" t="s">
        <v>182</v>
      </c>
      <c r="BD61" s="292"/>
    </row>
    <row r="62" spans="2:57" x14ac:dyDescent="0.15">
      <c r="B62" s="605"/>
      <c r="D62" s="340"/>
      <c r="F62" s="340"/>
      <c r="G62" s="340"/>
      <c r="H62" s="340"/>
      <c r="I62" s="341"/>
      <c r="J62" s="340"/>
      <c r="K62" s="340"/>
      <c r="L62" s="340"/>
      <c r="M62" s="1038" t="s">
        <v>553</v>
      </c>
      <c r="N62" s="1039"/>
      <c r="O62" s="1039"/>
      <c r="P62" s="1039"/>
      <c r="Q62" s="1039"/>
      <c r="R62" s="1039"/>
      <c r="S62" s="1039"/>
      <c r="T62" s="1040"/>
      <c r="V62" s="1038" t="s">
        <v>137</v>
      </c>
      <c r="W62" s="1039"/>
      <c r="X62" s="1039"/>
      <c r="Y62" s="1039"/>
      <c r="Z62" s="1039"/>
      <c r="AA62" s="1039"/>
      <c r="AB62" s="1039"/>
      <c r="AC62" s="1040"/>
      <c r="AE62" s="1038" t="s">
        <v>554</v>
      </c>
      <c r="AF62" s="1039"/>
      <c r="AG62" s="1039"/>
      <c r="AH62" s="1039"/>
      <c r="AI62" s="1039"/>
      <c r="AJ62" s="1039"/>
      <c r="AK62" s="1039"/>
      <c r="AL62" s="1040"/>
      <c r="AM62" s="291" t="s">
        <v>573</v>
      </c>
      <c r="BD62" s="292"/>
    </row>
    <row r="63" spans="2:57" x14ac:dyDescent="0.15">
      <c r="B63" s="605"/>
      <c r="D63" s="340"/>
      <c r="F63" s="340"/>
      <c r="G63" s="340"/>
      <c r="H63" s="340"/>
      <c r="I63" s="341"/>
      <c r="J63" s="340"/>
      <c r="K63" s="340"/>
      <c r="L63" s="340"/>
      <c r="M63" s="605"/>
      <c r="N63" s="291" t="s">
        <v>248</v>
      </c>
      <c r="S63" s="325" t="s">
        <v>556</v>
      </c>
      <c r="T63" s="292"/>
      <c r="V63" s="605"/>
      <c r="W63" s="291" t="s">
        <v>248</v>
      </c>
      <c r="AB63" s="325" t="s">
        <v>556</v>
      </c>
      <c r="AC63" s="292"/>
      <c r="AE63" s="605"/>
      <c r="AF63" s="291" t="s">
        <v>248</v>
      </c>
      <c r="AK63" s="325" t="s">
        <v>556</v>
      </c>
      <c r="AL63" s="292"/>
      <c r="BD63" s="292"/>
    </row>
    <row r="64" spans="2:57" x14ac:dyDescent="0.15">
      <c r="B64" s="605"/>
      <c r="D64" s="340"/>
      <c r="E64" s="340"/>
      <c r="F64" s="340"/>
      <c r="G64" s="340"/>
      <c r="H64" s="340"/>
      <c r="I64" s="341"/>
      <c r="J64" s="340"/>
      <c r="K64" s="340"/>
      <c r="L64" s="340"/>
      <c r="M64" s="605"/>
      <c r="N64" s="291" t="s">
        <v>244</v>
      </c>
      <c r="S64" s="291">
        <v>2</v>
      </c>
      <c r="T64" s="292"/>
      <c r="V64" s="605"/>
      <c r="W64" s="291" t="s">
        <v>244</v>
      </c>
      <c r="AB64" s="291">
        <v>2</v>
      </c>
      <c r="AC64" s="292"/>
      <c r="AE64" s="605"/>
      <c r="AF64" s="291" t="s">
        <v>244</v>
      </c>
      <c r="AK64" s="291">
        <v>6</v>
      </c>
      <c r="AL64" s="292"/>
      <c r="BD64" s="292"/>
    </row>
    <row r="65" spans="2:56" x14ac:dyDescent="0.15">
      <c r="B65" s="605"/>
      <c r="D65" s="340"/>
      <c r="E65" s="340"/>
      <c r="F65" s="340"/>
      <c r="G65" s="340"/>
      <c r="H65" s="340"/>
      <c r="I65" s="340"/>
      <c r="J65" s="340"/>
      <c r="K65" s="340"/>
      <c r="L65" s="340"/>
      <c r="M65" s="1041"/>
      <c r="N65" s="1042"/>
      <c r="O65" s="1042"/>
      <c r="P65" s="1042"/>
      <c r="Q65" s="1042"/>
      <c r="R65" s="1042"/>
      <c r="S65" s="1042"/>
      <c r="T65" s="1043"/>
      <c r="V65" s="605"/>
      <c r="W65" s="291" t="s">
        <v>261</v>
      </c>
      <c r="AB65" s="291">
        <v>6</v>
      </c>
      <c r="AC65" s="292"/>
      <c r="AE65" s="605"/>
      <c r="AF65" s="291" t="s">
        <v>557</v>
      </c>
      <c r="AK65" s="325" t="s">
        <v>574</v>
      </c>
      <c r="AL65" s="292"/>
      <c r="BD65" s="292"/>
    </row>
    <row r="66" spans="2:56" x14ac:dyDescent="0.15">
      <c r="B66" s="605"/>
      <c r="D66" s="340"/>
      <c r="E66" s="340"/>
      <c r="F66" s="340"/>
      <c r="G66" s="340"/>
      <c r="H66" s="340"/>
      <c r="I66" s="340"/>
      <c r="J66" s="340"/>
      <c r="K66" s="340"/>
      <c r="L66" s="340"/>
      <c r="M66" s="291" t="s">
        <v>575</v>
      </c>
      <c r="V66" s="1041"/>
      <c r="W66" s="1042" t="s">
        <v>560</v>
      </c>
      <c r="X66" s="1042"/>
      <c r="Y66" s="1042"/>
      <c r="Z66" s="1042"/>
      <c r="AA66" s="1042"/>
      <c r="AB66" s="1042">
        <v>3</v>
      </c>
      <c r="AC66" s="1043"/>
      <c r="AE66" s="605"/>
      <c r="AF66" s="291" t="s">
        <v>406</v>
      </c>
      <c r="AK66" s="291">
        <v>14</v>
      </c>
      <c r="AL66" s="292"/>
      <c r="BD66" s="292"/>
    </row>
    <row r="67" spans="2:56" x14ac:dyDescent="0.15">
      <c r="B67" s="605"/>
      <c r="V67" s="291" t="s">
        <v>561</v>
      </c>
      <c r="AE67" s="605"/>
      <c r="AF67" s="291" t="s">
        <v>562</v>
      </c>
      <c r="AK67" s="291">
        <v>186</v>
      </c>
      <c r="AL67" s="292"/>
      <c r="BD67" s="292"/>
    </row>
    <row r="68" spans="2:56" x14ac:dyDescent="0.15">
      <c r="B68" s="605"/>
      <c r="AE68" s="605"/>
      <c r="AF68" s="291" t="s">
        <v>563</v>
      </c>
      <c r="AK68" s="291">
        <v>200</v>
      </c>
      <c r="AL68" s="292"/>
      <c r="BD68" s="292"/>
    </row>
    <row r="69" spans="2:56" x14ac:dyDescent="0.15">
      <c r="B69" s="605"/>
      <c r="V69" s="291" t="s">
        <v>551</v>
      </c>
      <c r="AE69" s="1041"/>
      <c r="AF69" s="1042"/>
      <c r="AG69" s="1042"/>
      <c r="AH69" s="1042"/>
      <c r="AI69" s="1042"/>
      <c r="AJ69" s="1042"/>
      <c r="AK69" s="1042"/>
      <c r="AL69" s="1043"/>
      <c r="BD69" s="292"/>
    </row>
    <row r="70" spans="2:56" x14ac:dyDescent="0.15">
      <c r="B70" s="605"/>
      <c r="V70" s="1038" t="s">
        <v>137</v>
      </c>
      <c r="W70" s="1039"/>
      <c r="X70" s="1039"/>
      <c r="Y70" s="1039"/>
      <c r="Z70" s="1039"/>
      <c r="AA70" s="1039"/>
      <c r="AB70" s="1039"/>
      <c r="AC70" s="1040"/>
      <c r="BD70" s="292"/>
    </row>
    <row r="71" spans="2:56" x14ac:dyDescent="0.15">
      <c r="B71" s="605"/>
      <c r="V71" s="605"/>
      <c r="W71" s="291" t="s">
        <v>248</v>
      </c>
      <c r="AB71" s="325" t="s">
        <v>556</v>
      </c>
      <c r="AC71" s="292"/>
      <c r="BD71" s="292"/>
    </row>
    <row r="72" spans="2:56" x14ac:dyDescent="0.15">
      <c r="B72" s="605"/>
      <c r="V72" s="605"/>
      <c r="W72" s="291" t="s">
        <v>244</v>
      </c>
      <c r="AB72" s="291">
        <v>2</v>
      </c>
      <c r="AC72" s="292"/>
      <c r="AS72" s="343" t="s">
        <v>564</v>
      </c>
      <c r="BD72" s="292"/>
    </row>
    <row r="73" spans="2:56" x14ac:dyDescent="0.15">
      <c r="B73" s="605"/>
      <c r="V73" s="605"/>
      <c r="W73" s="291" t="s">
        <v>261</v>
      </c>
      <c r="AB73" s="291">
        <v>6</v>
      </c>
      <c r="AC73" s="292"/>
      <c r="AS73" s="343" t="s">
        <v>565</v>
      </c>
      <c r="BD73" s="292"/>
    </row>
    <row r="74" spans="2:56" x14ac:dyDescent="0.15">
      <c r="B74" s="605"/>
      <c r="V74" s="1041"/>
      <c r="W74" s="1042" t="s">
        <v>560</v>
      </c>
      <c r="X74" s="1042"/>
      <c r="Y74" s="1042"/>
      <c r="Z74" s="1042"/>
      <c r="AA74" s="1042"/>
      <c r="AB74" s="1042">
        <v>9</v>
      </c>
      <c r="AC74" s="1043"/>
      <c r="BD74" s="292"/>
    </row>
    <row r="75" spans="2:56" x14ac:dyDescent="0.15">
      <c r="B75" s="605"/>
      <c r="V75" s="291" t="s">
        <v>566</v>
      </c>
      <c r="BD75" s="292"/>
    </row>
    <row r="76" spans="2:56" x14ac:dyDescent="0.15">
      <c r="B76" s="605"/>
      <c r="BD76" s="292"/>
    </row>
    <row r="77" spans="2:56" x14ac:dyDescent="0.15">
      <c r="B77" s="605"/>
      <c r="V77" s="291" t="s">
        <v>551</v>
      </c>
      <c r="BD77" s="292"/>
    </row>
    <row r="78" spans="2:56" x14ac:dyDescent="0.15">
      <c r="B78" s="605"/>
      <c r="M78" s="340"/>
      <c r="N78" s="340"/>
      <c r="O78" s="340"/>
      <c r="P78" s="340"/>
      <c r="Q78" s="340"/>
      <c r="R78" s="340"/>
      <c r="T78" s="340"/>
      <c r="V78" s="1038" t="s">
        <v>137</v>
      </c>
      <c r="W78" s="1039"/>
      <c r="X78" s="1039"/>
      <c r="Y78" s="1039"/>
      <c r="Z78" s="1039"/>
      <c r="AA78" s="1039"/>
      <c r="AB78" s="1039"/>
      <c r="AC78" s="1040"/>
      <c r="BD78" s="292"/>
    </row>
    <row r="79" spans="2:56" x14ac:dyDescent="0.15">
      <c r="B79" s="605"/>
      <c r="M79" s="340"/>
      <c r="N79" s="340"/>
      <c r="O79" s="340"/>
      <c r="P79" s="340"/>
      <c r="Q79" s="340"/>
      <c r="R79" s="340"/>
      <c r="T79" s="340"/>
      <c r="V79" s="605"/>
      <c r="W79" s="291" t="s">
        <v>248</v>
      </c>
      <c r="AB79" s="325" t="s">
        <v>556</v>
      </c>
      <c r="AC79" s="292"/>
      <c r="BD79" s="292"/>
    </row>
    <row r="80" spans="2:56" x14ac:dyDescent="0.15">
      <c r="B80" s="605"/>
      <c r="M80" s="340"/>
      <c r="N80" s="340"/>
      <c r="O80" s="340"/>
      <c r="P80" s="340"/>
      <c r="Q80" s="340"/>
      <c r="R80" s="340"/>
      <c r="T80" s="340"/>
      <c r="V80" s="605"/>
      <c r="W80" s="291" t="s">
        <v>244</v>
      </c>
      <c r="AB80" s="291">
        <v>2</v>
      </c>
      <c r="AC80" s="292"/>
      <c r="BD80" s="292"/>
    </row>
    <row r="81" spans="2:56" x14ac:dyDescent="0.15">
      <c r="B81" s="605"/>
      <c r="M81" s="340"/>
      <c r="N81" s="340"/>
      <c r="O81" s="340"/>
      <c r="P81" s="340"/>
      <c r="Q81" s="340"/>
      <c r="R81" s="340"/>
      <c r="T81" s="340"/>
      <c r="V81" s="605"/>
      <c r="W81" s="291" t="s">
        <v>261</v>
      </c>
      <c r="AB81" s="291">
        <v>6</v>
      </c>
      <c r="AC81" s="292"/>
      <c r="BD81" s="292"/>
    </row>
    <row r="82" spans="2:56" x14ac:dyDescent="0.15">
      <c r="B82" s="605"/>
      <c r="M82" s="340"/>
      <c r="N82" s="340"/>
      <c r="O82" s="340"/>
      <c r="P82" s="340"/>
      <c r="Q82" s="340"/>
      <c r="R82" s="340"/>
      <c r="T82" s="340"/>
      <c r="V82" s="1041"/>
      <c r="W82" s="1042" t="s">
        <v>560</v>
      </c>
      <c r="X82" s="1042"/>
      <c r="Y82" s="1042"/>
      <c r="Z82" s="1042"/>
      <c r="AA82" s="1042"/>
      <c r="AB82" s="1042">
        <v>10</v>
      </c>
      <c r="AC82" s="1043"/>
      <c r="BD82" s="292"/>
    </row>
    <row r="83" spans="2:56" x14ac:dyDescent="0.15">
      <c r="B83" s="605"/>
      <c r="M83" s="340"/>
      <c r="N83" s="340"/>
      <c r="O83" s="340"/>
      <c r="P83" s="340"/>
      <c r="Q83" s="340"/>
      <c r="R83" s="340"/>
      <c r="T83" s="340"/>
      <c r="V83" s="291" t="s">
        <v>567</v>
      </c>
      <c r="BD83" s="292"/>
    </row>
    <row r="84" spans="2:56" x14ac:dyDescent="0.15">
      <c r="B84" s="605"/>
      <c r="M84" s="340"/>
      <c r="N84" s="340"/>
      <c r="O84" s="340"/>
      <c r="P84" s="340"/>
      <c r="Q84" s="340"/>
      <c r="R84" s="340"/>
      <c r="T84" s="340"/>
      <c r="BD84" s="292"/>
    </row>
    <row r="85" spans="2:56" x14ac:dyDescent="0.15">
      <c r="B85" s="605"/>
      <c r="M85" s="340"/>
      <c r="N85" s="340"/>
      <c r="O85" s="340"/>
      <c r="P85" s="340"/>
      <c r="Q85" s="340"/>
      <c r="R85" s="340"/>
      <c r="T85" s="340"/>
      <c r="BD85" s="292"/>
    </row>
    <row r="86" spans="2:56" x14ac:dyDescent="0.15">
      <c r="B86" s="605"/>
      <c r="M86" s="340"/>
      <c r="N86" s="340"/>
      <c r="O86" s="340"/>
      <c r="P86" s="340"/>
      <c r="Q86" s="340"/>
      <c r="R86" s="340"/>
      <c r="T86" s="340"/>
      <c r="BD86" s="292"/>
    </row>
    <row r="87" spans="2:56" x14ac:dyDescent="0.15">
      <c r="B87" s="605"/>
      <c r="M87" s="340"/>
      <c r="N87" s="340"/>
      <c r="O87" s="340"/>
      <c r="P87" s="340"/>
      <c r="Q87" s="340"/>
      <c r="R87" s="340"/>
      <c r="T87" s="340"/>
      <c r="V87" s="291" t="s">
        <v>551</v>
      </c>
      <c r="BD87" s="292"/>
    </row>
    <row r="88" spans="2:56" x14ac:dyDescent="0.15">
      <c r="B88" s="605"/>
      <c r="M88" s="340"/>
      <c r="N88" s="340"/>
      <c r="O88" s="340"/>
      <c r="P88" s="340"/>
      <c r="Q88" s="340"/>
      <c r="R88" s="340"/>
      <c r="T88" s="340"/>
      <c r="V88" s="1038" t="s">
        <v>137</v>
      </c>
      <c r="W88" s="1039"/>
      <c r="X88" s="1039"/>
      <c r="Y88" s="1039"/>
      <c r="Z88" s="1039"/>
      <c r="AA88" s="1039"/>
      <c r="AB88" s="1039"/>
      <c r="AC88" s="1040"/>
      <c r="BD88" s="292"/>
    </row>
    <row r="89" spans="2:56" x14ac:dyDescent="0.15">
      <c r="B89" s="605"/>
      <c r="M89" s="340"/>
      <c r="N89" s="340"/>
      <c r="O89" s="340"/>
      <c r="P89" s="340"/>
      <c r="Q89" s="340"/>
      <c r="R89" s="340"/>
      <c r="T89" s="340"/>
      <c r="V89" s="605"/>
      <c r="W89" s="291" t="s">
        <v>248</v>
      </c>
      <c r="AB89" s="325" t="s">
        <v>556</v>
      </c>
      <c r="AC89" s="292"/>
      <c r="AK89" s="325"/>
      <c r="BD89" s="292"/>
    </row>
    <row r="90" spans="2:56" x14ac:dyDescent="0.15">
      <c r="B90" s="605"/>
      <c r="M90" s="340"/>
      <c r="N90" s="340"/>
      <c r="O90" s="340"/>
      <c r="P90" s="340"/>
      <c r="Q90" s="340"/>
      <c r="R90" s="340"/>
      <c r="T90" s="340"/>
      <c r="V90" s="605"/>
      <c r="W90" s="291" t="s">
        <v>244</v>
      </c>
      <c r="AB90" s="291">
        <v>2</v>
      </c>
      <c r="AC90" s="292"/>
      <c r="BD90" s="292"/>
    </row>
    <row r="91" spans="2:56" x14ac:dyDescent="0.15">
      <c r="B91" s="605"/>
      <c r="M91" s="340"/>
      <c r="N91" s="340"/>
      <c r="O91" s="340"/>
      <c r="P91" s="340"/>
      <c r="Q91" s="340"/>
      <c r="R91" s="340"/>
      <c r="T91" s="340"/>
      <c r="V91" s="605"/>
      <c r="W91" s="291" t="s">
        <v>261</v>
      </c>
      <c r="AB91" s="291">
        <v>5</v>
      </c>
      <c r="AC91" s="292"/>
      <c r="AK91" s="325"/>
      <c r="BD91" s="292"/>
    </row>
    <row r="92" spans="2:56" x14ac:dyDescent="0.15">
      <c r="B92" s="605"/>
      <c r="M92" s="340"/>
      <c r="N92" s="340"/>
      <c r="O92" s="340"/>
      <c r="P92" s="340"/>
      <c r="Q92" s="340"/>
      <c r="R92" s="340"/>
      <c r="T92" s="340"/>
      <c r="V92" s="605"/>
      <c r="W92" s="291" t="s">
        <v>560</v>
      </c>
      <c r="AB92" s="291">
        <v>3</v>
      </c>
      <c r="AC92" s="292"/>
      <c r="BD92" s="292"/>
    </row>
    <row r="93" spans="2:56" x14ac:dyDescent="0.15">
      <c r="B93" s="605"/>
      <c r="V93" s="1041"/>
      <c r="W93" s="1042"/>
      <c r="X93" s="1042"/>
      <c r="Y93" s="1042"/>
      <c r="Z93" s="1042"/>
      <c r="AA93" s="1042"/>
      <c r="AB93" s="1042"/>
      <c r="AC93" s="1043"/>
      <c r="BD93" s="292"/>
    </row>
    <row r="94" spans="2:56" x14ac:dyDescent="0.15">
      <c r="B94" s="605"/>
      <c r="V94" s="291" t="s">
        <v>572</v>
      </c>
      <c r="BD94" s="292"/>
    </row>
    <row r="95" spans="2:56" x14ac:dyDescent="0.15">
      <c r="B95" s="605"/>
      <c r="BD95" s="292"/>
    </row>
    <row r="96" spans="2:56" x14ac:dyDescent="0.15">
      <c r="B96" s="605"/>
      <c r="BD96" s="292"/>
    </row>
    <row r="97" spans="2:56" x14ac:dyDescent="0.15">
      <c r="B97" s="605"/>
      <c r="BD97" s="292"/>
    </row>
    <row r="98" spans="2:56" x14ac:dyDescent="0.15">
      <c r="B98" s="605"/>
      <c r="BD98" s="292"/>
    </row>
    <row r="99" spans="2:56" x14ac:dyDescent="0.15">
      <c r="B99" s="605"/>
      <c r="BD99" s="292"/>
    </row>
    <row r="100" spans="2:56" x14ac:dyDescent="0.15">
      <c r="B100" s="605"/>
      <c r="I100" s="341"/>
      <c r="J100" s="340"/>
      <c r="K100" s="340"/>
      <c r="L100" s="340"/>
      <c r="M100" s="291" t="s">
        <v>184</v>
      </c>
      <c r="BD100" s="292"/>
    </row>
    <row r="101" spans="2:56" x14ac:dyDescent="0.15">
      <c r="B101" s="605"/>
      <c r="I101" s="340"/>
      <c r="J101" s="340"/>
      <c r="K101" s="340"/>
      <c r="L101" s="340"/>
      <c r="M101" s="1038" t="s">
        <v>101</v>
      </c>
      <c r="N101" s="1039"/>
      <c r="O101" s="1039"/>
      <c r="P101" s="1039"/>
      <c r="Q101" s="1039"/>
      <c r="R101" s="1039"/>
      <c r="S101" s="1039"/>
      <c r="T101" s="1040"/>
      <c r="U101" s="291" t="s">
        <v>576</v>
      </c>
      <c r="BD101" s="292"/>
    </row>
    <row r="102" spans="2:56" x14ac:dyDescent="0.15">
      <c r="B102" s="605"/>
      <c r="I102" s="341"/>
      <c r="J102" s="340"/>
      <c r="K102" s="340"/>
      <c r="L102" s="340"/>
      <c r="M102" s="605"/>
      <c r="N102" s="291" t="s">
        <v>248</v>
      </c>
      <c r="S102" s="325" t="s">
        <v>556</v>
      </c>
      <c r="T102" s="292"/>
      <c r="BD102" s="292"/>
    </row>
    <row r="103" spans="2:56" x14ac:dyDescent="0.15">
      <c r="B103" s="605"/>
      <c r="I103" s="341"/>
      <c r="J103" s="340"/>
      <c r="K103" s="340"/>
      <c r="L103" s="340"/>
      <c r="M103" s="605"/>
      <c r="N103" s="291" t="s">
        <v>244</v>
      </c>
      <c r="S103" s="291">
        <v>3</v>
      </c>
      <c r="T103" s="292"/>
      <c r="BD103" s="292"/>
    </row>
    <row r="104" spans="2:56" x14ac:dyDescent="0.15">
      <c r="B104" s="605"/>
      <c r="I104" s="341"/>
      <c r="J104" s="340"/>
      <c r="K104" s="340"/>
      <c r="L104" s="340"/>
      <c r="M104" s="1041"/>
      <c r="N104" s="1042" t="s">
        <v>416</v>
      </c>
      <c r="O104" s="1042"/>
      <c r="P104" s="1042"/>
      <c r="Q104" s="1042"/>
      <c r="R104" s="1042"/>
      <c r="S104" s="1045">
        <v>-400</v>
      </c>
      <c r="T104" s="1043"/>
      <c r="BD104" s="292"/>
    </row>
    <row r="105" spans="2:56" x14ac:dyDescent="0.15">
      <c r="B105" s="605"/>
      <c r="I105" s="340"/>
      <c r="J105" s="340"/>
      <c r="K105" s="340"/>
      <c r="L105" s="340"/>
      <c r="M105" s="340"/>
      <c r="N105" s="340"/>
      <c r="O105" s="340"/>
      <c r="P105" s="340"/>
      <c r="Q105" s="340"/>
      <c r="R105" s="340"/>
      <c r="T105" s="340"/>
      <c r="BD105" s="292"/>
    </row>
    <row r="106" spans="2:56" x14ac:dyDescent="0.15">
      <c r="B106" s="605"/>
      <c r="BD106" s="292"/>
    </row>
    <row r="107" spans="2:56" x14ac:dyDescent="0.15">
      <c r="B107" s="605"/>
      <c r="BD107" s="292"/>
    </row>
    <row r="108" spans="2:56" x14ac:dyDescent="0.15">
      <c r="B108" s="1041"/>
      <c r="C108" s="1042"/>
      <c r="D108" s="1042"/>
      <c r="E108" s="1042"/>
      <c r="F108" s="1042"/>
      <c r="G108" s="1042"/>
      <c r="H108" s="1042"/>
      <c r="I108" s="1042"/>
      <c r="J108" s="1042"/>
      <c r="K108" s="1042"/>
      <c r="L108" s="1042"/>
      <c r="M108" s="1042"/>
      <c r="N108" s="1042"/>
      <c r="O108" s="1042"/>
      <c r="P108" s="1042"/>
      <c r="Q108" s="1042"/>
      <c r="R108" s="1042"/>
      <c r="S108" s="1042"/>
      <c r="T108" s="1042"/>
      <c r="U108" s="1042"/>
      <c r="V108" s="1042"/>
      <c r="W108" s="1042"/>
      <c r="X108" s="1042"/>
      <c r="Y108" s="1042"/>
      <c r="Z108" s="1042"/>
      <c r="AA108" s="1042"/>
      <c r="AB108" s="1042"/>
      <c r="AC108" s="1042"/>
      <c r="AD108" s="1042"/>
      <c r="AE108" s="1042"/>
      <c r="AF108" s="1042"/>
      <c r="AG108" s="1042"/>
      <c r="AH108" s="1042"/>
      <c r="AI108" s="1042"/>
      <c r="AJ108" s="1042"/>
      <c r="AK108" s="1042"/>
      <c r="AL108" s="1042"/>
      <c r="AM108" s="1042"/>
      <c r="AN108" s="1042"/>
      <c r="AO108" s="1042"/>
      <c r="AP108" s="1042"/>
      <c r="AQ108" s="1042"/>
      <c r="AR108" s="1042"/>
      <c r="AS108" s="1042"/>
      <c r="AT108" s="1042"/>
      <c r="AU108" s="1042"/>
      <c r="AV108" s="1042"/>
      <c r="AW108" s="1042"/>
      <c r="AX108" s="1042"/>
      <c r="AY108" s="1042"/>
      <c r="AZ108" s="1042"/>
      <c r="BA108" s="1042"/>
      <c r="BB108" s="1042"/>
      <c r="BC108" s="1042"/>
      <c r="BD108" s="1043"/>
    </row>
    <row r="109" spans="2:56" ht="12" thickBot="1" x14ac:dyDescent="0.2"/>
    <row r="110" spans="2:56" s="91" customFormat="1" ht="12.75" customHeight="1" thickTop="1" x14ac:dyDescent="0.15">
      <c r="B110" s="50" t="s">
        <v>6</v>
      </c>
      <c r="C110" s="51"/>
      <c r="D110" s="51"/>
      <c r="E110" s="51"/>
      <c r="F110" s="51"/>
      <c r="G110" s="51"/>
      <c r="H110" s="51"/>
      <c r="I110" s="51"/>
      <c r="J110" s="51"/>
      <c r="K110" s="51"/>
      <c r="L110" s="51"/>
      <c r="M110" s="51"/>
      <c r="N110" s="52"/>
      <c r="O110" s="1247" t="s">
        <v>7</v>
      </c>
      <c r="P110" s="1248"/>
      <c r="Q110" s="1248"/>
      <c r="R110" s="1248"/>
      <c r="S110" s="1248"/>
      <c r="T110" s="1249"/>
      <c r="U110" s="1250" t="s">
        <v>8</v>
      </c>
      <c r="V110" s="1248"/>
      <c r="W110" s="1248"/>
      <c r="X110" s="1248"/>
      <c r="Y110" s="1248"/>
      <c r="Z110" s="1248"/>
      <c r="AA110" s="1249"/>
      <c r="AB110" s="1306" t="s">
        <v>536</v>
      </c>
      <c r="AC110" s="1307"/>
      <c r="AD110" s="1307"/>
      <c r="AE110" s="1307"/>
      <c r="AF110" s="1307"/>
      <c r="AG110" s="1307"/>
      <c r="AH110" s="1307"/>
      <c r="AI110" s="1307"/>
      <c r="AJ110" s="1307"/>
      <c r="AK110" s="1307"/>
      <c r="AL110" s="1307"/>
      <c r="AM110" s="1307"/>
      <c r="AN110" s="1308"/>
      <c r="AO110" s="1250" t="s">
        <v>10</v>
      </c>
      <c r="AP110" s="1249"/>
      <c r="AQ110" s="1303" t="s">
        <v>11</v>
      </c>
      <c r="AR110" s="1304"/>
      <c r="AS110" s="1305"/>
      <c r="AT110" s="1250" t="s">
        <v>12</v>
      </c>
      <c r="AU110" s="1248"/>
      <c r="AV110" s="1248"/>
      <c r="AW110" s="1249"/>
      <c r="AX110" s="1303" t="s">
        <v>13</v>
      </c>
      <c r="AY110" s="1304"/>
      <c r="AZ110" s="1305"/>
      <c r="BA110" s="1250" t="s">
        <v>14</v>
      </c>
      <c r="BB110" s="1248"/>
      <c r="BC110" s="1248"/>
      <c r="BD110" s="1249"/>
    </row>
    <row r="111" spans="2:56" s="91" customFormat="1" ht="12.75" customHeight="1" thickBot="1" x14ac:dyDescent="0.2">
      <c r="B111" s="1260" t="s">
        <v>15</v>
      </c>
      <c r="C111" s="1261"/>
      <c r="D111" s="1261"/>
      <c r="E111" s="1261"/>
      <c r="F111" s="1261"/>
      <c r="G111" s="1261"/>
      <c r="H111" s="1261"/>
      <c r="I111" s="1261"/>
      <c r="J111" s="1261"/>
      <c r="K111" s="1261"/>
      <c r="L111" s="1261"/>
      <c r="M111" s="1261"/>
      <c r="N111" s="1262"/>
      <c r="O111" s="1263" t="s">
        <v>16</v>
      </c>
      <c r="P111" s="1264"/>
      <c r="Q111" s="1264"/>
      <c r="R111" s="1264"/>
      <c r="S111" s="1264"/>
      <c r="T111" s="1265"/>
      <c r="U111" s="1266" t="s">
        <v>163</v>
      </c>
      <c r="V111" s="1264"/>
      <c r="W111" s="1264"/>
      <c r="X111" s="1264"/>
      <c r="Y111" s="1264"/>
      <c r="Z111" s="1264"/>
      <c r="AA111" s="1265"/>
      <c r="AB111" s="1309"/>
      <c r="AC111" s="1310"/>
      <c r="AD111" s="1310"/>
      <c r="AE111" s="1310"/>
      <c r="AF111" s="1310"/>
      <c r="AG111" s="1310"/>
      <c r="AH111" s="1310"/>
      <c r="AI111" s="1310"/>
      <c r="AJ111" s="1310"/>
      <c r="AK111" s="1310"/>
      <c r="AL111" s="1310"/>
      <c r="AM111" s="1310"/>
      <c r="AN111" s="1311"/>
      <c r="AO111" s="1267">
        <f>AO$3</f>
        <v>1.1200000000000001</v>
      </c>
      <c r="AP111" s="1268"/>
      <c r="AQ111" s="1266" t="s">
        <v>18</v>
      </c>
      <c r="AR111" s="1264"/>
      <c r="AS111" s="1265"/>
      <c r="AT111" s="1269">
        <f>AT$3</f>
        <v>45709</v>
      </c>
      <c r="AU111" s="1270"/>
      <c r="AV111" s="1270"/>
      <c r="AW111" s="1270"/>
      <c r="AX111" s="1266" t="s">
        <v>18</v>
      </c>
      <c r="AY111" s="1264"/>
      <c r="AZ111" s="1265"/>
      <c r="BA111" s="1269">
        <v>45460</v>
      </c>
      <c r="BB111" s="1270"/>
      <c r="BC111" s="1270"/>
      <c r="BD111" s="1271"/>
    </row>
    <row r="112" spans="2:56" s="91" customFormat="1" ht="12.75" customHeight="1" thickTop="1" x14ac:dyDescent="0.15"/>
    <row r="113" spans="2:57" s="91" customFormat="1" ht="12.75" customHeight="1" x14ac:dyDescent="0.15">
      <c r="B113" s="1035"/>
      <c r="C113" s="1036"/>
      <c r="D113" s="1036"/>
      <c r="E113" s="1036"/>
      <c r="F113" s="1036"/>
      <c r="G113" s="1036"/>
      <c r="H113" s="1036"/>
      <c r="I113" s="1036"/>
      <c r="J113" s="1036"/>
      <c r="K113" s="1036"/>
      <c r="L113" s="1036"/>
      <c r="M113" s="1036"/>
      <c r="N113" s="1036"/>
      <c r="O113" s="1036"/>
      <c r="P113" s="1036"/>
      <c r="Q113" s="1036"/>
      <c r="R113" s="1036"/>
      <c r="S113" s="1036"/>
      <c r="T113" s="1036"/>
      <c r="U113" s="1036"/>
      <c r="V113" s="1036"/>
      <c r="W113" s="1036"/>
      <c r="X113" s="1036"/>
      <c r="Y113" s="1036"/>
      <c r="Z113" s="1036"/>
      <c r="AA113" s="1036"/>
      <c r="AB113" s="1036"/>
      <c r="AC113" s="1036"/>
      <c r="AD113" s="1036"/>
      <c r="AE113" s="1036"/>
      <c r="AF113" s="1036"/>
      <c r="AG113" s="1036"/>
      <c r="AH113" s="1036"/>
      <c r="AI113" s="1036"/>
      <c r="AJ113" s="1036"/>
      <c r="AK113" s="1036"/>
      <c r="AL113" s="1036"/>
      <c r="AM113" s="1036"/>
      <c r="AN113" s="1036"/>
      <c r="AO113" s="1036"/>
      <c r="AP113" s="1036"/>
      <c r="AQ113" s="1036"/>
      <c r="AR113" s="1036"/>
      <c r="AS113" s="1036"/>
      <c r="AT113" s="1036"/>
      <c r="AU113" s="1036"/>
      <c r="AV113" s="1036"/>
      <c r="AW113" s="1036"/>
      <c r="AX113" s="1036"/>
      <c r="AY113" s="1036"/>
      <c r="AZ113" s="1036"/>
      <c r="BA113" s="1036"/>
      <c r="BB113" s="1036"/>
      <c r="BC113" s="1036"/>
      <c r="BD113" s="1037"/>
    </row>
    <row r="114" spans="2:57" x14ac:dyDescent="0.15">
      <c r="B114" s="605"/>
      <c r="C114" s="509" t="s">
        <v>577</v>
      </c>
      <c r="D114" s="91" t="s">
        <v>578</v>
      </c>
      <c r="BD114" s="292"/>
      <c r="BE114" s="354" t="s">
        <v>539</v>
      </c>
    </row>
    <row r="115" spans="2:57" x14ac:dyDescent="0.15">
      <c r="B115" s="605"/>
      <c r="BD115" s="292"/>
    </row>
    <row r="116" spans="2:57" x14ac:dyDescent="0.15">
      <c r="B116" s="605"/>
      <c r="D116" s="340" t="s">
        <v>540</v>
      </c>
      <c r="F116" s="340"/>
      <c r="G116" s="340" t="s">
        <v>541</v>
      </c>
      <c r="H116" s="340"/>
      <c r="I116" s="341" t="s">
        <v>579</v>
      </c>
      <c r="J116" s="340" t="s">
        <v>580</v>
      </c>
      <c r="K116" s="340"/>
      <c r="L116" s="340"/>
      <c r="M116" s="340"/>
      <c r="N116" s="340"/>
      <c r="R116" s="325"/>
      <c r="BD116" s="292"/>
    </row>
    <row r="117" spans="2:57" x14ac:dyDescent="0.15">
      <c r="B117" s="605"/>
      <c r="D117" s="340" t="s">
        <v>545</v>
      </c>
      <c r="F117" s="340"/>
      <c r="G117" s="340"/>
      <c r="H117" s="340"/>
      <c r="I117" s="341" t="s">
        <v>542</v>
      </c>
      <c r="J117" s="340"/>
      <c r="K117" s="340"/>
      <c r="L117" s="340"/>
      <c r="M117" s="340"/>
      <c r="N117" s="340"/>
      <c r="O117" s="340"/>
      <c r="Q117" s="325"/>
      <c r="BD117" s="292"/>
    </row>
    <row r="118" spans="2:57" x14ac:dyDescent="0.15">
      <c r="B118" s="605"/>
      <c r="D118" s="340" t="s">
        <v>581</v>
      </c>
      <c r="F118" s="340"/>
      <c r="G118" s="340"/>
      <c r="H118" s="340"/>
      <c r="I118" s="341" t="s">
        <v>582</v>
      </c>
      <c r="J118" s="340"/>
      <c r="K118" s="340"/>
      <c r="L118" s="340"/>
      <c r="M118" s="340"/>
      <c r="N118" s="340"/>
      <c r="O118" s="340"/>
      <c r="Q118" s="325"/>
      <c r="BD118" s="292"/>
    </row>
    <row r="119" spans="2:57" x14ac:dyDescent="0.15">
      <c r="B119" s="605"/>
      <c r="D119" s="340"/>
      <c r="E119" s="340"/>
      <c r="F119" s="340"/>
      <c r="G119" s="340"/>
      <c r="H119" s="340"/>
      <c r="I119" s="341"/>
      <c r="J119" s="340"/>
      <c r="K119" s="340"/>
      <c r="L119" s="340"/>
      <c r="M119" s="340"/>
      <c r="N119" s="340"/>
      <c r="O119" s="340"/>
      <c r="Q119" s="325"/>
      <c r="BD119" s="292"/>
    </row>
    <row r="120" spans="2:57" x14ac:dyDescent="0.15">
      <c r="B120" s="605"/>
      <c r="D120" s="340" t="s">
        <v>547</v>
      </c>
      <c r="E120" s="340"/>
      <c r="F120" s="340"/>
      <c r="G120" s="340"/>
      <c r="H120" s="340"/>
      <c r="I120" s="340"/>
      <c r="J120" s="340"/>
      <c r="K120" s="340"/>
      <c r="L120" s="340"/>
      <c r="M120" s="340"/>
      <c r="N120" s="340"/>
      <c r="O120" s="340"/>
      <c r="Q120" s="325"/>
      <c r="BD120" s="292"/>
    </row>
    <row r="121" spans="2:57" x14ac:dyDescent="0.15">
      <c r="B121" s="605"/>
      <c r="D121" s="340" t="s">
        <v>548</v>
      </c>
      <c r="E121" s="340"/>
      <c r="F121" s="340"/>
      <c r="G121" s="340"/>
      <c r="H121" s="340"/>
      <c r="I121" s="340"/>
      <c r="J121" s="340"/>
      <c r="K121" s="340"/>
      <c r="L121" s="340"/>
      <c r="M121" s="340"/>
      <c r="N121" s="340"/>
      <c r="O121" s="340"/>
      <c r="P121" s="340"/>
      <c r="Q121" s="340"/>
      <c r="R121" s="340"/>
      <c r="BD121" s="292"/>
    </row>
    <row r="122" spans="2:57" x14ac:dyDescent="0.15">
      <c r="B122" s="605"/>
      <c r="BD122" s="292"/>
    </row>
    <row r="123" spans="2:57" x14ac:dyDescent="0.15">
      <c r="B123" s="605"/>
      <c r="D123" s="291" t="s">
        <v>549</v>
      </c>
      <c r="M123" s="291" t="s">
        <v>550</v>
      </c>
      <c r="V123" s="291" t="s">
        <v>551</v>
      </c>
      <c r="AE123" s="291" t="s">
        <v>182</v>
      </c>
      <c r="BD123" s="292"/>
    </row>
    <row r="124" spans="2:57" x14ac:dyDescent="0.15">
      <c r="B124" s="605"/>
      <c r="D124" s="1038" t="s">
        <v>552</v>
      </c>
      <c r="E124" s="1039"/>
      <c r="F124" s="1039"/>
      <c r="G124" s="1039"/>
      <c r="H124" s="1039"/>
      <c r="I124" s="1039"/>
      <c r="J124" s="1039"/>
      <c r="K124" s="1040"/>
      <c r="M124" s="1038" t="s">
        <v>553</v>
      </c>
      <c r="N124" s="1039"/>
      <c r="O124" s="1039"/>
      <c r="P124" s="1039"/>
      <c r="Q124" s="1039"/>
      <c r="R124" s="1039"/>
      <c r="S124" s="1039"/>
      <c r="T124" s="1040"/>
      <c r="V124" s="1038" t="s">
        <v>137</v>
      </c>
      <c r="W124" s="1039"/>
      <c r="X124" s="1039"/>
      <c r="Y124" s="1039"/>
      <c r="Z124" s="1039"/>
      <c r="AA124" s="1039"/>
      <c r="AB124" s="1039"/>
      <c r="AC124" s="1040"/>
      <c r="AE124" s="1038" t="s">
        <v>554</v>
      </c>
      <c r="AF124" s="1039"/>
      <c r="AG124" s="1039"/>
      <c r="AH124" s="1039"/>
      <c r="AI124" s="1039"/>
      <c r="AJ124" s="1039"/>
      <c r="AK124" s="1039"/>
      <c r="AL124" s="1040"/>
      <c r="AM124" s="291" t="s">
        <v>583</v>
      </c>
      <c r="BD124" s="292"/>
    </row>
    <row r="125" spans="2:57" x14ac:dyDescent="0.15">
      <c r="B125" s="605"/>
      <c r="D125" s="605"/>
      <c r="E125" s="291" t="s">
        <v>248</v>
      </c>
      <c r="J125" s="325" t="s">
        <v>556</v>
      </c>
      <c r="K125" s="292"/>
      <c r="M125" s="605"/>
      <c r="N125" s="291" t="s">
        <v>248</v>
      </c>
      <c r="S125" s="325" t="s">
        <v>556</v>
      </c>
      <c r="T125" s="292"/>
      <c r="V125" s="605"/>
      <c r="W125" s="291" t="s">
        <v>248</v>
      </c>
      <c r="AB125" s="325" t="s">
        <v>556</v>
      </c>
      <c r="AC125" s="292"/>
      <c r="AE125" s="605"/>
      <c r="AF125" s="291" t="s">
        <v>248</v>
      </c>
      <c r="AK125" s="325" t="s">
        <v>556</v>
      </c>
      <c r="AL125" s="292"/>
      <c r="BD125" s="292"/>
    </row>
    <row r="126" spans="2:57" x14ac:dyDescent="0.15">
      <c r="B126" s="605"/>
      <c r="D126" s="605"/>
      <c r="E126" s="291" t="s">
        <v>259</v>
      </c>
      <c r="J126" s="291">
        <v>1</v>
      </c>
      <c r="K126" s="292"/>
      <c r="M126" s="605"/>
      <c r="N126" s="291" t="s">
        <v>244</v>
      </c>
      <c r="S126" s="291">
        <v>1</v>
      </c>
      <c r="T126" s="292"/>
      <c r="V126" s="605"/>
      <c r="W126" s="291" t="s">
        <v>244</v>
      </c>
      <c r="AB126" s="291">
        <v>1</v>
      </c>
      <c r="AC126" s="292"/>
      <c r="AE126" s="605"/>
      <c r="AF126" s="291" t="s">
        <v>244</v>
      </c>
      <c r="AK126" s="291">
        <v>2</v>
      </c>
      <c r="AL126" s="292"/>
      <c r="BD126" s="292"/>
    </row>
    <row r="127" spans="2:57" x14ac:dyDescent="0.15">
      <c r="B127" s="605"/>
      <c r="D127" s="1041"/>
      <c r="E127" s="1042" t="s">
        <v>353</v>
      </c>
      <c r="F127" s="1042"/>
      <c r="G127" s="1042"/>
      <c r="H127" s="1042"/>
      <c r="I127" s="1042"/>
      <c r="J127" s="1042">
        <v>181</v>
      </c>
      <c r="K127" s="1043"/>
      <c r="M127" s="1041"/>
      <c r="N127" s="1042"/>
      <c r="O127" s="1042"/>
      <c r="P127" s="1042"/>
      <c r="Q127" s="1042"/>
      <c r="R127" s="1042"/>
      <c r="S127" s="1042"/>
      <c r="T127" s="1043"/>
      <c r="V127" s="605"/>
      <c r="W127" s="291" t="s">
        <v>261</v>
      </c>
      <c r="AB127" s="291">
        <v>2</v>
      </c>
      <c r="AC127" s="292"/>
      <c r="AE127" s="605"/>
      <c r="AF127" s="291" t="s">
        <v>557</v>
      </c>
      <c r="AK127" s="325" t="s">
        <v>584</v>
      </c>
      <c r="AL127" s="292"/>
      <c r="BD127" s="292"/>
    </row>
    <row r="128" spans="2:57" x14ac:dyDescent="0.15">
      <c r="B128" s="605"/>
      <c r="V128" s="1041"/>
      <c r="W128" s="1042" t="s">
        <v>560</v>
      </c>
      <c r="X128" s="1042"/>
      <c r="Y128" s="1042"/>
      <c r="Z128" s="1042"/>
      <c r="AA128" s="1042"/>
      <c r="AB128" s="1042">
        <v>3</v>
      </c>
      <c r="AC128" s="1043"/>
      <c r="AE128" s="605"/>
      <c r="AF128" s="291" t="s">
        <v>585</v>
      </c>
      <c r="AK128" s="291">
        <v>13</v>
      </c>
      <c r="AL128" s="292"/>
      <c r="BD128" s="292"/>
    </row>
    <row r="129" spans="2:56" x14ac:dyDescent="0.15">
      <c r="B129" s="605"/>
      <c r="AE129" s="605"/>
      <c r="AF129" s="291" t="s">
        <v>563</v>
      </c>
      <c r="AK129" s="291">
        <v>168</v>
      </c>
      <c r="AL129" s="292"/>
      <c r="BD129" s="292"/>
    </row>
    <row r="130" spans="2:56" x14ac:dyDescent="0.15">
      <c r="B130" s="605"/>
      <c r="M130" s="291" t="s">
        <v>184</v>
      </c>
      <c r="AE130" s="1041"/>
      <c r="AF130" s="1042"/>
      <c r="AG130" s="1042"/>
      <c r="AH130" s="1042"/>
      <c r="AI130" s="1042"/>
      <c r="AJ130" s="1042"/>
      <c r="AK130" s="1042"/>
      <c r="AL130" s="1043"/>
      <c r="BD130" s="292"/>
    </row>
    <row r="131" spans="2:56" x14ac:dyDescent="0.15">
      <c r="B131" s="605"/>
      <c r="M131" s="1038" t="s">
        <v>101</v>
      </c>
      <c r="N131" s="1039"/>
      <c r="O131" s="1039"/>
      <c r="P131" s="1039"/>
      <c r="Q131" s="1039"/>
      <c r="R131" s="1039"/>
      <c r="S131" s="1039"/>
      <c r="T131" s="1040"/>
      <c r="U131" s="291" t="s">
        <v>586</v>
      </c>
      <c r="BD131" s="292"/>
    </row>
    <row r="132" spans="2:56" x14ac:dyDescent="0.15">
      <c r="B132" s="605"/>
      <c r="M132" s="605"/>
      <c r="N132" s="291" t="s">
        <v>248</v>
      </c>
      <c r="S132" s="325" t="s">
        <v>556</v>
      </c>
      <c r="T132" s="292"/>
      <c r="BD132" s="292"/>
    </row>
    <row r="133" spans="2:56" x14ac:dyDescent="0.15">
      <c r="B133" s="605"/>
      <c r="M133" s="605"/>
      <c r="N133" s="291" t="s">
        <v>244</v>
      </c>
      <c r="S133" s="291">
        <v>3</v>
      </c>
      <c r="T133" s="292"/>
      <c r="BD133" s="292"/>
    </row>
    <row r="134" spans="2:56" x14ac:dyDescent="0.15">
      <c r="B134" s="605"/>
      <c r="M134" s="605"/>
      <c r="N134" s="291" t="s">
        <v>408</v>
      </c>
      <c r="S134" s="291">
        <v>1</v>
      </c>
      <c r="T134" s="292"/>
      <c r="BD134" s="292"/>
    </row>
    <row r="135" spans="2:56" x14ac:dyDescent="0.15">
      <c r="B135" s="605"/>
      <c r="M135" s="1041"/>
      <c r="N135" s="1042" t="s">
        <v>416</v>
      </c>
      <c r="O135" s="1042"/>
      <c r="P135" s="1042"/>
      <c r="Q135" s="1042"/>
      <c r="R135" s="1042"/>
      <c r="S135" s="1045">
        <v>-200</v>
      </c>
      <c r="T135" s="1043"/>
      <c r="BD135" s="292"/>
    </row>
    <row r="136" spans="2:56" x14ac:dyDescent="0.15">
      <c r="B136" s="605"/>
      <c r="S136" s="349"/>
      <c r="BD136" s="292"/>
    </row>
    <row r="137" spans="2:56" x14ac:dyDescent="0.15">
      <c r="B137" s="605"/>
      <c r="M137" s="291" t="s">
        <v>184</v>
      </c>
      <c r="AC137" s="343" t="s">
        <v>587</v>
      </c>
      <c r="BD137" s="292"/>
    </row>
    <row r="138" spans="2:56" x14ac:dyDescent="0.15">
      <c r="B138" s="605"/>
      <c r="M138" s="1038" t="s">
        <v>101</v>
      </c>
      <c r="N138" s="1039"/>
      <c r="O138" s="1039"/>
      <c r="P138" s="1039"/>
      <c r="Q138" s="1039"/>
      <c r="R138" s="1039"/>
      <c r="S138" s="1039"/>
      <c r="T138" s="1040"/>
      <c r="U138" s="291" t="s">
        <v>588</v>
      </c>
      <c r="BD138" s="292"/>
    </row>
    <row r="139" spans="2:56" x14ac:dyDescent="0.15">
      <c r="B139" s="605"/>
      <c r="M139" s="605"/>
      <c r="N139" s="291" t="s">
        <v>248</v>
      </c>
      <c r="S139" s="325" t="s">
        <v>556</v>
      </c>
      <c r="T139" s="292"/>
      <c r="BD139" s="292"/>
    </row>
    <row r="140" spans="2:56" x14ac:dyDescent="0.15">
      <c r="B140" s="605"/>
      <c r="M140" s="605"/>
      <c r="N140" s="291" t="s">
        <v>244</v>
      </c>
      <c r="S140" s="291">
        <v>4</v>
      </c>
      <c r="T140" s="292"/>
      <c r="BD140" s="292"/>
    </row>
    <row r="141" spans="2:56" x14ac:dyDescent="0.15">
      <c r="B141" s="605"/>
      <c r="M141" s="605"/>
      <c r="N141" s="291" t="s">
        <v>408</v>
      </c>
      <c r="S141" s="291">
        <v>1</v>
      </c>
      <c r="T141" s="292"/>
      <c r="BD141" s="292"/>
    </row>
    <row r="142" spans="2:56" x14ac:dyDescent="0.15">
      <c r="B142" s="605"/>
      <c r="M142" s="1041"/>
      <c r="N142" s="1042" t="s">
        <v>416</v>
      </c>
      <c r="O142" s="1042"/>
      <c r="P142" s="1042"/>
      <c r="Q142" s="1042"/>
      <c r="R142" s="1042"/>
      <c r="S142" s="1045">
        <v>19</v>
      </c>
      <c r="T142" s="1043"/>
      <c r="BD142" s="292"/>
    </row>
    <row r="143" spans="2:56" x14ac:dyDescent="0.15">
      <c r="B143" s="605"/>
      <c r="BD143" s="292"/>
    </row>
    <row r="144" spans="2:56" x14ac:dyDescent="0.15">
      <c r="B144" s="605"/>
      <c r="BD144" s="292"/>
    </row>
    <row r="145" spans="2:56" x14ac:dyDescent="0.15">
      <c r="B145" s="605"/>
      <c r="BD145" s="292"/>
    </row>
    <row r="146" spans="2:56" x14ac:dyDescent="0.15">
      <c r="B146" s="605"/>
      <c r="BD146" s="292"/>
    </row>
    <row r="147" spans="2:56" x14ac:dyDescent="0.15">
      <c r="B147" s="605"/>
      <c r="BD147" s="292"/>
    </row>
    <row r="148" spans="2:56" x14ac:dyDescent="0.15">
      <c r="B148" s="605"/>
      <c r="BD148" s="292"/>
    </row>
    <row r="149" spans="2:56" x14ac:dyDescent="0.15">
      <c r="B149" s="605"/>
      <c r="BD149" s="292"/>
    </row>
    <row r="150" spans="2:56" x14ac:dyDescent="0.15">
      <c r="B150" s="605"/>
      <c r="BD150" s="292"/>
    </row>
    <row r="151" spans="2:56" x14ac:dyDescent="0.15">
      <c r="B151" s="605"/>
      <c r="BD151" s="292"/>
    </row>
    <row r="152" spans="2:56" x14ac:dyDescent="0.15">
      <c r="B152" s="605"/>
      <c r="BD152" s="292"/>
    </row>
    <row r="153" spans="2:56" x14ac:dyDescent="0.15">
      <c r="B153" s="605"/>
      <c r="BD153" s="292"/>
    </row>
    <row r="154" spans="2:56" x14ac:dyDescent="0.15">
      <c r="B154" s="605"/>
      <c r="BD154" s="292"/>
    </row>
    <row r="155" spans="2:56" x14ac:dyDescent="0.15">
      <c r="B155" s="605"/>
      <c r="BD155" s="292"/>
    </row>
    <row r="156" spans="2:56" x14ac:dyDescent="0.15">
      <c r="B156" s="605"/>
      <c r="BD156" s="292"/>
    </row>
    <row r="157" spans="2:56" x14ac:dyDescent="0.15">
      <c r="B157" s="605"/>
      <c r="BD157" s="292"/>
    </row>
    <row r="158" spans="2:56" x14ac:dyDescent="0.15">
      <c r="B158" s="605"/>
      <c r="BD158" s="292"/>
    </row>
    <row r="159" spans="2:56" x14ac:dyDescent="0.15">
      <c r="B159" s="605"/>
      <c r="BD159" s="292"/>
    </row>
    <row r="160" spans="2:56" x14ac:dyDescent="0.15">
      <c r="B160" s="605"/>
      <c r="BD160" s="292"/>
    </row>
    <row r="161" spans="2:57" x14ac:dyDescent="0.15">
      <c r="B161" s="605"/>
      <c r="BD161" s="292"/>
    </row>
    <row r="162" spans="2:57" x14ac:dyDescent="0.15">
      <c r="B162" s="1041"/>
      <c r="C162" s="1042"/>
      <c r="D162" s="1042"/>
      <c r="E162" s="1042"/>
      <c r="F162" s="1042"/>
      <c r="G162" s="1042"/>
      <c r="H162" s="1042"/>
      <c r="I162" s="1042"/>
      <c r="J162" s="1042"/>
      <c r="K162" s="1042"/>
      <c r="L162" s="1042"/>
      <c r="M162" s="1042"/>
      <c r="N162" s="1042"/>
      <c r="O162" s="1042"/>
      <c r="P162" s="1042"/>
      <c r="Q162" s="1042"/>
      <c r="R162" s="1042"/>
      <c r="S162" s="1042"/>
      <c r="T162" s="1042"/>
      <c r="U162" s="1042"/>
      <c r="V162" s="1042"/>
      <c r="W162" s="1042"/>
      <c r="X162" s="1042"/>
      <c r="Y162" s="1042"/>
      <c r="Z162" s="1042"/>
      <c r="AA162" s="1042"/>
      <c r="AB162" s="1042"/>
      <c r="AC162" s="1042"/>
      <c r="AD162" s="1042"/>
      <c r="AE162" s="1042"/>
      <c r="AF162" s="1042"/>
      <c r="AG162" s="1042"/>
      <c r="AH162" s="1042"/>
      <c r="AI162" s="1042"/>
      <c r="AJ162" s="1042"/>
      <c r="AK162" s="1042"/>
      <c r="AL162" s="1042"/>
      <c r="AM162" s="1042"/>
      <c r="AN162" s="1042"/>
      <c r="AO162" s="1042"/>
      <c r="AP162" s="1042"/>
      <c r="AQ162" s="1042"/>
      <c r="AR162" s="1042"/>
      <c r="AS162" s="1042"/>
      <c r="AT162" s="1042"/>
      <c r="AU162" s="1042"/>
      <c r="AV162" s="1042"/>
      <c r="AW162" s="1042"/>
      <c r="AX162" s="1042"/>
      <c r="AY162" s="1042"/>
      <c r="AZ162" s="1042"/>
      <c r="BA162" s="1042"/>
      <c r="BB162" s="1042"/>
      <c r="BC162" s="1042"/>
      <c r="BD162" s="1043"/>
    </row>
    <row r="163" spans="2:57" ht="12" thickBot="1" x14ac:dyDescent="0.2"/>
    <row r="164" spans="2:57" ht="12.75" thickTop="1" x14ac:dyDescent="0.15">
      <c r="B164" s="50" t="s">
        <v>6</v>
      </c>
      <c r="C164" s="51"/>
      <c r="D164" s="51"/>
      <c r="E164" s="51"/>
      <c r="F164" s="51"/>
      <c r="G164" s="51"/>
      <c r="H164" s="51"/>
      <c r="I164" s="51"/>
      <c r="J164" s="51"/>
      <c r="K164" s="51"/>
      <c r="L164" s="51"/>
      <c r="M164" s="51"/>
      <c r="N164" s="52"/>
      <c r="O164" s="1247" t="s">
        <v>7</v>
      </c>
      <c r="P164" s="1248"/>
      <c r="Q164" s="1248"/>
      <c r="R164" s="1248"/>
      <c r="S164" s="1248"/>
      <c r="T164" s="1249"/>
      <c r="U164" s="1250" t="s">
        <v>8</v>
      </c>
      <c r="V164" s="1248"/>
      <c r="W164" s="1248"/>
      <c r="X164" s="1248"/>
      <c r="Y164" s="1248"/>
      <c r="Z164" s="1248"/>
      <c r="AA164" s="1249"/>
      <c r="AB164" s="1306" t="s">
        <v>536</v>
      </c>
      <c r="AC164" s="1307"/>
      <c r="AD164" s="1307"/>
      <c r="AE164" s="1307"/>
      <c r="AF164" s="1307"/>
      <c r="AG164" s="1307"/>
      <c r="AH164" s="1307"/>
      <c r="AI164" s="1307"/>
      <c r="AJ164" s="1307"/>
      <c r="AK164" s="1307"/>
      <c r="AL164" s="1307"/>
      <c r="AM164" s="1307"/>
      <c r="AN164" s="1308"/>
      <c r="AO164" s="1250" t="s">
        <v>10</v>
      </c>
      <c r="AP164" s="1249"/>
      <c r="AQ164" s="1303" t="s">
        <v>11</v>
      </c>
      <c r="AR164" s="1304"/>
      <c r="AS164" s="1305"/>
      <c r="AT164" s="1250" t="s">
        <v>12</v>
      </c>
      <c r="AU164" s="1248"/>
      <c r="AV164" s="1248"/>
      <c r="AW164" s="1249"/>
      <c r="AX164" s="1303" t="s">
        <v>13</v>
      </c>
      <c r="AY164" s="1304"/>
      <c r="AZ164" s="1305"/>
      <c r="BA164" s="1250" t="s">
        <v>14</v>
      </c>
      <c r="BB164" s="1248"/>
      <c r="BC164" s="1248"/>
      <c r="BD164" s="1249"/>
    </row>
    <row r="165" spans="2:57" ht="12.75" thickBot="1" x14ac:dyDescent="0.2">
      <c r="B165" s="1260" t="s">
        <v>15</v>
      </c>
      <c r="C165" s="1261"/>
      <c r="D165" s="1261"/>
      <c r="E165" s="1261"/>
      <c r="F165" s="1261"/>
      <c r="G165" s="1261"/>
      <c r="H165" s="1261"/>
      <c r="I165" s="1261"/>
      <c r="J165" s="1261"/>
      <c r="K165" s="1261"/>
      <c r="L165" s="1261"/>
      <c r="M165" s="1261"/>
      <c r="N165" s="1262"/>
      <c r="O165" s="1263" t="s">
        <v>16</v>
      </c>
      <c r="P165" s="1264"/>
      <c r="Q165" s="1264"/>
      <c r="R165" s="1264"/>
      <c r="S165" s="1264"/>
      <c r="T165" s="1265"/>
      <c r="U165" s="1266" t="s">
        <v>163</v>
      </c>
      <c r="V165" s="1264"/>
      <c r="W165" s="1264"/>
      <c r="X165" s="1264"/>
      <c r="Y165" s="1264"/>
      <c r="Z165" s="1264"/>
      <c r="AA165" s="1265"/>
      <c r="AB165" s="1309"/>
      <c r="AC165" s="1310"/>
      <c r="AD165" s="1310"/>
      <c r="AE165" s="1310"/>
      <c r="AF165" s="1310"/>
      <c r="AG165" s="1310"/>
      <c r="AH165" s="1310"/>
      <c r="AI165" s="1310"/>
      <c r="AJ165" s="1310"/>
      <c r="AK165" s="1310"/>
      <c r="AL165" s="1310"/>
      <c r="AM165" s="1310"/>
      <c r="AN165" s="1311"/>
      <c r="AO165" s="1267">
        <f>AO$3</f>
        <v>1.1200000000000001</v>
      </c>
      <c r="AP165" s="1268"/>
      <c r="AQ165" s="1266" t="s">
        <v>18</v>
      </c>
      <c r="AR165" s="1264"/>
      <c r="AS165" s="1265"/>
      <c r="AT165" s="1269">
        <f>AT$3</f>
        <v>45709</v>
      </c>
      <c r="AU165" s="1270"/>
      <c r="AV165" s="1270"/>
      <c r="AW165" s="1270"/>
      <c r="AX165" s="1266" t="s">
        <v>18</v>
      </c>
      <c r="AY165" s="1264"/>
      <c r="AZ165" s="1265"/>
      <c r="BA165" s="1269">
        <v>45460</v>
      </c>
      <c r="BB165" s="1270"/>
      <c r="BC165" s="1270"/>
      <c r="BD165" s="1271"/>
    </row>
    <row r="166" spans="2:57" ht="12" thickTop="1" x14ac:dyDescent="0.15"/>
    <row r="167" spans="2:57" x14ac:dyDescent="0.15">
      <c r="B167" s="1038"/>
      <c r="C167" s="1039"/>
      <c r="D167" s="1039"/>
      <c r="E167" s="1039"/>
      <c r="F167" s="1039"/>
      <c r="G167" s="1039"/>
      <c r="H167" s="1039"/>
      <c r="I167" s="1039"/>
      <c r="J167" s="1039"/>
      <c r="K167" s="1039"/>
      <c r="L167" s="1039"/>
      <c r="M167" s="1039"/>
      <c r="N167" s="1039"/>
      <c r="O167" s="1039"/>
      <c r="P167" s="1039"/>
      <c r="Q167" s="1039"/>
      <c r="R167" s="1039"/>
      <c r="S167" s="1039"/>
      <c r="T167" s="1039"/>
      <c r="U167" s="1039"/>
      <c r="V167" s="1039"/>
      <c r="W167" s="1039"/>
      <c r="X167" s="1039"/>
      <c r="Y167" s="1039"/>
      <c r="Z167" s="1039"/>
      <c r="AA167" s="1039"/>
      <c r="AB167" s="1039"/>
      <c r="AC167" s="1039"/>
      <c r="AD167" s="1039"/>
      <c r="AE167" s="1039"/>
      <c r="AF167" s="1039"/>
      <c r="AG167" s="1039"/>
      <c r="AH167" s="1039"/>
      <c r="AI167" s="1039"/>
      <c r="AJ167" s="1039"/>
      <c r="AK167" s="1039"/>
      <c r="AL167" s="1039"/>
      <c r="AM167" s="1039"/>
      <c r="AN167" s="1039"/>
      <c r="AO167" s="1039"/>
      <c r="AP167" s="1039"/>
      <c r="AQ167" s="1039"/>
      <c r="AR167" s="1039"/>
      <c r="AS167" s="1039"/>
      <c r="AT167" s="1039"/>
      <c r="AU167" s="1039"/>
      <c r="AV167" s="1039"/>
      <c r="AW167" s="1039"/>
      <c r="AX167" s="1039"/>
      <c r="AY167" s="1039"/>
      <c r="AZ167" s="1039"/>
      <c r="BA167" s="1039"/>
      <c r="BB167" s="1039"/>
      <c r="BC167" s="1039"/>
      <c r="BD167" s="1040"/>
    </row>
    <row r="168" spans="2:57" x14ac:dyDescent="0.15">
      <c r="B168" s="605"/>
      <c r="C168" s="509" t="s">
        <v>589</v>
      </c>
      <c r="D168" s="91" t="s">
        <v>590</v>
      </c>
      <c r="BD168" s="292"/>
      <c r="BE168" s="354" t="s">
        <v>539</v>
      </c>
    </row>
    <row r="169" spans="2:57" x14ac:dyDescent="0.15">
      <c r="B169" s="605"/>
      <c r="BD169" s="292"/>
    </row>
    <row r="170" spans="2:57" x14ac:dyDescent="0.15">
      <c r="B170" s="605"/>
      <c r="D170" s="340" t="s">
        <v>540</v>
      </c>
      <c r="F170" s="340"/>
      <c r="G170" s="340" t="s">
        <v>541</v>
      </c>
      <c r="H170" s="340"/>
      <c r="I170" s="341" t="s">
        <v>579</v>
      </c>
      <c r="J170" s="340" t="s">
        <v>591</v>
      </c>
      <c r="K170" s="340"/>
      <c r="L170" s="340"/>
      <c r="M170" s="340"/>
      <c r="N170" s="340"/>
      <c r="R170" s="325"/>
      <c r="U170" s="325"/>
      <c r="BD170" s="292"/>
    </row>
    <row r="171" spans="2:57" x14ac:dyDescent="0.15">
      <c r="B171" s="605"/>
      <c r="D171" s="291" t="s">
        <v>592</v>
      </c>
      <c r="I171" s="341" t="s">
        <v>593</v>
      </c>
      <c r="J171" s="345"/>
      <c r="L171" s="340"/>
      <c r="M171" s="340"/>
      <c r="N171" s="340"/>
      <c r="O171" s="340"/>
      <c r="U171" s="325"/>
      <c r="BD171" s="292"/>
    </row>
    <row r="172" spans="2:57" x14ac:dyDescent="0.15">
      <c r="B172" s="605"/>
      <c r="D172" s="340" t="s">
        <v>545</v>
      </c>
      <c r="F172" s="340"/>
      <c r="G172" s="340"/>
      <c r="H172" s="340"/>
      <c r="I172" s="341" t="s">
        <v>594</v>
      </c>
      <c r="J172" s="340"/>
      <c r="M172" s="325"/>
      <c r="U172" s="325"/>
      <c r="BD172" s="292"/>
    </row>
    <row r="173" spans="2:57" x14ac:dyDescent="0.15">
      <c r="B173" s="605"/>
      <c r="D173" s="325"/>
      <c r="F173" s="325"/>
      <c r="I173" s="325"/>
      <c r="J173" s="345"/>
      <c r="K173" s="340"/>
      <c r="M173" s="325"/>
      <c r="U173" s="325"/>
      <c r="BD173" s="292"/>
    </row>
    <row r="174" spans="2:57" x14ac:dyDescent="0.15">
      <c r="B174" s="605"/>
      <c r="D174" s="340" t="s">
        <v>547</v>
      </c>
      <c r="E174" s="340"/>
      <c r="F174" s="340"/>
      <c r="G174" s="340"/>
      <c r="H174" s="340"/>
      <c r="I174" s="340"/>
      <c r="J174" s="340"/>
      <c r="K174" s="340"/>
      <c r="L174" s="340"/>
      <c r="M174" s="340"/>
      <c r="N174" s="340"/>
      <c r="O174" s="340"/>
      <c r="Q174" s="325"/>
      <c r="U174" s="325"/>
      <c r="BD174" s="292"/>
    </row>
    <row r="175" spans="2:57" x14ac:dyDescent="0.15">
      <c r="B175" s="605"/>
      <c r="D175" s="340" t="s">
        <v>548</v>
      </c>
      <c r="E175" s="340"/>
      <c r="F175" s="340"/>
      <c r="G175" s="340"/>
      <c r="H175" s="340"/>
      <c r="I175" s="340"/>
      <c r="J175" s="340"/>
      <c r="K175" s="340"/>
      <c r="L175" s="340"/>
      <c r="M175" s="340"/>
      <c r="N175" s="340"/>
      <c r="O175" s="340"/>
      <c r="P175" s="340"/>
      <c r="Q175" s="340"/>
      <c r="R175" s="340"/>
      <c r="U175" s="325"/>
      <c r="BD175" s="292"/>
    </row>
    <row r="176" spans="2:57" x14ac:dyDescent="0.15">
      <c r="B176" s="605"/>
      <c r="BD176" s="292"/>
    </row>
    <row r="177" spans="2:57" x14ac:dyDescent="0.15">
      <c r="B177" s="605"/>
      <c r="D177" s="291" t="s">
        <v>549</v>
      </c>
      <c r="M177" s="291" t="s">
        <v>550</v>
      </c>
      <c r="V177" s="291" t="s">
        <v>551</v>
      </c>
      <c r="AE177" s="291" t="s">
        <v>182</v>
      </c>
      <c r="BD177" s="292"/>
    </row>
    <row r="178" spans="2:57" x14ac:dyDescent="0.15">
      <c r="B178" s="605"/>
      <c r="D178" s="1038" t="s">
        <v>552</v>
      </c>
      <c r="E178" s="1039"/>
      <c r="F178" s="1039"/>
      <c r="G178" s="1039"/>
      <c r="H178" s="1039"/>
      <c r="I178" s="1039"/>
      <c r="J178" s="1039"/>
      <c r="K178" s="1040"/>
      <c r="M178" s="1038" t="s">
        <v>553</v>
      </c>
      <c r="N178" s="1039"/>
      <c r="O178" s="1039"/>
      <c r="P178" s="1039"/>
      <c r="Q178" s="1039"/>
      <c r="R178" s="1039"/>
      <c r="S178" s="1039"/>
      <c r="T178" s="1040"/>
      <c r="V178" s="1038" t="s">
        <v>137</v>
      </c>
      <c r="W178" s="1039"/>
      <c r="X178" s="1039"/>
      <c r="Y178" s="1039"/>
      <c r="Z178" s="1039"/>
      <c r="AA178" s="1039"/>
      <c r="AB178" s="1039"/>
      <c r="AC178" s="1040"/>
      <c r="AE178" s="1038" t="s">
        <v>554</v>
      </c>
      <c r="AF178" s="1039"/>
      <c r="AG178" s="1039"/>
      <c r="AH178" s="1039"/>
      <c r="AI178" s="1039"/>
      <c r="AJ178" s="1039"/>
      <c r="AK178" s="1039"/>
      <c r="AL178" s="1040"/>
      <c r="AM178" s="291" t="s">
        <v>583</v>
      </c>
      <c r="BD178" s="292"/>
    </row>
    <row r="179" spans="2:57" x14ac:dyDescent="0.15">
      <c r="B179" s="605"/>
      <c r="D179" s="605"/>
      <c r="E179" s="291" t="s">
        <v>248</v>
      </c>
      <c r="J179" s="325" t="s">
        <v>556</v>
      </c>
      <c r="K179" s="292"/>
      <c r="M179" s="605"/>
      <c r="N179" s="291" t="s">
        <v>248</v>
      </c>
      <c r="S179" s="325" t="s">
        <v>556</v>
      </c>
      <c r="T179" s="292"/>
      <c r="V179" s="605"/>
      <c r="W179" s="291" t="s">
        <v>248</v>
      </c>
      <c r="AB179" s="325" t="s">
        <v>556</v>
      </c>
      <c r="AC179" s="292"/>
      <c r="AE179" s="605"/>
      <c r="AF179" s="291" t="s">
        <v>248</v>
      </c>
      <c r="AK179" s="325" t="s">
        <v>556</v>
      </c>
      <c r="AL179" s="292"/>
      <c r="BD179" s="292"/>
    </row>
    <row r="180" spans="2:57" x14ac:dyDescent="0.15">
      <c r="B180" s="605"/>
      <c r="D180" s="605"/>
      <c r="E180" s="291" t="s">
        <v>259</v>
      </c>
      <c r="J180" s="291">
        <v>1</v>
      </c>
      <c r="K180" s="292"/>
      <c r="M180" s="605"/>
      <c r="N180" s="291" t="s">
        <v>244</v>
      </c>
      <c r="S180" s="291">
        <v>1</v>
      </c>
      <c r="T180" s="292"/>
      <c r="V180" s="605"/>
      <c r="W180" s="291" t="s">
        <v>244</v>
      </c>
      <c r="AB180" s="291">
        <v>1</v>
      </c>
      <c r="AC180" s="292"/>
      <c r="AE180" s="605"/>
      <c r="AF180" s="291" t="s">
        <v>244</v>
      </c>
      <c r="AK180" s="291">
        <v>2</v>
      </c>
      <c r="AL180" s="292"/>
      <c r="BD180" s="292"/>
    </row>
    <row r="181" spans="2:57" x14ac:dyDescent="0.15">
      <c r="B181" s="605"/>
      <c r="D181" s="1041"/>
      <c r="E181" s="1042" t="s">
        <v>353</v>
      </c>
      <c r="F181" s="1042"/>
      <c r="G181" s="1042"/>
      <c r="H181" s="1042"/>
      <c r="I181" s="1042"/>
      <c r="J181" s="1042">
        <v>181</v>
      </c>
      <c r="K181" s="1043"/>
      <c r="M181" s="1041"/>
      <c r="N181" s="1042"/>
      <c r="O181" s="1042"/>
      <c r="P181" s="1042"/>
      <c r="Q181" s="1042"/>
      <c r="R181" s="1042"/>
      <c r="S181" s="1042"/>
      <c r="T181" s="1043"/>
      <c r="V181" s="605"/>
      <c r="W181" s="291" t="s">
        <v>261</v>
      </c>
      <c r="AB181" s="291">
        <v>2</v>
      </c>
      <c r="AC181" s="292"/>
      <c r="AE181" s="605"/>
      <c r="AF181" s="291" t="s">
        <v>557</v>
      </c>
      <c r="AK181" s="325" t="s">
        <v>584</v>
      </c>
      <c r="AL181" s="292"/>
      <c r="BD181" s="292"/>
    </row>
    <row r="182" spans="2:57" x14ac:dyDescent="0.15">
      <c r="B182" s="605"/>
      <c r="V182" s="1041"/>
      <c r="W182" s="1042" t="s">
        <v>560</v>
      </c>
      <c r="X182" s="1042"/>
      <c r="Y182" s="1042"/>
      <c r="Z182" s="1042"/>
      <c r="AA182" s="1042"/>
      <c r="AB182" s="1042">
        <v>3</v>
      </c>
      <c r="AC182" s="1043"/>
      <c r="AE182" s="605"/>
      <c r="AF182" s="291" t="s">
        <v>585</v>
      </c>
      <c r="AK182" s="291">
        <v>13</v>
      </c>
      <c r="AL182" s="292"/>
      <c r="BD182" s="292"/>
    </row>
    <row r="183" spans="2:57" x14ac:dyDescent="0.15">
      <c r="B183" s="605"/>
      <c r="M183" s="291" t="s">
        <v>184</v>
      </c>
      <c r="AE183" s="605"/>
      <c r="AF183" s="291" t="s">
        <v>563</v>
      </c>
      <c r="AK183" s="291">
        <v>168</v>
      </c>
      <c r="AL183" s="292"/>
      <c r="BD183" s="292"/>
    </row>
    <row r="184" spans="2:57" x14ac:dyDescent="0.15">
      <c r="B184" s="605"/>
      <c r="M184" s="1038" t="s">
        <v>101</v>
      </c>
      <c r="N184" s="1039"/>
      <c r="O184" s="1039"/>
      <c r="P184" s="1039"/>
      <c r="Q184" s="1039"/>
      <c r="R184" s="1039"/>
      <c r="S184" s="1039"/>
      <c r="T184" s="1040"/>
      <c r="U184" s="291" t="s">
        <v>595</v>
      </c>
      <c r="AE184" s="1041"/>
      <c r="AF184" s="1042"/>
      <c r="AG184" s="1042"/>
      <c r="AH184" s="1042"/>
      <c r="AI184" s="1042"/>
      <c r="AJ184" s="1042"/>
      <c r="AK184" s="1042"/>
      <c r="AL184" s="1043"/>
      <c r="BD184" s="292"/>
    </row>
    <row r="185" spans="2:57" x14ac:dyDescent="0.15">
      <c r="B185" s="605"/>
      <c r="M185" s="605"/>
      <c r="N185" s="291" t="s">
        <v>248</v>
      </c>
      <c r="S185" s="325" t="s">
        <v>556</v>
      </c>
      <c r="T185" s="292"/>
      <c r="BD185" s="292"/>
    </row>
    <row r="186" spans="2:57" x14ac:dyDescent="0.15">
      <c r="B186" s="605"/>
      <c r="M186" s="605"/>
      <c r="N186" s="291" t="s">
        <v>244</v>
      </c>
      <c r="S186" s="291">
        <v>3</v>
      </c>
      <c r="T186" s="292"/>
      <c r="BD186" s="292"/>
    </row>
    <row r="187" spans="2:57" x14ac:dyDescent="0.15">
      <c r="B187" s="605"/>
      <c r="M187" s="605"/>
      <c r="N187" s="291" t="s">
        <v>290</v>
      </c>
      <c r="S187" s="346">
        <v>18</v>
      </c>
      <c r="T187" s="292"/>
      <c r="BD187" s="292"/>
    </row>
    <row r="188" spans="2:57" x14ac:dyDescent="0.15">
      <c r="B188" s="605"/>
      <c r="M188" s="605"/>
      <c r="N188" s="291" t="s">
        <v>408</v>
      </c>
      <c r="S188" s="325">
        <v>104</v>
      </c>
      <c r="T188" s="292"/>
      <c r="BD188" s="292"/>
    </row>
    <row r="189" spans="2:57" x14ac:dyDescent="0.15">
      <c r="B189" s="605"/>
      <c r="M189" s="1041"/>
      <c r="N189" s="1042" t="s">
        <v>416</v>
      </c>
      <c r="O189" s="1042"/>
      <c r="P189" s="1042"/>
      <c r="Q189" s="1042"/>
      <c r="R189" s="1042"/>
      <c r="S189" s="1045">
        <v>-181</v>
      </c>
      <c r="T189" s="1043"/>
      <c r="BD189" s="292"/>
    </row>
    <row r="190" spans="2:57" x14ac:dyDescent="0.15">
      <c r="B190" s="605"/>
      <c r="M190" s="291" t="s">
        <v>184</v>
      </c>
      <c r="AB190" s="343" t="s">
        <v>596</v>
      </c>
      <c r="BD190" s="292"/>
    </row>
    <row r="191" spans="2:57" x14ac:dyDescent="0.15">
      <c r="B191" s="605"/>
      <c r="M191" s="1038" t="s">
        <v>101</v>
      </c>
      <c r="N191" s="1039"/>
      <c r="O191" s="1039"/>
      <c r="P191" s="1039"/>
      <c r="Q191" s="1039"/>
      <c r="R191" s="1039"/>
      <c r="S191" s="1039"/>
      <c r="T191" s="1040"/>
      <c r="U191" s="291" t="s">
        <v>595</v>
      </c>
      <c r="AB191" s="343" t="s">
        <v>597</v>
      </c>
      <c r="BD191" s="292"/>
      <c r="BE191" s="355" t="s">
        <v>598</v>
      </c>
    </row>
    <row r="192" spans="2:57" x14ac:dyDescent="0.15">
      <c r="B192" s="605"/>
      <c r="M192" s="605"/>
      <c r="N192" s="291" t="s">
        <v>248</v>
      </c>
      <c r="S192" s="325" t="s">
        <v>556</v>
      </c>
      <c r="T192" s="292"/>
      <c r="BD192" s="292"/>
    </row>
    <row r="193" spans="2:56" x14ac:dyDescent="0.15">
      <c r="B193" s="605"/>
      <c r="M193" s="605"/>
      <c r="N193" s="291" t="s">
        <v>244</v>
      </c>
      <c r="S193" s="291">
        <v>4</v>
      </c>
      <c r="T193" s="292"/>
      <c r="BD193" s="292"/>
    </row>
    <row r="194" spans="2:56" x14ac:dyDescent="0.15">
      <c r="B194" s="605"/>
      <c r="M194" s="605"/>
      <c r="N194" s="291" t="s">
        <v>290</v>
      </c>
      <c r="S194" s="346">
        <v>18</v>
      </c>
      <c r="T194" s="292"/>
      <c r="BD194" s="292"/>
    </row>
    <row r="195" spans="2:56" x14ac:dyDescent="0.15">
      <c r="B195" s="605"/>
      <c r="M195" s="605"/>
      <c r="N195" s="291" t="s">
        <v>408</v>
      </c>
      <c r="S195" s="325">
        <v>104</v>
      </c>
      <c r="T195" s="292"/>
      <c r="BD195" s="292"/>
    </row>
    <row r="196" spans="2:56" x14ac:dyDescent="0.15">
      <c r="B196" s="605"/>
      <c r="M196" s="1041"/>
      <c r="N196" s="1042" t="s">
        <v>416</v>
      </c>
      <c r="O196" s="1042"/>
      <c r="P196" s="1042"/>
      <c r="Q196" s="1042"/>
      <c r="R196" s="1042"/>
      <c r="S196" s="1045">
        <v>181</v>
      </c>
      <c r="T196" s="1043"/>
      <c r="BD196" s="292"/>
    </row>
    <row r="197" spans="2:56" x14ac:dyDescent="0.15">
      <c r="B197" s="605"/>
      <c r="M197" s="291" t="s">
        <v>184</v>
      </c>
      <c r="BD197" s="292"/>
    </row>
    <row r="198" spans="2:56" x14ac:dyDescent="0.15">
      <c r="B198" s="605"/>
      <c r="M198" s="1038" t="s">
        <v>101</v>
      </c>
      <c r="N198" s="1039"/>
      <c r="O198" s="1039"/>
      <c r="P198" s="1039"/>
      <c r="Q198" s="1039"/>
      <c r="R198" s="1039"/>
      <c r="S198" s="1039"/>
      <c r="T198" s="1040"/>
      <c r="U198" s="291" t="s">
        <v>599</v>
      </c>
      <c r="BD198" s="292"/>
    </row>
    <row r="199" spans="2:56" x14ac:dyDescent="0.15">
      <c r="B199" s="605"/>
      <c r="M199" s="605"/>
      <c r="N199" s="291" t="s">
        <v>248</v>
      </c>
      <c r="S199" s="325" t="s">
        <v>556</v>
      </c>
      <c r="T199" s="292"/>
      <c r="BD199" s="292"/>
    </row>
    <row r="200" spans="2:56" x14ac:dyDescent="0.15">
      <c r="B200" s="605"/>
      <c r="M200" s="605"/>
      <c r="N200" s="291" t="s">
        <v>244</v>
      </c>
      <c r="S200" s="291">
        <v>5</v>
      </c>
      <c r="T200" s="292"/>
      <c r="BD200" s="292"/>
    </row>
    <row r="201" spans="2:56" x14ac:dyDescent="0.15">
      <c r="B201" s="605"/>
      <c r="M201" s="605"/>
      <c r="N201" s="291" t="s">
        <v>290</v>
      </c>
      <c r="S201" s="291">
        <v>0</v>
      </c>
      <c r="T201" s="292"/>
      <c r="BD201" s="292"/>
    </row>
    <row r="202" spans="2:56" x14ac:dyDescent="0.15">
      <c r="B202" s="605"/>
      <c r="M202" s="605"/>
      <c r="N202" s="291" t="s">
        <v>408</v>
      </c>
      <c r="S202" s="325">
        <v>104</v>
      </c>
      <c r="T202" s="292"/>
      <c r="BD202" s="292"/>
    </row>
    <row r="203" spans="2:56" x14ac:dyDescent="0.15">
      <c r="B203" s="605"/>
      <c r="M203" s="1041"/>
      <c r="N203" s="1042" t="s">
        <v>416</v>
      </c>
      <c r="O203" s="1042"/>
      <c r="P203" s="1042"/>
      <c r="Q203" s="1042"/>
      <c r="R203" s="1042"/>
      <c r="S203" s="1045">
        <v>-181</v>
      </c>
      <c r="T203" s="1043"/>
      <c r="BD203" s="292"/>
    </row>
    <row r="204" spans="2:56" x14ac:dyDescent="0.15">
      <c r="B204" s="605"/>
      <c r="BD204" s="292"/>
    </row>
    <row r="205" spans="2:56" x14ac:dyDescent="0.15">
      <c r="B205" s="605"/>
      <c r="BD205" s="292"/>
    </row>
    <row r="206" spans="2:56" x14ac:dyDescent="0.15">
      <c r="B206" s="605"/>
      <c r="BD206" s="292"/>
    </row>
    <row r="207" spans="2:56" x14ac:dyDescent="0.15">
      <c r="B207" s="605"/>
      <c r="BD207" s="292"/>
    </row>
    <row r="208" spans="2:56" x14ac:dyDescent="0.15">
      <c r="B208" s="605"/>
      <c r="BD208" s="292"/>
    </row>
    <row r="209" spans="2:57" x14ac:dyDescent="0.15">
      <c r="B209" s="605"/>
      <c r="BD209" s="292"/>
    </row>
    <row r="210" spans="2:57" x14ac:dyDescent="0.15">
      <c r="B210" s="605"/>
      <c r="BD210" s="292"/>
    </row>
    <row r="211" spans="2:57" x14ac:dyDescent="0.15">
      <c r="B211" s="605"/>
      <c r="BD211" s="292"/>
    </row>
    <row r="212" spans="2:57" x14ac:dyDescent="0.15">
      <c r="B212" s="605"/>
      <c r="BD212" s="292"/>
    </row>
    <row r="213" spans="2:57" x14ac:dyDescent="0.15">
      <c r="B213" s="605"/>
      <c r="BD213" s="292"/>
    </row>
    <row r="214" spans="2:57" x14ac:dyDescent="0.15">
      <c r="B214" s="605"/>
      <c r="BD214" s="292"/>
    </row>
    <row r="215" spans="2:57" x14ac:dyDescent="0.15">
      <c r="B215" s="605"/>
      <c r="BD215" s="292"/>
    </row>
    <row r="216" spans="2:57" x14ac:dyDescent="0.15">
      <c r="B216" s="605"/>
      <c r="BD216" s="292"/>
    </row>
    <row r="217" spans="2:57" x14ac:dyDescent="0.15">
      <c r="B217" s="1041"/>
      <c r="C217" s="1042"/>
      <c r="D217" s="1042"/>
      <c r="E217" s="1042"/>
      <c r="F217" s="1042"/>
      <c r="G217" s="1042"/>
      <c r="H217" s="1042"/>
      <c r="I217" s="1042"/>
      <c r="J217" s="1042"/>
      <c r="K217" s="1042"/>
      <c r="L217" s="1042"/>
      <c r="M217" s="1042"/>
      <c r="N217" s="1042"/>
      <c r="O217" s="1042"/>
      <c r="P217" s="1042"/>
      <c r="Q217" s="1042"/>
      <c r="R217" s="1042"/>
      <c r="S217" s="1042"/>
      <c r="T217" s="1042"/>
      <c r="U217" s="1042"/>
      <c r="V217" s="1042"/>
      <c r="W217" s="1042"/>
      <c r="X217" s="1042"/>
      <c r="Y217" s="1042"/>
      <c r="Z217" s="1042"/>
      <c r="AA217" s="1042"/>
      <c r="AB217" s="1042"/>
      <c r="AC217" s="1042"/>
      <c r="AD217" s="1042"/>
      <c r="AE217" s="1042"/>
      <c r="AF217" s="1042"/>
      <c r="AG217" s="1042"/>
      <c r="AH217" s="1042"/>
      <c r="AI217" s="1042"/>
      <c r="AJ217" s="1042"/>
      <c r="AK217" s="1042"/>
      <c r="AL217" s="1042"/>
      <c r="AM217" s="1042"/>
      <c r="AN217" s="1042"/>
      <c r="AO217" s="1042"/>
      <c r="AP217" s="1042"/>
      <c r="AQ217" s="1042"/>
      <c r="AR217" s="1042"/>
      <c r="AS217" s="1042"/>
      <c r="AT217" s="1042"/>
      <c r="AU217" s="1042"/>
      <c r="AV217" s="1042"/>
      <c r="AW217" s="1042"/>
      <c r="AX217" s="1042"/>
      <c r="AY217" s="1042"/>
      <c r="AZ217" s="1042"/>
      <c r="BA217" s="1042"/>
      <c r="BB217" s="1042"/>
      <c r="BC217" s="1042"/>
      <c r="BD217" s="1043"/>
    </row>
    <row r="218" spans="2:57" ht="12" thickBot="1" x14ac:dyDescent="0.2"/>
    <row r="219" spans="2:57" ht="12.75" thickTop="1" x14ac:dyDescent="0.15">
      <c r="B219" s="50" t="s">
        <v>6</v>
      </c>
      <c r="C219" s="51"/>
      <c r="D219" s="51"/>
      <c r="E219" s="51"/>
      <c r="F219" s="51"/>
      <c r="G219" s="51"/>
      <c r="H219" s="51"/>
      <c r="I219" s="51"/>
      <c r="J219" s="51"/>
      <c r="K219" s="51"/>
      <c r="L219" s="51"/>
      <c r="M219" s="51"/>
      <c r="N219" s="52"/>
      <c r="O219" s="1247" t="s">
        <v>7</v>
      </c>
      <c r="P219" s="1248"/>
      <c r="Q219" s="1248"/>
      <c r="R219" s="1248"/>
      <c r="S219" s="1248"/>
      <c r="T219" s="1249"/>
      <c r="U219" s="1250" t="s">
        <v>8</v>
      </c>
      <c r="V219" s="1248"/>
      <c r="W219" s="1248"/>
      <c r="X219" s="1248"/>
      <c r="Y219" s="1248"/>
      <c r="Z219" s="1248"/>
      <c r="AA219" s="1249"/>
      <c r="AB219" s="1306" t="s">
        <v>536</v>
      </c>
      <c r="AC219" s="1307"/>
      <c r="AD219" s="1307"/>
      <c r="AE219" s="1307"/>
      <c r="AF219" s="1307"/>
      <c r="AG219" s="1307"/>
      <c r="AH219" s="1307"/>
      <c r="AI219" s="1307"/>
      <c r="AJ219" s="1307"/>
      <c r="AK219" s="1307"/>
      <c r="AL219" s="1307"/>
      <c r="AM219" s="1307"/>
      <c r="AN219" s="1308"/>
      <c r="AO219" s="1250" t="s">
        <v>10</v>
      </c>
      <c r="AP219" s="1249"/>
      <c r="AQ219" s="1303" t="s">
        <v>11</v>
      </c>
      <c r="AR219" s="1304"/>
      <c r="AS219" s="1305"/>
      <c r="AT219" s="1250" t="s">
        <v>12</v>
      </c>
      <c r="AU219" s="1248"/>
      <c r="AV219" s="1248"/>
      <c r="AW219" s="1249"/>
      <c r="AX219" s="1303" t="s">
        <v>13</v>
      </c>
      <c r="AY219" s="1304"/>
      <c r="AZ219" s="1305"/>
      <c r="BA219" s="1250" t="s">
        <v>14</v>
      </c>
      <c r="BB219" s="1248"/>
      <c r="BC219" s="1248"/>
      <c r="BD219" s="1249"/>
    </row>
    <row r="220" spans="2:57" ht="12.75" thickBot="1" x14ac:dyDescent="0.2">
      <c r="B220" s="1260" t="s">
        <v>15</v>
      </c>
      <c r="C220" s="1261"/>
      <c r="D220" s="1261"/>
      <c r="E220" s="1261"/>
      <c r="F220" s="1261"/>
      <c r="G220" s="1261"/>
      <c r="H220" s="1261"/>
      <c r="I220" s="1261"/>
      <c r="J220" s="1261"/>
      <c r="K220" s="1261"/>
      <c r="L220" s="1261"/>
      <c r="M220" s="1261"/>
      <c r="N220" s="1262"/>
      <c r="O220" s="1263" t="s">
        <v>16</v>
      </c>
      <c r="P220" s="1264"/>
      <c r="Q220" s="1264"/>
      <c r="R220" s="1264"/>
      <c r="S220" s="1264"/>
      <c r="T220" s="1265"/>
      <c r="U220" s="1266" t="s">
        <v>163</v>
      </c>
      <c r="V220" s="1264"/>
      <c r="W220" s="1264"/>
      <c r="X220" s="1264"/>
      <c r="Y220" s="1264"/>
      <c r="Z220" s="1264"/>
      <c r="AA220" s="1265"/>
      <c r="AB220" s="1309"/>
      <c r="AC220" s="1310"/>
      <c r="AD220" s="1310"/>
      <c r="AE220" s="1310"/>
      <c r="AF220" s="1310"/>
      <c r="AG220" s="1310"/>
      <c r="AH220" s="1310"/>
      <c r="AI220" s="1310"/>
      <c r="AJ220" s="1310"/>
      <c r="AK220" s="1310"/>
      <c r="AL220" s="1310"/>
      <c r="AM220" s="1310"/>
      <c r="AN220" s="1311"/>
      <c r="AO220" s="1267">
        <f>AO$3</f>
        <v>1.1200000000000001</v>
      </c>
      <c r="AP220" s="1268"/>
      <c r="AQ220" s="1266" t="s">
        <v>18</v>
      </c>
      <c r="AR220" s="1264"/>
      <c r="AS220" s="1265"/>
      <c r="AT220" s="1269">
        <f>AT$3</f>
        <v>45709</v>
      </c>
      <c r="AU220" s="1270"/>
      <c r="AV220" s="1270"/>
      <c r="AW220" s="1270"/>
      <c r="AX220" s="1266" t="s">
        <v>18</v>
      </c>
      <c r="AY220" s="1264"/>
      <c r="AZ220" s="1265"/>
      <c r="BA220" s="1269">
        <v>45460</v>
      </c>
      <c r="BB220" s="1270"/>
      <c r="BC220" s="1270"/>
      <c r="BD220" s="1271"/>
    </row>
    <row r="221" spans="2:57" ht="12" thickTop="1" x14ac:dyDescent="0.15"/>
    <row r="222" spans="2:57" x14ac:dyDescent="0.15">
      <c r="B222" s="1038"/>
      <c r="C222" s="1039"/>
      <c r="D222" s="1039"/>
      <c r="E222" s="1039"/>
      <c r="F222" s="1039"/>
      <c r="G222" s="1039"/>
      <c r="H222" s="1039"/>
      <c r="I222" s="1039"/>
      <c r="J222" s="1039"/>
      <c r="K222" s="1039"/>
      <c r="L222" s="1039"/>
      <c r="M222" s="1039"/>
      <c r="N222" s="1039"/>
      <c r="O222" s="1039"/>
      <c r="P222" s="1039"/>
      <c r="Q222" s="1039"/>
      <c r="R222" s="1039"/>
      <c r="S222" s="1039"/>
      <c r="T222" s="1039"/>
      <c r="U222" s="1039"/>
      <c r="V222" s="1039"/>
      <c r="W222" s="1039"/>
      <c r="X222" s="1039"/>
      <c r="Y222" s="1039"/>
      <c r="Z222" s="1039"/>
      <c r="AA222" s="1039"/>
      <c r="AB222" s="1039"/>
      <c r="AC222" s="1039"/>
      <c r="AD222" s="1039"/>
      <c r="AE222" s="1039"/>
      <c r="AF222" s="1039"/>
      <c r="AG222" s="1039"/>
      <c r="AH222" s="1039"/>
      <c r="AI222" s="1039"/>
      <c r="AJ222" s="1039"/>
      <c r="AK222" s="1039"/>
      <c r="AL222" s="1039"/>
      <c r="AM222" s="1039"/>
      <c r="AN222" s="1039"/>
      <c r="AO222" s="1039"/>
      <c r="AP222" s="1039"/>
      <c r="AQ222" s="1039"/>
      <c r="AR222" s="1039"/>
      <c r="AS222" s="1039"/>
      <c r="AT222" s="1039"/>
      <c r="AU222" s="1039"/>
      <c r="AV222" s="1039"/>
      <c r="AW222" s="1039"/>
      <c r="AX222" s="1039"/>
      <c r="AY222" s="1039"/>
      <c r="AZ222" s="1039"/>
      <c r="BA222" s="1039"/>
      <c r="BB222" s="1039"/>
      <c r="BC222" s="1039"/>
      <c r="BD222" s="1040"/>
    </row>
    <row r="223" spans="2:57" x14ac:dyDescent="0.15">
      <c r="B223" s="605"/>
      <c r="C223" s="500" t="s">
        <v>600</v>
      </c>
      <c r="D223" s="291" t="s">
        <v>601</v>
      </c>
      <c r="BD223" s="292"/>
      <c r="BE223" s="354" t="s">
        <v>539</v>
      </c>
    </row>
    <row r="224" spans="2:57" x14ac:dyDescent="0.15">
      <c r="B224" s="605"/>
      <c r="BD224" s="292"/>
    </row>
    <row r="225" spans="2:56" x14ac:dyDescent="0.15">
      <c r="B225" s="605"/>
      <c r="D225" s="340" t="s">
        <v>540</v>
      </c>
      <c r="F225" s="340"/>
      <c r="G225" s="340" t="s">
        <v>541</v>
      </c>
      <c r="H225" s="340"/>
      <c r="I225" s="341" t="s">
        <v>579</v>
      </c>
      <c r="J225" s="340" t="s">
        <v>591</v>
      </c>
      <c r="K225" s="340"/>
      <c r="L225" s="340"/>
      <c r="M225" s="340"/>
      <c r="N225" s="340"/>
      <c r="R225" s="325"/>
      <c r="U225" s="325"/>
      <c r="BD225" s="292"/>
    </row>
    <row r="226" spans="2:56" x14ac:dyDescent="0.15">
      <c r="B226" s="605"/>
      <c r="D226" s="291" t="s">
        <v>592</v>
      </c>
      <c r="I226" s="341" t="s">
        <v>602</v>
      </c>
      <c r="J226" s="345"/>
      <c r="L226" s="340"/>
      <c r="M226" s="340"/>
      <c r="N226" s="340"/>
      <c r="O226" s="340"/>
      <c r="U226" s="325"/>
      <c r="BD226" s="292"/>
    </row>
    <row r="227" spans="2:56" x14ac:dyDescent="0.15">
      <c r="B227" s="605"/>
      <c r="D227" s="340" t="s">
        <v>545</v>
      </c>
      <c r="F227" s="340"/>
      <c r="G227" s="340"/>
      <c r="H227" s="340"/>
      <c r="I227" s="347">
        <v>200</v>
      </c>
      <c r="J227" s="340"/>
      <c r="M227" s="325"/>
      <c r="U227" s="325"/>
      <c r="BD227" s="292"/>
    </row>
    <row r="228" spans="2:56" x14ac:dyDescent="0.15">
      <c r="B228" s="605"/>
      <c r="D228" s="340" t="s">
        <v>581</v>
      </c>
      <c r="F228" s="340"/>
      <c r="G228" s="340"/>
      <c r="H228" s="340"/>
      <c r="I228" s="341" t="s">
        <v>603</v>
      </c>
      <c r="J228" s="340"/>
      <c r="K228" s="340"/>
      <c r="L228" s="340"/>
      <c r="M228" s="340"/>
      <c r="N228" s="340"/>
      <c r="O228" s="340"/>
      <c r="Q228" s="325"/>
      <c r="BD228" s="292"/>
    </row>
    <row r="229" spans="2:56" x14ac:dyDescent="0.15">
      <c r="B229" s="605"/>
      <c r="D229" s="325"/>
      <c r="F229" s="325"/>
      <c r="I229" s="325"/>
      <c r="J229" s="345"/>
      <c r="K229" s="340"/>
      <c r="M229" s="325"/>
      <c r="U229" s="325"/>
      <c r="BD229" s="292"/>
    </row>
    <row r="230" spans="2:56" x14ac:dyDescent="0.15">
      <c r="B230" s="605"/>
      <c r="D230" s="340" t="s">
        <v>547</v>
      </c>
      <c r="E230" s="340"/>
      <c r="F230" s="340"/>
      <c r="G230" s="340"/>
      <c r="H230" s="340"/>
      <c r="I230" s="340"/>
      <c r="J230" s="340"/>
      <c r="K230" s="340"/>
      <c r="L230" s="340"/>
      <c r="M230" s="340"/>
      <c r="N230" s="340"/>
      <c r="O230" s="340"/>
      <c r="Q230" s="325"/>
      <c r="U230" s="325"/>
      <c r="BD230" s="292"/>
    </row>
    <row r="231" spans="2:56" x14ac:dyDescent="0.15">
      <c r="B231" s="605"/>
      <c r="D231" s="340" t="s">
        <v>548</v>
      </c>
      <c r="E231" s="340"/>
      <c r="F231" s="340"/>
      <c r="G231" s="340"/>
      <c r="H231" s="340"/>
      <c r="I231" s="340"/>
      <c r="J231" s="340"/>
      <c r="K231" s="340"/>
      <c r="L231" s="340"/>
      <c r="M231" s="340"/>
      <c r="N231" s="340"/>
      <c r="O231" s="340"/>
      <c r="P231" s="340"/>
      <c r="Q231" s="340"/>
      <c r="R231" s="340"/>
      <c r="U231" s="325"/>
      <c r="BD231" s="292"/>
    </row>
    <row r="232" spans="2:56" x14ac:dyDescent="0.15">
      <c r="B232" s="605"/>
      <c r="BD232" s="292"/>
    </row>
    <row r="233" spans="2:56" x14ac:dyDescent="0.15">
      <c r="B233" s="605"/>
      <c r="D233" s="291" t="s">
        <v>549</v>
      </c>
      <c r="M233" s="291" t="s">
        <v>550</v>
      </c>
      <c r="V233" s="291" t="s">
        <v>551</v>
      </c>
      <c r="AE233" s="291" t="s">
        <v>182</v>
      </c>
      <c r="BD233" s="292"/>
    </row>
    <row r="234" spans="2:56" x14ac:dyDescent="0.15">
      <c r="B234" s="605"/>
      <c r="D234" s="1038" t="s">
        <v>552</v>
      </c>
      <c r="E234" s="1039"/>
      <c r="F234" s="1039"/>
      <c r="G234" s="1039"/>
      <c r="H234" s="1039"/>
      <c r="I234" s="1039"/>
      <c r="J234" s="1039"/>
      <c r="K234" s="1040"/>
      <c r="M234" s="1038" t="s">
        <v>553</v>
      </c>
      <c r="N234" s="1039"/>
      <c r="O234" s="1039"/>
      <c r="P234" s="1039"/>
      <c r="Q234" s="1039"/>
      <c r="R234" s="1039"/>
      <c r="S234" s="1039"/>
      <c r="T234" s="1040"/>
      <c r="V234" s="1038" t="s">
        <v>137</v>
      </c>
      <c r="W234" s="1039"/>
      <c r="X234" s="1039"/>
      <c r="Y234" s="1039"/>
      <c r="Z234" s="1039"/>
      <c r="AA234" s="1039"/>
      <c r="AB234" s="1039"/>
      <c r="AC234" s="1040"/>
      <c r="AE234" s="1038" t="s">
        <v>554</v>
      </c>
      <c r="AF234" s="1039"/>
      <c r="AG234" s="1039"/>
      <c r="AH234" s="1039"/>
      <c r="AI234" s="1039"/>
      <c r="AJ234" s="1039"/>
      <c r="AK234" s="1039"/>
      <c r="AL234" s="1040"/>
      <c r="AM234" s="291" t="s">
        <v>583</v>
      </c>
      <c r="BD234" s="292"/>
    </row>
    <row r="235" spans="2:56" x14ac:dyDescent="0.15">
      <c r="B235" s="605"/>
      <c r="D235" s="605"/>
      <c r="E235" s="291" t="s">
        <v>248</v>
      </c>
      <c r="J235" s="325" t="s">
        <v>556</v>
      </c>
      <c r="K235" s="292"/>
      <c r="M235" s="605"/>
      <c r="N235" s="291" t="s">
        <v>248</v>
      </c>
      <c r="S235" s="325" t="s">
        <v>556</v>
      </c>
      <c r="T235" s="292"/>
      <c r="V235" s="605"/>
      <c r="W235" s="291" t="s">
        <v>248</v>
      </c>
      <c r="AB235" s="325" t="s">
        <v>556</v>
      </c>
      <c r="AC235" s="292"/>
      <c r="AE235" s="605"/>
      <c r="AF235" s="291" t="s">
        <v>248</v>
      </c>
      <c r="AK235" s="325" t="s">
        <v>556</v>
      </c>
      <c r="AL235" s="292"/>
      <c r="BD235" s="292"/>
    </row>
    <row r="236" spans="2:56" x14ac:dyDescent="0.15">
      <c r="B236" s="605"/>
      <c r="D236" s="605"/>
      <c r="E236" s="291" t="s">
        <v>259</v>
      </c>
      <c r="J236" s="291">
        <v>1</v>
      </c>
      <c r="K236" s="292"/>
      <c r="M236" s="605"/>
      <c r="N236" s="291" t="s">
        <v>244</v>
      </c>
      <c r="S236" s="291">
        <v>1</v>
      </c>
      <c r="T236" s="292"/>
      <c r="V236" s="605"/>
      <c r="W236" s="291" t="s">
        <v>244</v>
      </c>
      <c r="AB236" s="291">
        <v>1</v>
      </c>
      <c r="AC236" s="292"/>
      <c r="AE236" s="605"/>
      <c r="AF236" s="291" t="s">
        <v>244</v>
      </c>
      <c r="AK236" s="291">
        <v>2</v>
      </c>
      <c r="AL236" s="292"/>
      <c r="BD236" s="292"/>
    </row>
    <row r="237" spans="2:56" x14ac:dyDescent="0.15">
      <c r="B237" s="605"/>
      <c r="D237" s="1041"/>
      <c r="E237" s="1042" t="s">
        <v>353</v>
      </c>
      <c r="F237" s="1042"/>
      <c r="G237" s="1042"/>
      <c r="H237" s="1042"/>
      <c r="I237" s="1042"/>
      <c r="J237" s="1042">
        <v>181</v>
      </c>
      <c r="K237" s="1043"/>
      <c r="M237" s="1041"/>
      <c r="N237" s="1042"/>
      <c r="O237" s="1042"/>
      <c r="P237" s="1042"/>
      <c r="Q237" s="1042"/>
      <c r="R237" s="1042"/>
      <c r="S237" s="1042"/>
      <c r="T237" s="1043"/>
      <c r="V237" s="605"/>
      <c r="W237" s="291" t="s">
        <v>261</v>
      </c>
      <c r="AB237" s="291">
        <v>2</v>
      </c>
      <c r="AC237" s="292"/>
      <c r="AE237" s="605"/>
      <c r="AF237" s="291" t="s">
        <v>557</v>
      </c>
      <c r="AK237" s="325" t="s">
        <v>584</v>
      </c>
      <c r="AL237" s="292"/>
      <c r="BD237" s="292"/>
    </row>
    <row r="238" spans="2:56" x14ac:dyDescent="0.15">
      <c r="B238" s="605"/>
      <c r="V238" s="1041"/>
      <c r="W238" s="1042" t="s">
        <v>560</v>
      </c>
      <c r="X238" s="1042"/>
      <c r="Y238" s="1042"/>
      <c r="Z238" s="1042"/>
      <c r="AA238" s="1042"/>
      <c r="AB238" s="1042">
        <v>3</v>
      </c>
      <c r="AC238" s="1043"/>
      <c r="AE238" s="605"/>
      <c r="AF238" s="291" t="s">
        <v>585</v>
      </c>
      <c r="AK238" s="291">
        <v>13</v>
      </c>
      <c r="AL238" s="292"/>
      <c r="BD238" s="292"/>
    </row>
    <row r="239" spans="2:56" x14ac:dyDescent="0.15">
      <c r="B239" s="605"/>
      <c r="M239" s="291" t="s">
        <v>184</v>
      </c>
      <c r="AE239" s="605"/>
      <c r="AF239" s="291" t="s">
        <v>563</v>
      </c>
      <c r="AK239" s="291">
        <v>168</v>
      </c>
      <c r="AL239" s="292"/>
      <c r="BD239" s="292"/>
    </row>
    <row r="240" spans="2:56" x14ac:dyDescent="0.15">
      <c r="B240" s="605"/>
      <c r="M240" s="1038" t="s">
        <v>101</v>
      </c>
      <c r="N240" s="1039"/>
      <c r="O240" s="1039"/>
      <c r="P240" s="1039"/>
      <c r="Q240" s="1039"/>
      <c r="R240" s="1039"/>
      <c r="S240" s="1039"/>
      <c r="T240" s="1040"/>
      <c r="U240" s="291" t="s">
        <v>595</v>
      </c>
      <c r="AE240" s="1041"/>
      <c r="AF240" s="1042"/>
      <c r="AG240" s="1042"/>
      <c r="AH240" s="1042"/>
      <c r="AI240" s="1042"/>
      <c r="AJ240" s="1042"/>
      <c r="AK240" s="1042"/>
      <c r="AL240" s="1043"/>
      <c r="BD240" s="292"/>
    </row>
    <row r="241" spans="2:57" x14ac:dyDescent="0.15">
      <c r="B241" s="605"/>
      <c r="M241" s="605"/>
      <c r="N241" s="291" t="s">
        <v>248</v>
      </c>
      <c r="S241" s="325" t="s">
        <v>556</v>
      </c>
      <c r="T241" s="292"/>
      <c r="BD241" s="292"/>
    </row>
    <row r="242" spans="2:57" x14ac:dyDescent="0.15">
      <c r="B242" s="605"/>
      <c r="M242" s="605"/>
      <c r="N242" s="291" t="s">
        <v>244</v>
      </c>
      <c r="S242" s="291">
        <v>3</v>
      </c>
      <c r="T242" s="292"/>
      <c r="BD242" s="292"/>
    </row>
    <row r="243" spans="2:57" x14ac:dyDescent="0.15">
      <c r="B243" s="605"/>
      <c r="M243" s="605"/>
      <c r="N243" s="291" t="s">
        <v>290</v>
      </c>
      <c r="S243" s="291">
        <v>18</v>
      </c>
      <c r="T243" s="292"/>
      <c r="BD243" s="292"/>
    </row>
    <row r="244" spans="2:57" x14ac:dyDescent="0.15">
      <c r="B244" s="605"/>
      <c r="M244" s="605"/>
      <c r="N244" s="291" t="s">
        <v>408</v>
      </c>
      <c r="S244" s="291">
        <v>104</v>
      </c>
      <c r="T244" s="292"/>
      <c r="BD244" s="292"/>
    </row>
    <row r="245" spans="2:57" x14ac:dyDescent="0.15">
      <c r="B245" s="605"/>
      <c r="M245" s="1041"/>
      <c r="N245" s="1042" t="s">
        <v>416</v>
      </c>
      <c r="O245" s="1042"/>
      <c r="P245" s="1042"/>
      <c r="Q245" s="1042"/>
      <c r="R245" s="1042"/>
      <c r="S245" s="1045">
        <v>-50</v>
      </c>
      <c r="T245" s="1043"/>
      <c r="BD245" s="292"/>
    </row>
    <row r="246" spans="2:57" x14ac:dyDescent="0.15">
      <c r="B246" s="605"/>
      <c r="M246" s="291" t="s">
        <v>184</v>
      </c>
      <c r="AC246" s="343" t="s">
        <v>596</v>
      </c>
      <c r="BD246" s="292"/>
    </row>
    <row r="247" spans="2:57" x14ac:dyDescent="0.15">
      <c r="B247" s="605"/>
      <c r="M247" s="1038" t="s">
        <v>101</v>
      </c>
      <c r="N247" s="1039"/>
      <c r="O247" s="1039"/>
      <c r="P247" s="1039"/>
      <c r="Q247" s="1039"/>
      <c r="R247" s="1039"/>
      <c r="S247" s="1039"/>
      <c r="T247" s="1040"/>
      <c r="U247" s="291" t="s">
        <v>595</v>
      </c>
      <c r="AC247" s="343" t="s">
        <v>597</v>
      </c>
      <c r="BD247" s="292"/>
      <c r="BE247" s="355" t="s">
        <v>598</v>
      </c>
    </row>
    <row r="248" spans="2:57" x14ac:dyDescent="0.15">
      <c r="B248" s="605"/>
      <c r="M248" s="605"/>
      <c r="N248" s="291" t="s">
        <v>248</v>
      </c>
      <c r="S248" s="325" t="s">
        <v>556</v>
      </c>
      <c r="T248" s="292"/>
      <c r="BD248" s="292"/>
    </row>
    <row r="249" spans="2:57" x14ac:dyDescent="0.15">
      <c r="B249" s="605"/>
      <c r="M249" s="605"/>
      <c r="N249" s="291" t="s">
        <v>244</v>
      </c>
      <c r="S249" s="291">
        <v>4</v>
      </c>
      <c r="T249" s="292"/>
      <c r="BD249" s="292"/>
    </row>
    <row r="250" spans="2:57" x14ac:dyDescent="0.15">
      <c r="B250" s="605"/>
      <c r="M250" s="605"/>
      <c r="N250" s="291" t="s">
        <v>290</v>
      </c>
      <c r="S250" s="291">
        <v>18</v>
      </c>
      <c r="T250" s="292"/>
      <c r="BD250" s="292"/>
    </row>
    <row r="251" spans="2:57" x14ac:dyDescent="0.15">
      <c r="B251" s="605"/>
      <c r="M251" s="605"/>
      <c r="N251" s="291" t="s">
        <v>408</v>
      </c>
      <c r="S251" s="291">
        <v>104</v>
      </c>
      <c r="T251" s="292"/>
      <c r="BD251" s="292"/>
    </row>
    <row r="252" spans="2:57" x14ac:dyDescent="0.15">
      <c r="B252" s="605"/>
      <c r="M252" s="1041"/>
      <c r="N252" s="1042" t="s">
        <v>416</v>
      </c>
      <c r="O252" s="1042"/>
      <c r="P252" s="1042"/>
      <c r="Q252" s="1042"/>
      <c r="R252" s="1042"/>
      <c r="S252" s="1045">
        <v>50</v>
      </c>
      <c r="T252" s="1043"/>
      <c r="BD252" s="292"/>
    </row>
    <row r="253" spans="2:57" x14ac:dyDescent="0.15">
      <c r="B253" s="605"/>
      <c r="M253" s="291" t="s">
        <v>184</v>
      </c>
      <c r="BD253" s="292"/>
    </row>
    <row r="254" spans="2:57" x14ac:dyDescent="0.15">
      <c r="B254" s="605"/>
      <c r="M254" s="1038" t="s">
        <v>101</v>
      </c>
      <c r="N254" s="1039"/>
      <c r="O254" s="1039"/>
      <c r="P254" s="1039"/>
      <c r="Q254" s="1039"/>
      <c r="R254" s="1039"/>
      <c r="S254" s="1039"/>
      <c r="T254" s="1040"/>
      <c r="U254" s="291" t="s">
        <v>599</v>
      </c>
      <c r="BD254" s="292"/>
    </row>
    <row r="255" spans="2:57" x14ac:dyDescent="0.15">
      <c r="B255" s="605"/>
      <c r="M255" s="605"/>
      <c r="N255" s="291" t="s">
        <v>248</v>
      </c>
      <c r="S255" s="325" t="s">
        <v>556</v>
      </c>
      <c r="T255" s="292"/>
      <c r="BD255" s="292"/>
    </row>
    <row r="256" spans="2:57" x14ac:dyDescent="0.15">
      <c r="B256" s="605"/>
      <c r="M256" s="605"/>
      <c r="N256" s="291" t="s">
        <v>244</v>
      </c>
      <c r="S256" s="291">
        <v>4</v>
      </c>
      <c r="T256" s="292"/>
      <c r="BD256" s="292"/>
    </row>
    <row r="257" spans="2:56" x14ac:dyDescent="0.15">
      <c r="B257" s="605"/>
      <c r="M257" s="605"/>
      <c r="N257" s="291" t="s">
        <v>290</v>
      </c>
      <c r="S257" s="291">
        <v>0</v>
      </c>
      <c r="T257" s="292"/>
      <c r="BD257" s="292"/>
    </row>
    <row r="258" spans="2:56" x14ac:dyDescent="0.15">
      <c r="B258" s="605"/>
      <c r="M258" s="605"/>
      <c r="N258" s="291" t="s">
        <v>408</v>
      </c>
      <c r="S258" s="291">
        <v>104</v>
      </c>
      <c r="T258" s="292"/>
      <c r="BD258" s="292"/>
    </row>
    <row r="259" spans="2:56" x14ac:dyDescent="0.15">
      <c r="B259" s="605"/>
      <c r="M259" s="1041"/>
      <c r="N259" s="1042" t="s">
        <v>416</v>
      </c>
      <c r="O259" s="1042"/>
      <c r="P259" s="1042"/>
      <c r="Q259" s="1042"/>
      <c r="R259" s="1042"/>
      <c r="S259" s="1045">
        <v>-50</v>
      </c>
      <c r="T259" s="1043"/>
      <c r="BD259" s="292"/>
    </row>
    <row r="260" spans="2:56" x14ac:dyDescent="0.15">
      <c r="B260" s="605"/>
      <c r="M260" s="291" t="s">
        <v>184</v>
      </c>
      <c r="BD260" s="292"/>
    </row>
    <row r="261" spans="2:56" x14ac:dyDescent="0.15">
      <c r="B261" s="605"/>
      <c r="M261" s="1038" t="s">
        <v>101</v>
      </c>
      <c r="N261" s="1039"/>
      <c r="O261" s="1039"/>
      <c r="P261" s="1039"/>
      <c r="Q261" s="1039"/>
      <c r="R261" s="1039"/>
      <c r="S261" s="1039"/>
      <c r="T261" s="1040"/>
      <c r="U261" s="291" t="s">
        <v>586</v>
      </c>
      <c r="BD261" s="292"/>
    </row>
    <row r="262" spans="2:56" x14ac:dyDescent="0.15">
      <c r="B262" s="605"/>
      <c r="M262" s="605"/>
      <c r="N262" s="291" t="s">
        <v>248</v>
      </c>
      <c r="S262" s="325" t="s">
        <v>556</v>
      </c>
      <c r="T262" s="292"/>
      <c r="BD262" s="292"/>
    </row>
    <row r="263" spans="2:56" x14ac:dyDescent="0.15">
      <c r="B263" s="605"/>
      <c r="M263" s="605"/>
      <c r="N263" s="291" t="s">
        <v>244</v>
      </c>
      <c r="S263" s="291">
        <v>4</v>
      </c>
      <c r="T263" s="292"/>
      <c r="BD263" s="292"/>
    </row>
    <row r="264" spans="2:56" x14ac:dyDescent="0.15">
      <c r="B264" s="605"/>
      <c r="M264" s="605"/>
      <c r="N264" s="291" t="s">
        <v>290</v>
      </c>
      <c r="S264" s="291">
        <v>0</v>
      </c>
      <c r="T264" s="292"/>
      <c r="BD264" s="292"/>
    </row>
    <row r="265" spans="2:56" x14ac:dyDescent="0.15">
      <c r="B265" s="605"/>
      <c r="M265" s="605"/>
      <c r="N265" s="291" t="s">
        <v>408</v>
      </c>
      <c r="S265" s="291">
        <v>1</v>
      </c>
      <c r="T265" s="292"/>
      <c r="BD265" s="292"/>
    </row>
    <row r="266" spans="2:56" x14ac:dyDescent="0.15">
      <c r="B266" s="605"/>
      <c r="M266" s="1041"/>
      <c r="N266" s="1042" t="s">
        <v>416</v>
      </c>
      <c r="O266" s="1042"/>
      <c r="P266" s="1042"/>
      <c r="Q266" s="1042"/>
      <c r="R266" s="1042"/>
      <c r="S266" s="1045">
        <v>-200</v>
      </c>
      <c r="T266" s="1043"/>
      <c r="BD266" s="292"/>
    </row>
    <row r="267" spans="2:56" x14ac:dyDescent="0.15">
      <c r="B267" s="605"/>
      <c r="M267" s="291" t="s">
        <v>184</v>
      </c>
      <c r="AC267" s="343" t="s">
        <v>587</v>
      </c>
      <c r="BD267" s="292"/>
    </row>
    <row r="268" spans="2:56" x14ac:dyDescent="0.15">
      <c r="B268" s="605"/>
      <c r="M268" s="1038" t="s">
        <v>101</v>
      </c>
      <c r="N268" s="1039"/>
      <c r="O268" s="1039"/>
      <c r="P268" s="1039"/>
      <c r="Q268" s="1039"/>
      <c r="R268" s="1039"/>
      <c r="S268" s="1039"/>
      <c r="T268" s="1040"/>
      <c r="U268" s="291" t="s">
        <v>588</v>
      </c>
      <c r="BD268" s="292"/>
    </row>
    <row r="269" spans="2:56" x14ac:dyDescent="0.15">
      <c r="B269" s="605"/>
      <c r="M269" s="605"/>
      <c r="N269" s="291" t="s">
        <v>248</v>
      </c>
      <c r="S269" s="325" t="s">
        <v>556</v>
      </c>
      <c r="T269" s="292"/>
      <c r="BD269" s="292"/>
    </row>
    <row r="270" spans="2:56" x14ac:dyDescent="0.15">
      <c r="B270" s="605"/>
      <c r="M270" s="605"/>
      <c r="N270" s="291" t="s">
        <v>244</v>
      </c>
      <c r="S270" s="291">
        <v>4</v>
      </c>
      <c r="T270" s="292"/>
      <c r="BD270" s="292"/>
    </row>
    <row r="271" spans="2:56" x14ac:dyDescent="0.15">
      <c r="B271" s="605"/>
      <c r="M271" s="605"/>
      <c r="N271" s="291" t="s">
        <v>290</v>
      </c>
      <c r="S271" s="291">
        <v>0</v>
      </c>
      <c r="T271" s="292"/>
      <c r="BD271" s="292"/>
    </row>
    <row r="272" spans="2:56" x14ac:dyDescent="0.15">
      <c r="B272" s="605"/>
      <c r="M272" s="605"/>
      <c r="N272" s="291" t="s">
        <v>408</v>
      </c>
      <c r="S272" s="291">
        <v>1</v>
      </c>
      <c r="T272" s="292"/>
      <c r="BD272" s="292"/>
    </row>
    <row r="273" spans="1:57" x14ac:dyDescent="0.15">
      <c r="B273" s="605"/>
      <c r="M273" s="1041"/>
      <c r="N273" s="1042" t="s">
        <v>416</v>
      </c>
      <c r="O273" s="1042"/>
      <c r="P273" s="1042"/>
      <c r="Q273" s="1042"/>
      <c r="R273" s="1042"/>
      <c r="S273" s="1045">
        <v>69</v>
      </c>
      <c r="T273" s="1043"/>
      <c r="BD273" s="292"/>
    </row>
    <row r="274" spans="1:57" x14ac:dyDescent="0.15">
      <c r="B274" s="605"/>
      <c r="BD274" s="292"/>
    </row>
    <row r="275" spans="1:57" x14ac:dyDescent="0.15">
      <c r="B275" s="1041"/>
      <c r="C275" s="1042"/>
      <c r="D275" s="1042"/>
      <c r="E275" s="1042"/>
      <c r="F275" s="1042"/>
      <c r="G275" s="1042"/>
      <c r="H275" s="1042"/>
      <c r="I275" s="1042"/>
      <c r="J275" s="1042"/>
      <c r="K275" s="1042"/>
      <c r="L275" s="1042"/>
      <c r="M275" s="1042"/>
      <c r="N275" s="1042"/>
      <c r="O275" s="1042"/>
      <c r="P275" s="1042"/>
      <c r="Q275" s="1042"/>
      <c r="R275" s="1042"/>
      <c r="S275" s="1042"/>
      <c r="T275" s="1042"/>
      <c r="U275" s="1042"/>
      <c r="V275" s="1042"/>
      <c r="W275" s="1042"/>
      <c r="X275" s="1042"/>
      <c r="Y275" s="1042"/>
      <c r="Z275" s="1042"/>
      <c r="AA275" s="1042"/>
      <c r="AB275" s="1042"/>
      <c r="AC275" s="1042"/>
      <c r="AD275" s="1042"/>
      <c r="AE275" s="1042"/>
      <c r="AF275" s="1042"/>
      <c r="AG275" s="1042"/>
      <c r="AH275" s="1042"/>
      <c r="AI275" s="1042"/>
      <c r="AJ275" s="1042"/>
      <c r="AK275" s="1042"/>
      <c r="AL275" s="1042"/>
      <c r="AM275" s="1042"/>
      <c r="AN275" s="1042"/>
      <c r="AO275" s="1042"/>
      <c r="AP275" s="1042"/>
      <c r="AQ275" s="1042"/>
      <c r="AR275" s="1042"/>
      <c r="AS275" s="1042"/>
      <c r="AT275" s="1042"/>
      <c r="AU275" s="1042"/>
      <c r="AV275" s="1042"/>
      <c r="AW275" s="1042"/>
      <c r="AX275" s="1042"/>
      <c r="AY275" s="1042"/>
      <c r="AZ275" s="1042"/>
      <c r="BA275" s="1042"/>
      <c r="BB275" s="1042"/>
      <c r="BC275" s="1042"/>
      <c r="BD275" s="1043"/>
    </row>
    <row r="276" spans="1:57" ht="12" thickBot="1" x14ac:dyDescent="0.2"/>
    <row r="277" spans="1:57" ht="12.75" thickTop="1" x14ac:dyDescent="0.15">
      <c r="B277" s="50" t="s">
        <v>6</v>
      </c>
      <c r="C277" s="51"/>
      <c r="D277" s="51"/>
      <c r="E277" s="51"/>
      <c r="F277" s="51"/>
      <c r="G277" s="51"/>
      <c r="H277" s="51"/>
      <c r="I277" s="51"/>
      <c r="J277" s="51"/>
      <c r="K277" s="51"/>
      <c r="L277" s="51"/>
      <c r="M277" s="51"/>
      <c r="N277" s="52"/>
      <c r="O277" s="1247" t="s">
        <v>7</v>
      </c>
      <c r="P277" s="1248"/>
      <c r="Q277" s="1248"/>
      <c r="R277" s="1248"/>
      <c r="S277" s="1248"/>
      <c r="T277" s="1249"/>
      <c r="U277" s="1250" t="s">
        <v>8</v>
      </c>
      <c r="V277" s="1248"/>
      <c r="W277" s="1248"/>
      <c r="X277" s="1248"/>
      <c r="Y277" s="1248"/>
      <c r="Z277" s="1248"/>
      <c r="AA277" s="1249"/>
      <c r="AB277" s="1306" t="s">
        <v>536</v>
      </c>
      <c r="AC277" s="1307"/>
      <c r="AD277" s="1307"/>
      <c r="AE277" s="1307"/>
      <c r="AF277" s="1307"/>
      <c r="AG277" s="1307"/>
      <c r="AH277" s="1307"/>
      <c r="AI277" s="1307"/>
      <c r="AJ277" s="1307"/>
      <c r="AK277" s="1307"/>
      <c r="AL277" s="1307"/>
      <c r="AM277" s="1307"/>
      <c r="AN277" s="1308"/>
      <c r="AO277" s="1250" t="s">
        <v>10</v>
      </c>
      <c r="AP277" s="1249"/>
      <c r="AQ277" s="1303" t="s">
        <v>11</v>
      </c>
      <c r="AR277" s="1304"/>
      <c r="AS277" s="1305"/>
      <c r="AT277" s="1250" t="s">
        <v>12</v>
      </c>
      <c r="AU277" s="1248"/>
      <c r="AV277" s="1248"/>
      <c r="AW277" s="1249"/>
      <c r="AX277" s="1303" t="s">
        <v>13</v>
      </c>
      <c r="AY277" s="1304"/>
      <c r="AZ277" s="1305"/>
      <c r="BA277" s="1250" t="s">
        <v>14</v>
      </c>
      <c r="BB277" s="1248"/>
      <c r="BC277" s="1248"/>
      <c r="BD277" s="1249"/>
    </row>
    <row r="278" spans="1:57" ht="12.75" thickBot="1" x14ac:dyDescent="0.2">
      <c r="B278" s="1260" t="s">
        <v>15</v>
      </c>
      <c r="C278" s="1261"/>
      <c r="D278" s="1261"/>
      <c r="E278" s="1261"/>
      <c r="F278" s="1261"/>
      <c r="G278" s="1261"/>
      <c r="H278" s="1261"/>
      <c r="I278" s="1261"/>
      <c r="J278" s="1261"/>
      <c r="K278" s="1261"/>
      <c r="L278" s="1261"/>
      <c r="M278" s="1261"/>
      <c r="N278" s="1262"/>
      <c r="O278" s="1263" t="s">
        <v>16</v>
      </c>
      <c r="P278" s="1264"/>
      <c r="Q278" s="1264"/>
      <c r="R278" s="1264"/>
      <c r="S278" s="1264"/>
      <c r="T278" s="1265"/>
      <c r="U278" s="1266" t="s">
        <v>163</v>
      </c>
      <c r="V278" s="1264"/>
      <c r="W278" s="1264"/>
      <c r="X278" s="1264"/>
      <c r="Y278" s="1264"/>
      <c r="Z278" s="1264"/>
      <c r="AA278" s="1265"/>
      <c r="AB278" s="1309"/>
      <c r="AC278" s="1310"/>
      <c r="AD278" s="1310"/>
      <c r="AE278" s="1310"/>
      <c r="AF278" s="1310"/>
      <c r="AG278" s="1310"/>
      <c r="AH278" s="1310"/>
      <c r="AI278" s="1310"/>
      <c r="AJ278" s="1310"/>
      <c r="AK278" s="1310"/>
      <c r="AL278" s="1310"/>
      <c r="AM278" s="1310"/>
      <c r="AN278" s="1311"/>
      <c r="AO278" s="1267">
        <f>AO$3</f>
        <v>1.1200000000000001</v>
      </c>
      <c r="AP278" s="1268"/>
      <c r="AQ278" s="1266" t="s">
        <v>18</v>
      </c>
      <c r="AR278" s="1264"/>
      <c r="AS278" s="1265"/>
      <c r="AT278" s="1269">
        <f>AT$3</f>
        <v>45709</v>
      </c>
      <c r="AU278" s="1270"/>
      <c r="AV278" s="1270"/>
      <c r="AW278" s="1270"/>
      <c r="AX278" s="1266" t="s">
        <v>18</v>
      </c>
      <c r="AY278" s="1264"/>
      <c r="AZ278" s="1265"/>
      <c r="BA278" s="1269">
        <v>45460</v>
      </c>
      <c r="BB278" s="1270"/>
      <c r="BC278" s="1270"/>
      <c r="BD278" s="1271"/>
    </row>
    <row r="279" spans="1:57" ht="12" thickTop="1" x14ac:dyDescent="0.15"/>
    <row r="280" spans="1:57" x14ac:dyDescent="0.15">
      <c r="B280" s="1038"/>
      <c r="C280" s="1039"/>
      <c r="D280" s="1039"/>
      <c r="E280" s="1039"/>
      <c r="F280" s="1039"/>
      <c r="G280" s="1039"/>
      <c r="H280" s="1039"/>
      <c r="I280" s="1039"/>
      <c r="J280" s="1039"/>
      <c r="K280" s="1039"/>
      <c r="L280" s="1039"/>
      <c r="M280" s="1039"/>
      <c r="N280" s="1039"/>
      <c r="O280" s="1039"/>
      <c r="P280" s="1039"/>
      <c r="Q280" s="1039"/>
      <c r="R280" s="1039"/>
      <c r="S280" s="1039"/>
      <c r="T280" s="1039"/>
      <c r="U280" s="1039"/>
      <c r="V280" s="1039"/>
      <c r="W280" s="1039"/>
      <c r="X280" s="1039"/>
      <c r="Y280" s="1039"/>
      <c r="Z280" s="1039"/>
      <c r="AA280" s="1039"/>
      <c r="AB280" s="1039"/>
      <c r="AC280" s="1039"/>
      <c r="AD280" s="1039"/>
      <c r="AE280" s="1039"/>
      <c r="AF280" s="1039"/>
      <c r="AG280" s="1039"/>
      <c r="AH280" s="1039"/>
      <c r="AI280" s="1039"/>
      <c r="AJ280" s="1039"/>
      <c r="AK280" s="1039"/>
      <c r="AL280" s="1039"/>
      <c r="AM280" s="1039"/>
      <c r="AN280" s="1039"/>
      <c r="AO280" s="1039"/>
      <c r="AP280" s="1039"/>
      <c r="AQ280" s="1039"/>
      <c r="AR280" s="1039"/>
      <c r="AS280" s="1039"/>
      <c r="AT280" s="1039"/>
      <c r="AU280" s="1039"/>
      <c r="AV280" s="1039"/>
      <c r="AW280" s="1039"/>
      <c r="AX280" s="1039"/>
      <c r="AY280" s="1039"/>
      <c r="AZ280" s="1039"/>
      <c r="BA280" s="1039"/>
      <c r="BB280" s="1039"/>
      <c r="BC280" s="1039"/>
      <c r="BD280" s="1040"/>
    </row>
    <row r="281" spans="1:57" x14ac:dyDescent="0.15">
      <c r="A281" s="339"/>
      <c r="B281" s="605"/>
      <c r="C281" s="500" t="s">
        <v>604</v>
      </c>
      <c r="D281" s="291" t="s">
        <v>605</v>
      </c>
      <c r="BD281" s="292"/>
      <c r="BE281" s="354" t="s">
        <v>539</v>
      </c>
    </row>
    <row r="282" spans="1:57" x14ac:dyDescent="0.15">
      <c r="A282" s="339"/>
      <c r="B282" s="605"/>
      <c r="BD282" s="292"/>
    </row>
    <row r="283" spans="1:57" x14ac:dyDescent="0.15">
      <c r="A283" s="339"/>
      <c r="B283" s="605"/>
      <c r="D283" s="325" t="s">
        <v>161</v>
      </c>
      <c r="E283" s="291" t="s">
        <v>606</v>
      </c>
      <c r="BD283" s="292"/>
    </row>
    <row r="284" spans="1:57" x14ac:dyDescent="0.15">
      <c r="B284" s="605"/>
      <c r="BD284" s="292"/>
    </row>
    <row r="285" spans="1:57" x14ac:dyDescent="0.15">
      <c r="A285" s="339"/>
      <c r="B285" s="605"/>
      <c r="E285" s="340" t="s">
        <v>540</v>
      </c>
      <c r="G285" s="340"/>
      <c r="H285" s="340" t="s">
        <v>541</v>
      </c>
      <c r="I285" s="340"/>
      <c r="J285" s="341" t="s">
        <v>579</v>
      </c>
      <c r="K285" s="340" t="s">
        <v>607</v>
      </c>
      <c r="L285" s="340"/>
      <c r="M285" s="340"/>
      <c r="N285" s="340"/>
      <c r="O285" s="340"/>
      <c r="S285" s="325"/>
      <c r="BD285" s="292"/>
    </row>
    <row r="286" spans="1:57" x14ac:dyDescent="0.15">
      <c r="A286" s="339"/>
      <c r="B286" s="605"/>
      <c r="E286" s="340" t="s">
        <v>608</v>
      </c>
      <c r="G286" s="340"/>
      <c r="H286" s="340"/>
      <c r="I286" s="340"/>
      <c r="J286" s="348" t="s">
        <v>609</v>
      </c>
      <c r="K286" s="340" t="s">
        <v>610</v>
      </c>
      <c r="N286" s="325"/>
      <c r="S286" s="325"/>
      <c r="BD286" s="292"/>
    </row>
    <row r="287" spans="1:57" x14ac:dyDescent="0.15">
      <c r="A287" s="339"/>
      <c r="B287" s="605"/>
      <c r="E287" s="340" t="s">
        <v>545</v>
      </c>
      <c r="G287" s="340"/>
      <c r="H287" s="340"/>
      <c r="I287" s="340"/>
      <c r="J287" s="347">
        <v>170</v>
      </c>
      <c r="K287" s="340"/>
      <c r="N287" s="325"/>
      <c r="S287" s="325"/>
      <c r="BD287" s="292"/>
    </row>
    <row r="288" spans="1:57" x14ac:dyDescent="0.15">
      <c r="A288" s="339"/>
      <c r="B288" s="605"/>
      <c r="S288" s="325"/>
      <c r="BD288" s="292"/>
    </row>
    <row r="289" spans="1:56" x14ac:dyDescent="0.15">
      <c r="A289" s="339"/>
      <c r="B289" s="605"/>
      <c r="S289" s="325"/>
      <c r="BD289" s="292"/>
    </row>
    <row r="290" spans="1:56" x14ac:dyDescent="0.15">
      <c r="A290" s="339"/>
      <c r="B290" s="605"/>
      <c r="E290" s="340" t="s">
        <v>547</v>
      </c>
      <c r="F290" s="340"/>
      <c r="G290" s="340"/>
      <c r="H290" s="340"/>
      <c r="I290" s="340"/>
      <c r="J290" s="340"/>
      <c r="K290" s="340"/>
      <c r="L290" s="340"/>
      <c r="M290" s="340"/>
      <c r="N290" s="340"/>
      <c r="O290" s="340"/>
      <c r="P290" s="340"/>
      <c r="R290" s="325"/>
      <c r="S290" s="325"/>
      <c r="BD290" s="292"/>
    </row>
    <row r="291" spans="1:56" x14ac:dyDescent="0.15">
      <c r="A291" s="339"/>
      <c r="B291" s="605"/>
      <c r="E291" s="340" t="s">
        <v>548</v>
      </c>
      <c r="F291" s="340"/>
      <c r="G291" s="340"/>
      <c r="H291" s="340"/>
      <c r="I291" s="340"/>
      <c r="J291" s="340"/>
      <c r="K291" s="340"/>
      <c r="L291" s="340"/>
      <c r="M291" s="340"/>
      <c r="N291" s="340"/>
      <c r="O291" s="340"/>
      <c r="P291" s="340"/>
      <c r="Q291" s="340"/>
      <c r="R291" s="340"/>
      <c r="S291" s="325"/>
      <c r="BD291" s="292"/>
    </row>
    <row r="292" spans="1:56" x14ac:dyDescent="0.15">
      <c r="A292" s="339"/>
      <c r="B292" s="605"/>
      <c r="BD292" s="292"/>
    </row>
    <row r="293" spans="1:56" x14ac:dyDescent="0.15">
      <c r="A293" s="339"/>
      <c r="B293" s="605"/>
      <c r="E293" s="291" t="s">
        <v>549</v>
      </c>
      <c r="N293" s="291" t="s">
        <v>550</v>
      </c>
      <c r="W293" s="291" t="s">
        <v>551</v>
      </c>
      <c r="AF293" s="291" t="s">
        <v>182</v>
      </c>
      <c r="BD293" s="292"/>
    </row>
    <row r="294" spans="1:56" x14ac:dyDescent="0.15">
      <c r="A294" s="339"/>
      <c r="B294" s="605"/>
      <c r="E294" s="1038" t="s">
        <v>552</v>
      </c>
      <c r="F294" s="1039"/>
      <c r="G294" s="1039"/>
      <c r="H294" s="1039"/>
      <c r="I294" s="1039"/>
      <c r="J294" s="1039"/>
      <c r="K294" s="1039"/>
      <c r="L294" s="1040"/>
      <c r="N294" s="1038" t="s">
        <v>553</v>
      </c>
      <c r="O294" s="1039"/>
      <c r="P294" s="1039"/>
      <c r="Q294" s="1039"/>
      <c r="R294" s="1039"/>
      <c r="S294" s="1039"/>
      <c r="T294" s="1039"/>
      <c r="U294" s="1040"/>
      <c r="W294" s="1038" t="s">
        <v>137</v>
      </c>
      <c r="X294" s="1039"/>
      <c r="Y294" s="1039"/>
      <c r="Z294" s="1039"/>
      <c r="AA294" s="1039"/>
      <c r="AB294" s="1039"/>
      <c r="AC294" s="1039"/>
      <c r="AD294" s="1040"/>
      <c r="AF294" s="1038" t="s">
        <v>554</v>
      </c>
      <c r="AG294" s="1039"/>
      <c r="AH294" s="1039"/>
      <c r="AI294" s="1039"/>
      <c r="AJ294" s="1039"/>
      <c r="AK294" s="1039"/>
      <c r="AL294" s="1039"/>
      <c r="AM294" s="1040"/>
      <c r="BD294" s="292"/>
    </row>
    <row r="295" spans="1:56" x14ac:dyDescent="0.15">
      <c r="A295" s="339"/>
      <c r="B295" s="605"/>
      <c r="E295" s="605"/>
      <c r="F295" s="291" t="s">
        <v>248</v>
      </c>
      <c r="K295" s="325" t="s">
        <v>556</v>
      </c>
      <c r="L295" s="292"/>
      <c r="N295" s="605"/>
      <c r="O295" s="291" t="s">
        <v>248</v>
      </c>
      <c r="T295" s="325" t="s">
        <v>556</v>
      </c>
      <c r="U295" s="292"/>
      <c r="W295" s="605"/>
      <c r="X295" s="291" t="s">
        <v>248</v>
      </c>
      <c r="AC295" s="325" t="s">
        <v>556</v>
      </c>
      <c r="AD295" s="292"/>
      <c r="AF295" s="605"/>
      <c r="AG295" s="291" t="s">
        <v>248</v>
      </c>
      <c r="AL295" s="325" t="s">
        <v>556</v>
      </c>
      <c r="AM295" s="292"/>
      <c r="BD295" s="292"/>
    </row>
    <row r="296" spans="1:56" x14ac:dyDescent="0.15">
      <c r="A296" s="339"/>
      <c r="B296" s="605"/>
      <c r="E296" s="605"/>
      <c r="F296" s="291" t="s">
        <v>259</v>
      </c>
      <c r="K296" s="291">
        <v>1</v>
      </c>
      <c r="L296" s="292"/>
      <c r="N296" s="605"/>
      <c r="O296" s="291" t="s">
        <v>244</v>
      </c>
      <c r="T296" s="291">
        <v>1</v>
      </c>
      <c r="U296" s="292"/>
      <c r="W296" s="605"/>
      <c r="X296" s="291" t="s">
        <v>244</v>
      </c>
      <c r="AC296" s="291">
        <v>1</v>
      </c>
      <c r="AD296" s="292"/>
      <c r="AF296" s="605"/>
      <c r="AG296" s="291" t="s">
        <v>244</v>
      </c>
      <c r="AL296" s="291">
        <v>2</v>
      </c>
      <c r="AM296" s="292"/>
      <c r="BD296" s="292"/>
    </row>
    <row r="297" spans="1:56" x14ac:dyDescent="0.15">
      <c r="A297" s="339"/>
      <c r="B297" s="605"/>
      <c r="E297" s="1041"/>
      <c r="F297" s="1042" t="s">
        <v>353</v>
      </c>
      <c r="G297" s="1042"/>
      <c r="H297" s="1042"/>
      <c r="I297" s="1042"/>
      <c r="J297" s="1042"/>
      <c r="K297" s="1042">
        <v>170</v>
      </c>
      <c r="L297" s="1043"/>
      <c r="N297" s="1041"/>
      <c r="O297" s="1042" t="s">
        <v>611</v>
      </c>
      <c r="P297" s="1042"/>
      <c r="Q297" s="1042"/>
      <c r="R297" s="1042"/>
      <c r="S297" s="1042"/>
      <c r="T297" s="1046">
        <v>168</v>
      </c>
      <c r="U297" s="1043"/>
      <c r="W297" s="605"/>
      <c r="X297" s="291" t="s">
        <v>261</v>
      </c>
      <c r="AC297" s="291">
        <v>2</v>
      </c>
      <c r="AD297" s="292"/>
      <c r="AF297" s="605"/>
      <c r="AG297" s="291" t="s">
        <v>585</v>
      </c>
      <c r="AL297" s="291">
        <v>12</v>
      </c>
      <c r="AM297" s="292"/>
      <c r="BD297" s="292"/>
    </row>
    <row r="298" spans="1:56" x14ac:dyDescent="0.15">
      <c r="A298" s="339"/>
      <c r="B298" s="605"/>
      <c r="T298" s="343" t="s">
        <v>612</v>
      </c>
      <c r="W298" s="1041"/>
      <c r="X298" s="1042" t="s">
        <v>560</v>
      </c>
      <c r="Y298" s="1042"/>
      <c r="Z298" s="1042"/>
      <c r="AA298" s="1042"/>
      <c r="AB298" s="1042"/>
      <c r="AC298" s="1042">
        <v>3</v>
      </c>
      <c r="AD298" s="1043"/>
      <c r="AF298" s="605"/>
      <c r="AG298" s="291" t="s">
        <v>563</v>
      </c>
      <c r="AL298" s="291">
        <v>158</v>
      </c>
      <c r="AM298" s="292"/>
      <c r="BD298" s="292"/>
    </row>
    <row r="299" spans="1:56" x14ac:dyDescent="0.15">
      <c r="A299" s="339"/>
      <c r="B299" s="605"/>
      <c r="T299" s="343" t="s">
        <v>613</v>
      </c>
      <c r="AF299" s="1041"/>
      <c r="AG299" s="1042"/>
      <c r="AH299" s="1042"/>
      <c r="AI299" s="1042"/>
      <c r="AJ299" s="1042"/>
      <c r="AK299" s="1042"/>
      <c r="AL299" s="1042"/>
      <c r="AM299" s="1043"/>
      <c r="BD299" s="292"/>
    </row>
    <row r="300" spans="1:56" x14ac:dyDescent="0.15">
      <c r="A300" s="339"/>
      <c r="B300" s="605"/>
      <c r="BD300" s="292"/>
    </row>
    <row r="301" spans="1:56" x14ac:dyDescent="0.15">
      <c r="A301" s="339"/>
      <c r="B301" s="605"/>
      <c r="N301" s="291" t="s">
        <v>184</v>
      </c>
      <c r="W301" s="291" t="s">
        <v>551</v>
      </c>
      <c r="AF301" s="291" t="s">
        <v>614</v>
      </c>
      <c r="BD301" s="292"/>
    </row>
    <row r="302" spans="1:56" x14ac:dyDescent="0.15">
      <c r="A302" s="339"/>
      <c r="B302" s="605"/>
      <c r="N302" s="1038" t="s">
        <v>101</v>
      </c>
      <c r="O302" s="1039"/>
      <c r="P302" s="1039"/>
      <c r="Q302" s="1039"/>
      <c r="R302" s="1039"/>
      <c r="S302" s="1039"/>
      <c r="T302" s="1039"/>
      <c r="U302" s="1040"/>
      <c r="W302" s="1038" t="s">
        <v>137</v>
      </c>
      <c r="X302" s="1039"/>
      <c r="Y302" s="1039"/>
      <c r="Z302" s="1039"/>
      <c r="AA302" s="1039"/>
      <c r="AB302" s="1039"/>
      <c r="AC302" s="1039"/>
      <c r="AD302" s="1040"/>
      <c r="AF302" s="1038" t="s">
        <v>133</v>
      </c>
      <c r="AG302" s="1039"/>
      <c r="AH302" s="1039"/>
      <c r="AI302" s="1039"/>
      <c r="AJ302" s="1039"/>
      <c r="AK302" s="1039"/>
      <c r="AL302" s="1039"/>
      <c r="AM302" s="1040"/>
      <c r="BD302" s="292"/>
    </row>
    <row r="303" spans="1:56" x14ac:dyDescent="0.15">
      <c r="A303" s="339"/>
      <c r="B303" s="605"/>
      <c r="N303" s="605"/>
      <c r="O303" s="291" t="s">
        <v>248</v>
      </c>
      <c r="T303" s="325" t="s">
        <v>556</v>
      </c>
      <c r="U303" s="292"/>
      <c r="W303" s="605"/>
      <c r="X303" s="291" t="s">
        <v>248</v>
      </c>
      <c r="AC303" s="325" t="s">
        <v>556</v>
      </c>
      <c r="AD303" s="292"/>
      <c r="AF303" s="605"/>
      <c r="AG303" s="291" t="s">
        <v>248</v>
      </c>
      <c r="AL303" s="325" t="s">
        <v>556</v>
      </c>
      <c r="AM303" s="292"/>
      <c r="BD303" s="292"/>
    </row>
    <row r="304" spans="1:56" x14ac:dyDescent="0.15">
      <c r="A304" s="339"/>
      <c r="B304" s="605"/>
      <c r="N304" s="605"/>
      <c r="O304" s="291" t="s">
        <v>244</v>
      </c>
      <c r="T304" s="291">
        <v>4</v>
      </c>
      <c r="U304" s="292"/>
      <c r="W304" s="605"/>
      <c r="X304" s="291" t="s">
        <v>244</v>
      </c>
      <c r="AC304" s="291">
        <v>1</v>
      </c>
      <c r="AD304" s="292"/>
      <c r="AF304" s="605"/>
      <c r="AG304" s="291" t="s">
        <v>244</v>
      </c>
      <c r="AL304" s="291">
        <v>3</v>
      </c>
      <c r="AM304" s="292"/>
      <c r="BD304" s="292"/>
    </row>
    <row r="305" spans="1:56" x14ac:dyDescent="0.15">
      <c r="A305" s="339"/>
      <c r="B305" s="605"/>
      <c r="N305" s="605"/>
      <c r="O305" s="291" t="s">
        <v>290</v>
      </c>
      <c r="T305" s="291">
        <v>0</v>
      </c>
      <c r="U305" s="292"/>
      <c r="W305" s="605"/>
      <c r="X305" s="291" t="s">
        <v>261</v>
      </c>
      <c r="AC305" s="291">
        <v>3</v>
      </c>
      <c r="AD305" s="292"/>
      <c r="AF305" s="1041"/>
      <c r="AG305" s="1042" t="s">
        <v>270</v>
      </c>
      <c r="AH305" s="1042"/>
      <c r="AI305" s="1042"/>
      <c r="AJ305" s="1042"/>
      <c r="AK305" s="1042"/>
      <c r="AL305" s="1047">
        <v>-10</v>
      </c>
      <c r="AM305" s="1043"/>
      <c r="AN305" s="343" t="s">
        <v>615</v>
      </c>
      <c r="BD305" s="292"/>
    </row>
    <row r="306" spans="1:56" x14ac:dyDescent="0.15">
      <c r="A306" s="339"/>
      <c r="B306" s="605"/>
      <c r="N306" s="605"/>
      <c r="O306" s="291" t="s">
        <v>408</v>
      </c>
      <c r="T306" s="291">
        <v>1</v>
      </c>
      <c r="U306" s="292"/>
      <c r="W306" s="1041"/>
      <c r="X306" s="1042" t="s">
        <v>560</v>
      </c>
      <c r="Y306" s="1042"/>
      <c r="Z306" s="1042"/>
      <c r="AA306" s="1042"/>
      <c r="AB306" s="1042"/>
      <c r="AC306" s="1042">
        <v>1</v>
      </c>
      <c r="AD306" s="1043"/>
      <c r="AN306" s="343" t="s">
        <v>616</v>
      </c>
      <c r="BD306" s="292"/>
    </row>
    <row r="307" spans="1:56" x14ac:dyDescent="0.15">
      <c r="A307" s="339"/>
      <c r="B307" s="605"/>
      <c r="N307" s="1041"/>
      <c r="O307" s="1042" t="s">
        <v>416</v>
      </c>
      <c r="P307" s="1042"/>
      <c r="Q307" s="1042"/>
      <c r="R307" s="1042"/>
      <c r="S307" s="1042"/>
      <c r="T307" s="1045">
        <v>-170</v>
      </c>
      <c r="U307" s="1043"/>
      <c r="BD307" s="292"/>
    </row>
    <row r="308" spans="1:56" x14ac:dyDescent="0.15">
      <c r="A308" s="339"/>
      <c r="B308" s="605"/>
      <c r="BD308" s="292"/>
    </row>
    <row r="309" spans="1:56" x14ac:dyDescent="0.15">
      <c r="B309" s="605"/>
      <c r="D309" s="325" t="s">
        <v>161</v>
      </c>
      <c r="E309" s="291" t="s">
        <v>617</v>
      </c>
      <c r="BD309" s="292"/>
    </row>
    <row r="310" spans="1:56" x14ac:dyDescent="0.15">
      <c r="B310" s="605"/>
      <c r="BD310" s="292"/>
    </row>
    <row r="311" spans="1:56" x14ac:dyDescent="0.15">
      <c r="B311" s="605"/>
      <c r="E311" s="340" t="s">
        <v>540</v>
      </c>
      <c r="G311" s="340"/>
      <c r="H311" s="340" t="s">
        <v>541</v>
      </c>
      <c r="I311" s="340"/>
      <c r="J311" s="341" t="s">
        <v>579</v>
      </c>
      <c r="K311" s="340" t="s">
        <v>607</v>
      </c>
      <c r="L311" s="340"/>
      <c r="M311" s="340"/>
      <c r="N311" s="340"/>
      <c r="O311" s="340"/>
      <c r="S311" s="325"/>
      <c r="BD311" s="292"/>
    </row>
    <row r="312" spans="1:56" x14ac:dyDescent="0.15">
      <c r="B312" s="605"/>
      <c r="E312" s="340" t="s">
        <v>618</v>
      </c>
      <c r="G312" s="340"/>
      <c r="H312" s="340"/>
      <c r="I312" s="340"/>
      <c r="J312" s="348" t="s">
        <v>609</v>
      </c>
      <c r="K312" s="340" t="s">
        <v>610</v>
      </c>
      <c r="N312" s="325"/>
      <c r="P312" s="340"/>
      <c r="S312" s="325"/>
      <c r="BD312" s="292"/>
    </row>
    <row r="313" spans="1:56" x14ac:dyDescent="0.15">
      <c r="B313" s="605"/>
      <c r="E313" s="340" t="s">
        <v>545</v>
      </c>
      <c r="G313" s="340"/>
      <c r="H313" s="340"/>
      <c r="I313" s="340"/>
      <c r="J313" s="347">
        <v>170</v>
      </c>
      <c r="K313" s="340"/>
      <c r="N313" s="325"/>
      <c r="S313" s="325"/>
      <c r="BD313" s="292"/>
    </row>
    <row r="314" spans="1:56" x14ac:dyDescent="0.15">
      <c r="B314" s="605"/>
      <c r="S314" s="325"/>
      <c r="BD314" s="292"/>
    </row>
    <row r="315" spans="1:56" x14ac:dyDescent="0.15">
      <c r="B315" s="605"/>
      <c r="S315" s="325"/>
      <c r="BD315" s="292"/>
    </row>
    <row r="316" spans="1:56" x14ac:dyDescent="0.15">
      <c r="B316" s="605"/>
      <c r="E316" s="340" t="s">
        <v>547</v>
      </c>
      <c r="F316" s="340"/>
      <c r="G316" s="340"/>
      <c r="H316" s="340"/>
      <c r="I316" s="340"/>
      <c r="J316" s="340"/>
      <c r="K316" s="340"/>
      <c r="L316" s="340"/>
      <c r="M316" s="340"/>
      <c r="N316" s="340"/>
      <c r="O316" s="340"/>
      <c r="P316" s="340"/>
      <c r="R316" s="325"/>
      <c r="S316" s="325"/>
      <c r="BD316" s="292"/>
    </row>
    <row r="317" spans="1:56" x14ac:dyDescent="0.15">
      <c r="B317" s="605"/>
      <c r="E317" s="340" t="s">
        <v>548</v>
      </c>
      <c r="F317" s="340"/>
      <c r="G317" s="340"/>
      <c r="H317" s="340"/>
      <c r="I317" s="340"/>
      <c r="J317" s="340"/>
      <c r="K317" s="340"/>
      <c r="L317" s="340"/>
      <c r="M317" s="340"/>
      <c r="N317" s="340"/>
      <c r="O317" s="340"/>
      <c r="P317" s="340"/>
      <c r="Q317" s="340"/>
      <c r="R317" s="340"/>
      <c r="S317" s="325"/>
      <c r="BD317" s="292"/>
    </row>
    <row r="318" spans="1:56" x14ac:dyDescent="0.15">
      <c r="B318" s="605"/>
      <c r="E318" s="325"/>
      <c r="G318" s="325"/>
      <c r="J318" s="325"/>
      <c r="N318" s="325"/>
      <c r="S318" s="325"/>
      <c r="BD318" s="292"/>
    </row>
    <row r="319" spans="1:56" x14ac:dyDescent="0.15">
      <c r="B319" s="605"/>
      <c r="E319" s="291" t="s">
        <v>549</v>
      </c>
      <c r="N319" s="291" t="s">
        <v>550</v>
      </c>
      <c r="W319" s="291" t="s">
        <v>551</v>
      </c>
      <c r="AF319" s="291" t="s">
        <v>182</v>
      </c>
      <c r="BD319" s="292"/>
    </row>
    <row r="320" spans="1:56" x14ac:dyDescent="0.15">
      <c r="B320" s="605"/>
      <c r="E320" s="1038" t="s">
        <v>552</v>
      </c>
      <c r="F320" s="1039"/>
      <c r="G320" s="1039"/>
      <c r="H320" s="1039"/>
      <c r="I320" s="1039"/>
      <c r="J320" s="1039"/>
      <c r="K320" s="1039"/>
      <c r="L320" s="1040"/>
      <c r="N320" s="1038" t="s">
        <v>553</v>
      </c>
      <c r="O320" s="1039"/>
      <c r="P320" s="1039"/>
      <c r="Q320" s="1039"/>
      <c r="R320" s="1039"/>
      <c r="S320" s="1039"/>
      <c r="T320" s="1039"/>
      <c r="U320" s="1040"/>
      <c r="W320" s="1038" t="s">
        <v>137</v>
      </c>
      <c r="X320" s="1039"/>
      <c r="Y320" s="1039"/>
      <c r="Z320" s="1039"/>
      <c r="AA320" s="1039"/>
      <c r="AB320" s="1039"/>
      <c r="AC320" s="1039"/>
      <c r="AD320" s="1040"/>
      <c r="AF320" s="1038" t="s">
        <v>554</v>
      </c>
      <c r="AG320" s="1039"/>
      <c r="AH320" s="1039"/>
      <c r="AI320" s="1039"/>
      <c r="AJ320" s="1039"/>
      <c r="AK320" s="1039"/>
      <c r="AL320" s="1039"/>
      <c r="AM320" s="1040"/>
      <c r="BD320" s="292"/>
    </row>
    <row r="321" spans="2:56" x14ac:dyDescent="0.15">
      <c r="B321" s="605"/>
      <c r="E321" s="605"/>
      <c r="F321" s="291" t="s">
        <v>248</v>
      </c>
      <c r="K321" s="325" t="s">
        <v>556</v>
      </c>
      <c r="L321" s="292"/>
      <c r="N321" s="605"/>
      <c r="O321" s="291" t="s">
        <v>248</v>
      </c>
      <c r="T321" s="325" t="s">
        <v>556</v>
      </c>
      <c r="U321" s="292"/>
      <c r="W321" s="605"/>
      <c r="X321" s="291" t="s">
        <v>248</v>
      </c>
      <c r="AC321" s="325" t="s">
        <v>556</v>
      </c>
      <c r="AD321" s="292"/>
      <c r="AF321" s="605"/>
      <c r="AG321" s="291" t="s">
        <v>248</v>
      </c>
      <c r="AL321" s="325" t="s">
        <v>556</v>
      </c>
      <c r="AM321" s="292"/>
      <c r="BD321" s="292"/>
    </row>
    <row r="322" spans="2:56" x14ac:dyDescent="0.15">
      <c r="B322" s="605"/>
      <c r="E322" s="605"/>
      <c r="F322" s="291" t="s">
        <v>259</v>
      </c>
      <c r="K322" s="291">
        <v>1</v>
      </c>
      <c r="L322" s="292"/>
      <c r="N322" s="605"/>
      <c r="O322" s="291" t="s">
        <v>244</v>
      </c>
      <c r="T322" s="291">
        <v>1</v>
      </c>
      <c r="U322" s="292"/>
      <c r="W322" s="605"/>
      <c r="X322" s="291" t="s">
        <v>244</v>
      </c>
      <c r="AC322" s="291">
        <v>1</v>
      </c>
      <c r="AD322" s="292"/>
      <c r="AF322" s="605"/>
      <c r="AG322" s="291" t="s">
        <v>244</v>
      </c>
      <c r="AL322" s="291">
        <v>2</v>
      </c>
      <c r="AM322" s="292"/>
      <c r="BD322" s="292"/>
    </row>
    <row r="323" spans="2:56" x14ac:dyDescent="0.15">
      <c r="B323" s="605"/>
      <c r="E323" s="1041"/>
      <c r="F323" s="1042" t="s">
        <v>353</v>
      </c>
      <c r="G323" s="1042"/>
      <c r="H323" s="1042"/>
      <c r="I323" s="1042"/>
      <c r="J323" s="1042"/>
      <c r="K323" s="1042">
        <v>170</v>
      </c>
      <c r="L323" s="1043"/>
      <c r="N323" s="1041"/>
      <c r="O323" s="1042" t="s">
        <v>611</v>
      </c>
      <c r="P323" s="1042"/>
      <c r="Q323" s="1042"/>
      <c r="R323" s="1042"/>
      <c r="S323" s="1042"/>
      <c r="T323" s="1046">
        <v>158</v>
      </c>
      <c r="U323" s="1043"/>
      <c r="W323" s="605"/>
      <c r="X323" s="291" t="s">
        <v>261</v>
      </c>
      <c r="AC323" s="291">
        <v>2</v>
      </c>
      <c r="AD323" s="292"/>
      <c r="AF323" s="605"/>
      <c r="AG323" s="291" t="s">
        <v>585</v>
      </c>
      <c r="AL323" s="291">
        <v>12</v>
      </c>
      <c r="AM323" s="292"/>
      <c r="BD323" s="292"/>
    </row>
    <row r="324" spans="2:56" x14ac:dyDescent="0.15">
      <c r="B324" s="605"/>
      <c r="T324" s="343" t="s">
        <v>619</v>
      </c>
      <c r="W324" s="1041"/>
      <c r="X324" s="1042" t="s">
        <v>560</v>
      </c>
      <c r="Y324" s="1042"/>
      <c r="Z324" s="1042"/>
      <c r="AA324" s="1042"/>
      <c r="AB324" s="1042"/>
      <c r="AC324" s="1042">
        <v>3</v>
      </c>
      <c r="AD324" s="1043"/>
      <c r="AF324" s="605"/>
      <c r="AG324" s="291" t="s">
        <v>563</v>
      </c>
      <c r="AL324" s="291">
        <v>158</v>
      </c>
      <c r="AM324" s="292"/>
      <c r="BD324" s="292"/>
    </row>
    <row r="325" spans="2:56" x14ac:dyDescent="0.15">
      <c r="B325" s="605"/>
      <c r="T325" s="343" t="s">
        <v>613</v>
      </c>
      <c r="AF325" s="1041"/>
      <c r="AG325" s="1042"/>
      <c r="AH325" s="1042"/>
      <c r="AI325" s="1042"/>
      <c r="AJ325" s="1042"/>
      <c r="AK325" s="1042"/>
      <c r="AL325" s="1042"/>
      <c r="AM325" s="1043"/>
      <c r="BD325" s="292"/>
    </row>
    <row r="326" spans="2:56" x14ac:dyDescent="0.15">
      <c r="B326" s="605"/>
      <c r="BD326" s="292"/>
    </row>
    <row r="327" spans="2:56" x14ac:dyDescent="0.15">
      <c r="B327" s="605"/>
      <c r="N327" s="291" t="s">
        <v>184</v>
      </c>
      <c r="W327" s="291" t="s">
        <v>551</v>
      </c>
      <c r="AF327" s="291" t="s">
        <v>614</v>
      </c>
      <c r="BD327" s="292"/>
    </row>
    <row r="328" spans="2:56" x14ac:dyDescent="0.15">
      <c r="B328" s="605"/>
      <c r="N328" s="1038" t="s">
        <v>101</v>
      </c>
      <c r="O328" s="1039"/>
      <c r="P328" s="1039"/>
      <c r="Q328" s="1039"/>
      <c r="R328" s="1039"/>
      <c r="S328" s="1039"/>
      <c r="T328" s="1039"/>
      <c r="U328" s="1040"/>
      <c r="W328" s="1038" t="s">
        <v>137</v>
      </c>
      <c r="X328" s="1039"/>
      <c r="Y328" s="1039"/>
      <c r="Z328" s="1039"/>
      <c r="AA328" s="1039"/>
      <c r="AB328" s="1039"/>
      <c r="AC328" s="1039"/>
      <c r="AD328" s="1040"/>
      <c r="AF328" s="1038" t="s">
        <v>133</v>
      </c>
      <c r="AG328" s="1039"/>
      <c r="AH328" s="1039"/>
      <c r="AI328" s="1039"/>
      <c r="AJ328" s="1039"/>
      <c r="AK328" s="1039"/>
      <c r="AL328" s="1039"/>
      <c r="AM328" s="1040"/>
      <c r="BD328" s="292"/>
    </row>
    <row r="329" spans="2:56" x14ac:dyDescent="0.15">
      <c r="B329" s="605"/>
      <c r="N329" s="605"/>
      <c r="O329" s="291" t="s">
        <v>248</v>
      </c>
      <c r="T329" s="325" t="s">
        <v>556</v>
      </c>
      <c r="U329" s="292"/>
      <c r="W329" s="605"/>
      <c r="X329" s="291" t="s">
        <v>248</v>
      </c>
      <c r="AC329" s="325" t="s">
        <v>556</v>
      </c>
      <c r="AD329" s="292"/>
      <c r="AF329" s="605"/>
      <c r="AG329" s="291" t="s">
        <v>248</v>
      </c>
      <c r="AL329" s="325" t="s">
        <v>556</v>
      </c>
      <c r="AM329" s="292"/>
      <c r="BD329" s="292"/>
    </row>
    <row r="330" spans="2:56" x14ac:dyDescent="0.15">
      <c r="B330" s="605"/>
      <c r="N330" s="605"/>
      <c r="O330" s="291" t="s">
        <v>244</v>
      </c>
      <c r="T330" s="291">
        <v>4</v>
      </c>
      <c r="U330" s="292"/>
      <c r="W330" s="605"/>
      <c r="X330" s="291" t="s">
        <v>244</v>
      </c>
      <c r="AC330" s="291">
        <v>1</v>
      </c>
      <c r="AD330" s="292"/>
      <c r="AF330" s="605"/>
      <c r="AG330" s="291" t="s">
        <v>244</v>
      </c>
      <c r="AL330" s="291">
        <v>3</v>
      </c>
      <c r="AM330" s="292"/>
      <c r="BD330" s="292"/>
    </row>
    <row r="331" spans="2:56" x14ac:dyDescent="0.15">
      <c r="B331" s="605"/>
      <c r="N331" s="605"/>
      <c r="O331" s="291" t="s">
        <v>290</v>
      </c>
      <c r="T331" s="291">
        <v>0</v>
      </c>
      <c r="U331" s="292"/>
      <c r="W331" s="605"/>
      <c r="X331" s="291" t="s">
        <v>261</v>
      </c>
      <c r="AC331" s="291">
        <v>3</v>
      </c>
      <c r="AD331" s="292"/>
      <c r="AF331" s="1041"/>
      <c r="AG331" s="1042" t="s">
        <v>270</v>
      </c>
      <c r="AH331" s="1042"/>
      <c r="AI331" s="1042"/>
      <c r="AJ331" s="1042"/>
      <c r="AK331" s="1042"/>
      <c r="AL331" s="1046">
        <v>0</v>
      </c>
      <c r="AM331" s="1043"/>
      <c r="AN331" s="343" t="s">
        <v>620</v>
      </c>
      <c r="BD331" s="292"/>
    </row>
    <row r="332" spans="2:56" x14ac:dyDescent="0.15">
      <c r="B332" s="605"/>
      <c r="N332" s="605"/>
      <c r="O332" s="291" t="s">
        <v>408</v>
      </c>
      <c r="T332" s="291">
        <v>1</v>
      </c>
      <c r="U332" s="292"/>
      <c r="W332" s="1041"/>
      <c r="X332" s="1042" t="s">
        <v>560</v>
      </c>
      <c r="Y332" s="1042"/>
      <c r="Z332" s="1042"/>
      <c r="AA332" s="1042"/>
      <c r="AB332" s="1042"/>
      <c r="AC332" s="1042">
        <v>1</v>
      </c>
      <c r="AD332" s="1043"/>
      <c r="BD332" s="292"/>
    </row>
    <row r="333" spans="2:56" x14ac:dyDescent="0.15">
      <c r="B333" s="605"/>
      <c r="N333" s="1041"/>
      <c r="O333" s="1042" t="s">
        <v>416</v>
      </c>
      <c r="P333" s="1042"/>
      <c r="Q333" s="1042"/>
      <c r="R333" s="1042"/>
      <c r="S333" s="1042"/>
      <c r="T333" s="1045">
        <v>-170</v>
      </c>
      <c r="U333" s="1043"/>
      <c r="BD333" s="292"/>
    </row>
    <row r="334" spans="2:56" x14ac:dyDescent="0.15">
      <c r="B334" s="1041"/>
      <c r="C334" s="1042"/>
      <c r="D334" s="1042"/>
      <c r="E334" s="1042"/>
      <c r="F334" s="1042"/>
      <c r="G334" s="1042"/>
      <c r="H334" s="1042"/>
      <c r="I334" s="1042"/>
      <c r="J334" s="1042"/>
      <c r="K334" s="1042"/>
      <c r="L334" s="1042"/>
      <c r="M334" s="1042"/>
      <c r="N334" s="1042"/>
      <c r="O334" s="1042"/>
      <c r="P334" s="1042"/>
      <c r="Q334" s="1042"/>
      <c r="R334" s="1042"/>
      <c r="S334" s="1042"/>
      <c r="T334" s="1042"/>
      <c r="U334" s="1042"/>
      <c r="V334" s="1042"/>
      <c r="W334" s="1042"/>
      <c r="X334" s="1042"/>
      <c r="Y334" s="1042"/>
      <c r="Z334" s="1042"/>
      <c r="AA334" s="1042"/>
      <c r="AB334" s="1042"/>
      <c r="AC334" s="1042"/>
      <c r="AD334" s="1042"/>
      <c r="AE334" s="1042"/>
      <c r="AF334" s="1042"/>
      <c r="AG334" s="1042"/>
      <c r="AH334" s="1042"/>
      <c r="AI334" s="1042"/>
      <c r="AJ334" s="1042"/>
      <c r="AK334" s="1042"/>
      <c r="AL334" s="1042"/>
      <c r="AM334" s="1042"/>
      <c r="AN334" s="1042"/>
      <c r="AO334" s="1042"/>
      <c r="AP334" s="1042"/>
      <c r="AQ334" s="1042"/>
      <c r="AR334" s="1042"/>
      <c r="AS334" s="1042"/>
      <c r="AT334" s="1042"/>
      <c r="AU334" s="1042"/>
      <c r="AV334" s="1042"/>
      <c r="AW334" s="1042"/>
      <c r="AX334" s="1042"/>
      <c r="AY334" s="1042"/>
      <c r="AZ334" s="1042"/>
      <c r="BA334" s="1042"/>
      <c r="BB334" s="1042"/>
      <c r="BC334" s="1042"/>
      <c r="BD334" s="1043"/>
    </row>
    <row r="335" spans="2:56" ht="12" thickBot="1" x14ac:dyDescent="0.2"/>
    <row r="336" spans="2:56" ht="12.75" thickTop="1" x14ac:dyDescent="0.15">
      <c r="B336" s="50" t="s">
        <v>6</v>
      </c>
      <c r="C336" s="51"/>
      <c r="D336" s="51"/>
      <c r="E336" s="51"/>
      <c r="F336" s="51"/>
      <c r="G336" s="51"/>
      <c r="H336" s="51"/>
      <c r="I336" s="51"/>
      <c r="J336" s="51"/>
      <c r="K336" s="51"/>
      <c r="L336" s="51"/>
      <c r="M336" s="51"/>
      <c r="N336" s="52"/>
      <c r="O336" s="1247" t="s">
        <v>7</v>
      </c>
      <c r="P336" s="1248"/>
      <c r="Q336" s="1248"/>
      <c r="R336" s="1248"/>
      <c r="S336" s="1248"/>
      <c r="T336" s="1249"/>
      <c r="U336" s="1250" t="s">
        <v>8</v>
      </c>
      <c r="V336" s="1248"/>
      <c r="W336" s="1248"/>
      <c r="X336" s="1248"/>
      <c r="Y336" s="1248"/>
      <c r="Z336" s="1248"/>
      <c r="AA336" s="1249"/>
      <c r="AB336" s="1306" t="s">
        <v>536</v>
      </c>
      <c r="AC336" s="1307"/>
      <c r="AD336" s="1307"/>
      <c r="AE336" s="1307"/>
      <c r="AF336" s="1307"/>
      <c r="AG336" s="1307"/>
      <c r="AH336" s="1307"/>
      <c r="AI336" s="1307"/>
      <c r="AJ336" s="1307"/>
      <c r="AK336" s="1307"/>
      <c r="AL336" s="1307"/>
      <c r="AM336" s="1307"/>
      <c r="AN336" s="1308"/>
      <c r="AO336" s="1250" t="s">
        <v>10</v>
      </c>
      <c r="AP336" s="1249"/>
      <c r="AQ336" s="1303" t="s">
        <v>11</v>
      </c>
      <c r="AR336" s="1304"/>
      <c r="AS336" s="1305"/>
      <c r="AT336" s="1250" t="s">
        <v>12</v>
      </c>
      <c r="AU336" s="1248"/>
      <c r="AV336" s="1248"/>
      <c r="AW336" s="1249"/>
      <c r="AX336" s="1303" t="s">
        <v>13</v>
      </c>
      <c r="AY336" s="1304"/>
      <c r="AZ336" s="1305"/>
      <c r="BA336" s="1250" t="s">
        <v>14</v>
      </c>
      <c r="BB336" s="1248"/>
      <c r="BC336" s="1248"/>
      <c r="BD336" s="1249"/>
    </row>
    <row r="337" spans="1:57" ht="12.75" thickBot="1" x14ac:dyDescent="0.2">
      <c r="B337" s="1260" t="s">
        <v>15</v>
      </c>
      <c r="C337" s="1261"/>
      <c r="D337" s="1261"/>
      <c r="E337" s="1261"/>
      <c r="F337" s="1261"/>
      <c r="G337" s="1261"/>
      <c r="H337" s="1261"/>
      <c r="I337" s="1261"/>
      <c r="J337" s="1261"/>
      <c r="K337" s="1261"/>
      <c r="L337" s="1261"/>
      <c r="M337" s="1261"/>
      <c r="N337" s="1262"/>
      <c r="O337" s="1263" t="s">
        <v>16</v>
      </c>
      <c r="P337" s="1264"/>
      <c r="Q337" s="1264"/>
      <c r="R337" s="1264"/>
      <c r="S337" s="1264"/>
      <c r="T337" s="1265"/>
      <c r="U337" s="1266" t="s">
        <v>163</v>
      </c>
      <c r="V337" s="1264"/>
      <c r="W337" s="1264"/>
      <c r="X337" s="1264"/>
      <c r="Y337" s="1264"/>
      <c r="Z337" s="1264"/>
      <c r="AA337" s="1265"/>
      <c r="AB337" s="1309"/>
      <c r="AC337" s="1310"/>
      <c r="AD337" s="1310"/>
      <c r="AE337" s="1310"/>
      <c r="AF337" s="1310"/>
      <c r="AG337" s="1310"/>
      <c r="AH337" s="1310"/>
      <c r="AI337" s="1310"/>
      <c r="AJ337" s="1310"/>
      <c r="AK337" s="1310"/>
      <c r="AL337" s="1310"/>
      <c r="AM337" s="1310"/>
      <c r="AN337" s="1311"/>
      <c r="AO337" s="1267">
        <f>AO$3</f>
        <v>1.1200000000000001</v>
      </c>
      <c r="AP337" s="1268"/>
      <c r="AQ337" s="1266" t="s">
        <v>18</v>
      </c>
      <c r="AR337" s="1264"/>
      <c r="AS337" s="1265"/>
      <c r="AT337" s="1269">
        <f>AT$3</f>
        <v>45709</v>
      </c>
      <c r="AU337" s="1270"/>
      <c r="AV337" s="1270"/>
      <c r="AW337" s="1270"/>
      <c r="AX337" s="1266" t="s">
        <v>18</v>
      </c>
      <c r="AY337" s="1264"/>
      <c r="AZ337" s="1265"/>
      <c r="BA337" s="1269">
        <v>45574</v>
      </c>
      <c r="BB337" s="1270"/>
      <c r="BC337" s="1270"/>
      <c r="BD337" s="1271"/>
    </row>
    <row r="338" spans="1:57" ht="12" thickTop="1" x14ac:dyDescent="0.15"/>
    <row r="339" spans="1:57" x14ac:dyDescent="0.15">
      <c r="B339" s="1038"/>
      <c r="C339" s="1039"/>
      <c r="D339" s="1039"/>
      <c r="E339" s="1039"/>
      <c r="F339" s="1039"/>
      <c r="G339" s="1039"/>
      <c r="H339" s="1039"/>
      <c r="I339" s="1039"/>
      <c r="J339" s="1039"/>
      <c r="K339" s="1039"/>
      <c r="L339" s="1039"/>
      <c r="M339" s="1039"/>
      <c r="N339" s="1039"/>
      <c r="O339" s="1039"/>
      <c r="P339" s="1039"/>
      <c r="Q339" s="1039"/>
      <c r="R339" s="1039"/>
      <c r="S339" s="1039"/>
      <c r="T339" s="1039"/>
      <c r="U339" s="1039"/>
      <c r="V339" s="1039"/>
      <c r="W339" s="1039"/>
      <c r="X339" s="1039"/>
      <c r="Y339" s="1039"/>
      <c r="Z339" s="1039"/>
      <c r="AA339" s="1039"/>
      <c r="AB339" s="1039"/>
      <c r="AC339" s="1039"/>
      <c r="AD339" s="1039"/>
      <c r="AE339" s="1039"/>
      <c r="AF339" s="1039"/>
      <c r="AG339" s="1039"/>
      <c r="AH339" s="1039"/>
      <c r="AI339" s="1039"/>
      <c r="AJ339" s="1039"/>
      <c r="AK339" s="1039"/>
      <c r="AL339" s="1039"/>
      <c r="AM339" s="1039"/>
      <c r="AN339" s="1039"/>
      <c r="AO339" s="1039"/>
      <c r="AP339" s="1039"/>
      <c r="AQ339" s="1039"/>
      <c r="AR339" s="1039"/>
      <c r="AS339" s="1039"/>
      <c r="AT339" s="1039"/>
      <c r="AU339" s="1039"/>
      <c r="AV339" s="1039"/>
      <c r="AW339" s="1039"/>
      <c r="AX339" s="1039"/>
      <c r="AY339" s="1039"/>
      <c r="AZ339" s="1039"/>
      <c r="BA339" s="1039"/>
      <c r="BB339" s="1039"/>
      <c r="BC339" s="1039"/>
      <c r="BD339" s="1040"/>
    </row>
    <row r="340" spans="1:57" x14ac:dyDescent="0.15">
      <c r="A340" s="339"/>
      <c r="B340" s="605"/>
      <c r="C340" s="500" t="s">
        <v>621</v>
      </c>
      <c r="D340" s="355" t="s">
        <v>622</v>
      </c>
      <c r="BD340" s="292"/>
      <c r="BE340" s="354" t="s">
        <v>539</v>
      </c>
    </row>
    <row r="341" spans="1:57" x14ac:dyDescent="0.15">
      <c r="A341" s="339"/>
      <c r="B341" s="605"/>
      <c r="BD341" s="292"/>
      <c r="BE341" s="354" t="s">
        <v>539</v>
      </c>
    </row>
    <row r="342" spans="1:57" x14ac:dyDescent="0.15">
      <c r="A342" s="339"/>
      <c r="B342" s="605"/>
      <c r="D342" s="476" t="s">
        <v>161</v>
      </c>
      <c r="E342" s="505" t="s">
        <v>623</v>
      </c>
      <c r="T342" s="504" t="s">
        <v>624</v>
      </c>
      <c r="U342" s="508"/>
      <c r="V342" s="508"/>
      <c r="W342" s="508"/>
      <c r="BD342" s="292"/>
      <c r="BE342" s="354" t="s">
        <v>539</v>
      </c>
    </row>
    <row r="343" spans="1:57" x14ac:dyDescent="0.15">
      <c r="B343" s="605"/>
      <c r="BD343" s="292"/>
      <c r="BE343" s="354" t="s">
        <v>539</v>
      </c>
    </row>
    <row r="344" spans="1:57" x14ac:dyDescent="0.15">
      <c r="A344" s="339"/>
      <c r="B344" s="605"/>
      <c r="E344" s="340" t="s">
        <v>540</v>
      </c>
      <c r="G344" s="340"/>
      <c r="H344" s="340" t="s">
        <v>541</v>
      </c>
      <c r="I344" s="340"/>
      <c r="J344" s="341" t="s">
        <v>579</v>
      </c>
      <c r="K344" s="340" t="s">
        <v>607</v>
      </c>
      <c r="L344" s="340"/>
      <c r="M344" s="340"/>
      <c r="N344" s="340"/>
      <c r="O344" s="340"/>
      <c r="S344" s="325"/>
      <c r="BD344" s="292"/>
      <c r="BE344" s="354" t="s">
        <v>539</v>
      </c>
    </row>
    <row r="345" spans="1:57" x14ac:dyDescent="0.15">
      <c r="A345" s="339"/>
      <c r="B345" s="605"/>
      <c r="E345" s="340" t="s">
        <v>625</v>
      </c>
      <c r="G345" s="340"/>
      <c r="H345" s="340"/>
      <c r="I345" s="340"/>
      <c r="J345" s="348">
        <v>158</v>
      </c>
      <c r="K345" s="340" t="s">
        <v>610</v>
      </c>
      <c r="N345" s="325"/>
      <c r="S345" s="325"/>
      <c r="BD345" s="292"/>
      <c r="BE345" s="354" t="s">
        <v>539</v>
      </c>
    </row>
    <row r="346" spans="1:57" x14ac:dyDescent="0.15">
      <c r="A346" s="339"/>
      <c r="B346" s="605"/>
      <c r="E346" s="340" t="s">
        <v>545</v>
      </c>
      <c r="G346" s="340"/>
      <c r="H346" s="340"/>
      <c r="I346" s="340"/>
      <c r="J346" s="347">
        <v>170</v>
      </c>
      <c r="K346" s="340"/>
      <c r="N346" s="325"/>
      <c r="S346" s="325"/>
      <c r="BD346" s="292"/>
      <c r="BE346" s="354" t="s">
        <v>539</v>
      </c>
    </row>
    <row r="347" spans="1:57" x14ac:dyDescent="0.15">
      <c r="A347" s="339"/>
      <c r="B347" s="605"/>
      <c r="S347" s="325"/>
      <c r="BD347" s="292"/>
      <c r="BE347" s="354" t="s">
        <v>539</v>
      </c>
    </row>
    <row r="348" spans="1:57" x14ac:dyDescent="0.15">
      <c r="A348" s="339"/>
      <c r="B348" s="605"/>
      <c r="E348" s="340" t="s">
        <v>547</v>
      </c>
      <c r="F348" s="340"/>
      <c r="G348" s="340"/>
      <c r="H348" s="340"/>
      <c r="I348" s="340"/>
      <c r="J348" s="340"/>
      <c r="K348" s="340"/>
      <c r="L348" s="340"/>
      <c r="M348" s="340"/>
      <c r="N348" s="340"/>
      <c r="O348" s="340"/>
      <c r="P348" s="340"/>
      <c r="R348" s="325"/>
      <c r="S348" s="325"/>
      <c r="BD348" s="292"/>
      <c r="BE348" s="354" t="s">
        <v>539</v>
      </c>
    </row>
    <row r="349" spans="1:57" x14ac:dyDescent="0.15">
      <c r="A349" s="339"/>
      <c r="B349" s="605"/>
      <c r="E349" s="340" t="s">
        <v>548</v>
      </c>
      <c r="F349" s="340"/>
      <c r="G349" s="340"/>
      <c r="H349" s="340"/>
      <c r="I349" s="340"/>
      <c r="J349" s="340"/>
      <c r="K349" s="340"/>
      <c r="L349" s="340"/>
      <c r="M349" s="340"/>
      <c r="N349" s="340"/>
      <c r="O349" s="340"/>
      <c r="P349" s="340"/>
      <c r="Q349" s="340"/>
      <c r="R349" s="340"/>
      <c r="S349" s="325"/>
      <c r="BD349" s="292"/>
      <c r="BE349" s="354" t="s">
        <v>539</v>
      </c>
    </row>
    <row r="350" spans="1:57" x14ac:dyDescent="0.15">
      <c r="A350" s="339"/>
      <c r="B350" s="605"/>
      <c r="BD350" s="292"/>
      <c r="BE350" s="354" t="s">
        <v>539</v>
      </c>
    </row>
    <row r="351" spans="1:57" x14ac:dyDescent="0.15">
      <c r="A351" s="339"/>
      <c r="B351" s="605"/>
      <c r="E351" s="291" t="s">
        <v>549</v>
      </c>
      <c r="N351" s="291" t="s">
        <v>550</v>
      </c>
      <c r="W351" s="291" t="s">
        <v>551</v>
      </c>
      <c r="AF351" s="291" t="s">
        <v>182</v>
      </c>
      <c r="BD351" s="292"/>
      <c r="BE351" s="354" t="s">
        <v>539</v>
      </c>
    </row>
    <row r="352" spans="1:57" x14ac:dyDescent="0.15">
      <c r="A352" s="339"/>
      <c r="B352" s="605"/>
      <c r="E352" s="1038" t="s">
        <v>552</v>
      </c>
      <c r="F352" s="1039"/>
      <c r="G352" s="1039"/>
      <c r="H352" s="1039"/>
      <c r="I352" s="1039"/>
      <c r="J352" s="1039"/>
      <c r="K352" s="1039"/>
      <c r="L352" s="1040"/>
      <c r="N352" s="1038" t="s">
        <v>553</v>
      </c>
      <c r="O352" s="1039"/>
      <c r="P352" s="1039"/>
      <c r="Q352" s="1039"/>
      <c r="R352" s="1039"/>
      <c r="S352" s="1039"/>
      <c r="T352" s="1039"/>
      <c r="U352" s="1040"/>
      <c r="W352" s="1038" t="s">
        <v>137</v>
      </c>
      <c r="X352" s="1039"/>
      <c r="Y352" s="1039"/>
      <c r="Z352" s="1039"/>
      <c r="AA352" s="1039"/>
      <c r="AB352" s="1039"/>
      <c r="AC352" s="1039"/>
      <c r="AD352" s="1040"/>
      <c r="AF352" s="1038" t="s">
        <v>554</v>
      </c>
      <c r="AG352" s="1039"/>
      <c r="AH352" s="1039"/>
      <c r="AI352" s="1039"/>
      <c r="AJ352" s="1039"/>
      <c r="AK352" s="1039"/>
      <c r="AL352" s="1039"/>
      <c r="AM352" s="1040"/>
      <c r="BD352" s="292"/>
      <c r="BE352" s="354" t="s">
        <v>539</v>
      </c>
    </row>
    <row r="353" spans="1:57" x14ac:dyDescent="0.15">
      <c r="A353" s="339"/>
      <c r="B353" s="605"/>
      <c r="E353" s="605"/>
      <c r="F353" s="291" t="s">
        <v>248</v>
      </c>
      <c r="K353" s="325" t="s">
        <v>556</v>
      </c>
      <c r="L353" s="292"/>
      <c r="N353" s="605"/>
      <c r="O353" s="291" t="s">
        <v>248</v>
      </c>
      <c r="T353" s="325" t="s">
        <v>556</v>
      </c>
      <c r="U353" s="292"/>
      <c r="W353" s="605"/>
      <c r="X353" s="291" t="s">
        <v>248</v>
      </c>
      <c r="AC353" s="325" t="s">
        <v>556</v>
      </c>
      <c r="AD353" s="292"/>
      <c r="AF353" s="605"/>
      <c r="AG353" s="291" t="s">
        <v>248</v>
      </c>
      <c r="AL353" s="325" t="s">
        <v>556</v>
      </c>
      <c r="AM353" s="292"/>
      <c r="BD353" s="292"/>
      <c r="BE353" s="354" t="s">
        <v>539</v>
      </c>
    </row>
    <row r="354" spans="1:57" x14ac:dyDescent="0.15">
      <c r="A354" s="339"/>
      <c r="B354" s="605"/>
      <c r="E354" s="605"/>
      <c r="F354" s="291" t="s">
        <v>259</v>
      </c>
      <c r="K354" s="291">
        <v>1</v>
      </c>
      <c r="L354" s="292"/>
      <c r="N354" s="605"/>
      <c r="O354" s="291" t="s">
        <v>244</v>
      </c>
      <c r="T354" s="291">
        <v>1</v>
      </c>
      <c r="U354" s="292"/>
      <c r="W354" s="605"/>
      <c r="X354" s="291" t="s">
        <v>244</v>
      </c>
      <c r="AC354" s="291">
        <v>1</v>
      </c>
      <c r="AD354" s="292"/>
      <c r="AF354" s="605"/>
      <c r="AG354" s="291" t="s">
        <v>244</v>
      </c>
      <c r="AL354" s="502">
        <v>2</v>
      </c>
      <c r="AM354" s="292"/>
      <c r="BD354" s="292"/>
      <c r="BE354" s="354" t="s">
        <v>539</v>
      </c>
    </row>
    <row r="355" spans="1:57" x14ac:dyDescent="0.15">
      <c r="A355" s="339"/>
      <c r="B355" s="605"/>
      <c r="E355" s="1041"/>
      <c r="F355" s="1042" t="s">
        <v>353</v>
      </c>
      <c r="G355" s="1042"/>
      <c r="H355" s="1042"/>
      <c r="I355" s="1042"/>
      <c r="J355" s="1042"/>
      <c r="K355" s="1042">
        <v>170</v>
      </c>
      <c r="L355" s="1043"/>
      <c r="N355" s="605"/>
      <c r="O355" s="291" t="s">
        <v>350</v>
      </c>
      <c r="T355" s="504">
        <v>168</v>
      </c>
      <c r="U355" s="292"/>
      <c r="W355" s="605"/>
      <c r="X355" s="291" t="s">
        <v>261</v>
      </c>
      <c r="AC355" s="291">
        <v>2</v>
      </c>
      <c r="AD355" s="292"/>
      <c r="AF355" s="605"/>
      <c r="AG355" s="291" t="s">
        <v>585</v>
      </c>
      <c r="AL355" s="502">
        <v>12</v>
      </c>
      <c r="AM355" s="292"/>
      <c r="BD355" s="292"/>
      <c r="BE355" s="354" t="s">
        <v>539</v>
      </c>
    </row>
    <row r="356" spans="1:57" x14ac:dyDescent="0.15">
      <c r="A356" s="339"/>
      <c r="B356" s="605"/>
      <c r="N356" s="1041"/>
      <c r="O356" s="1042" t="s">
        <v>611</v>
      </c>
      <c r="P356" s="1042"/>
      <c r="Q356" s="1042"/>
      <c r="R356" s="1042"/>
      <c r="S356" s="1042"/>
      <c r="T356" s="1048">
        <v>168</v>
      </c>
      <c r="U356" s="1043"/>
      <c r="W356" s="1041"/>
      <c r="X356" s="1042" t="s">
        <v>560</v>
      </c>
      <c r="Y356" s="1042"/>
      <c r="Z356" s="1042"/>
      <c r="AA356" s="1042"/>
      <c r="AB356" s="1042"/>
      <c r="AC356" s="1042">
        <v>3</v>
      </c>
      <c r="AD356" s="1043"/>
      <c r="AF356" s="605"/>
      <c r="AG356" s="291" t="s">
        <v>563</v>
      </c>
      <c r="AL356" s="502">
        <v>158</v>
      </c>
      <c r="AM356" s="292"/>
      <c r="BD356" s="292"/>
      <c r="BE356" s="354" t="s">
        <v>539</v>
      </c>
    </row>
    <row r="357" spans="1:57" x14ac:dyDescent="0.15">
      <c r="A357" s="339"/>
      <c r="B357" s="605"/>
      <c r="T357" s="343" t="s">
        <v>626</v>
      </c>
      <c r="AF357" s="1041"/>
      <c r="AG357" s="1042"/>
      <c r="AH357" s="1042"/>
      <c r="AI357" s="1042"/>
      <c r="AJ357" s="1042"/>
      <c r="AK357" s="1042"/>
      <c r="AL357" s="1049"/>
      <c r="AM357" s="1043"/>
      <c r="BD357" s="292"/>
      <c r="BE357" s="354" t="s">
        <v>539</v>
      </c>
    </row>
    <row r="358" spans="1:57" x14ac:dyDescent="0.15">
      <c r="A358" s="339"/>
      <c r="B358" s="605"/>
      <c r="T358" s="343" t="s">
        <v>627</v>
      </c>
      <c r="BD358" s="292"/>
      <c r="BE358" s="354" t="s">
        <v>539</v>
      </c>
    </row>
    <row r="359" spans="1:57" x14ac:dyDescent="0.15">
      <c r="A359" s="339"/>
      <c r="B359" s="605"/>
      <c r="N359" s="291" t="s">
        <v>184</v>
      </c>
      <c r="W359" s="291" t="s">
        <v>551</v>
      </c>
      <c r="AF359" s="291" t="s">
        <v>614</v>
      </c>
      <c r="BD359" s="292"/>
      <c r="BE359" s="354" t="s">
        <v>539</v>
      </c>
    </row>
    <row r="360" spans="1:57" x14ac:dyDescent="0.15">
      <c r="A360" s="339"/>
      <c r="B360" s="605"/>
      <c r="N360" s="1038" t="s">
        <v>101</v>
      </c>
      <c r="O360" s="1039"/>
      <c r="P360" s="1039"/>
      <c r="Q360" s="1039"/>
      <c r="R360" s="1039"/>
      <c r="S360" s="1039"/>
      <c r="T360" s="1039"/>
      <c r="U360" s="1040"/>
      <c r="W360" s="1038" t="s">
        <v>137</v>
      </c>
      <c r="X360" s="1039"/>
      <c r="Y360" s="1039"/>
      <c r="Z360" s="1039"/>
      <c r="AA360" s="1039"/>
      <c r="AB360" s="1039"/>
      <c r="AC360" s="1039"/>
      <c r="AD360" s="1040"/>
      <c r="AF360" s="1038" t="s">
        <v>133</v>
      </c>
      <c r="AG360" s="1039"/>
      <c r="AH360" s="1039"/>
      <c r="AI360" s="1039"/>
      <c r="AJ360" s="1039"/>
      <c r="AK360" s="1039"/>
      <c r="AL360" s="1039"/>
      <c r="AM360" s="1040"/>
      <c r="BD360" s="292"/>
      <c r="BE360" s="354" t="s">
        <v>539</v>
      </c>
    </row>
    <row r="361" spans="1:57" x14ac:dyDescent="0.15">
      <c r="A361" s="339"/>
      <c r="B361" s="605"/>
      <c r="N361" s="605"/>
      <c r="O361" s="291" t="s">
        <v>248</v>
      </c>
      <c r="T361" s="325" t="s">
        <v>556</v>
      </c>
      <c r="U361" s="292"/>
      <c r="W361" s="605"/>
      <c r="X361" s="291" t="s">
        <v>248</v>
      </c>
      <c r="AC361" s="325" t="s">
        <v>556</v>
      </c>
      <c r="AD361" s="292"/>
      <c r="AF361" s="605"/>
      <c r="AG361" s="291" t="s">
        <v>248</v>
      </c>
      <c r="AL361" s="325" t="s">
        <v>556</v>
      </c>
      <c r="AM361" s="292"/>
      <c r="BD361" s="292"/>
      <c r="BE361" s="354" t="s">
        <v>539</v>
      </c>
    </row>
    <row r="362" spans="1:57" x14ac:dyDescent="0.15">
      <c r="A362" s="339"/>
      <c r="B362" s="605"/>
      <c r="N362" s="605"/>
      <c r="O362" s="291" t="s">
        <v>244</v>
      </c>
      <c r="T362" s="291">
        <v>4</v>
      </c>
      <c r="U362" s="292"/>
      <c r="W362" s="605"/>
      <c r="X362" s="291" t="s">
        <v>244</v>
      </c>
      <c r="AC362" s="291">
        <v>1</v>
      </c>
      <c r="AD362" s="292"/>
      <c r="AF362" s="605"/>
      <c r="AG362" s="291" t="s">
        <v>244</v>
      </c>
      <c r="AL362" s="502">
        <v>3</v>
      </c>
      <c r="AM362" s="292"/>
      <c r="BD362" s="292"/>
      <c r="BE362" s="354" t="s">
        <v>539</v>
      </c>
    </row>
    <row r="363" spans="1:57" x14ac:dyDescent="0.15">
      <c r="A363" s="339"/>
      <c r="B363" s="605"/>
      <c r="N363" s="605"/>
      <c r="O363" s="291" t="s">
        <v>290</v>
      </c>
      <c r="T363" s="291">
        <v>0</v>
      </c>
      <c r="U363" s="292"/>
      <c r="W363" s="605"/>
      <c r="X363" s="291" t="s">
        <v>261</v>
      </c>
      <c r="AC363" s="291">
        <v>3</v>
      </c>
      <c r="AD363" s="292"/>
      <c r="AF363" s="605"/>
      <c r="AG363" s="291" t="s">
        <v>263</v>
      </c>
      <c r="AL363" s="503">
        <v>6</v>
      </c>
      <c r="AM363" s="292"/>
      <c r="AN363" s="343" t="s">
        <v>628</v>
      </c>
      <c r="BD363" s="292"/>
      <c r="BE363" s="354" t="s">
        <v>539</v>
      </c>
    </row>
    <row r="364" spans="1:57" x14ac:dyDescent="0.15">
      <c r="A364" s="339"/>
      <c r="B364" s="605"/>
      <c r="N364" s="605"/>
      <c r="O364" s="291" t="s">
        <v>408</v>
      </c>
      <c r="T364" s="291">
        <v>1</v>
      </c>
      <c r="U364" s="292"/>
      <c r="W364" s="1041"/>
      <c r="X364" s="1042" t="s">
        <v>560</v>
      </c>
      <c r="Y364" s="1042"/>
      <c r="Z364" s="1042"/>
      <c r="AA364" s="1042"/>
      <c r="AB364" s="1042"/>
      <c r="AC364" s="1042">
        <v>1</v>
      </c>
      <c r="AD364" s="1043"/>
      <c r="AF364" s="605"/>
      <c r="AG364" s="291" t="s">
        <v>270</v>
      </c>
      <c r="AL364" s="501">
        <v>-10</v>
      </c>
      <c r="AM364" s="292"/>
      <c r="AN364" s="343" t="s">
        <v>629</v>
      </c>
      <c r="BD364" s="292"/>
      <c r="BE364" s="354" t="s">
        <v>539</v>
      </c>
    </row>
    <row r="365" spans="1:57" x14ac:dyDescent="0.15">
      <c r="A365" s="339"/>
      <c r="B365" s="605"/>
      <c r="N365" s="1041"/>
      <c r="O365" s="1042" t="s">
        <v>416</v>
      </c>
      <c r="P365" s="1042"/>
      <c r="Q365" s="1042"/>
      <c r="R365" s="1042"/>
      <c r="S365" s="1042"/>
      <c r="T365" s="1045">
        <v>-170</v>
      </c>
      <c r="U365" s="1043"/>
      <c r="AF365" s="605"/>
      <c r="AG365" s="291" t="s">
        <v>276</v>
      </c>
      <c r="AL365" s="501">
        <v>158</v>
      </c>
      <c r="AM365" s="292"/>
      <c r="AN365" s="343" t="s">
        <v>630</v>
      </c>
      <c r="BD365" s="292"/>
      <c r="BE365" s="354" t="s">
        <v>539</v>
      </c>
    </row>
    <row r="366" spans="1:57" x14ac:dyDescent="0.15">
      <c r="A366" s="339"/>
      <c r="B366" s="605"/>
      <c r="AF366" s="1041"/>
      <c r="AG366" s="1042" t="s">
        <v>315</v>
      </c>
      <c r="AH366" s="1042"/>
      <c r="AI366" s="1042"/>
      <c r="AJ366" s="1042"/>
      <c r="AK366" s="1042"/>
      <c r="AL366" s="1050">
        <v>91220</v>
      </c>
      <c r="AM366" s="1043"/>
      <c r="AN366" s="343" t="s">
        <v>631</v>
      </c>
      <c r="BD366" s="292"/>
      <c r="BE366" s="354" t="s">
        <v>539</v>
      </c>
    </row>
    <row r="367" spans="1:57" x14ac:dyDescent="0.15">
      <c r="A367" s="339"/>
      <c r="B367" s="605"/>
      <c r="S367" s="325"/>
      <c r="BD367" s="292"/>
      <c r="BE367" s="354" t="s">
        <v>539</v>
      </c>
    </row>
    <row r="368" spans="1:57" x14ac:dyDescent="0.15">
      <c r="B368" s="605"/>
      <c r="D368" s="476" t="s">
        <v>161</v>
      </c>
      <c r="E368" s="505" t="s">
        <v>632</v>
      </c>
      <c r="U368" s="504" t="s">
        <v>633</v>
      </c>
      <c r="V368" s="504"/>
      <c r="W368" s="504"/>
      <c r="X368" s="504"/>
      <c r="Y368" s="504"/>
      <c r="Z368" s="506"/>
      <c r="BD368" s="292"/>
      <c r="BE368" s="354" t="s">
        <v>539</v>
      </c>
    </row>
    <row r="369" spans="2:57" x14ac:dyDescent="0.15">
      <c r="B369" s="605"/>
      <c r="BD369" s="292"/>
      <c r="BE369" s="354" t="s">
        <v>539</v>
      </c>
    </row>
    <row r="370" spans="2:57" x14ac:dyDescent="0.15">
      <c r="B370" s="605"/>
      <c r="E370" s="340" t="s">
        <v>540</v>
      </c>
      <c r="G370" s="340"/>
      <c r="H370" s="340" t="s">
        <v>541</v>
      </c>
      <c r="I370" s="340"/>
      <c r="J370" s="341" t="s">
        <v>579</v>
      </c>
      <c r="K370" s="340" t="s">
        <v>607</v>
      </c>
      <c r="L370" s="340"/>
      <c r="M370" s="340"/>
      <c r="N370" s="340"/>
      <c r="O370" s="340"/>
      <c r="S370" s="325"/>
      <c r="BD370" s="292"/>
      <c r="BE370" s="354" t="s">
        <v>539</v>
      </c>
    </row>
    <row r="371" spans="2:57" x14ac:dyDescent="0.15">
      <c r="B371" s="605"/>
      <c r="E371" s="340" t="s">
        <v>634</v>
      </c>
      <c r="G371" s="340"/>
      <c r="H371" s="340"/>
      <c r="I371" s="340"/>
      <c r="J371" s="348" t="s">
        <v>635</v>
      </c>
      <c r="K371" s="340" t="s">
        <v>636</v>
      </c>
      <c r="N371" s="325"/>
      <c r="P371" s="340"/>
      <c r="S371" s="325"/>
      <c r="BD371" s="292"/>
      <c r="BE371" s="354" t="s">
        <v>539</v>
      </c>
    </row>
    <row r="372" spans="2:57" x14ac:dyDescent="0.15">
      <c r="B372" s="605"/>
      <c r="E372" s="340" t="s">
        <v>545</v>
      </c>
      <c r="G372" s="340"/>
      <c r="H372" s="340"/>
      <c r="I372" s="340"/>
      <c r="J372" s="347">
        <v>192</v>
      </c>
      <c r="K372" s="340"/>
      <c r="N372" s="325"/>
      <c r="S372" s="325"/>
      <c r="BD372" s="292"/>
      <c r="BE372" s="354" t="s">
        <v>539</v>
      </c>
    </row>
    <row r="373" spans="2:57" x14ac:dyDescent="0.15">
      <c r="B373" s="605"/>
      <c r="S373" s="325"/>
      <c r="BD373" s="292"/>
      <c r="BE373" s="354" t="s">
        <v>539</v>
      </c>
    </row>
    <row r="374" spans="2:57" x14ac:dyDescent="0.15">
      <c r="B374" s="605"/>
      <c r="E374" s="340" t="s">
        <v>547</v>
      </c>
      <c r="F374" s="340"/>
      <c r="G374" s="340"/>
      <c r="H374" s="340"/>
      <c r="I374" s="340"/>
      <c r="J374" s="340"/>
      <c r="K374" s="340"/>
      <c r="L374" s="340"/>
      <c r="M374" s="340"/>
      <c r="N374" s="340"/>
      <c r="O374" s="340"/>
      <c r="P374" s="340"/>
      <c r="R374" s="325"/>
      <c r="S374" s="325"/>
      <c r="BD374" s="292"/>
      <c r="BE374" s="354" t="s">
        <v>539</v>
      </c>
    </row>
    <row r="375" spans="2:57" x14ac:dyDescent="0.15">
      <c r="B375" s="605"/>
      <c r="E375" s="340" t="s">
        <v>548</v>
      </c>
      <c r="F375" s="340"/>
      <c r="G375" s="340"/>
      <c r="H375" s="340"/>
      <c r="I375" s="340"/>
      <c r="J375" s="340"/>
      <c r="K375" s="340"/>
      <c r="L375" s="340"/>
      <c r="M375" s="340"/>
      <c r="N375" s="340"/>
      <c r="O375" s="340"/>
      <c r="P375" s="340"/>
      <c r="Q375" s="340"/>
      <c r="R375" s="340"/>
      <c r="S375" s="325"/>
      <c r="BD375" s="292"/>
      <c r="BE375" s="354" t="s">
        <v>539</v>
      </c>
    </row>
    <row r="376" spans="2:57" x14ac:dyDescent="0.15">
      <c r="B376" s="605"/>
      <c r="E376" s="325"/>
      <c r="G376" s="325"/>
      <c r="J376" s="325"/>
      <c r="N376" s="325"/>
      <c r="S376" s="325"/>
      <c r="BD376" s="292"/>
      <c r="BE376" s="354" t="s">
        <v>539</v>
      </c>
    </row>
    <row r="377" spans="2:57" x14ac:dyDescent="0.15">
      <c r="B377" s="605"/>
      <c r="E377" s="291" t="s">
        <v>549</v>
      </c>
      <c r="N377" s="291" t="s">
        <v>550</v>
      </c>
      <c r="W377" s="291" t="s">
        <v>551</v>
      </c>
      <c r="AF377" s="291" t="s">
        <v>182</v>
      </c>
      <c r="BD377" s="292"/>
      <c r="BE377" s="354" t="s">
        <v>539</v>
      </c>
    </row>
    <row r="378" spans="2:57" x14ac:dyDescent="0.15">
      <c r="B378" s="605"/>
      <c r="E378" s="1038" t="s">
        <v>552</v>
      </c>
      <c r="F378" s="1039"/>
      <c r="G378" s="1039"/>
      <c r="H378" s="1039"/>
      <c r="I378" s="1039"/>
      <c r="J378" s="1039"/>
      <c r="K378" s="1039"/>
      <c r="L378" s="1040"/>
      <c r="N378" s="1038" t="s">
        <v>553</v>
      </c>
      <c r="O378" s="1039"/>
      <c r="P378" s="1039"/>
      <c r="Q378" s="1039"/>
      <c r="R378" s="1039"/>
      <c r="S378" s="1039"/>
      <c r="T378" s="1039"/>
      <c r="U378" s="1040"/>
      <c r="W378" s="1038" t="s">
        <v>137</v>
      </c>
      <c r="X378" s="1039"/>
      <c r="Y378" s="1039"/>
      <c r="Z378" s="1039"/>
      <c r="AA378" s="1039"/>
      <c r="AB378" s="1039"/>
      <c r="AC378" s="1039"/>
      <c r="AD378" s="1040"/>
      <c r="AF378" s="1038" t="s">
        <v>554</v>
      </c>
      <c r="AG378" s="1039"/>
      <c r="AH378" s="1039"/>
      <c r="AI378" s="1039"/>
      <c r="AJ378" s="1039"/>
      <c r="AK378" s="1039"/>
      <c r="AL378" s="1039"/>
      <c r="AM378" s="1040"/>
      <c r="BD378" s="292"/>
      <c r="BE378" s="354" t="s">
        <v>539</v>
      </c>
    </row>
    <row r="379" spans="2:57" x14ac:dyDescent="0.15">
      <c r="B379" s="605"/>
      <c r="E379" s="605"/>
      <c r="F379" s="291" t="s">
        <v>248</v>
      </c>
      <c r="K379" s="325" t="s">
        <v>556</v>
      </c>
      <c r="L379" s="292"/>
      <c r="N379" s="605"/>
      <c r="O379" s="291" t="s">
        <v>248</v>
      </c>
      <c r="T379" s="325" t="s">
        <v>556</v>
      </c>
      <c r="U379" s="292"/>
      <c r="W379" s="605"/>
      <c r="X379" s="291" t="s">
        <v>248</v>
      </c>
      <c r="AC379" s="325" t="s">
        <v>556</v>
      </c>
      <c r="AD379" s="292"/>
      <c r="AF379" s="605"/>
      <c r="AG379" s="291" t="s">
        <v>248</v>
      </c>
      <c r="AL379" s="325" t="s">
        <v>556</v>
      </c>
      <c r="AM379" s="292"/>
      <c r="BD379" s="292"/>
      <c r="BE379" s="354" t="s">
        <v>539</v>
      </c>
    </row>
    <row r="380" spans="2:57" x14ac:dyDescent="0.15">
      <c r="B380" s="605"/>
      <c r="E380" s="605"/>
      <c r="F380" s="291" t="s">
        <v>259</v>
      </c>
      <c r="K380" s="291">
        <v>1</v>
      </c>
      <c r="L380" s="292"/>
      <c r="N380" s="605"/>
      <c r="O380" s="291" t="s">
        <v>244</v>
      </c>
      <c r="T380" s="291">
        <v>1</v>
      </c>
      <c r="U380" s="292"/>
      <c r="W380" s="605"/>
      <c r="X380" s="291" t="s">
        <v>244</v>
      </c>
      <c r="AC380" s="291">
        <v>1</v>
      </c>
      <c r="AD380" s="292"/>
      <c r="AF380" s="605"/>
      <c r="AG380" s="291" t="s">
        <v>244</v>
      </c>
      <c r="AL380" s="502">
        <v>2</v>
      </c>
      <c r="AM380" s="292"/>
      <c r="BD380" s="292"/>
      <c r="BE380" s="354" t="s">
        <v>539</v>
      </c>
    </row>
    <row r="381" spans="2:57" x14ac:dyDescent="0.15">
      <c r="B381" s="605"/>
      <c r="E381" s="1041"/>
      <c r="F381" s="1042" t="s">
        <v>353</v>
      </c>
      <c r="G381" s="1042"/>
      <c r="H381" s="1042"/>
      <c r="I381" s="1042"/>
      <c r="J381" s="1042"/>
      <c r="K381" s="1042">
        <v>192</v>
      </c>
      <c r="L381" s="1043"/>
      <c r="N381" s="605"/>
      <c r="O381" s="291" t="s">
        <v>350</v>
      </c>
      <c r="T381" s="504">
        <v>178</v>
      </c>
      <c r="U381" s="292"/>
      <c r="W381" s="605"/>
      <c r="X381" s="291" t="s">
        <v>261</v>
      </c>
      <c r="AC381" s="291">
        <v>2</v>
      </c>
      <c r="AD381" s="292"/>
      <c r="AF381" s="605"/>
      <c r="AG381" s="291" t="s">
        <v>585</v>
      </c>
      <c r="AL381" s="502">
        <v>14</v>
      </c>
      <c r="AM381" s="292"/>
      <c r="BD381" s="292"/>
      <c r="BE381" s="354" t="s">
        <v>539</v>
      </c>
    </row>
    <row r="382" spans="2:57" x14ac:dyDescent="0.15">
      <c r="B382" s="605"/>
      <c r="N382" s="1041"/>
      <c r="O382" s="1042" t="s">
        <v>611</v>
      </c>
      <c r="P382" s="1042"/>
      <c r="Q382" s="1042"/>
      <c r="R382" s="1042"/>
      <c r="S382" s="1042"/>
      <c r="T382" s="1048">
        <v>168</v>
      </c>
      <c r="U382" s="1043"/>
      <c r="W382" s="1041"/>
      <c r="X382" s="1042" t="s">
        <v>560</v>
      </c>
      <c r="Y382" s="1042"/>
      <c r="Z382" s="1042"/>
      <c r="AA382" s="1042"/>
      <c r="AB382" s="1042"/>
      <c r="AC382" s="1042">
        <v>3</v>
      </c>
      <c r="AD382" s="1043"/>
      <c r="AF382" s="605"/>
      <c r="AG382" s="291" t="s">
        <v>563</v>
      </c>
      <c r="AL382" s="502">
        <v>178</v>
      </c>
      <c r="AM382" s="292"/>
      <c r="BD382" s="292"/>
      <c r="BE382" s="354" t="s">
        <v>539</v>
      </c>
    </row>
    <row r="383" spans="2:57" x14ac:dyDescent="0.15">
      <c r="B383" s="605"/>
      <c r="T383" s="343" t="s">
        <v>637</v>
      </c>
      <c r="AF383" s="1041"/>
      <c r="AG383" s="1042"/>
      <c r="AH383" s="1042"/>
      <c r="AI383" s="1042"/>
      <c r="AJ383" s="1042"/>
      <c r="AK383" s="1042"/>
      <c r="AL383" s="1049"/>
      <c r="AM383" s="1043"/>
      <c r="BD383" s="292"/>
      <c r="BE383" s="354" t="s">
        <v>539</v>
      </c>
    </row>
    <row r="384" spans="2:57" x14ac:dyDescent="0.15">
      <c r="B384" s="605"/>
      <c r="T384" s="343" t="s">
        <v>638</v>
      </c>
      <c r="BD384" s="292"/>
      <c r="BE384" s="354" t="s">
        <v>539</v>
      </c>
    </row>
    <row r="385" spans="1:57" x14ac:dyDescent="0.15">
      <c r="B385" s="605"/>
      <c r="N385" s="291" t="s">
        <v>184</v>
      </c>
      <c r="AF385" s="291" t="s">
        <v>639</v>
      </c>
      <c r="BD385" s="292"/>
      <c r="BE385" s="354" t="s">
        <v>539</v>
      </c>
    </row>
    <row r="386" spans="1:57" x14ac:dyDescent="0.15">
      <c r="B386" s="605"/>
      <c r="N386" s="1038" t="s">
        <v>101</v>
      </c>
      <c r="O386" s="1039"/>
      <c r="P386" s="1039"/>
      <c r="Q386" s="1039"/>
      <c r="R386" s="1039"/>
      <c r="S386" s="1039"/>
      <c r="T386" s="1039"/>
      <c r="U386" s="1040"/>
      <c r="AF386" s="1038" t="s">
        <v>640</v>
      </c>
      <c r="AG386" s="1039"/>
      <c r="AH386" s="1039"/>
      <c r="AI386" s="1039"/>
      <c r="AJ386" s="1039"/>
      <c r="AK386" s="1039"/>
      <c r="AL386" s="1039"/>
      <c r="AM386" s="1040"/>
      <c r="BD386" s="292"/>
      <c r="BE386" s="354" t="s">
        <v>539</v>
      </c>
    </row>
    <row r="387" spans="1:57" x14ac:dyDescent="0.15">
      <c r="B387" s="605"/>
      <c r="N387" s="605"/>
      <c r="O387" s="291" t="s">
        <v>248</v>
      </c>
      <c r="T387" s="325" t="s">
        <v>556</v>
      </c>
      <c r="U387" s="292"/>
      <c r="AF387" s="605"/>
      <c r="AG387" s="291" t="s">
        <v>248</v>
      </c>
      <c r="AL387" s="325" t="s">
        <v>556</v>
      </c>
      <c r="AM387" s="292"/>
      <c r="BD387" s="292"/>
      <c r="BE387" s="354" t="s">
        <v>539</v>
      </c>
    </row>
    <row r="388" spans="1:57" x14ac:dyDescent="0.15">
      <c r="B388" s="605"/>
      <c r="N388" s="605"/>
      <c r="O388" s="291" t="s">
        <v>244</v>
      </c>
      <c r="T388" s="291">
        <v>4</v>
      </c>
      <c r="U388" s="292"/>
      <c r="AF388" s="605"/>
      <c r="AG388" s="291" t="s">
        <v>244</v>
      </c>
      <c r="AL388" s="502">
        <v>1</v>
      </c>
      <c r="AM388" s="292"/>
      <c r="BD388" s="292"/>
      <c r="BE388" s="354" t="s">
        <v>539</v>
      </c>
    </row>
    <row r="389" spans="1:57" x14ac:dyDescent="0.15">
      <c r="B389" s="605"/>
      <c r="N389" s="605"/>
      <c r="O389" s="291" t="s">
        <v>290</v>
      </c>
      <c r="T389" s="291">
        <v>0</v>
      </c>
      <c r="U389" s="292"/>
      <c r="AF389" s="605"/>
      <c r="AG389" s="291" t="s">
        <v>641</v>
      </c>
      <c r="AL389" s="501">
        <v>168</v>
      </c>
      <c r="AM389" s="292"/>
      <c r="AN389" s="343" t="s">
        <v>642</v>
      </c>
      <c r="BD389" s="292"/>
      <c r="BE389" s="354" t="s">
        <v>539</v>
      </c>
    </row>
    <row r="390" spans="1:57" x14ac:dyDescent="0.15">
      <c r="B390" s="605"/>
      <c r="N390" s="605"/>
      <c r="O390" s="291" t="s">
        <v>408</v>
      </c>
      <c r="T390" s="291">
        <v>1</v>
      </c>
      <c r="U390" s="292"/>
      <c r="AF390" s="1041"/>
      <c r="AG390" s="1042" t="s">
        <v>643</v>
      </c>
      <c r="AH390" s="1042"/>
      <c r="AI390" s="1042"/>
      <c r="AJ390" s="1042"/>
      <c r="AK390" s="1042"/>
      <c r="AL390" s="1051">
        <v>178</v>
      </c>
      <c r="AM390" s="1043"/>
      <c r="AN390" s="343" t="s">
        <v>644</v>
      </c>
      <c r="BD390" s="292"/>
      <c r="BE390" s="354" t="s">
        <v>539</v>
      </c>
    </row>
    <row r="391" spans="1:57" x14ac:dyDescent="0.15">
      <c r="B391" s="605"/>
      <c r="N391" s="1041"/>
      <c r="O391" s="1042" t="s">
        <v>416</v>
      </c>
      <c r="P391" s="1042"/>
      <c r="Q391" s="1042"/>
      <c r="R391" s="1042"/>
      <c r="S391" s="1042"/>
      <c r="T391" s="1045">
        <v>-192</v>
      </c>
      <c r="U391" s="1043"/>
      <c r="BD391" s="292"/>
      <c r="BE391" s="354" t="s">
        <v>539</v>
      </c>
    </row>
    <row r="392" spans="1:57" x14ac:dyDescent="0.15">
      <c r="B392" s="605"/>
      <c r="S392" s="325"/>
      <c r="BD392" s="292"/>
    </row>
    <row r="393" spans="1:57" x14ac:dyDescent="0.15">
      <c r="B393" s="1041"/>
      <c r="C393" s="1042"/>
      <c r="D393" s="1042"/>
      <c r="E393" s="1042"/>
      <c r="F393" s="1042"/>
      <c r="G393" s="1042"/>
      <c r="H393" s="1042"/>
      <c r="I393" s="1042"/>
      <c r="J393" s="1042"/>
      <c r="K393" s="1042"/>
      <c r="L393" s="1042"/>
      <c r="M393" s="1042"/>
      <c r="N393" s="1042"/>
      <c r="O393" s="1042"/>
      <c r="P393" s="1042"/>
      <c r="Q393" s="1042"/>
      <c r="R393" s="1042"/>
      <c r="S393" s="1042"/>
      <c r="T393" s="1042"/>
      <c r="U393" s="1042"/>
      <c r="V393" s="1042"/>
      <c r="W393" s="1042"/>
      <c r="X393" s="1042"/>
      <c r="Y393" s="1042"/>
      <c r="Z393" s="1042"/>
      <c r="AA393" s="1042"/>
      <c r="AB393" s="1042"/>
      <c r="AC393" s="1042"/>
      <c r="AD393" s="1042"/>
      <c r="AE393" s="1042"/>
      <c r="AF393" s="1042"/>
      <c r="AG393" s="1042"/>
      <c r="AH393" s="1042"/>
      <c r="AI393" s="1042"/>
      <c r="AJ393" s="1042"/>
      <c r="AK393" s="1042"/>
      <c r="AL393" s="1042"/>
      <c r="AM393" s="1042"/>
      <c r="AN393" s="1042"/>
      <c r="AO393" s="1042"/>
      <c r="AP393" s="1042"/>
      <c r="AQ393" s="1042"/>
      <c r="AR393" s="1042"/>
      <c r="AS393" s="1042"/>
      <c r="AT393" s="1042"/>
      <c r="AU393" s="1042"/>
      <c r="AV393" s="1042"/>
      <c r="AW393" s="1042"/>
      <c r="AX393" s="1042"/>
      <c r="AY393" s="1042"/>
      <c r="AZ393" s="1042"/>
      <c r="BA393" s="1042"/>
      <c r="BB393" s="1042"/>
      <c r="BC393" s="1042"/>
      <c r="BD393" s="1043"/>
    </row>
    <row r="394" spans="1:57" ht="12" thickBot="1" x14ac:dyDescent="0.2"/>
    <row r="395" spans="1:57" ht="12.75" thickTop="1" x14ac:dyDescent="0.15">
      <c r="B395" s="50" t="s">
        <v>6</v>
      </c>
      <c r="C395" s="51"/>
      <c r="D395" s="51"/>
      <c r="E395" s="51"/>
      <c r="F395" s="51"/>
      <c r="G395" s="51"/>
      <c r="H395" s="51"/>
      <c r="I395" s="51"/>
      <c r="J395" s="51"/>
      <c r="K395" s="51"/>
      <c r="L395" s="51"/>
      <c r="M395" s="51"/>
      <c r="N395" s="52"/>
      <c r="O395" s="1247" t="s">
        <v>7</v>
      </c>
      <c r="P395" s="1248"/>
      <c r="Q395" s="1248"/>
      <c r="R395" s="1248"/>
      <c r="S395" s="1248"/>
      <c r="T395" s="1249"/>
      <c r="U395" s="1250" t="s">
        <v>8</v>
      </c>
      <c r="V395" s="1248"/>
      <c r="W395" s="1248"/>
      <c r="X395" s="1248"/>
      <c r="Y395" s="1248"/>
      <c r="Z395" s="1248"/>
      <c r="AA395" s="1249"/>
      <c r="AB395" s="1306" t="s">
        <v>536</v>
      </c>
      <c r="AC395" s="1307"/>
      <c r="AD395" s="1307"/>
      <c r="AE395" s="1307"/>
      <c r="AF395" s="1307"/>
      <c r="AG395" s="1307"/>
      <c r="AH395" s="1307"/>
      <c r="AI395" s="1307"/>
      <c r="AJ395" s="1307"/>
      <c r="AK395" s="1307"/>
      <c r="AL395" s="1307"/>
      <c r="AM395" s="1307"/>
      <c r="AN395" s="1308"/>
      <c r="AO395" s="1250" t="s">
        <v>10</v>
      </c>
      <c r="AP395" s="1249"/>
      <c r="AQ395" s="1303" t="s">
        <v>11</v>
      </c>
      <c r="AR395" s="1304"/>
      <c r="AS395" s="1305"/>
      <c r="AT395" s="1250" t="s">
        <v>12</v>
      </c>
      <c r="AU395" s="1248"/>
      <c r="AV395" s="1248"/>
      <c r="AW395" s="1249"/>
      <c r="AX395" s="1303" t="s">
        <v>13</v>
      </c>
      <c r="AY395" s="1304"/>
      <c r="AZ395" s="1305"/>
      <c r="BA395" s="1250" t="s">
        <v>14</v>
      </c>
      <c r="BB395" s="1248"/>
      <c r="BC395" s="1248"/>
      <c r="BD395" s="1249"/>
    </row>
    <row r="396" spans="1:57" ht="12.75" thickBot="1" x14ac:dyDescent="0.2">
      <c r="B396" s="1260" t="s">
        <v>15</v>
      </c>
      <c r="C396" s="1261"/>
      <c r="D396" s="1261"/>
      <c r="E396" s="1261"/>
      <c r="F396" s="1261"/>
      <c r="G396" s="1261"/>
      <c r="H396" s="1261"/>
      <c r="I396" s="1261"/>
      <c r="J396" s="1261"/>
      <c r="K396" s="1261"/>
      <c r="L396" s="1261"/>
      <c r="M396" s="1261"/>
      <c r="N396" s="1262"/>
      <c r="O396" s="1263" t="s">
        <v>16</v>
      </c>
      <c r="P396" s="1264"/>
      <c r="Q396" s="1264"/>
      <c r="R396" s="1264"/>
      <c r="S396" s="1264"/>
      <c r="T396" s="1265"/>
      <c r="U396" s="1266" t="s">
        <v>163</v>
      </c>
      <c r="V396" s="1264"/>
      <c r="W396" s="1264"/>
      <c r="X396" s="1264"/>
      <c r="Y396" s="1264"/>
      <c r="Z396" s="1264"/>
      <c r="AA396" s="1265"/>
      <c r="AB396" s="1309"/>
      <c r="AC396" s="1310"/>
      <c r="AD396" s="1310"/>
      <c r="AE396" s="1310"/>
      <c r="AF396" s="1310"/>
      <c r="AG396" s="1310"/>
      <c r="AH396" s="1310"/>
      <c r="AI396" s="1310"/>
      <c r="AJ396" s="1310"/>
      <c r="AK396" s="1310"/>
      <c r="AL396" s="1310"/>
      <c r="AM396" s="1310"/>
      <c r="AN396" s="1311"/>
      <c r="AO396" s="1267">
        <f>AO$3</f>
        <v>1.1200000000000001</v>
      </c>
      <c r="AP396" s="1268"/>
      <c r="AQ396" s="1266" t="s">
        <v>18</v>
      </c>
      <c r="AR396" s="1264"/>
      <c r="AS396" s="1265"/>
      <c r="AT396" s="1269">
        <f>AT$3</f>
        <v>45709</v>
      </c>
      <c r="AU396" s="1270"/>
      <c r="AV396" s="1270"/>
      <c r="AW396" s="1270"/>
      <c r="AX396" s="1266" t="s">
        <v>18</v>
      </c>
      <c r="AY396" s="1264"/>
      <c r="AZ396" s="1265"/>
      <c r="BA396" s="1269">
        <v>45574</v>
      </c>
      <c r="BB396" s="1270"/>
      <c r="BC396" s="1270"/>
      <c r="BD396" s="1271"/>
    </row>
    <row r="397" spans="1:57" ht="12" thickTop="1" x14ac:dyDescent="0.15"/>
    <row r="398" spans="1:57" x14ac:dyDescent="0.15">
      <c r="B398" s="1038"/>
      <c r="C398" s="1039"/>
      <c r="D398" s="1039"/>
      <c r="E398" s="1039"/>
      <c r="F398" s="1039"/>
      <c r="G398" s="1039"/>
      <c r="H398" s="1039"/>
      <c r="I398" s="1039"/>
      <c r="J398" s="1039"/>
      <c r="K398" s="1039"/>
      <c r="L398" s="1039"/>
      <c r="M398" s="1039"/>
      <c r="N398" s="1039"/>
      <c r="O398" s="1039"/>
      <c r="P398" s="1039"/>
      <c r="Q398" s="1039"/>
      <c r="R398" s="1039"/>
      <c r="S398" s="1039"/>
      <c r="T398" s="1039"/>
      <c r="U398" s="1039"/>
      <c r="V398" s="1039"/>
      <c r="W398" s="1039"/>
      <c r="X398" s="1039"/>
      <c r="Y398" s="1039"/>
      <c r="Z398" s="1039"/>
      <c r="AA398" s="1039"/>
      <c r="AB398" s="1039"/>
      <c r="AC398" s="1039"/>
      <c r="AD398" s="1039"/>
      <c r="AE398" s="1039"/>
      <c r="AF398" s="1039"/>
      <c r="AG398" s="1039"/>
      <c r="AH398" s="1039"/>
      <c r="AI398" s="1039"/>
      <c r="AJ398" s="1039"/>
      <c r="AK398" s="1039"/>
      <c r="AL398" s="1039"/>
      <c r="AM398" s="1039"/>
      <c r="AN398" s="1039"/>
      <c r="AO398" s="1039"/>
      <c r="AP398" s="1039"/>
      <c r="AQ398" s="1039"/>
      <c r="AR398" s="1039"/>
      <c r="AS398" s="1039"/>
      <c r="AT398" s="1039"/>
      <c r="AU398" s="1039"/>
      <c r="AV398" s="1039"/>
      <c r="AW398" s="1039"/>
      <c r="AX398" s="1039"/>
      <c r="AY398" s="1039"/>
      <c r="AZ398" s="1039"/>
      <c r="BA398" s="1039"/>
      <c r="BB398" s="1039"/>
      <c r="BC398" s="1039"/>
      <c r="BD398" s="1040"/>
    </row>
    <row r="399" spans="1:57" x14ac:dyDescent="0.15">
      <c r="A399" s="339"/>
      <c r="B399" s="605"/>
      <c r="C399" s="500" t="s">
        <v>645</v>
      </c>
      <c r="D399" s="355" t="s">
        <v>646</v>
      </c>
      <c r="BD399" s="292"/>
      <c r="BE399" s="354" t="s">
        <v>539</v>
      </c>
    </row>
    <row r="400" spans="1:57" x14ac:dyDescent="0.15">
      <c r="A400" s="339"/>
      <c r="B400" s="605"/>
      <c r="BD400" s="292"/>
      <c r="BE400" s="354" t="s">
        <v>539</v>
      </c>
    </row>
    <row r="401" spans="1:57" x14ac:dyDescent="0.15">
      <c r="A401" s="339"/>
      <c r="B401" s="605"/>
      <c r="D401" s="504" t="s">
        <v>647</v>
      </c>
      <c r="E401" s="506"/>
      <c r="F401" s="506"/>
      <c r="G401" s="506"/>
      <c r="H401" s="506"/>
      <c r="I401" s="506"/>
      <c r="J401" s="506"/>
      <c r="K401" s="506"/>
      <c r="L401" s="506"/>
      <c r="M401" s="506"/>
      <c r="N401" s="506"/>
      <c r="O401" s="506"/>
      <c r="P401" s="506"/>
      <c r="Q401" s="506"/>
      <c r="R401" s="506"/>
      <c r="S401" s="507"/>
      <c r="T401" s="506"/>
      <c r="U401" s="506"/>
      <c r="V401" s="506"/>
      <c r="W401" s="506"/>
      <c r="X401" s="506"/>
      <c r="Y401" s="506"/>
      <c r="Z401" s="506"/>
      <c r="AA401" s="506"/>
      <c r="BD401" s="292"/>
      <c r="BE401" s="354" t="s">
        <v>539</v>
      </c>
    </row>
    <row r="402" spans="1:57" x14ac:dyDescent="0.15">
      <c r="A402" s="339"/>
      <c r="B402" s="605"/>
      <c r="S402" s="325"/>
      <c r="BD402" s="292"/>
      <c r="BE402" s="354" t="s">
        <v>539</v>
      </c>
    </row>
    <row r="403" spans="1:57" x14ac:dyDescent="0.15">
      <c r="A403" s="339"/>
      <c r="B403" s="605"/>
      <c r="D403" s="476" t="s">
        <v>161</v>
      </c>
      <c r="E403" s="505" t="s">
        <v>623</v>
      </c>
      <c r="F403" s="355"/>
      <c r="BD403" s="292"/>
      <c r="BE403" s="354" t="s">
        <v>539</v>
      </c>
    </row>
    <row r="404" spans="1:57" x14ac:dyDescent="0.15">
      <c r="B404" s="605"/>
      <c r="BD404" s="292"/>
      <c r="BE404" s="354" t="s">
        <v>539</v>
      </c>
    </row>
    <row r="405" spans="1:57" x14ac:dyDescent="0.15">
      <c r="B405" s="605"/>
      <c r="E405" s="340" t="s">
        <v>540</v>
      </c>
      <c r="G405" s="340"/>
      <c r="H405" s="340" t="s">
        <v>541</v>
      </c>
      <c r="I405" s="340"/>
      <c r="J405" s="341" t="s">
        <v>579</v>
      </c>
      <c r="K405" s="340" t="s">
        <v>607</v>
      </c>
      <c r="L405" s="340"/>
      <c r="M405" s="340"/>
      <c r="N405" s="340"/>
      <c r="O405" s="340"/>
      <c r="S405" s="325"/>
      <c r="BD405" s="292"/>
      <c r="BE405" s="354" t="s">
        <v>539</v>
      </c>
    </row>
    <row r="406" spans="1:57" x14ac:dyDescent="0.15">
      <c r="B406" s="605"/>
      <c r="E406" s="340" t="s">
        <v>618</v>
      </c>
      <c r="G406" s="340"/>
      <c r="H406" s="340"/>
      <c r="I406" s="340"/>
      <c r="J406" s="348" t="s">
        <v>609</v>
      </c>
      <c r="K406" s="340" t="s">
        <v>648</v>
      </c>
      <c r="N406" s="325"/>
      <c r="P406" s="340"/>
      <c r="S406" s="325"/>
      <c r="BD406" s="292"/>
      <c r="BE406" s="354" t="s">
        <v>539</v>
      </c>
    </row>
    <row r="407" spans="1:57" x14ac:dyDescent="0.15">
      <c r="B407" s="605"/>
      <c r="E407" s="340" t="s">
        <v>649</v>
      </c>
      <c r="G407" s="340"/>
      <c r="H407" s="340"/>
      <c r="I407" s="340"/>
      <c r="J407" s="348">
        <v>150</v>
      </c>
      <c r="K407" s="340" t="s">
        <v>650</v>
      </c>
      <c r="N407" s="325"/>
      <c r="P407" s="340"/>
      <c r="S407" s="325"/>
      <c r="BD407" s="292"/>
      <c r="BE407" s="354" t="s">
        <v>539</v>
      </c>
    </row>
    <row r="408" spans="1:57" x14ac:dyDescent="0.15">
      <c r="B408" s="605"/>
      <c r="E408" s="340" t="s">
        <v>545</v>
      </c>
      <c r="G408" s="340"/>
      <c r="H408" s="340"/>
      <c r="I408" s="340"/>
      <c r="J408" s="347">
        <v>162</v>
      </c>
      <c r="K408" s="340"/>
      <c r="N408" s="325"/>
      <c r="S408" s="325"/>
      <c r="BD408" s="292"/>
      <c r="BE408" s="354" t="s">
        <v>539</v>
      </c>
    </row>
    <row r="409" spans="1:57" x14ac:dyDescent="0.15">
      <c r="B409" s="605"/>
      <c r="S409" s="325"/>
      <c r="BD409" s="292"/>
      <c r="BE409" s="354" t="s">
        <v>539</v>
      </c>
    </row>
    <row r="410" spans="1:57" x14ac:dyDescent="0.15">
      <c r="B410" s="605"/>
      <c r="E410" s="340" t="s">
        <v>547</v>
      </c>
      <c r="F410" s="340"/>
      <c r="G410" s="340"/>
      <c r="H410" s="340"/>
      <c r="I410" s="340"/>
      <c r="J410" s="340"/>
      <c r="K410" s="340"/>
      <c r="L410" s="340"/>
      <c r="M410" s="340"/>
      <c r="N410" s="340"/>
      <c r="O410" s="340"/>
      <c r="P410" s="340"/>
      <c r="R410" s="325"/>
      <c r="S410" s="325"/>
      <c r="BD410" s="292"/>
      <c r="BE410" s="354" t="s">
        <v>539</v>
      </c>
    </row>
    <row r="411" spans="1:57" x14ac:dyDescent="0.15">
      <c r="B411" s="605"/>
      <c r="E411" s="340" t="s">
        <v>548</v>
      </c>
      <c r="F411" s="340"/>
      <c r="G411" s="340"/>
      <c r="H411" s="340"/>
      <c r="I411" s="340"/>
      <c r="J411" s="340"/>
      <c r="K411" s="340"/>
      <c r="L411" s="340"/>
      <c r="M411" s="340"/>
      <c r="N411" s="340"/>
      <c r="O411" s="340"/>
      <c r="P411" s="340"/>
      <c r="Q411" s="340"/>
      <c r="R411" s="340"/>
      <c r="S411" s="325"/>
      <c r="BD411" s="292"/>
      <c r="BE411" s="354" t="s">
        <v>539</v>
      </c>
    </row>
    <row r="412" spans="1:57" x14ac:dyDescent="0.15">
      <c r="B412" s="605"/>
      <c r="E412" s="325"/>
      <c r="G412" s="325"/>
      <c r="J412" s="325"/>
      <c r="N412" s="325"/>
      <c r="S412" s="325"/>
      <c r="BD412" s="292"/>
      <c r="BE412" s="354" t="s">
        <v>539</v>
      </c>
    </row>
    <row r="413" spans="1:57" x14ac:dyDescent="0.15">
      <c r="B413" s="605"/>
      <c r="E413" s="291" t="s">
        <v>549</v>
      </c>
      <c r="N413" s="291" t="s">
        <v>550</v>
      </c>
      <c r="W413" s="291" t="s">
        <v>551</v>
      </c>
      <c r="AF413" s="291" t="s">
        <v>182</v>
      </c>
      <c r="BD413" s="292"/>
      <c r="BE413" s="354" t="s">
        <v>539</v>
      </c>
    </row>
    <row r="414" spans="1:57" x14ac:dyDescent="0.15">
      <c r="B414" s="605"/>
      <c r="E414" s="1038" t="s">
        <v>552</v>
      </c>
      <c r="F414" s="1039"/>
      <c r="G414" s="1039"/>
      <c r="H414" s="1039"/>
      <c r="I414" s="1039"/>
      <c r="J414" s="1039"/>
      <c r="K414" s="1039"/>
      <c r="L414" s="1040"/>
      <c r="N414" s="1038" t="s">
        <v>553</v>
      </c>
      <c r="O414" s="1039"/>
      <c r="P414" s="1039"/>
      <c r="Q414" s="1039"/>
      <c r="R414" s="1039"/>
      <c r="S414" s="1039"/>
      <c r="T414" s="1039"/>
      <c r="U414" s="1040"/>
      <c r="W414" s="1038" t="s">
        <v>137</v>
      </c>
      <c r="X414" s="1039"/>
      <c r="Y414" s="1039"/>
      <c r="Z414" s="1039"/>
      <c r="AA414" s="1039"/>
      <c r="AB414" s="1039"/>
      <c r="AC414" s="1039"/>
      <c r="AD414" s="1040"/>
      <c r="AF414" s="1038" t="s">
        <v>554</v>
      </c>
      <c r="AG414" s="1039"/>
      <c r="AH414" s="1039"/>
      <c r="AI414" s="1039"/>
      <c r="AJ414" s="1039"/>
      <c r="AK414" s="1039"/>
      <c r="AL414" s="1039"/>
      <c r="AM414" s="1040"/>
      <c r="BD414" s="292"/>
      <c r="BE414" s="354" t="s">
        <v>539</v>
      </c>
    </row>
    <row r="415" spans="1:57" x14ac:dyDescent="0.15">
      <c r="B415" s="605"/>
      <c r="E415" s="605"/>
      <c r="F415" s="291" t="s">
        <v>248</v>
      </c>
      <c r="K415" s="325" t="s">
        <v>556</v>
      </c>
      <c r="L415" s="292"/>
      <c r="N415" s="605"/>
      <c r="O415" s="291" t="s">
        <v>248</v>
      </c>
      <c r="T415" s="325" t="s">
        <v>556</v>
      </c>
      <c r="U415" s="292"/>
      <c r="W415" s="605"/>
      <c r="X415" s="291" t="s">
        <v>248</v>
      </c>
      <c r="AC415" s="325" t="s">
        <v>556</v>
      </c>
      <c r="AD415" s="292"/>
      <c r="AF415" s="605"/>
      <c r="AG415" s="291" t="s">
        <v>248</v>
      </c>
      <c r="AL415" s="325" t="s">
        <v>556</v>
      </c>
      <c r="AM415" s="292"/>
      <c r="BD415" s="292"/>
      <c r="BE415" s="354" t="s">
        <v>539</v>
      </c>
    </row>
    <row r="416" spans="1:57" x14ac:dyDescent="0.15">
      <c r="B416" s="605"/>
      <c r="E416" s="605"/>
      <c r="F416" s="291" t="s">
        <v>259</v>
      </c>
      <c r="K416" s="291">
        <v>1</v>
      </c>
      <c r="L416" s="292"/>
      <c r="N416" s="605"/>
      <c r="O416" s="291" t="s">
        <v>244</v>
      </c>
      <c r="T416" s="291">
        <v>1</v>
      </c>
      <c r="U416" s="292"/>
      <c r="W416" s="605"/>
      <c r="X416" s="291" t="s">
        <v>244</v>
      </c>
      <c r="AC416" s="291">
        <v>1</v>
      </c>
      <c r="AD416" s="292"/>
      <c r="AF416" s="605"/>
      <c r="AG416" s="291" t="s">
        <v>244</v>
      </c>
      <c r="AL416" s="502">
        <v>2</v>
      </c>
      <c r="AM416" s="292"/>
      <c r="BD416" s="292"/>
      <c r="BE416" s="354" t="s">
        <v>539</v>
      </c>
    </row>
    <row r="417" spans="1:57" x14ac:dyDescent="0.15">
      <c r="B417" s="605"/>
      <c r="E417" s="1041"/>
      <c r="F417" s="1042" t="s">
        <v>353</v>
      </c>
      <c r="G417" s="1042"/>
      <c r="H417" s="1042"/>
      <c r="I417" s="1042"/>
      <c r="J417" s="1042"/>
      <c r="K417" s="1042">
        <v>162</v>
      </c>
      <c r="L417" s="1043"/>
      <c r="N417" s="605"/>
      <c r="O417" s="291" t="s">
        <v>350</v>
      </c>
      <c r="T417" s="504">
        <v>158</v>
      </c>
      <c r="U417" s="292"/>
      <c r="W417" s="605"/>
      <c r="X417" s="291" t="s">
        <v>261</v>
      </c>
      <c r="AC417" s="291">
        <v>2</v>
      </c>
      <c r="AD417" s="292"/>
      <c r="AF417" s="605"/>
      <c r="AG417" s="291" t="s">
        <v>585</v>
      </c>
      <c r="AL417" s="502">
        <v>12</v>
      </c>
      <c r="AM417" s="292"/>
      <c r="BD417" s="292"/>
      <c r="BE417" s="354" t="s">
        <v>539</v>
      </c>
    </row>
    <row r="418" spans="1:57" x14ac:dyDescent="0.15">
      <c r="B418" s="605"/>
      <c r="N418" s="1041"/>
      <c r="O418" s="1042" t="s">
        <v>611</v>
      </c>
      <c r="P418" s="1042"/>
      <c r="Q418" s="1042"/>
      <c r="R418" s="1042"/>
      <c r="S418" s="1042"/>
      <c r="T418" s="1048">
        <v>158</v>
      </c>
      <c r="U418" s="1043"/>
      <c r="W418" s="1041"/>
      <c r="X418" s="1042" t="s">
        <v>560</v>
      </c>
      <c r="Y418" s="1042"/>
      <c r="Z418" s="1042"/>
      <c r="AA418" s="1042"/>
      <c r="AB418" s="1042"/>
      <c r="AC418" s="1042">
        <v>3</v>
      </c>
      <c r="AD418" s="1043"/>
      <c r="AF418" s="605"/>
      <c r="AG418" s="291" t="s">
        <v>563</v>
      </c>
      <c r="AL418" s="502">
        <v>150</v>
      </c>
      <c r="AM418" s="292"/>
      <c r="BD418" s="292"/>
      <c r="BE418" s="354" t="s">
        <v>539</v>
      </c>
    </row>
    <row r="419" spans="1:57" x14ac:dyDescent="0.15">
      <c r="B419" s="605"/>
      <c r="T419" s="343" t="s">
        <v>651</v>
      </c>
      <c r="AF419" s="1041"/>
      <c r="AG419" s="1042"/>
      <c r="AH419" s="1042"/>
      <c r="AI419" s="1042"/>
      <c r="AJ419" s="1042"/>
      <c r="AK419" s="1042"/>
      <c r="AL419" s="1049"/>
      <c r="AM419" s="1043"/>
      <c r="BD419" s="292"/>
      <c r="BE419" s="354" t="s">
        <v>539</v>
      </c>
    </row>
    <row r="420" spans="1:57" x14ac:dyDescent="0.15">
      <c r="B420" s="605"/>
      <c r="T420" s="343" t="s">
        <v>652</v>
      </c>
      <c r="BD420" s="292"/>
      <c r="BE420" s="354" t="s">
        <v>539</v>
      </c>
    </row>
    <row r="421" spans="1:57" x14ac:dyDescent="0.15">
      <c r="B421" s="605"/>
      <c r="N421" s="291" t="s">
        <v>184</v>
      </c>
      <c r="W421" s="291" t="s">
        <v>551</v>
      </c>
      <c r="AF421" s="291" t="s">
        <v>653</v>
      </c>
      <c r="BD421" s="292"/>
      <c r="BE421" s="354" t="s">
        <v>539</v>
      </c>
    </row>
    <row r="422" spans="1:57" x14ac:dyDescent="0.15">
      <c r="B422" s="605"/>
      <c r="N422" s="1038" t="s">
        <v>101</v>
      </c>
      <c r="O422" s="1039"/>
      <c r="P422" s="1039"/>
      <c r="Q422" s="1039"/>
      <c r="R422" s="1039"/>
      <c r="S422" s="1039"/>
      <c r="T422" s="1039"/>
      <c r="U422" s="1040"/>
      <c r="W422" s="1038" t="s">
        <v>137</v>
      </c>
      <c r="X422" s="1039"/>
      <c r="Y422" s="1039"/>
      <c r="Z422" s="1039"/>
      <c r="AA422" s="1039"/>
      <c r="AB422" s="1039"/>
      <c r="AC422" s="1039"/>
      <c r="AD422" s="1040"/>
      <c r="AF422" s="1038" t="s">
        <v>133</v>
      </c>
      <c r="AG422" s="1039"/>
      <c r="AH422" s="1039"/>
      <c r="AI422" s="1039"/>
      <c r="AJ422" s="1039"/>
      <c r="AK422" s="1039"/>
      <c r="AL422" s="1039"/>
      <c r="AM422" s="1040"/>
      <c r="BD422" s="292"/>
      <c r="BE422" s="354" t="s">
        <v>539</v>
      </c>
    </row>
    <row r="423" spans="1:57" x14ac:dyDescent="0.15">
      <c r="B423" s="605"/>
      <c r="N423" s="605"/>
      <c r="O423" s="291" t="s">
        <v>248</v>
      </c>
      <c r="T423" s="325" t="s">
        <v>556</v>
      </c>
      <c r="U423" s="292"/>
      <c r="W423" s="605"/>
      <c r="X423" s="291" t="s">
        <v>248</v>
      </c>
      <c r="AC423" s="325" t="s">
        <v>556</v>
      </c>
      <c r="AD423" s="292"/>
      <c r="AF423" s="605"/>
      <c r="AG423" s="291" t="s">
        <v>248</v>
      </c>
      <c r="AL423" s="325" t="s">
        <v>556</v>
      </c>
      <c r="AM423" s="292"/>
      <c r="BD423" s="292"/>
      <c r="BE423" s="354" t="s">
        <v>539</v>
      </c>
    </row>
    <row r="424" spans="1:57" x14ac:dyDescent="0.15">
      <c r="B424" s="605"/>
      <c r="N424" s="605"/>
      <c r="O424" s="291" t="s">
        <v>244</v>
      </c>
      <c r="T424" s="291">
        <v>5</v>
      </c>
      <c r="U424" s="292"/>
      <c r="W424" s="605"/>
      <c r="X424" s="291" t="s">
        <v>244</v>
      </c>
      <c r="AC424" s="291">
        <v>1</v>
      </c>
      <c r="AD424" s="292"/>
      <c r="AF424" s="605"/>
      <c r="AG424" s="291" t="s">
        <v>244</v>
      </c>
      <c r="AL424" s="502">
        <v>3</v>
      </c>
      <c r="AM424" s="292"/>
      <c r="BD424" s="292"/>
      <c r="BE424" s="354" t="s">
        <v>539</v>
      </c>
    </row>
    <row r="425" spans="1:57" x14ac:dyDescent="0.15">
      <c r="B425" s="605"/>
      <c r="N425" s="605"/>
      <c r="O425" s="291" t="s">
        <v>290</v>
      </c>
      <c r="T425" s="291">
        <v>0</v>
      </c>
      <c r="U425" s="292"/>
      <c r="W425" s="605"/>
      <c r="X425" s="291" t="s">
        <v>261</v>
      </c>
      <c r="AC425" s="291">
        <v>3</v>
      </c>
      <c r="AD425" s="292"/>
      <c r="AF425" s="605"/>
      <c r="AG425" s="291" t="s">
        <v>263</v>
      </c>
      <c r="AL425" s="503">
        <v>1</v>
      </c>
      <c r="AM425" s="292"/>
      <c r="AN425" s="343" t="s">
        <v>654</v>
      </c>
      <c r="BD425" s="292"/>
      <c r="BE425" s="354" t="s">
        <v>539</v>
      </c>
    </row>
    <row r="426" spans="1:57" x14ac:dyDescent="0.15">
      <c r="B426" s="605"/>
      <c r="N426" s="605"/>
      <c r="O426" s="291" t="s">
        <v>408</v>
      </c>
      <c r="T426" s="291">
        <v>1</v>
      </c>
      <c r="U426" s="292"/>
      <c r="W426" s="1041"/>
      <c r="X426" s="1042" t="s">
        <v>560</v>
      </c>
      <c r="Y426" s="1042"/>
      <c r="Z426" s="1042"/>
      <c r="AA426" s="1042"/>
      <c r="AB426" s="1042"/>
      <c r="AC426" s="1042">
        <v>1</v>
      </c>
      <c r="AD426" s="1043"/>
      <c r="AF426" s="605"/>
      <c r="AG426" s="291" t="s">
        <v>270</v>
      </c>
      <c r="AL426" s="501">
        <v>0</v>
      </c>
      <c r="AM426" s="292"/>
      <c r="AN426" s="343" t="s">
        <v>655</v>
      </c>
      <c r="BD426" s="292"/>
      <c r="BE426" s="354" t="s">
        <v>539</v>
      </c>
    </row>
    <row r="427" spans="1:57" x14ac:dyDescent="0.15">
      <c r="B427" s="605"/>
      <c r="N427" s="1041"/>
      <c r="O427" s="1042" t="s">
        <v>416</v>
      </c>
      <c r="P427" s="1042"/>
      <c r="Q427" s="1042"/>
      <c r="R427" s="1042"/>
      <c r="S427" s="1042"/>
      <c r="T427" s="1045">
        <v>-162</v>
      </c>
      <c r="U427" s="1043"/>
      <c r="AF427" s="605"/>
      <c r="AG427" s="291" t="s">
        <v>276</v>
      </c>
      <c r="AL427" s="501">
        <v>10</v>
      </c>
      <c r="AM427" s="292"/>
      <c r="AN427" s="343" t="s">
        <v>656</v>
      </c>
      <c r="BD427" s="292"/>
      <c r="BE427" s="354" t="s">
        <v>539</v>
      </c>
    </row>
    <row r="428" spans="1:57" x14ac:dyDescent="0.15">
      <c r="A428" s="339"/>
      <c r="B428" s="605"/>
      <c r="S428" s="325"/>
      <c r="AF428" s="1041"/>
      <c r="AG428" s="1042" t="s">
        <v>315</v>
      </c>
      <c r="AH428" s="1042"/>
      <c r="AI428" s="1042"/>
      <c r="AJ428" s="1042"/>
      <c r="AK428" s="1042"/>
      <c r="AL428" s="1050">
        <v>91141</v>
      </c>
      <c r="AM428" s="1043"/>
      <c r="AN428" s="343" t="s">
        <v>657</v>
      </c>
      <c r="BD428" s="292"/>
      <c r="BE428" s="354" t="s">
        <v>539</v>
      </c>
    </row>
    <row r="429" spans="1:57" x14ac:dyDescent="0.15">
      <c r="A429" s="339"/>
      <c r="B429" s="605"/>
      <c r="S429" s="325"/>
      <c r="BD429" s="292"/>
      <c r="BE429" s="354" t="s">
        <v>539</v>
      </c>
    </row>
    <row r="430" spans="1:57" x14ac:dyDescent="0.15">
      <c r="B430" s="605"/>
      <c r="S430" s="325"/>
      <c r="W430" s="291" t="s">
        <v>551</v>
      </c>
      <c r="AF430" s="291" t="s">
        <v>658</v>
      </c>
      <c r="BD430" s="292"/>
      <c r="BE430" s="354" t="s">
        <v>539</v>
      </c>
    </row>
    <row r="431" spans="1:57" x14ac:dyDescent="0.15">
      <c r="B431" s="605"/>
      <c r="S431" s="325"/>
      <c r="W431" s="1038" t="s">
        <v>137</v>
      </c>
      <c r="X431" s="1039"/>
      <c r="Y431" s="1039"/>
      <c r="Z431" s="1039"/>
      <c r="AA431" s="1039"/>
      <c r="AB431" s="1039"/>
      <c r="AC431" s="1039"/>
      <c r="AD431" s="1040"/>
      <c r="AF431" s="1038" t="s">
        <v>133</v>
      </c>
      <c r="AG431" s="1039"/>
      <c r="AH431" s="1039"/>
      <c r="AI431" s="1039"/>
      <c r="AJ431" s="1039"/>
      <c r="AK431" s="1039"/>
      <c r="AL431" s="1039"/>
      <c r="AM431" s="1040"/>
      <c r="BD431" s="292"/>
      <c r="BE431" s="354" t="s">
        <v>539</v>
      </c>
    </row>
    <row r="432" spans="1:57" x14ac:dyDescent="0.15">
      <c r="B432" s="605"/>
      <c r="S432" s="325"/>
      <c r="W432" s="605"/>
      <c r="X432" s="291" t="s">
        <v>248</v>
      </c>
      <c r="AC432" s="325" t="s">
        <v>556</v>
      </c>
      <c r="AD432" s="292"/>
      <c r="AF432" s="605"/>
      <c r="AG432" s="291" t="s">
        <v>248</v>
      </c>
      <c r="AL432" s="325" t="s">
        <v>556</v>
      </c>
      <c r="AM432" s="292"/>
      <c r="BD432" s="292"/>
      <c r="BE432" s="354" t="s">
        <v>539</v>
      </c>
    </row>
    <row r="433" spans="1:57" x14ac:dyDescent="0.15">
      <c r="B433" s="605"/>
      <c r="S433" s="325"/>
      <c r="W433" s="605"/>
      <c r="X433" s="291" t="s">
        <v>244</v>
      </c>
      <c r="AC433" s="291">
        <v>1</v>
      </c>
      <c r="AD433" s="292"/>
      <c r="AF433" s="605"/>
      <c r="AG433" s="291" t="s">
        <v>244</v>
      </c>
      <c r="AL433" s="502">
        <v>4</v>
      </c>
      <c r="AM433" s="292"/>
      <c r="BD433" s="292"/>
      <c r="BE433" s="354" t="s">
        <v>539</v>
      </c>
    </row>
    <row r="434" spans="1:57" x14ac:dyDescent="0.15">
      <c r="B434" s="605"/>
      <c r="S434" s="325"/>
      <c r="W434" s="605"/>
      <c r="X434" s="291" t="s">
        <v>261</v>
      </c>
      <c r="AC434" s="291">
        <v>4</v>
      </c>
      <c r="AD434" s="292"/>
      <c r="AF434" s="605"/>
      <c r="AG434" s="291" t="s">
        <v>263</v>
      </c>
      <c r="AL434" s="503">
        <v>6</v>
      </c>
      <c r="AM434" s="292"/>
      <c r="AN434" s="343" t="s">
        <v>628</v>
      </c>
      <c r="BD434" s="292"/>
      <c r="BE434" s="354" t="s">
        <v>539</v>
      </c>
    </row>
    <row r="435" spans="1:57" x14ac:dyDescent="0.15">
      <c r="B435" s="605"/>
      <c r="S435" s="325"/>
      <c r="W435" s="1041"/>
      <c r="X435" s="1042" t="s">
        <v>560</v>
      </c>
      <c r="Y435" s="1042"/>
      <c r="Z435" s="1042"/>
      <c r="AA435" s="1042"/>
      <c r="AB435" s="1042"/>
      <c r="AC435" s="1042">
        <v>1</v>
      </c>
      <c r="AD435" s="1043"/>
      <c r="AF435" s="605"/>
      <c r="AG435" s="291" t="s">
        <v>270</v>
      </c>
      <c r="AL435" s="501">
        <v>-8</v>
      </c>
      <c r="AM435" s="292"/>
      <c r="AN435" s="343" t="s">
        <v>659</v>
      </c>
      <c r="BD435" s="292"/>
      <c r="BE435" s="354" t="s">
        <v>539</v>
      </c>
    </row>
    <row r="436" spans="1:57" x14ac:dyDescent="0.15">
      <c r="A436" s="339"/>
      <c r="B436" s="605"/>
      <c r="S436" s="325"/>
      <c r="AF436" s="605"/>
      <c r="AG436" s="291" t="s">
        <v>276</v>
      </c>
      <c r="AL436" s="501">
        <v>150</v>
      </c>
      <c r="AM436" s="292"/>
      <c r="AN436" s="343" t="s">
        <v>630</v>
      </c>
      <c r="BD436" s="292"/>
      <c r="BE436" s="354" t="s">
        <v>539</v>
      </c>
    </row>
    <row r="437" spans="1:57" x14ac:dyDescent="0.15">
      <c r="A437" s="339"/>
      <c r="B437" s="605"/>
      <c r="S437" s="325"/>
      <c r="AF437" s="1041"/>
      <c r="AG437" s="1042" t="s">
        <v>315</v>
      </c>
      <c r="AH437" s="1042"/>
      <c r="AI437" s="1042"/>
      <c r="AJ437" s="1042"/>
      <c r="AK437" s="1042"/>
      <c r="AL437" s="1050">
        <v>91220</v>
      </c>
      <c r="AM437" s="1043"/>
      <c r="AN437" s="343" t="s">
        <v>631</v>
      </c>
      <c r="BD437" s="292"/>
      <c r="BE437" s="354" t="s">
        <v>539</v>
      </c>
    </row>
    <row r="438" spans="1:57" x14ac:dyDescent="0.15">
      <c r="A438" s="339"/>
      <c r="B438" s="605"/>
      <c r="S438" s="325"/>
      <c r="BD438" s="292"/>
    </row>
    <row r="439" spans="1:57" x14ac:dyDescent="0.15">
      <c r="A439" s="339"/>
      <c r="B439" s="605"/>
      <c r="S439" s="325"/>
      <c r="BD439" s="292"/>
    </row>
    <row r="440" spans="1:57" x14ac:dyDescent="0.15">
      <c r="A440" s="339"/>
      <c r="B440" s="605"/>
      <c r="S440" s="325"/>
      <c r="BD440" s="292"/>
    </row>
    <row r="441" spans="1:57" x14ac:dyDescent="0.15">
      <c r="A441" s="339"/>
      <c r="B441" s="605"/>
      <c r="S441" s="325"/>
      <c r="BD441" s="292"/>
    </row>
    <row r="442" spans="1:57" x14ac:dyDescent="0.15">
      <c r="A442" s="339"/>
      <c r="B442" s="605"/>
      <c r="S442" s="325"/>
      <c r="BD442" s="292"/>
    </row>
    <row r="443" spans="1:57" x14ac:dyDescent="0.15">
      <c r="A443" s="339"/>
      <c r="B443" s="605"/>
      <c r="S443" s="325"/>
      <c r="BD443" s="292"/>
    </row>
    <row r="444" spans="1:57" x14ac:dyDescent="0.15">
      <c r="A444" s="339"/>
      <c r="B444" s="605"/>
      <c r="S444" s="325"/>
      <c r="BD444" s="292"/>
    </row>
    <row r="445" spans="1:57" x14ac:dyDescent="0.15">
      <c r="A445" s="339"/>
      <c r="B445" s="605"/>
      <c r="S445" s="325"/>
      <c r="BD445" s="292"/>
    </row>
    <row r="446" spans="1:57" x14ac:dyDescent="0.15">
      <c r="A446" s="339"/>
      <c r="B446" s="605"/>
      <c r="S446" s="325"/>
      <c r="BD446" s="292"/>
    </row>
    <row r="447" spans="1:57" x14ac:dyDescent="0.15">
      <c r="A447" s="339"/>
      <c r="B447" s="605"/>
      <c r="S447" s="325"/>
      <c r="BD447" s="292"/>
    </row>
    <row r="448" spans="1:57" x14ac:dyDescent="0.15">
      <c r="A448" s="339"/>
      <c r="B448" s="605"/>
      <c r="S448" s="325"/>
      <c r="BD448" s="292"/>
    </row>
    <row r="449" spans="1:57" x14ac:dyDescent="0.15">
      <c r="A449" s="339"/>
      <c r="B449" s="605"/>
      <c r="S449" s="325"/>
      <c r="BD449" s="292"/>
    </row>
    <row r="450" spans="1:57" x14ac:dyDescent="0.15">
      <c r="A450" s="339"/>
      <c r="B450" s="605"/>
      <c r="S450" s="325"/>
      <c r="BD450" s="292"/>
    </row>
    <row r="451" spans="1:57" x14ac:dyDescent="0.15">
      <c r="A451" s="339"/>
      <c r="B451" s="605"/>
      <c r="S451" s="325"/>
      <c r="BD451" s="292"/>
    </row>
    <row r="452" spans="1:57" x14ac:dyDescent="0.15">
      <c r="B452" s="1041"/>
      <c r="C452" s="1042"/>
      <c r="D452" s="1042"/>
      <c r="E452" s="1042"/>
      <c r="F452" s="1042"/>
      <c r="G452" s="1042"/>
      <c r="H452" s="1042"/>
      <c r="I452" s="1042"/>
      <c r="J452" s="1042"/>
      <c r="K452" s="1042"/>
      <c r="L452" s="1042"/>
      <c r="M452" s="1042"/>
      <c r="N452" s="1042"/>
      <c r="O452" s="1042"/>
      <c r="P452" s="1042"/>
      <c r="Q452" s="1042"/>
      <c r="R452" s="1042"/>
      <c r="S452" s="1042"/>
      <c r="T452" s="1042"/>
      <c r="U452" s="1042"/>
      <c r="V452" s="1042"/>
      <c r="W452" s="1042"/>
      <c r="X452" s="1042"/>
      <c r="Y452" s="1042"/>
      <c r="Z452" s="1042"/>
      <c r="AA452" s="1042"/>
      <c r="AB452" s="1042"/>
      <c r="AC452" s="1042"/>
      <c r="AD452" s="1042"/>
      <c r="AE452" s="1042"/>
      <c r="AF452" s="1042"/>
      <c r="AG452" s="1042"/>
      <c r="AH452" s="1042"/>
      <c r="AI452" s="1042"/>
      <c r="AJ452" s="1042"/>
      <c r="AK452" s="1042"/>
      <c r="AL452" s="1042"/>
      <c r="AM452" s="1042"/>
      <c r="AN452" s="1042"/>
      <c r="AO452" s="1042"/>
      <c r="AP452" s="1042"/>
      <c r="AQ452" s="1042"/>
      <c r="AR452" s="1042"/>
      <c r="AS452" s="1042"/>
      <c r="AT452" s="1042"/>
      <c r="AU452" s="1042"/>
      <c r="AV452" s="1042"/>
      <c r="AW452" s="1042"/>
      <c r="AX452" s="1042"/>
      <c r="AY452" s="1042"/>
      <c r="AZ452" s="1042"/>
      <c r="BA452" s="1042"/>
      <c r="BB452" s="1042"/>
      <c r="BC452" s="1042"/>
      <c r="BD452" s="1043"/>
    </row>
    <row r="453" spans="1:57" ht="12" thickBot="1" x14ac:dyDescent="0.2"/>
    <row r="454" spans="1:57" ht="12.75" thickTop="1" x14ac:dyDescent="0.15">
      <c r="B454" s="50" t="s">
        <v>6</v>
      </c>
      <c r="C454" s="51"/>
      <c r="D454" s="51"/>
      <c r="E454" s="51"/>
      <c r="F454" s="51"/>
      <c r="G454" s="51"/>
      <c r="H454" s="51"/>
      <c r="I454" s="51"/>
      <c r="J454" s="51"/>
      <c r="K454" s="51"/>
      <c r="L454" s="51"/>
      <c r="M454" s="51"/>
      <c r="N454" s="52"/>
      <c r="O454" s="1247" t="s">
        <v>7</v>
      </c>
      <c r="P454" s="1248"/>
      <c r="Q454" s="1248"/>
      <c r="R454" s="1248"/>
      <c r="S454" s="1248"/>
      <c r="T454" s="1249"/>
      <c r="U454" s="1250" t="s">
        <v>8</v>
      </c>
      <c r="V454" s="1248"/>
      <c r="W454" s="1248"/>
      <c r="X454" s="1248"/>
      <c r="Y454" s="1248"/>
      <c r="Z454" s="1248"/>
      <c r="AA454" s="1249"/>
      <c r="AB454" s="1306" t="s">
        <v>536</v>
      </c>
      <c r="AC454" s="1307"/>
      <c r="AD454" s="1307"/>
      <c r="AE454" s="1307"/>
      <c r="AF454" s="1307"/>
      <c r="AG454" s="1307"/>
      <c r="AH454" s="1307"/>
      <c r="AI454" s="1307"/>
      <c r="AJ454" s="1307"/>
      <c r="AK454" s="1307"/>
      <c r="AL454" s="1307"/>
      <c r="AM454" s="1307"/>
      <c r="AN454" s="1308"/>
      <c r="AO454" s="1250" t="s">
        <v>10</v>
      </c>
      <c r="AP454" s="1249"/>
      <c r="AQ454" s="1303" t="s">
        <v>11</v>
      </c>
      <c r="AR454" s="1304"/>
      <c r="AS454" s="1305"/>
      <c r="AT454" s="1250" t="s">
        <v>12</v>
      </c>
      <c r="AU454" s="1248"/>
      <c r="AV454" s="1248"/>
      <c r="AW454" s="1249"/>
      <c r="AX454" s="1303" t="s">
        <v>13</v>
      </c>
      <c r="AY454" s="1304"/>
      <c r="AZ454" s="1305"/>
      <c r="BA454" s="1250" t="s">
        <v>14</v>
      </c>
      <c r="BB454" s="1248"/>
      <c r="BC454" s="1248"/>
      <c r="BD454" s="1249"/>
    </row>
    <row r="455" spans="1:57" ht="12.75" thickBot="1" x14ac:dyDescent="0.2">
      <c r="B455" s="1260" t="s">
        <v>15</v>
      </c>
      <c r="C455" s="1261"/>
      <c r="D455" s="1261"/>
      <c r="E455" s="1261"/>
      <c r="F455" s="1261"/>
      <c r="G455" s="1261"/>
      <c r="H455" s="1261"/>
      <c r="I455" s="1261"/>
      <c r="J455" s="1261"/>
      <c r="K455" s="1261"/>
      <c r="L455" s="1261"/>
      <c r="M455" s="1261"/>
      <c r="N455" s="1262"/>
      <c r="O455" s="1263" t="s">
        <v>16</v>
      </c>
      <c r="P455" s="1264"/>
      <c r="Q455" s="1264"/>
      <c r="R455" s="1264"/>
      <c r="S455" s="1264"/>
      <c r="T455" s="1265"/>
      <c r="U455" s="1266" t="s">
        <v>163</v>
      </c>
      <c r="V455" s="1264"/>
      <c r="W455" s="1264"/>
      <c r="X455" s="1264"/>
      <c r="Y455" s="1264"/>
      <c r="Z455" s="1264"/>
      <c r="AA455" s="1265"/>
      <c r="AB455" s="1309"/>
      <c r="AC455" s="1310"/>
      <c r="AD455" s="1310"/>
      <c r="AE455" s="1310"/>
      <c r="AF455" s="1310"/>
      <c r="AG455" s="1310"/>
      <c r="AH455" s="1310"/>
      <c r="AI455" s="1310"/>
      <c r="AJ455" s="1310"/>
      <c r="AK455" s="1310"/>
      <c r="AL455" s="1310"/>
      <c r="AM455" s="1310"/>
      <c r="AN455" s="1311"/>
      <c r="AO455" s="1267">
        <f>AO$3</f>
        <v>1.1200000000000001</v>
      </c>
      <c r="AP455" s="1268"/>
      <c r="AQ455" s="1266" t="s">
        <v>18</v>
      </c>
      <c r="AR455" s="1264"/>
      <c r="AS455" s="1265"/>
      <c r="AT455" s="1269">
        <f>AT$3</f>
        <v>45709</v>
      </c>
      <c r="AU455" s="1270"/>
      <c r="AV455" s="1270"/>
      <c r="AW455" s="1270"/>
      <c r="AX455" s="1266" t="s">
        <v>18</v>
      </c>
      <c r="AY455" s="1264"/>
      <c r="AZ455" s="1265"/>
      <c r="BA455" s="1269">
        <v>45574</v>
      </c>
      <c r="BB455" s="1270"/>
      <c r="BC455" s="1270"/>
      <c r="BD455" s="1271"/>
    </row>
    <row r="456" spans="1:57" ht="12" thickTop="1" x14ac:dyDescent="0.15"/>
    <row r="457" spans="1:57" x14ac:dyDescent="0.15">
      <c r="B457" s="1038"/>
      <c r="C457" s="1039"/>
      <c r="D457" s="1039"/>
      <c r="E457" s="1039"/>
      <c r="F457" s="1039"/>
      <c r="G457" s="1039"/>
      <c r="H457" s="1039"/>
      <c r="I457" s="1039"/>
      <c r="J457" s="1039"/>
      <c r="K457" s="1039"/>
      <c r="L457" s="1039"/>
      <c r="M457" s="1039"/>
      <c r="N457" s="1039"/>
      <c r="O457" s="1039"/>
      <c r="P457" s="1039"/>
      <c r="Q457" s="1039"/>
      <c r="R457" s="1039"/>
      <c r="S457" s="1039"/>
      <c r="T457" s="1039"/>
      <c r="U457" s="1039"/>
      <c r="V457" s="1039"/>
      <c r="W457" s="1039"/>
      <c r="X457" s="1039"/>
      <c r="Y457" s="1039"/>
      <c r="Z457" s="1039"/>
      <c r="AA457" s="1039"/>
      <c r="AB457" s="1039"/>
      <c r="AC457" s="1039"/>
      <c r="AD457" s="1039"/>
      <c r="AE457" s="1039"/>
      <c r="AF457" s="1039"/>
      <c r="AG457" s="1039"/>
      <c r="AH457" s="1039"/>
      <c r="AI457" s="1039"/>
      <c r="AJ457" s="1039"/>
      <c r="AK457" s="1039"/>
      <c r="AL457" s="1039"/>
      <c r="AM457" s="1039"/>
      <c r="AN457" s="1039"/>
      <c r="AO457" s="1039"/>
      <c r="AP457" s="1039"/>
      <c r="AQ457" s="1039"/>
      <c r="AR457" s="1039"/>
      <c r="AS457" s="1039"/>
      <c r="AT457" s="1039"/>
      <c r="AU457" s="1039"/>
      <c r="AV457" s="1039"/>
      <c r="AW457" s="1039"/>
      <c r="AX457" s="1039"/>
      <c r="AY457" s="1039"/>
      <c r="AZ457" s="1039"/>
      <c r="BA457" s="1039"/>
      <c r="BB457" s="1039"/>
      <c r="BC457" s="1039"/>
      <c r="BD457" s="1040"/>
    </row>
    <row r="458" spans="1:57" x14ac:dyDescent="0.15">
      <c r="A458" s="339"/>
      <c r="B458" s="605"/>
      <c r="C458" s="325"/>
      <c r="BD458" s="292"/>
    </row>
    <row r="459" spans="1:57" x14ac:dyDescent="0.15">
      <c r="A459" s="339"/>
      <c r="B459" s="605"/>
      <c r="BD459" s="292"/>
    </row>
    <row r="460" spans="1:57" x14ac:dyDescent="0.15">
      <c r="A460" s="339"/>
      <c r="B460" s="605"/>
      <c r="D460" s="476" t="s">
        <v>161</v>
      </c>
      <c r="E460" s="505" t="s">
        <v>632</v>
      </c>
      <c r="BD460" s="292"/>
      <c r="BE460" s="354" t="s">
        <v>539</v>
      </c>
    </row>
    <row r="461" spans="1:57" x14ac:dyDescent="0.15">
      <c r="B461" s="605"/>
      <c r="BD461" s="292"/>
      <c r="BE461" s="354" t="s">
        <v>539</v>
      </c>
    </row>
    <row r="462" spans="1:57" x14ac:dyDescent="0.15">
      <c r="B462" s="605"/>
      <c r="E462" s="340" t="s">
        <v>540</v>
      </c>
      <c r="G462" s="340"/>
      <c r="H462" s="340" t="s">
        <v>541</v>
      </c>
      <c r="I462" s="340"/>
      <c r="J462" s="341" t="s">
        <v>579</v>
      </c>
      <c r="K462" s="340" t="s">
        <v>607</v>
      </c>
      <c r="L462" s="340"/>
      <c r="M462" s="340"/>
      <c r="N462" s="340"/>
      <c r="O462" s="340"/>
      <c r="S462" s="325"/>
      <c r="BD462" s="292"/>
      <c r="BE462" s="354" t="s">
        <v>539</v>
      </c>
    </row>
    <row r="463" spans="1:57" x14ac:dyDescent="0.15">
      <c r="B463" s="605"/>
      <c r="E463" s="340" t="s">
        <v>618</v>
      </c>
      <c r="G463" s="340"/>
      <c r="H463" s="340"/>
      <c r="I463" s="340"/>
      <c r="J463" s="348" t="s">
        <v>609</v>
      </c>
      <c r="K463" s="340" t="s">
        <v>648</v>
      </c>
      <c r="N463" s="325"/>
      <c r="P463" s="340"/>
      <c r="S463" s="325"/>
      <c r="BD463" s="292"/>
      <c r="BE463" s="354" t="s">
        <v>539</v>
      </c>
    </row>
    <row r="464" spans="1:57" x14ac:dyDescent="0.15">
      <c r="B464" s="605"/>
      <c r="E464" s="340" t="s">
        <v>634</v>
      </c>
      <c r="G464" s="340"/>
      <c r="H464" s="340"/>
      <c r="I464" s="340"/>
      <c r="J464" s="348" t="s">
        <v>635</v>
      </c>
      <c r="K464" s="340" t="s">
        <v>636</v>
      </c>
      <c r="N464" s="325"/>
      <c r="P464" s="340"/>
      <c r="S464" s="325"/>
      <c r="BD464" s="292"/>
      <c r="BE464" s="354" t="s">
        <v>539</v>
      </c>
    </row>
    <row r="465" spans="2:57" x14ac:dyDescent="0.15">
      <c r="B465" s="605"/>
      <c r="E465" s="340" t="s">
        <v>545</v>
      </c>
      <c r="G465" s="340"/>
      <c r="H465" s="340"/>
      <c r="I465" s="340"/>
      <c r="J465" s="347">
        <v>192</v>
      </c>
      <c r="K465" s="340"/>
      <c r="N465" s="325"/>
      <c r="S465" s="325"/>
      <c r="BD465" s="292"/>
      <c r="BE465" s="354" t="s">
        <v>539</v>
      </c>
    </row>
    <row r="466" spans="2:57" x14ac:dyDescent="0.15">
      <c r="B466" s="605"/>
      <c r="S466" s="325"/>
      <c r="BD466" s="292"/>
      <c r="BE466" s="354" t="s">
        <v>539</v>
      </c>
    </row>
    <row r="467" spans="2:57" x14ac:dyDescent="0.15">
      <c r="B467" s="605"/>
      <c r="E467" s="340" t="s">
        <v>547</v>
      </c>
      <c r="F467" s="340"/>
      <c r="G467" s="340"/>
      <c r="H467" s="340"/>
      <c r="I467" s="340"/>
      <c r="J467" s="340"/>
      <c r="K467" s="340"/>
      <c r="L467" s="340"/>
      <c r="M467" s="340"/>
      <c r="N467" s="340"/>
      <c r="O467" s="340"/>
      <c r="P467" s="340"/>
      <c r="R467" s="325"/>
      <c r="S467" s="325"/>
      <c r="BD467" s="292"/>
      <c r="BE467" s="354" t="s">
        <v>539</v>
      </c>
    </row>
    <row r="468" spans="2:57" x14ac:dyDescent="0.15">
      <c r="B468" s="605"/>
      <c r="E468" s="340" t="s">
        <v>548</v>
      </c>
      <c r="F468" s="340"/>
      <c r="G468" s="340"/>
      <c r="H468" s="340"/>
      <c r="I468" s="340"/>
      <c r="J468" s="340"/>
      <c r="K468" s="340"/>
      <c r="L468" s="340"/>
      <c r="M468" s="340"/>
      <c r="N468" s="340"/>
      <c r="O468" s="340"/>
      <c r="P468" s="340"/>
      <c r="Q468" s="340"/>
      <c r="R468" s="340"/>
      <c r="S468" s="325"/>
      <c r="BD468" s="292"/>
      <c r="BE468" s="354" t="s">
        <v>539</v>
      </c>
    </row>
    <row r="469" spans="2:57" x14ac:dyDescent="0.15">
      <c r="B469" s="605"/>
      <c r="E469" s="325"/>
      <c r="G469" s="325"/>
      <c r="J469" s="325"/>
      <c r="N469" s="325"/>
      <c r="S469" s="325"/>
      <c r="BD469" s="292"/>
      <c r="BE469" s="354" t="s">
        <v>539</v>
      </c>
    </row>
    <row r="470" spans="2:57" x14ac:dyDescent="0.15">
      <c r="B470" s="605"/>
      <c r="E470" s="291" t="s">
        <v>549</v>
      </c>
      <c r="N470" s="291" t="s">
        <v>550</v>
      </c>
      <c r="W470" s="291" t="s">
        <v>551</v>
      </c>
      <c r="AF470" s="291" t="s">
        <v>182</v>
      </c>
      <c r="BD470" s="292"/>
      <c r="BE470" s="354" t="s">
        <v>539</v>
      </c>
    </row>
    <row r="471" spans="2:57" x14ac:dyDescent="0.15">
      <c r="B471" s="605"/>
      <c r="E471" s="1038" t="s">
        <v>552</v>
      </c>
      <c r="F471" s="1039"/>
      <c r="G471" s="1039"/>
      <c r="H471" s="1039"/>
      <c r="I471" s="1039"/>
      <c r="J471" s="1039"/>
      <c r="K471" s="1039"/>
      <c r="L471" s="1040"/>
      <c r="N471" s="1038" t="s">
        <v>553</v>
      </c>
      <c r="O471" s="1039"/>
      <c r="P471" s="1039"/>
      <c r="Q471" s="1039"/>
      <c r="R471" s="1039"/>
      <c r="S471" s="1039"/>
      <c r="T471" s="1039"/>
      <c r="U471" s="1040"/>
      <c r="W471" s="1038" t="s">
        <v>137</v>
      </c>
      <c r="X471" s="1039"/>
      <c r="Y471" s="1039"/>
      <c r="Z471" s="1039"/>
      <c r="AA471" s="1039"/>
      <c r="AB471" s="1039"/>
      <c r="AC471" s="1039"/>
      <c r="AD471" s="1040"/>
      <c r="AF471" s="1038" t="s">
        <v>554</v>
      </c>
      <c r="AG471" s="1039"/>
      <c r="AH471" s="1039"/>
      <c r="AI471" s="1039"/>
      <c r="AJ471" s="1039"/>
      <c r="AK471" s="1039"/>
      <c r="AL471" s="1039"/>
      <c r="AM471" s="1040"/>
      <c r="BD471" s="292"/>
      <c r="BE471" s="354" t="s">
        <v>539</v>
      </c>
    </row>
    <row r="472" spans="2:57" x14ac:dyDescent="0.15">
      <c r="B472" s="605"/>
      <c r="E472" s="605"/>
      <c r="F472" s="291" t="s">
        <v>248</v>
      </c>
      <c r="K472" s="325" t="s">
        <v>556</v>
      </c>
      <c r="L472" s="292"/>
      <c r="N472" s="605"/>
      <c r="O472" s="291" t="s">
        <v>248</v>
      </c>
      <c r="T472" s="325" t="s">
        <v>556</v>
      </c>
      <c r="U472" s="292"/>
      <c r="W472" s="605"/>
      <c r="X472" s="291" t="s">
        <v>248</v>
      </c>
      <c r="AC472" s="325" t="s">
        <v>556</v>
      </c>
      <c r="AD472" s="292"/>
      <c r="AF472" s="605"/>
      <c r="AG472" s="291" t="s">
        <v>248</v>
      </c>
      <c r="AL472" s="325" t="s">
        <v>556</v>
      </c>
      <c r="AM472" s="292"/>
      <c r="BD472" s="292"/>
      <c r="BE472" s="354" t="s">
        <v>539</v>
      </c>
    </row>
    <row r="473" spans="2:57" x14ac:dyDescent="0.15">
      <c r="B473" s="605"/>
      <c r="E473" s="605"/>
      <c r="F473" s="291" t="s">
        <v>259</v>
      </c>
      <c r="K473" s="291">
        <v>1</v>
      </c>
      <c r="L473" s="292"/>
      <c r="N473" s="605"/>
      <c r="O473" s="291" t="s">
        <v>244</v>
      </c>
      <c r="T473" s="291">
        <v>1</v>
      </c>
      <c r="U473" s="292"/>
      <c r="W473" s="605"/>
      <c r="X473" s="291" t="s">
        <v>244</v>
      </c>
      <c r="AC473" s="291">
        <v>1</v>
      </c>
      <c r="AD473" s="292"/>
      <c r="AF473" s="605"/>
      <c r="AG473" s="291" t="s">
        <v>244</v>
      </c>
      <c r="AL473" s="502">
        <v>2</v>
      </c>
      <c r="AM473" s="292"/>
      <c r="BD473" s="292"/>
      <c r="BE473" s="354" t="s">
        <v>539</v>
      </c>
    </row>
    <row r="474" spans="2:57" x14ac:dyDescent="0.15">
      <c r="B474" s="605"/>
      <c r="E474" s="1041"/>
      <c r="F474" s="1042" t="s">
        <v>353</v>
      </c>
      <c r="G474" s="1042"/>
      <c r="H474" s="1042"/>
      <c r="I474" s="1042"/>
      <c r="J474" s="1042"/>
      <c r="K474" s="1042">
        <v>192</v>
      </c>
      <c r="L474" s="1043"/>
      <c r="N474" s="605"/>
      <c r="O474" s="291" t="s">
        <v>350</v>
      </c>
      <c r="T474" s="504">
        <v>178</v>
      </c>
      <c r="U474" s="292"/>
      <c r="W474" s="605"/>
      <c r="X474" s="291" t="s">
        <v>261</v>
      </c>
      <c r="AC474" s="291">
        <v>2</v>
      </c>
      <c r="AD474" s="292"/>
      <c r="AF474" s="605"/>
      <c r="AG474" s="291" t="s">
        <v>585</v>
      </c>
      <c r="AL474" s="502">
        <v>14</v>
      </c>
      <c r="AM474" s="292"/>
      <c r="BD474" s="292"/>
      <c r="BE474" s="354" t="s">
        <v>539</v>
      </c>
    </row>
    <row r="475" spans="2:57" x14ac:dyDescent="0.15">
      <c r="B475" s="605"/>
      <c r="N475" s="1041"/>
      <c r="O475" s="1042" t="s">
        <v>611</v>
      </c>
      <c r="P475" s="1042"/>
      <c r="Q475" s="1042"/>
      <c r="R475" s="1042"/>
      <c r="S475" s="1042"/>
      <c r="T475" s="1048">
        <v>158</v>
      </c>
      <c r="U475" s="1043"/>
      <c r="W475" s="1041"/>
      <c r="X475" s="1042" t="s">
        <v>560</v>
      </c>
      <c r="Y475" s="1042"/>
      <c r="Z475" s="1042"/>
      <c r="AA475" s="1042"/>
      <c r="AB475" s="1042"/>
      <c r="AC475" s="1042">
        <v>3</v>
      </c>
      <c r="AD475" s="1043"/>
      <c r="AF475" s="605"/>
      <c r="AG475" s="291" t="s">
        <v>563</v>
      </c>
      <c r="AL475" s="502">
        <v>178</v>
      </c>
      <c r="AM475" s="292"/>
      <c r="BD475" s="292"/>
      <c r="BE475" s="354" t="s">
        <v>539</v>
      </c>
    </row>
    <row r="476" spans="2:57" x14ac:dyDescent="0.15">
      <c r="B476" s="605"/>
      <c r="T476" s="343" t="s">
        <v>637</v>
      </c>
      <c r="AF476" s="1041"/>
      <c r="AG476" s="1042"/>
      <c r="AH476" s="1042"/>
      <c r="AI476" s="1042"/>
      <c r="AJ476" s="1042"/>
      <c r="AK476" s="1042"/>
      <c r="AL476" s="1049"/>
      <c r="AM476" s="1043"/>
      <c r="BD476" s="292"/>
      <c r="BE476" s="354" t="s">
        <v>539</v>
      </c>
    </row>
    <row r="477" spans="2:57" x14ac:dyDescent="0.15">
      <c r="B477" s="605"/>
      <c r="T477" s="343" t="s">
        <v>660</v>
      </c>
      <c r="BD477" s="292"/>
      <c r="BE477" s="354" t="s">
        <v>539</v>
      </c>
    </row>
    <row r="478" spans="2:57" x14ac:dyDescent="0.15">
      <c r="B478" s="605"/>
      <c r="N478" s="291" t="s">
        <v>184</v>
      </c>
      <c r="W478" s="291" t="s">
        <v>551</v>
      </c>
      <c r="AF478" s="291" t="s">
        <v>653</v>
      </c>
      <c r="BD478" s="292"/>
      <c r="BE478" s="354" t="s">
        <v>539</v>
      </c>
    </row>
    <row r="479" spans="2:57" x14ac:dyDescent="0.15">
      <c r="B479" s="605"/>
      <c r="N479" s="1038" t="s">
        <v>101</v>
      </c>
      <c r="O479" s="1039"/>
      <c r="P479" s="1039"/>
      <c r="Q479" s="1039"/>
      <c r="R479" s="1039"/>
      <c r="S479" s="1039"/>
      <c r="T479" s="1039"/>
      <c r="U479" s="1040"/>
      <c r="W479" s="1038" t="s">
        <v>137</v>
      </c>
      <c r="X479" s="1039"/>
      <c r="Y479" s="1039"/>
      <c r="Z479" s="1039"/>
      <c r="AA479" s="1039"/>
      <c r="AB479" s="1039"/>
      <c r="AC479" s="1039"/>
      <c r="AD479" s="1040"/>
      <c r="AF479" s="1038" t="s">
        <v>133</v>
      </c>
      <c r="AG479" s="1039"/>
      <c r="AH479" s="1039"/>
      <c r="AI479" s="1039"/>
      <c r="AJ479" s="1039"/>
      <c r="AK479" s="1039"/>
      <c r="AL479" s="1039"/>
      <c r="AM479" s="1040"/>
      <c r="BD479" s="292"/>
      <c r="BE479" s="354" t="s">
        <v>539</v>
      </c>
    </row>
    <row r="480" spans="2:57" x14ac:dyDescent="0.15">
      <c r="B480" s="605"/>
      <c r="N480" s="605"/>
      <c r="O480" s="291" t="s">
        <v>248</v>
      </c>
      <c r="T480" s="325" t="s">
        <v>556</v>
      </c>
      <c r="U480" s="292"/>
      <c r="W480" s="605"/>
      <c r="X480" s="291" t="s">
        <v>248</v>
      </c>
      <c r="AC480" s="325" t="s">
        <v>556</v>
      </c>
      <c r="AD480" s="292"/>
      <c r="AF480" s="605"/>
      <c r="AG480" s="291" t="s">
        <v>248</v>
      </c>
      <c r="AL480" s="325" t="s">
        <v>556</v>
      </c>
      <c r="AM480" s="292"/>
      <c r="BD480" s="292"/>
      <c r="BE480" s="354" t="s">
        <v>539</v>
      </c>
    </row>
    <row r="481" spans="1:57" x14ac:dyDescent="0.15">
      <c r="B481" s="605"/>
      <c r="N481" s="605"/>
      <c r="O481" s="291" t="s">
        <v>244</v>
      </c>
      <c r="T481" s="291">
        <v>4</v>
      </c>
      <c r="U481" s="292"/>
      <c r="W481" s="605"/>
      <c r="X481" s="291" t="s">
        <v>244</v>
      </c>
      <c r="AC481" s="291">
        <v>1</v>
      </c>
      <c r="AD481" s="292"/>
      <c r="AF481" s="605"/>
      <c r="AG481" s="291" t="s">
        <v>244</v>
      </c>
      <c r="AL481" s="502">
        <v>3</v>
      </c>
      <c r="AM481" s="292"/>
      <c r="BD481" s="292"/>
      <c r="BE481" s="354" t="s">
        <v>539</v>
      </c>
    </row>
    <row r="482" spans="1:57" x14ac:dyDescent="0.15">
      <c r="B482" s="605"/>
      <c r="N482" s="605"/>
      <c r="O482" s="291" t="s">
        <v>290</v>
      </c>
      <c r="T482" s="291">
        <v>0</v>
      </c>
      <c r="U482" s="292"/>
      <c r="W482" s="605"/>
      <c r="X482" s="291" t="s">
        <v>261</v>
      </c>
      <c r="AC482" s="291">
        <v>3</v>
      </c>
      <c r="AD482" s="292"/>
      <c r="AF482" s="605"/>
      <c r="AG482" s="291" t="s">
        <v>263</v>
      </c>
      <c r="AL482" s="503">
        <v>1</v>
      </c>
      <c r="AM482" s="292"/>
      <c r="AN482" s="343" t="s">
        <v>654</v>
      </c>
      <c r="BD482" s="292"/>
      <c r="BE482" s="354" t="s">
        <v>539</v>
      </c>
    </row>
    <row r="483" spans="1:57" x14ac:dyDescent="0.15">
      <c r="B483" s="605"/>
      <c r="N483" s="605"/>
      <c r="O483" s="291" t="s">
        <v>408</v>
      </c>
      <c r="T483" s="291">
        <v>1</v>
      </c>
      <c r="U483" s="292"/>
      <c r="W483" s="1041"/>
      <c r="X483" s="1042" t="s">
        <v>560</v>
      </c>
      <c r="Y483" s="1042"/>
      <c r="Z483" s="1042"/>
      <c r="AA483" s="1042"/>
      <c r="AB483" s="1042"/>
      <c r="AC483" s="1042">
        <v>1</v>
      </c>
      <c r="AD483" s="1043"/>
      <c r="AF483" s="605"/>
      <c r="AG483" s="291" t="s">
        <v>270</v>
      </c>
      <c r="AL483" s="501">
        <v>0</v>
      </c>
      <c r="AM483" s="292"/>
      <c r="AN483" s="343" t="s">
        <v>655</v>
      </c>
      <c r="BD483" s="292"/>
      <c r="BE483" s="354" t="s">
        <v>539</v>
      </c>
    </row>
    <row r="484" spans="1:57" x14ac:dyDescent="0.15">
      <c r="B484" s="605"/>
      <c r="N484" s="1041"/>
      <c r="O484" s="1042" t="s">
        <v>416</v>
      </c>
      <c r="P484" s="1042"/>
      <c r="Q484" s="1042"/>
      <c r="R484" s="1042"/>
      <c r="S484" s="1042"/>
      <c r="T484" s="1045">
        <v>-192</v>
      </c>
      <c r="U484" s="1043"/>
      <c r="AF484" s="605"/>
      <c r="AG484" s="291" t="s">
        <v>276</v>
      </c>
      <c r="AL484" s="501">
        <v>10</v>
      </c>
      <c r="AM484" s="292"/>
      <c r="AN484" s="343" t="s">
        <v>656</v>
      </c>
      <c r="BD484" s="292"/>
      <c r="BE484" s="354" t="s">
        <v>539</v>
      </c>
    </row>
    <row r="485" spans="1:57" x14ac:dyDescent="0.15">
      <c r="A485" s="339"/>
      <c r="B485" s="605"/>
      <c r="S485" s="325"/>
      <c r="AF485" s="1041"/>
      <c r="AG485" s="1042" t="s">
        <v>315</v>
      </c>
      <c r="AH485" s="1042"/>
      <c r="AI485" s="1042"/>
      <c r="AJ485" s="1042"/>
      <c r="AK485" s="1042"/>
      <c r="AL485" s="1050">
        <v>91141</v>
      </c>
      <c r="AM485" s="1043"/>
      <c r="AN485" s="343" t="s">
        <v>657</v>
      </c>
      <c r="BD485" s="292"/>
      <c r="BE485" s="354" t="s">
        <v>539</v>
      </c>
    </row>
    <row r="486" spans="1:57" x14ac:dyDescent="0.15">
      <c r="A486" s="339"/>
      <c r="B486" s="605"/>
      <c r="S486" s="325"/>
      <c r="BD486" s="292"/>
      <c r="BE486" s="354" t="s">
        <v>539</v>
      </c>
    </row>
    <row r="487" spans="1:57" x14ac:dyDescent="0.15">
      <c r="B487" s="605"/>
      <c r="S487" s="325"/>
      <c r="AF487" s="291" t="s">
        <v>639</v>
      </c>
      <c r="BD487" s="292"/>
      <c r="BE487" s="354" t="s">
        <v>539</v>
      </c>
    </row>
    <row r="488" spans="1:57" x14ac:dyDescent="0.15">
      <c r="B488" s="605"/>
      <c r="S488" s="325"/>
      <c r="AF488" s="1038" t="s">
        <v>640</v>
      </c>
      <c r="AG488" s="1039"/>
      <c r="AH488" s="1039"/>
      <c r="AI488" s="1039"/>
      <c r="AJ488" s="1039"/>
      <c r="AK488" s="1039"/>
      <c r="AL488" s="1039"/>
      <c r="AM488" s="1040"/>
      <c r="BD488" s="292"/>
      <c r="BE488" s="354" t="s">
        <v>539</v>
      </c>
    </row>
    <row r="489" spans="1:57" x14ac:dyDescent="0.15">
      <c r="B489" s="605"/>
      <c r="S489" s="325"/>
      <c r="AF489" s="605"/>
      <c r="AG489" s="291" t="s">
        <v>248</v>
      </c>
      <c r="AL489" s="325" t="s">
        <v>556</v>
      </c>
      <c r="AM489" s="292"/>
      <c r="BD489" s="292"/>
      <c r="BE489" s="354" t="s">
        <v>539</v>
      </c>
    </row>
    <row r="490" spans="1:57" x14ac:dyDescent="0.15">
      <c r="B490" s="605"/>
      <c r="S490" s="325"/>
      <c r="AF490" s="605"/>
      <c r="AG490" s="291" t="s">
        <v>244</v>
      </c>
      <c r="AL490" s="502">
        <v>1</v>
      </c>
      <c r="AM490" s="292"/>
      <c r="BD490" s="292"/>
      <c r="BE490" s="354" t="s">
        <v>539</v>
      </c>
    </row>
    <row r="491" spans="1:57" x14ac:dyDescent="0.15">
      <c r="B491" s="605"/>
      <c r="S491" s="325"/>
      <c r="AF491" s="605"/>
      <c r="AG491" s="291" t="s">
        <v>641</v>
      </c>
      <c r="AL491" s="501">
        <v>168</v>
      </c>
      <c r="AM491" s="292"/>
      <c r="AN491" s="343" t="s">
        <v>661</v>
      </c>
      <c r="BD491" s="292"/>
      <c r="BE491" s="354" t="s">
        <v>539</v>
      </c>
    </row>
    <row r="492" spans="1:57" x14ac:dyDescent="0.15">
      <c r="B492" s="605"/>
      <c r="S492" s="325"/>
      <c r="AF492" s="1041"/>
      <c r="AG492" s="1042" t="s">
        <v>643</v>
      </c>
      <c r="AH492" s="1042"/>
      <c r="AI492" s="1042"/>
      <c r="AJ492" s="1042"/>
      <c r="AK492" s="1042"/>
      <c r="AL492" s="1051">
        <v>178</v>
      </c>
      <c r="AM492" s="1043"/>
      <c r="AN492" s="343" t="s">
        <v>644</v>
      </c>
      <c r="BD492" s="292"/>
      <c r="BE492" s="354" t="s">
        <v>539</v>
      </c>
    </row>
    <row r="493" spans="1:57" x14ac:dyDescent="0.15">
      <c r="A493" s="339"/>
      <c r="B493" s="605"/>
      <c r="S493" s="325"/>
      <c r="BD493" s="292"/>
    </row>
    <row r="494" spans="1:57" x14ac:dyDescent="0.15">
      <c r="A494" s="339"/>
      <c r="B494" s="605"/>
      <c r="S494" s="325"/>
      <c r="BD494" s="292"/>
    </row>
    <row r="495" spans="1:57" x14ac:dyDescent="0.15">
      <c r="A495" s="339"/>
      <c r="B495" s="605"/>
      <c r="S495" s="325"/>
      <c r="BD495" s="292"/>
    </row>
    <row r="496" spans="1:57" x14ac:dyDescent="0.15">
      <c r="A496" s="339"/>
      <c r="B496" s="605"/>
      <c r="S496" s="325"/>
      <c r="BD496" s="292"/>
    </row>
    <row r="497" spans="1:56" x14ac:dyDescent="0.15">
      <c r="A497" s="339"/>
      <c r="B497" s="605"/>
      <c r="S497" s="325"/>
      <c r="BD497" s="292"/>
    </row>
    <row r="498" spans="1:56" x14ac:dyDescent="0.15">
      <c r="A498" s="339"/>
      <c r="B498" s="605"/>
      <c r="S498" s="325"/>
      <c r="BD498" s="292"/>
    </row>
    <row r="499" spans="1:56" x14ac:dyDescent="0.15">
      <c r="A499" s="339"/>
      <c r="B499" s="605"/>
      <c r="S499" s="325"/>
      <c r="BD499" s="292"/>
    </row>
    <row r="500" spans="1:56" x14ac:dyDescent="0.15">
      <c r="A500" s="339"/>
      <c r="B500" s="605"/>
      <c r="S500" s="325"/>
      <c r="BD500" s="292"/>
    </row>
    <row r="501" spans="1:56" x14ac:dyDescent="0.15">
      <c r="A501" s="339"/>
      <c r="B501" s="605"/>
      <c r="S501" s="325"/>
      <c r="BD501" s="292"/>
    </row>
    <row r="502" spans="1:56" x14ac:dyDescent="0.15">
      <c r="A502" s="339"/>
      <c r="B502" s="605"/>
      <c r="S502" s="325"/>
      <c r="BD502" s="292"/>
    </row>
    <row r="503" spans="1:56" x14ac:dyDescent="0.15">
      <c r="A503" s="339"/>
      <c r="B503" s="605"/>
      <c r="S503" s="325"/>
      <c r="BD503" s="292"/>
    </row>
    <row r="504" spans="1:56" x14ac:dyDescent="0.15">
      <c r="A504" s="339"/>
      <c r="B504" s="605"/>
      <c r="S504" s="325"/>
      <c r="BD504" s="292"/>
    </row>
    <row r="505" spans="1:56" x14ac:dyDescent="0.15">
      <c r="A505" s="339"/>
      <c r="B505" s="605"/>
      <c r="S505" s="325"/>
      <c r="BD505" s="292"/>
    </row>
    <row r="506" spans="1:56" x14ac:dyDescent="0.15">
      <c r="A506" s="339"/>
      <c r="B506" s="605"/>
      <c r="S506" s="325"/>
      <c r="BD506" s="292"/>
    </row>
    <row r="507" spans="1:56" x14ac:dyDescent="0.15">
      <c r="A507" s="339"/>
      <c r="B507" s="605"/>
      <c r="S507" s="325"/>
      <c r="BD507" s="292"/>
    </row>
    <row r="508" spans="1:56" x14ac:dyDescent="0.15">
      <c r="A508" s="339"/>
      <c r="B508" s="605"/>
      <c r="S508" s="325"/>
      <c r="BD508" s="292"/>
    </row>
    <row r="509" spans="1:56" x14ac:dyDescent="0.15">
      <c r="A509" s="339"/>
      <c r="B509" s="605"/>
      <c r="S509" s="325"/>
      <c r="BD509" s="292"/>
    </row>
    <row r="510" spans="1:56" x14ac:dyDescent="0.15">
      <c r="A510" s="339"/>
      <c r="B510" s="605"/>
      <c r="S510" s="325"/>
      <c r="BD510" s="292"/>
    </row>
    <row r="511" spans="1:56" x14ac:dyDescent="0.15">
      <c r="B511" s="1041"/>
      <c r="C511" s="1042"/>
      <c r="D511" s="1042"/>
      <c r="E511" s="1042"/>
      <c r="F511" s="1042"/>
      <c r="G511" s="1042"/>
      <c r="H511" s="1042"/>
      <c r="I511" s="1042"/>
      <c r="J511" s="1042"/>
      <c r="K511" s="1042"/>
      <c r="L511" s="1042"/>
      <c r="M511" s="1042"/>
      <c r="N511" s="1042"/>
      <c r="O511" s="1042"/>
      <c r="P511" s="1042"/>
      <c r="Q511" s="1042"/>
      <c r="R511" s="1042"/>
      <c r="S511" s="1042"/>
      <c r="T511" s="1042"/>
      <c r="U511" s="1042"/>
      <c r="V511" s="1042"/>
      <c r="W511" s="1042"/>
      <c r="X511" s="1042"/>
      <c r="Y511" s="1042"/>
      <c r="Z511" s="1042"/>
      <c r="AA511" s="1042"/>
      <c r="AB511" s="1042"/>
      <c r="AC511" s="1042"/>
      <c r="AD511" s="1042"/>
      <c r="AE511" s="1042"/>
      <c r="AF511" s="1042"/>
      <c r="AG511" s="1042"/>
      <c r="AH511" s="1042"/>
      <c r="AI511" s="1042"/>
      <c r="AJ511" s="1042"/>
      <c r="AK511" s="1042"/>
      <c r="AL511" s="1042"/>
      <c r="AM511" s="1042"/>
      <c r="AN511" s="1042"/>
      <c r="AO511" s="1042"/>
      <c r="AP511" s="1042"/>
      <c r="AQ511" s="1042"/>
      <c r="AR511" s="1042"/>
      <c r="AS511" s="1042"/>
      <c r="AT511" s="1042"/>
      <c r="AU511" s="1042"/>
      <c r="AV511" s="1042"/>
      <c r="AW511" s="1042"/>
      <c r="AX511" s="1042"/>
      <c r="AY511" s="1042"/>
      <c r="AZ511" s="1042"/>
      <c r="BA511" s="1042"/>
      <c r="BB511" s="1042"/>
      <c r="BC511" s="1042"/>
      <c r="BD511" s="1043"/>
    </row>
    <row r="512" spans="1:56" ht="12" thickBot="1" x14ac:dyDescent="0.2"/>
    <row r="513" spans="2:57" ht="12.75" thickTop="1" x14ac:dyDescent="0.15">
      <c r="B513" s="50" t="s">
        <v>6</v>
      </c>
      <c r="C513" s="51"/>
      <c r="D513" s="51"/>
      <c r="E513" s="51"/>
      <c r="F513" s="51"/>
      <c r="G513" s="51"/>
      <c r="H513" s="51"/>
      <c r="I513" s="51"/>
      <c r="J513" s="51"/>
      <c r="K513" s="51"/>
      <c r="L513" s="51"/>
      <c r="M513" s="51"/>
      <c r="N513" s="52"/>
      <c r="O513" s="1247" t="s">
        <v>7</v>
      </c>
      <c r="P513" s="1248"/>
      <c r="Q513" s="1248"/>
      <c r="R513" s="1248"/>
      <c r="S513" s="1248"/>
      <c r="T513" s="1249"/>
      <c r="U513" s="1250" t="s">
        <v>8</v>
      </c>
      <c r="V513" s="1248"/>
      <c r="W513" s="1248"/>
      <c r="X513" s="1248"/>
      <c r="Y513" s="1248"/>
      <c r="Z513" s="1248"/>
      <c r="AA513" s="1249"/>
      <c r="AB513" s="1306" t="s">
        <v>536</v>
      </c>
      <c r="AC513" s="1307"/>
      <c r="AD513" s="1307"/>
      <c r="AE513" s="1307"/>
      <c r="AF513" s="1307"/>
      <c r="AG513" s="1307"/>
      <c r="AH513" s="1307"/>
      <c r="AI513" s="1307"/>
      <c r="AJ513" s="1307"/>
      <c r="AK513" s="1307"/>
      <c r="AL513" s="1307"/>
      <c r="AM513" s="1307"/>
      <c r="AN513" s="1308"/>
      <c r="AO513" s="1250" t="s">
        <v>10</v>
      </c>
      <c r="AP513" s="1249"/>
      <c r="AQ513" s="1303" t="s">
        <v>11</v>
      </c>
      <c r="AR513" s="1304"/>
      <c r="AS513" s="1305"/>
      <c r="AT513" s="1250" t="s">
        <v>12</v>
      </c>
      <c r="AU513" s="1248"/>
      <c r="AV513" s="1248"/>
      <c r="AW513" s="1249"/>
      <c r="AX513" s="1303" t="s">
        <v>13</v>
      </c>
      <c r="AY513" s="1304"/>
      <c r="AZ513" s="1305"/>
      <c r="BA513" s="1250" t="s">
        <v>14</v>
      </c>
      <c r="BB513" s="1248"/>
      <c r="BC513" s="1248"/>
      <c r="BD513" s="1249"/>
    </row>
    <row r="514" spans="2:57" ht="12.75" thickBot="1" x14ac:dyDescent="0.2">
      <c r="B514" s="1260" t="s">
        <v>15</v>
      </c>
      <c r="C514" s="1261"/>
      <c r="D514" s="1261"/>
      <c r="E514" s="1261"/>
      <c r="F514" s="1261"/>
      <c r="G514" s="1261"/>
      <c r="H514" s="1261"/>
      <c r="I514" s="1261"/>
      <c r="J514" s="1261"/>
      <c r="K514" s="1261"/>
      <c r="L514" s="1261"/>
      <c r="M514" s="1261"/>
      <c r="N514" s="1262"/>
      <c r="O514" s="1263" t="s">
        <v>16</v>
      </c>
      <c r="P514" s="1264"/>
      <c r="Q514" s="1264"/>
      <c r="R514" s="1264"/>
      <c r="S514" s="1264"/>
      <c r="T514" s="1265"/>
      <c r="U514" s="1266" t="s">
        <v>163</v>
      </c>
      <c r="V514" s="1264"/>
      <c r="W514" s="1264"/>
      <c r="X514" s="1264"/>
      <c r="Y514" s="1264"/>
      <c r="Z514" s="1264"/>
      <c r="AA514" s="1265"/>
      <c r="AB514" s="1309"/>
      <c r="AC514" s="1310"/>
      <c r="AD514" s="1310"/>
      <c r="AE514" s="1310"/>
      <c r="AF514" s="1310"/>
      <c r="AG514" s="1310"/>
      <c r="AH514" s="1310"/>
      <c r="AI514" s="1310"/>
      <c r="AJ514" s="1310"/>
      <c r="AK514" s="1310"/>
      <c r="AL514" s="1310"/>
      <c r="AM514" s="1310"/>
      <c r="AN514" s="1311"/>
      <c r="AO514" s="1267">
        <f>AO$3</f>
        <v>1.1200000000000001</v>
      </c>
      <c r="AP514" s="1268"/>
      <c r="AQ514" s="1266" t="s">
        <v>18</v>
      </c>
      <c r="AR514" s="1264"/>
      <c r="AS514" s="1265"/>
      <c r="AT514" s="1269">
        <f>AT$3</f>
        <v>45709</v>
      </c>
      <c r="AU514" s="1270"/>
      <c r="AV514" s="1270"/>
      <c r="AW514" s="1270"/>
      <c r="AX514" s="1266" t="s">
        <v>18</v>
      </c>
      <c r="AY514" s="1264"/>
      <c r="AZ514" s="1265"/>
      <c r="BA514" s="1269">
        <v>45460</v>
      </c>
      <c r="BB514" s="1270"/>
      <c r="BC514" s="1270"/>
      <c r="BD514" s="1271"/>
    </row>
    <row r="515" spans="2:57" ht="12" thickTop="1" x14ac:dyDescent="0.15"/>
    <row r="516" spans="2:57" x14ac:dyDescent="0.15">
      <c r="B516" s="1038"/>
      <c r="C516" s="1039"/>
      <c r="D516" s="1039"/>
      <c r="E516" s="1039"/>
      <c r="F516" s="1039"/>
      <c r="G516" s="1039"/>
      <c r="H516" s="1039"/>
      <c r="I516" s="1039"/>
      <c r="J516" s="1039"/>
      <c r="K516" s="1039"/>
      <c r="L516" s="1039"/>
      <c r="M516" s="1039"/>
      <c r="N516" s="1039"/>
      <c r="O516" s="1039"/>
      <c r="P516" s="1039"/>
      <c r="Q516" s="1039"/>
      <c r="R516" s="1039"/>
      <c r="S516" s="1039"/>
      <c r="T516" s="1039"/>
      <c r="U516" s="1039"/>
      <c r="V516" s="1039"/>
      <c r="W516" s="1039"/>
      <c r="X516" s="1039"/>
      <c r="Y516" s="1039"/>
      <c r="Z516" s="1039"/>
      <c r="AA516" s="1039"/>
      <c r="AB516" s="1039"/>
      <c r="AC516" s="1039"/>
      <c r="AD516" s="1039"/>
      <c r="AE516" s="1039"/>
      <c r="AF516" s="1039"/>
      <c r="AG516" s="1039"/>
      <c r="AH516" s="1039"/>
      <c r="AI516" s="1039"/>
      <c r="AJ516" s="1039"/>
      <c r="AK516" s="1039"/>
      <c r="AL516" s="1039"/>
      <c r="AM516" s="1039"/>
      <c r="AN516" s="1039"/>
      <c r="AO516" s="1039"/>
      <c r="AP516" s="1039"/>
      <c r="AQ516" s="1039"/>
      <c r="AR516" s="1039"/>
      <c r="AS516" s="1039"/>
      <c r="AT516" s="1039"/>
      <c r="AU516" s="1039"/>
      <c r="AV516" s="1039"/>
      <c r="AW516" s="1039"/>
      <c r="AX516" s="1039"/>
      <c r="AY516" s="1039"/>
      <c r="AZ516" s="1039"/>
      <c r="BA516" s="1039"/>
      <c r="BB516" s="1039"/>
      <c r="BC516" s="1039"/>
      <c r="BD516" s="1040"/>
    </row>
    <row r="517" spans="2:57" x14ac:dyDescent="0.15">
      <c r="B517" s="605"/>
      <c r="C517" s="500" t="s">
        <v>662</v>
      </c>
      <c r="D517" s="355" t="s">
        <v>663</v>
      </c>
      <c r="BD517" s="292"/>
      <c r="BE517" s="354" t="s">
        <v>664</v>
      </c>
    </row>
    <row r="518" spans="2:57" x14ac:dyDescent="0.15">
      <c r="B518" s="605"/>
      <c r="BD518" s="292"/>
      <c r="BE518" s="354" t="s">
        <v>665</v>
      </c>
    </row>
    <row r="519" spans="2:57" ht="10.9" customHeight="1" x14ac:dyDescent="0.15">
      <c r="B519" s="605"/>
      <c r="D519" s="476" t="s">
        <v>161</v>
      </c>
      <c r="E519" s="355" t="s">
        <v>666</v>
      </c>
      <c r="BD519" s="292"/>
      <c r="BE519" s="354" t="s">
        <v>665</v>
      </c>
    </row>
    <row r="520" spans="2:57" ht="10.9" customHeight="1" x14ac:dyDescent="0.15">
      <c r="B520" s="605"/>
      <c r="BD520" s="292"/>
      <c r="BE520" s="355" t="s">
        <v>665</v>
      </c>
    </row>
    <row r="521" spans="2:57" ht="12" thickBot="1" x14ac:dyDescent="0.2">
      <c r="B521" s="605"/>
      <c r="G521" s="1052" t="s">
        <v>667</v>
      </c>
      <c r="H521" s="1053"/>
      <c r="I521" s="1054" t="s">
        <v>668</v>
      </c>
      <c r="J521" s="1055"/>
      <c r="K521" s="1056"/>
      <c r="L521" s="1057" t="s">
        <v>669</v>
      </c>
      <c r="M521" s="1055"/>
      <c r="N521" s="1056"/>
      <c r="O521" s="1054" t="s">
        <v>670</v>
      </c>
      <c r="P521" s="1055"/>
      <c r="Q521" s="1055"/>
      <c r="R521" s="1058"/>
      <c r="S521" s="1058"/>
      <c r="T521" s="1058"/>
      <c r="U521" s="1059"/>
      <c r="V521" s="1058"/>
      <c r="W521" s="1059"/>
      <c r="X521" s="1059"/>
      <c r="Y521" s="1058"/>
      <c r="Z521" s="1059"/>
      <c r="AA521" s="1058"/>
      <c r="AB521" s="1059"/>
      <c r="AC521" s="1058"/>
      <c r="AD521" s="1053"/>
      <c r="BD521" s="292"/>
      <c r="BE521" s="354" t="s">
        <v>665</v>
      </c>
    </row>
    <row r="522" spans="2:57" ht="12" thickTop="1" x14ac:dyDescent="0.15">
      <c r="B522" s="605"/>
      <c r="E522" s="341"/>
      <c r="G522" s="606" t="s">
        <v>671</v>
      </c>
      <c r="H522" s="292"/>
      <c r="I522" s="605" t="s">
        <v>672</v>
      </c>
      <c r="J522" s="340"/>
      <c r="K522" s="359"/>
      <c r="L522" s="605" t="s">
        <v>673</v>
      </c>
      <c r="M522" s="340"/>
      <c r="N522" s="359"/>
      <c r="O522" s="605" t="s">
        <v>674</v>
      </c>
      <c r="P522" s="340"/>
      <c r="S522" s="360" t="s">
        <v>675</v>
      </c>
      <c r="T522" s="361"/>
      <c r="AD522" s="292"/>
      <c r="BD522" s="292"/>
      <c r="BE522" s="354" t="s">
        <v>665</v>
      </c>
    </row>
    <row r="523" spans="2:57" x14ac:dyDescent="0.15">
      <c r="B523" s="605"/>
      <c r="G523" s="605"/>
      <c r="H523" s="292"/>
      <c r="I523" s="605" t="s">
        <v>676</v>
      </c>
      <c r="K523" s="292"/>
      <c r="L523" s="605"/>
      <c r="N523" s="292"/>
      <c r="O523" s="605" t="s">
        <v>677</v>
      </c>
      <c r="S523" s="362" t="s">
        <v>678</v>
      </c>
      <c r="AD523" s="292"/>
      <c r="BD523" s="292"/>
      <c r="BE523" s="354" t="s">
        <v>665</v>
      </c>
    </row>
    <row r="524" spans="2:57" x14ac:dyDescent="0.15">
      <c r="B524" s="605"/>
      <c r="G524" s="605"/>
      <c r="H524" s="292"/>
      <c r="I524" s="605" t="s">
        <v>679</v>
      </c>
      <c r="K524" s="292"/>
      <c r="L524" s="605"/>
      <c r="N524" s="292"/>
      <c r="O524" s="605"/>
      <c r="S524" s="362"/>
      <c r="AD524" s="292"/>
      <c r="BD524" s="292"/>
      <c r="BE524" s="354" t="s">
        <v>665</v>
      </c>
    </row>
    <row r="525" spans="2:57" x14ac:dyDescent="0.15">
      <c r="B525" s="605"/>
      <c r="G525" s="605"/>
      <c r="H525" s="292"/>
      <c r="I525" s="605"/>
      <c r="K525" s="292"/>
      <c r="L525" s="1038" t="s">
        <v>680</v>
      </c>
      <c r="M525" s="1039"/>
      <c r="N525" s="1040"/>
      <c r="O525" s="1038" t="s">
        <v>681</v>
      </c>
      <c r="P525" s="1060"/>
      <c r="Q525" s="1039"/>
      <c r="R525" s="1039"/>
      <c r="S525" s="1061" t="s">
        <v>682</v>
      </c>
      <c r="T525" s="1039"/>
      <c r="U525" s="1039"/>
      <c r="V525" s="1039"/>
      <c r="W525" s="1039"/>
      <c r="X525" s="1039"/>
      <c r="Y525" s="1039"/>
      <c r="Z525" s="1039"/>
      <c r="AA525" s="1039"/>
      <c r="AB525" s="1039"/>
      <c r="AC525" s="1039"/>
      <c r="AD525" s="1040"/>
      <c r="BD525" s="292"/>
      <c r="BE525" s="354" t="s">
        <v>665</v>
      </c>
    </row>
    <row r="526" spans="2:57" ht="13.5" x14ac:dyDescent="0.15">
      <c r="B526" s="605"/>
      <c r="D526"/>
      <c r="G526" s="605"/>
      <c r="H526" s="292"/>
      <c r="I526" s="605"/>
      <c r="K526" s="292"/>
      <c r="L526" s="605"/>
      <c r="N526" s="292"/>
      <c r="O526" s="605" t="s">
        <v>683</v>
      </c>
      <c r="S526" s="363" t="s">
        <v>684</v>
      </c>
      <c r="AD526" s="292"/>
      <c r="BD526" s="292"/>
      <c r="BE526" s="354" t="s">
        <v>665</v>
      </c>
    </row>
    <row r="527" spans="2:57" ht="12" x14ac:dyDescent="0.15">
      <c r="B527" s="605"/>
      <c r="F527" s="364"/>
      <c r="G527" s="605"/>
      <c r="H527" s="292"/>
      <c r="I527" s="605"/>
      <c r="K527" s="292"/>
      <c r="L527" s="605"/>
      <c r="N527" s="292"/>
      <c r="O527" s="605"/>
      <c r="S527" s="363"/>
      <c r="AD527" s="292"/>
      <c r="BD527" s="292"/>
      <c r="BE527" s="354" t="s">
        <v>665</v>
      </c>
    </row>
    <row r="528" spans="2:57" ht="13.5" x14ac:dyDescent="0.15">
      <c r="B528" s="605"/>
      <c r="F528"/>
      <c r="G528" s="605"/>
      <c r="H528" s="292"/>
      <c r="I528" s="605"/>
      <c r="K528" s="292"/>
      <c r="L528" s="605"/>
      <c r="N528" s="292"/>
      <c r="O528" s="605"/>
      <c r="S528" s="363"/>
      <c r="U528" s="325"/>
      <c r="W528" s="325"/>
      <c r="X528" s="325"/>
      <c r="Z528" s="325"/>
      <c r="AB528" s="325"/>
      <c r="AD528" s="292"/>
      <c r="BD528" s="292"/>
      <c r="BE528" s="354" t="s">
        <v>665</v>
      </c>
    </row>
    <row r="529" spans="2:57" ht="13.5" x14ac:dyDescent="0.15">
      <c r="B529" s="605"/>
      <c r="E529" s="341"/>
      <c r="F529"/>
      <c r="G529" s="1062" t="s">
        <v>685</v>
      </c>
      <c r="H529" s="1040"/>
      <c r="I529" s="1063" t="s">
        <v>671</v>
      </c>
      <c r="J529" s="1060"/>
      <c r="K529" s="1064"/>
      <c r="L529" s="1038" t="s">
        <v>673</v>
      </c>
      <c r="M529" s="1060"/>
      <c r="N529" s="1064"/>
      <c r="O529" s="1038" t="s">
        <v>674</v>
      </c>
      <c r="P529" s="1060"/>
      <c r="Q529" s="1039"/>
      <c r="R529" s="1039"/>
      <c r="S529" s="1061" t="s">
        <v>686</v>
      </c>
      <c r="T529" s="1039"/>
      <c r="U529" s="1039"/>
      <c r="V529" s="1039"/>
      <c r="W529" s="1039"/>
      <c r="X529" s="1039"/>
      <c r="Y529" s="1039"/>
      <c r="Z529" s="1039"/>
      <c r="AA529" s="1039"/>
      <c r="AB529" s="1039"/>
      <c r="AC529" s="1039"/>
      <c r="AD529" s="1040"/>
      <c r="AL529"/>
      <c r="AM529"/>
      <c r="AN529"/>
      <c r="AO529"/>
      <c r="AP529"/>
      <c r="AQ529"/>
      <c r="AR529"/>
      <c r="AS529"/>
      <c r="AT529"/>
      <c r="AU529"/>
      <c r="BD529" s="292"/>
      <c r="BE529" s="354" t="s">
        <v>665</v>
      </c>
    </row>
    <row r="530" spans="2:57" ht="13.5" x14ac:dyDescent="0.15">
      <c r="B530" s="605"/>
      <c r="F530"/>
      <c r="G530" s="605"/>
      <c r="H530" s="292"/>
      <c r="I530" s="605"/>
      <c r="K530" s="292"/>
      <c r="L530" s="605"/>
      <c r="N530" s="292"/>
      <c r="O530" s="605" t="s">
        <v>683</v>
      </c>
      <c r="R530" s="325"/>
      <c r="S530" s="363" t="s">
        <v>687</v>
      </c>
      <c r="AD530" s="292"/>
      <c r="AL530"/>
      <c r="AM530"/>
      <c r="AN530"/>
      <c r="AO530"/>
      <c r="AP530"/>
      <c r="AQ530"/>
      <c r="AR530"/>
      <c r="AS530"/>
      <c r="AT530"/>
      <c r="AU530"/>
      <c r="BD530" s="292"/>
      <c r="BE530" s="354" t="s">
        <v>665</v>
      </c>
    </row>
    <row r="531" spans="2:57" ht="13.5" x14ac:dyDescent="0.15">
      <c r="B531" s="605"/>
      <c r="F531"/>
      <c r="G531" s="605"/>
      <c r="H531" s="292"/>
      <c r="I531" s="605"/>
      <c r="K531" s="292"/>
      <c r="L531" s="605"/>
      <c r="N531" s="292"/>
      <c r="O531" s="605"/>
      <c r="S531" s="363"/>
      <c r="T531" s="340"/>
      <c r="U531" s="340"/>
      <c r="V531" s="340"/>
      <c r="W531" s="340"/>
      <c r="X531" s="340"/>
      <c r="Y531" s="340"/>
      <c r="Z531" s="340"/>
      <c r="AA531" s="340"/>
      <c r="AB531" s="340"/>
      <c r="AC531" s="340"/>
      <c r="AD531" s="359"/>
      <c r="AL531"/>
      <c r="AM531"/>
      <c r="AN531"/>
      <c r="AO531"/>
      <c r="AP531"/>
      <c r="AQ531"/>
      <c r="AR531"/>
      <c r="AS531"/>
      <c r="AT531"/>
      <c r="AU531"/>
      <c r="BD531" s="292"/>
      <c r="BE531" s="355" t="s">
        <v>665</v>
      </c>
    </row>
    <row r="532" spans="2:57" ht="13.5" x14ac:dyDescent="0.15">
      <c r="B532" s="605"/>
      <c r="F532"/>
      <c r="G532" s="605"/>
      <c r="H532" s="292"/>
      <c r="I532" s="605"/>
      <c r="K532" s="292"/>
      <c r="L532" s="1038" t="s">
        <v>680</v>
      </c>
      <c r="M532" s="1039"/>
      <c r="N532" s="1040"/>
      <c r="O532" s="1038" t="s">
        <v>681</v>
      </c>
      <c r="P532" s="1060"/>
      <c r="Q532" s="1039"/>
      <c r="R532" s="1039"/>
      <c r="S532" s="1061" t="s">
        <v>682</v>
      </c>
      <c r="T532" s="1039"/>
      <c r="U532" s="1039"/>
      <c r="V532" s="1060"/>
      <c r="W532" s="1039"/>
      <c r="X532" s="1039"/>
      <c r="Y532" s="1060"/>
      <c r="Z532" s="1039"/>
      <c r="AA532" s="1060"/>
      <c r="AB532" s="1039"/>
      <c r="AC532" s="1060"/>
      <c r="AD532" s="1065"/>
      <c r="AL532"/>
      <c r="AM532"/>
      <c r="AN532"/>
      <c r="AO532"/>
      <c r="AP532"/>
      <c r="AQ532"/>
      <c r="AR532"/>
      <c r="AS532"/>
      <c r="AT532"/>
      <c r="AU532"/>
      <c r="BD532" s="292"/>
      <c r="BE532" s="355" t="s">
        <v>665</v>
      </c>
    </row>
    <row r="533" spans="2:57" ht="13.5" x14ac:dyDescent="0.15">
      <c r="B533" s="605"/>
      <c r="F533"/>
      <c r="G533" s="605"/>
      <c r="H533" s="292"/>
      <c r="I533" s="605"/>
      <c r="K533" s="292"/>
      <c r="L533" s="605"/>
      <c r="N533" s="292"/>
      <c r="O533" s="605" t="s">
        <v>688</v>
      </c>
      <c r="S533" s="363" t="s">
        <v>684</v>
      </c>
      <c r="AD533" s="292"/>
      <c r="AL533"/>
      <c r="AM533"/>
      <c r="AN533"/>
      <c r="AO533"/>
      <c r="AP533"/>
      <c r="AQ533"/>
      <c r="AR533"/>
      <c r="AS533"/>
      <c r="AT533"/>
      <c r="AU533"/>
      <c r="BD533" s="292"/>
      <c r="BE533" s="355" t="s">
        <v>665</v>
      </c>
    </row>
    <row r="534" spans="2:57" ht="13.5" x14ac:dyDescent="0.15">
      <c r="B534" s="605"/>
      <c r="F534"/>
      <c r="G534" s="1041"/>
      <c r="H534" s="1043"/>
      <c r="I534" s="1041"/>
      <c r="J534" s="1042"/>
      <c r="K534" s="1043"/>
      <c r="L534" s="1041"/>
      <c r="M534" s="1042"/>
      <c r="N534" s="1043"/>
      <c r="O534" s="1041"/>
      <c r="P534" s="1042"/>
      <c r="Q534" s="1042"/>
      <c r="R534" s="1042"/>
      <c r="S534" s="1066"/>
      <c r="T534" s="1042"/>
      <c r="U534" s="1042"/>
      <c r="V534" s="1042"/>
      <c r="W534" s="1042"/>
      <c r="X534" s="1042"/>
      <c r="Y534" s="1042"/>
      <c r="Z534" s="1042"/>
      <c r="AA534" s="1042"/>
      <c r="AB534" s="1042"/>
      <c r="AC534" s="1042"/>
      <c r="AD534" s="1043"/>
      <c r="AL534"/>
      <c r="AM534"/>
      <c r="AN534"/>
      <c r="AO534"/>
      <c r="AP534"/>
      <c r="AQ534"/>
      <c r="AR534"/>
      <c r="AS534"/>
      <c r="AT534"/>
      <c r="AU534"/>
      <c r="BD534" s="292"/>
      <c r="BE534" s="354" t="s">
        <v>665</v>
      </c>
    </row>
    <row r="535" spans="2:57" ht="13.5" x14ac:dyDescent="0.15">
      <c r="B535" s="605"/>
      <c r="E535" s="349"/>
      <c r="F535"/>
      <c r="G535" s="607" t="s">
        <v>689</v>
      </c>
      <c r="H535" s="292"/>
      <c r="I535" s="606" t="s">
        <v>685</v>
      </c>
      <c r="J535" s="340"/>
      <c r="K535" s="359"/>
      <c r="L535" s="605" t="s">
        <v>673</v>
      </c>
      <c r="M535" s="340"/>
      <c r="N535" s="359"/>
      <c r="O535" s="605" t="s">
        <v>674</v>
      </c>
      <c r="P535" s="340"/>
      <c r="R535" s="325"/>
      <c r="S535" s="1061" t="s">
        <v>686</v>
      </c>
      <c r="AD535" s="292"/>
      <c r="AE535"/>
      <c r="AL535"/>
      <c r="AM535"/>
      <c r="AN535"/>
      <c r="AO535"/>
      <c r="AP535"/>
      <c r="AQ535"/>
      <c r="AR535"/>
      <c r="AS535"/>
      <c r="AT535"/>
      <c r="AU535"/>
      <c r="BD535" s="292"/>
      <c r="BE535" s="354" t="s">
        <v>665</v>
      </c>
    </row>
    <row r="536" spans="2:57" ht="13.5" x14ac:dyDescent="0.15">
      <c r="B536" s="605"/>
      <c r="F536"/>
      <c r="G536" s="605"/>
      <c r="H536" s="292"/>
      <c r="I536" s="605"/>
      <c r="K536" s="292"/>
      <c r="L536" s="605"/>
      <c r="N536" s="292"/>
      <c r="O536" s="605" t="s">
        <v>688</v>
      </c>
      <c r="R536" s="325"/>
      <c r="S536" s="363" t="s">
        <v>687</v>
      </c>
      <c r="AD536" s="292"/>
      <c r="AE536"/>
      <c r="AL536"/>
      <c r="AM536"/>
      <c r="AN536"/>
      <c r="AO536"/>
      <c r="AP536"/>
      <c r="AQ536"/>
      <c r="AR536"/>
      <c r="AS536"/>
      <c r="AT536"/>
      <c r="AU536"/>
      <c r="AV536"/>
      <c r="BD536" s="292"/>
      <c r="BE536" s="355" t="s">
        <v>665</v>
      </c>
    </row>
    <row r="537" spans="2:57" ht="13.5" x14ac:dyDescent="0.15">
      <c r="B537" s="605"/>
      <c r="F537"/>
      <c r="G537" s="605"/>
      <c r="H537" s="292"/>
      <c r="I537" s="605"/>
      <c r="K537" s="292"/>
      <c r="L537" s="605"/>
      <c r="N537" s="292"/>
      <c r="O537" s="605"/>
      <c r="R537" s="325"/>
      <c r="S537" s="363"/>
      <c r="AD537" s="292"/>
      <c r="AE537"/>
      <c r="AF537"/>
      <c r="AG537"/>
      <c r="AH537"/>
      <c r="AI537"/>
      <c r="AJ537"/>
      <c r="AK537"/>
      <c r="AL537"/>
      <c r="AM537"/>
      <c r="AN537"/>
      <c r="AO537"/>
      <c r="AP537"/>
      <c r="AQ537"/>
      <c r="AR537"/>
      <c r="AS537"/>
      <c r="AT537"/>
      <c r="AU537"/>
      <c r="AV537"/>
      <c r="BD537" s="292"/>
      <c r="BE537" s="355" t="s">
        <v>665</v>
      </c>
    </row>
    <row r="538" spans="2:57" ht="13.5" x14ac:dyDescent="0.15">
      <c r="B538" s="605"/>
      <c r="F538"/>
      <c r="G538" s="605"/>
      <c r="H538" s="292"/>
      <c r="I538" s="1063" t="s">
        <v>689</v>
      </c>
      <c r="J538" s="1039"/>
      <c r="K538" s="1040"/>
      <c r="L538" s="1038" t="s">
        <v>680</v>
      </c>
      <c r="M538" s="1039"/>
      <c r="N538" s="1040"/>
      <c r="O538" s="1038" t="s">
        <v>681</v>
      </c>
      <c r="P538" s="1060"/>
      <c r="Q538" s="1039"/>
      <c r="R538" s="1039"/>
      <c r="S538" s="1061" t="s">
        <v>682</v>
      </c>
      <c r="T538" s="1039"/>
      <c r="U538" s="1039"/>
      <c r="V538" s="1039"/>
      <c r="W538" s="1039"/>
      <c r="X538" s="1039"/>
      <c r="Y538" s="1039"/>
      <c r="Z538" s="1039"/>
      <c r="AA538" s="1039"/>
      <c r="AB538" s="1039"/>
      <c r="AC538" s="1039"/>
      <c r="AD538" s="1065"/>
      <c r="AE538"/>
      <c r="AF538"/>
      <c r="AG538"/>
      <c r="AH538"/>
      <c r="AI538"/>
      <c r="AJ538"/>
      <c r="AK538"/>
      <c r="AL538"/>
      <c r="AM538"/>
      <c r="AN538"/>
      <c r="AO538"/>
      <c r="AP538"/>
      <c r="AQ538"/>
      <c r="AR538"/>
      <c r="AS538"/>
      <c r="AT538"/>
      <c r="AU538"/>
      <c r="AV538"/>
      <c r="BD538" s="292"/>
      <c r="BE538" s="355" t="s">
        <v>665</v>
      </c>
    </row>
    <row r="539" spans="2:57" ht="13.5" x14ac:dyDescent="0.15">
      <c r="B539" s="605"/>
      <c r="F539"/>
      <c r="G539" s="605"/>
      <c r="H539" s="292"/>
      <c r="I539" s="605"/>
      <c r="K539" s="292"/>
      <c r="L539" s="605"/>
      <c r="N539" s="292"/>
      <c r="O539" s="605" t="s">
        <v>690</v>
      </c>
      <c r="S539" s="363" t="s">
        <v>684</v>
      </c>
      <c r="AD539" s="357"/>
      <c r="AE539"/>
      <c r="AF539"/>
      <c r="AG539"/>
      <c r="AH539"/>
      <c r="AI539"/>
      <c r="AJ539"/>
      <c r="AK539"/>
      <c r="AL539"/>
      <c r="AM539"/>
      <c r="AN539"/>
      <c r="AO539"/>
      <c r="AP539"/>
      <c r="AQ539"/>
      <c r="AR539"/>
      <c r="AS539"/>
      <c r="AT539"/>
      <c r="AU539"/>
      <c r="BD539" s="292"/>
      <c r="BE539" s="355" t="s">
        <v>665</v>
      </c>
    </row>
    <row r="540" spans="2:57" ht="13.5" x14ac:dyDescent="0.15">
      <c r="B540" s="605"/>
      <c r="F540"/>
      <c r="G540" s="605"/>
      <c r="H540" s="292"/>
      <c r="I540" s="605"/>
      <c r="K540" s="292"/>
      <c r="L540" s="605"/>
      <c r="N540" s="292"/>
      <c r="O540" s="605"/>
      <c r="S540" s="363"/>
      <c r="AD540" s="292"/>
      <c r="AL540"/>
      <c r="AM540"/>
      <c r="AN540"/>
      <c r="AO540"/>
      <c r="AP540"/>
      <c r="AQ540"/>
      <c r="AR540"/>
      <c r="AS540"/>
      <c r="AT540"/>
      <c r="AU540"/>
      <c r="BD540" s="292"/>
      <c r="BE540" s="355" t="s">
        <v>665</v>
      </c>
    </row>
    <row r="541" spans="2:57" ht="13.5" x14ac:dyDescent="0.15">
      <c r="B541" s="605"/>
      <c r="D541" s="325"/>
      <c r="E541" s="325"/>
      <c r="F541" s="364"/>
      <c r="G541" s="605"/>
      <c r="H541" s="292"/>
      <c r="I541" s="607"/>
      <c r="J541" s="340"/>
      <c r="K541" s="359"/>
      <c r="L541" s="1038" t="s">
        <v>673</v>
      </c>
      <c r="M541" s="1060"/>
      <c r="N541" s="1064"/>
      <c r="O541" s="1038" t="s">
        <v>681</v>
      </c>
      <c r="P541" s="1060"/>
      <c r="Q541" s="1039"/>
      <c r="R541" s="1039"/>
      <c r="S541" s="1061" t="s">
        <v>691</v>
      </c>
      <c r="T541" s="1039"/>
      <c r="U541" s="1039"/>
      <c r="V541" s="1039"/>
      <c r="W541" s="1039"/>
      <c r="X541" s="1039"/>
      <c r="Y541" s="1039"/>
      <c r="Z541" s="1039"/>
      <c r="AA541" s="1039"/>
      <c r="AB541" s="1039"/>
      <c r="AC541" s="1039"/>
      <c r="AD541" s="1040"/>
      <c r="AE541"/>
      <c r="AF541"/>
      <c r="AG541"/>
      <c r="AH541"/>
      <c r="AI541"/>
      <c r="AJ541"/>
      <c r="AK541"/>
      <c r="AL541"/>
      <c r="AM541"/>
      <c r="AN541"/>
      <c r="AO541"/>
      <c r="AP541"/>
      <c r="AQ541"/>
      <c r="AR541"/>
      <c r="AS541"/>
      <c r="AT541"/>
      <c r="AU541"/>
      <c r="BD541" s="292"/>
      <c r="BE541" s="355" t="s">
        <v>665</v>
      </c>
    </row>
    <row r="542" spans="2:57" ht="13.5" x14ac:dyDescent="0.15">
      <c r="B542" s="605"/>
      <c r="G542" s="605"/>
      <c r="H542" s="292"/>
      <c r="I542" s="605"/>
      <c r="K542" s="292"/>
      <c r="L542" s="605"/>
      <c r="N542" s="292"/>
      <c r="O542" s="605" t="s">
        <v>690</v>
      </c>
      <c r="S542" s="363" t="s">
        <v>687</v>
      </c>
      <c r="AD542" s="292"/>
      <c r="AF542"/>
      <c r="AG542"/>
      <c r="AH542"/>
      <c r="AI542"/>
      <c r="AJ542"/>
      <c r="AK542"/>
      <c r="AL542"/>
      <c r="AM542"/>
      <c r="AN542"/>
      <c r="AO542"/>
      <c r="AP542"/>
      <c r="AQ542"/>
      <c r="AR542"/>
      <c r="AS542"/>
      <c r="AT542"/>
      <c r="AU542"/>
      <c r="BD542" s="292"/>
      <c r="BE542" s="355" t="s">
        <v>665</v>
      </c>
    </row>
    <row r="543" spans="2:57" ht="13.5" x14ac:dyDescent="0.15">
      <c r="B543" s="605"/>
      <c r="F543"/>
      <c r="G543" s="605"/>
      <c r="H543" s="292"/>
      <c r="I543" s="605"/>
      <c r="K543" s="292"/>
      <c r="L543" s="1041"/>
      <c r="M543" s="1042"/>
      <c r="N543" s="1043"/>
      <c r="O543" s="1041"/>
      <c r="P543" s="1042"/>
      <c r="Q543" s="1042"/>
      <c r="R543" s="1042"/>
      <c r="S543" s="1066"/>
      <c r="T543" s="1042"/>
      <c r="U543" s="1042"/>
      <c r="V543" s="1042"/>
      <c r="W543" s="1042"/>
      <c r="X543" s="1042"/>
      <c r="Y543" s="1042"/>
      <c r="Z543" s="1042"/>
      <c r="AA543" s="1042"/>
      <c r="AB543" s="1042"/>
      <c r="AC543" s="1042"/>
      <c r="AD543" s="1043"/>
      <c r="AF543"/>
      <c r="AG543"/>
      <c r="AH543"/>
      <c r="AI543"/>
      <c r="AJ543"/>
      <c r="AK543"/>
      <c r="AL543"/>
      <c r="AM543"/>
      <c r="AN543"/>
      <c r="AO543"/>
      <c r="AP543"/>
      <c r="AQ543"/>
      <c r="AR543"/>
      <c r="AS543"/>
      <c r="AT543"/>
      <c r="AU543"/>
      <c r="BD543" s="292"/>
      <c r="BE543" s="355" t="s">
        <v>665</v>
      </c>
    </row>
    <row r="544" spans="2:57" ht="13.5" x14ac:dyDescent="0.15">
      <c r="B544" s="605"/>
      <c r="F544"/>
      <c r="G544" s="605"/>
      <c r="H544" s="292"/>
      <c r="I544" s="607"/>
      <c r="K544" s="292"/>
      <c r="L544" s="1038" t="s">
        <v>680</v>
      </c>
      <c r="M544" s="1039"/>
      <c r="N544" s="1040"/>
      <c r="O544" s="1038" t="s">
        <v>692</v>
      </c>
      <c r="P544" s="1060"/>
      <c r="Q544" s="1039"/>
      <c r="R544" s="1039"/>
      <c r="S544" s="1061" t="s">
        <v>682</v>
      </c>
      <c r="T544" s="1039"/>
      <c r="U544" s="1039"/>
      <c r="V544" s="1039"/>
      <c r="W544" s="1039"/>
      <c r="X544" s="1039"/>
      <c r="Y544" s="1039"/>
      <c r="Z544" s="1039"/>
      <c r="AA544" s="1039"/>
      <c r="AB544" s="1039"/>
      <c r="AC544" s="1039"/>
      <c r="AD544" s="1065"/>
      <c r="AF544"/>
      <c r="AG544"/>
      <c r="AH544"/>
      <c r="AI544"/>
      <c r="AJ544"/>
      <c r="AK544"/>
      <c r="AL544"/>
      <c r="AM544"/>
      <c r="AN544"/>
      <c r="AO544"/>
      <c r="AP544"/>
      <c r="AQ544"/>
      <c r="AR544"/>
      <c r="AS544"/>
      <c r="AT544"/>
      <c r="AU544"/>
      <c r="BD544" s="292"/>
      <c r="BE544" s="355" t="s">
        <v>665</v>
      </c>
    </row>
    <row r="545" spans="1:57" ht="13.5" x14ac:dyDescent="0.15">
      <c r="B545" s="605"/>
      <c r="F545"/>
      <c r="G545" s="605"/>
      <c r="H545" s="292"/>
      <c r="I545" s="605"/>
      <c r="K545" s="292"/>
      <c r="L545" s="605"/>
      <c r="N545" s="292"/>
      <c r="O545" s="605" t="s">
        <v>693</v>
      </c>
      <c r="S545" s="363" t="s">
        <v>684</v>
      </c>
      <c r="AD545" s="357"/>
      <c r="AF545"/>
      <c r="AG545"/>
      <c r="AH545"/>
      <c r="AI545"/>
      <c r="AJ545"/>
      <c r="AK545"/>
      <c r="AL545"/>
      <c r="AM545"/>
      <c r="AN545"/>
      <c r="AO545"/>
      <c r="AP545"/>
      <c r="AQ545"/>
      <c r="AR545"/>
      <c r="AS545"/>
      <c r="AT545"/>
      <c r="AU545"/>
      <c r="BD545" s="292"/>
      <c r="BE545" s="355" t="s">
        <v>665</v>
      </c>
    </row>
    <row r="546" spans="1:57" ht="13.5" x14ac:dyDescent="0.15">
      <c r="B546" s="605"/>
      <c r="F546"/>
      <c r="G546" s="605"/>
      <c r="H546" s="292"/>
      <c r="I546" s="605"/>
      <c r="K546" s="292"/>
      <c r="L546" s="1041"/>
      <c r="M546" s="1042"/>
      <c r="N546" s="1043"/>
      <c r="O546" s="1041"/>
      <c r="P546" s="1042"/>
      <c r="Q546" s="1042"/>
      <c r="R546" s="1042"/>
      <c r="S546" s="1066"/>
      <c r="T546" s="1042"/>
      <c r="U546" s="1042"/>
      <c r="V546" s="1042"/>
      <c r="W546" s="1042"/>
      <c r="X546" s="1042"/>
      <c r="Y546" s="1042"/>
      <c r="Z546" s="1042"/>
      <c r="AA546" s="1042"/>
      <c r="AB546" s="1042"/>
      <c r="AC546" s="1042"/>
      <c r="AD546" s="1043"/>
      <c r="AL546"/>
      <c r="AM546"/>
      <c r="AN546"/>
      <c r="AO546"/>
      <c r="AP546"/>
      <c r="AQ546"/>
      <c r="AR546"/>
      <c r="AS546"/>
      <c r="AT546"/>
      <c r="AU546"/>
      <c r="BD546" s="292"/>
      <c r="BE546" s="354" t="s">
        <v>665</v>
      </c>
    </row>
    <row r="547" spans="1:57" ht="13.5" x14ac:dyDescent="0.15">
      <c r="B547" s="605"/>
      <c r="E547" s="349"/>
      <c r="F547"/>
      <c r="G547" s="1063" t="s">
        <v>694</v>
      </c>
      <c r="H547" s="1040"/>
      <c r="I547" s="1063"/>
      <c r="J547" s="1060"/>
      <c r="K547" s="1064"/>
      <c r="L547" s="1038" t="s">
        <v>673</v>
      </c>
      <c r="M547" s="1060"/>
      <c r="N547" s="1064"/>
      <c r="O547" s="1038" t="s">
        <v>674</v>
      </c>
      <c r="P547" s="1060"/>
      <c r="Q547" s="1039"/>
      <c r="R547" s="1067"/>
      <c r="S547" s="1061" t="s">
        <v>686</v>
      </c>
      <c r="T547" s="1039"/>
      <c r="U547" s="1039"/>
      <c r="V547" s="1039"/>
      <c r="W547" s="1039"/>
      <c r="X547" s="1039"/>
      <c r="Y547" s="1039"/>
      <c r="Z547" s="1039"/>
      <c r="AA547" s="1039"/>
      <c r="AB547" s="1039"/>
      <c r="AC547" s="1039"/>
      <c r="AD547" s="1040"/>
      <c r="AE547"/>
      <c r="AL547"/>
      <c r="AM547"/>
      <c r="AN547"/>
      <c r="AO547"/>
      <c r="AP547"/>
      <c r="AQ547"/>
      <c r="AR547"/>
      <c r="AS547"/>
      <c r="AT547"/>
      <c r="AU547"/>
      <c r="BD547" s="292"/>
      <c r="BE547" s="354" t="s">
        <v>665</v>
      </c>
    </row>
    <row r="548" spans="1:57" ht="13.5" x14ac:dyDescent="0.15">
      <c r="B548" s="605"/>
      <c r="F548"/>
      <c r="G548" s="605"/>
      <c r="H548" s="292"/>
      <c r="I548" s="605"/>
      <c r="K548" s="292"/>
      <c r="L548" s="605"/>
      <c r="N548" s="292"/>
      <c r="O548" s="605" t="s">
        <v>693</v>
      </c>
      <c r="R548" s="325"/>
      <c r="S548" s="363" t="s">
        <v>687</v>
      </c>
      <c r="AD548" s="292"/>
      <c r="AE548"/>
      <c r="AL548"/>
      <c r="AM548"/>
      <c r="AN548"/>
      <c r="AO548"/>
      <c r="AP548"/>
      <c r="AQ548"/>
      <c r="AR548"/>
      <c r="AS548"/>
      <c r="AT548"/>
      <c r="AU548"/>
      <c r="BD548" s="292"/>
      <c r="BE548" s="354" t="s">
        <v>665</v>
      </c>
    </row>
    <row r="549" spans="1:57" ht="13.5" x14ac:dyDescent="0.15">
      <c r="B549" s="605"/>
      <c r="F549"/>
      <c r="G549" s="605"/>
      <c r="H549" s="292"/>
      <c r="I549" s="1041"/>
      <c r="J549" s="1042"/>
      <c r="K549" s="1043"/>
      <c r="L549" s="605"/>
      <c r="N549" s="292"/>
      <c r="O549" s="605"/>
      <c r="R549" s="325"/>
      <c r="S549" s="363"/>
      <c r="AD549" s="292"/>
      <c r="AE549"/>
      <c r="AF549"/>
      <c r="AG549"/>
      <c r="AH549"/>
      <c r="AI549"/>
      <c r="AJ549"/>
      <c r="AK549"/>
      <c r="AL549"/>
      <c r="AM549"/>
      <c r="AN549"/>
      <c r="AO549"/>
      <c r="AP549"/>
      <c r="AQ549"/>
      <c r="AR549"/>
      <c r="AS549"/>
      <c r="AT549"/>
      <c r="AU549"/>
      <c r="BD549" s="292"/>
      <c r="BE549" s="354" t="s">
        <v>665</v>
      </c>
    </row>
    <row r="550" spans="1:57" ht="13.5" x14ac:dyDescent="0.15">
      <c r="B550" s="605"/>
      <c r="F550"/>
      <c r="G550" s="605"/>
      <c r="H550" s="292"/>
      <c r="I550" s="607" t="s">
        <v>694</v>
      </c>
      <c r="K550" s="292"/>
      <c r="L550" s="1038" t="s">
        <v>680</v>
      </c>
      <c r="M550" s="1039"/>
      <c r="N550" s="1040"/>
      <c r="O550" s="1038" t="s">
        <v>681</v>
      </c>
      <c r="P550" s="1060"/>
      <c r="Q550" s="1039"/>
      <c r="R550" s="1039"/>
      <c r="S550" s="1061" t="s">
        <v>682</v>
      </c>
      <c r="T550" s="1039"/>
      <c r="U550" s="1039"/>
      <c r="V550" s="1039"/>
      <c r="W550" s="1039"/>
      <c r="X550" s="1039"/>
      <c r="Y550" s="1039"/>
      <c r="Z550" s="1039"/>
      <c r="AA550" s="1039"/>
      <c r="AB550" s="1039"/>
      <c r="AC550" s="1039"/>
      <c r="AD550" s="1065"/>
      <c r="AE550"/>
      <c r="AF550"/>
      <c r="AG550"/>
      <c r="AH550"/>
      <c r="AI550"/>
      <c r="AJ550"/>
      <c r="AK550"/>
      <c r="AL550"/>
      <c r="AM550"/>
      <c r="AN550"/>
      <c r="AO550"/>
      <c r="AP550"/>
      <c r="AQ550"/>
      <c r="AR550"/>
      <c r="AS550"/>
      <c r="AT550"/>
      <c r="AU550"/>
      <c r="BD550" s="292"/>
      <c r="BE550" s="354" t="s">
        <v>665</v>
      </c>
    </row>
    <row r="551" spans="1:57" ht="13.5" x14ac:dyDescent="0.15">
      <c r="B551" s="605"/>
      <c r="F551"/>
      <c r="G551" s="605"/>
      <c r="H551" s="292"/>
      <c r="I551" s="605"/>
      <c r="K551" s="292"/>
      <c r="L551" s="605"/>
      <c r="N551" s="292"/>
      <c r="O551" s="605" t="s">
        <v>695</v>
      </c>
      <c r="S551" s="363" t="s">
        <v>684</v>
      </c>
      <c r="AD551" s="357"/>
      <c r="AE551"/>
      <c r="AF551"/>
      <c r="AG551"/>
      <c r="AH551"/>
      <c r="AI551"/>
      <c r="AJ551"/>
      <c r="AK551"/>
      <c r="AL551"/>
      <c r="AM551"/>
      <c r="AN551"/>
      <c r="AO551"/>
      <c r="AP551"/>
      <c r="AQ551"/>
      <c r="AR551"/>
      <c r="AS551"/>
      <c r="AT551"/>
      <c r="AU551"/>
      <c r="BD551" s="292"/>
      <c r="BE551" s="354" t="s">
        <v>665</v>
      </c>
    </row>
    <row r="552" spans="1:57" ht="13.5" x14ac:dyDescent="0.15">
      <c r="B552" s="605"/>
      <c r="F552"/>
      <c r="G552" s="605"/>
      <c r="H552" s="292"/>
      <c r="I552" s="605"/>
      <c r="K552" s="292"/>
      <c r="L552" s="605"/>
      <c r="N552" s="292"/>
      <c r="O552" s="605"/>
      <c r="S552" s="363"/>
      <c r="AD552" s="292"/>
      <c r="AL552"/>
      <c r="AM552"/>
      <c r="AN552"/>
      <c r="AO552"/>
      <c r="AP552"/>
      <c r="AQ552"/>
      <c r="AR552"/>
      <c r="AS552"/>
      <c r="AT552"/>
      <c r="AU552"/>
      <c r="BD552" s="292"/>
      <c r="BE552" s="354" t="s">
        <v>665</v>
      </c>
    </row>
    <row r="553" spans="1:57" ht="13.5" x14ac:dyDescent="0.15">
      <c r="B553" s="605"/>
      <c r="F553" s="364"/>
      <c r="G553" s="605"/>
      <c r="H553" s="292"/>
      <c r="I553" s="605"/>
      <c r="J553" s="340"/>
      <c r="K553" s="359"/>
      <c r="L553" s="1038" t="s">
        <v>696</v>
      </c>
      <c r="M553" s="1060"/>
      <c r="N553" s="1064"/>
      <c r="O553" s="1038" t="s">
        <v>681</v>
      </c>
      <c r="P553" s="1060"/>
      <c r="Q553" s="1039"/>
      <c r="R553" s="1039"/>
      <c r="S553" s="1061" t="s">
        <v>697</v>
      </c>
      <c r="T553" s="1039"/>
      <c r="U553" s="1039"/>
      <c r="V553" s="1039"/>
      <c r="W553" s="1039"/>
      <c r="X553" s="1039"/>
      <c r="Y553" s="1039"/>
      <c r="Z553" s="1039"/>
      <c r="AA553" s="1039"/>
      <c r="AB553" s="1039"/>
      <c r="AC553" s="1039"/>
      <c r="AD553" s="1040"/>
      <c r="AE553"/>
      <c r="AF553"/>
      <c r="AG553"/>
      <c r="AH553"/>
      <c r="AI553"/>
      <c r="AJ553"/>
      <c r="AK553"/>
      <c r="AL553"/>
      <c r="AM553"/>
      <c r="AN553"/>
      <c r="AO553"/>
      <c r="AP553"/>
      <c r="AQ553"/>
      <c r="AR553"/>
      <c r="AS553"/>
      <c r="AT553"/>
      <c r="AU553"/>
      <c r="BD553" s="292"/>
      <c r="BE553" s="354" t="s">
        <v>665</v>
      </c>
    </row>
    <row r="554" spans="1:57" ht="13.5" x14ac:dyDescent="0.15">
      <c r="B554" s="605"/>
      <c r="G554" s="605"/>
      <c r="H554" s="292"/>
      <c r="I554" s="605"/>
      <c r="K554" s="292"/>
      <c r="L554" s="605"/>
      <c r="N554" s="292"/>
      <c r="O554" s="605" t="s">
        <v>695</v>
      </c>
      <c r="S554" s="363" t="s">
        <v>687</v>
      </c>
      <c r="AD554" s="292"/>
      <c r="AF554"/>
      <c r="AG554"/>
      <c r="AH554"/>
      <c r="AI554"/>
      <c r="AJ554"/>
      <c r="AK554"/>
      <c r="AL554"/>
      <c r="AM554"/>
      <c r="AN554"/>
      <c r="AO554"/>
      <c r="AP554"/>
      <c r="AQ554"/>
      <c r="AR554"/>
      <c r="AS554"/>
      <c r="AT554"/>
      <c r="AU554"/>
      <c r="BD554" s="292"/>
      <c r="BE554" s="354" t="s">
        <v>665</v>
      </c>
    </row>
    <row r="555" spans="1:57" ht="13.5" x14ac:dyDescent="0.15">
      <c r="B555" s="605"/>
      <c r="F555"/>
      <c r="G555" s="605"/>
      <c r="H555" s="292"/>
      <c r="I555" s="605"/>
      <c r="K555" s="292"/>
      <c r="L555" s="1041"/>
      <c r="M555" s="1042"/>
      <c r="N555" s="1043"/>
      <c r="O555" s="1041"/>
      <c r="P555" s="1042"/>
      <c r="Q555" s="1042"/>
      <c r="R555" s="1042"/>
      <c r="S555" s="1066"/>
      <c r="T555" s="1042"/>
      <c r="U555" s="1042"/>
      <c r="V555" s="1042"/>
      <c r="W555" s="1042"/>
      <c r="X555" s="1042"/>
      <c r="Y555" s="1042"/>
      <c r="Z555" s="1042"/>
      <c r="AA555" s="1042"/>
      <c r="AB555" s="1042"/>
      <c r="AC555" s="1042"/>
      <c r="AD555" s="1043"/>
      <c r="AF555"/>
      <c r="AG555"/>
      <c r="AH555"/>
      <c r="AI555"/>
      <c r="AJ555"/>
      <c r="AK555"/>
      <c r="AL555"/>
      <c r="AM555"/>
      <c r="AN555"/>
      <c r="AO555"/>
      <c r="AP555"/>
      <c r="AQ555"/>
      <c r="AR555"/>
      <c r="AS555"/>
      <c r="AT555"/>
      <c r="AU555"/>
      <c r="BD555" s="292"/>
      <c r="BE555" s="354" t="s">
        <v>665</v>
      </c>
    </row>
    <row r="556" spans="1:57" ht="13.5" x14ac:dyDescent="0.15">
      <c r="B556" s="605"/>
      <c r="F556"/>
      <c r="G556" s="605"/>
      <c r="H556" s="292"/>
      <c r="I556" s="607"/>
      <c r="K556" s="292"/>
      <c r="L556" s="1038" t="s">
        <v>680</v>
      </c>
      <c r="M556" s="1039"/>
      <c r="N556" s="1040"/>
      <c r="O556" s="1038" t="s">
        <v>692</v>
      </c>
      <c r="P556" s="1060"/>
      <c r="Q556" s="1039"/>
      <c r="R556" s="1039"/>
      <c r="S556" s="1061" t="s">
        <v>682</v>
      </c>
      <c r="T556" s="1039"/>
      <c r="U556" s="1039"/>
      <c r="V556" s="1039"/>
      <c r="W556" s="1039"/>
      <c r="X556" s="1039"/>
      <c r="Y556" s="1039"/>
      <c r="Z556" s="1039"/>
      <c r="AA556" s="1039"/>
      <c r="AB556" s="1039"/>
      <c r="AC556" s="1039"/>
      <c r="AD556" s="1065"/>
      <c r="AF556"/>
      <c r="AG556"/>
      <c r="AH556"/>
      <c r="AI556"/>
      <c r="AJ556"/>
      <c r="AK556"/>
      <c r="AL556"/>
      <c r="AM556"/>
      <c r="AN556"/>
      <c r="AO556"/>
      <c r="AP556"/>
      <c r="AQ556"/>
      <c r="AR556"/>
      <c r="AS556"/>
      <c r="AT556"/>
      <c r="AU556"/>
      <c r="BD556" s="292"/>
      <c r="BE556" s="354" t="s">
        <v>665</v>
      </c>
    </row>
    <row r="557" spans="1:57" ht="13.5" x14ac:dyDescent="0.15">
      <c r="B557" s="605"/>
      <c r="F557"/>
      <c r="G557" s="605"/>
      <c r="H557" s="292"/>
      <c r="I557" s="605"/>
      <c r="K557" s="292"/>
      <c r="L557" s="605"/>
      <c r="N557" s="292"/>
      <c r="O557" s="605" t="s">
        <v>698</v>
      </c>
      <c r="S557" s="363" t="s">
        <v>684</v>
      </c>
      <c r="AD557" s="292"/>
      <c r="AG557"/>
      <c r="AH557"/>
      <c r="AI557"/>
      <c r="AJ557"/>
      <c r="AK557"/>
      <c r="AL557"/>
      <c r="AM557"/>
      <c r="AN557"/>
      <c r="AO557"/>
      <c r="AP557"/>
      <c r="AQ557"/>
      <c r="AR557"/>
      <c r="AS557"/>
      <c r="AT557"/>
      <c r="AU557"/>
      <c r="BD557" s="292"/>
      <c r="BE557" s="355" t="s">
        <v>665</v>
      </c>
    </row>
    <row r="558" spans="1:57" ht="13.5" x14ac:dyDescent="0.15">
      <c r="B558" s="605"/>
      <c r="F558"/>
      <c r="G558" s="1041"/>
      <c r="H558" s="1043"/>
      <c r="I558" s="1041"/>
      <c r="J558" s="1042"/>
      <c r="K558" s="1043"/>
      <c r="L558" s="1041"/>
      <c r="M558" s="1042"/>
      <c r="N558" s="1043"/>
      <c r="O558" s="1041"/>
      <c r="P558" s="1042"/>
      <c r="Q558" s="1042"/>
      <c r="R558" s="1042"/>
      <c r="S558" s="1066"/>
      <c r="T558" s="1042"/>
      <c r="U558" s="1042"/>
      <c r="V558" s="1042"/>
      <c r="W558" s="1042"/>
      <c r="X558" s="1042"/>
      <c r="Y558" s="1042"/>
      <c r="Z558" s="1042"/>
      <c r="AA558" s="1042"/>
      <c r="AB558" s="1042"/>
      <c r="AC558" s="1042"/>
      <c r="AD558" s="1043"/>
      <c r="AL558"/>
      <c r="AM558"/>
      <c r="AN558"/>
      <c r="AO558"/>
      <c r="AP558"/>
      <c r="AQ558"/>
      <c r="AR558"/>
      <c r="AS558"/>
      <c r="AT558"/>
      <c r="AU558"/>
      <c r="BD558" s="292"/>
      <c r="BE558" s="355" t="s">
        <v>665</v>
      </c>
    </row>
    <row r="559" spans="1:57" ht="13.5" x14ac:dyDescent="0.15">
      <c r="B559" s="605"/>
      <c r="E559" s="349"/>
      <c r="F559" s="364"/>
      <c r="G559" s="349"/>
      <c r="H559" s="364"/>
      <c r="P559" s="325"/>
      <c r="T559"/>
      <c r="U559"/>
      <c r="V559"/>
      <c r="W559"/>
      <c r="X559"/>
      <c r="Y559"/>
      <c r="Z559"/>
      <c r="AA559"/>
      <c r="AB559"/>
      <c r="AC559"/>
      <c r="AK559"/>
      <c r="AL559"/>
      <c r="AM559"/>
      <c r="AN559"/>
      <c r="AO559"/>
      <c r="AP559"/>
      <c r="AQ559"/>
      <c r="AR559"/>
      <c r="AS559"/>
      <c r="AT559"/>
      <c r="AU559"/>
      <c r="BD559" s="292"/>
      <c r="BE559" s="355" t="s">
        <v>665</v>
      </c>
    </row>
    <row r="560" spans="1:57" ht="13.5" x14ac:dyDescent="0.15">
      <c r="A560" s="355"/>
      <c r="B560" s="605"/>
      <c r="F560"/>
      <c r="G560"/>
      <c r="H560"/>
      <c r="I560"/>
      <c r="J560"/>
      <c r="K560"/>
      <c r="L560"/>
      <c r="M560"/>
      <c r="N560"/>
      <c r="O560"/>
      <c r="P560"/>
      <c r="Q560"/>
      <c r="R560"/>
      <c r="S560"/>
      <c r="T560"/>
      <c r="U560"/>
      <c r="V560"/>
      <c r="W560"/>
      <c r="X560"/>
      <c r="Y560"/>
      <c r="Z560"/>
      <c r="AA560"/>
      <c r="AB560"/>
      <c r="AC560"/>
      <c r="AD560"/>
      <c r="AE560"/>
      <c r="AF560"/>
      <c r="AG560"/>
      <c r="AH560"/>
      <c r="AI560"/>
      <c r="AJ560"/>
      <c r="AK560"/>
      <c r="AL560"/>
      <c r="AM560"/>
      <c r="AN560"/>
      <c r="AO560"/>
      <c r="AP560"/>
      <c r="AQ560"/>
      <c r="AR560"/>
      <c r="AS560"/>
      <c r="AT560"/>
      <c r="AU560"/>
      <c r="BD560" s="292"/>
      <c r="BE560" s="355" t="s">
        <v>665</v>
      </c>
    </row>
    <row r="561" spans="1:57" ht="13.5" x14ac:dyDescent="0.15">
      <c r="A561" s="355"/>
      <c r="B561" s="605"/>
      <c r="D561" s="476" t="s">
        <v>161</v>
      </c>
      <c r="E561" s="355" t="s">
        <v>699</v>
      </c>
      <c r="F561"/>
      <c r="O561"/>
      <c r="P561"/>
      <c r="Q561"/>
      <c r="R561"/>
      <c r="S561"/>
      <c r="T561"/>
      <c r="U561"/>
      <c r="V561"/>
      <c r="W561"/>
      <c r="X561"/>
      <c r="Y561"/>
      <c r="Z561"/>
      <c r="AA561"/>
      <c r="AB561"/>
      <c r="AC561"/>
      <c r="AD561"/>
      <c r="AE561"/>
      <c r="AF561"/>
      <c r="AG561"/>
      <c r="AH561"/>
      <c r="AI561"/>
      <c r="AJ561"/>
      <c r="AK561"/>
      <c r="AL561"/>
      <c r="AM561"/>
      <c r="AN561"/>
      <c r="AO561"/>
      <c r="AP561"/>
      <c r="AQ561"/>
      <c r="AR561"/>
      <c r="AS561"/>
      <c r="AT561"/>
      <c r="AU561"/>
      <c r="BD561" s="292"/>
      <c r="BE561" s="355" t="s">
        <v>665</v>
      </c>
    </row>
    <row r="562" spans="1:57" ht="13.5" x14ac:dyDescent="0.15">
      <c r="A562" s="355"/>
      <c r="B562" s="605"/>
      <c r="D562" s="325"/>
      <c r="F562"/>
      <c r="O562"/>
      <c r="P562"/>
      <c r="Q562"/>
      <c r="R562"/>
      <c r="S562"/>
      <c r="T562"/>
      <c r="U562"/>
      <c r="V562"/>
      <c r="W562"/>
      <c r="X562"/>
      <c r="Y562"/>
      <c r="Z562"/>
      <c r="AA562"/>
      <c r="AB562"/>
      <c r="AC562"/>
      <c r="AD562"/>
      <c r="AE562"/>
      <c r="AF562"/>
      <c r="AG562"/>
      <c r="AH562"/>
      <c r="AI562"/>
      <c r="AJ562"/>
      <c r="AK562"/>
      <c r="AL562"/>
      <c r="AM562"/>
      <c r="AN562"/>
      <c r="AO562"/>
      <c r="AP562"/>
      <c r="AQ562"/>
      <c r="AR562"/>
      <c r="AS562"/>
      <c r="AT562"/>
      <c r="AU562"/>
      <c r="BD562" s="292"/>
    </row>
    <row r="563" spans="1:57" ht="13.5" x14ac:dyDescent="0.15">
      <c r="A563" s="355"/>
      <c r="B563" s="605"/>
      <c r="D563" s="325"/>
      <c r="F563"/>
      <c r="M563" s="325"/>
      <c r="O563"/>
      <c r="P563"/>
      <c r="Q563"/>
      <c r="R563"/>
      <c r="S563"/>
      <c r="T563"/>
      <c r="U563"/>
      <c r="V563"/>
      <c r="W563"/>
      <c r="X563"/>
      <c r="Y563"/>
      <c r="Z563"/>
      <c r="AA563"/>
      <c r="AB563"/>
      <c r="AC563"/>
      <c r="AD563"/>
      <c r="AE563"/>
      <c r="AF563"/>
      <c r="AG563"/>
      <c r="AH563"/>
      <c r="AI563"/>
      <c r="AJ563"/>
      <c r="AK563"/>
      <c r="AL563"/>
      <c r="AM563"/>
      <c r="AN563"/>
      <c r="AO563"/>
      <c r="AP563"/>
      <c r="AQ563"/>
      <c r="AR563"/>
      <c r="AS563"/>
      <c r="AT563"/>
      <c r="AU563"/>
      <c r="BD563" s="292"/>
    </row>
    <row r="564" spans="1:57" ht="13.5" x14ac:dyDescent="0.15">
      <c r="A564" s="355"/>
      <c r="B564" s="605"/>
      <c r="F564"/>
      <c r="M564" s="325"/>
      <c r="O564"/>
      <c r="P564"/>
      <c r="Q564"/>
      <c r="R564" s="358"/>
      <c r="S564"/>
      <c r="T564"/>
      <c r="U564"/>
      <c r="V564"/>
      <c r="W564"/>
      <c r="X564"/>
      <c r="Y564"/>
      <c r="Z564"/>
      <c r="AA564"/>
      <c r="AB564"/>
      <c r="AC564"/>
      <c r="AD564"/>
      <c r="AE564"/>
      <c r="AF564"/>
      <c r="AG564"/>
      <c r="AH564"/>
      <c r="AI564"/>
      <c r="AJ564"/>
      <c r="AK564"/>
      <c r="AL564"/>
      <c r="AM564"/>
      <c r="AN564"/>
      <c r="AO564"/>
      <c r="AP564"/>
      <c r="AQ564"/>
      <c r="AR564"/>
      <c r="AS564"/>
      <c r="AT564"/>
      <c r="AU564"/>
      <c r="BD564" s="292"/>
    </row>
    <row r="565" spans="1:57" ht="13.5" x14ac:dyDescent="0.15">
      <c r="A565" s="355"/>
      <c r="B565" s="605"/>
      <c r="F565"/>
      <c r="M565" s="325"/>
      <c r="O565"/>
      <c r="P565"/>
      <c r="Q565"/>
      <c r="T565"/>
      <c r="U565"/>
      <c r="V565"/>
      <c r="W565"/>
      <c r="X565"/>
      <c r="Y565"/>
      <c r="Z565"/>
      <c r="AA565"/>
      <c r="AB565"/>
      <c r="AC565"/>
      <c r="AD565"/>
      <c r="AE565"/>
      <c r="AF565"/>
      <c r="AG565"/>
      <c r="AH565"/>
      <c r="AI565"/>
      <c r="AJ565"/>
      <c r="AK565"/>
      <c r="AL565"/>
      <c r="AM565"/>
      <c r="AN565"/>
      <c r="AO565"/>
      <c r="AP565"/>
      <c r="AQ565"/>
      <c r="AR565"/>
      <c r="AS565"/>
      <c r="AT565"/>
      <c r="AU565"/>
      <c r="BD565" s="292"/>
    </row>
    <row r="566" spans="1:57" ht="13.5" x14ac:dyDescent="0.15">
      <c r="A566" s="355"/>
      <c r="B566" s="605"/>
      <c r="F566"/>
      <c r="O566"/>
      <c r="P566"/>
      <c r="Q566"/>
      <c r="T566"/>
      <c r="U566"/>
      <c r="V566"/>
      <c r="W566"/>
      <c r="X566"/>
      <c r="Y566"/>
      <c r="Z566"/>
      <c r="AA566"/>
      <c r="AB566"/>
      <c r="AC566"/>
      <c r="AD566"/>
      <c r="AE566"/>
      <c r="AF566"/>
      <c r="AG566"/>
      <c r="AH566"/>
      <c r="AI566"/>
      <c r="AJ566"/>
      <c r="AK566"/>
      <c r="AL566"/>
      <c r="AM566"/>
      <c r="AN566"/>
      <c r="AO566"/>
      <c r="AP566"/>
      <c r="AQ566"/>
      <c r="AR566"/>
      <c r="AS566"/>
      <c r="AT566"/>
      <c r="AU566"/>
      <c r="BD566" s="292"/>
    </row>
    <row r="567" spans="1:57" ht="13.5" x14ac:dyDescent="0.15">
      <c r="A567" s="355"/>
      <c r="B567" s="605"/>
      <c r="F567"/>
      <c r="G567"/>
      <c r="H567"/>
      <c r="I567"/>
      <c r="J567"/>
      <c r="K567"/>
      <c r="L567"/>
      <c r="M567"/>
      <c r="N567"/>
      <c r="O567"/>
      <c r="P567"/>
      <c r="Q567"/>
      <c r="R567"/>
      <c r="S567"/>
      <c r="T567"/>
      <c r="U567"/>
      <c r="V567"/>
      <c r="W567"/>
      <c r="X567"/>
      <c r="Y567"/>
      <c r="Z567"/>
      <c r="AA567"/>
      <c r="AB567"/>
      <c r="AC567"/>
      <c r="AD567"/>
      <c r="AE567"/>
      <c r="AF567"/>
      <c r="AG567"/>
      <c r="AH567"/>
      <c r="AI567"/>
      <c r="AJ567"/>
      <c r="AK567"/>
      <c r="AL567"/>
      <c r="AM567"/>
      <c r="AN567"/>
      <c r="AO567"/>
      <c r="AP567"/>
      <c r="AQ567"/>
      <c r="AR567"/>
      <c r="AS567"/>
      <c r="AT567"/>
      <c r="AU567"/>
      <c r="BD567" s="292"/>
    </row>
    <row r="568" spans="1:57" x14ac:dyDescent="0.15">
      <c r="B568" s="1041"/>
      <c r="C568" s="1042"/>
      <c r="D568" s="1042"/>
      <c r="E568" s="1042"/>
      <c r="F568" s="1042"/>
      <c r="G568" s="1042"/>
      <c r="H568" s="1042"/>
      <c r="I568" s="1042"/>
      <c r="J568" s="1042"/>
      <c r="K568" s="1042"/>
      <c r="L568" s="1042"/>
      <c r="M568" s="1042"/>
      <c r="N568" s="1042"/>
      <c r="O568" s="1042"/>
      <c r="P568" s="1042"/>
      <c r="Q568" s="1042"/>
      <c r="R568" s="1042"/>
      <c r="S568" s="1042"/>
      <c r="T568" s="1042"/>
      <c r="U568" s="1042"/>
      <c r="V568" s="1042"/>
      <c r="W568" s="1042"/>
      <c r="X568" s="1042"/>
      <c r="Y568" s="1042"/>
      <c r="Z568" s="1042"/>
      <c r="AA568" s="1042"/>
      <c r="AB568" s="1042"/>
      <c r="AC568" s="1042"/>
      <c r="AD568" s="1042"/>
      <c r="AE568" s="1042"/>
      <c r="AF568" s="1042"/>
      <c r="AG568" s="1042"/>
      <c r="AH568" s="1042"/>
      <c r="AI568" s="1042"/>
      <c r="AJ568" s="1042"/>
      <c r="AK568" s="1042"/>
      <c r="AL568" s="1042"/>
      <c r="AM568" s="1042"/>
      <c r="AN568" s="1042"/>
      <c r="AO568" s="1042"/>
      <c r="AP568" s="1042"/>
      <c r="AQ568" s="1042"/>
      <c r="AR568" s="1042"/>
      <c r="AS568" s="1042"/>
      <c r="AT568" s="1042"/>
      <c r="AU568" s="1042"/>
      <c r="AV568" s="1042"/>
      <c r="AW568" s="1042"/>
      <c r="AX568" s="1042"/>
      <c r="AY568" s="1042"/>
      <c r="AZ568" s="1042"/>
      <c r="BA568" s="1042"/>
      <c r="BB568" s="1042"/>
      <c r="BC568" s="1042"/>
      <c r="BD568" s="1043"/>
    </row>
  </sheetData>
  <mergeCells count="160">
    <mergeCell ref="AX454:AZ454"/>
    <mergeCell ref="BA454:BD454"/>
    <mergeCell ref="B455:N455"/>
    <mergeCell ref="O455:T455"/>
    <mergeCell ref="U455:AA455"/>
    <mergeCell ref="AO455:AP455"/>
    <mergeCell ref="AQ455:AS455"/>
    <mergeCell ref="AT455:AW455"/>
    <mergeCell ref="AX455:AZ455"/>
    <mergeCell ref="BA455:BD455"/>
    <mergeCell ref="O454:T454"/>
    <mergeCell ref="U454:AA454"/>
    <mergeCell ref="AB454:AN455"/>
    <mergeCell ref="AO454:AP454"/>
    <mergeCell ref="AQ454:AS454"/>
    <mergeCell ref="AT454:AW454"/>
    <mergeCell ref="AX395:AZ395"/>
    <mergeCell ref="BA395:BD395"/>
    <mergeCell ref="B396:N396"/>
    <mergeCell ref="O396:T396"/>
    <mergeCell ref="U396:AA396"/>
    <mergeCell ref="AO396:AP396"/>
    <mergeCell ref="AQ396:AS396"/>
    <mergeCell ref="AT396:AW396"/>
    <mergeCell ref="AX396:AZ396"/>
    <mergeCell ref="BA396:BD396"/>
    <mergeCell ref="O395:T395"/>
    <mergeCell ref="U395:AA395"/>
    <mergeCell ref="AB395:AN396"/>
    <mergeCell ref="AO395:AP395"/>
    <mergeCell ref="AQ395:AS395"/>
    <mergeCell ref="AT395:AW395"/>
    <mergeCell ref="BA336:BD336"/>
    <mergeCell ref="B337:N337"/>
    <mergeCell ref="O337:T337"/>
    <mergeCell ref="U337:AA337"/>
    <mergeCell ref="AO337:AP337"/>
    <mergeCell ref="AQ337:AS337"/>
    <mergeCell ref="AT337:AW337"/>
    <mergeCell ref="AX337:AZ337"/>
    <mergeCell ref="BA337:BD337"/>
    <mergeCell ref="O336:T336"/>
    <mergeCell ref="U336:AA336"/>
    <mergeCell ref="AB336:AN337"/>
    <mergeCell ref="AO336:AP336"/>
    <mergeCell ref="AQ336:AS336"/>
    <mergeCell ref="AT336:AW336"/>
    <mergeCell ref="B3:N3"/>
    <mergeCell ref="O3:T3"/>
    <mergeCell ref="U3:AA3"/>
    <mergeCell ref="AO3:AP3"/>
    <mergeCell ref="AQ3:AS3"/>
    <mergeCell ref="AT3:AW3"/>
    <mergeCell ref="AX3:AZ3"/>
    <mergeCell ref="BA514:BD514"/>
    <mergeCell ref="O513:T513"/>
    <mergeCell ref="U513:AA513"/>
    <mergeCell ref="AB513:AN514"/>
    <mergeCell ref="AO513:AP513"/>
    <mergeCell ref="AQ513:AS513"/>
    <mergeCell ref="AT513:AW513"/>
    <mergeCell ref="AX513:AZ513"/>
    <mergeCell ref="BA513:BD513"/>
    <mergeCell ref="B514:N514"/>
    <mergeCell ref="O514:T514"/>
    <mergeCell ref="U514:AA514"/>
    <mergeCell ref="AO514:AP514"/>
    <mergeCell ref="AQ514:AS514"/>
    <mergeCell ref="AT514:AW514"/>
    <mergeCell ref="AX514:AZ514"/>
    <mergeCell ref="AX336:AZ336"/>
    <mergeCell ref="O2:T2"/>
    <mergeCell ref="U2:AA2"/>
    <mergeCell ref="AB2:AN3"/>
    <mergeCell ref="AO2:AP2"/>
    <mergeCell ref="AQ2:AS2"/>
    <mergeCell ref="BA3:BD3"/>
    <mergeCell ref="AT2:AW2"/>
    <mergeCell ref="AX2:AZ2"/>
    <mergeCell ref="BA2:BD2"/>
    <mergeCell ref="B165:N165"/>
    <mergeCell ref="O165:T165"/>
    <mergeCell ref="U165:AA165"/>
    <mergeCell ref="AO165:AP165"/>
    <mergeCell ref="AQ165:AS165"/>
    <mergeCell ref="O219:T219"/>
    <mergeCell ref="B278:N278"/>
    <mergeCell ref="O278:T278"/>
    <mergeCell ref="U278:AA278"/>
    <mergeCell ref="AO278:AP278"/>
    <mergeCell ref="AQ278:AS278"/>
    <mergeCell ref="AB277:AN278"/>
    <mergeCell ref="AO277:AP277"/>
    <mergeCell ref="O277:T277"/>
    <mergeCell ref="U219:AA219"/>
    <mergeCell ref="AB219:AN220"/>
    <mergeCell ref="AO219:AP219"/>
    <mergeCell ref="AQ219:AS219"/>
    <mergeCell ref="AB164:AN165"/>
    <mergeCell ref="AO164:AP164"/>
    <mergeCell ref="U277:AA277"/>
    <mergeCell ref="AQ164:AS164"/>
    <mergeCell ref="AQ277:AS277"/>
    <mergeCell ref="AT277:AW277"/>
    <mergeCell ref="BA164:BD164"/>
    <mergeCell ref="BA165:BD165"/>
    <mergeCell ref="BA277:BD277"/>
    <mergeCell ref="BA111:BD111"/>
    <mergeCell ref="BA278:BD278"/>
    <mergeCell ref="AT278:AW278"/>
    <mergeCell ref="BA220:BD220"/>
    <mergeCell ref="AX278:AZ278"/>
    <mergeCell ref="AX219:AZ219"/>
    <mergeCell ref="BA219:BD219"/>
    <mergeCell ref="AX220:AZ220"/>
    <mergeCell ref="AT165:AW165"/>
    <mergeCell ref="AT164:AW164"/>
    <mergeCell ref="AX164:AZ164"/>
    <mergeCell ref="AX165:AZ165"/>
    <mergeCell ref="AX277:AZ277"/>
    <mergeCell ref="AB56:AN57"/>
    <mergeCell ref="AO56:AP56"/>
    <mergeCell ref="AQ56:AS56"/>
    <mergeCell ref="AT56:AW56"/>
    <mergeCell ref="O220:T220"/>
    <mergeCell ref="AT220:AW220"/>
    <mergeCell ref="AT111:AW111"/>
    <mergeCell ref="O111:T111"/>
    <mergeCell ref="U111:AA111"/>
    <mergeCell ref="AO111:AP111"/>
    <mergeCell ref="U110:AA110"/>
    <mergeCell ref="AB110:AN111"/>
    <mergeCell ref="AO110:AP110"/>
    <mergeCell ref="AQ110:AS110"/>
    <mergeCell ref="AT57:AW57"/>
    <mergeCell ref="AT219:AW219"/>
    <mergeCell ref="AX56:AZ56"/>
    <mergeCell ref="BA56:BD56"/>
    <mergeCell ref="AX57:AZ57"/>
    <mergeCell ref="B111:N111"/>
    <mergeCell ref="U220:AA220"/>
    <mergeCell ref="AO220:AP220"/>
    <mergeCell ref="AQ220:AS220"/>
    <mergeCell ref="O164:T164"/>
    <mergeCell ref="U164:AA164"/>
    <mergeCell ref="AT110:AW110"/>
    <mergeCell ref="AX110:AZ110"/>
    <mergeCell ref="BA110:BD110"/>
    <mergeCell ref="AX111:AZ111"/>
    <mergeCell ref="BA57:BD57"/>
    <mergeCell ref="B57:N57"/>
    <mergeCell ref="O57:T57"/>
    <mergeCell ref="U57:AA57"/>
    <mergeCell ref="AO57:AP57"/>
    <mergeCell ref="AQ57:AS57"/>
    <mergeCell ref="O56:T56"/>
    <mergeCell ref="U56:AA56"/>
    <mergeCell ref="B220:N220"/>
    <mergeCell ref="AQ111:AS111"/>
    <mergeCell ref="O110:T110"/>
  </mergeCells>
  <phoneticPr fontId="4"/>
  <pageMargins left="0.70866141732283472" right="0.70866141732283472" top="0.74803149606299213" bottom="0.74803149606299213" header="0.31496062992125984" footer="0.31496062992125984"/>
  <pageSetup paperSize="9" scale="74" fitToHeight="0" orientation="landscape" r:id="rId1"/>
  <headerFooter>
    <oddHeader>&amp;RFUJITSU CONFIDENTIAL</oddHeader>
    <oddFooter>&amp;RAll Rights Reserved, Copyright(c) Fujitsu  Limited 2024</oddFooter>
  </headerFooter>
  <rowBreaks count="9" manualBreakCount="9">
    <brk id="55" max="16383" man="1"/>
    <brk id="109" max="16383" man="1"/>
    <brk id="163" max="16383" man="1"/>
    <brk id="218" max="16383" man="1"/>
    <brk id="276" max="16383" man="1"/>
    <brk id="335" max="55" man="1"/>
    <brk id="394" max="55" man="1"/>
    <brk id="453" max="55" man="1"/>
    <brk id="512" max="16383"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013E26-4939-4B96-B320-2D81326CBEE1}">
  <sheetPr>
    <pageSetUpPr fitToPage="1"/>
  </sheetPr>
  <dimension ref="A1:BE234"/>
  <sheetViews>
    <sheetView showGridLines="0" view="pageBreakPreview" topLeftCell="A28" zoomScaleNormal="120" zoomScaleSheetLayoutView="100" workbookViewId="0">
      <selection activeCell="O35" sqref="O35"/>
    </sheetView>
  </sheetViews>
  <sheetFormatPr defaultColWidth="3" defaultRowHeight="11.25" x14ac:dyDescent="0.15"/>
  <cols>
    <col min="1" max="8" width="3" style="291"/>
    <col min="9" max="11" width="4.875" style="291" bestFit="1" customWidth="1"/>
    <col min="12" max="15" width="3" style="291"/>
    <col min="16" max="16" width="4" style="291" bestFit="1" customWidth="1"/>
    <col min="17" max="19" width="3" style="291"/>
    <col min="20" max="21" width="4.875" style="291" bestFit="1" customWidth="1"/>
    <col min="22" max="27" width="3" style="291"/>
    <col min="28" max="29" width="4" style="291" bestFit="1" customWidth="1"/>
    <col min="30" max="37" width="3" style="291"/>
    <col min="38" max="38" width="4.875" style="291" bestFit="1" customWidth="1"/>
    <col min="39" max="39" width="5.375" style="291" bestFit="1" customWidth="1"/>
    <col min="40" max="40" width="4" style="291" bestFit="1" customWidth="1"/>
    <col min="41" max="41" width="3.375" style="291" customWidth="1"/>
    <col min="42" max="16384" width="3" style="291"/>
  </cols>
  <sheetData>
    <row r="1" spans="1:57" ht="14.25" thickTop="1" x14ac:dyDescent="0.15">
      <c r="B1" s="50" t="s">
        <v>6</v>
      </c>
      <c r="C1" s="51"/>
      <c r="D1" s="51"/>
      <c r="E1" s="51"/>
      <c r="F1" s="51"/>
      <c r="G1" s="51"/>
      <c r="H1" s="51"/>
      <c r="I1" s="51"/>
      <c r="J1" s="51"/>
      <c r="K1" s="51"/>
      <c r="L1" s="51"/>
      <c r="M1" s="51"/>
      <c r="N1" s="52"/>
      <c r="O1" s="1247" t="s">
        <v>7</v>
      </c>
      <c r="P1" s="1312"/>
      <c r="Q1" s="1312"/>
      <c r="R1" s="1312"/>
      <c r="S1" s="1312"/>
      <c r="T1" s="1313"/>
      <c r="U1" s="1250" t="s">
        <v>8</v>
      </c>
      <c r="V1" s="1312"/>
      <c r="W1" s="1312"/>
      <c r="X1" s="1312"/>
      <c r="Y1" s="1312"/>
      <c r="Z1" s="1312"/>
      <c r="AA1" s="1313"/>
      <c r="AB1" s="1306" t="s">
        <v>700</v>
      </c>
      <c r="AC1" s="1314"/>
      <c r="AD1" s="1314"/>
      <c r="AE1" s="1314"/>
      <c r="AF1" s="1314"/>
      <c r="AG1" s="1314"/>
      <c r="AH1" s="1314"/>
      <c r="AI1" s="1314"/>
      <c r="AJ1" s="1314"/>
      <c r="AK1" s="1314"/>
      <c r="AL1" s="1314"/>
      <c r="AM1" s="1314"/>
      <c r="AN1" s="1315"/>
      <c r="AO1" s="1250" t="s">
        <v>10</v>
      </c>
      <c r="AP1" s="1249"/>
      <c r="AQ1" s="1303" t="s">
        <v>11</v>
      </c>
      <c r="AR1" s="1304"/>
      <c r="AS1" s="1305"/>
      <c r="AT1" s="1250" t="s">
        <v>12</v>
      </c>
      <c r="AU1" s="1248"/>
      <c r="AV1" s="1248"/>
      <c r="AW1" s="1249"/>
      <c r="AX1" s="1303" t="s">
        <v>13</v>
      </c>
      <c r="AY1" s="1304"/>
      <c r="AZ1" s="1305"/>
      <c r="BA1" s="1250" t="s">
        <v>14</v>
      </c>
      <c r="BB1" s="1248"/>
      <c r="BC1" s="1248"/>
      <c r="BD1" s="1249"/>
      <c r="BE1" s="355" t="s">
        <v>701</v>
      </c>
    </row>
    <row r="2" spans="1:57" ht="14.25" thickBot="1" x14ac:dyDescent="0.2">
      <c r="B2" s="1260" t="s">
        <v>15</v>
      </c>
      <c r="C2" s="1261"/>
      <c r="D2" s="1261"/>
      <c r="E2" s="1261"/>
      <c r="F2" s="1261"/>
      <c r="G2" s="1261"/>
      <c r="H2" s="1261"/>
      <c r="I2" s="1261"/>
      <c r="J2" s="1261"/>
      <c r="K2" s="1261"/>
      <c r="L2" s="1261"/>
      <c r="M2" s="1261"/>
      <c r="N2" s="1262"/>
      <c r="O2" s="1263" t="s">
        <v>16</v>
      </c>
      <c r="P2" s="1312"/>
      <c r="Q2" s="1312"/>
      <c r="R2" s="1312"/>
      <c r="S2" s="1312"/>
      <c r="T2" s="1313"/>
      <c r="U2" s="1266" t="s">
        <v>163</v>
      </c>
      <c r="V2" s="1312"/>
      <c r="W2" s="1312"/>
      <c r="X2" s="1312"/>
      <c r="Y2" s="1312"/>
      <c r="Z2" s="1312"/>
      <c r="AA2" s="1313"/>
      <c r="AB2" s="1316"/>
      <c r="AC2" s="1317"/>
      <c r="AD2" s="1317"/>
      <c r="AE2" s="1317"/>
      <c r="AF2" s="1317"/>
      <c r="AG2" s="1317"/>
      <c r="AH2" s="1317"/>
      <c r="AI2" s="1317"/>
      <c r="AJ2" s="1317"/>
      <c r="AK2" s="1317"/>
      <c r="AL2" s="1317"/>
      <c r="AM2" s="1317"/>
      <c r="AN2" s="1318"/>
      <c r="AO2" s="1267">
        <f>取引ログ作成時の注意事項!AO3</f>
        <v>1.1200000000000001</v>
      </c>
      <c r="AP2" s="1268"/>
      <c r="AQ2" s="1266" t="s">
        <v>18</v>
      </c>
      <c r="AR2" s="1264"/>
      <c r="AS2" s="1265"/>
      <c r="AT2" s="1269">
        <f>取引ログ作成時の注意事項!AT3</f>
        <v>45709</v>
      </c>
      <c r="AU2" s="1270"/>
      <c r="AV2" s="1270"/>
      <c r="AW2" s="1270"/>
      <c r="AX2" s="1266" t="s">
        <v>18</v>
      </c>
      <c r="AY2" s="1264"/>
      <c r="AZ2" s="1265"/>
      <c r="BA2" s="1269">
        <v>45581</v>
      </c>
      <c r="BB2" s="1270"/>
      <c r="BC2" s="1270"/>
      <c r="BD2" s="1271"/>
    </row>
    <row r="3" spans="1:57" ht="12" thickTop="1" x14ac:dyDescent="0.15"/>
    <row r="4" spans="1:57" x14ac:dyDescent="0.15">
      <c r="B4" s="1038"/>
      <c r="C4" s="1039"/>
      <c r="D4" s="1039"/>
      <c r="E4" s="1039"/>
      <c r="F4" s="1039"/>
      <c r="G4" s="1039"/>
      <c r="H4" s="1039"/>
      <c r="I4" s="1039"/>
      <c r="J4" s="1039"/>
      <c r="K4" s="1039"/>
      <c r="L4" s="1039"/>
      <c r="M4" s="1039"/>
      <c r="N4" s="1039"/>
      <c r="O4" s="1039"/>
      <c r="P4" s="1039"/>
      <c r="Q4" s="1039"/>
      <c r="R4" s="1039"/>
      <c r="S4" s="1039"/>
      <c r="T4" s="1039"/>
      <c r="U4" s="1039"/>
      <c r="V4" s="1039"/>
      <c r="W4" s="1039"/>
      <c r="X4" s="1039"/>
      <c r="Y4" s="1039"/>
      <c r="Z4" s="1039"/>
      <c r="AA4" s="1039"/>
      <c r="AB4" s="1039"/>
      <c r="AC4" s="1039"/>
      <c r="AD4" s="1039"/>
      <c r="AE4" s="1039"/>
      <c r="AF4" s="1039"/>
      <c r="AG4" s="1039"/>
      <c r="AH4" s="1039"/>
      <c r="AI4" s="1039"/>
      <c r="AJ4" s="1039"/>
      <c r="AK4" s="1039"/>
      <c r="AL4" s="1039"/>
      <c r="AM4" s="1039"/>
      <c r="AN4" s="1039"/>
      <c r="AO4" s="1039"/>
      <c r="AP4" s="1039"/>
      <c r="AQ4" s="1039"/>
      <c r="AR4" s="1039"/>
      <c r="AS4" s="1039"/>
      <c r="AT4" s="1039"/>
      <c r="AU4" s="1039"/>
      <c r="AV4" s="1039"/>
      <c r="AW4" s="1039"/>
      <c r="AX4" s="1039"/>
      <c r="AY4" s="1039"/>
      <c r="AZ4" s="1039"/>
      <c r="BA4" s="1039"/>
      <c r="BB4" s="1039"/>
      <c r="BC4" s="1039"/>
      <c r="BD4" s="1040"/>
    </row>
    <row r="5" spans="1:57" x14ac:dyDescent="0.15">
      <c r="A5" s="339"/>
      <c r="B5" s="605"/>
      <c r="C5" s="345" t="s">
        <v>537</v>
      </c>
      <c r="D5" s="291" t="s">
        <v>702</v>
      </c>
      <c r="BD5" s="292"/>
    </row>
    <row r="6" spans="1:57" x14ac:dyDescent="0.15">
      <c r="A6" s="339"/>
      <c r="B6" s="605"/>
      <c r="BD6" s="292"/>
    </row>
    <row r="7" spans="1:57" x14ac:dyDescent="0.15">
      <c r="A7" s="339"/>
      <c r="B7" s="605"/>
      <c r="D7" s="291" t="s">
        <v>703</v>
      </c>
      <c r="BD7" s="292"/>
    </row>
    <row r="8" spans="1:57" x14ac:dyDescent="0.15">
      <c r="A8" s="339"/>
      <c r="B8" s="605"/>
      <c r="D8" s="1042" t="s">
        <v>704</v>
      </c>
      <c r="E8" s="1042"/>
      <c r="F8" s="1042" t="s">
        <v>705</v>
      </c>
      <c r="G8" s="1042"/>
      <c r="H8" s="1042"/>
      <c r="I8" s="1042" t="s">
        <v>706</v>
      </c>
      <c r="J8" s="1042" t="s">
        <v>707</v>
      </c>
      <c r="K8" s="1042" t="s">
        <v>708</v>
      </c>
      <c r="L8" s="1042"/>
      <c r="M8" s="1042"/>
      <c r="N8" s="1042" t="s">
        <v>709</v>
      </c>
      <c r="O8" s="1042"/>
      <c r="P8" s="1042" t="s">
        <v>710</v>
      </c>
      <c r="Q8" s="1042"/>
      <c r="R8" s="1042"/>
      <c r="S8" s="1042" t="s">
        <v>711</v>
      </c>
      <c r="T8" s="1042"/>
      <c r="U8" s="1042"/>
      <c r="V8" s="1042"/>
      <c r="W8" s="1042"/>
      <c r="X8" s="1042"/>
      <c r="Y8" s="1042"/>
      <c r="Z8" s="1042"/>
      <c r="AA8" s="1042"/>
      <c r="AB8" s="1042"/>
      <c r="AC8" s="1042"/>
      <c r="AD8" s="1042"/>
      <c r="AE8" s="1042"/>
      <c r="AF8" s="1042"/>
      <c r="AG8" s="1042"/>
      <c r="BD8" s="292"/>
    </row>
    <row r="9" spans="1:57" x14ac:dyDescent="0.15">
      <c r="B9" s="605"/>
      <c r="D9" s="291">
        <v>1</v>
      </c>
      <c r="F9" s="340" t="s">
        <v>712</v>
      </c>
      <c r="H9" s="340"/>
      <c r="I9" s="340" t="s">
        <v>713</v>
      </c>
      <c r="J9" s="513">
        <v>100</v>
      </c>
      <c r="K9" s="512">
        <v>200</v>
      </c>
      <c r="M9" s="340"/>
      <c r="N9" s="340" t="s">
        <v>714</v>
      </c>
      <c r="O9" s="340"/>
      <c r="P9" s="511">
        <v>0.08</v>
      </c>
      <c r="Q9" s="340"/>
      <c r="R9" s="340"/>
      <c r="T9" s="340"/>
      <c r="U9" s="340"/>
      <c r="BD9" s="292"/>
    </row>
    <row r="10" spans="1:57" x14ac:dyDescent="0.15">
      <c r="B10" s="605"/>
      <c r="D10" s="291">
        <v>2</v>
      </c>
      <c r="F10" s="340" t="s">
        <v>715</v>
      </c>
      <c r="H10" s="340"/>
      <c r="I10" s="340" t="s">
        <v>713</v>
      </c>
      <c r="J10" s="513">
        <v>95</v>
      </c>
      <c r="K10" s="512">
        <v>190</v>
      </c>
      <c r="M10" s="340"/>
      <c r="N10" s="340" t="s">
        <v>714</v>
      </c>
      <c r="O10" s="340"/>
      <c r="P10" s="511">
        <v>0.08</v>
      </c>
      <c r="Q10" s="340"/>
      <c r="R10" s="340"/>
      <c r="T10" s="340"/>
      <c r="U10" s="340"/>
      <c r="BD10" s="292"/>
    </row>
    <row r="11" spans="1:57" x14ac:dyDescent="0.15">
      <c r="B11" s="605"/>
      <c r="D11" s="291">
        <v>3</v>
      </c>
      <c r="F11" s="340" t="s">
        <v>716</v>
      </c>
      <c r="H11" s="340"/>
      <c r="I11" s="340" t="s">
        <v>713</v>
      </c>
      <c r="J11" s="513">
        <v>100</v>
      </c>
      <c r="K11" s="512">
        <v>200</v>
      </c>
      <c r="M11" s="340"/>
      <c r="N11" s="340" t="s">
        <v>714</v>
      </c>
      <c r="O11" s="340"/>
      <c r="P11" s="511">
        <v>0.1</v>
      </c>
      <c r="Q11" s="340"/>
      <c r="R11" s="340"/>
      <c r="T11" s="340"/>
      <c r="U11" s="340"/>
      <c r="BD11" s="292"/>
    </row>
    <row r="12" spans="1:57" x14ac:dyDescent="0.15">
      <c r="B12" s="605"/>
      <c r="D12" s="291">
        <v>4</v>
      </c>
      <c r="F12" s="340" t="s">
        <v>712</v>
      </c>
      <c r="H12" s="340"/>
      <c r="I12" s="340" t="s">
        <v>717</v>
      </c>
      <c r="J12" s="513">
        <v>100</v>
      </c>
      <c r="K12" s="512">
        <v>300</v>
      </c>
      <c r="M12" s="340"/>
      <c r="N12" s="340" t="s">
        <v>714</v>
      </c>
      <c r="O12" s="340"/>
      <c r="P12" s="511">
        <v>0.1</v>
      </c>
      <c r="Q12" s="340"/>
      <c r="R12" s="340"/>
      <c r="S12" s="291" t="s">
        <v>718</v>
      </c>
      <c r="T12" s="340"/>
      <c r="U12" s="340"/>
      <c r="BD12" s="292"/>
    </row>
    <row r="13" spans="1:57" x14ac:dyDescent="0.15">
      <c r="B13" s="605"/>
      <c r="D13" s="519">
        <v>5</v>
      </c>
      <c r="E13" s="519"/>
      <c r="F13" s="520" t="s">
        <v>719</v>
      </c>
      <c r="G13" s="519"/>
      <c r="H13" s="520"/>
      <c r="I13" s="520" t="s">
        <v>713</v>
      </c>
      <c r="J13" s="523">
        <v>100</v>
      </c>
      <c r="K13" s="522">
        <v>200</v>
      </c>
      <c r="L13" s="519"/>
      <c r="M13" s="520"/>
      <c r="N13" s="520" t="s">
        <v>720</v>
      </c>
      <c r="O13" s="520"/>
      <c r="P13" s="521">
        <v>0.08</v>
      </c>
      <c r="Q13" s="520"/>
      <c r="R13" s="520"/>
      <c r="S13" s="519"/>
      <c r="T13" s="520"/>
      <c r="U13" s="520"/>
      <c r="V13" s="519"/>
      <c r="W13" s="519"/>
      <c r="X13" s="519"/>
      <c r="Y13" s="519"/>
      <c r="Z13" s="519"/>
      <c r="AA13" s="519"/>
      <c r="AB13" s="519"/>
      <c r="AC13" s="519"/>
      <c r="AD13" s="519"/>
      <c r="AE13" s="519"/>
      <c r="AF13" s="519"/>
      <c r="AG13" s="519"/>
      <c r="BD13" s="292"/>
    </row>
    <row r="14" spans="1:57" x14ac:dyDescent="0.15">
      <c r="B14" s="605"/>
      <c r="D14" s="291">
        <v>6</v>
      </c>
      <c r="F14" s="340" t="s">
        <v>721</v>
      </c>
      <c r="H14" s="340"/>
      <c r="I14" s="340" t="s">
        <v>713</v>
      </c>
      <c r="J14" s="513">
        <v>95</v>
      </c>
      <c r="K14" s="512">
        <v>190</v>
      </c>
      <c r="M14" s="340"/>
      <c r="N14" s="340" t="s">
        <v>720</v>
      </c>
      <c r="O14" s="340"/>
      <c r="P14" s="511">
        <v>0.08</v>
      </c>
      <c r="Q14" s="340"/>
      <c r="R14" s="340"/>
      <c r="T14" s="340"/>
      <c r="U14" s="340"/>
      <c r="BD14" s="292"/>
    </row>
    <row r="15" spans="1:57" x14ac:dyDescent="0.15">
      <c r="B15" s="605"/>
      <c r="D15" s="291">
        <v>7</v>
      </c>
      <c r="F15" s="340" t="s">
        <v>722</v>
      </c>
      <c r="H15" s="340"/>
      <c r="I15" s="340" t="s">
        <v>713</v>
      </c>
      <c r="J15" s="513">
        <v>100</v>
      </c>
      <c r="K15" s="512">
        <v>200</v>
      </c>
      <c r="M15" s="340"/>
      <c r="N15" s="340" t="s">
        <v>720</v>
      </c>
      <c r="O15" s="340"/>
      <c r="P15" s="511">
        <v>0.1</v>
      </c>
      <c r="Q15" s="340"/>
      <c r="R15" s="340"/>
      <c r="T15" s="340"/>
      <c r="U15" s="340"/>
      <c r="BD15" s="292"/>
    </row>
    <row r="16" spans="1:57" x14ac:dyDescent="0.15">
      <c r="B16" s="605"/>
      <c r="D16" s="514">
        <v>8</v>
      </c>
      <c r="E16" s="514"/>
      <c r="F16" s="515" t="s">
        <v>719</v>
      </c>
      <c r="G16" s="514"/>
      <c r="H16" s="515"/>
      <c r="I16" s="515" t="s">
        <v>717</v>
      </c>
      <c r="J16" s="518">
        <v>100</v>
      </c>
      <c r="K16" s="517">
        <v>300</v>
      </c>
      <c r="L16" s="514"/>
      <c r="M16" s="515"/>
      <c r="N16" s="515" t="s">
        <v>720</v>
      </c>
      <c r="O16" s="515"/>
      <c r="P16" s="516">
        <v>0.1</v>
      </c>
      <c r="Q16" s="515"/>
      <c r="R16" s="515"/>
      <c r="S16" s="514" t="s">
        <v>723</v>
      </c>
      <c r="T16" s="515"/>
      <c r="U16" s="515"/>
      <c r="V16" s="514"/>
      <c r="W16" s="514"/>
      <c r="X16" s="514"/>
      <c r="Y16" s="514"/>
      <c r="Z16" s="514"/>
      <c r="AA16" s="514"/>
      <c r="AB16" s="514"/>
      <c r="AC16" s="514"/>
      <c r="AD16" s="514"/>
      <c r="AE16" s="514"/>
      <c r="AF16" s="514"/>
      <c r="AG16" s="514"/>
      <c r="BD16" s="292"/>
    </row>
    <row r="17" spans="2:56" x14ac:dyDescent="0.15">
      <c r="B17" s="605"/>
      <c r="D17" s="291">
        <v>9</v>
      </c>
      <c r="F17" s="340" t="s">
        <v>724</v>
      </c>
      <c r="H17" s="340"/>
      <c r="I17" s="340" t="s">
        <v>713</v>
      </c>
      <c r="J17" s="513">
        <v>100</v>
      </c>
      <c r="K17" s="512">
        <v>200</v>
      </c>
      <c r="M17" s="340"/>
      <c r="N17" s="340" t="s">
        <v>725</v>
      </c>
      <c r="O17" s="340"/>
      <c r="P17" s="511">
        <v>0</v>
      </c>
      <c r="Q17" s="340"/>
      <c r="R17" s="340"/>
      <c r="T17" s="340"/>
      <c r="U17" s="340"/>
      <c r="BD17" s="292"/>
    </row>
    <row r="18" spans="2:56" x14ac:dyDescent="0.15">
      <c r="B18" s="605"/>
      <c r="D18" s="291">
        <v>10</v>
      </c>
      <c r="F18" s="340" t="s">
        <v>726</v>
      </c>
      <c r="H18" s="340"/>
      <c r="I18" s="340" t="s">
        <v>717</v>
      </c>
      <c r="J18" s="513">
        <v>95</v>
      </c>
      <c r="K18" s="512">
        <v>285</v>
      </c>
      <c r="M18" s="340"/>
      <c r="N18" s="340" t="s">
        <v>725</v>
      </c>
      <c r="O18" s="340"/>
      <c r="P18" s="511">
        <v>0</v>
      </c>
      <c r="Q18" s="340"/>
      <c r="R18" s="340"/>
      <c r="T18" s="340"/>
      <c r="U18" s="340"/>
      <c r="BD18" s="292"/>
    </row>
    <row r="19" spans="2:56" x14ac:dyDescent="0.15">
      <c r="B19" s="605"/>
      <c r="D19" s="340"/>
      <c r="E19" s="340"/>
      <c r="F19" s="340"/>
      <c r="G19" s="340"/>
      <c r="H19" s="340"/>
      <c r="I19" s="341"/>
      <c r="J19" s="340"/>
      <c r="K19" s="340"/>
      <c r="L19" s="340"/>
      <c r="M19" s="340"/>
      <c r="N19" s="340"/>
      <c r="O19" s="340"/>
      <c r="P19" s="340"/>
      <c r="Q19" s="340"/>
      <c r="R19" s="340"/>
      <c r="S19" s="340"/>
      <c r="U19" s="340"/>
      <c r="BD19" s="292"/>
    </row>
    <row r="20" spans="2:56" x14ac:dyDescent="0.15">
      <c r="B20" s="605"/>
      <c r="D20" s="340" t="s">
        <v>727</v>
      </c>
      <c r="E20" s="340"/>
      <c r="F20" s="340"/>
      <c r="G20" s="340"/>
      <c r="H20" s="340"/>
      <c r="I20" s="340"/>
      <c r="J20" s="340"/>
      <c r="K20" s="340"/>
      <c r="L20" s="340"/>
      <c r="M20" s="340"/>
      <c r="N20" s="340"/>
      <c r="O20" s="340"/>
      <c r="P20" s="340"/>
      <c r="Q20" s="340"/>
      <c r="R20" s="340"/>
      <c r="S20" s="340"/>
      <c r="U20" s="340"/>
      <c r="BD20" s="292"/>
    </row>
    <row r="21" spans="2:56" x14ac:dyDescent="0.15">
      <c r="B21" s="605"/>
      <c r="D21" s="340" t="s">
        <v>728</v>
      </c>
      <c r="E21" s="340"/>
      <c r="F21" s="340"/>
      <c r="G21" s="340"/>
      <c r="H21" s="340"/>
      <c r="I21" s="340"/>
      <c r="J21" s="340"/>
      <c r="K21" s="340"/>
      <c r="L21" s="340"/>
      <c r="M21" s="340"/>
      <c r="N21" s="340"/>
      <c r="O21" s="340"/>
      <c r="P21" s="340"/>
      <c r="Q21" s="340"/>
      <c r="R21" s="340"/>
      <c r="S21" s="340"/>
      <c r="U21" s="340"/>
      <c r="BD21" s="292"/>
    </row>
    <row r="22" spans="2:56" x14ac:dyDescent="0.15">
      <c r="B22" s="605"/>
      <c r="D22" s="325"/>
      <c r="F22" s="325"/>
      <c r="I22" s="325"/>
      <c r="M22" s="325"/>
      <c r="BD22" s="292"/>
    </row>
    <row r="23" spans="2:56" x14ac:dyDescent="0.15">
      <c r="B23" s="605"/>
      <c r="D23" s="340" t="s">
        <v>729</v>
      </c>
      <c r="E23" s="340"/>
      <c r="F23" s="340"/>
      <c r="G23" s="340"/>
      <c r="H23" s="340"/>
      <c r="I23" s="340"/>
      <c r="J23" s="340"/>
      <c r="K23" s="340"/>
      <c r="L23" s="340"/>
      <c r="M23" s="340"/>
      <c r="N23" s="340"/>
      <c r="O23" s="340"/>
      <c r="P23" s="340"/>
      <c r="Q23" s="340"/>
      <c r="R23" s="340"/>
      <c r="S23" s="340"/>
      <c r="U23" s="340"/>
      <c r="BD23" s="292"/>
    </row>
    <row r="24" spans="2:56" x14ac:dyDescent="0.15">
      <c r="B24" s="605"/>
      <c r="D24" s="325"/>
      <c r="F24" s="325"/>
      <c r="I24" s="325"/>
      <c r="M24" s="325"/>
      <c r="BD24" s="292"/>
    </row>
    <row r="25" spans="2:56" x14ac:dyDescent="0.15">
      <c r="B25" s="605"/>
      <c r="D25" s="325"/>
      <c r="F25" s="325"/>
      <c r="I25" s="325"/>
      <c r="L25" s="342" t="s">
        <v>730</v>
      </c>
      <c r="M25" s="325"/>
      <c r="AF25" s="342" t="s">
        <v>731</v>
      </c>
      <c r="BD25" s="292"/>
    </row>
    <row r="26" spans="2:56" x14ac:dyDescent="0.15">
      <c r="B26" s="605"/>
      <c r="D26" s="291" t="s">
        <v>549</v>
      </c>
      <c r="M26" s="291" t="s">
        <v>732</v>
      </c>
      <c r="W26" s="291" t="s">
        <v>551</v>
      </c>
      <c r="AG26" s="291" t="s">
        <v>182</v>
      </c>
      <c r="BD26" s="292"/>
    </row>
    <row r="27" spans="2:56" x14ac:dyDescent="0.15">
      <c r="B27" s="605"/>
      <c r="D27" s="1038" t="s">
        <v>552</v>
      </c>
      <c r="E27" s="1039"/>
      <c r="F27" s="1039"/>
      <c r="G27" s="1039"/>
      <c r="H27" s="1039"/>
      <c r="I27" s="1039"/>
      <c r="J27" s="1039"/>
      <c r="K27" s="1040"/>
      <c r="M27" s="1038" t="s">
        <v>553</v>
      </c>
      <c r="N27" s="1039"/>
      <c r="O27" s="1039"/>
      <c r="P27" s="1039"/>
      <c r="Q27" s="1039"/>
      <c r="R27" s="1039"/>
      <c r="S27" s="1039"/>
      <c r="T27" s="1039"/>
      <c r="U27" s="1040"/>
      <c r="W27" s="1038" t="s">
        <v>137</v>
      </c>
      <c r="X27" s="1039"/>
      <c r="Y27" s="1039"/>
      <c r="Z27" s="1039"/>
      <c r="AA27" s="1039"/>
      <c r="AB27" s="1039"/>
      <c r="AC27" s="1039"/>
      <c r="AD27" s="1040"/>
      <c r="AG27" s="1038" t="s">
        <v>554</v>
      </c>
      <c r="AH27" s="1039"/>
      <c r="AI27" s="1039"/>
      <c r="AJ27" s="1039"/>
      <c r="AK27" s="1039"/>
      <c r="AL27" s="1039"/>
      <c r="AM27" s="1039"/>
      <c r="AN27" s="1040"/>
      <c r="AO27" s="291" t="s">
        <v>733</v>
      </c>
      <c r="BD27" s="292"/>
    </row>
    <row r="28" spans="2:56" x14ac:dyDescent="0.15">
      <c r="B28" s="605"/>
      <c r="D28" s="605"/>
      <c r="E28" s="291" t="s">
        <v>248</v>
      </c>
      <c r="J28" s="325" t="s">
        <v>556</v>
      </c>
      <c r="K28" s="292"/>
      <c r="M28" s="605"/>
      <c r="N28" s="291" t="s">
        <v>248</v>
      </c>
      <c r="T28" s="325" t="s">
        <v>556</v>
      </c>
      <c r="U28" s="292"/>
      <c r="W28" s="605"/>
      <c r="X28" s="291" t="s">
        <v>248</v>
      </c>
      <c r="AC28" s="325" t="s">
        <v>556</v>
      </c>
      <c r="AD28" s="292"/>
      <c r="AG28" s="605"/>
      <c r="AH28" s="291" t="s">
        <v>248</v>
      </c>
      <c r="AM28" s="325" t="s">
        <v>556</v>
      </c>
      <c r="AN28" s="292"/>
      <c r="BD28" s="292"/>
    </row>
    <row r="29" spans="2:56" x14ac:dyDescent="0.15">
      <c r="B29" s="605"/>
      <c r="D29" s="605"/>
      <c r="E29" s="291" t="s">
        <v>259</v>
      </c>
      <c r="J29" s="291">
        <v>1</v>
      </c>
      <c r="K29" s="292"/>
      <c r="M29" s="605"/>
      <c r="N29" s="291" t="s">
        <v>244</v>
      </c>
      <c r="T29" s="291">
        <v>1</v>
      </c>
      <c r="U29" s="292"/>
      <c r="W29" s="605"/>
      <c r="X29" s="291" t="s">
        <v>244</v>
      </c>
      <c r="AC29" s="291">
        <v>1</v>
      </c>
      <c r="AD29" s="292"/>
      <c r="AG29" s="605"/>
      <c r="AH29" s="291" t="s">
        <v>244</v>
      </c>
      <c r="AM29" s="291">
        <v>2</v>
      </c>
      <c r="AN29" s="292"/>
      <c r="BD29" s="292"/>
    </row>
    <row r="30" spans="2:56" x14ac:dyDescent="0.15">
      <c r="B30" s="605"/>
      <c r="D30" s="1041"/>
      <c r="E30" s="1042"/>
      <c r="F30" s="1042"/>
      <c r="G30" s="1042"/>
      <c r="H30" s="1042"/>
      <c r="I30" s="1042"/>
      <c r="J30" s="1042"/>
      <c r="K30" s="1043"/>
      <c r="M30" s="605"/>
      <c r="N30" s="291" t="s">
        <v>337</v>
      </c>
      <c r="T30" s="291">
        <v>2</v>
      </c>
      <c r="U30" s="292"/>
      <c r="W30" s="605"/>
      <c r="X30" s="291" t="s">
        <v>261</v>
      </c>
      <c r="AC30" s="291">
        <v>2</v>
      </c>
      <c r="AD30" s="292"/>
      <c r="AG30" s="605"/>
      <c r="AH30" s="291" t="s">
        <v>557</v>
      </c>
      <c r="AM30" s="325">
        <v>1</v>
      </c>
      <c r="AN30" s="292" t="s">
        <v>734</v>
      </c>
      <c r="AU30" s="343" t="s">
        <v>735</v>
      </c>
      <c r="BD30" s="292"/>
    </row>
    <row r="31" spans="2:56" x14ac:dyDescent="0.15">
      <c r="B31" s="605"/>
      <c r="M31" s="605"/>
      <c r="N31" s="291" t="s">
        <v>350</v>
      </c>
      <c r="T31" s="291">
        <v>200</v>
      </c>
      <c r="U31" s="292"/>
      <c r="W31" s="605"/>
      <c r="X31" s="291" t="s">
        <v>560</v>
      </c>
      <c r="AC31" s="291">
        <v>3</v>
      </c>
      <c r="AD31" s="292" t="s">
        <v>736</v>
      </c>
      <c r="AG31" s="605"/>
      <c r="AH31" s="291" t="s">
        <v>402</v>
      </c>
      <c r="AM31" s="291">
        <v>1</v>
      </c>
      <c r="AN31" s="292"/>
      <c r="AU31" s="343" t="s">
        <v>737</v>
      </c>
      <c r="BD31" s="292"/>
    </row>
    <row r="32" spans="2:56" x14ac:dyDescent="0.15">
      <c r="B32" s="605"/>
      <c r="M32" s="605"/>
      <c r="N32" s="291" t="s">
        <v>377</v>
      </c>
      <c r="T32" s="291">
        <v>1</v>
      </c>
      <c r="U32" s="292" t="s">
        <v>738</v>
      </c>
      <c r="W32" s="1041"/>
      <c r="X32" s="1042" t="s">
        <v>282</v>
      </c>
      <c r="Y32" s="1042"/>
      <c r="Z32" s="1042"/>
      <c r="AA32" s="1042"/>
      <c r="AB32" s="1042"/>
      <c r="AC32" s="1042">
        <v>0</v>
      </c>
      <c r="AD32" s="1043"/>
      <c r="AG32" s="605"/>
      <c r="AH32" s="291" t="s">
        <v>404</v>
      </c>
      <c r="AM32" s="291">
        <v>31</v>
      </c>
      <c r="AN32" s="292"/>
      <c r="BD32" s="292"/>
    </row>
    <row r="33" spans="2:56" x14ac:dyDescent="0.15">
      <c r="B33" s="605"/>
      <c r="M33" s="605"/>
      <c r="N33" s="291" t="s">
        <v>739</v>
      </c>
      <c r="T33" s="291">
        <v>16</v>
      </c>
      <c r="U33" s="292"/>
      <c r="AG33" s="605"/>
      <c r="AH33" s="291" t="s">
        <v>406</v>
      </c>
      <c r="AM33" s="291">
        <v>0</v>
      </c>
      <c r="AN33" s="292"/>
      <c r="BD33" s="292"/>
    </row>
    <row r="34" spans="2:56" x14ac:dyDescent="0.15">
      <c r="B34" s="605"/>
      <c r="M34" s="605"/>
      <c r="N34" s="291" t="s">
        <v>740</v>
      </c>
      <c r="T34" s="291">
        <v>100</v>
      </c>
      <c r="U34" s="292"/>
      <c r="AG34" s="605"/>
      <c r="AH34" s="291" t="s">
        <v>562</v>
      </c>
      <c r="AM34" s="291">
        <v>0</v>
      </c>
      <c r="AN34" s="292"/>
      <c r="BD34" s="292"/>
    </row>
    <row r="35" spans="2:56" x14ac:dyDescent="0.15">
      <c r="B35" s="605"/>
      <c r="D35" s="325"/>
      <c r="F35" s="325"/>
      <c r="I35" s="325"/>
      <c r="M35" s="1041"/>
      <c r="N35" s="1042" t="s">
        <v>385</v>
      </c>
      <c r="O35" s="1042"/>
      <c r="P35" s="1042"/>
      <c r="Q35" s="1042"/>
      <c r="R35" s="1042"/>
      <c r="S35" s="1042"/>
      <c r="T35" s="1042">
        <v>1</v>
      </c>
      <c r="U35" s="1043"/>
      <c r="AG35" s="1041"/>
      <c r="AH35" s="1042" t="s">
        <v>563</v>
      </c>
      <c r="AI35" s="1042"/>
      <c r="AJ35" s="1042"/>
      <c r="AK35" s="1042"/>
      <c r="AL35" s="1042"/>
      <c r="AM35" s="1042">
        <v>390</v>
      </c>
      <c r="AN35" s="1043"/>
      <c r="BD35" s="292"/>
    </row>
    <row r="36" spans="2:56" x14ac:dyDescent="0.15">
      <c r="B36" s="605"/>
      <c r="D36" s="325"/>
      <c r="F36" s="325"/>
      <c r="I36" s="325"/>
      <c r="M36" s="325"/>
      <c r="BD36" s="292"/>
    </row>
    <row r="37" spans="2:56" x14ac:dyDescent="0.15">
      <c r="B37" s="605"/>
      <c r="D37" s="325"/>
      <c r="F37" s="325"/>
      <c r="I37" s="325"/>
      <c r="M37" s="291" t="s">
        <v>741</v>
      </c>
      <c r="W37" s="291" t="s">
        <v>551</v>
      </c>
      <c r="BD37" s="292"/>
    </row>
    <row r="38" spans="2:56" x14ac:dyDescent="0.15">
      <c r="B38" s="605"/>
      <c r="D38" s="325"/>
      <c r="F38" s="325"/>
      <c r="I38" s="325"/>
      <c r="M38" s="1038" t="s">
        <v>553</v>
      </c>
      <c r="N38" s="1039"/>
      <c r="O38" s="1039"/>
      <c r="P38" s="1039"/>
      <c r="Q38" s="1039"/>
      <c r="R38" s="1039"/>
      <c r="S38" s="1039"/>
      <c r="T38" s="1039"/>
      <c r="U38" s="1040"/>
      <c r="W38" s="1038" t="s">
        <v>137</v>
      </c>
      <c r="X38" s="1039"/>
      <c r="Y38" s="1039"/>
      <c r="Z38" s="1039"/>
      <c r="AA38" s="1039"/>
      <c r="AB38" s="1039"/>
      <c r="AC38" s="1039"/>
      <c r="AD38" s="1040"/>
      <c r="BD38" s="292"/>
    </row>
    <row r="39" spans="2:56" x14ac:dyDescent="0.15">
      <c r="B39" s="605"/>
      <c r="D39" s="325"/>
      <c r="F39" s="325"/>
      <c r="I39" s="325"/>
      <c r="M39" s="605"/>
      <c r="N39" s="291" t="s">
        <v>248</v>
      </c>
      <c r="T39" s="325" t="s">
        <v>556</v>
      </c>
      <c r="U39" s="292"/>
      <c r="W39" s="605"/>
      <c r="X39" s="291" t="s">
        <v>248</v>
      </c>
      <c r="AC39" s="325" t="s">
        <v>556</v>
      </c>
      <c r="AD39" s="292"/>
      <c r="BD39" s="292"/>
    </row>
    <row r="40" spans="2:56" x14ac:dyDescent="0.15">
      <c r="B40" s="605"/>
      <c r="D40" s="325"/>
      <c r="F40" s="325"/>
      <c r="I40" s="325"/>
      <c r="M40" s="605"/>
      <c r="N40" s="291" t="s">
        <v>244</v>
      </c>
      <c r="T40" s="291">
        <v>3</v>
      </c>
      <c r="U40" s="292"/>
      <c r="W40" s="605"/>
      <c r="X40" s="291" t="s">
        <v>244</v>
      </c>
      <c r="AC40" s="291">
        <v>3</v>
      </c>
      <c r="AD40" s="292"/>
      <c r="BD40" s="292"/>
    </row>
    <row r="41" spans="2:56" x14ac:dyDescent="0.15">
      <c r="B41" s="605"/>
      <c r="D41" s="325"/>
      <c r="F41" s="325"/>
      <c r="I41" s="325"/>
      <c r="M41" s="605"/>
      <c r="N41" s="291" t="s">
        <v>337</v>
      </c>
      <c r="T41" s="291">
        <v>2</v>
      </c>
      <c r="U41" s="292"/>
      <c r="W41" s="605"/>
      <c r="X41" s="291" t="s">
        <v>261</v>
      </c>
      <c r="AC41" s="291">
        <v>2</v>
      </c>
      <c r="AD41" s="292"/>
      <c r="BD41" s="292"/>
    </row>
    <row r="42" spans="2:56" x14ac:dyDescent="0.15">
      <c r="B42" s="605"/>
      <c r="D42" s="325"/>
      <c r="F42" s="325"/>
      <c r="I42" s="325"/>
      <c r="M42" s="605"/>
      <c r="N42" s="291" t="s">
        <v>350</v>
      </c>
      <c r="T42" s="291">
        <v>190</v>
      </c>
      <c r="U42" s="292"/>
      <c r="W42" s="605"/>
      <c r="X42" s="291" t="s">
        <v>560</v>
      </c>
      <c r="AC42" s="291">
        <v>3</v>
      </c>
      <c r="AD42" s="292" t="s">
        <v>736</v>
      </c>
      <c r="BD42" s="292"/>
    </row>
    <row r="43" spans="2:56" x14ac:dyDescent="0.15">
      <c r="B43" s="605"/>
      <c r="D43" s="325"/>
      <c r="F43" s="325"/>
      <c r="I43" s="325"/>
      <c r="M43" s="605"/>
      <c r="N43" s="291" t="s">
        <v>377</v>
      </c>
      <c r="T43" s="291">
        <v>1</v>
      </c>
      <c r="U43" s="292" t="s">
        <v>738</v>
      </c>
      <c r="W43" s="1041"/>
      <c r="X43" s="1042" t="s">
        <v>282</v>
      </c>
      <c r="Y43" s="1042"/>
      <c r="Z43" s="1042"/>
      <c r="AA43" s="1042"/>
      <c r="AB43" s="1042"/>
      <c r="AC43" s="1042">
        <v>0</v>
      </c>
      <c r="AD43" s="1043"/>
      <c r="BD43" s="292"/>
    </row>
    <row r="44" spans="2:56" x14ac:dyDescent="0.15">
      <c r="B44" s="605"/>
      <c r="M44" s="605"/>
      <c r="N44" s="291" t="s">
        <v>739</v>
      </c>
      <c r="T44" s="291">
        <v>15</v>
      </c>
      <c r="U44" s="292"/>
      <c r="BD44" s="292"/>
    </row>
    <row r="45" spans="2:56" x14ac:dyDescent="0.15">
      <c r="B45" s="605"/>
      <c r="M45" s="605"/>
      <c r="N45" s="291" t="s">
        <v>740</v>
      </c>
      <c r="T45" s="291">
        <v>95</v>
      </c>
      <c r="U45" s="292"/>
      <c r="BD45" s="292"/>
    </row>
    <row r="46" spans="2:56" x14ac:dyDescent="0.15">
      <c r="B46" s="605"/>
      <c r="D46" s="325"/>
      <c r="F46" s="325"/>
      <c r="I46" s="325"/>
      <c r="M46" s="1041"/>
      <c r="N46" s="1042" t="s">
        <v>385</v>
      </c>
      <c r="O46" s="1042"/>
      <c r="P46" s="1042"/>
      <c r="Q46" s="1042"/>
      <c r="R46" s="1042"/>
      <c r="S46" s="1042"/>
      <c r="T46" s="1042">
        <v>1</v>
      </c>
      <c r="U46" s="1043"/>
      <c r="BD46" s="292"/>
    </row>
    <row r="47" spans="2:56" x14ac:dyDescent="0.15">
      <c r="B47" s="605"/>
      <c r="D47" s="325"/>
      <c r="F47" s="325"/>
      <c r="I47" s="325"/>
      <c r="M47" s="325"/>
      <c r="BD47" s="292"/>
    </row>
    <row r="48" spans="2:56" x14ac:dyDescent="0.15">
      <c r="B48" s="605"/>
      <c r="D48" s="325"/>
      <c r="F48" s="325"/>
      <c r="I48" s="325"/>
      <c r="M48" s="291" t="s">
        <v>742</v>
      </c>
      <c r="W48" s="291" t="s">
        <v>551</v>
      </c>
      <c r="AG48" s="291" t="s">
        <v>182</v>
      </c>
      <c r="BD48" s="292"/>
    </row>
    <row r="49" spans="2:56" x14ac:dyDescent="0.15">
      <c r="B49" s="605"/>
      <c r="D49" s="325"/>
      <c r="F49" s="325"/>
      <c r="I49" s="325"/>
      <c r="M49" s="1038" t="s">
        <v>553</v>
      </c>
      <c r="N49" s="1039"/>
      <c r="O49" s="1039"/>
      <c r="P49" s="1039"/>
      <c r="Q49" s="1039"/>
      <c r="R49" s="1039"/>
      <c r="S49" s="1039"/>
      <c r="T49" s="1039"/>
      <c r="U49" s="1040"/>
      <c r="W49" s="1038" t="s">
        <v>137</v>
      </c>
      <c r="X49" s="1039"/>
      <c r="Y49" s="1039"/>
      <c r="Z49" s="1039"/>
      <c r="AA49" s="1039"/>
      <c r="AB49" s="1039"/>
      <c r="AC49" s="1039"/>
      <c r="AD49" s="1040"/>
      <c r="AG49" s="1038" t="s">
        <v>554</v>
      </c>
      <c r="AH49" s="1039"/>
      <c r="AI49" s="1039"/>
      <c r="AJ49" s="1039"/>
      <c r="AK49" s="1039"/>
      <c r="AL49" s="1039"/>
      <c r="AM49" s="1039"/>
      <c r="AN49" s="1040"/>
      <c r="AO49" s="291" t="s">
        <v>743</v>
      </c>
      <c r="BD49" s="292"/>
    </row>
    <row r="50" spans="2:56" x14ac:dyDescent="0.15">
      <c r="B50" s="605"/>
      <c r="D50" s="325"/>
      <c r="F50" s="325"/>
      <c r="I50" s="325"/>
      <c r="M50" s="605"/>
      <c r="N50" s="291" t="s">
        <v>248</v>
      </c>
      <c r="T50" s="325" t="s">
        <v>556</v>
      </c>
      <c r="U50" s="292"/>
      <c r="W50" s="605"/>
      <c r="X50" s="291" t="s">
        <v>248</v>
      </c>
      <c r="AC50" s="325" t="s">
        <v>556</v>
      </c>
      <c r="AD50" s="292"/>
      <c r="AG50" s="605"/>
      <c r="AH50" s="291" t="s">
        <v>248</v>
      </c>
      <c r="AM50" s="325" t="s">
        <v>556</v>
      </c>
      <c r="AN50" s="292"/>
      <c r="BD50" s="292"/>
    </row>
    <row r="51" spans="2:56" x14ac:dyDescent="0.15">
      <c r="B51" s="605"/>
      <c r="D51" s="325"/>
      <c r="F51" s="325"/>
      <c r="I51" s="325"/>
      <c r="M51" s="605"/>
      <c r="N51" s="291" t="s">
        <v>244</v>
      </c>
      <c r="T51" s="291">
        <v>4</v>
      </c>
      <c r="U51" s="292"/>
      <c r="W51" s="605"/>
      <c r="X51" s="291" t="s">
        <v>244</v>
      </c>
      <c r="AC51" s="291">
        <v>4</v>
      </c>
      <c r="AD51" s="292"/>
      <c r="AG51" s="605"/>
      <c r="AH51" s="291" t="s">
        <v>244</v>
      </c>
      <c r="AM51" s="291">
        <v>5</v>
      </c>
      <c r="AN51" s="292"/>
      <c r="AU51" s="343" t="s">
        <v>744</v>
      </c>
      <c r="BD51" s="292"/>
    </row>
    <row r="52" spans="2:56" x14ac:dyDescent="0.15">
      <c r="B52" s="605"/>
      <c r="D52" s="325"/>
      <c r="F52" s="325"/>
      <c r="I52" s="325"/>
      <c r="M52" s="605"/>
      <c r="N52" s="291" t="s">
        <v>337</v>
      </c>
      <c r="T52" s="291">
        <v>2</v>
      </c>
      <c r="U52" s="292"/>
      <c r="W52" s="605"/>
      <c r="X52" s="291" t="s">
        <v>261</v>
      </c>
      <c r="AC52" s="291">
        <v>5</v>
      </c>
      <c r="AD52" s="292"/>
      <c r="AG52" s="605"/>
      <c r="AH52" s="291" t="s">
        <v>557</v>
      </c>
      <c r="AM52" s="325">
        <v>4</v>
      </c>
      <c r="AN52" s="292" t="s">
        <v>745</v>
      </c>
      <c r="AU52" s="343" t="s">
        <v>746</v>
      </c>
      <c r="BD52" s="292"/>
    </row>
    <row r="53" spans="2:56" x14ac:dyDescent="0.15">
      <c r="B53" s="605"/>
      <c r="D53" s="325"/>
      <c r="F53" s="325"/>
      <c r="I53" s="325"/>
      <c r="M53" s="605"/>
      <c r="N53" s="291" t="s">
        <v>350</v>
      </c>
      <c r="T53" s="291">
        <v>200</v>
      </c>
      <c r="U53" s="292"/>
      <c r="W53" s="605"/>
      <c r="X53" s="291" t="s">
        <v>560</v>
      </c>
      <c r="AC53" s="291">
        <v>3</v>
      </c>
      <c r="AD53" s="292" t="s">
        <v>736</v>
      </c>
      <c r="AG53" s="605"/>
      <c r="AH53" s="291" t="s">
        <v>402</v>
      </c>
      <c r="AM53" s="291">
        <v>1</v>
      </c>
      <c r="AN53" s="292"/>
      <c r="AU53" s="343" t="s">
        <v>747</v>
      </c>
      <c r="BD53" s="292"/>
    </row>
    <row r="54" spans="2:56" x14ac:dyDescent="0.15">
      <c r="B54" s="605"/>
      <c r="M54" s="605"/>
      <c r="N54" s="291" t="s">
        <v>377</v>
      </c>
      <c r="T54" s="291">
        <v>1</v>
      </c>
      <c r="U54" s="292" t="s">
        <v>738</v>
      </c>
      <c r="W54" s="1041"/>
      <c r="X54" s="1042" t="s">
        <v>282</v>
      </c>
      <c r="Y54" s="1042"/>
      <c r="Z54" s="1042"/>
      <c r="AA54" s="1042"/>
      <c r="AB54" s="1042"/>
      <c r="AC54" s="1042">
        <v>0</v>
      </c>
      <c r="AD54" s="1043"/>
      <c r="AG54" s="605"/>
      <c r="AH54" s="291" t="s">
        <v>404</v>
      </c>
      <c r="AM54" s="291">
        <v>50</v>
      </c>
      <c r="AN54" s="292"/>
      <c r="AU54" s="343" t="s">
        <v>748</v>
      </c>
      <c r="BD54" s="292"/>
    </row>
    <row r="55" spans="2:56" x14ac:dyDescent="0.15">
      <c r="B55" s="605"/>
      <c r="M55" s="605"/>
      <c r="N55" s="291" t="s">
        <v>739</v>
      </c>
      <c r="T55" s="291">
        <v>20</v>
      </c>
      <c r="U55" s="292"/>
      <c r="AG55" s="605"/>
      <c r="AH55" s="291" t="s">
        <v>406</v>
      </c>
      <c r="AM55" s="291">
        <v>0</v>
      </c>
      <c r="AN55" s="292"/>
      <c r="BD55" s="292"/>
    </row>
    <row r="56" spans="2:56" x14ac:dyDescent="0.15">
      <c r="B56" s="605"/>
      <c r="M56" s="605"/>
      <c r="N56" s="291" t="s">
        <v>740</v>
      </c>
      <c r="T56" s="291">
        <v>100</v>
      </c>
      <c r="U56" s="292"/>
      <c r="AG56" s="605"/>
      <c r="AH56" s="291" t="s">
        <v>562</v>
      </c>
      <c r="AM56" s="291">
        <v>0</v>
      </c>
      <c r="AN56" s="292"/>
      <c r="BD56" s="292"/>
    </row>
    <row r="57" spans="2:56" x14ac:dyDescent="0.15">
      <c r="B57" s="605"/>
      <c r="D57" s="325"/>
      <c r="F57" s="325"/>
      <c r="I57" s="325"/>
      <c r="M57" s="1041"/>
      <c r="N57" s="1042" t="s">
        <v>385</v>
      </c>
      <c r="O57" s="1042"/>
      <c r="P57" s="1042"/>
      <c r="Q57" s="1042"/>
      <c r="R57" s="1042"/>
      <c r="S57" s="1042"/>
      <c r="T57" s="1042">
        <v>4</v>
      </c>
      <c r="U57" s="1043"/>
      <c r="AG57" s="1041"/>
      <c r="AH57" s="1042" t="s">
        <v>563</v>
      </c>
      <c r="AI57" s="1042"/>
      <c r="AJ57" s="1042"/>
      <c r="AK57" s="1042"/>
      <c r="AL57" s="1042"/>
      <c r="AM57" s="1042">
        <v>500</v>
      </c>
      <c r="AN57" s="1043"/>
      <c r="BD57" s="292"/>
    </row>
    <row r="58" spans="2:56" x14ac:dyDescent="0.15">
      <c r="B58" s="605"/>
      <c r="D58" s="325"/>
      <c r="F58" s="325"/>
      <c r="I58" s="325"/>
      <c r="M58" s="325"/>
      <c r="BD58" s="292"/>
    </row>
    <row r="59" spans="2:56" x14ac:dyDescent="0.15">
      <c r="B59" s="605"/>
      <c r="D59" s="325"/>
      <c r="F59" s="325"/>
      <c r="I59" s="325"/>
      <c r="M59" s="291" t="s">
        <v>732</v>
      </c>
      <c r="S59" s="355"/>
      <c r="T59" s="355" t="s">
        <v>749</v>
      </c>
      <c r="W59" s="291" t="s">
        <v>551</v>
      </c>
      <c r="BD59" s="292"/>
    </row>
    <row r="60" spans="2:56" x14ac:dyDescent="0.15">
      <c r="B60" s="605"/>
      <c r="D60" s="325"/>
      <c r="F60" s="325"/>
      <c r="I60" s="325"/>
      <c r="M60" s="1038" t="s">
        <v>553</v>
      </c>
      <c r="N60" s="1039"/>
      <c r="O60" s="1039"/>
      <c r="P60" s="1039"/>
      <c r="Q60" s="1039"/>
      <c r="R60" s="1039"/>
      <c r="S60" s="1039"/>
      <c r="T60" s="1039"/>
      <c r="U60" s="1040"/>
      <c r="W60" s="1038" t="s">
        <v>137</v>
      </c>
      <c r="X60" s="1039"/>
      <c r="Y60" s="1039"/>
      <c r="Z60" s="1039"/>
      <c r="AA60" s="1039"/>
      <c r="AB60" s="1039"/>
      <c r="AC60" s="1039"/>
      <c r="AD60" s="1040"/>
      <c r="BD60" s="292"/>
    </row>
    <row r="61" spans="2:56" x14ac:dyDescent="0.15">
      <c r="B61" s="605"/>
      <c r="D61" s="325"/>
      <c r="F61" s="325"/>
      <c r="I61" s="325"/>
      <c r="M61" s="605"/>
      <c r="N61" s="291" t="s">
        <v>248</v>
      </c>
      <c r="T61" s="325" t="s">
        <v>556</v>
      </c>
      <c r="U61" s="292"/>
      <c r="W61" s="605"/>
      <c r="X61" s="291" t="s">
        <v>248</v>
      </c>
      <c r="AC61" s="325" t="s">
        <v>556</v>
      </c>
      <c r="AD61" s="292"/>
      <c r="BD61" s="292"/>
    </row>
    <row r="62" spans="2:56" x14ac:dyDescent="0.15">
      <c r="B62" s="605"/>
      <c r="D62" s="325"/>
      <c r="F62" s="325"/>
      <c r="I62" s="325"/>
      <c r="M62" s="605"/>
      <c r="N62" s="291" t="s">
        <v>244</v>
      </c>
      <c r="T62" s="291">
        <v>6</v>
      </c>
      <c r="U62" s="292"/>
      <c r="W62" s="605"/>
      <c r="X62" s="291" t="s">
        <v>244</v>
      </c>
      <c r="AC62" s="291">
        <v>6</v>
      </c>
      <c r="AD62" s="292"/>
      <c r="BD62" s="292"/>
    </row>
    <row r="63" spans="2:56" x14ac:dyDescent="0.15">
      <c r="B63" s="605"/>
      <c r="D63" s="325"/>
      <c r="F63" s="325"/>
      <c r="I63" s="325"/>
      <c r="M63" s="605"/>
      <c r="N63" s="291" t="s">
        <v>337</v>
      </c>
      <c r="T63" s="291">
        <v>3</v>
      </c>
      <c r="U63" s="292"/>
      <c r="W63" s="605"/>
      <c r="X63" s="291" t="s">
        <v>261</v>
      </c>
      <c r="AC63" s="291">
        <v>5</v>
      </c>
      <c r="AD63" s="292"/>
      <c r="BD63" s="292"/>
    </row>
    <row r="64" spans="2:56" x14ac:dyDescent="0.15">
      <c r="B64" s="605"/>
      <c r="D64" s="325"/>
      <c r="F64" s="325"/>
      <c r="I64" s="325"/>
      <c r="M64" s="605"/>
      <c r="N64" s="291" t="s">
        <v>350</v>
      </c>
      <c r="T64" s="291">
        <v>300</v>
      </c>
      <c r="U64" s="292"/>
      <c r="W64" s="605"/>
      <c r="X64" s="291" t="s">
        <v>560</v>
      </c>
      <c r="AC64" s="291">
        <v>3</v>
      </c>
      <c r="AD64" s="292" t="s">
        <v>736</v>
      </c>
      <c r="BD64" s="292"/>
    </row>
    <row r="65" spans="2:56" x14ac:dyDescent="0.15">
      <c r="B65" s="605"/>
      <c r="D65" s="325"/>
      <c r="F65" s="325"/>
      <c r="I65" s="325"/>
      <c r="M65" s="605"/>
      <c r="N65" s="291" t="s">
        <v>377</v>
      </c>
      <c r="T65" s="291">
        <v>1</v>
      </c>
      <c r="U65" s="292" t="s">
        <v>738</v>
      </c>
      <c r="W65" s="1041"/>
      <c r="X65" s="1042" t="s">
        <v>282</v>
      </c>
      <c r="Y65" s="1042"/>
      <c r="Z65" s="1042"/>
      <c r="AA65" s="1042"/>
      <c r="AB65" s="1042"/>
      <c r="AC65" s="1042">
        <v>0</v>
      </c>
      <c r="AD65" s="1043"/>
      <c r="BD65" s="292"/>
    </row>
    <row r="66" spans="2:56" x14ac:dyDescent="0.15">
      <c r="B66" s="605"/>
      <c r="M66" s="605"/>
      <c r="N66" s="291" t="s">
        <v>739</v>
      </c>
      <c r="T66" s="291">
        <v>30</v>
      </c>
      <c r="U66" s="292"/>
      <c r="BD66" s="292"/>
    </row>
    <row r="67" spans="2:56" x14ac:dyDescent="0.15">
      <c r="B67" s="605"/>
      <c r="M67" s="605"/>
      <c r="N67" s="291" t="s">
        <v>740</v>
      </c>
      <c r="T67" s="291">
        <v>100</v>
      </c>
      <c r="U67" s="292"/>
      <c r="BD67" s="292"/>
    </row>
    <row r="68" spans="2:56" x14ac:dyDescent="0.15">
      <c r="B68" s="605"/>
      <c r="D68" s="325"/>
      <c r="F68" s="325"/>
      <c r="I68" s="325"/>
      <c r="M68" s="1041"/>
      <c r="N68" s="1042" t="s">
        <v>385</v>
      </c>
      <c r="O68" s="1042"/>
      <c r="P68" s="1042"/>
      <c r="Q68" s="1042"/>
      <c r="R68" s="1042"/>
      <c r="S68" s="1042"/>
      <c r="T68" s="1068">
        <v>1</v>
      </c>
      <c r="U68" s="1043"/>
      <c r="V68" s="355" t="s">
        <v>750</v>
      </c>
      <c r="BD68" s="292"/>
    </row>
    <row r="69" spans="2:56" x14ac:dyDescent="0.15">
      <c r="B69" s="605"/>
      <c r="D69" s="325"/>
      <c r="F69" s="325"/>
      <c r="I69" s="325"/>
      <c r="M69" s="325"/>
      <c r="BD69" s="292"/>
    </row>
    <row r="70" spans="2:56" x14ac:dyDescent="0.15">
      <c r="B70" s="605"/>
      <c r="D70" s="325"/>
      <c r="F70" s="325"/>
      <c r="I70" s="325"/>
      <c r="L70" s="342" t="s">
        <v>751</v>
      </c>
      <c r="M70" s="325"/>
      <c r="AF70" s="342" t="s">
        <v>752</v>
      </c>
      <c r="BD70" s="292"/>
    </row>
    <row r="71" spans="2:56" x14ac:dyDescent="0.15">
      <c r="B71" s="605"/>
      <c r="D71" s="325"/>
      <c r="F71" s="325"/>
      <c r="I71" s="325"/>
      <c r="M71" s="291" t="s">
        <v>753</v>
      </c>
      <c r="W71" s="291" t="s">
        <v>551</v>
      </c>
      <c r="AG71" s="291" t="s">
        <v>182</v>
      </c>
      <c r="BD71" s="292"/>
    </row>
    <row r="72" spans="2:56" x14ac:dyDescent="0.15">
      <c r="B72" s="605"/>
      <c r="D72" s="325"/>
      <c r="F72" s="325"/>
      <c r="I72" s="325"/>
      <c r="M72" s="1038" t="s">
        <v>553</v>
      </c>
      <c r="N72" s="1039"/>
      <c r="O72" s="1039"/>
      <c r="P72" s="1039"/>
      <c r="Q72" s="1039"/>
      <c r="R72" s="1039"/>
      <c r="S72" s="1039"/>
      <c r="T72" s="1039"/>
      <c r="U72" s="1040"/>
      <c r="W72" s="1038" t="s">
        <v>137</v>
      </c>
      <c r="X72" s="1039"/>
      <c r="Y72" s="1039"/>
      <c r="Z72" s="1039"/>
      <c r="AA72" s="1039"/>
      <c r="AB72" s="1039"/>
      <c r="AC72" s="1039"/>
      <c r="AD72" s="1040"/>
      <c r="AG72" s="1038" t="s">
        <v>554</v>
      </c>
      <c r="AH72" s="1039"/>
      <c r="AI72" s="1039"/>
      <c r="AJ72" s="1039"/>
      <c r="AK72" s="1039"/>
      <c r="AL72" s="1039"/>
      <c r="AM72" s="1039"/>
      <c r="AN72" s="1040"/>
      <c r="AO72" s="291" t="s">
        <v>754</v>
      </c>
      <c r="BD72" s="292"/>
    </row>
    <row r="73" spans="2:56" x14ac:dyDescent="0.15">
      <c r="B73" s="605"/>
      <c r="D73" s="325"/>
      <c r="F73" s="325"/>
      <c r="I73" s="325"/>
      <c r="M73" s="605"/>
      <c r="N73" s="291" t="s">
        <v>248</v>
      </c>
      <c r="T73" s="325" t="s">
        <v>556</v>
      </c>
      <c r="U73" s="292"/>
      <c r="W73" s="605"/>
      <c r="X73" s="291" t="s">
        <v>248</v>
      </c>
      <c r="AC73" s="325" t="s">
        <v>556</v>
      </c>
      <c r="AD73" s="292"/>
      <c r="AG73" s="605"/>
      <c r="AH73" s="291" t="s">
        <v>248</v>
      </c>
      <c r="AM73" s="325" t="s">
        <v>556</v>
      </c>
      <c r="AN73" s="292"/>
      <c r="BD73" s="292"/>
    </row>
    <row r="74" spans="2:56" x14ac:dyDescent="0.15">
      <c r="B74" s="605"/>
      <c r="D74" s="325"/>
      <c r="F74" s="325"/>
      <c r="I74" s="325"/>
      <c r="M74" s="605"/>
      <c r="N74" s="291" t="s">
        <v>244</v>
      </c>
      <c r="T74" s="291">
        <v>7</v>
      </c>
      <c r="U74" s="292"/>
      <c r="W74" s="605"/>
      <c r="X74" s="291" t="s">
        <v>244</v>
      </c>
      <c r="AC74" s="291">
        <v>7</v>
      </c>
      <c r="AD74" s="292"/>
      <c r="AG74" s="605"/>
      <c r="AH74" s="291" t="s">
        <v>244</v>
      </c>
      <c r="AM74" s="291">
        <v>8</v>
      </c>
      <c r="AN74" s="292"/>
      <c r="BD74" s="292"/>
    </row>
    <row r="75" spans="2:56" x14ac:dyDescent="0.15">
      <c r="B75" s="605"/>
      <c r="D75" s="325"/>
      <c r="F75" s="325"/>
      <c r="I75" s="325"/>
      <c r="M75" s="605"/>
      <c r="N75" s="291" t="s">
        <v>337</v>
      </c>
      <c r="T75" s="291">
        <v>2</v>
      </c>
      <c r="U75" s="292"/>
      <c r="W75" s="605"/>
      <c r="X75" s="291" t="s">
        <v>261</v>
      </c>
      <c r="AC75" s="291">
        <v>8</v>
      </c>
      <c r="AD75" s="292"/>
      <c r="AG75" s="605"/>
      <c r="AH75" s="291" t="s">
        <v>557</v>
      </c>
      <c r="AM75" s="325">
        <v>2</v>
      </c>
      <c r="AN75" s="292" t="s">
        <v>755</v>
      </c>
      <c r="BD75" s="292"/>
    </row>
    <row r="76" spans="2:56" x14ac:dyDescent="0.15">
      <c r="B76" s="605"/>
      <c r="D76" s="325"/>
      <c r="F76" s="325"/>
      <c r="I76" s="325"/>
      <c r="M76" s="605"/>
      <c r="N76" s="291" t="s">
        <v>350</v>
      </c>
      <c r="T76" s="291">
        <v>200</v>
      </c>
      <c r="U76" s="292"/>
      <c r="W76" s="605"/>
      <c r="X76" s="291" t="s">
        <v>560</v>
      </c>
      <c r="AC76" s="291">
        <v>3</v>
      </c>
      <c r="AD76" s="292" t="s">
        <v>736</v>
      </c>
      <c r="AG76" s="605"/>
      <c r="AH76" s="291" t="s">
        <v>402</v>
      </c>
      <c r="AM76" s="291">
        <v>1</v>
      </c>
      <c r="AN76" s="292"/>
      <c r="BD76" s="292"/>
    </row>
    <row r="77" spans="2:56" x14ac:dyDescent="0.15">
      <c r="B77" s="605"/>
      <c r="M77" s="605"/>
      <c r="N77" s="291" t="s">
        <v>377</v>
      </c>
      <c r="T77" s="291">
        <v>2</v>
      </c>
      <c r="U77" s="292" t="s">
        <v>756</v>
      </c>
      <c r="W77" s="1041"/>
      <c r="X77" s="1042" t="s">
        <v>282</v>
      </c>
      <c r="Y77" s="1042"/>
      <c r="Z77" s="1042"/>
      <c r="AA77" s="1042"/>
      <c r="AB77" s="1042"/>
      <c r="AC77" s="1042">
        <v>0</v>
      </c>
      <c r="AD77" s="1043"/>
      <c r="AG77" s="605"/>
      <c r="AH77" s="291" t="s">
        <v>404</v>
      </c>
      <c r="AM77" s="291">
        <v>0</v>
      </c>
      <c r="AN77" s="292"/>
      <c r="BD77" s="292"/>
    </row>
    <row r="78" spans="2:56" x14ac:dyDescent="0.15">
      <c r="B78" s="605"/>
      <c r="M78" s="605"/>
      <c r="N78" s="291" t="s">
        <v>739</v>
      </c>
      <c r="T78" s="291">
        <v>15</v>
      </c>
      <c r="U78" s="292"/>
      <c r="AG78" s="605"/>
      <c r="AH78" s="291" t="s">
        <v>406</v>
      </c>
      <c r="AM78" s="291">
        <v>29</v>
      </c>
      <c r="AN78" s="292"/>
      <c r="BD78" s="292"/>
    </row>
    <row r="79" spans="2:56" x14ac:dyDescent="0.15">
      <c r="B79" s="605"/>
      <c r="M79" s="605"/>
      <c r="N79" s="291" t="s">
        <v>740</v>
      </c>
      <c r="T79" s="291">
        <v>100</v>
      </c>
      <c r="U79" s="292"/>
      <c r="W79" s="291" t="s">
        <v>551</v>
      </c>
      <c r="AG79" s="605"/>
      <c r="AH79" s="291" t="s">
        <v>562</v>
      </c>
      <c r="AM79" s="291">
        <v>361</v>
      </c>
      <c r="AN79" s="292"/>
      <c r="BD79" s="292"/>
    </row>
    <row r="80" spans="2:56" x14ac:dyDescent="0.15">
      <c r="B80" s="605"/>
      <c r="D80" s="325"/>
      <c r="F80" s="325"/>
      <c r="I80" s="325"/>
      <c r="M80" s="1041"/>
      <c r="N80" s="1042" t="s">
        <v>385</v>
      </c>
      <c r="O80" s="1042"/>
      <c r="P80" s="1042"/>
      <c r="Q80" s="1042"/>
      <c r="R80" s="1042"/>
      <c r="S80" s="1042"/>
      <c r="T80" s="1042">
        <v>99</v>
      </c>
      <c r="U80" s="1043"/>
      <c r="W80" s="1038" t="s">
        <v>137</v>
      </c>
      <c r="X80" s="1039"/>
      <c r="Y80" s="1039"/>
      <c r="Z80" s="1039"/>
      <c r="AA80" s="1039"/>
      <c r="AB80" s="1039"/>
      <c r="AC80" s="1039"/>
      <c r="AD80" s="1040"/>
      <c r="AG80" s="1041"/>
      <c r="AH80" s="1042" t="s">
        <v>563</v>
      </c>
      <c r="AI80" s="1042"/>
      <c r="AJ80" s="1042"/>
      <c r="AK80" s="1042"/>
      <c r="AL80" s="1042"/>
      <c r="AM80" s="1042">
        <v>390</v>
      </c>
      <c r="AN80" s="1043"/>
      <c r="BD80" s="292"/>
    </row>
    <row r="81" spans="2:56" x14ac:dyDescent="0.15">
      <c r="B81" s="605"/>
      <c r="D81" s="325"/>
      <c r="F81" s="325"/>
      <c r="I81" s="325"/>
      <c r="M81" s="325"/>
      <c r="W81" s="605"/>
      <c r="X81" s="291" t="s">
        <v>248</v>
      </c>
      <c r="AC81" s="325" t="s">
        <v>556</v>
      </c>
      <c r="AD81" s="292"/>
      <c r="BD81" s="292"/>
    </row>
    <row r="82" spans="2:56" x14ac:dyDescent="0.15">
      <c r="B82" s="605"/>
      <c r="D82" s="325"/>
      <c r="F82" s="325"/>
      <c r="I82" s="325"/>
      <c r="M82" s="325"/>
      <c r="W82" s="605"/>
      <c r="X82" s="291" t="s">
        <v>244</v>
      </c>
      <c r="AC82" s="291">
        <v>7</v>
      </c>
      <c r="AD82" s="292"/>
      <c r="BD82" s="292"/>
    </row>
    <row r="83" spans="2:56" x14ac:dyDescent="0.15">
      <c r="B83" s="605"/>
      <c r="D83" s="325"/>
      <c r="F83" s="325"/>
      <c r="I83" s="325"/>
      <c r="M83" s="325"/>
      <c r="W83" s="605"/>
      <c r="X83" s="291" t="s">
        <v>261</v>
      </c>
      <c r="AC83" s="291">
        <v>8</v>
      </c>
      <c r="AD83" s="292"/>
      <c r="BD83" s="292"/>
    </row>
    <row r="84" spans="2:56" x14ac:dyDescent="0.15">
      <c r="B84" s="605"/>
      <c r="D84" s="325"/>
      <c r="F84" s="325"/>
      <c r="I84" s="325"/>
      <c r="M84" s="325"/>
      <c r="W84" s="605"/>
      <c r="X84" s="291" t="s">
        <v>560</v>
      </c>
      <c r="AC84" s="355">
        <v>9</v>
      </c>
      <c r="AD84" s="510" t="s">
        <v>757</v>
      </c>
      <c r="BD84" s="292"/>
    </row>
    <row r="85" spans="2:56" x14ac:dyDescent="0.15">
      <c r="B85" s="605"/>
      <c r="D85" s="325"/>
      <c r="F85" s="325"/>
      <c r="I85" s="325"/>
      <c r="M85" s="325"/>
      <c r="W85" s="1041"/>
      <c r="X85" s="1042" t="s">
        <v>282</v>
      </c>
      <c r="Y85" s="1042"/>
      <c r="Z85" s="1042"/>
      <c r="AA85" s="1042"/>
      <c r="AB85" s="1042"/>
      <c r="AC85" s="1068">
        <v>15</v>
      </c>
      <c r="AD85" s="1043"/>
      <c r="BD85" s="292"/>
    </row>
    <row r="86" spans="2:56" x14ac:dyDescent="0.15">
      <c r="B86" s="605"/>
      <c r="D86" s="325"/>
      <c r="F86" s="325"/>
      <c r="I86" s="325"/>
      <c r="M86" s="325"/>
      <c r="W86" s="355" t="s">
        <v>758</v>
      </c>
      <c r="BD86" s="292"/>
    </row>
    <row r="87" spans="2:56" x14ac:dyDescent="0.15">
      <c r="B87" s="605"/>
      <c r="D87" s="325"/>
      <c r="F87" s="325"/>
      <c r="I87" s="325"/>
      <c r="M87" s="325"/>
      <c r="BD87" s="292"/>
    </row>
    <row r="88" spans="2:56" x14ac:dyDescent="0.15">
      <c r="B88" s="605"/>
      <c r="D88" s="325"/>
      <c r="F88" s="325"/>
      <c r="I88" s="325"/>
      <c r="M88" s="325"/>
      <c r="W88" s="291" t="s">
        <v>551</v>
      </c>
      <c r="BD88" s="292"/>
    </row>
    <row r="89" spans="2:56" x14ac:dyDescent="0.15">
      <c r="B89" s="605"/>
      <c r="M89" s="325"/>
      <c r="W89" s="1038" t="s">
        <v>137</v>
      </c>
      <c r="X89" s="1039"/>
      <c r="Y89" s="1039"/>
      <c r="Z89" s="1039"/>
      <c r="AA89" s="1039"/>
      <c r="AB89" s="1039"/>
      <c r="AC89" s="1039"/>
      <c r="AD89" s="1040"/>
      <c r="BD89" s="292"/>
    </row>
    <row r="90" spans="2:56" x14ac:dyDescent="0.15">
      <c r="B90" s="605"/>
      <c r="M90" s="325"/>
      <c r="W90" s="605"/>
      <c r="X90" s="291" t="s">
        <v>248</v>
      </c>
      <c r="AC90" s="325" t="s">
        <v>556</v>
      </c>
      <c r="AD90" s="292"/>
      <c r="BD90" s="292"/>
    </row>
    <row r="91" spans="2:56" x14ac:dyDescent="0.15">
      <c r="B91" s="605"/>
      <c r="D91" s="325"/>
      <c r="F91" s="325"/>
      <c r="I91" s="325"/>
      <c r="M91" s="325"/>
      <c r="W91" s="605"/>
      <c r="X91" s="291" t="s">
        <v>244</v>
      </c>
      <c r="AC91" s="291">
        <v>7</v>
      </c>
      <c r="AD91" s="292"/>
      <c r="BD91" s="292"/>
    </row>
    <row r="92" spans="2:56" x14ac:dyDescent="0.15">
      <c r="B92" s="605"/>
      <c r="D92" s="325"/>
      <c r="F92" s="325"/>
      <c r="I92" s="325"/>
      <c r="M92" s="325"/>
      <c r="W92" s="605"/>
      <c r="X92" s="291" t="s">
        <v>261</v>
      </c>
      <c r="AC92" s="291">
        <v>8</v>
      </c>
      <c r="AD92" s="292"/>
      <c r="BD92" s="292"/>
    </row>
    <row r="93" spans="2:56" x14ac:dyDescent="0.15">
      <c r="B93" s="605"/>
      <c r="D93" s="325"/>
      <c r="F93" s="325"/>
      <c r="I93" s="325"/>
      <c r="M93" s="325"/>
      <c r="W93" s="605"/>
      <c r="X93" s="291" t="s">
        <v>560</v>
      </c>
      <c r="AC93" s="355">
        <v>10</v>
      </c>
      <c r="AD93" s="510" t="s">
        <v>759</v>
      </c>
      <c r="BD93" s="292"/>
    </row>
    <row r="94" spans="2:56" x14ac:dyDescent="0.15">
      <c r="B94" s="605"/>
      <c r="D94" s="325"/>
      <c r="F94" s="325"/>
      <c r="I94" s="325"/>
      <c r="M94" s="325"/>
      <c r="W94" s="1041"/>
      <c r="X94" s="1042" t="s">
        <v>282</v>
      </c>
      <c r="Y94" s="1042"/>
      <c r="Z94" s="1042"/>
      <c r="AA94" s="1042"/>
      <c r="AB94" s="1042"/>
      <c r="AC94" s="1068">
        <v>185</v>
      </c>
      <c r="AD94" s="1043"/>
      <c r="BD94" s="292"/>
    </row>
    <row r="95" spans="2:56" x14ac:dyDescent="0.15">
      <c r="B95" s="605"/>
      <c r="D95" s="325"/>
      <c r="F95" s="325"/>
      <c r="I95" s="325"/>
      <c r="M95" s="325"/>
      <c r="W95" s="355" t="s">
        <v>760</v>
      </c>
      <c r="BD95" s="292"/>
    </row>
    <row r="96" spans="2:56" x14ac:dyDescent="0.15">
      <c r="B96" s="605"/>
      <c r="D96" s="325"/>
      <c r="F96" s="325"/>
      <c r="I96" s="325"/>
      <c r="M96" s="325"/>
      <c r="BD96" s="292"/>
    </row>
    <row r="97" spans="2:56" x14ac:dyDescent="0.15">
      <c r="B97" s="605"/>
      <c r="D97" s="325"/>
      <c r="F97" s="325"/>
      <c r="I97" s="325"/>
      <c r="M97" s="325"/>
      <c r="W97" s="291" t="s">
        <v>551</v>
      </c>
      <c r="AI97" s="291" t="s">
        <v>182</v>
      </c>
      <c r="BD97" s="292"/>
    </row>
    <row r="98" spans="2:56" x14ac:dyDescent="0.15">
      <c r="B98" s="605"/>
      <c r="D98" s="325"/>
      <c r="F98" s="325"/>
      <c r="I98" s="325"/>
      <c r="M98" s="325"/>
      <c r="W98" s="1038" t="s">
        <v>137</v>
      </c>
      <c r="X98" s="1039"/>
      <c r="Y98" s="1039"/>
      <c r="Z98" s="1039"/>
      <c r="AA98" s="1039"/>
      <c r="AB98" s="1039"/>
      <c r="AC98" s="1039"/>
      <c r="AD98" s="1040"/>
      <c r="AI98" s="1038" t="s">
        <v>554</v>
      </c>
      <c r="AJ98" s="1039"/>
      <c r="AK98" s="1039"/>
      <c r="AL98" s="1039"/>
      <c r="AM98" s="1039"/>
      <c r="AN98" s="1039"/>
      <c r="AO98" s="1039"/>
      <c r="AP98" s="1040"/>
      <c r="AQ98" s="291" t="s">
        <v>761</v>
      </c>
      <c r="BD98" s="292"/>
    </row>
    <row r="99" spans="2:56" x14ac:dyDescent="0.15">
      <c r="B99" s="605"/>
      <c r="D99" s="325"/>
      <c r="F99" s="325"/>
      <c r="I99" s="325"/>
      <c r="M99" s="325"/>
      <c r="W99" s="605"/>
      <c r="X99" s="291" t="s">
        <v>248</v>
      </c>
      <c r="AC99" s="325" t="s">
        <v>556</v>
      </c>
      <c r="AD99" s="292"/>
      <c r="AI99" s="605"/>
      <c r="AJ99" s="291" t="s">
        <v>248</v>
      </c>
      <c r="AO99" s="325" t="s">
        <v>556</v>
      </c>
      <c r="AP99" s="292"/>
      <c r="BD99" s="292"/>
    </row>
    <row r="100" spans="2:56" x14ac:dyDescent="0.15">
      <c r="B100" s="605"/>
      <c r="D100" s="325"/>
      <c r="F100" s="325"/>
      <c r="I100" s="325"/>
      <c r="M100" s="325"/>
      <c r="W100" s="605"/>
      <c r="X100" s="291" t="s">
        <v>244</v>
      </c>
      <c r="AC100" s="291">
        <v>7</v>
      </c>
      <c r="AD100" s="292"/>
      <c r="AI100" s="605"/>
      <c r="AJ100" s="291" t="s">
        <v>244</v>
      </c>
      <c r="AO100" s="291">
        <v>9</v>
      </c>
      <c r="AP100" s="292"/>
      <c r="BD100" s="292"/>
    </row>
    <row r="101" spans="2:56" x14ac:dyDescent="0.15">
      <c r="B101" s="605"/>
      <c r="M101" s="325"/>
      <c r="W101" s="605"/>
      <c r="X101" s="291" t="s">
        <v>261</v>
      </c>
      <c r="AC101" s="291">
        <v>9</v>
      </c>
      <c r="AD101" s="292"/>
      <c r="AI101" s="605"/>
      <c r="AJ101" s="291" t="s">
        <v>557</v>
      </c>
      <c r="AO101" s="325">
        <v>99</v>
      </c>
      <c r="AP101" s="292" t="s">
        <v>762</v>
      </c>
      <c r="AY101" s="343" t="s">
        <v>763</v>
      </c>
      <c r="BD101" s="292"/>
    </row>
    <row r="102" spans="2:56" x14ac:dyDescent="0.15">
      <c r="B102" s="605"/>
      <c r="M102" s="325"/>
      <c r="W102" s="605"/>
      <c r="X102" s="291" t="s">
        <v>560</v>
      </c>
      <c r="AC102" s="291">
        <v>3</v>
      </c>
      <c r="AD102" s="292" t="s">
        <v>736</v>
      </c>
      <c r="AI102" s="605"/>
      <c r="AJ102" s="291" t="s">
        <v>402</v>
      </c>
      <c r="AO102" s="291">
        <v>1</v>
      </c>
      <c r="AP102" s="292"/>
      <c r="AY102" s="343" t="s">
        <v>764</v>
      </c>
      <c r="BD102" s="292"/>
    </row>
    <row r="103" spans="2:56" x14ac:dyDescent="0.15">
      <c r="B103" s="605"/>
      <c r="D103" s="325"/>
      <c r="F103" s="325"/>
      <c r="I103" s="325"/>
      <c r="M103" s="325"/>
      <c r="W103" s="1041"/>
      <c r="X103" s="1042" t="s">
        <v>282</v>
      </c>
      <c r="Y103" s="1042"/>
      <c r="Z103" s="1042"/>
      <c r="AA103" s="1042"/>
      <c r="AB103" s="1042"/>
      <c r="AC103" s="1042">
        <v>0</v>
      </c>
      <c r="AD103" s="1043"/>
      <c r="AI103" s="605"/>
      <c r="AJ103" s="291" t="s">
        <v>404</v>
      </c>
      <c r="AO103" s="291">
        <v>0</v>
      </c>
      <c r="AP103" s="292"/>
      <c r="BD103" s="292"/>
    </row>
    <row r="104" spans="2:56" x14ac:dyDescent="0.15">
      <c r="B104" s="605"/>
      <c r="D104" s="325"/>
      <c r="F104" s="325"/>
      <c r="I104" s="325"/>
      <c r="M104" s="325"/>
      <c r="W104" s="355" t="s">
        <v>765</v>
      </c>
      <c r="AI104" s="605"/>
      <c r="AJ104" s="291" t="s">
        <v>406</v>
      </c>
      <c r="AO104" s="291">
        <v>0</v>
      </c>
      <c r="AP104" s="292"/>
      <c r="BD104" s="292"/>
    </row>
    <row r="105" spans="2:56" x14ac:dyDescent="0.15">
      <c r="B105" s="605"/>
      <c r="D105" s="325"/>
      <c r="F105" s="325"/>
      <c r="I105" s="325"/>
      <c r="M105" s="325"/>
      <c r="AI105" s="605"/>
      <c r="AJ105" s="291" t="s">
        <v>562</v>
      </c>
      <c r="AO105" s="291">
        <v>0</v>
      </c>
      <c r="AP105" s="292"/>
      <c r="BD105" s="292"/>
    </row>
    <row r="106" spans="2:56" x14ac:dyDescent="0.15">
      <c r="B106" s="605"/>
      <c r="D106" s="325"/>
      <c r="F106" s="325"/>
      <c r="I106" s="325"/>
      <c r="M106" s="291" t="s">
        <v>766</v>
      </c>
      <c r="W106" s="291" t="s">
        <v>551</v>
      </c>
      <c r="AI106" s="1041"/>
      <c r="AJ106" s="1042" t="s">
        <v>563</v>
      </c>
      <c r="AK106" s="1042"/>
      <c r="AL106" s="1042"/>
      <c r="AM106" s="1042"/>
      <c r="AN106" s="1042"/>
      <c r="AO106" s="1049">
        <v>890</v>
      </c>
      <c r="AP106" s="1043"/>
      <c r="BD106" s="292"/>
    </row>
    <row r="107" spans="2:56" x14ac:dyDescent="0.15">
      <c r="B107" s="605"/>
      <c r="D107" s="325"/>
      <c r="F107" s="325"/>
      <c r="I107" s="325"/>
      <c r="M107" s="1038" t="s">
        <v>553</v>
      </c>
      <c r="N107" s="1039"/>
      <c r="O107" s="1039"/>
      <c r="P107" s="1039"/>
      <c r="Q107" s="1039"/>
      <c r="R107" s="1039"/>
      <c r="S107" s="1039"/>
      <c r="T107" s="1039"/>
      <c r="U107" s="1040"/>
      <c r="W107" s="1038" t="s">
        <v>137</v>
      </c>
      <c r="X107" s="1039"/>
      <c r="Y107" s="1039"/>
      <c r="Z107" s="1039"/>
      <c r="AA107" s="1039"/>
      <c r="AB107" s="1039"/>
      <c r="AC107" s="1039"/>
      <c r="AD107" s="1040"/>
      <c r="BD107" s="292"/>
    </row>
    <row r="108" spans="2:56" x14ac:dyDescent="0.15">
      <c r="B108" s="605"/>
      <c r="D108" s="325"/>
      <c r="F108" s="325"/>
      <c r="I108" s="325"/>
      <c r="M108" s="605"/>
      <c r="N108" s="291" t="s">
        <v>248</v>
      </c>
      <c r="T108" s="325" t="s">
        <v>556</v>
      </c>
      <c r="U108" s="292"/>
      <c r="W108" s="605"/>
      <c r="X108" s="291" t="s">
        <v>248</v>
      </c>
      <c r="AC108" s="325" t="s">
        <v>556</v>
      </c>
      <c r="AD108" s="292"/>
      <c r="BD108" s="292"/>
    </row>
    <row r="109" spans="2:56" x14ac:dyDescent="0.15">
      <c r="B109" s="605"/>
      <c r="D109" s="325"/>
      <c r="F109" s="325"/>
      <c r="I109" s="325"/>
      <c r="M109" s="605"/>
      <c r="N109" s="291" t="s">
        <v>244</v>
      </c>
      <c r="T109" s="291">
        <v>10</v>
      </c>
      <c r="U109" s="292"/>
      <c r="W109" s="605"/>
      <c r="X109" s="291" t="s">
        <v>244</v>
      </c>
      <c r="AC109" s="291">
        <v>10</v>
      </c>
      <c r="AD109" s="292"/>
      <c r="BD109" s="292"/>
    </row>
    <row r="110" spans="2:56" x14ac:dyDescent="0.15">
      <c r="B110" s="605"/>
      <c r="D110" s="325"/>
      <c r="F110" s="325"/>
      <c r="I110" s="325"/>
      <c r="M110" s="605"/>
      <c r="N110" s="291" t="s">
        <v>337</v>
      </c>
      <c r="T110" s="291">
        <v>2</v>
      </c>
      <c r="U110" s="292"/>
      <c r="W110" s="605"/>
      <c r="X110" s="291" t="s">
        <v>261</v>
      </c>
      <c r="AC110" s="291">
        <v>8</v>
      </c>
      <c r="AD110" s="292"/>
      <c r="BD110" s="292"/>
    </row>
    <row r="111" spans="2:56" x14ac:dyDescent="0.15">
      <c r="B111" s="605"/>
      <c r="D111" s="325"/>
      <c r="F111" s="325"/>
      <c r="I111" s="325"/>
      <c r="M111" s="605"/>
      <c r="N111" s="291" t="s">
        <v>350</v>
      </c>
      <c r="T111" s="291">
        <v>190</v>
      </c>
      <c r="U111" s="292"/>
      <c r="W111" s="605"/>
      <c r="X111" s="291" t="s">
        <v>560</v>
      </c>
      <c r="AC111" s="291">
        <v>3</v>
      </c>
      <c r="AD111" s="292" t="s">
        <v>736</v>
      </c>
      <c r="BD111" s="292"/>
    </row>
    <row r="112" spans="2:56" x14ac:dyDescent="0.15">
      <c r="B112" s="605"/>
      <c r="M112" s="605"/>
      <c r="N112" s="291" t="s">
        <v>377</v>
      </c>
      <c r="T112" s="291">
        <v>2</v>
      </c>
      <c r="U112" s="292" t="s">
        <v>756</v>
      </c>
      <c r="W112" s="1041"/>
      <c r="X112" s="1042" t="s">
        <v>282</v>
      </c>
      <c r="Y112" s="1042"/>
      <c r="Z112" s="1042"/>
      <c r="AA112" s="1042"/>
      <c r="AB112" s="1042"/>
      <c r="AC112" s="1042">
        <v>0</v>
      </c>
      <c r="AD112" s="1043"/>
      <c r="BD112" s="292"/>
    </row>
    <row r="113" spans="2:56" x14ac:dyDescent="0.15">
      <c r="B113" s="605"/>
      <c r="M113" s="605"/>
      <c r="N113" s="291" t="s">
        <v>739</v>
      </c>
      <c r="T113" s="291">
        <v>14</v>
      </c>
      <c r="U113" s="292"/>
      <c r="BD113" s="292"/>
    </row>
    <row r="114" spans="2:56" x14ac:dyDescent="0.15">
      <c r="B114" s="605"/>
      <c r="M114" s="605"/>
      <c r="N114" s="291" t="s">
        <v>740</v>
      </c>
      <c r="T114" s="291">
        <v>95</v>
      </c>
      <c r="U114" s="292"/>
      <c r="W114" s="291" t="s">
        <v>551</v>
      </c>
      <c r="BD114" s="292"/>
    </row>
    <row r="115" spans="2:56" x14ac:dyDescent="0.15">
      <c r="B115" s="605"/>
      <c r="D115" s="325"/>
      <c r="F115" s="325"/>
      <c r="I115" s="325"/>
      <c r="M115" s="1041"/>
      <c r="N115" s="1042" t="s">
        <v>385</v>
      </c>
      <c r="O115" s="1042"/>
      <c r="P115" s="1042"/>
      <c r="Q115" s="1042"/>
      <c r="R115" s="1042"/>
      <c r="S115" s="1042"/>
      <c r="T115" s="1042">
        <v>99</v>
      </c>
      <c r="U115" s="1043"/>
      <c r="W115" s="1038" t="s">
        <v>137</v>
      </c>
      <c r="X115" s="1039"/>
      <c r="Y115" s="1039"/>
      <c r="Z115" s="1039"/>
      <c r="AA115" s="1039"/>
      <c r="AB115" s="1039"/>
      <c r="AC115" s="1039"/>
      <c r="AD115" s="1040"/>
      <c r="BD115" s="292"/>
    </row>
    <row r="116" spans="2:56" x14ac:dyDescent="0.15">
      <c r="B116" s="605"/>
      <c r="D116" s="325"/>
      <c r="F116" s="325"/>
      <c r="I116" s="325"/>
      <c r="M116" s="325"/>
      <c r="W116" s="605"/>
      <c r="X116" s="291" t="s">
        <v>248</v>
      </c>
      <c r="AC116" s="325" t="s">
        <v>556</v>
      </c>
      <c r="AD116" s="292"/>
      <c r="BD116" s="292"/>
    </row>
    <row r="117" spans="2:56" x14ac:dyDescent="0.15">
      <c r="B117" s="605"/>
      <c r="D117" s="325"/>
      <c r="F117" s="325"/>
      <c r="I117" s="325"/>
      <c r="M117" s="325"/>
      <c r="W117" s="605"/>
      <c r="X117" s="291" t="s">
        <v>244</v>
      </c>
      <c r="AC117" s="291">
        <v>10</v>
      </c>
      <c r="AD117" s="292"/>
      <c r="BD117" s="292"/>
    </row>
    <row r="118" spans="2:56" x14ac:dyDescent="0.15">
      <c r="B118" s="605"/>
      <c r="D118" s="325"/>
      <c r="F118" s="325"/>
      <c r="I118" s="325"/>
      <c r="M118" s="325"/>
      <c r="W118" s="605"/>
      <c r="X118" s="291" t="s">
        <v>261</v>
      </c>
      <c r="AC118" s="291">
        <v>8</v>
      </c>
      <c r="AD118" s="292"/>
      <c r="BD118" s="292"/>
    </row>
    <row r="119" spans="2:56" x14ac:dyDescent="0.15">
      <c r="B119" s="605"/>
      <c r="D119" s="325"/>
      <c r="F119" s="325"/>
      <c r="I119" s="325"/>
      <c r="M119" s="325"/>
      <c r="W119" s="605"/>
      <c r="X119" s="291" t="s">
        <v>560</v>
      </c>
      <c r="AC119" s="355">
        <v>9</v>
      </c>
      <c r="AD119" s="510" t="s">
        <v>757</v>
      </c>
      <c r="BD119" s="292"/>
    </row>
    <row r="120" spans="2:56" x14ac:dyDescent="0.15">
      <c r="B120" s="605"/>
      <c r="D120" s="325"/>
      <c r="F120" s="325"/>
      <c r="I120" s="325"/>
      <c r="M120" s="325"/>
      <c r="W120" s="1041"/>
      <c r="X120" s="1042" t="s">
        <v>282</v>
      </c>
      <c r="Y120" s="1042"/>
      <c r="Z120" s="1042"/>
      <c r="AA120" s="1042"/>
      <c r="AB120" s="1042"/>
      <c r="AC120" s="1042">
        <v>14</v>
      </c>
      <c r="AD120" s="1043"/>
      <c r="BD120" s="292"/>
    </row>
    <row r="121" spans="2:56" x14ac:dyDescent="0.15">
      <c r="B121" s="605"/>
      <c r="D121" s="325"/>
      <c r="F121" s="325"/>
      <c r="I121" s="325"/>
      <c r="M121" s="325"/>
      <c r="W121" s="355" t="s">
        <v>758</v>
      </c>
      <c r="BD121" s="292"/>
    </row>
    <row r="122" spans="2:56" x14ac:dyDescent="0.15">
      <c r="B122" s="605"/>
      <c r="D122" s="325"/>
      <c r="F122" s="325"/>
      <c r="I122" s="325"/>
      <c r="M122" s="325"/>
      <c r="BD122" s="292"/>
    </row>
    <row r="123" spans="2:56" x14ac:dyDescent="0.15">
      <c r="B123" s="605"/>
      <c r="D123" s="325"/>
      <c r="F123" s="325"/>
      <c r="I123" s="325"/>
      <c r="M123" s="325"/>
      <c r="W123" s="291" t="s">
        <v>551</v>
      </c>
      <c r="BD123" s="292"/>
    </row>
    <row r="124" spans="2:56" x14ac:dyDescent="0.15">
      <c r="B124" s="605"/>
      <c r="M124" s="325"/>
      <c r="W124" s="1038" t="s">
        <v>137</v>
      </c>
      <c r="X124" s="1039"/>
      <c r="Y124" s="1039"/>
      <c r="Z124" s="1039"/>
      <c r="AA124" s="1039"/>
      <c r="AB124" s="1039"/>
      <c r="AC124" s="1039"/>
      <c r="AD124" s="1040"/>
      <c r="BD124" s="292"/>
    </row>
    <row r="125" spans="2:56" x14ac:dyDescent="0.15">
      <c r="B125" s="605"/>
      <c r="M125" s="325"/>
      <c r="W125" s="605"/>
      <c r="X125" s="291" t="s">
        <v>248</v>
      </c>
      <c r="AC125" s="325" t="s">
        <v>556</v>
      </c>
      <c r="AD125" s="292"/>
      <c r="BD125" s="292"/>
    </row>
    <row r="126" spans="2:56" x14ac:dyDescent="0.15">
      <c r="B126" s="605"/>
      <c r="D126" s="325"/>
      <c r="F126" s="325"/>
      <c r="I126" s="325"/>
      <c r="M126" s="325"/>
      <c r="W126" s="605"/>
      <c r="X126" s="291" t="s">
        <v>244</v>
      </c>
      <c r="AC126" s="291">
        <v>10</v>
      </c>
      <c r="AD126" s="292"/>
      <c r="BD126" s="292"/>
    </row>
    <row r="127" spans="2:56" x14ac:dyDescent="0.15">
      <c r="B127" s="605"/>
      <c r="D127" s="325"/>
      <c r="F127" s="325"/>
      <c r="I127" s="325"/>
      <c r="M127" s="325"/>
      <c r="W127" s="605"/>
      <c r="X127" s="291" t="s">
        <v>261</v>
      </c>
      <c r="AC127" s="291">
        <v>8</v>
      </c>
      <c r="AD127" s="292"/>
      <c r="BD127" s="292"/>
    </row>
    <row r="128" spans="2:56" x14ac:dyDescent="0.15">
      <c r="B128" s="605"/>
      <c r="D128" s="325"/>
      <c r="F128" s="325"/>
      <c r="I128" s="325"/>
      <c r="M128" s="325"/>
      <c r="W128" s="605"/>
      <c r="X128" s="291" t="s">
        <v>560</v>
      </c>
      <c r="AC128" s="355">
        <v>10</v>
      </c>
      <c r="AD128" s="510" t="s">
        <v>759</v>
      </c>
      <c r="BD128" s="292"/>
    </row>
    <row r="129" spans="2:56" x14ac:dyDescent="0.15">
      <c r="B129" s="605"/>
      <c r="D129" s="325"/>
      <c r="F129" s="325"/>
      <c r="I129" s="325"/>
      <c r="M129" s="325"/>
      <c r="W129" s="1041"/>
      <c r="X129" s="1042" t="s">
        <v>282</v>
      </c>
      <c r="Y129" s="1042"/>
      <c r="Z129" s="1042"/>
      <c r="AA129" s="1042"/>
      <c r="AB129" s="1042"/>
      <c r="AC129" s="1042">
        <v>176</v>
      </c>
      <c r="AD129" s="1043"/>
      <c r="BD129" s="292"/>
    </row>
    <row r="130" spans="2:56" x14ac:dyDescent="0.15">
      <c r="B130" s="605"/>
      <c r="D130" s="325"/>
      <c r="F130" s="325"/>
      <c r="I130" s="325"/>
      <c r="M130" s="325"/>
      <c r="W130" s="355" t="s">
        <v>760</v>
      </c>
      <c r="BD130" s="292"/>
    </row>
    <row r="131" spans="2:56" x14ac:dyDescent="0.15">
      <c r="B131" s="605"/>
      <c r="D131" s="325"/>
      <c r="F131" s="325"/>
      <c r="I131" s="325"/>
      <c r="M131" s="325"/>
      <c r="BD131" s="292"/>
    </row>
    <row r="132" spans="2:56" x14ac:dyDescent="0.15">
      <c r="B132" s="605"/>
      <c r="D132" s="325"/>
      <c r="F132" s="325"/>
      <c r="I132" s="325"/>
      <c r="M132" s="325"/>
      <c r="W132" s="291" t="s">
        <v>551</v>
      </c>
      <c r="BD132" s="292"/>
    </row>
    <row r="133" spans="2:56" x14ac:dyDescent="0.15">
      <c r="B133" s="605"/>
      <c r="D133" s="325"/>
      <c r="F133" s="325"/>
      <c r="I133" s="325"/>
      <c r="M133" s="325"/>
      <c r="W133" s="1038" t="s">
        <v>137</v>
      </c>
      <c r="X133" s="1039"/>
      <c r="Y133" s="1039"/>
      <c r="Z133" s="1039"/>
      <c r="AA133" s="1039"/>
      <c r="AB133" s="1039"/>
      <c r="AC133" s="1039"/>
      <c r="AD133" s="1040"/>
      <c r="BD133" s="292"/>
    </row>
    <row r="134" spans="2:56" x14ac:dyDescent="0.15">
      <c r="B134" s="605"/>
      <c r="D134" s="325"/>
      <c r="F134" s="325"/>
      <c r="I134" s="325"/>
      <c r="M134" s="325"/>
      <c r="W134" s="605"/>
      <c r="X134" s="291" t="s">
        <v>248</v>
      </c>
      <c r="AC134" s="325" t="s">
        <v>556</v>
      </c>
      <c r="AD134" s="292"/>
      <c r="BD134" s="292"/>
    </row>
    <row r="135" spans="2:56" x14ac:dyDescent="0.15">
      <c r="B135" s="605"/>
      <c r="D135" s="325"/>
      <c r="F135" s="325"/>
      <c r="I135" s="325"/>
      <c r="M135" s="325"/>
      <c r="W135" s="605"/>
      <c r="X135" s="291" t="s">
        <v>244</v>
      </c>
      <c r="AC135" s="291">
        <v>10</v>
      </c>
      <c r="AD135" s="292"/>
      <c r="BD135" s="292"/>
    </row>
    <row r="136" spans="2:56" x14ac:dyDescent="0.15">
      <c r="B136" s="605"/>
      <c r="M136" s="325"/>
      <c r="W136" s="605"/>
      <c r="X136" s="291" t="s">
        <v>261</v>
      </c>
      <c r="AC136" s="291">
        <v>9</v>
      </c>
      <c r="AD136" s="292"/>
      <c r="BD136" s="292"/>
    </row>
    <row r="137" spans="2:56" x14ac:dyDescent="0.15">
      <c r="B137" s="605"/>
      <c r="M137" s="325"/>
      <c r="W137" s="605"/>
      <c r="X137" s="291" t="s">
        <v>560</v>
      </c>
      <c r="AC137" s="291">
        <v>3</v>
      </c>
      <c r="AD137" s="292" t="s">
        <v>736</v>
      </c>
      <c r="BD137" s="292"/>
    </row>
    <row r="138" spans="2:56" x14ac:dyDescent="0.15">
      <c r="B138" s="605"/>
      <c r="D138" s="325"/>
      <c r="F138" s="325"/>
      <c r="I138" s="325"/>
      <c r="M138" s="325"/>
      <c r="W138" s="1041"/>
      <c r="X138" s="1042" t="s">
        <v>282</v>
      </c>
      <c r="Y138" s="1042"/>
      <c r="Z138" s="1042"/>
      <c r="AA138" s="1042"/>
      <c r="AB138" s="1042"/>
      <c r="AC138" s="1042">
        <v>0</v>
      </c>
      <c r="AD138" s="1043"/>
      <c r="BD138" s="292"/>
    </row>
    <row r="139" spans="2:56" x14ac:dyDescent="0.15">
      <c r="B139" s="605"/>
      <c r="D139" s="325"/>
      <c r="F139" s="325"/>
      <c r="I139" s="325"/>
      <c r="M139" s="325"/>
      <c r="W139" s="355" t="s">
        <v>765</v>
      </c>
      <c r="BD139" s="292"/>
    </row>
    <row r="140" spans="2:56" x14ac:dyDescent="0.15">
      <c r="B140" s="605"/>
      <c r="D140" s="325"/>
      <c r="F140" s="325"/>
      <c r="I140" s="325"/>
      <c r="M140" s="325"/>
      <c r="BD140" s="292"/>
    </row>
    <row r="141" spans="2:56" x14ac:dyDescent="0.15">
      <c r="B141" s="605"/>
      <c r="D141" s="325"/>
      <c r="F141" s="325"/>
      <c r="I141" s="325"/>
      <c r="M141" s="291" t="s">
        <v>767</v>
      </c>
      <c r="W141" s="291" t="s">
        <v>551</v>
      </c>
      <c r="AG141" s="291" t="s">
        <v>182</v>
      </c>
      <c r="BD141" s="292"/>
    </row>
    <row r="142" spans="2:56" x14ac:dyDescent="0.15">
      <c r="B142" s="605"/>
      <c r="D142" s="325"/>
      <c r="F142" s="325"/>
      <c r="I142" s="325"/>
      <c r="M142" s="1038" t="s">
        <v>553</v>
      </c>
      <c r="N142" s="1039"/>
      <c r="O142" s="1039"/>
      <c r="P142" s="1039"/>
      <c r="Q142" s="1039"/>
      <c r="R142" s="1039"/>
      <c r="S142" s="1039"/>
      <c r="T142" s="1039"/>
      <c r="U142" s="1040"/>
      <c r="W142" s="1038" t="s">
        <v>137</v>
      </c>
      <c r="X142" s="1039"/>
      <c r="Y142" s="1039"/>
      <c r="Z142" s="1039"/>
      <c r="AA142" s="1039"/>
      <c r="AB142" s="1039"/>
      <c r="AC142" s="1039"/>
      <c r="AD142" s="1040"/>
      <c r="AG142" s="1038" t="s">
        <v>554</v>
      </c>
      <c r="AH142" s="1039"/>
      <c r="AI142" s="1039"/>
      <c r="AJ142" s="1039"/>
      <c r="AK142" s="1039"/>
      <c r="AL142" s="1039"/>
      <c r="AM142" s="1039"/>
      <c r="AN142" s="1040"/>
      <c r="AO142" s="291" t="s">
        <v>768</v>
      </c>
      <c r="BD142" s="292"/>
    </row>
    <row r="143" spans="2:56" x14ac:dyDescent="0.15">
      <c r="B143" s="605"/>
      <c r="D143" s="325"/>
      <c r="F143" s="325"/>
      <c r="I143" s="325"/>
      <c r="M143" s="605"/>
      <c r="N143" s="291" t="s">
        <v>248</v>
      </c>
      <c r="T143" s="325" t="s">
        <v>556</v>
      </c>
      <c r="U143" s="292"/>
      <c r="W143" s="605"/>
      <c r="X143" s="291" t="s">
        <v>248</v>
      </c>
      <c r="AC143" s="325" t="s">
        <v>556</v>
      </c>
      <c r="AD143" s="292"/>
      <c r="AG143" s="605"/>
      <c r="AH143" s="291" t="s">
        <v>248</v>
      </c>
      <c r="AM143" s="325" t="s">
        <v>556</v>
      </c>
      <c r="AN143" s="292"/>
      <c r="BD143" s="292"/>
    </row>
    <row r="144" spans="2:56" x14ac:dyDescent="0.15">
      <c r="B144" s="605"/>
      <c r="D144" s="325"/>
      <c r="F144" s="325"/>
      <c r="I144" s="325"/>
      <c r="M144" s="605"/>
      <c r="N144" s="291" t="s">
        <v>244</v>
      </c>
      <c r="T144" s="291">
        <v>11</v>
      </c>
      <c r="U144" s="292"/>
      <c r="W144" s="605"/>
      <c r="X144" s="291" t="s">
        <v>244</v>
      </c>
      <c r="AC144" s="291">
        <v>11</v>
      </c>
      <c r="AD144" s="292"/>
      <c r="AG144" s="605"/>
      <c r="AH144" s="291" t="s">
        <v>244</v>
      </c>
      <c r="AM144" s="291">
        <v>12</v>
      </c>
      <c r="AN144" s="292"/>
      <c r="BD144" s="292"/>
    </row>
    <row r="145" spans="2:56" x14ac:dyDescent="0.15">
      <c r="B145" s="605"/>
      <c r="D145" s="325"/>
      <c r="F145" s="325"/>
      <c r="I145" s="325"/>
      <c r="M145" s="605"/>
      <c r="N145" s="291" t="s">
        <v>337</v>
      </c>
      <c r="T145" s="291">
        <v>2</v>
      </c>
      <c r="U145" s="292"/>
      <c r="W145" s="605"/>
      <c r="X145" s="291" t="s">
        <v>261</v>
      </c>
      <c r="AC145" s="291">
        <v>12</v>
      </c>
      <c r="AD145" s="292"/>
      <c r="AG145" s="605"/>
      <c r="AH145" s="291" t="s">
        <v>557</v>
      </c>
      <c r="AM145" s="325">
        <v>5</v>
      </c>
      <c r="AN145" s="292" t="s">
        <v>769</v>
      </c>
      <c r="BD145" s="292"/>
    </row>
    <row r="146" spans="2:56" x14ac:dyDescent="0.15">
      <c r="B146" s="605"/>
      <c r="D146" s="325"/>
      <c r="F146" s="325"/>
      <c r="I146" s="325"/>
      <c r="M146" s="605"/>
      <c r="N146" s="291" t="s">
        <v>350</v>
      </c>
      <c r="T146" s="291">
        <v>200</v>
      </c>
      <c r="U146" s="292"/>
      <c r="W146" s="605"/>
      <c r="X146" s="291" t="s">
        <v>560</v>
      </c>
      <c r="AC146" s="291">
        <v>3</v>
      </c>
      <c r="AD146" s="292" t="s">
        <v>736</v>
      </c>
      <c r="AG146" s="605"/>
      <c r="AH146" s="291" t="s">
        <v>402</v>
      </c>
      <c r="AM146" s="291">
        <v>1</v>
      </c>
      <c r="AN146" s="292"/>
      <c r="BD146" s="292"/>
    </row>
    <row r="147" spans="2:56" x14ac:dyDescent="0.15">
      <c r="B147" s="605"/>
      <c r="M147" s="605"/>
      <c r="N147" s="291" t="s">
        <v>377</v>
      </c>
      <c r="T147" s="291">
        <v>2</v>
      </c>
      <c r="U147" s="292" t="s">
        <v>756</v>
      </c>
      <c r="W147" s="1041"/>
      <c r="X147" s="1042" t="s">
        <v>282</v>
      </c>
      <c r="Y147" s="1042"/>
      <c r="Z147" s="1042"/>
      <c r="AA147" s="1042"/>
      <c r="AB147" s="1042"/>
      <c r="AC147" s="1042">
        <v>0</v>
      </c>
      <c r="AD147" s="1043"/>
      <c r="AG147" s="605"/>
      <c r="AH147" s="291" t="s">
        <v>404</v>
      </c>
      <c r="AM147" s="291">
        <v>0</v>
      </c>
      <c r="AN147" s="292"/>
      <c r="BD147" s="292"/>
    </row>
    <row r="148" spans="2:56" x14ac:dyDescent="0.15">
      <c r="B148" s="605"/>
      <c r="M148" s="605"/>
      <c r="N148" s="291" t="s">
        <v>739</v>
      </c>
      <c r="T148" s="291">
        <v>18</v>
      </c>
      <c r="U148" s="292"/>
      <c r="AG148" s="605"/>
      <c r="AH148" s="291" t="s">
        <v>406</v>
      </c>
      <c r="AM148" s="291">
        <v>18</v>
      </c>
      <c r="AN148" s="292"/>
      <c r="BD148" s="292"/>
    </row>
    <row r="149" spans="2:56" x14ac:dyDescent="0.15">
      <c r="B149" s="605"/>
      <c r="M149" s="605"/>
      <c r="N149" s="291" t="s">
        <v>740</v>
      </c>
      <c r="T149" s="291">
        <v>100</v>
      </c>
      <c r="U149" s="292"/>
      <c r="W149" s="291" t="s">
        <v>551</v>
      </c>
      <c r="AG149" s="605"/>
      <c r="AH149" s="291" t="s">
        <v>562</v>
      </c>
      <c r="AM149" s="291">
        <v>182</v>
      </c>
      <c r="AN149" s="292"/>
      <c r="BD149" s="292"/>
    </row>
    <row r="150" spans="2:56" x14ac:dyDescent="0.15">
      <c r="B150" s="605"/>
      <c r="D150" s="325"/>
      <c r="F150" s="325"/>
      <c r="I150" s="325"/>
      <c r="M150" s="1041"/>
      <c r="N150" s="1042" t="s">
        <v>385</v>
      </c>
      <c r="O150" s="1042"/>
      <c r="P150" s="1042"/>
      <c r="Q150" s="1042"/>
      <c r="R150" s="1042"/>
      <c r="S150" s="1042"/>
      <c r="T150" s="1042">
        <v>99</v>
      </c>
      <c r="U150" s="1043"/>
      <c r="W150" s="1038" t="s">
        <v>137</v>
      </c>
      <c r="X150" s="1039"/>
      <c r="Y150" s="1039"/>
      <c r="Z150" s="1039"/>
      <c r="AA150" s="1039"/>
      <c r="AB150" s="1039"/>
      <c r="AC150" s="1039"/>
      <c r="AD150" s="1040"/>
      <c r="AG150" s="1041"/>
      <c r="AH150" s="1042" t="s">
        <v>563</v>
      </c>
      <c r="AI150" s="1042"/>
      <c r="AJ150" s="1042"/>
      <c r="AK150" s="1042"/>
      <c r="AL150" s="1042"/>
      <c r="AM150" s="1042">
        <v>200</v>
      </c>
      <c r="AN150" s="1043"/>
      <c r="BD150" s="292"/>
    </row>
    <row r="151" spans="2:56" x14ac:dyDescent="0.15">
      <c r="B151" s="605"/>
      <c r="D151" s="325"/>
      <c r="F151" s="325"/>
      <c r="I151" s="325"/>
      <c r="M151" s="325"/>
      <c r="W151" s="605"/>
      <c r="X151" s="291" t="s">
        <v>248</v>
      </c>
      <c r="AC151" s="325" t="s">
        <v>556</v>
      </c>
      <c r="AD151" s="292"/>
      <c r="BD151" s="292"/>
    </row>
    <row r="152" spans="2:56" x14ac:dyDescent="0.15">
      <c r="B152" s="605"/>
      <c r="D152" s="325"/>
      <c r="F152" s="325"/>
      <c r="I152" s="325"/>
      <c r="M152" s="325"/>
      <c r="W152" s="605"/>
      <c r="X152" s="291" t="s">
        <v>244</v>
      </c>
      <c r="AC152" s="291">
        <v>11</v>
      </c>
      <c r="AD152" s="292"/>
      <c r="BD152" s="292"/>
    </row>
    <row r="153" spans="2:56" x14ac:dyDescent="0.15">
      <c r="B153" s="605"/>
      <c r="D153" s="325"/>
      <c r="F153" s="325"/>
      <c r="I153" s="325"/>
      <c r="M153" s="325"/>
      <c r="W153" s="605"/>
      <c r="X153" s="291" t="s">
        <v>261</v>
      </c>
      <c r="AC153" s="291">
        <v>12</v>
      </c>
      <c r="AD153" s="292"/>
      <c r="BD153" s="292"/>
    </row>
    <row r="154" spans="2:56" x14ac:dyDescent="0.15">
      <c r="B154" s="605"/>
      <c r="D154" s="325"/>
      <c r="F154" s="325"/>
      <c r="I154" s="325"/>
      <c r="M154" s="325"/>
      <c r="W154" s="605"/>
      <c r="X154" s="291" t="s">
        <v>560</v>
      </c>
      <c r="AC154" s="355">
        <v>9</v>
      </c>
      <c r="AD154" s="510" t="s">
        <v>757</v>
      </c>
      <c r="BD154" s="292"/>
    </row>
    <row r="155" spans="2:56" x14ac:dyDescent="0.15">
      <c r="B155" s="605"/>
      <c r="D155" s="325"/>
      <c r="F155" s="325"/>
      <c r="I155" s="325"/>
      <c r="M155" s="325"/>
      <c r="W155" s="1041"/>
      <c r="X155" s="1042" t="s">
        <v>282</v>
      </c>
      <c r="Y155" s="1042"/>
      <c r="Z155" s="1042"/>
      <c r="AA155" s="1042"/>
      <c r="AB155" s="1042"/>
      <c r="AC155" s="1042">
        <v>18</v>
      </c>
      <c r="AD155" s="1043"/>
      <c r="BD155" s="292"/>
    </row>
    <row r="156" spans="2:56" x14ac:dyDescent="0.15">
      <c r="B156" s="605"/>
      <c r="D156" s="325"/>
      <c r="F156" s="325"/>
      <c r="I156" s="325"/>
      <c r="M156" s="325"/>
      <c r="W156" s="355" t="s">
        <v>758</v>
      </c>
      <c r="BD156" s="292"/>
    </row>
    <row r="157" spans="2:56" x14ac:dyDescent="0.15">
      <c r="B157" s="605"/>
      <c r="D157" s="325"/>
      <c r="F157" s="325"/>
      <c r="I157" s="325"/>
      <c r="M157" s="325"/>
      <c r="BD157" s="292"/>
    </row>
    <row r="158" spans="2:56" x14ac:dyDescent="0.15">
      <c r="B158" s="605"/>
      <c r="D158" s="325"/>
      <c r="F158" s="325"/>
      <c r="I158" s="325"/>
      <c r="M158" s="325"/>
      <c r="W158" s="291" t="s">
        <v>551</v>
      </c>
      <c r="BD158" s="292"/>
    </row>
    <row r="159" spans="2:56" x14ac:dyDescent="0.15">
      <c r="B159" s="605"/>
      <c r="M159" s="325"/>
      <c r="W159" s="1038" t="s">
        <v>137</v>
      </c>
      <c r="X159" s="1039"/>
      <c r="Y159" s="1039"/>
      <c r="Z159" s="1039"/>
      <c r="AA159" s="1039"/>
      <c r="AB159" s="1039"/>
      <c r="AC159" s="1039"/>
      <c r="AD159" s="1040"/>
      <c r="BD159" s="292"/>
    </row>
    <row r="160" spans="2:56" x14ac:dyDescent="0.15">
      <c r="B160" s="605"/>
      <c r="M160" s="325"/>
      <c r="W160" s="605"/>
      <c r="X160" s="291" t="s">
        <v>248</v>
      </c>
      <c r="AC160" s="325" t="s">
        <v>556</v>
      </c>
      <c r="AD160" s="292"/>
      <c r="BD160" s="292"/>
    </row>
    <row r="161" spans="2:56" x14ac:dyDescent="0.15">
      <c r="B161" s="605"/>
      <c r="D161" s="325"/>
      <c r="F161" s="325"/>
      <c r="I161" s="325"/>
      <c r="M161" s="325"/>
      <c r="W161" s="605"/>
      <c r="X161" s="291" t="s">
        <v>244</v>
      </c>
      <c r="AC161" s="291">
        <v>11</v>
      </c>
      <c r="AD161" s="292"/>
      <c r="BD161" s="292"/>
    </row>
    <row r="162" spans="2:56" x14ac:dyDescent="0.15">
      <c r="B162" s="605"/>
      <c r="D162" s="325"/>
      <c r="F162" s="325"/>
      <c r="I162" s="325"/>
      <c r="M162" s="325"/>
      <c r="W162" s="605"/>
      <c r="X162" s="291" t="s">
        <v>261</v>
      </c>
      <c r="AC162" s="291">
        <v>12</v>
      </c>
      <c r="AD162" s="292"/>
      <c r="BD162" s="292"/>
    </row>
    <row r="163" spans="2:56" x14ac:dyDescent="0.15">
      <c r="B163" s="605"/>
      <c r="D163" s="325"/>
      <c r="F163" s="325"/>
      <c r="I163" s="325"/>
      <c r="M163" s="325"/>
      <c r="W163" s="605"/>
      <c r="X163" s="291" t="s">
        <v>560</v>
      </c>
      <c r="AC163" s="355">
        <v>10</v>
      </c>
      <c r="AD163" s="510" t="s">
        <v>759</v>
      </c>
      <c r="BD163" s="292"/>
    </row>
    <row r="164" spans="2:56" x14ac:dyDescent="0.15">
      <c r="B164" s="605"/>
      <c r="D164" s="325"/>
      <c r="F164" s="325"/>
      <c r="I164" s="325"/>
      <c r="M164" s="325"/>
      <c r="W164" s="1041"/>
      <c r="X164" s="1042" t="s">
        <v>282</v>
      </c>
      <c r="Y164" s="1042"/>
      <c r="Z164" s="1042"/>
      <c r="AA164" s="1042"/>
      <c r="AB164" s="1042"/>
      <c r="AC164" s="1042">
        <v>182</v>
      </c>
      <c r="AD164" s="1043"/>
      <c r="BD164" s="292"/>
    </row>
    <row r="165" spans="2:56" x14ac:dyDescent="0.15">
      <c r="B165" s="605"/>
      <c r="D165" s="325"/>
      <c r="F165" s="325"/>
      <c r="I165" s="325"/>
      <c r="M165" s="325"/>
      <c r="W165" s="355" t="s">
        <v>760</v>
      </c>
      <c r="BD165" s="292"/>
    </row>
    <row r="166" spans="2:56" x14ac:dyDescent="0.15">
      <c r="B166" s="605"/>
      <c r="D166" s="325"/>
      <c r="F166" s="325"/>
      <c r="I166" s="325"/>
      <c r="M166" s="325"/>
      <c r="BD166" s="292"/>
    </row>
    <row r="167" spans="2:56" x14ac:dyDescent="0.15">
      <c r="B167" s="605"/>
      <c r="D167" s="325"/>
      <c r="F167" s="325"/>
      <c r="I167" s="325"/>
      <c r="M167" s="325"/>
      <c r="W167" s="291" t="s">
        <v>551</v>
      </c>
      <c r="BD167" s="292"/>
    </row>
    <row r="168" spans="2:56" x14ac:dyDescent="0.15">
      <c r="B168" s="605"/>
      <c r="D168" s="325"/>
      <c r="F168" s="325"/>
      <c r="I168" s="325"/>
      <c r="M168" s="325"/>
      <c r="W168" s="1038" t="s">
        <v>137</v>
      </c>
      <c r="X168" s="1039"/>
      <c r="Y168" s="1039"/>
      <c r="Z168" s="1039"/>
      <c r="AA168" s="1039"/>
      <c r="AB168" s="1039"/>
      <c r="AC168" s="1039"/>
      <c r="AD168" s="1040"/>
      <c r="BD168" s="292"/>
    </row>
    <row r="169" spans="2:56" x14ac:dyDescent="0.15">
      <c r="B169" s="605"/>
      <c r="D169" s="325"/>
      <c r="F169" s="325"/>
      <c r="I169" s="325"/>
      <c r="M169" s="325"/>
      <c r="W169" s="605"/>
      <c r="X169" s="291" t="s">
        <v>248</v>
      </c>
      <c r="AC169" s="325" t="s">
        <v>556</v>
      </c>
      <c r="AD169" s="292"/>
      <c r="BD169" s="292"/>
    </row>
    <row r="170" spans="2:56" x14ac:dyDescent="0.15">
      <c r="B170" s="605"/>
      <c r="D170" s="325"/>
      <c r="F170" s="325"/>
      <c r="I170" s="325"/>
      <c r="M170" s="325"/>
      <c r="W170" s="605"/>
      <c r="X170" s="291" t="s">
        <v>244</v>
      </c>
      <c r="AC170" s="291">
        <v>11</v>
      </c>
      <c r="AD170" s="292"/>
      <c r="BD170" s="292"/>
    </row>
    <row r="171" spans="2:56" x14ac:dyDescent="0.15">
      <c r="B171" s="605"/>
      <c r="M171" s="325"/>
      <c r="W171" s="605"/>
      <c r="X171" s="291" t="s">
        <v>261</v>
      </c>
      <c r="AC171" s="291">
        <v>9</v>
      </c>
      <c r="AD171" s="292"/>
      <c r="BD171" s="292"/>
    </row>
    <row r="172" spans="2:56" x14ac:dyDescent="0.15">
      <c r="B172" s="605"/>
      <c r="M172" s="325"/>
      <c r="W172" s="605"/>
      <c r="X172" s="291" t="s">
        <v>560</v>
      </c>
      <c r="AC172" s="291">
        <v>3</v>
      </c>
      <c r="AD172" s="292" t="s">
        <v>736</v>
      </c>
      <c r="BD172" s="292"/>
    </row>
    <row r="173" spans="2:56" x14ac:dyDescent="0.15">
      <c r="B173" s="605"/>
      <c r="D173" s="325"/>
      <c r="F173" s="325"/>
      <c r="I173" s="325"/>
      <c r="M173" s="325"/>
      <c r="W173" s="1041"/>
      <c r="X173" s="1042" t="s">
        <v>282</v>
      </c>
      <c r="Y173" s="1042"/>
      <c r="Z173" s="1042"/>
      <c r="AA173" s="1042"/>
      <c r="AB173" s="1042"/>
      <c r="AC173" s="1042">
        <v>0</v>
      </c>
      <c r="AD173" s="1043"/>
      <c r="BD173" s="292"/>
    </row>
    <row r="174" spans="2:56" x14ac:dyDescent="0.15">
      <c r="B174" s="605"/>
      <c r="D174" s="325"/>
      <c r="F174" s="325"/>
      <c r="I174" s="325"/>
      <c r="M174" s="325"/>
      <c r="W174" s="355" t="s">
        <v>765</v>
      </c>
      <c r="BD174" s="292"/>
    </row>
    <row r="175" spans="2:56" x14ac:dyDescent="0.15">
      <c r="B175" s="605"/>
      <c r="D175" s="325"/>
      <c r="F175" s="325"/>
      <c r="I175" s="325"/>
      <c r="M175" s="325"/>
      <c r="BD175" s="292"/>
    </row>
    <row r="176" spans="2:56" x14ac:dyDescent="0.15">
      <c r="B176" s="605"/>
      <c r="D176" s="325"/>
      <c r="F176" s="325"/>
      <c r="I176" s="325"/>
      <c r="M176" s="291" t="s">
        <v>753</v>
      </c>
      <c r="T176" s="355" t="s">
        <v>749</v>
      </c>
      <c r="W176" s="291" t="s">
        <v>551</v>
      </c>
      <c r="AG176" s="291" t="s">
        <v>182</v>
      </c>
      <c r="BD176" s="292"/>
    </row>
    <row r="177" spans="2:56" x14ac:dyDescent="0.15">
      <c r="B177" s="605"/>
      <c r="D177" s="325"/>
      <c r="F177" s="325"/>
      <c r="I177" s="325"/>
      <c r="M177" s="1038" t="s">
        <v>553</v>
      </c>
      <c r="N177" s="1039"/>
      <c r="O177" s="1039"/>
      <c r="P177" s="1039"/>
      <c r="Q177" s="1039"/>
      <c r="R177" s="1039"/>
      <c r="S177" s="1039"/>
      <c r="T177" s="1039"/>
      <c r="U177" s="1040"/>
      <c r="W177" s="1038" t="s">
        <v>137</v>
      </c>
      <c r="X177" s="1039"/>
      <c r="Y177" s="1039"/>
      <c r="Z177" s="1039"/>
      <c r="AA177" s="1039"/>
      <c r="AB177" s="1039"/>
      <c r="AC177" s="1039"/>
      <c r="AD177" s="1040"/>
      <c r="AG177" s="1038" t="s">
        <v>554</v>
      </c>
      <c r="AH177" s="1039"/>
      <c r="AI177" s="1039"/>
      <c r="AJ177" s="1039"/>
      <c r="AK177" s="1039"/>
      <c r="AL177" s="1039"/>
      <c r="AM177" s="1039"/>
      <c r="AN177" s="1040"/>
      <c r="AO177" s="291" t="s">
        <v>770</v>
      </c>
      <c r="BD177" s="292"/>
    </row>
    <row r="178" spans="2:56" x14ac:dyDescent="0.15">
      <c r="B178" s="605"/>
      <c r="D178" s="325"/>
      <c r="F178" s="325"/>
      <c r="I178" s="325"/>
      <c r="M178" s="605"/>
      <c r="N178" s="291" t="s">
        <v>248</v>
      </c>
      <c r="T178" s="325" t="s">
        <v>556</v>
      </c>
      <c r="U178" s="292"/>
      <c r="W178" s="605"/>
      <c r="X178" s="291" t="s">
        <v>248</v>
      </c>
      <c r="AC178" s="325" t="s">
        <v>556</v>
      </c>
      <c r="AD178" s="292"/>
      <c r="AG178" s="605"/>
      <c r="AH178" s="291" t="s">
        <v>248</v>
      </c>
      <c r="AM178" s="325" t="s">
        <v>556</v>
      </c>
      <c r="AN178" s="292"/>
      <c r="BD178" s="292"/>
    </row>
    <row r="179" spans="2:56" x14ac:dyDescent="0.15">
      <c r="B179" s="605"/>
      <c r="D179" s="325"/>
      <c r="F179" s="325"/>
      <c r="I179" s="325"/>
      <c r="M179" s="605"/>
      <c r="N179" s="291" t="s">
        <v>244</v>
      </c>
      <c r="T179" s="291">
        <v>13</v>
      </c>
      <c r="U179" s="292"/>
      <c r="W179" s="605"/>
      <c r="X179" s="291" t="s">
        <v>244</v>
      </c>
      <c r="AC179" s="291">
        <v>13</v>
      </c>
      <c r="AD179" s="292"/>
      <c r="AG179" s="605"/>
      <c r="AH179" s="291" t="s">
        <v>244</v>
      </c>
      <c r="AM179" s="291">
        <v>14</v>
      </c>
      <c r="AN179" s="292"/>
      <c r="BD179" s="292"/>
    </row>
    <row r="180" spans="2:56" x14ac:dyDescent="0.15">
      <c r="B180" s="605"/>
      <c r="D180" s="325"/>
      <c r="F180" s="325"/>
      <c r="I180" s="325"/>
      <c r="M180" s="605"/>
      <c r="N180" s="291" t="s">
        <v>337</v>
      </c>
      <c r="T180" s="291">
        <v>3</v>
      </c>
      <c r="U180" s="292"/>
      <c r="W180" s="605"/>
      <c r="X180" s="291" t="s">
        <v>261</v>
      </c>
      <c r="AC180" s="291">
        <v>14</v>
      </c>
      <c r="AD180" s="292"/>
      <c r="AG180" s="605"/>
      <c r="AH180" s="291" t="s">
        <v>557</v>
      </c>
      <c r="AM180" s="291">
        <v>5</v>
      </c>
      <c r="AN180" s="292" t="s">
        <v>769</v>
      </c>
      <c r="AX180" s="343" t="s">
        <v>771</v>
      </c>
      <c r="BD180" s="292"/>
    </row>
    <row r="181" spans="2:56" x14ac:dyDescent="0.15">
      <c r="B181" s="605"/>
      <c r="D181" s="325"/>
      <c r="F181" s="325"/>
      <c r="I181" s="325"/>
      <c r="M181" s="605"/>
      <c r="N181" s="291" t="s">
        <v>350</v>
      </c>
      <c r="T181" s="291">
        <v>300</v>
      </c>
      <c r="U181" s="292"/>
      <c r="W181" s="605"/>
      <c r="X181" s="291" t="s">
        <v>560</v>
      </c>
      <c r="AC181" s="355">
        <v>5</v>
      </c>
      <c r="AD181" s="510" t="s">
        <v>772</v>
      </c>
      <c r="AG181" s="605"/>
      <c r="AH181" s="291" t="s">
        <v>402</v>
      </c>
      <c r="AM181" s="355">
        <v>5</v>
      </c>
      <c r="AN181" s="292"/>
      <c r="AX181" s="343" t="s">
        <v>773</v>
      </c>
      <c r="BD181" s="292"/>
    </row>
    <row r="182" spans="2:56" x14ac:dyDescent="0.15">
      <c r="B182" s="605"/>
      <c r="M182" s="605"/>
      <c r="N182" s="291" t="s">
        <v>377</v>
      </c>
      <c r="T182" s="291">
        <v>2</v>
      </c>
      <c r="U182" s="292" t="s">
        <v>756</v>
      </c>
      <c r="W182" s="1041"/>
      <c r="X182" s="1042" t="s">
        <v>282</v>
      </c>
      <c r="Y182" s="1042"/>
      <c r="Z182" s="1042"/>
      <c r="AA182" s="1042"/>
      <c r="AB182" s="1042"/>
      <c r="AC182" s="1042">
        <v>0</v>
      </c>
      <c r="AD182" s="1043"/>
      <c r="AG182" s="605"/>
      <c r="AH182" s="291" t="s">
        <v>404</v>
      </c>
      <c r="AM182" s="291">
        <v>0</v>
      </c>
      <c r="AN182" s="292"/>
      <c r="AX182" s="343" t="s">
        <v>774</v>
      </c>
      <c r="BD182" s="292"/>
    </row>
    <row r="183" spans="2:56" x14ac:dyDescent="0.15">
      <c r="B183" s="605"/>
      <c r="M183" s="605"/>
      <c r="N183" s="291" t="s">
        <v>739</v>
      </c>
      <c r="T183" s="291">
        <v>27</v>
      </c>
      <c r="U183" s="292"/>
      <c r="AG183" s="605"/>
      <c r="AH183" s="291" t="s">
        <v>406</v>
      </c>
      <c r="AM183" s="291">
        <v>27</v>
      </c>
      <c r="AN183" s="292"/>
      <c r="AX183" s="343" t="s">
        <v>775</v>
      </c>
      <c r="BD183" s="292"/>
    </row>
    <row r="184" spans="2:56" x14ac:dyDescent="0.15">
      <c r="B184" s="605"/>
      <c r="M184" s="605"/>
      <c r="N184" s="291" t="s">
        <v>740</v>
      </c>
      <c r="T184" s="291">
        <v>100</v>
      </c>
      <c r="U184" s="292"/>
      <c r="W184" s="291" t="s">
        <v>551</v>
      </c>
      <c r="AG184" s="605"/>
      <c r="AH184" s="291" t="s">
        <v>562</v>
      </c>
      <c r="AM184" s="291">
        <v>273</v>
      </c>
      <c r="AN184" s="292"/>
      <c r="BD184" s="292"/>
    </row>
    <row r="185" spans="2:56" x14ac:dyDescent="0.15">
      <c r="B185" s="605"/>
      <c r="D185" s="325"/>
      <c r="F185" s="325"/>
      <c r="I185" s="325"/>
      <c r="M185" s="1041"/>
      <c r="N185" s="1042" t="s">
        <v>385</v>
      </c>
      <c r="O185" s="1042"/>
      <c r="P185" s="1042"/>
      <c r="Q185" s="1042"/>
      <c r="R185" s="1042"/>
      <c r="S185" s="1042"/>
      <c r="T185" s="1042">
        <v>99</v>
      </c>
      <c r="U185" s="1043"/>
      <c r="W185" s="1038" t="s">
        <v>137</v>
      </c>
      <c r="X185" s="1039"/>
      <c r="Y185" s="1039"/>
      <c r="Z185" s="1039"/>
      <c r="AA185" s="1039"/>
      <c r="AB185" s="1039"/>
      <c r="AC185" s="1039"/>
      <c r="AD185" s="1040"/>
      <c r="AG185" s="1041"/>
      <c r="AH185" s="1042" t="s">
        <v>563</v>
      </c>
      <c r="AI185" s="1042"/>
      <c r="AJ185" s="1042"/>
      <c r="AK185" s="1042"/>
      <c r="AL185" s="1042"/>
      <c r="AM185" s="1042">
        <v>300</v>
      </c>
      <c r="AN185" s="1043"/>
      <c r="BD185" s="292"/>
    </row>
    <row r="186" spans="2:56" x14ac:dyDescent="0.15">
      <c r="B186" s="605"/>
      <c r="D186" s="325"/>
      <c r="F186" s="325"/>
      <c r="I186" s="325"/>
      <c r="M186" s="325"/>
      <c r="W186" s="605"/>
      <c r="X186" s="291" t="s">
        <v>248</v>
      </c>
      <c r="AC186" s="325" t="s">
        <v>556</v>
      </c>
      <c r="AD186" s="292"/>
      <c r="BD186" s="292"/>
    </row>
    <row r="187" spans="2:56" x14ac:dyDescent="0.15">
      <c r="B187" s="605"/>
      <c r="D187" s="325"/>
      <c r="F187" s="325"/>
      <c r="I187" s="325"/>
      <c r="M187" s="325"/>
      <c r="W187" s="605"/>
      <c r="X187" s="291" t="s">
        <v>244</v>
      </c>
      <c r="AC187" s="291">
        <v>13</v>
      </c>
      <c r="AD187" s="292"/>
      <c r="BD187" s="292"/>
    </row>
    <row r="188" spans="2:56" x14ac:dyDescent="0.15">
      <c r="B188" s="605"/>
      <c r="D188" s="325"/>
      <c r="F188" s="325"/>
      <c r="I188" s="325"/>
      <c r="M188" s="325"/>
      <c r="W188" s="605"/>
      <c r="X188" s="291" t="s">
        <v>261</v>
      </c>
      <c r="AC188" s="291">
        <v>14</v>
      </c>
      <c r="AD188" s="292"/>
      <c r="BD188" s="292"/>
    </row>
    <row r="189" spans="2:56" x14ac:dyDescent="0.15">
      <c r="B189" s="605"/>
      <c r="D189" s="325"/>
      <c r="F189" s="325"/>
      <c r="I189" s="325"/>
      <c r="M189" s="325"/>
      <c r="W189" s="605"/>
      <c r="X189" s="291" t="s">
        <v>560</v>
      </c>
      <c r="AC189" s="355">
        <v>9</v>
      </c>
      <c r="AD189" s="510" t="s">
        <v>757</v>
      </c>
      <c r="BD189" s="292"/>
    </row>
    <row r="190" spans="2:56" x14ac:dyDescent="0.15">
      <c r="B190" s="605"/>
      <c r="D190" s="325"/>
      <c r="F190" s="325"/>
      <c r="I190" s="325"/>
      <c r="M190" s="325"/>
      <c r="W190" s="1041"/>
      <c r="X190" s="1042" t="s">
        <v>282</v>
      </c>
      <c r="Y190" s="1042"/>
      <c r="Z190" s="1042"/>
      <c r="AA190" s="1042"/>
      <c r="AB190" s="1042"/>
      <c r="AC190" s="1042">
        <v>27</v>
      </c>
      <c r="AD190" s="1043"/>
      <c r="BD190" s="292"/>
    </row>
    <row r="191" spans="2:56" x14ac:dyDescent="0.15">
      <c r="B191" s="605"/>
      <c r="D191" s="325"/>
      <c r="F191" s="325"/>
      <c r="I191" s="325"/>
      <c r="M191" s="325"/>
      <c r="W191" s="355" t="s">
        <v>758</v>
      </c>
      <c r="BD191" s="292"/>
    </row>
    <row r="192" spans="2:56" x14ac:dyDescent="0.15">
      <c r="B192" s="605"/>
      <c r="D192" s="325"/>
      <c r="F192" s="325"/>
      <c r="I192" s="325"/>
      <c r="M192" s="325"/>
      <c r="BD192" s="292"/>
    </row>
    <row r="193" spans="2:56" x14ac:dyDescent="0.15">
      <c r="B193" s="605"/>
      <c r="D193" s="325"/>
      <c r="F193" s="325"/>
      <c r="I193" s="325"/>
      <c r="M193" s="325"/>
      <c r="W193" s="291" t="s">
        <v>551</v>
      </c>
      <c r="BD193" s="292"/>
    </row>
    <row r="194" spans="2:56" x14ac:dyDescent="0.15">
      <c r="B194" s="605"/>
      <c r="M194" s="325"/>
      <c r="W194" s="1038" t="s">
        <v>137</v>
      </c>
      <c r="X194" s="1039"/>
      <c r="Y194" s="1039"/>
      <c r="Z194" s="1039"/>
      <c r="AA194" s="1039"/>
      <c r="AB194" s="1039"/>
      <c r="AC194" s="1039"/>
      <c r="AD194" s="1040"/>
      <c r="BD194" s="292"/>
    </row>
    <row r="195" spans="2:56" x14ac:dyDescent="0.15">
      <c r="B195" s="605"/>
      <c r="M195" s="325"/>
      <c r="W195" s="605"/>
      <c r="X195" s="291" t="s">
        <v>248</v>
      </c>
      <c r="AC195" s="325" t="s">
        <v>556</v>
      </c>
      <c r="AD195" s="292"/>
      <c r="BD195" s="292"/>
    </row>
    <row r="196" spans="2:56" x14ac:dyDescent="0.15">
      <c r="B196" s="605"/>
      <c r="D196" s="325"/>
      <c r="F196" s="325"/>
      <c r="I196" s="325"/>
      <c r="M196" s="325"/>
      <c r="W196" s="605"/>
      <c r="X196" s="291" t="s">
        <v>244</v>
      </c>
      <c r="AC196" s="291">
        <v>13</v>
      </c>
      <c r="AD196" s="292"/>
      <c r="BD196" s="292"/>
    </row>
    <row r="197" spans="2:56" x14ac:dyDescent="0.15">
      <c r="B197" s="605"/>
      <c r="D197" s="325"/>
      <c r="F197" s="325"/>
      <c r="I197" s="325"/>
      <c r="M197" s="325"/>
      <c r="W197" s="605"/>
      <c r="X197" s="291" t="s">
        <v>261</v>
      </c>
      <c r="AC197" s="291">
        <v>14</v>
      </c>
      <c r="AD197" s="292"/>
      <c r="BD197" s="292"/>
    </row>
    <row r="198" spans="2:56" x14ac:dyDescent="0.15">
      <c r="B198" s="605"/>
      <c r="D198" s="325"/>
      <c r="F198" s="325"/>
      <c r="I198" s="325"/>
      <c r="M198" s="325"/>
      <c r="W198" s="605"/>
      <c r="X198" s="291" t="s">
        <v>560</v>
      </c>
      <c r="AC198" s="355">
        <v>10</v>
      </c>
      <c r="AD198" s="510" t="s">
        <v>759</v>
      </c>
      <c r="BD198" s="292"/>
    </row>
    <row r="199" spans="2:56" x14ac:dyDescent="0.15">
      <c r="B199" s="605"/>
      <c r="D199" s="325"/>
      <c r="F199" s="325"/>
      <c r="I199" s="325"/>
      <c r="M199" s="325"/>
      <c r="W199" s="1041"/>
      <c r="X199" s="1042" t="s">
        <v>282</v>
      </c>
      <c r="Y199" s="1042"/>
      <c r="Z199" s="1042"/>
      <c r="AA199" s="1042"/>
      <c r="AB199" s="1042"/>
      <c r="AC199" s="1042">
        <v>273</v>
      </c>
      <c r="AD199" s="1043"/>
      <c r="BD199" s="292"/>
    </row>
    <row r="200" spans="2:56" x14ac:dyDescent="0.15">
      <c r="B200" s="605"/>
      <c r="D200" s="325"/>
      <c r="F200" s="325"/>
      <c r="I200" s="325"/>
      <c r="M200" s="325"/>
      <c r="W200" s="355" t="s">
        <v>760</v>
      </c>
      <c r="BD200" s="292"/>
    </row>
    <row r="201" spans="2:56" x14ac:dyDescent="0.15">
      <c r="B201" s="605"/>
      <c r="D201" s="325"/>
      <c r="F201" s="325"/>
      <c r="I201" s="325"/>
      <c r="M201" s="325"/>
      <c r="BD201" s="292"/>
    </row>
    <row r="202" spans="2:56" x14ac:dyDescent="0.15">
      <c r="B202" s="605"/>
      <c r="D202" s="325"/>
      <c r="F202" s="325"/>
      <c r="I202" s="325"/>
      <c r="M202" s="325"/>
      <c r="W202" s="291" t="s">
        <v>551</v>
      </c>
      <c r="BD202" s="292"/>
    </row>
    <row r="203" spans="2:56" x14ac:dyDescent="0.15">
      <c r="B203" s="605"/>
      <c r="D203" s="325"/>
      <c r="F203" s="325"/>
      <c r="I203" s="325"/>
      <c r="M203" s="325"/>
      <c r="W203" s="1038" t="s">
        <v>137</v>
      </c>
      <c r="X203" s="1039"/>
      <c r="Y203" s="1039"/>
      <c r="Z203" s="1039"/>
      <c r="AA203" s="1039"/>
      <c r="AB203" s="1039"/>
      <c r="AC203" s="1039"/>
      <c r="AD203" s="1040"/>
      <c r="BD203" s="292"/>
    </row>
    <row r="204" spans="2:56" x14ac:dyDescent="0.15">
      <c r="B204" s="605"/>
      <c r="D204" s="325"/>
      <c r="F204" s="325"/>
      <c r="I204" s="325"/>
      <c r="M204" s="325"/>
      <c r="W204" s="605"/>
      <c r="X204" s="291" t="s">
        <v>248</v>
      </c>
      <c r="AC204" s="325" t="s">
        <v>556</v>
      </c>
      <c r="AD204" s="292"/>
      <c r="BD204" s="292"/>
    </row>
    <row r="205" spans="2:56" x14ac:dyDescent="0.15">
      <c r="B205" s="605"/>
      <c r="D205" s="325"/>
      <c r="F205" s="325"/>
      <c r="I205" s="325"/>
      <c r="M205" s="325"/>
      <c r="W205" s="605"/>
      <c r="X205" s="291" t="s">
        <v>244</v>
      </c>
      <c r="AC205" s="291">
        <v>13</v>
      </c>
      <c r="AD205" s="292"/>
      <c r="BD205" s="292"/>
    </row>
    <row r="206" spans="2:56" x14ac:dyDescent="0.15">
      <c r="B206" s="605"/>
      <c r="M206" s="325"/>
      <c r="W206" s="605"/>
      <c r="X206" s="291" t="s">
        <v>261</v>
      </c>
      <c r="AC206" s="291">
        <v>9</v>
      </c>
      <c r="AD206" s="292"/>
      <c r="BD206" s="292"/>
    </row>
    <row r="207" spans="2:56" x14ac:dyDescent="0.15">
      <c r="B207" s="605"/>
      <c r="M207" s="325"/>
      <c r="W207" s="605"/>
      <c r="X207" s="291" t="s">
        <v>560</v>
      </c>
      <c r="AC207" s="291">
        <v>3</v>
      </c>
      <c r="AD207" s="292" t="s">
        <v>736</v>
      </c>
      <c r="BD207" s="292"/>
    </row>
    <row r="208" spans="2:56" x14ac:dyDescent="0.15">
      <c r="B208" s="605"/>
      <c r="D208" s="325"/>
      <c r="F208" s="325"/>
      <c r="I208" s="325"/>
      <c r="M208" s="325"/>
      <c r="W208" s="1041"/>
      <c r="X208" s="1042" t="s">
        <v>282</v>
      </c>
      <c r="Y208" s="1042"/>
      <c r="Z208" s="1042"/>
      <c r="AA208" s="1042"/>
      <c r="AB208" s="1042"/>
      <c r="AC208" s="1042">
        <v>0</v>
      </c>
      <c r="AD208" s="1043"/>
      <c r="BD208" s="292"/>
    </row>
    <row r="209" spans="2:56" x14ac:dyDescent="0.15">
      <c r="B209" s="605"/>
      <c r="D209" s="325"/>
      <c r="F209" s="325"/>
      <c r="I209" s="325"/>
      <c r="M209" s="325"/>
      <c r="W209" s="355" t="s">
        <v>765</v>
      </c>
      <c r="BD209" s="292"/>
    </row>
    <row r="210" spans="2:56" x14ac:dyDescent="0.15">
      <c r="B210" s="605"/>
      <c r="D210" s="325"/>
      <c r="F210" s="325"/>
      <c r="I210" s="325"/>
      <c r="M210" s="325"/>
      <c r="BD210" s="292"/>
    </row>
    <row r="211" spans="2:56" x14ac:dyDescent="0.15">
      <c r="B211" s="605"/>
      <c r="L211" s="342" t="s">
        <v>776</v>
      </c>
      <c r="M211" s="325"/>
      <c r="AF211" s="342" t="s">
        <v>777</v>
      </c>
      <c r="BD211" s="292"/>
    </row>
    <row r="212" spans="2:56" x14ac:dyDescent="0.15">
      <c r="B212" s="605"/>
      <c r="D212" s="325"/>
      <c r="F212" s="325"/>
      <c r="I212" s="325"/>
      <c r="M212" s="291" t="s">
        <v>778</v>
      </c>
      <c r="W212" s="291" t="s">
        <v>551</v>
      </c>
      <c r="AG212" s="291" t="s">
        <v>182</v>
      </c>
      <c r="BD212" s="292"/>
    </row>
    <row r="213" spans="2:56" x14ac:dyDescent="0.15">
      <c r="B213" s="605"/>
      <c r="D213" s="325"/>
      <c r="F213" s="325"/>
      <c r="I213" s="325"/>
      <c r="M213" s="1038" t="s">
        <v>553</v>
      </c>
      <c r="N213" s="1039"/>
      <c r="O213" s="1039"/>
      <c r="P213" s="1039"/>
      <c r="Q213" s="1039"/>
      <c r="R213" s="1039"/>
      <c r="S213" s="1039"/>
      <c r="T213" s="1039"/>
      <c r="U213" s="1040"/>
      <c r="W213" s="1038" t="s">
        <v>137</v>
      </c>
      <c r="X213" s="1039"/>
      <c r="Y213" s="1039"/>
      <c r="Z213" s="1039"/>
      <c r="AA213" s="1039"/>
      <c r="AB213" s="1039"/>
      <c r="AC213" s="1039"/>
      <c r="AD213" s="1040"/>
      <c r="AG213" s="1038" t="s">
        <v>554</v>
      </c>
      <c r="AH213" s="1039"/>
      <c r="AI213" s="1039"/>
      <c r="AJ213" s="1039"/>
      <c r="AK213" s="1039"/>
      <c r="AL213" s="1039"/>
      <c r="AM213" s="1039"/>
      <c r="AN213" s="1040"/>
      <c r="AO213" s="291" t="s">
        <v>779</v>
      </c>
      <c r="BD213" s="292"/>
    </row>
    <row r="214" spans="2:56" x14ac:dyDescent="0.15">
      <c r="B214" s="605"/>
      <c r="D214" s="325"/>
      <c r="F214" s="325"/>
      <c r="I214" s="325"/>
      <c r="M214" s="605"/>
      <c r="N214" s="291" t="s">
        <v>248</v>
      </c>
      <c r="T214" s="325" t="s">
        <v>556</v>
      </c>
      <c r="U214" s="292"/>
      <c r="W214" s="605"/>
      <c r="X214" s="291" t="s">
        <v>248</v>
      </c>
      <c r="AC214" s="325" t="s">
        <v>556</v>
      </c>
      <c r="AD214" s="292"/>
      <c r="AG214" s="605"/>
      <c r="AH214" s="291" t="s">
        <v>248</v>
      </c>
      <c r="AM214" s="325" t="s">
        <v>556</v>
      </c>
      <c r="AN214" s="292"/>
      <c r="BD214" s="292"/>
    </row>
    <row r="215" spans="2:56" x14ac:dyDescent="0.15">
      <c r="B215" s="605"/>
      <c r="D215" s="325"/>
      <c r="F215" s="325"/>
      <c r="I215" s="325"/>
      <c r="M215" s="605"/>
      <c r="N215" s="291" t="s">
        <v>244</v>
      </c>
      <c r="T215" s="291">
        <v>15</v>
      </c>
      <c r="U215" s="292"/>
      <c r="W215" s="605"/>
      <c r="X215" s="291" t="s">
        <v>244</v>
      </c>
      <c r="AC215" s="291">
        <v>15</v>
      </c>
      <c r="AD215" s="292"/>
      <c r="AG215" s="605"/>
      <c r="AH215" s="291" t="s">
        <v>244</v>
      </c>
      <c r="AM215" s="291">
        <v>16</v>
      </c>
      <c r="AN215" s="292"/>
      <c r="BD215" s="292"/>
    </row>
    <row r="216" spans="2:56" x14ac:dyDescent="0.15">
      <c r="B216" s="605"/>
      <c r="D216" s="325"/>
      <c r="F216" s="325"/>
      <c r="I216" s="325"/>
      <c r="M216" s="605"/>
      <c r="N216" s="291" t="s">
        <v>337</v>
      </c>
      <c r="T216" s="291">
        <v>2</v>
      </c>
      <c r="U216" s="292"/>
      <c r="W216" s="605"/>
      <c r="X216" s="291" t="s">
        <v>261</v>
      </c>
      <c r="AC216" s="291">
        <v>16</v>
      </c>
      <c r="AD216" s="292"/>
      <c r="AG216" s="605"/>
      <c r="AH216" s="291" t="s">
        <v>557</v>
      </c>
      <c r="AM216" s="325">
        <v>3</v>
      </c>
      <c r="AN216" s="292" t="s">
        <v>780</v>
      </c>
      <c r="AU216" s="343" t="s">
        <v>735</v>
      </c>
      <c r="BD216" s="292"/>
    </row>
    <row r="217" spans="2:56" x14ac:dyDescent="0.15">
      <c r="B217" s="605"/>
      <c r="D217" s="325"/>
      <c r="F217" s="325"/>
      <c r="I217" s="325"/>
      <c r="M217" s="605"/>
      <c r="N217" s="291" t="s">
        <v>350</v>
      </c>
      <c r="T217" s="291">
        <v>200</v>
      </c>
      <c r="U217" s="292"/>
      <c r="W217" s="605"/>
      <c r="X217" s="291" t="s">
        <v>560</v>
      </c>
      <c r="AC217" s="291">
        <v>3</v>
      </c>
      <c r="AD217" s="292" t="s">
        <v>736</v>
      </c>
      <c r="AG217" s="605"/>
      <c r="AH217" s="291" t="s">
        <v>402</v>
      </c>
      <c r="AM217" s="291">
        <v>1</v>
      </c>
      <c r="AN217" s="292"/>
      <c r="AU217" s="343" t="s">
        <v>737</v>
      </c>
      <c r="BD217" s="292"/>
    </row>
    <row r="218" spans="2:56" x14ac:dyDescent="0.15">
      <c r="B218" s="605"/>
      <c r="M218" s="605"/>
      <c r="N218" s="291" t="s">
        <v>377</v>
      </c>
      <c r="T218" s="291">
        <v>3</v>
      </c>
      <c r="U218" s="292" t="s">
        <v>781</v>
      </c>
      <c r="W218" s="1041"/>
      <c r="X218" s="1042" t="s">
        <v>282</v>
      </c>
      <c r="Y218" s="1042"/>
      <c r="Z218" s="1042"/>
      <c r="AA218" s="1042"/>
      <c r="AB218" s="1042"/>
      <c r="AC218" s="1042">
        <v>0</v>
      </c>
      <c r="AD218" s="1043"/>
      <c r="AG218" s="605"/>
      <c r="AH218" s="291" t="s">
        <v>404</v>
      </c>
      <c r="AM218" s="291">
        <v>0</v>
      </c>
      <c r="AN218" s="292"/>
      <c r="BD218" s="292"/>
    </row>
    <row r="219" spans="2:56" x14ac:dyDescent="0.15">
      <c r="B219" s="605"/>
      <c r="M219" s="605"/>
      <c r="N219" s="291" t="s">
        <v>739</v>
      </c>
      <c r="T219" s="291">
        <v>0</v>
      </c>
      <c r="U219" s="292"/>
      <c r="AG219" s="605"/>
      <c r="AH219" s="291" t="s">
        <v>406</v>
      </c>
      <c r="AM219" s="291">
        <v>0</v>
      </c>
      <c r="AN219" s="292"/>
      <c r="BD219" s="292"/>
    </row>
    <row r="220" spans="2:56" x14ac:dyDescent="0.15">
      <c r="B220" s="605"/>
      <c r="M220" s="605"/>
      <c r="N220" s="291" t="s">
        <v>740</v>
      </c>
      <c r="T220" s="291">
        <v>100</v>
      </c>
      <c r="U220" s="292"/>
      <c r="AG220" s="605"/>
      <c r="AH220" s="291" t="s">
        <v>562</v>
      </c>
      <c r="AM220" s="291">
        <v>0</v>
      </c>
      <c r="AN220" s="292"/>
      <c r="BD220" s="292"/>
    </row>
    <row r="221" spans="2:56" x14ac:dyDescent="0.15">
      <c r="B221" s="605"/>
      <c r="D221" s="325"/>
      <c r="F221" s="325"/>
      <c r="I221" s="325"/>
      <c r="M221" s="1041"/>
      <c r="N221" s="1042" t="s">
        <v>385</v>
      </c>
      <c r="O221" s="1042"/>
      <c r="P221" s="1042"/>
      <c r="Q221" s="1042"/>
      <c r="R221" s="1042"/>
      <c r="S221" s="1042"/>
      <c r="T221" s="1042">
        <v>3</v>
      </c>
      <c r="U221" s="1043"/>
      <c r="AG221" s="1041"/>
      <c r="AH221" s="1042" t="s">
        <v>563</v>
      </c>
      <c r="AI221" s="1042"/>
      <c r="AJ221" s="1042"/>
      <c r="AK221" s="1042"/>
      <c r="AL221" s="1042"/>
      <c r="AM221" s="1042">
        <v>485</v>
      </c>
      <c r="AN221" s="1043"/>
      <c r="BD221" s="292"/>
    </row>
    <row r="222" spans="2:56" x14ac:dyDescent="0.15">
      <c r="B222" s="605"/>
      <c r="D222" s="325"/>
      <c r="F222" s="325"/>
      <c r="I222" s="325"/>
      <c r="M222" s="325"/>
      <c r="BD222" s="292"/>
    </row>
    <row r="223" spans="2:56" x14ac:dyDescent="0.15">
      <c r="B223" s="605"/>
      <c r="D223" s="325"/>
      <c r="F223" s="325"/>
      <c r="I223" s="325"/>
      <c r="M223" s="291" t="s">
        <v>782</v>
      </c>
      <c r="S223" s="355"/>
      <c r="T223" s="355"/>
      <c r="W223" s="291" t="s">
        <v>551</v>
      </c>
      <c r="BD223" s="292"/>
    </row>
    <row r="224" spans="2:56" x14ac:dyDescent="0.15">
      <c r="B224" s="605"/>
      <c r="D224" s="325"/>
      <c r="F224" s="325"/>
      <c r="I224" s="325"/>
      <c r="M224" s="1038" t="s">
        <v>553</v>
      </c>
      <c r="N224" s="1039"/>
      <c r="O224" s="1039"/>
      <c r="P224" s="1039"/>
      <c r="Q224" s="1039"/>
      <c r="R224" s="1039"/>
      <c r="S224" s="1039"/>
      <c r="T224" s="1039"/>
      <c r="U224" s="1040"/>
      <c r="W224" s="1038" t="s">
        <v>137</v>
      </c>
      <c r="X224" s="1039"/>
      <c r="Y224" s="1039"/>
      <c r="Z224" s="1039"/>
      <c r="AA224" s="1039"/>
      <c r="AB224" s="1039"/>
      <c r="AC224" s="1039"/>
      <c r="AD224" s="1040"/>
      <c r="BD224" s="292"/>
    </row>
    <row r="225" spans="2:56" x14ac:dyDescent="0.15">
      <c r="B225" s="605"/>
      <c r="D225" s="325"/>
      <c r="F225" s="325"/>
      <c r="I225" s="325"/>
      <c r="M225" s="605"/>
      <c r="N225" s="291" t="s">
        <v>248</v>
      </c>
      <c r="T225" s="325" t="s">
        <v>556</v>
      </c>
      <c r="U225" s="292"/>
      <c r="W225" s="605"/>
      <c r="X225" s="291" t="s">
        <v>248</v>
      </c>
      <c r="AC225" s="325" t="s">
        <v>556</v>
      </c>
      <c r="AD225" s="292"/>
      <c r="BD225" s="292"/>
    </row>
    <row r="226" spans="2:56" x14ac:dyDescent="0.15">
      <c r="B226" s="605"/>
      <c r="D226" s="325"/>
      <c r="F226" s="325"/>
      <c r="I226" s="325"/>
      <c r="M226" s="605"/>
      <c r="N226" s="291" t="s">
        <v>244</v>
      </c>
      <c r="T226" s="358">
        <v>17</v>
      </c>
      <c r="U226" s="292"/>
      <c r="W226" s="605"/>
      <c r="X226" s="291" t="s">
        <v>244</v>
      </c>
      <c r="AC226" s="291">
        <v>17</v>
      </c>
      <c r="AD226" s="292"/>
      <c r="BD226" s="292"/>
    </row>
    <row r="227" spans="2:56" x14ac:dyDescent="0.15">
      <c r="B227" s="605"/>
      <c r="D227" s="325"/>
      <c r="F227" s="325"/>
      <c r="I227" s="325"/>
      <c r="M227" s="605"/>
      <c r="N227" s="291" t="s">
        <v>337</v>
      </c>
      <c r="T227" s="358">
        <v>3</v>
      </c>
      <c r="U227" s="292"/>
      <c r="W227" s="605"/>
      <c r="X227" s="291" t="s">
        <v>261</v>
      </c>
      <c r="AC227" s="291">
        <v>16</v>
      </c>
      <c r="AD227" s="292"/>
      <c r="BD227" s="292"/>
    </row>
    <row r="228" spans="2:56" x14ac:dyDescent="0.15">
      <c r="B228" s="605"/>
      <c r="D228" s="325"/>
      <c r="F228" s="325"/>
      <c r="I228" s="325"/>
      <c r="M228" s="605"/>
      <c r="N228" s="291" t="s">
        <v>350</v>
      </c>
      <c r="T228" s="358">
        <v>285</v>
      </c>
      <c r="U228" s="292"/>
      <c r="W228" s="605"/>
      <c r="X228" s="291" t="s">
        <v>560</v>
      </c>
      <c r="AC228" s="291">
        <v>3</v>
      </c>
      <c r="AD228" s="292" t="s">
        <v>736</v>
      </c>
      <c r="BD228" s="292"/>
    </row>
    <row r="229" spans="2:56" x14ac:dyDescent="0.15">
      <c r="B229" s="605"/>
      <c r="D229" s="325"/>
      <c r="F229" s="325"/>
      <c r="I229" s="325"/>
      <c r="M229" s="605"/>
      <c r="N229" s="291" t="s">
        <v>377</v>
      </c>
      <c r="T229" s="358">
        <v>3</v>
      </c>
      <c r="U229" s="292" t="s">
        <v>781</v>
      </c>
      <c r="W229" s="1041"/>
      <c r="X229" s="1042" t="s">
        <v>282</v>
      </c>
      <c r="Y229" s="1042"/>
      <c r="Z229" s="1042"/>
      <c r="AA229" s="1042"/>
      <c r="AB229" s="1042"/>
      <c r="AC229" s="1042">
        <v>0</v>
      </c>
      <c r="AD229" s="1043"/>
      <c r="BD229" s="292"/>
    </row>
    <row r="230" spans="2:56" x14ac:dyDescent="0.15">
      <c r="B230" s="605"/>
      <c r="M230" s="605"/>
      <c r="N230" s="291" t="s">
        <v>739</v>
      </c>
      <c r="T230" s="358">
        <v>0</v>
      </c>
      <c r="U230" s="292"/>
      <c r="BD230" s="292"/>
    </row>
    <row r="231" spans="2:56" x14ac:dyDescent="0.15">
      <c r="B231" s="605"/>
      <c r="M231" s="605"/>
      <c r="N231" s="291" t="s">
        <v>740</v>
      </c>
      <c r="T231" s="358">
        <v>95</v>
      </c>
      <c r="U231" s="292"/>
      <c r="BD231" s="292"/>
    </row>
    <row r="232" spans="2:56" x14ac:dyDescent="0.15">
      <c r="B232" s="605"/>
      <c r="D232" s="325"/>
      <c r="F232" s="325"/>
      <c r="I232" s="325"/>
      <c r="M232" s="1041"/>
      <c r="N232" s="1042" t="s">
        <v>385</v>
      </c>
      <c r="O232" s="1042"/>
      <c r="P232" s="1042"/>
      <c r="Q232" s="1042"/>
      <c r="R232" s="1042"/>
      <c r="S232" s="1042"/>
      <c r="T232" s="1069">
        <v>3</v>
      </c>
      <c r="U232" s="1043"/>
      <c r="BD232" s="292"/>
    </row>
    <row r="233" spans="2:56" x14ac:dyDescent="0.15">
      <c r="B233" s="605"/>
      <c r="D233" s="325"/>
      <c r="F233" s="325"/>
      <c r="I233" s="325"/>
      <c r="M233" s="325"/>
      <c r="BD233" s="292"/>
    </row>
    <row r="234" spans="2:56" x14ac:dyDescent="0.15">
      <c r="B234" s="1041"/>
      <c r="C234" s="1042"/>
      <c r="D234" s="1042"/>
      <c r="E234" s="1042"/>
      <c r="F234" s="1042"/>
      <c r="G234" s="1042"/>
      <c r="H234" s="1042"/>
      <c r="I234" s="1042"/>
      <c r="J234" s="1042"/>
      <c r="K234" s="1042"/>
      <c r="L234" s="1042"/>
      <c r="M234" s="1042"/>
      <c r="N234" s="1042"/>
      <c r="O234" s="1042"/>
      <c r="P234" s="1042"/>
      <c r="Q234" s="1042"/>
      <c r="R234" s="1042"/>
      <c r="S234" s="1042"/>
      <c r="T234" s="1042"/>
      <c r="U234" s="1042"/>
      <c r="V234" s="1042"/>
      <c r="W234" s="1042"/>
      <c r="X234" s="1042"/>
      <c r="Y234" s="1042"/>
      <c r="Z234" s="1042"/>
      <c r="AA234" s="1042"/>
      <c r="AB234" s="1042"/>
      <c r="AC234" s="1042"/>
      <c r="AD234" s="1042"/>
      <c r="AE234" s="1042"/>
      <c r="AF234" s="1042"/>
      <c r="AG234" s="1042"/>
      <c r="AH234" s="1042"/>
      <c r="AI234" s="1042"/>
      <c r="AJ234" s="1042"/>
      <c r="AK234" s="1042"/>
      <c r="AL234" s="1042"/>
      <c r="AM234" s="1042"/>
      <c r="AN234" s="1042"/>
      <c r="AO234" s="1042"/>
      <c r="AP234" s="1042"/>
      <c r="AQ234" s="1042"/>
      <c r="AR234" s="1042"/>
      <c r="AS234" s="1042"/>
      <c r="AT234" s="1042"/>
      <c r="AU234" s="1042"/>
      <c r="AV234" s="1042"/>
      <c r="AW234" s="1042"/>
      <c r="AX234" s="1042"/>
      <c r="AY234" s="1042"/>
      <c r="AZ234" s="1042"/>
      <c r="BA234" s="1042"/>
      <c r="BB234" s="1042"/>
      <c r="BC234" s="1042"/>
      <c r="BD234" s="1043"/>
    </row>
  </sheetData>
  <mergeCells count="16">
    <mergeCell ref="AT1:AW1"/>
    <mergeCell ref="AX1:AZ1"/>
    <mergeCell ref="BA1:BD1"/>
    <mergeCell ref="B2:N2"/>
    <mergeCell ref="O2:T2"/>
    <mergeCell ref="U2:AA2"/>
    <mergeCell ref="AO2:AP2"/>
    <mergeCell ref="AQ2:AS2"/>
    <mergeCell ref="AT2:AW2"/>
    <mergeCell ref="AX2:AZ2"/>
    <mergeCell ref="BA2:BD2"/>
    <mergeCell ref="O1:T1"/>
    <mergeCell ref="U1:AA1"/>
    <mergeCell ref="AB1:AN2"/>
    <mergeCell ref="AO1:AP1"/>
    <mergeCell ref="AQ1:AS1"/>
  </mergeCells>
  <phoneticPr fontId="4"/>
  <pageMargins left="0.70866141732283472" right="0.70866141732283472" top="0.74803149606299213" bottom="0.74803149606299213" header="0.31496062992125984" footer="0.31496062992125984"/>
  <pageSetup paperSize="8" scale="45" fitToWidth="0" orientation="portrait" r:id="rId1"/>
  <headerFooter>
    <oddHeader>&amp;RFUJITSU CONFIDENTIAL</oddHeader>
    <oddFooter>&amp;RAll Rights Reserved, Copyright(c) Fujitsu  Limited 2024</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DE4839-4957-46AC-A53A-1BADBAAB8D1B}">
  <sheetPr>
    <pageSetUpPr fitToPage="1"/>
  </sheetPr>
  <dimension ref="A1:BE230"/>
  <sheetViews>
    <sheetView showGridLines="0" view="pageBreakPreview" topLeftCell="A18" zoomScaleNormal="120" zoomScaleSheetLayoutView="100" workbookViewId="0"/>
  </sheetViews>
  <sheetFormatPr defaultColWidth="3" defaultRowHeight="11.25" x14ac:dyDescent="0.15"/>
  <cols>
    <col min="1" max="8" width="3" style="291"/>
    <col min="9" max="10" width="4.875" style="291" bestFit="1" customWidth="1"/>
    <col min="11" max="11" width="6.375" style="291" bestFit="1" customWidth="1"/>
    <col min="12" max="12" width="7.375" style="291" customWidth="1"/>
    <col min="13" max="14" width="3" style="291"/>
    <col min="15" max="16" width="4" style="291" bestFit="1" customWidth="1"/>
    <col min="17" max="18" width="3" style="291"/>
    <col min="19" max="19" width="6.375" style="291" customWidth="1"/>
    <col min="20" max="20" width="5.375" style="291" bestFit="1" customWidth="1"/>
    <col min="21" max="21" width="4.875" style="291" bestFit="1" customWidth="1"/>
    <col min="22" max="27" width="3" style="291"/>
    <col min="28" max="29" width="4" style="291" bestFit="1" customWidth="1"/>
    <col min="30" max="37" width="3" style="291"/>
    <col min="38" max="38" width="4.875" style="291" bestFit="1" customWidth="1"/>
    <col min="39" max="39" width="5.375" style="291" bestFit="1" customWidth="1"/>
    <col min="40" max="40" width="4" style="291" bestFit="1" customWidth="1"/>
    <col min="41" max="41" width="3.375" style="291" customWidth="1"/>
    <col min="42" max="16384" width="3" style="291"/>
  </cols>
  <sheetData>
    <row r="1" spans="1:57" ht="14.25" thickTop="1" x14ac:dyDescent="0.15">
      <c r="B1" s="50" t="s">
        <v>6</v>
      </c>
      <c r="C1" s="51"/>
      <c r="D1" s="51"/>
      <c r="E1" s="51"/>
      <c r="F1" s="51"/>
      <c r="G1" s="51"/>
      <c r="H1" s="51"/>
      <c r="I1" s="51"/>
      <c r="J1" s="51"/>
      <c r="K1" s="51"/>
      <c r="L1" s="51"/>
      <c r="M1" s="51"/>
      <c r="N1" s="52"/>
      <c r="O1" s="1247" t="s">
        <v>7</v>
      </c>
      <c r="P1" s="1312"/>
      <c r="Q1" s="1312"/>
      <c r="R1" s="1312"/>
      <c r="S1" s="1312"/>
      <c r="T1" s="1313"/>
      <c r="U1" s="1250" t="s">
        <v>8</v>
      </c>
      <c r="V1" s="1312"/>
      <c r="W1" s="1312"/>
      <c r="X1" s="1312"/>
      <c r="Y1" s="1312"/>
      <c r="Z1" s="1312"/>
      <c r="AA1" s="1313"/>
      <c r="AB1" s="1306" t="s">
        <v>783</v>
      </c>
      <c r="AC1" s="1314"/>
      <c r="AD1" s="1314"/>
      <c r="AE1" s="1314"/>
      <c r="AF1" s="1314"/>
      <c r="AG1" s="1314"/>
      <c r="AH1" s="1314"/>
      <c r="AI1" s="1314"/>
      <c r="AJ1" s="1314"/>
      <c r="AK1" s="1314"/>
      <c r="AL1" s="1314"/>
      <c r="AM1" s="1314"/>
      <c r="AN1" s="1315"/>
      <c r="AO1" s="1250" t="s">
        <v>10</v>
      </c>
      <c r="AP1" s="1249"/>
      <c r="AQ1" s="1303" t="s">
        <v>11</v>
      </c>
      <c r="AR1" s="1304"/>
      <c r="AS1" s="1305"/>
      <c r="AT1" s="1250" t="s">
        <v>12</v>
      </c>
      <c r="AU1" s="1248"/>
      <c r="AV1" s="1248"/>
      <c r="AW1" s="1249"/>
      <c r="AX1" s="1303" t="s">
        <v>13</v>
      </c>
      <c r="AY1" s="1304"/>
      <c r="AZ1" s="1305"/>
      <c r="BA1" s="1250" t="s">
        <v>14</v>
      </c>
      <c r="BB1" s="1248"/>
      <c r="BC1" s="1248"/>
      <c r="BD1" s="1249"/>
      <c r="BE1" s="355" t="s">
        <v>701</v>
      </c>
    </row>
    <row r="2" spans="1:57" ht="14.25" thickBot="1" x14ac:dyDescent="0.2">
      <c r="B2" s="1260" t="s">
        <v>15</v>
      </c>
      <c r="C2" s="1261"/>
      <c r="D2" s="1261"/>
      <c r="E2" s="1261"/>
      <c r="F2" s="1261"/>
      <c r="G2" s="1261"/>
      <c r="H2" s="1261"/>
      <c r="I2" s="1261"/>
      <c r="J2" s="1261"/>
      <c r="K2" s="1261"/>
      <c r="L2" s="1261"/>
      <c r="M2" s="1261"/>
      <c r="N2" s="1262"/>
      <c r="O2" s="1263" t="s">
        <v>16</v>
      </c>
      <c r="P2" s="1312"/>
      <c r="Q2" s="1312"/>
      <c r="R2" s="1312"/>
      <c r="S2" s="1312"/>
      <c r="T2" s="1313"/>
      <c r="U2" s="1266" t="s">
        <v>163</v>
      </c>
      <c r="V2" s="1312"/>
      <c r="W2" s="1312"/>
      <c r="X2" s="1312"/>
      <c r="Y2" s="1312"/>
      <c r="Z2" s="1312"/>
      <c r="AA2" s="1313"/>
      <c r="AB2" s="1316"/>
      <c r="AC2" s="1317"/>
      <c r="AD2" s="1317"/>
      <c r="AE2" s="1317"/>
      <c r="AF2" s="1317"/>
      <c r="AG2" s="1317"/>
      <c r="AH2" s="1317"/>
      <c r="AI2" s="1317"/>
      <c r="AJ2" s="1317"/>
      <c r="AK2" s="1317"/>
      <c r="AL2" s="1317"/>
      <c r="AM2" s="1317"/>
      <c r="AN2" s="1318"/>
      <c r="AO2" s="1267">
        <f>'取引ログ作成時の注意事項(税情報)'!AO2</f>
        <v>1.1200000000000001</v>
      </c>
      <c r="AP2" s="1268"/>
      <c r="AQ2" s="1266" t="s">
        <v>18</v>
      </c>
      <c r="AR2" s="1264"/>
      <c r="AS2" s="1265"/>
      <c r="AT2" s="1269">
        <f>'取引ログ作成時の注意事項(税情報)'!AT2</f>
        <v>45709</v>
      </c>
      <c r="AU2" s="1270"/>
      <c r="AV2" s="1270"/>
      <c r="AW2" s="1270"/>
      <c r="AX2" s="1266" t="s">
        <v>18</v>
      </c>
      <c r="AY2" s="1264"/>
      <c r="AZ2" s="1265"/>
      <c r="BA2" s="1269">
        <v>45581</v>
      </c>
      <c r="BB2" s="1270"/>
      <c r="BC2" s="1270"/>
      <c r="BD2" s="1271"/>
    </row>
    <row r="3" spans="1:57" ht="12" thickTop="1" x14ac:dyDescent="0.15"/>
    <row r="4" spans="1:57" x14ac:dyDescent="0.15">
      <c r="B4" s="1038"/>
      <c r="C4" s="1039"/>
      <c r="D4" s="1039"/>
      <c r="E4" s="1039"/>
      <c r="F4" s="1039"/>
      <c r="G4" s="1039"/>
      <c r="H4" s="1039"/>
      <c r="I4" s="1039"/>
      <c r="J4" s="1039"/>
      <c r="K4" s="1039"/>
      <c r="L4" s="1039"/>
      <c r="M4" s="1039"/>
      <c r="N4" s="1039"/>
      <c r="O4" s="1039"/>
      <c r="P4" s="1039"/>
      <c r="Q4" s="1039"/>
      <c r="R4" s="1039"/>
      <c r="S4" s="1039"/>
      <c r="T4" s="1039"/>
      <c r="U4" s="1039"/>
      <c r="V4" s="1039"/>
      <c r="W4" s="1039"/>
      <c r="X4" s="1039"/>
      <c r="Y4" s="1039"/>
      <c r="Z4" s="1039"/>
      <c r="AA4" s="1039"/>
      <c r="AB4" s="1039"/>
      <c r="AC4" s="1039"/>
      <c r="AD4" s="1039"/>
      <c r="AE4" s="1039"/>
      <c r="AF4" s="1039"/>
      <c r="AG4" s="1039"/>
      <c r="AH4" s="1039"/>
      <c r="AI4" s="1039"/>
      <c r="AJ4" s="1039"/>
      <c r="AK4" s="1039"/>
      <c r="AL4" s="1039"/>
      <c r="AM4" s="1039"/>
      <c r="AN4" s="1039"/>
      <c r="AO4" s="1039"/>
      <c r="AP4" s="1039"/>
      <c r="AQ4" s="1039"/>
      <c r="AR4" s="1039"/>
      <c r="AS4" s="1039"/>
      <c r="AT4" s="1039"/>
      <c r="AU4" s="1039"/>
      <c r="AV4" s="1039"/>
      <c r="AW4" s="1039"/>
      <c r="AX4" s="1039"/>
      <c r="AY4" s="1039"/>
      <c r="AZ4" s="1039"/>
      <c r="BA4" s="1039"/>
      <c r="BB4" s="1039"/>
      <c r="BC4" s="1039"/>
      <c r="BD4" s="1040"/>
    </row>
    <row r="5" spans="1:57" x14ac:dyDescent="0.15">
      <c r="A5" s="339"/>
      <c r="B5" s="605"/>
      <c r="C5" s="345" t="s">
        <v>537</v>
      </c>
      <c r="D5" s="291" t="s">
        <v>784</v>
      </c>
      <c r="BD5" s="292"/>
    </row>
    <row r="6" spans="1:57" x14ac:dyDescent="0.15">
      <c r="A6" s="339"/>
      <c r="B6" s="605"/>
      <c r="BD6" s="292"/>
    </row>
    <row r="7" spans="1:57" x14ac:dyDescent="0.15">
      <c r="A7" s="339"/>
      <c r="B7" s="605"/>
      <c r="D7" s="291" t="s">
        <v>785</v>
      </c>
      <c r="BD7" s="292"/>
    </row>
    <row r="8" spans="1:57" x14ac:dyDescent="0.15">
      <c r="B8" s="605"/>
      <c r="D8" s="291" t="s">
        <v>786</v>
      </c>
      <c r="F8" s="340"/>
      <c r="H8" s="340"/>
      <c r="I8" s="340"/>
      <c r="J8" s="513"/>
      <c r="K8" s="512"/>
      <c r="M8" s="340"/>
      <c r="N8" s="340"/>
      <c r="O8" s="340"/>
      <c r="P8" s="511"/>
      <c r="Q8" s="340"/>
      <c r="R8" s="340"/>
      <c r="T8" s="340"/>
      <c r="U8" s="340"/>
      <c r="BD8" s="292"/>
    </row>
    <row r="9" spans="1:57" x14ac:dyDescent="0.15">
      <c r="A9" s="339"/>
      <c r="B9" s="605"/>
      <c r="E9" s="1042" t="s">
        <v>704</v>
      </c>
      <c r="F9" s="1042"/>
      <c r="G9" s="1042" t="s">
        <v>705</v>
      </c>
      <c r="H9" s="1042"/>
      <c r="I9" s="1042"/>
      <c r="J9" s="1042" t="s">
        <v>706</v>
      </c>
      <c r="K9" s="1042" t="s">
        <v>707</v>
      </c>
      <c r="L9" s="1042" t="s">
        <v>708</v>
      </c>
      <c r="M9" s="1042"/>
      <c r="N9" s="1042"/>
      <c r="O9" s="1042" t="s">
        <v>709</v>
      </c>
      <c r="P9" s="1042"/>
      <c r="Q9" s="1042" t="s">
        <v>710</v>
      </c>
      <c r="R9" s="1042"/>
      <c r="S9" s="1042"/>
      <c r="T9" s="1042" t="s">
        <v>711</v>
      </c>
      <c r="U9" s="1042"/>
      <c r="V9" s="1042"/>
      <c r="W9" s="1042"/>
      <c r="X9" s="1042"/>
      <c r="Y9" s="1042"/>
      <c r="Z9" s="1042"/>
      <c r="AA9" s="1042"/>
      <c r="AB9" s="1042"/>
      <c r="AC9" s="1042"/>
      <c r="AD9" s="1042"/>
      <c r="AE9" s="1042"/>
      <c r="AF9" s="1042"/>
      <c r="AG9" s="1042"/>
      <c r="AH9" s="1042"/>
      <c r="BD9" s="292"/>
    </row>
    <row r="10" spans="1:57" x14ac:dyDescent="0.15">
      <c r="B10" s="605"/>
      <c r="E10" s="291">
        <v>1</v>
      </c>
      <c r="G10" s="340" t="s">
        <v>712</v>
      </c>
      <c r="I10" s="340"/>
      <c r="J10" s="340" t="s">
        <v>787</v>
      </c>
      <c r="K10" s="513">
        <v>100</v>
      </c>
      <c r="L10" s="512">
        <v>3000</v>
      </c>
      <c r="N10" s="340"/>
      <c r="O10" s="340" t="s">
        <v>714</v>
      </c>
      <c r="P10" s="340"/>
      <c r="Q10" s="511">
        <v>0.08</v>
      </c>
      <c r="R10" s="340"/>
      <c r="S10" s="340"/>
      <c r="U10" s="340"/>
      <c r="V10" s="340"/>
      <c r="BD10" s="292"/>
    </row>
    <row r="11" spans="1:57" x14ac:dyDescent="0.15">
      <c r="B11" s="605"/>
      <c r="F11" s="340"/>
      <c r="H11" s="340"/>
      <c r="I11" s="340"/>
      <c r="J11" s="513"/>
      <c r="K11" s="512"/>
      <c r="M11" s="340"/>
      <c r="N11" s="340"/>
      <c r="O11" s="340"/>
      <c r="P11" s="511"/>
      <c r="Q11" s="340"/>
      <c r="R11" s="340"/>
      <c r="T11" s="340"/>
      <c r="U11" s="340"/>
      <c r="BD11" s="292"/>
    </row>
    <row r="12" spans="1:57" x14ac:dyDescent="0.15">
      <c r="B12" s="605"/>
      <c r="D12" s="291" t="s">
        <v>788</v>
      </c>
      <c r="F12" s="340"/>
      <c r="H12" s="340"/>
      <c r="I12" s="340"/>
      <c r="J12" s="513"/>
      <c r="K12" s="512"/>
      <c r="M12" s="340"/>
      <c r="N12" s="340"/>
      <c r="O12" s="340"/>
      <c r="P12" s="511"/>
      <c r="Q12" s="340"/>
      <c r="R12" s="340"/>
      <c r="T12" s="340"/>
      <c r="U12" s="340"/>
      <c r="BD12" s="292"/>
    </row>
    <row r="13" spans="1:57" x14ac:dyDescent="0.15">
      <c r="A13" s="339"/>
      <c r="B13" s="605"/>
      <c r="E13" s="1042" t="s">
        <v>704</v>
      </c>
      <c r="F13" s="1042"/>
      <c r="G13" s="1042" t="s">
        <v>789</v>
      </c>
      <c r="H13" s="1042"/>
      <c r="I13" s="1042"/>
      <c r="J13" s="1042" t="s">
        <v>790</v>
      </c>
      <c r="K13" s="1042" t="s">
        <v>707</v>
      </c>
      <c r="L13" s="1042" t="s">
        <v>708</v>
      </c>
      <c r="M13" s="1042"/>
      <c r="N13" s="1042" t="s">
        <v>791</v>
      </c>
      <c r="O13" s="1042"/>
      <c r="P13" s="1042"/>
      <c r="Q13" s="1042"/>
      <c r="R13" s="1042" t="s">
        <v>792</v>
      </c>
      <c r="S13" s="1042"/>
      <c r="T13" s="1042"/>
      <c r="U13" s="1042"/>
      <c r="V13" s="1042" t="s">
        <v>711</v>
      </c>
      <c r="W13" s="1042"/>
      <c r="X13" s="1042"/>
      <c r="Y13" s="1042"/>
      <c r="Z13" s="1042"/>
      <c r="AA13" s="1042"/>
      <c r="AB13" s="1042"/>
      <c r="AC13" s="1042"/>
      <c r="AD13" s="1042"/>
      <c r="AE13" s="1042"/>
      <c r="AF13" s="1042"/>
      <c r="AG13" s="1042"/>
      <c r="AH13" s="1042"/>
      <c r="BD13" s="292"/>
    </row>
    <row r="14" spans="1:57" x14ac:dyDescent="0.15">
      <c r="B14" s="605"/>
      <c r="E14" s="291">
        <v>1</v>
      </c>
      <c r="G14" s="340" t="s">
        <v>793</v>
      </c>
      <c r="I14" s="340"/>
      <c r="J14" s="340" t="s">
        <v>794</v>
      </c>
      <c r="K14" s="513">
        <v>500</v>
      </c>
      <c r="L14" s="540">
        <v>500</v>
      </c>
      <c r="N14" s="340"/>
      <c r="O14" s="340">
        <v>103</v>
      </c>
      <c r="P14" s="340"/>
      <c r="Q14" s="511"/>
      <c r="R14" s="341" t="s">
        <v>795</v>
      </c>
      <c r="S14" s="340"/>
      <c r="U14" s="340"/>
      <c r="V14" s="340"/>
      <c r="BD14" s="292"/>
    </row>
    <row r="15" spans="1:57" x14ac:dyDescent="0.15">
      <c r="B15" s="605"/>
      <c r="E15" s="291">
        <v>2</v>
      </c>
      <c r="F15" s="340"/>
      <c r="G15" s="291" t="s">
        <v>793</v>
      </c>
      <c r="H15" s="340"/>
      <c r="I15" s="340"/>
      <c r="J15" s="513" t="s">
        <v>796</v>
      </c>
      <c r="K15" s="512">
        <v>100</v>
      </c>
      <c r="L15" s="540">
        <v>100</v>
      </c>
      <c r="M15" s="340"/>
      <c r="N15" s="340"/>
      <c r="O15" s="340">
        <v>103</v>
      </c>
      <c r="P15" s="511"/>
      <c r="Q15" s="340"/>
      <c r="R15" s="341" t="s">
        <v>797</v>
      </c>
      <c r="T15" s="340"/>
      <c r="U15" s="340"/>
      <c r="BD15" s="292"/>
    </row>
    <row r="16" spans="1:57" x14ac:dyDescent="0.15">
      <c r="B16" s="605"/>
      <c r="E16" s="291">
        <v>3</v>
      </c>
      <c r="F16" s="340"/>
      <c r="G16" s="291" t="s">
        <v>798</v>
      </c>
      <c r="H16" s="340"/>
      <c r="I16" s="340"/>
      <c r="J16" s="513" t="s">
        <v>799</v>
      </c>
      <c r="K16" s="512">
        <v>100</v>
      </c>
      <c r="L16" s="540">
        <v>500</v>
      </c>
      <c r="M16" s="340"/>
      <c r="N16" s="340"/>
      <c r="O16" s="340">
        <v>104</v>
      </c>
      <c r="P16" s="511"/>
      <c r="Q16" s="340"/>
      <c r="R16" s="340" t="s">
        <v>800</v>
      </c>
      <c r="T16" s="340"/>
      <c r="U16" s="340"/>
      <c r="V16" s="291" t="s">
        <v>801</v>
      </c>
      <c r="BD16" s="292"/>
    </row>
    <row r="17" spans="2:56" x14ac:dyDescent="0.15">
      <c r="B17" s="605"/>
      <c r="E17" s="534">
        <v>4</v>
      </c>
      <c r="F17" s="535"/>
      <c r="G17" s="534" t="s">
        <v>802</v>
      </c>
      <c r="H17" s="535"/>
      <c r="I17" s="535"/>
      <c r="J17" s="539" t="s">
        <v>803</v>
      </c>
      <c r="K17" s="538">
        <v>1000</v>
      </c>
      <c r="L17" s="537">
        <v>2000</v>
      </c>
      <c r="M17" s="535"/>
      <c r="N17" s="535"/>
      <c r="O17" s="535">
        <v>101</v>
      </c>
      <c r="P17" s="536"/>
      <c r="Q17" s="535"/>
      <c r="R17" s="535" t="s">
        <v>800</v>
      </c>
      <c r="S17" s="534"/>
      <c r="T17" s="535"/>
      <c r="U17" s="535"/>
      <c r="V17" s="534" t="s">
        <v>804</v>
      </c>
      <c r="W17" s="534"/>
      <c r="X17" s="534"/>
      <c r="Y17" s="534"/>
      <c r="Z17" s="534"/>
      <c r="AA17" s="534"/>
      <c r="AB17" s="534"/>
      <c r="AC17" s="534"/>
      <c r="AD17" s="534"/>
      <c r="AE17" s="534"/>
      <c r="AF17" s="534"/>
      <c r="AG17" s="534"/>
      <c r="AH17" s="534"/>
      <c r="AQ17" s="1070"/>
      <c r="AR17" s="1071"/>
      <c r="AS17" s="291" t="s">
        <v>805</v>
      </c>
      <c r="BD17" s="292"/>
    </row>
    <row r="18" spans="2:56" x14ac:dyDescent="0.15">
      <c r="B18" s="605"/>
      <c r="D18" s="325"/>
      <c r="F18" s="325"/>
      <c r="I18" s="325"/>
      <c r="M18" s="325"/>
      <c r="R18" s="340"/>
      <c r="BD18" s="292"/>
    </row>
    <row r="19" spans="2:56" x14ac:dyDescent="0.15">
      <c r="B19" s="605"/>
      <c r="D19" s="340" t="s">
        <v>806</v>
      </c>
      <c r="E19" s="340"/>
      <c r="F19" s="340"/>
      <c r="G19" s="340"/>
      <c r="H19" s="340"/>
      <c r="I19" s="340"/>
      <c r="J19" s="340"/>
      <c r="K19" s="340"/>
      <c r="L19" s="340"/>
      <c r="M19" s="340"/>
      <c r="N19" s="340"/>
      <c r="O19" s="340"/>
      <c r="P19" s="340"/>
      <c r="Q19" s="340"/>
      <c r="R19" s="340"/>
      <c r="S19" s="340"/>
      <c r="U19" s="340"/>
      <c r="BD19" s="292"/>
    </row>
    <row r="20" spans="2:56" x14ac:dyDescent="0.15">
      <c r="B20" s="605"/>
      <c r="D20" s="325"/>
      <c r="F20" s="325"/>
      <c r="I20" s="325"/>
      <c r="M20" s="325"/>
      <c r="BD20" s="292"/>
    </row>
    <row r="21" spans="2:56" x14ac:dyDescent="0.15">
      <c r="B21" s="605"/>
      <c r="D21" s="325"/>
      <c r="F21" s="325"/>
      <c r="I21" s="325"/>
      <c r="L21" s="342" t="s">
        <v>807</v>
      </c>
      <c r="M21" s="325"/>
      <c r="AF21" s="342" t="s">
        <v>808</v>
      </c>
      <c r="BD21" s="292"/>
    </row>
    <row r="22" spans="2:56" x14ac:dyDescent="0.15">
      <c r="B22" s="605"/>
      <c r="D22" s="291" t="s">
        <v>549</v>
      </c>
      <c r="M22" s="291" t="s">
        <v>732</v>
      </c>
      <c r="W22" s="291" t="s">
        <v>551</v>
      </c>
      <c r="AG22" s="291" t="s">
        <v>182</v>
      </c>
      <c r="BD22" s="292"/>
    </row>
    <row r="23" spans="2:56" x14ac:dyDescent="0.15">
      <c r="B23" s="605"/>
      <c r="D23" s="1038" t="s">
        <v>552</v>
      </c>
      <c r="E23" s="1039"/>
      <c r="F23" s="1039"/>
      <c r="G23" s="1039"/>
      <c r="H23" s="1039"/>
      <c r="I23" s="1039"/>
      <c r="J23" s="1039"/>
      <c r="K23" s="1040"/>
      <c r="M23" s="1038" t="s">
        <v>553</v>
      </c>
      <c r="N23" s="1039"/>
      <c r="O23" s="1039"/>
      <c r="P23" s="1039"/>
      <c r="Q23" s="1039"/>
      <c r="R23" s="1039"/>
      <c r="S23" s="1039"/>
      <c r="T23" s="1039"/>
      <c r="U23" s="1040"/>
      <c r="W23" s="1038" t="s">
        <v>137</v>
      </c>
      <c r="X23" s="1039"/>
      <c r="Y23" s="1039"/>
      <c r="Z23" s="1039"/>
      <c r="AA23" s="1039"/>
      <c r="AB23" s="1039"/>
      <c r="AC23" s="1039"/>
      <c r="AD23" s="1040"/>
      <c r="AG23" s="1038" t="s">
        <v>554</v>
      </c>
      <c r="AH23" s="1039"/>
      <c r="AI23" s="1039"/>
      <c r="AJ23" s="1039"/>
      <c r="AK23" s="1039"/>
      <c r="AL23" s="1039"/>
      <c r="AM23" s="1039"/>
      <c r="AN23" s="1040"/>
      <c r="AO23" s="291" t="s">
        <v>733</v>
      </c>
      <c r="BD23" s="292"/>
    </row>
    <row r="24" spans="2:56" x14ac:dyDescent="0.15">
      <c r="B24" s="605"/>
      <c r="D24" s="605"/>
      <c r="E24" s="291" t="s">
        <v>248</v>
      </c>
      <c r="J24" s="325" t="s">
        <v>556</v>
      </c>
      <c r="K24" s="292"/>
      <c r="M24" s="605"/>
      <c r="N24" s="291" t="s">
        <v>248</v>
      </c>
      <c r="T24" s="325" t="s">
        <v>556</v>
      </c>
      <c r="U24" s="292"/>
      <c r="W24" s="605"/>
      <c r="X24" s="291" t="s">
        <v>248</v>
      </c>
      <c r="AC24" s="325" t="s">
        <v>556</v>
      </c>
      <c r="AD24" s="292"/>
      <c r="AG24" s="605"/>
      <c r="AH24" s="291" t="s">
        <v>248</v>
      </c>
      <c r="AM24" s="325" t="s">
        <v>556</v>
      </c>
      <c r="AN24" s="292"/>
      <c r="BD24" s="292"/>
    </row>
    <row r="25" spans="2:56" x14ac:dyDescent="0.15">
      <c r="B25" s="605"/>
      <c r="D25" s="605"/>
      <c r="E25" s="291" t="s">
        <v>259</v>
      </c>
      <c r="J25" s="291">
        <v>1</v>
      </c>
      <c r="K25" s="292"/>
      <c r="M25" s="605"/>
      <c r="N25" s="291" t="s">
        <v>244</v>
      </c>
      <c r="T25" s="291">
        <v>1</v>
      </c>
      <c r="U25" s="292"/>
      <c r="W25" s="605"/>
      <c r="X25" s="291" t="s">
        <v>244</v>
      </c>
      <c r="AC25" s="291">
        <v>1</v>
      </c>
      <c r="AD25" s="292"/>
      <c r="AG25" s="605"/>
      <c r="AH25" s="291" t="s">
        <v>244</v>
      </c>
      <c r="AM25" s="291">
        <v>2</v>
      </c>
      <c r="AN25" s="292"/>
      <c r="BD25" s="292"/>
    </row>
    <row r="26" spans="2:56" x14ac:dyDescent="0.15">
      <c r="B26" s="605"/>
      <c r="D26" s="1041"/>
      <c r="E26" s="1042"/>
      <c r="F26" s="1042"/>
      <c r="G26" s="1042"/>
      <c r="H26" s="1042"/>
      <c r="I26" s="1042"/>
      <c r="J26" s="1042"/>
      <c r="K26" s="1043"/>
      <c r="M26" s="605"/>
      <c r="N26" s="291" t="s">
        <v>337</v>
      </c>
      <c r="T26" s="291">
        <v>30</v>
      </c>
      <c r="U26" s="292"/>
      <c r="W26" s="605"/>
      <c r="X26" s="291" t="s">
        <v>261</v>
      </c>
      <c r="AC26" s="291">
        <v>2</v>
      </c>
      <c r="AD26" s="292"/>
      <c r="AG26" s="605"/>
      <c r="AH26" s="291" t="s">
        <v>557</v>
      </c>
      <c r="AM26" s="325">
        <v>1</v>
      </c>
      <c r="AN26" s="292" t="s">
        <v>734</v>
      </c>
      <c r="BD26" s="292"/>
    </row>
    <row r="27" spans="2:56" x14ac:dyDescent="0.15">
      <c r="B27" s="605"/>
      <c r="M27" s="605"/>
      <c r="N27" s="291" t="s">
        <v>350</v>
      </c>
      <c r="T27" s="291">
        <v>3000</v>
      </c>
      <c r="U27" s="292"/>
      <c r="W27" s="605"/>
      <c r="X27" s="291" t="s">
        <v>560</v>
      </c>
      <c r="AC27" s="291">
        <v>3</v>
      </c>
      <c r="AD27" s="292" t="s">
        <v>736</v>
      </c>
      <c r="AG27" s="605"/>
      <c r="AH27" s="291" t="s">
        <v>402</v>
      </c>
      <c r="AM27" s="291">
        <v>1</v>
      </c>
      <c r="AN27" s="292"/>
      <c r="BD27" s="292"/>
    </row>
    <row r="28" spans="2:56" ht="9.75" customHeight="1" x14ac:dyDescent="0.15">
      <c r="B28" s="605"/>
      <c r="M28" s="605"/>
      <c r="N28" s="291" t="s">
        <v>377</v>
      </c>
      <c r="T28" s="291">
        <v>1</v>
      </c>
      <c r="U28" s="292" t="s">
        <v>738</v>
      </c>
      <c r="W28" s="605"/>
      <c r="X28" s="291" t="s">
        <v>282</v>
      </c>
      <c r="AC28" s="291">
        <v>0</v>
      </c>
      <c r="AD28" s="292"/>
      <c r="AG28" s="605"/>
      <c r="AH28" s="291" t="s">
        <v>404</v>
      </c>
      <c r="AM28" s="291">
        <v>240</v>
      </c>
      <c r="AN28" s="292"/>
      <c r="BD28" s="292"/>
    </row>
    <row r="29" spans="2:56" x14ac:dyDescent="0.15">
      <c r="B29" s="605"/>
      <c r="M29" s="605"/>
      <c r="N29" s="291" t="s">
        <v>739</v>
      </c>
      <c r="T29" s="291">
        <v>240</v>
      </c>
      <c r="U29" s="292"/>
      <c r="W29" s="1041"/>
      <c r="X29" s="1042" t="s">
        <v>295</v>
      </c>
      <c r="Y29" s="1042"/>
      <c r="Z29" s="1042"/>
      <c r="AA29" s="1042"/>
      <c r="AB29" s="1042"/>
      <c r="AC29" s="1042">
        <v>0</v>
      </c>
      <c r="AD29" s="1043"/>
      <c r="AG29" s="605"/>
      <c r="AH29" s="291" t="s">
        <v>406</v>
      </c>
      <c r="AM29" s="291">
        <v>0</v>
      </c>
      <c r="AN29" s="292"/>
      <c r="BD29" s="292"/>
    </row>
    <row r="30" spans="2:56" x14ac:dyDescent="0.15">
      <c r="B30" s="605"/>
      <c r="M30" s="605"/>
      <c r="N30" s="291" t="s">
        <v>740</v>
      </c>
      <c r="T30" s="291">
        <v>100</v>
      </c>
      <c r="U30" s="292"/>
      <c r="AG30" s="605"/>
      <c r="AH30" s="291" t="s">
        <v>562</v>
      </c>
      <c r="AM30" s="291">
        <v>0</v>
      </c>
      <c r="AN30" s="292"/>
      <c r="BD30" s="292"/>
    </row>
    <row r="31" spans="2:56" x14ac:dyDescent="0.15">
      <c r="B31" s="605"/>
      <c r="D31" s="325"/>
      <c r="F31" s="325"/>
      <c r="I31" s="325"/>
      <c r="M31" s="1041"/>
      <c r="N31" s="1042" t="s">
        <v>385</v>
      </c>
      <c r="O31" s="1042"/>
      <c r="P31" s="1042"/>
      <c r="Q31" s="1042"/>
      <c r="R31" s="1042"/>
      <c r="S31" s="1042"/>
      <c r="T31" s="1042">
        <v>1</v>
      </c>
      <c r="U31" s="1043"/>
      <c r="AG31" s="1041"/>
      <c r="AH31" s="1042" t="s">
        <v>563</v>
      </c>
      <c r="AI31" s="1042"/>
      <c r="AJ31" s="1042"/>
      <c r="AK31" s="1042"/>
      <c r="AL31" s="1042"/>
      <c r="AM31" s="1042">
        <v>3000</v>
      </c>
      <c r="AN31" s="1043"/>
      <c r="BD31" s="292"/>
    </row>
    <row r="32" spans="2:56" x14ac:dyDescent="0.15">
      <c r="B32" s="605"/>
      <c r="D32" s="325"/>
      <c r="F32" s="325"/>
      <c r="I32" s="325"/>
      <c r="M32" s="325"/>
      <c r="BD32" s="292"/>
    </row>
    <row r="33" spans="2:56" x14ac:dyDescent="0.15">
      <c r="B33" s="605"/>
      <c r="D33" s="325"/>
      <c r="F33" s="325"/>
      <c r="I33" s="325"/>
      <c r="BD33" s="292"/>
    </row>
    <row r="34" spans="2:56" x14ac:dyDescent="0.15">
      <c r="B34" s="605"/>
      <c r="D34" s="325"/>
      <c r="F34" s="325"/>
      <c r="I34" s="325"/>
      <c r="L34" s="342" t="s">
        <v>809</v>
      </c>
      <c r="BD34" s="292"/>
    </row>
    <row r="35" spans="2:56" x14ac:dyDescent="0.15">
      <c r="B35" s="605"/>
      <c r="D35" s="325"/>
      <c r="F35" s="325"/>
      <c r="I35" s="325"/>
      <c r="M35" s="291" t="s">
        <v>184</v>
      </c>
      <c r="AG35" s="291" t="s">
        <v>810</v>
      </c>
      <c r="BD35" s="292"/>
    </row>
    <row r="36" spans="2:56" x14ac:dyDescent="0.15">
      <c r="B36" s="605"/>
      <c r="D36" s="325"/>
      <c r="F36" s="325"/>
      <c r="I36" s="325"/>
      <c r="M36" s="1072" t="s">
        <v>101</v>
      </c>
      <c r="N36" s="1073"/>
      <c r="O36" s="1073"/>
      <c r="P36" s="1073"/>
      <c r="Q36" s="1073"/>
      <c r="R36" s="1073"/>
      <c r="S36" s="1073"/>
      <c r="T36" s="1073"/>
      <c r="U36" s="1074"/>
      <c r="AG36" s="1072" t="s">
        <v>811</v>
      </c>
      <c r="AH36" s="1073"/>
      <c r="AI36" s="1073"/>
      <c r="AJ36" s="1073"/>
      <c r="AK36" s="1073"/>
      <c r="AL36" s="1073"/>
      <c r="AM36" s="1073"/>
      <c r="AN36" s="1074"/>
      <c r="BD36" s="292"/>
    </row>
    <row r="37" spans="2:56" x14ac:dyDescent="0.15">
      <c r="B37" s="605"/>
      <c r="D37" s="325"/>
      <c r="F37" s="325"/>
      <c r="I37" s="325"/>
      <c r="M37" s="608"/>
      <c r="N37" s="527" t="s">
        <v>244</v>
      </c>
      <c r="O37" s="527"/>
      <c r="P37" s="527"/>
      <c r="Q37" s="527"/>
      <c r="R37" s="527"/>
      <c r="S37" s="527"/>
      <c r="T37" s="527">
        <v>3</v>
      </c>
      <c r="U37" s="526"/>
      <c r="AG37" s="608"/>
      <c r="AH37" s="527" t="s">
        <v>360</v>
      </c>
      <c r="AI37" s="527"/>
      <c r="AJ37" s="527"/>
      <c r="AK37" s="527"/>
      <c r="AL37" s="527"/>
      <c r="AM37" s="527">
        <v>3</v>
      </c>
      <c r="AN37" s="526"/>
      <c r="BD37" s="292"/>
    </row>
    <row r="38" spans="2:56" x14ac:dyDescent="0.15">
      <c r="B38" s="605"/>
      <c r="D38" s="325"/>
      <c r="F38" s="325"/>
      <c r="I38" s="325"/>
      <c r="M38" s="608"/>
      <c r="N38" s="527" t="s">
        <v>248</v>
      </c>
      <c r="O38" s="527"/>
      <c r="P38" s="527"/>
      <c r="Q38" s="527"/>
      <c r="R38" s="527"/>
      <c r="S38" s="527"/>
      <c r="T38" s="531" t="s">
        <v>556</v>
      </c>
      <c r="U38" s="526"/>
      <c r="AG38" s="608"/>
      <c r="AH38" s="527" t="s">
        <v>376</v>
      </c>
      <c r="AI38" s="527"/>
      <c r="AJ38" s="527"/>
      <c r="AK38" s="527"/>
      <c r="AL38" s="527"/>
      <c r="AM38" s="531" t="s">
        <v>556</v>
      </c>
      <c r="AN38" s="526"/>
      <c r="BD38" s="292"/>
    </row>
    <row r="39" spans="2:56" x14ac:dyDescent="0.15">
      <c r="B39" s="605"/>
      <c r="D39" s="325"/>
      <c r="F39" s="325"/>
      <c r="I39" s="325"/>
      <c r="M39" s="608"/>
      <c r="N39" s="527" t="s">
        <v>408</v>
      </c>
      <c r="O39" s="527"/>
      <c r="P39" s="527"/>
      <c r="Q39" s="527"/>
      <c r="R39" s="527"/>
      <c r="S39" s="527"/>
      <c r="T39" s="531">
        <v>103</v>
      </c>
      <c r="U39" s="526"/>
      <c r="W39" s="291" t="s">
        <v>551</v>
      </c>
      <c r="AG39" s="1075"/>
      <c r="AH39" s="1076" t="s">
        <v>428</v>
      </c>
      <c r="AI39" s="1076"/>
      <c r="AJ39" s="1076"/>
      <c r="AK39" s="1076"/>
      <c r="AL39" s="1076"/>
      <c r="AM39" s="1076">
        <v>-500</v>
      </c>
      <c r="AN39" s="1077"/>
      <c r="BD39" s="292"/>
    </row>
    <row r="40" spans="2:56" x14ac:dyDescent="0.15">
      <c r="B40" s="605"/>
      <c r="M40" s="608"/>
      <c r="N40" s="527" t="s">
        <v>416</v>
      </c>
      <c r="O40" s="527"/>
      <c r="P40" s="527"/>
      <c r="Q40" s="527"/>
      <c r="R40" s="527"/>
      <c r="S40" s="527"/>
      <c r="T40" s="532">
        <v>-500</v>
      </c>
      <c r="U40" s="526"/>
      <c r="W40" s="1072" t="s">
        <v>137</v>
      </c>
      <c r="X40" s="1073"/>
      <c r="Y40" s="1073"/>
      <c r="Z40" s="1073"/>
      <c r="AA40" s="1073"/>
      <c r="AB40" s="1073"/>
      <c r="AC40" s="1073"/>
      <c r="AD40" s="1074"/>
      <c r="BD40" s="292"/>
    </row>
    <row r="41" spans="2:56" x14ac:dyDescent="0.15">
      <c r="B41" s="605"/>
      <c r="M41" s="608"/>
      <c r="N41" s="527" t="s">
        <v>419</v>
      </c>
      <c r="O41" s="527"/>
      <c r="P41" s="527"/>
      <c r="Q41" s="527"/>
      <c r="R41" s="527"/>
      <c r="S41" s="527"/>
      <c r="T41" s="527">
        <v>-500</v>
      </c>
      <c r="U41" s="526"/>
      <c r="W41" s="608"/>
      <c r="X41" s="527" t="s">
        <v>248</v>
      </c>
      <c r="Y41" s="527"/>
      <c r="Z41" s="527"/>
      <c r="AA41" s="527"/>
      <c r="AB41" s="527"/>
      <c r="AC41" s="531" t="s">
        <v>556</v>
      </c>
      <c r="AD41" s="526"/>
      <c r="BD41" s="292"/>
    </row>
    <row r="42" spans="2:56" x14ac:dyDescent="0.15">
      <c r="B42" s="605"/>
      <c r="D42" s="325"/>
      <c r="F42" s="325"/>
      <c r="I42" s="325"/>
      <c r="M42" s="608"/>
      <c r="N42" s="527" t="s">
        <v>290</v>
      </c>
      <c r="O42" s="527"/>
      <c r="P42" s="527"/>
      <c r="Q42" s="527"/>
      <c r="R42" s="527"/>
      <c r="S42" s="527"/>
      <c r="T42" s="529">
        <v>18</v>
      </c>
      <c r="U42" s="530" t="s">
        <v>812</v>
      </c>
      <c r="W42" s="608"/>
      <c r="X42" s="527" t="s">
        <v>244</v>
      </c>
      <c r="Y42" s="527"/>
      <c r="Z42" s="527"/>
      <c r="AA42" s="527"/>
      <c r="AB42" s="527"/>
      <c r="AC42" s="527">
        <v>3</v>
      </c>
      <c r="AD42" s="526"/>
      <c r="BD42" s="292"/>
    </row>
    <row r="43" spans="2:56" x14ac:dyDescent="0.15">
      <c r="B43" s="605"/>
      <c r="D43" s="325"/>
      <c r="F43" s="325"/>
      <c r="I43" s="325"/>
      <c r="M43" s="608"/>
      <c r="N43" s="527" t="s">
        <v>813</v>
      </c>
      <c r="O43" s="527"/>
      <c r="P43" s="527"/>
      <c r="Q43" s="527"/>
      <c r="R43" s="527"/>
      <c r="S43" s="527"/>
      <c r="T43" s="527">
        <v>0</v>
      </c>
      <c r="U43" s="526"/>
      <c r="W43" s="608"/>
      <c r="X43" s="527" t="s">
        <v>261</v>
      </c>
      <c r="Y43" s="527"/>
      <c r="Z43" s="527"/>
      <c r="AA43" s="527"/>
      <c r="AB43" s="527"/>
      <c r="AC43" s="527">
        <v>4</v>
      </c>
      <c r="AD43" s="526"/>
      <c r="BD43" s="292"/>
    </row>
    <row r="44" spans="2:56" x14ac:dyDescent="0.15">
      <c r="B44" s="605"/>
      <c r="D44" s="325"/>
      <c r="F44" s="325"/>
      <c r="I44" s="325"/>
      <c r="M44" s="608"/>
      <c r="N44" s="527" t="s">
        <v>814</v>
      </c>
      <c r="O44" s="527"/>
      <c r="P44" s="527"/>
      <c r="Q44" s="527"/>
      <c r="R44" s="527"/>
      <c r="S44" s="527"/>
      <c r="T44" s="527">
        <v>0</v>
      </c>
      <c r="U44" s="526"/>
      <c r="W44" s="608"/>
      <c r="X44" s="527" t="s">
        <v>560</v>
      </c>
      <c r="Y44" s="527"/>
      <c r="Z44" s="527"/>
      <c r="AA44" s="527"/>
      <c r="AB44" s="527"/>
      <c r="AC44" s="529">
        <v>6</v>
      </c>
      <c r="AD44" s="528" t="s">
        <v>815</v>
      </c>
      <c r="BD44" s="292"/>
    </row>
    <row r="45" spans="2:56" x14ac:dyDescent="0.15">
      <c r="B45" s="605"/>
      <c r="D45" s="325"/>
      <c r="F45" s="325"/>
      <c r="I45" s="325"/>
      <c r="M45" s="1075"/>
      <c r="N45" s="1076" t="s">
        <v>816</v>
      </c>
      <c r="O45" s="1076"/>
      <c r="P45" s="1076"/>
      <c r="Q45" s="1076"/>
      <c r="R45" s="1076"/>
      <c r="S45" s="1076"/>
      <c r="T45" s="1076" t="s">
        <v>817</v>
      </c>
      <c r="U45" s="1077"/>
      <c r="W45" s="608"/>
      <c r="X45" s="527" t="s">
        <v>282</v>
      </c>
      <c r="Y45" s="527"/>
      <c r="Z45" s="527"/>
      <c r="AA45" s="527"/>
      <c r="AB45" s="527"/>
      <c r="AC45" s="527">
        <v>0</v>
      </c>
      <c r="AD45" s="526"/>
      <c r="BD45" s="292"/>
    </row>
    <row r="46" spans="2:56" x14ac:dyDescent="0.15">
      <c r="B46" s="605"/>
      <c r="D46" s="325"/>
      <c r="F46" s="325"/>
      <c r="I46" s="325"/>
      <c r="W46" s="1075"/>
      <c r="X46" s="1076" t="s">
        <v>295</v>
      </c>
      <c r="Y46" s="1076"/>
      <c r="Z46" s="1076"/>
      <c r="AA46" s="1076"/>
      <c r="AB46" s="1076"/>
      <c r="AC46" s="1076">
        <v>0</v>
      </c>
      <c r="AD46" s="1077"/>
      <c r="BD46" s="292"/>
    </row>
    <row r="47" spans="2:56" x14ac:dyDescent="0.15">
      <c r="B47" s="605"/>
      <c r="D47" s="325"/>
      <c r="F47" s="325"/>
      <c r="I47" s="325"/>
      <c r="AR47" s="343" t="s">
        <v>818</v>
      </c>
      <c r="BD47" s="292"/>
    </row>
    <row r="48" spans="2:56" x14ac:dyDescent="0.15">
      <c r="B48" s="605"/>
      <c r="D48" s="325"/>
      <c r="F48" s="325"/>
      <c r="I48" s="325"/>
      <c r="M48" s="291" t="s">
        <v>184</v>
      </c>
      <c r="AG48" s="291" t="s">
        <v>810</v>
      </c>
      <c r="BD48" s="292"/>
    </row>
    <row r="49" spans="2:56" x14ac:dyDescent="0.15">
      <c r="B49" s="605"/>
      <c r="D49" s="325"/>
      <c r="F49" s="325"/>
      <c r="I49" s="325"/>
      <c r="M49" s="1072" t="s">
        <v>101</v>
      </c>
      <c r="N49" s="1073"/>
      <c r="O49" s="1073"/>
      <c r="P49" s="1073"/>
      <c r="Q49" s="1073"/>
      <c r="R49" s="1073"/>
      <c r="S49" s="1073"/>
      <c r="T49" s="1073"/>
      <c r="U49" s="1074"/>
      <c r="AG49" s="1072" t="s">
        <v>811</v>
      </c>
      <c r="AH49" s="1073"/>
      <c r="AI49" s="1073"/>
      <c r="AJ49" s="1073"/>
      <c r="AK49" s="1073"/>
      <c r="AL49" s="1073"/>
      <c r="AM49" s="1073"/>
      <c r="AN49" s="1074"/>
      <c r="BD49" s="292"/>
    </row>
    <row r="50" spans="2:56" x14ac:dyDescent="0.15">
      <c r="B50" s="605"/>
      <c r="M50" s="608"/>
      <c r="N50" s="527" t="s">
        <v>244</v>
      </c>
      <c r="O50" s="527"/>
      <c r="P50" s="527"/>
      <c r="Q50" s="527"/>
      <c r="R50" s="527"/>
      <c r="S50" s="527"/>
      <c r="T50" s="527">
        <v>4</v>
      </c>
      <c r="U50" s="526"/>
      <c r="AG50" s="608"/>
      <c r="AH50" s="527" t="s">
        <v>360</v>
      </c>
      <c r="AI50" s="527"/>
      <c r="AJ50" s="527"/>
      <c r="AK50" s="527"/>
      <c r="AL50" s="527"/>
      <c r="AM50" s="527">
        <v>4</v>
      </c>
      <c r="AN50" s="526"/>
      <c r="BD50" s="292"/>
    </row>
    <row r="51" spans="2:56" x14ac:dyDescent="0.15">
      <c r="B51" s="605"/>
      <c r="M51" s="608"/>
      <c r="N51" s="527" t="s">
        <v>248</v>
      </c>
      <c r="O51" s="527"/>
      <c r="P51" s="527"/>
      <c r="Q51" s="527"/>
      <c r="R51" s="527"/>
      <c r="S51" s="527"/>
      <c r="T51" s="531" t="s">
        <v>556</v>
      </c>
      <c r="U51" s="526"/>
      <c r="AG51" s="608"/>
      <c r="AH51" s="527" t="s">
        <v>376</v>
      </c>
      <c r="AI51" s="527"/>
      <c r="AJ51" s="527"/>
      <c r="AK51" s="527"/>
      <c r="AL51" s="527"/>
      <c r="AM51" s="531" t="s">
        <v>556</v>
      </c>
      <c r="AN51" s="526"/>
      <c r="BD51" s="292"/>
    </row>
    <row r="52" spans="2:56" x14ac:dyDescent="0.15">
      <c r="B52" s="605"/>
      <c r="M52" s="608"/>
      <c r="N52" s="527" t="s">
        <v>408</v>
      </c>
      <c r="O52" s="527"/>
      <c r="P52" s="527"/>
      <c r="Q52" s="527"/>
      <c r="R52" s="527"/>
      <c r="S52" s="527"/>
      <c r="T52" s="532">
        <v>103</v>
      </c>
      <c r="U52" s="526"/>
      <c r="W52" s="291" t="s">
        <v>551</v>
      </c>
      <c r="AG52" s="1075"/>
      <c r="AH52" s="1076" t="s">
        <v>428</v>
      </c>
      <c r="AI52" s="1076"/>
      <c r="AJ52" s="1076"/>
      <c r="AK52" s="1076"/>
      <c r="AL52" s="1076"/>
      <c r="AM52" s="1076">
        <v>500</v>
      </c>
      <c r="AN52" s="1077"/>
      <c r="BD52" s="292"/>
    </row>
    <row r="53" spans="2:56" x14ac:dyDescent="0.15">
      <c r="B53" s="605"/>
      <c r="D53" s="325"/>
      <c r="F53" s="325"/>
      <c r="I53" s="325"/>
      <c r="M53" s="608"/>
      <c r="N53" s="527" t="s">
        <v>416</v>
      </c>
      <c r="O53" s="527"/>
      <c r="P53" s="527"/>
      <c r="Q53" s="527"/>
      <c r="R53" s="527"/>
      <c r="S53" s="527"/>
      <c r="T53" s="527">
        <v>500</v>
      </c>
      <c r="U53" s="526"/>
      <c r="W53" s="1072" t="s">
        <v>137</v>
      </c>
      <c r="X53" s="1073"/>
      <c r="Y53" s="1073"/>
      <c r="Z53" s="1073"/>
      <c r="AA53" s="1073"/>
      <c r="AB53" s="1073"/>
      <c r="AC53" s="1073"/>
      <c r="AD53" s="1074"/>
      <c r="BD53" s="292"/>
    </row>
    <row r="54" spans="2:56" x14ac:dyDescent="0.15">
      <c r="B54" s="605"/>
      <c r="D54" s="325"/>
      <c r="F54" s="325"/>
      <c r="I54" s="325"/>
      <c r="M54" s="608"/>
      <c r="N54" s="527" t="s">
        <v>419</v>
      </c>
      <c r="O54" s="527"/>
      <c r="P54" s="527"/>
      <c r="Q54" s="527"/>
      <c r="R54" s="527"/>
      <c r="S54" s="527"/>
      <c r="T54" s="527">
        <v>500</v>
      </c>
      <c r="U54" s="526"/>
      <c r="W54" s="608"/>
      <c r="X54" s="527" t="s">
        <v>248</v>
      </c>
      <c r="Y54" s="527"/>
      <c r="Z54" s="527"/>
      <c r="AA54" s="527"/>
      <c r="AB54" s="527"/>
      <c r="AC54" s="531" t="s">
        <v>556</v>
      </c>
      <c r="AD54" s="526"/>
      <c r="BD54" s="292"/>
    </row>
    <row r="55" spans="2:56" x14ac:dyDescent="0.15">
      <c r="B55" s="605"/>
      <c r="D55" s="325"/>
      <c r="F55" s="325"/>
      <c r="I55" s="325"/>
      <c r="M55" s="608"/>
      <c r="N55" s="527" t="s">
        <v>290</v>
      </c>
      <c r="O55" s="527"/>
      <c r="P55" s="527"/>
      <c r="Q55" s="527"/>
      <c r="R55" s="527"/>
      <c r="S55" s="527"/>
      <c r="T55" s="529">
        <v>18</v>
      </c>
      <c r="U55" s="530" t="s">
        <v>812</v>
      </c>
      <c r="W55" s="608"/>
      <c r="X55" s="527" t="s">
        <v>244</v>
      </c>
      <c r="Y55" s="527"/>
      <c r="Z55" s="527"/>
      <c r="AA55" s="527"/>
      <c r="AB55" s="527"/>
      <c r="AC55" s="527">
        <v>4</v>
      </c>
      <c r="AD55" s="526"/>
      <c r="BD55" s="292"/>
    </row>
    <row r="56" spans="2:56" x14ac:dyDescent="0.15">
      <c r="B56" s="605"/>
      <c r="D56" s="325"/>
      <c r="F56" s="325"/>
      <c r="I56" s="325"/>
      <c r="M56" s="608"/>
      <c r="N56" s="527" t="s">
        <v>813</v>
      </c>
      <c r="O56" s="527"/>
      <c r="P56" s="527"/>
      <c r="Q56" s="527"/>
      <c r="R56" s="527"/>
      <c r="S56" s="527"/>
      <c r="T56" s="527">
        <v>0</v>
      </c>
      <c r="U56" s="526"/>
      <c r="W56" s="608"/>
      <c r="X56" s="527" t="s">
        <v>261</v>
      </c>
      <c r="Y56" s="527"/>
      <c r="Z56" s="527"/>
      <c r="AA56" s="527"/>
      <c r="AB56" s="527"/>
      <c r="AC56" s="527">
        <v>3</v>
      </c>
      <c r="AD56" s="526"/>
      <c r="BD56" s="292"/>
    </row>
    <row r="57" spans="2:56" x14ac:dyDescent="0.15">
      <c r="B57" s="605"/>
      <c r="D57" s="325"/>
      <c r="F57" s="325"/>
      <c r="I57" s="325"/>
      <c r="M57" s="608"/>
      <c r="N57" s="527" t="s">
        <v>814</v>
      </c>
      <c r="O57" s="527"/>
      <c r="P57" s="527"/>
      <c r="Q57" s="527"/>
      <c r="R57" s="527"/>
      <c r="S57" s="527"/>
      <c r="T57" s="527">
        <v>0</v>
      </c>
      <c r="U57" s="526"/>
      <c r="W57" s="608"/>
      <c r="X57" s="527" t="s">
        <v>560</v>
      </c>
      <c r="Y57" s="527"/>
      <c r="Z57" s="527"/>
      <c r="AA57" s="527"/>
      <c r="AB57" s="527"/>
      <c r="AC57" s="529">
        <v>6</v>
      </c>
      <c r="AD57" s="528" t="s">
        <v>815</v>
      </c>
      <c r="BD57" s="292"/>
    </row>
    <row r="58" spans="2:56" x14ac:dyDescent="0.15">
      <c r="B58" s="605"/>
      <c r="D58" s="325"/>
      <c r="F58" s="325"/>
      <c r="I58" s="325"/>
      <c r="M58" s="1075"/>
      <c r="N58" s="1076" t="s">
        <v>816</v>
      </c>
      <c r="O58" s="1076"/>
      <c r="P58" s="1076"/>
      <c r="Q58" s="1076"/>
      <c r="R58" s="1076"/>
      <c r="S58" s="1076"/>
      <c r="T58" s="1076" t="s">
        <v>817</v>
      </c>
      <c r="U58" s="1077"/>
      <c r="W58" s="608"/>
      <c r="X58" s="527" t="s">
        <v>282</v>
      </c>
      <c r="Y58" s="527"/>
      <c r="Z58" s="527"/>
      <c r="AA58" s="527"/>
      <c r="AB58" s="527"/>
      <c r="AC58" s="527">
        <v>0</v>
      </c>
      <c r="AD58" s="526"/>
      <c r="BD58" s="292"/>
    </row>
    <row r="59" spans="2:56" x14ac:dyDescent="0.15">
      <c r="B59" s="605"/>
      <c r="D59" s="325"/>
      <c r="F59" s="325"/>
      <c r="I59" s="325"/>
      <c r="W59" s="1075"/>
      <c r="X59" s="1076" t="s">
        <v>295</v>
      </c>
      <c r="Y59" s="1076"/>
      <c r="Z59" s="1076"/>
      <c r="AA59" s="1076"/>
      <c r="AB59" s="1076"/>
      <c r="AC59" s="1076">
        <v>0</v>
      </c>
      <c r="AD59" s="1077"/>
      <c r="BD59" s="292"/>
    </row>
    <row r="60" spans="2:56" x14ac:dyDescent="0.15">
      <c r="B60" s="605"/>
      <c r="D60" s="325"/>
      <c r="F60" s="325"/>
      <c r="I60" s="325"/>
      <c r="BD60" s="292"/>
    </row>
    <row r="61" spans="2:56" x14ac:dyDescent="0.15">
      <c r="B61" s="605"/>
      <c r="D61" s="325"/>
      <c r="F61" s="325"/>
      <c r="I61" s="325"/>
      <c r="M61" s="291" t="s">
        <v>184</v>
      </c>
      <c r="AG61" s="291" t="s">
        <v>810</v>
      </c>
      <c r="BD61" s="292"/>
    </row>
    <row r="62" spans="2:56" x14ac:dyDescent="0.15">
      <c r="B62" s="605"/>
      <c r="M62" s="1038" t="s">
        <v>101</v>
      </c>
      <c r="N62" s="1039"/>
      <c r="O62" s="1039"/>
      <c r="P62" s="1039"/>
      <c r="Q62" s="1039"/>
      <c r="R62" s="1039"/>
      <c r="S62" s="1039"/>
      <c r="T62" s="1039"/>
      <c r="U62" s="1040"/>
      <c r="AG62" s="1038" t="s">
        <v>811</v>
      </c>
      <c r="AH62" s="1039"/>
      <c r="AI62" s="1039"/>
      <c r="AJ62" s="1039"/>
      <c r="AK62" s="1039"/>
      <c r="AL62" s="1039"/>
      <c r="AM62" s="1039"/>
      <c r="AN62" s="1040"/>
      <c r="BD62" s="292"/>
    </row>
    <row r="63" spans="2:56" x14ac:dyDescent="0.15">
      <c r="B63" s="605"/>
      <c r="D63" s="325"/>
      <c r="F63" s="325"/>
      <c r="I63" s="325"/>
      <c r="M63" s="605"/>
      <c r="N63" s="291" t="s">
        <v>244</v>
      </c>
      <c r="T63" s="291">
        <v>5</v>
      </c>
      <c r="U63" s="292"/>
      <c r="AG63" s="605"/>
      <c r="AH63" s="291" t="s">
        <v>360</v>
      </c>
      <c r="AM63" s="291">
        <v>5</v>
      </c>
      <c r="AN63" s="292"/>
      <c r="BD63" s="292"/>
    </row>
    <row r="64" spans="2:56" x14ac:dyDescent="0.15">
      <c r="B64" s="605"/>
      <c r="D64" s="325"/>
      <c r="F64" s="325"/>
      <c r="I64" s="325"/>
      <c r="M64" s="605"/>
      <c r="N64" s="291" t="s">
        <v>248</v>
      </c>
      <c r="T64" s="325" t="s">
        <v>556</v>
      </c>
      <c r="U64" s="292"/>
      <c r="AG64" s="605"/>
      <c r="AH64" s="291" t="s">
        <v>376</v>
      </c>
      <c r="AM64" s="325" t="s">
        <v>556</v>
      </c>
      <c r="AN64" s="292"/>
      <c r="BD64" s="292"/>
    </row>
    <row r="65" spans="2:56" x14ac:dyDescent="0.15">
      <c r="B65" s="605"/>
      <c r="D65" s="325"/>
      <c r="F65" s="325"/>
      <c r="I65" s="325"/>
      <c r="M65" s="605"/>
      <c r="N65" s="291" t="s">
        <v>408</v>
      </c>
      <c r="T65" s="325">
        <v>103</v>
      </c>
      <c r="U65" s="292"/>
      <c r="AG65" s="1041"/>
      <c r="AH65" s="1042" t="s">
        <v>428</v>
      </c>
      <c r="AI65" s="1042"/>
      <c r="AJ65" s="1042"/>
      <c r="AK65" s="1042"/>
      <c r="AL65" s="1042"/>
      <c r="AM65" s="1042">
        <v>-500</v>
      </c>
      <c r="AN65" s="1043"/>
      <c r="BD65" s="292"/>
    </row>
    <row r="66" spans="2:56" x14ac:dyDescent="0.15">
      <c r="B66" s="605"/>
      <c r="D66" s="325"/>
      <c r="F66" s="325"/>
      <c r="I66" s="325"/>
      <c r="M66" s="605"/>
      <c r="N66" s="291" t="s">
        <v>416</v>
      </c>
      <c r="T66" s="349">
        <v>-500</v>
      </c>
      <c r="U66" s="292"/>
      <c r="BD66" s="292"/>
    </row>
    <row r="67" spans="2:56" x14ac:dyDescent="0.15">
      <c r="B67" s="605"/>
      <c r="D67" s="325"/>
      <c r="F67" s="325"/>
      <c r="I67" s="325"/>
      <c r="M67" s="605"/>
      <c r="N67" s="291" t="s">
        <v>419</v>
      </c>
      <c r="T67" s="291">
        <v>-500</v>
      </c>
      <c r="U67" s="292"/>
      <c r="BD67" s="292"/>
    </row>
    <row r="68" spans="2:56" x14ac:dyDescent="0.15">
      <c r="B68" s="605"/>
      <c r="D68" s="325"/>
      <c r="F68" s="325"/>
      <c r="I68" s="325"/>
      <c r="M68" s="605"/>
      <c r="N68" s="291" t="s">
        <v>290</v>
      </c>
      <c r="T68" s="291">
        <v>0</v>
      </c>
      <c r="U68" s="292"/>
      <c r="BD68" s="292"/>
    </row>
    <row r="69" spans="2:56" x14ac:dyDescent="0.15">
      <c r="B69" s="605"/>
      <c r="D69" s="325"/>
      <c r="F69" s="325"/>
      <c r="I69" s="325"/>
      <c r="M69" s="605"/>
      <c r="N69" s="291" t="s">
        <v>813</v>
      </c>
      <c r="T69" s="291">
        <v>0</v>
      </c>
      <c r="U69" s="292"/>
      <c r="BD69" s="292"/>
    </row>
    <row r="70" spans="2:56" x14ac:dyDescent="0.15">
      <c r="B70" s="605"/>
      <c r="D70" s="325"/>
      <c r="F70" s="325"/>
      <c r="I70" s="325"/>
      <c r="M70" s="605"/>
      <c r="N70" s="291" t="s">
        <v>814</v>
      </c>
      <c r="T70" s="291">
        <v>1</v>
      </c>
      <c r="U70" s="292"/>
      <c r="BD70" s="292"/>
    </row>
    <row r="71" spans="2:56" x14ac:dyDescent="0.15">
      <c r="B71" s="605"/>
      <c r="M71" s="1041"/>
      <c r="N71" s="1042" t="s">
        <v>816</v>
      </c>
      <c r="O71" s="1042"/>
      <c r="P71" s="1042"/>
      <c r="Q71" s="1042"/>
      <c r="R71" s="1042"/>
      <c r="S71" s="1042"/>
      <c r="T71" s="1078" t="s">
        <v>795</v>
      </c>
      <c r="U71" s="1043"/>
      <c r="BD71" s="292"/>
    </row>
    <row r="72" spans="2:56" x14ac:dyDescent="0.15">
      <c r="B72" s="605"/>
      <c r="D72" s="325"/>
      <c r="F72" s="325"/>
      <c r="I72" s="325"/>
      <c r="BD72" s="292"/>
    </row>
    <row r="73" spans="2:56" x14ac:dyDescent="0.15">
      <c r="B73" s="605"/>
      <c r="D73" s="325"/>
      <c r="F73" s="325"/>
      <c r="I73" s="325"/>
      <c r="L73" s="342" t="s">
        <v>819</v>
      </c>
      <c r="BD73" s="292"/>
    </row>
    <row r="74" spans="2:56" x14ac:dyDescent="0.15">
      <c r="B74" s="605"/>
      <c r="D74" s="325"/>
      <c r="F74" s="325"/>
      <c r="I74" s="325"/>
      <c r="M74" s="291" t="s">
        <v>184</v>
      </c>
      <c r="AG74" s="291" t="s">
        <v>810</v>
      </c>
      <c r="BD74" s="292"/>
    </row>
    <row r="75" spans="2:56" x14ac:dyDescent="0.15">
      <c r="B75" s="605"/>
      <c r="M75" s="1072" t="s">
        <v>101</v>
      </c>
      <c r="N75" s="1073"/>
      <c r="O75" s="1073"/>
      <c r="P75" s="1073"/>
      <c r="Q75" s="1073"/>
      <c r="R75" s="1073"/>
      <c r="S75" s="1073"/>
      <c r="T75" s="1073"/>
      <c r="U75" s="1074"/>
      <c r="AG75" s="1072" t="s">
        <v>811</v>
      </c>
      <c r="AH75" s="1073"/>
      <c r="AI75" s="1073"/>
      <c r="AJ75" s="1073"/>
      <c r="AK75" s="1073"/>
      <c r="AL75" s="1073"/>
      <c r="AM75" s="1073"/>
      <c r="AN75" s="1074"/>
      <c r="BD75" s="292"/>
    </row>
    <row r="76" spans="2:56" x14ac:dyDescent="0.15">
      <c r="B76" s="605"/>
      <c r="D76" s="325"/>
      <c r="F76" s="325"/>
      <c r="I76" s="325"/>
      <c r="M76" s="608"/>
      <c r="N76" s="527" t="s">
        <v>244</v>
      </c>
      <c r="O76" s="527"/>
      <c r="P76" s="527"/>
      <c r="Q76" s="527"/>
      <c r="R76" s="527"/>
      <c r="S76" s="527"/>
      <c r="T76" s="527">
        <v>6</v>
      </c>
      <c r="U76" s="526"/>
      <c r="AG76" s="608"/>
      <c r="AH76" s="527" t="s">
        <v>360</v>
      </c>
      <c r="AI76" s="527"/>
      <c r="AJ76" s="527"/>
      <c r="AK76" s="527"/>
      <c r="AL76" s="527"/>
      <c r="AM76" s="527">
        <v>6</v>
      </c>
      <c r="AN76" s="526"/>
      <c r="BD76" s="292"/>
    </row>
    <row r="77" spans="2:56" x14ac:dyDescent="0.15">
      <c r="B77" s="605"/>
      <c r="D77" s="325"/>
      <c r="F77" s="325"/>
      <c r="I77" s="325"/>
      <c r="M77" s="608"/>
      <c r="N77" s="527" t="s">
        <v>248</v>
      </c>
      <c r="O77" s="527"/>
      <c r="P77" s="527"/>
      <c r="Q77" s="527"/>
      <c r="R77" s="527"/>
      <c r="S77" s="527"/>
      <c r="T77" s="531" t="s">
        <v>556</v>
      </c>
      <c r="U77" s="526"/>
      <c r="AG77" s="608"/>
      <c r="AH77" s="527" t="s">
        <v>376</v>
      </c>
      <c r="AI77" s="527"/>
      <c r="AJ77" s="527"/>
      <c r="AK77" s="527"/>
      <c r="AL77" s="527"/>
      <c r="AM77" s="531" t="s">
        <v>556</v>
      </c>
      <c r="AN77" s="526"/>
      <c r="BD77" s="292"/>
    </row>
    <row r="78" spans="2:56" x14ac:dyDescent="0.15">
      <c r="B78" s="605"/>
      <c r="D78" s="325"/>
      <c r="F78" s="325"/>
      <c r="I78" s="325"/>
      <c r="M78" s="608"/>
      <c r="N78" s="527" t="s">
        <v>408</v>
      </c>
      <c r="O78" s="527"/>
      <c r="P78" s="527"/>
      <c r="Q78" s="527"/>
      <c r="R78" s="527"/>
      <c r="S78" s="527"/>
      <c r="T78" s="531">
        <v>103</v>
      </c>
      <c r="U78" s="526"/>
      <c r="W78" s="291" t="s">
        <v>551</v>
      </c>
      <c r="AG78" s="1075"/>
      <c r="AH78" s="1076" t="s">
        <v>428</v>
      </c>
      <c r="AI78" s="1076"/>
      <c r="AJ78" s="1076"/>
      <c r="AK78" s="1076"/>
      <c r="AL78" s="1076"/>
      <c r="AM78" s="1076">
        <v>-100</v>
      </c>
      <c r="AN78" s="1077"/>
      <c r="BD78" s="292"/>
    </row>
    <row r="79" spans="2:56" x14ac:dyDescent="0.15">
      <c r="B79" s="605"/>
      <c r="D79" s="325"/>
      <c r="F79" s="325"/>
      <c r="I79" s="325"/>
      <c r="M79" s="608"/>
      <c r="N79" s="527" t="s">
        <v>416</v>
      </c>
      <c r="O79" s="527"/>
      <c r="P79" s="527"/>
      <c r="Q79" s="527"/>
      <c r="R79" s="527"/>
      <c r="S79" s="527"/>
      <c r="T79" s="532">
        <v>-100</v>
      </c>
      <c r="U79" s="526"/>
      <c r="W79" s="1072" t="s">
        <v>137</v>
      </c>
      <c r="X79" s="1073"/>
      <c r="Y79" s="1073"/>
      <c r="Z79" s="1073"/>
      <c r="AA79" s="1073"/>
      <c r="AB79" s="1073"/>
      <c r="AC79" s="1073"/>
      <c r="AD79" s="1074"/>
      <c r="BD79" s="292"/>
    </row>
    <row r="80" spans="2:56" x14ac:dyDescent="0.15">
      <c r="B80" s="605"/>
      <c r="D80" s="325"/>
      <c r="F80" s="325"/>
      <c r="I80" s="325"/>
      <c r="M80" s="608"/>
      <c r="N80" s="527" t="s">
        <v>419</v>
      </c>
      <c r="O80" s="527"/>
      <c r="P80" s="527"/>
      <c r="Q80" s="527"/>
      <c r="R80" s="527"/>
      <c r="S80" s="527"/>
      <c r="T80" s="527">
        <v>-100</v>
      </c>
      <c r="U80" s="526"/>
      <c r="W80" s="608"/>
      <c r="X80" s="527" t="s">
        <v>248</v>
      </c>
      <c r="Y80" s="527"/>
      <c r="Z80" s="527"/>
      <c r="AA80" s="527"/>
      <c r="AB80" s="527"/>
      <c r="AC80" s="531" t="s">
        <v>556</v>
      </c>
      <c r="AD80" s="526"/>
      <c r="BD80" s="292"/>
    </row>
    <row r="81" spans="2:56" x14ac:dyDescent="0.15">
      <c r="B81" s="605"/>
      <c r="D81" s="325"/>
      <c r="F81" s="325"/>
      <c r="I81" s="325"/>
      <c r="M81" s="608"/>
      <c r="N81" s="527" t="s">
        <v>290</v>
      </c>
      <c r="O81" s="527"/>
      <c r="P81" s="527"/>
      <c r="Q81" s="527"/>
      <c r="R81" s="527"/>
      <c r="S81" s="527"/>
      <c r="T81" s="529">
        <v>18</v>
      </c>
      <c r="U81" s="530" t="s">
        <v>812</v>
      </c>
      <c r="W81" s="608"/>
      <c r="X81" s="527" t="s">
        <v>244</v>
      </c>
      <c r="Y81" s="527"/>
      <c r="Z81" s="527"/>
      <c r="AA81" s="527"/>
      <c r="AB81" s="527"/>
      <c r="AC81" s="527">
        <v>6</v>
      </c>
      <c r="AD81" s="526"/>
      <c r="BD81" s="292"/>
    </row>
    <row r="82" spans="2:56" x14ac:dyDescent="0.15">
      <c r="B82" s="605"/>
      <c r="D82" s="325"/>
      <c r="F82" s="325"/>
      <c r="I82" s="325"/>
      <c r="M82" s="608"/>
      <c r="N82" s="527" t="s">
        <v>813</v>
      </c>
      <c r="O82" s="527"/>
      <c r="P82" s="527"/>
      <c r="Q82" s="527"/>
      <c r="R82" s="527"/>
      <c r="S82" s="527"/>
      <c r="T82" s="527">
        <v>0</v>
      </c>
      <c r="U82" s="526"/>
      <c r="W82" s="608"/>
      <c r="X82" s="527" t="s">
        <v>261</v>
      </c>
      <c r="Y82" s="527"/>
      <c r="Z82" s="527"/>
      <c r="AA82" s="527"/>
      <c r="AB82" s="527"/>
      <c r="AC82" s="527">
        <v>7</v>
      </c>
      <c r="AD82" s="526"/>
      <c r="BD82" s="292"/>
    </row>
    <row r="83" spans="2:56" x14ac:dyDescent="0.15">
      <c r="B83" s="605"/>
      <c r="D83" s="325"/>
      <c r="F83" s="325"/>
      <c r="I83" s="325"/>
      <c r="M83" s="608"/>
      <c r="N83" s="527" t="s">
        <v>814</v>
      </c>
      <c r="O83" s="527"/>
      <c r="P83" s="527"/>
      <c r="Q83" s="527"/>
      <c r="R83" s="527"/>
      <c r="S83" s="527"/>
      <c r="T83" s="527">
        <v>0</v>
      </c>
      <c r="U83" s="526"/>
      <c r="W83" s="608"/>
      <c r="X83" s="527" t="s">
        <v>560</v>
      </c>
      <c r="Y83" s="527"/>
      <c r="Z83" s="527"/>
      <c r="AA83" s="527"/>
      <c r="AB83" s="527"/>
      <c r="AC83" s="529">
        <v>6</v>
      </c>
      <c r="AD83" s="528" t="s">
        <v>815</v>
      </c>
      <c r="BD83" s="292"/>
    </row>
    <row r="84" spans="2:56" x14ac:dyDescent="0.15">
      <c r="B84" s="605"/>
      <c r="M84" s="1075"/>
      <c r="N84" s="1076" t="s">
        <v>816</v>
      </c>
      <c r="O84" s="1076"/>
      <c r="P84" s="1076"/>
      <c r="Q84" s="1076"/>
      <c r="R84" s="1076"/>
      <c r="S84" s="1076"/>
      <c r="T84" s="1076" t="s">
        <v>817</v>
      </c>
      <c r="U84" s="1077"/>
      <c r="W84" s="608"/>
      <c r="X84" s="527" t="s">
        <v>282</v>
      </c>
      <c r="Y84" s="527"/>
      <c r="Z84" s="527"/>
      <c r="AA84" s="527"/>
      <c r="AB84" s="527"/>
      <c r="AC84" s="527">
        <v>0</v>
      </c>
      <c r="AD84" s="526"/>
      <c r="BD84" s="292"/>
    </row>
    <row r="85" spans="2:56" x14ac:dyDescent="0.15">
      <c r="B85" s="605"/>
      <c r="D85" s="325"/>
      <c r="F85" s="325"/>
      <c r="I85" s="325"/>
      <c r="W85" s="1075"/>
      <c r="X85" s="1076" t="s">
        <v>295</v>
      </c>
      <c r="Y85" s="1076"/>
      <c r="Z85" s="1076"/>
      <c r="AA85" s="1076"/>
      <c r="AB85" s="1076"/>
      <c r="AC85" s="1076">
        <v>0</v>
      </c>
      <c r="AD85" s="1077"/>
      <c r="BD85" s="292"/>
    </row>
    <row r="86" spans="2:56" x14ac:dyDescent="0.15">
      <c r="B86" s="605"/>
      <c r="D86" s="325"/>
      <c r="F86" s="325"/>
      <c r="I86" s="325"/>
      <c r="AR86" s="343" t="s">
        <v>818</v>
      </c>
      <c r="BD86" s="292"/>
    </row>
    <row r="87" spans="2:56" x14ac:dyDescent="0.15">
      <c r="B87" s="605"/>
      <c r="D87" s="325"/>
      <c r="F87" s="325"/>
      <c r="I87" s="325"/>
      <c r="M87" s="291" t="s">
        <v>184</v>
      </c>
      <c r="AG87" s="291" t="s">
        <v>810</v>
      </c>
      <c r="BD87" s="292"/>
    </row>
    <row r="88" spans="2:56" x14ac:dyDescent="0.15">
      <c r="B88" s="605"/>
      <c r="M88" s="1072" t="s">
        <v>101</v>
      </c>
      <c r="N88" s="1073"/>
      <c r="O88" s="1073"/>
      <c r="P88" s="1073"/>
      <c r="Q88" s="1073"/>
      <c r="R88" s="1073"/>
      <c r="S88" s="1073"/>
      <c r="T88" s="1073"/>
      <c r="U88" s="1074"/>
      <c r="AG88" s="1072" t="s">
        <v>811</v>
      </c>
      <c r="AH88" s="1073"/>
      <c r="AI88" s="1073"/>
      <c r="AJ88" s="1073"/>
      <c r="AK88" s="1073"/>
      <c r="AL88" s="1073"/>
      <c r="AM88" s="1073"/>
      <c r="AN88" s="1074"/>
      <c r="BD88" s="292"/>
    </row>
    <row r="89" spans="2:56" x14ac:dyDescent="0.15">
      <c r="B89" s="605"/>
      <c r="D89" s="325"/>
      <c r="F89" s="325"/>
      <c r="I89" s="325"/>
      <c r="M89" s="608"/>
      <c r="N89" s="527" t="s">
        <v>244</v>
      </c>
      <c r="O89" s="527"/>
      <c r="P89" s="527"/>
      <c r="Q89" s="527"/>
      <c r="R89" s="527"/>
      <c r="S89" s="527"/>
      <c r="T89" s="527">
        <v>7</v>
      </c>
      <c r="U89" s="526"/>
      <c r="AG89" s="608"/>
      <c r="AH89" s="527" t="s">
        <v>360</v>
      </c>
      <c r="AI89" s="527"/>
      <c r="AJ89" s="527"/>
      <c r="AK89" s="527"/>
      <c r="AL89" s="527"/>
      <c r="AM89" s="527">
        <v>7</v>
      </c>
      <c r="AN89" s="526"/>
      <c r="BD89" s="292"/>
    </row>
    <row r="90" spans="2:56" x14ac:dyDescent="0.15">
      <c r="B90" s="605"/>
      <c r="D90" s="325"/>
      <c r="F90" s="325"/>
      <c r="I90" s="325"/>
      <c r="M90" s="608"/>
      <c r="N90" s="527" t="s">
        <v>248</v>
      </c>
      <c r="O90" s="527"/>
      <c r="P90" s="527"/>
      <c r="Q90" s="527"/>
      <c r="R90" s="527"/>
      <c r="S90" s="527"/>
      <c r="T90" s="531" t="s">
        <v>556</v>
      </c>
      <c r="U90" s="526"/>
      <c r="AG90" s="608"/>
      <c r="AH90" s="527" t="s">
        <v>376</v>
      </c>
      <c r="AI90" s="527"/>
      <c r="AJ90" s="527"/>
      <c r="AK90" s="527"/>
      <c r="AL90" s="527"/>
      <c r="AM90" s="531" t="s">
        <v>556</v>
      </c>
      <c r="AN90" s="526"/>
      <c r="BD90" s="292"/>
    </row>
    <row r="91" spans="2:56" x14ac:dyDescent="0.15">
      <c r="B91" s="605"/>
      <c r="D91" s="325"/>
      <c r="F91" s="325"/>
      <c r="I91" s="325"/>
      <c r="M91" s="608"/>
      <c r="N91" s="527" t="s">
        <v>408</v>
      </c>
      <c r="O91" s="527"/>
      <c r="P91" s="527"/>
      <c r="Q91" s="527"/>
      <c r="R91" s="527"/>
      <c r="S91" s="527"/>
      <c r="T91" s="531">
        <v>103</v>
      </c>
      <c r="U91" s="526"/>
      <c r="W91" s="291" t="s">
        <v>551</v>
      </c>
      <c r="AG91" s="1075"/>
      <c r="AH91" s="1076" t="s">
        <v>428</v>
      </c>
      <c r="AI91" s="1076"/>
      <c r="AJ91" s="1076"/>
      <c r="AK91" s="1076"/>
      <c r="AL91" s="1076"/>
      <c r="AM91" s="1076">
        <v>100</v>
      </c>
      <c r="AN91" s="1077"/>
      <c r="BD91" s="292"/>
    </row>
    <row r="92" spans="2:56" x14ac:dyDescent="0.15">
      <c r="B92" s="605"/>
      <c r="D92" s="325"/>
      <c r="F92" s="325"/>
      <c r="I92" s="325"/>
      <c r="M92" s="608"/>
      <c r="N92" s="527" t="s">
        <v>416</v>
      </c>
      <c r="O92" s="527"/>
      <c r="P92" s="527"/>
      <c r="Q92" s="527"/>
      <c r="R92" s="527"/>
      <c r="S92" s="527"/>
      <c r="T92" s="532">
        <v>100</v>
      </c>
      <c r="U92" s="526"/>
      <c r="W92" s="1072" t="s">
        <v>137</v>
      </c>
      <c r="X92" s="1073"/>
      <c r="Y92" s="1073"/>
      <c r="Z92" s="1073"/>
      <c r="AA92" s="1073"/>
      <c r="AB92" s="1073"/>
      <c r="AC92" s="1073"/>
      <c r="AD92" s="1074"/>
      <c r="BD92" s="292"/>
    </row>
    <row r="93" spans="2:56" x14ac:dyDescent="0.15">
      <c r="B93" s="605"/>
      <c r="D93" s="325"/>
      <c r="F93" s="325"/>
      <c r="I93" s="325"/>
      <c r="M93" s="608"/>
      <c r="N93" s="527" t="s">
        <v>419</v>
      </c>
      <c r="O93" s="527"/>
      <c r="P93" s="527"/>
      <c r="Q93" s="527"/>
      <c r="R93" s="527"/>
      <c r="S93" s="527"/>
      <c r="T93" s="527">
        <v>100</v>
      </c>
      <c r="U93" s="526"/>
      <c r="W93" s="608"/>
      <c r="X93" s="527" t="s">
        <v>248</v>
      </c>
      <c r="Y93" s="527"/>
      <c r="Z93" s="527"/>
      <c r="AA93" s="527"/>
      <c r="AB93" s="527"/>
      <c r="AC93" s="531" t="s">
        <v>556</v>
      </c>
      <c r="AD93" s="526"/>
      <c r="BD93" s="292"/>
    </row>
    <row r="94" spans="2:56" x14ac:dyDescent="0.15">
      <c r="B94" s="605"/>
      <c r="D94" s="325"/>
      <c r="F94" s="325"/>
      <c r="I94" s="325"/>
      <c r="M94" s="608"/>
      <c r="N94" s="527" t="s">
        <v>290</v>
      </c>
      <c r="O94" s="527"/>
      <c r="P94" s="527"/>
      <c r="Q94" s="527"/>
      <c r="R94" s="527"/>
      <c r="S94" s="527"/>
      <c r="T94" s="529">
        <v>18</v>
      </c>
      <c r="U94" s="530" t="s">
        <v>812</v>
      </c>
      <c r="W94" s="608"/>
      <c r="X94" s="527" t="s">
        <v>244</v>
      </c>
      <c r="Y94" s="527"/>
      <c r="Z94" s="527"/>
      <c r="AA94" s="527"/>
      <c r="AB94" s="527"/>
      <c r="AC94" s="527">
        <v>7</v>
      </c>
      <c r="AD94" s="526"/>
      <c r="BD94" s="292"/>
    </row>
    <row r="95" spans="2:56" x14ac:dyDescent="0.15">
      <c r="B95" s="605"/>
      <c r="D95" s="325"/>
      <c r="F95" s="325"/>
      <c r="I95" s="325"/>
      <c r="M95" s="608"/>
      <c r="N95" s="527" t="s">
        <v>813</v>
      </c>
      <c r="O95" s="527"/>
      <c r="P95" s="527"/>
      <c r="Q95" s="527"/>
      <c r="R95" s="527"/>
      <c r="S95" s="527"/>
      <c r="T95" s="527">
        <v>0</v>
      </c>
      <c r="U95" s="526"/>
      <c r="W95" s="608"/>
      <c r="X95" s="527" t="s">
        <v>261</v>
      </c>
      <c r="Y95" s="527"/>
      <c r="Z95" s="527"/>
      <c r="AA95" s="527"/>
      <c r="AB95" s="527"/>
      <c r="AC95" s="527">
        <v>6</v>
      </c>
      <c r="AD95" s="526"/>
      <c r="BD95" s="292"/>
    </row>
    <row r="96" spans="2:56" x14ac:dyDescent="0.15">
      <c r="B96" s="605"/>
      <c r="D96" s="325"/>
      <c r="F96" s="325"/>
      <c r="I96" s="325"/>
      <c r="M96" s="608"/>
      <c r="N96" s="527" t="s">
        <v>814</v>
      </c>
      <c r="O96" s="527"/>
      <c r="P96" s="527"/>
      <c r="Q96" s="527"/>
      <c r="R96" s="527"/>
      <c r="S96" s="527"/>
      <c r="T96" s="527">
        <v>0</v>
      </c>
      <c r="U96" s="526"/>
      <c r="W96" s="608"/>
      <c r="X96" s="527" t="s">
        <v>560</v>
      </c>
      <c r="Y96" s="527"/>
      <c r="Z96" s="527"/>
      <c r="AA96" s="527"/>
      <c r="AB96" s="527"/>
      <c r="AC96" s="529">
        <v>6</v>
      </c>
      <c r="AD96" s="528" t="s">
        <v>815</v>
      </c>
      <c r="BD96" s="292"/>
    </row>
    <row r="97" spans="2:56" x14ac:dyDescent="0.15">
      <c r="B97" s="605"/>
      <c r="M97" s="1075"/>
      <c r="N97" s="1076" t="s">
        <v>816</v>
      </c>
      <c r="O97" s="1076"/>
      <c r="P97" s="1076"/>
      <c r="Q97" s="1076"/>
      <c r="R97" s="1076"/>
      <c r="S97" s="1076"/>
      <c r="T97" s="1076" t="s">
        <v>817</v>
      </c>
      <c r="U97" s="1077"/>
      <c r="W97" s="608"/>
      <c r="X97" s="527" t="s">
        <v>282</v>
      </c>
      <c r="Y97" s="527"/>
      <c r="Z97" s="527"/>
      <c r="AA97" s="527"/>
      <c r="AB97" s="527"/>
      <c r="AC97" s="527">
        <v>0</v>
      </c>
      <c r="AD97" s="526"/>
      <c r="BD97" s="292"/>
    </row>
    <row r="98" spans="2:56" x14ac:dyDescent="0.15">
      <c r="B98" s="605"/>
      <c r="D98" s="325"/>
      <c r="F98" s="325"/>
      <c r="I98" s="325"/>
      <c r="W98" s="1075"/>
      <c r="X98" s="1076" t="s">
        <v>295</v>
      </c>
      <c r="Y98" s="1076"/>
      <c r="Z98" s="1076"/>
      <c r="AA98" s="1076"/>
      <c r="AB98" s="1076"/>
      <c r="AC98" s="1076">
        <v>0</v>
      </c>
      <c r="AD98" s="1077"/>
      <c r="BD98" s="292"/>
    </row>
    <row r="99" spans="2:56" x14ac:dyDescent="0.15">
      <c r="B99" s="605"/>
      <c r="D99" s="325"/>
      <c r="F99" s="325"/>
      <c r="I99" s="325"/>
      <c r="BD99" s="292"/>
    </row>
    <row r="100" spans="2:56" x14ac:dyDescent="0.15">
      <c r="B100" s="605"/>
      <c r="D100" s="325"/>
      <c r="F100" s="325"/>
      <c r="I100" s="325"/>
      <c r="M100" s="291" t="s">
        <v>184</v>
      </c>
      <c r="AG100" s="291" t="s">
        <v>810</v>
      </c>
      <c r="BD100" s="292"/>
    </row>
    <row r="101" spans="2:56" x14ac:dyDescent="0.15">
      <c r="B101" s="605"/>
      <c r="M101" s="1038" t="s">
        <v>101</v>
      </c>
      <c r="N101" s="1039"/>
      <c r="O101" s="1039"/>
      <c r="P101" s="1039"/>
      <c r="Q101" s="1039"/>
      <c r="R101" s="1039"/>
      <c r="S101" s="1039"/>
      <c r="T101" s="1039"/>
      <c r="U101" s="1040"/>
      <c r="AG101" s="1038" t="s">
        <v>811</v>
      </c>
      <c r="AH101" s="1039"/>
      <c r="AI101" s="1039"/>
      <c r="AJ101" s="1039"/>
      <c r="AK101" s="1039"/>
      <c r="AL101" s="1039"/>
      <c r="AM101" s="1039"/>
      <c r="AN101" s="1040"/>
      <c r="BD101" s="292"/>
    </row>
    <row r="102" spans="2:56" x14ac:dyDescent="0.15">
      <c r="B102" s="605"/>
      <c r="D102" s="325"/>
      <c r="F102" s="325"/>
      <c r="I102" s="325"/>
      <c r="M102" s="605"/>
      <c r="N102" s="291" t="s">
        <v>244</v>
      </c>
      <c r="T102" s="291">
        <v>8</v>
      </c>
      <c r="U102" s="292"/>
      <c r="AG102" s="605"/>
      <c r="AH102" s="291" t="s">
        <v>360</v>
      </c>
      <c r="AM102" s="291">
        <v>8</v>
      </c>
      <c r="AN102" s="292"/>
      <c r="BD102" s="292"/>
    </row>
    <row r="103" spans="2:56" x14ac:dyDescent="0.15">
      <c r="B103" s="605"/>
      <c r="D103" s="325"/>
      <c r="F103" s="325"/>
      <c r="I103" s="325"/>
      <c r="M103" s="605"/>
      <c r="N103" s="291" t="s">
        <v>248</v>
      </c>
      <c r="T103" s="325" t="s">
        <v>556</v>
      </c>
      <c r="U103" s="292"/>
      <c r="AG103" s="605"/>
      <c r="AH103" s="291" t="s">
        <v>376</v>
      </c>
      <c r="AM103" s="325" t="s">
        <v>556</v>
      </c>
      <c r="AN103" s="292"/>
      <c r="BD103" s="292"/>
    </row>
    <row r="104" spans="2:56" x14ac:dyDescent="0.15">
      <c r="B104" s="605"/>
      <c r="D104" s="325"/>
      <c r="F104" s="325"/>
      <c r="I104" s="325"/>
      <c r="M104" s="605"/>
      <c r="N104" s="291" t="s">
        <v>408</v>
      </c>
      <c r="T104" s="325">
        <v>103</v>
      </c>
      <c r="U104" s="292"/>
      <c r="AG104" s="1041"/>
      <c r="AH104" s="1042" t="s">
        <v>428</v>
      </c>
      <c r="AI104" s="1042"/>
      <c r="AJ104" s="1042"/>
      <c r="AK104" s="1042"/>
      <c r="AL104" s="1042"/>
      <c r="AM104" s="1042">
        <v>-100</v>
      </c>
      <c r="AN104" s="1043"/>
      <c r="BD104" s="292"/>
    </row>
    <row r="105" spans="2:56" x14ac:dyDescent="0.15">
      <c r="B105" s="605"/>
      <c r="D105" s="325"/>
      <c r="F105" s="325"/>
      <c r="I105" s="325"/>
      <c r="M105" s="605"/>
      <c r="N105" s="291" t="s">
        <v>416</v>
      </c>
      <c r="T105" s="349">
        <v>-100</v>
      </c>
      <c r="U105" s="292"/>
      <c r="AR105" s="343" t="s">
        <v>820</v>
      </c>
      <c r="BD105" s="292"/>
    </row>
    <row r="106" spans="2:56" x14ac:dyDescent="0.15">
      <c r="B106" s="605"/>
      <c r="D106" s="325"/>
      <c r="F106" s="325"/>
      <c r="I106" s="325"/>
      <c r="M106" s="605"/>
      <c r="N106" s="291" t="s">
        <v>419</v>
      </c>
      <c r="T106" s="291">
        <v>-100</v>
      </c>
      <c r="U106" s="292"/>
      <c r="AR106" s="343" t="s">
        <v>821</v>
      </c>
      <c r="BD106" s="292"/>
    </row>
    <row r="107" spans="2:56" x14ac:dyDescent="0.15">
      <c r="B107" s="605"/>
      <c r="D107" s="325"/>
      <c r="F107" s="325"/>
      <c r="I107" s="325"/>
      <c r="M107" s="605"/>
      <c r="N107" s="291" t="s">
        <v>290</v>
      </c>
      <c r="T107" s="291">
        <v>0</v>
      </c>
      <c r="U107" s="292"/>
      <c r="BD107" s="292"/>
    </row>
    <row r="108" spans="2:56" x14ac:dyDescent="0.15">
      <c r="B108" s="605"/>
      <c r="D108" s="325"/>
      <c r="F108" s="325"/>
      <c r="I108" s="325"/>
      <c r="M108" s="605"/>
      <c r="N108" s="291" t="s">
        <v>813</v>
      </c>
      <c r="T108" s="291">
        <v>0</v>
      </c>
      <c r="U108" s="292"/>
      <c r="BD108" s="292"/>
    </row>
    <row r="109" spans="2:56" x14ac:dyDescent="0.15">
      <c r="B109" s="605"/>
      <c r="D109" s="325"/>
      <c r="F109" s="325"/>
      <c r="I109" s="325"/>
      <c r="M109" s="605"/>
      <c r="N109" s="291" t="s">
        <v>814</v>
      </c>
      <c r="T109" s="291">
        <v>1</v>
      </c>
      <c r="U109" s="292"/>
      <c r="BD109" s="292"/>
    </row>
    <row r="110" spans="2:56" x14ac:dyDescent="0.15">
      <c r="B110" s="605"/>
      <c r="M110" s="1041"/>
      <c r="N110" s="1042" t="s">
        <v>816</v>
      </c>
      <c r="O110" s="1042"/>
      <c r="P110" s="1042"/>
      <c r="Q110" s="1042"/>
      <c r="R110" s="1042"/>
      <c r="S110" s="1042"/>
      <c r="T110" s="1078" t="s">
        <v>797</v>
      </c>
      <c r="U110" s="1043"/>
      <c r="BD110" s="292"/>
    </row>
    <row r="111" spans="2:56" x14ac:dyDescent="0.15">
      <c r="B111" s="605"/>
      <c r="D111" s="325"/>
      <c r="F111" s="325"/>
      <c r="I111" s="325"/>
      <c r="BD111" s="292"/>
    </row>
    <row r="112" spans="2:56" x14ac:dyDescent="0.15">
      <c r="B112" s="605"/>
      <c r="D112" s="325"/>
      <c r="F112" s="325"/>
      <c r="I112" s="325"/>
      <c r="L112" s="342" t="s">
        <v>822</v>
      </c>
      <c r="BD112" s="292"/>
    </row>
    <row r="113" spans="2:56" x14ac:dyDescent="0.15">
      <c r="B113" s="605"/>
      <c r="D113" s="325"/>
      <c r="F113" s="325"/>
      <c r="I113" s="325"/>
      <c r="M113" s="291" t="s">
        <v>184</v>
      </c>
      <c r="AG113" s="291" t="s">
        <v>810</v>
      </c>
      <c r="BD113" s="292"/>
    </row>
    <row r="114" spans="2:56" x14ac:dyDescent="0.15">
      <c r="B114" s="605"/>
      <c r="M114" s="1072" t="s">
        <v>101</v>
      </c>
      <c r="N114" s="1073"/>
      <c r="O114" s="1073"/>
      <c r="P114" s="1073"/>
      <c r="Q114" s="1073"/>
      <c r="R114" s="1073"/>
      <c r="S114" s="1073"/>
      <c r="T114" s="1073"/>
      <c r="U114" s="1074"/>
      <c r="AG114" s="1072" t="s">
        <v>811</v>
      </c>
      <c r="AH114" s="1073"/>
      <c r="AI114" s="1073"/>
      <c r="AJ114" s="1073"/>
      <c r="AK114" s="1073"/>
      <c r="AL114" s="1073"/>
      <c r="AM114" s="1073"/>
      <c r="AN114" s="1074"/>
      <c r="BD114" s="292"/>
    </row>
    <row r="115" spans="2:56" x14ac:dyDescent="0.15">
      <c r="B115" s="605"/>
      <c r="D115" s="325"/>
      <c r="F115" s="325"/>
      <c r="I115" s="325"/>
      <c r="M115" s="608"/>
      <c r="N115" s="527" t="s">
        <v>244</v>
      </c>
      <c r="O115" s="527"/>
      <c r="P115" s="527"/>
      <c r="Q115" s="527"/>
      <c r="R115" s="527"/>
      <c r="S115" s="527"/>
      <c r="T115" s="527">
        <v>9</v>
      </c>
      <c r="U115" s="526"/>
      <c r="AG115" s="608"/>
      <c r="AH115" s="527" t="s">
        <v>360</v>
      </c>
      <c r="AI115" s="527"/>
      <c r="AJ115" s="527"/>
      <c r="AK115" s="527"/>
      <c r="AL115" s="527"/>
      <c r="AM115" s="527">
        <v>9</v>
      </c>
      <c r="AN115" s="526"/>
      <c r="BD115" s="292"/>
    </row>
    <row r="116" spans="2:56" x14ac:dyDescent="0.15">
      <c r="B116" s="605"/>
      <c r="D116" s="325"/>
      <c r="F116" s="325"/>
      <c r="I116" s="325"/>
      <c r="M116" s="608"/>
      <c r="N116" s="527" t="s">
        <v>248</v>
      </c>
      <c r="O116" s="527"/>
      <c r="P116" s="527"/>
      <c r="Q116" s="527"/>
      <c r="R116" s="527"/>
      <c r="S116" s="527"/>
      <c r="T116" s="531" t="s">
        <v>556</v>
      </c>
      <c r="U116" s="526"/>
      <c r="AG116" s="608"/>
      <c r="AH116" s="527" t="s">
        <v>376</v>
      </c>
      <c r="AI116" s="527"/>
      <c r="AJ116" s="527"/>
      <c r="AK116" s="527"/>
      <c r="AL116" s="527"/>
      <c r="AM116" s="531" t="s">
        <v>556</v>
      </c>
      <c r="AN116" s="526"/>
      <c r="BD116" s="292"/>
    </row>
    <row r="117" spans="2:56" x14ac:dyDescent="0.15">
      <c r="B117" s="605"/>
      <c r="D117" s="325"/>
      <c r="F117" s="325"/>
      <c r="I117" s="325"/>
      <c r="M117" s="608"/>
      <c r="N117" s="527" t="s">
        <v>408</v>
      </c>
      <c r="O117" s="527"/>
      <c r="P117" s="527"/>
      <c r="Q117" s="527"/>
      <c r="R117" s="527"/>
      <c r="S117" s="527"/>
      <c r="T117" s="531">
        <v>104</v>
      </c>
      <c r="U117" s="526"/>
      <c r="W117" s="291" t="s">
        <v>551</v>
      </c>
      <c r="AG117" s="1075"/>
      <c r="AH117" s="1076" t="s">
        <v>428</v>
      </c>
      <c r="AI117" s="1076"/>
      <c r="AJ117" s="1076"/>
      <c r="AK117" s="1076"/>
      <c r="AL117" s="1076"/>
      <c r="AM117" s="1076">
        <v>-100</v>
      </c>
      <c r="AN117" s="1077"/>
      <c r="BD117" s="292"/>
    </row>
    <row r="118" spans="2:56" x14ac:dyDescent="0.15">
      <c r="B118" s="605"/>
      <c r="D118" s="325"/>
      <c r="F118" s="325"/>
      <c r="I118" s="325"/>
      <c r="M118" s="608"/>
      <c r="N118" s="527" t="s">
        <v>416</v>
      </c>
      <c r="O118" s="527"/>
      <c r="P118" s="527"/>
      <c r="Q118" s="527"/>
      <c r="R118" s="527"/>
      <c r="S118" s="527"/>
      <c r="T118" s="532">
        <v>-100</v>
      </c>
      <c r="U118" s="526"/>
      <c r="W118" s="1072" t="s">
        <v>137</v>
      </c>
      <c r="X118" s="1073"/>
      <c r="Y118" s="1073"/>
      <c r="Z118" s="1073"/>
      <c r="AA118" s="1073"/>
      <c r="AB118" s="1073"/>
      <c r="AC118" s="1073"/>
      <c r="AD118" s="1074"/>
      <c r="BD118" s="292"/>
    </row>
    <row r="119" spans="2:56" x14ac:dyDescent="0.15">
      <c r="B119" s="605"/>
      <c r="D119" s="325"/>
      <c r="F119" s="325"/>
      <c r="I119" s="325"/>
      <c r="M119" s="608"/>
      <c r="N119" s="527" t="s">
        <v>419</v>
      </c>
      <c r="O119" s="527"/>
      <c r="P119" s="527"/>
      <c r="Q119" s="527"/>
      <c r="R119" s="527"/>
      <c r="S119" s="527"/>
      <c r="T119" s="527">
        <v>-100</v>
      </c>
      <c r="U119" s="526"/>
      <c r="W119" s="608"/>
      <c r="X119" s="527" t="s">
        <v>248</v>
      </c>
      <c r="Y119" s="527"/>
      <c r="Z119" s="527"/>
      <c r="AA119" s="527"/>
      <c r="AB119" s="527"/>
      <c r="AC119" s="531" t="s">
        <v>556</v>
      </c>
      <c r="AD119" s="526"/>
      <c r="BD119" s="292"/>
    </row>
    <row r="120" spans="2:56" x14ac:dyDescent="0.15">
      <c r="B120" s="605"/>
      <c r="D120" s="325"/>
      <c r="F120" s="325"/>
      <c r="I120" s="325"/>
      <c r="M120" s="608"/>
      <c r="N120" s="527" t="s">
        <v>290</v>
      </c>
      <c r="O120" s="527"/>
      <c r="P120" s="527"/>
      <c r="Q120" s="527"/>
      <c r="R120" s="527"/>
      <c r="S120" s="527"/>
      <c r="T120" s="529">
        <v>18</v>
      </c>
      <c r="U120" s="530" t="s">
        <v>812</v>
      </c>
      <c r="W120" s="608"/>
      <c r="X120" s="527" t="s">
        <v>244</v>
      </c>
      <c r="Y120" s="527"/>
      <c r="Z120" s="527"/>
      <c r="AA120" s="527"/>
      <c r="AB120" s="527"/>
      <c r="AC120" s="527">
        <v>9</v>
      </c>
      <c r="AD120" s="526"/>
      <c r="BD120" s="292"/>
    </row>
    <row r="121" spans="2:56" x14ac:dyDescent="0.15">
      <c r="B121" s="605"/>
      <c r="D121" s="325"/>
      <c r="F121" s="325"/>
      <c r="I121" s="325"/>
      <c r="M121" s="608"/>
      <c r="N121" s="527" t="s">
        <v>813</v>
      </c>
      <c r="O121" s="527"/>
      <c r="P121" s="527"/>
      <c r="Q121" s="527"/>
      <c r="R121" s="527"/>
      <c r="S121" s="527"/>
      <c r="T121" s="527">
        <v>0</v>
      </c>
      <c r="U121" s="526"/>
      <c r="W121" s="608"/>
      <c r="X121" s="527" t="s">
        <v>261</v>
      </c>
      <c r="Y121" s="527"/>
      <c r="Z121" s="527"/>
      <c r="AA121" s="527"/>
      <c r="AB121" s="527"/>
      <c r="AC121" s="527">
        <v>10</v>
      </c>
      <c r="AD121" s="526"/>
      <c r="BD121" s="292"/>
    </row>
    <row r="122" spans="2:56" x14ac:dyDescent="0.15">
      <c r="B122" s="605"/>
      <c r="D122" s="325"/>
      <c r="F122" s="325"/>
      <c r="I122" s="325"/>
      <c r="M122" s="608"/>
      <c r="N122" s="527" t="s">
        <v>814</v>
      </c>
      <c r="O122" s="527"/>
      <c r="P122" s="527"/>
      <c r="Q122" s="527"/>
      <c r="R122" s="527"/>
      <c r="S122" s="527"/>
      <c r="T122" s="527">
        <v>0</v>
      </c>
      <c r="U122" s="526"/>
      <c r="W122" s="608"/>
      <c r="X122" s="527" t="s">
        <v>560</v>
      </c>
      <c r="Y122" s="527"/>
      <c r="Z122" s="527"/>
      <c r="AA122" s="527"/>
      <c r="AB122" s="527"/>
      <c r="AC122" s="529">
        <v>6</v>
      </c>
      <c r="AD122" s="528" t="s">
        <v>815</v>
      </c>
      <c r="BD122" s="292"/>
    </row>
    <row r="123" spans="2:56" x14ac:dyDescent="0.15">
      <c r="B123" s="605"/>
      <c r="M123" s="1075"/>
      <c r="N123" s="1076" t="s">
        <v>816</v>
      </c>
      <c r="O123" s="1076"/>
      <c r="P123" s="1076"/>
      <c r="Q123" s="1076"/>
      <c r="R123" s="1076"/>
      <c r="S123" s="1076"/>
      <c r="T123" s="1076" t="s">
        <v>817</v>
      </c>
      <c r="U123" s="1077"/>
      <c r="W123" s="608"/>
      <c r="X123" s="527" t="s">
        <v>282</v>
      </c>
      <c r="Y123" s="527"/>
      <c r="Z123" s="527"/>
      <c r="AA123" s="527"/>
      <c r="AB123" s="527"/>
      <c r="AC123" s="527">
        <v>0</v>
      </c>
      <c r="AD123" s="526"/>
      <c r="BD123" s="292"/>
    </row>
    <row r="124" spans="2:56" x14ac:dyDescent="0.15">
      <c r="B124" s="605"/>
      <c r="D124" s="325"/>
      <c r="F124" s="325"/>
      <c r="I124" s="325"/>
      <c r="W124" s="1075"/>
      <c r="X124" s="1076" t="s">
        <v>295</v>
      </c>
      <c r="Y124" s="1076"/>
      <c r="Z124" s="1076"/>
      <c r="AA124" s="1076"/>
      <c r="AB124" s="1076"/>
      <c r="AC124" s="1076">
        <v>0</v>
      </c>
      <c r="AD124" s="1077"/>
      <c r="BD124" s="292"/>
    </row>
    <row r="125" spans="2:56" x14ac:dyDescent="0.15">
      <c r="B125" s="605"/>
      <c r="D125" s="325"/>
      <c r="F125" s="325"/>
      <c r="I125" s="325"/>
      <c r="AR125" s="343" t="s">
        <v>818</v>
      </c>
      <c r="BD125" s="292"/>
    </row>
    <row r="126" spans="2:56" x14ac:dyDescent="0.15">
      <c r="B126" s="605"/>
      <c r="D126" s="325"/>
      <c r="F126" s="325"/>
      <c r="I126" s="325"/>
      <c r="M126" s="291" t="s">
        <v>184</v>
      </c>
      <c r="AG126" s="291" t="s">
        <v>810</v>
      </c>
      <c r="BD126" s="292"/>
    </row>
    <row r="127" spans="2:56" x14ac:dyDescent="0.15">
      <c r="B127" s="605"/>
      <c r="M127" s="1072" t="s">
        <v>101</v>
      </c>
      <c r="N127" s="1073"/>
      <c r="O127" s="1073"/>
      <c r="P127" s="1073"/>
      <c r="Q127" s="1073"/>
      <c r="R127" s="1073"/>
      <c r="S127" s="1073"/>
      <c r="T127" s="1073"/>
      <c r="U127" s="1074"/>
      <c r="AG127" s="1072" t="s">
        <v>811</v>
      </c>
      <c r="AH127" s="1073"/>
      <c r="AI127" s="1073"/>
      <c r="AJ127" s="1073"/>
      <c r="AK127" s="1073"/>
      <c r="AL127" s="1073"/>
      <c r="AM127" s="1073"/>
      <c r="AN127" s="1074"/>
      <c r="BD127" s="292"/>
    </row>
    <row r="128" spans="2:56" x14ac:dyDescent="0.15">
      <c r="B128" s="605"/>
      <c r="D128" s="325"/>
      <c r="F128" s="325"/>
      <c r="I128" s="325"/>
      <c r="M128" s="608"/>
      <c r="N128" s="527" t="s">
        <v>244</v>
      </c>
      <c r="O128" s="527"/>
      <c r="P128" s="527"/>
      <c r="Q128" s="527"/>
      <c r="R128" s="527"/>
      <c r="S128" s="527"/>
      <c r="T128" s="527">
        <v>10</v>
      </c>
      <c r="U128" s="526"/>
      <c r="AG128" s="608"/>
      <c r="AH128" s="527" t="s">
        <v>360</v>
      </c>
      <c r="AI128" s="527"/>
      <c r="AJ128" s="527"/>
      <c r="AK128" s="527"/>
      <c r="AL128" s="527"/>
      <c r="AM128" s="527">
        <v>10</v>
      </c>
      <c r="AN128" s="526"/>
      <c r="BD128" s="292"/>
    </row>
    <row r="129" spans="2:56" x14ac:dyDescent="0.15">
      <c r="B129" s="605"/>
      <c r="D129" s="325"/>
      <c r="F129" s="325"/>
      <c r="I129" s="325"/>
      <c r="M129" s="608"/>
      <c r="N129" s="527" t="s">
        <v>248</v>
      </c>
      <c r="O129" s="527"/>
      <c r="P129" s="527"/>
      <c r="Q129" s="527"/>
      <c r="R129" s="527"/>
      <c r="S129" s="527"/>
      <c r="T129" s="531" t="s">
        <v>556</v>
      </c>
      <c r="U129" s="526"/>
      <c r="AG129" s="608"/>
      <c r="AH129" s="527" t="s">
        <v>376</v>
      </c>
      <c r="AI129" s="527"/>
      <c r="AJ129" s="527"/>
      <c r="AK129" s="527"/>
      <c r="AL129" s="527"/>
      <c r="AM129" s="531" t="s">
        <v>556</v>
      </c>
      <c r="AN129" s="526"/>
      <c r="BD129" s="292"/>
    </row>
    <row r="130" spans="2:56" x14ac:dyDescent="0.15">
      <c r="B130" s="605"/>
      <c r="D130" s="325"/>
      <c r="F130" s="325"/>
      <c r="I130" s="325"/>
      <c r="M130" s="608"/>
      <c r="N130" s="527" t="s">
        <v>408</v>
      </c>
      <c r="O130" s="527"/>
      <c r="P130" s="527"/>
      <c r="Q130" s="527"/>
      <c r="R130" s="527"/>
      <c r="S130" s="527"/>
      <c r="T130" s="531">
        <v>104</v>
      </c>
      <c r="U130" s="526"/>
      <c r="W130" s="291" t="s">
        <v>551</v>
      </c>
      <c r="AG130" s="1075"/>
      <c r="AH130" s="1076" t="s">
        <v>428</v>
      </c>
      <c r="AI130" s="1076"/>
      <c r="AJ130" s="1076"/>
      <c r="AK130" s="1076"/>
      <c r="AL130" s="1076"/>
      <c r="AM130" s="1076">
        <v>100</v>
      </c>
      <c r="AN130" s="1077"/>
      <c r="BD130" s="292"/>
    </row>
    <row r="131" spans="2:56" x14ac:dyDescent="0.15">
      <c r="B131" s="605"/>
      <c r="D131" s="325"/>
      <c r="F131" s="325"/>
      <c r="I131" s="325"/>
      <c r="M131" s="608"/>
      <c r="N131" s="527" t="s">
        <v>416</v>
      </c>
      <c r="O131" s="527"/>
      <c r="P131" s="527"/>
      <c r="Q131" s="527"/>
      <c r="R131" s="527"/>
      <c r="S131" s="527"/>
      <c r="T131" s="532">
        <v>100</v>
      </c>
      <c r="U131" s="526"/>
      <c r="W131" s="1072" t="s">
        <v>137</v>
      </c>
      <c r="X131" s="1073"/>
      <c r="Y131" s="1073"/>
      <c r="Z131" s="1073"/>
      <c r="AA131" s="1073"/>
      <c r="AB131" s="1073"/>
      <c r="AC131" s="1073"/>
      <c r="AD131" s="1074"/>
      <c r="BD131" s="292"/>
    </row>
    <row r="132" spans="2:56" x14ac:dyDescent="0.15">
      <c r="B132" s="605"/>
      <c r="D132" s="325"/>
      <c r="F132" s="325"/>
      <c r="I132" s="325"/>
      <c r="M132" s="608"/>
      <c r="N132" s="527" t="s">
        <v>419</v>
      </c>
      <c r="O132" s="527"/>
      <c r="P132" s="527"/>
      <c r="Q132" s="527"/>
      <c r="R132" s="527"/>
      <c r="S132" s="527"/>
      <c r="T132" s="527">
        <v>100</v>
      </c>
      <c r="U132" s="526"/>
      <c r="W132" s="608"/>
      <c r="X132" s="527" t="s">
        <v>248</v>
      </c>
      <c r="Y132" s="527"/>
      <c r="Z132" s="527"/>
      <c r="AA132" s="527"/>
      <c r="AB132" s="527"/>
      <c r="AC132" s="531" t="s">
        <v>556</v>
      </c>
      <c r="AD132" s="526"/>
      <c r="BD132" s="292"/>
    </row>
    <row r="133" spans="2:56" x14ac:dyDescent="0.15">
      <c r="B133" s="605"/>
      <c r="D133" s="325"/>
      <c r="F133" s="325"/>
      <c r="I133" s="325"/>
      <c r="M133" s="608"/>
      <c r="N133" s="527" t="s">
        <v>290</v>
      </c>
      <c r="O133" s="527"/>
      <c r="P133" s="527"/>
      <c r="Q133" s="527"/>
      <c r="R133" s="527"/>
      <c r="S133" s="527"/>
      <c r="T133" s="529">
        <v>18</v>
      </c>
      <c r="U133" s="530" t="s">
        <v>812</v>
      </c>
      <c r="W133" s="608"/>
      <c r="X133" s="527" t="s">
        <v>244</v>
      </c>
      <c r="Y133" s="527"/>
      <c r="Z133" s="527"/>
      <c r="AA133" s="527"/>
      <c r="AB133" s="527"/>
      <c r="AC133" s="527">
        <v>10</v>
      </c>
      <c r="AD133" s="526"/>
      <c r="BD133" s="292"/>
    </row>
    <row r="134" spans="2:56" x14ac:dyDescent="0.15">
      <c r="B134" s="605"/>
      <c r="D134" s="325"/>
      <c r="F134" s="325"/>
      <c r="I134" s="325"/>
      <c r="M134" s="608"/>
      <c r="N134" s="527" t="s">
        <v>813</v>
      </c>
      <c r="O134" s="527"/>
      <c r="P134" s="527"/>
      <c r="Q134" s="527"/>
      <c r="R134" s="527"/>
      <c r="S134" s="527"/>
      <c r="T134" s="527">
        <v>0</v>
      </c>
      <c r="U134" s="526"/>
      <c r="W134" s="608"/>
      <c r="X134" s="527" t="s">
        <v>261</v>
      </c>
      <c r="Y134" s="527"/>
      <c r="Z134" s="527"/>
      <c r="AA134" s="527"/>
      <c r="AB134" s="527"/>
      <c r="AC134" s="527">
        <v>9</v>
      </c>
      <c r="AD134" s="526"/>
      <c r="BD134" s="292"/>
    </row>
    <row r="135" spans="2:56" x14ac:dyDescent="0.15">
      <c r="B135" s="605"/>
      <c r="D135" s="325"/>
      <c r="F135" s="325"/>
      <c r="I135" s="325"/>
      <c r="M135" s="608"/>
      <c r="N135" s="527" t="s">
        <v>814</v>
      </c>
      <c r="O135" s="527"/>
      <c r="P135" s="527"/>
      <c r="Q135" s="527"/>
      <c r="R135" s="527"/>
      <c r="S135" s="527"/>
      <c r="T135" s="527">
        <v>0</v>
      </c>
      <c r="U135" s="526"/>
      <c r="W135" s="608"/>
      <c r="X135" s="527" t="s">
        <v>560</v>
      </c>
      <c r="Y135" s="527"/>
      <c r="Z135" s="527"/>
      <c r="AA135" s="527"/>
      <c r="AB135" s="527"/>
      <c r="AC135" s="529">
        <v>6</v>
      </c>
      <c r="AD135" s="528" t="s">
        <v>815</v>
      </c>
      <c r="BD135" s="292"/>
    </row>
    <row r="136" spans="2:56" x14ac:dyDescent="0.15">
      <c r="B136" s="605"/>
      <c r="M136" s="1075"/>
      <c r="N136" s="1076" t="s">
        <v>816</v>
      </c>
      <c r="O136" s="1076"/>
      <c r="P136" s="1076"/>
      <c r="Q136" s="1076"/>
      <c r="R136" s="1076"/>
      <c r="S136" s="1076"/>
      <c r="T136" s="1076" t="s">
        <v>817</v>
      </c>
      <c r="U136" s="1077"/>
      <c r="W136" s="608"/>
      <c r="X136" s="527" t="s">
        <v>282</v>
      </c>
      <c r="Y136" s="527"/>
      <c r="Z136" s="527"/>
      <c r="AA136" s="527"/>
      <c r="AB136" s="527"/>
      <c r="AC136" s="527">
        <v>0</v>
      </c>
      <c r="AD136" s="526"/>
      <c r="BD136" s="292"/>
    </row>
    <row r="137" spans="2:56" x14ac:dyDescent="0.15">
      <c r="B137" s="605"/>
      <c r="D137" s="325"/>
      <c r="F137" s="325"/>
      <c r="I137" s="325"/>
      <c r="W137" s="1075"/>
      <c r="X137" s="1076" t="s">
        <v>295</v>
      </c>
      <c r="Y137" s="1076"/>
      <c r="Z137" s="1076"/>
      <c r="AA137" s="1076"/>
      <c r="AB137" s="1076"/>
      <c r="AC137" s="1076">
        <v>0</v>
      </c>
      <c r="AD137" s="1077"/>
      <c r="BD137" s="292"/>
    </row>
    <row r="138" spans="2:56" x14ac:dyDescent="0.15">
      <c r="B138" s="605"/>
      <c r="D138" s="325"/>
      <c r="F138" s="325"/>
      <c r="I138" s="325"/>
      <c r="BD138" s="292"/>
    </row>
    <row r="139" spans="2:56" x14ac:dyDescent="0.15">
      <c r="B139" s="605"/>
      <c r="D139" s="325"/>
      <c r="F139" s="325"/>
      <c r="I139" s="325"/>
      <c r="M139" s="291" t="s">
        <v>184</v>
      </c>
      <c r="AG139" s="291" t="s">
        <v>810</v>
      </c>
      <c r="BD139" s="292"/>
    </row>
    <row r="140" spans="2:56" x14ac:dyDescent="0.15">
      <c r="B140" s="605"/>
      <c r="M140" s="1038" t="s">
        <v>101</v>
      </c>
      <c r="N140" s="1039"/>
      <c r="O140" s="1039"/>
      <c r="P140" s="1039"/>
      <c r="Q140" s="1039"/>
      <c r="R140" s="1039"/>
      <c r="S140" s="1039"/>
      <c r="T140" s="1039"/>
      <c r="U140" s="1040"/>
      <c r="AG140" s="1038" t="s">
        <v>811</v>
      </c>
      <c r="AH140" s="1039"/>
      <c r="AI140" s="1039"/>
      <c r="AJ140" s="1039"/>
      <c r="AK140" s="1039"/>
      <c r="AL140" s="1039"/>
      <c r="AM140" s="1039"/>
      <c r="AN140" s="1040"/>
      <c r="BD140" s="292"/>
    </row>
    <row r="141" spans="2:56" x14ac:dyDescent="0.15">
      <c r="B141" s="605"/>
      <c r="D141" s="325"/>
      <c r="F141" s="325"/>
      <c r="I141" s="325"/>
      <c r="M141" s="605"/>
      <c r="N141" s="291" t="s">
        <v>244</v>
      </c>
      <c r="T141" s="291">
        <v>11</v>
      </c>
      <c r="U141" s="292"/>
      <c r="AG141" s="605"/>
      <c r="AH141" s="291" t="s">
        <v>360</v>
      </c>
      <c r="AM141" s="291">
        <v>11</v>
      </c>
      <c r="AN141" s="292"/>
      <c r="BD141" s="292"/>
    </row>
    <row r="142" spans="2:56" x14ac:dyDescent="0.15">
      <c r="B142" s="605"/>
      <c r="D142" s="325"/>
      <c r="F142" s="325"/>
      <c r="I142" s="325"/>
      <c r="M142" s="605"/>
      <c r="N142" s="291" t="s">
        <v>248</v>
      </c>
      <c r="T142" s="325" t="s">
        <v>556</v>
      </c>
      <c r="U142" s="292"/>
      <c r="AG142" s="605"/>
      <c r="AH142" s="291" t="s">
        <v>376</v>
      </c>
      <c r="AM142" s="325" t="s">
        <v>556</v>
      </c>
      <c r="AN142" s="292"/>
      <c r="BD142" s="292"/>
    </row>
    <row r="143" spans="2:56" x14ac:dyDescent="0.15">
      <c r="B143" s="605"/>
      <c r="D143" s="325"/>
      <c r="F143" s="325"/>
      <c r="I143" s="325"/>
      <c r="M143" s="605"/>
      <c r="N143" s="291" t="s">
        <v>408</v>
      </c>
      <c r="T143" s="325">
        <v>104</v>
      </c>
      <c r="U143" s="292"/>
      <c r="AG143" s="1041"/>
      <c r="AH143" s="1042" t="s">
        <v>428</v>
      </c>
      <c r="AI143" s="1042"/>
      <c r="AJ143" s="1042"/>
      <c r="AK143" s="1042"/>
      <c r="AL143" s="1042"/>
      <c r="AM143" s="1042">
        <v>-500</v>
      </c>
      <c r="AN143" s="1043"/>
      <c r="BD143" s="292"/>
    </row>
    <row r="144" spans="2:56" x14ac:dyDescent="0.15">
      <c r="B144" s="605"/>
      <c r="D144" s="325"/>
      <c r="F144" s="325"/>
      <c r="I144" s="325"/>
      <c r="M144" s="605"/>
      <c r="N144" s="291" t="s">
        <v>416</v>
      </c>
      <c r="T144" s="533">
        <v>-500</v>
      </c>
      <c r="U144" s="292"/>
      <c r="V144" s="355" t="s">
        <v>823</v>
      </c>
      <c r="BD144" s="292"/>
    </row>
    <row r="145" spans="2:56" x14ac:dyDescent="0.15">
      <c r="B145" s="605"/>
      <c r="D145" s="325"/>
      <c r="F145" s="325"/>
      <c r="I145" s="325"/>
      <c r="M145" s="605"/>
      <c r="N145" s="291" t="s">
        <v>419</v>
      </c>
      <c r="T145" s="355">
        <v>-500</v>
      </c>
      <c r="U145" s="292"/>
      <c r="V145" s="355" t="s">
        <v>823</v>
      </c>
      <c r="BD145" s="292"/>
    </row>
    <row r="146" spans="2:56" x14ac:dyDescent="0.15">
      <c r="B146" s="605"/>
      <c r="D146" s="325"/>
      <c r="F146" s="325"/>
      <c r="I146" s="325"/>
      <c r="M146" s="605"/>
      <c r="N146" s="291" t="s">
        <v>290</v>
      </c>
      <c r="T146" s="291">
        <v>0</v>
      </c>
      <c r="U146" s="292"/>
      <c r="BD146" s="292"/>
    </row>
    <row r="147" spans="2:56" x14ac:dyDescent="0.15">
      <c r="B147" s="605"/>
      <c r="D147" s="325"/>
      <c r="F147" s="325"/>
      <c r="I147" s="325"/>
      <c r="M147" s="605"/>
      <c r="N147" s="291" t="s">
        <v>813</v>
      </c>
      <c r="T147" s="291">
        <v>0</v>
      </c>
      <c r="U147" s="292"/>
      <c r="BD147" s="292"/>
    </row>
    <row r="148" spans="2:56" x14ac:dyDescent="0.15">
      <c r="B148" s="605"/>
      <c r="D148" s="325"/>
      <c r="F148" s="325"/>
      <c r="I148" s="325"/>
      <c r="M148" s="605"/>
      <c r="N148" s="291" t="s">
        <v>814</v>
      </c>
      <c r="T148" s="355">
        <v>5</v>
      </c>
      <c r="U148" s="292"/>
      <c r="V148" s="355" t="s">
        <v>824</v>
      </c>
      <c r="BD148" s="292"/>
    </row>
    <row r="149" spans="2:56" x14ac:dyDescent="0.15">
      <c r="B149" s="605"/>
      <c r="M149" s="1041"/>
      <c r="N149" s="1042" t="s">
        <v>816</v>
      </c>
      <c r="O149" s="1042"/>
      <c r="P149" s="1042"/>
      <c r="Q149" s="1042"/>
      <c r="R149" s="1042"/>
      <c r="S149" s="1042"/>
      <c r="T149" s="1042" t="s">
        <v>817</v>
      </c>
      <c r="U149" s="1043"/>
      <c r="BD149" s="292"/>
    </row>
    <row r="150" spans="2:56" x14ac:dyDescent="0.15">
      <c r="B150" s="605"/>
      <c r="D150" s="325"/>
      <c r="F150" s="325"/>
      <c r="I150" s="325"/>
      <c r="BD150" s="292"/>
    </row>
    <row r="151" spans="2:56" x14ac:dyDescent="0.15">
      <c r="B151" s="605"/>
      <c r="D151" s="325"/>
      <c r="F151" s="325"/>
      <c r="I151" s="325"/>
      <c r="L151" s="342" t="s">
        <v>825</v>
      </c>
      <c r="BD151" s="292"/>
    </row>
    <row r="152" spans="2:56" x14ac:dyDescent="0.15">
      <c r="B152" s="605"/>
      <c r="D152" s="325"/>
      <c r="F152" s="325"/>
      <c r="I152" s="325"/>
      <c r="M152" s="291" t="s">
        <v>184</v>
      </c>
      <c r="AG152" s="291" t="s">
        <v>810</v>
      </c>
      <c r="BD152" s="292"/>
    </row>
    <row r="153" spans="2:56" x14ac:dyDescent="0.15">
      <c r="B153" s="605"/>
      <c r="M153" s="1072" t="s">
        <v>101</v>
      </c>
      <c r="N153" s="1073"/>
      <c r="O153" s="1073"/>
      <c r="P153" s="1073"/>
      <c r="Q153" s="1073"/>
      <c r="R153" s="1073"/>
      <c r="S153" s="1073"/>
      <c r="T153" s="1073"/>
      <c r="U153" s="1074"/>
      <c r="AG153" s="1072" t="s">
        <v>811</v>
      </c>
      <c r="AH153" s="1073"/>
      <c r="AI153" s="1073"/>
      <c r="AJ153" s="1073"/>
      <c r="AK153" s="1073"/>
      <c r="AL153" s="1073"/>
      <c r="AM153" s="1073"/>
      <c r="AN153" s="1074"/>
      <c r="BD153" s="292"/>
    </row>
    <row r="154" spans="2:56" x14ac:dyDescent="0.15">
      <c r="B154" s="605"/>
      <c r="D154" s="325"/>
      <c r="F154" s="325"/>
      <c r="I154" s="325"/>
      <c r="M154" s="608"/>
      <c r="N154" s="527" t="s">
        <v>244</v>
      </c>
      <c r="O154" s="527"/>
      <c r="P154" s="527"/>
      <c r="Q154" s="527"/>
      <c r="R154" s="527"/>
      <c r="S154" s="527"/>
      <c r="T154" s="527">
        <v>12</v>
      </c>
      <c r="U154" s="526"/>
      <c r="AG154" s="608"/>
      <c r="AH154" s="527" t="s">
        <v>360</v>
      </c>
      <c r="AI154" s="527"/>
      <c r="AJ154" s="527"/>
      <c r="AK154" s="527"/>
      <c r="AL154" s="527"/>
      <c r="AM154" s="527">
        <v>12</v>
      </c>
      <c r="AN154" s="526"/>
      <c r="BD154" s="292"/>
    </row>
    <row r="155" spans="2:56" x14ac:dyDescent="0.15">
      <c r="B155" s="605"/>
      <c r="D155" s="325"/>
      <c r="F155" s="325"/>
      <c r="I155" s="325"/>
      <c r="M155" s="608"/>
      <c r="N155" s="527" t="s">
        <v>248</v>
      </c>
      <c r="O155" s="527"/>
      <c r="P155" s="527"/>
      <c r="Q155" s="527"/>
      <c r="R155" s="527"/>
      <c r="S155" s="527"/>
      <c r="T155" s="531" t="s">
        <v>556</v>
      </c>
      <c r="U155" s="526"/>
      <c r="AG155" s="608"/>
      <c r="AH155" s="527" t="s">
        <v>376</v>
      </c>
      <c r="AI155" s="527"/>
      <c r="AJ155" s="527"/>
      <c r="AK155" s="527"/>
      <c r="AL155" s="527"/>
      <c r="AM155" s="531" t="s">
        <v>556</v>
      </c>
      <c r="AN155" s="526"/>
      <c r="BD155" s="292"/>
    </row>
    <row r="156" spans="2:56" x14ac:dyDescent="0.15">
      <c r="B156" s="605"/>
      <c r="D156" s="325"/>
      <c r="F156" s="325"/>
      <c r="I156" s="325"/>
      <c r="M156" s="608"/>
      <c r="N156" s="527" t="s">
        <v>408</v>
      </c>
      <c r="O156" s="527"/>
      <c r="P156" s="527"/>
      <c r="Q156" s="527"/>
      <c r="R156" s="527"/>
      <c r="S156" s="527"/>
      <c r="T156" s="531">
        <v>101</v>
      </c>
      <c r="U156" s="526"/>
      <c r="W156" s="291" t="s">
        <v>551</v>
      </c>
      <c r="AG156" s="1075"/>
      <c r="AH156" s="1076" t="s">
        <v>428</v>
      </c>
      <c r="AI156" s="1076"/>
      <c r="AJ156" s="1076"/>
      <c r="AK156" s="1076"/>
      <c r="AL156" s="1076"/>
      <c r="AM156" s="1076">
        <v>-1000</v>
      </c>
      <c r="AN156" s="1077"/>
      <c r="BD156" s="292"/>
    </row>
    <row r="157" spans="2:56" x14ac:dyDescent="0.15">
      <c r="B157" s="605"/>
      <c r="D157" s="325"/>
      <c r="F157" s="325"/>
      <c r="I157" s="325"/>
      <c r="M157" s="608"/>
      <c r="N157" s="527" t="s">
        <v>416</v>
      </c>
      <c r="O157" s="527"/>
      <c r="P157" s="527"/>
      <c r="Q157" s="527"/>
      <c r="R157" s="527"/>
      <c r="S157" s="527"/>
      <c r="T157" s="532">
        <v>-1000</v>
      </c>
      <c r="U157" s="526"/>
      <c r="W157" s="1072" t="s">
        <v>137</v>
      </c>
      <c r="X157" s="1073"/>
      <c r="Y157" s="1073"/>
      <c r="Z157" s="1073"/>
      <c r="AA157" s="1073"/>
      <c r="AB157" s="1073"/>
      <c r="AC157" s="1073"/>
      <c r="AD157" s="1074"/>
      <c r="BD157" s="292"/>
    </row>
    <row r="158" spans="2:56" x14ac:dyDescent="0.15">
      <c r="B158" s="605"/>
      <c r="D158" s="325"/>
      <c r="F158" s="325"/>
      <c r="I158" s="325"/>
      <c r="M158" s="608"/>
      <c r="N158" s="527" t="s">
        <v>419</v>
      </c>
      <c r="O158" s="527"/>
      <c r="P158" s="527"/>
      <c r="Q158" s="527"/>
      <c r="R158" s="527"/>
      <c r="S158" s="527"/>
      <c r="T158" s="527">
        <v>-1000</v>
      </c>
      <c r="U158" s="526"/>
      <c r="W158" s="608"/>
      <c r="X158" s="527" t="s">
        <v>248</v>
      </c>
      <c r="Y158" s="527"/>
      <c r="Z158" s="527"/>
      <c r="AA158" s="527"/>
      <c r="AB158" s="527"/>
      <c r="AC158" s="531" t="s">
        <v>556</v>
      </c>
      <c r="AD158" s="526"/>
      <c r="BD158" s="292"/>
    </row>
    <row r="159" spans="2:56" x14ac:dyDescent="0.15">
      <c r="B159" s="605"/>
      <c r="D159" s="325"/>
      <c r="F159" s="325"/>
      <c r="I159" s="325"/>
      <c r="M159" s="608"/>
      <c r="N159" s="527" t="s">
        <v>290</v>
      </c>
      <c r="O159" s="527"/>
      <c r="P159" s="527"/>
      <c r="Q159" s="527"/>
      <c r="R159" s="527"/>
      <c r="S159" s="527"/>
      <c r="T159" s="529">
        <v>18</v>
      </c>
      <c r="U159" s="530" t="s">
        <v>812</v>
      </c>
      <c r="W159" s="608"/>
      <c r="X159" s="527" t="s">
        <v>244</v>
      </c>
      <c r="Y159" s="527"/>
      <c r="Z159" s="527"/>
      <c r="AA159" s="527"/>
      <c r="AB159" s="527"/>
      <c r="AC159" s="527">
        <v>12</v>
      </c>
      <c r="AD159" s="526"/>
      <c r="BD159" s="292"/>
    </row>
    <row r="160" spans="2:56" x14ac:dyDescent="0.15">
      <c r="B160" s="605"/>
      <c r="D160" s="325"/>
      <c r="F160" s="325"/>
      <c r="I160" s="325"/>
      <c r="M160" s="608"/>
      <c r="N160" s="527" t="s">
        <v>813</v>
      </c>
      <c r="O160" s="527"/>
      <c r="P160" s="527"/>
      <c r="Q160" s="527"/>
      <c r="R160" s="527"/>
      <c r="S160" s="527"/>
      <c r="T160" s="527">
        <v>0</v>
      </c>
      <c r="U160" s="526"/>
      <c r="W160" s="608"/>
      <c r="X160" s="527" t="s">
        <v>261</v>
      </c>
      <c r="Y160" s="527"/>
      <c r="Z160" s="527"/>
      <c r="AA160" s="527"/>
      <c r="AB160" s="527"/>
      <c r="AC160" s="527">
        <v>13</v>
      </c>
      <c r="AD160" s="526"/>
      <c r="BD160" s="292"/>
    </row>
    <row r="161" spans="2:56" x14ac:dyDescent="0.15">
      <c r="B161" s="605"/>
      <c r="D161" s="325"/>
      <c r="F161" s="325"/>
      <c r="I161" s="325"/>
      <c r="M161" s="608"/>
      <c r="N161" s="527" t="s">
        <v>814</v>
      </c>
      <c r="O161" s="527"/>
      <c r="P161" s="527"/>
      <c r="Q161" s="527"/>
      <c r="R161" s="527"/>
      <c r="S161" s="527"/>
      <c r="T161" s="527">
        <v>0</v>
      </c>
      <c r="U161" s="526"/>
      <c r="W161" s="608"/>
      <c r="X161" s="527" t="s">
        <v>560</v>
      </c>
      <c r="Y161" s="527"/>
      <c r="Z161" s="527"/>
      <c r="AA161" s="527"/>
      <c r="AB161" s="527"/>
      <c r="AC161" s="529">
        <v>6</v>
      </c>
      <c r="AD161" s="528" t="s">
        <v>815</v>
      </c>
      <c r="BD161" s="292"/>
    </row>
    <row r="162" spans="2:56" x14ac:dyDescent="0.15">
      <c r="B162" s="605"/>
      <c r="M162" s="1075"/>
      <c r="N162" s="1076" t="s">
        <v>816</v>
      </c>
      <c r="O162" s="1076"/>
      <c r="P162" s="1076"/>
      <c r="Q162" s="1076"/>
      <c r="R162" s="1076"/>
      <c r="S162" s="1076"/>
      <c r="T162" s="1076" t="s">
        <v>817</v>
      </c>
      <c r="U162" s="1077"/>
      <c r="W162" s="608"/>
      <c r="X162" s="527" t="s">
        <v>282</v>
      </c>
      <c r="Y162" s="527"/>
      <c r="Z162" s="527"/>
      <c r="AA162" s="527"/>
      <c r="AB162" s="527"/>
      <c r="AC162" s="527">
        <v>0</v>
      </c>
      <c r="AD162" s="526"/>
      <c r="BD162" s="292"/>
    </row>
    <row r="163" spans="2:56" x14ac:dyDescent="0.15">
      <c r="B163" s="605"/>
      <c r="D163" s="325"/>
      <c r="F163" s="325"/>
      <c r="I163" s="325"/>
      <c r="W163" s="1075"/>
      <c r="X163" s="1076" t="s">
        <v>295</v>
      </c>
      <c r="Y163" s="1076"/>
      <c r="Z163" s="1076"/>
      <c r="AA163" s="1076"/>
      <c r="AB163" s="1076"/>
      <c r="AC163" s="1076">
        <v>0</v>
      </c>
      <c r="AD163" s="1077"/>
      <c r="BD163" s="292"/>
    </row>
    <row r="164" spans="2:56" x14ac:dyDescent="0.15">
      <c r="B164" s="605"/>
      <c r="D164" s="325"/>
      <c r="F164" s="325"/>
      <c r="I164" s="325"/>
      <c r="AR164" s="343" t="s">
        <v>818</v>
      </c>
      <c r="BD164" s="292"/>
    </row>
    <row r="165" spans="2:56" x14ac:dyDescent="0.15">
      <c r="B165" s="605"/>
      <c r="D165" s="325"/>
      <c r="F165" s="325"/>
      <c r="I165" s="325"/>
      <c r="M165" s="291" t="s">
        <v>184</v>
      </c>
      <c r="AG165" s="291" t="s">
        <v>810</v>
      </c>
      <c r="BD165" s="292"/>
    </row>
    <row r="166" spans="2:56" x14ac:dyDescent="0.15">
      <c r="B166" s="605"/>
      <c r="M166" s="1072" t="s">
        <v>101</v>
      </c>
      <c r="N166" s="1073"/>
      <c r="O166" s="1073"/>
      <c r="P166" s="1073"/>
      <c r="Q166" s="1073"/>
      <c r="R166" s="1073"/>
      <c r="S166" s="1073"/>
      <c r="T166" s="1073"/>
      <c r="U166" s="1074"/>
      <c r="AG166" s="1072" t="s">
        <v>811</v>
      </c>
      <c r="AH166" s="1073"/>
      <c r="AI166" s="1073"/>
      <c r="AJ166" s="1073"/>
      <c r="AK166" s="1073"/>
      <c r="AL166" s="1073"/>
      <c r="AM166" s="1073"/>
      <c r="AN166" s="1074"/>
      <c r="BD166" s="292"/>
    </row>
    <row r="167" spans="2:56" x14ac:dyDescent="0.15">
      <c r="B167" s="605"/>
      <c r="D167" s="325"/>
      <c r="F167" s="325"/>
      <c r="I167" s="325"/>
      <c r="M167" s="608"/>
      <c r="N167" s="527" t="s">
        <v>244</v>
      </c>
      <c r="O167" s="527"/>
      <c r="P167" s="527"/>
      <c r="Q167" s="527"/>
      <c r="R167" s="527"/>
      <c r="S167" s="527"/>
      <c r="T167" s="527">
        <v>13</v>
      </c>
      <c r="U167" s="526"/>
      <c r="AG167" s="608"/>
      <c r="AH167" s="527" t="s">
        <v>360</v>
      </c>
      <c r="AI167" s="527"/>
      <c r="AJ167" s="527"/>
      <c r="AK167" s="527"/>
      <c r="AL167" s="527"/>
      <c r="AM167" s="527">
        <v>13</v>
      </c>
      <c r="AN167" s="526"/>
      <c r="BD167" s="292"/>
    </row>
    <row r="168" spans="2:56" x14ac:dyDescent="0.15">
      <c r="B168" s="605"/>
      <c r="D168" s="325"/>
      <c r="F168" s="325"/>
      <c r="I168" s="325"/>
      <c r="M168" s="608"/>
      <c r="N168" s="527" t="s">
        <v>248</v>
      </c>
      <c r="O168" s="527"/>
      <c r="P168" s="527"/>
      <c r="Q168" s="527"/>
      <c r="R168" s="527"/>
      <c r="S168" s="527"/>
      <c r="T168" s="531" t="s">
        <v>556</v>
      </c>
      <c r="U168" s="526"/>
      <c r="AG168" s="608"/>
      <c r="AH168" s="527" t="s">
        <v>376</v>
      </c>
      <c r="AI168" s="527"/>
      <c r="AJ168" s="527"/>
      <c r="AK168" s="527"/>
      <c r="AL168" s="527"/>
      <c r="AM168" s="531" t="s">
        <v>556</v>
      </c>
      <c r="AN168" s="526"/>
      <c r="BD168" s="292"/>
    </row>
    <row r="169" spans="2:56" x14ac:dyDescent="0.15">
      <c r="B169" s="605"/>
      <c r="D169" s="325"/>
      <c r="F169" s="325"/>
      <c r="I169" s="325"/>
      <c r="M169" s="608"/>
      <c r="N169" s="527" t="s">
        <v>408</v>
      </c>
      <c r="O169" s="527"/>
      <c r="P169" s="527"/>
      <c r="Q169" s="527"/>
      <c r="R169" s="527"/>
      <c r="S169" s="527"/>
      <c r="T169" s="531">
        <v>101</v>
      </c>
      <c r="U169" s="526"/>
      <c r="W169" s="291" t="s">
        <v>551</v>
      </c>
      <c r="AG169" s="1075"/>
      <c r="AH169" s="1076" t="s">
        <v>428</v>
      </c>
      <c r="AI169" s="1076"/>
      <c r="AJ169" s="1076"/>
      <c r="AK169" s="1076"/>
      <c r="AL169" s="1076"/>
      <c r="AM169" s="1076">
        <v>1000</v>
      </c>
      <c r="AN169" s="1077"/>
      <c r="BD169" s="292"/>
    </row>
    <row r="170" spans="2:56" x14ac:dyDescent="0.15">
      <c r="B170" s="605"/>
      <c r="D170" s="325"/>
      <c r="F170" s="325"/>
      <c r="I170" s="325"/>
      <c r="M170" s="608"/>
      <c r="N170" s="527" t="s">
        <v>416</v>
      </c>
      <c r="O170" s="527"/>
      <c r="P170" s="527"/>
      <c r="Q170" s="527"/>
      <c r="R170" s="527"/>
      <c r="S170" s="527"/>
      <c r="T170" s="532">
        <v>1000</v>
      </c>
      <c r="U170" s="526"/>
      <c r="W170" s="1072" t="s">
        <v>137</v>
      </c>
      <c r="X170" s="1073"/>
      <c r="Y170" s="1073"/>
      <c r="Z170" s="1073"/>
      <c r="AA170" s="1073"/>
      <c r="AB170" s="1073"/>
      <c r="AC170" s="1073"/>
      <c r="AD170" s="1074"/>
      <c r="BD170" s="292"/>
    </row>
    <row r="171" spans="2:56" x14ac:dyDescent="0.15">
      <c r="B171" s="605"/>
      <c r="D171" s="325"/>
      <c r="F171" s="325"/>
      <c r="I171" s="325"/>
      <c r="M171" s="608"/>
      <c r="N171" s="527" t="s">
        <v>419</v>
      </c>
      <c r="O171" s="527"/>
      <c r="P171" s="527"/>
      <c r="Q171" s="527"/>
      <c r="R171" s="527"/>
      <c r="S171" s="527"/>
      <c r="T171" s="527">
        <v>1000</v>
      </c>
      <c r="U171" s="526"/>
      <c r="W171" s="608"/>
      <c r="X171" s="527" t="s">
        <v>248</v>
      </c>
      <c r="Y171" s="527"/>
      <c r="Z171" s="527"/>
      <c r="AA171" s="527"/>
      <c r="AB171" s="527"/>
      <c r="AC171" s="531" t="s">
        <v>556</v>
      </c>
      <c r="AD171" s="526"/>
      <c r="BD171" s="292"/>
    </row>
    <row r="172" spans="2:56" x14ac:dyDescent="0.15">
      <c r="B172" s="605"/>
      <c r="D172" s="325"/>
      <c r="F172" s="325"/>
      <c r="I172" s="325"/>
      <c r="M172" s="608"/>
      <c r="N172" s="527" t="s">
        <v>290</v>
      </c>
      <c r="O172" s="527"/>
      <c r="P172" s="527"/>
      <c r="Q172" s="527"/>
      <c r="R172" s="527"/>
      <c r="S172" s="527"/>
      <c r="T172" s="529">
        <v>18</v>
      </c>
      <c r="U172" s="530" t="s">
        <v>812</v>
      </c>
      <c r="W172" s="608"/>
      <c r="X172" s="527" t="s">
        <v>244</v>
      </c>
      <c r="Y172" s="527"/>
      <c r="Z172" s="527"/>
      <c r="AA172" s="527"/>
      <c r="AB172" s="527"/>
      <c r="AC172" s="527">
        <v>13</v>
      </c>
      <c r="AD172" s="526"/>
      <c r="BD172" s="292"/>
    </row>
    <row r="173" spans="2:56" x14ac:dyDescent="0.15">
      <c r="B173" s="605"/>
      <c r="D173" s="325"/>
      <c r="F173" s="325"/>
      <c r="I173" s="325"/>
      <c r="M173" s="608"/>
      <c r="N173" s="527" t="s">
        <v>813</v>
      </c>
      <c r="O173" s="527"/>
      <c r="P173" s="527"/>
      <c r="Q173" s="527"/>
      <c r="R173" s="527"/>
      <c r="S173" s="527"/>
      <c r="T173" s="527">
        <v>0</v>
      </c>
      <c r="U173" s="526"/>
      <c r="W173" s="608"/>
      <c r="X173" s="527" t="s">
        <v>261</v>
      </c>
      <c r="Y173" s="527"/>
      <c r="Z173" s="527"/>
      <c r="AA173" s="527"/>
      <c r="AB173" s="527"/>
      <c r="AC173" s="527">
        <v>12</v>
      </c>
      <c r="AD173" s="526"/>
      <c r="BD173" s="292"/>
    </row>
    <row r="174" spans="2:56" x14ac:dyDescent="0.15">
      <c r="B174" s="605"/>
      <c r="D174" s="325"/>
      <c r="F174" s="325"/>
      <c r="I174" s="325"/>
      <c r="M174" s="608"/>
      <c r="N174" s="527" t="s">
        <v>814</v>
      </c>
      <c r="O174" s="527"/>
      <c r="P174" s="527"/>
      <c r="Q174" s="527"/>
      <c r="R174" s="527"/>
      <c r="S174" s="527"/>
      <c r="T174" s="527">
        <v>0</v>
      </c>
      <c r="U174" s="526"/>
      <c r="W174" s="608"/>
      <c r="X174" s="527" t="s">
        <v>560</v>
      </c>
      <c r="Y174" s="527"/>
      <c r="Z174" s="527"/>
      <c r="AA174" s="527"/>
      <c r="AB174" s="527"/>
      <c r="AC174" s="529">
        <v>6</v>
      </c>
      <c r="AD174" s="528" t="s">
        <v>815</v>
      </c>
      <c r="BD174" s="292"/>
    </row>
    <row r="175" spans="2:56" x14ac:dyDescent="0.15">
      <c r="B175" s="605"/>
      <c r="M175" s="1075"/>
      <c r="N175" s="1076" t="s">
        <v>816</v>
      </c>
      <c r="O175" s="1076"/>
      <c r="P175" s="1076"/>
      <c r="Q175" s="1076"/>
      <c r="R175" s="1076"/>
      <c r="S175" s="1076"/>
      <c r="T175" s="1076" t="s">
        <v>817</v>
      </c>
      <c r="U175" s="1077"/>
      <c r="W175" s="608"/>
      <c r="X175" s="527" t="s">
        <v>282</v>
      </c>
      <c r="Y175" s="527"/>
      <c r="Z175" s="527"/>
      <c r="AA175" s="527"/>
      <c r="AB175" s="527"/>
      <c r="AC175" s="527">
        <v>0</v>
      </c>
      <c r="AD175" s="526"/>
      <c r="BD175" s="292"/>
    </row>
    <row r="176" spans="2:56" x14ac:dyDescent="0.15">
      <c r="B176" s="605"/>
      <c r="D176" s="325"/>
      <c r="F176" s="325"/>
      <c r="I176" s="325"/>
      <c r="W176" s="1075"/>
      <c r="X176" s="1076" t="s">
        <v>295</v>
      </c>
      <c r="Y176" s="1076"/>
      <c r="Z176" s="1076"/>
      <c r="AA176" s="1076"/>
      <c r="AB176" s="1076"/>
      <c r="AC176" s="1076">
        <v>0</v>
      </c>
      <c r="AD176" s="1077"/>
      <c r="BD176" s="292"/>
    </row>
    <row r="177" spans="2:56" x14ac:dyDescent="0.15">
      <c r="B177" s="605"/>
      <c r="D177" s="325"/>
      <c r="F177" s="325"/>
      <c r="I177" s="325"/>
      <c r="BD177" s="292"/>
    </row>
    <row r="178" spans="2:56" x14ac:dyDescent="0.15">
      <c r="B178" s="605"/>
      <c r="D178" s="325"/>
      <c r="F178" s="325"/>
      <c r="I178" s="325"/>
      <c r="M178" s="291" t="s">
        <v>184</v>
      </c>
      <c r="AG178" s="291" t="s">
        <v>810</v>
      </c>
      <c r="BD178" s="292"/>
    </row>
    <row r="179" spans="2:56" x14ac:dyDescent="0.15">
      <c r="B179" s="605"/>
      <c r="M179" s="1038" t="s">
        <v>101</v>
      </c>
      <c r="N179" s="1039"/>
      <c r="O179" s="1039"/>
      <c r="P179" s="1039"/>
      <c r="Q179" s="1039"/>
      <c r="R179" s="1039"/>
      <c r="S179" s="1039"/>
      <c r="T179" s="1039"/>
      <c r="U179" s="1040"/>
      <c r="AG179" s="1038" t="s">
        <v>811</v>
      </c>
      <c r="AH179" s="1039"/>
      <c r="AI179" s="1039"/>
      <c r="AJ179" s="1039"/>
      <c r="AK179" s="1039"/>
      <c r="AL179" s="1039"/>
      <c r="AM179" s="1039"/>
      <c r="AN179" s="1040"/>
      <c r="BD179" s="292"/>
    </row>
    <row r="180" spans="2:56" x14ac:dyDescent="0.15">
      <c r="B180" s="605"/>
      <c r="D180" s="325"/>
      <c r="F180" s="325"/>
      <c r="I180" s="325"/>
      <c r="M180" s="605"/>
      <c r="N180" s="291" t="s">
        <v>244</v>
      </c>
      <c r="T180" s="291">
        <v>14</v>
      </c>
      <c r="U180" s="292"/>
      <c r="AG180" s="605"/>
      <c r="AH180" s="291" t="s">
        <v>360</v>
      </c>
      <c r="AM180" s="291">
        <v>14</v>
      </c>
      <c r="AN180" s="292"/>
      <c r="BD180" s="292"/>
    </row>
    <row r="181" spans="2:56" x14ac:dyDescent="0.15">
      <c r="B181" s="605"/>
      <c r="D181" s="325"/>
      <c r="F181" s="325"/>
      <c r="I181" s="325"/>
      <c r="M181" s="605"/>
      <c r="N181" s="291" t="s">
        <v>248</v>
      </c>
      <c r="T181" s="325" t="s">
        <v>556</v>
      </c>
      <c r="U181" s="292"/>
      <c r="AG181" s="605"/>
      <c r="AH181" s="291" t="s">
        <v>376</v>
      </c>
      <c r="AM181" s="325" t="s">
        <v>556</v>
      </c>
      <c r="AN181" s="292"/>
      <c r="BD181" s="292"/>
    </row>
    <row r="182" spans="2:56" x14ac:dyDescent="0.15">
      <c r="B182" s="605"/>
      <c r="D182" s="325"/>
      <c r="F182" s="325"/>
      <c r="I182" s="325"/>
      <c r="M182" s="605"/>
      <c r="N182" s="291" t="s">
        <v>408</v>
      </c>
      <c r="T182" s="325">
        <v>101</v>
      </c>
      <c r="U182" s="292"/>
      <c r="W182" s="291" t="s">
        <v>551</v>
      </c>
      <c r="AG182" s="1041"/>
      <c r="AH182" s="1042" t="s">
        <v>428</v>
      </c>
      <c r="AI182" s="1042"/>
      <c r="AJ182" s="1042"/>
      <c r="AK182" s="1042"/>
      <c r="AL182" s="1042"/>
      <c r="AM182" s="1042">
        <v>-2000</v>
      </c>
      <c r="AN182" s="1043"/>
      <c r="BD182" s="292"/>
    </row>
    <row r="183" spans="2:56" x14ac:dyDescent="0.15">
      <c r="B183" s="605"/>
      <c r="D183" s="325"/>
      <c r="F183" s="325"/>
      <c r="I183" s="325"/>
      <c r="M183" s="605"/>
      <c r="N183" s="291" t="s">
        <v>416</v>
      </c>
      <c r="T183" s="349">
        <v>-2000</v>
      </c>
      <c r="U183" s="292"/>
      <c r="W183" s="1038" t="s">
        <v>137</v>
      </c>
      <c r="X183" s="1039"/>
      <c r="Y183" s="1039"/>
      <c r="Z183" s="1039"/>
      <c r="AA183" s="1039"/>
      <c r="AB183" s="1039"/>
      <c r="AC183" s="1039"/>
      <c r="AD183" s="1040"/>
      <c r="BD183" s="292"/>
    </row>
    <row r="184" spans="2:56" x14ac:dyDescent="0.15">
      <c r="B184" s="605"/>
      <c r="D184" s="325"/>
      <c r="F184" s="325"/>
      <c r="I184" s="325"/>
      <c r="M184" s="605"/>
      <c r="N184" s="291" t="s">
        <v>419</v>
      </c>
      <c r="T184" s="291">
        <v>-2000</v>
      </c>
      <c r="U184" s="292"/>
      <c r="W184" s="605"/>
      <c r="X184" s="291" t="s">
        <v>248</v>
      </c>
      <c r="AC184" s="325" t="s">
        <v>556</v>
      </c>
      <c r="AD184" s="292"/>
      <c r="BD184" s="292"/>
    </row>
    <row r="185" spans="2:56" x14ac:dyDescent="0.15">
      <c r="B185" s="605"/>
      <c r="D185" s="325"/>
      <c r="F185" s="325"/>
      <c r="I185" s="325"/>
      <c r="M185" s="605"/>
      <c r="N185" s="291" t="s">
        <v>290</v>
      </c>
      <c r="T185" s="355">
        <v>19</v>
      </c>
      <c r="U185" s="525" t="s">
        <v>826</v>
      </c>
      <c r="W185" s="605"/>
      <c r="X185" s="291" t="s">
        <v>244</v>
      </c>
      <c r="AC185" s="291">
        <v>14</v>
      </c>
      <c r="AD185" s="292"/>
      <c r="BD185" s="292"/>
    </row>
    <row r="186" spans="2:56" x14ac:dyDescent="0.15">
      <c r="B186" s="605"/>
      <c r="D186" s="325"/>
      <c r="F186" s="325"/>
      <c r="I186" s="325"/>
      <c r="M186" s="605"/>
      <c r="N186" s="291" t="s">
        <v>813</v>
      </c>
      <c r="T186" s="291">
        <v>0</v>
      </c>
      <c r="U186" s="292"/>
      <c r="W186" s="605"/>
      <c r="X186" s="291" t="s">
        <v>261</v>
      </c>
      <c r="AC186" s="291">
        <v>15</v>
      </c>
      <c r="AD186" s="292"/>
      <c r="BD186" s="292"/>
    </row>
    <row r="187" spans="2:56" x14ac:dyDescent="0.15">
      <c r="B187" s="605"/>
      <c r="D187" s="325"/>
      <c r="F187" s="325"/>
      <c r="I187" s="325"/>
      <c r="M187" s="605"/>
      <c r="N187" s="291" t="s">
        <v>814</v>
      </c>
      <c r="T187" s="291">
        <v>2</v>
      </c>
      <c r="U187" s="292"/>
      <c r="W187" s="605"/>
      <c r="X187" s="291" t="s">
        <v>560</v>
      </c>
      <c r="AC187" s="354">
        <v>6</v>
      </c>
      <c r="AD187" s="524" t="s">
        <v>815</v>
      </c>
      <c r="BD187" s="292"/>
    </row>
    <row r="188" spans="2:56" x14ac:dyDescent="0.15">
      <c r="B188" s="605"/>
      <c r="M188" s="1041"/>
      <c r="N188" s="1042" t="s">
        <v>816</v>
      </c>
      <c r="O188" s="1042"/>
      <c r="P188" s="1042"/>
      <c r="Q188" s="1042"/>
      <c r="R188" s="1042"/>
      <c r="S188" s="1042"/>
      <c r="T188" s="1042" t="s">
        <v>817</v>
      </c>
      <c r="U188" s="1043"/>
      <c r="W188" s="605"/>
      <c r="X188" s="291" t="s">
        <v>282</v>
      </c>
      <c r="AC188" s="291">
        <v>0</v>
      </c>
      <c r="AD188" s="292"/>
      <c r="BD188" s="292"/>
    </row>
    <row r="189" spans="2:56" x14ac:dyDescent="0.15">
      <c r="B189" s="605"/>
      <c r="D189" s="325"/>
      <c r="F189" s="325"/>
      <c r="I189" s="325"/>
      <c r="W189" s="1041"/>
      <c r="X189" s="1042" t="s">
        <v>295</v>
      </c>
      <c r="Y189" s="1042"/>
      <c r="Z189" s="1042"/>
      <c r="AA189" s="1042"/>
      <c r="AB189" s="1042"/>
      <c r="AC189" s="1042">
        <v>0</v>
      </c>
      <c r="AD189" s="1043"/>
      <c r="BD189" s="292"/>
    </row>
    <row r="190" spans="2:56" x14ac:dyDescent="0.15">
      <c r="B190" s="605"/>
      <c r="D190" s="325"/>
      <c r="F190" s="325"/>
      <c r="I190" s="325"/>
      <c r="BD190" s="292"/>
    </row>
    <row r="191" spans="2:56" x14ac:dyDescent="0.15">
      <c r="B191" s="605"/>
      <c r="D191" s="325"/>
      <c r="F191" s="325"/>
      <c r="I191" s="325"/>
      <c r="M191" s="291" t="s">
        <v>184</v>
      </c>
      <c r="AG191" s="291" t="s">
        <v>810</v>
      </c>
      <c r="BD191" s="292"/>
    </row>
    <row r="192" spans="2:56" x14ac:dyDescent="0.15">
      <c r="B192" s="605"/>
      <c r="M192" s="1038" t="s">
        <v>101</v>
      </c>
      <c r="N192" s="1039"/>
      <c r="O192" s="1039"/>
      <c r="P192" s="1039"/>
      <c r="Q192" s="1039"/>
      <c r="R192" s="1039"/>
      <c r="S192" s="1039"/>
      <c r="T192" s="1039"/>
      <c r="U192" s="1040"/>
      <c r="AG192" s="1038" t="s">
        <v>811</v>
      </c>
      <c r="AH192" s="1039"/>
      <c r="AI192" s="1039"/>
      <c r="AJ192" s="1039"/>
      <c r="AK192" s="1039"/>
      <c r="AL192" s="1039"/>
      <c r="AM192" s="1039"/>
      <c r="AN192" s="1040"/>
      <c r="BD192" s="292"/>
    </row>
    <row r="193" spans="2:56" x14ac:dyDescent="0.15">
      <c r="B193" s="605"/>
      <c r="D193" s="325"/>
      <c r="F193" s="325"/>
      <c r="I193" s="325"/>
      <c r="M193" s="605"/>
      <c r="N193" s="291" t="s">
        <v>244</v>
      </c>
      <c r="T193" s="291">
        <v>15</v>
      </c>
      <c r="U193" s="292"/>
      <c r="AG193" s="605"/>
      <c r="AH193" s="291" t="s">
        <v>360</v>
      </c>
      <c r="AM193" s="291">
        <v>15</v>
      </c>
      <c r="AN193" s="292"/>
      <c r="BD193" s="292"/>
    </row>
    <row r="194" spans="2:56" x14ac:dyDescent="0.15">
      <c r="B194" s="605"/>
      <c r="D194" s="325"/>
      <c r="F194" s="325"/>
      <c r="I194" s="325"/>
      <c r="M194" s="605"/>
      <c r="N194" s="291" t="s">
        <v>248</v>
      </c>
      <c r="T194" s="325" t="s">
        <v>556</v>
      </c>
      <c r="U194" s="292"/>
      <c r="AG194" s="605"/>
      <c r="AH194" s="291" t="s">
        <v>376</v>
      </c>
      <c r="AM194" s="325" t="s">
        <v>556</v>
      </c>
      <c r="AN194" s="292"/>
      <c r="BD194" s="292"/>
    </row>
    <row r="195" spans="2:56" x14ac:dyDescent="0.15">
      <c r="B195" s="605"/>
      <c r="D195" s="325"/>
      <c r="F195" s="325"/>
      <c r="I195" s="325"/>
      <c r="M195" s="605"/>
      <c r="N195" s="291" t="s">
        <v>408</v>
      </c>
      <c r="T195" s="325">
        <v>101</v>
      </c>
      <c r="U195" s="292"/>
      <c r="W195" s="291" t="s">
        <v>551</v>
      </c>
      <c r="AG195" s="1041"/>
      <c r="AH195" s="1042" t="s">
        <v>428</v>
      </c>
      <c r="AI195" s="1042"/>
      <c r="AJ195" s="1042"/>
      <c r="AK195" s="1042"/>
      <c r="AL195" s="1042"/>
      <c r="AM195" s="1042">
        <v>2000</v>
      </c>
      <c r="AN195" s="1043"/>
      <c r="BD195" s="292"/>
    </row>
    <row r="196" spans="2:56" x14ac:dyDescent="0.15">
      <c r="B196" s="605"/>
      <c r="D196" s="325"/>
      <c r="F196" s="325"/>
      <c r="I196" s="325"/>
      <c r="M196" s="605"/>
      <c r="N196" s="291" t="s">
        <v>416</v>
      </c>
      <c r="T196" s="349">
        <v>2000</v>
      </c>
      <c r="U196" s="292"/>
      <c r="W196" s="1038" t="s">
        <v>137</v>
      </c>
      <c r="X196" s="1039"/>
      <c r="Y196" s="1039"/>
      <c r="Z196" s="1039"/>
      <c r="AA196" s="1039"/>
      <c r="AB196" s="1039"/>
      <c r="AC196" s="1039"/>
      <c r="AD196" s="1040"/>
      <c r="AR196" s="343" t="s">
        <v>827</v>
      </c>
      <c r="BD196" s="292"/>
    </row>
    <row r="197" spans="2:56" x14ac:dyDescent="0.15">
      <c r="B197" s="605"/>
      <c r="D197" s="325"/>
      <c r="F197" s="325"/>
      <c r="I197" s="325"/>
      <c r="M197" s="605"/>
      <c r="N197" s="291" t="s">
        <v>419</v>
      </c>
      <c r="T197" s="291">
        <v>2000</v>
      </c>
      <c r="U197" s="292"/>
      <c r="W197" s="605"/>
      <c r="X197" s="291" t="s">
        <v>248</v>
      </c>
      <c r="AC197" s="325" t="s">
        <v>556</v>
      </c>
      <c r="AD197" s="292"/>
      <c r="AR197" s="343" t="s">
        <v>828</v>
      </c>
      <c r="BD197" s="292"/>
    </row>
    <row r="198" spans="2:56" x14ac:dyDescent="0.15">
      <c r="B198" s="605"/>
      <c r="D198" s="325"/>
      <c r="F198" s="325"/>
      <c r="I198" s="325"/>
      <c r="M198" s="605"/>
      <c r="N198" s="291" t="s">
        <v>290</v>
      </c>
      <c r="T198" s="355">
        <v>19</v>
      </c>
      <c r="U198" s="525" t="s">
        <v>826</v>
      </c>
      <c r="W198" s="605"/>
      <c r="X198" s="291" t="s">
        <v>244</v>
      </c>
      <c r="AC198" s="291">
        <v>15</v>
      </c>
      <c r="AD198" s="292"/>
      <c r="BD198" s="292"/>
    </row>
    <row r="199" spans="2:56" x14ac:dyDescent="0.15">
      <c r="B199" s="605"/>
      <c r="D199" s="325"/>
      <c r="F199" s="325"/>
      <c r="I199" s="325"/>
      <c r="M199" s="605"/>
      <c r="N199" s="291" t="s">
        <v>813</v>
      </c>
      <c r="T199" s="291">
        <v>0</v>
      </c>
      <c r="U199" s="292"/>
      <c r="W199" s="605"/>
      <c r="X199" s="291" t="s">
        <v>261</v>
      </c>
      <c r="AC199" s="291">
        <v>14</v>
      </c>
      <c r="AD199" s="292"/>
      <c r="BD199" s="292"/>
    </row>
    <row r="200" spans="2:56" x14ac:dyDescent="0.15">
      <c r="B200" s="605"/>
      <c r="D200" s="325"/>
      <c r="F200" s="325"/>
      <c r="I200" s="325"/>
      <c r="M200" s="605"/>
      <c r="N200" s="291" t="s">
        <v>814</v>
      </c>
      <c r="T200" s="291">
        <v>2</v>
      </c>
      <c r="U200" s="292"/>
      <c r="W200" s="605"/>
      <c r="X200" s="291" t="s">
        <v>560</v>
      </c>
      <c r="AC200" s="354">
        <v>6</v>
      </c>
      <c r="AD200" s="524" t="s">
        <v>815</v>
      </c>
      <c r="BD200" s="292"/>
    </row>
    <row r="201" spans="2:56" x14ac:dyDescent="0.15">
      <c r="B201" s="605"/>
      <c r="M201" s="1041"/>
      <c r="N201" s="1042" t="s">
        <v>816</v>
      </c>
      <c r="O201" s="1042"/>
      <c r="P201" s="1042"/>
      <c r="Q201" s="1042"/>
      <c r="R201" s="1042"/>
      <c r="S201" s="1042"/>
      <c r="T201" s="1042" t="s">
        <v>817</v>
      </c>
      <c r="U201" s="1043"/>
      <c r="W201" s="605"/>
      <c r="X201" s="291" t="s">
        <v>282</v>
      </c>
      <c r="AC201" s="291">
        <v>0</v>
      </c>
      <c r="AD201" s="292"/>
      <c r="BD201" s="292"/>
    </row>
    <row r="202" spans="2:56" x14ac:dyDescent="0.15">
      <c r="B202" s="605"/>
      <c r="D202" s="325"/>
      <c r="F202" s="325"/>
      <c r="I202" s="325"/>
      <c r="W202" s="1041"/>
      <c r="X202" s="1042" t="s">
        <v>295</v>
      </c>
      <c r="Y202" s="1042"/>
      <c r="Z202" s="1042"/>
      <c r="AA202" s="1042"/>
      <c r="AB202" s="1042"/>
      <c r="AC202" s="1042">
        <v>0</v>
      </c>
      <c r="AD202" s="1043"/>
      <c r="BD202" s="292"/>
    </row>
    <row r="203" spans="2:56" x14ac:dyDescent="0.15">
      <c r="B203" s="605"/>
      <c r="D203" s="325"/>
      <c r="F203" s="325"/>
      <c r="I203" s="325"/>
      <c r="BD203" s="292"/>
    </row>
    <row r="204" spans="2:56" x14ac:dyDescent="0.15">
      <c r="B204" s="605"/>
      <c r="D204" s="325"/>
      <c r="F204" s="325"/>
      <c r="I204" s="325"/>
      <c r="M204" s="291" t="s">
        <v>184</v>
      </c>
      <c r="BD204" s="292"/>
    </row>
    <row r="205" spans="2:56" x14ac:dyDescent="0.15">
      <c r="B205" s="605"/>
      <c r="M205" s="1038" t="s">
        <v>101</v>
      </c>
      <c r="N205" s="1039"/>
      <c r="O205" s="1039"/>
      <c r="P205" s="1039"/>
      <c r="Q205" s="1039"/>
      <c r="R205" s="1039"/>
      <c r="S205" s="1039"/>
      <c r="T205" s="1039"/>
      <c r="U205" s="1040"/>
      <c r="BD205" s="292"/>
    </row>
    <row r="206" spans="2:56" x14ac:dyDescent="0.15">
      <c r="B206" s="605"/>
      <c r="D206" s="325"/>
      <c r="F206" s="325"/>
      <c r="I206" s="325"/>
      <c r="M206" s="605"/>
      <c r="N206" s="291" t="s">
        <v>244</v>
      </c>
      <c r="T206" s="291">
        <v>16</v>
      </c>
      <c r="U206" s="292"/>
      <c r="BD206" s="292"/>
    </row>
    <row r="207" spans="2:56" x14ac:dyDescent="0.15">
      <c r="B207" s="605"/>
      <c r="D207" s="325"/>
      <c r="F207" s="325"/>
      <c r="I207" s="325"/>
      <c r="M207" s="605"/>
      <c r="N207" s="291" t="s">
        <v>248</v>
      </c>
      <c r="T207" s="325" t="s">
        <v>556</v>
      </c>
      <c r="U207" s="292"/>
      <c r="BD207" s="292"/>
    </row>
    <row r="208" spans="2:56" x14ac:dyDescent="0.15">
      <c r="B208" s="605"/>
      <c r="D208" s="325"/>
      <c r="F208" s="325"/>
      <c r="I208" s="325"/>
      <c r="M208" s="605"/>
      <c r="N208" s="291" t="s">
        <v>408</v>
      </c>
      <c r="T208" s="325">
        <v>1</v>
      </c>
      <c r="U208" s="292"/>
      <c r="BD208" s="292"/>
    </row>
    <row r="209" spans="2:56" x14ac:dyDescent="0.15">
      <c r="B209" s="605"/>
      <c r="D209" s="325"/>
      <c r="F209" s="325"/>
      <c r="I209" s="325"/>
      <c r="M209" s="605"/>
      <c r="N209" s="291" t="s">
        <v>416</v>
      </c>
      <c r="T209" s="349">
        <v>-3000</v>
      </c>
      <c r="U209" s="292"/>
      <c r="BD209" s="292"/>
    </row>
    <row r="210" spans="2:56" x14ac:dyDescent="0.15">
      <c r="B210" s="605"/>
      <c r="D210" s="325"/>
      <c r="F210" s="325"/>
      <c r="I210" s="325"/>
      <c r="M210" s="605"/>
      <c r="N210" s="291" t="s">
        <v>419</v>
      </c>
      <c r="T210" s="291">
        <v>-3000</v>
      </c>
      <c r="U210" s="292"/>
      <c r="BD210" s="292"/>
    </row>
    <row r="211" spans="2:56" x14ac:dyDescent="0.15">
      <c r="B211" s="605"/>
      <c r="D211" s="325"/>
      <c r="F211" s="325"/>
      <c r="I211" s="325"/>
      <c r="M211" s="605"/>
      <c r="N211" s="291" t="s">
        <v>290</v>
      </c>
      <c r="T211" s="291">
        <v>0</v>
      </c>
      <c r="U211" s="292"/>
      <c r="BD211" s="292"/>
    </row>
    <row r="212" spans="2:56" x14ac:dyDescent="0.15">
      <c r="B212" s="605"/>
      <c r="D212" s="325"/>
      <c r="F212" s="325"/>
      <c r="I212" s="325"/>
      <c r="M212" s="605"/>
      <c r="N212" s="291" t="s">
        <v>813</v>
      </c>
      <c r="T212" s="291">
        <v>0</v>
      </c>
      <c r="U212" s="292"/>
      <c r="BD212" s="292"/>
    </row>
    <row r="213" spans="2:56" x14ac:dyDescent="0.15">
      <c r="B213" s="605"/>
      <c r="D213" s="325"/>
      <c r="F213" s="325"/>
      <c r="I213" s="325"/>
      <c r="M213" s="605"/>
      <c r="N213" s="291" t="s">
        <v>814</v>
      </c>
      <c r="T213" s="291">
        <v>0</v>
      </c>
      <c r="U213" s="292"/>
      <c r="BD213" s="292"/>
    </row>
    <row r="214" spans="2:56" x14ac:dyDescent="0.15">
      <c r="B214" s="605"/>
      <c r="M214" s="1041"/>
      <c r="N214" s="1042" t="s">
        <v>816</v>
      </c>
      <c r="O214" s="1042"/>
      <c r="P214" s="1042"/>
      <c r="Q214" s="1042"/>
      <c r="R214" s="1042"/>
      <c r="S214" s="1042"/>
      <c r="T214" s="1042" t="s">
        <v>817</v>
      </c>
      <c r="U214" s="1043"/>
      <c r="BD214" s="292"/>
    </row>
    <row r="215" spans="2:56" x14ac:dyDescent="0.15">
      <c r="B215" s="605"/>
      <c r="D215" s="325"/>
      <c r="F215" s="325"/>
      <c r="I215" s="325"/>
      <c r="BD215" s="292"/>
    </row>
    <row r="216" spans="2:56" x14ac:dyDescent="0.15">
      <c r="B216" s="605"/>
      <c r="D216" s="325"/>
      <c r="F216" s="325"/>
      <c r="I216" s="325"/>
      <c r="Y216" s="343" t="s">
        <v>587</v>
      </c>
      <c r="BD216" s="292"/>
    </row>
    <row r="217" spans="2:56" x14ac:dyDescent="0.15">
      <c r="B217" s="605"/>
      <c r="D217" s="325"/>
      <c r="F217" s="325"/>
      <c r="I217" s="325"/>
      <c r="M217" s="291" t="s">
        <v>184</v>
      </c>
      <c r="BD217" s="292"/>
    </row>
    <row r="218" spans="2:56" x14ac:dyDescent="0.15">
      <c r="B218" s="605"/>
      <c r="M218" s="1038" t="s">
        <v>101</v>
      </c>
      <c r="N218" s="1039"/>
      <c r="O218" s="1039"/>
      <c r="P218" s="1039"/>
      <c r="Q218" s="1039"/>
      <c r="R218" s="1039"/>
      <c r="S218" s="1039"/>
      <c r="T218" s="1039"/>
      <c r="U218" s="1040"/>
      <c r="BD218" s="292"/>
    </row>
    <row r="219" spans="2:56" x14ac:dyDescent="0.15">
      <c r="B219" s="605"/>
      <c r="D219" s="325"/>
      <c r="F219" s="325"/>
      <c r="I219" s="325"/>
      <c r="M219" s="605"/>
      <c r="N219" s="291" t="s">
        <v>244</v>
      </c>
      <c r="T219" s="291">
        <v>17</v>
      </c>
      <c r="U219" s="292"/>
      <c r="BD219" s="292"/>
    </row>
    <row r="220" spans="2:56" x14ac:dyDescent="0.15">
      <c r="B220" s="605"/>
      <c r="D220" s="325"/>
      <c r="F220" s="325"/>
      <c r="I220" s="325"/>
      <c r="M220" s="605"/>
      <c r="N220" s="291" t="s">
        <v>248</v>
      </c>
      <c r="T220" s="325" t="s">
        <v>556</v>
      </c>
      <c r="U220" s="292"/>
      <c r="BD220" s="292"/>
    </row>
    <row r="221" spans="2:56" x14ac:dyDescent="0.15">
      <c r="B221" s="605"/>
      <c r="D221" s="325"/>
      <c r="F221" s="325"/>
      <c r="I221" s="325"/>
      <c r="M221" s="605"/>
      <c r="N221" s="291" t="s">
        <v>408</v>
      </c>
      <c r="T221" s="325">
        <v>1</v>
      </c>
      <c r="U221" s="292"/>
      <c r="BD221" s="292"/>
    </row>
    <row r="222" spans="2:56" x14ac:dyDescent="0.15">
      <c r="B222" s="605"/>
      <c r="D222" s="325"/>
      <c r="F222" s="325"/>
      <c r="I222" s="325"/>
      <c r="M222" s="605"/>
      <c r="N222" s="291" t="s">
        <v>416</v>
      </c>
      <c r="T222" s="349">
        <v>860</v>
      </c>
      <c r="U222" s="292"/>
      <c r="BD222" s="292"/>
    </row>
    <row r="223" spans="2:56" x14ac:dyDescent="0.15">
      <c r="B223" s="605"/>
      <c r="D223" s="325"/>
      <c r="F223" s="325"/>
      <c r="I223" s="325"/>
      <c r="M223" s="605"/>
      <c r="N223" s="291" t="s">
        <v>419</v>
      </c>
      <c r="T223" s="291">
        <v>860</v>
      </c>
      <c r="U223" s="292"/>
      <c r="BD223" s="292"/>
    </row>
    <row r="224" spans="2:56" x14ac:dyDescent="0.15">
      <c r="B224" s="605"/>
      <c r="D224" s="325"/>
      <c r="F224" s="325"/>
      <c r="I224" s="325"/>
      <c r="M224" s="605"/>
      <c r="N224" s="291" t="s">
        <v>290</v>
      </c>
      <c r="T224" s="291">
        <v>0</v>
      </c>
      <c r="U224" s="292"/>
      <c r="BD224" s="292"/>
    </row>
    <row r="225" spans="2:56" x14ac:dyDescent="0.15">
      <c r="B225" s="605"/>
      <c r="D225" s="325"/>
      <c r="F225" s="325"/>
      <c r="I225" s="325"/>
      <c r="M225" s="605"/>
      <c r="N225" s="291" t="s">
        <v>813</v>
      </c>
      <c r="T225" s="291">
        <v>0</v>
      </c>
      <c r="U225" s="292"/>
      <c r="BD225" s="292"/>
    </row>
    <row r="226" spans="2:56" x14ac:dyDescent="0.15">
      <c r="B226" s="605"/>
      <c r="D226" s="325"/>
      <c r="F226" s="325"/>
      <c r="I226" s="325"/>
      <c r="M226" s="605"/>
      <c r="N226" s="291" t="s">
        <v>814</v>
      </c>
      <c r="T226" s="291">
        <v>0</v>
      </c>
      <c r="U226" s="292"/>
      <c r="BD226" s="292"/>
    </row>
    <row r="227" spans="2:56" x14ac:dyDescent="0.15">
      <c r="B227" s="605"/>
      <c r="M227" s="1041"/>
      <c r="N227" s="1042" t="s">
        <v>816</v>
      </c>
      <c r="O227" s="1042"/>
      <c r="P227" s="1042"/>
      <c r="Q227" s="1042"/>
      <c r="R227" s="1042"/>
      <c r="S227" s="1042"/>
      <c r="T227" s="1042" t="s">
        <v>817</v>
      </c>
      <c r="U227" s="1043"/>
      <c r="BD227" s="292"/>
    </row>
    <row r="228" spans="2:56" x14ac:dyDescent="0.15">
      <c r="B228" s="605"/>
      <c r="D228" s="325"/>
      <c r="F228" s="325"/>
      <c r="I228" s="325"/>
      <c r="BD228" s="292"/>
    </row>
    <row r="229" spans="2:56" x14ac:dyDescent="0.15">
      <c r="B229" s="605"/>
      <c r="D229" s="325"/>
      <c r="F229" s="325"/>
      <c r="I229" s="325"/>
      <c r="BD229" s="292"/>
    </row>
    <row r="230" spans="2:56" x14ac:dyDescent="0.15">
      <c r="B230" s="1041"/>
      <c r="C230" s="1042"/>
      <c r="D230" s="1042"/>
      <c r="E230" s="1042"/>
      <c r="F230" s="1042"/>
      <c r="G230" s="1042"/>
      <c r="H230" s="1042"/>
      <c r="I230" s="1042"/>
      <c r="J230" s="1042"/>
      <c r="K230" s="1042"/>
      <c r="L230" s="1042"/>
      <c r="M230" s="1042"/>
      <c r="N230" s="1042"/>
      <c r="O230" s="1042"/>
      <c r="P230" s="1042"/>
      <c r="Q230" s="1042"/>
      <c r="R230" s="1042"/>
      <c r="S230" s="1042"/>
      <c r="T230" s="1042"/>
      <c r="U230" s="1042"/>
      <c r="V230" s="1042"/>
      <c r="W230" s="1042"/>
      <c r="X230" s="1042"/>
      <c r="Y230" s="1042"/>
      <c r="Z230" s="1042"/>
      <c r="AA230" s="1042"/>
      <c r="AB230" s="1042"/>
      <c r="AC230" s="1042"/>
      <c r="AD230" s="1042"/>
      <c r="AE230" s="1042"/>
      <c r="AF230" s="1042"/>
      <c r="AG230" s="1042"/>
      <c r="AH230" s="1042"/>
      <c r="AI230" s="1042"/>
      <c r="AJ230" s="1042"/>
      <c r="AK230" s="1042"/>
      <c r="AL230" s="1042"/>
      <c r="AM230" s="1042"/>
      <c r="AN230" s="1042"/>
      <c r="AO230" s="1042"/>
      <c r="AP230" s="1042"/>
      <c r="AQ230" s="1042"/>
      <c r="AR230" s="1042"/>
      <c r="AS230" s="1042"/>
      <c r="AT230" s="1042"/>
      <c r="AU230" s="1042"/>
      <c r="AV230" s="1042"/>
      <c r="AW230" s="1042"/>
      <c r="AX230" s="1042"/>
      <c r="AY230" s="1042"/>
      <c r="AZ230" s="1042"/>
      <c r="BA230" s="1042"/>
      <c r="BB230" s="1042"/>
      <c r="BC230" s="1042"/>
      <c r="BD230" s="1043"/>
    </row>
  </sheetData>
  <mergeCells count="16">
    <mergeCell ref="AT1:AW1"/>
    <mergeCell ref="AX1:AZ1"/>
    <mergeCell ref="BA1:BD1"/>
    <mergeCell ref="B2:N2"/>
    <mergeCell ref="O2:T2"/>
    <mergeCell ref="U2:AA2"/>
    <mergeCell ref="AO2:AP2"/>
    <mergeCell ref="AQ2:AS2"/>
    <mergeCell ref="AT2:AW2"/>
    <mergeCell ref="AX2:AZ2"/>
    <mergeCell ref="BA2:BD2"/>
    <mergeCell ref="O1:T1"/>
    <mergeCell ref="U1:AA1"/>
    <mergeCell ref="AB1:AN2"/>
    <mergeCell ref="AO1:AP1"/>
    <mergeCell ref="AQ1:AS1"/>
  </mergeCells>
  <phoneticPr fontId="4"/>
  <pageMargins left="0.70866141732283472" right="0.70866141732283472" top="0.74803149606299213" bottom="0.74803149606299213" header="0.31496062992125984" footer="0.31496062992125984"/>
  <pageSetup paperSize="8" scale="45" fitToWidth="0" orientation="portrait" r:id="rId1"/>
  <headerFooter>
    <oddHeader>&amp;RFUJITSU CONFIDENTIAL</oddHeader>
    <oddFooter>&amp;RAll Rights Reserved, Copyright(c) Fujitsu  Limited 2024</oddFooter>
  </headerFooter>
  <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7A251F-3812-4BCF-A37F-6CAB0469D14D}">
  <sheetPr>
    <pageSetUpPr fitToPage="1"/>
  </sheetPr>
  <dimension ref="A1:BE1076"/>
  <sheetViews>
    <sheetView showGridLines="0" view="pageBreakPreview" zoomScaleNormal="140" zoomScaleSheetLayoutView="100" workbookViewId="0"/>
  </sheetViews>
  <sheetFormatPr defaultColWidth="3" defaultRowHeight="11.25" x14ac:dyDescent="0.15"/>
  <cols>
    <col min="1" max="8" width="3" style="291"/>
    <col min="9" max="14" width="3" style="291" customWidth="1"/>
    <col min="15" max="15" width="5" style="291" customWidth="1"/>
    <col min="16" max="18" width="3" style="291"/>
    <col min="19" max="19" width="3" style="291" customWidth="1"/>
    <col min="20" max="20" width="4.875" style="291" bestFit="1" customWidth="1"/>
    <col min="21" max="27" width="3" style="291"/>
    <col min="28" max="28" width="4" style="291" bestFit="1" customWidth="1"/>
    <col min="29" max="29" width="4.125" style="291" bestFit="1" customWidth="1"/>
    <col min="30" max="36" width="3" style="291"/>
    <col min="37" max="39" width="3" style="291" customWidth="1"/>
    <col min="40" max="40" width="4.375" style="291" customWidth="1"/>
    <col min="41" max="16384" width="3" style="291"/>
  </cols>
  <sheetData>
    <row r="1" spans="1:57" ht="12.75" thickTop="1" x14ac:dyDescent="0.15">
      <c r="B1" s="50" t="s">
        <v>6</v>
      </c>
      <c r="C1" s="51"/>
      <c r="D1" s="51"/>
      <c r="E1" s="51"/>
      <c r="F1" s="51"/>
      <c r="G1" s="51"/>
      <c r="H1" s="51"/>
      <c r="I1" s="51"/>
      <c r="J1" s="51"/>
      <c r="K1" s="51"/>
      <c r="L1" s="51"/>
      <c r="M1" s="51"/>
      <c r="N1" s="52"/>
      <c r="O1" s="677" t="s">
        <v>7</v>
      </c>
      <c r="P1" s="830"/>
      <c r="Q1" s="830"/>
      <c r="R1" s="830"/>
      <c r="S1" s="830"/>
      <c r="T1" s="831"/>
      <c r="U1" s="1250" t="s">
        <v>8</v>
      </c>
      <c r="V1" s="1248"/>
      <c r="W1" s="1248"/>
      <c r="X1" s="1248"/>
      <c r="Y1" s="1248"/>
      <c r="Z1" s="1248"/>
      <c r="AA1" s="1249"/>
      <c r="AB1" s="1306" t="s">
        <v>829</v>
      </c>
      <c r="AC1" s="1307"/>
      <c r="AD1" s="1307"/>
      <c r="AE1" s="1307"/>
      <c r="AF1" s="1307"/>
      <c r="AG1" s="1307"/>
      <c r="AH1" s="1307"/>
      <c r="AI1" s="1307"/>
      <c r="AJ1" s="1307"/>
      <c r="AK1" s="1307"/>
      <c r="AL1" s="1307"/>
      <c r="AM1" s="1307"/>
      <c r="AN1" s="1308"/>
      <c r="AO1" s="1250" t="s">
        <v>10</v>
      </c>
      <c r="AP1" s="1249"/>
      <c r="AQ1" s="1303" t="s">
        <v>11</v>
      </c>
      <c r="AR1" s="1304"/>
      <c r="AS1" s="1305"/>
      <c r="AT1" s="1250" t="s">
        <v>12</v>
      </c>
      <c r="AU1" s="1248"/>
      <c r="AV1" s="1248"/>
      <c r="AW1" s="1249"/>
      <c r="AX1" s="1303" t="s">
        <v>13</v>
      </c>
      <c r="AY1" s="1304"/>
      <c r="AZ1" s="1305"/>
      <c r="BA1" s="1250" t="s">
        <v>14</v>
      </c>
      <c r="BB1" s="1248"/>
      <c r="BC1" s="1248"/>
      <c r="BD1" s="1249"/>
      <c r="BE1" s="355" t="s">
        <v>701</v>
      </c>
    </row>
    <row r="2" spans="1:57" ht="12.75" thickBot="1" x14ac:dyDescent="0.2">
      <c r="B2" s="1260" t="s">
        <v>15</v>
      </c>
      <c r="C2" s="1261"/>
      <c r="D2" s="1261"/>
      <c r="E2" s="1261"/>
      <c r="F2" s="1261"/>
      <c r="G2" s="1261"/>
      <c r="H2" s="1261"/>
      <c r="I2" s="1261"/>
      <c r="J2" s="1261"/>
      <c r="K2" s="1261"/>
      <c r="L2" s="1261"/>
      <c r="M2" s="1261"/>
      <c r="N2" s="1262"/>
      <c r="O2" s="678" t="s">
        <v>16</v>
      </c>
      <c r="P2" s="834"/>
      <c r="Q2" s="834"/>
      <c r="R2" s="834"/>
      <c r="S2" s="834"/>
      <c r="T2" s="835"/>
      <c r="U2" s="1266" t="s">
        <v>163</v>
      </c>
      <c r="V2" s="1264"/>
      <c r="W2" s="1264"/>
      <c r="X2" s="1264"/>
      <c r="Y2" s="1264"/>
      <c r="Z2" s="1264"/>
      <c r="AA2" s="1265"/>
      <c r="AB2" s="1309"/>
      <c r="AC2" s="1310"/>
      <c r="AD2" s="1310"/>
      <c r="AE2" s="1310"/>
      <c r="AF2" s="1310"/>
      <c r="AG2" s="1310"/>
      <c r="AH2" s="1310"/>
      <c r="AI2" s="1310"/>
      <c r="AJ2" s="1310"/>
      <c r="AK2" s="1310"/>
      <c r="AL2" s="1310"/>
      <c r="AM2" s="1310"/>
      <c r="AN2" s="1311"/>
      <c r="AO2" s="1267">
        <f>'取引ログ作成時の注意事項(支払情報)'!AO2</f>
        <v>1.1200000000000001</v>
      </c>
      <c r="AP2" s="1268"/>
      <c r="AQ2" s="1266" t="s">
        <v>18</v>
      </c>
      <c r="AR2" s="1264"/>
      <c r="AS2" s="1265"/>
      <c r="AT2" s="1269">
        <f>'取引ログ作成時の注意事項(支払情報)'!AT2</f>
        <v>45709</v>
      </c>
      <c r="AU2" s="1270"/>
      <c r="AV2" s="1270"/>
      <c r="AW2" s="1270"/>
      <c r="AX2" s="1266" t="s">
        <v>18</v>
      </c>
      <c r="AY2" s="1264"/>
      <c r="AZ2" s="1265"/>
      <c r="BA2" s="1269">
        <v>45588</v>
      </c>
      <c r="BB2" s="1270"/>
      <c r="BC2" s="1270"/>
      <c r="BD2" s="1271"/>
    </row>
    <row r="3" spans="1:57" ht="12" thickTop="1" x14ac:dyDescent="0.15"/>
    <row r="4" spans="1:57" x14ac:dyDescent="0.15">
      <c r="B4" s="1038"/>
      <c r="C4" s="1039"/>
      <c r="D4" s="1039"/>
      <c r="E4" s="1039"/>
      <c r="F4" s="1039"/>
      <c r="G4" s="1039"/>
      <c r="H4" s="1039"/>
      <c r="I4" s="1039"/>
      <c r="J4" s="1039"/>
      <c r="K4" s="1039"/>
      <c r="L4" s="1039"/>
      <c r="M4" s="1039"/>
      <c r="N4" s="1039"/>
      <c r="O4" s="1039"/>
      <c r="P4" s="1039"/>
      <c r="Q4" s="1039"/>
      <c r="R4" s="1039"/>
      <c r="S4" s="1039"/>
      <c r="T4" s="1039"/>
      <c r="U4" s="1039"/>
      <c r="V4" s="1039"/>
      <c r="W4" s="1039"/>
      <c r="X4" s="1039"/>
      <c r="Y4" s="1039"/>
      <c r="Z4" s="1039"/>
      <c r="AA4" s="1039"/>
      <c r="AB4" s="1039"/>
      <c r="AC4" s="1039"/>
      <c r="AD4" s="1039"/>
      <c r="AE4" s="1039"/>
      <c r="AF4" s="1039"/>
      <c r="AG4" s="1039"/>
      <c r="AH4" s="1039"/>
      <c r="AI4" s="1039"/>
      <c r="AJ4" s="1039"/>
      <c r="AK4" s="1039"/>
      <c r="AL4" s="1039"/>
      <c r="AM4" s="1039"/>
      <c r="AN4" s="1039"/>
      <c r="AO4" s="1039"/>
      <c r="AP4" s="1039"/>
      <c r="AQ4" s="1039"/>
      <c r="AR4" s="1039"/>
      <c r="AS4" s="1039"/>
      <c r="AT4" s="1039"/>
      <c r="AU4" s="1039"/>
      <c r="AV4" s="1039"/>
      <c r="AW4" s="1039"/>
      <c r="AX4" s="1039"/>
      <c r="AY4" s="1039"/>
      <c r="AZ4" s="1039"/>
      <c r="BA4" s="1039"/>
      <c r="BB4" s="1039"/>
      <c r="BC4" s="1039"/>
      <c r="BD4" s="1040"/>
    </row>
    <row r="5" spans="1:57" x14ac:dyDescent="0.15">
      <c r="A5" s="339"/>
      <c r="B5" s="605"/>
      <c r="C5" s="345" t="s">
        <v>537</v>
      </c>
      <c r="D5" s="291" t="s">
        <v>830</v>
      </c>
      <c r="BD5" s="292"/>
    </row>
    <row r="6" spans="1:57" x14ac:dyDescent="0.15">
      <c r="A6" s="339"/>
      <c r="B6" s="605"/>
      <c r="BD6" s="292"/>
    </row>
    <row r="7" spans="1:57" x14ac:dyDescent="0.15">
      <c r="A7" s="339"/>
      <c r="B7" s="605"/>
      <c r="BD7" s="292"/>
    </row>
    <row r="8" spans="1:57" x14ac:dyDescent="0.15">
      <c r="B8" s="605"/>
      <c r="BD8" s="292"/>
    </row>
    <row r="9" spans="1:57" x14ac:dyDescent="0.15">
      <c r="A9" s="339"/>
      <c r="B9" s="605"/>
      <c r="BD9" s="292"/>
    </row>
    <row r="10" spans="1:57" x14ac:dyDescent="0.15">
      <c r="A10" s="339"/>
      <c r="B10" s="605"/>
      <c r="BD10" s="292"/>
    </row>
    <row r="11" spans="1:57" x14ac:dyDescent="0.15">
      <c r="A11" s="339"/>
      <c r="B11" s="605"/>
      <c r="BD11" s="292"/>
    </row>
    <row r="12" spans="1:57" x14ac:dyDescent="0.15">
      <c r="A12" s="339"/>
      <c r="B12" s="605"/>
      <c r="BD12" s="292"/>
    </row>
    <row r="13" spans="1:57" x14ac:dyDescent="0.15">
      <c r="A13" s="339"/>
      <c r="B13" s="605"/>
      <c r="BD13" s="292"/>
    </row>
    <row r="14" spans="1:57" x14ac:dyDescent="0.15">
      <c r="A14" s="339"/>
      <c r="B14" s="605"/>
      <c r="BD14" s="292"/>
    </row>
    <row r="15" spans="1:57" x14ac:dyDescent="0.15">
      <c r="A15" s="339"/>
      <c r="B15" s="605"/>
      <c r="BD15" s="292"/>
    </row>
    <row r="16" spans="1:57" x14ac:dyDescent="0.15">
      <c r="A16" s="339"/>
      <c r="B16" s="605"/>
      <c r="BD16" s="292"/>
    </row>
    <row r="17" spans="1:56" x14ac:dyDescent="0.15">
      <c r="A17" s="339"/>
      <c r="B17" s="605"/>
      <c r="BD17" s="292"/>
    </row>
    <row r="18" spans="1:56" x14ac:dyDescent="0.15">
      <c r="A18" s="339"/>
      <c r="B18" s="605"/>
      <c r="BD18" s="292"/>
    </row>
    <row r="19" spans="1:56" x14ac:dyDescent="0.15">
      <c r="A19" s="339"/>
      <c r="B19" s="605"/>
      <c r="BD19" s="292"/>
    </row>
    <row r="20" spans="1:56" x14ac:dyDescent="0.15">
      <c r="A20" s="339"/>
      <c r="B20" s="605"/>
      <c r="BD20" s="292"/>
    </row>
    <row r="21" spans="1:56" x14ac:dyDescent="0.15">
      <c r="A21" s="339"/>
      <c r="B21" s="605"/>
      <c r="BD21" s="292"/>
    </row>
    <row r="22" spans="1:56" x14ac:dyDescent="0.15">
      <c r="A22" s="339"/>
      <c r="B22" s="605"/>
      <c r="BD22" s="292"/>
    </row>
    <row r="23" spans="1:56" x14ac:dyDescent="0.15">
      <c r="A23" s="339"/>
      <c r="B23" s="605"/>
      <c r="BD23" s="292"/>
    </row>
    <row r="24" spans="1:56" x14ac:dyDescent="0.15">
      <c r="A24" s="339"/>
      <c r="B24" s="605"/>
      <c r="BD24" s="292"/>
    </row>
    <row r="25" spans="1:56" x14ac:dyDescent="0.15">
      <c r="A25" s="339"/>
      <c r="B25" s="605"/>
      <c r="BD25" s="292"/>
    </row>
    <row r="26" spans="1:56" x14ac:dyDescent="0.15">
      <c r="A26" s="339"/>
      <c r="B26" s="605"/>
      <c r="BD26" s="292"/>
    </row>
    <row r="27" spans="1:56" x14ac:dyDescent="0.15">
      <c r="A27" s="339"/>
      <c r="B27" s="605"/>
      <c r="BD27" s="292"/>
    </row>
    <row r="28" spans="1:56" x14ac:dyDescent="0.15">
      <c r="A28" s="339"/>
      <c r="B28" s="605"/>
      <c r="BD28" s="292"/>
    </row>
    <row r="29" spans="1:56" x14ac:dyDescent="0.15">
      <c r="A29" s="339"/>
      <c r="B29" s="605"/>
      <c r="BD29" s="292"/>
    </row>
    <row r="30" spans="1:56" x14ac:dyDescent="0.15">
      <c r="A30" s="339"/>
      <c r="B30" s="605"/>
      <c r="BD30" s="292"/>
    </row>
    <row r="31" spans="1:56" x14ac:dyDescent="0.15">
      <c r="A31" s="339"/>
      <c r="B31" s="605"/>
      <c r="BD31" s="292"/>
    </row>
    <row r="32" spans="1:56" x14ac:dyDescent="0.15">
      <c r="A32" s="339"/>
      <c r="B32" s="605"/>
      <c r="BD32" s="292"/>
    </row>
    <row r="33" spans="2:56" x14ac:dyDescent="0.15">
      <c r="B33" s="605"/>
      <c r="BD33" s="292"/>
    </row>
    <row r="34" spans="2:56" x14ac:dyDescent="0.15">
      <c r="B34" s="605"/>
      <c r="BD34" s="292"/>
    </row>
    <row r="35" spans="2:56" x14ac:dyDescent="0.15">
      <c r="B35" s="605"/>
      <c r="BD35" s="292"/>
    </row>
    <row r="36" spans="2:56" x14ac:dyDescent="0.15">
      <c r="B36" s="605"/>
      <c r="BD36" s="292"/>
    </row>
    <row r="37" spans="2:56" x14ac:dyDescent="0.15">
      <c r="B37" s="605"/>
      <c r="BD37" s="292"/>
    </row>
    <row r="38" spans="2:56" x14ac:dyDescent="0.15">
      <c r="B38" s="605"/>
      <c r="BD38" s="292"/>
    </row>
    <row r="39" spans="2:56" x14ac:dyDescent="0.15">
      <c r="B39" s="605"/>
      <c r="BD39" s="292"/>
    </row>
    <row r="40" spans="2:56" x14ac:dyDescent="0.15">
      <c r="B40" s="605"/>
      <c r="BD40" s="292"/>
    </row>
    <row r="41" spans="2:56" x14ac:dyDescent="0.15">
      <c r="B41" s="605"/>
      <c r="BD41" s="292"/>
    </row>
    <row r="42" spans="2:56" x14ac:dyDescent="0.15">
      <c r="B42" s="605"/>
      <c r="BD42" s="292"/>
    </row>
    <row r="43" spans="2:56" x14ac:dyDescent="0.15">
      <c r="B43" s="605"/>
      <c r="BD43" s="292"/>
    </row>
    <row r="44" spans="2:56" x14ac:dyDescent="0.15">
      <c r="B44" s="605"/>
      <c r="BD44" s="292"/>
    </row>
    <row r="45" spans="2:56" x14ac:dyDescent="0.15">
      <c r="B45" s="605"/>
      <c r="BD45" s="292"/>
    </row>
    <row r="46" spans="2:56" x14ac:dyDescent="0.15">
      <c r="B46" s="605"/>
      <c r="BD46" s="292"/>
    </row>
    <row r="47" spans="2:56" x14ac:dyDescent="0.15">
      <c r="B47" s="605"/>
      <c r="BD47" s="292"/>
    </row>
    <row r="48" spans="2:56" x14ac:dyDescent="0.15">
      <c r="B48" s="605"/>
      <c r="BD48" s="292"/>
    </row>
    <row r="49" spans="2:57" x14ac:dyDescent="0.15">
      <c r="B49" s="605"/>
      <c r="BD49" s="292"/>
    </row>
    <row r="50" spans="2:57" x14ac:dyDescent="0.15">
      <c r="B50" s="605"/>
      <c r="BD50" s="292"/>
    </row>
    <row r="51" spans="2:57" x14ac:dyDescent="0.15">
      <c r="B51" s="605"/>
      <c r="BD51" s="292"/>
    </row>
    <row r="52" spans="2:57" x14ac:dyDescent="0.15">
      <c r="B52" s="605"/>
      <c r="BD52" s="292"/>
    </row>
    <row r="53" spans="2:57" x14ac:dyDescent="0.15">
      <c r="B53" s="605"/>
      <c r="BD53" s="292"/>
    </row>
    <row r="54" spans="2:57" x14ac:dyDescent="0.15">
      <c r="B54" s="605"/>
      <c r="BD54" s="292"/>
    </row>
    <row r="55" spans="2:57" x14ac:dyDescent="0.15">
      <c r="B55" s="605"/>
      <c r="BD55" s="292"/>
    </row>
    <row r="56" spans="2:57" x14ac:dyDescent="0.15">
      <c r="B56" s="605"/>
      <c r="BD56" s="292"/>
    </row>
    <row r="57" spans="2:57" x14ac:dyDescent="0.15">
      <c r="B57" s="605"/>
      <c r="BD57" s="292"/>
    </row>
    <row r="58" spans="2:57" x14ac:dyDescent="0.15">
      <c r="B58" s="605"/>
      <c r="BD58" s="292"/>
    </row>
    <row r="59" spans="2:57" x14ac:dyDescent="0.15">
      <c r="B59" s="1041"/>
      <c r="C59" s="1042"/>
      <c r="D59" s="1042"/>
      <c r="E59" s="1042"/>
      <c r="F59" s="1042"/>
      <c r="G59" s="1042"/>
      <c r="H59" s="1042"/>
      <c r="I59" s="1042"/>
      <c r="J59" s="1042"/>
      <c r="K59" s="1042"/>
      <c r="L59" s="1042"/>
      <c r="M59" s="1042"/>
      <c r="N59" s="1042"/>
      <c r="O59" s="1042"/>
      <c r="P59" s="1042"/>
      <c r="Q59" s="1042"/>
      <c r="R59" s="1042"/>
      <c r="S59" s="1042"/>
      <c r="T59" s="1042"/>
      <c r="U59" s="1042"/>
      <c r="V59" s="1042"/>
      <c r="W59" s="1042"/>
      <c r="X59" s="1042"/>
      <c r="Y59" s="1042"/>
      <c r="Z59" s="1042"/>
      <c r="AA59" s="1042"/>
      <c r="AB59" s="1042"/>
      <c r="AC59" s="1042"/>
      <c r="AD59" s="1042"/>
      <c r="AE59" s="1042"/>
      <c r="AF59" s="1042"/>
      <c r="AG59" s="1042"/>
      <c r="AH59" s="1042"/>
      <c r="AI59" s="1042"/>
      <c r="AJ59" s="1042"/>
      <c r="AK59" s="1042"/>
      <c r="AL59" s="1042"/>
      <c r="AM59" s="1042"/>
      <c r="AN59" s="1042"/>
      <c r="AO59" s="1042"/>
      <c r="AP59" s="1042"/>
      <c r="AQ59" s="1042"/>
      <c r="AR59" s="1042"/>
      <c r="AS59" s="1042"/>
      <c r="AT59" s="1042"/>
      <c r="AU59" s="1042"/>
      <c r="AV59" s="1042"/>
      <c r="AW59" s="1042"/>
      <c r="AX59" s="1042"/>
      <c r="AY59" s="1042"/>
      <c r="AZ59" s="1042"/>
      <c r="BA59" s="1042"/>
      <c r="BB59" s="1042"/>
      <c r="BC59" s="1042"/>
      <c r="BD59" s="1043"/>
    </row>
    <row r="60" spans="2:57" ht="12" thickBot="1" x14ac:dyDescent="0.2"/>
    <row r="61" spans="2:57" ht="12.75" thickTop="1" x14ac:dyDescent="0.15">
      <c r="B61" s="50" t="s">
        <v>6</v>
      </c>
      <c r="C61" s="51"/>
      <c r="D61" s="51"/>
      <c r="E61" s="51"/>
      <c r="F61" s="51"/>
      <c r="G61" s="51"/>
      <c r="H61" s="51"/>
      <c r="I61" s="51"/>
      <c r="J61" s="51"/>
      <c r="K61" s="51"/>
      <c r="L61" s="51"/>
      <c r="M61" s="51"/>
      <c r="N61" s="52"/>
      <c r="O61" s="677" t="s">
        <v>7</v>
      </c>
      <c r="P61" s="830"/>
      <c r="Q61" s="830"/>
      <c r="R61" s="830"/>
      <c r="S61" s="830"/>
      <c r="T61" s="831"/>
      <c r="U61" s="1250" t="s">
        <v>8</v>
      </c>
      <c r="V61" s="1248"/>
      <c r="W61" s="1248"/>
      <c r="X61" s="1248"/>
      <c r="Y61" s="1248"/>
      <c r="Z61" s="1248"/>
      <c r="AA61" s="1249"/>
      <c r="AB61" s="1306" t="str">
        <f>AB$1</f>
        <v>取引ログ作成時の注意事項（値引併用）</v>
      </c>
      <c r="AC61" s="1307"/>
      <c r="AD61" s="1307"/>
      <c r="AE61" s="1307"/>
      <c r="AF61" s="1307"/>
      <c r="AG61" s="1307"/>
      <c r="AH61" s="1307"/>
      <c r="AI61" s="1307"/>
      <c r="AJ61" s="1307"/>
      <c r="AK61" s="1307"/>
      <c r="AL61" s="1307"/>
      <c r="AM61" s="1307"/>
      <c r="AN61" s="1308"/>
      <c r="AO61" s="1250" t="s">
        <v>10</v>
      </c>
      <c r="AP61" s="1249"/>
      <c r="AQ61" s="1303" t="s">
        <v>11</v>
      </c>
      <c r="AR61" s="1304"/>
      <c r="AS61" s="1305"/>
      <c r="AT61" s="1250" t="s">
        <v>12</v>
      </c>
      <c r="AU61" s="1248"/>
      <c r="AV61" s="1248"/>
      <c r="AW61" s="1249"/>
      <c r="AX61" s="1303" t="s">
        <v>13</v>
      </c>
      <c r="AY61" s="1304"/>
      <c r="AZ61" s="1305"/>
      <c r="BA61" s="1250" t="s">
        <v>14</v>
      </c>
      <c r="BB61" s="1248"/>
      <c r="BC61" s="1248"/>
      <c r="BD61" s="1249"/>
      <c r="BE61" s="355" t="s">
        <v>701</v>
      </c>
    </row>
    <row r="62" spans="2:57" ht="12.75" thickBot="1" x14ac:dyDescent="0.2">
      <c r="B62" s="1260" t="s">
        <v>15</v>
      </c>
      <c r="C62" s="1261"/>
      <c r="D62" s="1261"/>
      <c r="E62" s="1261"/>
      <c r="F62" s="1261"/>
      <c r="G62" s="1261"/>
      <c r="H62" s="1261"/>
      <c r="I62" s="1261"/>
      <c r="J62" s="1261"/>
      <c r="K62" s="1261"/>
      <c r="L62" s="1261"/>
      <c r="M62" s="1261"/>
      <c r="N62" s="1262"/>
      <c r="O62" s="678" t="s">
        <v>16</v>
      </c>
      <c r="P62" s="834"/>
      <c r="Q62" s="834"/>
      <c r="R62" s="834"/>
      <c r="S62" s="834"/>
      <c r="T62" s="835"/>
      <c r="U62" s="1266" t="s">
        <v>163</v>
      </c>
      <c r="V62" s="1264"/>
      <c r="W62" s="1264"/>
      <c r="X62" s="1264"/>
      <c r="Y62" s="1264"/>
      <c r="Z62" s="1264"/>
      <c r="AA62" s="1265"/>
      <c r="AB62" s="1309"/>
      <c r="AC62" s="1310"/>
      <c r="AD62" s="1310"/>
      <c r="AE62" s="1310"/>
      <c r="AF62" s="1310"/>
      <c r="AG62" s="1310"/>
      <c r="AH62" s="1310"/>
      <c r="AI62" s="1310"/>
      <c r="AJ62" s="1310"/>
      <c r="AK62" s="1310"/>
      <c r="AL62" s="1310"/>
      <c r="AM62" s="1310"/>
      <c r="AN62" s="1311"/>
      <c r="AO62" s="1267">
        <f>AO$2</f>
        <v>1.1200000000000001</v>
      </c>
      <c r="AP62" s="1268"/>
      <c r="AQ62" s="1266" t="str">
        <f>AQ$2</f>
        <v>富士通</v>
      </c>
      <c r="AR62" s="1264"/>
      <c r="AS62" s="1265"/>
      <c r="AT62" s="1269">
        <f>AT$2</f>
        <v>45709</v>
      </c>
      <c r="AU62" s="1270"/>
      <c r="AV62" s="1270"/>
      <c r="AW62" s="1270"/>
      <c r="AX62" s="1266" t="s">
        <v>18</v>
      </c>
      <c r="AY62" s="1264"/>
      <c r="AZ62" s="1265"/>
      <c r="BA62" s="1269">
        <v>45588</v>
      </c>
      <c r="BB62" s="1270"/>
      <c r="BC62" s="1270"/>
      <c r="BD62" s="1271"/>
    </row>
    <row r="63" spans="2:57" ht="12" thickTop="1" x14ac:dyDescent="0.15"/>
    <row r="64" spans="2:57" x14ac:dyDescent="0.15">
      <c r="B64" s="1038"/>
      <c r="C64" s="1039"/>
      <c r="D64" s="1039"/>
      <c r="E64" s="1039"/>
      <c r="F64" s="1039"/>
      <c r="G64" s="1039"/>
      <c r="H64" s="1039"/>
      <c r="I64" s="1039"/>
      <c r="J64" s="1039"/>
      <c r="K64" s="1039"/>
      <c r="L64" s="1039"/>
      <c r="M64" s="1039"/>
      <c r="N64" s="1039"/>
      <c r="O64" s="1039"/>
      <c r="P64" s="1039"/>
      <c r="Q64" s="1039"/>
      <c r="R64" s="1039"/>
      <c r="S64" s="1039"/>
      <c r="T64" s="1039"/>
      <c r="U64" s="1039"/>
      <c r="V64" s="1039"/>
      <c r="W64" s="1039"/>
      <c r="X64" s="1039"/>
      <c r="Y64" s="1039"/>
      <c r="Z64" s="1039"/>
      <c r="AA64" s="1039"/>
      <c r="AB64" s="1039"/>
      <c r="AC64" s="1039"/>
      <c r="AD64" s="1039"/>
      <c r="AE64" s="1039"/>
      <c r="AF64" s="1039"/>
      <c r="AG64" s="1039"/>
      <c r="AH64" s="1039"/>
      <c r="AI64" s="1039"/>
      <c r="AJ64" s="1039"/>
      <c r="AK64" s="1039"/>
      <c r="AL64" s="1039"/>
      <c r="AM64" s="1039"/>
      <c r="AN64" s="1039"/>
      <c r="AO64" s="1039"/>
      <c r="AP64" s="1039"/>
      <c r="AQ64" s="1039"/>
      <c r="AR64" s="1039"/>
      <c r="AS64" s="1039"/>
      <c r="AT64" s="1039"/>
      <c r="AU64" s="1039"/>
      <c r="AV64" s="1039"/>
      <c r="AW64" s="1039"/>
      <c r="AX64" s="1039"/>
      <c r="AY64" s="1039"/>
      <c r="AZ64" s="1039"/>
      <c r="BA64" s="1039"/>
      <c r="BB64" s="1039"/>
      <c r="BC64" s="1039"/>
      <c r="BD64" s="1040"/>
    </row>
    <row r="65" spans="1:56" x14ac:dyDescent="0.15">
      <c r="A65" s="339"/>
      <c r="B65" s="605"/>
      <c r="C65" s="345" t="s">
        <v>577</v>
      </c>
      <c r="D65" s="291" t="s">
        <v>831</v>
      </c>
      <c r="BD65" s="292"/>
    </row>
    <row r="66" spans="1:56" x14ac:dyDescent="0.15">
      <c r="A66" s="339"/>
      <c r="B66" s="605"/>
      <c r="BD66" s="292"/>
    </row>
    <row r="67" spans="1:56" x14ac:dyDescent="0.15">
      <c r="A67" s="339"/>
      <c r="B67" s="605"/>
      <c r="D67" s="504" t="s">
        <v>832</v>
      </c>
      <c r="E67" s="506"/>
      <c r="F67" s="506"/>
      <c r="G67" s="506"/>
      <c r="H67" s="506"/>
      <c r="I67" s="506"/>
      <c r="J67" s="506"/>
      <c r="K67" s="506"/>
      <c r="L67" s="506"/>
      <c r="M67" s="506"/>
      <c r="N67" s="506"/>
      <c r="O67" s="506"/>
      <c r="P67" s="506"/>
      <c r="Q67" s="506"/>
      <c r="R67" s="506"/>
      <c r="S67" s="507"/>
      <c r="T67" s="506"/>
      <c r="U67" s="506"/>
      <c r="V67" s="506"/>
      <c r="W67" s="506"/>
      <c r="X67" s="506"/>
      <c r="Y67" s="506"/>
      <c r="Z67" s="506"/>
      <c r="AA67" s="506"/>
      <c r="BD67" s="292"/>
    </row>
    <row r="68" spans="1:56" x14ac:dyDescent="0.15">
      <c r="A68" s="339"/>
      <c r="B68" s="605"/>
      <c r="S68" s="325"/>
      <c r="BD68" s="292"/>
    </row>
    <row r="69" spans="1:56" x14ac:dyDescent="0.15">
      <c r="A69" s="339"/>
      <c r="B69" s="605"/>
      <c r="D69" s="291" t="s">
        <v>703</v>
      </c>
      <c r="BD69" s="292"/>
    </row>
    <row r="70" spans="1:56" x14ac:dyDescent="0.15">
      <c r="A70" s="339"/>
      <c r="B70" s="605"/>
      <c r="D70" s="1042" t="s">
        <v>704</v>
      </c>
      <c r="E70" s="1042"/>
      <c r="F70" s="1042" t="s">
        <v>833</v>
      </c>
      <c r="G70" s="1042"/>
      <c r="H70" s="1042" t="s">
        <v>834</v>
      </c>
      <c r="I70" s="1042"/>
      <c r="J70" s="1042" t="s">
        <v>705</v>
      </c>
      <c r="K70" s="1042"/>
      <c r="L70" s="1042"/>
      <c r="M70" s="1042"/>
      <c r="N70" s="1042"/>
      <c r="O70" s="1042" t="s">
        <v>835</v>
      </c>
      <c r="P70" s="1042"/>
      <c r="Q70" s="1042"/>
      <c r="R70" s="1042" t="s">
        <v>706</v>
      </c>
      <c r="S70" s="1042"/>
      <c r="T70" s="1042"/>
      <c r="U70" s="1042" t="s">
        <v>711</v>
      </c>
      <c r="V70" s="1042"/>
      <c r="W70" s="1042"/>
      <c r="X70" s="1042"/>
      <c r="Y70" s="1042"/>
      <c r="Z70" s="1042"/>
      <c r="AA70" s="1042"/>
      <c r="AB70" s="1042"/>
      <c r="AC70" s="1042"/>
      <c r="AD70" s="1042"/>
      <c r="AE70" s="1042"/>
      <c r="AF70" s="1042"/>
      <c r="AG70" s="1042"/>
      <c r="AH70" s="1042"/>
      <c r="AI70" s="1042"/>
      <c r="AJ70" s="1042"/>
      <c r="BD70" s="292"/>
    </row>
    <row r="71" spans="1:56" x14ac:dyDescent="0.15">
      <c r="B71" s="605"/>
      <c r="D71" s="291">
        <v>1</v>
      </c>
      <c r="F71" s="341" t="s">
        <v>836</v>
      </c>
      <c r="H71" s="341" t="s">
        <v>837</v>
      </c>
      <c r="J71" s="340" t="s">
        <v>712</v>
      </c>
      <c r="L71" s="340"/>
      <c r="M71" s="340"/>
      <c r="N71" s="340"/>
      <c r="O71" s="557">
        <v>100</v>
      </c>
      <c r="P71" s="340"/>
      <c r="R71" s="340" t="s">
        <v>541</v>
      </c>
      <c r="S71" s="340"/>
      <c r="T71" s="340"/>
      <c r="W71" s="340"/>
      <c r="X71" s="340"/>
      <c r="Z71" s="340"/>
      <c r="BD71" s="292"/>
    </row>
    <row r="72" spans="1:56" x14ac:dyDescent="0.15">
      <c r="B72" s="605"/>
      <c r="G72" s="340"/>
      <c r="H72" s="340"/>
      <c r="I72" s="340"/>
      <c r="J72" s="550" t="s">
        <v>508</v>
      </c>
      <c r="K72" s="550"/>
      <c r="L72" s="550"/>
      <c r="M72" s="551"/>
      <c r="N72" s="551"/>
      <c r="O72" s="550" t="s">
        <v>838</v>
      </c>
      <c r="P72" s="550"/>
      <c r="Q72" s="550"/>
      <c r="R72" s="550" t="s">
        <v>839</v>
      </c>
      <c r="S72" s="550"/>
      <c r="T72" s="550"/>
      <c r="U72" s="549" t="s">
        <v>840</v>
      </c>
      <c r="V72" s="549"/>
      <c r="W72" s="548"/>
      <c r="X72" s="549"/>
      <c r="Y72" s="548"/>
      <c r="Z72" s="548"/>
      <c r="AA72" s="548"/>
      <c r="AB72" s="548"/>
      <c r="AC72" s="548"/>
      <c r="AD72" s="548"/>
      <c r="AE72" s="548"/>
      <c r="BD72" s="292"/>
    </row>
    <row r="73" spans="1:56" x14ac:dyDescent="0.15">
      <c r="B73" s="605"/>
      <c r="G73" s="340"/>
      <c r="H73" s="340"/>
      <c r="I73" s="340"/>
      <c r="J73" s="340" t="s">
        <v>841</v>
      </c>
      <c r="K73" s="340"/>
      <c r="L73" s="340"/>
      <c r="M73" s="341"/>
      <c r="N73" s="341"/>
      <c r="O73" s="554">
        <v>99</v>
      </c>
      <c r="P73" s="340"/>
      <c r="Q73" s="340"/>
      <c r="R73" s="340" t="s">
        <v>612</v>
      </c>
      <c r="S73" s="340"/>
      <c r="T73" s="340"/>
      <c r="U73" s="340"/>
      <c r="V73" s="340"/>
      <c r="X73" s="340"/>
      <c r="BD73" s="292"/>
    </row>
    <row r="74" spans="1:56" x14ac:dyDescent="0.15">
      <c r="B74" s="605"/>
      <c r="G74" s="340"/>
      <c r="H74" s="340"/>
      <c r="I74" s="325" t="s">
        <v>842</v>
      </c>
      <c r="J74" s="340" t="s">
        <v>843</v>
      </c>
      <c r="K74" s="340"/>
      <c r="L74" s="340"/>
      <c r="M74" s="341"/>
      <c r="N74" s="341"/>
      <c r="O74" s="554">
        <v>96</v>
      </c>
      <c r="P74" s="340"/>
      <c r="Q74" s="340"/>
      <c r="R74" s="340" t="s">
        <v>612</v>
      </c>
      <c r="S74" s="340"/>
      <c r="T74" s="340"/>
      <c r="U74" s="340"/>
      <c r="V74" s="340"/>
      <c r="X74" s="340"/>
      <c r="BD74" s="292"/>
    </row>
    <row r="75" spans="1:56" x14ac:dyDescent="0.15">
      <c r="B75" s="605"/>
      <c r="G75" s="340"/>
      <c r="H75" s="340"/>
      <c r="I75" s="325" t="s">
        <v>842</v>
      </c>
      <c r="J75" s="340" t="s">
        <v>844</v>
      </c>
      <c r="K75" s="340"/>
      <c r="L75" s="340"/>
      <c r="M75" s="341"/>
      <c r="N75" s="341"/>
      <c r="O75" s="554">
        <v>95</v>
      </c>
      <c r="P75" s="340"/>
      <c r="Q75" s="340"/>
      <c r="R75" s="340" t="s">
        <v>612</v>
      </c>
      <c r="S75" s="340"/>
      <c r="T75" s="340"/>
      <c r="U75" s="340" t="s">
        <v>845</v>
      </c>
      <c r="V75" s="340"/>
      <c r="X75" s="340"/>
      <c r="BD75" s="292"/>
    </row>
    <row r="76" spans="1:56" x14ac:dyDescent="0.15">
      <c r="B76" s="605"/>
      <c r="G76" s="340"/>
      <c r="H76" s="340"/>
      <c r="I76" s="325" t="s">
        <v>842</v>
      </c>
      <c r="J76" s="340" t="s">
        <v>844</v>
      </c>
      <c r="K76" s="340"/>
      <c r="L76" s="340"/>
      <c r="M76" s="341"/>
      <c r="N76" s="341"/>
      <c r="O76" s="554">
        <v>94</v>
      </c>
      <c r="P76" s="340"/>
      <c r="Q76" s="340"/>
      <c r="R76" s="340" t="s">
        <v>612</v>
      </c>
      <c r="S76" s="340"/>
      <c r="T76" s="340"/>
      <c r="U76" s="340"/>
      <c r="V76" s="340"/>
      <c r="X76" s="340"/>
      <c r="BD76" s="292"/>
    </row>
    <row r="77" spans="1:56" x14ac:dyDescent="0.15">
      <c r="B77" s="605"/>
      <c r="D77" s="340"/>
      <c r="E77" s="340"/>
      <c r="F77" s="340"/>
      <c r="G77" s="340"/>
      <c r="H77" s="340"/>
      <c r="I77" s="340"/>
      <c r="J77" s="341"/>
      <c r="K77" s="340"/>
      <c r="L77" s="340"/>
      <c r="M77" s="340"/>
      <c r="N77" s="340"/>
      <c r="O77" s="340"/>
      <c r="P77" s="340"/>
      <c r="Q77" s="340"/>
      <c r="R77" s="340"/>
      <c r="S77" s="340"/>
      <c r="T77" s="340"/>
      <c r="U77" s="340"/>
      <c r="W77" s="340"/>
      <c r="BD77" s="292"/>
    </row>
    <row r="78" spans="1:56" x14ac:dyDescent="0.15">
      <c r="B78" s="605"/>
      <c r="D78" s="325"/>
      <c r="F78" s="325"/>
      <c r="I78" s="325"/>
      <c r="M78" s="325"/>
      <c r="BD78" s="292"/>
    </row>
    <row r="79" spans="1:56" x14ac:dyDescent="0.15">
      <c r="B79" s="605"/>
      <c r="D79" s="340" t="s">
        <v>846</v>
      </c>
      <c r="E79" s="340"/>
      <c r="F79" s="340"/>
      <c r="G79" s="340"/>
      <c r="H79" s="340"/>
      <c r="I79" s="340"/>
      <c r="J79" s="340"/>
      <c r="K79" s="340"/>
      <c r="L79" s="340"/>
      <c r="M79" s="340"/>
      <c r="N79" s="340"/>
      <c r="O79" s="340"/>
      <c r="P79" s="340"/>
      <c r="Q79" s="340"/>
      <c r="R79" s="340"/>
      <c r="S79" s="340"/>
      <c r="U79" s="340"/>
      <c r="BD79" s="292"/>
    </row>
    <row r="80" spans="1:56" x14ac:dyDescent="0.15">
      <c r="B80" s="605"/>
      <c r="D80" s="325"/>
      <c r="F80" s="325"/>
      <c r="I80" s="325"/>
      <c r="M80" s="325"/>
      <c r="AG80" s="342" t="s">
        <v>847</v>
      </c>
      <c r="BD80" s="292"/>
    </row>
    <row r="81" spans="1:56" x14ac:dyDescent="0.15">
      <c r="B81" s="605"/>
      <c r="D81" s="291" t="s">
        <v>549</v>
      </c>
      <c r="M81" s="291" t="s">
        <v>732</v>
      </c>
      <c r="W81" s="291" t="s">
        <v>551</v>
      </c>
      <c r="AH81" s="291" t="s">
        <v>848</v>
      </c>
      <c r="BD81" s="292"/>
    </row>
    <row r="82" spans="1:56" x14ac:dyDescent="0.15">
      <c r="B82" s="605"/>
      <c r="D82" s="1038" t="s">
        <v>552</v>
      </c>
      <c r="E82" s="1039"/>
      <c r="F82" s="1039"/>
      <c r="G82" s="1039"/>
      <c r="H82" s="1039"/>
      <c r="I82" s="1039"/>
      <c r="J82" s="1039"/>
      <c r="K82" s="1040"/>
      <c r="M82" s="1038" t="s">
        <v>553</v>
      </c>
      <c r="N82" s="1039"/>
      <c r="O82" s="1039"/>
      <c r="P82" s="1039"/>
      <c r="Q82" s="1039"/>
      <c r="R82" s="1039"/>
      <c r="S82" s="1039"/>
      <c r="T82" s="1039"/>
      <c r="U82" s="1040"/>
      <c r="W82" s="1038" t="s">
        <v>137</v>
      </c>
      <c r="X82" s="1039"/>
      <c r="Y82" s="1039"/>
      <c r="Z82" s="1039"/>
      <c r="AA82" s="1039"/>
      <c r="AB82" s="1039"/>
      <c r="AC82" s="1039"/>
      <c r="AD82" s="1040"/>
      <c r="AH82" s="1038" t="s">
        <v>35</v>
      </c>
      <c r="AI82" s="1039"/>
      <c r="AJ82" s="1039"/>
      <c r="AK82" s="1039"/>
      <c r="AL82" s="1039"/>
      <c r="AM82" s="1039"/>
      <c r="AN82" s="1039"/>
      <c r="AO82" s="1040"/>
      <c r="BD82" s="292"/>
    </row>
    <row r="83" spans="1:56" x14ac:dyDescent="0.15">
      <c r="B83" s="605"/>
      <c r="D83" s="605"/>
      <c r="E83" s="291" t="s">
        <v>248</v>
      </c>
      <c r="J83" s="325" t="s">
        <v>556</v>
      </c>
      <c r="K83" s="292"/>
      <c r="M83" s="605"/>
      <c r="N83" s="291" t="s">
        <v>248</v>
      </c>
      <c r="T83" s="325" t="s">
        <v>556</v>
      </c>
      <c r="U83" s="292"/>
      <c r="W83" s="605"/>
      <c r="X83" s="291" t="s">
        <v>248</v>
      </c>
      <c r="AC83" s="325" t="s">
        <v>556</v>
      </c>
      <c r="AD83" s="292"/>
      <c r="AH83" s="605"/>
      <c r="AI83" s="291" t="s">
        <v>248</v>
      </c>
      <c r="AN83" s="325" t="s">
        <v>556</v>
      </c>
      <c r="AO83" s="292"/>
      <c r="BD83" s="292"/>
    </row>
    <row r="84" spans="1:56" x14ac:dyDescent="0.15">
      <c r="B84" s="605"/>
      <c r="D84" s="605"/>
      <c r="E84" s="291" t="s">
        <v>259</v>
      </c>
      <c r="J84" s="291">
        <v>1</v>
      </c>
      <c r="K84" s="292"/>
      <c r="M84" s="605"/>
      <c r="N84" s="291" t="s">
        <v>244</v>
      </c>
      <c r="T84" s="291">
        <v>1</v>
      </c>
      <c r="U84" s="292"/>
      <c r="W84" s="605"/>
      <c r="X84" s="291" t="s">
        <v>244</v>
      </c>
      <c r="AC84" s="291">
        <v>1</v>
      </c>
      <c r="AD84" s="292"/>
      <c r="AH84" s="605"/>
      <c r="AI84" s="291" t="s">
        <v>244</v>
      </c>
      <c r="AN84" s="502">
        <v>5</v>
      </c>
      <c r="AO84" s="292"/>
      <c r="BD84" s="292"/>
    </row>
    <row r="85" spans="1:56" x14ac:dyDescent="0.15">
      <c r="B85" s="605"/>
      <c r="D85" s="1041"/>
      <c r="E85" s="1042"/>
      <c r="F85" s="1042"/>
      <c r="G85" s="1042"/>
      <c r="H85" s="1042"/>
      <c r="I85" s="1042"/>
      <c r="J85" s="1042"/>
      <c r="K85" s="1043"/>
      <c r="M85" s="605"/>
      <c r="N85" s="291" t="s">
        <v>337</v>
      </c>
      <c r="T85" s="291">
        <v>1</v>
      </c>
      <c r="U85" s="292"/>
      <c r="W85" s="605"/>
      <c r="X85" s="291" t="s">
        <v>261</v>
      </c>
      <c r="AC85" s="291">
        <v>5</v>
      </c>
      <c r="AD85" s="292"/>
      <c r="AH85" s="605"/>
      <c r="AI85" s="291" t="s">
        <v>263</v>
      </c>
      <c r="AN85" s="503">
        <v>6</v>
      </c>
      <c r="AO85" s="292"/>
      <c r="AP85" s="343" t="s">
        <v>628</v>
      </c>
      <c r="BD85" s="292"/>
    </row>
    <row r="86" spans="1:56" x14ac:dyDescent="0.15">
      <c r="B86" s="605"/>
      <c r="M86" s="605"/>
      <c r="N86" s="291" t="s">
        <v>350</v>
      </c>
      <c r="T86" s="504">
        <v>99</v>
      </c>
      <c r="U86" s="292"/>
      <c r="W86" s="605"/>
      <c r="X86" s="291" t="s">
        <v>560</v>
      </c>
      <c r="AC86" s="291">
        <v>1</v>
      </c>
      <c r="AD86" s="292" t="s">
        <v>849</v>
      </c>
      <c r="AH86" s="605"/>
      <c r="AI86" s="291" t="s">
        <v>270</v>
      </c>
      <c r="AN86" s="501">
        <v>0</v>
      </c>
      <c r="AO86" s="292"/>
      <c r="AP86" s="343" t="s">
        <v>655</v>
      </c>
      <c r="BD86" s="292"/>
    </row>
    <row r="87" spans="1:56" x14ac:dyDescent="0.15">
      <c r="B87" s="605"/>
      <c r="M87" s="605"/>
      <c r="N87" s="291" t="s">
        <v>358</v>
      </c>
      <c r="T87" s="291">
        <v>100</v>
      </c>
      <c r="U87" s="292"/>
      <c r="W87" s="605"/>
      <c r="X87" s="291" t="s">
        <v>282</v>
      </c>
      <c r="AC87" s="291">
        <v>0</v>
      </c>
      <c r="AD87" s="292"/>
      <c r="AH87" s="605"/>
      <c r="AI87" s="291" t="s">
        <v>276</v>
      </c>
      <c r="AN87" s="501">
        <v>99</v>
      </c>
      <c r="AO87" s="292"/>
      <c r="AP87" s="343" t="s">
        <v>850</v>
      </c>
      <c r="BD87" s="292"/>
    </row>
    <row r="88" spans="1:56" x14ac:dyDescent="0.15">
      <c r="B88" s="605"/>
      <c r="M88" s="1041"/>
      <c r="N88" s="1042" t="s">
        <v>740</v>
      </c>
      <c r="O88" s="1042"/>
      <c r="P88" s="1042"/>
      <c r="Q88" s="1042"/>
      <c r="R88" s="1042"/>
      <c r="S88" s="1042"/>
      <c r="T88" s="1048">
        <v>99</v>
      </c>
      <c r="U88" s="1043"/>
      <c r="W88" s="1041"/>
      <c r="X88" s="1042" t="s">
        <v>295</v>
      </c>
      <c r="Y88" s="1042"/>
      <c r="Z88" s="1042"/>
      <c r="AA88" s="1042"/>
      <c r="AB88" s="1042"/>
      <c r="AC88" s="1042">
        <v>0</v>
      </c>
      <c r="AD88" s="1043"/>
      <c r="AH88" s="605"/>
      <c r="AI88" s="291" t="s">
        <v>315</v>
      </c>
      <c r="AN88" s="503">
        <v>91111</v>
      </c>
      <c r="AO88" s="292"/>
      <c r="AP88" s="343" t="s">
        <v>851</v>
      </c>
      <c r="BD88" s="292"/>
    </row>
    <row r="89" spans="1:56" x14ac:dyDescent="0.15">
      <c r="B89" s="605"/>
      <c r="T89" s="343" t="s">
        <v>852</v>
      </c>
      <c r="AH89" s="1041"/>
      <c r="AI89" s="1042" t="s">
        <v>853</v>
      </c>
      <c r="AJ89" s="1042"/>
      <c r="AK89" s="1042"/>
      <c r="AL89" s="1042"/>
      <c r="AM89" s="1042"/>
      <c r="AN89" s="1079">
        <v>0</v>
      </c>
      <c r="AO89" s="1043"/>
      <c r="BD89" s="292"/>
    </row>
    <row r="90" spans="1:56" x14ac:dyDescent="0.15">
      <c r="B90" s="605"/>
      <c r="D90" s="325"/>
      <c r="F90" s="325"/>
      <c r="I90" s="325"/>
      <c r="T90" s="343" t="s">
        <v>854</v>
      </c>
      <c r="BD90" s="292"/>
    </row>
    <row r="91" spans="1:56" x14ac:dyDescent="0.15">
      <c r="B91" s="605"/>
      <c r="S91" s="325"/>
      <c r="BD91" s="292"/>
    </row>
    <row r="92" spans="1:56" x14ac:dyDescent="0.15">
      <c r="B92" s="605"/>
      <c r="D92" s="325"/>
      <c r="F92" s="325"/>
      <c r="I92" s="325"/>
      <c r="M92" s="325"/>
      <c r="W92" s="291" t="s">
        <v>551</v>
      </c>
      <c r="AH92" s="291" t="s">
        <v>855</v>
      </c>
      <c r="BD92" s="292"/>
    </row>
    <row r="93" spans="1:56" x14ac:dyDescent="0.15">
      <c r="A93" s="339"/>
      <c r="B93" s="605"/>
      <c r="W93" s="1038" t="s">
        <v>137</v>
      </c>
      <c r="X93" s="1039"/>
      <c r="Y93" s="1039"/>
      <c r="Z93" s="1039"/>
      <c r="AA93" s="1039"/>
      <c r="AB93" s="1039"/>
      <c r="AC93" s="1039"/>
      <c r="AD93" s="1040"/>
      <c r="AH93" s="1038" t="s">
        <v>35</v>
      </c>
      <c r="AI93" s="1039"/>
      <c r="AJ93" s="1039"/>
      <c r="AK93" s="1039"/>
      <c r="AL93" s="1039"/>
      <c r="AM93" s="1039"/>
      <c r="AN93" s="1039"/>
      <c r="AO93" s="1040"/>
      <c r="BD93" s="292"/>
    </row>
    <row r="94" spans="1:56" x14ac:dyDescent="0.15">
      <c r="A94" s="339"/>
      <c r="B94" s="605"/>
      <c r="W94" s="605"/>
      <c r="X94" s="291" t="s">
        <v>248</v>
      </c>
      <c r="AC94" s="325" t="s">
        <v>556</v>
      </c>
      <c r="AD94" s="292"/>
      <c r="AH94" s="605"/>
      <c r="AI94" s="291" t="s">
        <v>248</v>
      </c>
      <c r="AN94" s="325" t="s">
        <v>556</v>
      </c>
      <c r="AO94" s="292"/>
      <c r="BD94" s="292"/>
    </row>
    <row r="95" spans="1:56" x14ac:dyDescent="0.15">
      <c r="A95" s="339"/>
      <c r="B95" s="605"/>
      <c r="W95" s="605"/>
      <c r="X95" s="291" t="s">
        <v>244</v>
      </c>
      <c r="AC95" s="291">
        <v>1</v>
      </c>
      <c r="AD95" s="292"/>
      <c r="AH95" s="605"/>
      <c r="AI95" s="291" t="s">
        <v>244</v>
      </c>
      <c r="AN95" s="502">
        <v>4</v>
      </c>
      <c r="AO95" s="292"/>
      <c r="BD95" s="292"/>
    </row>
    <row r="96" spans="1:56" x14ac:dyDescent="0.15">
      <c r="A96" s="339"/>
      <c r="B96" s="605"/>
      <c r="W96" s="605"/>
      <c r="X96" s="291" t="s">
        <v>261</v>
      </c>
      <c r="AC96" s="291">
        <v>4</v>
      </c>
      <c r="AD96" s="292"/>
      <c r="AH96" s="605"/>
      <c r="AI96" s="291" t="s">
        <v>263</v>
      </c>
      <c r="AN96" s="503">
        <v>6</v>
      </c>
      <c r="AO96" s="292"/>
      <c r="AP96" s="343" t="s">
        <v>628</v>
      </c>
      <c r="BD96" s="292"/>
    </row>
    <row r="97" spans="1:56" x14ac:dyDescent="0.15">
      <c r="A97" s="339"/>
      <c r="B97" s="605"/>
      <c r="W97" s="605"/>
      <c r="X97" s="291" t="s">
        <v>560</v>
      </c>
      <c r="AC97" s="291">
        <v>1</v>
      </c>
      <c r="AD97" s="292" t="s">
        <v>849</v>
      </c>
      <c r="AH97" s="605"/>
      <c r="AI97" s="291" t="s">
        <v>270</v>
      </c>
      <c r="AN97" s="501">
        <v>0</v>
      </c>
      <c r="AO97" s="292"/>
      <c r="AP97" s="343" t="s">
        <v>655</v>
      </c>
      <c r="BD97" s="292"/>
    </row>
    <row r="98" spans="1:56" x14ac:dyDescent="0.15">
      <c r="A98" s="339"/>
      <c r="B98" s="605"/>
      <c r="W98" s="605"/>
      <c r="X98" s="291" t="s">
        <v>282</v>
      </c>
      <c r="AC98" s="291">
        <v>0</v>
      </c>
      <c r="AD98" s="292"/>
      <c r="AH98" s="605"/>
      <c r="AI98" s="291" t="s">
        <v>276</v>
      </c>
      <c r="AN98" s="501">
        <v>96</v>
      </c>
      <c r="AO98" s="292"/>
      <c r="AP98" s="343" t="s">
        <v>856</v>
      </c>
      <c r="BD98" s="292"/>
    </row>
    <row r="99" spans="1:56" x14ac:dyDescent="0.15">
      <c r="A99" s="339"/>
      <c r="B99" s="605"/>
      <c r="W99" s="1041"/>
      <c r="X99" s="1042" t="s">
        <v>295</v>
      </c>
      <c r="Y99" s="1042"/>
      <c r="Z99" s="1042"/>
      <c r="AA99" s="1042"/>
      <c r="AB99" s="1042"/>
      <c r="AC99" s="1042">
        <v>0</v>
      </c>
      <c r="AD99" s="1043"/>
      <c r="AH99" s="605"/>
      <c r="AI99" s="291" t="s">
        <v>315</v>
      </c>
      <c r="AN99" s="503">
        <v>91121</v>
      </c>
      <c r="AO99" s="292"/>
      <c r="AP99" s="343" t="s">
        <v>857</v>
      </c>
      <c r="BD99" s="292"/>
    </row>
    <row r="100" spans="1:56" x14ac:dyDescent="0.15">
      <c r="A100" s="339"/>
      <c r="B100" s="605"/>
      <c r="AH100" s="1041"/>
      <c r="AI100" s="1042" t="s">
        <v>853</v>
      </c>
      <c r="AJ100" s="1042"/>
      <c r="AK100" s="1042"/>
      <c r="AL100" s="1042"/>
      <c r="AM100" s="1042"/>
      <c r="AN100" s="1079">
        <v>0</v>
      </c>
      <c r="AO100" s="1043"/>
      <c r="BD100" s="292"/>
    </row>
    <row r="101" spans="1:56" x14ac:dyDescent="0.15">
      <c r="A101" s="339"/>
      <c r="B101" s="605"/>
      <c r="BD101" s="292"/>
    </row>
    <row r="102" spans="1:56" x14ac:dyDescent="0.15">
      <c r="A102" s="339"/>
      <c r="B102" s="605"/>
      <c r="S102" s="325"/>
      <c r="BD102" s="292"/>
    </row>
    <row r="103" spans="1:56" x14ac:dyDescent="0.15">
      <c r="B103" s="605"/>
      <c r="D103" s="325"/>
      <c r="F103" s="325"/>
      <c r="I103" s="325"/>
      <c r="M103" s="325"/>
      <c r="W103" s="291" t="s">
        <v>551</v>
      </c>
      <c r="AH103" s="291" t="s">
        <v>858</v>
      </c>
      <c r="AP103" s="343" t="s">
        <v>859</v>
      </c>
      <c r="BD103" s="292"/>
    </row>
    <row r="104" spans="1:56" x14ac:dyDescent="0.15">
      <c r="A104" s="339"/>
      <c r="B104" s="605"/>
      <c r="W104" s="1038" t="s">
        <v>137</v>
      </c>
      <c r="X104" s="1039"/>
      <c r="Y104" s="1039"/>
      <c r="Z104" s="1039"/>
      <c r="AA104" s="1039"/>
      <c r="AB104" s="1039"/>
      <c r="AC104" s="1039"/>
      <c r="AD104" s="1040"/>
      <c r="AH104" s="1038" t="s">
        <v>35</v>
      </c>
      <c r="AI104" s="1039"/>
      <c r="AJ104" s="1039"/>
      <c r="AK104" s="1039"/>
      <c r="AL104" s="1039"/>
      <c r="AM104" s="1039"/>
      <c r="AN104" s="1039"/>
      <c r="AO104" s="1040"/>
      <c r="BD104" s="292"/>
    </row>
    <row r="105" spans="1:56" x14ac:dyDescent="0.15">
      <c r="A105" s="339"/>
      <c r="B105" s="605"/>
      <c r="W105" s="605"/>
      <c r="X105" s="291" t="s">
        <v>248</v>
      </c>
      <c r="AC105" s="325" t="s">
        <v>556</v>
      </c>
      <c r="AD105" s="292"/>
      <c r="AH105" s="605"/>
      <c r="AI105" s="291" t="s">
        <v>248</v>
      </c>
      <c r="AN105" s="325" t="s">
        <v>556</v>
      </c>
      <c r="AO105" s="292"/>
      <c r="BD105" s="292"/>
    </row>
    <row r="106" spans="1:56" x14ac:dyDescent="0.15">
      <c r="A106" s="339"/>
      <c r="B106" s="605"/>
      <c r="W106" s="605"/>
      <c r="X106" s="291" t="s">
        <v>244</v>
      </c>
      <c r="AC106" s="291">
        <v>1</v>
      </c>
      <c r="AD106" s="292"/>
      <c r="AH106" s="605"/>
      <c r="AI106" s="291" t="s">
        <v>244</v>
      </c>
      <c r="AN106" s="502">
        <v>3</v>
      </c>
      <c r="AO106" s="292"/>
      <c r="BD106" s="292"/>
    </row>
    <row r="107" spans="1:56" x14ac:dyDescent="0.15">
      <c r="A107" s="339"/>
      <c r="B107" s="605"/>
      <c r="W107" s="605"/>
      <c r="X107" s="291" t="s">
        <v>261</v>
      </c>
      <c r="AC107" s="291">
        <v>3</v>
      </c>
      <c r="AD107" s="292"/>
      <c r="AH107" s="605"/>
      <c r="AI107" s="291" t="s">
        <v>263</v>
      </c>
      <c r="AN107" s="503">
        <v>6</v>
      </c>
      <c r="AO107" s="292"/>
      <c r="AP107" s="343" t="s">
        <v>628</v>
      </c>
      <c r="BD107" s="292"/>
    </row>
    <row r="108" spans="1:56" x14ac:dyDescent="0.15">
      <c r="A108" s="339"/>
      <c r="B108" s="605"/>
      <c r="W108" s="605"/>
      <c r="X108" s="291" t="s">
        <v>560</v>
      </c>
      <c r="AC108" s="291">
        <v>1</v>
      </c>
      <c r="AD108" s="292" t="s">
        <v>849</v>
      </c>
      <c r="AH108" s="605"/>
      <c r="AI108" s="291" t="s">
        <v>270</v>
      </c>
      <c r="AN108" s="501">
        <v>0</v>
      </c>
      <c r="AO108" s="292"/>
      <c r="AP108" s="343" t="s">
        <v>655</v>
      </c>
      <c r="BD108" s="292"/>
    </row>
    <row r="109" spans="1:56" x14ac:dyDescent="0.15">
      <c r="A109" s="339"/>
      <c r="B109" s="605"/>
      <c r="W109" s="605"/>
      <c r="X109" s="291" t="s">
        <v>282</v>
      </c>
      <c r="AC109" s="291">
        <v>0</v>
      </c>
      <c r="AD109" s="292"/>
      <c r="AH109" s="605"/>
      <c r="AI109" s="291" t="s">
        <v>276</v>
      </c>
      <c r="AN109" s="501">
        <v>95</v>
      </c>
      <c r="AO109" s="292"/>
      <c r="AP109" s="343" t="s">
        <v>860</v>
      </c>
      <c r="BD109" s="292"/>
    </row>
    <row r="110" spans="1:56" x14ac:dyDescent="0.15">
      <c r="A110" s="339"/>
      <c r="B110" s="605"/>
      <c r="W110" s="1041"/>
      <c r="X110" s="1042" t="s">
        <v>295</v>
      </c>
      <c r="Y110" s="1042"/>
      <c r="Z110" s="1042"/>
      <c r="AA110" s="1042"/>
      <c r="AB110" s="1042"/>
      <c r="AC110" s="1042">
        <v>0</v>
      </c>
      <c r="AD110" s="1043"/>
      <c r="AH110" s="605"/>
      <c r="AI110" s="291" t="s">
        <v>315</v>
      </c>
      <c r="AN110" s="503">
        <v>91141</v>
      </c>
      <c r="AO110" s="292"/>
      <c r="AP110" s="343" t="s">
        <v>861</v>
      </c>
      <c r="BD110" s="292"/>
    </row>
    <row r="111" spans="1:56" x14ac:dyDescent="0.15">
      <c r="A111" s="339"/>
      <c r="B111" s="605"/>
      <c r="AH111" s="1041"/>
      <c r="AI111" s="1042" t="s">
        <v>853</v>
      </c>
      <c r="AJ111" s="1042"/>
      <c r="AK111" s="1042"/>
      <c r="AL111" s="1042"/>
      <c r="AM111" s="1042"/>
      <c r="AN111" s="1079">
        <v>0</v>
      </c>
      <c r="AO111" s="1043"/>
      <c r="BD111" s="292"/>
    </row>
    <row r="112" spans="1:56" x14ac:dyDescent="0.15">
      <c r="A112" s="339"/>
      <c r="B112" s="605"/>
      <c r="BD112" s="292"/>
    </row>
    <row r="113" spans="1:57" x14ac:dyDescent="0.15">
      <c r="A113" s="339"/>
      <c r="B113" s="605"/>
      <c r="S113" s="325"/>
      <c r="BD113" s="292"/>
    </row>
    <row r="114" spans="1:57" x14ac:dyDescent="0.15">
      <c r="A114" s="339"/>
      <c r="B114" s="605"/>
      <c r="S114" s="325"/>
      <c r="BD114" s="292"/>
    </row>
    <row r="115" spans="1:57" x14ac:dyDescent="0.15">
      <c r="A115" s="339"/>
      <c r="B115" s="605"/>
      <c r="S115" s="325"/>
      <c r="BD115" s="292"/>
    </row>
    <row r="116" spans="1:57" x14ac:dyDescent="0.15">
      <c r="A116" s="339"/>
      <c r="B116" s="605"/>
      <c r="S116" s="325"/>
      <c r="BD116" s="292"/>
    </row>
    <row r="117" spans="1:57" x14ac:dyDescent="0.15">
      <c r="A117" s="339"/>
      <c r="B117" s="605"/>
      <c r="S117" s="325"/>
      <c r="BD117" s="292"/>
    </row>
    <row r="118" spans="1:57" x14ac:dyDescent="0.15">
      <c r="A118" s="339"/>
      <c r="B118" s="605"/>
      <c r="S118" s="325"/>
      <c r="BD118" s="292"/>
    </row>
    <row r="119" spans="1:57" x14ac:dyDescent="0.15">
      <c r="B119" s="1041"/>
      <c r="C119" s="1042"/>
      <c r="D119" s="1042"/>
      <c r="E119" s="1042"/>
      <c r="F119" s="1042"/>
      <c r="G119" s="1042"/>
      <c r="H119" s="1042"/>
      <c r="I119" s="1042"/>
      <c r="J119" s="1042"/>
      <c r="K119" s="1042"/>
      <c r="L119" s="1042"/>
      <c r="M119" s="1042"/>
      <c r="N119" s="1042"/>
      <c r="O119" s="1042"/>
      <c r="P119" s="1042"/>
      <c r="Q119" s="1042"/>
      <c r="R119" s="1042"/>
      <c r="S119" s="1042"/>
      <c r="T119" s="1042"/>
      <c r="U119" s="1042"/>
      <c r="V119" s="1042"/>
      <c r="W119" s="1042"/>
      <c r="X119" s="1042"/>
      <c r="Y119" s="1042"/>
      <c r="Z119" s="1042"/>
      <c r="AA119" s="1042"/>
      <c r="AB119" s="1042"/>
      <c r="AC119" s="1042"/>
      <c r="AD119" s="1042"/>
      <c r="AE119" s="1042"/>
      <c r="AF119" s="1042"/>
      <c r="AG119" s="1042"/>
      <c r="AH119" s="1042"/>
      <c r="AI119" s="1042"/>
      <c r="AJ119" s="1042"/>
      <c r="AK119" s="1042"/>
      <c r="AL119" s="1042"/>
      <c r="AM119" s="1042"/>
      <c r="AN119" s="1042"/>
      <c r="AO119" s="1042"/>
      <c r="AP119" s="1042"/>
      <c r="AQ119" s="1042"/>
      <c r="AR119" s="1042"/>
      <c r="AS119" s="1042"/>
      <c r="AT119" s="1042"/>
      <c r="AU119" s="1042"/>
      <c r="AV119" s="1042"/>
      <c r="AW119" s="1042"/>
      <c r="AX119" s="1042"/>
      <c r="AY119" s="1042"/>
      <c r="AZ119" s="1042"/>
      <c r="BA119" s="1042"/>
      <c r="BB119" s="1042"/>
      <c r="BC119" s="1042"/>
      <c r="BD119" s="1043"/>
    </row>
    <row r="120" spans="1:57" ht="12" thickBot="1" x14ac:dyDescent="0.2"/>
    <row r="121" spans="1:57" ht="12.75" thickTop="1" x14ac:dyDescent="0.15">
      <c r="B121" s="50" t="s">
        <v>6</v>
      </c>
      <c r="C121" s="51"/>
      <c r="D121" s="51"/>
      <c r="E121" s="51"/>
      <c r="F121" s="51"/>
      <c r="G121" s="51"/>
      <c r="H121" s="51"/>
      <c r="I121" s="51"/>
      <c r="J121" s="51"/>
      <c r="K121" s="51"/>
      <c r="L121" s="51"/>
      <c r="M121" s="51"/>
      <c r="N121" s="52"/>
      <c r="O121" s="677" t="s">
        <v>7</v>
      </c>
      <c r="P121" s="830"/>
      <c r="Q121" s="830"/>
      <c r="R121" s="830"/>
      <c r="S121" s="830"/>
      <c r="T121" s="831"/>
      <c r="U121" s="1250" t="s">
        <v>8</v>
      </c>
      <c r="V121" s="1248"/>
      <c r="W121" s="1248"/>
      <c r="X121" s="1248"/>
      <c r="Y121" s="1248"/>
      <c r="Z121" s="1248"/>
      <c r="AA121" s="1249"/>
      <c r="AB121" s="1306" t="str">
        <f>AB$1</f>
        <v>取引ログ作成時の注意事項（値引併用）</v>
      </c>
      <c r="AC121" s="1307"/>
      <c r="AD121" s="1307"/>
      <c r="AE121" s="1307"/>
      <c r="AF121" s="1307"/>
      <c r="AG121" s="1307"/>
      <c r="AH121" s="1307"/>
      <c r="AI121" s="1307"/>
      <c r="AJ121" s="1307"/>
      <c r="AK121" s="1307"/>
      <c r="AL121" s="1307"/>
      <c r="AM121" s="1307"/>
      <c r="AN121" s="1308"/>
      <c r="AO121" s="1250" t="s">
        <v>10</v>
      </c>
      <c r="AP121" s="1249"/>
      <c r="AQ121" s="1303" t="s">
        <v>11</v>
      </c>
      <c r="AR121" s="1304"/>
      <c r="AS121" s="1305"/>
      <c r="AT121" s="1250" t="s">
        <v>12</v>
      </c>
      <c r="AU121" s="1248"/>
      <c r="AV121" s="1248"/>
      <c r="AW121" s="1249"/>
      <c r="AX121" s="1303" t="s">
        <v>13</v>
      </c>
      <c r="AY121" s="1304"/>
      <c r="AZ121" s="1305"/>
      <c r="BA121" s="1250" t="s">
        <v>14</v>
      </c>
      <c r="BB121" s="1248"/>
      <c r="BC121" s="1248"/>
      <c r="BD121" s="1249"/>
      <c r="BE121" s="355" t="s">
        <v>701</v>
      </c>
    </row>
    <row r="122" spans="1:57" ht="12.75" thickBot="1" x14ac:dyDescent="0.2">
      <c r="B122" s="1260" t="s">
        <v>15</v>
      </c>
      <c r="C122" s="1261"/>
      <c r="D122" s="1261"/>
      <c r="E122" s="1261"/>
      <c r="F122" s="1261"/>
      <c r="G122" s="1261"/>
      <c r="H122" s="1261"/>
      <c r="I122" s="1261"/>
      <c r="J122" s="1261"/>
      <c r="K122" s="1261"/>
      <c r="L122" s="1261"/>
      <c r="M122" s="1261"/>
      <c r="N122" s="1262"/>
      <c r="O122" s="678" t="s">
        <v>16</v>
      </c>
      <c r="P122" s="834"/>
      <c r="Q122" s="834"/>
      <c r="R122" s="834"/>
      <c r="S122" s="834"/>
      <c r="T122" s="835"/>
      <c r="U122" s="1266" t="s">
        <v>163</v>
      </c>
      <c r="V122" s="1264"/>
      <c r="W122" s="1264"/>
      <c r="X122" s="1264"/>
      <c r="Y122" s="1264"/>
      <c r="Z122" s="1264"/>
      <c r="AA122" s="1265"/>
      <c r="AB122" s="1309"/>
      <c r="AC122" s="1310"/>
      <c r="AD122" s="1310"/>
      <c r="AE122" s="1310"/>
      <c r="AF122" s="1310"/>
      <c r="AG122" s="1310"/>
      <c r="AH122" s="1310"/>
      <c r="AI122" s="1310"/>
      <c r="AJ122" s="1310"/>
      <c r="AK122" s="1310"/>
      <c r="AL122" s="1310"/>
      <c r="AM122" s="1310"/>
      <c r="AN122" s="1311"/>
      <c r="AO122" s="1267">
        <f>AO$2</f>
        <v>1.1200000000000001</v>
      </c>
      <c r="AP122" s="1268"/>
      <c r="AQ122" s="1266" t="str">
        <f>AQ$2</f>
        <v>富士通</v>
      </c>
      <c r="AR122" s="1264"/>
      <c r="AS122" s="1265"/>
      <c r="AT122" s="1269">
        <f>AT$2</f>
        <v>45709</v>
      </c>
      <c r="AU122" s="1270"/>
      <c r="AV122" s="1270"/>
      <c r="AW122" s="1270"/>
      <c r="AX122" s="1266" t="s">
        <v>18</v>
      </c>
      <c r="AY122" s="1264"/>
      <c r="AZ122" s="1265"/>
      <c r="BA122" s="1269">
        <v>45588</v>
      </c>
      <c r="BB122" s="1270"/>
      <c r="BC122" s="1270"/>
      <c r="BD122" s="1271"/>
    </row>
    <row r="123" spans="1:57" ht="12" thickTop="1" x14ac:dyDescent="0.15"/>
    <row r="124" spans="1:57" x14ac:dyDescent="0.15">
      <c r="B124" s="1038"/>
      <c r="C124" s="1039"/>
      <c r="D124" s="1039"/>
      <c r="E124" s="1039"/>
      <c r="F124" s="1039"/>
      <c r="G124" s="1039"/>
      <c r="H124" s="1039"/>
      <c r="I124" s="1039"/>
      <c r="J124" s="1039"/>
      <c r="K124" s="1039"/>
      <c r="L124" s="1039"/>
      <c r="M124" s="1039"/>
      <c r="N124" s="1039"/>
      <c r="O124" s="1039"/>
      <c r="P124" s="1039"/>
      <c r="Q124" s="1039"/>
      <c r="R124" s="1039"/>
      <c r="S124" s="1039"/>
      <c r="T124" s="1039"/>
      <c r="U124" s="1039"/>
      <c r="V124" s="1039"/>
      <c r="W124" s="1039"/>
      <c r="X124" s="1039"/>
      <c r="Y124" s="1039"/>
      <c r="Z124" s="1039"/>
      <c r="AA124" s="1039"/>
      <c r="AB124" s="1039"/>
      <c r="AC124" s="1039"/>
      <c r="AD124" s="1039"/>
      <c r="AE124" s="1039"/>
      <c r="AF124" s="1039"/>
      <c r="AG124" s="1039"/>
      <c r="AH124" s="1039"/>
      <c r="AI124" s="1039"/>
      <c r="AJ124" s="1039"/>
      <c r="AK124" s="1039"/>
      <c r="AL124" s="1039"/>
      <c r="AM124" s="1039"/>
      <c r="AN124" s="1039"/>
      <c r="AO124" s="1039"/>
      <c r="AP124" s="1039"/>
      <c r="AQ124" s="1039"/>
      <c r="AR124" s="1039"/>
      <c r="AS124" s="1039"/>
      <c r="AT124" s="1039"/>
      <c r="AU124" s="1039"/>
      <c r="AV124" s="1039"/>
      <c r="AW124" s="1039"/>
      <c r="AX124" s="1039"/>
      <c r="AY124" s="1039"/>
      <c r="AZ124" s="1039"/>
      <c r="BA124" s="1039"/>
      <c r="BB124" s="1039"/>
      <c r="BC124" s="1039"/>
      <c r="BD124" s="1040"/>
    </row>
    <row r="125" spans="1:57" x14ac:dyDescent="0.15">
      <c r="A125" s="339"/>
      <c r="B125" s="605"/>
      <c r="C125" s="345" t="s">
        <v>589</v>
      </c>
      <c r="D125" s="291" t="s">
        <v>862</v>
      </c>
      <c r="BD125" s="292"/>
    </row>
    <row r="126" spans="1:57" x14ac:dyDescent="0.15">
      <c r="A126" s="339"/>
      <c r="B126" s="605"/>
      <c r="BD126" s="292"/>
    </row>
    <row r="127" spans="1:57" x14ac:dyDescent="0.15">
      <c r="A127" s="339"/>
      <c r="B127" s="605"/>
      <c r="D127" s="504" t="s">
        <v>832</v>
      </c>
      <c r="E127" s="506"/>
      <c r="F127" s="506"/>
      <c r="G127" s="506"/>
      <c r="H127" s="506"/>
      <c r="I127" s="506"/>
      <c r="J127" s="506"/>
      <c r="K127" s="506"/>
      <c r="L127" s="506"/>
      <c r="M127" s="506"/>
      <c r="N127" s="506"/>
      <c r="O127" s="506"/>
      <c r="P127" s="506"/>
      <c r="Q127" s="506"/>
      <c r="R127" s="506"/>
      <c r="S127" s="507"/>
      <c r="T127" s="506"/>
      <c r="U127" s="506"/>
      <c r="V127" s="506"/>
      <c r="W127" s="506"/>
      <c r="X127" s="506"/>
      <c r="Y127" s="506"/>
      <c r="Z127" s="506"/>
      <c r="AA127" s="506"/>
      <c r="BD127" s="292"/>
    </row>
    <row r="128" spans="1:57" x14ac:dyDescent="0.15">
      <c r="A128" s="339"/>
      <c r="B128" s="605"/>
      <c r="S128" s="325"/>
      <c r="BD128" s="292"/>
    </row>
    <row r="129" spans="1:56" x14ac:dyDescent="0.15">
      <c r="A129" s="339"/>
      <c r="B129" s="605"/>
      <c r="C129" s="325" t="s">
        <v>161</v>
      </c>
      <c r="D129" s="558" t="s">
        <v>863</v>
      </c>
      <c r="BD129" s="292"/>
    </row>
    <row r="130" spans="1:56" x14ac:dyDescent="0.15">
      <c r="B130" s="605"/>
      <c r="BD130" s="292"/>
    </row>
    <row r="131" spans="1:56" x14ac:dyDescent="0.15">
      <c r="A131" s="339"/>
      <c r="B131" s="605"/>
      <c r="D131" s="291" t="s">
        <v>703</v>
      </c>
      <c r="BD131" s="292"/>
    </row>
    <row r="132" spans="1:56" x14ac:dyDescent="0.15">
      <c r="A132" s="339"/>
      <c r="B132" s="605"/>
      <c r="D132" s="1042" t="s">
        <v>704</v>
      </c>
      <c r="E132" s="1042"/>
      <c r="F132" s="1042" t="s">
        <v>833</v>
      </c>
      <c r="G132" s="1042"/>
      <c r="H132" s="1042" t="s">
        <v>834</v>
      </c>
      <c r="I132" s="1042"/>
      <c r="J132" s="1042" t="s">
        <v>705</v>
      </c>
      <c r="K132" s="1042"/>
      <c r="L132" s="1042"/>
      <c r="M132" s="1042"/>
      <c r="N132" s="1042"/>
      <c r="O132" s="1042" t="s">
        <v>835</v>
      </c>
      <c r="P132" s="1042"/>
      <c r="Q132" s="1042"/>
      <c r="R132" s="1042" t="s">
        <v>706</v>
      </c>
      <c r="S132" s="1042"/>
      <c r="T132" s="1042"/>
      <c r="U132" s="1042" t="s">
        <v>711</v>
      </c>
      <c r="V132" s="1042"/>
      <c r="W132" s="1042"/>
      <c r="X132" s="1042"/>
      <c r="Y132" s="1042"/>
      <c r="Z132" s="1042"/>
      <c r="AA132" s="1042"/>
      <c r="AB132" s="1042"/>
      <c r="AC132" s="1042"/>
      <c r="AD132" s="1042"/>
      <c r="AE132" s="1042"/>
      <c r="AF132" s="1042"/>
      <c r="AG132" s="1042"/>
      <c r="AH132" s="1042"/>
      <c r="AI132" s="1042"/>
      <c r="AJ132" s="1042"/>
      <c r="BD132" s="292"/>
    </row>
    <row r="133" spans="1:56" x14ac:dyDescent="0.15">
      <c r="B133" s="605"/>
      <c r="D133" s="291">
        <v>1</v>
      </c>
      <c r="F133" s="341" t="s">
        <v>864</v>
      </c>
      <c r="H133" s="341" t="s">
        <v>865</v>
      </c>
      <c r="J133" s="340" t="s">
        <v>866</v>
      </c>
      <c r="L133" s="340"/>
      <c r="M133" s="340"/>
      <c r="N133" s="340"/>
      <c r="O133" s="557">
        <v>100</v>
      </c>
      <c r="P133" s="340"/>
      <c r="R133" s="340" t="s">
        <v>541</v>
      </c>
      <c r="S133" s="340"/>
      <c r="T133" s="340"/>
      <c r="W133" s="340"/>
      <c r="X133" s="340"/>
      <c r="Z133" s="340"/>
      <c r="BD133" s="292"/>
    </row>
    <row r="134" spans="1:56" x14ac:dyDescent="0.15">
      <c r="B134" s="605"/>
      <c r="G134" s="340"/>
      <c r="H134" s="340"/>
      <c r="I134" s="340"/>
      <c r="J134" s="550" t="s">
        <v>508</v>
      </c>
      <c r="K134" s="550"/>
      <c r="L134" s="550"/>
      <c r="M134" s="551"/>
      <c r="N134" s="551"/>
      <c r="O134" s="550" t="s">
        <v>838</v>
      </c>
      <c r="P134" s="550"/>
      <c r="Q134" s="550"/>
      <c r="R134" s="550" t="s">
        <v>839</v>
      </c>
      <c r="S134" s="550"/>
      <c r="T134" s="550"/>
      <c r="U134" s="549" t="s">
        <v>840</v>
      </c>
      <c r="V134" s="549"/>
      <c r="W134" s="548"/>
      <c r="X134" s="549"/>
      <c r="Y134" s="548"/>
      <c r="Z134" s="548"/>
      <c r="AA134" s="548"/>
      <c r="AB134" s="548"/>
      <c r="AC134" s="548"/>
      <c r="AD134" s="548"/>
      <c r="AE134" s="548"/>
      <c r="BD134" s="292"/>
    </row>
    <row r="135" spans="1:56" x14ac:dyDescent="0.15">
      <c r="B135" s="605"/>
      <c r="G135" s="340"/>
      <c r="H135" s="340"/>
      <c r="I135" s="340"/>
      <c r="J135" s="340" t="s">
        <v>841</v>
      </c>
      <c r="K135" s="340"/>
      <c r="L135" s="340"/>
      <c r="M135" s="341"/>
      <c r="N135" s="341"/>
      <c r="O135" s="554">
        <v>93</v>
      </c>
      <c r="P135" s="340"/>
      <c r="Q135" s="340"/>
      <c r="R135" s="340" t="s">
        <v>612</v>
      </c>
      <c r="S135" s="340"/>
      <c r="T135" s="340"/>
      <c r="U135" s="340"/>
      <c r="V135" s="340"/>
      <c r="X135" s="340"/>
      <c r="BD135" s="292"/>
    </row>
    <row r="136" spans="1:56" x14ac:dyDescent="0.15">
      <c r="B136" s="605"/>
      <c r="G136" s="340"/>
      <c r="H136" s="340"/>
      <c r="I136" s="325" t="s">
        <v>842</v>
      </c>
      <c r="J136" s="340" t="s">
        <v>867</v>
      </c>
      <c r="K136" s="340"/>
      <c r="L136" s="340"/>
      <c r="M136" s="341"/>
      <c r="N136" s="341"/>
      <c r="O136" s="555">
        <v>0.15</v>
      </c>
      <c r="P136" s="340"/>
      <c r="Q136" s="340"/>
      <c r="R136" s="340" t="s">
        <v>868</v>
      </c>
      <c r="S136" s="340"/>
      <c r="T136" s="340"/>
      <c r="U136" s="340" t="s">
        <v>869</v>
      </c>
      <c r="V136" s="340"/>
      <c r="X136" s="340"/>
      <c r="BD136" s="292"/>
    </row>
    <row r="137" spans="1:56" x14ac:dyDescent="0.15">
      <c r="B137" s="605"/>
      <c r="D137" s="325"/>
      <c r="F137" s="325"/>
      <c r="I137" s="325"/>
      <c r="M137" s="325"/>
      <c r="BD137" s="292"/>
    </row>
    <row r="138" spans="1:56" x14ac:dyDescent="0.15">
      <c r="B138" s="605"/>
      <c r="D138" s="325"/>
      <c r="F138" s="325"/>
      <c r="I138" s="325"/>
      <c r="M138" s="325"/>
      <c r="BD138" s="292"/>
    </row>
    <row r="139" spans="1:56" x14ac:dyDescent="0.15">
      <c r="B139" s="605"/>
      <c r="D139" s="340" t="s">
        <v>846</v>
      </c>
      <c r="E139" s="340"/>
      <c r="F139" s="340"/>
      <c r="G139" s="340"/>
      <c r="H139" s="340"/>
      <c r="I139" s="340"/>
      <c r="J139" s="340"/>
      <c r="K139" s="340"/>
      <c r="L139" s="340"/>
      <c r="M139" s="340"/>
      <c r="N139" s="340"/>
      <c r="O139" s="340"/>
      <c r="P139" s="340"/>
      <c r="Q139" s="340"/>
      <c r="R139" s="340"/>
      <c r="S139" s="340"/>
      <c r="U139" s="340"/>
      <c r="BD139" s="292"/>
    </row>
    <row r="140" spans="1:56" x14ac:dyDescent="0.15">
      <c r="B140" s="605"/>
      <c r="D140" s="325"/>
      <c r="F140" s="325"/>
      <c r="I140" s="325"/>
      <c r="M140" s="325"/>
      <c r="AF140" s="342"/>
      <c r="AG140" s="342" t="s">
        <v>847</v>
      </c>
      <c r="BD140" s="292"/>
    </row>
    <row r="141" spans="1:56" x14ac:dyDescent="0.15">
      <c r="B141" s="605"/>
      <c r="D141" s="291" t="s">
        <v>549</v>
      </c>
      <c r="M141" s="291" t="s">
        <v>741</v>
      </c>
      <c r="W141" s="291" t="s">
        <v>551</v>
      </c>
      <c r="AH141" s="291" t="s">
        <v>848</v>
      </c>
      <c r="BD141" s="292"/>
    </row>
    <row r="142" spans="1:56" x14ac:dyDescent="0.15">
      <c r="B142" s="605"/>
      <c r="D142" s="1038" t="s">
        <v>552</v>
      </c>
      <c r="E142" s="1039"/>
      <c r="F142" s="1039"/>
      <c r="G142" s="1039"/>
      <c r="H142" s="1039"/>
      <c r="I142" s="1039"/>
      <c r="J142" s="1039"/>
      <c r="K142" s="1040"/>
      <c r="M142" s="1038" t="s">
        <v>553</v>
      </c>
      <c r="N142" s="1039"/>
      <c r="O142" s="1039"/>
      <c r="P142" s="1039"/>
      <c r="Q142" s="1039"/>
      <c r="R142" s="1039"/>
      <c r="S142" s="1039"/>
      <c r="T142" s="1039"/>
      <c r="U142" s="1040"/>
      <c r="W142" s="1038" t="s">
        <v>137</v>
      </c>
      <c r="X142" s="1039"/>
      <c r="Y142" s="1039"/>
      <c r="Z142" s="1039"/>
      <c r="AA142" s="1039"/>
      <c r="AB142" s="1039"/>
      <c r="AC142" s="1039"/>
      <c r="AD142" s="1040"/>
      <c r="AH142" s="1038" t="s">
        <v>35</v>
      </c>
      <c r="AI142" s="1039"/>
      <c r="AJ142" s="1039"/>
      <c r="AK142" s="1039"/>
      <c r="AL142" s="1039"/>
      <c r="AM142" s="1039"/>
      <c r="AN142" s="1039"/>
      <c r="AO142" s="1040"/>
      <c r="BD142" s="292"/>
    </row>
    <row r="143" spans="1:56" x14ac:dyDescent="0.15">
      <c r="B143" s="605"/>
      <c r="D143" s="605"/>
      <c r="E143" s="291" t="s">
        <v>248</v>
      </c>
      <c r="J143" s="325" t="s">
        <v>556</v>
      </c>
      <c r="K143" s="292"/>
      <c r="M143" s="605"/>
      <c r="N143" s="291" t="s">
        <v>248</v>
      </c>
      <c r="T143" s="325" t="s">
        <v>556</v>
      </c>
      <c r="U143" s="292"/>
      <c r="W143" s="605"/>
      <c r="X143" s="291" t="s">
        <v>248</v>
      </c>
      <c r="AC143" s="325" t="s">
        <v>556</v>
      </c>
      <c r="AD143" s="292"/>
      <c r="AH143" s="605"/>
      <c r="AI143" s="291" t="s">
        <v>248</v>
      </c>
      <c r="AN143" s="325" t="s">
        <v>556</v>
      </c>
      <c r="AO143" s="292"/>
      <c r="BD143" s="292"/>
    </row>
    <row r="144" spans="1:56" x14ac:dyDescent="0.15">
      <c r="B144" s="605"/>
      <c r="D144" s="605"/>
      <c r="E144" s="291" t="s">
        <v>259</v>
      </c>
      <c r="J144" s="291">
        <v>1</v>
      </c>
      <c r="K144" s="292"/>
      <c r="M144" s="605"/>
      <c r="N144" s="291" t="s">
        <v>244</v>
      </c>
      <c r="T144" s="291">
        <v>1</v>
      </c>
      <c r="U144" s="292"/>
      <c r="W144" s="605"/>
      <c r="X144" s="291" t="s">
        <v>244</v>
      </c>
      <c r="AC144" s="291">
        <v>1</v>
      </c>
      <c r="AD144" s="292"/>
      <c r="AH144" s="605"/>
      <c r="AI144" s="291" t="s">
        <v>244</v>
      </c>
      <c r="AN144" s="502">
        <v>3</v>
      </c>
      <c r="AO144" s="292"/>
      <c r="BD144" s="292"/>
    </row>
    <row r="145" spans="1:56" x14ac:dyDescent="0.15">
      <c r="B145" s="605"/>
      <c r="D145" s="1041"/>
      <c r="E145" s="1042"/>
      <c r="F145" s="1042"/>
      <c r="G145" s="1042"/>
      <c r="H145" s="1042"/>
      <c r="I145" s="1042"/>
      <c r="J145" s="1042"/>
      <c r="K145" s="1043"/>
      <c r="M145" s="605"/>
      <c r="N145" s="291" t="s">
        <v>337</v>
      </c>
      <c r="T145" s="291">
        <v>1</v>
      </c>
      <c r="U145" s="292"/>
      <c r="W145" s="605"/>
      <c r="X145" s="291" t="s">
        <v>261</v>
      </c>
      <c r="AC145" s="291">
        <v>3</v>
      </c>
      <c r="AD145" s="292"/>
      <c r="AH145" s="605"/>
      <c r="AI145" s="291" t="s">
        <v>263</v>
      </c>
      <c r="AN145" s="503">
        <v>6</v>
      </c>
      <c r="AO145" s="292"/>
      <c r="AP145" s="343" t="s">
        <v>628</v>
      </c>
      <c r="BD145" s="292"/>
    </row>
    <row r="146" spans="1:56" x14ac:dyDescent="0.15">
      <c r="B146" s="605"/>
      <c r="M146" s="605"/>
      <c r="N146" s="291" t="s">
        <v>350</v>
      </c>
      <c r="T146" s="504">
        <v>93</v>
      </c>
      <c r="U146" s="292"/>
      <c r="W146" s="605"/>
      <c r="X146" s="291" t="s">
        <v>560</v>
      </c>
      <c r="AC146" s="291">
        <v>1</v>
      </c>
      <c r="AD146" s="292" t="s">
        <v>849</v>
      </c>
      <c r="AH146" s="605"/>
      <c r="AI146" s="291" t="s">
        <v>270</v>
      </c>
      <c r="AN146" s="501">
        <v>0</v>
      </c>
      <c r="AO146" s="292"/>
      <c r="AP146" s="343" t="s">
        <v>655</v>
      </c>
      <c r="BD146" s="292"/>
    </row>
    <row r="147" spans="1:56" x14ac:dyDescent="0.15">
      <c r="B147" s="605"/>
      <c r="M147" s="605"/>
      <c r="N147" s="291" t="s">
        <v>358</v>
      </c>
      <c r="T147" s="291">
        <v>100</v>
      </c>
      <c r="U147" s="292"/>
      <c r="W147" s="605"/>
      <c r="X147" s="291" t="s">
        <v>282</v>
      </c>
      <c r="AC147" s="291">
        <v>0</v>
      </c>
      <c r="AD147" s="292"/>
      <c r="AH147" s="605"/>
      <c r="AI147" s="291" t="s">
        <v>276</v>
      </c>
      <c r="AN147" s="501">
        <v>93</v>
      </c>
      <c r="AO147" s="292"/>
      <c r="AP147" s="343" t="s">
        <v>850</v>
      </c>
      <c r="BD147" s="292"/>
    </row>
    <row r="148" spans="1:56" x14ac:dyDescent="0.15">
      <c r="B148" s="605"/>
      <c r="M148" s="1041"/>
      <c r="N148" s="1042" t="s">
        <v>740</v>
      </c>
      <c r="O148" s="1042"/>
      <c r="P148" s="1042"/>
      <c r="Q148" s="1042"/>
      <c r="R148" s="1042"/>
      <c r="S148" s="1042"/>
      <c r="T148" s="1048">
        <v>93</v>
      </c>
      <c r="U148" s="1043"/>
      <c r="W148" s="1041"/>
      <c r="X148" s="1042" t="s">
        <v>295</v>
      </c>
      <c r="Y148" s="1042"/>
      <c r="Z148" s="1042"/>
      <c r="AA148" s="1042"/>
      <c r="AB148" s="1042"/>
      <c r="AC148" s="1042">
        <v>0</v>
      </c>
      <c r="AD148" s="1043"/>
      <c r="AH148" s="605"/>
      <c r="AI148" s="291" t="s">
        <v>315</v>
      </c>
      <c r="AN148" s="503">
        <v>91111</v>
      </c>
      <c r="AO148" s="292"/>
      <c r="AP148" s="343" t="s">
        <v>851</v>
      </c>
      <c r="BD148" s="292"/>
    </row>
    <row r="149" spans="1:56" x14ac:dyDescent="0.15">
      <c r="B149" s="605"/>
      <c r="T149" s="343" t="s">
        <v>852</v>
      </c>
      <c r="AH149" s="1041"/>
      <c r="AI149" s="1042" t="s">
        <v>853</v>
      </c>
      <c r="AJ149" s="1042"/>
      <c r="AK149" s="1042"/>
      <c r="AL149" s="1042"/>
      <c r="AM149" s="1042"/>
      <c r="AN149" s="1079">
        <v>0</v>
      </c>
      <c r="AO149" s="1043"/>
      <c r="BD149" s="292"/>
    </row>
    <row r="150" spans="1:56" x14ac:dyDescent="0.15">
      <c r="B150" s="605"/>
      <c r="D150" s="325"/>
      <c r="F150" s="325"/>
      <c r="I150" s="325"/>
      <c r="T150" s="343" t="s">
        <v>854</v>
      </c>
      <c r="BD150" s="292"/>
    </row>
    <row r="151" spans="1:56" x14ac:dyDescent="0.15">
      <c r="B151" s="605"/>
      <c r="S151" s="325"/>
      <c r="BD151" s="292"/>
    </row>
    <row r="152" spans="1:56" x14ac:dyDescent="0.15">
      <c r="B152" s="605"/>
      <c r="D152" s="325"/>
      <c r="F152" s="325"/>
      <c r="I152" s="325"/>
      <c r="M152" s="325"/>
      <c r="W152" s="291" t="s">
        <v>551</v>
      </c>
      <c r="AH152" s="291" t="s">
        <v>870</v>
      </c>
      <c r="BD152" s="292"/>
    </row>
    <row r="153" spans="1:56" x14ac:dyDescent="0.15">
      <c r="A153" s="339"/>
      <c r="B153" s="605"/>
      <c r="W153" s="1038" t="s">
        <v>137</v>
      </c>
      <c r="X153" s="1039"/>
      <c r="Y153" s="1039"/>
      <c r="Z153" s="1039"/>
      <c r="AA153" s="1039"/>
      <c r="AB153" s="1039"/>
      <c r="AC153" s="1039"/>
      <c r="AD153" s="1040"/>
      <c r="AH153" s="1038" t="s">
        <v>35</v>
      </c>
      <c r="AI153" s="1039"/>
      <c r="AJ153" s="1039"/>
      <c r="AK153" s="1039"/>
      <c r="AL153" s="1039"/>
      <c r="AM153" s="1039"/>
      <c r="AN153" s="1039"/>
      <c r="AO153" s="1040"/>
      <c r="BD153" s="292"/>
    </row>
    <row r="154" spans="1:56" x14ac:dyDescent="0.15">
      <c r="A154" s="339"/>
      <c r="B154" s="605"/>
      <c r="W154" s="605"/>
      <c r="X154" s="291" t="s">
        <v>248</v>
      </c>
      <c r="AC154" s="325" t="s">
        <v>556</v>
      </c>
      <c r="AD154" s="292"/>
      <c r="AH154" s="605"/>
      <c r="AI154" s="291" t="s">
        <v>248</v>
      </c>
      <c r="AN154" s="325" t="s">
        <v>556</v>
      </c>
      <c r="AO154" s="292"/>
      <c r="BD154" s="292"/>
    </row>
    <row r="155" spans="1:56" x14ac:dyDescent="0.15">
      <c r="A155" s="339"/>
      <c r="B155" s="605"/>
      <c r="W155" s="605"/>
      <c r="X155" s="291" t="s">
        <v>244</v>
      </c>
      <c r="AC155" s="291">
        <v>1</v>
      </c>
      <c r="AD155" s="292"/>
      <c r="AH155" s="605"/>
      <c r="AI155" s="291" t="s">
        <v>244</v>
      </c>
      <c r="AN155" s="502">
        <v>4</v>
      </c>
      <c r="AO155" s="292"/>
      <c r="BD155" s="292"/>
    </row>
    <row r="156" spans="1:56" x14ac:dyDescent="0.15">
      <c r="A156" s="339"/>
      <c r="B156" s="605"/>
      <c r="W156" s="605"/>
      <c r="X156" s="291" t="s">
        <v>261</v>
      </c>
      <c r="AC156" s="291">
        <v>4</v>
      </c>
      <c r="AD156" s="292"/>
      <c r="AH156" s="605"/>
      <c r="AI156" s="291" t="s">
        <v>263</v>
      </c>
      <c r="AN156" s="503">
        <v>2</v>
      </c>
      <c r="AO156" s="292"/>
      <c r="AP156" s="343" t="s">
        <v>871</v>
      </c>
      <c r="BD156" s="292"/>
    </row>
    <row r="157" spans="1:56" x14ac:dyDescent="0.15">
      <c r="A157" s="339"/>
      <c r="B157" s="605"/>
      <c r="W157" s="605"/>
      <c r="X157" s="291" t="s">
        <v>560</v>
      </c>
      <c r="AC157" s="291">
        <v>1</v>
      </c>
      <c r="AD157" s="292" t="s">
        <v>849</v>
      </c>
      <c r="AH157" s="605"/>
      <c r="AI157" s="291" t="s">
        <v>270</v>
      </c>
      <c r="AN157" s="501">
        <v>0</v>
      </c>
      <c r="AO157" s="292"/>
      <c r="AP157" s="343" t="s">
        <v>872</v>
      </c>
      <c r="BD157" s="292"/>
    </row>
    <row r="158" spans="1:56" x14ac:dyDescent="0.15">
      <c r="A158" s="339"/>
      <c r="B158" s="605"/>
      <c r="W158" s="605"/>
      <c r="X158" s="291" t="s">
        <v>282</v>
      </c>
      <c r="AC158" s="504">
        <v>0</v>
      </c>
      <c r="AD158" s="292"/>
      <c r="AE158" s="343" t="s">
        <v>872</v>
      </c>
      <c r="AH158" s="605"/>
      <c r="AI158" s="291" t="s">
        <v>276</v>
      </c>
      <c r="AN158" s="501">
        <v>0.15</v>
      </c>
      <c r="AO158" s="292"/>
      <c r="AP158" s="343" t="s">
        <v>873</v>
      </c>
      <c r="BD158" s="292"/>
    </row>
    <row r="159" spans="1:56" x14ac:dyDescent="0.15">
      <c r="A159" s="339"/>
      <c r="B159" s="605"/>
      <c r="W159" s="1041"/>
      <c r="X159" s="1042" t="s">
        <v>295</v>
      </c>
      <c r="Y159" s="1042"/>
      <c r="Z159" s="1042"/>
      <c r="AA159" s="1042"/>
      <c r="AB159" s="1042"/>
      <c r="AC159" s="1048">
        <v>0</v>
      </c>
      <c r="AD159" s="1043"/>
      <c r="AE159" s="343" t="s">
        <v>872</v>
      </c>
      <c r="AH159" s="605"/>
      <c r="AI159" s="291" t="s">
        <v>315</v>
      </c>
      <c r="AN159" s="503">
        <v>91326</v>
      </c>
      <c r="AO159" s="292"/>
      <c r="AP159" s="343" t="s">
        <v>874</v>
      </c>
      <c r="BD159" s="292"/>
    </row>
    <row r="160" spans="1:56" x14ac:dyDescent="0.15">
      <c r="A160" s="339"/>
      <c r="B160" s="605"/>
      <c r="AH160" s="1041"/>
      <c r="AI160" s="1042" t="s">
        <v>853</v>
      </c>
      <c r="AJ160" s="1042"/>
      <c r="AK160" s="1042"/>
      <c r="AL160" s="1042"/>
      <c r="AM160" s="1042"/>
      <c r="AN160" s="1079">
        <v>0</v>
      </c>
      <c r="AO160" s="1043"/>
      <c r="BD160" s="292"/>
    </row>
    <row r="161" spans="1:56" x14ac:dyDescent="0.15">
      <c r="A161" s="339"/>
      <c r="B161" s="605"/>
      <c r="BD161" s="292"/>
    </row>
    <row r="162" spans="1:56" x14ac:dyDescent="0.15">
      <c r="A162" s="339"/>
      <c r="B162" s="605"/>
      <c r="S162" s="325"/>
      <c r="BD162" s="292"/>
    </row>
    <row r="163" spans="1:56" x14ac:dyDescent="0.15">
      <c r="B163" s="605"/>
      <c r="D163" s="325"/>
      <c r="F163" s="325"/>
      <c r="I163" s="325"/>
      <c r="M163" s="325"/>
      <c r="BD163" s="292"/>
    </row>
    <row r="164" spans="1:56" x14ac:dyDescent="0.15">
      <c r="A164" s="339"/>
      <c r="B164" s="605"/>
      <c r="BD164" s="292"/>
    </row>
    <row r="165" spans="1:56" x14ac:dyDescent="0.15">
      <c r="B165" s="605"/>
      <c r="D165" s="325"/>
      <c r="F165" s="325"/>
      <c r="I165" s="325"/>
      <c r="M165" s="325"/>
      <c r="BD165" s="292"/>
    </row>
    <row r="166" spans="1:56" x14ac:dyDescent="0.15">
      <c r="A166" s="339"/>
      <c r="B166" s="605"/>
      <c r="BD166" s="292"/>
    </row>
    <row r="167" spans="1:56" x14ac:dyDescent="0.15">
      <c r="A167" s="339"/>
      <c r="B167" s="605"/>
      <c r="BD167" s="292"/>
    </row>
    <row r="168" spans="1:56" x14ac:dyDescent="0.15">
      <c r="A168" s="339"/>
      <c r="B168" s="605"/>
      <c r="BD168" s="292"/>
    </row>
    <row r="169" spans="1:56" x14ac:dyDescent="0.15">
      <c r="A169" s="339"/>
      <c r="B169" s="605"/>
      <c r="BD169" s="292"/>
    </row>
    <row r="170" spans="1:56" x14ac:dyDescent="0.15">
      <c r="A170" s="339"/>
      <c r="B170" s="605"/>
      <c r="BD170" s="292"/>
    </row>
    <row r="171" spans="1:56" x14ac:dyDescent="0.15">
      <c r="A171" s="339"/>
      <c r="B171" s="605"/>
      <c r="BD171" s="292"/>
    </row>
    <row r="172" spans="1:56" x14ac:dyDescent="0.15">
      <c r="A172" s="339"/>
      <c r="B172" s="605"/>
      <c r="BD172" s="292"/>
    </row>
    <row r="173" spans="1:56" x14ac:dyDescent="0.15">
      <c r="A173" s="339"/>
      <c r="B173" s="605"/>
      <c r="BD173" s="292"/>
    </row>
    <row r="174" spans="1:56" x14ac:dyDescent="0.15">
      <c r="A174" s="339"/>
      <c r="B174" s="605"/>
      <c r="BD174" s="292"/>
    </row>
    <row r="175" spans="1:56" x14ac:dyDescent="0.15">
      <c r="A175" s="339"/>
      <c r="B175" s="605"/>
      <c r="S175" s="325"/>
      <c r="BD175" s="292"/>
    </row>
    <row r="176" spans="1:56" x14ac:dyDescent="0.15">
      <c r="A176" s="339"/>
      <c r="B176" s="605"/>
      <c r="S176" s="325"/>
      <c r="BD176" s="292"/>
    </row>
    <row r="177" spans="1:57" x14ac:dyDescent="0.15">
      <c r="A177" s="339"/>
      <c r="B177" s="605"/>
      <c r="S177" s="325"/>
      <c r="BD177" s="292"/>
    </row>
    <row r="178" spans="1:57" x14ac:dyDescent="0.15">
      <c r="A178" s="339"/>
      <c r="B178" s="605"/>
      <c r="S178" s="325"/>
      <c r="BD178" s="292"/>
    </row>
    <row r="179" spans="1:57" x14ac:dyDescent="0.15">
      <c r="B179" s="1041"/>
      <c r="C179" s="1042"/>
      <c r="D179" s="1042"/>
      <c r="E179" s="1042"/>
      <c r="F179" s="1042"/>
      <c r="G179" s="1042"/>
      <c r="H179" s="1042"/>
      <c r="I179" s="1042"/>
      <c r="J179" s="1042"/>
      <c r="K179" s="1042"/>
      <c r="L179" s="1042"/>
      <c r="M179" s="1042"/>
      <c r="N179" s="1042"/>
      <c r="O179" s="1042"/>
      <c r="P179" s="1042"/>
      <c r="Q179" s="1042"/>
      <c r="R179" s="1042"/>
      <c r="S179" s="1042"/>
      <c r="T179" s="1042"/>
      <c r="U179" s="1042"/>
      <c r="V179" s="1042"/>
      <c r="W179" s="1042"/>
      <c r="X179" s="1042"/>
      <c r="Y179" s="1042"/>
      <c r="Z179" s="1042"/>
      <c r="AA179" s="1042"/>
      <c r="AB179" s="1042"/>
      <c r="AC179" s="1042"/>
      <c r="AD179" s="1042"/>
      <c r="AE179" s="1042"/>
      <c r="AF179" s="1042"/>
      <c r="AG179" s="1042"/>
      <c r="AH179" s="1042"/>
      <c r="AI179" s="1042"/>
      <c r="AJ179" s="1042"/>
      <c r="AK179" s="1042"/>
      <c r="AL179" s="1042"/>
      <c r="AM179" s="1042"/>
      <c r="AN179" s="1042"/>
      <c r="AO179" s="1042"/>
      <c r="AP179" s="1042"/>
      <c r="AQ179" s="1042"/>
      <c r="AR179" s="1042"/>
      <c r="AS179" s="1042"/>
      <c r="AT179" s="1042"/>
      <c r="AU179" s="1042"/>
      <c r="AV179" s="1042"/>
      <c r="AW179" s="1042"/>
      <c r="AX179" s="1042"/>
      <c r="AY179" s="1042"/>
      <c r="AZ179" s="1042"/>
      <c r="BA179" s="1042"/>
      <c r="BB179" s="1042"/>
      <c r="BC179" s="1042"/>
      <c r="BD179" s="1043"/>
    </row>
    <row r="180" spans="1:57" ht="12" thickBot="1" x14ac:dyDescent="0.2"/>
    <row r="181" spans="1:57" ht="12.75" thickTop="1" x14ac:dyDescent="0.15">
      <c r="B181" s="50" t="s">
        <v>6</v>
      </c>
      <c r="C181" s="51"/>
      <c r="D181" s="51"/>
      <c r="E181" s="51"/>
      <c r="F181" s="51"/>
      <c r="G181" s="51"/>
      <c r="H181" s="51"/>
      <c r="I181" s="51"/>
      <c r="J181" s="51"/>
      <c r="K181" s="51"/>
      <c r="L181" s="51"/>
      <c r="M181" s="51"/>
      <c r="N181" s="52"/>
      <c r="O181" s="677" t="s">
        <v>7</v>
      </c>
      <c r="P181" s="830"/>
      <c r="Q181" s="830"/>
      <c r="R181" s="830"/>
      <c r="S181" s="830"/>
      <c r="T181" s="831"/>
      <c r="U181" s="1250" t="s">
        <v>8</v>
      </c>
      <c r="V181" s="1248"/>
      <c r="W181" s="1248"/>
      <c r="X181" s="1248"/>
      <c r="Y181" s="1248"/>
      <c r="Z181" s="1248"/>
      <c r="AA181" s="1249"/>
      <c r="AB181" s="1306" t="str">
        <f>AB$1</f>
        <v>取引ログ作成時の注意事項（値引併用）</v>
      </c>
      <c r="AC181" s="1307"/>
      <c r="AD181" s="1307"/>
      <c r="AE181" s="1307"/>
      <c r="AF181" s="1307"/>
      <c r="AG181" s="1307"/>
      <c r="AH181" s="1307"/>
      <c r="AI181" s="1307"/>
      <c r="AJ181" s="1307"/>
      <c r="AK181" s="1307"/>
      <c r="AL181" s="1307"/>
      <c r="AM181" s="1307"/>
      <c r="AN181" s="1308"/>
      <c r="AO181" s="1250" t="s">
        <v>10</v>
      </c>
      <c r="AP181" s="1249"/>
      <c r="AQ181" s="1303" t="s">
        <v>11</v>
      </c>
      <c r="AR181" s="1304"/>
      <c r="AS181" s="1305"/>
      <c r="AT181" s="1250" t="s">
        <v>12</v>
      </c>
      <c r="AU181" s="1248"/>
      <c r="AV181" s="1248"/>
      <c r="AW181" s="1249"/>
      <c r="AX181" s="1303" t="s">
        <v>13</v>
      </c>
      <c r="AY181" s="1304"/>
      <c r="AZ181" s="1305"/>
      <c r="BA181" s="1250" t="s">
        <v>14</v>
      </c>
      <c r="BB181" s="1248"/>
      <c r="BC181" s="1248"/>
      <c r="BD181" s="1249"/>
      <c r="BE181" s="355" t="s">
        <v>701</v>
      </c>
    </row>
    <row r="182" spans="1:57" ht="12.75" thickBot="1" x14ac:dyDescent="0.2">
      <c r="B182" s="1260" t="s">
        <v>15</v>
      </c>
      <c r="C182" s="1261"/>
      <c r="D182" s="1261"/>
      <c r="E182" s="1261"/>
      <c r="F182" s="1261"/>
      <c r="G182" s="1261"/>
      <c r="H182" s="1261"/>
      <c r="I182" s="1261"/>
      <c r="J182" s="1261"/>
      <c r="K182" s="1261"/>
      <c r="L182" s="1261"/>
      <c r="M182" s="1261"/>
      <c r="N182" s="1262"/>
      <c r="O182" s="678" t="s">
        <v>16</v>
      </c>
      <c r="P182" s="834"/>
      <c r="Q182" s="834"/>
      <c r="R182" s="834"/>
      <c r="S182" s="834"/>
      <c r="T182" s="835"/>
      <c r="U182" s="1266" t="s">
        <v>163</v>
      </c>
      <c r="V182" s="1264"/>
      <c r="W182" s="1264"/>
      <c r="X182" s="1264"/>
      <c r="Y182" s="1264"/>
      <c r="Z182" s="1264"/>
      <c r="AA182" s="1265"/>
      <c r="AB182" s="1309"/>
      <c r="AC182" s="1310"/>
      <c r="AD182" s="1310"/>
      <c r="AE182" s="1310"/>
      <c r="AF182" s="1310"/>
      <c r="AG182" s="1310"/>
      <c r="AH182" s="1310"/>
      <c r="AI182" s="1310"/>
      <c r="AJ182" s="1310"/>
      <c r="AK182" s="1310"/>
      <c r="AL182" s="1310"/>
      <c r="AM182" s="1310"/>
      <c r="AN182" s="1311"/>
      <c r="AO182" s="1267">
        <f>AO$2</f>
        <v>1.1200000000000001</v>
      </c>
      <c r="AP182" s="1268"/>
      <c r="AQ182" s="1266" t="str">
        <f>AQ$2</f>
        <v>富士通</v>
      </c>
      <c r="AR182" s="1264"/>
      <c r="AS182" s="1265"/>
      <c r="AT182" s="1269">
        <f>AT$2</f>
        <v>45709</v>
      </c>
      <c r="AU182" s="1270"/>
      <c r="AV182" s="1270"/>
      <c r="AW182" s="1270"/>
      <c r="AX182" s="1266" t="s">
        <v>18</v>
      </c>
      <c r="AY182" s="1264"/>
      <c r="AZ182" s="1265"/>
      <c r="BA182" s="1269">
        <v>45588</v>
      </c>
      <c r="BB182" s="1270"/>
      <c r="BC182" s="1270"/>
      <c r="BD182" s="1271"/>
    </row>
    <row r="183" spans="1:57" ht="12" thickTop="1" x14ac:dyDescent="0.15"/>
    <row r="184" spans="1:57" x14ac:dyDescent="0.15">
      <c r="B184" s="1038"/>
      <c r="C184" s="1039"/>
      <c r="D184" s="1039"/>
      <c r="E184" s="1039"/>
      <c r="F184" s="1039"/>
      <c r="G184" s="1039"/>
      <c r="H184" s="1039"/>
      <c r="I184" s="1039"/>
      <c r="J184" s="1039"/>
      <c r="K184" s="1039"/>
      <c r="L184" s="1039"/>
      <c r="M184" s="1039"/>
      <c r="N184" s="1039"/>
      <c r="O184" s="1039"/>
      <c r="P184" s="1039"/>
      <c r="Q184" s="1039"/>
      <c r="R184" s="1039"/>
      <c r="S184" s="1039"/>
      <c r="T184" s="1039"/>
      <c r="U184" s="1039"/>
      <c r="V184" s="1039"/>
      <c r="W184" s="1039"/>
      <c r="X184" s="1039"/>
      <c r="Y184" s="1039"/>
      <c r="Z184" s="1039"/>
      <c r="AA184" s="1039"/>
      <c r="AB184" s="1039"/>
      <c r="AC184" s="1039"/>
      <c r="AD184" s="1039"/>
      <c r="AE184" s="1039"/>
      <c r="AF184" s="1039"/>
      <c r="AG184" s="1039"/>
      <c r="AH184" s="1039"/>
      <c r="AI184" s="1039"/>
      <c r="AJ184" s="1039"/>
      <c r="AK184" s="1039"/>
      <c r="AL184" s="1039"/>
      <c r="AM184" s="1039"/>
      <c r="AN184" s="1039"/>
      <c r="AO184" s="1039"/>
      <c r="AP184" s="1039"/>
      <c r="AQ184" s="1039"/>
      <c r="AR184" s="1039"/>
      <c r="AS184" s="1039"/>
      <c r="AT184" s="1039"/>
      <c r="AU184" s="1039"/>
      <c r="AV184" s="1039"/>
      <c r="AW184" s="1039"/>
      <c r="AX184" s="1039"/>
      <c r="AY184" s="1039"/>
      <c r="AZ184" s="1039"/>
      <c r="BA184" s="1039"/>
      <c r="BB184" s="1039"/>
      <c r="BC184" s="1039"/>
      <c r="BD184" s="1040"/>
    </row>
    <row r="185" spans="1:57" x14ac:dyDescent="0.15">
      <c r="A185" s="339"/>
      <c r="B185" s="605"/>
      <c r="C185" s="325" t="s">
        <v>161</v>
      </c>
      <c r="D185" s="558" t="s">
        <v>875</v>
      </c>
      <c r="BD185" s="292"/>
    </row>
    <row r="186" spans="1:57" x14ac:dyDescent="0.15">
      <c r="B186" s="605"/>
      <c r="BD186" s="292"/>
    </row>
    <row r="187" spans="1:57" x14ac:dyDescent="0.15">
      <c r="A187" s="339"/>
      <c r="B187" s="605"/>
      <c r="D187" s="291" t="s">
        <v>703</v>
      </c>
      <c r="BD187" s="292"/>
    </row>
    <row r="188" spans="1:57" x14ac:dyDescent="0.15">
      <c r="A188" s="339"/>
      <c r="B188" s="605"/>
      <c r="D188" s="1042" t="s">
        <v>704</v>
      </c>
      <c r="E188" s="1042"/>
      <c r="F188" s="1042" t="s">
        <v>833</v>
      </c>
      <c r="G188" s="1042"/>
      <c r="H188" s="1042" t="s">
        <v>834</v>
      </c>
      <c r="I188" s="1042"/>
      <c r="J188" s="1042" t="s">
        <v>705</v>
      </c>
      <c r="K188" s="1042"/>
      <c r="L188" s="1042"/>
      <c r="M188" s="1042"/>
      <c r="N188" s="1042"/>
      <c r="O188" s="1042" t="s">
        <v>835</v>
      </c>
      <c r="P188" s="1042"/>
      <c r="Q188" s="1042"/>
      <c r="R188" s="1042" t="s">
        <v>706</v>
      </c>
      <c r="S188" s="1042"/>
      <c r="T188" s="1042"/>
      <c r="U188" s="1042" t="s">
        <v>711</v>
      </c>
      <c r="V188" s="1042"/>
      <c r="W188" s="1042"/>
      <c r="X188" s="1042"/>
      <c r="Y188" s="1042"/>
      <c r="Z188" s="1042"/>
      <c r="AA188" s="1042"/>
      <c r="AB188" s="1042"/>
      <c r="AC188" s="1042"/>
      <c r="AD188" s="1042"/>
      <c r="AE188" s="1042"/>
      <c r="AF188" s="1042"/>
      <c r="AG188" s="1042"/>
      <c r="AH188" s="1042"/>
      <c r="AI188" s="1042"/>
      <c r="AJ188" s="1042"/>
      <c r="BD188" s="292"/>
    </row>
    <row r="189" spans="1:57" x14ac:dyDescent="0.15">
      <c r="B189" s="605"/>
      <c r="D189" s="291">
        <v>1</v>
      </c>
      <c r="F189" s="341" t="s">
        <v>864</v>
      </c>
      <c r="H189" s="341" t="s">
        <v>865</v>
      </c>
      <c r="J189" s="340" t="s">
        <v>866</v>
      </c>
      <c r="L189" s="340"/>
      <c r="M189" s="340"/>
      <c r="N189" s="340"/>
      <c r="O189" s="557">
        <v>100</v>
      </c>
      <c r="P189" s="340"/>
      <c r="R189" s="340" t="s">
        <v>541</v>
      </c>
      <c r="S189" s="340"/>
      <c r="T189" s="340"/>
      <c r="W189" s="340"/>
      <c r="X189" s="340"/>
      <c r="Z189" s="340"/>
      <c r="BD189" s="292"/>
    </row>
    <row r="190" spans="1:57" x14ac:dyDescent="0.15">
      <c r="B190" s="605"/>
      <c r="G190" s="340"/>
      <c r="H190" s="340"/>
      <c r="I190" s="340"/>
      <c r="J190" s="550" t="s">
        <v>508</v>
      </c>
      <c r="K190" s="550"/>
      <c r="L190" s="550"/>
      <c r="M190" s="551"/>
      <c r="N190" s="551"/>
      <c r="O190" s="550" t="s">
        <v>838</v>
      </c>
      <c r="P190" s="550"/>
      <c r="Q190" s="550"/>
      <c r="R190" s="550" t="s">
        <v>839</v>
      </c>
      <c r="S190" s="550"/>
      <c r="T190" s="550"/>
      <c r="U190" s="549" t="s">
        <v>840</v>
      </c>
      <c r="V190" s="549"/>
      <c r="W190" s="548"/>
      <c r="X190" s="549"/>
      <c r="Y190" s="548"/>
      <c r="Z190" s="548"/>
      <c r="AA190" s="548"/>
      <c r="AB190" s="548"/>
      <c r="AC190" s="548"/>
      <c r="AD190" s="548"/>
      <c r="AE190" s="548"/>
      <c r="BD190" s="292"/>
    </row>
    <row r="191" spans="1:57" x14ac:dyDescent="0.15">
      <c r="B191" s="605"/>
      <c r="G191" s="340"/>
      <c r="H191" s="340"/>
      <c r="I191" s="340"/>
      <c r="J191" s="340" t="s">
        <v>841</v>
      </c>
      <c r="K191" s="340"/>
      <c r="L191" s="340"/>
      <c r="M191" s="341"/>
      <c r="N191" s="341"/>
      <c r="O191" s="554">
        <v>93</v>
      </c>
      <c r="P191" s="340"/>
      <c r="Q191" s="340"/>
      <c r="R191" s="340" t="s">
        <v>612</v>
      </c>
      <c r="S191" s="340"/>
      <c r="T191" s="340"/>
      <c r="U191" s="340"/>
      <c r="V191" s="340"/>
      <c r="X191" s="340"/>
      <c r="BD191" s="292"/>
    </row>
    <row r="192" spans="1:57" x14ac:dyDescent="0.15">
      <c r="B192" s="605"/>
      <c r="G192" s="340"/>
      <c r="H192" s="340"/>
      <c r="I192" s="325" t="s">
        <v>842</v>
      </c>
      <c r="J192" s="340" t="s">
        <v>867</v>
      </c>
      <c r="K192" s="340"/>
      <c r="L192" s="340"/>
      <c r="M192" s="341"/>
      <c r="N192" s="341"/>
      <c r="O192" s="555">
        <v>0.15</v>
      </c>
      <c r="P192" s="340"/>
      <c r="Q192" s="340"/>
      <c r="R192" s="340" t="s">
        <v>868</v>
      </c>
      <c r="S192" s="340"/>
      <c r="T192" s="340"/>
      <c r="U192" s="340" t="s">
        <v>869</v>
      </c>
      <c r="V192" s="340"/>
      <c r="X192" s="340"/>
      <c r="BD192" s="292"/>
    </row>
    <row r="193" spans="2:56" x14ac:dyDescent="0.15">
      <c r="B193" s="605"/>
      <c r="D193" s="560">
        <v>2</v>
      </c>
      <c r="E193" s="560"/>
      <c r="F193" s="563" t="s">
        <v>864</v>
      </c>
      <c r="G193" s="560"/>
      <c r="H193" s="563" t="s">
        <v>865</v>
      </c>
      <c r="I193" s="560"/>
      <c r="J193" s="561" t="s">
        <v>716</v>
      </c>
      <c r="K193" s="560"/>
      <c r="L193" s="561"/>
      <c r="M193" s="561"/>
      <c r="N193" s="561"/>
      <c r="O193" s="562">
        <v>100</v>
      </c>
      <c r="P193" s="561"/>
      <c r="Q193" s="560"/>
      <c r="R193" s="561" t="s">
        <v>541</v>
      </c>
      <c r="S193" s="561"/>
      <c r="T193" s="561"/>
      <c r="U193" s="560"/>
      <c r="V193" s="560"/>
      <c r="W193" s="561"/>
      <c r="X193" s="561"/>
      <c r="Y193" s="560"/>
      <c r="Z193" s="561"/>
      <c r="AA193" s="560"/>
      <c r="AB193" s="560"/>
      <c r="AC193" s="560"/>
      <c r="AD193" s="560"/>
      <c r="AE193" s="560"/>
      <c r="AF193" s="560"/>
      <c r="AG193" s="560"/>
      <c r="AH193" s="560"/>
      <c r="AI193" s="560"/>
      <c r="AJ193" s="560"/>
      <c r="BD193" s="292"/>
    </row>
    <row r="194" spans="2:56" x14ac:dyDescent="0.15">
      <c r="B194" s="605"/>
      <c r="G194" s="340"/>
      <c r="H194" s="340"/>
      <c r="I194" s="340"/>
      <c r="J194" s="550" t="s">
        <v>508</v>
      </c>
      <c r="K194" s="550"/>
      <c r="L194" s="550"/>
      <c r="M194" s="551"/>
      <c r="N194" s="551"/>
      <c r="O194" s="550" t="s">
        <v>838</v>
      </c>
      <c r="P194" s="550"/>
      <c r="Q194" s="550"/>
      <c r="R194" s="550" t="s">
        <v>839</v>
      </c>
      <c r="S194" s="550"/>
      <c r="T194" s="550"/>
      <c r="U194" s="549" t="s">
        <v>840</v>
      </c>
      <c r="V194" s="549"/>
      <c r="W194" s="548"/>
      <c r="X194" s="549"/>
      <c r="Y194" s="548"/>
      <c r="Z194" s="548"/>
      <c r="AA194" s="548"/>
      <c r="AB194" s="548"/>
      <c r="AC194" s="548"/>
      <c r="AD194" s="548"/>
      <c r="AE194" s="548"/>
      <c r="BD194" s="292"/>
    </row>
    <row r="195" spans="2:56" x14ac:dyDescent="0.15">
      <c r="B195" s="605"/>
      <c r="D195" s="564"/>
      <c r="E195" s="564"/>
      <c r="F195" s="564"/>
      <c r="G195" s="565"/>
      <c r="H195" s="565"/>
      <c r="I195" s="565"/>
      <c r="J195" s="565" t="s">
        <v>867</v>
      </c>
      <c r="K195" s="565"/>
      <c r="L195" s="565"/>
      <c r="M195" s="567"/>
      <c r="N195" s="567"/>
      <c r="O195" s="566">
        <v>0.15</v>
      </c>
      <c r="P195" s="565"/>
      <c r="Q195" s="565"/>
      <c r="R195" s="565" t="s">
        <v>868</v>
      </c>
      <c r="S195" s="565"/>
      <c r="T195" s="565"/>
      <c r="U195" s="565" t="s">
        <v>869</v>
      </c>
      <c r="V195" s="565"/>
      <c r="W195" s="564"/>
      <c r="X195" s="565"/>
      <c r="Y195" s="564"/>
      <c r="Z195" s="564"/>
      <c r="AA195" s="564"/>
      <c r="AB195" s="564"/>
      <c r="AC195" s="564"/>
      <c r="AD195" s="564"/>
      <c r="AE195" s="564"/>
      <c r="AF195" s="564"/>
      <c r="AG195" s="564"/>
      <c r="AH195" s="564"/>
      <c r="AI195" s="564"/>
      <c r="AJ195" s="564"/>
      <c r="BD195" s="292"/>
    </row>
    <row r="196" spans="2:56" x14ac:dyDescent="0.15">
      <c r="B196" s="605"/>
      <c r="D196" s="291">
        <v>3</v>
      </c>
      <c r="F196" s="341" t="s">
        <v>864</v>
      </c>
      <c r="H196" s="341" t="s">
        <v>865</v>
      </c>
      <c r="J196" s="340" t="s">
        <v>719</v>
      </c>
      <c r="L196" s="340"/>
      <c r="M196" s="340"/>
      <c r="N196" s="340"/>
      <c r="O196" s="557">
        <v>100</v>
      </c>
      <c r="P196" s="340"/>
      <c r="R196" s="340" t="s">
        <v>717</v>
      </c>
      <c r="S196" s="340"/>
      <c r="T196" s="340"/>
      <c r="W196" s="340"/>
      <c r="X196" s="340"/>
      <c r="Z196" s="340"/>
      <c r="BD196" s="292"/>
    </row>
    <row r="197" spans="2:56" x14ac:dyDescent="0.15">
      <c r="B197" s="605"/>
      <c r="G197" s="340"/>
      <c r="H197" s="340"/>
      <c r="I197" s="340"/>
      <c r="J197" s="550" t="s">
        <v>508</v>
      </c>
      <c r="K197" s="550"/>
      <c r="L197" s="550"/>
      <c r="M197" s="551"/>
      <c r="N197" s="551"/>
      <c r="O197" s="550" t="s">
        <v>838</v>
      </c>
      <c r="P197" s="550"/>
      <c r="Q197" s="550"/>
      <c r="R197" s="550" t="s">
        <v>839</v>
      </c>
      <c r="S197" s="550"/>
      <c r="T197" s="550"/>
      <c r="U197" s="549" t="s">
        <v>840</v>
      </c>
      <c r="V197" s="549"/>
      <c r="W197" s="548"/>
      <c r="X197" s="549"/>
      <c r="Y197" s="548"/>
      <c r="Z197" s="548"/>
      <c r="AA197" s="548"/>
      <c r="AB197" s="548"/>
      <c r="AC197" s="548"/>
      <c r="AD197" s="548"/>
      <c r="AE197" s="548"/>
      <c r="BD197" s="292"/>
    </row>
    <row r="198" spans="2:56" x14ac:dyDescent="0.15">
      <c r="B198" s="605"/>
      <c r="G198" s="340"/>
      <c r="H198" s="340"/>
      <c r="I198" s="340"/>
      <c r="J198" s="340" t="s">
        <v>867</v>
      </c>
      <c r="K198" s="340"/>
      <c r="L198" s="340"/>
      <c r="M198" s="341"/>
      <c r="N198" s="341"/>
      <c r="O198" s="555">
        <v>0.15</v>
      </c>
      <c r="P198" s="340"/>
      <c r="Q198" s="340"/>
      <c r="R198" s="340" t="s">
        <v>868</v>
      </c>
      <c r="S198" s="340"/>
      <c r="T198" s="340"/>
      <c r="U198" s="340" t="s">
        <v>869</v>
      </c>
      <c r="V198" s="340"/>
      <c r="X198" s="340"/>
      <c r="BD198" s="292"/>
    </row>
    <row r="199" spans="2:56" x14ac:dyDescent="0.15">
      <c r="B199" s="605"/>
      <c r="D199" s="560">
        <v>4</v>
      </c>
      <c r="E199" s="560"/>
      <c r="F199" s="563" t="s">
        <v>864</v>
      </c>
      <c r="G199" s="560"/>
      <c r="H199" s="563" t="s">
        <v>876</v>
      </c>
      <c r="I199" s="560"/>
      <c r="J199" s="561" t="s">
        <v>721</v>
      </c>
      <c r="K199" s="560"/>
      <c r="L199" s="561"/>
      <c r="M199" s="561"/>
      <c r="N199" s="561"/>
      <c r="O199" s="562">
        <v>100</v>
      </c>
      <c r="P199" s="561"/>
      <c r="Q199" s="560"/>
      <c r="R199" s="561" t="s">
        <v>713</v>
      </c>
      <c r="S199" s="561"/>
      <c r="T199" s="561"/>
      <c r="U199" s="560"/>
      <c r="V199" s="560"/>
      <c r="W199" s="561"/>
      <c r="X199" s="561"/>
      <c r="Y199" s="560"/>
      <c r="Z199" s="561"/>
      <c r="AA199" s="560"/>
      <c r="AB199" s="560"/>
      <c r="AC199" s="560"/>
      <c r="AD199" s="560"/>
      <c r="AE199" s="560"/>
      <c r="AF199" s="560"/>
      <c r="AG199" s="560"/>
      <c r="AH199" s="560"/>
      <c r="AI199" s="560"/>
      <c r="AJ199" s="560"/>
      <c r="BD199" s="292"/>
    </row>
    <row r="200" spans="2:56" x14ac:dyDescent="0.15">
      <c r="B200" s="605"/>
      <c r="G200" s="340"/>
      <c r="H200" s="340"/>
      <c r="I200" s="340"/>
      <c r="J200" s="550" t="s">
        <v>508</v>
      </c>
      <c r="K200" s="550"/>
      <c r="L200" s="550"/>
      <c r="M200" s="551"/>
      <c r="N200" s="551"/>
      <c r="O200" s="550" t="s">
        <v>838</v>
      </c>
      <c r="P200" s="550"/>
      <c r="Q200" s="550"/>
      <c r="R200" s="550" t="s">
        <v>839</v>
      </c>
      <c r="S200" s="550"/>
      <c r="T200" s="550"/>
      <c r="U200" s="549" t="s">
        <v>840</v>
      </c>
      <c r="V200" s="549"/>
      <c r="W200" s="548"/>
      <c r="X200" s="549"/>
      <c r="Y200" s="548"/>
      <c r="Z200" s="548"/>
      <c r="AA200" s="548"/>
      <c r="AB200" s="548"/>
      <c r="AC200" s="548"/>
      <c r="AD200" s="548"/>
      <c r="AE200" s="548"/>
      <c r="BD200" s="292"/>
    </row>
    <row r="201" spans="2:56" x14ac:dyDescent="0.15">
      <c r="B201" s="605"/>
      <c r="G201" s="340"/>
      <c r="H201" s="340"/>
      <c r="I201" s="325" t="s">
        <v>842</v>
      </c>
      <c r="J201" s="340" t="s">
        <v>867</v>
      </c>
      <c r="K201" s="340"/>
      <c r="L201" s="340"/>
      <c r="M201" s="341"/>
      <c r="N201" s="341"/>
      <c r="O201" s="555">
        <v>0.15</v>
      </c>
      <c r="P201" s="340"/>
      <c r="Q201" s="340"/>
      <c r="R201" s="340" t="s">
        <v>868</v>
      </c>
      <c r="S201" s="340"/>
      <c r="T201" s="340"/>
      <c r="U201" s="340" t="s">
        <v>869</v>
      </c>
      <c r="V201" s="340"/>
      <c r="X201" s="340"/>
      <c r="BD201" s="292"/>
    </row>
    <row r="202" spans="2:56" x14ac:dyDescent="0.15">
      <c r="B202" s="605"/>
      <c r="D202" s="564"/>
      <c r="E202" s="564"/>
      <c r="F202" s="564"/>
      <c r="G202" s="565"/>
      <c r="H202" s="565"/>
      <c r="I202" s="565"/>
      <c r="J202" s="565" t="s">
        <v>877</v>
      </c>
      <c r="K202" s="565"/>
      <c r="L202" s="565"/>
      <c r="M202" s="567"/>
      <c r="N202" s="567"/>
      <c r="O202" s="568" t="s">
        <v>211</v>
      </c>
      <c r="P202" s="565"/>
      <c r="Q202" s="565"/>
      <c r="R202" s="565" t="s">
        <v>878</v>
      </c>
      <c r="S202" s="565"/>
      <c r="T202" s="565"/>
      <c r="U202" s="565" t="s">
        <v>879</v>
      </c>
      <c r="V202" s="565"/>
      <c r="W202" s="564"/>
      <c r="X202" s="565"/>
      <c r="Y202" s="564"/>
      <c r="Z202" s="564"/>
      <c r="AA202" s="564"/>
      <c r="AB202" s="564"/>
      <c r="AC202" s="564"/>
      <c r="AD202" s="564"/>
      <c r="AE202" s="564"/>
      <c r="AF202" s="564"/>
      <c r="AG202" s="564"/>
      <c r="AH202" s="564"/>
      <c r="AI202" s="564"/>
      <c r="AJ202" s="564"/>
      <c r="BD202" s="292"/>
    </row>
    <row r="203" spans="2:56" x14ac:dyDescent="0.15">
      <c r="B203" s="605"/>
      <c r="D203" s="291">
        <v>5</v>
      </c>
      <c r="F203" s="341" t="s">
        <v>864</v>
      </c>
      <c r="H203" s="341" t="s">
        <v>865</v>
      </c>
      <c r="J203" s="340" t="s">
        <v>722</v>
      </c>
      <c r="L203" s="340"/>
      <c r="M203" s="340"/>
      <c r="N203" s="340"/>
      <c r="O203" s="557">
        <v>100</v>
      </c>
      <c r="P203" s="340"/>
      <c r="R203" s="340" t="s">
        <v>541</v>
      </c>
      <c r="S203" s="340"/>
      <c r="T203" s="340"/>
      <c r="W203" s="340"/>
      <c r="X203" s="340"/>
      <c r="Z203" s="340"/>
      <c r="BD203" s="292"/>
    </row>
    <row r="204" spans="2:56" x14ac:dyDescent="0.15">
      <c r="B204" s="605"/>
      <c r="G204" s="340"/>
      <c r="H204" s="340"/>
      <c r="I204" s="340"/>
      <c r="J204" s="550" t="s">
        <v>508</v>
      </c>
      <c r="K204" s="550"/>
      <c r="L204" s="550"/>
      <c r="M204" s="551"/>
      <c r="N204" s="551"/>
      <c r="O204" s="550" t="s">
        <v>838</v>
      </c>
      <c r="P204" s="550"/>
      <c r="Q204" s="550"/>
      <c r="R204" s="550" t="s">
        <v>839</v>
      </c>
      <c r="S204" s="550"/>
      <c r="T204" s="550"/>
      <c r="U204" s="549" t="s">
        <v>840</v>
      </c>
      <c r="V204" s="549"/>
      <c r="W204" s="548"/>
      <c r="X204" s="549"/>
      <c r="Y204" s="548"/>
      <c r="Z204" s="548"/>
      <c r="AA204" s="548"/>
      <c r="AB204" s="548"/>
      <c r="AC204" s="548"/>
      <c r="AD204" s="548"/>
      <c r="AE204" s="548"/>
      <c r="BD204" s="292"/>
    </row>
    <row r="205" spans="2:56" x14ac:dyDescent="0.15">
      <c r="B205" s="605"/>
      <c r="G205" s="340"/>
      <c r="H205" s="340"/>
      <c r="I205" s="325" t="s">
        <v>842</v>
      </c>
      <c r="J205" s="340" t="s">
        <v>867</v>
      </c>
      <c r="K205" s="340"/>
      <c r="L205" s="340"/>
      <c r="M205" s="341"/>
      <c r="N205" s="341"/>
      <c r="O205" s="555">
        <v>0.15</v>
      </c>
      <c r="P205" s="340"/>
      <c r="Q205" s="340"/>
      <c r="R205" s="340" t="s">
        <v>868</v>
      </c>
      <c r="S205" s="340"/>
      <c r="T205" s="340"/>
      <c r="U205" s="340" t="s">
        <v>869</v>
      </c>
      <c r="V205" s="340"/>
      <c r="X205" s="340"/>
      <c r="BD205" s="292"/>
    </row>
    <row r="206" spans="2:56" x14ac:dyDescent="0.15">
      <c r="B206" s="605"/>
      <c r="D206" s="325"/>
      <c r="F206" s="325"/>
      <c r="I206" s="325"/>
      <c r="J206" s="291" t="s">
        <v>880</v>
      </c>
      <c r="M206" s="325"/>
      <c r="O206" s="547" t="s">
        <v>211</v>
      </c>
      <c r="P206" s="340"/>
      <c r="Q206" s="340"/>
      <c r="R206" s="340" t="s">
        <v>878</v>
      </c>
      <c r="U206" s="291" t="s">
        <v>881</v>
      </c>
      <c r="BD206" s="292"/>
    </row>
    <row r="207" spans="2:56" x14ac:dyDescent="0.15">
      <c r="B207" s="605"/>
      <c r="D207" s="325"/>
      <c r="F207" s="325"/>
      <c r="I207" s="325"/>
      <c r="M207" s="325"/>
      <c r="BD207" s="292"/>
    </row>
    <row r="208" spans="2:56" x14ac:dyDescent="0.15">
      <c r="B208" s="605"/>
      <c r="D208" s="325"/>
      <c r="F208" s="325"/>
      <c r="I208" s="325"/>
      <c r="M208" s="325"/>
      <c r="BD208" s="292"/>
    </row>
    <row r="209" spans="1:56" x14ac:dyDescent="0.15">
      <c r="B209" s="605"/>
      <c r="D209" s="340" t="s">
        <v>846</v>
      </c>
      <c r="E209" s="340"/>
      <c r="F209" s="340"/>
      <c r="G209" s="340"/>
      <c r="H209" s="340"/>
      <c r="I209" s="340"/>
      <c r="J209" s="340"/>
      <c r="K209" s="340"/>
      <c r="L209" s="340"/>
      <c r="M209" s="340"/>
      <c r="N209" s="340"/>
      <c r="O209" s="340"/>
      <c r="P209" s="340"/>
      <c r="Q209" s="340"/>
      <c r="R209" s="340"/>
      <c r="S209" s="340"/>
      <c r="U209" s="340"/>
      <c r="BD209" s="292"/>
    </row>
    <row r="210" spans="1:56" x14ac:dyDescent="0.15">
      <c r="B210" s="605"/>
      <c r="D210" s="325"/>
      <c r="F210" s="325"/>
      <c r="I210" s="325"/>
      <c r="M210" s="325"/>
      <c r="AF210" s="342"/>
      <c r="AG210" s="342" t="s">
        <v>847</v>
      </c>
      <c r="BD210" s="292"/>
    </row>
    <row r="211" spans="1:56" x14ac:dyDescent="0.15">
      <c r="B211" s="605"/>
      <c r="D211" s="291" t="s">
        <v>549</v>
      </c>
      <c r="M211" s="291" t="s">
        <v>741</v>
      </c>
      <c r="W211" s="291" t="s">
        <v>551</v>
      </c>
      <c r="AH211" s="291" t="s">
        <v>848</v>
      </c>
      <c r="BD211" s="292"/>
    </row>
    <row r="212" spans="1:56" x14ac:dyDescent="0.15">
      <c r="B212" s="605"/>
      <c r="D212" s="1038" t="s">
        <v>552</v>
      </c>
      <c r="E212" s="1039"/>
      <c r="F212" s="1039"/>
      <c r="G212" s="1039"/>
      <c r="H212" s="1039"/>
      <c r="I212" s="1039"/>
      <c r="J212" s="1039"/>
      <c r="K212" s="1040"/>
      <c r="M212" s="1038" t="s">
        <v>553</v>
      </c>
      <c r="N212" s="1039"/>
      <c r="O212" s="1039"/>
      <c r="P212" s="1039"/>
      <c r="Q212" s="1039"/>
      <c r="R212" s="1039"/>
      <c r="S212" s="1039"/>
      <c r="T212" s="1039"/>
      <c r="U212" s="1040"/>
      <c r="W212" s="1038" t="s">
        <v>137</v>
      </c>
      <c r="X212" s="1039"/>
      <c r="Y212" s="1039"/>
      <c r="Z212" s="1039"/>
      <c r="AA212" s="1039"/>
      <c r="AB212" s="1039"/>
      <c r="AC212" s="1039"/>
      <c r="AD212" s="1040"/>
      <c r="AH212" s="1038" t="s">
        <v>133</v>
      </c>
      <c r="AI212" s="1039"/>
      <c r="AJ212" s="1039"/>
      <c r="AK212" s="1039"/>
      <c r="AL212" s="1039"/>
      <c r="AM212" s="1039"/>
      <c r="AN212" s="1039"/>
      <c r="AO212" s="1040"/>
      <c r="BD212" s="292"/>
    </row>
    <row r="213" spans="1:56" x14ac:dyDescent="0.15">
      <c r="B213" s="605"/>
      <c r="D213" s="605"/>
      <c r="E213" s="291" t="s">
        <v>248</v>
      </c>
      <c r="J213" s="325" t="s">
        <v>556</v>
      </c>
      <c r="K213" s="292"/>
      <c r="M213" s="605"/>
      <c r="N213" s="291" t="s">
        <v>248</v>
      </c>
      <c r="T213" s="325" t="s">
        <v>556</v>
      </c>
      <c r="U213" s="292"/>
      <c r="W213" s="605"/>
      <c r="X213" s="291" t="s">
        <v>248</v>
      </c>
      <c r="AC213" s="325" t="s">
        <v>556</v>
      </c>
      <c r="AD213" s="292"/>
      <c r="AH213" s="605"/>
      <c r="AI213" s="291" t="s">
        <v>248</v>
      </c>
      <c r="AN213" s="325" t="s">
        <v>556</v>
      </c>
      <c r="AO213" s="292"/>
      <c r="BD213" s="292"/>
    </row>
    <row r="214" spans="1:56" x14ac:dyDescent="0.15">
      <c r="B214" s="605"/>
      <c r="D214" s="605"/>
      <c r="E214" s="291" t="s">
        <v>259</v>
      </c>
      <c r="J214" s="291">
        <v>1</v>
      </c>
      <c r="K214" s="292"/>
      <c r="M214" s="605"/>
      <c r="N214" s="291" t="s">
        <v>244</v>
      </c>
      <c r="T214" s="291">
        <v>1</v>
      </c>
      <c r="U214" s="292"/>
      <c r="W214" s="605"/>
      <c r="X214" s="291" t="s">
        <v>244</v>
      </c>
      <c r="AC214" s="291">
        <v>1</v>
      </c>
      <c r="AD214" s="292"/>
      <c r="AH214" s="605"/>
      <c r="AI214" s="291" t="s">
        <v>244</v>
      </c>
      <c r="AN214" s="502">
        <v>3</v>
      </c>
      <c r="AO214" s="292"/>
      <c r="BD214" s="292"/>
    </row>
    <row r="215" spans="1:56" x14ac:dyDescent="0.15">
      <c r="B215" s="605"/>
      <c r="D215" s="1041"/>
      <c r="E215" s="1042"/>
      <c r="F215" s="1042"/>
      <c r="G215" s="1042"/>
      <c r="H215" s="1042"/>
      <c r="I215" s="1042"/>
      <c r="J215" s="1042"/>
      <c r="K215" s="1043"/>
      <c r="M215" s="605"/>
      <c r="N215" s="291" t="s">
        <v>337</v>
      </c>
      <c r="T215" s="291">
        <v>1</v>
      </c>
      <c r="U215" s="292"/>
      <c r="W215" s="605"/>
      <c r="X215" s="291" t="s">
        <v>261</v>
      </c>
      <c r="AC215" s="291">
        <v>3</v>
      </c>
      <c r="AD215" s="292"/>
      <c r="AH215" s="605"/>
      <c r="AI215" s="291" t="s">
        <v>263</v>
      </c>
      <c r="AN215" s="503">
        <v>6</v>
      </c>
      <c r="AO215" s="292"/>
      <c r="AP215" s="343" t="s">
        <v>628</v>
      </c>
      <c r="BD215" s="292"/>
    </row>
    <row r="216" spans="1:56" x14ac:dyDescent="0.15">
      <c r="B216" s="605"/>
      <c r="M216" s="605"/>
      <c r="N216" s="291" t="s">
        <v>350</v>
      </c>
      <c r="T216" s="504">
        <v>93</v>
      </c>
      <c r="U216" s="292"/>
      <c r="W216" s="605"/>
      <c r="X216" s="291" t="s">
        <v>560</v>
      </c>
      <c r="AC216" s="291">
        <v>1</v>
      </c>
      <c r="AD216" s="292" t="s">
        <v>849</v>
      </c>
      <c r="AH216" s="605"/>
      <c r="AI216" s="291" t="s">
        <v>270</v>
      </c>
      <c r="AN216" s="501">
        <v>0</v>
      </c>
      <c r="AO216" s="292"/>
      <c r="AP216" s="343" t="s">
        <v>655</v>
      </c>
      <c r="BD216" s="292"/>
    </row>
    <row r="217" spans="1:56" x14ac:dyDescent="0.15">
      <c r="B217" s="605"/>
      <c r="M217" s="605"/>
      <c r="N217" s="291" t="s">
        <v>358</v>
      </c>
      <c r="T217" s="291">
        <v>100</v>
      </c>
      <c r="U217" s="292"/>
      <c r="W217" s="605"/>
      <c r="X217" s="291" t="s">
        <v>282</v>
      </c>
      <c r="AC217" s="291">
        <v>0</v>
      </c>
      <c r="AD217" s="292"/>
      <c r="AH217" s="605"/>
      <c r="AI217" s="291" t="s">
        <v>276</v>
      </c>
      <c r="AN217" s="501">
        <v>93</v>
      </c>
      <c r="AO217" s="292"/>
      <c r="AP217" s="343" t="s">
        <v>850</v>
      </c>
      <c r="BD217" s="292"/>
    </row>
    <row r="218" spans="1:56" x14ac:dyDescent="0.15">
      <c r="B218" s="605"/>
      <c r="M218" s="1041"/>
      <c r="N218" s="1042" t="s">
        <v>740</v>
      </c>
      <c r="O218" s="1042"/>
      <c r="P218" s="1042"/>
      <c r="Q218" s="1042"/>
      <c r="R218" s="1042"/>
      <c r="S218" s="1042"/>
      <c r="T218" s="1048">
        <v>93</v>
      </c>
      <c r="U218" s="1043"/>
      <c r="W218" s="1041"/>
      <c r="X218" s="1042" t="s">
        <v>295</v>
      </c>
      <c r="Y218" s="1042"/>
      <c r="Z218" s="1042"/>
      <c r="AA218" s="1042"/>
      <c r="AB218" s="1042"/>
      <c r="AC218" s="1042">
        <v>0</v>
      </c>
      <c r="AD218" s="1043"/>
      <c r="AH218" s="605"/>
      <c r="AI218" s="291" t="s">
        <v>315</v>
      </c>
      <c r="AN218" s="503">
        <v>91111</v>
      </c>
      <c r="AO218" s="292"/>
      <c r="AP218" s="343" t="s">
        <v>851</v>
      </c>
      <c r="BD218" s="292"/>
    </row>
    <row r="219" spans="1:56" x14ac:dyDescent="0.15">
      <c r="B219" s="605"/>
      <c r="T219" s="343" t="s">
        <v>852</v>
      </c>
      <c r="AH219" s="1041"/>
      <c r="AI219" s="1042" t="s">
        <v>853</v>
      </c>
      <c r="AJ219" s="1042"/>
      <c r="AK219" s="1042"/>
      <c r="AL219" s="1042"/>
      <c r="AM219" s="1042"/>
      <c r="AN219" s="1079">
        <v>0</v>
      </c>
      <c r="AO219" s="1043"/>
      <c r="BD219" s="292"/>
    </row>
    <row r="220" spans="1:56" x14ac:dyDescent="0.15">
      <c r="B220" s="605"/>
      <c r="D220" s="325"/>
      <c r="F220" s="325"/>
      <c r="I220" s="325"/>
      <c r="T220" s="343" t="s">
        <v>854</v>
      </c>
      <c r="BD220" s="292"/>
    </row>
    <row r="221" spans="1:56" x14ac:dyDescent="0.15">
      <c r="B221" s="605"/>
      <c r="S221" s="325"/>
      <c r="BD221" s="292"/>
    </row>
    <row r="222" spans="1:56" x14ac:dyDescent="0.15">
      <c r="B222" s="605"/>
      <c r="D222" s="325"/>
      <c r="F222" s="325"/>
      <c r="I222" s="325"/>
      <c r="W222" s="291" t="s">
        <v>551</v>
      </c>
      <c r="AH222" s="291" t="s">
        <v>870</v>
      </c>
      <c r="BD222" s="292"/>
    </row>
    <row r="223" spans="1:56" x14ac:dyDescent="0.15">
      <c r="A223" s="339"/>
      <c r="B223" s="605"/>
      <c r="W223" s="1038" t="s">
        <v>137</v>
      </c>
      <c r="X223" s="1039"/>
      <c r="Y223" s="1039"/>
      <c r="Z223" s="1039"/>
      <c r="AA223" s="1039"/>
      <c r="AB223" s="1039"/>
      <c r="AC223" s="1039"/>
      <c r="AD223" s="1040"/>
      <c r="AH223" s="1038" t="s">
        <v>35</v>
      </c>
      <c r="AI223" s="1039"/>
      <c r="AJ223" s="1039"/>
      <c r="AK223" s="1039"/>
      <c r="AL223" s="1039"/>
      <c r="AM223" s="1039"/>
      <c r="AN223" s="1039"/>
      <c r="AO223" s="1040"/>
      <c r="BD223" s="292"/>
    </row>
    <row r="224" spans="1:56" x14ac:dyDescent="0.15">
      <c r="A224" s="339"/>
      <c r="B224" s="605"/>
      <c r="W224" s="605"/>
      <c r="X224" s="291" t="s">
        <v>248</v>
      </c>
      <c r="AC224" s="325" t="s">
        <v>556</v>
      </c>
      <c r="AD224" s="292"/>
      <c r="AH224" s="605"/>
      <c r="AI224" s="291" t="s">
        <v>248</v>
      </c>
      <c r="AN224" s="325" t="s">
        <v>556</v>
      </c>
      <c r="AO224" s="292"/>
      <c r="BD224" s="292"/>
    </row>
    <row r="225" spans="1:56" x14ac:dyDescent="0.15">
      <c r="A225" s="339"/>
      <c r="B225" s="605"/>
      <c r="W225" s="605"/>
      <c r="X225" s="291" t="s">
        <v>244</v>
      </c>
      <c r="AC225" s="291">
        <v>1</v>
      </c>
      <c r="AD225" s="292"/>
      <c r="AH225" s="605"/>
      <c r="AI225" s="291" t="s">
        <v>244</v>
      </c>
      <c r="AN225" s="502">
        <v>4</v>
      </c>
      <c r="AO225" s="292"/>
      <c r="BD225" s="292"/>
    </row>
    <row r="226" spans="1:56" x14ac:dyDescent="0.15">
      <c r="A226" s="339"/>
      <c r="B226" s="605"/>
      <c r="W226" s="605"/>
      <c r="X226" s="291" t="s">
        <v>261</v>
      </c>
      <c r="AC226" s="291">
        <v>4</v>
      </c>
      <c r="AD226" s="292"/>
      <c r="AH226" s="605"/>
      <c r="AI226" s="291" t="s">
        <v>263</v>
      </c>
      <c r="AN226" s="503">
        <v>2</v>
      </c>
      <c r="AO226" s="292"/>
      <c r="AP226" s="343" t="s">
        <v>871</v>
      </c>
      <c r="BD226" s="292"/>
    </row>
    <row r="227" spans="1:56" x14ac:dyDescent="0.15">
      <c r="A227" s="339"/>
      <c r="B227" s="605"/>
      <c r="W227" s="605"/>
      <c r="X227" s="291" t="s">
        <v>560</v>
      </c>
      <c r="AC227" s="291">
        <v>1</v>
      </c>
      <c r="AD227" s="292" t="s">
        <v>849</v>
      </c>
      <c r="AH227" s="605"/>
      <c r="AI227" s="291" t="s">
        <v>270</v>
      </c>
      <c r="AN227" s="501">
        <v>-60</v>
      </c>
      <c r="AO227" s="292"/>
      <c r="AP227" s="343" t="s">
        <v>882</v>
      </c>
      <c r="BD227" s="292"/>
    </row>
    <row r="228" spans="1:56" x14ac:dyDescent="0.15">
      <c r="A228" s="339"/>
      <c r="B228" s="605"/>
      <c r="W228" s="605"/>
      <c r="X228" s="291" t="s">
        <v>282</v>
      </c>
      <c r="AC228" s="504">
        <v>0</v>
      </c>
      <c r="AD228" s="292"/>
      <c r="AE228" s="343" t="s">
        <v>872</v>
      </c>
      <c r="AH228" s="605"/>
      <c r="AI228" s="291" t="s">
        <v>276</v>
      </c>
      <c r="AN228" s="501">
        <v>0.15</v>
      </c>
      <c r="AO228" s="292"/>
      <c r="AP228" s="343" t="s">
        <v>873</v>
      </c>
      <c r="BD228" s="292"/>
    </row>
    <row r="229" spans="1:56" x14ac:dyDescent="0.15">
      <c r="A229" s="339"/>
      <c r="B229" s="605"/>
      <c r="W229" s="1041"/>
      <c r="X229" s="1042" t="s">
        <v>295</v>
      </c>
      <c r="Y229" s="1042"/>
      <c r="Z229" s="1042"/>
      <c r="AA229" s="1042"/>
      <c r="AB229" s="1042"/>
      <c r="AC229" s="1048">
        <v>0</v>
      </c>
      <c r="AD229" s="1043"/>
      <c r="AE229" s="343" t="s">
        <v>872</v>
      </c>
      <c r="AH229" s="605"/>
      <c r="AI229" s="291" t="s">
        <v>315</v>
      </c>
      <c r="AN229" s="503">
        <v>91326</v>
      </c>
      <c r="AO229" s="292"/>
      <c r="AP229" s="343" t="s">
        <v>874</v>
      </c>
      <c r="BD229" s="292"/>
    </row>
    <row r="230" spans="1:56" x14ac:dyDescent="0.15">
      <c r="A230" s="339"/>
      <c r="B230" s="605"/>
      <c r="AH230" s="1041"/>
      <c r="AI230" s="1042" t="s">
        <v>853</v>
      </c>
      <c r="AJ230" s="1042"/>
      <c r="AK230" s="1042"/>
      <c r="AL230" s="1042"/>
      <c r="AM230" s="1042"/>
      <c r="AN230" s="1079">
        <v>0</v>
      </c>
      <c r="AO230" s="1043"/>
      <c r="BD230" s="292"/>
    </row>
    <row r="231" spans="1:56" x14ac:dyDescent="0.15">
      <c r="B231" s="605"/>
      <c r="D231" s="325"/>
      <c r="F231" s="325"/>
      <c r="I231" s="325"/>
      <c r="M231" s="291" t="s">
        <v>742</v>
      </c>
      <c r="W231" s="291" t="s">
        <v>551</v>
      </c>
      <c r="BD231" s="292"/>
    </row>
    <row r="232" spans="1:56" x14ac:dyDescent="0.15">
      <c r="A232" s="339"/>
      <c r="B232" s="605"/>
      <c r="M232" s="1038" t="s">
        <v>553</v>
      </c>
      <c r="N232" s="1039"/>
      <c r="O232" s="1039"/>
      <c r="P232" s="1039"/>
      <c r="Q232" s="1039"/>
      <c r="R232" s="1039"/>
      <c r="S232" s="1039"/>
      <c r="T232" s="1039"/>
      <c r="U232" s="1040"/>
      <c r="W232" s="1038" t="s">
        <v>137</v>
      </c>
      <c r="X232" s="1039"/>
      <c r="Y232" s="1039"/>
      <c r="Z232" s="1039"/>
      <c r="AA232" s="1039"/>
      <c r="AB232" s="1039"/>
      <c r="AC232" s="1039"/>
      <c r="AD232" s="1040"/>
      <c r="BD232" s="292"/>
    </row>
    <row r="233" spans="1:56" x14ac:dyDescent="0.15">
      <c r="A233" s="339"/>
      <c r="B233" s="605"/>
      <c r="M233" s="605"/>
      <c r="N233" s="291" t="s">
        <v>248</v>
      </c>
      <c r="T233" s="325" t="s">
        <v>556</v>
      </c>
      <c r="U233" s="292"/>
      <c r="W233" s="605"/>
      <c r="X233" s="291" t="s">
        <v>248</v>
      </c>
      <c r="AC233" s="325" t="s">
        <v>556</v>
      </c>
      <c r="AD233" s="292"/>
      <c r="BD233" s="292"/>
    </row>
    <row r="234" spans="1:56" x14ac:dyDescent="0.15">
      <c r="A234" s="339"/>
      <c r="B234" s="605"/>
      <c r="M234" s="605"/>
      <c r="N234" s="291" t="s">
        <v>244</v>
      </c>
      <c r="T234" s="291">
        <v>5</v>
      </c>
      <c r="U234" s="292"/>
      <c r="W234" s="605"/>
      <c r="X234" s="291" t="s">
        <v>244</v>
      </c>
      <c r="AC234" s="291">
        <v>5</v>
      </c>
      <c r="AD234" s="292"/>
      <c r="BD234" s="292"/>
    </row>
    <row r="235" spans="1:56" x14ac:dyDescent="0.15">
      <c r="A235" s="339"/>
      <c r="B235" s="605"/>
      <c r="M235" s="605"/>
      <c r="N235" s="291" t="s">
        <v>337</v>
      </c>
      <c r="T235" s="291">
        <v>1</v>
      </c>
      <c r="U235" s="292"/>
      <c r="W235" s="605"/>
      <c r="X235" s="291" t="s">
        <v>261</v>
      </c>
      <c r="AC235" s="291">
        <v>4</v>
      </c>
      <c r="AD235" s="292"/>
      <c r="BD235" s="292"/>
    </row>
    <row r="236" spans="1:56" x14ac:dyDescent="0.15">
      <c r="A236" s="339"/>
      <c r="B236" s="605"/>
      <c r="M236" s="605"/>
      <c r="N236" s="291" t="s">
        <v>350</v>
      </c>
      <c r="T236" s="541">
        <v>100</v>
      </c>
      <c r="U236" s="292"/>
      <c r="W236" s="605"/>
      <c r="X236" s="291" t="s">
        <v>560</v>
      </c>
      <c r="AC236" s="291">
        <v>1</v>
      </c>
      <c r="AD236" s="292" t="s">
        <v>849</v>
      </c>
      <c r="BD236" s="292"/>
    </row>
    <row r="237" spans="1:56" x14ac:dyDescent="0.15">
      <c r="A237" s="339"/>
      <c r="B237" s="605"/>
      <c r="M237" s="605"/>
      <c r="N237" s="291" t="s">
        <v>358</v>
      </c>
      <c r="T237" s="541">
        <v>100</v>
      </c>
      <c r="U237" s="292"/>
      <c r="W237" s="605"/>
      <c r="X237" s="291" t="s">
        <v>282</v>
      </c>
      <c r="AC237" s="504">
        <v>-15</v>
      </c>
      <c r="AD237" s="292"/>
      <c r="AE237" s="343" t="s">
        <v>883</v>
      </c>
      <c r="BD237" s="292"/>
    </row>
    <row r="238" spans="1:56" x14ac:dyDescent="0.15">
      <c r="A238" s="339"/>
      <c r="B238" s="605"/>
      <c r="M238" s="1041"/>
      <c r="N238" s="1042" t="s">
        <v>740</v>
      </c>
      <c r="O238" s="1042"/>
      <c r="P238" s="1042"/>
      <c r="Q238" s="1042"/>
      <c r="R238" s="1042"/>
      <c r="S238" s="1042"/>
      <c r="T238" s="1080">
        <v>100</v>
      </c>
      <c r="U238" s="1043"/>
      <c r="W238" s="1041"/>
      <c r="X238" s="1042" t="s">
        <v>295</v>
      </c>
      <c r="Y238" s="1042"/>
      <c r="Z238" s="1042"/>
      <c r="AA238" s="1042"/>
      <c r="AB238" s="1042"/>
      <c r="AC238" s="1048">
        <v>1</v>
      </c>
      <c r="AD238" s="1043"/>
      <c r="AE238" s="343"/>
      <c r="BD238" s="292"/>
    </row>
    <row r="239" spans="1:56" x14ac:dyDescent="0.15">
      <c r="A239" s="339"/>
      <c r="B239" s="605"/>
      <c r="T239" s="541"/>
      <c r="BD239" s="292"/>
    </row>
    <row r="240" spans="1:56" x14ac:dyDescent="0.15">
      <c r="B240" s="605"/>
      <c r="D240" s="325"/>
      <c r="F240" s="325"/>
      <c r="I240" s="325"/>
      <c r="M240" s="291" t="s">
        <v>753</v>
      </c>
      <c r="T240" s="541"/>
      <c r="W240" s="291" t="s">
        <v>551</v>
      </c>
      <c r="BD240" s="292"/>
    </row>
    <row r="241" spans="1:56" x14ac:dyDescent="0.15">
      <c r="A241" s="339"/>
      <c r="B241" s="605"/>
      <c r="M241" s="1038" t="s">
        <v>553</v>
      </c>
      <c r="N241" s="1039"/>
      <c r="O241" s="1039"/>
      <c r="P241" s="1039"/>
      <c r="Q241" s="1039"/>
      <c r="R241" s="1039"/>
      <c r="S241" s="1039"/>
      <c r="T241" s="1081"/>
      <c r="U241" s="1040"/>
      <c r="W241" s="1038" t="s">
        <v>137</v>
      </c>
      <c r="X241" s="1039"/>
      <c r="Y241" s="1039"/>
      <c r="Z241" s="1039"/>
      <c r="AA241" s="1039"/>
      <c r="AB241" s="1039"/>
      <c r="AC241" s="1039"/>
      <c r="AD241" s="1040"/>
      <c r="BD241" s="292"/>
    </row>
    <row r="242" spans="1:56" x14ac:dyDescent="0.15">
      <c r="A242" s="339"/>
      <c r="B242" s="605"/>
      <c r="M242" s="605"/>
      <c r="N242" s="291" t="s">
        <v>248</v>
      </c>
      <c r="T242" s="559" t="s">
        <v>556</v>
      </c>
      <c r="U242" s="292"/>
      <c r="W242" s="605"/>
      <c r="X242" s="291" t="s">
        <v>248</v>
      </c>
      <c r="AC242" s="325" t="s">
        <v>556</v>
      </c>
      <c r="AD242" s="292"/>
      <c r="BD242" s="292"/>
    </row>
    <row r="243" spans="1:56" x14ac:dyDescent="0.15">
      <c r="A243" s="339"/>
      <c r="B243" s="605"/>
      <c r="M243" s="605"/>
      <c r="N243" s="291" t="s">
        <v>244</v>
      </c>
      <c r="T243" s="541">
        <v>6</v>
      </c>
      <c r="U243" s="292"/>
      <c r="W243" s="605"/>
      <c r="X243" s="291" t="s">
        <v>244</v>
      </c>
      <c r="AC243" s="291">
        <v>6</v>
      </c>
      <c r="AD243" s="292"/>
      <c r="BD243" s="292"/>
    </row>
    <row r="244" spans="1:56" x14ac:dyDescent="0.15">
      <c r="A244" s="339"/>
      <c r="B244" s="605"/>
      <c r="M244" s="605"/>
      <c r="N244" s="291" t="s">
        <v>337</v>
      </c>
      <c r="T244" s="541">
        <v>3</v>
      </c>
      <c r="U244" s="292"/>
      <c r="W244" s="605"/>
      <c r="X244" s="291" t="s">
        <v>261</v>
      </c>
      <c r="AC244" s="291">
        <v>4</v>
      </c>
      <c r="AD244" s="292"/>
      <c r="BD244" s="292"/>
    </row>
    <row r="245" spans="1:56" x14ac:dyDescent="0.15">
      <c r="A245" s="339"/>
      <c r="B245" s="605"/>
      <c r="M245" s="605"/>
      <c r="N245" s="291" t="s">
        <v>350</v>
      </c>
      <c r="T245" s="541">
        <v>300</v>
      </c>
      <c r="U245" s="292"/>
      <c r="W245" s="605"/>
      <c r="X245" s="291" t="s">
        <v>560</v>
      </c>
      <c r="AC245" s="291">
        <v>1</v>
      </c>
      <c r="AD245" s="292" t="s">
        <v>849</v>
      </c>
      <c r="BD245" s="292"/>
    </row>
    <row r="246" spans="1:56" x14ac:dyDescent="0.15">
      <c r="A246" s="339"/>
      <c r="B246" s="605"/>
      <c r="M246" s="605"/>
      <c r="N246" s="291" t="s">
        <v>358</v>
      </c>
      <c r="T246" s="541">
        <v>100</v>
      </c>
      <c r="U246" s="292"/>
      <c r="W246" s="605"/>
      <c r="X246" s="291" t="s">
        <v>282</v>
      </c>
      <c r="AC246" s="504">
        <v>-45</v>
      </c>
      <c r="AD246" s="292"/>
      <c r="AE246" s="343" t="s">
        <v>883</v>
      </c>
      <c r="BD246" s="292"/>
    </row>
    <row r="247" spans="1:56" x14ac:dyDescent="0.15">
      <c r="A247" s="339"/>
      <c r="B247" s="605"/>
      <c r="M247" s="1041"/>
      <c r="N247" s="1042" t="s">
        <v>740</v>
      </c>
      <c r="O247" s="1042"/>
      <c r="P247" s="1042"/>
      <c r="Q247" s="1042"/>
      <c r="R247" s="1042"/>
      <c r="S247" s="1042"/>
      <c r="T247" s="1080">
        <v>100</v>
      </c>
      <c r="U247" s="1043"/>
      <c r="W247" s="1041"/>
      <c r="X247" s="1042" t="s">
        <v>295</v>
      </c>
      <c r="Y247" s="1042"/>
      <c r="Z247" s="1042"/>
      <c r="AA247" s="1042"/>
      <c r="AB247" s="1042"/>
      <c r="AC247" s="1048">
        <v>3</v>
      </c>
      <c r="AD247" s="1043"/>
      <c r="AE247" s="343"/>
      <c r="BD247" s="292"/>
    </row>
    <row r="248" spans="1:56" x14ac:dyDescent="0.15">
      <c r="A248" s="339"/>
      <c r="B248" s="605"/>
      <c r="T248" s="541"/>
      <c r="BD248" s="292"/>
    </row>
    <row r="249" spans="1:56" x14ac:dyDescent="0.15">
      <c r="B249" s="605"/>
      <c r="D249" s="325"/>
      <c r="F249" s="325"/>
      <c r="I249" s="325"/>
      <c r="M249" s="291" t="s">
        <v>766</v>
      </c>
      <c r="T249" s="541"/>
      <c r="W249" s="291" t="s">
        <v>551</v>
      </c>
      <c r="BD249" s="292"/>
    </row>
    <row r="250" spans="1:56" x14ac:dyDescent="0.15">
      <c r="A250" s="339"/>
      <c r="B250" s="605"/>
      <c r="M250" s="1038" t="s">
        <v>553</v>
      </c>
      <c r="N250" s="1039"/>
      <c r="O250" s="1039"/>
      <c r="P250" s="1039"/>
      <c r="Q250" s="1039"/>
      <c r="R250" s="1039"/>
      <c r="S250" s="1039"/>
      <c r="T250" s="1081"/>
      <c r="U250" s="1040"/>
      <c r="W250" s="1038" t="s">
        <v>137</v>
      </c>
      <c r="X250" s="1039"/>
      <c r="Y250" s="1039"/>
      <c r="Z250" s="1039"/>
      <c r="AA250" s="1039"/>
      <c r="AB250" s="1039"/>
      <c r="AC250" s="1039"/>
      <c r="AD250" s="1040"/>
      <c r="BD250" s="292"/>
    </row>
    <row r="251" spans="1:56" x14ac:dyDescent="0.15">
      <c r="A251" s="339"/>
      <c r="B251" s="605"/>
      <c r="M251" s="605"/>
      <c r="N251" s="291" t="s">
        <v>248</v>
      </c>
      <c r="T251" s="559" t="s">
        <v>556</v>
      </c>
      <c r="U251" s="292"/>
      <c r="W251" s="605"/>
      <c r="X251" s="291" t="s">
        <v>248</v>
      </c>
      <c r="AC251" s="325" t="s">
        <v>556</v>
      </c>
      <c r="AD251" s="292"/>
      <c r="BD251" s="292"/>
    </row>
    <row r="252" spans="1:56" x14ac:dyDescent="0.15">
      <c r="A252" s="339"/>
      <c r="B252" s="605"/>
      <c r="M252" s="605"/>
      <c r="N252" s="291" t="s">
        <v>244</v>
      </c>
      <c r="T252" s="541">
        <v>7</v>
      </c>
      <c r="U252" s="292"/>
      <c r="W252" s="605"/>
      <c r="X252" s="291" t="s">
        <v>244</v>
      </c>
      <c r="AC252" s="291">
        <v>7</v>
      </c>
      <c r="AD252" s="292"/>
      <c r="BD252" s="292"/>
    </row>
    <row r="253" spans="1:56" x14ac:dyDescent="0.15">
      <c r="A253" s="339"/>
      <c r="B253" s="605"/>
      <c r="M253" s="605"/>
      <c r="N253" s="291" t="s">
        <v>337</v>
      </c>
      <c r="T253" s="541">
        <v>2</v>
      </c>
      <c r="U253" s="292"/>
      <c r="W253" s="605"/>
      <c r="X253" s="291" t="s">
        <v>261</v>
      </c>
      <c r="AC253" s="291">
        <v>4</v>
      </c>
      <c r="AD253" s="292"/>
      <c r="BD253" s="292"/>
    </row>
    <row r="254" spans="1:56" x14ac:dyDescent="0.15">
      <c r="A254" s="339"/>
      <c r="B254" s="605"/>
      <c r="M254" s="605"/>
      <c r="N254" s="291" t="s">
        <v>350</v>
      </c>
      <c r="T254" s="541">
        <v>200</v>
      </c>
      <c r="U254" s="292"/>
      <c r="W254" s="605"/>
      <c r="X254" s="291" t="s">
        <v>560</v>
      </c>
      <c r="AC254" s="291">
        <v>1</v>
      </c>
      <c r="AD254" s="292" t="s">
        <v>849</v>
      </c>
      <c r="BD254" s="292"/>
    </row>
    <row r="255" spans="1:56" x14ac:dyDescent="0.15">
      <c r="A255" s="339"/>
      <c r="B255" s="605"/>
      <c r="M255" s="605"/>
      <c r="N255" s="291" t="s">
        <v>358</v>
      </c>
      <c r="T255" s="541">
        <v>100</v>
      </c>
      <c r="U255" s="292"/>
      <c r="W255" s="605"/>
      <c r="X255" s="291" t="s">
        <v>282</v>
      </c>
      <c r="AC255" s="504">
        <v>0</v>
      </c>
      <c r="AD255" s="292"/>
      <c r="AE255" s="343" t="s">
        <v>872</v>
      </c>
      <c r="BD255" s="292"/>
    </row>
    <row r="256" spans="1:56" x14ac:dyDescent="0.15">
      <c r="A256" s="339"/>
      <c r="B256" s="605"/>
      <c r="M256" s="1041"/>
      <c r="N256" s="1042" t="s">
        <v>740</v>
      </c>
      <c r="O256" s="1042"/>
      <c r="P256" s="1042"/>
      <c r="Q256" s="1042"/>
      <c r="R256" s="1042"/>
      <c r="S256" s="1042"/>
      <c r="T256" s="1080">
        <v>100</v>
      </c>
      <c r="U256" s="1043"/>
      <c r="W256" s="1041"/>
      <c r="X256" s="1042" t="s">
        <v>295</v>
      </c>
      <c r="Y256" s="1042"/>
      <c r="Z256" s="1042"/>
      <c r="AA256" s="1042"/>
      <c r="AB256" s="1042"/>
      <c r="AC256" s="1048">
        <v>0</v>
      </c>
      <c r="AD256" s="1043"/>
      <c r="AE256" s="343" t="s">
        <v>872</v>
      </c>
      <c r="BD256" s="292"/>
    </row>
    <row r="257" spans="1:56" x14ac:dyDescent="0.15">
      <c r="A257" s="339"/>
      <c r="B257" s="605"/>
      <c r="T257" s="541"/>
      <c r="BD257" s="292"/>
    </row>
    <row r="258" spans="1:56" x14ac:dyDescent="0.15">
      <c r="B258" s="605"/>
      <c r="D258" s="325"/>
      <c r="F258" s="325"/>
      <c r="I258" s="325"/>
      <c r="T258" s="541"/>
      <c r="W258" s="291" t="s">
        <v>551</v>
      </c>
      <c r="AH258" s="291" t="s">
        <v>884</v>
      </c>
      <c r="BD258" s="292"/>
    </row>
    <row r="259" spans="1:56" x14ac:dyDescent="0.15">
      <c r="A259" s="339"/>
      <c r="B259" s="605"/>
      <c r="T259" s="541"/>
      <c r="W259" s="1038" t="s">
        <v>137</v>
      </c>
      <c r="X259" s="1039"/>
      <c r="Y259" s="1039"/>
      <c r="Z259" s="1039"/>
      <c r="AA259" s="1039"/>
      <c r="AB259" s="1039"/>
      <c r="AC259" s="1039"/>
      <c r="AD259" s="1040"/>
      <c r="AH259" s="1038" t="s">
        <v>35</v>
      </c>
      <c r="AI259" s="1039"/>
      <c r="AJ259" s="1039"/>
      <c r="AK259" s="1039"/>
      <c r="AL259" s="1039"/>
      <c r="AM259" s="1039"/>
      <c r="AN259" s="1039"/>
      <c r="AO259" s="1040"/>
      <c r="BD259" s="292"/>
    </row>
    <row r="260" spans="1:56" x14ac:dyDescent="0.15">
      <c r="A260" s="339"/>
      <c r="B260" s="605"/>
      <c r="T260" s="541"/>
      <c r="W260" s="605"/>
      <c r="X260" s="291" t="s">
        <v>248</v>
      </c>
      <c r="AC260" s="325" t="s">
        <v>556</v>
      </c>
      <c r="AD260" s="292"/>
      <c r="AH260" s="605"/>
      <c r="AI260" s="291" t="s">
        <v>248</v>
      </c>
      <c r="AN260" s="325" t="s">
        <v>556</v>
      </c>
      <c r="AO260" s="292"/>
      <c r="BD260" s="292"/>
    </row>
    <row r="261" spans="1:56" x14ac:dyDescent="0.15">
      <c r="A261" s="339"/>
      <c r="B261" s="605"/>
      <c r="T261" s="541"/>
      <c r="W261" s="605"/>
      <c r="X261" s="291" t="s">
        <v>244</v>
      </c>
      <c r="AC261" s="291">
        <v>7</v>
      </c>
      <c r="AD261" s="292"/>
      <c r="AH261" s="605"/>
      <c r="AI261" s="291" t="s">
        <v>244</v>
      </c>
      <c r="AN261" s="502">
        <v>8</v>
      </c>
      <c r="AO261" s="292"/>
      <c r="BD261" s="292"/>
    </row>
    <row r="262" spans="1:56" x14ac:dyDescent="0.15">
      <c r="A262" s="339"/>
      <c r="B262" s="605"/>
      <c r="T262" s="541"/>
      <c r="W262" s="605"/>
      <c r="X262" s="291" t="s">
        <v>261</v>
      </c>
      <c r="AC262" s="291">
        <v>8</v>
      </c>
      <c r="AD262" s="292"/>
      <c r="AH262" s="605"/>
      <c r="AI262" s="291" t="s">
        <v>263</v>
      </c>
      <c r="AN262" s="503">
        <v>1</v>
      </c>
      <c r="AO262" s="292"/>
      <c r="AP262" s="343" t="s">
        <v>885</v>
      </c>
      <c r="BD262" s="292"/>
    </row>
    <row r="263" spans="1:56" x14ac:dyDescent="0.15">
      <c r="A263" s="339"/>
      <c r="B263" s="605"/>
      <c r="T263" s="541"/>
      <c r="W263" s="605"/>
      <c r="X263" s="291" t="s">
        <v>560</v>
      </c>
      <c r="AC263" s="291">
        <v>1</v>
      </c>
      <c r="AD263" s="292" t="s">
        <v>849</v>
      </c>
      <c r="AH263" s="605"/>
      <c r="AI263" s="291" t="s">
        <v>270</v>
      </c>
      <c r="AN263" s="501">
        <v>0</v>
      </c>
      <c r="AO263" s="292"/>
      <c r="AP263" s="343" t="s">
        <v>872</v>
      </c>
      <c r="BD263" s="292"/>
    </row>
    <row r="264" spans="1:56" x14ac:dyDescent="0.15">
      <c r="A264" s="339"/>
      <c r="B264" s="605"/>
      <c r="T264" s="541"/>
      <c r="W264" s="605"/>
      <c r="X264" s="291" t="s">
        <v>282</v>
      </c>
      <c r="AC264" s="504">
        <v>0</v>
      </c>
      <c r="AD264" s="292"/>
      <c r="AE264" s="343" t="s">
        <v>872</v>
      </c>
      <c r="AH264" s="605"/>
      <c r="AI264" s="291" t="s">
        <v>276</v>
      </c>
      <c r="AN264" s="501">
        <v>0</v>
      </c>
      <c r="AO264" s="292"/>
      <c r="AP264" s="343" t="s">
        <v>872</v>
      </c>
      <c r="BD264" s="292"/>
    </row>
    <row r="265" spans="1:56" x14ac:dyDescent="0.15">
      <c r="A265" s="339"/>
      <c r="B265" s="605"/>
      <c r="T265" s="541"/>
      <c r="W265" s="1041"/>
      <c r="X265" s="1042" t="s">
        <v>295</v>
      </c>
      <c r="Y265" s="1042"/>
      <c r="Z265" s="1042"/>
      <c r="AA265" s="1042"/>
      <c r="AB265" s="1042"/>
      <c r="AC265" s="1048">
        <v>2</v>
      </c>
      <c r="AD265" s="1043"/>
      <c r="AE265" s="343" t="s">
        <v>886</v>
      </c>
      <c r="AH265" s="605"/>
      <c r="AI265" s="291" t="s">
        <v>315</v>
      </c>
      <c r="AN265" s="503">
        <v>91323</v>
      </c>
      <c r="AO265" s="292"/>
      <c r="AP265" s="343" t="s">
        <v>887</v>
      </c>
      <c r="BD265" s="292"/>
    </row>
    <row r="266" spans="1:56" x14ac:dyDescent="0.15">
      <c r="A266" s="339"/>
      <c r="B266" s="605"/>
      <c r="T266" s="541"/>
      <c r="AH266" s="1041"/>
      <c r="AI266" s="1042" t="s">
        <v>853</v>
      </c>
      <c r="AJ266" s="1042"/>
      <c r="AK266" s="1042"/>
      <c r="AL266" s="1042"/>
      <c r="AM266" s="1042"/>
      <c r="AN266" s="1079">
        <v>0</v>
      </c>
      <c r="AO266" s="1043"/>
      <c r="BD266" s="292"/>
    </row>
    <row r="267" spans="1:56" x14ac:dyDescent="0.15">
      <c r="B267" s="605"/>
      <c r="D267" s="325"/>
      <c r="F267" s="325"/>
      <c r="I267" s="325"/>
      <c r="M267" s="291" t="s">
        <v>767</v>
      </c>
      <c r="T267" s="541"/>
      <c r="W267" s="291" t="s">
        <v>551</v>
      </c>
      <c r="BD267" s="292"/>
    </row>
    <row r="268" spans="1:56" x14ac:dyDescent="0.15">
      <c r="A268" s="339"/>
      <c r="B268" s="605"/>
      <c r="M268" s="1038" t="s">
        <v>553</v>
      </c>
      <c r="N268" s="1039"/>
      <c r="O268" s="1039"/>
      <c r="P268" s="1039"/>
      <c r="Q268" s="1039"/>
      <c r="R268" s="1039"/>
      <c r="S268" s="1039"/>
      <c r="T268" s="1081"/>
      <c r="U268" s="1040"/>
      <c r="W268" s="1038" t="s">
        <v>137</v>
      </c>
      <c r="X268" s="1039"/>
      <c r="Y268" s="1039"/>
      <c r="Z268" s="1039"/>
      <c r="AA268" s="1039"/>
      <c r="AB268" s="1039"/>
      <c r="AC268" s="1039"/>
      <c r="AD268" s="1040"/>
      <c r="BD268" s="292"/>
    </row>
    <row r="269" spans="1:56" x14ac:dyDescent="0.15">
      <c r="A269" s="339"/>
      <c r="B269" s="605"/>
      <c r="M269" s="605"/>
      <c r="N269" s="291" t="s">
        <v>248</v>
      </c>
      <c r="T269" s="559" t="s">
        <v>556</v>
      </c>
      <c r="U269" s="292"/>
      <c r="W269" s="605"/>
      <c r="X269" s="291" t="s">
        <v>248</v>
      </c>
      <c r="AC269" s="325" t="s">
        <v>556</v>
      </c>
      <c r="AD269" s="292"/>
      <c r="BD269" s="292"/>
    </row>
    <row r="270" spans="1:56" x14ac:dyDescent="0.15">
      <c r="A270" s="339"/>
      <c r="B270" s="605"/>
      <c r="M270" s="605"/>
      <c r="N270" s="291" t="s">
        <v>244</v>
      </c>
      <c r="T270" s="541">
        <v>9</v>
      </c>
      <c r="U270" s="292"/>
      <c r="W270" s="605"/>
      <c r="X270" s="291" t="s">
        <v>244</v>
      </c>
      <c r="AC270" s="291">
        <v>9</v>
      </c>
      <c r="AD270" s="292"/>
      <c r="BD270" s="292"/>
    </row>
    <row r="271" spans="1:56" x14ac:dyDescent="0.15">
      <c r="A271" s="339"/>
      <c r="B271" s="605"/>
      <c r="M271" s="605"/>
      <c r="N271" s="291" t="s">
        <v>337</v>
      </c>
      <c r="T271" s="541">
        <v>1</v>
      </c>
      <c r="U271" s="292"/>
      <c r="W271" s="605"/>
      <c r="X271" s="291" t="s">
        <v>261</v>
      </c>
      <c r="AC271" s="291">
        <v>4</v>
      </c>
      <c r="AD271" s="292"/>
      <c r="BD271" s="292"/>
    </row>
    <row r="272" spans="1:56" x14ac:dyDescent="0.15">
      <c r="A272" s="339"/>
      <c r="B272" s="605"/>
      <c r="M272" s="605"/>
      <c r="N272" s="291" t="s">
        <v>350</v>
      </c>
      <c r="T272" s="541">
        <v>100</v>
      </c>
      <c r="U272" s="292"/>
      <c r="W272" s="605"/>
      <c r="X272" s="291" t="s">
        <v>560</v>
      </c>
      <c r="AC272" s="291">
        <v>1</v>
      </c>
      <c r="AD272" s="292" t="s">
        <v>849</v>
      </c>
      <c r="BD272" s="292"/>
    </row>
    <row r="273" spans="1:57" x14ac:dyDescent="0.15">
      <c r="A273" s="339"/>
      <c r="B273" s="605"/>
      <c r="M273" s="605"/>
      <c r="N273" s="291" t="s">
        <v>358</v>
      </c>
      <c r="T273" s="541">
        <v>100</v>
      </c>
      <c r="U273" s="292"/>
      <c r="W273" s="605"/>
      <c r="X273" s="291" t="s">
        <v>282</v>
      </c>
      <c r="AC273" s="504">
        <v>0</v>
      </c>
      <c r="AD273" s="292"/>
      <c r="AE273" s="343" t="s">
        <v>872</v>
      </c>
      <c r="BD273" s="292"/>
    </row>
    <row r="274" spans="1:57" x14ac:dyDescent="0.15">
      <c r="A274" s="339"/>
      <c r="B274" s="605"/>
      <c r="M274" s="1041"/>
      <c r="N274" s="1042" t="s">
        <v>740</v>
      </c>
      <c r="O274" s="1042"/>
      <c r="P274" s="1042"/>
      <c r="Q274" s="1042"/>
      <c r="R274" s="1042"/>
      <c r="S274" s="1042"/>
      <c r="T274" s="1080">
        <v>100</v>
      </c>
      <c r="U274" s="1043"/>
      <c r="W274" s="1041"/>
      <c r="X274" s="1042" t="s">
        <v>295</v>
      </c>
      <c r="Y274" s="1042"/>
      <c r="Z274" s="1042"/>
      <c r="AA274" s="1042"/>
      <c r="AB274" s="1042"/>
      <c r="AC274" s="1048">
        <v>0</v>
      </c>
      <c r="AD274" s="1043"/>
      <c r="AE274" s="343" t="s">
        <v>872</v>
      </c>
      <c r="BD274" s="292"/>
    </row>
    <row r="275" spans="1:57" x14ac:dyDescent="0.15">
      <c r="A275" s="339"/>
      <c r="B275" s="605"/>
      <c r="BD275" s="292"/>
    </row>
    <row r="276" spans="1:57" x14ac:dyDescent="0.15">
      <c r="B276" s="605"/>
      <c r="D276" s="325"/>
      <c r="F276" s="325"/>
      <c r="I276" s="325"/>
      <c r="W276" s="291" t="s">
        <v>551</v>
      </c>
      <c r="AH276" s="291" t="s">
        <v>888</v>
      </c>
      <c r="BD276" s="292"/>
    </row>
    <row r="277" spans="1:57" x14ac:dyDescent="0.15">
      <c r="A277" s="339"/>
      <c r="B277" s="605"/>
      <c r="W277" s="1038" t="s">
        <v>137</v>
      </c>
      <c r="X277" s="1039"/>
      <c r="Y277" s="1039"/>
      <c r="Z277" s="1039"/>
      <c r="AA277" s="1039"/>
      <c r="AB277" s="1039"/>
      <c r="AC277" s="1039"/>
      <c r="AD277" s="1040"/>
      <c r="AH277" s="1038" t="s">
        <v>35</v>
      </c>
      <c r="AI277" s="1039"/>
      <c r="AJ277" s="1039"/>
      <c r="AK277" s="1039"/>
      <c r="AL277" s="1039"/>
      <c r="AM277" s="1039"/>
      <c r="AN277" s="1039"/>
      <c r="AO277" s="1040"/>
      <c r="BD277" s="292"/>
    </row>
    <row r="278" spans="1:57" x14ac:dyDescent="0.15">
      <c r="A278" s="339"/>
      <c r="B278" s="605"/>
      <c r="W278" s="605"/>
      <c r="X278" s="291" t="s">
        <v>248</v>
      </c>
      <c r="AC278" s="325" t="s">
        <v>556</v>
      </c>
      <c r="AD278" s="292"/>
      <c r="AH278" s="605"/>
      <c r="AI278" s="291" t="s">
        <v>248</v>
      </c>
      <c r="AN278" s="325" t="s">
        <v>556</v>
      </c>
      <c r="AO278" s="292"/>
      <c r="BD278" s="292"/>
    </row>
    <row r="279" spans="1:57" x14ac:dyDescent="0.15">
      <c r="A279" s="339"/>
      <c r="B279" s="605"/>
      <c r="W279" s="605"/>
      <c r="X279" s="291" t="s">
        <v>244</v>
      </c>
      <c r="AC279" s="291">
        <v>9</v>
      </c>
      <c r="AD279" s="292"/>
      <c r="AH279" s="605"/>
      <c r="AI279" s="291" t="s">
        <v>244</v>
      </c>
      <c r="AN279" s="502">
        <v>10</v>
      </c>
      <c r="AO279" s="292"/>
      <c r="BD279" s="292"/>
    </row>
    <row r="280" spans="1:57" x14ac:dyDescent="0.15">
      <c r="A280" s="339"/>
      <c r="B280" s="605"/>
      <c r="W280" s="605"/>
      <c r="X280" s="291" t="s">
        <v>261</v>
      </c>
      <c r="AC280" s="291">
        <v>10</v>
      </c>
      <c r="AD280" s="292"/>
      <c r="AH280" s="605"/>
      <c r="AI280" s="291" t="s">
        <v>263</v>
      </c>
      <c r="AN280" s="503">
        <v>1</v>
      </c>
      <c r="AO280" s="292"/>
      <c r="AP280" s="343" t="s">
        <v>885</v>
      </c>
      <c r="BD280" s="292"/>
    </row>
    <row r="281" spans="1:57" x14ac:dyDescent="0.15">
      <c r="A281" s="339"/>
      <c r="B281" s="605"/>
      <c r="W281" s="605"/>
      <c r="X281" s="291" t="s">
        <v>560</v>
      </c>
      <c r="AC281" s="291">
        <v>1</v>
      </c>
      <c r="AD281" s="292" t="s">
        <v>849</v>
      </c>
      <c r="AH281" s="605"/>
      <c r="AI281" s="291" t="s">
        <v>270</v>
      </c>
      <c r="AN281" s="501">
        <v>0</v>
      </c>
      <c r="AO281" s="292"/>
      <c r="AP281" s="343" t="s">
        <v>872</v>
      </c>
      <c r="BD281" s="292"/>
    </row>
    <row r="282" spans="1:57" x14ac:dyDescent="0.15">
      <c r="A282" s="339"/>
      <c r="B282" s="605"/>
      <c r="W282" s="605"/>
      <c r="X282" s="291" t="s">
        <v>282</v>
      </c>
      <c r="AC282" s="504">
        <v>0</v>
      </c>
      <c r="AD282" s="292"/>
      <c r="AE282" s="343" t="s">
        <v>872</v>
      </c>
      <c r="AH282" s="605"/>
      <c r="AI282" s="291" t="s">
        <v>276</v>
      </c>
      <c r="AN282" s="501">
        <v>0</v>
      </c>
      <c r="AO282" s="292"/>
      <c r="AP282" s="343" t="s">
        <v>872</v>
      </c>
      <c r="BD282" s="292"/>
    </row>
    <row r="283" spans="1:57" x14ac:dyDescent="0.15">
      <c r="A283" s="339"/>
      <c r="B283" s="605"/>
      <c r="W283" s="1041"/>
      <c r="X283" s="1042" t="s">
        <v>295</v>
      </c>
      <c r="Y283" s="1042"/>
      <c r="Z283" s="1042"/>
      <c r="AA283" s="1042"/>
      <c r="AB283" s="1042"/>
      <c r="AC283" s="1048">
        <v>1</v>
      </c>
      <c r="AD283" s="1043"/>
      <c r="AE283" s="343" t="s">
        <v>886</v>
      </c>
      <c r="AH283" s="605"/>
      <c r="AI283" s="291" t="s">
        <v>315</v>
      </c>
      <c r="AN283" s="503">
        <v>91331</v>
      </c>
      <c r="AO283" s="292"/>
      <c r="AP283" s="343" t="s">
        <v>889</v>
      </c>
      <c r="BD283" s="292"/>
    </row>
    <row r="284" spans="1:57" x14ac:dyDescent="0.15">
      <c r="A284" s="339"/>
      <c r="B284" s="605"/>
      <c r="AH284" s="1041"/>
      <c r="AI284" s="1042" t="s">
        <v>853</v>
      </c>
      <c r="AJ284" s="1042"/>
      <c r="AK284" s="1042"/>
      <c r="AL284" s="1042"/>
      <c r="AM284" s="1042"/>
      <c r="AN284" s="1079">
        <v>0</v>
      </c>
      <c r="AO284" s="1043"/>
      <c r="BD284" s="292"/>
    </row>
    <row r="285" spans="1:57" x14ac:dyDescent="0.15">
      <c r="A285" s="339"/>
      <c r="B285" s="605"/>
      <c r="BD285" s="292"/>
    </row>
    <row r="286" spans="1:57" x14ac:dyDescent="0.15">
      <c r="B286" s="1041"/>
      <c r="C286" s="1042"/>
      <c r="D286" s="1042"/>
      <c r="E286" s="1042"/>
      <c r="F286" s="1042"/>
      <c r="G286" s="1042"/>
      <c r="H286" s="1042"/>
      <c r="I286" s="1042"/>
      <c r="J286" s="1042"/>
      <c r="K286" s="1042"/>
      <c r="L286" s="1042"/>
      <c r="M286" s="1042"/>
      <c r="N286" s="1042"/>
      <c r="O286" s="1042"/>
      <c r="P286" s="1042"/>
      <c r="Q286" s="1042"/>
      <c r="R286" s="1042"/>
      <c r="S286" s="1042"/>
      <c r="T286" s="1042"/>
      <c r="U286" s="1042"/>
      <c r="V286" s="1042"/>
      <c r="W286" s="1042"/>
      <c r="X286" s="1042"/>
      <c r="Y286" s="1042"/>
      <c r="Z286" s="1042"/>
      <c r="AA286" s="1042"/>
      <c r="AB286" s="1042"/>
      <c r="AC286" s="1042"/>
      <c r="AD286" s="1042"/>
      <c r="AE286" s="1042"/>
      <c r="AF286" s="1042"/>
      <c r="AG286" s="1042"/>
      <c r="AH286" s="1042"/>
      <c r="AI286" s="1042"/>
      <c r="AJ286" s="1042"/>
      <c r="AK286" s="1042"/>
      <c r="AL286" s="1042"/>
      <c r="AM286" s="1042"/>
      <c r="AN286" s="1042"/>
      <c r="AO286" s="1042"/>
      <c r="AP286" s="1042"/>
      <c r="AQ286" s="1042"/>
      <c r="AR286" s="1042"/>
      <c r="AS286" s="1042"/>
      <c r="AT286" s="1042"/>
      <c r="AU286" s="1042"/>
      <c r="AV286" s="1042"/>
      <c r="AW286" s="1042"/>
      <c r="AX286" s="1042"/>
      <c r="AY286" s="1042"/>
      <c r="AZ286" s="1042"/>
      <c r="BA286" s="1042"/>
      <c r="BB286" s="1042"/>
      <c r="BC286" s="1042"/>
      <c r="BD286" s="1043"/>
    </row>
    <row r="287" spans="1:57" ht="12" thickBot="1" x14ac:dyDescent="0.2"/>
    <row r="288" spans="1:57" ht="12.75" thickTop="1" x14ac:dyDescent="0.15">
      <c r="B288" s="50" t="s">
        <v>6</v>
      </c>
      <c r="C288" s="51"/>
      <c r="D288" s="51"/>
      <c r="E288" s="51"/>
      <c r="F288" s="51"/>
      <c r="G288" s="51"/>
      <c r="H288" s="51"/>
      <c r="I288" s="51"/>
      <c r="J288" s="51"/>
      <c r="K288" s="51"/>
      <c r="L288" s="51"/>
      <c r="M288" s="51"/>
      <c r="N288" s="52"/>
      <c r="O288" s="677" t="s">
        <v>7</v>
      </c>
      <c r="P288" s="830"/>
      <c r="Q288" s="830"/>
      <c r="R288" s="830"/>
      <c r="S288" s="830"/>
      <c r="T288" s="831"/>
      <c r="U288" s="1250" t="s">
        <v>8</v>
      </c>
      <c r="V288" s="1248"/>
      <c r="W288" s="1248"/>
      <c r="X288" s="1248"/>
      <c r="Y288" s="1248"/>
      <c r="Z288" s="1248"/>
      <c r="AA288" s="1249"/>
      <c r="AB288" s="1306" t="str">
        <f>AB$1</f>
        <v>取引ログ作成時の注意事項（値引併用）</v>
      </c>
      <c r="AC288" s="1307"/>
      <c r="AD288" s="1307"/>
      <c r="AE288" s="1307"/>
      <c r="AF288" s="1307"/>
      <c r="AG288" s="1307"/>
      <c r="AH288" s="1307"/>
      <c r="AI288" s="1307"/>
      <c r="AJ288" s="1307"/>
      <c r="AK288" s="1307"/>
      <c r="AL288" s="1307"/>
      <c r="AM288" s="1307"/>
      <c r="AN288" s="1308"/>
      <c r="AO288" s="1250" t="s">
        <v>10</v>
      </c>
      <c r="AP288" s="1249"/>
      <c r="AQ288" s="1303" t="s">
        <v>11</v>
      </c>
      <c r="AR288" s="1304"/>
      <c r="AS288" s="1305"/>
      <c r="AT288" s="1250" t="s">
        <v>12</v>
      </c>
      <c r="AU288" s="1248"/>
      <c r="AV288" s="1248"/>
      <c r="AW288" s="1249"/>
      <c r="AX288" s="1303" t="s">
        <v>13</v>
      </c>
      <c r="AY288" s="1304"/>
      <c r="AZ288" s="1305"/>
      <c r="BA288" s="1250" t="s">
        <v>14</v>
      </c>
      <c r="BB288" s="1248"/>
      <c r="BC288" s="1248"/>
      <c r="BD288" s="1249"/>
      <c r="BE288" s="355" t="s">
        <v>701</v>
      </c>
    </row>
    <row r="289" spans="1:56" ht="12.75" thickBot="1" x14ac:dyDescent="0.2">
      <c r="B289" s="1260" t="s">
        <v>15</v>
      </c>
      <c r="C289" s="1261"/>
      <c r="D289" s="1261"/>
      <c r="E289" s="1261"/>
      <c r="F289" s="1261"/>
      <c r="G289" s="1261"/>
      <c r="H289" s="1261"/>
      <c r="I289" s="1261"/>
      <c r="J289" s="1261"/>
      <c r="K289" s="1261"/>
      <c r="L289" s="1261"/>
      <c r="M289" s="1261"/>
      <c r="N289" s="1262"/>
      <c r="O289" s="678" t="s">
        <v>16</v>
      </c>
      <c r="P289" s="834"/>
      <c r="Q289" s="834"/>
      <c r="R289" s="834"/>
      <c r="S289" s="834"/>
      <c r="T289" s="835"/>
      <c r="U289" s="1266" t="s">
        <v>163</v>
      </c>
      <c r="V289" s="1264"/>
      <c r="W289" s="1264"/>
      <c r="X289" s="1264"/>
      <c r="Y289" s="1264"/>
      <c r="Z289" s="1264"/>
      <c r="AA289" s="1265"/>
      <c r="AB289" s="1309"/>
      <c r="AC289" s="1310"/>
      <c r="AD289" s="1310"/>
      <c r="AE289" s="1310"/>
      <c r="AF289" s="1310"/>
      <c r="AG289" s="1310"/>
      <c r="AH289" s="1310"/>
      <c r="AI289" s="1310"/>
      <c r="AJ289" s="1310"/>
      <c r="AK289" s="1310"/>
      <c r="AL289" s="1310"/>
      <c r="AM289" s="1310"/>
      <c r="AN289" s="1311"/>
      <c r="AO289" s="1267">
        <f>AO$2</f>
        <v>1.1200000000000001</v>
      </c>
      <c r="AP289" s="1268"/>
      <c r="AQ289" s="1266" t="str">
        <f>AQ$2</f>
        <v>富士通</v>
      </c>
      <c r="AR289" s="1264"/>
      <c r="AS289" s="1265"/>
      <c r="AT289" s="1269">
        <f>AT$2</f>
        <v>45709</v>
      </c>
      <c r="AU289" s="1270"/>
      <c r="AV289" s="1270"/>
      <c r="AW289" s="1270"/>
      <c r="AX289" s="1266" t="s">
        <v>18</v>
      </c>
      <c r="AY289" s="1264"/>
      <c r="AZ289" s="1265"/>
      <c r="BA289" s="1269">
        <v>45588</v>
      </c>
      <c r="BB289" s="1270"/>
      <c r="BC289" s="1270"/>
      <c r="BD289" s="1271"/>
    </row>
    <row r="290" spans="1:56" ht="12" thickTop="1" x14ac:dyDescent="0.15"/>
    <row r="291" spans="1:56" x14ac:dyDescent="0.15">
      <c r="B291" s="1038"/>
      <c r="C291" s="1039"/>
      <c r="D291" s="1039"/>
      <c r="E291" s="1039"/>
      <c r="F291" s="1039"/>
      <c r="G291" s="1039"/>
      <c r="H291" s="1039"/>
      <c r="I291" s="1039"/>
      <c r="J291" s="1039"/>
      <c r="K291" s="1039"/>
      <c r="L291" s="1039"/>
      <c r="M291" s="1039"/>
      <c r="N291" s="1039"/>
      <c r="O291" s="1039"/>
      <c r="P291" s="1039"/>
      <c r="Q291" s="1039"/>
      <c r="R291" s="1039"/>
      <c r="S291" s="1039"/>
      <c r="T291" s="1039"/>
      <c r="U291" s="1039"/>
      <c r="V291" s="1039"/>
      <c r="W291" s="1039"/>
      <c r="X291" s="1039"/>
      <c r="Y291" s="1039"/>
      <c r="Z291" s="1039"/>
      <c r="AA291" s="1039"/>
      <c r="AB291" s="1039"/>
      <c r="AC291" s="1039"/>
      <c r="AD291" s="1039"/>
      <c r="AE291" s="1039"/>
      <c r="AF291" s="1039"/>
      <c r="AG291" s="1039"/>
      <c r="AH291" s="1039"/>
      <c r="AI291" s="1039"/>
      <c r="AJ291" s="1039"/>
      <c r="AK291" s="1039"/>
      <c r="AL291" s="1039"/>
      <c r="AM291" s="1039"/>
      <c r="AN291" s="1039"/>
      <c r="AO291" s="1039"/>
      <c r="AP291" s="1039"/>
      <c r="AQ291" s="1039"/>
      <c r="AR291" s="1039"/>
      <c r="AS291" s="1039"/>
      <c r="AT291" s="1039"/>
      <c r="AU291" s="1039"/>
      <c r="AV291" s="1039"/>
      <c r="AW291" s="1039"/>
      <c r="AX291" s="1039"/>
      <c r="AY291" s="1039"/>
      <c r="AZ291" s="1039"/>
      <c r="BA291" s="1039"/>
      <c r="BB291" s="1039"/>
      <c r="BC291" s="1039"/>
      <c r="BD291" s="1040"/>
    </row>
    <row r="292" spans="1:56" x14ac:dyDescent="0.15">
      <c r="A292" s="339"/>
      <c r="B292" s="605"/>
      <c r="C292" s="345" t="s">
        <v>600</v>
      </c>
      <c r="D292" s="291" t="s">
        <v>890</v>
      </c>
      <c r="BD292" s="292"/>
    </row>
    <row r="293" spans="1:56" x14ac:dyDescent="0.15">
      <c r="A293" s="339"/>
      <c r="B293" s="605"/>
      <c r="BD293" s="292"/>
    </row>
    <row r="294" spans="1:56" x14ac:dyDescent="0.15">
      <c r="A294" s="339"/>
      <c r="B294" s="605"/>
      <c r="D294" s="504" t="s">
        <v>891</v>
      </c>
      <c r="E294" s="506"/>
      <c r="F294" s="506"/>
      <c r="G294" s="506"/>
      <c r="H294" s="506"/>
      <c r="I294" s="506"/>
      <c r="J294" s="506"/>
      <c r="K294" s="506"/>
      <c r="L294" s="506"/>
      <c r="M294" s="506"/>
      <c r="N294" s="506"/>
      <c r="O294" s="506"/>
      <c r="P294" s="506"/>
      <c r="Q294" s="506"/>
      <c r="R294" s="506"/>
      <c r="S294" s="507"/>
      <c r="T294" s="506"/>
      <c r="U294" s="506"/>
      <c r="V294" s="506"/>
      <c r="W294" s="506"/>
      <c r="X294" s="506"/>
      <c r="Y294" s="506"/>
      <c r="Z294" s="506"/>
      <c r="AA294" s="506"/>
      <c r="AB294" s="506"/>
      <c r="AC294" s="506"/>
      <c r="AD294" s="506"/>
      <c r="AE294" s="506"/>
      <c r="BD294" s="292"/>
    </row>
    <row r="295" spans="1:56" x14ac:dyDescent="0.15">
      <c r="A295" s="339"/>
      <c r="B295" s="605"/>
      <c r="S295" s="325"/>
      <c r="BD295" s="292"/>
    </row>
    <row r="296" spans="1:56" x14ac:dyDescent="0.15">
      <c r="A296" s="339"/>
      <c r="B296" s="605"/>
      <c r="D296" s="291" t="s">
        <v>703</v>
      </c>
      <c r="BD296" s="292"/>
    </row>
    <row r="297" spans="1:56" x14ac:dyDescent="0.15">
      <c r="A297" s="339"/>
      <c r="B297" s="605"/>
      <c r="D297" s="1042" t="s">
        <v>704</v>
      </c>
      <c r="E297" s="1042"/>
      <c r="F297" s="1042" t="s">
        <v>833</v>
      </c>
      <c r="G297" s="1042"/>
      <c r="H297" s="1042" t="s">
        <v>834</v>
      </c>
      <c r="I297" s="1042"/>
      <c r="J297" s="1042" t="s">
        <v>705</v>
      </c>
      <c r="K297" s="1042"/>
      <c r="L297" s="1042"/>
      <c r="M297" s="1042"/>
      <c r="N297" s="1042"/>
      <c r="O297" s="1042" t="s">
        <v>835</v>
      </c>
      <c r="P297" s="1042"/>
      <c r="Q297" s="1042"/>
      <c r="R297" s="1042" t="s">
        <v>706</v>
      </c>
      <c r="S297" s="1042"/>
      <c r="T297" s="1042"/>
      <c r="U297" s="1042" t="s">
        <v>711</v>
      </c>
      <c r="V297" s="1042"/>
      <c r="W297" s="1042"/>
      <c r="X297" s="1042"/>
      <c r="Y297" s="1042"/>
      <c r="Z297" s="1042"/>
      <c r="AA297" s="1042"/>
      <c r="AB297" s="1042"/>
      <c r="AC297" s="1042"/>
      <c r="AD297" s="1042"/>
      <c r="AE297" s="1042"/>
      <c r="AF297" s="1042"/>
      <c r="AG297" s="1042"/>
      <c r="AH297" s="1042"/>
      <c r="AI297" s="1042"/>
      <c r="AJ297" s="1042"/>
      <c r="BD297" s="292"/>
    </row>
    <row r="298" spans="1:56" x14ac:dyDescent="0.15">
      <c r="B298" s="605"/>
      <c r="D298" s="291">
        <v>1</v>
      </c>
      <c r="F298" s="341" t="s">
        <v>864</v>
      </c>
      <c r="H298" s="341" t="s">
        <v>865</v>
      </c>
      <c r="J298" s="340" t="s">
        <v>724</v>
      </c>
      <c r="L298" s="340"/>
      <c r="M298" s="340"/>
      <c r="N298" s="340"/>
      <c r="O298" s="557">
        <v>100</v>
      </c>
      <c r="P298" s="340"/>
      <c r="R298" s="340" t="s">
        <v>541</v>
      </c>
      <c r="S298" s="340"/>
      <c r="T298" s="340"/>
      <c r="W298" s="340"/>
      <c r="X298" s="340"/>
      <c r="Z298" s="340"/>
      <c r="BD298" s="292"/>
    </row>
    <row r="299" spans="1:56" x14ac:dyDescent="0.15">
      <c r="B299" s="605"/>
      <c r="G299" s="340"/>
      <c r="H299" s="340"/>
      <c r="I299" s="340"/>
      <c r="J299" s="550" t="s">
        <v>508</v>
      </c>
      <c r="K299" s="550"/>
      <c r="L299" s="550"/>
      <c r="M299" s="551"/>
      <c r="N299" s="551"/>
      <c r="O299" s="550" t="s">
        <v>838</v>
      </c>
      <c r="P299" s="550"/>
      <c r="Q299" s="550"/>
      <c r="R299" s="550" t="s">
        <v>839</v>
      </c>
      <c r="S299" s="550"/>
      <c r="T299" s="550"/>
      <c r="U299" s="549" t="s">
        <v>840</v>
      </c>
      <c r="V299" s="549"/>
      <c r="W299" s="548"/>
      <c r="X299" s="549"/>
      <c r="Y299" s="548"/>
      <c r="Z299" s="548"/>
      <c r="AA299" s="548"/>
      <c r="AB299" s="548"/>
      <c r="AC299" s="548"/>
      <c r="AD299" s="548"/>
      <c r="AE299" s="548"/>
      <c r="BD299" s="292"/>
    </row>
    <row r="300" spans="1:56" x14ac:dyDescent="0.15">
      <c r="B300" s="605"/>
      <c r="G300" s="340"/>
      <c r="H300" s="340"/>
      <c r="I300" s="340"/>
      <c r="J300" s="340" t="s">
        <v>844</v>
      </c>
      <c r="K300" s="340"/>
      <c r="L300" s="340"/>
      <c r="M300" s="341"/>
      <c r="N300" s="341"/>
      <c r="O300" s="554">
        <v>95</v>
      </c>
      <c r="P300" s="340"/>
      <c r="Q300" s="340"/>
      <c r="R300" s="340" t="s">
        <v>612</v>
      </c>
      <c r="S300" s="340"/>
      <c r="T300" s="340"/>
      <c r="U300" s="340"/>
      <c r="V300" s="340"/>
      <c r="X300" s="340"/>
      <c r="BD300" s="292"/>
    </row>
    <row r="301" spans="1:56" x14ac:dyDescent="0.15">
      <c r="B301" s="605"/>
      <c r="G301" s="340"/>
      <c r="H301" s="340"/>
      <c r="I301" s="340"/>
      <c r="J301" s="340" t="s">
        <v>867</v>
      </c>
      <c r="K301" s="340"/>
      <c r="L301" s="340"/>
      <c r="M301" s="341"/>
      <c r="N301" s="341"/>
      <c r="O301" s="555">
        <v>0.15</v>
      </c>
      <c r="P301" s="340"/>
      <c r="Q301" s="340"/>
      <c r="R301" s="340" t="s">
        <v>868</v>
      </c>
      <c r="S301" s="340"/>
      <c r="T301" s="340"/>
      <c r="U301" s="340" t="s">
        <v>869</v>
      </c>
      <c r="V301" s="340"/>
      <c r="X301" s="340"/>
      <c r="BD301" s="292"/>
    </row>
    <row r="302" spans="1:56" x14ac:dyDescent="0.15">
      <c r="B302" s="605"/>
      <c r="D302" s="560">
        <v>2</v>
      </c>
      <c r="E302" s="560"/>
      <c r="F302" s="563" t="s">
        <v>836</v>
      </c>
      <c r="G302" s="560"/>
      <c r="H302" s="563" t="s">
        <v>892</v>
      </c>
      <c r="I302" s="560"/>
      <c r="J302" s="561" t="s">
        <v>726</v>
      </c>
      <c r="K302" s="560"/>
      <c r="L302" s="561"/>
      <c r="M302" s="561"/>
      <c r="N302" s="561"/>
      <c r="O302" s="562">
        <v>100</v>
      </c>
      <c r="P302" s="561"/>
      <c r="Q302" s="560"/>
      <c r="R302" s="561" t="s">
        <v>541</v>
      </c>
      <c r="S302" s="561"/>
      <c r="T302" s="561"/>
      <c r="U302" s="560"/>
      <c r="V302" s="560"/>
      <c r="W302" s="561"/>
      <c r="X302" s="561"/>
      <c r="Y302" s="560"/>
      <c r="Z302" s="561"/>
      <c r="AA302" s="560"/>
      <c r="AB302" s="560"/>
      <c r="AC302" s="560"/>
      <c r="AD302" s="560"/>
      <c r="AE302" s="560"/>
      <c r="AF302" s="560"/>
      <c r="AG302" s="560"/>
      <c r="AH302" s="560"/>
      <c r="AI302" s="560"/>
      <c r="AJ302" s="560"/>
      <c r="BD302" s="292"/>
    </row>
    <row r="303" spans="1:56" x14ac:dyDescent="0.15">
      <c r="B303" s="605"/>
      <c r="G303" s="340"/>
      <c r="H303" s="340"/>
      <c r="I303" s="340"/>
      <c r="J303" s="550" t="s">
        <v>508</v>
      </c>
      <c r="K303" s="550"/>
      <c r="L303" s="550"/>
      <c r="M303" s="551"/>
      <c r="N303" s="551"/>
      <c r="O303" s="550" t="s">
        <v>838</v>
      </c>
      <c r="P303" s="550"/>
      <c r="Q303" s="550"/>
      <c r="R303" s="550" t="s">
        <v>839</v>
      </c>
      <c r="S303" s="550"/>
      <c r="T303" s="550"/>
      <c r="U303" s="549" t="s">
        <v>840</v>
      </c>
      <c r="V303" s="549"/>
      <c r="W303" s="548"/>
      <c r="X303" s="549"/>
      <c r="Y303" s="548"/>
      <c r="Z303" s="548"/>
      <c r="AA303" s="548"/>
      <c r="AB303" s="548"/>
      <c r="AC303" s="548"/>
      <c r="AD303" s="548"/>
      <c r="AE303" s="548"/>
      <c r="BD303" s="292"/>
    </row>
    <row r="304" spans="1:56" x14ac:dyDescent="0.15">
      <c r="B304" s="605"/>
      <c r="D304" s="564"/>
      <c r="E304" s="564"/>
      <c r="F304" s="564"/>
      <c r="G304" s="565"/>
      <c r="H304" s="565"/>
      <c r="I304" s="565"/>
      <c r="J304" s="565" t="s">
        <v>867</v>
      </c>
      <c r="K304" s="565"/>
      <c r="L304" s="565"/>
      <c r="M304" s="567"/>
      <c r="N304" s="567"/>
      <c r="O304" s="566">
        <v>0.14000000000000001</v>
      </c>
      <c r="P304" s="565"/>
      <c r="Q304" s="565"/>
      <c r="R304" s="565" t="s">
        <v>868</v>
      </c>
      <c r="S304" s="565"/>
      <c r="T304" s="565"/>
      <c r="U304" s="565" t="s">
        <v>893</v>
      </c>
      <c r="V304" s="565"/>
      <c r="W304" s="564"/>
      <c r="X304" s="565"/>
      <c r="Y304" s="564"/>
      <c r="Z304" s="564"/>
      <c r="AA304" s="564"/>
      <c r="AB304" s="564"/>
      <c r="AC304" s="564"/>
      <c r="AD304" s="564"/>
      <c r="AE304" s="564"/>
      <c r="AF304" s="564"/>
      <c r="AG304" s="564"/>
      <c r="AH304" s="564"/>
      <c r="AI304" s="564"/>
      <c r="AJ304" s="564"/>
      <c r="BD304" s="292"/>
    </row>
    <row r="305" spans="2:56" x14ac:dyDescent="0.15">
      <c r="B305" s="605"/>
      <c r="D305" s="291">
        <v>3</v>
      </c>
      <c r="F305" s="341" t="s">
        <v>864</v>
      </c>
      <c r="H305" s="341" t="s">
        <v>894</v>
      </c>
      <c r="J305" s="340" t="s">
        <v>895</v>
      </c>
      <c r="L305" s="340"/>
      <c r="M305" s="340"/>
      <c r="N305" s="340"/>
      <c r="O305" s="557">
        <v>100</v>
      </c>
      <c r="P305" s="340"/>
      <c r="R305" s="340" t="s">
        <v>717</v>
      </c>
      <c r="S305" s="340"/>
      <c r="T305" s="340"/>
      <c r="W305" s="340"/>
      <c r="X305" s="340"/>
      <c r="Z305" s="340"/>
      <c r="BD305" s="292"/>
    </row>
    <row r="306" spans="2:56" x14ac:dyDescent="0.15">
      <c r="B306" s="605"/>
      <c r="G306" s="340"/>
      <c r="H306" s="340"/>
      <c r="I306" s="340"/>
      <c r="J306" s="550" t="s">
        <v>508</v>
      </c>
      <c r="K306" s="550"/>
      <c r="L306" s="550"/>
      <c r="M306" s="551"/>
      <c r="N306" s="551"/>
      <c r="O306" s="550" t="s">
        <v>838</v>
      </c>
      <c r="P306" s="550"/>
      <c r="Q306" s="550"/>
      <c r="R306" s="550" t="s">
        <v>839</v>
      </c>
      <c r="S306" s="550"/>
      <c r="T306" s="550"/>
      <c r="U306" s="549" t="s">
        <v>840</v>
      </c>
      <c r="V306" s="549"/>
      <c r="W306" s="548"/>
      <c r="X306" s="549"/>
      <c r="Y306" s="548"/>
      <c r="Z306" s="548"/>
      <c r="AA306" s="548"/>
      <c r="AB306" s="548"/>
      <c r="AC306" s="548"/>
      <c r="AD306" s="548"/>
      <c r="AE306" s="548"/>
      <c r="BD306" s="292"/>
    </row>
    <row r="307" spans="2:56" x14ac:dyDescent="0.15">
      <c r="B307" s="605"/>
      <c r="G307" s="340"/>
      <c r="H307" s="340"/>
      <c r="I307" s="325" t="s">
        <v>842</v>
      </c>
      <c r="J307" s="340" t="s">
        <v>867</v>
      </c>
      <c r="K307" s="340"/>
      <c r="L307" s="340"/>
      <c r="M307" s="341"/>
      <c r="N307" s="341"/>
      <c r="O307" s="555">
        <v>0.15</v>
      </c>
      <c r="P307" s="340"/>
      <c r="Q307" s="340"/>
      <c r="R307" s="340" t="s">
        <v>868</v>
      </c>
      <c r="S307" s="340"/>
      <c r="T307" s="340"/>
      <c r="U307" s="340" t="s">
        <v>869</v>
      </c>
      <c r="V307" s="340"/>
      <c r="X307" s="340"/>
      <c r="BD307" s="292"/>
    </row>
    <row r="308" spans="2:56" x14ac:dyDescent="0.15">
      <c r="B308" s="605"/>
      <c r="G308" s="340"/>
      <c r="H308" s="340"/>
      <c r="I308" s="340"/>
      <c r="J308" s="340" t="s">
        <v>867</v>
      </c>
      <c r="K308" s="340"/>
      <c r="L308" s="340"/>
      <c r="M308" s="341"/>
      <c r="N308" s="341"/>
      <c r="O308" s="555">
        <v>0.16</v>
      </c>
      <c r="P308" s="340"/>
      <c r="Q308" s="340"/>
      <c r="R308" s="340" t="s">
        <v>868</v>
      </c>
      <c r="S308" s="340"/>
      <c r="T308" s="340"/>
      <c r="U308" s="340" t="s">
        <v>896</v>
      </c>
      <c r="V308" s="340"/>
      <c r="X308" s="340"/>
      <c r="BD308" s="292"/>
    </row>
    <row r="309" spans="2:56" x14ac:dyDescent="0.15">
      <c r="B309" s="605"/>
      <c r="D309" s="560">
        <v>4</v>
      </c>
      <c r="E309" s="560"/>
      <c r="F309" s="563" t="s">
        <v>864</v>
      </c>
      <c r="G309" s="560"/>
      <c r="H309" s="563" t="s">
        <v>897</v>
      </c>
      <c r="I309" s="560"/>
      <c r="J309" s="561" t="s">
        <v>898</v>
      </c>
      <c r="K309" s="560"/>
      <c r="L309" s="561"/>
      <c r="M309" s="561"/>
      <c r="N309" s="561"/>
      <c r="O309" s="562">
        <v>100</v>
      </c>
      <c r="P309" s="561"/>
      <c r="Q309" s="560"/>
      <c r="R309" s="561" t="s">
        <v>713</v>
      </c>
      <c r="S309" s="561"/>
      <c r="T309" s="561"/>
      <c r="U309" s="560"/>
      <c r="V309" s="560"/>
      <c r="W309" s="561"/>
      <c r="X309" s="561"/>
      <c r="Y309" s="560"/>
      <c r="Z309" s="561"/>
      <c r="AA309" s="560"/>
      <c r="AB309" s="560"/>
      <c r="AC309" s="560"/>
      <c r="AD309" s="560"/>
      <c r="AE309" s="560"/>
      <c r="AF309" s="560"/>
      <c r="AG309" s="560"/>
      <c r="AH309" s="560"/>
      <c r="AI309" s="560"/>
      <c r="AJ309" s="560"/>
      <c r="BD309" s="292"/>
    </row>
    <row r="310" spans="2:56" x14ac:dyDescent="0.15">
      <c r="B310" s="605"/>
      <c r="G310" s="340"/>
      <c r="H310" s="340"/>
      <c r="I310" s="340"/>
      <c r="J310" s="550" t="s">
        <v>508</v>
      </c>
      <c r="K310" s="550"/>
      <c r="L310" s="550"/>
      <c r="M310" s="551"/>
      <c r="N310" s="551"/>
      <c r="O310" s="550" t="s">
        <v>838</v>
      </c>
      <c r="P310" s="550"/>
      <c r="Q310" s="550"/>
      <c r="R310" s="550" t="s">
        <v>839</v>
      </c>
      <c r="S310" s="550"/>
      <c r="T310" s="550"/>
      <c r="U310" s="549" t="s">
        <v>840</v>
      </c>
      <c r="V310" s="549"/>
      <c r="W310" s="548"/>
      <c r="X310" s="549"/>
      <c r="Y310" s="548"/>
      <c r="Z310" s="548"/>
      <c r="AA310" s="548"/>
      <c r="AB310" s="548"/>
      <c r="AC310" s="548"/>
      <c r="AD310" s="548"/>
      <c r="AE310" s="548"/>
      <c r="BD310" s="292"/>
    </row>
    <row r="311" spans="2:56" x14ac:dyDescent="0.15">
      <c r="B311" s="605"/>
      <c r="G311" s="340"/>
      <c r="H311" s="340"/>
      <c r="I311" s="340"/>
      <c r="J311" s="340" t="s">
        <v>867</v>
      </c>
      <c r="K311" s="340"/>
      <c r="L311" s="340"/>
      <c r="M311" s="341"/>
      <c r="N311" s="341"/>
      <c r="O311" s="555">
        <v>0.15</v>
      </c>
      <c r="P311" s="340"/>
      <c r="Q311" s="340"/>
      <c r="R311" s="340" t="s">
        <v>868</v>
      </c>
      <c r="S311" s="340"/>
      <c r="T311" s="340"/>
      <c r="U311" s="340" t="s">
        <v>869</v>
      </c>
      <c r="V311" s="340"/>
      <c r="X311" s="340"/>
      <c r="BD311" s="292"/>
    </row>
    <row r="312" spans="2:56" x14ac:dyDescent="0.15">
      <c r="B312" s="605"/>
      <c r="G312" s="340"/>
      <c r="H312" s="340"/>
      <c r="I312" s="325" t="s">
        <v>842</v>
      </c>
      <c r="J312" s="340" t="s">
        <v>867</v>
      </c>
      <c r="K312" s="340"/>
      <c r="L312" s="340"/>
      <c r="M312" s="341"/>
      <c r="N312" s="341"/>
      <c r="O312" s="547">
        <v>0.14000000000000001</v>
      </c>
      <c r="P312" s="340"/>
      <c r="Q312" s="340"/>
      <c r="R312" s="340" t="s">
        <v>868</v>
      </c>
      <c r="S312" s="340"/>
      <c r="T312" s="340"/>
      <c r="U312" s="340" t="s">
        <v>899</v>
      </c>
      <c r="V312" s="340"/>
      <c r="X312" s="340"/>
      <c r="BD312" s="292"/>
    </row>
    <row r="313" spans="2:56" x14ac:dyDescent="0.15">
      <c r="B313" s="605"/>
      <c r="D313" s="325"/>
      <c r="F313" s="325"/>
      <c r="I313" s="325"/>
      <c r="M313" s="325"/>
      <c r="BD313" s="292"/>
    </row>
    <row r="314" spans="2:56" x14ac:dyDescent="0.15">
      <c r="B314" s="605"/>
      <c r="D314" s="325"/>
      <c r="F314" s="325"/>
      <c r="I314" s="325"/>
      <c r="M314" s="325"/>
      <c r="BD314" s="292"/>
    </row>
    <row r="315" spans="2:56" x14ac:dyDescent="0.15">
      <c r="B315" s="605"/>
      <c r="D315" s="340" t="s">
        <v>846</v>
      </c>
      <c r="E315" s="340"/>
      <c r="F315" s="340"/>
      <c r="G315" s="340"/>
      <c r="H315" s="340"/>
      <c r="I315" s="340"/>
      <c r="J315" s="340"/>
      <c r="K315" s="340"/>
      <c r="L315" s="340"/>
      <c r="M315" s="340"/>
      <c r="N315" s="340"/>
      <c r="O315" s="340"/>
      <c r="P315" s="340"/>
      <c r="Q315" s="340"/>
      <c r="R315" s="340"/>
      <c r="S315" s="340"/>
      <c r="U315" s="340"/>
      <c r="BD315" s="292"/>
    </row>
    <row r="316" spans="2:56" x14ac:dyDescent="0.15">
      <c r="B316" s="605"/>
      <c r="D316" s="325"/>
      <c r="F316" s="325"/>
      <c r="I316" s="325"/>
      <c r="M316" s="325"/>
      <c r="AF316" s="342"/>
      <c r="AG316" s="342" t="s">
        <v>847</v>
      </c>
      <c r="BD316" s="292"/>
    </row>
    <row r="317" spans="2:56" x14ac:dyDescent="0.15">
      <c r="B317" s="605"/>
      <c r="D317" s="291" t="s">
        <v>549</v>
      </c>
      <c r="M317" s="291" t="s">
        <v>778</v>
      </c>
      <c r="W317" s="291" t="s">
        <v>551</v>
      </c>
      <c r="AH317" s="291" t="s">
        <v>858</v>
      </c>
      <c r="BD317" s="292"/>
    </row>
    <row r="318" spans="2:56" x14ac:dyDescent="0.15">
      <c r="B318" s="605"/>
      <c r="D318" s="1038" t="s">
        <v>552</v>
      </c>
      <c r="E318" s="1039"/>
      <c r="F318" s="1039"/>
      <c r="G318" s="1039"/>
      <c r="H318" s="1039"/>
      <c r="I318" s="1039"/>
      <c r="J318" s="1039"/>
      <c r="K318" s="1040"/>
      <c r="M318" s="1038" t="s">
        <v>553</v>
      </c>
      <c r="N318" s="1039"/>
      <c r="O318" s="1039"/>
      <c r="P318" s="1039"/>
      <c r="Q318" s="1039"/>
      <c r="R318" s="1039"/>
      <c r="S318" s="1039"/>
      <c r="T318" s="1039"/>
      <c r="U318" s="1040"/>
      <c r="W318" s="1038" t="s">
        <v>137</v>
      </c>
      <c r="X318" s="1039"/>
      <c r="Y318" s="1039"/>
      <c r="Z318" s="1039"/>
      <c r="AA318" s="1039"/>
      <c r="AB318" s="1039"/>
      <c r="AC318" s="1039"/>
      <c r="AD318" s="1040"/>
      <c r="AH318" s="1038" t="s">
        <v>35</v>
      </c>
      <c r="AI318" s="1039"/>
      <c r="AJ318" s="1039"/>
      <c r="AK318" s="1039"/>
      <c r="AL318" s="1039"/>
      <c r="AM318" s="1039"/>
      <c r="AN318" s="1039"/>
      <c r="AO318" s="1040"/>
      <c r="BD318" s="292"/>
    </row>
    <row r="319" spans="2:56" x14ac:dyDescent="0.15">
      <c r="B319" s="605"/>
      <c r="D319" s="605"/>
      <c r="E319" s="291" t="s">
        <v>248</v>
      </c>
      <c r="J319" s="325" t="s">
        <v>556</v>
      </c>
      <c r="K319" s="292"/>
      <c r="M319" s="605"/>
      <c r="N319" s="291" t="s">
        <v>248</v>
      </c>
      <c r="T319" s="325" t="s">
        <v>556</v>
      </c>
      <c r="U319" s="292"/>
      <c r="W319" s="605"/>
      <c r="X319" s="291" t="s">
        <v>248</v>
      </c>
      <c r="AC319" s="325" t="s">
        <v>556</v>
      </c>
      <c r="AD319" s="292"/>
      <c r="AH319" s="605"/>
      <c r="AI319" s="291" t="s">
        <v>248</v>
      </c>
      <c r="AN319" s="325" t="s">
        <v>556</v>
      </c>
      <c r="AO319" s="292"/>
      <c r="BD319" s="292"/>
    </row>
    <row r="320" spans="2:56" x14ac:dyDescent="0.15">
      <c r="B320" s="605"/>
      <c r="D320" s="605"/>
      <c r="E320" s="291" t="s">
        <v>259</v>
      </c>
      <c r="J320" s="291">
        <v>1</v>
      </c>
      <c r="K320" s="292"/>
      <c r="M320" s="605"/>
      <c r="N320" s="291" t="s">
        <v>244</v>
      </c>
      <c r="T320" s="291">
        <v>1</v>
      </c>
      <c r="U320" s="292"/>
      <c r="W320" s="605"/>
      <c r="X320" s="291" t="s">
        <v>244</v>
      </c>
      <c r="AC320" s="291">
        <v>1</v>
      </c>
      <c r="AD320" s="292"/>
      <c r="AH320" s="605"/>
      <c r="AI320" s="291" t="s">
        <v>244</v>
      </c>
      <c r="AN320" s="502">
        <v>3</v>
      </c>
      <c r="AO320" s="292"/>
      <c r="BD320" s="292"/>
    </row>
    <row r="321" spans="1:56" x14ac:dyDescent="0.15">
      <c r="B321" s="605"/>
      <c r="D321" s="1041"/>
      <c r="E321" s="1042"/>
      <c r="F321" s="1042"/>
      <c r="G321" s="1042"/>
      <c r="H321" s="1042"/>
      <c r="I321" s="1042"/>
      <c r="J321" s="1042"/>
      <c r="K321" s="1043"/>
      <c r="M321" s="605"/>
      <c r="N321" s="291" t="s">
        <v>337</v>
      </c>
      <c r="T321" s="291">
        <v>1</v>
      </c>
      <c r="U321" s="292"/>
      <c r="W321" s="605"/>
      <c r="X321" s="291" t="s">
        <v>261</v>
      </c>
      <c r="AC321" s="291">
        <v>3</v>
      </c>
      <c r="AD321" s="292"/>
      <c r="AH321" s="605"/>
      <c r="AI321" s="291" t="s">
        <v>263</v>
      </c>
      <c r="AN321" s="503">
        <v>6</v>
      </c>
      <c r="AO321" s="292"/>
      <c r="AP321" s="343" t="s">
        <v>628</v>
      </c>
      <c r="BD321" s="292"/>
    </row>
    <row r="322" spans="1:56" x14ac:dyDescent="0.15">
      <c r="B322" s="605"/>
      <c r="M322" s="605"/>
      <c r="N322" s="291" t="s">
        <v>350</v>
      </c>
      <c r="T322" s="504">
        <v>95</v>
      </c>
      <c r="U322" s="292"/>
      <c r="W322" s="605"/>
      <c r="X322" s="291" t="s">
        <v>560</v>
      </c>
      <c r="AC322" s="291">
        <v>1</v>
      </c>
      <c r="AD322" s="292" t="s">
        <v>849</v>
      </c>
      <c r="AH322" s="605"/>
      <c r="AI322" s="291" t="s">
        <v>270</v>
      </c>
      <c r="AN322" s="501">
        <v>0</v>
      </c>
      <c r="AO322" s="292"/>
      <c r="AP322" s="343" t="s">
        <v>655</v>
      </c>
      <c r="BD322" s="292"/>
    </row>
    <row r="323" spans="1:56" x14ac:dyDescent="0.15">
      <c r="B323" s="605"/>
      <c r="M323" s="605"/>
      <c r="N323" s="291" t="s">
        <v>358</v>
      </c>
      <c r="T323" s="291">
        <v>100</v>
      </c>
      <c r="U323" s="292"/>
      <c r="W323" s="605"/>
      <c r="X323" s="291" t="s">
        <v>282</v>
      </c>
      <c r="AC323" s="291">
        <v>0</v>
      </c>
      <c r="AD323" s="292"/>
      <c r="AH323" s="605"/>
      <c r="AI323" s="291" t="s">
        <v>276</v>
      </c>
      <c r="AN323" s="501">
        <v>95</v>
      </c>
      <c r="AO323" s="292"/>
      <c r="AP323" s="343" t="s">
        <v>860</v>
      </c>
      <c r="BD323" s="292"/>
    </row>
    <row r="324" spans="1:56" x14ac:dyDescent="0.15">
      <c r="B324" s="605"/>
      <c r="M324" s="1041"/>
      <c r="N324" s="1042" t="s">
        <v>740</v>
      </c>
      <c r="O324" s="1042"/>
      <c r="P324" s="1042"/>
      <c r="Q324" s="1042"/>
      <c r="R324" s="1042"/>
      <c r="S324" s="1042"/>
      <c r="T324" s="1048">
        <v>95</v>
      </c>
      <c r="U324" s="1043"/>
      <c r="W324" s="1041"/>
      <c r="X324" s="1042" t="s">
        <v>295</v>
      </c>
      <c r="Y324" s="1042"/>
      <c r="Z324" s="1042"/>
      <c r="AA324" s="1042"/>
      <c r="AB324" s="1042"/>
      <c r="AC324" s="1042">
        <v>0</v>
      </c>
      <c r="AD324" s="1043"/>
      <c r="AH324" s="605"/>
      <c r="AI324" s="291" t="s">
        <v>315</v>
      </c>
      <c r="AN324" s="503">
        <v>91141</v>
      </c>
      <c r="AO324" s="292"/>
      <c r="AP324" s="343" t="s">
        <v>861</v>
      </c>
      <c r="BD324" s="292"/>
    </row>
    <row r="325" spans="1:56" x14ac:dyDescent="0.15">
      <c r="B325" s="605"/>
      <c r="T325" s="343" t="s">
        <v>900</v>
      </c>
      <c r="AH325" s="1041"/>
      <c r="AI325" s="1042" t="s">
        <v>853</v>
      </c>
      <c r="AJ325" s="1042"/>
      <c r="AK325" s="1042"/>
      <c r="AL325" s="1042"/>
      <c r="AM325" s="1042"/>
      <c r="AN325" s="1079">
        <v>0</v>
      </c>
      <c r="AO325" s="1043"/>
      <c r="BD325" s="292"/>
    </row>
    <row r="326" spans="1:56" x14ac:dyDescent="0.15">
      <c r="B326" s="605"/>
      <c r="D326" s="325"/>
      <c r="F326" s="325"/>
      <c r="I326" s="325"/>
      <c r="T326" s="343" t="s">
        <v>901</v>
      </c>
      <c r="BD326" s="292"/>
    </row>
    <row r="327" spans="1:56" x14ac:dyDescent="0.15">
      <c r="B327" s="605"/>
      <c r="S327" s="325"/>
      <c r="BD327" s="292"/>
    </row>
    <row r="328" spans="1:56" x14ac:dyDescent="0.15">
      <c r="B328" s="605"/>
      <c r="D328" s="325"/>
      <c r="F328" s="325"/>
      <c r="I328" s="325"/>
      <c r="W328" s="291" t="s">
        <v>551</v>
      </c>
      <c r="AH328" s="291" t="s">
        <v>870</v>
      </c>
      <c r="BD328" s="292"/>
    </row>
    <row r="329" spans="1:56" x14ac:dyDescent="0.15">
      <c r="A329" s="339"/>
      <c r="B329" s="605"/>
      <c r="W329" s="1038" t="s">
        <v>137</v>
      </c>
      <c r="X329" s="1039"/>
      <c r="Y329" s="1039"/>
      <c r="Z329" s="1039"/>
      <c r="AA329" s="1039"/>
      <c r="AB329" s="1039"/>
      <c r="AC329" s="1039"/>
      <c r="AD329" s="1040"/>
      <c r="AH329" s="1038" t="s">
        <v>35</v>
      </c>
      <c r="AI329" s="1039"/>
      <c r="AJ329" s="1039"/>
      <c r="AK329" s="1039"/>
      <c r="AL329" s="1039"/>
      <c r="AM329" s="1039"/>
      <c r="AN329" s="1039"/>
      <c r="AO329" s="1040"/>
      <c r="BD329" s="292"/>
    </row>
    <row r="330" spans="1:56" x14ac:dyDescent="0.15">
      <c r="A330" s="339"/>
      <c r="B330" s="605"/>
      <c r="W330" s="605"/>
      <c r="X330" s="291" t="s">
        <v>248</v>
      </c>
      <c r="AC330" s="325" t="s">
        <v>556</v>
      </c>
      <c r="AD330" s="292"/>
      <c r="AH330" s="605"/>
      <c r="AI330" s="291" t="s">
        <v>248</v>
      </c>
      <c r="AN330" s="325" t="s">
        <v>556</v>
      </c>
      <c r="AO330" s="292"/>
      <c r="BD330" s="292"/>
    </row>
    <row r="331" spans="1:56" x14ac:dyDescent="0.15">
      <c r="A331" s="339"/>
      <c r="B331" s="605"/>
      <c r="W331" s="605"/>
      <c r="X331" s="291" t="s">
        <v>244</v>
      </c>
      <c r="AC331" s="291">
        <v>1</v>
      </c>
      <c r="AD331" s="292"/>
      <c r="AH331" s="605"/>
      <c r="AI331" s="291" t="s">
        <v>244</v>
      </c>
      <c r="AN331" s="502">
        <v>4</v>
      </c>
      <c r="AO331" s="292"/>
      <c r="BD331" s="292"/>
    </row>
    <row r="332" spans="1:56" x14ac:dyDescent="0.15">
      <c r="A332" s="339"/>
      <c r="B332" s="605"/>
      <c r="W332" s="605"/>
      <c r="X332" s="291" t="s">
        <v>261</v>
      </c>
      <c r="AC332" s="291">
        <v>4</v>
      </c>
      <c r="AD332" s="292"/>
      <c r="AH332" s="605"/>
      <c r="AI332" s="291" t="s">
        <v>263</v>
      </c>
      <c r="AN332" s="503">
        <v>2</v>
      </c>
      <c r="AO332" s="292"/>
      <c r="AP332" s="343" t="s">
        <v>871</v>
      </c>
      <c r="BD332" s="292"/>
    </row>
    <row r="333" spans="1:56" x14ac:dyDescent="0.15">
      <c r="A333" s="339"/>
      <c r="B333" s="605"/>
      <c r="W333" s="605"/>
      <c r="X333" s="291" t="s">
        <v>560</v>
      </c>
      <c r="AC333" s="291">
        <v>1</v>
      </c>
      <c r="AD333" s="292" t="s">
        <v>849</v>
      </c>
      <c r="AH333" s="605"/>
      <c r="AI333" s="291" t="s">
        <v>270</v>
      </c>
      <c r="AN333" s="501">
        <v>-45</v>
      </c>
      <c r="AO333" s="292"/>
      <c r="AP333" s="343" t="s">
        <v>902</v>
      </c>
      <c r="BD333" s="292"/>
    </row>
    <row r="334" spans="1:56" x14ac:dyDescent="0.15">
      <c r="A334" s="339"/>
      <c r="B334" s="605"/>
      <c r="W334" s="605"/>
      <c r="X334" s="291" t="s">
        <v>282</v>
      </c>
      <c r="AC334" s="504">
        <v>-15</v>
      </c>
      <c r="AD334" s="292"/>
      <c r="AE334" s="343"/>
      <c r="AH334" s="605"/>
      <c r="AI334" s="291" t="s">
        <v>276</v>
      </c>
      <c r="AN334" s="501">
        <v>0.15</v>
      </c>
      <c r="AO334" s="292"/>
      <c r="AP334" s="343" t="s">
        <v>873</v>
      </c>
      <c r="BD334" s="292"/>
    </row>
    <row r="335" spans="1:56" x14ac:dyDescent="0.15">
      <c r="A335" s="339"/>
      <c r="B335" s="605"/>
      <c r="W335" s="1041"/>
      <c r="X335" s="1042" t="s">
        <v>295</v>
      </c>
      <c r="Y335" s="1042"/>
      <c r="Z335" s="1042"/>
      <c r="AA335" s="1042"/>
      <c r="AB335" s="1042"/>
      <c r="AC335" s="1048">
        <v>1</v>
      </c>
      <c r="AD335" s="1043"/>
      <c r="AE335" s="343"/>
      <c r="AH335" s="605"/>
      <c r="AI335" s="291" t="s">
        <v>315</v>
      </c>
      <c r="AN335" s="503">
        <v>91326</v>
      </c>
      <c r="AO335" s="292"/>
      <c r="AP335" s="343" t="s">
        <v>874</v>
      </c>
      <c r="BD335" s="292"/>
    </row>
    <row r="336" spans="1:56" x14ac:dyDescent="0.15">
      <c r="A336" s="339"/>
      <c r="B336" s="605"/>
      <c r="AH336" s="1041"/>
      <c r="AI336" s="1042" t="s">
        <v>853</v>
      </c>
      <c r="AJ336" s="1042"/>
      <c r="AK336" s="1042"/>
      <c r="AL336" s="1042"/>
      <c r="AM336" s="1042"/>
      <c r="AN336" s="1079">
        <v>0</v>
      </c>
      <c r="AO336" s="1043"/>
      <c r="BD336" s="292"/>
    </row>
    <row r="337" spans="1:56" x14ac:dyDescent="0.15">
      <c r="B337" s="605"/>
      <c r="D337" s="325"/>
      <c r="F337" s="325"/>
      <c r="I337" s="325"/>
      <c r="M337" s="325"/>
      <c r="BD337" s="292"/>
    </row>
    <row r="338" spans="1:56" x14ac:dyDescent="0.15">
      <c r="B338" s="605"/>
      <c r="D338" s="325"/>
      <c r="F338" s="325"/>
      <c r="I338" s="325"/>
      <c r="M338" s="291" t="s">
        <v>782</v>
      </c>
      <c r="W338" s="291" t="s">
        <v>551</v>
      </c>
      <c r="AH338" s="291" t="s">
        <v>870</v>
      </c>
      <c r="BD338" s="292"/>
    </row>
    <row r="339" spans="1:56" x14ac:dyDescent="0.15">
      <c r="A339" s="339"/>
      <c r="B339" s="605"/>
      <c r="M339" s="1038" t="s">
        <v>553</v>
      </c>
      <c r="N339" s="1039"/>
      <c r="O339" s="1039"/>
      <c r="P339" s="1039"/>
      <c r="Q339" s="1039"/>
      <c r="R339" s="1039"/>
      <c r="S339" s="1039"/>
      <c r="T339" s="1039"/>
      <c r="U339" s="1040"/>
      <c r="W339" s="1038" t="s">
        <v>137</v>
      </c>
      <c r="X339" s="1039"/>
      <c r="Y339" s="1039"/>
      <c r="Z339" s="1039"/>
      <c r="AA339" s="1039"/>
      <c r="AB339" s="1039"/>
      <c r="AC339" s="1039"/>
      <c r="AD339" s="1040"/>
      <c r="AH339" s="1038" t="s">
        <v>35</v>
      </c>
      <c r="AI339" s="1039"/>
      <c r="AJ339" s="1039"/>
      <c r="AK339" s="1039"/>
      <c r="AL339" s="1039"/>
      <c r="AM339" s="1039"/>
      <c r="AN339" s="1039"/>
      <c r="AO339" s="1040"/>
      <c r="BD339" s="292"/>
    </row>
    <row r="340" spans="1:56" x14ac:dyDescent="0.15">
      <c r="A340" s="339"/>
      <c r="B340" s="605"/>
      <c r="M340" s="605"/>
      <c r="N340" s="291" t="s">
        <v>248</v>
      </c>
      <c r="T340" s="325" t="s">
        <v>556</v>
      </c>
      <c r="U340" s="292"/>
      <c r="W340" s="605"/>
      <c r="X340" s="291" t="s">
        <v>248</v>
      </c>
      <c r="AC340" s="325" t="s">
        <v>556</v>
      </c>
      <c r="AD340" s="292"/>
      <c r="AH340" s="605"/>
      <c r="AI340" s="291" t="s">
        <v>248</v>
      </c>
      <c r="AN340" s="325" t="s">
        <v>556</v>
      </c>
      <c r="AO340" s="292"/>
      <c r="BD340" s="292"/>
    </row>
    <row r="341" spans="1:56" x14ac:dyDescent="0.15">
      <c r="A341" s="339"/>
      <c r="B341" s="605"/>
      <c r="M341" s="605"/>
      <c r="N341" s="291" t="s">
        <v>244</v>
      </c>
      <c r="T341" s="291">
        <v>5</v>
      </c>
      <c r="U341" s="292"/>
      <c r="W341" s="605"/>
      <c r="X341" s="291" t="s">
        <v>244</v>
      </c>
      <c r="AC341" s="291">
        <v>5</v>
      </c>
      <c r="AD341" s="292"/>
      <c r="AH341" s="605"/>
      <c r="AI341" s="291" t="s">
        <v>244</v>
      </c>
      <c r="AN341" s="502">
        <v>6</v>
      </c>
      <c r="AO341" s="292"/>
      <c r="BD341" s="292"/>
    </row>
    <row r="342" spans="1:56" x14ac:dyDescent="0.15">
      <c r="A342" s="339"/>
      <c r="B342" s="605"/>
      <c r="M342" s="605"/>
      <c r="N342" s="291" t="s">
        <v>337</v>
      </c>
      <c r="T342" s="291">
        <v>1</v>
      </c>
      <c r="U342" s="292"/>
      <c r="W342" s="605"/>
      <c r="X342" s="291" t="s">
        <v>261</v>
      </c>
      <c r="AC342" s="291">
        <v>6</v>
      </c>
      <c r="AD342" s="292"/>
      <c r="AH342" s="605"/>
      <c r="AI342" s="291" t="s">
        <v>263</v>
      </c>
      <c r="AN342" s="503">
        <v>2</v>
      </c>
      <c r="AO342" s="292"/>
      <c r="AP342" s="343" t="s">
        <v>871</v>
      </c>
      <c r="BD342" s="292"/>
    </row>
    <row r="343" spans="1:56" x14ac:dyDescent="0.15">
      <c r="A343" s="339"/>
      <c r="B343" s="605"/>
      <c r="M343" s="605"/>
      <c r="N343" s="291" t="s">
        <v>350</v>
      </c>
      <c r="T343" s="541">
        <v>100</v>
      </c>
      <c r="U343" s="292"/>
      <c r="W343" s="605"/>
      <c r="X343" s="291" t="s">
        <v>560</v>
      </c>
      <c r="AC343" s="291">
        <v>1</v>
      </c>
      <c r="AD343" s="292" t="s">
        <v>849</v>
      </c>
      <c r="AH343" s="605"/>
      <c r="AI343" s="291" t="s">
        <v>270</v>
      </c>
      <c r="AN343" s="501">
        <v>-14</v>
      </c>
      <c r="AO343" s="292"/>
      <c r="AP343" s="343" t="s">
        <v>903</v>
      </c>
      <c r="BD343" s="292"/>
    </row>
    <row r="344" spans="1:56" x14ac:dyDescent="0.15">
      <c r="A344" s="339"/>
      <c r="B344" s="605"/>
      <c r="M344" s="605"/>
      <c r="N344" s="291" t="s">
        <v>358</v>
      </c>
      <c r="T344" s="541">
        <v>100</v>
      </c>
      <c r="U344" s="292"/>
      <c r="W344" s="605"/>
      <c r="X344" s="291" t="s">
        <v>282</v>
      </c>
      <c r="AC344" s="504">
        <v>-14</v>
      </c>
      <c r="AD344" s="292"/>
      <c r="AE344" s="343"/>
      <c r="AH344" s="605"/>
      <c r="AI344" s="291" t="s">
        <v>276</v>
      </c>
      <c r="AN344" s="501">
        <v>0.14000000000000001</v>
      </c>
      <c r="AO344" s="292"/>
      <c r="AP344" s="343" t="s">
        <v>873</v>
      </c>
      <c r="BD344" s="292"/>
    </row>
    <row r="345" spans="1:56" x14ac:dyDescent="0.15">
      <c r="A345" s="339"/>
      <c r="B345" s="605"/>
      <c r="M345" s="1041"/>
      <c r="N345" s="1042" t="s">
        <v>740</v>
      </c>
      <c r="O345" s="1042"/>
      <c r="P345" s="1042"/>
      <c r="Q345" s="1042"/>
      <c r="R345" s="1042"/>
      <c r="S345" s="1042"/>
      <c r="T345" s="1080">
        <v>100</v>
      </c>
      <c r="U345" s="1043"/>
      <c r="W345" s="1041"/>
      <c r="X345" s="1042" t="s">
        <v>295</v>
      </c>
      <c r="Y345" s="1042"/>
      <c r="Z345" s="1042"/>
      <c r="AA345" s="1042"/>
      <c r="AB345" s="1042"/>
      <c r="AC345" s="1048">
        <v>1</v>
      </c>
      <c r="AD345" s="1043"/>
      <c r="AE345" s="343"/>
      <c r="AH345" s="605"/>
      <c r="AI345" s="291" t="s">
        <v>315</v>
      </c>
      <c r="AN345" s="503">
        <v>91324</v>
      </c>
      <c r="AO345" s="292"/>
      <c r="AP345" s="343" t="s">
        <v>904</v>
      </c>
      <c r="BD345" s="292"/>
    </row>
    <row r="346" spans="1:56" x14ac:dyDescent="0.15">
      <c r="A346" s="339"/>
      <c r="B346" s="605"/>
      <c r="T346" s="541"/>
      <c r="AH346" s="1041"/>
      <c r="AI346" s="1042" t="s">
        <v>853</v>
      </c>
      <c r="AJ346" s="1042"/>
      <c r="AK346" s="1042"/>
      <c r="AL346" s="1042"/>
      <c r="AM346" s="1042"/>
      <c r="AN346" s="1079">
        <v>0</v>
      </c>
      <c r="AO346" s="1043"/>
      <c r="BD346" s="292"/>
    </row>
    <row r="347" spans="1:56" x14ac:dyDescent="0.15">
      <c r="B347" s="605"/>
      <c r="D347" s="325"/>
      <c r="F347" s="325"/>
      <c r="I347" s="325"/>
      <c r="M347" s="291" t="s">
        <v>905</v>
      </c>
      <c r="T347" s="541"/>
      <c r="W347" s="291" t="s">
        <v>551</v>
      </c>
      <c r="BD347" s="292"/>
    </row>
    <row r="348" spans="1:56" x14ac:dyDescent="0.15">
      <c r="A348" s="339"/>
      <c r="B348" s="605"/>
      <c r="M348" s="1038" t="s">
        <v>553</v>
      </c>
      <c r="N348" s="1039"/>
      <c r="O348" s="1039"/>
      <c r="P348" s="1039"/>
      <c r="Q348" s="1039"/>
      <c r="R348" s="1039"/>
      <c r="S348" s="1039"/>
      <c r="T348" s="1081"/>
      <c r="U348" s="1040"/>
      <c r="W348" s="1038" t="s">
        <v>137</v>
      </c>
      <c r="X348" s="1039"/>
      <c r="Y348" s="1039"/>
      <c r="Z348" s="1039"/>
      <c r="AA348" s="1039"/>
      <c r="AB348" s="1039"/>
      <c r="AC348" s="1039"/>
      <c r="AD348" s="1040"/>
      <c r="BD348" s="292"/>
    </row>
    <row r="349" spans="1:56" x14ac:dyDescent="0.15">
      <c r="A349" s="339"/>
      <c r="B349" s="605"/>
      <c r="M349" s="605"/>
      <c r="N349" s="291" t="s">
        <v>248</v>
      </c>
      <c r="T349" s="559" t="s">
        <v>556</v>
      </c>
      <c r="U349" s="292"/>
      <c r="W349" s="605"/>
      <c r="X349" s="291" t="s">
        <v>248</v>
      </c>
      <c r="AC349" s="325" t="s">
        <v>556</v>
      </c>
      <c r="AD349" s="292"/>
      <c r="BD349" s="292"/>
    </row>
    <row r="350" spans="1:56" x14ac:dyDescent="0.15">
      <c r="A350" s="339"/>
      <c r="B350" s="605"/>
      <c r="M350" s="605"/>
      <c r="N350" s="291" t="s">
        <v>244</v>
      </c>
      <c r="T350" s="541">
        <v>7</v>
      </c>
      <c r="U350" s="292"/>
      <c r="W350" s="605"/>
      <c r="X350" s="291" t="s">
        <v>244</v>
      </c>
      <c r="AC350" s="291">
        <v>7</v>
      </c>
      <c r="AD350" s="292"/>
      <c r="BD350" s="292"/>
    </row>
    <row r="351" spans="1:56" x14ac:dyDescent="0.15">
      <c r="A351" s="339"/>
      <c r="B351" s="605"/>
      <c r="M351" s="605"/>
      <c r="N351" s="291" t="s">
        <v>337</v>
      </c>
      <c r="T351" s="541">
        <v>3</v>
      </c>
      <c r="U351" s="292"/>
      <c r="W351" s="605"/>
      <c r="X351" s="291" t="s">
        <v>261</v>
      </c>
      <c r="AC351" s="291">
        <v>4</v>
      </c>
      <c r="AD351" s="292"/>
      <c r="BD351" s="292"/>
    </row>
    <row r="352" spans="1:56" x14ac:dyDescent="0.15">
      <c r="A352" s="339"/>
      <c r="B352" s="605"/>
      <c r="M352" s="605"/>
      <c r="N352" s="291" t="s">
        <v>350</v>
      </c>
      <c r="T352" s="541">
        <v>300</v>
      </c>
      <c r="U352" s="292"/>
      <c r="W352" s="605"/>
      <c r="X352" s="291" t="s">
        <v>560</v>
      </c>
      <c r="AC352" s="291">
        <v>1</v>
      </c>
      <c r="AD352" s="292" t="s">
        <v>849</v>
      </c>
      <c r="BD352" s="292"/>
    </row>
    <row r="353" spans="1:56" x14ac:dyDescent="0.15">
      <c r="A353" s="339"/>
      <c r="B353" s="605"/>
      <c r="M353" s="605"/>
      <c r="N353" s="291" t="s">
        <v>358</v>
      </c>
      <c r="T353" s="541">
        <v>100</v>
      </c>
      <c r="U353" s="292"/>
      <c r="W353" s="605"/>
      <c r="X353" s="291" t="s">
        <v>282</v>
      </c>
      <c r="AC353" s="504">
        <v>0</v>
      </c>
      <c r="AD353" s="292"/>
      <c r="AE353" s="343" t="s">
        <v>872</v>
      </c>
      <c r="BD353" s="292"/>
    </row>
    <row r="354" spans="1:56" x14ac:dyDescent="0.15">
      <c r="A354" s="339"/>
      <c r="B354" s="605"/>
      <c r="M354" s="1041"/>
      <c r="N354" s="1042" t="s">
        <v>740</v>
      </c>
      <c r="O354" s="1042"/>
      <c r="P354" s="1042"/>
      <c r="Q354" s="1042"/>
      <c r="R354" s="1042"/>
      <c r="S354" s="1042"/>
      <c r="T354" s="1080">
        <v>100</v>
      </c>
      <c r="U354" s="1043"/>
      <c r="W354" s="1041"/>
      <c r="X354" s="1042" t="s">
        <v>295</v>
      </c>
      <c r="Y354" s="1042"/>
      <c r="Z354" s="1042"/>
      <c r="AA354" s="1042"/>
      <c r="AB354" s="1042"/>
      <c r="AC354" s="1048">
        <v>0</v>
      </c>
      <c r="AD354" s="1043"/>
      <c r="AE354" s="343" t="s">
        <v>872</v>
      </c>
      <c r="BD354" s="292"/>
    </row>
    <row r="355" spans="1:56" x14ac:dyDescent="0.15">
      <c r="A355" s="339"/>
      <c r="B355" s="605"/>
      <c r="T355" s="541"/>
      <c r="BD355" s="292"/>
    </row>
    <row r="356" spans="1:56" x14ac:dyDescent="0.15">
      <c r="B356" s="605"/>
      <c r="D356" s="325"/>
      <c r="F356" s="325"/>
      <c r="I356" s="325"/>
      <c r="T356" s="541"/>
      <c r="W356" s="291" t="s">
        <v>551</v>
      </c>
      <c r="AH356" s="291" t="s">
        <v>870</v>
      </c>
      <c r="BD356" s="292"/>
    </row>
    <row r="357" spans="1:56" x14ac:dyDescent="0.15">
      <c r="A357" s="339"/>
      <c r="B357" s="605"/>
      <c r="T357" s="541"/>
      <c r="W357" s="1038" t="s">
        <v>137</v>
      </c>
      <c r="X357" s="1039"/>
      <c r="Y357" s="1039"/>
      <c r="Z357" s="1039"/>
      <c r="AA357" s="1039"/>
      <c r="AB357" s="1039"/>
      <c r="AC357" s="1039"/>
      <c r="AD357" s="1040"/>
      <c r="AH357" s="1038" t="s">
        <v>35</v>
      </c>
      <c r="AI357" s="1039"/>
      <c r="AJ357" s="1039"/>
      <c r="AK357" s="1039"/>
      <c r="AL357" s="1039"/>
      <c r="AM357" s="1039"/>
      <c r="AN357" s="1039"/>
      <c r="AO357" s="1040"/>
      <c r="BD357" s="292"/>
    </row>
    <row r="358" spans="1:56" x14ac:dyDescent="0.15">
      <c r="A358" s="339"/>
      <c r="B358" s="605"/>
      <c r="T358" s="541"/>
      <c r="W358" s="605"/>
      <c r="X358" s="291" t="s">
        <v>248</v>
      </c>
      <c r="AC358" s="325" t="s">
        <v>556</v>
      </c>
      <c r="AD358" s="292"/>
      <c r="AH358" s="605"/>
      <c r="AI358" s="291" t="s">
        <v>248</v>
      </c>
      <c r="AN358" s="325" t="s">
        <v>556</v>
      </c>
      <c r="AO358" s="292"/>
      <c r="BD358" s="292"/>
    </row>
    <row r="359" spans="1:56" x14ac:dyDescent="0.15">
      <c r="A359" s="339"/>
      <c r="B359" s="605"/>
      <c r="T359" s="541"/>
      <c r="W359" s="605"/>
      <c r="X359" s="291" t="s">
        <v>244</v>
      </c>
      <c r="AC359" s="291">
        <v>7</v>
      </c>
      <c r="AD359" s="292"/>
      <c r="AH359" s="605"/>
      <c r="AI359" s="291" t="s">
        <v>244</v>
      </c>
      <c r="AN359" s="502">
        <v>8</v>
      </c>
      <c r="AO359" s="292"/>
      <c r="BD359" s="292"/>
    </row>
    <row r="360" spans="1:56" x14ac:dyDescent="0.15">
      <c r="A360" s="339"/>
      <c r="B360" s="605"/>
      <c r="T360" s="541"/>
      <c r="W360" s="605"/>
      <c r="X360" s="291" t="s">
        <v>261</v>
      </c>
      <c r="AC360" s="291">
        <v>8</v>
      </c>
      <c r="AD360" s="292"/>
      <c r="AH360" s="605"/>
      <c r="AI360" s="291" t="s">
        <v>263</v>
      </c>
      <c r="AN360" s="503">
        <v>2</v>
      </c>
      <c r="AO360" s="292"/>
      <c r="AP360" s="343" t="s">
        <v>871</v>
      </c>
      <c r="BD360" s="292"/>
    </row>
    <row r="361" spans="1:56" x14ac:dyDescent="0.15">
      <c r="A361" s="339"/>
      <c r="B361" s="605"/>
      <c r="T361" s="541"/>
      <c r="W361" s="605"/>
      <c r="X361" s="291" t="s">
        <v>560</v>
      </c>
      <c r="AC361" s="291">
        <v>1</v>
      </c>
      <c r="AD361" s="292" t="s">
        <v>849</v>
      </c>
      <c r="AH361" s="605"/>
      <c r="AI361" s="291" t="s">
        <v>270</v>
      </c>
      <c r="AN361" s="501">
        <v>-48</v>
      </c>
      <c r="AO361" s="292"/>
      <c r="AP361" s="343" t="s">
        <v>906</v>
      </c>
      <c r="BD361" s="292"/>
    </row>
    <row r="362" spans="1:56" x14ac:dyDescent="0.15">
      <c r="A362" s="339"/>
      <c r="B362" s="605"/>
      <c r="T362" s="541"/>
      <c r="W362" s="605"/>
      <c r="X362" s="291" t="s">
        <v>282</v>
      </c>
      <c r="AC362" s="504">
        <v>-48</v>
      </c>
      <c r="AD362" s="292"/>
      <c r="AE362" s="343"/>
      <c r="AH362" s="605"/>
      <c r="AI362" s="291" t="s">
        <v>276</v>
      </c>
      <c r="AN362" s="501">
        <v>0.16</v>
      </c>
      <c r="AO362" s="292"/>
      <c r="AP362" s="343" t="s">
        <v>873</v>
      </c>
      <c r="BD362" s="292"/>
    </row>
    <row r="363" spans="1:56" x14ac:dyDescent="0.15">
      <c r="A363" s="339"/>
      <c r="B363" s="605"/>
      <c r="T363" s="541"/>
      <c r="W363" s="1041"/>
      <c r="X363" s="1042" t="s">
        <v>295</v>
      </c>
      <c r="Y363" s="1042"/>
      <c r="Z363" s="1042"/>
      <c r="AA363" s="1042"/>
      <c r="AB363" s="1042"/>
      <c r="AC363" s="1048">
        <v>3</v>
      </c>
      <c r="AD363" s="1043"/>
      <c r="AE363" s="343"/>
      <c r="AH363" s="605"/>
      <c r="AI363" s="291" t="s">
        <v>315</v>
      </c>
      <c r="AN363" s="503">
        <v>91324</v>
      </c>
      <c r="AO363" s="292"/>
      <c r="AP363" s="343" t="s">
        <v>904</v>
      </c>
      <c r="BD363" s="292"/>
    </row>
    <row r="364" spans="1:56" x14ac:dyDescent="0.15">
      <c r="A364" s="339"/>
      <c r="B364" s="605"/>
      <c r="T364" s="541"/>
      <c r="AH364" s="1041"/>
      <c r="AI364" s="1042" t="s">
        <v>853</v>
      </c>
      <c r="AJ364" s="1042"/>
      <c r="AK364" s="1042"/>
      <c r="AL364" s="1042"/>
      <c r="AM364" s="1042"/>
      <c r="AN364" s="1079">
        <v>0</v>
      </c>
      <c r="AO364" s="1043"/>
      <c r="BD364" s="292"/>
    </row>
    <row r="365" spans="1:56" x14ac:dyDescent="0.15">
      <c r="B365" s="605"/>
      <c r="D365" s="325"/>
      <c r="F365" s="325"/>
      <c r="I365" s="325"/>
      <c r="M365" s="291" t="s">
        <v>907</v>
      </c>
      <c r="T365" s="541"/>
      <c r="W365" s="291" t="s">
        <v>551</v>
      </c>
      <c r="BD365" s="292"/>
    </row>
    <row r="366" spans="1:56" x14ac:dyDescent="0.15">
      <c r="A366" s="339"/>
      <c r="B366" s="605"/>
      <c r="M366" s="1038" t="s">
        <v>553</v>
      </c>
      <c r="N366" s="1039"/>
      <c r="O366" s="1039"/>
      <c r="P366" s="1039"/>
      <c r="Q366" s="1039"/>
      <c r="R366" s="1039"/>
      <c r="S366" s="1039"/>
      <c r="T366" s="1081"/>
      <c r="U366" s="1040"/>
      <c r="W366" s="1038" t="s">
        <v>137</v>
      </c>
      <c r="X366" s="1039"/>
      <c r="Y366" s="1039"/>
      <c r="Z366" s="1039"/>
      <c r="AA366" s="1039"/>
      <c r="AB366" s="1039"/>
      <c r="AC366" s="1039"/>
      <c r="AD366" s="1040"/>
      <c r="BD366" s="292"/>
    </row>
    <row r="367" spans="1:56" x14ac:dyDescent="0.15">
      <c r="A367" s="339"/>
      <c r="B367" s="605"/>
      <c r="M367" s="605"/>
      <c r="N367" s="291" t="s">
        <v>248</v>
      </c>
      <c r="T367" s="559" t="s">
        <v>556</v>
      </c>
      <c r="U367" s="292"/>
      <c r="W367" s="605"/>
      <c r="X367" s="291" t="s">
        <v>248</v>
      </c>
      <c r="AC367" s="325" t="s">
        <v>556</v>
      </c>
      <c r="AD367" s="292"/>
      <c r="BD367" s="292"/>
    </row>
    <row r="368" spans="1:56" x14ac:dyDescent="0.15">
      <c r="A368" s="339"/>
      <c r="B368" s="605"/>
      <c r="M368" s="605"/>
      <c r="N368" s="291" t="s">
        <v>244</v>
      </c>
      <c r="T368" s="541">
        <v>9</v>
      </c>
      <c r="U368" s="292"/>
      <c r="W368" s="605"/>
      <c r="X368" s="291" t="s">
        <v>244</v>
      </c>
      <c r="AC368" s="291">
        <v>9</v>
      </c>
      <c r="AD368" s="292"/>
      <c r="BD368" s="292"/>
    </row>
    <row r="369" spans="1:56" x14ac:dyDescent="0.15">
      <c r="A369" s="339"/>
      <c r="B369" s="605"/>
      <c r="M369" s="605"/>
      <c r="N369" s="291" t="s">
        <v>337</v>
      </c>
      <c r="T369" s="541">
        <v>2</v>
      </c>
      <c r="U369" s="292"/>
      <c r="W369" s="605"/>
      <c r="X369" s="291" t="s">
        <v>261</v>
      </c>
      <c r="AC369" s="291">
        <v>4</v>
      </c>
      <c r="AD369" s="292"/>
      <c r="BD369" s="292"/>
    </row>
    <row r="370" spans="1:56" x14ac:dyDescent="0.15">
      <c r="A370" s="339"/>
      <c r="B370" s="605"/>
      <c r="M370" s="605"/>
      <c r="N370" s="291" t="s">
        <v>350</v>
      </c>
      <c r="T370" s="541">
        <v>200</v>
      </c>
      <c r="U370" s="292"/>
      <c r="W370" s="605"/>
      <c r="X370" s="291" t="s">
        <v>560</v>
      </c>
      <c r="AC370" s="291">
        <v>1</v>
      </c>
      <c r="AD370" s="292" t="s">
        <v>849</v>
      </c>
      <c r="BD370" s="292"/>
    </row>
    <row r="371" spans="1:56" x14ac:dyDescent="0.15">
      <c r="A371" s="339"/>
      <c r="B371" s="605"/>
      <c r="M371" s="605"/>
      <c r="N371" s="291" t="s">
        <v>358</v>
      </c>
      <c r="T371" s="541">
        <v>100</v>
      </c>
      <c r="U371" s="292"/>
      <c r="W371" s="605"/>
      <c r="X371" s="291" t="s">
        <v>282</v>
      </c>
      <c r="AC371" s="504">
        <v>-30</v>
      </c>
      <c r="AD371" s="292"/>
      <c r="AE371" s="343"/>
      <c r="BD371" s="292"/>
    </row>
    <row r="372" spans="1:56" x14ac:dyDescent="0.15">
      <c r="A372" s="339"/>
      <c r="B372" s="605"/>
      <c r="M372" s="1041"/>
      <c r="N372" s="1042" t="s">
        <v>740</v>
      </c>
      <c r="O372" s="1042"/>
      <c r="P372" s="1042"/>
      <c r="Q372" s="1042"/>
      <c r="R372" s="1042"/>
      <c r="S372" s="1042"/>
      <c r="T372" s="1080">
        <v>100</v>
      </c>
      <c r="U372" s="1043"/>
      <c r="W372" s="1041"/>
      <c r="X372" s="1042" t="s">
        <v>295</v>
      </c>
      <c r="Y372" s="1042"/>
      <c r="Z372" s="1042"/>
      <c r="AA372" s="1042"/>
      <c r="AB372" s="1042"/>
      <c r="AC372" s="1048">
        <v>2</v>
      </c>
      <c r="AD372" s="1043"/>
      <c r="AE372" s="343"/>
      <c r="BD372" s="292"/>
    </row>
    <row r="373" spans="1:56" x14ac:dyDescent="0.15">
      <c r="A373" s="339"/>
      <c r="B373" s="605"/>
      <c r="BD373" s="292"/>
    </row>
    <row r="374" spans="1:56" x14ac:dyDescent="0.15">
      <c r="B374" s="605"/>
      <c r="D374" s="325"/>
      <c r="F374" s="325"/>
      <c r="I374" s="325"/>
      <c r="W374" s="291" t="s">
        <v>551</v>
      </c>
      <c r="AH374" s="291" t="s">
        <v>870</v>
      </c>
      <c r="BD374" s="292"/>
    </row>
    <row r="375" spans="1:56" x14ac:dyDescent="0.15">
      <c r="A375" s="339"/>
      <c r="B375" s="605"/>
      <c r="W375" s="1038" t="s">
        <v>137</v>
      </c>
      <c r="X375" s="1039"/>
      <c r="Y375" s="1039"/>
      <c r="Z375" s="1039"/>
      <c r="AA375" s="1039"/>
      <c r="AB375" s="1039"/>
      <c r="AC375" s="1039"/>
      <c r="AD375" s="1040"/>
      <c r="AH375" s="1038" t="s">
        <v>35</v>
      </c>
      <c r="AI375" s="1039"/>
      <c r="AJ375" s="1039"/>
      <c r="AK375" s="1039"/>
      <c r="AL375" s="1039"/>
      <c r="AM375" s="1039"/>
      <c r="AN375" s="1039"/>
      <c r="AO375" s="1040"/>
      <c r="BD375" s="292"/>
    </row>
    <row r="376" spans="1:56" x14ac:dyDescent="0.15">
      <c r="A376" s="339"/>
      <c r="B376" s="605"/>
      <c r="W376" s="605"/>
      <c r="X376" s="291" t="s">
        <v>248</v>
      </c>
      <c r="AC376" s="325" t="s">
        <v>556</v>
      </c>
      <c r="AD376" s="292"/>
      <c r="AH376" s="605"/>
      <c r="AI376" s="291" t="s">
        <v>248</v>
      </c>
      <c r="AN376" s="325" t="s">
        <v>556</v>
      </c>
      <c r="AO376" s="292"/>
      <c r="BD376" s="292"/>
    </row>
    <row r="377" spans="1:56" x14ac:dyDescent="0.15">
      <c r="A377" s="339"/>
      <c r="B377" s="605"/>
      <c r="W377" s="605"/>
      <c r="X377" s="291" t="s">
        <v>244</v>
      </c>
      <c r="AC377" s="291">
        <v>9</v>
      </c>
      <c r="AD377" s="292"/>
      <c r="AH377" s="605"/>
      <c r="AI377" s="291" t="s">
        <v>244</v>
      </c>
      <c r="AN377" s="502">
        <v>10</v>
      </c>
      <c r="AO377" s="292"/>
      <c r="BD377" s="292"/>
    </row>
    <row r="378" spans="1:56" x14ac:dyDescent="0.15">
      <c r="A378" s="339"/>
      <c r="B378" s="605"/>
      <c r="W378" s="605"/>
      <c r="X378" s="291" t="s">
        <v>261</v>
      </c>
      <c r="AC378" s="291">
        <v>10</v>
      </c>
      <c r="AD378" s="292"/>
      <c r="AH378" s="605"/>
      <c r="AI378" s="291" t="s">
        <v>263</v>
      </c>
      <c r="AN378" s="503">
        <v>2</v>
      </c>
      <c r="AO378" s="292"/>
      <c r="AP378" s="343" t="s">
        <v>871</v>
      </c>
      <c r="BD378" s="292"/>
    </row>
    <row r="379" spans="1:56" x14ac:dyDescent="0.15">
      <c r="A379" s="339"/>
      <c r="B379" s="605"/>
      <c r="W379" s="605"/>
      <c r="X379" s="291" t="s">
        <v>560</v>
      </c>
      <c r="AC379" s="291">
        <v>1</v>
      </c>
      <c r="AD379" s="292" t="s">
        <v>849</v>
      </c>
      <c r="AH379" s="605"/>
      <c r="AI379" s="291" t="s">
        <v>270</v>
      </c>
      <c r="AN379" s="501">
        <v>0</v>
      </c>
      <c r="AO379" s="292"/>
      <c r="AP379" s="343" t="s">
        <v>872</v>
      </c>
      <c r="BD379" s="292"/>
    </row>
    <row r="380" spans="1:56" x14ac:dyDescent="0.15">
      <c r="A380" s="339"/>
      <c r="B380" s="605"/>
      <c r="W380" s="605"/>
      <c r="X380" s="291" t="s">
        <v>282</v>
      </c>
      <c r="AC380" s="504">
        <v>0</v>
      </c>
      <c r="AD380" s="292"/>
      <c r="AE380" s="343" t="s">
        <v>872</v>
      </c>
      <c r="AH380" s="605"/>
      <c r="AI380" s="291" t="s">
        <v>276</v>
      </c>
      <c r="AN380" s="501">
        <v>0.14000000000000001</v>
      </c>
      <c r="AO380" s="292"/>
      <c r="AP380" s="343" t="s">
        <v>873</v>
      </c>
      <c r="BD380" s="292"/>
    </row>
    <row r="381" spans="1:56" x14ac:dyDescent="0.15">
      <c r="A381" s="339"/>
      <c r="B381" s="605"/>
      <c r="W381" s="1041"/>
      <c r="X381" s="1042" t="s">
        <v>295</v>
      </c>
      <c r="Y381" s="1042"/>
      <c r="Z381" s="1042"/>
      <c r="AA381" s="1042"/>
      <c r="AB381" s="1042"/>
      <c r="AC381" s="1048">
        <v>0</v>
      </c>
      <c r="AD381" s="1043"/>
      <c r="AE381" s="343" t="s">
        <v>872</v>
      </c>
      <c r="AH381" s="605"/>
      <c r="AI381" s="291" t="s">
        <v>315</v>
      </c>
      <c r="AN381" s="503">
        <v>91324</v>
      </c>
      <c r="AO381" s="292"/>
      <c r="AP381" s="343" t="s">
        <v>904</v>
      </c>
      <c r="BD381" s="292"/>
    </row>
    <row r="382" spans="1:56" x14ac:dyDescent="0.15">
      <c r="A382" s="339"/>
      <c r="B382" s="605"/>
      <c r="AH382" s="1041"/>
      <c r="AI382" s="1042" t="s">
        <v>853</v>
      </c>
      <c r="AJ382" s="1042"/>
      <c r="AK382" s="1042"/>
      <c r="AL382" s="1042"/>
      <c r="AM382" s="1042"/>
      <c r="AN382" s="1079">
        <v>0</v>
      </c>
      <c r="AO382" s="1043"/>
      <c r="BD382" s="292"/>
    </row>
    <row r="383" spans="1:56" x14ac:dyDescent="0.15">
      <c r="A383" s="339"/>
      <c r="B383" s="605"/>
      <c r="BD383" s="292"/>
    </row>
    <row r="384" spans="1:56" x14ac:dyDescent="0.15">
      <c r="B384" s="1041"/>
      <c r="C384" s="1042"/>
      <c r="D384" s="1042"/>
      <c r="E384" s="1042"/>
      <c r="F384" s="1042"/>
      <c r="G384" s="1042"/>
      <c r="H384" s="1042"/>
      <c r="I384" s="1042"/>
      <c r="J384" s="1042"/>
      <c r="K384" s="1042"/>
      <c r="L384" s="1042"/>
      <c r="M384" s="1042"/>
      <c r="N384" s="1042"/>
      <c r="O384" s="1042"/>
      <c r="P384" s="1042"/>
      <c r="Q384" s="1042"/>
      <c r="R384" s="1042"/>
      <c r="S384" s="1042"/>
      <c r="T384" s="1042"/>
      <c r="U384" s="1042"/>
      <c r="V384" s="1042"/>
      <c r="W384" s="1042"/>
      <c r="X384" s="1042"/>
      <c r="Y384" s="1042"/>
      <c r="Z384" s="1042"/>
      <c r="AA384" s="1042"/>
      <c r="AB384" s="1042"/>
      <c r="AC384" s="1042"/>
      <c r="AD384" s="1042"/>
      <c r="AE384" s="1042"/>
      <c r="AF384" s="1042"/>
      <c r="AG384" s="1042"/>
      <c r="AH384" s="1042"/>
      <c r="AI384" s="1042"/>
      <c r="AJ384" s="1042"/>
      <c r="AK384" s="1042"/>
      <c r="AL384" s="1042"/>
      <c r="AM384" s="1042"/>
      <c r="AN384" s="1042"/>
      <c r="AO384" s="1042"/>
      <c r="AP384" s="1042"/>
      <c r="AQ384" s="1042"/>
      <c r="AR384" s="1042"/>
      <c r="AS384" s="1042"/>
      <c r="AT384" s="1042"/>
      <c r="AU384" s="1042"/>
      <c r="AV384" s="1042"/>
      <c r="AW384" s="1042"/>
      <c r="AX384" s="1042"/>
      <c r="AY384" s="1042"/>
      <c r="AZ384" s="1042"/>
      <c r="BA384" s="1042"/>
      <c r="BB384" s="1042"/>
      <c r="BC384" s="1042"/>
      <c r="BD384" s="1043"/>
    </row>
    <row r="385" spans="1:57" ht="12" thickBot="1" x14ac:dyDescent="0.2"/>
    <row r="386" spans="1:57" ht="12.75" thickTop="1" x14ac:dyDescent="0.15">
      <c r="B386" s="50" t="s">
        <v>6</v>
      </c>
      <c r="C386" s="51"/>
      <c r="D386" s="51"/>
      <c r="E386" s="51"/>
      <c r="F386" s="51"/>
      <c r="G386" s="51"/>
      <c r="H386" s="51"/>
      <c r="I386" s="51"/>
      <c r="J386" s="51"/>
      <c r="K386" s="51"/>
      <c r="L386" s="51"/>
      <c r="M386" s="51"/>
      <c r="N386" s="52"/>
      <c r="O386" s="677" t="s">
        <v>7</v>
      </c>
      <c r="P386" s="830"/>
      <c r="Q386" s="830"/>
      <c r="R386" s="830"/>
      <c r="S386" s="830"/>
      <c r="T386" s="831"/>
      <c r="U386" s="1250" t="s">
        <v>8</v>
      </c>
      <c r="V386" s="1248"/>
      <c r="W386" s="1248"/>
      <c r="X386" s="1248"/>
      <c r="Y386" s="1248"/>
      <c r="Z386" s="1248"/>
      <c r="AA386" s="1249"/>
      <c r="AB386" s="1306" t="str">
        <f>AB$1</f>
        <v>取引ログ作成時の注意事項（値引併用）</v>
      </c>
      <c r="AC386" s="1307"/>
      <c r="AD386" s="1307"/>
      <c r="AE386" s="1307"/>
      <c r="AF386" s="1307"/>
      <c r="AG386" s="1307"/>
      <c r="AH386" s="1307"/>
      <c r="AI386" s="1307"/>
      <c r="AJ386" s="1307"/>
      <c r="AK386" s="1307"/>
      <c r="AL386" s="1307"/>
      <c r="AM386" s="1307"/>
      <c r="AN386" s="1308"/>
      <c r="AO386" s="1250" t="s">
        <v>10</v>
      </c>
      <c r="AP386" s="1249"/>
      <c r="AQ386" s="1303" t="s">
        <v>11</v>
      </c>
      <c r="AR386" s="1304"/>
      <c r="AS386" s="1305"/>
      <c r="AT386" s="1250" t="s">
        <v>12</v>
      </c>
      <c r="AU386" s="1248"/>
      <c r="AV386" s="1248"/>
      <c r="AW386" s="1249"/>
      <c r="AX386" s="1303" t="s">
        <v>13</v>
      </c>
      <c r="AY386" s="1304"/>
      <c r="AZ386" s="1305"/>
      <c r="BA386" s="1250" t="s">
        <v>14</v>
      </c>
      <c r="BB386" s="1248"/>
      <c r="BC386" s="1248"/>
      <c r="BD386" s="1249"/>
      <c r="BE386" s="355" t="s">
        <v>701</v>
      </c>
    </row>
    <row r="387" spans="1:57" ht="12.75" thickBot="1" x14ac:dyDescent="0.2">
      <c r="B387" s="1260" t="s">
        <v>15</v>
      </c>
      <c r="C387" s="1261"/>
      <c r="D387" s="1261"/>
      <c r="E387" s="1261"/>
      <c r="F387" s="1261"/>
      <c r="G387" s="1261"/>
      <c r="H387" s="1261"/>
      <c r="I387" s="1261"/>
      <c r="J387" s="1261"/>
      <c r="K387" s="1261"/>
      <c r="L387" s="1261"/>
      <c r="M387" s="1261"/>
      <c r="N387" s="1262"/>
      <c r="O387" s="678" t="s">
        <v>16</v>
      </c>
      <c r="P387" s="834"/>
      <c r="Q387" s="834"/>
      <c r="R387" s="834"/>
      <c r="S387" s="834"/>
      <c r="T387" s="835"/>
      <c r="U387" s="1266" t="s">
        <v>163</v>
      </c>
      <c r="V387" s="1264"/>
      <c r="W387" s="1264"/>
      <c r="X387" s="1264"/>
      <c r="Y387" s="1264"/>
      <c r="Z387" s="1264"/>
      <c r="AA387" s="1265"/>
      <c r="AB387" s="1309"/>
      <c r="AC387" s="1310"/>
      <c r="AD387" s="1310"/>
      <c r="AE387" s="1310"/>
      <c r="AF387" s="1310"/>
      <c r="AG387" s="1310"/>
      <c r="AH387" s="1310"/>
      <c r="AI387" s="1310"/>
      <c r="AJ387" s="1310"/>
      <c r="AK387" s="1310"/>
      <c r="AL387" s="1310"/>
      <c r="AM387" s="1310"/>
      <c r="AN387" s="1311"/>
      <c r="AO387" s="1267">
        <f>AO$2</f>
        <v>1.1200000000000001</v>
      </c>
      <c r="AP387" s="1268"/>
      <c r="AQ387" s="1266" t="str">
        <f>AQ$2</f>
        <v>富士通</v>
      </c>
      <c r="AR387" s="1264"/>
      <c r="AS387" s="1265"/>
      <c r="AT387" s="1269">
        <f>AT$2</f>
        <v>45709</v>
      </c>
      <c r="AU387" s="1270"/>
      <c r="AV387" s="1270"/>
      <c r="AW387" s="1270"/>
      <c r="AX387" s="1266" t="s">
        <v>18</v>
      </c>
      <c r="AY387" s="1264"/>
      <c r="AZ387" s="1265"/>
      <c r="BA387" s="1269">
        <v>45588</v>
      </c>
      <c r="BB387" s="1270"/>
      <c r="BC387" s="1270"/>
      <c r="BD387" s="1271"/>
    </row>
    <row r="388" spans="1:57" ht="12" thickTop="1" x14ac:dyDescent="0.15"/>
    <row r="389" spans="1:57" x14ac:dyDescent="0.15">
      <c r="B389" s="1038"/>
      <c r="C389" s="1039"/>
      <c r="D389" s="1039"/>
      <c r="E389" s="1039"/>
      <c r="F389" s="1039"/>
      <c r="G389" s="1039"/>
      <c r="H389" s="1039"/>
      <c r="I389" s="1039"/>
      <c r="J389" s="1039"/>
      <c r="K389" s="1039"/>
      <c r="L389" s="1039"/>
      <c r="M389" s="1039"/>
      <c r="N389" s="1039"/>
      <c r="O389" s="1039"/>
      <c r="P389" s="1039"/>
      <c r="Q389" s="1039"/>
      <c r="R389" s="1039"/>
      <c r="S389" s="1039"/>
      <c r="T389" s="1039"/>
      <c r="U389" s="1039"/>
      <c r="V389" s="1039"/>
      <c r="W389" s="1039"/>
      <c r="X389" s="1039"/>
      <c r="Y389" s="1039"/>
      <c r="Z389" s="1039"/>
      <c r="AA389" s="1039"/>
      <c r="AB389" s="1039"/>
      <c r="AC389" s="1039"/>
      <c r="AD389" s="1039"/>
      <c r="AE389" s="1039"/>
      <c r="AF389" s="1039"/>
      <c r="AG389" s="1039"/>
      <c r="AH389" s="1039"/>
      <c r="AI389" s="1039"/>
      <c r="AJ389" s="1039"/>
      <c r="AK389" s="1039"/>
      <c r="AL389" s="1039"/>
      <c r="AM389" s="1039"/>
      <c r="AN389" s="1039"/>
      <c r="AO389" s="1039"/>
      <c r="AP389" s="1039"/>
      <c r="AQ389" s="1039"/>
      <c r="AR389" s="1039"/>
      <c r="AS389" s="1039"/>
      <c r="AT389" s="1039"/>
      <c r="AU389" s="1039"/>
      <c r="AV389" s="1039"/>
      <c r="AW389" s="1039"/>
      <c r="AX389" s="1039"/>
      <c r="AY389" s="1039"/>
      <c r="AZ389" s="1039"/>
      <c r="BA389" s="1039"/>
      <c r="BB389" s="1039"/>
      <c r="BC389" s="1039"/>
      <c r="BD389" s="1040"/>
    </row>
    <row r="390" spans="1:57" x14ac:dyDescent="0.15">
      <c r="A390" s="339"/>
      <c r="B390" s="605"/>
      <c r="C390" s="345" t="s">
        <v>604</v>
      </c>
      <c r="D390" s="291" t="s">
        <v>908</v>
      </c>
      <c r="BD390" s="292"/>
    </row>
    <row r="391" spans="1:57" x14ac:dyDescent="0.15">
      <c r="A391" s="339"/>
      <c r="B391" s="605"/>
      <c r="BD391" s="292"/>
    </row>
    <row r="392" spans="1:57" x14ac:dyDescent="0.15">
      <c r="A392" s="339"/>
      <c r="B392" s="605"/>
      <c r="D392" s="504" t="s">
        <v>909</v>
      </c>
      <c r="E392" s="506"/>
      <c r="F392" s="506"/>
      <c r="G392" s="506"/>
      <c r="H392" s="506"/>
      <c r="I392" s="506"/>
      <c r="J392" s="506"/>
      <c r="K392" s="506"/>
      <c r="L392" s="506"/>
      <c r="M392" s="506"/>
      <c r="N392" s="506"/>
      <c r="O392" s="506"/>
      <c r="P392" s="506"/>
      <c r="Q392" s="506"/>
      <c r="R392" s="506"/>
      <c r="S392" s="507"/>
      <c r="T392" s="506"/>
      <c r="U392" s="506"/>
      <c r="V392" s="506"/>
      <c r="W392" s="506"/>
      <c r="X392" s="506"/>
      <c r="Y392" s="506"/>
      <c r="Z392" s="506"/>
      <c r="AA392" s="506"/>
      <c r="AB392" s="506"/>
      <c r="AC392" s="506"/>
      <c r="AD392" s="506"/>
      <c r="AE392" s="506"/>
      <c r="BD392" s="292"/>
    </row>
    <row r="393" spans="1:57" x14ac:dyDescent="0.15">
      <c r="A393" s="339"/>
      <c r="B393" s="605"/>
      <c r="S393" s="325"/>
      <c r="BD393" s="292"/>
    </row>
    <row r="394" spans="1:57" x14ac:dyDescent="0.15">
      <c r="A394" s="339"/>
      <c r="B394" s="605"/>
      <c r="C394" s="325" t="s">
        <v>161</v>
      </c>
      <c r="D394" s="558" t="s">
        <v>910</v>
      </c>
      <c r="BD394" s="292"/>
    </row>
    <row r="395" spans="1:57" x14ac:dyDescent="0.15">
      <c r="B395" s="605"/>
      <c r="BD395" s="292"/>
    </row>
    <row r="396" spans="1:57" x14ac:dyDescent="0.15">
      <c r="A396" s="339"/>
      <c r="B396" s="605"/>
      <c r="D396" s="291" t="s">
        <v>703</v>
      </c>
      <c r="BD396" s="292"/>
    </row>
    <row r="397" spans="1:57" x14ac:dyDescent="0.15">
      <c r="A397" s="339"/>
      <c r="B397" s="605"/>
      <c r="D397" s="1042" t="s">
        <v>704</v>
      </c>
      <c r="E397" s="1042"/>
      <c r="F397" s="1042" t="s">
        <v>833</v>
      </c>
      <c r="G397" s="1042"/>
      <c r="H397" s="1042" t="s">
        <v>834</v>
      </c>
      <c r="I397" s="1042"/>
      <c r="J397" s="1042" t="s">
        <v>705</v>
      </c>
      <c r="K397" s="1042"/>
      <c r="L397" s="1042"/>
      <c r="M397" s="1042"/>
      <c r="N397" s="1042"/>
      <c r="O397" s="1042" t="s">
        <v>835</v>
      </c>
      <c r="P397" s="1042"/>
      <c r="Q397" s="1042"/>
      <c r="R397" s="1042" t="s">
        <v>706</v>
      </c>
      <c r="S397" s="1042"/>
      <c r="T397" s="1042"/>
      <c r="U397" s="1042" t="s">
        <v>711</v>
      </c>
      <c r="V397" s="1042"/>
      <c r="W397" s="1042"/>
      <c r="X397" s="1042"/>
      <c r="Y397" s="1042"/>
      <c r="Z397" s="1042"/>
      <c r="AA397" s="1042"/>
      <c r="AB397" s="1042"/>
      <c r="AC397" s="1042"/>
      <c r="AD397" s="1042"/>
      <c r="AE397" s="1042"/>
      <c r="AF397" s="1042"/>
      <c r="AG397" s="1042"/>
      <c r="AH397" s="1042"/>
      <c r="AI397" s="1042"/>
      <c r="AJ397" s="1042"/>
      <c r="BD397" s="292"/>
    </row>
    <row r="398" spans="1:57" x14ac:dyDescent="0.15">
      <c r="B398" s="605"/>
      <c r="D398" s="291">
        <v>1</v>
      </c>
      <c r="F398" s="341" t="s">
        <v>836</v>
      </c>
      <c r="H398" s="341" t="s">
        <v>837</v>
      </c>
      <c r="J398" s="340" t="s">
        <v>911</v>
      </c>
      <c r="L398" s="340"/>
      <c r="M398" s="340"/>
      <c r="N398" s="340"/>
      <c r="O398" s="557">
        <v>100</v>
      </c>
      <c r="P398" s="340"/>
      <c r="R398" s="340" t="s">
        <v>717</v>
      </c>
      <c r="S398" s="340"/>
      <c r="T398" s="340"/>
      <c r="W398" s="340"/>
      <c r="X398" s="340"/>
      <c r="Z398" s="340"/>
      <c r="BD398" s="292"/>
    </row>
    <row r="399" spans="1:57" x14ac:dyDescent="0.15">
      <c r="B399" s="605"/>
      <c r="G399" s="340"/>
      <c r="H399" s="340"/>
      <c r="I399" s="340"/>
      <c r="J399" s="550" t="s">
        <v>508</v>
      </c>
      <c r="K399" s="550"/>
      <c r="L399" s="550"/>
      <c r="M399" s="551"/>
      <c r="N399" s="551"/>
      <c r="O399" s="550" t="s">
        <v>838</v>
      </c>
      <c r="P399" s="550"/>
      <c r="Q399" s="550"/>
      <c r="R399" s="550" t="s">
        <v>839</v>
      </c>
      <c r="S399" s="550"/>
      <c r="T399" s="550"/>
      <c r="U399" s="549" t="s">
        <v>840</v>
      </c>
      <c r="V399" s="549"/>
      <c r="W399" s="548"/>
      <c r="X399" s="549"/>
      <c r="Y399" s="548"/>
      <c r="Z399" s="548"/>
      <c r="AA399" s="548"/>
      <c r="AB399" s="548"/>
      <c r="AC399" s="548"/>
      <c r="AD399" s="548"/>
      <c r="AE399" s="548"/>
      <c r="BD399" s="292"/>
    </row>
    <row r="400" spans="1:57" x14ac:dyDescent="0.15">
      <c r="B400" s="605"/>
      <c r="G400" s="340"/>
      <c r="H400" s="340"/>
      <c r="I400" s="340"/>
      <c r="J400" s="340" t="s">
        <v>844</v>
      </c>
      <c r="K400" s="340"/>
      <c r="L400" s="340"/>
      <c r="M400" s="341"/>
      <c r="N400" s="341"/>
      <c r="O400" s="554">
        <v>85</v>
      </c>
      <c r="P400" s="340"/>
      <c r="Q400" s="340"/>
      <c r="R400" s="340" t="s">
        <v>612</v>
      </c>
      <c r="S400" s="340"/>
      <c r="T400" s="340"/>
      <c r="U400" s="340"/>
      <c r="V400" s="340"/>
      <c r="X400" s="340"/>
      <c r="BD400" s="292"/>
    </row>
    <row r="401" spans="2:56" x14ac:dyDescent="0.15">
      <c r="B401" s="605"/>
      <c r="G401" s="340"/>
      <c r="H401" s="340"/>
      <c r="I401" s="325" t="s">
        <v>842</v>
      </c>
      <c r="J401" s="340" t="s">
        <v>912</v>
      </c>
      <c r="K401" s="340"/>
      <c r="L401" s="340"/>
      <c r="M401" s="341"/>
      <c r="N401" s="341"/>
      <c r="O401" s="340" t="s">
        <v>913</v>
      </c>
      <c r="P401" s="340"/>
      <c r="Q401" s="340"/>
      <c r="R401" s="340" t="s">
        <v>612</v>
      </c>
      <c r="S401" s="340"/>
      <c r="T401" s="340"/>
      <c r="U401" s="340"/>
      <c r="V401" s="340"/>
      <c r="X401" s="340"/>
      <c r="BD401" s="292"/>
    </row>
    <row r="402" spans="2:56" x14ac:dyDescent="0.15">
      <c r="B402" s="605"/>
      <c r="D402" s="325"/>
      <c r="F402" s="325"/>
      <c r="I402" s="325"/>
      <c r="M402" s="325"/>
      <c r="BD402" s="292"/>
    </row>
    <row r="403" spans="2:56" x14ac:dyDescent="0.15">
      <c r="B403" s="605"/>
      <c r="D403" s="325"/>
      <c r="F403" s="325"/>
      <c r="I403" s="325"/>
      <c r="M403" s="325"/>
      <c r="BD403" s="292"/>
    </row>
    <row r="404" spans="2:56" x14ac:dyDescent="0.15">
      <c r="B404" s="605"/>
      <c r="D404" s="340" t="s">
        <v>846</v>
      </c>
      <c r="E404" s="340"/>
      <c r="F404" s="340"/>
      <c r="G404" s="340"/>
      <c r="H404" s="340"/>
      <c r="I404" s="340"/>
      <c r="J404" s="340"/>
      <c r="K404" s="340"/>
      <c r="L404" s="340"/>
      <c r="M404" s="340"/>
      <c r="N404" s="340"/>
      <c r="O404" s="340"/>
      <c r="P404" s="340"/>
      <c r="Q404" s="340"/>
      <c r="R404" s="340"/>
      <c r="S404" s="340"/>
      <c r="U404" s="340"/>
      <c r="BD404" s="292"/>
    </row>
    <row r="405" spans="2:56" x14ac:dyDescent="0.15">
      <c r="B405" s="605"/>
      <c r="D405" s="325"/>
      <c r="F405" s="325"/>
      <c r="I405" s="325"/>
      <c r="M405" s="325"/>
      <c r="AF405" s="342"/>
      <c r="AG405" s="342" t="s">
        <v>847</v>
      </c>
      <c r="BD405" s="292"/>
    </row>
    <row r="406" spans="2:56" x14ac:dyDescent="0.15">
      <c r="B406" s="605"/>
      <c r="D406" s="291" t="s">
        <v>549</v>
      </c>
      <c r="M406" s="291" t="s">
        <v>914</v>
      </c>
      <c r="W406" s="291" t="s">
        <v>551</v>
      </c>
      <c r="AH406" s="291" t="s">
        <v>858</v>
      </c>
      <c r="BD406" s="292"/>
    </row>
    <row r="407" spans="2:56" x14ac:dyDescent="0.15">
      <c r="B407" s="605"/>
      <c r="D407" s="1038" t="s">
        <v>552</v>
      </c>
      <c r="E407" s="1039"/>
      <c r="F407" s="1039"/>
      <c r="G407" s="1039"/>
      <c r="H407" s="1039"/>
      <c r="I407" s="1039"/>
      <c r="J407" s="1039"/>
      <c r="K407" s="1040"/>
      <c r="M407" s="1038" t="s">
        <v>553</v>
      </c>
      <c r="N407" s="1039"/>
      <c r="O407" s="1039"/>
      <c r="P407" s="1039"/>
      <c r="Q407" s="1039"/>
      <c r="R407" s="1039"/>
      <c r="S407" s="1039"/>
      <c r="T407" s="1039"/>
      <c r="U407" s="1040"/>
      <c r="W407" s="1038" t="s">
        <v>137</v>
      </c>
      <c r="X407" s="1039"/>
      <c r="Y407" s="1039"/>
      <c r="Z407" s="1039"/>
      <c r="AA407" s="1039"/>
      <c r="AB407" s="1039"/>
      <c r="AC407" s="1039"/>
      <c r="AD407" s="1040"/>
      <c r="AH407" s="1038" t="s">
        <v>35</v>
      </c>
      <c r="AI407" s="1039"/>
      <c r="AJ407" s="1039"/>
      <c r="AK407" s="1039"/>
      <c r="AL407" s="1039"/>
      <c r="AM407" s="1039"/>
      <c r="AN407" s="1039"/>
      <c r="AO407" s="1040"/>
      <c r="BD407" s="292"/>
    </row>
    <row r="408" spans="2:56" x14ac:dyDescent="0.15">
      <c r="B408" s="605"/>
      <c r="D408" s="605"/>
      <c r="E408" s="291" t="s">
        <v>248</v>
      </c>
      <c r="J408" s="325" t="s">
        <v>556</v>
      </c>
      <c r="K408" s="292"/>
      <c r="M408" s="605"/>
      <c r="N408" s="291" t="s">
        <v>248</v>
      </c>
      <c r="T408" s="325" t="s">
        <v>556</v>
      </c>
      <c r="U408" s="292"/>
      <c r="W408" s="605"/>
      <c r="X408" s="291" t="s">
        <v>248</v>
      </c>
      <c r="AC408" s="325" t="s">
        <v>556</v>
      </c>
      <c r="AD408" s="292"/>
      <c r="AH408" s="605"/>
      <c r="AI408" s="291" t="s">
        <v>248</v>
      </c>
      <c r="AN408" s="325" t="s">
        <v>556</v>
      </c>
      <c r="AO408" s="292"/>
      <c r="BD408" s="292"/>
    </row>
    <row r="409" spans="2:56" x14ac:dyDescent="0.15">
      <c r="B409" s="605"/>
      <c r="D409" s="605"/>
      <c r="E409" s="291" t="s">
        <v>259</v>
      </c>
      <c r="J409" s="291">
        <v>1</v>
      </c>
      <c r="K409" s="292"/>
      <c r="M409" s="605"/>
      <c r="N409" s="291" t="s">
        <v>244</v>
      </c>
      <c r="T409" s="291">
        <v>1</v>
      </c>
      <c r="U409" s="292"/>
      <c r="W409" s="605"/>
      <c r="X409" s="291" t="s">
        <v>244</v>
      </c>
      <c r="AC409" s="291">
        <v>1</v>
      </c>
      <c r="AD409" s="292"/>
      <c r="AH409" s="605"/>
      <c r="AI409" s="291" t="s">
        <v>244</v>
      </c>
      <c r="AN409" s="502">
        <v>3</v>
      </c>
      <c r="AO409" s="292"/>
      <c r="BD409" s="292"/>
    </row>
    <row r="410" spans="2:56" x14ac:dyDescent="0.15">
      <c r="B410" s="605"/>
      <c r="D410" s="1041"/>
      <c r="E410" s="1042"/>
      <c r="F410" s="1042"/>
      <c r="G410" s="1042"/>
      <c r="H410" s="1042"/>
      <c r="I410" s="1042"/>
      <c r="J410" s="1042"/>
      <c r="K410" s="1043"/>
      <c r="M410" s="605"/>
      <c r="N410" s="291" t="s">
        <v>337</v>
      </c>
      <c r="T410" s="291">
        <v>3</v>
      </c>
      <c r="U410" s="292"/>
      <c r="W410" s="605"/>
      <c r="X410" s="291" t="s">
        <v>261</v>
      </c>
      <c r="AC410" s="291">
        <v>3</v>
      </c>
      <c r="AD410" s="292"/>
      <c r="AH410" s="605"/>
      <c r="AI410" s="291" t="s">
        <v>263</v>
      </c>
      <c r="AN410" s="503">
        <v>6</v>
      </c>
      <c r="AO410" s="292"/>
      <c r="AP410" s="343" t="s">
        <v>628</v>
      </c>
      <c r="BD410" s="292"/>
    </row>
    <row r="411" spans="2:56" x14ac:dyDescent="0.15">
      <c r="B411" s="605"/>
      <c r="M411" s="605"/>
      <c r="N411" s="291" t="s">
        <v>350</v>
      </c>
      <c r="T411" s="504">
        <v>255</v>
      </c>
      <c r="U411" s="292"/>
      <c r="W411" s="605"/>
      <c r="X411" s="291" t="s">
        <v>560</v>
      </c>
      <c r="AC411" s="291">
        <v>1</v>
      </c>
      <c r="AD411" s="292" t="s">
        <v>849</v>
      </c>
      <c r="AH411" s="605"/>
      <c r="AI411" s="291" t="s">
        <v>270</v>
      </c>
      <c r="AN411" s="501">
        <v>0</v>
      </c>
      <c r="AO411" s="292"/>
      <c r="AP411" s="343" t="s">
        <v>655</v>
      </c>
      <c r="BD411" s="292"/>
    </row>
    <row r="412" spans="2:56" x14ac:dyDescent="0.15">
      <c r="B412" s="605"/>
      <c r="M412" s="605"/>
      <c r="N412" s="291" t="s">
        <v>358</v>
      </c>
      <c r="T412" s="291">
        <v>100</v>
      </c>
      <c r="U412" s="292"/>
      <c r="W412" s="605"/>
      <c r="X412" s="291" t="s">
        <v>282</v>
      </c>
      <c r="AC412" s="291">
        <v>0</v>
      </c>
      <c r="AD412" s="292"/>
      <c r="AH412" s="605"/>
      <c r="AI412" s="291" t="s">
        <v>276</v>
      </c>
      <c r="AN412" s="501">
        <v>85</v>
      </c>
      <c r="AO412" s="292"/>
      <c r="AP412" s="343" t="s">
        <v>860</v>
      </c>
      <c r="BD412" s="292"/>
    </row>
    <row r="413" spans="2:56" x14ac:dyDescent="0.15">
      <c r="B413" s="605"/>
      <c r="M413" s="1041"/>
      <c r="N413" s="1042" t="s">
        <v>740</v>
      </c>
      <c r="O413" s="1042"/>
      <c r="P413" s="1042"/>
      <c r="Q413" s="1042"/>
      <c r="R413" s="1042"/>
      <c r="S413" s="1042"/>
      <c r="T413" s="1048">
        <v>85</v>
      </c>
      <c r="U413" s="1043"/>
      <c r="W413" s="1041"/>
      <c r="X413" s="1042" t="s">
        <v>295</v>
      </c>
      <c r="Y413" s="1042"/>
      <c r="Z413" s="1042"/>
      <c r="AA413" s="1042"/>
      <c r="AB413" s="1042"/>
      <c r="AC413" s="1042">
        <v>0</v>
      </c>
      <c r="AD413" s="1043"/>
      <c r="AH413" s="605"/>
      <c r="AI413" s="291" t="s">
        <v>315</v>
      </c>
      <c r="AN413" s="503">
        <v>91141</v>
      </c>
      <c r="AO413" s="292"/>
      <c r="AP413" s="343" t="s">
        <v>861</v>
      </c>
      <c r="BD413" s="292"/>
    </row>
    <row r="414" spans="2:56" x14ac:dyDescent="0.15">
      <c r="B414" s="605"/>
      <c r="T414" s="343" t="s">
        <v>900</v>
      </c>
      <c r="AH414" s="1041"/>
      <c r="AI414" s="1042" t="s">
        <v>853</v>
      </c>
      <c r="AJ414" s="1042"/>
      <c r="AK414" s="1042"/>
      <c r="AL414" s="1042"/>
      <c r="AM414" s="1042"/>
      <c r="AN414" s="1079">
        <v>0</v>
      </c>
      <c r="AO414" s="1043"/>
      <c r="BD414" s="292"/>
    </row>
    <row r="415" spans="2:56" x14ac:dyDescent="0.15">
      <c r="B415" s="605"/>
      <c r="D415" s="325"/>
      <c r="F415" s="325"/>
      <c r="I415" s="325"/>
      <c r="T415" s="343" t="s">
        <v>901</v>
      </c>
      <c r="BD415" s="292"/>
    </row>
    <row r="416" spans="2:56" x14ac:dyDescent="0.15">
      <c r="B416" s="605"/>
      <c r="S416" s="325"/>
      <c r="BD416" s="292"/>
    </row>
    <row r="417" spans="1:56" x14ac:dyDescent="0.15">
      <c r="B417" s="605"/>
      <c r="D417" s="325"/>
      <c r="F417" s="325"/>
      <c r="I417" s="325"/>
      <c r="W417" s="291" t="s">
        <v>551</v>
      </c>
      <c r="AH417" s="291" t="s">
        <v>915</v>
      </c>
      <c r="BD417" s="292"/>
    </row>
    <row r="418" spans="1:56" x14ac:dyDescent="0.15">
      <c r="A418" s="339"/>
      <c r="B418" s="605"/>
      <c r="W418" s="1038" t="s">
        <v>137</v>
      </c>
      <c r="X418" s="1039"/>
      <c r="Y418" s="1039"/>
      <c r="Z418" s="1039"/>
      <c r="AA418" s="1039"/>
      <c r="AB418" s="1039"/>
      <c r="AC418" s="1039"/>
      <c r="AD418" s="1040"/>
      <c r="AH418" s="1038" t="s">
        <v>35</v>
      </c>
      <c r="AI418" s="1039"/>
      <c r="AJ418" s="1039"/>
      <c r="AK418" s="1039"/>
      <c r="AL418" s="1039"/>
      <c r="AM418" s="1039"/>
      <c r="AN418" s="1039"/>
      <c r="AO418" s="1040"/>
      <c r="BD418" s="292"/>
    </row>
    <row r="419" spans="1:56" x14ac:dyDescent="0.15">
      <c r="A419" s="339"/>
      <c r="B419" s="605"/>
      <c r="W419" s="605"/>
      <c r="X419" s="291" t="s">
        <v>248</v>
      </c>
      <c r="AC419" s="325" t="s">
        <v>556</v>
      </c>
      <c r="AD419" s="292"/>
      <c r="AH419" s="605"/>
      <c r="AI419" s="291" t="s">
        <v>248</v>
      </c>
      <c r="AN419" s="325" t="s">
        <v>556</v>
      </c>
      <c r="AO419" s="292"/>
      <c r="BD419" s="292"/>
    </row>
    <row r="420" spans="1:56" x14ac:dyDescent="0.15">
      <c r="A420" s="339"/>
      <c r="B420" s="605"/>
      <c r="W420" s="605"/>
      <c r="X420" s="291" t="s">
        <v>244</v>
      </c>
      <c r="AC420" s="291">
        <v>1</v>
      </c>
      <c r="AD420" s="292"/>
      <c r="AH420" s="605"/>
      <c r="AI420" s="291" t="s">
        <v>244</v>
      </c>
      <c r="AN420" s="502">
        <v>4</v>
      </c>
      <c r="AO420" s="292"/>
      <c r="BD420" s="292"/>
    </row>
    <row r="421" spans="1:56" x14ac:dyDescent="0.15">
      <c r="A421" s="339"/>
      <c r="B421" s="605"/>
      <c r="W421" s="605"/>
      <c r="X421" s="291" t="s">
        <v>261</v>
      </c>
      <c r="AC421" s="291">
        <v>4</v>
      </c>
      <c r="AD421" s="292"/>
      <c r="AH421" s="605"/>
      <c r="AI421" s="291" t="s">
        <v>263</v>
      </c>
      <c r="AN421" s="503">
        <v>5</v>
      </c>
      <c r="AO421" s="292"/>
      <c r="AP421" s="343" t="s">
        <v>916</v>
      </c>
      <c r="BD421" s="292"/>
    </row>
    <row r="422" spans="1:56" x14ac:dyDescent="0.15">
      <c r="A422" s="339"/>
      <c r="B422" s="605"/>
      <c r="W422" s="605"/>
      <c r="X422" s="291" t="s">
        <v>560</v>
      </c>
      <c r="AC422" s="291">
        <v>1</v>
      </c>
      <c r="AD422" s="292" t="s">
        <v>849</v>
      </c>
      <c r="AH422" s="605"/>
      <c r="AI422" s="291" t="s">
        <v>270</v>
      </c>
      <c r="AN422" s="501">
        <v>0</v>
      </c>
      <c r="AO422" s="292"/>
      <c r="AP422" s="343" t="s">
        <v>872</v>
      </c>
      <c r="BD422" s="292"/>
    </row>
    <row r="423" spans="1:56" x14ac:dyDescent="0.15">
      <c r="A423" s="339"/>
      <c r="B423" s="605"/>
      <c r="W423" s="605"/>
      <c r="X423" s="291" t="s">
        <v>282</v>
      </c>
      <c r="AC423" s="504">
        <v>0</v>
      </c>
      <c r="AD423" s="292"/>
      <c r="AE423" s="343" t="s">
        <v>872</v>
      </c>
      <c r="AH423" s="605"/>
      <c r="AI423" s="291" t="s">
        <v>276</v>
      </c>
      <c r="AN423" s="501">
        <v>0</v>
      </c>
      <c r="AO423" s="292"/>
      <c r="AP423" s="343" t="s">
        <v>872</v>
      </c>
      <c r="BD423" s="292"/>
    </row>
    <row r="424" spans="1:56" x14ac:dyDescent="0.15">
      <c r="A424" s="339"/>
      <c r="B424" s="605"/>
      <c r="W424" s="1041"/>
      <c r="X424" s="1042" t="s">
        <v>295</v>
      </c>
      <c r="Y424" s="1042"/>
      <c r="Z424" s="1042"/>
      <c r="AA424" s="1042"/>
      <c r="AB424" s="1042"/>
      <c r="AC424" s="1048">
        <v>2</v>
      </c>
      <c r="AD424" s="1043"/>
      <c r="AE424" s="343" t="s">
        <v>917</v>
      </c>
      <c r="AH424" s="605"/>
      <c r="AI424" s="291" t="s">
        <v>315</v>
      </c>
      <c r="AN424" s="503">
        <v>91316</v>
      </c>
      <c r="AO424" s="292"/>
      <c r="AP424" s="343" t="s">
        <v>918</v>
      </c>
      <c r="BD424" s="292"/>
    </row>
    <row r="425" spans="1:56" x14ac:dyDescent="0.15">
      <c r="A425" s="339"/>
      <c r="B425" s="605"/>
      <c r="AE425" s="343" t="s">
        <v>919</v>
      </c>
      <c r="AH425" s="1041"/>
      <c r="AI425" s="1042" t="s">
        <v>853</v>
      </c>
      <c r="AJ425" s="1042"/>
      <c r="AK425" s="1042"/>
      <c r="AL425" s="1042"/>
      <c r="AM425" s="1042"/>
      <c r="AN425" s="1079">
        <v>0</v>
      </c>
      <c r="AO425" s="1043"/>
      <c r="BD425" s="292"/>
    </row>
    <row r="426" spans="1:56" x14ac:dyDescent="0.15">
      <c r="B426" s="605"/>
      <c r="D426" s="325"/>
      <c r="F426" s="325"/>
      <c r="I426" s="325"/>
      <c r="M426" s="325"/>
      <c r="AE426" s="343" t="s">
        <v>920</v>
      </c>
      <c r="BD426" s="292"/>
    </row>
    <row r="427" spans="1:56" x14ac:dyDescent="0.15">
      <c r="A427" s="339"/>
      <c r="B427" s="605"/>
      <c r="AE427" s="343" t="s">
        <v>921</v>
      </c>
      <c r="BD427" s="292"/>
    </row>
    <row r="428" spans="1:56" x14ac:dyDescent="0.15">
      <c r="A428" s="339"/>
      <c r="B428" s="605"/>
      <c r="BD428" s="292"/>
    </row>
    <row r="429" spans="1:56" x14ac:dyDescent="0.15">
      <c r="A429" s="339"/>
      <c r="B429" s="605"/>
      <c r="BD429" s="292"/>
    </row>
    <row r="430" spans="1:56" x14ac:dyDescent="0.15">
      <c r="A430" s="339"/>
      <c r="B430" s="605"/>
      <c r="BD430" s="292"/>
    </row>
    <row r="431" spans="1:56" x14ac:dyDescent="0.15">
      <c r="A431" s="339"/>
      <c r="B431" s="605"/>
      <c r="BD431" s="292"/>
    </row>
    <row r="432" spans="1:56" x14ac:dyDescent="0.15">
      <c r="A432" s="339"/>
      <c r="B432" s="605"/>
      <c r="BD432" s="292"/>
    </row>
    <row r="433" spans="1:57" x14ac:dyDescent="0.15">
      <c r="A433" s="339"/>
      <c r="B433" s="605"/>
      <c r="BD433" s="292"/>
    </row>
    <row r="434" spans="1:57" x14ac:dyDescent="0.15">
      <c r="A434" s="339"/>
      <c r="B434" s="605"/>
      <c r="BD434" s="292"/>
    </row>
    <row r="435" spans="1:57" x14ac:dyDescent="0.15">
      <c r="A435" s="339"/>
      <c r="B435" s="605"/>
      <c r="BD435" s="292"/>
    </row>
    <row r="436" spans="1:57" x14ac:dyDescent="0.15">
      <c r="A436" s="339"/>
      <c r="B436" s="605"/>
      <c r="BD436" s="292"/>
    </row>
    <row r="437" spans="1:57" x14ac:dyDescent="0.15">
      <c r="A437" s="339"/>
      <c r="B437" s="605"/>
      <c r="BD437" s="292"/>
    </row>
    <row r="438" spans="1:57" x14ac:dyDescent="0.15">
      <c r="A438" s="339"/>
      <c r="B438" s="605"/>
      <c r="BD438" s="292"/>
    </row>
    <row r="439" spans="1:57" x14ac:dyDescent="0.15">
      <c r="A439" s="339"/>
      <c r="B439" s="605"/>
      <c r="BD439" s="292"/>
    </row>
    <row r="440" spans="1:57" x14ac:dyDescent="0.15">
      <c r="A440" s="339"/>
      <c r="B440" s="605"/>
      <c r="BD440" s="292"/>
    </row>
    <row r="441" spans="1:57" x14ac:dyDescent="0.15">
      <c r="A441" s="339"/>
      <c r="B441" s="605"/>
      <c r="BD441" s="292"/>
    </row>
    <row r="442" spans="1:57" x14ac:dyDescent="0.15">
      <c r="A442" s="339"/>
      <c r="B442" s="605"/>
      <c r="BD442" s="292"/>
    </row>
    <row r="443" spans="1:57" x14ac:dyDescent="0.15">
      <c r="A443" s="339"/>
      <c r="B443" s="605"/>
      <c r="BD443" s="292"/>
    </row>
    <row r="444" spans="1:57" x14ac:dyDescent="0.15">
      <c r="B444" s="1041"/>
      <c r="C444" s="1042"/>
      <c r="D444" s="1042"/>
      <c r="E444" s="1042"/>
      <c r="F444" s="1042"/>
      <c r="G444" s="1042"/>
      <c r="H444" s="1042"/>
      <c r="I444" s="1042"/>
      <c r="J444" s="1042"/>
      <c r="K444" s="1042"/>
      <c r="L444" s="1042"/>
      <c r="M444" s="1042"/>
      <c r="N444" s="1042"/>
      <c r="O444" s="1042"/>
      <c r="P444" s="1042"/>
      <c r="Q444" s="1042"/>
      <c r="R444" s="1042"/>
      <c r="S444" s="1042"/>
      <c r="T444" s="1042"/>
      <c r="U444" s="1042"/>
      <c r="V444" s="1042"/>
      <c r="W444" s="1042"/>
      <c r="X444" s="1042"/>
      <c r="Y444" s="1042"/>
      <c r="Z444" s="1042"/>
      <c r="AA444" s="1042"/>
      <c r="AB444" s="1042"/>
      <c r="AC444" s="1042"/>
      <c r="AD444" s="1042"/>
      <c r="AE444" s="1042"/>
      <c r="AF444" s="1042"/>
      <c r="AG444" s="1042"/>
      <c r="AH444" s="1042"/>
      <c r="AI444" s="1042"/>
      <c r="AJ444" s="1042"/>
      <c r="AK444" s="1042"/>
      <c r="AL444" s="1042"/>
      <c r="AM444" s="1042"/>
      <c r="AN444" s="1042"/>
      <c r="AO444" s="1042"/>
      <c r="AP444" s="1042"/>
      <c r="AQ444" s="1042"/>
      <c r="AR444" s="1042"/>
      <c r="AS444" s="1042"/>
      <c r="AT444" s="1042"/>
      <c r="AU444" s="1042"/>
      <c r="AV444" s="1042"/>
      <c r="AW444" s="1042"/>
      <c r="AX444" s="1042"/>
      <c r="AY444" s="1042"/>
      <c r="AZ444" s="1042"/>
      <c r="BA444" s="1042"/>
      <c r="BB444" s="1042"/>
      <c r="BC444" s="1042"/>
      <c r="BD444" s="1043"/>
    </row>
    <row r="445" spans="1:57" ht="12" thickBot="1" x14ac:dyDescent="0.2"/>
    <row r="446" spans="1:57" ht="12.75" thickTop="1" x14ac:dyDescent="0.15">
      <c r="B446" s="50" t="s">
        <v>6</v>
      </c>
      <c r="C446" s="51"/>
      <c r="D446" s="51"/>
      <c r="E446" s="51"/>
      <c r="F446" s="51"/>
      <c r="G446" s="51"/>
      <c r="H446" s="51"/>
      <c r="I446" s="51"/>
      <c r="J446" s="51"/>
      <c r="K446" s="51"/>
      <c r="L446" s="51"/>
      <c r="M446" s="51"/>
      <c r="N446" s="52"/>
      <c r="O446" s="677" t="s">
        <v>7</v>
      </c>
      <c r="P446" s="830"/>
      <c r="Q446" s="830"/>
      <c r="R446" s="830"/>
      <c r="S446" s="830"/>
      <c r="T446" s="831"/>
      <c r="U446" s="1250" t="s">
        <v>8</v>
      </c>
      <c r="V446" s="1248"/>
      <c r="W446" s="1248"/>
      <c r="X446" s="1248"/>
      <c r="Y446" s="1248"/>
      <c r="Z446" s="1248"/>
      <c r="AA446" s="1249"/>
      <c r="AB446" s="1306" t="str">
        <f>AB$1</f>
        <v>取引ログ作成時の注意事項（値引併用）</v>
      </c>
      <c r="AC446" s="1307"/>
      <c r="AD446" s="1307"/>
      <c r="AE446" s="1307"/>
      <c r="AF446" s="1307"/>
      <c r="AG446" s="1307"/>
      <c r="AH446" s="1307"/>
      <c r="AI446" s="1307"/>
      <c r="AJ446" s="1307"/>
      <c r="AK446" s="1307"/>
      <c r="AL446" s="1307"/>
      <c r="AM446" s="1307"/>
      <c r="AN446" s="1308"/>
      <c r="AO446" s="1250" t="s">
        <v>10</v>
      </c>
      <c r="AP446" s="1249"/>
      <c r="AQ446" s="1303" t="s">
        <v>11</v>
      </c>
      <c r="AR446" s="1304"/>
      <c r="AS446" s="1305"/>
      <c r="AT446" s="1250" t="s">
        <v>12</v>
      </c>
      <c r="AU446" s="1248"/>
      <c r="AV446" s="1248"/>
      <c r="AW446" s="1249"/>
      <c r="AX446" s="1303" t="s">
        <v>13</v>
      </c>
      <c r="AY446" s="1304"/>
      <c r="AZ446" s="1305"/>
      <c r="BA446" s="1250" t="s">
        <v>14</v>
      </c>
      <c r="BB446" s="1248"/>
      <c r="BC446" s="1248"/>
      <c r="BD446" s="1249"/>
      <c r="BE446" s="355" t="s">
        <v>701</v>
      </c>
    </row>
    <row r="447" spans="1:57" ht="12.75" thickBot="1" x14ac:dyDescent="0.2">
      <c r="B447" s="1260" t="s">
        <v>15</v>
      </c>
      <c r="C447" s="1261"/>
      <c r="D447" s="1261"/>
      <c r="E447" s="1261"/>
      <c r="F447" s="1261"/>
      <c r="G447" s="1261"/>
      <c r="H447" s="1261"/>
      <c r="I447" s="1261"/>
      <c r="J447" s="1261"/>
      <c r="K447" s="1261"/>
      <c r="L447" s="1261"/>
      <c r="M447" s="1261"/>
      <c r="N447" s="1262"/>
      <c r="O447" s="678" t="s">
        <v>16</v>
      </c>
      <c r="P447" s="834"/>
      <c r="Q447" s="834"/>
      <c r="R447" s="834"/>
      <c r="S447" s="834"/>
      <c r="T447" s="835"/>
      <c r="U447" s="1266" t="s">
        <v>163</v>
      </c>
      <c r="V447" s="1264"/>
      <c r="W447" s="1264"/>
      <c r="X447" s="1264"/>
      <c r="Y447" s="1264"/>
      <c r="Z447" s="1264"/>
      <c r="AA447" s="1265"/>
      <c r="AB447" s="1309"/>
      <c r="AC447" s="1310"/>
      <c r="AD447" s="1310"/>
      <c r="AE447" s="1310"/>
      <c r="AF447" s="1310"/>
      <c r="AG447" s="1310"/>
      <c r="AH447" s="1310"/>
      <c r="AI447" s="1310"/>
      <c r="AJ447" s="1310"/>
      <c r="AK447" s="1310"/>
      <c r="AL447" s="1310"/>
      <c r="AM447" s="1310"/>
      <c r="AN447" s="1311"/>
      <c r="AO447" s="1267">
        <f>AO$2</f>
        <v>1.1200000000000001</v>
      </c>
      <c r="AP447" s="1268"/>
      <c r="AQ447" s="1266" t="str">
        <f>AQ$2</f>
        <v>富士通</v>
      </c>
      <c r="AR447" s="1264"/>
      <c r="AS447" s="1265"/>
      <c r="AT447" s="1269">
        <f>AT$2</f>
        <v>45709</v>
      </c>
      <c r="AU447" s="1270"/>
      <c r="AV447" s="1270"/>
      <c r="AW447" s="1270"/>
      <c r="AX447" s="1266" t="s">
        <v>18</v>
      </c>
      <c r="AY447" s="1264"/>
      <c r="AZ447" s="1265"/>
      <c r="BA447" s="1269">
        <v>45588</v>
      </c>
      <c r="BB447" s="1270"/>
      <c r="BC447" s="1270"/>
      <c r="BD447" s="1271"/>
    </row>
    <row r="448" spans="1:57" ht="12" thickTop="1" x14ac:dyDescent="0.15"/>
    <row r="449" spans="1:56" x14ac:dyDescent="0.15">
      <c r="B449" s="1038"/>
      <c r="C449" s="1039"/>
      <c r="D449" s="1039"/>
      <c r="E449" s="1039"/>
      <c r="F449" s="1039"/>
      <c r="G449" s="1039"/>
      <c r="H449" s="1039"/>
      <c r="I449" s="1039"/>
      <c r="J449" s="1039"/>
      <c r="K449" s="1039"/>
      <c r="L449" s="1039"/>
      <c r="M449" s="1039"/>
      <c r="N449" s="1039"/>
      <c r="O449" s="1039"/>
      <c r="P449" s="1039"/>
      <c r="Q449" s="1039"/>
      <c r="R449" s="1039"/>
      <c r="S449" s="1039"/>
      <c r="T449" s="1039"/>
      <c r="U449" s="1039"/>
      <c r="V449" s="1039"/>
      <c r="W449" s="1039"/>
      <c r="X449" s="1039"/>
      <c r="Y449" s="1039"/>
      <c r="Z449" s="1039"/>
      <c r="AA449" s="1039"/>
      <c r="AB449" s="1039"/>
      <c r="AC449" s="1039"/>
      <c r="AD449" s="1039"/>
      <c r="AE449" s="1039"/>
      <c r="AF449" s="1039"/>
      <c r="AG449" s="1039"/>
      <c r="AH449" s="1039"/>
      <c r="AI449" s="1039"/>
      <c r="AJ449" s="1039"/>
      <c r="AK449" s="1039"/>
      <c r="AL449" s="1039"/>
      <c r="AM449" s="1039"/>
      <c r="AN449" s="1039"/>
      <c r="AO449" s="1039"/>
      <c r="AP449" s="1039"/>
      <c r="AQ449" s="1039"/>
      <c r="AR449" s="1039"/>
      <c r="AS449" s="1039"/>
      <c r="AT449" s="1039"/>
      <c r="AU449" s="1039"/>
      <c r="AV449" s="1039"/>
      <c r="AW449" s="1039"/>
      <c r="AX449" s="1039"/>
      <c r="AY449" s="1039"/>
      <c r="AZ449" s="1039"/>
      <c r="BA449" s="1039"/>
      <c r="BB449" s="1039"/>
      <c r="BC449" s="1039"/>
      <c r="BD449" s="1040"/>
    </row>
    <row r="450" spans="1:56" x14ac:dyDescent="0.15">
      <c r="A450" s="339"/>
      <c r="B450" s="605"/>
      <c r="C450" s="325" t="s">
        <v>161</v>
      </c>
      <c r="D450" s="558" t="s">
        <v>922</v>
      </c>
      <c r="BD450" s="292"/>
    </row>
    <row r="451" spans="1:56" x14ac:dyDescent="0.15">
      <c r="B451" s="605"/>
      <c r="BD451" s="292"/>
    </row>
    <row r="452" spans="1:56" x14ac:dyDescent="0.15">
      <c r="A452" s="339"/>
      <c r="B452" s="605"/>
      <c r="D452" s="291" t="s">
        <v>703</v>
      </c>
      <c r="BD452" s="292"/>
    </row>
    <row r="453" spans="1:56" x14ac:dyDescent="0.15">
      <c r="A453" s="339"/>
      <c r="B453" s="605"/>
      <c r="D453" s="1042" t="s">
        <v>704</v>
      </c>
      <c r="E453" s="1042"/>
      <c r="F453" s="1042" t="s">
        <v>833</v>
      </c>
      <c r="G453" s="1042"/>
      <c r="H453" s="1042" t="s">
        <v>834</v>
      </c>
      <c r="I453" s="1042"/>
      <c r="J453" s="1042" t="s">
        <v>705</v>
      </c>
      <c r="K453" s="1042"/>
      <c r="L453" s="1042"/>
      <c r="M453" s="1042"/>
      <c r="N453" s="1042"/>
      <c r="O453" s="1042" t="s">
        <v>835</v>
      </c>
      <c r="P453" s="1042"/>
      <c r="Q453" s="1042"/>
      <c r="R453" s="1042" t="s">
        <v>706</v>
      </c>
      <c r="S453" s="1042"/>
      <c r="T453" s="1042"/>
      <c r="U453" s="1042" t="s">
        <v>711</v>
      </c>
      <c r="V453" s="1042"/>
      <c r="W453" s="1042"/>
      <c r="X453" s="1042"/>
      <c r="Y453" s="1042"/>
      <c r="Z453" s="1042"/>
      <c r="AA453" s="1042"/>
      <c r="AB453" s="1042"/>
      <c r="AC453" s="1042"/>
      <c r="AD453" s="1042"/>
      <c r="AE453" s="1042"/>
      <c r="AF453" s="1042"/>
      <c r="AG453" s="1042"/>
      <c r="AH453" s="1042"/>
      <c r="AI453" s="1042"/>
      <c r="AJ453" s="1042"/>
      <c r="BD453" s="292"/>
    </row>
    <row r="454" spans="1:56" x14ac:dyDescent="0.15">
      <c r="B454" s="605"/>
      <c r="D454" s="291">
        <v>1</v>
      </c>
      <c r="F454" s="341" t="s">
        <v>836</v>
      </c>
      <c r="H454" s="341" t="s">
        <v>837</v>
      </c>
      <c r="J454" s="340" t="s">
        <v>923</v>
      </c>
      <c r="L454" s="340"/>
      <c r="M454" s="340"/>
      <c r="N454" s="340"/>
      <c r="O454" s="557">
        <v>100</v>
      </c>
      <c r="P454" s="340"/>
      <c r="R454" s="340" t="s">
        <v>717</v>
      </c>
      <c r="S454" s="340"/>
      <c r="T454" s="340"/>
      <c r="W454" s="340"/>
      <c r="X454" s="340"/>
      <c r="Z454" s="340"/>
      <c r="BD454" s="292"/>
    </row>
    <row r="455" spans="1:56" x14ac:dyDescent="0.15">
      <c r="B455" s="605"/>
      <c r="G455" s="340"/>
      <c r="H455" s="340"/>
      <c r="I455" s="340"/>
      <c r="J455" s="550" t="s">
        <v>508</v>
      </c>
      <c r="K455" s="550"/>
      <c r="L455" s="550"/>
      <c r="M455" s="551"/>
      <c r="N455" s="551"/>
      <c r="O455" s="550" t="s">
        <v>838</v>
      </c>
      <c r="P455" s="550"/>
      <c r="Q455" s="550"/>
      <c r="R455" s="550" t="s">
        <v>839</v>
      </c>
      <c r="S455" s="550"/>
      <c r="T455" s="550"/>
      <c r="U455" s="549" t="s">
        <v>840</v>
      </c>
      <c r="V455" s="549"/>
      <c r="W455" s="548"/>
      <c r="X455" s="549"/>
      <c r="Y455" s="548"/>
      <c r="Z455" s="548"/>
      <c r="AA455" s="548"/>
      <c r="AB455" s="548"/>
      <c r="AC455" s="548"/>
      <c r="AD455" s="548"/>
      <c r="AE455" s="548"/>
      <c r="BD455" s="292"/>
    </row>
    <row r="456" spans="1:56" x14ac:dyDescent="0.15">
      <c r="B456" s="605"/>
      <c r="G456" s="340"/>
      <c r="H456" s="340"/>
      <c r="I456" s="325"/>
      <c r="J456" s="340" t="s">
        <v>844</v>
      </c>
      <c r="K456" s="340"/>
      <c r="L456" s="340"/>
      <c r="M456" s="341"/>
      <c r="N456" s="341"/>
      <c r="O456" s="554">
        <v>95</v>
      </c>
      <c r="P456" s="340"/>
      <c r="Q456" s="340"/>
      <c r="R456" s="340" t="s">
        <v>612</v>
      </c>
      <c r="S456" s="340"/>
      <c r="T456" s="340"/>
      <c r="U456" s="340"/>
      <c r="V456" s="340"/>
      <c r="X456" s="340"/>
      <c r="BD456" s="292"/>
    </row>
    <row r="457" spans="1:56" x14ac:dyDescent="0.15">
      <c r="B457" s="605"/>
      <c r="G457" s="340"/>
      <c r="H457" s="340"/>
      <c r="I457" s="340"/>
      <c r="J457" s="340" t="s">
        <v>912</v>
      </c>
      <c r="K457" s="340"/>
      <c r="L457" s="340"/>
      <c r="M457" s="341"/>
      <c r="N457" s="341"/>
      <c r="O457" s="340" t="s">
        <v>913</v>
      </c>
      <c r="P457" s="340"/>
      <c r="Q457" s="340"/>
      <c r="R457" s="340" t="s">
        <v>612</v>
      </c>
      <c r="S457" s="340"/>
      <c r="T457" s="340"/>
      <c r="U457" s="340" t="s">
        <v>924</v>
      </c>
      <c r="V457" s="340"/>
      <c r="X457" s="340"/>
      <c r="BD457" s="292"/>
    </row>
    <row r="458" spans="1:56" x14ac:dyDescent="0.15">
      <c r="B458" s="605"/>
      <c r="D458" s="325"/>
      <c r="F458" s="325"/>
      <c r="I458" s="325"/>
      <c r="M458" s="325"/>
      <c r="BD458" s="292"/>
    </row>
    <row r="459" spans="1:56" x14ac:dyDescent="0.15">
      <c r="B459" s="605"/>
      <c r="D459" s="325"/>
      <c r="F459" s="325"/>
      <c r="I459" s="325"/>
      <c r="M459" s="325"/>
      <c r="BD459" s="292"/>
    </row>
    <row r="460" spans="1:56" x14ac:dyDescent="0.15">
      <c r="B460" s="605"/>
      <c r="D460" s="340" t="s">
        <v>846</v>
      </c>
      <c r="E460" s="340"/>
      <c r="F460" s="340"/>
      <c r="G460" s="340"/>
      <c r="H460" s="340"/>
      <c r="I460" s="340"/>
      <c r="J460" s="340"/>
      <c r="K460" s="340"/>
      <c r="L460" s="340"/>
      <c r="M460" s="340"/>
      <c r="N460" s="340"/>
      <c r="O460" s="340"/>
      <c r="P460" s="340"/>
      <c r="Q460" s="340"/>
      <c r="R460" s="340"/>
      <c r="S460" s="340"/>
      <c r="U460" s="340"/>
      <c r="BD460" s="292"/>
    </row>
    <row r="461" spans="1:56" x14ac:dyDescent="0.15">
      <c r="B461" s="605"/>
      <c r="D461" s="325"/>
      <c r="F461" s="325"/>
      <c r="I461" s="325"/>
      <c r="M461" s="325"/>
      <c r="AF461" s="342"/>
      <c r="AG461" s="342" t="s">
        <v>847</v>
      </c>
      <c r="BD461" s="292"/>
    </row>
    <row r="462" spans="1:56" x14ac:dyDescent="0.15">
      <c r="B462" s="605"/>
      <c r="D462" s="291" t="s">
        <v>549</v>
      </c>
      <c r="M462" s="291" t="s">
        <v>925</v>
      </c>
      <c r="W462" s="291" t="s">
        <v>551</v>
      </c>
      <c r="AH462" s="291" t="s">
        <v>858</v>
      </c>
      <c r="BD462" s="292"/>
    </row>
    <row r="463" spans="1:56" x14ac:dyDescent="0.15">
      <c r="B463" s="605"/>
      <c r="D463" s="1038" t="s">
        <v>552</v>
      </c>
      <c r="E463" s="1039"/>
      <c r="F463" s="1039"/>
      <c r="G463" s="1039"/>
      <c r="H463" s="1039"/>
      <c r="I463" s="1039"/>
      <c r="J463" s="1039"/>
      <c r="K463" s="1040"/>
      <c r="M463" s="1038" t="s">
        <v>553</v>
      </c>
      <c r="N463" s="1039"/>
      <c r="O463" s="1039"/>
      <c r="P463" s="1039"/>
      <c r="Q463" s="1039"/>
      <c r="R463" s="1039"/>
      <c r="S463" s="1039"/>
      <c r="T463" s="1039"/>
      <c r="U463" s="1040"/>
      <c r="W463" s="1038" t="s">
        <v>137</v>
      </c>
      <c r="X463" s="1039"/>
      <c r="Y463" s="1039"/>
      <c r="Z463" s="1039"/>
      <c r="AA463" s="1039"/>
      <c r="AB463" s="1039"/>
      <c r="AC463" s="1039"/>
      <c r="AD463" s="1040"/>
      <c r="AH463" s="1038" t="s">
        <v>35</v>
      </c>
      <c r="AI463" s="1039"/>
      <c r="AJ463" s="1039"/>
      <c r="AK463" s="1039"/>
      <c r="AL463" s="1039"/>
      <c r="AM463" s="1039"/>
      <c r="AN463" s="1039"/>
      <c r="AO463" s="1040"/>
      <c r="BD463" s="292"/>
    </row>
    <row r="464" spans="1:56" x14ac:dyDescent="0.15">
      <c r="B464" s="605"/>
      <c r="D464" s="605"/>
      <c r="E464" s="291" t="s">
        <v>248</v>
      </c>
      <c r="J464" s="325" t="s">
        <v>556</v>
      </c>
      <c r="K464" s="292"/>
      <c r="M464" s="605"/>
      <c r="N464" s="291" t="s">
        <v>248</v>
      </c>
      <c r="T464" s="325" t="s">
        <v>556</v>
      </c>
      <c r="U464" s="292"/>
      <c r="W464" s="605"/>
      <c r="X464" s="291" t="s">
        <v>248</v>
      </c>
      <c r="AC464" s="325" t="s">
        <v>556</v>
      </c>
      <c r="AD464" s="292"/>
      <c r="AH464" s="605"/>
      <c r="AI464" s="291" t="s">
        <v>248</v>
      </c>
      <c r="AN464" s="325" t="s">
        <v>556</v>
      </c>
      <c r="AO464" s="292"/>
      <c r="BD464" s="292"/>
    </row>
    <row r="465" spans="1:56" x14ac:dyDescent="0.15">
      <c r="B465" s="605"/>
      <c r="D465" s="605"/>
      <c r="E465" s="291" t="s">
        <v>259</v>
      </c>
      <c r="J465" s="291">
        <v>1</v>
      </c>
      <c r="K465" s="292"/>
      <c r="M465" s="605"/>
      <c r="N465" s="291" t="s">
        <v>244</v>
      </c>
      <c r="T465" s="291">
        <v>1</v>
      </c>
      <c r="U465" s="292"/>
      <c r="W465" s="605"/>
      <c r="X465" s="291" t="s">
        <v>244</v>
      </c>
      <c r="AC465" s="291">
        <v>1</v>
      </c>
      <c r="AD465" s="292"/>
      <c r="AH465" s="605"/>
      <c r="AI465" s="291" t="s">
        <v>244</v>
      </c>
      <c r="AN465" s="502">
        <v>3</v>
      </c>
      <c r="AO465" s="292"/>
      <c r="BD465" s="292"/>
    </row>
    <row r="466" spans="1:56" x14ac:dyDescent="0.15">
      <c r="B466" s="605"/>
      <c r="D466" s="1041"/>
      <c r="E466" s="1042"/>
      <c r="F466" s="1042"/>
      <c r="G466" s="1042"/>
      <c r="H466" s="1042"/>
      <c r="I466" s="1042"/>
      <c r="J466" s="1042"/>
      <c r="K466" s="1043"/>
      <c r="M466" s="605"/>
      <c r="N466" s="291" t="s">
        <v>337</v>
      </c>
      <c r="T466" s="291">
        <v>3</v>
      </c>
      <c r="U466" s="292"/>
      <c r="W466" s="605"/>
      <c r="X466" s="291" t="s">
        <v>261</v>
      </c>
      <c r="AC466" s="291">
        <v>3</v>
      </c>
      <c r="AD466" s="292"/>
      <c r="AH466" s="605"/>
      <c r="AI466" s="291" t="s">
        <v>263</v>
      </c>
      <c r="AN466" s="503">
        <v>6</v>
      </c>
      <c r="AO466" s="292"/>
      <c r="AP466" s="343" t="s">
        <v>628</v>
      </c>
      <c r="BD466" s="292"/>
    </row>
    <row r="467" spans="1:56" x14ac:dyDescent="0.15">
      <c r="B467" s="605"/>
      <c r="M467" s="605"/>
      <c r="N467" s="291" t="s">
        <v>350</v>
      </c>
      <c r="T467" s="504">
        <v>285</v>
      </c>
      <c r="U467" s="292"/>
      <c r="W467" s="605"/>
      <c r="X467" s="291" t="s">
        <v>560</v>
      </c>
      <c r="AC467" s="291">
        <v>1</v>
      </c>
      <c r="AD467" s="292" t="s">
        <v>849</v>
      </c>
      <c r="AH467" s="605"/>
      <c r="AI467" s="291" t="s">
        <v>270</v>
      </c>
      <c r="AN467" s="501">
        <v>0</v>
      </c>
      <c r="AO467" s="292"/>
      <c r="AP467" s="343" t="s">
        <v>655</v>
      </c>
      <c r="BD467" s="292"/>
    </row>
    <row r="468" spans="1:56" x14ac:dyDescent="0.15">
      <c r="B468" s="605"/>
      <c r="M468" s="605"/>
      <c r="N468" s="291" t="s">
        <v>358</v>
      </c>
      <c r="T468" s="291">
        <v>100</v>
      </c>
      <c r="U468" s="292"/>
      <c r="W468" s="605"/>
      <c r="X468" s="291" t="s">
        <v>282</v>
      </c>
      <c r="AC468" s="291">
        <v>0</v>
      </c>
      <c r="AD468" s="292"/>
      <c r="AH468" s="605"/>
      <c r="AI468" s="291" t="s">
        <v>276</v>
      </c>
      <c r="AN468" s="501">
        <v>95</v>
      </c>
      <c r="AO468" s="292"/>
      <c r="AP468" s="343" t="s">
        <v>860</v>
      </c>
      <c r="BD468" s="292"/>
    </row>
    <row r="469" spans="1:56" x14ac:dyDescent="0.15">
      <c r="B469" s="605"/>
      <c r="M469" s="1041"/>
      <c r="N469" s="1042" t="s">
        <v>740</v>
      </c>
      <c r="O469" s="1042"/>
      <c r="P469" s="1042"/>
      <c r="Q469" s="1042"/>
      <c r="R469" s="1042"/>
      <c r="S469" s="1042"/>
      <c r="T469" s="1048">
        <v>95</v>
      </c>
      <c r="U469" s="1043"/>
      <c r="W469" s="1041"/>
      <c r="X469" s="1042" t="s">
        <v>295</v>
      </c>
      <c r="Y469" s="1042"/>
      <c r="Z469" s="1042"/>
      <c r="AA469" s="1042"/>
      <c r="AB469" s="1042"/>
      <c r="AC469" s="1042">
        <v>0</v>
      </c>
      <c r="AD469" s="1043"/>
      <c r="AH469" s="605"/>
      <c r="AI469" s="291" t="s">
        <v>315</v>
      </c>
      <c r="AN469" s="503">
        <v>91141</v>
      </c>
      <c r="AO469" s="292"/>
      <c r="AP469" s="343" t="s">
        <v>861</v>
      </c>
      <c r="BD469" s="292"/>
    </row>
    <row r="470" spans="1:56" x14ac:dyDescent="0.15">
      <c r="B470" s="605"/>
      <c r="T470" s="343" t="s">
        <v>900</v>
      </c>
      <c r="AH470" s="1041"/>
      <c r="AI470" s="1042" t="s">
        <v>853</v>
      </c>
      <c r="AJ470" s="1042"/>
      <c r="AK470" s="1042"/>
      <c r="AL470" s="1042"/>
      <c r="AM470" s="1042"/>
      <c r="AN470" s="1079">
        <v>0</v>
      </c>
      <c r="AO470" s="1043"/>
      <c r="BD470" s="292"/>
    </row>
    <row r="471" spans="1:56" x14ac:dyDescent="0.15">
      <c r="B471" s="605"/>
      <c r="D471" s="325"/>
      <c r="F471" s="325"/>
      <c r="I471" s="325"/>
      <c r="T471" s="343" t="s">
        <v>901</v>
      </c>
      <c r="BD471" s="292"/>
    </row>
    <row r="472" spans="1:56" x14ac:dyDescent="0.15">
      <c r="B472" s="605"/>
      <c r="S472" s="325"/>
      <c r="BD472" s="292"/>
    </row>
    <row r="473" spans="1:56" x14ac:dyDescent="0.15">
      <c r="B473" s="605"/>
      <c r="D473" s="325"/>
      <c r="F473" s="325"/>
      <c r="I473" s="325"/>
      <c r="W473" s="291" t="s">
        <v>551</v>
      </c>
      <c r="AH473" s="291" t="s">
        <v>915</v>
      </c>
      <c r="BD473" s="292"/>
    </row>
    <row r="474" spans="1:56" x14ac:dyDescent="0.15">
      <c r="A474" s="339"/>
      <c r="B474" s="605"/>
      <c r="W474" s="1038" t="s">
        <v>137</v>
      </c>
      <c r="X474" s="1039"/>
      <c r="Y474" s="1039"/>
      <c r="Z474" s="1039"/>
      <c r="AA474" s="1039"/>
      <c r="AB474" s="1039"/>
      <c r="AC474" s="1039"/>
      <c r="AD474" s="1040"/>
      <c r="AH474" s="1038" t="s">
        <v>35</v>
      </c>
      <c r="AI474" s="1039"/>
      <c r="AJ474" s="1039"/>
      <c r="AK474" s="1039"/>
      <c r="AL474" s="1039"/>
      <c r="AM474" s="1039"/>
      <c r="AN474" s="1039"/>
      <c r="AO474" s="1040"/>
      <c r="BD474" s="292"/>
    </row>
    <row r="475" spans="1:56" x14ac:dyDescent="0.15">
      <c r="A475" s="339"/>
      <c r="B475" s="605"/>
      <c r="W475" s="605"/>
      <c r="X475" s="291" t="s">
        <v>248</v>
      </c>
      <c r="AC475" s="325" t="s">
        <v>556</v>
      </c>
      <c r="AD475" s="292"/>
      <c r="AH475" s="605"/>
      <c r="AI475" s="291" t="s">
        <v>248</v>
      </c>
      <c r="AN475" s="325" t="s">
        <v>556</v>
      </c>
      <c r="AO475" s="292"/>
      <c r="BD475" s="292"/>
    </row>
    <row r="476" spans="1:56" x14ac:dyDescent="0.15">
      <c r="A476" s="339"/>
      <c r="B476" s="605"/>
      <c r="W476" s="605"/>
      <c r="X476" s="291" t="s">
        <v>244</v>
      </c>
      <c r="AC476" s="291">
        <v>1</v>
      </c>
      <c r="AD476" s="292"/>
      <c r="AH476" s="605"/>
      <c r="AI476" s="291" t="s">
        <v>244</v>
      </c>
      <c r="AN476" s="502">
        <v>4</v>
      </c>
      <c r="AO476" s="292"/>
      <c r="BD476" s="292"/>
    </row>
    <row r="477" spans="1:56" x14ac:dyDescent="0.15">
      <c r="A477" s="339"/>
      <c r="B477" s="605"/>
      <c r="W477" s="605"/>
      <c r="X477" s="291" t="s">
        <v>261</v>
      </c>
      <c r="AC477" s="291">
        <v>4</v>
      </c>
      <c r="AD477" s="292"/>
      <c r="AH477" s="605"/>
      <c r="AI477" s="291" t="s">
        <v>263</v>
      </c>
      <c r="AN477" s="503">
        <v>5</v>
      </c>
      <c r="AO477" s="292"/>
      <c r="AP477" s="343" t="s">
        <v>916</v>
      </c>
      <c r="BD477" s="292"/>
    </row>
    <row r="478" spans="1:56" x14ac:dyDescent="0.15">
      <c r="A478" s="339"/>
      <c r="B478" s="605"/>
      <c r="W478" s="605"/>
      <c r="X478" s="291" t="s">
        <v>560</v>
      </c>
      <c r="AC478" s="291">
        <v>1</v>
      </c>
      <c r="AD478" s="292" t="s">
        <v>849</v>
      </c>
      <c r="AH478" s="605"/>
      <c r="AI478" s="291" t="s">
        <v>270</v>
      </c>
      <c r="AN478" s="501">
        <v>-15</v>
      </c>
      <c r="AO478" s="292"/>
      <c r="AP478" s="343" t="s">
        <v>926</v>
      </c>
      <c r="BD478" s="292"/>
    </row>
    <row r="479" spans="1:56" x14ac:dyDescent="0.15">
      <c r="A479" s="339"/>
      <c r="B479" s="605"/>
      <c r="W479" s="605"/>
      <c r="X479" s="291" t="s">
        <v>282</v>
      </c>
      <c r="AC479" s="504">
        <v>-15</v>
      </c>
      <c r="AD479" s="292"/>
      <c r="AE479" s="343"/>
      <c r="AH479" s="605"/>
      <c r="AI479" s="291" t="s">
        <v>276</v>
      </c>
      <c r="AN479" s="501">
        <v>0</v>
      </c>
      <c r="AO479" s="292"/>
      <c r="AP479" s="343" t="s">
        <v>872</v>
      </c>
      <c r="BD479" s="292"/>
    </row>
    <row r="480" spans="1:56" x14ac:dyDescent="0.15">
      <c r="A480" s="339"/>
      <c r="B480" s="605"/>
      <c r="W480" s="1041"/>
      <c r="X480" s="1042" t="s">
        <v>295</v>
      </c>
      <c r="Y480" s="1042"/>
      <c r="Z480" s="1042"/>
      <c r="AA480" s="1042"/>
      <c r="AB480" s="1042"/>
      <c r="AC480" s="1048">
        <v>3</v>
      </c>
      <c r="AD480" s="1043"/>
      <c r="AE480" s="343" t="s">
        <v>917</v>
      </c>
      <c r="AH480" s="605"/>
      <c r="AI480" s="291" t="s">
        <v>315</v>
      </c>
      <c r="AN480" s="503">
        <v>91316</v>
      </c>
      <c r="AO480" s="292"/>
      <c r="AP480" s="343" t="s">
        <v>918</v>
      </c>
      <c r="BD480" s="292"/>
    </row>
    <row r="481" spans="1:56" x14ac:dyDescent="0.15">
      <c r="A481" s="339"/>
      <c r="B481" s="605"/>
      <c r="AE481" s="343" t="s">
        <v>919</v>
      </c>
      <c r="AH481" s="1041"/>
      <c r="AI481" s="1042" t="s">
        <v>853</v>
      </c>
      <c r="AJ481" s="1042"/>
      <c r="AK481" s="1042"/>
      <c r="AL481" s="1042"/>
      <c r="AM481" s="1042"/>
      <c r="AN481" s="1079">
        <v>0</v>
      </c>
      <c r="AO481" s="1043"/>
      <c r="BD481" s="292"/>
    </row>
    <row r="482" spans="1:56" x14ac:dyDescent="0.15">
      <c r="B482" s="605"/>
      <c r="D482" s="325"/>
      <c r="F482" s="325"/>
      <c r="I482" s="325"/>
      <c r="M482" s="325"/>
      <c r="BD482" s="292"/>
    </row>
    <row r="483" spans="1:56" x14ac:dyDescent="0.15">
      <c r="A483" s="339"/>
      <c r="B483" s="605"/>
      <c r="BD483" s="292"/>
    </row>
    <row r="484" spans="1:56" x14ac:dyDescent="0.15">
      <c r="A484" s="339"/>
      <c r="B484" s="605"/>
      <c r="BD484" s="292"/>
    </row>
    <row r="485" spans="1:56" x14ac:dyDescent="0.15">
      <c r="A485" s="339"/>
      <c r="B485" s="605"/>
      <c r="BD485" s="292"/>
    </row>
    <row r="486" spans="1:56" x14ac:dyDescent="0.15">
      <c r="A486" s="339"/>
      <c r="B486" s="605"/>
      <c r="BD486" s="292"/>
    </row>
    <row r="487" spans="1:56" x14ac:dyDescent="0.15">
      <c r="A487" s="339"/>
      <c r="B487" s="605"/>
      <c r="BD487" s="292"/>
    </row>
    <row r="488" spans="1:56" x14ac:dyDescent="0.15">
      <c r="A488" s="339"/>
      <c r="B488" s="605"/>
      <c r="BD488" s="292"/>
    </row>
    <row r="489" spans="1:56" x14ac:dyDescent="0.15">
      <c r="A489" s="339"/>
      <c r="B489" s="605"/>
      <c r="BD489" s="292"/>
    </row>
    <row r="490" spans="1:56" x14ac:dyDescent="0.15">
      <c r="A490" s="339"/>
      <c r="B490" s="605"/>
      <c r="BD490" s="292"/>
    </row>
    <row r="491" spans="1:56" x14ac:dyDescent="0.15">
      <c r="A491" s="339"/>
      <c r="B491" s="605"/>
      <c r="BD491" s="292"/>
    </row>
    <row r="492" spans="1:56" x14ac:dyDescent="0.15">
      <c r="A492" s="339"/>
      <c r="B492" s="605"/>
      <c r="BD492" s="292"/>
    </row>
    <row r="493" spans="1:56" x14ac:dyDescent="0.15">
      <c r="A493" s="339"/>
      <c r="B493" s="605"/>
      <c r="BD493" s="292"/>
    </row>
    <row r="494" spans="1:56" x14ac:dyDescent="0.15">
      <c r="A494" s="339"/>
      <c r="B494" s="605"/>
      <c r="BD494" s="292"/>
    </row>
    <row r="495" spans="1:56" x14ac:dyDescent="0.15">
      <c r="A495" s="339"/>
      <c r="B495" s="605"/>
      <c r="BD495" s="292"/>
    </row>
    <row r="496" spans="1:56" x14ac:dyDescent="0.15">
      <c r="A496" s="339"/>
      <c r="B496" s="605"/>
      <c r="BD496" s="292"/>
    </row>
    <row r="497" spans="1:57" x14ac:dyDescent="0.15">
      <c r="A497" s="339"/>
      <c r="B497" s="605"/>
      <c r="BD497" s="292"/>
    </row>
    <row r="498" spans="1:57" x14ac:dyDescent="0.15">
      <c r="A498" s="339"/>
      <c r="B498" s="605"/>
      <c r="BD498" s="292"/>
    </row>
    <row r="499" spans="1:57" x14ac:dyDescent="0.15">
      <c r="A499" s="339"/>
      <c r="B499" s="605"/>
      <c r="BD499" s="292"/>
    </row>
    <row r="500" spans="1:57" x14ac:dyDescent="0.15">
      <c r="A500" s="339"/>
      <c r="B500" s="605"/>
      <c r="BD500" s="292"/>
    </row>
    <row r="501" spans="1:57" x14ac:dyDescent="0.15">
      <c r="A501" s="339"/>
      <c r="B501" s="605"/>
      <c r="BD501" s="292"/>
    </row>
    <row r="502" spans="1:57" x14ac:dyDescent="0.15">
      <c r="A502" s="339"/>
      <c r="B502" s="605"/>
      <c r="BD502" s="292"/>
    </row>
    <row r="503" spans="1:57" x14ac:dyDescent="0.15">
      <c r="A503" s="339"/>
      <c r="B503" s="605"/>
      <c r="BD503" s="292"/>
    </row>
    <row r="504" spans="1:57" x14ac:dyDescent="0.15">
      <c r="B504" s="1041"/>
      <c r="C504" s="1042"/>
      <c r="D504" s="1042"/>
      <c r="E504" s="1042"/>
      <c r="F504" s="1042"/>
      <c r="G504" s="1042"/>
      <c r="H504" s="1042"/>
      <c r="I504" s="1042"/>
      <c r="J504" s="1042"/>
      <c r="K504" s="1042"/>
      <c r="L504" s="1042"/>
      <c r="M504" s="1042"/>
      <c r="N504" s="1042"/>
      <c r="O504" s="1042"/>
      <c r="P504" s="1042"/>
      <c r="Q504" s="1042"/>
      <c r="R504" s="1042"/>
      <c r="S504" s="1042"/>
      <c r="T504" s="1042"/>
      <c r="U504" s="1042"/>
      <c r="V504" s="1042"/>
      <c r="W504" s="1042"/>
      <c r="X504" s="1042"/>
      <c r="Y504" s="1042"/>
      <c r="Z504" s="1042"/>
      <c r="AA504" s="1042"/>
      <c r="AB504" s="1042"/>
      <c r="AC504" s="1042"/>
      <c r="AD504" s="1042"/>
      <c r="AE504" s="1042"/>
      <c r="AF504" s="1042"/>
      <c r="AG504" s="1042"/>
      <c r="AH504" s="1042"/>
      <c r="AI504" s="1042"/>
      <c r="AJ504" s="1042"/>
      <c r="AK504" s="1042"/>
      <c r="AL504" s="1042"/>
      <c r="AM504" s="1042"/>
      <c r="AN504" s="1042"/>
      <c r="AO504" s="1042"/>
      <c r="AP504" s="1042"/>
      <c r="AQ504" s="1042"/>
      <c r="AR504" s="1042"/>
      <c r="AS504" s="1042"/>
      <c r="AT504" s="1042"/>
      <c r="AU504" s="1042"/>
      <c r="AV504" s="1042"/>
      <c r="AW504" s="1042"/>
      <c r="AX504" s="1042"/>
      <c r="AY504" s="1042"/>
      <c r="AZ504" s="1042"/>
      <c r="BA504" s="1042"/>
      <c r="BB504" s="1042"/>
      <c r="BC504" s="1042"/>
      <c r="BD504" s="1043"/>
    </row>
    <row r="505" spans="1:57" ht="12" thickBot="1" x14ac:dyDescent="0.2"/>
    <row r="506" spans="1:57" ht="12.75" thickTop="1" x14ac:dyDescent="0.15">
      <c r="B506" s="50" t="s">
        <v>6</v>
      </c>
      <c r="C506" s="51"/>
      <c r="D506" s="51"/>
      <c r="E506" s="51"/>
      <c r="F506" s="51"/>
      <c r="G506" s="51"/>
      <c r="H506" s="51"/>
      <c r="I506" s="51"/>
      <c r="J506" s="51"/>
      <c r="K506" s="51"/>
      <c r="L506" s="51"/>
      <c r="M506" s="51"/>
      <c r="N506" s="52"/>
      <c r="O506" s="677" t="s">
        <v>7</v>
      </c>
      <c r="P506" s="830"/>
      <c r="Q506" s="830"/>
      <c r="R506" s="830"/>
      <c r="S506" s="830"/>
      <c r="T506" s="831"/>
      <c r="U506" s="1250" t="s">
        <v>8</v>
      </c>
      <c r="V506" s="1248"/>
      <c r="W506" s="1248"/>
      <c r="X506" s="1248"/>
      <c r="Y506" s="1248"/>
      <c r="Z506" s="1248"/>
      <c r="AA506" s="1249"/>
      <c r="AB506" s="1306" t="str">
        <f>AB$1</f>
        <v>取引ログ作成時の注意事項（値引併用）</v>
      </c>
      <c r="AC506" s="1307"/>
      <c r="AD506" s="1307"/>
      <c r="AE506" s="1307"/>
      <c r="AF506" s="1307"/>
      <c r="AG506" s="1307"/>
      <c r="AH506" s="1307"/>
      <c r="AI506" s="1307"/>
      <c r="AJ506" s="1307"/>
      <c r="AK506" s="1307"/>
      <c r="AL506" s="1307"/>
      <c r="AM506" s="1307"/>
      <c r="AN506" s="1308"/>
      <c r="AO506" s="1250" t="s">
        <v>10</v>
      </c>
      <c r="AP506" s="1249"/>
      <c r="AQ506" s="1303" t="s">
        <v>11</v>
      </c>
      <c r="AR506" s="1304"/>
      <c r="AS506" s="1305"/>
      <c r="AT506" s="1250" t="s">
        <v>12</v>
      </c>
      <c r="AU506" s="1248"/>
      <c r="AV506" s="1248"/>
      <c r="AW506" s="1249"/>
      <c r="AX506" s="1303" t="s">
        <v>13</v>
      </c>
      <c r="AY506" s="1304"/>
      <c r="AZ506" s="1305"/>
      <c r="BA506" s="1250" t="s">
        <v>14</v>
      </c>
      <c r="BB506" s="1248"/>
      <c r="BC506" s="1248"/>
      <c r="BD506" s="1249"/>
      <c r="BE506" s="355" t="s">
        <v>701</v>
      </c>
    </row>
    <row r="507" spans="1:57" ht="12.75" thickBot="1" x14ac:dyDescent="0.2">
      <c r="B507" s="1260" t="s">
        <v>15</v>
      </c>
      <c r="C507" s="1261"/>
      <c r="D507" s="1261"/>
      <c r="E507" s="1261"/>
      <c r="F507" s="1261"/>
      <c r="G507" s="1261"/>
      <c r="H507" s="1261"/>
      <c r="I507" s="1261"/>
      <c r="J507" s="1261"/>
      <c r="K507" s="1261"/>
      <c r="L507" s="1261"/>
      <c r="M507" s="1261"/>
      <c r="N507" s="1262"/>
      <c r="O507" s="678" t="s">
        <v>16</v>
      </c>
      <c r="P507" s="834"/>
      <c r="Q507" s="834"/>
      <c r="R507" s="834"/>
      <c r="S507" s="834"/>
      <c r="T507" s="835"/>
      <c r="U507" s="1266" t="s">
        <v>163</v>
      </c>
      <c r="V507" s="1264"/>
      <c r="W507" s="1264"/>
      <c r="X507" s="1264"/>
      <c r="Y507" s="1264"/>
      <c r="Z507" s="1264"/>
      <c r="AA507" s="1265"/>
      <c r="AB507" s="1309"/>
      <c r="AC507" s="1310"/>
      <c r="AD507" s="1310"/>
      <c r="AE507" s="1310"/>
      <c r="AF507" s="1310"/>
      <c r="AG507" s="1310"/>
      <c r="AH507" s="1310"/>
      <c r="AI507" s="1310"/>
      <c r="AJ507" s="1310"/>
      <c r="AK507" s="1310"/>
      <c r="AL507" s="1310"/>
      <c r="AM507" s="1310"/>
      <c r="AN507" s="1311"/>
      <c r="AO507" s="1267">
        <f>AO$2</f>
        <v>1.1200000000000001</v>
      </c>
      <c r="AP507" s="1268"/>
      <c r="AQ507" s="1266" t="str">
        <f>AQ$2</f>
        <v>富士通</v>
      </c>
      <c r="AR507" s="1264"/>
      <c r="AS507" s="1265"/>
      <c r="AT507" s="1269">
        <f>AT$2</f>
        <v>45709</v>
      </c>
      <c r="AU507" s="1270"/>
      <c r="AV507" s="1270"/>
      <c r="AW507" s="1270"/>
      <c r="AX507" s="1266" t="s">
        <v>18</v>
      </c>
      <c r="AY507" s="1264"/>
      <c r="AZ507" s="1265"/>
      <c r="BA507" s="1269">
        <v>45588</v>
      </c>
      <c r="BB507" s="1270"/>
      <c r="BC507" s="1270"/>
      <c r="BD507" s="1271"/>
    </row>
    <row r="508" spans="1:57" ht="12" thickTop="1" x14ac:dyDescent="0.15"/>
    <row r="509" spans="1:57" x14ac:dyDescent="0.15">
      <c r="B509" s="1038"/>
      <c r="C509" s="1039"/>
      <c r="D509" s="1039"/>
      <c r="E509" s="1039"/>
      <c r="F509" s="1039"/>
      <c r="G509" s="1039"/>
      <c r="H509" s="1039"/>
      <c r="I509" s="1039"/>
      <c r="J509" s="1039"/>
      <c r="K509" s="1039"/>
      <c r="L509" s="1039"/>
      <c r="M509" s="1039"/>
      <c r="N509" s="1039"/>
      <c r="O509" s="1039"/>
      <c r="P509" s="1039"/>
      <c r="Q509" s="1039"/>
      <c r="R509" s="1039"/>
      <c r="S509" s="1039"/>
      <c r="T509" s="1039"/>
      <c r="U509" s="1039"/>
      <c r="V509" s="1039"/>
      <c r="W509" s="1039"/>
      <c r="X509" s="1039"/>
      <c r="Y509" s="1039"/>
      <c r="Z509" s="1039"/>
      <c r="AA509" s="1039"/>
      <c r="AB509" s="1039"/>
      <c r="AC509" s="1039"/>
      <c r="AD509" s="1039"/>
      <c r="AE509" s="1039"/>
      <c r="AF509" s="1039"/>
      <c r="AG509" s="1039"/>
      <c r="AH509" s="1039"/>
      <c r="AI509" s="1039"/>
      <c r="AJ509" s="1039"/>
      <c r="AK509" s="1039"/>
      <c r="AL509" s="1039"/>
      <c r="AM509" s="1039"/>
      <c r="AN509" s="1039"/>
      <c r="AO509" s="1039"/>
      <c r="AP509" s="1039"/>
      <c r="AQ509" s="1039"/>
      <c r="AR509" s="1039"/>
      <c r="AS509" s="1039"/>
      <c r="AT509" s="1039"/>
      <c r="AU509" s="1039"/>
      <c r="AV509" s="1039"/>
      <c r="AW509" s="1039"/>
      <c r="AX509" s="1039"/>
      <c r="AY509" s="1039"/>
      <c r="AZ509" s="1039"/>
      <c r="BA509" s="1039"/>
      <c r="BB509" s="1039"/>
      <c r="BC509" s="1039"/>
      <c r="BD509" s="1040"/>
    </row>
    <row r="510" spans="1:57" x14ac:dyDescent="0.15">
      <c r="A510" s="339"/>
      <c r="B510" s="605"/>
      <c r="C510" s="345" t="s">
        <v>621</v>
      </c>
      <c r="D510" s="291" t="s">
        <v>927</v>
      </c>
      <c r="BD510" s="292"/>
    </row>
    <row r="511" spans="1:57" x14ac:dyDescent="0.15">
      <c r="A511" s="339"/>
      <c r="B511" s="605"/>
      <c r="BD511" s="292"/>
    </row>
    <row r="512" spans="1:57" x14ac:dyDescent="0.15">
      <c r="A512" s="339"/>
      <c r="B512" s="605"/>
      <c r="D512" s="504" t="s">
        <v>928</v>
      </c>
      <c r="E512" s="506"/>
      <c r="F512" s="506"/>
      <c r="G512" s="506"/>
      <c r="H512" s="506"/>
      <c r="I512" s="506"/>
      <c r="J512" s="506"/>
      <c r="K512" s="506"/>
      <c r="L512" s="506"/>
      <c r="M512" s="506"/>
      <c r="N512" s="506"/>
      <c r="O512" s="506"/>
      <c r="P512" s="506"/>
      <c r="Q512" s="506"/>
      <c r="R512" s="506"/>
      <c r="S512" s="507"/>
      <c r="T512" s="506"/>
      <c r="U512" s="506"/>
      <c r="V512" s="506"/>
      <c r="W512" s="506"/>
      <c r="X512" s="506"/>
      <c r="Y512" s="506"/>
      <c r="Z512" s="506"/>
      <c r="AA512" s="506"/>
      <c r="AB512" s="506"/>
      <c r="AC512" s="506"/>
      <c r="AD512" s="506"/>
      <c r="AE512" s="506"/>
      <c r="BD512" s="292"/>
    </row>
    <row r="513" spans="1:56" x14ac:dyDescent="0.15">
      <c r="A513" s="339"/>
      <c r="B513" s="605"/>
      <c r="S513" s="325"/>
      <c r="BD513" s="292"/>
    </row>
    <row r="514" spans="1:56" x14ac:dyDescent="0.15">
      <c r="A514" s="339"/>
      <c r="B514" s="605"/>
      <c r="C514" s="325" t="s">
        <v>161</v>
      </c>
      <c r="D514" s="558" t="s">
        <v>929</v>
      </c>
      <c r="BD514" s="292"/>
    </row>
    <row r="515" spans="1:56" x14ac:dyDescent="0.15">
      <c r="B515" s="605"/>
      <c r="BD515" s="292"/>
    </row>
    <row r="516" spans="1:56" x14ac:dyDescent="0.15">
      <c r="A516" s="339"/>
      <c r="B516" s="605"/>
      <c r="D516" s="291" t="s">
        <v>703</v>
      </c>
      <c r="BD516" s="292"/>
    </row>
    <row r="517" spans="1:56" x14ac:dyDescent="0.15">
      <c r="A517" s="339"/>
      <c r="B517" s="605"/>
      <c r="D517" s="1042" t="s">
        <v>704</v>
      </c>
      <c r="E517" s="1042"/>
      <c r="F517" s="1042" t="s">
        <v>833</v>
      </c>
      <c r="G517" s="1042"/>
      <c r="H517" s="1042" t="s">
        <v>834</v>
      </c>
      <c r="I517" s="1042"/>
      <c r="J517" s="1042" t="s">
        <v>705</v>
      </c>
      <c r="K517" s="1042"/>
      <c r="L517" s="1042"/>
      <c r="M517" s="1042"/>
      <c r="N517" s="1042"/>
      <c r="O517" s="1042" t="s">
        <v>835</v>
      </c>
      <c r="P517" s="1042"/>
      <c r="Q517" s="1042"/>
      <c r="R517" s="1042" t="s">
        <v>706</v>
      </c>
      <c r="S517" s="1042"/>
      <c r="T517" s="1042"/>
      <c r="U517" s="1042" t="s">
        <v>711</v>
      </c>
      <c r="V517" s="1042"/>
      <c r="W517" s="1042"/>
      <c r="X517" s="1042"/>
      <c r="Y517" s="1042"/>
      <c r="Z517" s="1042"/>
      <c r="AA517" s="1042"/>
      <c r="AB517" s="1042"/>
      <c r="AC517" s="1042"/>
      <c r="AD517" s="1042"/>
      <c r="AE517" s="1042"/>
      <c r="AF517" s="1042"/>
      <c r="AG517" s="1042"/>
      <c r="AH517" s="1042"/>
      <c r="AI517" s="1042"/>
      <c r="AJ517" s="1042"/>
      <c r="BD517" s="292"/>
    </row>
    <row r="518" spans="1:56" x14ac:dyDescent="0.15">
      <c r="B518" s="605"/>
      <c r="D518" s="291">
        <v>1</v>
      </c>
      <c r="F518" s="341" t="s">
        <v>864</v>
      </c>
      <c r="H518" s="341" t="s">
        <v>865</v>
      </c>
      <c r="J518" s="340" t="s">
        <v>930</v>
      </c>
      <c r="L518" s="340"/>
      <c r="M518" s="340"/>
      <c r="N518" s="340"/>
      <c r="O518" s="557">
        <v>100</v>
      </c>
      <c r="P518" s="340"/>
      <c r="R518" s="340" t="s">
        <v>717</v>
      </c>
      <c r="S518" s="340"/>
      <c r="T518" s="340"/>
      <c r="W518" s="340"/>
      <c r="X518" s="340"/>
      <c r="Z518" s="340"/>
      <c r="BD518" s="292"/>
    </row>
    <row r="519" spans="1:56" x14ac:dyDescent="0.15">
      <c r="B519" s="605"/>
      <c r="G519" s="340"/>
      <c r="H519" s="340"/>
      <c r="I519" s="340"/>
      <c r="J519" s="550" t="s">
        <v>508</v>
      </c>
      <c r="K519" s="550"/>
      <c r="L519" s="550"/>
      <c r="M519" s="551"/>
      <c r="N519" s="551"/>
      <c r="O519" s="550" t="s">
        <v>838</v>
      </c>
      <c r="P519" s="550"/>
      <c r="Q519" s="550"/>
      <c r="R519" s="550" t="s">
        <v>839</v>
      </c>
      <c r="S519" s="550"/>
      <c r="T519" s="550"/>
      <c r="U519" s="549" t="s">
        <v>840</v>
      </c>
      <c r="V519" s="549"/>
      <c r="W519" s="548"/>
      <c r="X519" s="549"/>
      <c r="Y519" s="548"/>
      <c r="Z519" s="548"/>
      <c r="AA519" s="548"/>
      <c r="AB519" s="548"/>
      <c r="AC519" s="548"/>
      <c r="AD519" s="548"/>
      <c r="AE519" s="548"/>
      <c r="BD519" s="292"/>
    </row>
    <row r="520" spans="1:56" x14ac:dyDescent="0.15">
      <c r="B520" s="605"/>
      <c r="G520" s="340"/>
      <c r="H520" s="340"/>
      <c r="I520" s="340"/>
      <c r="J520" s="340" t="s">
        <v>867</v>
      </c>
      <c r="K520" s="340"/>
      <c r="L520" s="340"/>
      <c r="M520" s="341"/>
      <c r="N520" s="341"/>
      <c r="O520" s="555">
        <v>0.15</v>
      </c>
      <c r="P520" s="340"/>
      <c r="Q520" s="340"/>
      <c r="R520" s="340" t="s">
        <v>868</v>
      </c>
      <c r="S520" s="340"/>
      <c r="T520" s="340"/>
      <c r="U520" s="340" t="s">
        <v>869</v>
      </c>
      <c r="V520" s="340"/>
      <c r="X520" s="340"/>
      <c r="BD520" s="292"/>
    </row>
    <row r="521" spans="1:56" x14ac:dyDescent="0.15">
      <c r="B521" s="605"/>
      <c r="G521" s="340"/>
      <c r="H521" s="340"/>
      <c r="I521" s="325" t="s">
        <v>842</v>
      </c>
      <c r="J521" s="340" t="s">
        <v>912</v>
      </c>
      <c r="K521" s="340"/>
      <c r="L521" s="340"/>
      <c r="M521" s="341"/>
      <c r="N521" s="341"/>
      <c r="O521" s="340" t="s">
        <v>913</v>
      </c>
      <c r="P521" s="340"/>
      <c r="Q521" s="340"/>
      <c r="R521" s="340" t="s">
        <v>612</v>
      </c>
      <c r="S521" s="340"/>
      <c r="T521" s="340"/>
      <c r="U521" s="340"/>
      <c r="V521" s="340"/>
      <c r="X521" s="340"/>
      <c r="BD521" s="292"/>
    </row>
    <row r="522" spans="1:56" x14ac:dyDescent="0.15">
      <c r="B522" s="605"/>
      <c r="D522" s="325"/>
      <c r="F522" s="325"/>
      <c r="I522" s="325"/>
      <c r="M522" s="325"/>
      <c r="BD522" s="292"/>
    </row>
    <row r="523" spans="1:56" x14ac:dyDescent="0.15">
      <c r="B523" s="605"/>
      <c r="D523" s="325"/>
      <c r="F523" s="325"/>
      <c r="I523" s="325"/>
      <c r="M523" s="325"/>
      <c r="BD523" s="292"/>
    </row>
    <row r="524" spans="1:56" x14ac:dyDescent="0.15">
      <c r="B524" s="605"/>
      <c r="D524" s="340" t="s">
        <v>846</v>
      </c>
      <c r="E524" s="340"/>
      <c r="F524" s="340"/>
      <c r="G524" s="340"/>
      <c r="H524" s="340"/>
      <c r="I524" s="340"/>
      <c r="J524" s="340"/>
      <c r="K524" s="340"/>
      <c r="L524" s="340"/>
      <c r="M524" s="340"/>
      <c r="N524" s="340"/>
      <c r="O524" s="340"/>
      <c r="P524" s="340"/>
      <c r="Q524" s="340"/>
      <c r="R524" s="340"/>
      <c r="S524" s="340"/>
      <c r="U524" s="340"/>
      <c r="BD524" s="292"/>
    </row>
    <row r="525" spans="1:56" x14ac:dyDescent="0.15">
      <c r="B525" s="605"/>
      <c r="D525" s="325"/>
      <c r="F525" s="325"/>
      <c r="I525" s="325"/>
      <c r="M525" s="325"/>
      <c r="AF525" s="342"/>
      <c r="AG525" s="342" t="s">
        <v>847</v>
      </c>
      <c r="BD525" s="292"/>
    </row>
    <row r="526" spans="1:56" x14ac:dyDescent="0.15">
      <c r="B526" s="605"/>
      <c r="D526" s="291" t="s">
        <v>549</v>
      </c>
      <c r="M526" s="291" t="s">
        <v>931</v>
      </c>
      <c r="W526" s="291" t="s">
        <v>551</v>
      </c>
      <c r="AH526" s="291" t="s">
        <v>870</v>
      </c>
      <c r="BD526" s="292"/>
    </row>
    <row r="527" spans="1:56" x14ac:dyDescent="0.15">
      <c r="B527" s="605"/>
      <c r="D527" s="1038" t="s">
        <v>552</v>
      </c>
      <c r="E527" s="1039"/>
      <c r="F527" s="1039"/>
      <c r="G527" s="1039"/>
      <c r="H527" s="1039"/>
      <c r="I527" s="1039"/>
      <c r="J527" s="1039"/>
      <c r="K527" s="1040"/>
      <c r="M527" s="1038" t="s">
        <v>553</v>
      </c>
      <c r="N527" s="1039"/>
      <c r="O527" s="1039"/>
      <c r="P527" s="1039"/>
      <c r="Q527" s="1039"/>
      <c r="R527" s="1039"/>
      <c r="S527" s="1039"/>
      <c r="T527" s="1039"/>
      <c r="U527" s="1040"/>
      <c r="W527" s="1038" t="s">
        <v>137</v>
      </c>
      <c r="X527" s="1039"/>
      <c r="Y527" s="1039"/>
      <c r="Z527" s="1039"/>
      <c r="AA527" s="1039"/>
      <c r="AB527" s="1039"/>
      <c r="AC527" s="1039"/>
      <c r="AD527" s="1040"/>
      <c r="AH527" s="1038" t="s">
        <v>35</v>
      </c>
      <c r="AI527" s="1039"/>
      <c r="AJ527" s="1039"/>
      <c r="AK527" s="1039"/>
      <c r="AL527" s="1039"/>
      <c r="AM527" s="1039"/>
      <c r="AN527" s="1039"/>
      <c r="AO527" s="1040"/>
      <c r="BD527" s="292"/>
    </row>
    <row r="528" spans="1:56" x14ac:dyDescent="0.15">
      <c r="B528" s="605"/>
      <c r="D528" s="605"/>
      <c r="E528" s="291" t="s">
        <v>248</v>
      </c>
      <c r="J528" s="325" t="s">
        <v>556</v>
      </c>
      <c r="K528" s="292"/>
      <c r="M528" s="605"/>
      <c r="N528" s="291" t="s">
        <v>248</v>
      </c>
      <c r="T528" s="325" t="s">
        <v>556</v>
      </c>
      <c r="U528" s="292"/>
      <c r="W528" s="605"/>
      <c r="X528" s="291" t="s">
        <v>248</v>
      </c>
      <c r="AC528" s="325" t="s">
        <v>556</v>
      </c>
      <c r="AD528" s="292"/>
      <c r="AH528" s="605"/>
      <c r="AI528" s="291" t="s">
        <v>248</v>
      </c>
      <c r="AN528" s="325" t="s">
        <v>556</v>
      </c>
      <c r="AO528" s="292"/>
      <c r="BD528" s="292"/>
    </row>
    <row r="529" spans="1:56" x14ac:dyDescent="0.15">
      <c r="B529" s="605"/>
      <c r="D529" s="605"/>
      <c r="E529" s="291" t="s">
        <v>259</v>
      </c>
      <c r="J529" s="291">
        <v>1</v>
      </c>
      <c r="K529" s="292"/>
      <c r="M529" s="605"/>
      <c r="N529" s="291" t="s">
        <v>244</v>
      </c>
      <c r="T529" s="541">
        <v>1</v>
      </c>
      <c r="U529" s="292"/>
      <c r="W529" s="605"/>
      <c r="X529" s="291" t="s">
        <v>244</v>
      </c>
      <c r="AC529" s="291">
        <v>1</v>
      </c>
      <c r="AD529" s="292"/>
      <c r="AH529" s="605"/>
      <c r="AI529" s="291" t="s">
        <v>244</v>
      </c>
      <c r="AN529" s="502">
        <v>4</v>
      </c>
      <c r="AO529" s="292"/>
      <c r="BD529" s="292"/>
    </row>
    <row r="530" spans="1:56" x14ac:dyDescent="0.15">
      <c r="B530" s="605"/>
      <c r="D530" s="1041"/>
      <c r="E530" s="1042"/>
      <c r="F530" s="1042"/>
      <c r="G530" s="1042"/>
      <c r="H530" s="1042"/>
      <c r="I530" s="1042"/>
      <c r="J530" s="1042"/>
      <c r="K530" s="1043"/>
      <c r="M530" s="605"/>
      <c r="N530" s="291" t="s">
        <v>337</v>
      </c>
      <c r="T530" s="541">
        <v>3</v>
      </c>
      <c r="U530" s="292"/>
      <c r="W530" s="605"/>
      <c r="X530" s="291" t="s">
        <v>261</v>
      </c>
      <c r="AC530" s="291">
        <v>4</v>
      </c>
      <c r="AD530" s="292"/>
      <c r="AH530" s="605"/>
      <c r="AI530" s="291" t="s">
        <v>263</v>
      </c>
      <c r="AN530" s="503">
        <v>2</v>
      </c>
      <c r="AO530" s="292"/>
      <c r="AP530" s="343" t="s">
        <v>871</v>
      </c>
      <c r="BD530" s="292"/>
    </row>
    <row r="531" spans="1:56" x14ac:dyDescent="0.15">
      <c r="B531" s="605"/>
      <c r="M531" s="605"/>
      <c r="N531" s="291" t="s">
        <v>350</v>
      </c>
      <c r="T531" s="541">
        <v>300</v>
      </c>
      <c r="U531" s="292"/>
      <c r="W531" s="605"/>
      <c r="X531" s="291" t="s">
        <v>560</v>
      </c>
      <c r="AC531" s="291">
        <v>1</v>
      </c>
      <c r="AD531" s="292" t="s">
        <v>849</v>
      </c>
      <c r="AH531" s="605"/>
      <c r="AI531" s="291" t="s">
        <v>270</v>
      </c>
      <c r="AN531" s="501">
        <v>-45</v>
      </c>
      <c r="AO531" s="292"/>
      <c r="AP531" s="343" t="s">
        <v>902</v>
      </c>
      <c r="BD531" s="292"/>
    </row>
    <row r="532" spans="1:56" x14ac:dyDescent="0.15">
      <c r="B532" s="605"/>
      <c r="M532" s="605"/>
      <c r="N532" s="291" t="s">
        <v>358</v>
      </c>
      <c r="T532" s="541">
        <v>100</v>
      </c>
      <c r="U532" s="292"/>
      <c r="W532" s="605"/>
      <c r="X532" s="291" t="s">
        <v>282</v>
      </c>
      <c r="AC532" s="504">
        <v>-45</v>
      </c>
      <c r="AD532" s="292"/>
      <c r="AH532" s="605"/>
      <c r="AI532" s="291" t="s">
        <v>276</v>
      </c>
      <c r="AN532" s="501">
        <v>0.15</v>
      </c>
      <c r="AO532" s="292"/>
      <c r="AP532" s="343" t="s">
        <v>873</v>
      </c>
      <c r="BD532" s="292"/>
    </row>
    <row r="533" spans="1:56" x14ac:dyDescent="0.15">
      <c r="B533" s="605"/>
      <c r="M533" s="1041"/>
      <c r="N533" s="1042" t="s">
        <v>740</v>
      </c>
      <c r="O533" s="1042"/>
      <c r="P533" s="1042"/>
      <c r="Q533" s="1042"/>
      <c r="R533" s="1042"/>
      <c r="S533" s="1042"/>
      <c r="T533" s="1080">
        <v>100</v>
      </c>
      <c r="U533" s="1043"/>
      <c r="W533" s="1041"/>
      <c r="X533" s="1042" t="s">
        <v>295</v>
      </c>
      <c r="Y533" s="1042"/>
      <c r="Z533" s="1042"/>
      <c r="AA533" s="1042"/>
      <c r="AB533" s="1042"/>
      <c r="AC533" s="1048">
        <v>3</v>
      </c>
      <c r="AD533" s="1043"/>
      <c r="AH533" s="605"/>
      <c r="AI533" s="291" t="s">
        <v>315</v>
      </c>
      <c r="AN533" s="503">
        <v>91326</v>
      </c>
      <c r="AO533" s="292"/>
      <c r="AP533" s="343" t="s">
        <v>874</v>
      </c>
      <c r="BD533" s="292"/>
    </row>
    <row r="534" spans="1:56" x14ac:dyDescent="0.15">
      <c r="B534" s="605"/>
      <c r="AH534" s="1041"/>
      <c r="AI534" s="1042" t="s">
        <v>853</v>
      </c>
      <c r="AJ534" s="1042"/>
      <c r="AK534" s="1042"/>
      <c r="AL534" s="1042"/>
      <c r="AM534" s="1042"/>
      <c r="AN534" s="1079">
        <v>0</v>
      </c>
      <c r="AO534" s="1043"/>
      <c r="BD534" s="292"/>
    </row>
    <row r="535" spans="1:56" x14ac:dyDescent="0.15">
      <c r="B535" s="605"/>
      <c r="D535" s="325"/>
      <c r="F535" s="325"/>
      <c r="I535" s="325"/>
      <c r="BD535" s="292"/>
    </row>
    <row r="536" spans="1:56" x14ac:dyDescent="0.15">
      <c r="B536" s="605"/>
      <c r="S536" s="325"/>
      <c r="BD536" s="292"/>
    </row>
    <row r="537" spans="1:56" x14ac:dyDescent="0.15">
      <c r="B537" s="605"/>
      <c r="D537" s="325"/>
      <c r="F537" s="325"/>
      <c r="I537" s="325"/>
      <c r="W537" s="291" t="s">
        <v>551</v>
      </c>
      <c r="AH537" s="291" t="s">
        <v>915</v>
      </c>
      <c r="BD537" s="292"/>
    </row>
    <row r="538" spans="1:56" x14ac:dyDescent="0.15">
      <c r="A538" s="339"/>
      <c r="B538" s="605"/>
      <c r="W538" s="1038" t="s">
        <v>137</v>
      </c>
      <c r="X538" s="1039"/>
      <c r="Y538" s="1039"/>
      <c r="Z538" s="1039"/>
      <c r="AA538" s="1039"/>
      <c r="AB538" s="1039"/>
      <c r="AC538" s="1039"/>
      <c r="AD538" s="1040"/>
      <c r="AH538" s="1038" t="s">
        <v>35</v>
      </c>
      <c r="AI538" s="1039"/>
      <c r="AJ538" s="1039"/>
      <c r="AK538" s="1039"/>
      <c r="AL538" s="1039"/>
      <c r="AM538" s="1039"/>
      <c r="AN538" s="1039"/>
      <c r="AO538" s="1040"/>
      <c r="BD538" s="292"/>
    </row>
    <row r="539" spans="1:56" x14ac:dyDescent="0.15">
      <c r="A539" s="339"/>
      <c r="B539" s="605"/>
      <c r="W539" s="605"/>
      <c r="X539" s="291" t="s">
        <v>248</v>
      </c>
      <c r="AC539" s="325" t="s">
        <v>556</v>
      </c>
      <c r="AD539" s="292"/>
      <c r="AH539" s="605"/>
      <c r="AI539" s="291" t="s">
        <v>248</v>
      </c>
      <c r="AN539" s="325" t="s">
        <v>556</v>
      </c>
      <c r="AO539" s="292"/>
      <c r="BD539" s="292"/>
    </row>
    <row r="540" spans="1:56" x14ac:dyDescent="0.15">
      <c r="A540" s="339"/>
      <c r="B540" s="605"/>
      <c r="W540" s="605"/>
      <c r="X540" s="291" t="s">
        <v>244</v>
      </c>
      <c r="AC540" s="291">
        <v>1</v>
      </c>
      <c r="AD540" s="292"/>
      <c r="AH540" s="605"/>
      <c r="AI540" s="291" t="s">
        <v>244</v>
      </c>
      <c r="AN540" s="502">
        <v>3</v>
      </c>
      <c r="AO540" s="292"/>
      <c r="BD540" s="292"/>
    </row>
    <row r="541" spans="1:56" x14ac:dyDescent="0.15">
      <c r="A541" s="339"/>
      <c r="B541" s="605"/>
      <c r="W541" s="605"/>
      <c r="X541" s="291" t="s">
        <v>261</v>
      </c>
      <c r="AC541" s="291">
        <v>3</v>
      </c>
      <c r="AD541" s="292"/>
      <c r="AH541" s="605"/>
      <c r="AI541" s="291" t="s">
        <v>263</v>
      </c>
      <c r="AN541" s="503">
        <v>5</v>
      </c>
      <c r="AO541" s="292"/>
      <c r="AP541" s="343" t="s">
        <v>916</v>
      </c>
      <c r="BD541" s="292"/>
    </row>
    <row r="542" spans="1:56" x14ac:dyDescent="0.15">
      <c r="A542" s="339"/>
      <c r="B542" s="605"/>
      <c r="W542" s="605"/>
      <c r="X542" s="291" t="s">
        <v>560</v>
      </c>
      <c r="AC542" s="291">
        <v>1</v>
      </c>
      <c r="AD542" s="292" t="s">
        <v>849</v>
      </c>
      <c r="AH542" s="605"/>
      <c r="AI542" s="291" t="s">
        <v>270</v>
      </c>
      <c r="AN542" s="501">
        <v>0</v>
      </c>
      <c r="AO542" s="292"/>
      <c r="AP542" s="343" t="s">
        <v>872</v>
      </c>
      <c r="BD542" s="292"/>
    </row>
    <row r="543" spans="1:56" x14ac:dyDescent="0.15">
      <c r="A543" s="339"/>
      <c r="B543" s="605"/>
      <c r="W543" s="605"/>
      <c r="X543" s="291" t="s">
        <v>282</v>
      </c>
      <c r="AC543" s="504">
        <v>0</v>
      </c>
      <c r="AD543" s="292"/>
      <c r="AE543" s="343" t="s">
        <v>872</v>
      </c>
      <c r="AH543" s="605"/>
      <c r="AI543" s="291" t="s">
        <v>276</v>
      </c>
      <c r="AN543" s="501">
        <v>0</v>
      </c>
      <c r="AO543" s="292"/>
      <c r="AP543" s="343" t="s">
        <v>872</v>
      </c>
      <c r="BD543" s="292"/>
    </row>
    <row r="544" spans="1:56" x14ac:dyDescent="0.15">
      <c r="A544" s="339"/>
      <c r="B544" s="605"/>
      <c r="W544" s="1041"/>
      <c r="X544" s="1042" t="s">
        <v>295</v>
      </c>
      <c r="Y544" s="1042"/>
      <c r="Z544" s="1042"/>
      <c r="AA544" s="1042"/>
      <c r="AB544" s="1042"/>
      <c r="AC544" s="1048">
        <v>2</v>
      </c>
      <c r="AD544" s="1043"/>
      <c r="AE544" s="343" t="s">
        <v>917</v>
      </c>
      <c r="AH544" s="605"/>
      <c r="AI544" s="291" t="s">
        <v>315</v>
      </c>
      <c r="AN544" s="503">
        <v>91316</v>
      </c>
      <c r="AO544" s="292"/>
      <c r="AP544" s="343" t="s">
        <v>918</v>
      </c>
      <c r="BD544" s="292"/>
    </row>
    <row r="545" spans="1:56" x14ac:dyDescent="0.15">
      <c r="A545" s="339"/>
      <c r="B545" s="605"/>
      <c r="AE545" s="343" t="s">
        <v>919</v>
      </c>
      <c r="AH545" s="1041"/>
      <c r="AI545" s="1042" t="s">
        <v>853</v>
      </c>
      <c r="AJ545" s="1042"/>
      <c r="AK545" s="1042"/>
      <c r="AL545" s="1042"/>
      <c r="AM545" s="1042"/>
      <c r="AN545" s="1079">
        <v>0</v>
      </c>
      <c r="AO545" s="1043"/>
      <c r="BD545" s="292"/>
    </row>
    <row r="546" spans="1:56" x14ac:dyDescent="0.15">
      <c r="B546" s="605"/>
      <c r="D546" s="325"/>
      <c r="F546" s="325"/>
      <c r="I546" s="325"/>
      <c r="M546" s="325"/>
      <c r="AE546" s="343" t="s">
        <v>920</v>
      </c>
      <c r="BD546" s="292"/>
    </row>
    <row r="547" spans="1:56" x14ac:dyDescent="0.15">
      <c r="A547" s="339"/>
      <c r="B547" s="605"/>
      <c r="AE547" s="343" t="s">
        <v>921</v>
      </c>
      <c r="BD547" s="292"/>
    </row>
    <row r="548" spans="1:56" x14ac:dyDescent="0.15">
      <c r="A548" s="339"/>
      <c r="B548" s="605"/>
      <c r="BD548" s="292"/>
    </row>
    <row r="549" spans="1:56" x14ac:dyDescent="0.15">
      <c r="A549" s="339"/>
      <c r="B549" s="605"/>
      <c r="BD549" s="292"/>
    </row>
    <row r="550" spans="1:56" x14ac:dyDescent="0.15">
      <c r="A550" s="339"/>
      <c r="B550" s="605"/>
      <c r="BD550" s="292"/>
    </row>
    <row r="551" spans="1:56" x14ac:dyDescent="0.15">
      <c r="A551" s="339"/>
      <c r="B551" s="605"/>
      <c r="BD551" s="292"/>
    </row>
    <row r="552" spans="1:56" x14ac:dyDescent="0.15">
      <c r="A552" s="339"/>
      <c r="B552" s="605"/>
      <c r="BD552" s="292"/>
    </row>
    <row r="553" spans="1:56" x14ac:dyDescent="0.15">
      <c r="A553" s="339"/>
      <c r="B553" s="605"/>
      <c r="BD553" s="292"/>
    </row>
    <row r="554" spans="1:56" x14ac:dyDescent="0.15">
      <c r="A554" s="339"/>
      <c r="B554" s="605"/>
      <c r="BD554" s="292"/>
    </row>
    <row r="555" spans="1:56" x14ac:dyDescent="0.15">
      <c r="A555" s="339"/>
      <c r="B555" s="605"/>
      <c r="BD555" s="292"/>
    </row>
    <row r="556" spans="1:56" x14ac:dyDescent="0.15">
      <c r="A556" s="339"/>
      <c r="B556" s="605"/>
      <c r="BD556" s="292"/>
    </row>
    <row r="557" spans="1:56" x14ac:dyDescent="0.15">
      <c r="A557" s="339"/>
      <c r="B557" s="605"/>
      <c r="BD557" s="292"/>
    </row>
    <row r="558" spans="1:56" x14ac:dyDescent="0.15">
      <c r="A558" s="339"/>
      <c r="B558" s="605"/>
      <c r="BD558" s="292"/>
    </row>
    <row r="559" spans="1:56" x14ac:dyDescent="0.15">
      <c r="A559" s="339"/>
      <c r="B559" s="605"/>
      <c r="BD559" s="292"/>
    </row>
    <row r="560" spans="1:56" x14ac:dyDescent="0.15">
      <c r="A560" s="339"/>
      <c r="B560" s="605"/>
      <c r="BD560" s="292"/>
    </row>
    <row r="561" spans="1:57" x14ac:dyDescent="0.15">
      <c r="A561" s="339"/>
      <c r="B561" s="605"/>
      <c r="BD561" s="292"/>
    </row>
    <row r="562" spans="1:57" x14ac:dyDescent="0.15">
      <c r="A562" s="339"/>
      <c r="B562" s="605"/>
      <c r="BD562" s="292"/>
    </row>
    <row r="563" spans="1:57" x14ac:dyDescent="0.15">
      <c r="A563" s="339"/>
      <c r="B563" s="605"/>
      <c r="BD563" s="292"/>
    </row>
    <row r="564" spans="1:57" x14ac:dyDescent="0.15">
      <c r="B564" s="1041"/>
      <c r="C564" s="1042"/>
      <c r="D564" s="1042"/>
      <c r="E564" s="1042"/>
      <c r="F564" s="1042"/>
      <c r="G564" s="1042"/>
      <c r="H564" s="1042"/>
      <c r="I564" s="1042"/>
      <c r="J564" s="1042"/>
      <c r="K564" s="1042"/>
      <c r="L564" s="1042"/>
      <c r="M564" s="1042"/>
      <c r="N564" s="1042"/>
      <c r="O564" s="1042"/>
      <c r="P564" s="1042"/>
      <c r="Q564" s="1042"/>
      <c r="R564" s="1042"/>
      <c r="S564" s="1042"/>
      <c r="T564" s="1042"/>
      <c r="U564" s="1042"/>
      <c r="V564" s="1042"/>
      <c r="W564" s="1042"/>
      <c r="X564" s="1042"/>
      <c r="Y564" s="1042"/>
      <c r="Z564" s="1042"/>
      <c r="AA564" s="1042"/>
      <c r="AB564" s="1042"/>
      <c r="AC564" s="1042"/>
      <c r="AD564" s="1042"/>
      <c r="AE564" s="1042"/>
      <c r="AF564" s="1042"/>
      <c r="AG564" s="1042"/>
      <c r="AH564" s="1042"/>
      <c r="AI564" s="1042"/>
      <c r="AJ564" s="1042"/>
      <c r="AK564" s="1042"/>
      <c r="AL564" s="1042"/>
      <c r="AM564" s="1042"/>
      <c r="AN564" s="1042"/>
      <c r="AO564" s="1042"/>
      <c r="AP564" s="1042"/>
      <c r="AQ564" s="1042"/>
      <c r="AR564" s="1042"/>
      <c r="AS564" s="1042"/>
      <c r="AT564" s="1042"/>
      <c r="AU564" s="1042"/>
      <c r="AV564" s="1042"/>
      <c r="AW564" s="1042"/>
      <c r="AX564" s="1042"/>
      <c r="AY564" s="1042"/>
      <c r="AZ564" s="1042"/>
      <c r="BA564" s="1042"/>
      <c r="BB564" s="1042"/>
      <c r="BC564" s="1042"/>
      <c r="BD564" s="1043"/>
    </row>
    <row r="565" spans="1:57" ht="12" thickBot="1" x14ac:dyDescent="0.2"/>
    <row r="566" spans="1:57" ht="12.75" thickTop="1" x14ac:dyDescent="0.15">
      <c r="B566" s="50" t="s">
        <v>6</v>
      </c>
      <c r="C566" s="51"/>
      <c r="D566" s="51"/>
      <c r="E566" s="51"/>
      <c r="F566" s="51"/>
      <c r="G566" s="51"/>
      <c r="H566" s="51"/>
      <c r="I566" s="51"/>
      <c r="J566" s="51"/>
      <c r="K566" s="51"/>
      <c r="L566" s="51"/>
      <c r="M566" s="51"/>
      <c r="N566" s="52"/>
      <c r="O566" s="677" t="s">
        <v>7</v>
      </c>
      <c r="P566" s="830"/>
      <c r="Q566" s="830"/>
      <c r="R566" s="830"/>
      <c r="S566" s="830"/>
      <c r="T566" s="831"/>
      <c r="U566" s="1250" t="s">
        <v>8</v>
      </c>
      <c r="V566" s="1248"/>
      <c r="W566" s="1248"/>
      <c r="X566" s="1248"/>
      <c r="Y566" s="1248"/>
      <c r="Z566" s="1248"/>
      <c r="AA566" s="1249"/>
      <c r="AB566" s="1306" t="str">
        <f>AB$1</f>
        <v>取引ログ作成時の注意事項（値引併用）</v>
      </c>
      <c r="AC566" s="1307"/>
      <c r="AD566" s="1307"/>
      <c r="AE566" s="1307"/>
      <c r="AF566" s="1307"/>
      <c r="AG566" s="1307"/>
      <c r="AH566" s="1307"/>
      <c r="AI566" s="1307"/>
      <c r="AJ566" s="1307"/>
      <c r="AK566" s="1307"/>
      <c r="AL566" s="1307"/>
      <c r="AM566" s="1307"/>
      <c r="AN566" s="1308"/>
      <c r="AO566" s="1250" t="s">
        <v>10</v>
      </c>
      <c r="AP566" s="1249"/>
      <c r="AQ566" s="1303" t="s">
        <v>11</v>
      </c>
      <c r="AR566" s="1304"/>
      <c r="AS566" s="1305"/>
      <c r="AT566" s="1250" t="s">
        <v>12</v>
      </c>
      <c r="AU566" s="1248"/>
      <c r="AV566" s="1248"/>
      <c r="AW566" s="1249"/>
      <c r="AX566" s="1303" t="s">
        <v>13</v>
      </c>
      <c r="AY566" s="1304"/>
      <c r="AZ566" s="1305"/>
      <c r="BA566" s="1250" t="s">
        <v>14</v>
      </c>
      <c r="BB566" s="1248"/>
      <c r="BC566" s="1248"/>
      <c r="BD566" s="1249"/>
      <c r="BE566" s="355" t="s">
        <v>701</v>
      </c>
    </row>
    <row r="567" spans="1:57" ht="12.75" thickBot="1" x14ac:dyDescent="0.2">
      <c r="B567" s="1260" t="s">
        <v>15</v>
      </c>
      <c r="C567" s="1261"/>
      <c r="D567" s="1261"/>
      <c r="E567" s="1261"/>
      <c r="F567" s="1261"/>
      <c r="G567" s="1261"/>
      <c r="H567" s="1261"/>
      <c r="I567" s="1261"/>
      <c r="J567" s="1261"/>
      <c r="K567" s="1261"/>
      <c r="L567" s="1261"/>
      <c r="M567" s="1261"/>
      <c r="N567" s="1262"/>
      <c r="O567" s="678" t="s">
        <v>16</v>
      </c>
      <c r="P567" s="834"/>
      <c r="Q567" s="834"/>
      <c r="R567" s="834"/>
      <c r="S567" s="834"/>
      <c r="T567" s="835"/>
      <c r="U567" s="1266" t="s">
        <v>163</v>
      </c>
      <c r="V567" s="1264"/>
      <c r="W567" s="1264"/>
      <c r="X567" s="1264"/>
      <c r="Y567" s="1264"/>
      <c r="Z567" s="1264"/>
      <c r="AA567" s="1265"/>
      <c r="AB567" s="1309"/>
      <c r="AC567" s="1310"/>
      <c r="AD567" s="1310"/>
      <c r="AE567" s="1310"/>
      <c r="AF567" s="1310"/>
      <c r="AG567" s="1310"/>
      <c r="AH567" s="1310"/>
      <c r="AI567" s="1310"/>
      <c r="AJ567" s="1310"/>
      <c r="AK567" s="1310"/>
      <c r="AL567" s="1310"/>
      <c r="AM567" s="1310"/>
      <c r="AN567" s="1311"/>
      <c r="AO567" s="1267">
        <f>AO$2</f>
        <v>1.1200000000000001</v>
      </c>
      <c r="AP567" s="1268"/>
      <c r="AQ567" s="1266" t="str">
        <f>AQ$2</f>
        <v>富士通</v>
      </c>
      <c r="AR567" s="1264"/>
      <c r="AS567" s="1265"/>
      <c r="AT567" s="1269">
        <f>AT$2</f>
        <v>45709</v>
      </c>
      <c r="AU567" s="1270"/>
      <c r="AV567" s="1270"/>
      <c r="AW567" s="1270"/>
      <c r="AX567" s="1266" t="s">
        <v>18</v>
      </c>
      <c r="AY567" s="1264"/>
      <c r="AZ567" s="1265"/>
      <c r="BA567" s="1269">
        <v>45588</v>
      </c>
      <c r="BB567" s="1270"/>
      <c r="BC567" s="1270"/>
      <c r="BD567" s="1271"/>
    </row>
    <row r="568" spans="1:57" ht="12" thickTop="1" x14ac:dyDescent="0.15"/>
    <row r="569" spans="1:57" x14ac:dyDescent="0.15">
      <c r="B569" s="1038"/>
      <c r="C569" s="1039"/>
      <c r="D569" s="1039"/>
      <c r="E569" s="1039"/>
      <c r="F569" s="1039"/>
      <c r="G569" s="1039"/>
      <c r="H569" s="1039"/>
      <c r="I569" s="1039"/>
      <c r="J569" s="1039"/>
      <c r="K569" s="1039"/>
      <c r="L569" s="1039"/>
      <c r="M569" s="1039"/>
      <c r="N569" s="1039"/>
      <c r="O569" s="1039"/>
      <c r="P569" s="1039"/>
      <c r="Q569" s="1039"/>
      <c r="R569" s="1039"/>
      <c r="S569" s="1039"/>
      <c r="T569" s="1039"/>
      <c r="U569" s="1039"/>
      <c r="V569" s="1039"/>
      <c r="W569" s="1039"/>
      <c r="X569" s="1039"/>
      <c r="Y569" s="1039"/>
      <c r="Z569" s="1039"/>
      <c r="AA569" s="1039"/>
      <c r="AB569" s="1039"/>
      <c r="AC569" s="1039"/>
      <c r="AD569" s="1039"/>
      <c r="AE569" s="1039"/>
      <c r="AF569" s="1039"/>
      <c r="AG569" s="1039"/>
      <c r="AH569" s="1039"/>
      <c r="AI569" s="1039"/>
      <c r="AJ569" s="1039"/>
      <c r="AK569" s="1039"/>
      <c r="AL569" s="1039"/>
      <c r="AM569" s="1039"/>
      <c r="AN569" s="1039"/>
      <c r="AO569" s="1039"/>
      <c r="AP569" s="1039"/>
      <c r="AQ569" s="1039"/>
      <c r="AR569" s="1039"/>
      <c r="AS569" s="1039"/>
      <c r="AT569" s="1039"/>
      <c r="AU569" s="1039"/>
      <c r="AV569" s="1039"/>
      <c r="AW569" s="1039"/>
      <c r="AX569" s="1039"/>
      <c r="AY569" s="1039"/>
      <c r="AZ569" s="1039"/>
      <c r="BA569" s="1039"/>
      <c r="BB569" s="1039"/>
      <c r="BC569" s="1039"/>
      <c r="BD569" s="1040"/>
    </row>
    <row r="570" spans="1:57" x14ac:dyDescent="0.15">
      <c r="A570" s="339"/>
      <c r="B570" s="605"/>
      <c r="C570" s="325" t="s">
        <v>161</v>
      </c>
      <c r="D570" s="558" t="s">
        <v>922</v>
      </c>
      <c r="BD570" s="292"/>
    </row>
    <row r="571" spans="1:57" x14ac:dyDescent="0.15">
      <c r="B571" s="605"/>
      <c r="BD571" s="292"/>
    </row>
    <row r="572" spans="1:57" x14ac:dyDescent="0.15">
      <c r="A572" s="339"/>
      <c r="B572" s="605"/>
      <c r="D572" s="291" t="s">
        <v>703</v>
      </c>
      <c r="BD572" s="292"/>
    </row>
    <row r="573" spans="1:57" x14ac:dyDescent="0.15">
      <c r="A573" s="339"/>
      <c r="B573" s="605"/>
      <c r="D573" s="1042" t="s">
        <v>704</v>
      </c>
      <c r="E573" s="1042"/>
      <c r="F573" s="1042" t="s">
        <v>833</v>
      </c>
      <c r="G573" s="1042"/>
      <c r="H573" s="1042" t="s">
        <v>834</v>
      </c>
      <c r="I573" s="1042"/>
      <c r="J573" s="1042" t="s">
        <v>705</v>
      </c>
      <c r="K573" s="1042"/>
      <c r="L573" s="1042"/>
      <c r="M573" s="1042"/>
      <c r="N573" s="1042"/>
      <c r="O573" s="1042" t="s">
        <v>835</v>
      </c>
      <c r="P573" s="1042"/>
      <c r="Q573" s="1042"/>
      <c r="R573" s="1042" t="s">
        <v>706</v>
      </c>
      <c r="S573" s="1042"/>
      <c r="T573" s="1042"/>
      <c r="U573" s="1042" t="s">
        <v>711</v>
      </c>
      <c r="V573" s="1042"/>
      <c r="W573" s="1042"/>
      <c r="X573" s="1042"/>
      <c r="Y573" s="1042"/>
      <c r="Z573" s="1042"/>
      <c r="AA573" s="1042"/>
      <c r="AB573" s="1042"/>
      <c r="AC573" s="1042"/>
      <c r="AD573" s="1042"/>
      <c r="AE573" s="1042"/>
      <c r="AF573" s="1042"/>
      <c r="AG573" s="1042"/>
      <c r="AH573" s="1042"/>
      <c r="AI573" s="1042"/>
      <c r="AJ573" s="1042"/>
      <c r="BD573" s="292"/>
    </row>
    <row r="574" spans="1:57" x14ac:dyDescent="0.15">
      <c r="B574" s="605"/>
      <c r="D574" s="291">
        <v>1</v>
      </c>
      <c r="F574" s="341" t="s">
        <v>864</v>
      </c>
      <c r="H574" s="341" t="s">
        <v>865</v>
      </c>
      <c r="J574" s="340" t="s">
        <v>932</v>
      </c>
      <c r="L574" s="340"/>
      <c r="M574" s="340"/>
      <c r="N574" s="340"/>
      <c r="O574" s="557">
        <v>100</v>
      </c>
      <c r="P574" s="340"/>
      <c r="R574" s="340" t="s">
        <v>717</v>
      </c>
      <c r="S574" s="340"/>
      <c r="T574" s="340"/>
      <c r="W574" s="340"/>
      <c r="X574" s="340"/>
      <c r="Z574" s="340"/>
      <c r="BD574" s="292"/>
    </row>
    <row r="575" spans="1:57" x14ac:dyDescent="0.15">
      <c r="B575" s="605"/>
      <c r="G575" s="340"/>
      <c r="H575" s="340"/>
      <c r="I575" s="340"/>
      <c r="J575" s="550" t="s">
        <v>508</v>
      </c>
      <c r="K575" s="550"/>
      <c r="L575" s="550"/>
      <c r="M575" s="551"/>
      <c r="N575" s="551"/>
      <c r="O575" s="550" t="s">
        <v>838</v>
      </c>
      <c r="P575" s="550"/>
      <c r="Q575" s="550"/>
      <c r="R575" s="550" t="s">
        <v>839</v>
      </c>
      <c r="S575" s="550"/>
      <c r="T575" s="550"/>
      <c r="U575" s="549" t="s">
        <v>840</v>
      </c>
      <c r="V575" s="549"/>
      <c r="W575" s="548"/>
      <c r="X575" s="549"/>
      <c r="Y575" s="548"/>
      <c r="Z575" s="548"/>
      <c r="AA575" s="548"/>
      <c r="AB575" s="548"/>
      <c r="AC575" s="548"/>
      <c r="AD575" s="548"/>
      <c r="AE575" s="548"/>
      <c r="BD575" s="292"/>
    </row>
    <row r="576" spans="1:57" x14ac:dyDescent="0.15">
      <c r="B576" s="605"/>
      <c r="G576" s="340"/>
      <c r="H576" s="340"/>
      <c r="I576" s="325"/>
      <c r="J576" s="340" t="s">
        <v>867</v>
      </c>
      <c r="K576" s="340"/>
      <c r="L576" s="340"/>
      <c r="M576" s="341"/>
      <c r="N576" s="341"/>
      <c r="O576" s="555">
        <v>0.15</v>
      </c>
      <c r="P576" s="340"/>
      <c r="Q576" s="340"/>
      <c r="R576" s="340" t="s">
        <v>868</v>
      </c>
      <c r="S576" s="340"/>
      <c r="T576" s="340"/>
      <c r="U576" s="340" t="s">
        <v>869</v>
      </c>
      <c r="V576" s="340"/>
      <c r="X576" s="340"/>
      <c r="BD576" s="292"/>
    </row>
    <row r="577" spans="2:56" x14ac:dyDescent="0.15">
      <c r="B577" s="605"/>
      <c r="G577" s="340"/>
      <c r="H577" s="340"/>
      <c r="I577" s="340"/>
      <c r="J577" s="340" t="s">
        <v>912</v>
      </c>
      <c r="K577" s="340"/>
      <c r="L577" s="340"/>
      <c r="M577" s="341"/>
      <c r="N577" s="341"/>
      <c r="O577" s="340" t="s">
        <v>933</v>
      </c>
      <c r="P577" s="340"/>
      <c r="Q577" s="340"/>
      <c r="R577" s="340" t="s">
        <v>612</v>
      </c>
      <c r="S577" s="340"/>
      <c r="T577" s="340"/>
      <c r="U577" s="340" t="s">
        <v>934</v>
      </c>
      <c r="V577" s="340"/>
      <c r="X577" s="340"/>
      <c r="BD577" s="292"/>
    </row>
    <row r="578" spans="2:56" x14ac:dyDescent="0.15">
      <c r="B578" s="605"/>
      <c r="D578" s="325"/>
      <c r="F578" s="325"/>
      <c r="I578" s="325"/>
      <c r="M578" s="325"/>
      <c r="BD578" s="292"/>
    </row>
    <row r="579" spans="2:56" x14ac:dyDescent="0.15">
      <c r="B579" s="605"/>
      <c r="D579" s="325"/>
      <c r="F579" s="325"/>
      <c r="I579" s="325"/>
      <c r="M579" s="325"/>
      <c r="BD579" s="292"/>
    </row>
    <row r="580" spans="2:56" x14ac:dyDescent="0.15">
      <c r="B580" s="605"/>
      <c r="D580" s="340" t="s">
        <v>846</v>
      </c>
      <c r="E580" s="340"/>
      <c r="F580" s="340"/>
      <c r="G580" s="340"/>
      <c r="H580" s="340"/>
      <c r="I580" s="340"/>
      <c r="J580" s="340"/>
      <c r="K580" s="340"/>
      <c r="L580" s="340"/>
      <c r="M580" s="340"/>
      <c r="N580" s="340"/>
      <c r="O580" s="340"/>
      <c r="P580" s="340"/>
      <c r="Q580" s="340"/>
      <c r="R580" s="340"/>
      <c r="S580" s="340"/>
      <c r="U580" s="340"/>
      <c r="BD580" s="292"/>
    </row>
    <row r="581" spans="2:56" x14ac:dyDescent="0.15">
      <c r="B581" s="605"/>
      <c r="D581" s="325"/>
      <c r="F581" s="325"/>
      <c r="I581" s="325"/>
      <c r="M581" s="325"/>
      <c r="AF581" s="342"/>
      <c r="AG581" s="342" t="s">
        <v>847</v>
      </c>
      <c r="BD581" s="292"/>
    </row>
    <row r="582" spans="2:56" x14ac:dyDescent="0.15">
      <c r="B582" s="605"/>
      <c r="D582" s="291" t="s">
        <v>549</v>
      </c>
      <c r="M582" s="291" t="s">
        <v>778</v>
      </c>
      <c r="W582" s="291" t="s">
        <v>551</v>
      </c>
      <c r="AH582" s="291" t="s">
        <v>870</v>
      </c>
      <c r="BD582" s="292"/>
    </row>
    <row r="583" spans="2:56" x14ac:dyDescent="0.15">
      <c r="B583" s="605"/>
      <c r="D583" s="1038" t="s">
        <v>552</v>
      </c>
      <c r="E583" s="1039"/>
      <c r="F583" s="1039"/>
      <c r="G583" s="1039"/>
      <c r="H583" s="1039"/>
      <c r="I583" s="1039"/>
      <c r="J583" s="1039"/>
      <c r="K583" s="1040"/>
      <c r="M583" s="1038" t="s">
        <v>553</v>
      </c>
      <c r="N583" s="1039"/>
      <c r="O583" s="1039"/>
      <c r="P583" s="1039"/>
      <c r="Q583" s="1039"/>
      <c r="R583" s="1039"/>
      <c r="S583" s="1039"/>
      <c r="T583" s="1039"/>
      <c r="U583" s="1040"/>
      <c r="W583" s="1038" t="s">
        <v>137</v>
      </c>
      <c r="X583" s="1039"/>
      <c r="Y583" s="1039"/>
      <c r="Z583" s="1039"/>
      <c r="AA583" s="1039"/>
      <c r="AB583" s="1039"/>
      <c r="AC583" s="1039"/>
      <c r="AD583" s="1040"/>
      <c r="AH583" s="1038" t="s">
        <v>35</v>
      </c>
      <c r="AI583" s="1039"/>
      <c r="AJ583" s="1039"/>
      <c r="AK583" s="1039"/>
      <c r="AL583" s="1039"/>
      <c r="AM583" s="1039"/>
      <c r="AN583" s="1039"/>
      <c r="AO583" s="1040"/>
      <c r="BD583" s="292"/>
    </row>
    <row r="584" spans="2:56" x14ac:dyDescent="0.15">
      <c r="B584" s="605"/>
      <c r="D584" s="605"/>
      <c r="E584" s="291" t="s">
        <v>248</v>
      </c>
      <c r="J584" s="325" t="s">
        <v>556</v>
      </c>
      <c r="K584" s="292"/>
      <c r="M584" s="605"/>
      <c r="N584" s="291" t="s">
        <v>248</v>
      </c>
      <c r="T584" s="325" t="s">
        <v>556</v>
      </c>
      <c r="U584" s="292"/>
      <c r="W584" s="605"/>
      <c r="X584" s="291" t="s">
        <v>248</v>
      </c>
      <c r="AC584" s="325" t="s">
        <v>556</v>
      </c>
      <c r="AD584" s="292"/>
      <c r="AH584" s="605"/>
      <c r="AI584" s="291" t="s">
        <v>248</v>
      </c>
      <c r="AN584" s="325" t="s">
        <v>556</v>
      </c>
      <c r="AO584" s="292"/>
      <c r="BD584" s="292"/>
    </row>
    <row r="585" spans="2:56" x14ac:dyDescent="0.15">
      <c r="B585" s="605"/>
      <c r="D585" s="605"/>
      <c r="E585" s="291" t="s">
        <v>259</v>
      </c>
      <c r="J585" s="291">
        <v>1</v>
      </c>
      <c r="K585" s="292"/>
      <c r="M585" s="605"/>
      <c r="N585" s="291" t="s">
        <v>244</v>
      </c>
      <c r="T585" s="541">
        <v>1</v>
      </c>
      <c r="U585" s="292"/>
      <c r="W585" s="605"/>
      <c r="X585" s="291" t="s">
        <v>244</v>
      </c>
      <c r="AC585" s="291">
        <v>1</v>
      </c>
      <c r="AD585" s="292"/>
      <c r="AH585" s="605"/>
      <c r="AI585" s="291" t="s">
        <v>244</v>
      </c>
      <c r="AN585" s="502">
        <v>4</v>
      </c>
      <c r="AO585" s="292"/>
      <c r="BD585" s="292"/>
    </row>
    <row r="586" spans="2:56" x14ac:dyDescent="0.15">
      <c r="B586" s="605"/>
      <c r="D586" s="1041"/>
      <c r="E586" s="1042"/>
      <c r="F586" s="1042"/>
      <c r="G586" s="1042"/>
      <c r="H586" s="1042"/>
      <c r="I586" s="1042"/>
      <c r="J586" s="1042"/>
      <c r="K586" s="1043"/>
      <c r="M586" s="605"/>
      <c r="N586" s="291" t="s">
        <v>337</v>
      </c>
      <c r="T586" s="541">
        <v>3</v>
      </c>
      <c r="U586" s="292"/>
      <c r="W586" s="605"/>
      <c r="X586" s="291" t="s">
        <v>261</v>
      </c>
      <c r="AC586" s="291">
        <v>4</v>
      </c>
      <c r="AD586" s="292"/>
      <c r="AH586" s="605"/>
      <c r="AI586" s="291" t="s">
        <v>263</v>
      </c>
      <c r="AN586" s="503">
        <v>2</v>
      </c>
      <c r="AO586" s="292"/>
      <c r="AP586" s="343" t="s">
        <v>871</v>
      </c>
      <c r="BD586" s="292"/>
    </row>
    <row r="587" spans="2:56" x14ac:dyDescent="0.15">
      <c r="B587" s="605"/>
      <c r="M587" s="605"/>
      <c r="N587" s="291" t="s">
        <v>350</v>
      </c>
      <c r="T587" s="541">
        <v>300</v>
      </c>
      <c r="U587" s="292"/>
      <c r="W587" s="605"/>
      <c r="X587" s="291" t="s">
        <v>560</v>
      </c>
      <c r="AC587" s="291">
        <v>1</v>
      </c>
      <c r="AD587" s="292" t="s">
        <v>849</v>
      </c>
      <c r="AH587" s="605"/>
      <c r="AI587" s="291" t="s">
        <v>270</v>
      </c>
      <c r="AN587" s="501">
        <v>-45</v>
      </c>
      <c r="AO587" s="292"/>
      <c r="AP587" s="343" t="s">
        <v>902</v>
      </c>
      <c r="BD587" s="292"/>
    </row>
    <row r="588" spans="2:56" x14ac:dyDescent="0.15">
      <c r="B588" s="605"/>
      <c r="M588" s="605"/>
      <c r="N588" s="291" t="s">
        <v>358</v>
      </c>
      <c r="T588" s="541">
        <v>100</v>
      </c>
      <c r="U588" s="292"/>
      <c r="W588" s="605"/>
      <c r="X588" s="291" t="s">
        <v>282</v>
      </c>
      <c r="AC588" s="504">
        <v>-45</v>
      </c>
      <c r="AD588" s="292"/>
      <c r="AH588" s="605"/>
      <c r="AI588" s="291" t="s">
        <v>276</v>
      </c>
      <c r="AN588" s="501">
        <v>0.15</v>
      </c>
      <c r="AO588" s="292"/>
      <c r="AP588" s="343" t="s">
        <v>873</v>
      </c>
      <c r="BD588" s="292"/>
    </row>
    <row r="589" spans="2:56" x14ac:dyDescent="0.15">
      <c r="B589" s="605"/>
      <c r="M589" s="1041"/>
      <c r="N589" s="1042" t="s">
        <v>740</v>
      </c>
      <c r="O589" s="1042"/>
      <c r="P589" s="1042"/>
      <c r="Q589" s="1042"/>
      <c r="R589" s="1042"/>
      <c r="S589" s="1042"/>
      <c r="T589" s="1080">
        <v>100</v>
      </c>
      <c r="U589" s="1043"/>
      <c r="W589" s="1041"/>
      <c r="X589" s="1042" t="s">
        <v>295</v>
      </c>
      <c r="Y589" s="1042"/>
      <c r="Z589" s="1042"/>
      <c r="AA589" s="1042"/>
      <c r="AB589" s="1042"/>
      <c r="AC589" s="1048">
        <v>3</v>
      </c>
      <c r="AD589" s="1043"/>
      <c r="AH589" s="605"/>
      <c r="AI589" s="291" t="s">
        <v>315</v>
      </c>
      <c r="AN589" s="503">
        <v>91326</v>
      </c>
      <c r="AO589" s="292"/>
      <c r="AP589" s="343" t="s">
        <v>874</v>
      </c>
      <c r="BD589" s="292"/>
    </row>
    <row r="590" spans="2:56" x14ac:dyDescent="0.15">
      <c r="B590" s="605"/>
      <c r="AH590" s="1041"/>
      <c r="AI590" s="1042" t="s">
        <v>853</v>
      </c>
      <c r="AJ590" s="1042"/>
      <c r="AK590" s="1042"/>
      <c r="AL590" s="1042"/>
      <c r="AM590" s="1042"/>
      <c r="AN590" s="1079">
        <v>0</v>
      </c>
      <c r="AO590" s="1043"/>
      <c r="BD590" s="292"/>
    </row>
    <row r="591" spans="2:56" x14ac:dyDescent="0.15">
      <c r="B591" s="605"/>
      <c r="D591" s="325"/>
      <c r="F591" s="325"/>
      <c r="I591" s="325"/>
      <c r="BD591" s="292"/>
    </row>
    <row r="592" spans="2:56" x14ac:dyDescent="0.15">
      <c r="B592" s="605"/>
      <c r="S592" s="325"/>
      <c r="BD592" s="292"/>
    </row>
    <row r="593" spans="1:56" x14ac:dyDescent="0.15">
      <c r="B593" s="605"/>
      <c r="D593" s="325"/>
      <c r="F593" s="325"/>
      <c r="I593" s="325"/>
      <c r="W593" s="291" t="s">
        <v>551</v>
      </c>
      <c r="AH593" s="291" t="s">
        <v>915</v>
      </c>
      <c r="BD593" s="292"/>
    </row>
    <row r="594" spans="1:56" x14ac:dyDescent="0.15">
      <c r="A594" s="339"/>
      <c r="B594" s="605"/>
      <c r="W594" s="1038" t="s">
        <v>137</v>
      </c>
      <c r="X594" s="1039"/>
      <c r="Y594" s="1039"/>
      <c r="Z594" s="1039"/>
      <c r="AA594" s="1039"/>
      <c r="AB594" s="1039"/>
      <c r="AC594" s="1039"/>
      <c r="AD594" s="1040"/>
      <c r="AH594" s="1038" t="s">
        <v>35</v>
      </c>
      <c r="AI594" s="1039"/>
      <c r="AJ594" s="1039"/>
      <c r="AK594" s="1039"/>
      <c r="AL594" s="1039"/>
      <c r="AM594" s="1039"/>
      <c r="AN594" s="1039"/>
      <c r="AO594" s="1040"/>
      <c r="BD594" s="292"/>
    </row>
    <row r="595" spans="1:56" x14ac:dyDescent="0.15">
      <c r="A595" s="339"/>
      <c r="B595" s="605"/>
      <c r="W595" s="605"/>
      <c r="X595" s="291" t="s">
        <v>248</v>
      </c>
      <c r="AC595" s="325" t="s">
        <v>556</v>
      </c>
      <c r="AD595" s="292"/>
      <c r="AH595" s="605"/>
      <c r="AI595" s="291" t="s">
        <v>248</v>
      </c>
      <c r="AN595" s="325" t="s">
        <v>556</v>
      </c>
      <c r="AO595" s="292"/>
      <c r="BD595" s="292"/>
    </row>
    <row r="596" spans="1:56" x14ac:dyDescent="0.15">
      <c r="A596" s="339"/>
      <c r="B596" s="605"/>
      <c r="W596" s="605"/>
      <c r="X596" s="291" t="s">
        <v>244</v>
      </c>
      <c r="AC596" s="291">
        <v>1</v>
      </c>
      <c r="AD596" s="292"/>
      <c r="AH596" s="605"/>
      <c r="AI596" s="291" t="s">
        <v>244</v>
      </c>
      <c r="AN596" s="502">
        <v>3</v>
      </c>
      <c r="AO596" s="292"/>
      <c r="BD596" s="292"/>
    </row>
    <row r="597" spans="1:56" x14ac:dyDescent="0.15">
      <c r="A597" s="339"/>
      <c r="B597" s="605"/>
      <c r="W597" s="605"/>
      <c r="X597" s="291" t="s">
        <v>261</v>
      </c>
      <c r="AC597" s="291">
        <v>3</v>
      </c>
      <c r="AD597" s="292"/>
      <c r="AH597" s="605"/>
      <c r="AI597" s="291" t="s">
        <v>263</v>
      </c>
      <c r="AN597" s="503">
        <v>5</v>
      </c>
      <c r="AO597" s="292"/>
      <c r="AP597" s="343" t="s">
        <v>916</v>
      </c>
      <c r="BD597" s="292"/>
    </row>
    <row r="598" spans="1:56" x14ac:dyDescent="0.15">
      <c r="A598" s="339"/>
      <c r="B598" s="605"/>
      <c r="W598" s="605"/>
      <c r="X598" s="291" t="s">
        <v>560</v>
      </c>
      <c r="AC598" s="291">
        <v>1</v>
      </c>
      <c r="AD598" s="292" t="s">
        <v>849</v>
      </c>
      <c r="AH598" s="605"/>
      <c r="AI598" s="291" t="s">
        <v>270</v>
      </c>
      <c r="AN598" s="501">
        <v>-15</v>
      </c>
      <c r="AO598" s="292"/>
      <c r="AP598" s="343" t="s">
        <v>935</v>
      </c>
      <c r="BD598" s="292"/>
    </row>
    <row r="599" spans="1:56" x14ac:dyDescent="0.15">
      <c r="A599" s="339"/>
      <c r="B599" s="605"/>
      <c r="W599" s="605"/>
      <c r="X599" s="291" t="s">
        <v>282</v>
      </c>
      <c r="AC599" s="504">
        <v>-15</v>
      </c>
      <c r="AD599" s="292"/>
      <c r="AE599" s="343"/>
      <c r="AH599" s="605"/>
      <c r="AI599" s="291" t="s">
        <v>276</v>
      </c>
      <c r="AN599" s="501">
        <v>0</v>
      </c>
      <c r="AO599" s="292"/>
      <c r="AP599" s="343" t="s">
        <v>872</v>
      </c>
      <c r="BD599" s="292"/>
    </row>
    <row r="600" spans="1:56" x14ac:dyDescent="0.15">
      <c r="A600" s="339"/>
      <c r="B600" s="605"/>
      <c r="W600" s="1041"/>
      <c r="X600" s="1042" t="s">
        <v>295</v>
      </c>
      <c r="Y600" s="1042"/>
      <c r="Z600" s="1042"/>
      <c r="AA600" s="1042"/>
      <c r="AB600" s="1042"/>
      <c r="AC600" s="1048">
        <v>3</v>
      </c>
      <c r="AD600" s="1043"/>
      <c r="AE600" s="343" t="s">
        <v>917</v>
      </c>
      <c r="AH600" s="605"/>
      <c r="AI600" s="291" t="s">
        <v>315</v>
      </c>
      <c r="AN600" s="503">
        <v>91316</v>
      </c>
      <c r="AO600" s="292"/>
      <c r="AP600" s="343" t="s">
        <v>918</v>
      </c>
      <c r="BD600" s="292"/>
    </row>
    <row r="601" spans="1:56" x14ac:dyDescent="0.15">
      <c r="A601" s="339"/>
      <c r="B601" s="605"/>
      <c r="AE601" s="343" t="s">
        <v>919</v>
      </c>
      <c r="AH601" s="1041"/>
      <c r="AI601" s="1042" t="s">
        <v>853</v>
      </c>
      <c r="AJ601" s="1042"/>
      <c r="AK601" s="1042"/>
      <c r="AL601" s="1042"/>
      <c r="AM601" s="1042"/>
      <c r="AN601" s="1079">
        <v>0</v>
      </c>
      <c r="AO601" s="1043"/>
      <c r="BD601" s="292"/>
    </row>
    <row r="602" spans="1:56" x14ac:dyDescent="0.15">
      <c r="B602" s="605"/>
      <c r="D602" s="325"/>
      <c r="F602" s="325"/>
      <c r="I602" s="325"/>
      <c r="M602" s="325"/>
      <c r="BD602" s="292"/>
    </row>
    <row r="603" spans="1:56" x14ac:dyDescent="0.15">
      <c r="A603" s="339"/>
      <c r="B603" s="605"/>
      <c r="BD603" s="292"/>
    </row>
    <row r="604" spans="1:56" x14ac:dyDescent="0.15">
      <c r="A604" s="339"/>
      <c r="B604" s="605"/>
      <c r="BD604" s="292"/>
    </row>
    <row r="605" spans="1:56" x14ac:dyDescent="0.15">
      <c r="A605" s="339"/>
      <c r="B605" s="605"/>
      <c r="BD605" s="292"/>
    </row>
    <row r="606" spans="1:56" x14ac:dyDescent="0.15">
      <c r="A606" s="339"/>
      <c r="B606" s="605"/>
      <c r="BD606" s="292"/>
    </row>
    <row r="607" spans="1:56" x14ac:dyDescent="0.15">
      <c r="A607" s="339"/>
      <c r="B607" s="605"/>
      <c r="BD607" s="292"/>
    </row>
    <row r="608" spans="1:56" x14ac:dyDescent="0.15">
      <c r="A608" s="339"/>
      <c r="B608" s="605"/>
      <c r="BD608" s="292"/>
    </row>
    <row r="609" spans="1:56" x14ac:dyDescent="0.15">
      <c r="A609" s="339"/>
      <c r="B609" s="605"/>
      <c r="BD609" s="292"/>
    </row>
    <row r="610" spans="1:56" x14ac:dyDescent="0.15">
      <c r="A610" s="339"/>
      <c r="B610" s="605"/>
      <c r="BD610" s="292"/>
    </row>
    <row r="611" spans="1:56" x14ac:dyDescent="0.15">
      <c r="A611" s="339"/>
      <c r="B611" s="605"/>
      <c r="BD611" s="292"/>
    </row>
    <row r="612" spans="1:56" x14ac:dyDescent="0.15">
      <c r="A612" s="339"/>
      <c r="B612" s="605"/>
      <c r="BD612" s="292"/>
    </row>
    <row r="613" spans="1:56" x14ac:dyDescent="0.15">
      <c r="A613" s="339"/>
      <c r="B613" s="605"/>
      <c r="BD613" s="292"/>
    </row>
    <row r="614" spans="1:56" x14ac:dyDescent="0.15">
      <c r="A614" s="339"/>
      <c r="B614" s="605"/>
      <c r="BD614" s="292"/>
    </row>
    <row r="615" spans="1:56" x14ac:dyDescent="0.15">
      <c r="A615" s="339"/>
      <c r="B615" s="605"/>
      <c r="BD615" s="292"/>
    </row>
    <row r="616" spans="1:56" x14ac:dyDescent="0.15">
      <c r="A616" s="339"/>
      <c r="B616" s="605"/>
      <c r="BD616" s="292"/>
    </row>
    <row r="617" spans="1:56" x14ac:dyDescent="0.15">
      <c r="A617" s="339"/>
      <c r="B617" s="605"/>
      <c r="BD617" s="292"/>
    </row>
    <row r="618" spans="1:56" x14ac:dyDescent="0.15">
      <c r="A618" s="339"/>
      <c r="B618" s="605"/>
      <c r="BD618" s="292"/>
    </row>
    <row r="619" spans="1:56" x14ac:dyDescent="0.15">
      <c r="A619" s="339"/>
      <c r="B619" s="605"/>
      <c r="BD619" s="292"/>
    </row>
    <row r="620" spans="1:56" x14ac:dyDescent="0.15">
      <c r="A620" s="339"/>
      <c r="B620" s="605"/>
      <c r="BD620" s="292"/>
    </row>
    <row r="621" spans="1:56" x14ac:dyDescent="0.15">
      <c r="A621" s="339"/>
      <c r="B621" s="605"/>
      <c r="BD621" s="292"/>
    </row>
    <row r="622" spans="1:56" x14ac:dyDescent="0.15">
      <c r="A622" s="339"/>
      <c r="B622" s="605"/>
      <c r="BD622" s="292"/>
    </row>
    <row r="623" spans="1:56" x14ac:dyDescent="0.15">
      <c r="A623" s="339"/>
      <c r="B623" s="605"/>
      <c r="BD623" s="292"/>
    </row>
    <row r="624" spans="1:56" x14ac:dyDescent="0.15">
      <c r="B624" s="1041"/>
      <c r="C624" s="1042"/>
      <c r="D624" s="1042"/>
      <c r="E624" s="1042"/>
      <c r="F624" s="1042"/>
      <c r="G624" s="1042"/>
      <c r="H624" s="1042"/>
      <c r="I624" s="1042"/>
      <c r="J624" s="1042"/>
      <c r="K624" s="1042"/>
      <c r="L624" s="1042"/>
      <c r="M624" s="1042"/>
      <c r="N624" s="1042"/>
      <c r="O624" s="1042"/>
      <c r="P624" s="1042"/>
      <c r="Q624" s="1042"/>
      <c r="R624" s="1042"/>
      <c r="S624" s="1042"/>
      <c r="T624" s="1042"/>
      <c r="U624" s="1042"/>
      <c r="V624" s="1042"/>
      <c r="W624" s="1042"/>
      <c r="X624" s="1042"/>
      <c r="Y624" s="1042"/>
      <c r="Z624" s="1042"/>
      <c r="AA624" s="1042"/>
      <c r="AB624" s="1042"/>
      <c r="AC624" s="1042"/>
      <c r="AD624" s="1042"/>
      <c r="AE624" s="1042"/>
      <c r="AF624" s="1042"/>
      <c r="AG624" s="1042"/>
      <c r="AH624" s="1042"/>
      <c r="AI624" s="1042"/>
      <c r="AJ624" s="1042"/>
      <c r="AK624" s="1042"/>
      <c r="AL624" s="1042"/>
      <c r="AM624" s="1042"/>
      <c r="AN624" s="1042"/>
      <c r="AO624" s="1042"/>
      <c r="AP624" s="1042"/>
      <c r="AQ624" s="1042"/>
      <c r="AR624" s="1042"/>
      <c r="AS624" s="1042"/>
      <c r="AT624" s="1042"/>
      <c r="AU624" s="1042"/>
      <c r="AV624" s="1042"/>
      <c r="AW624" s="1042"/>
      <c r="AX624" s="1042"/>
      <c r="AY624" s="1042"/>
      <c r="AZ624" s="1042"/>
      <c r="BA624" s="1042"/>
      <c r="BB624" s="1042"/>
      <c r="BC624" s="1042"/>
      <c r="BD624" s="1043"/>
    </row>
    <row r="626" spans="1:57" ht="12" thickBot="1" x14ac:dyDescent="0.2"/>
    <row r="627" spans="1:57" ht="12.75" thickTop="1" x14ac:dyDescent="0.15">
      <c r="B627" s="50" t="s">
        <v>6</v>
      </c>
      <c r="C627" s="51"/>
      <c r="D627" s="51"/>
      <c r="E627" s="51"/>
      <c r="F627" s="51"/>
      <c r="G627" s="51"/>
      <c r="H627" s="51"/>
      <c r="I627" s="51"/>
      <c r="J627" s="51"/>
      <c r="K627" s="51"/>
      <c r="L627" s="51"/>
      <c r="M627" s="51"/>
      <c r="N627" s="52"/>
      <c r="O627" s="677" t="s">
        <v>7</v>
      </c>
      <c r="P627" s="830"/>
      <c r="Q627" s="830"/>
      <c r="R627" s="830"/>
      <c r="S627" s="830"/>
      <c r="T627" s="831"/>
      <c r="U627" s="1250" t="s">
        <v>8</v>
      </c>
      <c r="V627" s="1248"/>
      <c r="W627" s="1248"/>
      <c r="X627" s="1248"/>
      <c r="Y627" s="1248"/>
      <c r="Z627" s="1248"/>
      <c r="AA627" s="1249"/>
      <c r="AB627" s="1306" t="str">
        <f>AB$1</f>
        <v>取引ログ作成時の注意事項（値引併用）</v>
      </c>
      <c r="AC627" s="1307"/>
      <c r="AD627" s="1307"/>
      <c r="AE627" s="1307"/>
      <c r="AF627" s="1307"/>
      <c r="AG627" s="1307"/>
      <c r="AH627" s="1307"/>
      <c r="AI627" s="1307"/>
      <c r="AJ627" s="1307"/>
      <c r="AK627" s="1307"/>
      <c r="AL627" s="1307"/>
      <c r="AM627" s="1307"/>
      <c r="AN627" s="1308"/>
      <c r="AO627" s="1250" t="s">
        <v>10</v>
      </c>
      <c r="AP627" s="1249"/>
      <c r="AQ627" s="1303" t="s">
        <v>11</v>
      </c>
      <c r="AR627" s="1304"/>
      <c r="AS627" s="1305"/>
      <c r="AT627" s="1250" t="s">
        <v>12</v>
      </c>
      <c r="AU627" s="1248"/>
      <c r="AV627" s="1248"/>
      <c r="AW627" s="1249"/>
      <c r="AX627" s="1303" t="s">
        <v>13</v>
      </c>
      <c r="AY627" s="1304"/>
      <c r="AZ627" s="1305"/>
      <c r="BA627" s="1250" t="s">
        <v>14</v>
      </c>
      <c r="BB627" s="1248"/>
      <c r="BC627" s="1248"/>
      <c r="BD627" s="1249"/>
      <c r="BE627" s="355" t="s">
        <v>701</v>
      </c>
    </row>
    <row r="628" spans="1:57" ht="12.75" thickBot="1" x14ac:dyDescent="0.2">
      <c r="B628" s="1260" t="s">
        <v>15</v>
      </c>
      <c r="C628" s="1261"/>
      <c r="D628" s="1261"/>
      <c r="E628" s="1261"/>
      <c r="F628" s="1261"/>
      <c r="G628" s="1261"/>
      <c r="H628" s="1261"/>
      <c r="I628" s="1261"/>
      <c r="J628" s="1261"/>
      <c r="K628" s="1261"/>
      <c r="L628" s="1261"/>
      <c r="M628" s="1261"/>
      <c r="N628" s="1262"/>
      <c r="O628" s="678" t="s">
        <v>16</v>
      </c>
      <c r="P628" s="834"/>
      <c r="Q628" s="834"/>
      <c r="R628" s="834"/>
      <c r="S628" s="834"/>
      <c r="T628" s="835"/>
      <c r="U628" s="1266" t="s">
        <v>163</v>
      </c>
      <c r="V628" s="1264"/>
      <c r="W628" s="1264"/>
      <c r="X628" s="1264"/>
      <c r="Y628" s="1264"/>
      <c r="Z628" s="1264"/>
      <c r="AA628" s="1265"/>
      <c r="AB628" s="1309"/>
      <c r="AC628" s="1310"/>
      <c r="AD628" s="1310"/>
      <c r="AE628" s="1310"/>
      <c r="AF628" s="1310"/>
      <c r="AG628" s="1310"/>
      <c r="AH628" s="1310"/>
      <c r="AI628" s="1310"/>
      <c r="AJ628" s="1310"/>
      <c r="AK628" s="1310"/>
      <c r="AL628" s="1310"/>
      <c r="AM628" s="1310"/>
      <c r="AN628" s="1311"/>
      <c r="AO628" s="1267">
        <f>AO$2</f>
        <v>1.1200000000000001</v>
      </c>
      <c r="AP628" s="1268"/>
      <c r="AQ628" s="1266" t="str">
        <f>AQ$2</f>
        <v>富士通</v>
      </c>
      <c r="AR628" s="1264"/>
      <c r="AS628" s="1265"/>
      <c r="AT628" s="1269">
        <f>AT$2</f>
        <v>45709</v>
      </c>
      <c r="AU628" s="1270"/>
      <c r="AV628" s="1270"/>
      <c r="AW628" s="1270"/>
      <c r="AX628" s="1266" t="s">
        <v>18</v>
      </c>
      <c r="AY628" s="1264"/>
      <c r="AZ628" s="1265"/>
      <c r="BA628" s="1269">
        <v>45588</v>
      </c>
      <c r="BB628" s="1270"/>
      <c r="BC628" s="1270"/>
      <c r="BD628" s="1271"/>
    </row>
    <row r="629" spans="1:57" ht="12" thickTop="1" x14ac:dyDescent="0.15"/>
    <row r="630" spans="1:57" x14ac:dyDescent="0.15">
      <c r="B630" s="1038"/>
      <c r="C630" s="1039"/>
      <c r="D630" s="1039"/>
      <c r="E630" s="1039"/>
      <c r="F630" s="1039"/>
      <c r="G630" s="1039"/>
      <c r="H630" s="1039"/>
      <c r="I630" s="1039"/>
      <c r="J630" s="1039"/>
      <c r="K630" s="1039"/>
      <c r="L630" s="1039"/>
      <c r="M630" s="1039"/>
      <c r="N630" s="1039"/>
      <c r="O630" s="1039"/>
      <c r="P630" s="1039"/>
      <c r="Q630" s="1039"/>
      <c r="R630" s="1039"/>
      <c r="S630" s="1039"/>
      <c r="T630" s="1039"/>
      <c r="U630" s="1039"/>
      <c r="V630" s="1039"/>
      <c r="W630" s="1039"/>
      <c r="X630" s="1039"/>
      <c r="Y630" s="1039"/>
      <c r="Z630" s="1039"/>
      <c r="AA630" s="1039"/>
      <c r="AB630" s="1039"/>
      <c r="AC630" s="1039"/>
      <c r="AD630" s="1039"/>
      <c r="AE630" s="1039"/>
      <c r="AF630" s="1039"/>
      <c r="AG630" s="1039"/>
      <c r="AH630" s="1039"/>
      <c r="AI630" s="1039"/>
      <c r="AJ630" s="1039"/>
      <c r="AK630" s="1039"/>
      <c r="AL630" s="1039"/>
      <c r="AM630" s="1039"/>
      <c r="AN630" s="1039"/>
      <c r="AO630" s="1039"/>
      <c r="AP630" s="1039"/>
      <c r="AQ630" s="1039"/>
      <c r="AR630" s="1039"/>
      <c r="AS630" s="1039"/>
      <c r="AT630" s="1039"/>
      <c r="AU630" s="1039"/>
      <c r="AV630" s="1039"/>
      <c r="AW630" s="1039"/>
      <c r="AX630" s="1039"/>
      <c r="AY630" s="1039"/>
      <c r="AZ630" s="1039"/>
      <c r="BA630" s="1039"/>
      <c r="BB630" s="1039"/>
      <c r="BC630" s="1039"/>
      <c r="BD630" s="1040"/>
    </row>
    <row r="631" spans="1:57" x14ac:dyDescent="0.15">
      <c r="A631" s="339"/>
      <c r="B631" s="605"/>
      <c r="C631" s="345" t="s">
        <v>645</v>
      </c>
      <c r="D631" s="291" t="s">
        <v>936</v>
      </c>
      <c r="BD631" s="292"/>
    </row>
    <row r="632" spans="1:57" x14ac:dyDescent="0.15">
      <c r="A632" s="339"/>
      <c r="B632" s="605"/>
      <c r="BD632" s="292"/>
    </row>
    <row r="633" spans="1:57" x14ac:dyDescent="0.15">
      <c r="A633" s="339"/>
      <c r="B633" s="605"/>
      <c r="D633" s="291" t="s">
        <v>703</v>
      </c>
      <c r="BD633" s="292"/>
    </row>
    <row r="634" spans="1:57" x14ac:dyDescent="0.15">
      <c r="A634" s="339"/>
      <c r="B634" s="605"/>
      <c r="D634" s="1042" t="s">
        <v>704</v>
      </c>
      <c r="E634" s="1042"/>
      <c r="F634" s="1042" t="s">
        <v>833</v>
      </c>
      <c r="G634" s="1042"/>
      <c r="H634" s="1042" t="s">
        <v>834</v>
      </c>
      <c r="I634" s="1042"/>
      <c r="J634" s="1042" t="s">
        <v>705</v>
      </c>
      <c r="K634" s="1042"/>
      <c r="L634" s="1042"/>
      <c r="M634" s="1042"/>
      <c r="N634" s="1042"/>
      <c r="O634" s="1042" t="s">
        <v>835</v>
      </c>
      <c r="P634" s="1042"/>
      <c r="Q634" s="1042"/>
      <c r="R634" s="1042" t="s">
        <v>706</v>
      </c>
      <c r="S634" s="1042"/>
      <c r="T634" s="1042"/>
      <c r="U634" s="1042" t="s">
        <v>711</v>
      </c>
      <c r="V634" s="1042"/>
      <c r="W634" s="1042"/>
      <c r="X634" s="1042"/>
      <c r="Y634" s="1042"/>
      <c r="Z634" s="1042"/>
      <c r="AA634" s="1042"/>
      <c r="AB634" s="1042"/>
      <c r="AC634" s="1042"/>
      <c r="AD634" s="1042"/>
      <c r="AE634" s="1042"/>
      <c r="AF634" s="1042"/>
      <c r="AG634" s="1042"/>
      <c r="AH634" s="1042"/>
      <c r="AI634" s="1042"/>
      <c r="AJ634" s="1042"/>
      <c r="BD634" s="292"/>
    </row>
    <row r="635" spans="1:57" x14ac:dyDescent="0.15">
      <c r="B635" s="605"/>
      <c r="D635" s="291">
        <v>1</v>
      </c>
      <c r="F635" s="341" t="s">
        <v>864</v>
      </c>
      <c r="H635" s="341" t="s">
        <v>865</v>
      </c>
      <c r="J635" s="340" t="s">
        <v>937</v>
      </c>
      <c r="L635" s="340"/>
      <c r="M635" s="340"/>
      <c r="N635" s="340"/>
      <c r="O635" s="557">
        <v>100</v>
      </c>
      <c r="P635" s="340"/>
      <c r="R635" s="340" t="s">
        <v>713</v>
      </c>
      <c r="S635" s="340"/>
      <c r="T635" s="340"/>
      <c r="W635" s="340"/>
      <c r="X635" s="340"/>
      <c r="Z635" s="340"/>
      <c r="BD635" s="292"/>
    </row>
    <row r="636" spans="1:57" x14ac:dyDescent="0.15">
      <c r="B636" s="605"/>
      <c r="G636" s="340"/>
      <c r="H636" s="340"/>
      <c r="I636" s="340"/>
      <c r="J636" s="550" t="s">
        <v>508</v>
      </c>
      <c r="K636" s="550"/>
      <c r="L636" s="550"/>
      <c r="M636" s="551"/>
      <c r="N636" s="551"/>
      <c r="O636" s="550" t="s">
        <v>838</v>
      </c>
      <c r="P636" s="550"/>
      <c r="Q636" s="550"/>
      <c r="R636" s="550" t="s">
        <v>839</v>
      </c>
      <c r="S636" s="550"/>
      <c r="T636" s="550"/>
      <c r="U636" s="549" t="s">
        <v>840</v>
      </c>
      <c r="V636" s="549"/>
      <c r="W636" s="548"/>
      <c r="X636" s="549"/>
      <c r="Y636" s="548"/>
      <c r="Z636" s="548"/>
      <c r="AA636" s="548"/>
      <c r="AB636" s="548"/>
      <c r="AC636" s="548"/>
      <c r="AD636" s="548"/>
      <c r="AE636" s="548"/>
      <c r="BD636" s="292"/>
    </row>
    <row r="637" spans="1:57" x14ac:dyDescent="0.15">
      <c r="B637" s="605"/>
      <c r="G637" s="340"/>
      <c r="H637" s="340"/>
      <c r="I637" s="340"/>
      <c r="J637" s="340" t="s">
        <v>844</v>
      </c>
      <c r="K637" s="340"/>
      <c r="L637" s="340"/>
      <c r="M637" s="341"/>
      <c r="N637" s="341"/>
      <c r="O637" s="554">
        <v>98</v>
      </c>
      <c r="P637" s="340"/>
      <c r="Q637" s="340"/>
      <c r="R637" s="340" t="s">
        <v>612</v>
      </c>
      <c r="S637" s="340"/>
      <c r="T637" s="340"/>
      <c r="U637" s="340"/>
      <c r="V637" s="340"/>
      <c r="X637" s="340"/>
      <c r="BD637" s="292"/>
    </row>
    <row r="638" spans="1:57" x14ac:dyDescent="0.15">
      <c r="B638" s="605"/>
      <c r="G638" s="340"/>
      <c r="H638" s="340"/>
      <c r="I638" s="340"/>
      <c r="J638" s="340" t="s">
        <v>867</v>
      </c>
      <c r="K638" s="340"/>
      <c r="L638" s="340"/>
      <c r="M638" s="341"/>
      <c r="N638" s="341"/>
      <c r="O638" s="555">
        <v>0.15</v>
      </c>
      <c r="P638" s="340"/>
      <c r="Q638" s="340"/>
      <c r="R638" s="340" t="s">
        <v>868</v>
      </c>
      <c r="S638" s="340"/>
      <c r="T638" s="340"/>
      <c r="U638" s="340" t="s">
        <v>869</v>
      </c>
      <c r="V638" s="340"/>
      <c r="X638" s="340"/>
      <c r="BD638" s="292"/>
    </row>
    <row r="639" spans="1:57" x14ac:dyDescent="0.15">
      <c r="B639" s="605"/>
      <c r="G639" s="340"/>
      <c r="H639" s="340"/>
      <c r="I639" s="340"/>
      <c r="J639" s="340" t="s">
        <v>912</v>
      </c>
      <c r="K639" s="340"/>
      <c r="L639" s="340"/>
      <c r="M639" s="341"/>
      <c r="N639" s="341"/>
      <c r="O639" s="340" t="s">
        <v>933</v>
      </c>
      <c r="P639" s="340"/>
      <c r="Q639" s="340"/>
      <c r="R639" s="340" t="s">
        <v>612</v>
      </c>
      <c r="S639" s="340"/>
      <c r="T639" s="340"/>
      <c r="U639" s="340"/>
      <c r="V639" s="340"/>
      <c r="X639" s="340"/>
      <c r="BD639" s="292"/>
    </row>
    <row r="640" spans="1:57" x14ac:dyDescent="0.15">
      <c r="B640" s="605"/>
      <c r="G640" s="340"/>
      <c r="H640" s="340"/>
      <c r="I640" s="340"/>
      <c r="J640" s="340" t="s">
        <v>938</v>
      </c>
      <c r="K640" s="340"/>
      <c r="L640" s="340"/>
      <c r="M640" s="341"/>
      <c r="N640" s="341"/>
      <c r="O640" s="556">
        <v>10</v>
      </c>
      <c r="P640" s="340"/>
      <c r="Q640" s="340"/>
      <c r="R640" s="340" t="s">
        <v>508</v>
      </c>
      <c r="S640" s="340"/>
      <c r="T640" s="340"/>
      <c r="U640" s="340" t="s">
        <v>939</v>
      </c>
      <c r="V640" s="340"/>
      <c r="X640" s="340"/>
      <c r="BD640" s="292"/>
    </row>
    <row r="641" spans="2:56" x14ac:dyDescent="0.15">
      <c r="B641" s="605"/>
      <c r="D641" s="519">
        <v>2</v>
      </c>
      <c r="E641" s="519"/>
      <c r="F641" s="553" t="s">
        <v>864</v>
      </c>
      <c r="G641" s="519"/>
      <c r="H641" s="553" t="s">
        <v>865</v>
      </c>
      <c r="I641" s="519"/>
      <c r="J641" s="520" t="s">
        <v>937</v>
      </c>
      <c r="K641" s="519"/>
      <c r="L641" s="520"/>
      <c r="M641" s="520"/>
      <c r="N641" s="520"/>
      <c r="O641" s="552">
        <v>100</v>
      </c>
      <c r="P641" s="520"/>
      <c r="Q641" s="519"/>
      <c r="R641" s="520" t="s">
        <v>713</v>
      </c>
      <c r="S641" s="520"/>
      <c r="T641" s="520"/>
      <c r="U641" s="519"/>
      <c r="V641" s="519"/>
      <c r="W641" s="520"/>
      <c r="X641" s="520"/>
      <c r="Y641" s="519"/>
      <c r="Z641" s="520"/>
      <c r="AA641" s="519"/>
      <c r="AB641" s="519"/>
      <c r="AC641" s="519"/>
      <c r="AD641" s="519"/>
      <c r="AE641" s="519"/>
      <c r="AF641" s="519"/>
      <c r="AG641" s="519"/>
      <c r="AH641" s="519"/>
      <c r="AI641" s="519"/>
      <c r="AJ641" s="519"/>
      <c r="BD641" s="292"/>
    </row>
    <row r="642" spans="2:56" x14ac:dyDescent="0.15">
      <c r="B642" s="605"/>
      <c r="G642" s="340"/>
      <c r="H642" s="340"/>
      <c r="I642" s="340"/>
      <c r="J642" s="550" t="s">
        <v>508</v>
      </c>
      <c r="K642" s="550"/>
      <c r="L642" s="550"/>
      <c r="M642" s="551"/>
      <c r="N642" s="551"/>
      <c r="O642" s="550" t="s">
        <v>838</v>
      </c>
      <c r="P642" s="550"/>
      <c r="Q642" s="550"/>
      <c r="R642" s="550" t="s">
        <v>839</v>
      </c>
      <c r="S642" s="550"/>
      <c r="T642" s="550"/>
      <c r="U642" s="549" t="s">
        <v>840</v>
      </c>
      <c r="V642" s="549"/>
      <c r="W642" s="548"/>
      <c r="X642" s="549"/>
      <c r="Y642" s="548"/>
      <c r="Z642" s="548"/>
      <c r="AA642" s="548"/>
      <c r="AB642" s="548"/>
      <c r="AC642" s="548"/>
      <c r="AD642" s="548"/>
      <c r="AE642" s="548"/>
      <c r="BD642" s="292"/>
    </row>
    <row r="643" spans="2:56" x14ac:dyDescent="0.15">
      <c r="B643" s="605"/>
      <c r="G643" s="340"/>
      <c r="H643" s="340"/>
      <c r="I643" s="340"/>
      <c r="J643" s="340" t="s">
        <v>844</v>
      </c>
      <c r="K643" s="340"/>
      <c r="L643" s="340"/>
      <c r="M643" s="341"/>
      <c r="N643" s="341"/>
      <c r="O643" s="554">
        <v>98</v>
      </c>
      <c r="P643" s="340"/>
      <c r="Q643" s="340"/>
      <c r="R643" s="340" t="s">
        <v>612</v>
      </c>
      <c r="S643" s="340"/>
      <c r="T643" s="340"/>
      <c r="U643" s="340"/>
      <c r="V643" s="340"/>
      <c r="X643" s="340"/>
      <c r="BD643" s="292"/>
    </row>
    <row r="644" spans="2:56" x14ac:dyDescent="0.15">
      <c r="B644" s="605"/>
      <c r="G644" s="340"/>
      <c r="H644" s="340"/>
      <c r="I644" s="340"/>
      <c r="J644" s="340" t="s">
        <v>867</v>
      </c>
      <c r="K644" s="340"/>
      <c r="L644" s="340"/>
      <c r="M644" s="341"/>
      <c r="N644" s="341"/>
      <c r="O644" s="555">
        <v>0.15</v>
      </c>
      <c r="P644" s="340"/>
      <c r="Q644" s="340"/>
      <c r="R644" s="340" t="s">
        <v>868</v>
      </c>
      <c r="S644" s="340"/>
      <c r="T644" s="340"/>
      <c r="U644" s="340" t="s">
        <v>869</v>
      </c>
      <c r="V644" s="340"/>
      <c r="X644" s="340"/>
      <c r="BD644" s="292"/>
    </row>
    <row r="645" spans="2:56" x14ac:dyDescent="0.15">
      <c r="B645" s="605"/>
      <c r="G645" s="340"/>
      <c r="H645" s="340"/>
      <c r="I645" s="340"/>
      <c r="J645" s="340" t="s">
        <v>912</v>
      </c>
      <c r="K645" s="340"/>
      <c r="L645" s="340"/>
      <c r="M645" s="341"/>
      <c r="N645" s="341"/>
      <c r="O645" s="340" t="s">
        <v>933</v>
      </c>
      <c r="P645" s="340"/>
      <c r="Q645" s="340"/>
      <c r="R645" s="340" t="s">
        <v>612</v>
      </c>
      <c r="S645" s="340"/>
      <c r="T645" s="340"/>
      <c r="U645" s="340"/>
      <c r="V645" s="340"/>
      <c r="X645" s="340"/>
      <c r="BD645" s="292"/>
    </row>
    <row r="646" spans="2:56" x14ac:dyDescent="0.15">
      <c r="B646" s="605"/>
      <c r="G646" s="340"/>
      <c r="H646" s="340"/>
      <c r="I646" s="340"/>
      <c r="J646" s="340" t="s">
        <v>940</v>
      </c>
      <c r="K646" s="340"/>
      <c r="L646" s="340"/>
      <c r="M646" s="341"/>
      <c r="N646" s="341"/>
      <c r="O646" s="555">
        <v>0.18</v>
      </c>
      <c r="P646" s="340"/>
      <c r="Q646" s="340"/>
      <c r="R646" s="340" t="s">
        <v>868</v>
      </c>
      <c r="S646" s="340"/>
      <c r="T646" s="340"/>
      <c r="U646" s="340" t="s">
        <v>939</v>
      </c>
      <c r="V646" s="340"/>
      <c r="X646" s="340"/>
      <c r="BD646" s="292"/>
    </row>
    <row r="647" spans="2:56" x14ac:dyDescent="0.15">
      <c r="B647" s="605"/>
      <c r="D647" s="519">
        <v>3</v>
      </c>
      <c r="E647" s="519"/>
      <c r="F647" s="553" t="s">
        <v>864</v>
      </c>
      <c r="G647" s="519"/>
      <c r="H647" s="553" t="s">
        <v>865</v>
      </c>
      <c r="I647" s="519"/>
      <c r="J647" s="520" t="s">
        <v>937</v>
      </c>
      <c r="K647" s="519"/>
      <c r="L647" s="520"/>
      <c r="M647" s="520"/>
      <c r="N647" s="520"/>
      <c r="O647" s="552">
        <v>100</v>
      </c>
      <c r="P647" s="520"/>
      <c r="Q647" s="519"/>
      <c r="R647" s="520" t="s">
        <v>713</v>
      </c>
      <c r="S647" s="520"/>
      <c r="T647" s="520"/>
      <c r="U647" s="519"/>
      <c r="V647" s="519"/>
      <c r="W647" s="520"/>
      <c r="X647" s="520"/>
      <c r="Y647" s="519"/>
      <c r="Z647" s="520"/>
      <c r="AA647" s="519"/>
      <c r="AB647" s="519"/>
      <c r="AC647" s="519"/>
      <c r="AD647" s="519"/>
      <c r="AE647" s="519"/>
      <c r="AF647" s="519"/>
      <c r="AG647" s="519"/>
      <c r="AH647" s="519"/>
      <c r="AI647" s="519"/>
      <c r="AJ647" s="519"/>
      <c r="BD647" s="292"/>
    </row>
    <row r="648" spans="2:56" x14ac:dyDescent="0.15">
      <c r="B648" s="605"/>
      <c r="G648" s="340"/>
      <c r="H648" s="340"/>
      <c r="I648" s="340"/>
      <c r="J648" s="550" t="s">
        <v>508</v>
      </c>
      <c r="K648" s="550"/>
      <c r="L648" s="550"/>
      <c r="M648" s="551"/>
      <c r="N648" s="551"/>
      <c r="O648" s="550" t="s">
        <v>838</v>
      </c>
      <c r="P648" s="550"/>
      <c r="Q648" s="550"/>
      <c r="R648" s="550" t="s">
        <v>839</v>
      </c>
      <c r="S648" s="550"/>
      <c r="T648" s="550"/>
      <c r="U648" s="549" t="s">
        <v>840</v>
      </c>
      <c r="V648" s="549"/>
      <c r="W648" s="548"/>
      <c r="X648" s="549"/>
      <c r="Y648" s="548"/>
      <c r="Z648" s="548"/>
      <c r="AA648" s="548"/>
      <c r="AB648" s="548"/>
      <c r="AC648" s="548"/>
      <c r="AD648" s="548"/>
      <c r="AE648" s="548"/>
      <c r="BD648" s="292"/>
    </row>
    <row r="649" spans="2:56" x14ac:dyDescent="0.15">
      <c r="B649" s="605"/>
      <c r="G649" s="340"/>
      <c r="H649" s="340"/>
      <c r="I649" s="340"/>
      <c r="J649" s="340" t="s">
        <v>844</v>
      </c>
      <c r="K649" s="340"/>
      <c r="L649" s="340"/>
      <c r="M649" s="341"/>
      <c r="N649" s="341"/>
      <c r="O649" s="554">
        <v>98</v>
      </c>
      <c r="P649" s="340"/>
      <c r="Q649" s="340"/>
      <c r="R649" s="340" t="s">
        <v>612</v>
      </c>
      <c r="S649" s="340"/>
      <c r="T649" s="340"/>
      <c r="U649" s="340"/>
      <c r="V649" s="340"/>
      <c r="X649" s="340"/>
      <c r="BD649" s="292"/>
    </row>
    <row r="650" spans="2:56" x14ac:dyDescent="0.15">
      <c r="B650" s="605"/>
      <c r="G650" s="340"/>
      <c r="H650" s="340"/>
      <c r="I650" s="325" t="s">
        <v>842</v>
      </c>
      <c r="J650" s="340" t="s">
        <v>867</v>
      </c>
      <c r="K650" s="340"/>
      <c r="L650" s="340"/>
      <c r="M650" s="341"/>
      <c r="N650" s="341"/>
      <c r="O650" s="555">
        <v>0.15</v>
      </c>
      <c r="P650" s="340"/>
      <c r="Q650" s="340"/>
      <c r="R650" s="340" t="s">
        <v>868</v>
      </c>
      <c r="S650" s="340"/>
      <c r="T650" s="340"/>
      <c r="U650" s="340" t="s">
        <v>869</v>
      </c>
      <c r="V650" s="340"/>
      <c r="X650" s="340"/>
      <c r="BD650" s="292"/>
    </row>
    <row r="651" spans="2:56" x14ac:dyDescent="0.15">
      <c r="B651" s="605"/>
      <c r="G651" s="340"/>
      <c r="H651" s="340"/>
      <c r="I651" s="325" t="s">
        <v>842</v>
      </c>
      <c r="J651" s="340" t="s">
        <v>912</v>
      </c>
      <c r="K651" s="340"/>
      <c r="L651" s="340"/>
      <c r="M651" s="341"/>
      <c r="N651" s="341"/>
      <c r="O651" s="340" t="s">
        <v>933</v>
      </c>
      <c r="P651" s="340"/>
      <c r="Q651" s="340"/>
      <c r="R651" s="340" t="s">
        <v>612</v>
      </c>
      <c r="S651" s="340"/>
      <c r="T651" s="340"/>
      <c r="U651" s="340"/>
      <c r="V651" s="340"/>
      <c r="X651" s="340"/>
      <c r="BD651" s="292"/>
    </row>
    <row r="652" spans="2:56" x14ac:dyDescent="0.15">
      <c r="B652" s="605"/>
      <c r="G652" s="340"/>
      <c r="H652" s="340"/>
      <c r="I652" s="340"/>
      <c r="J652" s="340" t="s">
        <v>941</v>
      </c>
      <c r="K652" s="340"/>
      <c r="L652" s="340"/>
      <c r="M652" s="341"/>
      <c r="N652" s="341"/>
      <c r="O652" s="554">
        <v>97</v>
      </c>
      <c r="P652" s="340"/>
      <c r="Q652" s="340"/>
      <c r="R652" s="340" t="s">
        <v>612</v>
      </c>
      <c r="S652" s="340"/>
      <c r="T652" s="340"/>
      <c r="U652" s="340" t="s">
        <v>942</v>
      </c>
      <c r="V652" s="340"/>
      <c r="X652" s="340"/>
      <c r="BD652" s="292"/>
    </row>
    <row r="653" spans="2:56" x14ac:dyDescent="0.15">
      <c r="B653" s="605"/>
      <c r="D653" s="519">
        <v>4</v>
      </c>
      <c r="E653" s="519"/>
      <c r="F653" s="553" t="s">
        <v>864</v>
      </c>
      <c r="G653" s="519"/>
      <c r="H653" s="553" t="s">
        <v>865</v>
      </c>
      <c r="I653" s="519"/>
      <c r="J653" s="520" t="s">
        <v>937</v>
      </c>
      <c r="K653" s="519"/>
      <c r="L653" s="520"/>
      <c r="M653" s="520"/>
      <c r="N653" s="520"/>
      <c r="O653" s="552">
        <v>100</v>
      </c>
      <c r="P653" s="520"/>
      <c r="Q653" s="519"/>
      <c r="R653" s="520" t="s">
        <v>713</v>
      </c>
      <c r="S653" s="520"/>
      <c r="T653" s="520"/>
      <c r="U653" s="519"/>
      <c r="V653" s="519"/>
      <c r="W653" s="520"/>
      <c r="X653" s="520"/>
      <c r="Y653" s="519"/>
      <c r="Z653" s="520"/>
      <c r="AA653" s="519"/>
      <c r="AB653" s="519"/>
      <c r="AC653" s="519"/>
      <c r="AD653" s="519"/>
      <c r="AE653" s="519"/>
      <c r="AF653" s="519"/>
      <c r="AG653" s="519"/>
      <c r="AH653" s="519"/>
      <c r="AI653" s="519"/>
      <c r="AJ653" s="519"/>
      <c r="BD653" s="292"/>
    </row>
    <row r="654" spans="2:56" x14ac:dyDescent="0.15">
      <c r="B654" s="605"/>
      <c r="G654" s="340"/>
      <c r="H654" s="340"/>
      <c r="I654" s="340"/>
      <c r="J654" s="550" t="s">
        <v>508</v>
      </c>
      <c r="K654" s="550"/>
      <c r="L654" s="550"/>
      <c r="M654" s="551"/>
      <c r="N654" s="551"/>
      <c r="O654" s="550" t="s">
        <v>838</v>
      </c>
      <c r="P654" s="550"/>
      <c r="Q654" s="550"/>
      <c r="R654" s="550" t="s">
        <v>839</v>
      </c>
      <c r="S654" s="550"/>
      <c r="T654" s="550"/>
      <c r="U654" s="549" t="s">
        <v>840</v>
      </c>
      <c r="V654" s="549"/>
      <c r="W654" s="548"/>
      <c r="X654" s="549"/>
      <c r="Y654" s="548"/>
      <c r="Z654" s="548"/>
      <c r="AA654" s="548"/>
      <c r="AB654" s="548"/>
      <c r="AC654" s="548"/>
      <c r="AD654" s="548"/>
      <c r="AE654" s="548"/>
      <c r="BD654" s="292"/>
    </row>
    <row r="655" spans="2:56" x14ac:dyDescent="0.15">
      <c r="B655" s="605"/>
      <c r="G655" s="340"/>
      <c r="H655" s="340"/>
      <c r="I655" s="340"/>
      <c r="J655" s="340" t="s">
        <v>844</v>
      </c>
      <c r="K655" s="340"/>
      <c r="L655" s="340"/>
      <c r="M655" s="341"/>
      <c r="N655" s="341"/>
      <c r="O655" s="554">
        <v>98</v>
      </c>
      <c r="P655" s="340"/>
      <c r="Q655" s="340"/>
      <c r="R655" s="340" t="s">
        <v>612</v>
      </c>
      <c r="S655" s="340"/>
      <c r="T655" s="340"/>
      <c r="U655" s="340"/>
      <c r="V655" s="340"/>
      <c r="X655" s="340"/>
      <c r="BD655" s="292"/>
    </row>
    <row r="656" spans="2:56" x14ac:dyDescent="0.15">
      <c r="B656" s="605"/>
      <c r="G656" s="340"/>
      <c r="H656" s="340"/>
      <c r="I656" s="325" t="s">
        <v>842</v>
      </c>
      <c r="J656" s="340" t="s">
        <v>867</v>
      </c>
      <c r="K656" s="340"/>
      <c r="L656" s="340"/>
      <c r="M656" s="341"/>
      <c r="N656" s="341"/>
      <c r="O656" s="555">
        <v>0.15</v>
      </c>
      <c r="P656" s="340"/>
      <c r="Q656" s="340"/>
      <c r="R656" s="340" t="s">
        <v>868</v>
      </c>
      <c r="S656" s="340"/>
      <c r="T656" s="340"/>
      <c r="U656" s="340" t="s">
        <v>869</v>
      </c>
      <c r="V656" s="340"/>
      <c r="X656" s="340"/>
      <c r="BD656" s="292"/>
    </row>
    <row r="657" spans="2:56" x14ac:dyDescent="0.15">
      <c r="B657" s="605"/>
      <c r="G657" s="340"/>
      <c r="H657" s="340"/>
      <c r="I657" s="325" t="s">
        <v>842</v>
      </c>
      <c r="J657" s="340" t="s">
        <v>912</v>
      </c>
      <c r="K657" s="340"/>
      <c r="L657" s="340"/>
      <c r="M657" s="341"/>
      <c r="N657" s="341"/>
      <c r="O657" s="340" t="s">
        <v>933</v>
      </c>
      <c r="P657" s="340"/>
      <c r="Q657" s="340"/>
      <c r="R657" s="340" t="s">
        <v>612</v>
      </c>
      <c r="S657" s="340"/>
      <c r="T657" s="340"/>
      <c r="U657" s="340"/>
      <c r="V657" s="340"/>
      <c r="X657" s="340"/>
      <c r="BD657" s="292"/>
    </row>
    <row r="658" spans="2:56" x14ac:dyDescent="0.15">
      <c r="B658" s="605"/>
      <c r="G658" s="340"/>
      <c r="H658" s="340"/>
      <c r="I658" s="340"/>
      <c r="J658" s="340" t="s">
        <v>941</v>
      </c>
      <c r="K658" s="340"/>
      <c r="L658" s="340"/>
      <c r="M658" s="341"/>
      <c r="N658" s="341"/>
      <c r="O658" s="554">
        <v>99</v>
      </c>
      <c r="P658" s="340"/>
      <c r="Q658" s="340"/>
      <c r="R658" s="340" t="s">
        <v>612</v>
      </c>
      <c r="S658" s="340"/>
      <c r="T658" s="340"/>
      <c r="U658" s="340" t="s">
        <v>943</v>
      </c>
      <c r="V658" s="340"/>
      <c r="X658" s="340"/>
      <c r="BD658" s="292"/>
    </row>
    <row r="659" spans="2:56" x14ac:dyDescent="0.15">
      <c r="B659" s="605"/>
      <c r="D659" s="325"/>
      <c r="F659" s="325"/>
      <c r="I659" s="325"/>
      <c r="M659" s="325"/>
      <c r="BD659" s="292"/>
    </row>
    <row r="660" spans="2:56" x14ac:dyDescent="0.15">
      <c r="B660" s="605"/>
      <c r="D660" s="325"/>
      <c r="F660" s="325"/>
      <c r="I660" s="325"/>
      <c r="M660" s="325"/>
      <c r="BD660" s="292"/>
    </row>
    <row r="661" spans="2:56" x14ac:dyDescent="0.15">
      <c r="B661" s="605"/>
      <c r="D661" s="340" t="s">
        <v>846</v>
      </c>
      <c r="E661" s="340"/>
      <c r="F661" s="340"/>
      <c r="G661" s="340"/>
      <c r="H661" s="340"/>
      <c r="I661" s="340"/>
      <c r="J661" s="340"/>
      <c r="K661" s="340"/>
      <c r="L661" s="340"/>
      <c r="M661" s="340"/>
      <c r="N661" s="340"/>
      <c r="O661" s="340"/>
      <c r="P661" s="340"/>
      <c r="Q661" s="340"/>
      <c r="R661" s="340"/>
      <c r="S661" s="340"/>
      <c r="U661" s="340"/>
      <c r="BD661" s="292"/>
    </row>
    <row r="662" spans="2:56" x14ac:dyDescent="0.15">
      <c r="B662" s="605"/>
      <c r="D662" s="325"/>
      <c r="F662" s="325"/>
      <c r="I662" s="325"/>
      <c r="M662" s="325"/>
      <c r="AF662" s="342"/>
      <c r="AG662" s="342" t="s">
        <v>847</v>
      </c>
      <c r="BD662" s="292"/>
    </row>
    <row r="663" spans="2:56" x14ac:dyDescent="0.15">
      <c r="B663" s="605"/>
      <c r="D663" s="291" t="s">
        <v>549</v>
      </c>
      <c r="M663" s="291" t="s">
        <v>944</v>
      </c>
      <c r="W663" s="291" t="s">
        <v>551</v>
      </c>
      <c r="AH663" s="291" t="s">
        <v>858</v>
      </c>
      <c r="BD663" s="292"/>
    </row>
    <row r="664" spans="2:56" x14ac:dyDescent="0.15">
      <c r="B664" s="605"/>
      <c r="D664" s="1038" t="s">
        <v>552</v>
      </c>
      <c r="E664" s="1039"/>
      <c r="F664" s="1039"/>
      <c r="G664" s="1039"/>
      <c r="H664" s="1039"/>
      <c r="I664" s="1039"/>
      <c r="J664" s="1039"/>
      <c r="K664" s="1040"/>
      <c r="M664" s="1038" t="s">
        <v>553</v>
      </c>
      <c r="N664" s="1039"/>
      <c r="O664" s="1039"/>
      <c r="P664" s="1039"/>
      <c r="Q664" s="1039"/>
      <c r="R664" s="1039"/>
      <c r="S664" s="1039"/>
      <c r="T664" s="1039"/>
      <c r="U664" s="1040"/>
      <c r="W664" s="1038" t="s">
        <v>137</v>
      </c>
      <c r="X664" s="1039"/>
      <c r="Y664" s="1039"/>
      <c r="Z664" s="1039"/>
      <c r="AA664" s="1039"/>
      <c r="AB664" s="1039"/>
      <c r="AC664" s="1039"/>
      <c r="AD664" s="1040"/>
      <c r="AH664" s="1038" t="s">
        <v>35</v>
      </c>
      <c r="AI664" s="1039"/>
      <c r="AJ664" s="1039"/>
      <c r="AK664" s="1039"/>
      <c r="AL664" s="1039"/>
      <c r="AM664" s="1039"/>
      <c r="AN664" s="1039"/>
      <c r="AO664" s="1040"/>
      <c r="BD664" s="292"/>
    </row>
    <row r="665" spans="2:56" x14ac:dyDescent="0.15">
      <c r="B665" s="605"/>
      <c r="D665" s="605"/>
      <c r="E665" s="291" t="s">
        <v>248</v>
      </c>
      <c r="J665" s="325" t="s">
        <v>556</v>
      </c>
      <c r="K665" s="292"/>
      <c r="M665" s="605"/>
      <c r="N665" s="291" t="s">
        <v>248</v>
      </c>
      <c r="T665" s="325" t="s">
        <v>556</v>
      </c>
      <c r="U665" s="292"/>
      <c r="W665" s="605"/>
      <c r="X665" s="291" t="s">
        <v>248</v>
      </c>
      <c r="AC665" s="325" t="s">
        <v>556</v>
      </c>
      <c r="AD665" s="292"/>
      <c r="AH665" s="605"/>
      <c r="AI665" s="291" t="s">
        <v>248</v>
      </c>
      <c r="AN665" s="325" t="s">
        <v>556</v>
      </c>
      <c r="AO665" s="292"/>
      <c r="BD665" s="292"/>
    </row>
    <row r="666" spans="2:56" x14ac:dyDescent="0.15">
      <c r="B666" s="605"/>
      <c r="D666" s="605"/>
      <c r="E666" s="291" t="s">
        <v>259</v>
      </c>
      <c r="J666" s="291">
        <v>1</v>
      </c>
      <c r="K666" s="292"/>
      <c r="M666" s="605"/>
      <c r="N666" s="291" t="s">
        <v>244</v>
      </c>
      <c r="T666" s="291">
        <v>1</v>
      </c>
      <c r="U666" s="292"/>
      <c r="W666" s="605"/>
      <c r="X666" s="291" t="s">
        <v>244</v>
      </c>
      <c r="AC666" s="291">
        <v>1</v>
      </c>
      <c r="AD666" s="292"/>
      <c r="AH666" s="605"/>
      <c r="AI666" s="291" t="s">
        <v>244</v>
      </c>
      <c r="AN666" s="502">
        <v>3</v>
      </c>
      <c r="AO666" s="292"/>
      <c r="BD666" s="292"/>
    </row>
    <row r="667" spans="2:56" x14ac:dyDescent="0.15">
      <c r="B667" s="605"/>
      <c r="D667" s="1041"/>
      <c r="E667" s="1042"/>
      <c r="F667" s="1042"/>
      <c r="G667" s="1042"/>
      <c r="H667" s="1042"/>
      <c r="I667" s="1042"/>
      <c r="J667" s="1042"/>
      <c r="K667" s="1043"/>
      <c r="M667" s="605"/>
      <c r="N667" s="291" t="s">
        <v>337</v>
      </c>
      <c r="T667" s="291">
        <v>2</v>
      </c>
      <c r="U667" s="292"/>
      <c r="W667" s="605"/>
      <c r="X667" s="291" t="s">
        <v>261</v>
      </c>
      <c r="AC667" s="291">
        <v>3</v>
      </c>
      <c r="AD667" s="292"/>
      <c r="AH667" s="605"/>
      <c r="AI667" s="291" t="s">
        <v>263</v>
      </c>
      <c r="AN667" s="503">
        <v>6</v>
      </c>
      <c r="AO667" s="292"/>
      <c r="AP667" s="343" t="s">
        <v>628</v>
      </c>
      <c r="BD667" s="292"/>
    </row>
    <row r="668" spans="2:56" x14ac:dyDescent="0.15">
      <c r="B668" s="605"/>
      <c r="M668" s="605"/>
      <c r="N668" s="291" t="s">
        <v>350</v>
      </c>
      <c r="T668" s="504">
        <v>196</v>
      </c>
      <c r="U668" s="292"/>
      <c r="W668" s="605"/>
      <c r="X668" s="291" t="s">
        <v>560</v>
      </c>
      <c r="AC668" s="291">
        <v>1</v>
      </c>
      <c r="AD668" s="292" t="s">
        <v>849</v>
      </c>
      <c r="AH668" s="605"/>
      <c r="AI668" s="291" t="s">
        <v>270</v>
      </c>
      <c r="AN668" s="501">
        <v>0</v>
      </c>
      <c r="AO668" s="292"/>
      <c r="AP668" s="343" t="s">
        <v>655</v>
      </c>
      <c r="BD668" s="292"/>
    </row>
    <row r="669" spans="2:56" x14ac:dyDescent="0.15">
      <c r="B669" s="605"/>
      <c r="M669" s="605"/>
      <c r="N669" s="291" t="s">
        <v>358</v>
      </c>
      <c r="T669" s="291">
        <v>100</v>
      </c>
      <c r="U669" s="292"/>
      <c r="W669" s="605"/>
      <c r="X669" s="291" t="s">
        <v>282</v>
      </c>
      <c r="AC669" s="291">
        <v>0</v>
      </c>
      <c r="AD669" s="292"/>
      <c r="AH669" s="605"/>
      <c r="AI669" s="291" t="s">
        <v>276</v>
      </c>
      <c r="AN669" s="501">
        <v>98</v>
      </c>
      <c r="AO669" s="292"/>
      <c r="AP669" s="343" t="s">
        <v>860</v>
      </c>
      <c r="BD669" s="292"/>
    </row>
    <row r="670" spans="2:56" x14ac:dyDescent="0.15">
      <c r="B670" s="605"/>
      <c r="M670" s="1041"/>
      <c r="N670" s="1042" t="s">
        <v>740</v>
      </c>
      <c r="O670" s="1042"/>
      <c r="P670" s="1042"/>
      <c r="Q670" s="1042"/>
      <c r="R670" s="1042"/>
      <c r="S670" s="1042"/>
      <c r="T670" s="1048">
        <v>98</v>
      </c>
      <c r="U670" s="1043"/>
      <c r="W670" s="1041"/>
      <c r="X670" s="1042" t="s">
        <v>295</v>
      </c>
      <c r="Y670" s="1042"/>
      <c r="Z670" s="1042"/>
      <c r="AA670" s="1042"/>
      <c r="AB670" s="1042"/>
      <c r="AC670" s="1042">
        <v>0</v>
      </c>
      <c r="AD670" s="1043"/>
      <c r="AH670" s="605"/>
      <c r="AI670" s="291" t="s">
        <v>315</v>
      </c>
      <c r="AN670" s="503">
        <v>91141</v>
      </c>
      <c r="AO670" s="292"/>
      <c r="AP670" s="343" t="s">
        <v>861</v>
      </c>
      <c r="BD670" s="292"/>
    </row>
    <row r="671" spans="2:56" x14ac:dyDescent="0.15">
      <c r="B671" s="605"/>
      <c r="T671" s="343" t="s">
        <v>900</v>
      </c>
      <c r="AH671" s="1041"/>
      <c r="AI671" s="1042" t="s">
        <v>853</v>
      </c>
      <c r="AJ671" s="1042"/>
      <c r="AK671" s="1042"/>
      <c r="AL671" s="1042"/>
      <c r="AM671" s="1042"/>
      <c r="AN671" s="1079">
        <v>0</v>
      </c>
      <c r="AO671" s="1043"/>
      <c r="BD671" s="292"/>
    </row>
    <row r="672" spans="2:56" x14ac:dyDescent="0.15">
      <c r="B672" s="605"/>
      <c r="D672" s="325"/>
      <c r="F672" s="325"/>
      <c r="I672" s="325"/>
      <c r="T672" s="343" t="s">
        <v>901</v>
      </c>
      <c r="BD672" s="292"/>
    </row>
    <row r="673" spans="1:56" x14ac:dyDescent="0.15">
      <c r="B673" s="605"/>
      <c r="S673" s="325"/>
      <c r="BD673" s="292"/>
    </row>
    <row r="674" spans="1:56" x14ac:dyDescent="0.15">
      <c r="B674" s="605"/>
      <c r="D674" s="325"/>
      <c r="F674" s="325"/>
      <c r="I674" s="325"/>
      <c r="W674" s="291" t="s">
        <v>551</v>
      </c>
      <c r="AH674" s="291" t="s">
        <v>915</v>
      </c>
      <c r="BD674" s="292"/>
    </row>
    <row r="675" spans="1:56" x14ac:dyDescent="0.15">
      <c r="A675" s="339"/>
      <c r="B675" s="605"/>
      <c r="W675" s="1038" t="s">
        <v>137</v>
      </c>
      <c r="X675" s="1039"/>
      <c r="Y675" s="1039"/>
      <c r="Z675" s="1039"/>
      <c r="AA675" s="1039"/>
      <c r="AB675" s="1039"/>
      <c r="AC675" s="1039"/>
      <c r="AD675" s="1040"/>
      <c r="AH675" s="1038" t="s">
        <v>35</v>
      </c>
      <c r="AI675" s="1039"/>
      <c r="AJ675" s="1039"/>
      <c r="AK675" s="1039"/>
      <c r="AL675" s="1039"/>
      <c r="AM675" s="1039"/>
      <c r="AN675" s="1039"/>
      <c r="AO675" s="1040"/>
      <c r="BD675" s="292"/>
    </row>
    <row r="676" spans="1:56" x14ac:dyDescent="0.15">
      <c r="A676" s="339"/>
      <c r="B676" s="605"/>
      <c r="W676" s="605"/>
      <c r="X676" s="291" t="s">
        <v>248</v>
      </c>
      <c r="AC676" s="325" t="s">
        <v>556</v>
      </c>
      <c r="AD676" s="292"/>
      <c r="AH676" s="605"/>
      <c r="AI676" s="291" t="s">
        <v>248</v>
      </c>
      <c r="AN676" s="325" t="s">
        <v>556</v>
      </c>
      <c r="AO676" s="292"/>
      <c r="BD676" s="292"/>
    </row>
    <row r="677" spans="1:56" x14ac:dyDescent="0.15">
      <c r="A677" s="339"/>
      <c r="B677" s="605"/>
      <c r="W677" s="605"/>
      <c r="X677" s="291" t="s">
        <v>244</v>
      </c>
      <c r="AC677" s="291">
        <v>1</v>
      </c>
      <c r="AD677" s="292"/>
      <c r="AH677" s="605"/>
      <c r="AI677" s="291" t="s">
        <v>244</v>
      </c>
      <c r="AN677" s="502">
        <v>4</v>
      </c>
      <c r="AO677" s="292"/>
      <c r="BD677" s="292"/>
    </row>
    <row r="678" spans="1:56" x14ac:dyDescent="0.15">
      <c r="A678" s="339"/>
      <c r="B678" s="605"/>
      <c r="W678" s="605"/>
      <c r="X678" s="291" t="s">
        <v>261</v>
      </c>
      <c r="AC678" s="291">
        <v>4</v>
      </c>
      <c r="AD678" s="292"/>
      <c r="AH678" s="605"/>
      <c r="AI678" s="291" t="s">
        <v>263</v>
      </c>
      <c r="AN678" s="503">
        <v>5</v>
      </c>
      <c r="AO678" s="292"/>
      <c r="AP678" s="343" t="s">
        <v>916</v>
      </c>
      <c r="BD678" s="292"/>
    </row>
    <row r="679" spans="1:56" x14ac:dyDescent="0.15">
      <c r="A679" s="339"/>
      <c r="B679" s="605"/>
      <c r="W679" s="605"/>
      <c r="X679" s="291" t="s">
        <v>560</v>
      </c>
      <c r="AC679" s="291">
        <v>1</v>
      </c>
      <c r="AD679" s="292" t="s">
        <v>849</v>
      </c>
      <c r="AH679" s="605"/>
      <c r="AI679" s="291" t="s">
        <v>270</v>
      </c>
      <c r="AN679" s="501">
        <v>-12</v>
      </c>
      <c r="AO679" s="292"/>
      <c r="AP679" s="343"/>
      <c r="BD679" s="292"/>
    </row>
    <row r="680" spans="1:56" x14ac:dyDescent="0.15">
      <c r="A680" s="339"/>
      <c r="B680" s="605"/>
      <c r="W680" s="605"/>
      <c r="X680" s="291" t="s">
        <v>282</v>
      </c>
      <c r="AC680" s="504">
        <v>-6</v>
      </c>
      <c r="AD680" s="292"/>
      <c r="AE680" s="343"/>
      <c r="AH680" s="605"/>
      <c r="AI680" s="291" t="s">
        <v>276</v>
      </c>
      <c r="AN680" s="501">
        <v>0</v>
      </c>
      <c r="AO680" s="292"/>
      <c r="AP680" s="343" t="s">
        <v>872</v>
      </c>
      <c r="BD680" s="292"/>
    </row>
    <row r="681" spans="1:56" x14ac:dyDescent="0.15">
      <c r="A681" s="339"/>
      <c r="B681" s="605"/>
      <c r="W681" s="1041"/>
      <c r="X681" s="1042" t="s">
        <v>295</v>
      </c>
      <c r="Y681" s="1042"/>
      <c r="Z681" s="1042"/>
      <c r="AA681" s="1042"/>
      <c r="AB681" s="1042"/>
      <c r="AC681" s="1048">
        <v>2</v>
      </c>
      <c r="AD681" s="1043"/>
      <c r="AE681" s="343"/>
      <c r="AH681" s="605"/>
      <c r="AI681" s="291" t="s">
        <v>315</v>
      </c>
      <c r="AN681" s="503">
        <v>91316</v>
      </c>
      <c r="AO681" s="292"/>
      <c r="AP681" s="343"/>
      <c r="BD681" s="292"/>
    </row>
    <row r="682" spans="1:56" x14ac:dyDescent="0.15">
      <c r="A682" s="339"/>
      <c r="B682" s="605"/>
      <c r="AH682" s="1041"/>
      <c r="AI682" s="1042" t="s">
        <v>853</v>
      </c>
      <c r="AJ682" s="1042"/>
      <c r="AK682" s="1042"/>
      <c r="AL682" s="1042"/>
      <c r="AM682" s="1042"/>
      <c r="AN682" s="1079">
        <v>0</v>
      </c>
      <c r="AO682" s="1043"/>
      <c r="BD682" s="292"/>
    </row>
    <row r="683" spans="1:56" x14ac:dyDescent="0.15">
      <c r="B683" s="605"/>
      <c r="D683" s="325"/>
      <c r="F683" s="325"/>
      <c r="I683" s="325"/>
      <c r="M683" s="325"/>
      <c r="BD683" s="292"/>
    </row>
    <row r="684" spans="1:56" x14ac:dyDescent="0.15">
      <c r="B684" s="605"/>
      <c r="D684" s="325"/>
      <c r="F684" s="325"/>
      <c r="I684" s="325"/>
      <c r="W684" s="291" t="s">
        <v>551</v>
      </c>
      <c r="AH684" s="291" t="s">
        <v>870</v>
      </c>
      <c r="BD684" s="292"/>
    </row>
    <row r="685" spans="1:56" x14ac:dyDescent="0.15">
      <c r="A685" s="339"/>
      <c r="B685" s="605"/>
      <c r="W685" s="1038" t="s">
        <v>137</v>
      </c>
      <c r="X685" s="1039"/>
      <c r="Y685" s="1039"/>
      <c r="Z685" s="1039"/>
      <c r="AA685" s="1039"/>
      <c r="AB685" s="1039"/>
      <c r="AC685" s="1039"/>
      <c r="AD685" s="1040"/>
      <c r="AH685" s="1038" t="s">
        <v>35</v>
      </c>
      <c r="AI685" s="1039"/>
      <c r="AJ685" s="1039"/>
      <c r="AK685" s="1039"/>
      <c r="AL685" s="1039"/>
      <c r="AM685" s="1039"/>
      <c r="AN685" s="1039"/>
      <c r="AO685" s="1040"/>
      <c r="BD685" s="292"/>
    </row>
    <row r="686" spans="1:56" x14ac:dyDescent="0.15">
      <c r="A686" s="339"/>
      <c r="B686" s="605"/>
      <c r="W686" s="605"/>
      <c r="X686" s="291" t="s">
        <v>248</v>
      </c>
      <c r="AC686" s="325" t="s">
        <v>556</v>
      </c>
      <c r="AD686" s="292"/>
      <c r="AH686" s="605"/>
      <c r="AI686" s="291" t="s">
        <v>248</v>
      </c>
      <c r="AN686" s="325" t="s">
        <v>556</v>
      </c>
      <c r="AO686" s="292"/>
      <c r="BD686" s="292"/>
    </row>
    <row r="687" spans="1:56" x14ac:dyDescent="0.15">
      <c r="A687" s="339"/>
      <c r="B687" s="605"/>
      <c r="W687" s="605"/>
      <c r="X687" s="291" t="s">
        <v>244</v>
      </c>
      <c r="AC687" s="291">
        <v>1</v>
      </c>
      <c r="AD687" s="292"/>
      <c r="AH687" s="605"/>
      <c r="AI687" s="291" t="s">
        <v>244</v>
      </c>
      <c r="AN687" s="502">
        <v>5</v>
      </c>
      <c r="AO687" s="292"/>
      <c r="BD687" s="292"/>
    </row>
    <row r="688" spans="1:56" x14ac:dyDescent="0.15">
      <c r="A688" s="339"/>
      <c r="B688" s="605"/>
      <c r="W688" s="605"/>
      <c r="X688" s="291" t="s">
        <v>261</v>
      </c>
      <c r="AC688" s="291">
        <v>5</v>
      </c>
      <c r="AD688" s="292"/>
      <c r="AH688" s="605"/>
      <c r="AI688" s="291" t="s">
        <v>263</v>
      </c>
      <c r="AN688" s="503">
        <v>2</v>
      </c>
      <c r="AO688" s="292"/>
      <c r="AP688" s="343" t="s">
        <v>871</v>
      </c>
      <c r="BD688" s="292"/>
    </row>
    <row r="689" spans="1:56" x14ac:dyDescent="0.15">
      <c r="A689" s="339"/>
      <c r="B689" s="605"/>
      <c r="W689" s="605"/>
      <c r="X689" s="291" t="s">
        <v>560</v>
      </c>
      <c r="AC689" s="291">
        <v>1</v>
      </c>
      <c r="AD689" s="292" t="s">
        <v>849</v>
      </c>
      <c r="AH689" s="605"/>
      <c r="AI689" s="291" t="s">
        <v>270</v>
      </c>
      <c r="AN689" s="501">
        <v>-60</v>
      </c>
      <c r="AO689" s="292"/>
      <c r="AP689" s="343" t="s">
        <v>902</v>
      </c>
      <c r="BD689" s="292"/>
    </row>
    <row r="690" spans="1:56" x14ac:dyDescent="0.15">
      <c r="A690" s="339"/>
      <c r="B690" s="605"/>
      <c r="W690" s="605"/>
      <c r="X690" s="291" t="s">
        <v>282</v>
      </c>
      <c r="AC690" s="504">
        <v>-30</v>
      </c>
      <c r="AD690" s="292"/>
      <c r="AE690" s="343"/>
      <c r="AH690" s="605"/>
      <c r="AI690" s="291" t="s">
        <v>276</v>
      </c>
      <c r="AN690" s="501">
        <v>0.15</v>
      </c>
      <c r="AO690" s="292"/>
      <c r="AP690" s="343" t="s">
        <v>873</v>
      </c>
      <c r="BD690" s="292"/>
    </row>
    <row r="691" spans="1:56" x14ac:dyDescent="0.15">
      <c r="A691" s="339"/>
      <c r="B691" s="605"/>
      <c r="W691" s="1041"/>
      <c r="X691" s="1042" t="s">
        <v>295</v>
      </c>
      <c r="Y691" s="1042"/>
      <c r="Z691" s="1042"/>
      <c r="AA691" s="1042"/>
      <c r="AB691" s="1042"/>
      <c r="AC691" s="1048">
        <v>2</v>
      </c>
      <c r="AD691" s="1043"/>
      <c r="AE691" s="343"/>
      <c r="AH691" s="605"/>
      <c r="AI691" s="291" t="s">
        <v>315</v>
      </c>
      <c r="AN691" s="503">
        <v>91326</v>
      </c>
      <c r="AO691" s="292"/>
      <c r="AP691" s="343" t="s">
        <v>874</v>
      </c>
      <c r="BD691" s="292"/>
    </row>
    <row r="692" spans="1:56" x14ac:dyDescent="0.15">
      <c r="A692" s="339"/>
      <c r="B692" s="605"/>
      <c r="AH692" s="1041"/>
      <c r="AI692" s="1042" t="s">
        <v>853</v>
      </c>
      <c r="AJ692" s="1042"/>
      <c r="AK692" s="1042"/>
      <c r="AL692" s="1042"/>
      <c r="AM692" s="1042"/>
      <c r="AN692" s="1079">
        <v>0</v>
      </c>
      <c r="AO692" s="1043"/>
      <c r="BD692" s="292"/>
    </row>
    <row r="693" spans="1:56" x14ac:dyDescent="0.15">
      <c r="B693" s="605"/>
      <c r="D693" s="325"/>
      <c r="F693" s="325"/>
      <c r="I693" s="325"/>
      <c r="M693" s="325"/>
      <c r="BD693" s="292"/>
    </row>
    <row r="694" spans="1:56" x14ac:dyDescent="0.15">
      <c r="B694" s="605"/>
      <c r="D694" s="325"/>
      <c r="F694" s="325"/>
      <c r="I694" s="325"/>
      <c r="W694" s="291" t="s">
        <v>551</v>
      </c>
      <c r="AH694" s="291" t="s">
        <v>945</v>
      </c>
      <c r="BD694" s="292"/>
    </row>
    <row r="695" spans="1:56" x14ac:dyDescent="0.15">
      <c r="A695" s="339"/>
      <c r="B695" s="605"/>
      <c r="W695" s="1038" t="s">
        <v>137</v>
      </c>
      <c r="X695" s="1039"/>
      <c r="Y695" s="1039"/>
      <c r="Z695" s="1039"/>
      <c r="AA695" s="1039"/>
      <c r="AB695" s="1039"/>
      <c r="AC695" s="1039"/>
      <c r="AD695" s="1040"/>
      <c r="AH695" s="1038" t="s">
        <v>35</v>
      </c>
      <c r="AI695" s="1039"/>
      <c r="AJ695" s="1039"/>
      <c r="AK695" s="1039"/>
      <c r="AL695" s="1039"/>
      <c r="AM695" s="1039"/>
      <c r="AN695" s="1039"/>
      <c r="AO695" s="1040"/>
      <c r="BD695" s="292"/>
    </row>
    <row r="696" spans="1:56" x14ac:dyDescent="0.15">
      <c r="A696" s="339"/>
      <c r="B696" s="605"/>
      <c r="W696" s="605"/>
      <c r="X696" s="291" t="s">
        <v>248</v>
      </c>
      <c r="AC696" s="325" t="s">
        <v>556</v>
      </c>
      <c r="AD696" s="292"/>
      <c r="AH696" s="605"/>
      <c r="AI696" s="291" t="s">
        <v>248</v>
      </c>
      <c r="AN696" s="325" t="s">
        <v>556</v>
      </c>
      <c r="AO696" s="292"/>
      <c r="BD696" s="292"/>
    </row>
    <row r="697" spans="1:56" x14ac:dyDescent="0.15">
      <c r="A697" s="339"/>
      <c r="B697" s="605"/>
      <c r="W697" s="605"/>
      <c r="X697" s="291" t="s">
        <v>244</v>
      </c>
      <c r="AC697" s="291">
        <v>1</v>
      </c>
      <c r="AD697" s="292"/>
      <c r="AH697" s="605"/>
      <c r="AI697" s="291" t="s">
        <v>244</v>
      </c>
      <c r="AN697" s="502">
        <v>6</v>
      </c>
      <c r="AO697" s="292"/>
      <c r="BD697" s="292"/>
    </row>
    <row r="698" spans="1:56" x14ac:dyDescent="0.15">
      <c r="A698" s="339"/>
      <c r="B698" s="605"/>
      <c r="W698" s="605"/>
      <c r="X698" s="291" t="s">
        <v>261</v>
      </c>
      <c r="AC698" s="291">
        <v>6</v>
      </c>
      <c r="AD698" s="292"/>
      <c r="AH698" s="605"/>
      <c r="AI698" s="291" t="s">
        <v>263</v>
      </c>
      <c r="AN698" s="503">
        <v>1</v>
      </c>
      <c r="AO698" s="292"/>
      <c r="AP698" s="343" t="s">
        <v>885</v>
      </c>
      <c r="BD698" s="292"/>
    </row>
    <row r="699" spans="1:56" x14ac:dyDescent="0.15">
      <c r="A699" s="339"/>
      <c r="B699" s="605"/>
      <c r="W699" s="605"/>
      <c r="X699" s="291" t="s">
        <v>560</v>
      </c>
      <c r="AC699" s="291">
        <v>1</v>
      </c>
      <c r="AD699" s="292" t="s">
        <v>849</v>
      </c>
      <c r="AH699" s="605"/>
      <c r="AI699" s="291" t="s">
        <v>270</v>
      </c>
      <c r="AN699" s="501">
        <v>-20</v>
      </c>
      <c r="AO699" s="292"/>
      <c r="AP699" s="343" t="s">
        <v>946</v>
      </c>
      <c r="BD699" s="292"/>
    </row>
    <row r="700" spans="1:56" x14ac:dyDescent="0.15">
      <c r="A700" s="339"/>
      <c r="B700" s="605"/>
      <c r="W700" s="605"/>
      <c r="X700" s="291" t="s">
        <v>282</v>
      </c>
      <c r="AC700" s="504">
        <v>-20</v>
      </c>
      <c r="AD700" s="292"/>
      <c r="AE700" s="343"/>
      <c r="AH700" s="605"/>
      <c r="AI700" s="291" t="s">
        <v>276</v>
      </c>
      <c r="AN700" s="501">
        <v>10</v>
      </c>
      <c r="AO700" s="292"/>
      <c r="AP700" s="343" t="s">
        <v>947</v>
      </c>
      <c r="BD700" s="292"/>
    </row>
    <row r="701" spans="1:56" x14ac:dyDescent="0.15">
      <c r="A701" s="339"/>
      <c r="B701" s="605"/>
      <c r="W701" s="1041"/>
      <c r="X701" s="1042" t="s">
        <v>295</v>
      </c>
      <c r="Y701" s="1042"/>
      <c r="Z701" s="1042"/>
      <c r="AA701" s="1042"/>
      <c r="AB701" s="1042"/>
      <c r="AC701" s="1048">
        <v>2</v>
      </c>
      <c r="AD701" s="1043"/>
      <c r="AE701" s="343"/>
      <c r="AH701" s="605"/>
      <c r="AI701" s="291" t="s">
        <v>315</v>
      </c>
      <c r="AN701" s="503">
        <v>91220</v>
      </c>
      <c r="AO701" s="292"/>
      <c r="AP701" s="343" t="s">
        <v>631</v>
      </c>
      <c r="BD701" s="292"/>
    </row>
    <row r="702" spans="1:56" x14ac:dyDescent="0.15">
      <c r="A702" s="339"/>
      <c r="B702" s="605"/>
      <c r="AH702" s="1041"/>
      <c r="AI702" s="1042" t="s">
        <v>853</v>
      </c>
      <c r="AJ702" s="1042"/>
      <c r="AK702" s="1042"/>
      <c r="AL702" s="1042"/>
      <c r="AM702" s="1042"/>
      <c r="AN702" s="1079">
        <v>0</v>
      </c>
      <c r="AO702" s="1043"/>
      <c r="BD702" s="292"/>
    </row>
    <row r="703" spans="1:56" x14ac:dyDescent="0.15">
      <c r="B703" s="605"/>
      <c r="D703" s="325"/>
      <c r="F703" s="325"/>
      <c r="I703" s="325"/>
      <c r="M703" s="325"/>
      <c r="BD703" s="292"/>
    </row>
    <row r="704" spans="1:56" x14ac:dyDescent="0.15">
      <c r="B704" s="605"/>
      <c r="D704" s="325"/>
      <c r="F704" s="325"/>
      <c r="I704" s="325"/>
      <c r="M704" s="291" t="s">
        <v>944</v>
      </c>
      <c r="W704" s="291" t="s">
        <v>551</v>
      </c>
      <c r="BD704" s="292"/>
    </row>
    <row r="705" spans="1:56" x14ac:dyDescent="0.15">
      <c r="A705" s="339"/>
      <c r="B705" s="605"/>
      <c r="M705" s="1038" t="s">
        <v>553</v>
      </c>
      <c r="N705" s="1039"/>
      <c r="O705" s="1039"/>
      <c r="P705" s="1039"/>
      <c r="Q705" s="1039"/>
      <c r="R705" s="1039"/>
      <c r="S705" s="1039"/>
      <c r="T705" s="1039"/>
      <c r="U705" s="1040"/>
      <c r="W705" s="1038" t="s">
        <v>137</v>
      </c>
      <c r="X705" s="1039"/>
      <c r="Y705" s="1039"/>
      <c r="Z705" s="1039"/>
      <c r="AA705" s="1039"/>
      <c r="AB705" s="1039"/>
      <c r="AC705" s="1039"/>
      <c r="AD705" s="1040"/>
      <c r="BD705" s="292"/>
    </row>
    <row r="706" spans="1:56" x14ac:dyDescent="0.15">
      <c r="A706" s="339"/>
      <c r="B706" s="605"/>
      <c r="M706" s="605"/>
      <c r="N706" s="291" t="s">
        <v>248</v>
      </c>
      <c r="T706" s="325" t="s">
        <v>556</v>
      </c>
      <c r="U706" s="292"/>
      <c r="W706" s="605"/>
      <c r="X706" s="291" t="s">
        <v>248</v>
      </c>
      <c r="AC706" s="325" t="s">
        <v>556</v>
      </c>
      <c r="AD706" s="292"/>
      <c r="BD706" s="292"/>
    </row>
    <row r="707" spans="1:56" x14ac:dyDescent="0.15">
      <c r="A707" s="339"/>
      <c r="B707" s="605"/>
      <c r="M707" s="605"/>
      <c r="N707" s="291" t="s">
        <v>244</v>
      </c>
      <c r="T707" s="291">
        <v>7</v>
      </c>
      <c r="U707" s="292"/>
      <c r="W707" s="605"/>
      <c r="X707" s="291" t="s">
        <v>244</v>
      </c>
      <c r="AC707" s="291">
        <v>7</v>
      </c>
      <c r="AD707" s="292"/>
      <c r="BD707" s="292"/>
    </row>
    <row r="708" spans="1:56" x14ac:dyDescent="0.15">
      <c r="A708" s="339"/>
      <c r="B708" s="605"/>
      <c r="M708" s="605"/>
      <c r="N708" s="291" t="s">
        <v>337</v>
      </c>
      <c r="T708" s="291">
        <v>2</v>
      </c>
      <c r="U708" s="292"/>
      <c r="W708" s="605"/>
      <c r="X708" s="291" t="s">
        <v>261</v>
      </c>
      <c r="AC708" s="291">
        <v>3</v>
      </c>
      <c r="AD708" s="292"/>
      <c r="BD708" s="292"/>
    </row>
    <row r="709" spans="1:56" x14ac:dyDescent="0.15">
      <c r="A709" s="339"/>
      <c r="B709" s="605"/>
      <c r="M709" s="605"/>
      <c r="N709" s="291" t="s">
        <v>350</v>
      </c>
      <c r="T709" s="504">
        <v>196</v>
      </c>
      <c r="U709" s="292"/>
      <c r="W709" s="605"/>
      <c r="X709" s="291" t="s">
        <v>560</v>
      </c>
      <c r="AC709" s="291">
        <v>1</v>
      </c>
      <c r="AD709" s="292" t="s">
        <v>849</v>
      </c>
      <c r="BD709" s="292"/>
    </row>
    <row r="710" spans="1:56" x14ac:dyDescent="0.15">
      <c r="A710" s="339"/>
      <c r="B710" s="605"/>
      <c r="M710" s="605"/>
      <c r="N710" s="291" t="s">
        <v>358</v>
      </c>
      <c r="T710" s="291">
        <v>100</v>
      </c>
      <c r="U710" s="292"/>
      <c r="W710" s="605"/>
      <c r="X710" s="291" t="s">
        <v>282</v>
      </c>
      <c r="AC710" s="291">
        <v>0</v>
      </c>
      <c r="AD710" s="292"/>
      <c r="AE710" s="343"/>
      <c r="BD710" s="292"/>
    </row>
    <row r="711" spans="1:56" x14ac:dyDescent="0.15">
      <c r="A711" s="339"/>
      <c r="B711" s="605"/>
      <c r="M711" s="1041"/>
      <c r="N711" s="1042" t="s">
        <v>740</v>
      </c>
      <c r="O711" s="1042"/>
      <c r="P711" s="1042"/>
      <c r="Q711" s="1042"/>
      <c r="R711" s="1042"/>
      <c r="S711" s="1042"/>
      <c r="T711" s="1048">
        <v>98</v>
      </c>
      <c r="U711" s="1043"/>
      <c r="W711" s="1041"/>
      <c r="X711" s="1042" t="s">
        <v>295</v>
      </c>
      <c r="Y711" s="1042"/>
      <c r="Z711" s="1042"/>
      <c r="AA711" s="1042"/>
      <c r="AB711" s="1042"/>
      <c r="AC711" s="1042">
        <v>0</v>
      </c>
      <c r="AD711" s="1043"/>
      <c r="AE711" s="343"/>
      <c r="BD711" s="292"/>
    </row>
    <row r="712" spans="1:56" x14ac:dyDescent="0.15">
      <c r="A712" s="339"/>
      <c r="B712" s="605"/>
      <c r="T712" s="343" t="s">
        <v>900</v>
      </c>
      <c r="BD712" s="292"/>
    </row>
    <row r="713" spans="1:56" x14ac:dyDescent="0.15">
      <c r="B713" s="605"/>
      <c r="D713" s="325"/>
      <c r="F713" s="325"/>
      <c r="I713" s="325"/>
      <c r="M713" s="325"/>
      <c r="T713" s="343" t="s">
        <v>901</v>
      </c>
      <c r="BD713" s="292"/>
    </row>
    <row r="714" spans="1:56" x14ac:dyDescent="0.15">
      <c r="B714" s="605"/>
      <c r="D714" s="325"/>
      <c r="F714" s="325"/>
      <c r="I714" s="325"/>
      <c r="M714" s="325"/>
      <c r="BD714" s="292"/>
    </row>
    <row r="715" spans="1:56" x14ac:dyDescent="0.15">
      <c r="B715" s="605"/>
      <c r="D715" s="325"/>
      <c r="F715" s="325"/>
      <c r="I715" s="325"/>
      <c r="T715" s="541"/>
      <c r="W715" s="291" t="s">
        <v>551</v>
      </c>
      <c r="BD715" s="292"/>
    </row>
    <row r="716" spans="1:56" x14ac:dyDescent="0.15">
      <c r="A716" s="339"/>
      <c r="B716" s="605"/>
      <c r="T716" s="541"/>
      <c r="W716" s="1038" t="s">
        <v>137</v>
      </c>
      <c r="X716" s="1039"/>
      <c r="Y716" s="1039"/>
      <c r="Z716" s="1039"/>
      <c r="AA716" s="1039"/>
      <c r="AB716" s="1039"/>
      <c r="AC716" s="1039"/>
      <c r="AD716" s="1040"/>
      <c r="BD716" s="292"/>
    </row>
    <row r="717" spans="1:56" x14ac:dyDescent="0.15">
      <c r="A717" s="339"/>
      <c r="B717" s="605"/>
      <c r="T717" s="541"/>
      <c r="W717" s="605"/>
      <c r="X717" s="291" t="s">
        <v>248</v>
      </c>
      <c r="AC717" s="325" t="s">
        <v>556</v>
      </c>
      <c r="AD717" s="292"/>
      <c r="BD717" s="292"/>
    </row>
    <row r="718" spans="1:56" x14ac:dyDescent="0.15">
      <c r="A718" s="339"/>
      <c r="B718" s="605"/>
      <c r="T718" s="541"/>
      <c r="W718" s="605"/>
      <c r="X718" s="291" t="s">
        <v>244</v>
      </c>
      <c r="AC718" s="291">
        <v>7</v>
      </c>
      <c r="AD718" s="292"/>
      <c r="BD718" s="292"/>
    </row>
    <row r="719" spans="1:56" x14ac:dyDescent="0.15">
      <c r="A719" s="339"/>
      <c r="B719" s="605"/>
      <c r="T719" s="541"/>
      <c r="W719" s="605"/>
      <c r="X719" s="291" t="s">
        <v>261</v>
      </c>
      <c r="AC719" s="291">
        <v>4</v>
      </c>
      <c r="AD719" s="292"/>
      <c r="BD719" s="292"/>
    </row>
    <row r="720" spans="1:56" x14ac:dyDescent="0.15">
      <c r="A720" s="339"/>
      <c r="B720" s="605"/>
      <c r="T720" s="541"/>
      <c r="W720" s="605"/>
      <c r="X720" s="291" t="s">
        <v>560</v>
      </c>
      <c r="AC720" s="291">
        <v>1</v>
      </c>
      <c r="AD720" s="292" t="s">
        <v>849</v>
      </c>
      <c r="BD720" s="292"/>
    </row>
    <row r="721" spans="1:56" x14ac:dyDescent="0.15">
      <c r="A721" s="339"/>
      <c r="B721" s="605"/>
      <c r="T721" s="541"/>
      <c r="W721" s="605"/>
      <c r="X721" s="291" t="s">
        <v>282</v>
      </c>
      <c r="AC721" s="504">
        <v>-6</v>
      </c>
      <c r="AD721" s="292"/>
      <c r="AE721" s="343"/>
      <c r="BD721" s="292"/>
    </row>
    <row r="722" spans="1:56" x14ac:dyDescent="0.15">
      <c r="A722" s="339"/>
      <c r="B722" s="605"/>
      <c r="T722" s="541"/>
      <c r="W722" s="1041"/>
      <c r="X722" s="1042" t="s">
        <v>295</v>
      </c>
      <c r="Y722" s="1042"/>
      <c r="Z722" s="1042"/>
      <c r="AA722" s="1042"/>
      <c r="AB722" s="1042"/>
      <c r="AC722" s="1048">
        <v>2</v>
      </c>
      <c r="AD722" s="1043"/>
      <c r="AE722" s="343"/>
      <c r="BD722" s="292"/>
    </row>
    <row r="723" spans="1:56" x14ac:dyDescent="0.15">
      <c r="A723" s="339"/>
      <c r="B723" s="605"/>
      <c r="T723" s="541"/>
      <c r="BD723" s="292"/>
    </row>
    <row r="724" spans="1:56" x14ac:dyDescent="0.15">
      <c r="B724" s="605"/>
      <c r="D724" s="325"/>
      <c r="F724" s="325"/>
      <c r="I724" s="325"/>
      <c r="T724" s="541"/>
      <c r="W724" s="291" t="s">
        <v>551</v>
      </c>
      <c r="BD724" s="292"/>
    </row>
    <row r="725" spans="1:56" x14ac:dyDescent="0.15">
      <c r="A725" s="339"/>
      <c r="B725" s="605"/>
      <c r="T725" s="541"/>
      <c r="W725" s="1038" t="s">
        <v>137</v>
      </c>
      <c r="X725" s="1039"/>
      <c r="Y725" s="1039"/>
      <c r="Z725" s="1039"/>
      <c r="AA725" s="1039"/>
      <c r="AB725" s="1039"/>
      <c r="AC725" s="1039"/>
      <c r="AD725" s="1040"/>
      <c r="BD725" s="292"/>
    </row>
    <row r="726" spans="1:56" x14ac:dyDescent="0.15">
      <c r="A726" s="339"/>
      <c r="B726" s="605"/>
      <c r="T726" s="541"/>
      <c r="W726" s="605"/>
      <c r="X726" s="291" t="s">
        <v>248</v>
      </c>
      <c r="AC726" s="325" t="s">
        <v>556</v>
      </c>
      <c r="AD726" s="292"/>
      <c r="BD726" s="292"/>
    </row>
    <row r="727" spans="1:56" x14ac:dyDescent="0.15">
      <c r="A727" s="339"/>
      <c r="B727" s="605"/>
      <c r="T727" s="541"/>
      <c r="W727" s="605"/>
      <c r="X727" s="291" t="s">
        <v>244</v>
      </c>
      <c r="AC727" s="291">
        <v>7</v>
      </c>
      <c r="AD727" s="292"/>
      <c r="BD727" s="292"/>
    </row>
    <row r="728" spans="1:56" x14ac:dyDescent="0.15">
      <c r="A728" s="339"/>
      <c r="B728" s="605"/>
      <c r="T728" s="541"/>
      <c r="W728" s="605"/>
      <c r="X728" s="291" t="s">
        <v>261</v>
      </c>
      <c r="AC728" s="291">
        <v>5</v>
      </c>
      <c r="AD728" s="292"/>
      <c r="BD728" s="292"/>
    </row>
    <row r="729" spans="1:56" x14ac:dyDescent="0.15">
      <c r="A729" s="339"/>
      <c r="B729" s="605"/>
      <c r="T729" s="541"/>
      <c r="W729" s="605"/>
      <c r="X729" s="291" t="s">
        <v>560</v>
      </c>
      <c r="AC729" s="291">
        <v>1</v>
      </c>
      <c r="AD729" s="292" t="s">
        <v>849</v>
      </c>
      <c r="BD729" s="292"/>
    </row>
    <row r="730" spans="1:56" x14ac:dyDescent="0.15">
      <c r="A730" s="339"/>
      <c r="B730" s="605"/>
      <c r="T730" s="541"/>
      <c r="W730" s="605"/>
      <c r="X730" s="291" t="s">
        <v>282</v>
      </c>
      <c r="AC730" s="504">
        <v>-30</v>
      </c>
      <c r="AD730" s="292"/>
      <c r="AE730" s="343"/>
      <c r="BD730" s="292"/>
    </row>
    <row r="731" spans="1:56" x14ac:dyDescent="0.15">
      <c r="A731" s="339"/>
      <c r="B731" s="605"/>
      <c r="T731" s="541"/>
      <c r="W731" s="1041"/>
      <c r="X731" s="1042" t="s">
        <v>295</v>
      </c>
      <c r="Y731" s="1042"/>
      <c r="Z731" s="1042"/>
      <c r="AA731" s="1042"/>
      <c r="AB731" s="1042"/>
      <c r="AC731" s="1048">
        <v>2</v>
      </c>
      <c r="AD731" s="1043"/>
      <c r="AE731" s="343"/>
      <c r="BD731" s="292"/>
    </row>
    <row r="732" spans="1:56" x14ac:dyDescent="0.15">
      <c r="A732" s="339"/>
      <c r="B732" s="605"/>
      <c r="T732" s="541"/>
      <c r="BD732" s="292"/>
    </row>
    <row r="733" spans="1:56" x14ac:dyDescent="0.15">
      <c r="B733" s="605"/>
      <c r="D733" s="325"/>
      <c r="F733" s="325"/>
      <c r="I733" s="325"/>
      <c r="T733" s="541"/>
      <c r="W733" s="291" t="s">
        <v>551</v>
      </c>
      <c r="AH733" s="291" t="s">
        <v>948</v>
      </c>
      <c r="BD733" s="292"/>
    </row>
    <row r="734" spans="1:56" x14ac:dyDescent="0.15">
      <c r="A734" s="339"/>
      <c r="B734" s="605"/>
      <c r="T734" s="541"/>
      <c r="W734" s="1038" t="s">
        <v>137</v>
      </c>
      <c r="X734" s="1039"/>
      <c r="Y734" s="1039"/>
      <c r="Z734" s="1039"/>
      <c r="AA734" s="1039"/>
      <c r="AB734" s="1039"/>
      <c r="AC734" s="1039"/>
      <c r="AD734" s="1040"/>
      <c r="AH734" s="1038" t="s">
        <v>35</v>
      </c>
      <c r="AI734" s="1039"/>
      <c r="AJ734" s="1039"/>
      <c r="AK734" s="1039"/>
      <c r="AL734" s="1039"/>
      <c r="AM734" s="1039"/>
      <c r="AN734" s="1039"/>
      <c r="AO734" s="1040"/>
      <c r="BD734" s="292"/>
    </row>
    <row r="735" spans="1:56" x14ac:dyDescent="0.15">
      <c r="A735" s="339"/>
      <c r="B735" s="605"/>
      <c r="T735" s="541"/>
      <c r="W735" s="605"/>
      <c r="X735" s="291" t="s">
        <v>248</v>
      </c>
      <c r="AC735" s="325" t="s">
        <v>556</v>
      </c>
      <c r="AD735" s="292"/>
      <c r="AH735" s="605"/>
      <c r="AI735" s="291" t="s">
        <v>248</v>
      </c>
      <c r="AN735" s="325" t="s">
        <v>556</v>
      </c>
      <c r="AO735" s="292"/>
      <c r="BD735" s="292"/>
    </row>
    <row r="736" spans="1:56" x14ac:dyDescent="0.15">
      <c r="A736" s="339"/>
      <c r="B736" s="605"/>
      <c r="T736" s="541"/>
      <c r="W736" s="605"/>
      <c r="X736" s="291" t="s">
        <v>244</v>
      </c>
      <c r="AC736" s="291">
        <v>7</v>
      </c>
      <c r="AD736" s="292"/>
      <c r="AH736" s="605"/>
      <c r="AI736" s="291" t="s">
        <v>244</v>
      </c>
      <c r="AN736" s="502">
        <v>8</v>
      </c>
      <c r="AO736" s="292"/>
      <c r="BD736" s="292"/>
    </row>
    <row r="737" spans="1:56" x14ac:dyDescent="0.15">
      <c r="A737" s="339"/>
      <c r="B737" s="605"/>
      <c r="T737" s="541"/>
      <c r="W737" s="605"/>
      <c r="X737" s="291" t="s">
        <v>261</v>
      </c>
      <c r="AC737" s="291">
        <v>8</v>
      </c>
      <c r="AD737" s="292"/>
      <c r="AH737" s="605"/>
      <c r="AI737" s="291" t="s">
        <v>263</v>
      </c>
      <c r="AN737" s="503">
        <v>2</v>
      </c>
      <c r="AO737" s="292"/>
      <c r="AP737" s="343" t="s">
        <v>871</v>
      </c>
      <c r="BD737" s="292"/>
    </row>
    <row r="738" spans="1:56" x14ac:dyDescent="0.15">
      <c r="A738" s="339"/>
      <c r="B738" s="605"/>
      <c r="T738" s="541"/>
      <c r="W738" s="605"/>
      <c r="X738" s="291" t="s">
        <v>560</v>
      </c>
      <c r="AC738" s="291">
        <v>1</v>
      </c>
      <c r="AD738" s="292" t="s">
        <v>849</v>
      </c>
      <c r="AH738" s="605"/>
      <c r="AI738" s="291" t="s">
        <v>270</v>
      </c>
      <c r="AN738" s="501">
        <v>-30</v>
      </c>
      <c r="AO738" s="292"/>
      <c r="AP738" s="343" t="s">
        <v>949</v>
      </c>
      <c r="BD738" s="292"/>
    </row>
    <row r="739" spans="1:56" x14ac:dyDescent="0.15">
      <c r="A739" s="339"/>
      <c r="B739" s="605"/>
      <c r="T739" s="541"/>
      <c r="W739" s="605"/>
      <c r="X739" s="291" t="s">
        <v>282</v>
      </c>
      <c r="AC739" s="504">
        <v>-30</v>
      </c>
      <c r="AD739" s="292"/>
      <c r="AE739" s="343"/>
      <c r="AH739" s="605"/>
      <c r="AI739" s="291" t="s">
        <v>276</v>
      </c>
      <c r="AN739" s="501">
        <v>0.18</v>
      </c>
      <c r="AO739" s="292"/>
      <c r="AP739" s="343" t="s">
        <v>950</v>
      </c>
      <c r="BD739" s="292"/>
    </row>
    <row r="740" spans="1:56" x14ac:dyDescent="0.15">
      <c r="A740" s="339"/>
      <c r="B740" s="605"/>
      <c r="T740" s="541"/>
      <c r="W740" s="1041"/>
      <c r="X740" s="1042" t="s">
        <v>295</v>
      </c>
      <c r="Y740" s="1042"/>
      <c r="Z740" s="1042"/>
      <c r="AA740" s="1042"/>
      <c r="AB740" s="1042"/>
      <c r="AC740" s="1048">
        <v>2</v>
      </c>
      <c r="AD740" s="1043"/>
      <c r="AE740" s="343"/>
      <c r="AH740" s="605"/>
      <c r="AI740" s="291" t="s">
        <v>315</v>
      </c>
      <c r="AN740" s="503">
        <v>91220</v>
      </c>
      <c r="AO740" s="292"/>
      <c r="AP740" s="343" t="s">
        <v>631</v>
      </c>
      <c r="BD740" s="292"/>
    </row>
    <row r="741" spans="1:56" x14ac:dyDescent="0.15">
      <c r="A741" s="339"/>
      <c r="B741" s="605"/>
      <c r="T741" s="541"/>
      <c r="AH741" s="1041"/>
      <c r="AI741" s="1042" t="s">
        <v>853</v>
      </c>
      <c r="AJ741" s="1042"/>
      <c r="AK741" s="1042"/>
      <c r="AL741" s="1042"/>
      <c r="AM741" s="1042"/>
      <c r="AN741" s="1079">
        <v>0</v>
      </c>
      <c r="AO741" s="1043"/>
      <c r="BD741" s="292"/>
    </row>
    <row r="742" spans="1:56" x14ac:dyDescent="0.15">
      <c r="B742" s="605"/>
      <c r="D742" s="325"/>
      <c r="F742" s="325"/>
      <c r="I742" s="325"/>
      <c r="M742" s="291" t="s">
        <v>944</v>
      </c>
      <c r="W742" s="291" t="s">
        <v>551</v>
      </c>
      <c r="BD742" s="292"/>
    </row>
    <row r="743" spans="1:56" x14ac:dyDescent="0.15">
      <c r="A743" s="339"/>
      <c r="B743" s="605"/>
      <c r="M743" s="1038" t="s">
        <v>553</v>
      </c>
      <c r="N743" s="1039"/>
      <c r="O743" s="1039"/>
      <c r="P743" s="1039"/>
      <c r="Q743" s="1039"/>
      <c r="R743" s="1039"/>
      <c r="S743" s="1039"/>
      <c r="T743" s="1039"/>
      <c r="U743" s="1040"/>
      <c r="W743" s="1038" t="s">
        <v>137</v>
      </c>
      <c r="X743" s="1039"/>
      <c r="Y743" s="1039"/>
      <c r="Z743" s="1039"/>
      <c r="AA743" s="1039"/>
      <c r="AB743" s="1039"/>
      <c r="AC743" s="1039"/>
      <c r="AD743" s="1040"/>
      <c r="BD743" s="292"/>
    </row>
    <row r="744" spans="1:56" x14ac:dyDescent="0.15">
      <c r="A744" s="339"/>
      <c r="B744" s="605"/>
      <c r="M744" s="605"/>
      <c r="N744" s="291" t="s">
        <v>248</v>
      </c>
      <c r="T744" s="325" t="s">
        <v>556</v>
      </c>
      <c r="U744" s="292"/>
      <c r="W744" s="605"/>
      <c r="X744" s="291" t="s">
        <v>248</v>
      </c>
      <c r="AC744" s="325" t="s">
        <v>556</v>
      </c>
      <c r="AD744" s="292"/>
      <c r="BD744" s="292"/>
    </row>
    <row r="745" spans="1:56" x14ac:dyDescent="0.15">
      <c r="A745" s="339"/>
      <c r="B745" s="605"/>
      <c r="M745" s="605"/>
      <c r="N745" s="291" t="s">
        <v>244</v>
      </c>
      <c r="T745" s="291">
        <v>9</v>
      </c>
      <c r="U745" s="292"/>
      <c r="W745" s="605"/>
      <c r="X745" s="291" t="s">
        <v>244</v>
      </c>
      <c r="AC745" s="291">
        <v>9</v>
      </c>
      <c r="AD745" s="292"/>
      <c r="BD745" s="292"/>
    </row>
    <row r="746" spans="1:56" x14ac:dyDescent="0.15">
      <c r="A746" s="339"/>
      <c r="B746" s="605"/>
      <c r="M746" s="605"/>
      <c r="N746" s="291" t="s">
        <v>337</v>
      </c>
      <c r="T746" s="291">
        <v>2</v>
      </c>
      <c r="U746" s="292"/>
      <c r="W746" s="605"/>
      <c r="X746" s="291" t="s">
        <v>261</v>
      </c>
      <c r="AC746" s="291">
        <v>3</v>
      </c>
      <c r="AD746" s="292"/>
      <c r="BD746" s="292"/>
    </row>
    <row r="747" spans="1:56" x14ac:dyDescent="0.15">
      <c r="A747" s="339"/>
      <c r="B747" s="605"/>
      <c r="M747" s="605"/>
      <c r="N747" s="291" t="s">
        <v>350</v>
      </c>
      <c r="T747" s="504">
        <v>196</v>
      </c>
      <c r="U747" s="292"/>
      <c r="W747" s="605"/>
      <c r="X747" s="291" t="s">
        <v>560</v>
      </c>
      <c r="AC747" s="291">
        <v>1</v>
      </c>
      <c r="AD747" s="292" t="s">
        <v>849</v>
      </c>
      <c r="BD747" s="292"/>
    </row>
    <row r="748" spans="1:56" x14ac:dyDescent="0.15">
      <c r="A748" s="339"/>
      <c r="B748" s="605"/>
      <c r="M748" s="605"/>
      <c r="N748" s="291" t="s">
        <v>358</v>
      </c>
      <c r="T748" s="291">
        <v>100</v>
      </c>
      <c r="U748" s="292"/>
      <c r="W748" s="605"/>
      <c r="X748" s="291" t="s">
        <v>282</v>
      </c>
      <c r="AC748" s="291">
        <v>0</v>
      </c>
      <c r="AD748" s="292"/>
      <c r="AE748" s="343"/>
      <c r="BD748" s="292"/>
    </row>
    <row r="749" spans="1:56" x14ac:dyDescent="0.15">
      <c r="A749" s="339"/>
      <c r="B749" s="605"/>
      <c r="M749" s="1041"/>
      <c r="N749" s="1042" t="s">
        <v>740</v>
      </c>
      <c r="O749" s="1042"/>
      <c r="P749" s="1042"/>
      <c r="Q749" s="1042"/>
      <c r="R749" s="1042"/>
      <c r="S749" s="1042"/>
      <c r="T749" s="1048">
        <v>98</v>
      </c>
      <c r="U749" s="1043"/>
      <c r="W749" s="1041"/>
      <c r="X749" s="1042" t="s">
        <v>295</v>
      </c>
      <c r="Y749" s="1042"/>
      <c r="Z749" s="1042"/>
      <c r="AA749" s="1042"/>
      <c r="AB749" s="1042"/>
      <c r="AC749" s="1042">
        <v>0</v>
      </c>
      <c r="AD749" s="1043"/>
      <c r="AE749" s="343"/>
      <c r="BD749" s="292"/>
    </row>
    <row r="750" spans="1:56" x14ac:dyDescent="0.15">
      <c r="A750" s="339"/>
      <c r="B750" s="605"/>
      <c r="T750" s="343" t="s">
        <v>900</v>
      </c>
      <c r="BD750" s="292"/>
    </row>
    <row r="751" spans="1:56" x14ac:dyDescent="0.15">
      <c r="B751" s="605"/>
      <c r="D751" s="325"/>
      <c r="F751" s="325"/>
      <c r="I751" s="325"/>
      <c r="M751" s="325"/>
      <c r="T751" s="343" t="s">
        <v>901</v>
      </c>
      <c r="BD751" s="292"/>
    </row>
    <row r="752" spans="1:56" x14ac:dyDescent="0.15">
      <c r="B752" s="605"/>
      <c r="D752" s="325"/>
      <c r="F752" s="325"/>
      <c r="I752" s="325"/>
      <c r="M752" s="325"/>
      <c r="BD752" s="292"/>
    </row>
    <row r="753" spans="1:56" x14ac:dyDescent="0.15">
      <c r="B753" s="605"/>
      <c r="D753" s="325"/>
      <c r="F753" s="325"/>
      <c r="I753" s="325"/>
      <c r="T753" s="541"/>
      <c r="W753" s="291" t="s">
        <v>551</v>
      </c>
      <c r="BD753" s="292"/>
    </row>
    <row r="754" spans="1:56" x14ac:dyDescent="0.15">
      <c r="A754" s="339"/>
      <c r="B754" s="605"/>
      <c r="T754" s="541"/>
      <c r="W754" s="1038" t="s">
        <v>137</v>
      </c>
      <c r="X754" s="1039"/>
      <c r="Y754" s="1039"/>
      <c r="Z754" s="1039"/>
      <c r="AA754" s="1039"/>
      <c r="AB754" s="1039"/>
      <c r="AC754" s="1039"/>
      <c r="AD754" s="1040"/>
      <c r="BD754" s="292"/>
    </row>
    <row r="755" spans="1:56" x14ac:dyDescent="0.15">
      <c r="A755" s="339"/>
      <c r="B755" s="605"/>
      <c r="T755" s="541"/>
      <c r="W755" s="605"/>
      <c r="X755" s="291" t="s">
        <v>248</v>
      </c>
      <c r="AC755" s="325" t="s">
        <v>556</v>
      </c>
      <c r="AD755" s="292"/>
      <c r="BD755" s="292"/>
    </row>
    <row r="756" spans="1:56" x14ac:dyDescent="0.15">
      <c r="A756" s="339"/>
      <c r="B756" s="605"/>
      <c r="T756" s="541"/>
      <c r="W756" s="605"/>
      <c r="X756" s="291" t="s">
        <v>244</v>
      </c>
      <c r="AC756" s="291">
        <v>9</v>
      </c>
      <c r="AD756" s="292"/>
      <c r="BD756" s="292"/>
    </row>
    <row r="757" spans="1:56" x14ac:dyDescent="0.15">
      <c r="A757" s="339"/>
      <c r="B757" s="605"/>
      <c r="T757" s="541"/>
      <c r="W757" s="605"/>
      <c r="X757" s="291" t="s">
        <v>261</v>
      </c>
      <c r="AC757" s="291">
        <v>4</v>
      </c>
      <c r="AD757" s="292"/>
      <c r="BD757" s="292"/>
    </row>
    <row r="758" spans="1:56" x14ac:dyDescent="0.15">
      <c r="A758" s="339"/>
      <c r="B758" s="605"/>
      <c r="T758" s="541"/>
      <c r="W758" s="605"/>
      <c r="X758" s="291" t="s">
        <v>560</v>
      </c>
      <c r="AC758" s="291">
        <v>1</v>
      </c>
      <c r="AD758" s="292" t="s">
        <v>849</v>
      </c>
      <c r="BD758" s="292"/>
    </row>
    <row r="759" spans="1:56" x14ac:dyDescent="0.15">
      <c r="A759" s="339"/>
      <c r="B759" s="605"/>
      <c r="T759" s="541"/>
      <c r="W759" s="605"/>
      <c r="X759" s="291" t="s">
        <v>282</v>
      </c>
      <c r="AC759" s="504">
        <v>0</v>
      </c>
      <c r="AD759" s="292"/>
      <c r="AE759" s="343" t="s">
        <v>872</v>
      </c>
      <c r="BD759" s="292"/>
    </row>
    <row r="760" spans="1:56" x14ac:dyDescent="0.15">
      <c r="A760" s="339"/>
      <c r="B760" s="605"/>
      <c r="T760" s="541"/>
      <c r="W760" s="1041"/>
      <c r="X760" s="1042" t="s">
        <v>295</v>
      </c>
      <c r="Y760" s="1042"/>
      <c r="Z760" s="1042"/>
      <c r="AA760" s="1042"/>
      <c r="AB760" s="1042"/>
      <c r="AC760" s="1048">
        <v>0</v>
      </c>
      <c r="AD760" s="1043"/>
      <c r="AE760" s="343" t="s">
        <v>872</v>
      </c>
      <c r="BD760" s="292"/>
    </row>
    <row r="761" spans="1:56" x14ac:dyDescent="0.15">
      <c r="A761" s="339"/>
      <c r="B761" s="605"/>
      <c r="T761" s="541"/>
      <c r="BD761" s="292"/>
    </row>
    <row r="762" spans="1:56" x14ac:dyDescent="0.15">
      <c r="B762" s="605"/>
      <c r="D762" s="325"/>
      <c r="F762" s="325"/>
      <c r="I762" s="325"/>
      <c r="T762" s="541"/>
      <c r="W762" s="291" t="s">
        <v>551</v>
      </c>
      <c r="BD762" s="292"/>
    </row>
    <row r="763" spans="1:56" x14ac:dyDescent="0.15">
      <c r="A763" s="339"/>
      <c r="B763" s="605"/>
      <c r="T763" s="541"/>
      <c r="W763" s="1038" t="s">
        <v>137</v>
      </c>
      <c r="X763" s="1039"/>
      <c r="Y763" s="1039"/>
      <c r="Z763" s="1039"/>
      <c r="AA763" s="1039"/>
      <c r="AB763" s="1039"/>
      <c r="AC763" s="1039"/>
      <c r="AD763" s="1040"/>
      <c r="BD763" s="292"/>
    </row>
    <row r="764" spans="1:56" x14ac:dyDescent="0.15">
      <c r="A764" s="339"/>
      <c r="B764" s="605"/>
      <c r="T764" s="541"/>
      <c r="W764" s="605"/>
      <c r="X764" s="291" t="s">
        <v>248</v>
      </c>
      <c r="AC764" s="325" t="s">
        <v>556</v>
      </c>
      <c r="AD764" s="292"/>
      <c r="BD764" s="292"/>
    </row>
    <row r="765" spans="1:56" x14ac:dyDescent="0.15">
      <c r="A765" s="339"/>
      <c r="B765" s="605"/>
      <c r="T765" s="541"/>
      <c r="W765" s="605"/>
      <c r="X765" s="291" t="s">
        <v>244</v>
      </c>
      <c r="AC765" s="291">
        <v>9</v>
      </c>
      <c r="AD765" s="292"/>
      <c r="BD765" s="292"/>
    </row>
    <row r="766" spans="1:56" x14ac:dyDescent="0.15">
      <c r="A766" s="339"/>
      <c r="B766" s="605"/>
      <c r="T766" s="541"/>
      <c r="W766" s="605"/>
      <c r="X766" s="291" t="s">
        <v>261</v>
      </c>
      <c r="AC766" s="291">
        <v>5</v>
      </c>
      <c r="AD766" s="292"/>
      <c r="BD766" s="292"/>
    </row>
    <row r="767" spans="1:56" x14ac:dyDescent="0.15">
      <c r="A767" s="339"/>
      <c r="B767" s="605"/>
      <c r="T767" s="541"/>
      <c r="W767" s="605"/>
      <c r="X767" s="291" t="s">
        <v>560</v>
      </c>
      <c r="AC767" s="291">
        <v>1</v>
      </c>
      <c r="AD767" s="292" t="s">
        <v>849</v>
      </c>
      <c r="BD767" s="292"/>
    </row>
    <row r="768" spans="1:56" x14ac:dyDescent="0.15">
      <c r="A768" s="339"/>
      <c r="B768" s="605"/>
      <c r="T768" s="541"/>
      <c r="W768" s="605"/>
      <c r="X768" s="291" t="s">
        <v>282</v>
      </c>
      <c r="AC768" s="504">
        <v>0</v>
      </c>
      <c r="AD768" s="292"/>
      <c r="AE768" s="343" t="s">
        <v>872</v>
      </c>
      <c r="BD768" s="292"/>
    </row>
    <row r="769" spans="1:56" x14ac:dyDescent="0.15">
      <c r="A769" s="339"/>
      <c r="B769" s="605"/>
      <c r="T769" s="541"/>
      <c r="W769" s="1041"/>
      <c r="X769" s="1042" t="s">
        <v>295</v>
      </c>
      <c r="Y769" s="1042"/>
      <c r="Z769" s="1042"/>
      <c r="AA769" s="1042"/>
      <c r="AB769" s="1042"/>
      <c r="AC769" s="1048">
        <v>0</v>
      </c>
      <c r="AD769" s="1043"/>
      <c r="AE769" s="343" t="s">
        <v>872</v>
      </c>
      <c r="BD769" s="292"/>
    </row>
    <row r="770" spans="1:56" x14ac:dyDescent="0.15">
      <c r="A770" s="339"/>
      <c r="B770" s="605"/>
      <c r="T770" s="541"/>
      <c r="BD770" s="292"/>
    </row>
    <row r="771" spans="1:56" x14ac:dyDescent="0.15">
      <c r="B771" s="605"/>
      <c r="D771" s="325"/>
      <c r="F771" s="325"/>
      <c r="I771" s="325"/>
      <c r="T771" s="541"/>
      <c r="W771" s="291" t="s">
        <v>551</v>
      </c>
      <c r="AH771" s="291" t="s">
        <v>951</v>
      </c>
      <c r="BD771" s="292"/>
    </row>
    <row r="772" spans="1:56" x14ac:dyDescent="0.15">
      <c r="A772" s="339"/>
      <c r="B772" s="605"/>
      <c r="T772" s="541"/>
      <c r="W772" s="1038" t="s">
        <v>137</v>
      </c>
      <c r="X772" s="1039"/>
      <c r="Y772" s="1039"/>
      <c r="Z772" s="1039"/>
      <c r="AA772" s="1039"/>
      <c r="AB772" s="1039"/>
      <c r="AC772" s="1039"/>
      <c r="AD772" s="1040"/>
      <c r="AH772" s="1038" t="s">
        <v>35</v>
      </c>
      <c r="AI772" s="1039"/>
      <c r="AJ772" s="1039"/>
      <c r="AK772" s="1039"/>
      <c r="AL772" s="1039"/>
      <c r="AM772" s="1039"/>
      <c r="AN772" s="1039"/>
      <c r="AO772" s="1040"/>
      <c r="BD772" s="292"/>
    </row>
    <row r="773" spans="1:56" x14ac:dyDescent="0.15">
      <c r="A773" s="339"/>
      <c r="B773" s="605"/>
      <c r="T773" s="541"/>
      <c r="W773" s="605"/>
      <c r="X773" s="291" t="s">
        <v>248</v>
      </c>
      <c r="AC773" s="325" t="s">
        <v>556</v>
      </c>
      <c r="AD773" s="292"/>
      <c r="AH773" s="605"/>
      <c r="AI773" s="291" t="s">
        <v>248</v>
      </c>
      <c r="AN773" s="325" t="s">
        <v>556</v>
      </c>
      <c r="AO773" s="292"/>
      <c r="BD773" s="292"/>
    </row>
    <row r="774" spans="1:56" x14ac:dyDescent="0.15">
      <c r="A774" s="339"/>
      <c r="B774" s="605"/>
      <c r="T774" s="541"/>
      <c r="W774" s="605"/>
      <c r="X774" s="291" t="s">
        <v>244</v>
      </c>
      <c r="AC774" s="291">
        <v>9</v>
      </c>
      <c r="AD774" s="292"/>
      <c r="AH774" s="605"/>
      <c r="AI774" s="291" t="s">
        <v>244</v>
      </c>
      <c r="AN774" s="502">
        <v>10</v>
      </c>
      <c r="AO774" s="292"/>
      <c r="BD774" s="292"/>
    </row>
    <row r="775" spans="1:56" x14ac:dyDescent="0.15">
      <c r="A775" s="339"/>
      <c r="B775" s="605"/>
      <c r="T775" s="541"/>
      <c r="W775" s="605"/>
      <c r="X775" s="291" t="s">
        <v>261</v>
      </c>
      <c r="AC775" s="291">
        <v>10</v>
      </c>
      <c r="AD775" s="292"/>
      <c r="AH775" s="605"/>
      <c r="AI775" s="291" t="s">
        <v>263</v>
      </c>
      <c r="AN775" s="503">
        <v>6</v>
      </c>
      <c r="AO775" s="292"/>
      <c r="AP775" s="343" t="s">
        <v>628</v>
      </c>
      <c r="BD775" s="292"/>
    </row>
    <row r="776" spans="1:56" x14ac:dyDescent="0.15">
      <c r="A776" s="339"/>
      <c r="B776" s="605"/>
      <c r="T776" s="541"/>
      <c r="W776" s="605"/>
      <c r="X776" s="291" t="s">
        <v>560</v>
      </c>
      <c r="AC776" s="291">
        <v>1</v>
      </c>
      <c r="AD776" s="292" t="s">
        <v>849</v>
      </c>
      <c r="AH776" s="605"/>
      <c r="AI776" s="291" t="s">
        <v>270</v>
      </c>
      <c r="AN776" s="501">
        <v>-2</v>
      </c>
      <c r="AO776" s="292"/>
      <c r="AP776" s="343" t="s">
        <v>952</v>
      </c>
      <c r="BD776" s="292"/>
    </row>
    <row r="777" spans="1:56" x14ac:dyDescent="0.15">
      <c r="A777" s="339"/>
      <c r="B777" s="605"/>
      <c r="T777" s="541"/>
      <c r="W777" s="605"/>
      <c r="X777" s="291" t="s">
        <v>282</v>
      </c>
      <c r="AC777" s="504">
        <v>-2</v>
      </c>
      <c r="AD777" s="292"/>
      <c r="AE777" s="343"/>
      <c r="AH777" s="605"/>
      <c r="AI777" s="291" t="s">
        <v>276</v>
      </c>
      <c r="AN777" s="501">
        <v>97</v>
      </c>
      <c r="AO777" s="292"/>
      <c r="AP777" s="343" t="s">
        <v>953</v>
      </c>
      <c r="BD777" s="292"/>
    </row>
    <row r="778" spans="1:56" x14ac:dyDescent="0.15">
      <c r="A778" s="339"/>
      <c r="B778" s="605"/>
      <c r="T778" s="541"/>
      <c r="W778" s="1041"/>
      <c r="X778" s="1042" t="s">
        <v>295</v>
      </c>
      <c r="Y778" s="1042"/>
      <c r="Z778" s="1042"/>
      <c r="AA778" s="1042"/>
      <c r="AB778" s="1042"/>
      <c r="AC778" s="1048">
        <v>2</v>
      </c>
      <c r="AD778" s="1043"/>
      <c r="AE778" s="343"/>
      <c r="AH778" s="605"/>
      <c r="AI778" s="291" t="s">
        <v>315</v>
      </c>
      <c r="AN778" s="503">
        <v>91220</v>
      </c>
      <c r="AO778" s="292"/>
      <c r="AP778" s="343" t="s">
        <v>631</v>
      </c>
      <c r="BD778" s="292"/>
    </row>
    <row r="779" spans="1:56" x14ac:dyDescent="0.15">
      <c r="A779" s="339"/>
      <c r="B779" s="605"/>
      <c r="T779" s="541"/>
      <c r="AH779" s="1041"/>
      <c r="AI779" s="1042" t="s">
        <v>853</v>
      </c>
      <c r="AJ779" s="1042"/>
      <c r="AK779" s="1042"/>
      <c r="AL779" s="1042"/>
      <c r="AM779" s="1042"/>
      <c r="AN779" s="1079">
        <v>0</v>
      </c>
      <c r="AO779" s="1043"/>
      <c r="BD779" s="292"/>
    </row>
    <row r="780" spans="1:56" x14ac:dyDescent="0.15">
      <c r="B780" s="605"/>
      <c r="D780" s="325"/>
      <c r="F780" s="325"/>
      <c r="I780" s="325"/>
      <c r="M780" s="291" t="s">
        <v>944</v>
      </c>
      <c r="W780" s="291" t="s">
        <v>551</v>
      </c>
      <c r="BD780" s="292"/>
    </row>
    <row r="781" spans="1:56" x14ac:dyDescent="0.15">
      <c r="A781" s="339"/>
      <c r="B781" s="605"/>
      <c r="M781" s="1038" t="s">
        <v>553</v>
      </c>
      <c r="N781" s="1039"/>
      <c r="O781" s="1039"/>
      <c r="P781" s="1039"/>
      <c r="Q781" s="1039"/>
      <c r="R781" s="1039"/>
      <c r="S781" s="1039"/>
      <c r="T781" s="1039"/>
      <c r="U781" s="1040"/>
      <c r="W781" s="1038" t="s">
        <v>137</v>
      </c>
      <c r="X781" s="1039"/>
      <c r="Y781" s="1039"/>
      <c r="Z781" s="1039"/>
      <c r="AA781" s="1039"/>
      <c r="AB781" s="1039"/>
      <c r="AC781" s="1039"/>
      <c r="AD781" s="1040"/>
      <c r="BD781" s="292"/>
    </row>
    <row r="782" spans="1:56" x14ac:dyDescent="0.15">
      <c r="A782" s="339"/>
      <c r="B782" s="605"/>
      <c r="M782" s="605"/>
      <c r="N782" s="291" t="s">
        <v>248</v>
      </c>
      <c r="T782" s="325" t="s">
        <v>556</v>
      </c>
      <c r="U782" s="292"/>
      <c r="W782" s="605"/>
      <c r="X782" s="291" t="s">
        <v>248</v>
      </c>
      <c r="AC782" s="325" t="s">
        <v>556</v>
      </c>
      <c r="AD782" s="292"/>
      <c r="BD782" s="292"/>
    </row>
    <row r="783" spans="1:56" x14ac:dyDescent="0.15">
      <c r="A783" s="339"/>
      <c r="B783" s="605"/>
      <c r="M783" s="605"/>
      <c r="N783" s="291" t="s">
        <v>244</v>
      </c>
      <c r="T783" s="291">
        <v>11</v>
      </c>
      <c r="U783" s="292"/>
      <c r="W783" s="605"/>
      <c r="X783" s="291" t="s">
        <v>244</v>
      </c>
      <c r="AC783" s="291">
        <v>11</v>
      </c>
      <c r="AD783" s="292"/>
      <c r="BD783" s="292"/>
    </row>
    <row r="784" spans="1:56" x14ac:dyDescent="0.15">
      <c r="A784" s="339"/>
      <c r="B784" s="605"/>
      <c r="M784" s="605"/>
      <c r="N784" s="291" t="s">
        <v>337</v>
      </c>
      <c r="T784" s="291">
        <v>2</v>
      </c>
      <c r="U784" s="292"/>
      <c r="W784" s="605"/>
      <c r="X784" s="291" t="s">
        <v>261</v>
      </c>
      <c r="AC784" s="291">
        <v>3</v>
      </c>
      <c r="AD784" s="292"/>
      <c r="BD784" s="292"/>
    </row>
    <row r="785" spans="1:56" x14ac:dyDescent="0.15">
      <c r="A785" s="339"/>
      <c r="B785" s="605"/>
      <c r="M785" s="605"/>
      <c r="N785" s="291" t="s">
        <v>350</v>
      </c>
      <c r="T785" s="504">
        <v>198</v>
      </c>
      <c r="U785" s="292"/>
      <c r="W785" s="605"/>
      <c r="X785" s="291" t="s">
        <v>560</v>
      </c>
      <c r="AC785" s="291">
        <v>1</v>
      </c>
      <c r="AD785" s="292" t="s">
        <v>849</v>
      </c>
      <c r="BD785" s="292"/>
    </row>
    <row r="786" spans="1:56" x14ac:dyDescent="0.15">
      <c r="A786" s="339"/>
      <c r="B786" s="605"/>
      <c r="M786" s="605"/>
      <c r="N786" s="291" t="s">
        <v>358</v>
      </c>
      <c r="T786" s="291">
        <v>100</v>
      </c>
      <c r="U786" s="292"/>
      <c r="W786" s="605"/>
      <c r="X786" s="291" t="s">
        <v>282</v>
      </c>
      <c r="AC786" s="291">
        <v>0</v>
      </c>
      <c r="AD786" s="292"/>
      <c r="AE786" s="343"/>
      <c r="BD786" s="292"/>
    </row>
    <row r="787" spans="1:56" x14ac:dyDescent="0.15">
      <c r="A787" s="339"/>
      <c r="B787" s="605"/>
      <c r="M787" s="1041"/>
      <c r="N787" s="1042" t="s">
        <v>740</v>
      </c>
      <c r="O787" s="1042"/>
      <c r="P787" s="1042"/>
      <c r="Q787" s="1042"/>
      <c r="R787" s="1042"/>
      <c r="S787" s="1042"/>
      <c r="T787" s="1048">
        <v>98</v>
      </c>
      <c r="U787" s="1043"/>
      <c r="W787" s="1041"/>
      <c r="X787" s="1042" t="s">
        <v>295</v>
      </c>
      <c r="Y787" s="1042"/>
      <c r="Z787" s="1042"/>
      <c r="AA787" s="1042"/>
      <c r="AB787" s="1042"/>
      <c r="AC787" s="1042">
        <v>0</v>
      </c>
      <c r="AD787" s="1043"/>
      <c r="AE787" s="343"/>
      <c r="BD787" s="292"/>
    </row>
    <row r="788" spans="1:56" x14ac:dyDescent="0.15">
      <c r="A788" s="339"/>
      <c r="B788" s="605"/>
      <c r="T788" s="343" t="s">
        <v>954</v>
      </c>
      <c r="BD788" s="292"/>
    </row>
    <row r="789" spans="1:56" x14ac:dyDescent="0.15">
      <c r="B789" s="605"/>
      <c r="D789" s="325"/>
      <c r="F789" s="325"/>
      <c r="I789" s="325"/>
      <c r="M789" s="325"/>
      <c r="T789" s="343" t="s">
        <v>901</v>
      </c>
      <c r="BD789" s="292"/>
    </row>
    <row r="790" spans="1:56" x14ac:dyDescent="0.15">
      <c r="B790" s="605"/>
      <c r="D790" s="325"/>
      <c r="F790" s="325"/>
      <c r="I790" s="325"/>
      <c r="M790" s="325"/>
      <c r="BD790" s="292"/>
    </row>
    <row r="791" spans="1:56" x14ac:dyDescent="0.15">
      <c r="B791" s="605"/>
      <c r="D791" s="325"/>
      <c r="F791" s="325"/>
      <c r="I791" s="325"/>
      <c r="T791" s="541"/>
      <c r="W791" s="291" t="s">
        <v>551</v>
      </c>
      <c r="BD791" s="292"/>
    </row>
    <row r="792" spans="1:56" x14ac:dyDescent="0.15">
      <c r="A792" s="339"/>
      <c r="B792" s="605"/>
      <c r="T792" s="541"/>
      <c r="W792" s="1038" t="s">
        <v>137</v>
      </c>
      <c r="X792" s="1039"/>
      <c r="Y792" s="1039"/>
      <c r="Z792" s="1039"/>
      <c r="AA792" s="1039"/>
      <c r="AB792" s="1039"/>
      <c r="AC792" s="1039"/>
      <c r="AD792" s="1040"/>
      <c r="BD792" s="292"/>
    </row>
    <row r="793" spans="1:56" x14ac:dyDescent="0.15">
      <c r="A793" s="339"/>
      <c r="B793" s="605"/>
      <c r="T793" s="541"/>
      <c r="W793" s="605"/>
      <c r="X793" s="291" t="s">
        <v>248</v>
      </c>
      <c r="AC793" s="325" t="s">
        <v>556</v>
      </c>
      <c r="AD793" s="292"/>
      <c r="BD793" s="292"/>
    </row>
    <row r="794" spans="1:56" x14ac:dyDescent="0.15">
      <c r="A794" s="339"/>
      <c r="B794" s="605"/>
      <c r="T794" s="541"/>
      <c r="W794" s="605"/>
      <c r="X794" s="291" t="s">
        <v>244</v>
      </c>
      <c r="AC794" s="291">
        <v>11</v>
      </c>
      <c r="AD794" s="292"/>
      <c r="BD794" s="292"/>
    </row>
    <row r="795" spans="1:56" x14ac:dyDescent="0.15">
      <c r="A795" s="339"/>
      <c r="B795" s="605"/>
      <c r="T795" s="541"/>
      <c r="W795" s="605"/>
      <c r="X795" s="291" t="s">
        <v>261</v>
      </c>
      <c r="AC795" s="291">
        <v>4</v>
      </c>
      <c r="AD795" s="292"/>
      <c r="BD795" s="292"/>
    </row>
    <row r="796" spans="1:56" x14ac:dyDescent="0.15">
      <c r="A796" s="339"/>
      <c r="B796" s="605"/>
      <c r="T796" s="541"/>
      <c r="W796" s="605"/>
      <c r="X796" s="291" t="s">
        <v>560</v>
      </c>
      <c r="AC796" s="291">
        <v>1</v>
      </c>
      <c r="AD796" s="292" t="s">
        <v>849</v>
      </c>
      <c r="BD796" s="292"/>
    </row>
    <row r="797" spans="1:56" x14ac:dyDescent="0.15">
      <c r="A797" s="339"/>
      <c r="B797" s="605"/>
      <c r="T797" s="541"/>
      <c r="W797" s="605"/>
      <c r="X797" s="291" t="s">
        <v>282</v>
      </c>
      <c r="AC797" s="504">
        <v>0</v>
      </c>
      <c r="AD797" s="292"/>
      <c r="AE797" s="343" t="s">
        <v>872</v>
      </c>
      <c r="BD797" s="292"/>
    </row>
    <row r="798" spans="1:56" x14ac:dyDescent="0.15">
      <c r="A798" s="339"/>
      <c r="B798" s="605"/>
      <c r="T798" s="541"/>
      <c r="W798" s="1041"/>
      <c r="X798" s="1042" t="s">
        <v>295</v>
      </c>
      <c r="Y798" s="1042"/>
      <c r="Z798" s="1042"/>
      <c r="AA798" s="1042"/>
      <c r="AB798" s="1042"/>
      <c r="AC798" s="1048">
        <v>0</v>
      </c>
      <c r="AD798" s="1043"/>
      <c r="AE798" s="343" t="s">
        <v>872</v>
      </c>
      <c r="BD798" s="292"/>
    </row>
    <row r="799" spans="1:56" x14ac:dyDescent="0.15">
      <c r="A799" s="339"/>
      <c r="B799" s="605"/>
      <c r="T799" s="541"/>
      <c r="BD799" s="292"/>
    </row>
    <row r="800" spans="1:56" x14ac:dyDescent="0.15">
      <c r="B800" s="605"/>
      <c r="D800" s="325"/>
      <c r="F800" s="325"/>
      <c r="I800" s="325"/>
      <c r="T800" s="541"/>
      <c r="W800" s="291" t="s">
        <v>551</v>
      </c>
      <c r="BD800" s="292"/>
    </row>
    <row r="801" spans="1:56" x14ac:dyDescent="0.15">
      <c r="A801" s="339"/>
      <c r="B801" s="605"/>
      <c r="T801" s="541"/>
      <c r="W801" s="1038" t="s">
        <v>137</v>
      </c>
      <c r="X801" s="1039"/>
      <c r="Y801" s="1039"/>
      <c r="Z801" s="1039"/>
      <c r="AA801" s="1039"/>
      <c r="AB801" s="1039"/>
      <c r="AC801" s="1039"/>
      <c r="AD801" s="1040"/>
      <c r="BD801" s="292"/>
    </row>
    <row r="802" spans="1:56" x14ac:dyDescent="0.15">
      <c r="A802" s="339"/>
      <c r="B802" s="605"/>
      <c r="T802" s="541"/>
      <c r="W802" s="605"/>
      <c r="X802" s="291" t="s">
        <v>248</v>
      </c>
      <c r="AC802" s="325" t="s">
        <v>556</v>
      </c>
      <c r="AD802" s="292"/>
      <c r="BD802" s="292"/>
    </row>
    <row r="803" spans="1:56" x14ac:dyDescent="0.15">
      <c r="A803" s="339"/>
      <c r="B803" s="605"/>
      <c r="T803" s="541"/>
      <c r="W803" s="605"/>
      <c r="X803" s="291" t="s">
        <v>244</v>
      </c>
      <c r="AC803" s="291">
        <v>11</v>
      </c>
      <c r="AD803" s="292"/>
      <c r="BD803" s="292"/>
    </row>
    <row r="804" spans="1:56" x14ac:dyDescent="0.15">
      <c r="A804" s="339"/>
      <c r="B804" s="605"/>
      <c r="T804" s="541"/>
      <c r="W804" s="605"/>
      <c r="X804" s="291" t="s">
        <v>261</v>
      </c>
      <c r="AC804" s="291">
        <v>5</v>
      </c>
      <c r="AD804" s="292"/>
      <c r="BD804" s="292"/>
    </row>
    <row r="805" spans="1:56" x14ac:dyDescent="0.15">
      <c r="A805" s="339"/>
      <c r="B805" s="605"/>
      <c r="T805" s="541"/>
      <c r="W805" s="605"/>
      <c r="X805" s="291" t="s">
        <v>560</v>
      </c>
      <c r="AC805" s="291">
        <v>1</v>
      </c>
      <c r="AD805" s="292" t="s">
        <v>849</v>
      </c>
      <c r="BD805" s="292"/>
    </row>
    <row r="806" spans="1:56" x14ac:dyDescent="0.15">
      <c r="A806" s="339"/>
      <c r="B806" s="605"/>
      <c r="T806" s="541"/>
      <c r="W806" s="605"/>
      <c r="X806" s="291" t="s">
        <v>282</v>
      </c>
      <c r="AC806" s="504">
        <v>0</v>
      </c>
      <c r="AD806" s="292"/>
      <c r="AE806" s="343" t="s">
        <v>872</v>
      </c>
      <c r="BD806" s="292"/>
    </row>
    <row r="807" spans="1:56" x14ac:dyDescent="0.15">
      <c r="A807" s="339"/>
      <c r="B807" s="605"/>
      <c r="T807" s="541"/>
      <c r="W807" s="1041"/>
      <c r="X807" s="1042" t="s">
        <v>295</v>
      </c>
      <c r="Y807" s="1042"/>
      <c r="Z807" s="1042"/>
      <c r="AA807" s="1042"/>
      <c r="AB807" s="1042"/>
      <c r="AC807" s="1048">
        <v>0</v>
      </c>
      <c r="AD807" s="1043"/>
      <c r="AE807" s="343" t="s">
        <v>872</v>
      </c>
      <c r="BD807" s="292"/>
    </row>
    <row r="808" spans="1:56" x14ac:dyDescent="0.15">
      <c r="A808" s="339"/>
      <c r="B808" s="605"/>
      <c r="T808" s="541"/>
      <c r="BD808" s="292"/>
    </row>
    <row r="809" spans="1:56" x14ac:dyDescent="0.15">
      <c r="A809" s="339"/>
      <c r="B809" s="605"/>
      <c r="T809" s="541"/>
      <c r="AG809" s="342" t="s">
        <v>955</v>
      </c>
      <c r="BD809" s="292"/>
    </row>
    <row r="810" spans="1:56" x14ac:dyDescent="0.15">
      <c r="B810" s="605"/>
      <c r="D810" s="325"/>
      <c r="F810" s="325"/>
      <c r="I810" s="325"/>
      <c r="T810" s="541"/>
      <c r="AH810" s="291" t="s">
        <v>956</v>
      </c>
      <c r="BD810" s="292"/>
    </row>
    <row r="811" spans="1:56" x14ac:dyDescent="0.15">
      <c r="A811" s="339"/>
      <c r="B811" s="605"/>
      <c r="T811" s="541"/>
      <c r="AH811" s="1038" t="s">
        <v>640</v>
      </c>
      <c r="AI811" s="1039"/>
      <c r="AJ811" s="1039"/>
      <c r="AK811" s="1039"/>
      <c r="AL811" s="1039"/>
      <c r="AM811" s="1039"/>
      <c r="AN811" s="1039"/>
      <c r="AO811" s="1040"/>
      <c r="BD811" s="292"/>
    </row>
    <row r="812" spans="1:56" x14ac:dyDescent="0.15">
      <c r="A812" s="339"/>
      <c r="B812" s="605"/>
      <c r="T812" s="541"/>
      <c r="AH812" s="605"/>
      <c r="AI812" s="291" t="s">
        <v>248</v>
      </c>
      <c r="AN812" s="325" t="s">
        <v>556</v>
      </c>
      <c r="AO812" s="292"/>
      <c r="BD812" s="292"/>
    </row>
    <row r="813" spans="1:56" x14ac:dyDescent="0.15">
      <c r="A813" s="339"/>
      <c r="B813" s="605"/>
      <c r="T813" s="541"/>
      <c r="AH813" s="605"/>
      <c r="AI813" s="291" t="s">
        <v>244</v>
      </c>
      <c r="AN813" s="291">
        <v>11</v>
      </c>
      <c r="AO813" s="292"/>
      <c r="BD813" s="292"/>
    </row>
    <row r="814" spans="1:56" x14ac:dyDescent="0.15">
      <c r="A814" s="339"/>
      <c r="B814" s="605"/>
      <c r="T814" s="541"/>
      <c r="AH814" s="605"/>
      <c r="AI814" s="291" t="s">
        <v>641</v>
      </c>
      <c r="AN814" s="504">
        <v>200</v>
      </c>
      <c r="AO814" s="292"/>
      <c r="AP814" s="343" t="s">
        <v>661</v>
      </c>
      <c r="BD814" s="292"/>
    </row>
    <row r="815" spans="1:56" x14ac:dyDescent="0.15">
      <c r="A815" s="339"/>
      <c r="B815" s="605"/>
      <c r="T815" s="541"/>
      <c r="AH815" s="605"/>
      <c r="AI815" s="291" t="s">
        <v>643</v>
      </c>
      <c r="AN815" s="504">
        <v>198</v>
      </c>
      <c r="AO815" s="292"/>
      <c r="AP815" s="343" t="s">
        <v>644</v>
      </c>
      <c r="BD815" s="292"/>
    </row>
    <row r="816" spans="1:56" x14ac:dyDescent="0.15">
      <c r="A816" s="339"/>
      <c r="B816" s="605"/>
      <c r="T816" s="541"/>
      <c r="AH816" s="1041"/>
      <c r="AI816" s="1042" t="s">
        <v>957</v>
      </c>
      <c r="AJ816" s="1042"/>
      <c r="AK816" s="1042"/>
      <c r="AL816" s="1042"/>
      <c r="AM816" s="1042"/>
      <c r="AN816" s="1079">
        <v>13</v>
      </c>
      <c r="AO816" s="1043"/>
      <c r="AP816" s="343" t="s">
        <v>958</v>
      </c>
      <c r="BD816" s="292"/>
    </row>
    <row r="817" spans="1:57" x14ac:dyDescent="0.15">
      <c r="A817" s="339"/>
      <c r="B817" s="605"/>
      <c r="T817" s="541"/>
      <c r="BD817" s="292"/>
    </row>
    <row r="818" spans="1:57" x14ac:dyDescent="0.15">
      <c r="A818" s="339"/>
      <c r="B818" s="605"/>
      <c r="BD818" s="292"/>
    </row>
    <row r="819" spans="1:57" x14ac:dyDescent="0.15">
      <c r="B819" s="1041"/>
      <c r="C819" s="1042"/>
      <c r="D819" s="1042"/>
      <c r="E819" s="1042"/>
      <c r="F819" s="1042"/>
      <c r="G819" s="1042"/>
      <c r="H819" s="1042"/>
      <c r="I819" s="1042"/>
      <c r="J819" s="1042"/>
      <c r="K819" s="1042"/>
      <c r="L819" s="1042"/>
      <c r="M819" s="1042"/>
      <c r="N819" s="1042"/>
      <c r="O819" s="1042"/>
      <c r="P819" s="1042"/>
      <c r="Q819" s="1042"/>
      <c r="R819" s="1042"/>
      <c r="S819" s="1042"/>
      <c r="T819" s="1042"/>
      <c r="U819" s="1042"/>
      <c r="V819" s="1042"/>
      <c r="W819" s="1042"/>
      <c r="X819" s="1042"/>
      <c r="Y819" s="1042"/>
      <c r="Z819" s="1042"/>
      <c r="AA819" s="1042"/>
      <c r="AB819" s="1042"/>
      <c r="AC819" s="1042"/>
      <c r="AD819" s="1042"/>
      <c r="AE819" s="1042"/>
      <c r="AF819" s="1042"/>
      <c r="AG819" s="1042"/>
      <c r="AH819" s="1042"/>
      <c r="AI819" s="1042"/>
      <c r="AJ819" s="1042"/>
      <c r="AK819" s="1042"/>
      <c r="AL819" s="1042"/>
      <c r="AM819" s="1042"/>
      <c r="AN819" s="1042"/>
      <c r="AO819" s="1042"/>
      <c r="AP819" s="1042"/>
      <c r="AQ819" s="1042"/>
      <c r="AR819" s="1042"/>
      <c r="AS819" s="1042"/>
      <c r="AT819" s="1042"/>
      <c r="AU819" s="1042"/>
      <c r="AV819" s="1042"/>
      <c r="AW819" s="1042"/>
      <c r="AX819" s="1042"/>
      <c r="AY819" s="1042"/>
      <c r="AZ819" s="1042"/>
      <c r="BA819" s="1042"/>
      <c r="BB819" s="1042"/>
      <c r="BC819" s="1042"/>
      <c r="BD819" s="1043"/>
    </row>
    <row r="820" spans="1:57" ht="12" thickBot="1" x14ac:dyDescent="0.2"/>
    <row r="821" spans="1:57" ht="12.75" thickTop="1" x14ac:dyDescent="0.15">
      <c r="B821" s="50" t="s">
        <v>6</v>
      </c>
      <c r="C821" s="51"/>
      <c r="D821" s="51"/>
      <c r="E821" s="51"/>
      <c r="F821" s="51"/>
      <c r="G821" s="51"/>
      <c r="H821" s="51"/>
      <c r="I821" s="51"/>
      <c r="J821" s="51"/>
      <c r="K821" s="51"/>
      <c r="L821" s="51"/>
      <c r="M821" s="51"/>
      <c r="N821" s="52"/>
      <c r="O821" s="677" t="s">
        <v>7</v>
      </c>
      <c r="P821" s="830"/>
      <c r="Q821" s="830"/>
      <c r="R821" s="830"/>
      <c r="S821" s="830"/>
      <c r="T821" s="831"/>
      <c r="U821" s="1250" t="s">
        <v>8</v>
      </c>
      <c r="V821" s="1248"/>
      <c r="W821" s="1248"/>
      <c r="X821" s="1248"/>
      <c r="Y821" s="1248"/>
      <c r="Z821" s="1248"/>
      <c r="AA821" s="1249"/>
      <c r="AB821" s="1306" t="str">
        <f>AB$1</f>
        <v>取引ログ作成時の注意事項（値引併用）</v>
      </c>
      <c r="AC821" s="1307"/>
      <c r="AD821" s="1307"/>
      <c r="AE821" s="1307"/>
      <c r="AF821" s="1307"/>
      <c r="AG821" s="1307"/>
      <c r="AH821" s="1307"/>
      <c r="AI821" s="1307"/>
      <c r="AJ821" s="1307"/>
      <c r="AK821" s="1307"/>
      <c r="AL821" s="1307"/>
      <c r="AM821" s="1307"/>
      <c r="AN821" s="1308"/>
      <c r="AO821" s="1250" t="s">
        <v>10</v>
      </c>
      <c r="AP821" s="1249"/>
      <c r="AQ821" s="1303" t="s">
        <v>11</v>
      </c>
      <c r="AR821" s="1304"/>
      <c r="AS821" s="1305"/>
      <c r="AT821" s="1250" t="s">
        <v>12</v>
      </c>
      <c r="AU821" s="1248"/>
      <c r="AV821" s="1248"/>
      <c r="AW821" s="1249"/>
      <c r="AX821" s="1303" t="s">
        <v>13</v>
      </c>
      <c r="AY821" s="1304"/>
      <c r="AZ821" s="1305"/>
      <c r="BA821" s="1250" t="s">
        <v>14</v>
      </c>
      <c r="BB821" s="1248"/>
      <c r="BC821" s="1248"/>
      <c r="BD821" s="1249"/>
      <c r="BE821" s="355" t="s">
        <v>701</v>
      </c>
    </row>
    <row r="822" spans="1:57" ht="12.75" thickBot="1" x14ac:dyDescent="0.2">
      <c r="B822" s="1260" t="s">
        <v>15</v>
      </c>
      <c r="C822" s="1261"/>
      <c r="D822" s="1261"/>
      <c r="E822" s="1261"/>
      <c r="F822" s="1261"/>
      <c r="G822" s="1261"/>
      <c r="H822" s="1261"/>
      <c r="I822" s="1261"/>
      <c r="J822" s="1261"/>
      <c r="K822" s="1261"/>
      <c r="L822" s="1261"/>
      <c r="M822" s="1261"/>
      <c r="N822" s="1262"/>
      <c r="O822" s="678" t="s">
        <v>16</v>
      </c>
      <c r="P822" s="834"/>
      <c r="Q822" s="834"/>
      <c r="R822" s="834"/>
      <c r="S822" s="834"/>
      <c r="T822" s="835"/>
      <c r="U822" s="1266" t="s">
        <v>163</v>
      </c>
      <c r="V822" s="1264"/>
      <c r="W822" s="1264"/>
      <c r="X822" s="1264"/>
      <c r="Y822" s="1264"/>
      <c r="Z822" s="1264"/>
      <c r="AA822" s="1265"/>
      <c r="AB822" s="1309"/>
      <c r="AC822" s="1310"/>
      <c r="AD822" s="1310"/>
      <c r="AE822" s="1310"/>
      <c r="AF822" s="1310"/>
      <c r="AG822" s="1310"/>
      <c r="AH822" s="1310"/>
      <c r="AI822" s="1310"/>
      <c r="AJ822" s="1310"/>
      <c r="AK822" s="1310"/>
      <c r="AL822" s="1310"/>
      <c r="AM822" s="1310"/>
      <c r="AN822" s="1311"/>
      <c r="AO822" s="1267">
        <f>AO$2</f>
        <v>1.1200000000000001</v>
      </c>
      <c r="AP822" s="1268"/>
      <c r="AQ822" s="1266" t="str">
        <f>AQ$2</f>
        <v>富士通</v>
      </c>
      <c r="AR822" s="1264"/>
      <c r="AS822" s="1265"/>
      <c r="AT822" s="1269">
        <f>AT$2</f>
        <v>45709</v>
      </c>
      <c r="AU822" s="1270"/>
      <c r="AV822" s="1270"/>
      <c r="AW822" s="1270"/>
      <c r="AX822" s="1266" t="s">
        <v>18</v>
      </c>
      <c r="AY822" s="1264"/>
      <c r="AZ822" s="1265"/>
      <c r="BA822" s="1269">
        <v>45588</v>
      </c>
      <c r="BB822" s="1270"/>
      <c r="BC822" s="1270"/>
      <c r="BD822" s="1271"/>
    </row>
    <row r="823" spans="1:57" ht="12" thickTop="1" x14ac:dyDescent="0.15"/>
    <row r="824" spans="1:57" x14ac:dyDescent="0.15">
      <c r="B824" s="1038"/>
      <c r="C824" s="1039"/>
      <c r="D824" s="1039"/>
      <c r="E824" s="1039"/>
      <c r="F824" s="1039"/>
      <c r="G824" s="1039"/>
      <c r="H824" s="1039"/>
      <c r="I824" s="1039"/>
      <c r="J824" s="1039"/>
      <c r="K824" s="1039"/>
      <c r="L824" s="1039"/>
      <c r="M824" s="1039"/>
      <c r="N824" s="1039"/>
      <c r="O824" s="1039"/>
      <c r="P824" s="1039"/>
      <c r="Q824" s="1039"/>
      <c r="R824" s="1039"/>
      <c r="S824" s="1039"/>
      <c r="T824" s="1039"/>
      <c r="U824" s="1039"/>
      <c r="V824" s="1039"/>
      <c r="W824" s="1039"/>
      <c r="X824" s="1039"/>
      <c r="Y824" s="1039"/>
      <c r="Z824" s="1039"/>
      <c r="AA824" s="1039"/>
      <c r="AB824" s="1039"/>
      <c r="AC824" s="1039"/>
      <c r="AD824" s="1039"/>
      <c r="AE824" s="1039"/>
      <c r="AF824" s="1039"/>
      <c r="AG824" s="1039"/>
      <c r="AH824" s="1039"/>
      <c r="AI824" s="1039"/>
      <c r="AJ824" s="1039"/>
      <c r="AK824" s="1039"/>
      <c r="AL824" s="1039"/>
      <c r="AM824" s="1039"/>
      <c r="AN824" s="1039"/>
      <c r="AO824" s="1039"/>
      <c r="AP824" s="1039"/>
      <c r="AQ824" s="1039"/>
      <c r="AR824" s="1039"/>
      <c r="AS824" s="1039"/>
      <c r="AT824" s="1039"/>
      <c r="AU824" s="1039"/>
      <c r="AV824" s="1039"/>
      <c r="AW824" s="1039"/>
      <c r="AX824" s="1039"/>
      <c r="AY824" s="1039"/>
      <c r="AZ824" s="1039"/>
      <c r="BA824" s="1039"/>
      <c r="BB824" s="1039"/>
      <c r="BC824" s="1039"/>
      <c r="BD824" s="1040"/>
    </row>
    <row r="825" spans="1:57" x14ac:dyDescent="0.15">
      <c r="A825" s="339"/>
      <c r="B825" s="605"/>
      <c r="C825" s="345" t="s">
        <v>662</v>
      </c>
      <c r="D825" s="291" t="s">
        <v>959</v>
      </c>
      <c r="BD825" s="292"/>
    </row>
    <row r="826" spans="1:57" x14ac:dyDescent="0.15">
      <c r="A826" s="339"/>
      <c r="B826" s="605"/>
      <c r="BD826" s="292"/>
    </row>
    <row r="827" spans="1:57" x14ac:dyDescent="0.15">
      <c r="A827" s="339"/>
      <c r="B827" s="605"/>
      <c r="D827" s="291" t="s">
        <v>703</v>
      </c>
      <c r="BD827" s="292"/>
    </row>
    <row r="828" spans="1:57" x14ac:dyDescent="0.15">
      <c r="A828" s="339"/>
      <c r="B828" s="605"/>
      <c r="D828" s="1042" t="s">
        <v>704</v>
      </c>
      <c r="E828" s="1042"/>
      <c r="F828" s="1042" t="s">
        <v>833</v>
      </c>
      <c r="G828" s="1042"/>
      <c r="H828" s="1042" t="s">
        <v>834</v>
      </c>
      <c r="I828" s="1042"/>
      <c r="J828" s="1042" t="s">
        <v>705</v>
      </c>
      <c r="K828" s="1042"/>
      <c r="L828" s="1042"/>
      <c r="M828" s="1042"/>
      <c r="N828" s="1042"/>
      <c r="O828" s="1042" t="s">
        <v>835</v>
      </c>
      <c r="P828" s="1042"/>
      <c r="Q828" s="1042"/>
      <c r="R828" s="1042" t="s">
        <v>706</v>
      </c>
      <c r="S828" s="1042"/>
      <c r="T828" s="1042"/>
      <c r="U828" s="1042" t="s">
        <v>711</v>
      </c>
      <c r="V828" s="1042"/>
      <c r="W828" s="1042"/>
      <c r="X828" s="1042"/>
      <c r="Y828" s="1042"/>
      <c r="Z828" s="1042"/>
      <c r="AA828" s="1042"/>
      <c r="AB828" s="1042"/>
      <c r="AC828" s="1042"/>
      <c r="AD828" s="1042"/>
      <c r="AE828" s="1042"/>
      <c r="AF828" s="1042"/>
      <c r="AG828" s="1042"/>
      <c r="AH828" s="1042"/>
      <c r="AI828" s="1042"/>
      <c r="AJ828" s="1042"/>
      <c r="BD828" s="292"/>
    </row>
    <row r="829" spans="1:57" x14ac:dyDescent="0.15">
      <c r="B829" s="605"/>
      <c r="D829" s="291">
        <v>1</v>
      </c>
      <c r="F829" s="341" t="s">
        <v>864</v>
      </c>
      <c r="H829" s="341" t="s">
        <v>865</v>
      </c>
      <c r="J829" s="340" t="s">
        <v>937</v>
      </c>
      <c r="L829" s="340"/>
      <c r="M829" s="340"/>
      <c r="N829" s="340"/>
      <c r="O829" s="557">
        <v>100</v>
      </c>
      <c r="P829" s="340"/>
      <c r="R829" s="340" t="s">
        <v>713</v>
      </c>
      <c r="S829" s="340"/>
      <c r="T829" s="340"/>
      <c r="W829" s="340"/>
      <c r="X829" s="340"/>
      <c r="Z829" s="340"/>
      <c r="BD829" s="292"/>
    </row>
    <row r="830" spans="1:57" x14ac:dyDescent="0.15">
      <c r="B830" s="605"/>
      <c r="G830" s="340"/>
      <c r="H830" s="340"/>
      <c r="I830" s="340"/>
      <c r="J830" s="550" t="s">
        <v>508</v>
      </c>
      <c r="K830" s="550"/>
      <c r="L830" s="550"/>
      <c r="M830" s="551"/>
      <c r="N830" s="551"/>
      <c r="O830" s="550" t="s">
        <v>838</v>
      </c>
      <c r="P830" s="550"/>
      <c r="Q830" s="550"/>
      <c r="R830" s="550" t="s">
        <v>839</v>
      </c>
      <c r="S830" s="550"/>
      <c r="T830" s="550"/>
      <c r="U830" s="549" t="s">
        <v>840</v>
      </c>
      <c r="V830" s="549"/>
      <c r="W830" s="548"/>
      <c r="X830" s="549"/>
      <c r="Y830" s="548"/>
      <c r="Z830" s="548"/>
      <c r="AA830" s="548"/>
      <c r="AB830" s="548"/>
      <c r="AC830" s="548"/>
      <c r="AD830" s="548"/>
      <c r="AE830" s="548"/>
      <c r="BD830" s="292"/>
    </row>
    <row r="831" spans="1:57" x14ac:dyDescent="0.15">
      <c r="B831" s="605"/>
      <c r="G831" s="340"/>
      <c r="H831" s="340"/>
      <c r="I831" s="340"/>
      <c r="J831" s="340" t="s">
        <v>844</v>
      </c>
      <c r="K831" s="340"/>
      <c r="L831" s="340"/>
      <c r="M831" s="341"/>
      <c r="N831" s="341"/>
      <c r="O831" s="554">
        <v>98</v>
      </c>
      <c r="P831" s="340"/>
      <c r="Q831" s="340"/>
      <c r="R831" s="340" t="s">
        <v>612</v>
      </c>
      <c r="S831" s="340"/>
      <c r="T831" s="340"/>
      <c r="U831" s="340"/>
      <c r="V831" s="340"/>
      <c r="X831" s="340"/>
      <c r="BD831" s="292"/>
    </row>
    <row r="832" spans="1:57" x14ac:dyDescent="0.15">
      <c r="B832" s="605"/>
      <c r="G832" s="340"/>
      <c r="H832" s="340"/>
      <c r="I832" s="340"/>
      <c r="J832" s="340" t="s">
        <v>867</v>
      </c>
      <c r="K832" s="340"/>
      <c r="L832" s="340"/>
      <c r="M832" s="341"/>
      <c r="N832" s="341"/>
      <c r="O832" s="555">
        <v>0.15</v>
      </c>
      <c r="P832" s="340"/>
      <c r="Q832" s="340"/>
      <c r="R832" s="340" t="s">
        <v>868</v>
      </c>
      <c r="S832" s="340"/>
      <c r="T832" s="340"/>
      <c r="U832" s="340" t="s">
        <v>869</v>
      </c>
      <c r="V832" s="340"/>
      <c r="X832" s="340"/>
      <c r="BD832" s="292"/>
    </row>
    <row r="833" spans="2:56" x14ac:dyDescent="0.15">
      <c r="B833" s="605"/>
      <c r="G833" s="340"/>
      <c r="H833" s="340"/>
      <c r="I833" s="340"/>
      <c r="J833" s="340" t="s">
        <v>912</v>
      </c>
      <c r="K833" s="340"/>
      <c r="L833" s="340"/>
      <c r="M833" s="341"/>
      <c r="N833" s="341"/>
      <c r="O833" s="340" t="s">
        <v>933</v>
      </c>
      <c r="P833" s="340"/>
      <c r="Q833" s="340"/>
      <c r="R833" s="340" t="s">
        <v>612</v>
      </c>
      <c r="S833" s="340"/>
      <c r="T833" s="340"/>
      <c r="U833" s="340"/>
      <c r="V833" s="340"/>
      <c r="X833" s="340"/>
      <c r="BD833" s="292"/>
    </row>
    <row r="834" spans="2:56" x14ac:dyDescent="0.15">
      <c r="B834" s="605"/>
      <c r="G834" s="340"/>
      <c r="H834" s="340"/>
      <c r="I834" s="340"/>
      <c r="J834" s="340" t="s">
        <v>938</v>
      </c>
      <c r="K834" s="340"/>
      <c r="L834" s="340"/>
      <c r="M834" s="341"/>
      <c r="N834" s="341"/>
      <c r="O834" s="556">
        <v>10</v>
      </c>
      <c r="P834" s="340"/>
      <c r="Q834" s="340"/>
      <c r="R834" s="340" t="s">
        <v>508</v>
      </c>
      <c r="S834" s="340"/>
      <c r="T834" s="340"/>
      <c r="U834" s="340" t="s">
        <v>960</v>
      </c>
      <c r="V834" s="340"/>
      <c r="X834" s="340"/>
      <c r="BD834" s="292"/>
    </row>
    <row r="835" spans="2:56" x14ac:dyDescent="0.15">
      <c r="B835" s="605"/>
      <c r="D835" s="519">
        <v>2</v>
      </c>
      <c r="E835" s="519"/>
      <c r="F835" s="553" t="s">
        <v>864</v>
      </c>
      <c r="G835" s="519"/>
      <c r="H835" s="553" t="s">
        <v>865</v>
      </c>
      <c r="I835" s="519"/>
      <c r="J835" s="520" t="s">
        <v>937</v>
      </c>
      <c r="K835" s="519"/>
      <c r="L835" s="520"/>
      <c r="M835" s="520"/>
      <c r="N835" s="520"/>
      <c r="O835" s="552">
        <v>100</v>
      </c>
      <c r="P835" s="520"/>
      <c r="Q835" s="519"/>
      <c r="R835" s="520" t="s">
        <v>713</v>
      </c>
      <c r="S835" s="520"/>
      <c r="T835" s="520"/>
      <c r="U835" s="519"/>
      <c r="V835" s="519"/>
      <c r="W835" s="520"/>
      <c r="X835" s="520"/>
      <c r="Y835" s="519"/>
      <c r="Z835" s="520"/>
      <c r="AA835" s="519"/>
      <c r="AB835" s="519"/>
      <c r="AC835" s="519"/>
      <c r="AD835" s="519"/>
      <c r="AE835" s="519"/>
      <c r="AF835" s="519"/>
      <c r="AG835" s="519"/>
      <c r="AH835" s="519"/>
      <c r="AI835" s="519"/>
      <c r="AJ835" s="519"/>
      <c r="BD835" s="292"/>
    </row>
    <row r="836" spans="2:56" x14ac:dyDescent="0.15">
      <c r="B836" s="605"/>
      <c r="G836" s="340"/>
      <c r="H836" s="340"/>
      <c r="I836" s="340"/>
      <c r="J836" s="550" t="s">
        <v>508</v>
      </c>
      <c r="K836" s="550"/>
      <c r="L836" s="550"/>
      <c r="M836" s="551"/>
      <c r="N836" s="551"/>
      <c r="O836" s="550" t="s">
        <v>838</v>
      </c>
      <c r="P836" s="550"/>
      <c r="Q836" s="550"/>
      <c r="R836" s="550" t="s">
        <v>839</v>
      </c>
      <c r="S836" s="550"/>
      <c r="T836" s="550"/>
      <c r="U836" s="549" t="s">
        <v>840</v>
      </c>
      <c r="V836" s="549"/>
      <c r="W836" s="548"/>
      <c r="X836" s="549"/>
      <c r="Y836" s="548"/>
      <c r="Z836" s="548"/>
      <c r="AA836" s="548"/>
      <c r="AB836" s="548"/>
      <c r="AC836" s="548"/>
      <c r="AD836" s="548"/>
      <c r="AE836" s="548"/>
      <c r="BD836" s="292"/>
    </row>
    <row r="837" spans="2:56" x14ac:dyDescent="0.15">
      <c r="B837" s="605"/>
      <c r="G837" s="340"/>
      <c r="H837" s="340"/>
      <c r="I837" s="340"/>
      <c r="J837" s="340" t="s">
        <v>844</v>
      </c>
      <c r="K837" s="340"/>
      <c r="L837" s="340"/>
      <c r="M837" s="341"/>
      <c r="N837" s="341"/>
      <c r="O837" s="554">
        <v>98</v>
      </c>
      <c r="P837" s="340"/>
      <c r="Q837" s="340"/>
      <c r="R837" s="340" t="s">
        <v>612</v>
      </c>
      <c r="S837" s="340"/>
      <c r="T837" s="340"/>
      <c r="U837" s="340"/>
      <c r="V837" s="340"/>
      <c r="X837" s="340"/>
      <c r="BD837" s="292"/>
    </row>
    <row r="838" spans="2:56" x14ac:dyDescent="0.15">
      <c r="B838" s="605"/>
      <c r="G838" s="340"/>
      <c r="H838" s="340"/>
      <c r="I838" s="340"/>
      <c r="J838" s="340" t="s">
        <v>867</v>
      </c>
      <c r="K838" s="340"/>
      <c r="L838" s="340"/>
      <c r="M838" s="341"/>
      <c r="N838" s="341"/>
      <c r="O838" s="555">
        <v>0.15</v>
      </c>
      <c r="P838" s="340"/>
      <c r="Q838" s="340"/>
      <c r="R838" s="340" t="s">
        <v>868</v>
      </c>
      <c r="S838" s="340"/>
      <c r="T838" s="340"/>
      <c r="U838" s="340" t="s">
        <v>869</v>
      </c>
      <c r="V838" s="340"/>
      <c r="X838" s="340"/>
      <c r="BD838" s="292"/>
    </row>
    <row r="839" spans="2:56" x14ac:dyDescent="0.15">
      <c r="B839" s="605"/>
      <c r="G839" s="340"/>
      <c r="H839" s="340"/>
      <c r="I839" s="340"/>
      <c r="J839" s="340" t="s">
        <v>912</v>
      </c>
      <c r="K839" s="340"/>
      <c r="L839" s="340"/>
      <c r="M839" s="341"/>
      <c r="N839" s="341"/>
      <c r="O839" s="340" t="s">
        <v>933</v>
      </c>
      <c r="P839" s="340"/>
      <c r="Q839" s="340"/>
      <c r="R839" s="340" t="s">
        <v>612</v>
      </c>
      <c r="S839" s="340"/>
      <c r="T839" s="340"/>
      <c r="U839" s="340"/>
      <c r="V839" s="340"/>
      <c r="X839" s="340"/>
      <c r="BD839" s="292"/>
    </row>
    <row r="840" spans="2:56" x14ac:dyDescent="0.15">
      <c r="B840" s="605"/>
      <c r="G840" s="340"/>
      <c r="H840" s="340"/>
      <c r="I840" s="340"/>
      <c r="J840" s="340" t="s">
        <v>940</v>
      </c>
      <c r="K840" s="340"/>
      <c r="L840" s="340"/>
      <c r="M840" s="341"/>
      <c r="N840" s="341"/>
      <c r="O840" s="555">
        <v>0.18</v>
      </c>
      <c r="P840" s="340"/>
      <c r="Q840" s="340"/>
      <c r="R840" s="340" t="s">
        <v>868</v>
      </c>
      <c r="S840" s="340"/>
      <c r="T840" s="340"/>
      <c r="U840" s="340" t="s">
        <v>960</v>
      </c>
      <c r="V840" s="340"/>
      <c r="X840" s="340"/>
      <c r="BD840" s="292"/>
    </row>
    <row r="841" spans="2:56" x14ac:dyDescent="0.15">
      <c r="B841" s="605"/>
      <c r="D841" s="519">
        <v>3</v>
      </c>
      <c r="E841" s="519"/>
      <c r="F841" s="553" t="s">
        <v>864</v>
      </c>
      <c r="G841" s="519"/>
      <c r="H841" s="553" t="s">
        <v>865</v>
      </c>
      <c r="I841" s="519"/>
      <c r="J841" s="520" t="s">
        <v>937</v>
      </c>
      <c r="K841" s="519"/>
      <c r="L841" s="520"/>
      <c r="M841" s="520"/>
      <c r="N841" s="520"/>
      <c r="O841" s="552">
        <v>100</v>
      </c>
      <c r="P841" s="520"/>
      <c r="Q841" s="519"/>
      <c r="R841" s="520" t="s">
        <v>713</v>
      </c>
      <c r="S841" s="520"/>
      <c r="T841" s="520"/>
      <c r="U841" s="519"/>
      <c r="V841" s="519"/>
      <c r="W841" s="520"/>
      <c r="X841" s="520"/>
      <c r="Y841" s="519"/>
      <c r="Z841" s="520"/>
      <c r="AA841" s="519"/>
      <c r="AB841" s="519"/>
      <c r="AC841" s="519"/>
      <c r="AD841" s="519"/>
      <c r="AE841" s="519"/>
      <c r="AF841" s="519"/>
      <c r="AG841" s="519"/>
      <c r="AH841" s="519"/>
      <c r="AI841" s="519"/>
      <c r="AJ841" s="519"/>
      <c r="BD841" s="292"/>
    </row>
    <row r="842" spans="2:56" x14ac:dyDescent="0.15">
      <c r="B842" s="605"/>
      <c r="G842" s="340"/>
      <c r="H842" s="340"/>
      <c r="I842" s="340"/>
      <c r="J842" s="550" t="s">
        <v>508</v>
      </c>
      <c r="K842" s="550"/>
      <c r="L842" s="550"/>
      <c r="M842" s="551"/>
      <c r="N842" s="551"/>
      <c r="O842" s="550" t="s">
        <v>838</v>
      </c>
      <c r="P842" s="550"/>
      <c r="Q842" s="550"/>
      <c r="R842" s="550" t="s">
        <v>839</v>
      </c>
      <c r="S842" s="550"/>
      <c r="T842" s="550"/>
      <c r="U842" s="549" t="s">
        <v>840</v>
      </c>
      <c r="V842" s="549"/>
      <c r="W842" s="548"/>
      <c r="X842" s="549"/>
      <c r="Y842" s="548"/>
      <c r="Z842" s="548"/>
      <c r="AA842" s="548"/>
      <c r="AB842" s="548"/>
      <c r="AC842" s="548"/>
      <c r="AD842" s="548"/>
      <c r="AE842" s="548"/>
      <c r="BD842" s="292"/>
    </row>
    <row r="843" spans="2:56" x14ac:dyDescent="0.15">
      <c r="B843" s="605"/>
      <c r="G843" s="340"/>
      <c r="H843" s="340"/>
      <c r="I843" s="340"/>
      <c r="J843" s="340" t="s">
        <v>844</v>
      </c>
      <c r="K843" s="340"/>
      <c r="L843" s="340"/>
      <c r="M843" s="341"/>
      <c r="N843" s="341"/>
      <c r="O843" s="554">
        <v>98</v>
      </c>
      <c r="P843" s="340"/>
      <c r="Q843" s="340"/>
      <c r="R843" s="340" t="s">
        <v>612</v>
      </c>
      <c r="S843" s="340"/>
      <c r="T843" s="340"/>
      <c r="U843" s="340"/>
      <c r="V843" s="340"/>
      <c r="X843" s="340"/>
      <c r="BD843" s="292"/>
    </row>
    <row r="844" spans="2:56" x14ac:dyDescent="0.15">
      <c r="B844" s="605"/>
      <c r="G844" s="340"/>
      <c r="H844" s="340"/>
      <c r="I844" s="325" t="s">
        <v>842</v>
      </c>
      <c r="J844" s="340" t="s">
        <v>867</v>
      </c>
      <c r="K844" s="340"/>
      <c r="L844" s="340"/>
      <c r="M844" s="341"/>
      <c r="N844" s="341"/>
      <c r="O844" s="555">
        <v>0.15</v>
      </c>
      <c r="P844" s="340"/>
      <c r="Q844" s="340"/>
      <c r="R844" s="340" t="s">
        <v>868</v>
      </c>
      <c r="S844" s="340"/>
      <c r="T844" s="340"/>
      <c r="U844" s="340" t="s">
        <v>869</v>
      </c>
      <c r="V844" s="340"/>
      <c r="X844" s="340"/>
      <c r="BD844" s="292"/>
    </row>
    <row r="845" spans="2:56" x14ac:dyDescent="0.15">
      <c r="B845" s="605"/>
      <c r="G845" s="340"/>
      <c r="H845" s="340"/>
      <c r="I845" s="325" t="s">
        <v>842</v>
      </c>
      <c r="J845" s="340" t="s">
        <v>912</v>
      </c>
      <c r="K845" s="340"/>
      <c r="L845" s="340"/>
      <c r="M845" s="341"/>
      <c r="N845" s="341"/>
      <c r="O845" s="340" t="s">
        <v>933</v>
      </c>
      <c r="P845" s="340"/>
      <c r="Q845" s="340"/>
      <c r="R845" s="340" t="s">
        <v>612</v>
      </c>
      <c r="S845" s="340"/>
      <c r="T845" s="340"/>
      <c r="U845" s="340"/>
      <c r="V845" s="340"/>
      <c r="X845" s="340"/>
      <c r="BD845" s="292"/>
    </row>
    <row r="846" spans="2:56" x14ac:dyDescent="0.15">
      <c r="B846" s="605"/>
      <c r="G846" s="340"/>
      <c r="H846" s="340"/>
      <c r="I846" s="340"/>
      <c r="J846" s="340" t="s">
        <v>941</v>
      </c>
      <c r="K846" s="340"/>
      <c r="L846" s="340"/>
      <c r="M846" s="341"/>
      <c r="N846" s="341"/>
      <c r="O846" s="554">
        <v>97</v>
      </c>
      <c r="P846" s="340"/>
      <c r="Q846" s="340"/>
      <c r="R846" s="340" t="s">
        <v>612</v>
      </c>
      <c r="S846" s="340"/>
      <c r="T846" s="340"/>
      <c r="U846" s="340" t="s">
        <v>942</v>
      </c>
      <c r="V846" s="340"/>
      <c r="X846" s="340"/>
      <c r="BD846" s="292"/>
    </row>
    <row r="847" spans="2:56" x14ac:dyDescent="0.15">
      <c r="B847" s="605"/>
      <c r="D847" s="519">
        <v>4</v>
      </c>
      <c r="E847" s="519"/>
      <c r="F847" s="553" t="s">
        <v>864</v>
      </c>
      <c r="G847" s="519"/>
      <c r="H847" s="553" t="s">
        <v>865</v>
      </c>
      <c r="I847" s="519"/>
      <c r="J847" s="520" t="s">
        <v>937</v>
      </c>
      <c r="K847" s="519"/>
      <c r="L847" s="520"/>
      <c r="M847" s="520"/>
      <c r="N847" s="520"/>
      <c r="O847" s="552">
        <v>100</v>
      </c>
      <c r="P847" s="520"/>
      <c r="Q847" s="519"/>
      <c r="R847" s="520" t="s">
        <v>713</v>
      </c>
      <c r="S847" s="520"/>
      <c r="T847" s="520"/>
      <c r="U847" s="519"/>
      <c r="V847" s="519"/>
      <c r="W847" s="520"/>
      <c r="X847" s="520"/>
      <c r="Y847" s="519"/>
      <c r="Z847" s="520"/>
      <c r="AA847" s="519"/>
      <c r="AB847" s="519"/>
      <c r="AC847" s="519"/>
      <c r="AD847" s="519"/>
      <c r="AE847" s="519"/>
      <c r="AF847" s="519"/>
      <c r="AG847" s="519"/>
      <c r="AH847" s="519"/>
      <c r="AI847" s="519"/>
      <c r="AJ847" s="519"/>
      <c r="BD847" s="292"/>
    </row>
    <row r="848" spans="2:56" x14ac:dyDescent="0.15">
      <c r="B848" s="605"/>
      <c r="G848" s="340"/>
      <c r="H848" s="340"/>
      <c r="I848" s="340"/>
      <c r="J848" s="550" t="s">
        <v>508</v>
      </c>
      <c r="K848" s="550"/>
      <c r="L848" s="550"/>
      <c r="M848" s="551"/>
      <c r="N848" s="551"/>
      <c r="O848" s="550" t="s">
        <v>838</v>
      </c>
      <c r="P848" s="550"/>
      <c r="Q848" s="550"/>
      <c r="R848" s="550" t="s">
        <v>839</v>
      </c>
      <c r="S848" s="550"/>
      <c r="T848" s="550"/>
      <c r="U848" s="549" t="s">
        <v>840</v>
      </c>
      <c r="V848" s="549"/>
      <c r="W848" s="548"/>
      <c r="X848" s="549"/>
      <c r="Y848" s="548"/>
      <c r="Z848" s="548"/>
      <c r="AA848" s="548"/>
      <c r="AB848" s="548"/>
      <c r="AC848" s="548"/>
      <c r="AD848" s="548"/>
      <c r="AE848" s="548"/>
      <c r="BD848" s="292"/>
    </row>
    <row r="849" spans="2:56" x14ac:dyDescent="0.15">
      <c r="B849" s="605"/>
      <c r="G849" s="340"/>
      <c r="H849" s="340"/>
      <c r="I849" s="340"/>
      <c r="J849" s="340" t="s">
        <v>844</v>
      </c>
      <c r="K849" s="340"/>
      <c r="L849" s="340"/>
      <c r="M849" s="341"/>
      <c r="N849" s="341"/>
      <c r="O849" s="554">
        <v>98</v>
      </c>
      <c r="P849" s="340"/>
      <c r="Q849" s="340"/>
      <c r="R849" s="340" t="s">
        <v>612</v>
      </c>
      <c r="S849" s="340"/>
      <c r="T849" s="340"/>
      <c r="U849" s="340"/>
      <c r="V849" s="340"/>
      <c r="X849" s="340"/>
      <c r="BD849" s="292"/>
    </row>
    <row r="850" spans="2:56" x14ac:dyDescent="0.15">
      <c r="B850" s="605"/>
      <c r="G850" s="340"/>
      <c r="H850" s="340"/>
      <c r="I850" s="325" t="s">
        <v>842</v>
      </c>
      <c r="J850" s="340" t="s">
        <v>867</v>
      </c>
      <c r="K850" s="340"/>
      <c r="L850" s="340"/>
      <c r="M850" s="341"/>
      <c r="N850" s="341"/>
      <c r="O850" s="555">
        <v>0.15</v>
      </c>
      <c r="P850" s="340"/>
      <c r="Q850" s="340"/>
      <c r="R850" s="340" t="s">
        <v>868</v>
      </c>
      <c r="S850" s="340"/>
      <c r="T850" s="340"/>
      <c r="U850" s="340" t="s">
        <v>869</v>
      </c>
      <c r="V850" s="340"/>
      <c r="X850" s="340"/>
      <c r="BD850" s="292"/>
    </row>
    <row r="851" spans="2:56" x14ac:dyDescent="0.15">
      <c r="B851" s="605"/>
      <c r="G851" s="340"/>
      <c r="H851" s="340"/>
      <c r="I851" s="325" t="s">
        <v>842</v>
      </c>
      <c r="J851" s="340" t="s">
        <v>912</v>
      </c>
      <c r="K851" s="340"/>
      <c r="L851" s="340"/>
      <c r="M851" s="341"/>
      <c r="N851" s="341"/>
      <c r="O851" s="340" t="s">
        <v>933</v>
      </c>
      <c r="P851" s="340"/>
      <c r="Q851" s="340"/>
      <c r="R851" s="340" t="s">
        <v>612</v>
      </c>
      <c r="S851" s="340"/>
      <c r="T851" s="340"/>
      <c r="U851" s="340"/>
      <c r="V851" s="340"/>
      <c r="X851" s="340"/>
      <c r="BD851" s="292"/>
    </row>
    <row r="852" spans="2:56" x14ac:dyDescent="0.15">
      <c r="B852" s="605"/>
      <c r="G852" s="340"/>
      <c r="H852" s="340"/>
      <c r="I852" s="340"/>
      <c r="J852" s="340" t="s">
        <v>941</v>
      </c>
      <c r="K852" s="340"/>
      <c r="L852" s="340"/>
      <c r="M852" s="341"/>
      <c r="N852" s="341"/>
      <c r="O852" s="554">
        <v>99</v>
      </c>
      <c r="P852" s="340"/>
      <c r="Q852" s="340"/>
      <c r="R852" s="340" t="s">
        <v>612</v>
      </c>
      <c r="S852" s="340"/>
      <c r="T852" s="340"/>
      <c r="U852" s="340" t="s">
        <v>943</v>
      </c>
      <c r="V852" s="340"/>
      <c r="X852" s="340"/>
      <c r="BD852" s="292"/>
    </row>
    <row r="853" spans="2:56" x14ac:dyDescent="0.15">
      <c r="B853" s="605"/>
      <c r="D853" s="519">
        <v>5</v>
      </c>
      <c r="E853" s="519"/>
      <c r="F853" s="553" t="s">
        <v>836</v>
      </c>
      <c r="G853" s="519"/>
      <c r="H853" s="553" t="s">
        <v>837</v>
      </c>
      <c r="I853" s="519"/>
      <c r="J853" s="520" t="s">
        <v>961</v>
      </c>
      <c r="K853" s="519"/>
      <c r="L853" s="520"/>
      <c r="M853" s="520"/>
      <c r="N853" s="520"/>
      <c r="O853" s="552">
        <v>100</v>
      </c>
      <c r="P853" s="520"/>
      <c r="Q853" s="519"/>
      <c r="R853" s="520" t="s">
        <v>717</v>
      </c>
      <c r="S853" s="520"/>
      <c r="T853" s="520"/>
      <c r="U853" s="519"/>
      <c r="V853" s="519"/>
      <c r="W853" s="520"/>
      <c r="X853" s="520"/>
      <c r="Y853" s="519"/>
      <c r="Z853" s="520"/>
      <c r="AA853" s="519"/>
      <c r="AB853" s="519"/>
      <c r="AC853" s="519"/>
      <c r="AD853" s="519"/>
      <c r="AE853" s="519"/>
      <c r="AF853" s="519"/>
      <c r="AG853" s="519"/>
      <c r="AH853" s="519"/>
      <c r="AI853" s="519"/>
      <c r="AJ853" s="519"/>
      <c r="BD853" s="292"/>
    </row>
    <row r="854" spans="2:56" x14ac:dyDescent="0.15">
      <c r="B854" s="605"/>
      <c r="G854" s="340"/>
      <c r="H854" s="340"/>
      <c r="I854" s="340"/>
      <c r="J854" s="550" t="s">
        <v>508</v>
      </c>
      <c r="K854" s="550"/>
      <c r="L854" s="550"/>
      <c r="M854" s="551"/>
      <c r="N854" s="551"/>
      <c r="O854" s="550" t="s">
        <v>838</v>
      </c>
      <c r="P854" s="550"/>
      <c r="Q854" s="550"/>
      <c r="R854" s="550" t="s">
        <v>839</v>
      </c>
      <c r="S854" s="550"/>
      <c r="T854" s="550"/>
      <c r="U854" s="549" t="s">
        <v>840</v>
      </c>
      <c r="V854" s="549"/>
      <c r="W854" s="548"/>
      <c r="X854" s="549"/>
      <c r="Y854" s="548"/>
      <c r="Z854" s="548"/>
      <c r="AA854" s="548"/>
      <c r="AB854" s="548"/>
      <c r="AC854" s="548"/>
      <c r="AD854" s="548"/>
      <c r="AE854" s="548"/>
      <c r="BD854" s="292"/>
    </row>
    <row r="855" spans="2:56" x14ac:dyDescent="0.15">
      <c r="B855" s="605"/>
      <c r="G855" s="340"/>
      <c r="H855" s="340"/>
      <c r="I855" s="340"/>
      <c r="J855" s="291" t="s">
        <v>962</v>
      </c>
      <c r="M855" s="325"/>
      <c r="O855" s="547" t="s">
        <v>211</v>
      </c>
      <c r="P855" s="340"/>
      <c r="Q855" s="340"/>
      <c r="R855" s="340" t="s">
        <v>878</v>
      </c>
      <c r="U855" s="291" t="s">
        <v>963</v>
      </c>
      <c r="BD855" s="292"/>
    </row>
    <row r="856" spans="2:56" x14ac:dyDescent="0.15">
      <c r="B856" s="605"/>
      <c r="D856" s="546"/>
      <c r="E856" s="546"/>
      <c r="F856" s="544" t="s">
        <v>508</v>
      </c>
      <c r="G856" s="544"/>
      <c r="H856" s="544"/>
      <c r="I856" s="545"/>
      <c r="J856" s="545"/>
      <c r="K856" s="544" t="s">
        <v>838</v>
      </c>
      <c r="L856" s="544"/>
      <c r="M856" s="544"/>
      <c r="N856" s="544" t="s">
        <v>839</v>
      </c>
      <c r="O856" s="544"/>
      <c r="P856" s="544"/>
      <c r="Q856" s="543" t="s">
        <v>840</v>
      </c>
      <c r="R856" s="543"/>
      <c r="S856" s="542"/>
      <c r="T856" s="543"/>
      <c r="U856" s="542"/>
      <c r="V856" s="542"/>
      <c r="W856" s="542"/>
      <c r="X856" s="542"/>
      <c r="Y856" s="542"/>
      <c r="Z856" s="542"/>
      <c r="AA856" s="542"/>
      <c r="AB856" s="519"/>
      <c r="AC856" s="519"/>
      <c r="AD856" s="519"/>
      <c r="AE856" s="519"/>
      <c r="AF856" s="519"/>
      <c r="AG856" s="519"/>
      <c r="AH856" s="519"/>
      <c r="AI856" s="519"/>
      <c r="AJ856" s="519"/>
      <c r="BD856" s="292"/>
    </row>
    <row r="857" spans="2:56" x14ac:dyDescent="0.15">
      <c r="B857" s="605"/>
      <c r="D857" s="325"/>
      <c r="E857" s="325"/>
      <c r="F857" s="291" t="s">
        <v>964</v>
      </c>
      <c r="G857" s="325"/>
      <c r="J857" s="325"/>
      <c r="K857" s="511">
        <v>0.1</v>
      </c>
      <c r="N857" s="291" t="s">
        <v>868</v>
      </c>
      <c r="BD857" s="292"/>
    </row>
    <row r="858" spans="2:56" x14ac:dyDescent="0.15">
      <c r="B858" s="605"/>
      <c r="D858" s="325"/>
      <c r="F858" s="325"/>
      <c r="I858" s="325"/>
      <c r="M858" s="325"/>
      <c r="BD858" s="292"/>
    </row>
    <row r="859" spans="2:56" x14ac:dyDescent="0.15">
      <c r="B859" s="605"/>
      <c r="D859" s="325"/>
      <c r="F859" s="325"/>
      <c r="I859" s="325"/>
      <c r="M859" s="325"/>
      <c r="BD859" s="292"/>
    </row>
    <row r="860" spans="2:56" x14ac:dyDescent="0.15">
      <c r="B860" s="605"/>
      <c r="D860" s="340" t="s">
        <v>846</v>
      </c>
      <c r="E860" s="340"/>
      <c r="F860" s="340"/>
      <c r="G860" s="340"/>
      <c r="H860" s="340"/>
      <c r="I860" s="340"/>
      <c r="J860" s="340"/>
      <c r="K860" s="340"/>
      <c r="L860" s="340"/>
      <c r="M860" s="340"/>
      <c r="N860" s="340"/>
      <c r="O860" s="340"/>
      <c r="P860" s="340"/>
      <c r="Q860" s="340"/>
      <c r="R860" s="340"/>
      <c r="S860" s="340"/>
      <c r="U860" s="340"/>
      <c r="BD860" s="292"/>
    </row>
    <row r="861" spans="2:56" x14ac:dyDescent="0.15">
      <c r="B861" s="605"/>
      <c r="D861" s="325"/>
      <c r="F861" s="325"/>
      <c r="I861" s="325"/>
      <c r="M861" s="325"/>
      <c r="AF861" s="342"/>
      <c r="AG861" s="342" t="s">
        <v>847</v>
      </c>
      <c r="BD861" s="292"/>
    </row>
    <row r="862" spans="2:56" x14ac:dyDescent="0.15">
      <c r="B862" s="605"/>
      <c r="D862" s="291" t="s">
        <v>549</v>
      </c>
      <c r="M862" s="291" t="s">
        <v>944</v>
      </c>
      <c r="W862" s="291" t="s">
        <v>551</v>
      </c>
      <c r="AH862" s="291" t="s">
        <v>858</v>
      </c>
      <c r="BD862" s="292"/>
    </row>
    <row r="863" spans="2:56" x14ac:dyDescent="0.15">
      <c r="B863" s="605"/>
      <c r="D863" s="1038" t="s">
        <v>552</v>
      </c>
      <c r="E863" s="1039"/>
      <c r="F863" s="1039"/>
      <c r="G863" s="1039"/>
      <c r="H863" s="1039"/>
      <c r="I863" s="1039"/>
      <c r="J863" s="1039"/>
      <c r="K863" s="1040"/>
      <c r="M863" s="1038" t="s">
        <v>553</v>
      </c>
      <c r="N863" s="1039"/>
      <c r="O863" s="1039"/>
      <c r="P863" s="1039"/>
      <c r="Q863" s="1039"/>
      <c r="R863" s="1039"/>
      <c r="S863" s="1039"/>
      <c r="T863" s="1039"/>
      <c r="U863" s="1040"/>
      <c r="W863" s="1038" t="s">
        <v>137</v>
      </c>
      <c r="X863" s="1039"/>
      <c r="Y863" s="1039"/>
      <c r="Z863" s="1039"/>
      <c r="AA863" s="1039"/>
      <c r="AB863" s="1039"/>
      <c r="AC863" s="1039"/>
      <c r="AD863" s="1040"/>
      <c r="AH863" s="1038" t="s">
        <v>35</v>
      </c>
      <c r="AI863" s="1039"/>
      <c r="AJ863" s="1039"/>
      <c r="AK863" s="1039"/>
      <c r="AL863" s="1039"/>
      <c r="AM863" s="1039"/>
      <c r="AN863" s="1039"/>
      <c r="AO863" s="1040"/>
      <c r="BD863" s="292"/>
    </row>
    <row r="864" spans="2:56" x14ac:dyDescent="0.15">
      <c r="B864" s="605"/>
      <c r="D864" s="605"/>
      <c r="E864" s="291" t="s">
        <v>248</v>
      </c>
      <c r="J864" s="325" t="s">
        <v>556</v>
      </c>
      <c r="K864" s="292"/>
      <c r="M864" s="605"/>
      <c r="N864" s="291" t="s">
        <v>248</v>
      </c>
      <c r="T864" s="325" t="s">
        <v>556</v>
      </c>
      <c r="U864" s="292"/>
      <c r="W864" s="605"/>
      <c r="X864" s="291" t="s">
        <v>248</v>
      </c>
      <c r="AC864" s="325" t="s">
        <v>556</v>
      </c>
      <c r="AD864" s="292"/>
      <c r="AH864" s="605"/>
      <c r="AI864" s="291" t="s">
        <v>248</v>
      </c>
      <c r="AN864" s="325" t="s">
        <v>556</v>
      </c>
      <c r="AO864" s="292"/>
      <c r="BD864" s="292"/>
    </row>
    <row r="865" spans="1:56" x14ac:dyDescent="0.15">
      <c r="B865" s="605"/>
      <c r="D865" s="605"/>
      <c r="E865" s="291" t="s">
        <v>259</v>
      </c>
      <c r="J865" s="291">
        <v>1</v>
      </c>
      <c r="K865" s="292"/>
      <c r="M865" s="605"/>
      <c r="N865" s="291" t="s">
        <v>244</v>
      </c>
      <c r="T865" s="291">
        <v>1</v>
      </c>
      <c r="U865" s="292"/>
      <c r="W865" s="605"/>
      <c r="X865" s="291" t="s">
        <v>244</v>
      </c>
      <c r="AC865" s="291">
        <v>1</v>
      </c>
      <c r="AD865" s="292"/>
      <c r="AH865" s="605"/>
      <c r="AI865" s="291" t="s">
        <v>244</v>
      </c>
      <c r="AN865" s="502">
        <v>3</v>
      </c>
      <c r="AO865" s="292"/>
      <c r="BD865" s="292"/>
    </row>
    <row r="866" spans="1:56" x14ac:dyDescent="0.15">
      <c r="B866" s="605"/>
      <c r="D866" s="1041"/>
      <c r="E866" s="1042"/>
      <c r="F866" s="1042"/>
      <c r="G866" s="1042"/>
      <c r="H866" s="1042"/>
      <c r="I866" s="1042"/>
      <c r="J866" s="1042"/>
      <c r="K866" s="1043"/>
      <c r="M866" s="605"/>
      <c r="N866" s="291" t="s">
        <v>337</v>
      </c>
      <c r="T866" s="291">
        <v>2</v>
      </c>
      <c r="U866" s="292"/>
      <c r="W866" s="605"/>
      <c r="X866" s="291" t="s">
        <v>261</v>
      </c>
      <c r="AC866" s="291">
        <v>3</v>
      </c>
      <c r="AD866" s="292"/>
      <c r="AH866" s="605"/>
      <c r="AI866" s="291" t="s">
        <v>263</v>
      </c>
      <c r="AN866" s="503">
        <v>6</v>
      </c>
      <c r="AO866" s="292"/>
      <c r="AP866" s="343" t="s">
        <v>628</v>
      </c>
      <c r="BD866" s="292"/>
    </row>
    <row r="867" spans="1:56" x14ac:dyDescent="0.15">
      <c r="B867" s="605"/>
      <c r="M867" s="605"/>
      <c r="N867" s="291" t="s">
        <v>350</v>
      </c>
      <c r="T867" s="504">
        <v>196</v>
      </c>
      <c r="U867" s="292"/>
      <c r="W867" s="605"/>
      <c r="X867" s="291" t="s">
        <v>560</v>
      </c>
      <c r="AC867" s="291">
        <v>1</v>
      </c>
      <c r="AD867" s="292" t="s">
        <v>849</v>
      </c>
      <c r="AH867" s="605"/>
      <c r="AI867" s="291" t="s">
        <v>270</v>
      </c>
      <c r="AN867" s="501">
        <v>0</v>
      </c>
      <c r="AO867" s="292"/>
      <c r="AP867" s="343" t="s">
        <v>655</v>
      </c>
      <c r="BD867" s="292"/>
    </row>
    <row r="868" spans="1:56" x14ac:dyDescent="0.15">
      <c r="B868" s="605"/>
      <c r="M868" s="605"/>
      <c r="N868" s="291" t="s">
        <v>358</v>
      </c>
      <c r="T868" s="291">
        <v>100</v>
      </c>
      <c r="U868" s="292"/>
      <c r="W868" s="605"/>
      <c r="X868" s="291" t="s">
        <v>282</v>
      </c>
      <c r="AC868" s="291">
        <v>0</v>
      </c>
      <c r="AD868" s="292"/>
      <c r="AH868" s="605"/>
      <c r="AI868" s="291" t="s">
        <v>276</v>
      </c>
      <c r="AN868" s="501">
        <v>98</v>
      </c>
      <c r="AO868" s="292"/>
      <c r="AP868" s="343" t="s">
        <v>860</v>
      </c>
      <c r="BD868" s="292"/>
    </row>
    <row r="869" spans="1:56" x14ac:dyDescent="0.15">
      <c r="B869" s="605"/>
      <c r="M869" s="1041"/>
      <c r="N869" s="1042" t="s">
        <v>740</v>
      </c>
      <c r="O869" s="1042"/>
      <c r="P869" s="1042"/>
      <c r="Q869" s="1042"/>
      <c r="R869" s="1042"/>
      <c r="S869" s="1042"/>
      <c r="T869" s="1048">
        <v>98</v>
      </c>
      <c r="U869" s="1043"/>
      <c r="W869" s="1041"/>
      <c r="X869" s="1042" t="s">
        <v>295</v>
      </c>
      <c r="Y869" s="1042"/>
      <c r="Z869" s="1042"/>
      <c r="AA869" s="1042"/>
      <c r="AB869" s="1042"/>
      <c r="AC869" s="1042">
        <v>0</v>
      </c>
      <c r="AD869" s="1043"/>
      <c r="AH869" s="605"/>
      <c r="AI869" s="291" t="s">
        <v>315</v>
      </c>
      <c r="AN869" s="503">
        <v>91141</v>
      </c>
      <c r="AO869" s="292"/>
      <c r="AP869" s="343" t="s">
        <v>861</v>
      </c>
      <c r="BD869" s="292"/>
    </row>
    <row r="870" spans="1:56" x14ac:dyDescent="0.15">
      <c r="B870" s="605"/>
      <c r="T870" s="343" t="s">
        <v>900</v>
      </c>
      <c r="AH870" s="1041"/>
      <c r="AI870" s="1042" t="s">
        <v>853</v>
      </c>
      <c r="AJ870" s="1042"/>
      <c r="AK870" s="1042"/>
      <c r="AL870" s="1042"/>
      <c r="AM870" s="1042"/>
      <c r="AN870" s="1079">
        <v>0</v>
      </c>
      <c r="AO870" s="1043"/>
      <c r="BD870" s="292"/>
    </row>
    <row r="871" spans="1:56" x14ac:dyDescent="0.15">
      <c r="B871" s="605"/>
      <c r="D871" s="325"/>
      <c r="F871" s="325"/>
      <c r="I871" s="325"/>
      <c r="T871" s="343" t="s">
        <v>901</v>
      </c>
      <c r="BD871" s="292"/>
    </row>
    <row r="872" spans="1:56" x14ac:dyDescent="0.15">
      <c r="B872" s="605"/>
      <c r="S872" s="325"/>
      <c r="BD872" s="292"/>
    </row>
    <row r="873" spans="1:56" x14ac:dyDescent="0.15">
      <c r="B873" s="605"/>
      <c r="D873" s="325"/>
      <c r="F873" s="325"/>
      <c r="I873" s="325"/>
      <c r="W873" s="291" t="s">
        <v>551</v>
      </c>
      <c r="AH873" s="291" t="s">
        <v>915</v>
      </c>
      <c r="BD873" s="292"/>
    </row>
    <row r="874" spans="1:56" x14ac:dyDescent="0.15">
      <c r="A874" s="339"/>
      <c r="B874" s="605"/>
      <c r="W874" s="1038" t="s">
        <v>137</v>
      </c>
      <c r="X874" s="1039"/>
      <c r="Y874" s="1039"/>
      <c r="Z874" s="1039"/>
      <c r="AA874" s="1039"/>
      <c r="AB874" s="1039"/>
      <c r="AC874" s="1039"/>
      <c r="AD874" s="1040"/>
      <c r="AH874" s="1038" t="s">
        <v>35</v>
      </c>
      <c r="AI874" s="1039"/>
      <c r="AJ874" s="1039"/>
      <c r="AK874" s="1039"/>
      <c r="AL874" s="1039"/>
      <c r="AM874" s="1039"/>
      <c r="AN874" s="1039"/>
      <c r="AO874" s="1040"/>
      <c r="BD874" s="292"/>
    </row>
    <row r="875" spans="1:56" x14ac:dyDescent="0.15">
      <c r="A875" s="339"/>
      <c r="B875" s="605"/>
      <c r="W875" s="605"/>
      <c r="X875" s="291" t="s">
        <v>248</v>
      </c>
      <c r="AC875" s="325" t="s">
        <v>556</v>
      </c>
      <c r="AD875" s="292"/>
      <c r="AH875" s="605"/>
      <c r="AI875" s="291" t="s">
        <v>248</v>
      </c>
      <c r="AN875" s="325" t="s">
        <v>556</v>
      </c>
      <c r="AO875" s="292"/>
      <c r="BD875" s="292"/>
    </row>
    <row r="876" spans="1:56" x14ac:dyDescent="0.15">
      <c r="A876" s="339"/>
      <c r="B876" s="605"/>
      <c r="W876" s="605"/>
      <c r="X876" s="291" t="s">
        <v>244</v>
      </c>
      <c r="AC876" s="291">
        <v>1</v>
      </c>
      <c r="AD876" s="292"/>
      <c r="AH876" s="605"/>
      <c r="AI876" s="291" t="s">
        <v>244</v>
      </c>
      <c r="AN876" s="502">
        <v>4</v>
      </c>
      <c r="AO876" s="292"/>
      <c r="BD876" s="292"/>
    </row>
    <row r="877" spans="1:56" x14ac:dyDescent="0.15">
      <c r="A877" s="339"/>
      <c r="B877" s="605"/>
      <c r="W877" s="605"/>
      <c r="X877" s="291" t="s">
        <v>261</v>
      </c>
      <c r="AC877" s="291">
        <v>4</v>
      </c>
      <c r="AD877" s="292"/>
      <c r="AH877" s="605"/>
      <c r="AI877" s="291" t="s">
        <v>263</v>
      </c>
      <c r="AN877" s="503">
        <v>5</v>
      </c>
      <c r="AO877" s="292"/>
      <c r="AP877" s="343" t="s">
        <v>916</v>
      </c>
      <c r="BD877" s="292"/>
    </row>
    <row r="878" spans="1:56" x14ac:dyDescent="0.15">
      <c r="A878" s="339"/>
      <c r="B878" s="605"/>
      <c r="W878" s="605"/>
      <c r="X878" s="291" t="s">
        <v>560</v>
      </c>
      <c r="AC878" s="291">
        <v>1</v>
      </c>
      <c r="AD878" s="292" t="s">
        <v>849</v>
      </c>
      <c r="AH878" s="605"/>
      <c r="AI878" s="291" t="s">
        <v>270</v>
      </c>
      <c r="AN878" s="501">
        <v>-12</v>
      </c>
      <c r="AO878" s="292"/>
      <c r="AP878" s="343"/>
      <c r="BD878" s="292"/>
    </row>
    <row r="879" spans="1:56" x14ac:dyDescent="0.15">
      <c r="A879" s="339"/>
      <c r="B879" s="605"/>
      <c r="W879" s="605"/>
      <c r="X879" s="291" t="s">
        <v>282</v>
      </c>
      <c r="AC879" s="504">
        <v>-6</v>
      </c>
      <c r="AD879" s="292"/>
      <c r="AE879" s="343"/>
      <c r="AH879" s="605"/>
      <c r="AI879" s="291" t="s">
        <v>276</v>
      </c>
      <c r="AN879" s="501">
        <v>0</v>
      </c>
      <c r="AO879" s="292"/>
      <c r="AP879" s="343" t="s">
        <v>872</v>
      </c>
      <c r="BD879" s="292"/>
    </row>
    <row r="880" spans="1:56" x14ac:dyDescent="0.15">
      <c r="A880" s="339"/>
      <c r="B880" s="605"/>
      <c r="W880" s="1041"/>
      <c r="X880" s="1042" t="s">
        <v>295</v>
      </c>
      <c r="Y880" s="1042"/>
      <c r="Z880" s="1042"/>
      <c r="AA880" s="1042"/>
      <c r="AB880" s="1042"/>
      <c r="AC880" s="1048">
        <v>2</v>
      </c>
      <c r="AD880" s="1043"/>
      <c r="AE880" s="343"/>
      <c r="AH880" s="605"/>
      <c r="AI880" s="291" t="s">
        <v>315</v>
      </c>
      <c r="AN880" s="503">
        <v>91316</v>
      </c>
      <c r="AO880" s="292"/>
      <c r="AP880" s="343"/>
      <c r="BD880" s="292"/>
    </row>
    <row r="881" spans="1:56" x14ac:dyDescent="0.15">
      <c r="A881" s="339"/>
      <c r="B881" s="605"/>
      <c r="AH881" s="1041"/>
      <c r="AI881" s="1042" t="s">
        <v>853</v>
      </c>
      <c r="AJ881" s="1042"/>
      <c r="AK881" s="1042"/>
      <c r="AL881" s="1042"/>
      <c r="AM881" s="1042"/>
      <c r="AN881" s="1079">
        <v>0</v>
      </c>
      <c r="AO881" s="1043"/>
      <c r="BD881" s="292"/>
    </row>
    <row r="882" spans="1:56" x14ac:dyDescent="0.15">
      <c r="B882" s="605"/>
      <c r="D882" s="325"/>
      <c r="F882" s="325"/>
      <c r="I882" s="325"/>
      <c r="M882" s="325"/>
      <c r="BD882" s="292"/>
    </row>
    <row r="883" spans="1:56" x14ac:dyDescent="0.15">
      <c r="B883" s="605"/>
      <c r="D883" s="325"/>
      <c r="F883" s="325"/>
      <c r="I883" s="325"/>
      <c r="W883" s="291" t="s">
        <v>551</v>
      </c>
      <c r="AH883" s="291" t="s">
        <v>870</v>
      </c>
      <c r="BD883" s="292"/>
    </row>
    <row r="884" spans="1:56" x14ac:dyDescent="0.15">
      <c r="A884" s="339"/>
      <c r="B884" s="605"/>
      <c r="W884" s="1038" t="s">
        <v>137</v>
      </c>
      <c r="X884" s="1039"/>
      <c r="Y884" s="1039"/>
      <c r="Z884" s="1039"/>
      <c r="AA884" s="1039"/>
      <c r="AB884" s="1039"/>
      <c r="AC884" s="1039"/>
      <c r="AD884" s="1040"/>
      <c r="AH884" s="1038" t="s">
        <v>35</v>
      </c>
      <c r="AI884" s="1039"/>
      <c r="AJ884" s="1039"/>
      <c r="AK884" s="1039"/>
      <c r="AL884" s="1039"/>
      <c r="AM884" s="1039"/>
      <c r="AN884" s="1039"/>
      <c r="AO884" s="1040"/>
      <c r="BD884" s="292"/>
    </row>
    <row r="885" spans="1:56" x14ac:dyDescent="0.15">
      <c r="A885" s="339"/>
      <c r="B885" s="605"/>
      <c r="W885" s="605"/>
      <c r="X885" s="291" t="s">
        <v>248</v>
      </c>
      <c r="AC885" s="325" t="s">
        <v>556</v>
      </c>
      <c r="AD885" s="292"/>
      <c r="AH885" s="605"/>
      <c r="AI885" s="291" t="s">
        <v>248</v>
      </c>
      <c r="AN885" s="325" t="s">
        <v>556</v>
      </c>
      <c r="AO885" s="292"/>
      <c r="BD885" s="292"/>
    </row>
    <row r="886" spans="1:56" x14ac:dyDescent="0.15">
      <c r="A886" s="339"/>
      <c r="B886" s="605"/>
      <c r="W886" s="605"/>
      <c r="X886" s="291" t="s">
        <v>244</v>
      </c>
      <c r="AC886" s="291">
        <v>1</v>
      </c>
      <c r="AD886" s="292"/>
      <c r="AH886" s="605"/>
      <c r="AI886" s="291" t="s">
        <v>244</v>
      </c>
      <c r="AN886" s="502">
        <v>5</v>
      </c>
      <c r="AO886" s="292"/>
      <c r="BD886" s="292"/>
    </row>
    <row r="887" spans="1:56" x14ac:dyDescent="0.15">
      <c r="A887" s="339"/>
      <c r="B887" s="605"/>
      <c r="W887" s="605"/>
      <c r="X887" s="291" t="s">
        <v>261</v>
      </c>
      <c r="AC887" s="291">
        <v>5</v>
      </c>
      <c r="AD887" s="292"/>
      <c r="AH887" s="605"/>
      <c r="AI887" s="291" t="s">
        <v>263</v>
      </c>
      <c r="AN887" s="503">
        <v>2</v>
      </c>
      <c r="AO887" s="292"/>
      <c r="AP887" s="343" t="s">
        <v>871</v>
      </c>
      <c r="BD887" s="292"/>
    </row>
    <row r="888" spans="1:56" x14ac:dyDescent="0.15">
      <c r="A888" s="339"/>
      <c r="B888" s="605"/>
      <c r="W888" s="605"/>
      <c r="X888" s="291" t="s">
        <v>560</v>
      </c>
      <c r="AC888" s="291">
        <v>1</v>
      </c>
      <c r="AD888" s="292" t="s">
        <v>849</v>
      </c>
      <c r="AH888" s="605"/>
      <c r="AI888" s="291" t="s">
        <v>270</v>
      </c>
      <c r="AN888" s="501">
        <v>-60</v>
      </c>
      <c r="AO888" s="292"/>
      <c r="AP888" s="343" t="s">
        <v>902</v>
      </c>
      <c r="BD888" s="292"/>
    </row>
    <row r="889" spans="1:56" x14ac:dyDescent="0.15">
      <c r="A889" s="339"/>
      <c r="B889" s="605"/>
      <c r="W889" s="605"/>
      <c r="X889" s="291" t="s">
        <v>282</v>
      </c>
      <c r="AC889" s="504">
        <v>-30</v>
      </c>
      <c r="AD889" s="292"/>
      <c r="AE889" s="343"/>
      <c r="AH889" s="605"/>
      <c r="AI889" s="291" t="s">
        <v>276</v>
      </c>
      <c r="AN889" s="501">
        <v>0.15</v>
      </c>
      <c r="AO889" s="292"/>
      <c r="AP889" s="343" t="s">
        <v>873</v>
      </c>
      <c r="BD889" s="292"/>
    </row>
    <row r="890" spans="1:56" x14ac:dyDescent="0.15">
      <c r="A890" s="339"/>
      <c r="B890" s="605"/>
      <c r="W890" s="1041"/>
      <c r="X890" s="1042" t="s">
        <v>295</v>
      </c>
      <c r="Y890" s="1042"/>
      <c r="Z890" s="1042"/>
      <c r="AA890" s="1042"/>
      <c r="AB890" s="1042"/>
      <c r="AC890" s="1048">
        <v>2</v>
      </c>
      <c r="AD890" s="1043"/>
      <c r="AE890" s="343"/>
      <c r="AH890" s="605"/>
      <c r="AI890" s="291" t="s">
        <v>315</v>
      </c>
      <c r="AN890" s="503">
        <v>91326</v>
      </c>
      <c r="AO890" s="292"/>
      <c r="AP890" s="343" t="s">
        <v>874</v>
      </c>
      <c r="BD890" s="292"/>
    </row>
    <row r="891" spans="1:56" x14ac:dyDescent="0.15">
      <c r="A891" s="339"/>
      <c r="B891" s="605"/>
      <c r="AH891" s="1041"/>
      <c r="AI891" s="1042" t="s">
        <v>853</v>
      </c>
      <c r="AJ891" s="1042"/>
      <c r="AK891" s="1042"/>
      <c r="AL891" s="1042"/>
      <c r="AM891" s="1042"/>
      <c r="AN891" s="1079">
        <v>0</v>
      </c>
      <c r="AO891" s="1043"/>
      <c r="BD891" s="292"/>
    </row>
    <row r="892" spans="1:56" x14ac:dyDescent="0.15">
      <c r="B892" s="605"/>
      <c r="D892" s="325"/>
      <c r="F892" s="325"/>
      <c r="I892" s="325"/>
      <c r="M892" s="325"/>
      <c r="BD892" s="292"/>
    </row>
    <row r="893" spans="1:56" x14ac:dyDescent="0.15">
      <c r="B893" s="605"/>
      <c r="D893" s="325"/>
      <c r="F893" s="325"/>
      <c r="I893" s="325"/>
      <c r="W893" s="291" t="s">
        <v>551</v>
      </c>
      <c r="AH893" s="291" t="s">
        <v>945</v>
      </c>
      <c r="BD893" s="292"/>
    </row>
    <row r="894" spans="1:56" x14ac:dyDescent="0.15">
      <c r="A894" s="339"/>
      <c r="B894" s="605"/>
      <c r="W894" s="1038" t="s">
        <v>137</v>
      </c>
      <c r="X894" s="1039"/>
      <c r="Y894" s="1039"/>
      <c r="Z894" s="1039"/>
      <c r="AA894" s="1039"/>
      <c r="AB894" s="1039"/>
      <c r="AC894" s="1039"/>
      <c r="AD894" s="1040"/>
      <c r="AH894" s="1038" t="s">
        <v>35</v>
      </c>
      <c r="AI894" s="1039"/>
      <c r="AJ894" s="1039"/>
      <c r="AK894" s="1039"/>
      <c r="AL894" s="1039"/>
      <c r="AM894" s="1039"/>
      <c r="AN894" s="1039"/>
      <c r="AO894" s="1040"/>
      <c r="BD894" s="292"/>
    </row>
    <row r="895" spans="1:56" x14ac:dyDescent="0.15">
      <c r="A895" s="339"/>
      <c r="B895" s="605"/>
      <c r="W895" s="605"/>
      <c r="X895" s="291" t="s">
        <v>248</v>
      </c>
      <c r="AC895" s="325" t="s">
        <v>556</v>
      </c>
      <c r="AD895" s="292"/>
      <c r="AH895" s="605"/>
      <c r="AI895" s="291" t="s">
        <v>248</v>
      </c>
      <c r="AN895" s="325" t="s">
        <v>556</v>
      </c>
      <c r="AO895" s="292"/>
      <c r="BD895" s="292"/>
    </row>
    <row r="896" spans="1:56" x14ac:dyDescent="0.15">
      <c r="A896" s="339"/>
      <c r="B896" s="605"/>
      <c r="W896" s="605"/>
      <c r="X896" s="291" t="s">
        <v>244</v>
      </c>
      <c r="AC896" s="291">
        <v>1</v>
      </c>
      <c r="AD896" s="292"/>
      <c r="AH896" s="605"/>
      <c r="AI896" s="291" t="s">
        <v>244</v>
      </c>
      <c r="AN896" s="502">
        <v>6</v>
      </c>
      <c r="AO896" s="292"/>
      <c r="BD896" s="292"/>
    </row>
    <row r="897" spans="1:56" x14ac:dyDescent="0.15">
      <c r="A897" s="339"/>
      <c r="B897" s="605"/>
      <c r="W897" s="605"/>
      <c r="X897" s="291" t="s">
        <v>261</v>
      </c>
      <c r="AC897" s="291">
        <v>6</v>
      </c>
      <c r="AD897" s="292"/>
      <c r="AH897" s="605"/>
      <c r="AI897" s="291" t="s">
        <v>263</v>
      </c>
      <c r="AN897" s="503">
        <v>1</v>
      </c>
      <c r="AO897" s="292"/>
      <c r="AP897" s="343" t="s">
        <v>885</v>
      </c>
      <c r="BD897" s="292"/>
    </row>
    <row r="898" spans="1:56" x14ac:dyDescent="0.15">
      <c r="A898" s="339"/>
      <c r="B898" s="605"/>
      <c r="W898" s="605"/>
      <c r="X898" s="291" t="s">
        <v>560</v>
      </c>
      <c r="AC898" s="291">
        <v>1</v>
      </c>
      <c r="AD898" s="292" t="s">
        <v>849</v>
      </c>
      <c r="AH898" s="605"/>
      <c r="AI898" s="291" t="s">
        <v>270</v>
      </c>
      <c r="AN898" s="501">
        <v>-20</v>
      </c>
      <c r="AO898" s="292"/>
      <c r="AP898" s="343" t="s">
        <v>946</v>
      </c>
      <c r="BD898" s="292"/>
    </row>
    <row r="899" spans="1:56" x14ac:dyDescent="0.15">
      <c r="A899" s="339"/>
      <c r="B899" s="605"/>
      <c r="W899" s="605"/>
      <c r="X899" s="291" t="s">
        <v>282</v>
      </c>
      <c r="AC899" s="504">
        <v>-20</v>
      </c>
      <c r="AD899" s="292"/>
      <c r="AE899" s="343"/>
      <c r="AH899" s="605"/>
      <c r="AI899" s="291" t="s">
        <v>276</v>
      </c>
      <c r="AN899" s="501">
        <v>10</v>
      </c>
      <c r="AO899" s="292"/>
      <c r="AP899" s="343" t="s">
        <v>947</v>
      </c>
      <c r="BD899" s="292"/>
    </row>
    <row r="900" spans="1:56" x14ac:dyDescent="0.15">
      <c r="A900" s="339"/>
      <c r="B900" s="605"/>
      <c r="W900" s="1041"/>
      <c r="X900" s="1042" t="s">
        <v>295</v>
      </c>
      <c r="Y900" s="1042"/>
      <c r="Z900" s="1042"/>
      <c r="AA900" s="1042"/>
      <c r="AB900" s="1042"/>
      <c r="AC900" s="1048">
        <v>2</v>
      </c>
      <c r="AD900" s="1043"/>
      <c r="AE900" s="343"/>
      <c r="AH900" s="605"/>
      <c r="AI900" s="291" t="s">
        <v>315</v>
      </c>
      <c r="AN900" s="503">
        <v>91220</v>
      </c>
      <c r="AO900" s="292"/>
      <c r="AP900" s="343" t="s">
        <v>631</v>
      </c>
      <c r="BD900" s="292"/>
    </row>
    <row r="901" spans="1:56" x14ac:dyDescent="0.15">
      <c r="A901" s="339"/>
      <c r="B901" s="605"/>
      <c r="AH901" s="1041"/>
      <c r="AI901" s="1042" t="s">
        <v>853</v>
      </c>
      <c r="AJ901" s="1042"/>
      <c r="AK901" s="1042"/>
      <c r="AL901" s="1042"/>
      <c r="AM901" s="1042"/>
      <c r="AN901" s="1079">
        <v>0</v>
      </c>
      <c r="AO901" s="1043"/>
      <c r="BD901" s="292"/>
    </row>
    <row r="902" spans="1:56" x14ac:dyDescent="0.15">
      <c r="B902" s="605"/>
      <c r="D902" s="325"/>
      <c r="F902" s="325"/>
      <c r="I902" s="325"/>
      <c r="M902" s="325"/>
      <c r="BD902" s="292"/>
    </row>
    <row r="903" spans="1:56" x14ac:dyDescent="0.15">
      <c r="B903" s="605"/>
      <c r="D903" s="325"/>
      <c r="F903" s="325"/>
      <c r="I903" s="325"/>
      <c r="W903" s="291" t="s">
        <v>551</v>
      </c>
      <c r="BD903" s="292"/>
    </row>
    <row r="904" spans="1:56" x14ac:dyDescent="0.15">
      <c r="A904" s="339"/>
      <c r="B904" s="605"/>
      <c r="W904" s="1038" t="s">
        <v>137</v>
      </c>
      <c r="X904" s="1039"/>
      <c r="Y904" s="1039"/>
      <c r="Z904" s="1039"/>
      <c r="AA904" s="1039"/>
      <c r="AB904" s="1039"/>
      <c r="AC904" s="1039"/>
      <c r="AD904" s="1040"/>
      <c r="BD904" s="292"/>
    </row>
    <row r="905" spans="1:56" x14ac:dyDescent="0.15">
      <c r="A905" s="339"/>
      <c r="B905" s="605"/>
      <c r="W905" s="605"/>
      <c r="X905" s="291" t="s">
        <v>248</v>
      </c>
      <c r="AC905" s="325" t="s">
        <v>556</v>
      </c>
      <c r="AD905" s="292"/>
      <c r="BD905" s="292"/>
    </row>
    <row r="906" spans="1:56" x14ac:dyDescent="0.15">
      <c r="A906" s="339"/>
      <c r="B906" s="605"/>
      <c r="W906" s="605"/>
      <c r="X906" s="291" t="s">
        <v>244</v>
      </c>
      <c r="AC906" s="291">
        <v>1</v>
      </c>
      <c r="AD906" s="292"/>
      <c r="BD906" s="292"/>
    </row>
    <row r="907" spans="1:56" x14ac:dyDescent="0.15">
      <c r="A907" s="339"/>
      <c r="B907" s="605"/>
      <c r="W907" s="605"/>
      <c r="X907" s="291" t="s">
        <v>261</v>
      </c>
      <c r="AC907" s="291">
        <v>13</v>
      </c>
      <c r="AD907" s="292"/>
      <c r="BD907" s="292"/>
    </row>
    <row r="908" spans="1:56" x14ac:dyDescent="0.15">
      <c r="A908" s="339"/>
      <c r="B908" s="605"/>
      <c r="W908" s="605"/>
      <c r="X908" s="291" t="s">
        <v>560</v>
      </c>
      <c r="AC908" s="291">
        <v>1</v>
      </c>
      <c r="AD908" s="292" t="s">
        <v>849</v>
      </c>
      <c r="BD908" s="292"/>
    </row>
    <row r="909" spans="1:56" x14ac:dyDescent="0.15">
      <c r="A909" s="339"/>
      <c r="B909" s="605"/>
      <c r="W909" s="605"/>
      <c r="X909" s="291" t="s">
        <v>282</v>
      </c>
      <c r="AC909" s="504">
        <v>-16</v>
      </c>
      <c r="AD909" s="292"/>
      <c r="AE909" s="343"/>
      <c r="BD909" s="292"/>
    </row>
    <row r="910" spans="1:56" x14ac:dyDescent="0.15">
      <c r="A910" s="339"/>
      <c r="B910" s="605"/>
      <c r="W910" s="1041"/>
      <c r="X910" s="1042" t="s">
        <v>295</v>
      </c>
      <c r="Y910" s="1042"/>
      <c r="Z910" s="1042"/>
      <c r="AA910" s="1042"/>
      <c r="AB910" s="1042"/>
      <c r="AC910" s="1048">
        <v>2</v>
      </c>
      <c r="AD910" s="1043"/>
      <c r="AE910" s="343"/>
      <c r="BD910" s="292"/>
    </row>
    <row r="911" spans="1:56" x14ac:dyDescent="0.15">
      <c r="A911" s="339"/>
      <c r="B911" s="605"/>
      <c r="BD911" s="292"/>
    </row>
    <row r="912" spans="1:56" x14ac:dyDescent="0.15">
      <c r="B912" s="605"/>
      <c r="D912" s="325"/>
      <c r="F912" s="325"/>
      <c r="I912" s="325"/>
      <c r="M912" s="325"/>
      <c r="BD912" s="292"/>
    </row>
    <row r="913" spans="1:56" x14ac:dyDescent="0.15">
      <c r="B913" s="605"/>
      <c r="D913" s="325"/>
      <c r="F913" s="325"/>
      <c r="I913" s="325"/>
      <c r="M913" s="291" t="s">
        <v>944</v>
      </c>
      <c r="W913" s="291" t="s">
        <v>551</v>
      </c>
      <c r="BD913" s="292"/>
    </row>
    <row r="914" spans="1:56" x14ac:dyDescent="0.15">
      <c r="A914" s="339"/>
      <c r="B914" s="605"/>
      <c r="M914" s="1038" t="s">
        <v>553</v>
      </c>
      <c r="N914" s="1039"/>
      <c r="O914" s="1039"/>
      <c r="P914" s="1039"/>
      <c r="Q914" s="1039"/>
      <c r="R914" s="1039"/>
      <c r="S914" s="1039"/>
      <c r="T914" s="1039"/>
      <c r="U914" s="1040"/>
      <c r="W914" s="1038" t="s">
        <v>137</v>
      </c>
      <c r="X914" s="1039"/>
      <c r="Y914" s="1039"/>
      <c r="Z914" s="1039"/>
      <c r="AA914" s="1039"/>
      <c r="AB914" s="1039"/>
      <c r="AC914" s="1039"/>
      <c r="AD914" s="1040"/>
      <c r="BD914" s="292"/>
    </row>
    <row r="915" spans="1:56" x14ac:dyDescent="0.15">
      <c r="A915" s="339"/>
      <c r="B915" s="605"/>
      <c r="M915" s="605"/>
      <c r="N915" s="291" t="s">
        <v>248</v>
      </c>
      <c r="T915" s="325" t="s">
        <v>556</v>
      </c>
      <c r="U915" s="292"/>
      <c r="W915" s="605"/>
      <c r="X915" s="291" t="s">
        <v>248</v>
      </c>
      <c r="AC915" s="325" t="s">
        <v>556</v>
      </c>
      <c r="AD915" s="292"/>
      <c r="BD915" s="292"/>
    </row>
    <row r="916" spans="1:56" x14ac:dyDescent="0.15">
      <c r="A916" s="339"/>
      <c r="B916" s="605"/>
      <c r="M916" s="605"/>
      <c r="N916" s="291" t="s">
        <v>244</v>
      </c>
      <c r="T916" s="291">
        <v>7</v>
      </c>
      <c r="U916" s="292"/>
      <c r="W916" s="605"/>
      <c r="X916" s="291" t="s">
        <v>244</v>
      </c>
      <c r="AC916" s="291">
        <v>7</v>
      </c>
      <c r="AD916" s="292"/>
      <c r="BD916" s="292"/>
    </row>
    <row r="917" spans="1:56" x14ac:dyDescent="0.15">
      <c r="A917" s="339"/>
      <c r="B917" s="605"/>
      <c r="M917" s="605"/>
      <c r="N917" s="291" t="s">
        <v>337</v>
      </c>
      <c r="T917" s="291">
        <v>2</v>
      </c>
      <c r="U917" s="292"/>
      <c r="W917" s="605"/>
      <c r="X917" s="291" t="s">
        <v>261</v>
      </c>
      <c r="AC917" s="291">
        <v>3</v>
      </c>
      <c r="AD917" s="292"/>
      <c r="BD917" s="292"/>
    </row>
    <row r="918" spans="1:56" x14ac:dyDescent="0.15">
      <c r="A918" s="339"/>
      <c r="B918" s="605"/>
      <c r="M918" s="605"/>
      <c r="N918" s="291" t="s">
        <v>350</v>
      </c>
      <c r="T918" s="504">
        <v>196</v>
      </c>
      <c r="U918" s="292"/>
      <c r="W918" s="605"/>
      <c r="X918" s="291" t="s">
        <v>560</v>
      </c>
      <c r="AC918" s="291">
        <v>1</v>
      </c>
      <c r="AD918" s="292" t="s">
        <v>849</v>
      </c>
      <c r="BD918" s="292"/>
    </row>
    <row r="919" spans="1:56" x14ac:dyDescent="0.15">
      <c r="A919" s="339"/>
      <c r="B919" s="605"/>
      <c r="M919" s="605"/>
      <c r="N919" s="291" t="s">
        <v>358</v>
      </c>
      <c r="T919" s="291">
        <v>100</v>
      </c>
      <c r="U919" s="292"/>
      <c r="W919" s="605"/>
      <c r="X919" s="291" t="s">
        <v>282</v>
      </c>
      <c r="AC919" s="291">
        <v>0</v>
      </c>
      <c r="AD919" s="292"/>
      <c r="AE919" s="343"/>
      <c r="BD919" s="292"/>
    </row>
    <row r="920" spans="1:56" x14ac:dyDescent="0.15">
      <c r="A920" s="339"/>
      <c r="B920" s="605"/>
      <c r="M920" s="1041"/>
      <c r="N920" s="1042" t="s">
        <v>740</v>
      </c>
      <c r="O920" s="1042"/>
      <c r="P920" s="1042"/>
      <c r="Q920" s="1042"/>
      <c r="R920" s="1042"/>
      <c r="S920" s="1042"/>
      <c r="T920" s="1048">
        <v>98</v>
      </c>
      <c r="U920" s="1043"/>
      <c r="W920" s="1041"/>
      <c r="X920" s="1042" t="s">
        <v>295</v>
      </c>
      <c r="Y920" s="1042"/>
      <c r="Z920" s="1042"/>
      <c r="AA920" s="1042"/>
      <c r="AB920" s="1042"/>
      <c r="AC920" s="1042">
        <v>0</v>
      </c>
      <c r="AD920" s="1043"/>
      <c r="AE920" s="343"/>
      <c r="BD920" s="292"/>
    </row>
    <row r="921" spans="1:56" x14ac:dyDescent="0.15">
      <c r="A921" s="339"/>
      <c r="B921" s="605"/>
      <c r="T921" s="343" t="s">
        <v>900</v>
      </c>
      <c r="BD921" s="292"/>
    </row>
    <row r="922" spans="1:56" x14ac:dyDescent="0.15">
      <c r="B922" s="605"/>
      <c r="D922" s="325"/>
      <c r="F922" s="325"/>
      <c r="I922" s="325"/>
      <c r="M922" s="325"/>
      <c r="T922" s="343" t="s">
        <v>901</v>
      </c>
      <c r="BD922" s="292"/>
    </row>
    <row r="923" spans="1:56" x14ac:dyDescent="0.15">
      <c r="B923" s="605"/>
      <c r="D923" s="325"/>
      <c r="F923" s="325"/>
      <c r="I923" s="325"/>
      <c r="M923" s="325"/>
      <c r="BD923" s="292"/>
    </row>
    <row r="924" spans="1:56" x14ac:dyDescent="0.15">
      <c r="B924" s="605"/>
      <c r="D924" s="325"/>
      <c r="F924" s="325"/>
      <c r="I924" s="325"/>
      <c r="T924" s="541"/>
      <c r="W924" s="291" t="s">
        <v>551</v>
      </c>
      <c r="BD924" s="292"/>
    </row>
    <row r="925" spans="1:56" x14ac:dyDescent="0.15">
      <c r="A925" s="339"/>
      <c r="B925" s="605"/>
      <c r="T925" s="541"/>
      <c r="W925" s="1038" t="s">
        <v>137</v>
      </c>
      <c r="X925" s="1039"/>
      <c r="Y925" s="1039"/>
      <c r="Z925" s="1039"/>
      <c r="AA925" s="1039"/>
      <c r="AB925" s="1039"/>
      <c r="AC925" s="1039"/>
      <c r="AD925" s="1040"/>
      <c r="BD925" s="292"/>
    </row>
    <row r="926" spans="1:56" x14ac:dyDescent="0.15">
      <c r="A926" s="339"/>
      <c r="B926" s="605"/>
      <c r="T926" s="541"/>
      <c r="W926" s="605"/>
      <c r="X926" s="291" t="s">
        <v>248</v>
      </c>
      <c r="AC926" s="325" t="s">
        <v>556</v>
      </c>
      <c r="AD926" s="292"/>
      <c r="BD926" s="292"/>
    </row>
    <row r="927" spans="1:56" x14ac:dyDescent="0.15">
      <c r="A927" s="339"/>
      <c r="B927" s="605"/>
      <c r="T927" s="541"/>
      <c r="W927" s="605"/>
      <c r="X927" s="291" t="s">
        <v>244</v>
      </c>
      <c r="AC927" s="291">
        <v>7</v>
      </c>
      <c r="AD927" s="292"/>
      <c r="BD927" s="292"/>
    </row>
    <row r="928" spans="1:56" x14ac:dyDescent="0.15">
      <c r="A928" s="339"/>
      <c r="B928" s="605"/>
      <c r="T928" s="541"/>
      <c r="W928" s="605"/>
      <c r="X928" s="291" t="s">
        <v>261</v>
      </c>
      <c r="AC928" s="291">
        <v>4</v>
      </c>
      <c r="AD928" s="292"/>
      <c r="BD928" s="292"/>
    </row>
    <row r="929" spans="1:56" x14ac:dyDescent="0.15">
      <c r="A929" s="339"/>
      <c r="B929" s="605"/>
      <c r="T929" s="541"/>
      <c r="W929" s="605"/>
      <c r="X929" s="291" t="s">
        <v>560</v>
      </c>
      <c r="AC929" s="291">
        <v>1</v>
      </c>
      <c r="AD929" s="292" t="s">
        <v>849</v>
      </c>
      <c r="BD929" s="292"/>
    </row>
    <row r="930" spans="1:56" x14ac:dyDescent="0.15">
      <c r="A930" s="339"/>
      <c r="B930" s="605"/>
      <c r="T930" s="541"/>
      <c r="W930" s="605"/>
      <c r="X930" s="291" t="s">
        <v>282</v>
      </c>
      <c r="AC930" s="504">
        <v>-6</v>
      </c>
      <c r="AD930" s="292"/>
      <c r="AE930" s="343"/>
      <c r="BD930" s="292"/>
    </row>
    <row r="931" spans="1:56" x14ac:dyDescent="0.15">
      <c r="A931" s="339"/>
      <c r="B931" s="605"/>
      <c r="T931" s="541"/>
      <c r="W931" s="1041"/>
      <c r="X931" s="1042" t="s">
        <v>295</v>
      </c>
      <c r="Y931" s="1042"/>
      <c r="Z931" s="1042"/>
      <c r="AA931" s="1042"/>
      <c r="AB931" s="1042"/>
      <c r="AC931" s="1048">
        <v>2</v>
      </c>
      <c r="AD931" s="1043"/>
      <c r="AE931" s="343"/>
      <c r="BD931" s="292"/>
    </row>
    <row r="932" spans="1:56" x14ac:dyDescent="0.15">
      <c r="A932" s="339"/>
      <c r="B932" s="605"/>
      <c r="T932" s="541"/>
      <c r="BD932" s="292"/>
    </row>
    <row r="933" spans="1:56" x14ac:dyDescent="0.15">
      <c r="B933" s="605"/>
      <c r="D933" s="325"/>
      <c r="F933" s="325"/>
      <c r="I933" s="325"/>
      <c r="T933" s="541"/>
      <c r="W933" s="291" t="s">
        <v>551</v>
      </c>
      <c r="BD933" s="292"/>
    </row>
    <row r="934" spans="1:56" x14ac:dyDescent="0.15">
      <c r="A934" s="339"/>
      <c r="B934" s="605"/>
      <c r="T934" s="541"/>
      <c r="W934" s="1038" t="s">
        <v>137</v>
      </c>
      <c r="X934" s="1039"/>
      <c r="Y934" s="1039"/>
      <c r="Z934" s="1039"/>
      <c r="AA934" s="1039"/>
      <c r="AB934" s="1039"/>
      <c r="AC934" s="1039"/>
      <c r="AD934" s="1040"/>
      <c r="BD934" s="292"/>
    </row>
    <row r="935" spans="1:56" x14ac:dyDescent="0.15">
      <c r="A935" s="339"/>
      <c r="B935" s="605"/>
      <c r="T935" s="541"/>
      <c r="W935" s="605"/>
      <c r="X935" s="291" t="s">
        <v>248</v>
      </c>
      <c r="AC935" s="325" t="s">
        <v>556</v>
      </c>
      <c r="AD935" s="292"/>
      <c r="BD935" s="292"/>
    </row>
    <row r="936" spans="1:56" x14ac:dyDescent="0.15">
      <c r="A936" s="339"/>
      <c r="B936" s="605"/>
      <c r="T936" s="541"/>
      <c r="W936" s="605"/>
      <c r="X936" s="291" t="s">
        <v>244</v>
      </c>
      <c r="AC936" s="291">
        <v>7</v>
      </c>
      <c r="AD936" s="292"/>
      <c r="BD936" s="292"/>
    </row>
    <row r="937" spans="1:56" x14ac:dyDescent="0.15">
      <c r="A937" s="339"/>
      <c r="B937" s="605"/>
      <c r="T937" s="541"/>
      <c r="W937" s="605"/>
      <c r="X937" s="291" t="s">
        <v>261</v>
      </c>
      <c r="AC937" s="291">
        <v>5</v>
      </c>
      <c r="AD937" s="292"/>
      <c r="BD937" s="292"/>
    </row>
    <row r="938" spans="1:56" x14ac:dyDescent="0.15">
      <c r="A938" s="339"/>
      <c r="B938" s="605"/>
      <c r="T938" s="541"/>
      <c r="W938" s="605"/>
      <c r="X938" s="291" t="s">
        <v>560</v>
      </c>
      <c r="AC938" s="291">
        <v>1</v>
      </c>
      <c r="AD938" s="292" t="s">
        <v>849</v>
      </c>
      <c r="BD938" s="292"/>
    </row>
    <row r="939" spans="1:56" x14ac:dyDescent="0.15">
      <c r="A939" s="339"/>
      <c r="B939" s="605"/>
      <c r="T939" s="541"/>
      <c r="W939" s="605"/>
      <c r="X939" s="291" t="s">
        <v>282</v>
      </c>
      <c r="AC939" s="504">
        <v>-30</v>
      </c>
      <c r="AD939" s="292"/>
      <c r="AE939" s="343"/>
      <c r="BD939" s="292"/>
    </row>
    <row r="940" spans="1:56" x14ac:dyDescent="0.15">
      <c r="A940" s="339"/>
      <c r="B940" s="605"/>
      <c r="T940" s="541"/>
      <c r="W940" s="1041"/>
      <c r="X940" s="1042" t="s">
        <v>295</v>
      </c>
      <c r="Y940" s="1042"/>
      <c r="Z940" s="1042"/>
      <c r="AA940" s="1042"/>
      <c r="AB940" s="1042"/>
      <c r="AC940" s="1048">
        <v>2</v>
      </c>
      <c r="AD940" s="1043"/>
      <c r="AE940" s="343"/>
      <c r="BD940" s="292"/>
    </row>
    <row r="941" spans="1:56" x14ac:dyDescent="0.15">
      <c r="A941" s="339"/>
      <c r="B941" s="605"/>
      <c r="T941" s="541"/>
      <c r="BD941" s="292"/>
    </row>
    <row r="942" spans="1:56" x14ac:dyDescent="0.15">
      <c r="B942" s="605"/>
      <c r="D942" s="325"/>
      <c r="F942" s="325"/>
      <c r="I942" s="325"/>
      <c r="T942" s="541"/>
      <c r="W942" s="291" t="s">
        <v>551</v>
      </c>
      <c r="AH942" s="291" t="s">
        <v>948</v>
      </c>
      <c r="BD942" s="292"/>
    </row>
    <row r="943" spans="1:56" x14ac:dyDescent="0.15">
      <c r="A943" s="339"/>
      <c r="B943" s="605"/>
      <c r="T943" s="541"/>
      <c r="W943" s="1038" t="s">
        <v>137</v>
      </c>
      <c r="X943" s="1039"/>
      <c r="Y943" s="1039"/>
      <c r="Z943" s="1039"/>
      <c r="AA943" s="1039"/>
      <c r="AB943" s="1039"/>
      <c r="AC943" s="1039"/>
      <c r="AD943" s="1040"/>
      <c r="AH943" s="1038" t="s">
        <v>35</v>
      </c>
      <c r="AI943" s="1039"/>
      <c r="AJ943" s="1039"/>
      <c r="AK943" s="1039"/>
      <c r="AL943" s="1039"/>
      <c r="AM943" s="1039"/>
      <c r="AN943" s="1039"/>
      <c r="AO943" s="1040"/>
      <c r="BD943" s="292"/>
    </row>
    <row r="944" spans="1:56" x14ac:dyDescent="0.15">
      <c r="A944" s="339"/>
      <c r="B944" s="605"/>
      <c r="T944" s="541"/>
      <c r="W944" s="605"/>
      <c r="X944" s="291" t="s">
        <v>248</v>
      </c>
      <c r="AC944" s="325" t="s">
        <v>556</v>
      </c>
      <c r="AD944" s="292"/>
      <c r="AH944" s="605"/>
      <c r="AI944" s="291" t="s">
        <v>248</v>
      </c>
      <c r="AN944" s="325" t="s">
        <v>556</v>
      </c>
      <c r="AO944" s="292"/>
      <c r="BD944" s="292"/>
    </row>
    <row r="945" spans="1:56" x14ac:dyDescent="0.15">
      <c r="A945" s="339"/>
      <c r="B945" s="605"/>
      <c r="T945" s="541"/>
      <c r="W945" s="605"/>
      <c r="X945" s="291" t="s">
        <v>244</v>
      </c>
      <c r="AC945" s="291">
        <v>7</v>
      </c>
      <c r="AD945" s="292"/>
      <c r="AH945" s="605"/>
      <c r="AI945" s="291" t="s">
        <v>244</v>
      </c>
      <c r="AN945" s="502">
        <v>8</v>
      </c>
      <c r="AO945" s="292"/>
      <c r="BD945" s="292"/>
    </row>
    <row r="946" spans="1:56" x14ac:dyDescent="0.15">
      <c r="A946" s="339"/>
      <c r="B946" s="605"/>
      <c r="T946" s="541"/>
      <c r="W946" s="605"/>
      <c r="X946" s="291" t="s">
        <v>261</v>
      </c>
      <c r="AC946" s="291">
        <v>8</v>
      </c>
      <c r="AD946" s="292"/>
      <c r="AH946" s="605"/>
      <c r="AI946" s="291" t="s">
        <v>263</v>
      </c>
      <c r="AN946" s="503">
        <v>2</v>
      </c>
      <c r="AO946" s="292"/>
      <c r="AP946" s="343" t="s">
        <v>871</v>
      </c>
      <c r="BD946" s="292"/>
    </row>
    <row r="947" spans="1:56" x14ac:dyDescent="0.15">
      <c r="A947" s="339"/>
      <c r="B947" s="605"/>
      <c r="T947" s="541"/>
      <c r="W947" s="605"/>
      <c r="X947" s="291" t="s">
        <v>560</v>
      </c>
      <c r="AC947" s="291">
        <v>1</v>
      </c>
      <c r="AD947" s="292" t="s">
        <v>849</v>
      </c>
      <c r="AH947" s="605"/>
      <c r="AI947" s="291" t="s">
        <v>270</v>
      </c>
      <c r="AN947" s="501">
        <v>-30</v>
      </c>
      <c r="AO947" s="292"/>
      <c r="AP947" s="343" t="s">
        <v>949</v>
      </c>
      <c r="BD947" s="292"/>
    </row>
    <row r="948" spans="1:56" x14ac:dyDescent="0.15">
      <c r="A948" s="339"/>
      <c r="B948" s="605"/>
      <c r="T948" s="541"/>
      <c r="W948" s="605"/>
      <c r="X948" s="291" t="s">
        <v>282</v>
      </c>
      <c r="AC948" s="504">
        <v>-30</v>
      </c>
      <c r="AD948" s="292"/>
      <c r="AE948" s="343"/>
      <c r="AH948" s="605"/>
      <c r="AI948" s="291" t="s">
        <v>276</v>
      </c>
      <c r="AN948" s="501">
        <v>0.18</v>
      </c>
      <c r="AO948" s="292"/>
      <c r="AP948" s="343" t="s">
        <v>950</v>
      </c>
      <c r="BD948" s="292"/>
    </row>
    <row r="949" spans="1:56" x14ac:dyDescent="0.15">
      <c r="A949" s="339"/>
      <c r="B949" s="605"/>
      <c r="T949" s="541"/>
      <c r="W949" s="1041"/>
      <c r="X949" s="1042" t="s">
        <v>295</v>
      </c>
      <c r="Y949" s="1042"/>
      <c r="Z949" s="1042"/>
      <c r="AA949" s="1042"/>
      <c r="AB949" s="1042"/>
      <c r="AC949" s="1048">
        <v>2</v>
      </c>
      <c r="AD949" s="1043"/>
      <c r="AE949" s="343"/>
      <c r="AH949" s="605"/>
      <c r="AI949" s="291" t="s">
        <v>315</v>
      </c>
      <c r="AN949" s="503">
        <v>91220</v>
      </c>
      <c r="AO949" s="292"/>
      <c r="AP949" s="343" t="s">
        <v>631</v>
      </c>
      <c r="BD949" s="292"/>
    </row>
    <row r="950" spans="1:56" x14ac:dyDescent="0.15">
      <c r="A950" s="339"/>
      <c r="B950" s="605"/>
      <c r="T950" s="541"/>
      <c r="AH950" s="1041"/>
      <c r="AI950" s="1042" t="s">
        <v>853</v>
      </c>
      <c r="AJ950" s="1042"/>
      <c r="AK950" s="1042"/>
      <c r="AL950" s="1042"/>
      <c r="AM950" s="1042"/>
      <c r="AN950" s="1079">
        <v>0</v>
      </c>
      <c r="AO950" s="1043"/>
      <c r="BD950" s="292"/>
    </row>
    <row r="951" spans="1:56" x14ac:dyDescent="0.15">
      <c r="B951" s="605"/>
      <c r="D951" s="325"/>
      <c r="F951" s="325"/>
      <c r="I951" s="325"/>
      <c r="W951" s="291" t="s">
        <v>551</v>
      </c>
      <c r="BD951" s="292"/>
    </row>
    <row r="952" spans="1:56" x14ac:dyDescent="0.15">
      <c r="A952" s="339"/>
      <c r="B952" s="605"/>
      <c r="W952" s="1038" t="s">
        <v>137</v>
      </c>
      <c r="X952" s="1039"/>
      <c r="Y952" s="1039"/>
      <c r="Z952" s="1039"/>
      <c r="AA952" s="1039"/>
      <c r="AB952" s="1039"/>
      <c r="AC952" s="1039"/>
      <c r="AD952" s="1040"/>
      <c r="BD952" s="292"/>
    </row>
    <row r="953" spans="1:56" x14ac:dyDescent="0.15">
      <c r="A953" s="339"/>
      <c r="B953" s="605"/>
      <c r="W953" s="605"/>
      <c r="X953" s="291" t="s">
        <v>248</v>
      </c>
      <c r="AC953" s="325" t="s">
        <v>556</v>
      </c>
      <c r="AD953" s="292"/>
      <c r="BD953" s="292"/>
    </row>
    <row r="954" spans="1:56" x14ac:dyDescent="0.15">
      <c r="A954" s="339"/>
      <c r="B954" s="605"/>
      <c r="W954" s="605"/>
      <c r="X954" s="291" t="s">
        <v>244</v>
      </c>
      <c r="AC954" s="291">
        <v>7</v>
      </c>
      <c r="AD954" s="292"/>
      <c r="BD954" s="292"/>
    </row>
    <row r="955" spans="1:56" x14ac:dyDescent="0.15">
      <c r="A955" s="339"/>
      <c r="B955" s="605"/>
      <c r="W955" s="605"/>
      <c r="X955" s="291" t="s">
        <v>261</v>
      </c>
      <c r="AC955" s="291">
        <v>13</v>
      </c>
      <c r="AD955" s="292"/>
      <c r="BD955" s="292"/>
    </row>
    <row r="956" spans="1:56" x14ac:dyDescent="0.15">
      <c r="A956" s="339"/>
      <c r="B956" s="605"/>
      <c r="W956" s="605"/>
      <c r="X956" s="291" t="s">
        <v>560</v>
      </c>
      <c r="AC956" s="291">
        <v>1</v>
      </c>
      <c r="AD956" s="292" t="s">
        <v>849</v>
      </c>
      <c r="BD956" s="292"/>
    </row>
    <row r="957" spans="1:56" x14ac:dyDescent="0.15">
      <c r="A957" s="339"/>
      <c r="B957" s="605"/>
      <c r="W957" s="605"/>
      <c r="X957" s="291" t="s">
        <v>282</v>
      </c>
      <c r="AC957" s="504">
        <v>-9</v>
      </c>
      <c r="AD957" s="292"/>
      <c r="AE957" s="343"/>
      <c r="BD957" s="292"/>
    </row>
    <row r="958" spans="1:56" x14ac:dyDescent="0.15">
      <c r="A958" s="339"/>
      <c r="B958" s="605"/>
      <c r="W958" s="1041"/>
      <c r="X958" s="1042" t="s">
        <v>295</v>
      </c>
      <c r="Y958" s="1042"/>
      <c r="Z958" s="1042"/>
      <c r="AA958" s="1042"/>
      <c r="AB958" s="1042"/>
      <c r="AC958" s="1048">
        <v>2</v>
      </c>
      <c r="AD958" s="1043"/>
      <c r="AE958" s="343"/>
      <c r="BD958" s="292"/>
    </row>
    <row r="959" spans="1:56" x14ac:dyDescent="0.15">
      <c r="A959" s="339"/>
      <c r="B959" s="605"/>
      <c r="BD959" s="292"/>
    </row>
    <row r="960" spans="1:56" x14ac:dyDescent="0.15">
      <c r="B960" s="605"/>
      <c r="D960" s="325"/>
      <c r="F960" s="325"/>
      <c r="I960" s="325"/>
      <c r="M960" s="325"/>
      <c r="BD960" s="292"/>
    </row>
    <row r="961" spans="1:56" x14ac:dyDescent="0.15">
      <c r="B961" s="605"/>
      <c r="D961" s="325"/>
      <c r="F961" s="325"/>
      <c r="I961" s="325"/>
      <c r="M961" s="291" t="s">
        <v>944</v>
      </c>
      <c r="W961" s="291" t="s">
        <v>551</v>
      </c>
      <c r="BD961" s="292"/>
    </row>
    <row r="962" spans="1:56" x14ac:dyDescent="0.15">
      <c r="A962" s="339"/>
      <c r="B962" s="605"/>
      <c r="M962" s="1038" t="s">
        <v>553</v>
      </c>
      <c r="N962" s="1039"/>
      <c r="O962" s="1039"/>
      <c r="P962" s="1039"/>
      <c r="Q962" s="1039"/>
      <c r="R962" s="1039"/>
      <c r="S962" s="1039"/>
      <c r="T962" s="1039"/>
      <c r="U962" s="1040"/>
      <c r="W962" s="1038" t="s">
        <v>137</v>
      </c>
      <c r="X962" s="1039"/>
      <c r="Y962" s="1039"/>
      <c r="Z962" s="1039"/>
      <c r="AA962" s="1039"/>
      <c r="AB962" s="1039"/>
      <c r="AC962" s="1039"/>
      <c r="AD962" s="1040"/>
      <c r="BD962" s="292"/>
    </row>
    <row r="963" spans="1:56" x14ac:dyDescent="0.15">
      <c r="A963" s="339"/>
      <c r="B963" s="605"/>
      <c r="M963" s="605"/>
      <c r="N963" s="291" t="s">
        <v>248</v>
      </c>
      <c r="T963" s="325" t="s">
        <v>556</v>
      </c>
      <c r="U963" s="292"/>
      <c r="W963" s="605"/>
      <c r="X963" s="291" t="s">
        <v>248</v>
      </c>
      <c r="AC963" s="325" t="s">
        <v>556</v>
      </c>
      <c r="AD963" s="292"/>
      <c r="BD963" s="292"/>
    </row>
    <row r="964" spans="1:56" x14ac:dyDescent="0.15">
      <c r="A964" s="339"/>
      <c r="B964" s="605"/>
      <c r="M964" s="605"/>
      <c r="N964" s="291" t="s">
        <v>244</v>
      </c>
      <c r="T964" s="291">
        <v>9</v>
      </c>
      <c r="U964" s="292"/>
      <c r="W964" s="605"/>
      <c r="X964" s="291" t="s">
        <v>244</v>
      </c>
      <c r="AC964" s="291">
        <v>9</v>
      </c>
      <c r="AD964" s="292"/>
      <c r="BD964" s="292"/>
    </row>
    <row r="965" spans="1:56" x14ac:dyDescent="0.15">
      <c r="A965" s="339"/>
      <c r="B965" s="605"/>
      <c r="M965" s="605"/>
      <c r="N965" s="291" t="s">
        <v>337</v>
      </c>
      <c r="T965" s="291">
        <v>2</v>
      </c>
      <c r="U965" s="292"/>
      <c r="W965" s="605"/>
      <c r="X965" s="291" t="s">
        <v>261</v>
      </c>
      <c r="AC965" s="291">
        <v>3</v>
      </c>
      <c r="AD965" s="292"/>
      <c r="BD965" s="292"/>
    </row>
    <row r="966" spans="1:56" x14ac:dyDescent="0.15">
      <c r="A966" s="339"/>
      <c r="B966" s="605"/>
      <c r="M966" s="605"/>
      <c r="N966" s="291" t="s">
        <v>350</v>
      </c>
      <c r="T966" s="504">
        <v>196</v>
      </c>
      <c r="U966" s="292"/>
      <c r="W966" s="605"/>
      <c r="X966" s="291" t="s">
        <v>560</v>
      </c>
      <c r="AC966" s="291">
        <v>1</v>
      </c>
      <c r="AD966" s="292" t="s">
        <v>849</v>
      </c>
      <c r="BD966" s="292"/>
    </row>
    <row r="967" spans="1:56" x14ac:dyDescent="0.15">
      <c r="A967" s="339"/>
      <c r="B967" s="605"/>
      <c r="M967" s="605"/>
      <c r="N967" s="291" t="s">
        <v>358</v>
      </c>
      <c r="T967" s="291">
        <v>100</v>
      </c>
      <c r="U967" s="292"/>
      <c r="W967" s="605"/>
      <c r="X967" s="291" t="s">
        <v>282</v>
      </c>
      <c r="AC967" s="291">
        <v>0</v>
      </c>
      <c r="AD967" s="292"/>
      <c r="AE967" s="343"/>
      <c r="BD967" s="292"/>
    </row>
    <row r="968" spans="1:56" x14ac:dyDescent="0.15">
      <c r="A968" s="339"/>
      <c r="B968" s="605"/>
      <c r="M968" s="1041"/>
      <c r="N968" s="1042" t="s">
        <v>740</v>
      </c>
      <c r="O968" s="1042"/>
      <c r="P968" s="1042"/>
      <c r="Q968" s="1042"/>
      <c r="R968" s="1042"/>
      <c r="S968" s="1042"/>
      <c r="T968" s="1048">
        <v>98</v>
      </c>
      <c r="U968" s="1043"/>
      <c r="W968" s="1041"/>
      <c r="X968" s="1042" t="s">
        <v>295</v>
      </c>
      <c r="Y968" s="1042"/>
      <c r="Z968" s="1042"/>
      <c r="AA968" s="1042"/>
      <c r="AB968" s="1042"/>
      <c r="AC968" s="1042">
        <v>0</v>
      </c>
      <c r="AD968" s="1043"/>
      <c r="AE968" s="343"/>
      <c r="BD968" s="292"/>
    </row>
    <row r="969" spans="1:56" x14ac:dyDescent="0.15">
      <c r="A969" s="339"/>
      <c r="B969" s="605"/>
      <c r="T969" s="343" t="s">
        <v>900</v>
      </c>
      <c r="BD969" s="292"/>
    </row>
    <row r="970" spans="1:56" x14ac:dyDescent="0.15">
      <c r="B970" s="605"/>
      <c r="D970" s="325"/>
      <c r="F970" s="325"/>
      <c r="I970" s="325"/>
      <c r="M970" s="325"/>
      <c r="T970" s="343" t="s">
        <v>901</v>
      </c>
      <c r="BD970" s="292"/>
    </row>
    <row r="971" spans="1:56" x14ac:dyDescent="0.15">
      <c r="B971" s="605"/>
      <c r="D971" s="325"/>
      <c r="F971" s="325"/>
      <c r="I971" s="325"/>
      <c r="M971" s="325"/>
      <c r="BD971" s="292"/>
    </row>
    <row r="972" spans="1:56" x14ac:dyDescent="0.15">
      <c r="B972" s="605"/>
      <c r="D972" s="325"/>
      <c r="F972" s="325"/>
      <c r="I972" s="325"/>
      <c r="T972" s="541"/>
      <c r="W972" s="291" t="s">
        <v>551</v>
      </c>
      <c r="BD972" s="292"/>
    </row>
    <row r="973" spans="1:56" x14ac:dyDescent="0.15">
      <c r="A973" s="339"/>
      <c r="B973" s="605"/>
      <c r="T973" s="541"/>
      <c r="W973" s="1038" t="s">
        <v>137</v>
      </c>
      <c r="X973" s="1039"/>
      <c r="Y973" s="1039"/>
      <c r="Z973" s="1039"/>
      <c r="AA973" s="1039"/>
      <c r="AB973" s="1039"/>
      <c r="AC973" s="1039"/>
      <c r="AD973" s="1040"/>
      <c r="BD973" s="292"/>
    </row>
    <row r="974" spans="1:56" x14ac:dyDescent="0.15">
      <c r="A974" s="339"/>
      <c r="B974" s="605"/>
      <c r="T974" s="541"/>
      <c r="W974" s="605"/>
      <c r="X974" s="291" t="s">
        <v>248</v>
      </c>
      <c r="AC974" s="325" t="s">
        <v>556</v>
      </c>
      <c r="AD974" s="292"/>
      <c r="BD974" s="292"/>
    </row>
    <row r="975" spans="1:56" x14ac:dyDescent="0.15">
      <c r="A975" s="339"/>
      <c r="B975" s="605"/>
      <c r="T975" s="541"/>
      <c r="W975" s="605"/>
      <c r="X975" s="291" t="s">
        <v>244</v>
      </c>
      <c r="AC975" s="291">
        <v>9</v>
      </c>
      <c r="AD975" s="292"/>
      <c r="BD975" s="292"/>
    </row>
    <row r="976" spans="1:56" x14ac:dyDescent="0.15">
      <c r="A976" s="339"/>
      <c r="B976" s="605"/>
      <c r="T976" s="541"/>
      <c r="W976" s="605"/>
      <c r="X976" s="291" t="s">
        <v>261</v>
      </c>
      <c r="AC976" s="291">
        <v>4</v>
      </c>
      <c r="AD976" s="292"/>
      <c r="BD976" s="292"/>
    </row>
    <row r="977" spans="1:56" x14ac:dyDescent="0.15">
      <c r="A977" s="339"/>
      <c r="B977" s="605"/>
      <c r="T977" s="541"/>
      <c r="W977" s="605"/>
      <c r="X977" s="291" t="s">
        <v>560</v>
      </c>
      <c r="AC977" s="291">
        <v>1</v>
      </c>
      <c r="AD977" s="292" t="s">
        <v>849</v>
      </c>
      <c r="BD977" s="292"/>
    </row>
    <row r="978" spans="1:56" x14ac:dyDescent="0.15">
      <c r="A978" s="339"/>
      <c r="B978" s="605"/>
      <c r="T978" s="541"/>
      <c r="W978" s="605"/>
      <c r="X978" s="291" t="s">
        <v>282</v>
      </c>
      <c r="AC978" s="504">
        <v>0</v>
      </c>
      <c r="AD978" s="292"/>
      <c r="AE978" s="343" t="s">
        <v>872</v>
      </c>
      <c r="BD978" s="292"/>
    </row>
    <row r="979" spans="1:56" x14ac:dyDescent="0.15">
      <c r="A979" s="339"/>
      <c r="B979" s="605"/>
      <c r="T979" s="541"/>
      <c r="W979" s="1041"/>
      <c r="X979" s="1042" t="s">
        <v>295</v>
      </c>
      <c r="Y979" s="1042"/>
      <c r="Z979" s="1042"/>
      <c r="AA979" s="1042"/>
      <c r="AB979" s="1042"/>
      <c r="AC979" s="1048">
        <v>0</v>
      </c>
      <c r="AD979" s="1043"/>
      <c r="AE979" s="343" t="s">
        <v>872</v>
      </c>
      <c r="BD979" s="292"/>
    </row>
    <row r="980" spans="1:56" x14ac:dyDescent="0.15">
      <c r="A980" s="339"/>
      <c r="B980" s="605"/>
      <c r="T980" s="541"/>
      <c r="BD980" s="292"/>
    </row>
    <row r="981" spans="1:56" x14ac:dyDescent="0.15">
      <c r="B981" s="605"/>
      <c r="D981" s="325"/>
      <c r="F981" s="325"/>
      <c r="I981" s="325"/>
      <c r="T981" s="541"/>
      <c r="W981" s="291" t="s">
        <v>551</v>
      </c>
      <c r="BD981" s="292"/>
    </row>
    <row r="982" spans="1:56" x14ac:dyDescent="0.15">
      <c r="A982" s="339"/>
      <c r="B982" s="605"/>
      <c r="T982" s="541"/>
      <c r="W982" s="1038" t="s">
        <v>137</v>
      </c>
      <c r="X982" s="1039"/>
      <c r="Y982" s="1039"/>
      <c r="Z982" s="1039"/>
      <c r="AA982" s="1039"/>
      <c r="AB982" s="1039"/>
      <c r="AC982" s="1039"/>
      <c r="AD982" s="1040"/>
      <c r="BD982" s="292"/>
    </row>
    <row r="983" spans="1:56" x14ac:dyDescent="0.15">
      <c r="A983" s="339"/>
      <c r="B983" s="605"/>
      <c r="T983" s="541"/>
      <c r="W983" s="605"/>
      <c r="X983" s="291" t="s">
        <v>248</v>
      </c>
      <c r="AC983" s="325" t="s">
        <v>556</v>
      </c>
      <c r="AD983" s="292"/>
      <c r="BD983" s="292"/>
    </row>
    <row r="984" spans="1:56" x14ac:dyDescent="0.15">
      <c r="A984" s="339"/>
      <c r="B984" s="605"/>
      <c r="T984" s="541"/>
      <c r="W984" s="605"/>
      <c r="X984" s="291" t="s">
        <v>244</v>
      </c>
      <c r="AC984" s="291">
        <v>9</v>
      </c>
      <c r="AD984" s="292"/>
      <c r="BD984" s="292"/>
    </row>
    <row r="985" spans="1:56" x14ac:dyDescent="0.15">
      <c r="A985" s="339"/>
      <c r="B985" s="605"/>
      <c r="T985" s="541"/>
      <c r="W985" s="605"/>
      <c r="X985" s="291" t="s">
        <v>261</v>
      </c>
      <c r="AC985" s="291">
        <v>5</v>
      </c>
      <c r="AD985" s="292"/>
      <c r="BD985" s="292"/>
    </row>
    <row r="986" spans="1:56" x14ac:dyDescent="0.15">
      <c r="A986" s="339"/>
      <c r="B986" s="605"/>
      <c r="T986" s="541"/>
      <c r="W986" s="605"/>
      <c r="X986" s="291" t="s">
        <v>560</v>
      </c>
      <c r="AC986" s="291">
        <v>1</v>
      </c>
      <c r="AD986" s="292" t="s">
        <v>849</v>
      </c>
      <c r="BD986" s="292"/>
    </row>
    <row r="987" spans="1:56" x14ac:dyDescent="0.15">
      <c r="A987" s="339"/>
      <c r="B987" s="605"/>
      <c r="T987" s="541"/>
      <c r="W987" s="605"/>
      <c r="X987" s="291" t="s">
        <v>282</v>
      </c>
      <c r="AC987" s="504">
        <v>0</v>
      </c>
      <c r="AD987" s="292"/>
      <c r="AE987" s="343" t="s">
        <v>872</v>
      </c>
      <c r="BD987" s="292"/>
    </row>
    <row r="988" spans="1:56" x14ac:dyDescent="0.15">
      <c r="A988" s="339"/>
      <c r="B988" s="605"/>
      <c r="T988" s="541"/>
      <c r="W988" s="1041"/>
      <c r="X988" s="1042" t="s">
        <v>295</v>
      </c>
      <c r="Y988" s="1042"/>
      <c r="Z988" s="1042"/>
      <c r="AA988" s="1042"/>
      <c r="AB988" s="1042"/>
      <c r="AC988" s="1048">
        <v>0</v>
      </c>
      <c r="AD988" s="1043"/>
      <c r="AE988" s="343" t="s">
        <v>872</v>
      </c>
      <c r="BD988" s="292"/>
    </row>
    <row r="989" spans="1:56" x14ac:dyDescent="0.15">
      <c r="A989" s="339"/>
      <c r="B989" s="605"/>
      <c r="T989" s="541"/>
      <c r="BD989" s="292"/>
    </row>
    <row r="990" spans="1:56" x14ac:dyDescent="0.15">
      <c r="B990" s="605"/>
      <c r="D990" s="325"/>
      <c r="F990" s="325"/>
      <c r="I990" s="325"/>
      <c r="T990" s="541"/>
      <c r="W990" s="291" t="s">
        <v>551</v>
      </c>
      <c r="AH990" s="291" t="s">
        <v>951</v>
      </c>
      <c r="BD990" s="292"/>
    </row>
    <row r="991" spans="1:56" x14ac:dyDescent="0.15">
      <c r="A991" s="339"/>
      <c r="B991" s="605"/>
      <c r="T991" s="541"/>
      <c r="W991" s="1038" t="s">
        <v>137</v>
      </c>
      <c r="X991" s="1039"/>
      <c r="Y991" s="1039"/>
      <c r="Z991" s="1039"/>
      <c r="AA991" s="1039"/>
      <c r="AB991" s="1039"/>
      <c r="AC991" s="1039"/>
      <c r="AD991" s="1040"/>
      <c r="AH991" s="1038" t="s">
        <v>35</v>
      </c>
      <c r="AI991" s="1039"/>
      <c r="AJ991" s="1039"/>
      <c r="AK991" s="1039"/>
      <c r="AL991" s="1039"/>
      <c r="AM991" s="1039"/>
      <c r="AN991" s="1039"/>
      <c r="AO991" s="1040"/>
      <c r="BD991" s="292"/>
    </row>
    <row r="992" spans="1:56" x14ac:dyDescent="0.15">
      <c r="A992" s="339"/>
      <c r="B992" s="605"/>
      <c r="T992" s="541"/>
      <c r="W992" s="605"/>
      <c r="X992" s="291" t="s">
        <v>248</v>
      </c>
      <c r="AC992" s="325" t="s">
        <v>556</v>
      </c>
      <c r="AD992" s="292"/>
      <c r="AH992" s="605"/>
      <c r="AI992" s="291" t="s">
        <v>248</v>
      </c>
      <c r="AN992" s="325" t="s">
        <v>556</v>
      </c>
      <c r="AO992" s="292"/>
      <c r="BD992" s="292"/>
    </row>
    <row r="993" spans="1:56" x14ac:dyDescent="0.15">
      <c r="A993" s="339"/>
      <c r="B993" s="605"/>
      <c r="T993" s="541"/>
      <c r="W993" s="605"/>
      <c r="X993" s="291" t="s">
        <v>244</v>
      </c>
      <c r="AC993" s="291">
        <v>9</v>
      </c>
      <c r="AD993" s="292"/>
      <c r="AH993" s="605"/>
      <c r="AI993" s="291" t="s">
        <v>244</v>
      </c>
      <c r="AN993" s="502">
        <v>10</v>
      </c>
      <c r="AO993" s="292"/>
      <c r="BD993" s="292"/>
    </row>
    <row r="994" spans="1:56" x14ac:dyDescent="0.15">
      <c r="A994" s="339"/>
      <c r="B994" s="605"/>
      <c r="T994" s="541"/>
      <c r="W994" s="605"/>
      <c r="X994" s="291" t="s">
        <v>261</v>
      </c>
      <c r="AC994" s="291">
        <v>10</v>
      </c>
      <c r="AD994" s="292"/>
      <c r="AH994" s="605"/>
      <c r="AI994" s="291" t="s">
        <v>263</v>
      </c>
      <c r="AN994" s="503">
        <v>6</v>
      </c>
      <c r="AO994" s="292"/>
      <c r="AP994" s="343" t="s">
        <v>628</v>
      </c>
      <c r="BD994" s="292"/>
    </row>
    <row r="995" spans="1:56" x14ac:dyDescent="0.15">
      <c r="A995" s="339"/>
      <c r="B995" s="605"/>
      <c r="T995" s="541"/>
      <c r="W995" s="605"/>
      <c r="X995" s="291" t="s">
        <v>560</v>
      </c>
      <c r="AC995" s="291">
        <v>1</v>
      </c>
      <c r="AD995" s="292" t="s">
        <v>849</v>
      </c>
      <c r="AH995" s="605"/>
      <c r="AI995" s="291" t="s">
        <v>270</v>
      </c>
      <c r="AN995" s="501">
        <v>-2</v>
      </c>
      <c r="AO995" s="292"/>
      <c r="AP995" s="343" t="s">
        <v>952</v>
      </c>
      <c r="BD995" s="292"/>
    </row>
    <row r="996" spans="1:56" x14ac:dyDescent="0.15">
      <c r="A996" s="339"/>
      <c r="B996" s="605"/>
      <c r="T996" s="541"/>
      <c r="W996" s="605"/>
      <c r="X996" s="291" t="s">
        <v>282</v>
      </c>
      <c r="AC996" s="504">
        <v>-2</v>
      </c>
      <c r="AD996" s="292"/>
      <c r="AE996" s="343"/>
      <c r="AH996" s="605"/>
      <c r="AI996" s="291" t="s">
        <v>276</v>
      </c>
      <c r="AN996" s="501">
        <v>97</v>
      </c>
      <c r="AO996" s="292"/>
      <c r="AP996" s="343" t="s">
        <v>953</v>
      </c>
      <c r="BD996" s="292"/>
    </row>
    <row r="997" spans="1:56" x14ac:dyDescent="0.15">
      <c r="A997" s="339"/>
      <c r="B997" s="605"/>
      <c r="T997" s="541"/>
      <c r="W997" s="1041"/>
      <c r="X997" s="1042" t="s">
        <v>295</v>
      </c>
      <c r="Y997" s="1042"/>
      <c r="Z997" s="1042"/>
      <c r="AA997" s="1042"/>
      <c r="AB997" s="1042"/>
      <c r="AC997" s="1048">
        <v>2</v>
      </c>
      <c r="AD997" s="1043"/>
      <c r="AE997" s="343"/>
      <c r="AH997" s="605"/>
      <c r="AI997" s="291" t="s">
        <v>315</v>
      </c>
      <c r="AN997" s="503">
        <v>91220</v>
      </c>
      <c r="AO997" s="292"/>
      <c r="AP997" s="343" t="s">
        <v>631</v>
      </c>
      <c r="BD997" s="292"/>
    </row>
    <row r="998" spans="1:56" x14ac:dyDescent="0.15">
      <c r="A998" s="339"/>
      <c r="B998" s="605"/>
      <c r="T998" s="541"/>
      <c r="AH998" s="1041"/>
      <c r="AI998" s="1042" t="s">
        <v>853</v>
      </c>
      <c r="AJ998" s="1042"/>
      <c r="AK998" s="1042"/>
      <c r="AL998" s="1042"/>
      <c r="AM998" s="1042"/>
      <c r="AN998" s="1079">
        <v>0</v>
      </c>
      <c r="AO998" s="1043"/>
      <c r="BD998" s="292"/>
    </row>
    <row r="999" spans="1:56" x14ac:dyDescent="0.15">
      <c r="B999" s="605"/>
      <c r="D999" s="325"/>
      <c r="F999" s="325"/>
      <c r="I999" s="325"/>
      <c r="W999" s="291" t="s">
        <v>551</v>
      </c>
      <c r="BD999" s="292"/>
    </row>
    <row r="1000" spans="1:56" x14ac:dyDescent="0.15">
      <c r="A1000" s="339"/>
      <c r="B1000" s="605"/>
      <c r="W1000" s="1038" t="s">
        <v>137</v>
      </c>
      <c r="X1000" s="1039"/>
      <c r="Y1000" s="1039"/>
      <c r="Z1000" s="1039"/>
      <c r="AA1000" s="1039"/>
      <c r="AB1000" s="1039"/>
      <c r="AC1000" s="1039"/>
      <c r="AD1000" s="1040"/>
      <c r="BD1000" s="292"/>
    </row>
    <row r="1001" spans="1:56" x14ac:dyDescent="0.15">
      <c r="A1001" s="339"/>
      <c r="B1001" s="605"/>
      <c r="W1001" s="605"/>
      <c r="X1001" s="291" t="s">
        <v>248</v>
      </c>
      <c r="AC1001" s="325" t="s">
        <v>556</v>
      </c>
      <c r="AD1001" s="292"/>
      <c r="BD1001" s="292"/>
    </row>
    <row r="1002" spans="1:56" x14ac:dyDescent="0.15">
      <c r="A1002" s="339"/>
      <c r="B1002" s="605"/>
      <c r="W1002" s="605"/>
      <c r="X1002" s="291" t="s">
        <v>244</v>
      </c>
      <c r="AC1002" s="291">
        <v>9</v>
      </c>
      <c r="AD1002" s="292"/>
      <c r="BD1002" s="292"/>
    </row>
    <row r="1003" spans="1:56" x14ac:dyDescent="0.15">
      <c r="A1003" s="339"/>
      <c r="B1003" s="605"/>
      <c r="W1003" s="605"/>
      <c r="X1003" s="291" t="s">
        <v>261</v>
      </c>
      <c r="AC1003" s="291">
        <v>13</v>
      </c>
      <c r="AD1003" s="292"/>
      <c r="BD1003" s="292"/>
    </row>
    <row r="1004" spans="1:56" x14ac:dyDescent="0.15">
      <c r="A1004" s="339"/>
      <c r="B1004" s="605"/>
      <c r="W1004" s="605"/>
      <c r="X1004" s="291" t="s">
        <v>560</v>
      </c>
      <c r="AC1004" s="291">
        <v>1</v>
      </c>
      <c r="AD1004" s="292" t="s">
        <v>849</v>
      </c>
      <c r="BD1004" s="292"/>
    </row>
    <row r="1005" spans="1:56" x14ac:dyDescent="0.15">
      <c r="A1005" s="339"/>
      <c r="B1005" s="605"/>
      <c r="W1005" s="605"/>
      <c r="X1005" s="291" t="s">
        <v>282</v>
      </c>
      <c r="AC1005" s="504">
        <v>-20</v>
      </c>
      <c r="AD1005" s="292"/>
      <c r="AE1005" s="343"/>
      <c r="BD1005" s="292"/>
    </row>
    <row r="1006" spans="1:56" x14ac:dyDescent="0.15">
      <c r="A1006" s="339"/>
      <c r="B1006" s="605"/>
      <c r="W1006" s="1041"/>
      <c r="X1006" s="1042" t="s">
        <v>295</v>
      </c>
      <c r="Y1006" s="1042"/>
      <c r="Z1006" s="1042"/>
      <c r="AA1006" s="1042"/>
      <c r="AB1006" s="1042"/>
      <c r="AC1006" s="1048">
        <v>2</v>
      </c>
      <c r="AD1006" s="1043"/>
      <c r="AE1006" s="343"/>
      <c r="BD1006" s="292"/>
    </row>
    <row r="1007" spans="1:56" x14ac:dyDescent="0.15">
      <c r="A1007" s="339"/>
      <c r="B1007" s="605"/>
      <c r="BD1007" s="292"/>
    </row>
    <row r="1008" spans="1:56" x14ac:dyDescent="0.15">
      <c r="B1008" s="605"/>
      <c r="D1008" s="325"/>
      <c r="F1008" s="325"/>
      <c r="I1008" s="325"/>
      <c r="M1008" s="325"/>
      <c r="BD1008" s="292"/>
    </row>
    <row r="1009" spans="1:56" x14ac:dyDescent="0.15">
      <c r="B1009" s="605"/>
      <c r="D1009" s="325"/>
      <c r="F1009" s="325"/>
      <c r="I1009" s="325"/>
      <c r="M1009" s="291" t="s">
        <v>944</v>
      </c>
      <c r="W1009" s="291" t="s">
        <v>551</v>
      </c>
      <c r="BD1009" s="292"/>
    </row>
    <row r="1010" spans="1:56" x14ac:dyDescent="0.15">
      <c r="A1010" s="339"/>
      <c r="B1010" s="605"/>
      <c r="M1010" s="1038" t="s">
        <v>553</v>
      </c>
      <c r="N1010" s="1039"/>
      <c r="O1010" s="1039"/>
      <c r="P1010" s="1039"/>
      <c r="Q1010" s="1039"/>
      <c r="R1010" s="1039"/>
      <c r="S1010" s="1039"/>
      <c r="T1010" s="1039"/>
      <c r="U1010" s="1040"/>
      <c r="W1010" s="1038" t="s">
        <v>137</v>
      </c>
      <c r="X1010" s="1039"/>
      <c r="Y1010" s="1039"/>
      <c r="Z1010" s="1039"/>
      <c r="AA1010" s="1039"/>
      <c r="AB1010" s="1039"/>
      <c r="AC1010" s="1039"/>
      <c r="AD1010" s="1040"/>
      <c r="BD1010" s="292"/>
    </row>
    <row r="1011" spans="1:56" x14ac:dyDescent="0.15">
      <c r="A1011" s="339"/>
      <c r="B1011" s="605"/>
      <c r="M1011" s="605"/>
      <c r="N1011" s="291" t="s">
        <v>248</v>
      </c>
      <c r="T1011" s="325" t="s">
        <v>556</v>
      </c>
      <c r="U1011" s="292"/>
      <c r="W1011" s="605"/>
      <c r="X1011" s="291" t="s">
        <v>248</v>
      </c>
      <c r="AC1011" s="325" t="s">
        <v>556</v>
      </c>
      <c r="AD1011" s="292"/>
      <c r="BD1011" s="292"/>
    </row>
    <row r="1012" spans="1:56" x14ac:dyDescent="0.15">
      <c r="A1012" s="339"/>
      <c r="B1012" s="605"/>
      <c r="M1012" s="605"/>
      <c r="N1012" s="291" t="s">
        <v>244</v>
      </c>
      <c r="T1012" s="291">
        <v>11</v>
      </c>
      <c r="U1012" s="292"/>
      <c r="W1012" s="605"/>
      <c r="X1012" s="291" t="s">
        <v>244</v>
      </c>
      <c r="AC1012" s="291">
        <v>11</v>
      </c>
      <c r="AD1012" s="292"/>
      <c r="BD1012" s="292"/>
    </row>
    <row r="1013" spans="1:56" x14ac:dyDescent="0.15">
      <c r="A1013" s="339"/>
      <c r="B1013" s="605"/>
      <c r="M1013" s="605"/>
      <c r="N1013" s="291" t="s">
        <v>337</v>
      </c>
      <c r="T1013" s="291">
        <v>2</v>
      </c>
      <c r="U1013" s="292"/>
      <c r="W1013" s="605"/>
      <c r="X1013" s="291" t="s">
        <v>261</v>
      </c>
      <c r="AC1013" s="291">
        <v>3</v>
      </c>
      <c r="AD1013" s="292"/>
      <c r="BD1013" s="292"/>
    </row>
    <row r="1014" spans="1:56" x14ac:dyDescent="0.15">
      <c r="A1014" s="339"/>
      <c r="B1014" s="605"/>
      <c r="M1014" s="605"/>
      <c r="N1014" s="291" t="s">
        <v>350</v>
      </c>
      <c r="T1014" s="504">
        <v>198</v>
      </c>
      <c r="U1014" s="292"/>
      <c r="W1014" s="605"/>
      <c r="X1014" s="291" t="s">
        <v>560</v>
      </c>
      <c r="AC1014" s="291">
        <v>1</v>
      </c>
      <c r="AD1014" s="292" t="s">
        <v>849</v>
      </c>
      <c r="BD1014" s="292"/>
    </row>
    <row r="1015" spans="1:56" x14ac:dyDescent="0.15">
      <c r="A1015" s="339"/>
      <c r="B1015" s="605"/>
      <c r="M1015" s="605"/>
      <c r="N1015" s="291" t="s">
        <v>358</v>
      </c>
      <c r="T1015" s="291">
        <v>100</v>
      </c>
      <c r="U1015" s="292"/>
      <c r="W1015" s="605"/>
      <c r="X1015" s="291" t="s">
        <v>282</v>
      </c>
      <c r="AC1015" s="291">
        <v>0</v>
      </c>
      <c r="AD1015" s="292"/>
      <c r="AE1015" s="343"/>
      <c r="BD1015" s="292"/>
    </row>
    <row r="1016" spans="1:56" x14ac:dyDescent="0.15">
      <c r="A1016" s="339"/>
      <c r="B1016" s="605"/>
      <c r="M1016" s="1041"/>
      <c r="N1016" s="1042" t="s">
        <v>740</v>
      </c>
      <c r="O1016" s="1042"/>
      <c r="P1016" s="1042"/>
      <c r="Q1016" s="1042"/>
      <c r="R1016" s="1042"/>
      <c r="S1016" s="1042"/>
      <c r="T1016" s="1048">
        <v>98</v>
      </c>
      <c r="U1016" s="1043"/>
      <c r="W1016" s="1041"/>
      <c r="X1016" s="1042" t="s">
        <v>295</v>
      </c>
      <c r="Y1016" s="1042"/>
      <c r="Z1016" s="1042"/>
      <c r="AA1016" s="1042"/>
      <c r="AB1016" s="1042"/>
      <c r="AC1016" s="1042">
        <v>0</v>
      </c>
      <c r="AD1016" s="1043"/>
      <c r="AE1016" s="343"/>
      <c r="BD1016" s="292"/>
    </row>
    <row r="1017" spans="1:56" x14ac:dyDescent="0.15">
      <c r="A1017" s="339"/>
      <c r="B1017" s="605"/>
      <c r="T1017" s="343" t="s">
        <v>954</v>
      </c>
      <c r="BD1017" s="292"/>
    </row>
    <row r="1018" spans="1:56" x14ac:dyDescent="0.15">
      <c r="B1018" s="605"/>
      <c r="D1018" s="325"/>
      <c r="F1018" s="325"/>
      <c r="I1018" s="325"/>
      <c r="M1018" s="325"/>
      <c r="T1018" s="343" t="s">
        <v>901</v>
      </c>
      <c r="BD1018" s="292"/>
    </row>
    <row r="1019" spans="1:56" x14ac:dyDescent="0.15">
      <c r="B1019" s="605"/>
      <c r="D1019" s="325"/>
      <c r="F1019" s="325"/>
      <c r="I1019" s="325"/>
      <c r="M1019" s="325"/>
      <c r="BD1019" s="292"/>
    </row>
    <row r="1020" spans="1:56" x14ac:dyDescent="0.15">
      <c r="B1020" s="605"/>
      <c r="D1020" s="325"/>
      <c r="F1020" s="325"/>
      <c r="I1020" s="325"/>
      <c r="T1020" s="541"/>
      <c r="W1020" s="291" t="s">
        <v>551</v>
      </c>
      <c r="BD1020" s="292"/>
    </row>
    <row r="1021" spans="1:56" x14ac:dyDescent="0.15">
      <c r="A1021" s="339"/>
      <c r="B1021" s="605"/>
      <c r="T1021" s="541"/>
      <c r="W1021" s="1038" t="s">
        <v>137</v>
      </c>
      <c r="X1021" s="1039"/>
      <c r="Y1021" s="1039"/>
      <c r="Z1021" s="1039"/>
      <c r="AA1021" s="1039"/>
      <c r="AB1021" s="1039"/>
      <c r="AC1021" s="1039"/>
      <c r="AD1021" s="1040"/>
      <c r="BD1021" s="292"/>
    </row>
    <row r="1022" spans="1:56" x14ac:dyDescent="0.15">
      <c r="A1022" s="339"/>
      <c r="B1022" s="605"/>
      <c r="T1022" s="541"/>
      <c r="W1022" s="605"/>
      <c r="X1022" s="291" t="s">
        <v>248</v>
      </c>
      <c r="AC1022" s="325" t="s">
        <v>556</v>
      </c>
      <c r="AD1022" s="292"/>
      <c r="BD1022" s="292"/>
    </row>
    <row r="1023" spans="1:56" x14ac:dyDescent="0.15">
      <c r="A1023" s="339"/>
      <c r="B1023" s="605"/>
      <c r="T1023" s="541"/>
      <c r="W1023" s="605"/>
      <c r="X1023" s="291" t="s">
        <v>244</v>
      </c>
      <c r="AC1023" s="291">
        <v>11</v>
      </c>
      <c r="AD1023" s="292"/>
      <c r="BD1023" s="292"/>
    </row>
    <row r="1024" spans="1:56" x14ac:dyDescent="0.15">
      <c r="A1024" s="339"/>
      <c r="B1024" s="605"/>
      <c r="T1024" s="541"/>
      <c r="W1024" s="605"/>
      <c r="X1024" s="291" t="s">
        <v>261</v>
      </c>
      <c r="AC1024" s="291">
        <v>4</v>
      </c>
      <c r="AD1024" s="292"/>
      <c r="BD1024" s="292"/>
    </row>
    <row r="1025" spans="1:56" x14ac:dyDescent="0.15">
      <c r="A1025" s="339"/>
      <c r="B1025" s="605"/>
      <c r="T1025" s="541"/>
      <c r="W1025" s="605"/>
      <c r="X1025" s="291" t="s">
        <v>560</v>
      </c>
      <c r="AC1025" s="291">
        <v>1</v>
      </c>
      <c r="AD1025" s="292" t="s">
        <v>849</v>
      </c>
      <c r="BD1025" s="292"/>
    </row>
    <row r="1026" spans="1:56" x14ac:dyDescent="0.15">
      <c r="A1026" s="339"/>
      <c r="B1026" s="605"/>
      <c r="T1026" s="541"/>
      <c r="W1026" s="605"/>
      <c r="X1026" s="291" t="s">
        <v>282</v>
      </c>
      <c r="AC1026" s="504">
        <v>0</v>
      </c>
      <c r="AD1026" s="292"/>
      <c r="AE1026" s="343" t="s">
        <v>872</v>
      </c>
      <c r="BD1026" s="292"/>
    </row>
    <row r="1027" spans="1:56" x14ac:dyDescent="0.15">
      <c r="A1027" s="339"/>
      <c r="B1027" s="605"/>
      <c r="T1027" s="541"/>
      <c r="W1027" s="1041"/>
      <c r="X1027" s="1042" t="s">
        <v>295</v>
      </c>
      <c r="Y1027" s="1042"/>
      <c r="Z1027" s="1042"/>
      <c r="AA1027" s="1042"/>
      <c r="AB1027" s="1042"/>
      <c r="AC1027" s="1048">
        <v>0</v>
      </c>
      <c r="AD1027" s="1043"/>
      <c r="AE1027" s="343" t="s">
        <v>872</v>
      </c>
      <c r="BD1027" s="292"/>
    </row>
    <row r="1028" spans="1:56" x14ac:dyDescent="0.15">
      <c r="A1028" s="339"/>
      <c r="B1028" s="605"/>
      <c r="T1028" s="541"/>
      <c r="BD1028" s="292"/>
    </row>
    <row r="1029" spans="1:56" x14ac:dyDescent="0.15">
      <c r="B1029" s="605"/>
      <c r="D1029" s="325"/>
      <c r="F1029" s="325"/>
      <c r="I1029" s="325"/>
      <c r="T1029" s="541"/>
      <c r="W1029" s="291" t="s">
        <v>551</v>
      </c>
      <c r="BD1029" s="292"/>
    </row>
    <row r="1030" spans="1:56" x14ac:dyDescent="0.15">
      <c r="A1030" s="339"/>
      <c r="B1030" s="605"/>
      <c r="T1030" s="541"/>
      <c r="W1030" s="1038" t="s">
        <v>137</v>
      </c>
      <c r="X1030" s="1039"/>
      <c r="Y1030" s="1039"/>
      <c r="Z1030" s="1039"/>
      <c r="AA1030" s="1039"/>
      <c r="AB1030" s="1039"/>
      <c r="AC1030" s="1039"/>
      <c r="AD1030" s="1040"/>
      <c r="BD1030" s="292"/>
    </row>
    <row r="1031" spans="1:56" x14ac:dyDescent="0.15">
      <c r="A1031" s="339"/>
      <c r="B1031" s="605"/>
      <c r="T1031" s="541"/>
      <c r="W1031" s="605"/>
      <c r="X1031" s="291" t="s">
        <v>248</v>
      </c>
      <c r="AC1031" s="325" t="s">
        <v>556</v>
      </c>
      <c r="AD1031" s="292"/>
      <c r="BD1031" s="292"/>
    </row>
    <row r="1032" spans="1:56" x14ac:dyDescent="0.15">
      <c r="A1032" s="339"/>
      <c r="B1032" s="605"/>
      <c r="T1032" s="541"/>
      <c r="W1032" s="605"/>
      <c r="X1032" s="291" t="s">
        <v>244</v>
      </c>
      <c r="AC1032" s="291">
        <v>11</v>
      </c>
      <c r="AD1032" s="292"/>
      <c r="BD1032" s="292"/>
    </row>
    <row r="1033" spans="1:56" x14ac:dyDescent="0.15">
      <c r="A1033" s="339"/>
      <c r="B1033" s="605"/>
      <c r="T1033" s="541"/>
      <c r="W1033" s="605"/>
      <c r="X1033" s="291" t="s">
        <v>261</v>
      </c>
      <c r="AC1033" s="291">
        <v>5</v>
      </c>
      <c r="AD1033" s="292"/>
      <c r="BD1033" s="292"/>
    </row>
    <row r="1034" spans="1:56" x14ac:dyDescent="0.15">
      <c r="A1034" s="339"/>
      <c r="B1034" s="605"/>
      <c r="T1034" s="541"/>
      <c r="W1034" s="605"/>
      <c r="X1034" s="291" t="s">
        <v>560</v>
      </c>
      <c r="AC1034" s="291">
        <v>1</v>
      </c>
      <c r="AD1034" s="292" t="s">
        <v>849</v>
      </c>
      <c r="BD1034" s="292"/>
    </row>
    <row r="1035" spans="1:56" x14ac:dyDescent="0.15">
      <c r="A1035" s="339"/>
      <c r="B1035" s="605"/>
      <c r="T1035" s="541"/>
      <c r="W1035" s="605"/>
      <c r="X1035" s="291" t="s">
        <v>282</v>
      </c>
      <c r="AC1035" s="504">
        <v>0</v>
      </c>
      <c r="AD1035" s="292"/>
      <c r="AE1035" s="343" t="s">
        <v>872</v>
      </c>
      <c r="BD1035" s="292"/>
    </row>
    <row r="1036" spans="1:56" x14ac:dyDescent="0.15">
      <c r="A1036" s="339"/>
      <c r="B1036" s="605"/>
      <c r="T1036" s="541"/>
      <c r="W1036" s="1041"/>
      <c r="X1036" s="1042" t="s">
        <v>295</v>
      </c>
      <c r="Y1036" s="1042"/>
      <c r="Z1036" s="1042"/>
      <c r="AA1036" s="1042"/>
      <c r="AB1036" s="1042"/>
      <c r="AC1036" s="1048">
        <v>0</v>
      </c>
      <c r="AD1036" s="1043"/>
      <c r="AE1036" s="343" t="s">
        <v>872</v>
      </c>
      <c r="BD1036" s="292"/>
    </row>
    <row r="1037" spans="1:56" x14ac:dyDescent="0.15">
      <c r="A1037" s="339"/>
      <c r="B1037" s="605"/>
      <c r="T1037" s="541"/>
      <c r="BD1037" s="292"/>
    </row>
    <row r="1038" spans="1:56" x14ac:dyDescent="0.15">
      <c r="B1038" s="605"/>
      <c r="D1038" s="325"/>
      <c r="F1038" s="325"/>
      <c r="I1038" s="325"/>
      <c r="W1038" s="291" t="s">
        <v>551</v>
      </c>
      <c r="BD1038" s="292"/>
    </row>
    <row r="1039" spans="1:56" x14ac:dyDescent="0.15">
      <c r="A1039" s="339"/>
      <c r="B1039" s="605"/>
      <c r="W1039" s="1038" t="s">
        <v>137</v>
      </c>
      <c r="X1039" s="1039"/>
      <c r="Y1039" s="1039"/>
      <c r="Z1039" s="1039"/>
      <c r="AA1039" s="1039"/>
      <c r="AB1039" s="1039"/>
      <c r="AC1039" s="1039"/>
      <c r="AD1039" s="1040"/>
      <c r="BD1039" s="292"/>
    </row>
    <row r="1040" spans="1:56" x14ac:dyDescent="0.15">
      <c r="A1040" s="339"/>
      <c r="B1040" s="605"/>
      <c r="W1040" s="605"/>
      <c r="X1040" s="291" t="s">
        <v>248</v>
      </c>
      <c r="AC1040" s="325" t="s">
        <v>556</v>
      </c>
      <c r="AD1040" s="292"/>
      <c r="BD1040" s="292"/>
    </row>
    <row r="1041" spans="1:56" x14ac:dyDescent="0.15">
      <c r="A1041" s="339"/>
      <c r="B1041" s="605"/>
      <c r="W1041" s="605"/>
      <c r="X1041" s="291" t="s">
        <v>244</v>
      </c>
      <c r="AC1041" s="291">
        <v>1</v>
      </c>
      <c r="AD1041" s="292"/>
      <c r="BD1041" s="292"/>
    </row>
    <row r="1042" spans="1:56" x14ac:dyDescent="0.15">
      <c r="A1042" s="339"/>
      <c r="B1042" s="605"/>
      <c r="W1042" s="605"/>
      <c r="X1042" s="291" t="s">
        <v>261</v>
      </c>
      <c r="AC1042" s="291">
        <v>13</v>
      </c>
      <c r="AD1042" s="292"/>
      <c r="BD1042" s="292"/>
    </row>
    <row r="1043" spans="1:56" x14ac:dyDescent="0.15">
      <c r="A1043" s="339"/>
      <c r="B1043" s="605"/>
      <c r="W1043" s="605"/>
      <c r="X1043" s="291" t="s">
        <v>560</v>
      </c>
      <c r="AC1043" s="291">
        <v>1</v>
      </c>
      <c r="AD1043" s="292" t="s">
        <v>849</v>
      </c>
      <c r="BD1043" s="292"/>
    </row>
    <row r="1044" spans="1:56" x14ac:dyDescent="0.15">
      <c r="A1044" s="339"/>
      <c r="B1044" s="605"/>
      <c r="W1044" s="605"/>
      <c r="X1044" s="291" t="s">
        <v>282</v>
      </c>
      <c r="AC1044" s="504">
        <v>-16</v>
      </c>
      <c r="AD1044" s="292"/>
      <c r="AE1044" s="343"/>
      <c r="BD1044" s="292"/>
    </row>
    <row r="1045" spans="1:56" x14ac:dyDescent="0.15">
      <c r="A1045" s="339"/>
      <c r="B1045" s="605"/>
      <c r="W1045" s="1041"/>
      <c r="X1045" s="1042" t="s">
        <v>295</v>
      </c>
      <c r="Y1045" s="1042"/>
      <c r="Z1045" s="1042"/>
      <c r="AA1045" s="1042"/>
      <c r="AB1045" s="1042"/>
      <c r="AC1045" s="1048">
        <v>2</v>
      </c>
      <c r="AD1045" s="1043"/>
      <c r="AE1045" s="343"/>
      <c r="BD1045" s="292"/>
    </row>
    <row r="1046" spans="1:56" x14ac:dyDescent="0.15">
      <c r="A1046" s="339"/>
      <c r="B1046" s="605"/>
      <c r="BD1046" s="292"/>
    </row>
    <row r="1047" spans="1:56" x14ac:dyDescent="0.15">
      <c r="B1047" s="605"/>
      <c r="D1047" s="325"/>
      <c r="F1047" s="325"/>
      <c r="I1047" s="325"/>
      <c r="M1047" s="325"/>
      <c r="BD1047" s="292"/>
    </row>
    <row r="1048" spans="1:56" x14ac:dyDescent="0.15">
      <c r="A1048" s="339"/>
      <c r="B1048" s="605"/>
      <c r="T1048" s="541"/>
      <c r="AG1048" s="342" t="s">
        <v>955</v>
      </c>
      <c r="BD1048" s="292"/>
    </row>
    <row r="1049" spans="1:56" x14ac:dyDescent="0.15">
      <c r="B1049" s="605"/>
      <c r="D1049" s="325"/>
      <c r="F1049" s="325"/>
      <c r="I1049" s="325"/>
      <c r="T1049" s="541"/>
      <c r="AH1049" s="291" t="s">
        <v>956</v>
      </c>
      <c r="BD1049" s="292"/>
    </row>
    <row r="1050" spans="1:56" x14ac:dyDescent="0.15">
      <c r="A1050" s="339"/>
      <c r="B1050" s="605"/>
      <c r="T1050" s="541"/>
      <c r="AH1050" s="1038" t="s">
        <v>640</v>
      </c>
      <c r="AI1050" s="1039"/>
      <c r="AJ1050" s="1039"/>
      <c r="AK1050" s="1039"/>
      <c r="AL1050" s="1039"/>
      <c r="AM1050" s="1039"/>
      <c r="AN1050" s="1039"/>
      <c r="AO1050" s="1040"/>
      <c r="BD1050" s="292"/>
    </row>
    <row r="1051" spans="1:56" x14ac:dyDescent="0.15">
      <c r="A1051" s="339"/>
      <c r="B1051" s="605"/>
      <c r="T1051" s="541"/>
      <c r="AH1051" s="605"/>
      <c r="AI1051" s="291" t="s">
        <v>248</v>
      </c>
      <c r="AN1051" s="325" t="s">
        <v>556</v>
      </c>
      <c r="AO1051" s="292"/>
      <c r="BD1051" s="292"/>
    </row>
    <row r="1052" spans="1:56" x14ac:dyDescent="0.15">
      <c r="A1052" s="339"/>
      <c r="B1052" s="605"/>
      <c r="T1052" s="541"/>
      <c r="AH1052" s="605"/>
      <c r="AI1052" s="291" t="s">
        <v>244</v>
      </c>
      <c r="AN1052" s="291">
        <v>11</v>
      </c>
      <c r="AO1052" s="292"/>
      <c r="BD1052" s="292"/>
    </row>
    <row r="1053" spans="1:56" x14ac:dyDescent="0.15">
      <c r="A1053" s="339"/>
      <c r="B1053" s="605"/>
      <c r="T1053" s="541"/>
      <c r="AH1053" s="605"/>
      <c r="AI1053" s="291" t="s">
        <v>641</v>
      </c>
      <c r="AN1053" s="504">
        <v>200</v>
      </c>
      <c r="AO1053" s="292"/>
      <c r="AP1053" s="343" t="s">
        <v>661</v>
      </c>
      <c r="BD1053" s="292"/>
    </row>
    <row r="1054" spans="1:56" x14ac:dyDescent="0.15">
      <c r="A1054" s="339"/>
      <c r="B1054" s="605"/>
      <c r="T1054" s="541"/>
      <c r="AH1054" s="605"/>
      <c r="AI1054" s="291" t="s">
        <v>643</v>
      </c>
      <c r="AN1054" s="504">
        <v>198</v>
      </c>
      <c r="AO1054" s="292"/>
      <c r="AP1054" s="343" t="s">
        <v>644</v>
      </c>
      <c r="BD1054" s="292"/>
    </row>
    <row r="1055" spans="1:56" x14ac:dyDescent="0.15">
      <c r="A1055" s="339"/>
      <c r="B1055" s="605"/>
      <c r="T1055" s="541"/>
      <c r="AH1055" s="1041"/>
      <c r="AI1055" s="1042" t="s">
        <v>957</v>
      </c>
      <c r="AJ1055" s="1042"/>
      <c r="AK1055" s="1042"/>
      <c r="AL1055" s="1042"/>
      <c r="AM1055" s="1042"/>
      <c r="AN1055" s="1079">
        <v>13</v>
      </c>
      <c r="AO1055" s="1043"/>
      <c r="AP1055" s="343" t="s">
        <v>958</v>
      </c>
      <c r="BD1055" s="292"/>
    </row>
    <row r="1056" spans="1:56" x14ac:dyDescent="0.15">
      <c r="A1056" s="339"/>
      <c r="B1056" s="605"/>
      <c r="T1056" s="541"/>
      <c r="BD1056" s="292"/>
    </row>
    <row r="1057" spans="1:56" x14ac:dyDescent="0.15">
      <c r="B1057" s="605"/>
      <c r="D1057" s="325"/>
      <c r="F1057" s="325"/>
      <c r="I1057" s="325"/>
      <c r="M1057" s="291" t="s">
        <v>965</v>
      </c>
      <c r="BD1057" s="292"/>
    </row>
    <row r="1058" spans="1:56" x14ac:dyDescent="0.15">
      <c r="A1058" s="339"/>
      <c r="B1058" s="605"/>
      <c r="M1058" s="1038" t="s">
        <v>553</v>
      </c>
      <c r="N1058" s="1039"/>
      <c r="O1058" s="1039"/>
      <c r="P1058" s="1039"/>
      <c r="Q1058" s="1039"/>
      <c r="R1058" s="1039"/>
      <c r="S1058" s="1039"/>
      <c r="T1058" s="1039"/>
      <c r="U1058" s="1040"/>
      <c r="W1058" s="343" t="s">
        <v>966</v>
      </c>
      <c r="BD1058" s="292"/>
    </row>
    <row r="1059" spans="1:56" x14ac:dyDescent="0.15">
      <c r="A1059" s="339"/>
      <c r="B1059" s="605"/>
      <c r="M1059" s="605"/>
      <c r="N1059" s="291" t="s">
        <v>248</v>
      </c>
      <c r="T1059" s="325" t="s">
        <v>556</v>
      </c>
      <c r="U1059" s="292"/>
      <c r="W1059" s="343" t="s">
        <v>967</v>
      </c>
      <c r="BD1059" s="292"/>
    </row>
    <row r="1060" spans="1:56" x14ac:dyDescent="0.15">
      <c r="A1060" s="339"/>
      <c r="B1060" s="605"/>
      <c r="M1060" s="605"/>
      <c r="N1060" s="291" t="s">
        <v>244</v>
      </c>
      <c r="T1060" s="541">
        <v>12</v>
      </c>
      <c r="U1060" s="292"/>
      <c r="BD1060" s="292"/>
    </row>
    <row r="1061" spans="1:56" x14ac:dyDescent="0.15">
      <c r="A1061" s="339"/>
      <c r="B1061" s="605"/>
      <c r="M1061" s="605"/>
      <c r="N1061" s="291" t="s">
        <v>337</v>
      </c>
      <c r="T1061" s="541">
        <v>3</v>
      </c>
      <c r="U1061" s="292"/>
      <c r="BD1061" s="292"/>
    </row>
    <row r="1062" spans="1:56" x14ac:dyDescent="0.15">
      <c r="A1062" s="339"/>
      <c r="B1062" s="605"/>
      <c r="M1062" s="605"/>
      <c r="N1062" s="291" t="s">
        <v>350</v>
      </c>
      <c r="T1062" s="541">
        <v>300</v>
      </c>
      <c r="U1062" s="292"/>
      <c r="BD1062" s="292"/>
    </row>
    <row r="1063" spans="1:56" x14ac:dyDescent="0.15">
      <c r="A1063" s="339"/>
      <c r="B1063" s="605"/>
      <c r="M1063" s="605"/>
      <c r="N1063" s="291" t="s">
        <v>358</v>
      </c>
      <c r="T1063" s="541">
        <v>100</v>
      </c>
      <c r="U1063" s="292"/>
      <c r="BD1063" s="292"/>
    </row>
    <row r="1064" spans="1:56" x14ac:dyDescent="0.15">
      <c r="A1064" s="339"/>
      <c r="B1064" s="605"/>
      <c r="M1064" s="1041"/>
      <c r="N1064" s="1042" t="s">
        <v>740</v>
      </c>
      <c r="O1064" s="1042"/>
      <c r="P1064" s="1042"/>
      <c r="Q1064" s="1042"/>
      <c r="R1064" s="1042"/>
      <c r="S1064" s="1042"/>
      <c r="T1064" s="1080">
        <v>100</v>
      </c>
      <c r="U1064" s="1043"/>
      <c r="BD1064" s="292"/>
    </row>
    <row r="1065" spans="1:56" x14ac:dyDescent="0.15">
      <c r="A1065" s="339"/>
      <c r="B1065" s="605"/>
      <c r="BD1065" s="292"/>
    </row>
    <row r="1066" spans="1:56" x14ac:dyDescent="0.15">
      <c r="B1066" s="605"/>
      <c r="D1066" s="325"/>
      <c r="F1066" s="325"/>
      <c r="I1066" s="325"/>
      <c r="M1066" s="325"/>
      <c r="AH1066" s="291" t="s">
        <v>968</v>
      </c>
      <c r="BD1066" s="292"/>
    </row>
    <row r="1067" spans="1:56" x14ac:dyDescent="0.15">
      <c r="B1067" s="605"/>
      <c r="D1067" s="325"/>
      <c r="F1067" s="325"/>
      <c r="I1067" s="325"/>
      <c r="M1067" s="325"/>
      <c r="AH1067" s="1038" t="s">
        <v>35</v>
      </c>
      <c r="AI1067" s="1039"/>
      <c r="AJ1067" s="1039"/>
      <c r="AK1067" s="1039"/>
      <c r="AL1067" s="1039"/>
      <c r="AM1067" s="1039"/>
      <c r="AN1067" s="1039"/>
      <c r="AO1067" s="1040"/>
      <c r="AP1067" s="343" t="s">
        <v>969</v>
      </c>
      <c r="BD1067" s="292"/>
    </row>
    <row r="1068" spans="1:56" x14ac:dyDescent="0.15">
      <c r="B1068" s="605"/>
      <c r="D1068" s="325"/>
      <c r="F1068" s="325"/>
      <c r="I1068" s="325"/>
      <c r="T1068" s="541"/>
      <c r="AH1068" s="605"/>
      <c r="AI1068" s="291" t="s">
        <v>248</v>
      </c>
      <c r="AN1068" s="325" t="s">
        <v>556</v>
      </c>
      <c r="AO1068" s="292"/>
      <c r="AP1068" s="343" t="s">
        <v>970</v>
      </c>
      <c r="BD1068" s="292"/>
    </row>
    <row r="1069" spans="1:56" x14ac:dyDescent="0.15">
      <c r="A1069" s="339"/>
      <c r="B1069" s="605"/>
      <c r="T1069" s="541"/>
      <c r="AH1069" s="605"/>
      <c r="AI1069" s="291" t="s">
        <v>244</v>
      </c>
      <c r="AN1069" s="502">
        <v>13</v>
      </c>
      <c r="AO1069" s="292"/>
      <c r="BD1069" s="292"/>
    </row>
    <row r="1070" spans="1:56" x14ac:dyDescent="0.15">
      <c r="A1070" s="339"/>
      <c r="B1070" s="605"/>
      <c r="T1070" s="541"/>
      <c r="AH1070" s="605"/>
      <c r="AI1070" s="291" t="s">
        <v>263</v>
      </c>
      <c r="AN1070" s="503">
        <v>13</v>
      </c>
      <c r="AO1070" s="292"/>
      <c r="AP1070" s="343" t="s">
        <v>971</v>
      </c>
      <c r="BD1070" s="292"/>
    </row>
    <row r="1071" spans="1:56" x14ac:dyDescent="0.15">
      <c r="A1071" s="339"/>
      <c r="B1071" s="605"/>
      <c r="T1071" s="541"/>
      <c r="AH1071" s="605"/>
      <c r="AI1071" s="291" t="s">
        <v>270</v>
      </c>
      <c r="AN1071" s="501">
        <v>-67</v>
      </c>
      <c r="AO1071" s="292"/>
      <c r="AP1071" s="343" t="s">
        <v>972</v>
      </c>
      <c r="BD1071" s="292"/>
    </row>
    <row r="1072" spans="1:56" x14ac:dyDescent="0.15">
      <c r="A1072" s="339"/>
      <c r="B1072" s="605"/>
      <c r="T1072" s="541"/>
      <c r="AH1072" s="605"/>
      <c r="AI1072" s="291" t="s">
        <v>276</v>
      </c>
      <c r="AN1072" s="501">
        <v>67</v>
      </c>
      <c r="AO1072" s="292"/>
      <c r="AP1072" s="343" t="s">
        <v>973</v>
      </c>
      <c r="BD1072" s="292"/>
    </row>
    <row r="1073" spans="1:56" x14ac:dyDescent="0.15">
      <c r="A1073" s="339"/>
      <c r="B1073" s="605"/>
      <c r="T1073" s="541"/>
      <c r="AH1073" s="605"/>
      <c r="AI1073" s="291" t="s">
        <v>315</v>
      </c>
      <c r="AN1073" s="503">
        <v>91400</v>
      </c>
      <c r="AO1073" s="292"/>
      <c r="AP1073" s="343" t="s">
        <v>974</v>
      </c>
      <c r="BD1073" s="292"/>
    </row>
    <row r="1074" spans="1:56" x14ac:dyDescent="0.15">
      <c r="A1074" s="339"/>
      <c r="B1074" s="605"/>
      <c r="T1074" s="541"/>
      <c r="AH1074" s="1041"/>
      <c r="AI1074" s="1042" t="s">
        <v>853</v>
      </c>
      <c r="AJ1074" s="1042"/>
      <c r="AK1074" s="1042"/>
      <c r="AL1074" s="1042"/>
      <c r="AM1074" s="1042"/>
      <c r="AN1074" s="1051">
        <v>0.1</v>
      </c>
      <c r="AO1074" s="1043"/>
      <c r="AP1074" s="343" t="s">
        <v>975</v>
      </c>
      <c r="BD1074" s="292"/>
    </row>
    <row r="1075" spans="1:56" x14ac:dyDescent="0.15">
      <c r="A1075" s="339"/>
      <c r="B1075" s="605"/>
      <c r="T1075" s="541"/>
      <c r="BD1075" s="292"/>
    </row>
    <row r="1076" spans="1:56" x14ac:dyDescent="0.15">
      <c r="B1076" s="1041"/>
      <c r="C1076" s="1042"/>
      <c r="D1076" s="1042"/>
      <c r="E1076" s="1042"/>
      <c r="F1076" s="1042"/>
      <c r="G1076" s="1042"/>
      <c r="H1076" s="1042"/>
      <c r="I1076" s="1042"/>
      <c r="J1076" s="1042"/>
      <c r="K1076" s="1042"/>
      <c r="L1076" s="1042"/>
      <c r="M1076" s="1042"/>
      <c r="N1076" s="1042"/>
      <c r="O1076" s="1042"/>
      <c r="P1076" s="1042"/>
      <c r="Q1076" s="1042"/>
      <c r="R1076" s="1042"/>
      <c r="S1076" s="1042"/>
      <c r="T1076" s="1042"/>
      <c r="U1076" s="1042"/>
      <c r="V1076" s="1042"/>
      <c r="W1076" s="1042"/>
      <c r="X1076" s="1042"/>
      <c r="Y1076" s="1042"/>
      <c r="Z1076" s="1042"/>
      <c r="AA1076" s="1042"/>
      <c r="AB1076" s="1042"/>
      <c r="AC1076" s="1042"/>
      <c r="AD1076" s="1042"/>
      <c r="AE1076" s="1042"/>
      <c r="AF1076" s="1042"/>
      <c r="AG1076" s="1042"/>
      <c r="AH1076" s="1042"/>
      <c r="AI1076" s="1042"/>
      <c r="AJ1076" s="1042"/>
      <c r="AK1076" s="1042"/>
      <c r="AL1076" s="1042"/>
      <c r="AM1076" s="1042"/>
      <c r="AN1076" s="1042"/>
      <c r="AO1076" s="1042"/>
      <c r="AP1076" s="1042"/>
      <c r="AQ1076" s="1042"/>
      <c r="AR1076" s="1042"/>
      <c r="AS1076" s="1042"/>
      <c r="AT1076" s="1042"/>
      <c r="AU1076" s="1042"/>
      <c r="AV1076" s="1042"/>
      <c r="AW1076" s="1042"/>
      <c r="AX1076" s="1042"/>
      <c r="AY1076" s="1042"/>
      <c r="AZ1076" s="1042"/>
      <c r="BA1076" s="1042"/>
      <c r="BB1076" s="1042"/>
      <c r="BC1076" s="1042"/>
      <c r="BD1076" s="1043"/>
    </row>
  </sheetData>
  <mergeCells count="154">
    <mergeCell ref="B822:N822"/>
    <mergeCell ref="U822:AA822"/>
    <mergeCell ref="AO822:AP822"/>
    <mergeCell ref="AQ822:AS822"/>
    <mergeCell ref="AT822:AW822"/>
    <mergeCell ref="AX822:AZ822"/>
    <mergeCell ref="BA822:BD822"/>
    <mergeCell ref="U821:AA821"/>
    <mergeCell ref="AB821:AN822"/>
    <mergeCell ref="AO821:AP821"/>
    <mergeCell ref="AQ821:AS821"/>
    <mergeCell ref="AT821:AW821"/>
    <mergeCell ref="AX821:AZ821"/>
    <mergeCell ref="BA507:BD507"/>
    <mergeCell ref="AO627:AP627"/>
    <mergeCell ref="AQ627:AS627"/>
    <mergeCell ref="AT627:AW627"/>
    <mergeCell ref="AX627:AZ627"/>
    <mergeCell ref="BA821:BD821"/>
    <mergeCell ref="BA627:BD627"/>
    <mergeCell ref="B628:N628"/>
    <mergeCell ref="U628:AA628"/>
    <mergeCell ref="AO628:AP628"/>
    <mergeCell ref="AQ628:AS628"/>
    <mergeCell ref="AT628:AW628"/>
    <mergeCell ref="AX628:AZ628"/>
    <mergeCell ref="BA628:BD628"/>
    <mergeCell ref="U627:AA627"/>
    <mergeCell ref="AB627:AN628"/>
    <mergeCell ref="BA566:BD566"/>
    <mergeCell ref="B567:N567"/>
    <mergeCell ref="U567:AA567"/>
    <mergeCell ref="AO567:AP567"/>
    <mergeCell ref="AQ567:AS567"/>
    <mergeCell ref="AT567:AW567"/>
    <mergeCell ref="AX567:AZ567"/>
    <mergeCell ref="BA567:BD567"/>
    <mergeCell ref="U566:AA566"/>
    <mergeCell ref="AB566:AN567"/>
    <mergeCell ref="AO566:AP566"/>
    <mergeCell ref="AQ566:AS566"/>
    <mergeCell ref="AT566:AW566"/>
    <mergeCell ref="AX566:AZ566"/>
    <mergeCell ref="B507:N507"/>
    <mergeCell ref="U507:AA507"/>
    <mergeCell ref="AO507:AP507"/>
    <mergeCell ref="AQ507:AS507"/>
    <mergeCell ref="AT507:AW507"/>
    <mergeCell ref="AX507:AZ507"/>
    <mergeCell ref="BA506:BD506"/>
    <mergeCell ref="B387:N387"/>
    <mergeCell ref="U387:AA387"/>
    <mergeCell ref="AO387:AP387"/>
    <mergeCell ref="AQ387:AS387"/>
    <mergeCell ref="AT387:AW387"/>
    <mergeCell ref="BA446:BD446"/>
    <mergeCell ref="B447:N447"/>
    <mergeCell ref="U447:AA447"/>
    <mergeCell ref="AO447:AP447"/>
    <mergeCell ref="AQ447:AS447"/>
    <mergeCell ref="AT447:AW447"/>
    <mergeCell ref="AX447:AZ447"/>
    <mergeCell ref="BA447:BD447"/>
    <mergeCell ref="U446:AA446"/>
    <mergeCell ref="AB446:AN447"/>
    <mergeCell ref="AX387:AZ387"/>
    <mergeCell ref="BA387:BD387"/>
    <mergeCell ref="U506:AA506"/>
    <mergeCell ref="AB506:AN507"/>
    <mergeCell ref="AO506:AP506"/>
    <mergeCell ref="AQ506:AS506"/>
    <mergeCell ref="AT506:AW506"/>
    <mergeCell ref="AX506:AZ506"/>
    <mergeCell ref="U386:AA386"/>
    <mergeCell ref="AB386:AN387"/>
    <mergeCell ref="AO386:AP386"/>
    <mergeCell ref="AQ386:AS386"/>
    <mergeCell ref="AT386:AW386"/>
    <mergeCell ref="AX386:AZ386"/>
    <mergeCell ref="AO446:AP446"/>
    <mergeCell ref="AQ446:AS446"/>
    <mergeCell ref="AT446:AW446"/>
    <mergeCell ref="AX446:AZ446"/>
    <mergeCell ref="B182:N182"/>
    <mergeCell ref="U182:AA182"/>
    <mergeCell ref="AO182:AP182"/>
    <mergeCell ref="AQ182:AS182"/>
    <mergeCell ref="AT182:AW182"/>
    <mergeCell ref="BA288:BD288"/>
    <mergeCell ref="B289:N289"/>
    <mergeCell ref="U289:AA289"/>
    <mergeCell ref="AO289:AP289"/>
    <mergeCell ref="AQ289:AS289"/>
    <mergeCell ref="AT289:AW289"/>
    <mergeCell ref="AX289:AZ289"/>
    <mergeCell ref="BA289:BD289"/>
    <mergeCell ref="U288:AA288"/>
    <mergeCell ref="AB288:AN289"/>
    <mergeCell ref="AX182:AZ182"/>
    <mergeCell ref="BA182:BD182"/>
    <mergeCell ref="AO181:AP181"/>
    <mergeCell ref="AQ181:AS181"/>
    <mergeCell ref="AT181:AW181"/>
    <mergeCell ref="AX181:AZ181"/>
    <mergeCell ref="AO288:AP288"/>
    <mergeCell ref="AQ288:AS288"/>
    <mergeCell ref="AT288:AW288"/>
    <mergeCell ref="AX288:AZ288"/>
    <mergeCell ref="BA386:BD386"/>
    <mergeCell ref="AO121:AP121"/>
    <mergeCell ref="AQ121:AS121"/>
    <mergeCell ref="AT121:AW121"/>
    <mergeCell ref="AX121:AZ121"/>
    <mergeCell ref="BA181:BD181"/>
    <mergeCell ref="B62:N62"/>
    <mergeCell ref="U62:AA62"/>
    <mergeCell ref="AO62:AP62"/>
    <mergeCell ref="AQ62:AS62"/>
    <mergeCell ref="AT62:AW62"/>
    <mergeCell ref="BA121:BD121"/>
    <mergeCell ref="B122:N122"/>
    <mergeCell ref="U122:AA122"/>
    <mergeCell ref="AO122:AP122"/>
    <mergeCell ref="AQ122:AS122"/>
    <mergeCell ref="AT122:AW122"/>
    <mergeCell ref="AX122:AZ122"/>
    <mergeCell ref="BA122:BD122"/>
    <mergeCell ref="U121:AA121"/>
    <mergeCell ref="AB121:AN122"/>
    <mergeCell ref="AX62:AZ62"/>
    <mergeCell ref="BA62:BD62"/>
    <mergeCell ref="U181:AA181"/>
    <mergeCell ref="AB181:AN182"/>
    <mergeCell ref="BA61:BD61"/>
    <mergeCell ref="AO1:AP1"/>
    <mergeCell ref="AQ1:AS1"/>
    <mergeCell ref="AT1:AW1"/>
    <mergeCell ref="AX1:AZ1"/>
    <mergeCell ref="BA1:BD1"/>
    <mergeCell ref="B2:N2"/>
    <mergeCell ref="U2:AA2"/>
    <mergeCell ref="AO2:AP2"/>
    <mergeCell ref="AQ2:AS2"/>
    <mergeCell ref="AT2:AW2"/>
    <mergeCell ref="AX2:AZ2"/>
    <mergeCell ref="BA2:BD2"/>
    <mergeCell ref="U1:AA1"/>
    <mergeCell ref="AB1:AN2"/>
    <mergeCell ref="U61:AA61"/>
    <mergeCell ref="AB61:AN62"/>
    <mergeCell ref="AO61:AP61"/>
    <mergeCell ref="AQ61:AS61"/>
    <mergeCell ref="AT61:AW61"/>
    <mergeCell ref="AX61:AZ61"/>
  </mergeCells>
  <phoneticPr fontId="4"/>
  <pageMargins left="0.70866141732283472" right="0.70866141732283472" top="0.74803149606299213" bottom="0.74803149606299213" header="0.31496062992125984" footer="0.31496062992125984"/>
  <pageSetup paperSize="8" scale="76" fitToHeight="0" orientation="portrait" r:id="rId1"/>
  <headerFooter>
    <oddHeader>&amp;RFUJITSU CONFIDENTIAL</oddHeader>
    <oddFooter>&amp;RAll Rights Reserved, Copyright(c) Fujitsu  Limited 2024</oddFooter>
  </headerFooter>
  <rowBreaks count="10" manualBreakCount="10">
    <brk id="60" max="55" man="1"/>
    <brk id="120" max="55" man="1"/>
    <brk id="180" max="55" man="1"/>
    <brk id="287" max="16383" man="1"/>
    <brk id="385" max="16383" man="1"/>
    <brk id="445" max="16383" man="1"/>
    <brk id="505" max="16383" man="1"/>
    <brk id="565" max="16383" man="1"/>
    <brk id="626" max="16383" man="1"/>
    <brk id="820" max="16383" man="1"/>
  </rowBreaks>
  <drawing r:id="rId2"/>
  <legacy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237"/>
  <sheetViews>
    <sheetView showGridLines="0" zoomScaleNormal="100" zoomScaleSheetLayoutView="85" workbookViewId="0">
      <pane xSplit="3" ySplit="3" topLeftCell="H93" activePane="bottomRight" state="frozen"/>
      <selection pane="topRight" activeCell="F1" sqref="F1"/>
      <selection pane="bottomLeft" activeCell="A3" sqref="A3"/>
      <selection pane="bottomRight" activeCell="I53" sqref="I53"/>
    </sheetView>
  </sheetViews>
  <sheetFormatPr defaultRowHeight="13.5" x14ac:dyDescent="0.15"/>
  <cols>
    <col min="1" max="1" width="6.375" style="2" customWidth="1"/>
    <col min="2" max="2" width="29" style="3" customWidth="1"/>
    <col min="3" max="3" width="24.375" style="3" customWidth="1"/>
    <col min="4" max="4" width="9" style="4" customWidth="1"/>
    <col min="5" max="5" width="10" style="4" bestFit="1" customWidth="1"/>
    <col min="6" max="6" width="10.375" style="4" bestFit="1" customWidth="1"/>
    <col min="7" max="7" width="9.375" style="4" bestFit="1" customWidth="1"/>
    <col min="8" max="8" width="45.875" style="1" customWidth="1"/>
    <col min="9" max="9" width="41.375" style="1" customWidth="1"/>
    <col min="10" max="10" width="11.375" style="1" bestFit="1" customWidth="1"/>
    <col min="11" max="11" width="16.375" style="1" customWidth="1"/>
    <col min="12" max="16" width="26.375" style="1" bestFit="1" customWidth="1"/>
    <col min="17" max="17" width="27.375" style="1" customWidth="1"/>
    <col min="18" max="18" width="26.375" style="1" bestFit="1" customWidth="1"/>
    <col min="19" max="19" width="27.375" style="1" customWidth="1"/>
    <col min="20" max="20" width="26.375" style="1" bestFit="1" customWidth="1"/>
    <col min="21" max="22" width="27.375" style="1" customWidth="1"/>
    <col min="23" max="24" width="26.375" style="1" bestFit="1" customWidth="1"/>
    <col min="25" max="25" width="59.375" customWidth="1"/>
    <col min="26" max="26" width="8.875" style="297"/>
  </cols>
  <sheetData>
    <row r="1" spans="1:26" ht="48.6" customHeight="1" x14ac:dyDescent="0.15">
      <c r="A1" s="1082" t="s">
        <v>976</v>
      </c>
      <c r="B1" s="1083"/>
      <c r="C1" s="1084" t="s">
        <v>977</v>
      </c>
      <c r="D1" s="1085"/>
      <c r="E1" s="1085"/>
      <c r="F1" s="1085"/>
      <c r="G1" s="1085"/>
      <c r="H1" s="1086"/>
      <c r="I1" s="1087"/>
      <c r="J1" s="1085"/>
      <c r="K1" s="1088"/>
      <c r="L1" s="1089"/>
      <c r="M1" s="1086"/>
      <c r="N1" s="1086"/>
      <c r="O1" s="1086"/>
      <c r="P1" s="1090" t="s">
        <v>978</v>
      </c>
      <c r="Q1" s="1086"/>
      <c r="R1" s="1090" t="s">
        <v>979</v>
      </c>
      <c r="S1" s="1086"/>
      <c r="T1" s="1090" t="s">
        <v>980</v>
      </c>
      <c r="U1" s="1086"/>
      <c r="V1" s="1086"/>
      <c r="W1" s="1090" t="s">
        <v>981</v>
      </c>
      <c r="X1" s="1086"/>
      <c r="Y1" s="1091"/>
      <c r="Z1" s="297" t="s">
        <v>598</v>
      </c>
    </row>
    <row r="2" spans="1:26" ht="16.899999999999999" customHeight="1" x14ac:dyDescent="0.15">
      <c r="A2" s="1319" t="s">
        <v>982</v>
      </c>
      <c r="B2" s="1323" t="s">
        <v>983</v>
      </c>
      <c r="C2" s="1312"/>
      <c r="D2" s="1312"/>
      <c r="E2" s="1312"/>
      <c r="F2" s="1312"/>
      <c r="G2" s="1313"/>
      <c r="H2" s="1331" t="s">
        <v>984</v>
      </c>
      <c r="I2" s="1328" t="s">
        <v>985</v>
      </c>
      <c r="J2" s="1326" t="s">
        <v>986</v>
      </c>
      <c r="K2" s="1321" t="s">
        <v>987</v>
      </c>
      <c r="L2" s="1321" t="s">
        <v>988</v>
      </c>
      <c r="M2" s="1322"/>
      <c r="N2" s="1322"/>
      <c r="O2" s="1322"/>
      <c r="P2" s="1322"/>
      <c r="Q2" s="1322"/>
      <c r="R2" s="1322"/>
      <c r="S2" s="1322"/>
      <c r="T2" s="1322"/>
      <c r="U2" s="1322"/>
      <c r="V2" s="1322"/>
      <c r="W2" s="1322"/>
      <c r="X2" s="1322"/>
      <c r="Y2" s="1324" t="s">
        <v>711</v>
      </c>
    </row>
    <row r="3" spans="1:26" ht="22.5" x14ac:dyDescent="0.15">
      <c r="A3" s="1320"/>
      <c r="B3" s="1093" t="s">
        <v>226</v>
      </c>
      <c r="C3" s="1093" t="s">
        <v>989</v>
      </c>
      <c r="D3" s="1092" t="s">
        <v>228</v>
      </c>
      <c r="E3" s="1092" t="s">
        <v>229</v>
      </c>
      <c r="F3" s="1093" t="s">
        <v>990</v>
      </c>
      <c r="G3" s="1092" t="s">
        <v>230</v>
      </c>
      <c r="H3" s="1332"/>
      <c r="I3" s="1329"/>
      <c r="J3" s="1327"/>
      <c r="K3" s="1330"/>
      <c r="L3" s="108" t="s">
        <v>673</v>
      </c>
      <c r="M3" s="108" t="s">
        <v>991</v>
      </c>
      <c r="N3" s="108" t="s">
        <v>992</v>
      </c>
      <c r="O3" s="108" t="s">
        <v>993</v>
      </c>
      <c r="P3" s="108" t="s">
        <v>994</v>
      </c>
      <c r="Q3" s="108" t="s">
        <v>995</v>
      </c>
      <c r="R3" s="108" t="s">
        <v>996</v>
      </c>
      <c r="S3" s="108" t="s">
        <v>997</v>
      </c>
      <c r="T3" s="108" t="s">
        <v>998</v>
      </c>
      <c r="U3" s="108" t="s">
        <v>999</v>
      </c>
      <c r="V3" s="108" t="s">
        <v>1000</v>
      </c>
      <c r="W3" s="108" t="s">
        <v>1001</v>
      </c>
      <c r="X3" s="108" t="s">
        <v>680</v>
      </c>
      <c r="Y3" s="1325"/>
    </row>
    <row r="4" spans="1:26" s="106" customFormat="1" ht="70.900000000000006" customHeight="1" x14ac:dyDescent="0.15">
      <c r="A4" s="1095">
        <v>1</v>
      </c>
      <c r="B4" s="1096" t="s">
        <v>1002</v>
      </c>
      <c r="C4" s="1096" t="s">
        <v>1003</v>
      </c>
      <c r="D4" s="1097" t="s">
        <v>1004</v>
      </c>
      <c r="E4" s="1097">
        <v>9</v>
      </c>
      <c r="F4" s="1097" t="s">
        <v>1005</v>
      </c>
      <c r="G4" s="1096"/>
      <c r="H4" s="1098" t="s">
        <v>1006</v>
      </c>
      <c r="I4" s="1097" t="s">
        <v>211</v>
      </c>
      <c r="J4" s="1097" t="s">
        <v>195</v>
      </c>
      <c r="K4" s="17" t="s">
        <v>1007</v>
      </c>
      <c r="L4" s="1097" t="s">
        <v>1008</v>
      </c>
      <c r="M4" s="1097" t="s">
        <v>1009</v>
      </c>
      <c r="N4" s="1097" t="s">
        <v>1009</v>
      </c>
      <c r="O4" s="1097" t="s">
        <v>1008</v>
      </c>
      <c r="P4" s="1099" t="s">
        <v>1008</v>
      </c>
      <c r="Q4" s="1097" t="s">
        <v>1008</v>
      </c>
      <c r="R4" s="1099" t="s">
        <v>1008</v>
      </c>
      <c r="S4" s="1097" t="s">
        <v>1008</v>
      </c>
      <c r="T4" s="1099" t="s">
        <v>1008</v>
      </c>
      <c r="U4" s="1097" t="s">
        <v>1008</v>
      </c>
      <c r="V4" s="1097" t="s">
        <v>1008</v>
      </c>
      <c r="W4" s="1099" t="s">
        <v>1008</v>
      </c>
      <c r="X4" s="1097" t="s">
        <v>1008</v>
      </c>
      <c r="Y4" s="1100" t="s">
        <v>1010</v>
      </c>
      <c r="Z4" s="293"/>
    </row>
    <row r="5" spans="1:26" s="106" customFormat="1" ht="66" customHeight="1" x14ac:dyDescent="0.15">
      <c r="A5" s="26">
        <f>A4+1</f>
        <v>2</v>
      </c>
      <c r="B5" s="27" t="s">
        <v>1011</v>
      </c>
      <c r="C5" s="27" t="s">
        <v>1012</v>
      </c>
      <c r="D5" s="17" t="s">
        <v>1004</v>
      </c>
      <c r="E5" s="17">
        <v>9</v>
      </c>
      <c r="F5" s="17" t="s">
        <v>1005</v>
      </c>
      <c r="G5" s="27"/>
      <c r="H5" s="30" t="s">
        <v>1013</v>
      </c>
      <c r="I5" s="17" t="s">
        <v>211</v>
      </c>
      <c r="J5" s="17" t="s">
        <v>195</v>
      </c>
      <c r="K5" s="17" t="s">
        <v>1007</v>
      </c>
      <c r="L5" s="17" t="s">
        <v>1014</v>
      </c>
      <c r="M5" s="17" t="s">
        <v>1015</v>
      </c>
      <c r="N5" s="17" t="s">
        <v>1015</v>
      </c>
      <c r="O5" s="17" t="s">
        <v>1014</v>
      </c>
      <c r="P5" s="116" t="s">
        <v>1014</v>
      </c>
      <c r="Q5" s="17" t="s">
        <v>1014</v>
      </c>
      <c r="R5" s="116" t="s">
        <v>1014</v>
      </c>
      <c r="S5" s="17" t="s">
        <v>1014</v>
      </c>
      <c r="T5" s="116" t="s">
        <v>1014</v>
      </c>
      <c r="U5" s="17" t="s">
        <v>1014</v>
      </c>
      <c r="V5" s="17" t="s">
        <v>1014</v>
      </c>
      <c r="W5" s="116" t="s">
        <v>1014</v>
      </c>
      <c r="X5" s="17" t="s">
        <v>1014</v>
      </c>
      <c r="Y5" s="1100" t="s">
        <v>1010</v>
      </c>
      <c r="Z5" s="293"/>
    </row>
    <row r="6" spans="1:26" s="5" customFormat="1" ht="71.45" customHeight="1" x14ac:dyDescent="0.15">
      <c r="A6" s="115">
        <f>A5+1</f>
        <v>3</v>
      </c>
      <c r="B6" s="121" t="s">
        <v>248</v>
      </c>
      <c r="C6" s="121" t="s">
        <v>249</v>
      </c>
      <c r="D6" s="116" t="s">
        <v>250</v>
      </c>
      <c r="E6" s="116" t="s">
        <v>251</v>
      </c>
      <c r="F6" s="116"/>
      <c r="G6" s="116" t="s">
        <v>252</v>
      </c>
      <c r="H6" s="117" t="s">
        <v>1016</v>
      </c>
      <c r="I6" s="116" t="s">
        <v>211</v>
      </c>
      <c r="J6" s="116" t="s">
        <v>200</v>
      </c>
      <c r="K6" s="116" t="s">
        <v>1017</v>
      </c>
      <c r="L6" s="116" t="s">
        <v>1018</v>
      </c>
      <c r="M6" s="116" t="s">
        <v>1018</v>
      </c>
      <c r="N6" s="116" t="s">
        <v>1018</v>
      </c>
      <c r="O6" s="116" t="s">
        <v>1018</v>
      </c>
      <c r="P6" s="116" t="s">
        <v>1018</v>
      </c>
      <c r="Q6" s="116" t="s">
        <v>1018</v>
      </c>
      <c r="R6" s="116" t="s">
        <v>1018</v>
      </c>
      <c r="S6" s="116" t="s">
        <v>1018</v>
      </c>
      <c r="T6" s="116" t="s">
        <v>1018</v>
      </c>
      <c r="U6" s="116" t="s">
        <v>1018</v>
      </c>
      <c r="V6" s="116" t="s">
        <v>1018</v>
      </c>
      <c r="W6" s="116" t="s">
        <v>1018</v>
      </c>
      <c r="X6" s="116" t="s">
        <v>1018</v>
      </c>
      <c r="Y6" s="221"/>
      <c r="Z6" s="294"/>
    </row>
    <row r="7" spans="1:26" s="5" customFormat="1" ht="81" x14ac:dyDescent="0.15">
      <c r="A7" s="26">
        <f t="shared" ref="A7:A70" si="0">A6+1</f>
        <v>4</v>
      </c>
      <c r="B7" s="27" t="s">
        <v>254</v>
      </c>
      <c r="C7" s="27" t="s">
        <v>255</v>
      </c>
      <c r="D7" s="17" t="s">
        <v>246</v>
      </c>
      <c r="E7" s="17" t="s">
        <v>251</v>
      </c>
      <c r="F7" s="17"/>
      <c r="G7" s="17" t="s">
        <v>251</v>
      </c>
      <c r="H7" s="18" t="s">
        <v>1019</v>
      </c>
      <c r="I7" s="17" t="s">
        <v>211</v>
      </c>
      <c r="J7" s="17" t="s">
        <v>195</v>
      </c>
      <c r="K7" s="17" t="s">
        <v>1020</v>
      </c>
      <c r="L7" s="17" t="s">
        <v>1021</v>
      </c>
      <c r="M7" s="17" t="s">
        <v>1021</v>
      </c>
      <c r="N7" s="17" t="s">
        <v>1021</v>
      </c>
      <c r="O7" s="17" t="s">
        <v>1021</v>
      </c>
      <c r="P7" s="116" t="s">
        <v>1021</v>
      </c>
      <c r="Q7" s="17" t="s">
        <v>1021</v>
      </c>
      <c r="R7" s="116" t="s">
        <v>1021</v>
      </c>
      <c r="S7" s="17" t="s">
        <v>1021</v>
      </c>
      <c r="T7" s="116" t="s">
        <v>1021</v>
      </c>
      <c r="U7" s="17" t="s">
        <v>1021</v>
      </c>
      <c r="V7" s="17" t="s">
        <v>1021</v>
      </c>
      <c r="W7" s="116" t="s">
        <v>1021</v>
      </c>
      <c r="X7" s="17" t="s">
        <v>1021</v>
      </c>
      <c r="Y7" s="641" t="s">
        <v>1022</v>
      </c>
      <c r="Z7" s="294" t="s">
        <v>1023</v>
      </c>
    </row>
    <row r="8" spans="1:26" s="5" customFormat="1" ht="67.5" x14ac:dyDescent="0.15">
      <c r="A8" s="26">
        <f t="shared" si="0"/>
        <v>5</v>
      </c>
      <c r="B8" s="27" t="s">
        <v>259</v>
      </c>
      <c r="C8" s="27" t="s">
        <v>1024</v>
      </c>
      <c r="D8" s="17" t="s">
        <v>246</v>
      </c>
      <c r="E8" s="17"/>
      <c r="F8" s="17" t="s">
        <v>1005</v>
      </c>
      <c r="G8" s="17" t="s">
        <v>251</v>
      </c>
      <c r="H8" s="18" t="s">
        <v>1025</v>
      </c>
      <c r="I8" s="17" t="s">
        <v>211</v>
      </c>
      <c r="J8" s="17" t="s">
        <v>172</v>
      </c>
      <c r="K8" s="17" t="s">
        <v>1020</v>
      </c>
      <c r="L8" s="17" t="s">
        <v>1026</v>
      </c>
      <c r="M8" s="17" t="s">
        <v>1027</v>
      </c>
      <c r="N8" s="17" t="s">
        <v>1027</v>
      </c>
      <c r="O8" s="17" t="s">
        <v>1028</v>
      </c>
      <c r="P8" s="116" t="s">
        <v>1028</v>
      </c>
      <c r="Q8" s="17" t="s">
        <v>1029</v>
      </c>
      <c r="R8" s="116" t="s">
        <v>1029</v>
      </c>
      <c r="S8" s="17" t="s">
        <v>1030</v>
      </c>
      <c r="T8" s="116" t="s">
        <v>1030</v>
      </c>
      <c r="U8" s="17" t="s">
        <v>1031</v>
      </c>
      <c r="V8" s="17" t="s">
        <v>1032</v>
      </c>
      <c r="W8" s="116" t="s">
        <v>1032</v>
      </c>
      <c r="X8" s="17" t="s">
        <v>1033</v>
      </c>
      <c r="Y8" s="223"/>
      <c r="Z8" s="294"/>
    </row>
    <row r="9" spans="1:26" s="5" customFormat="1" ht="33.75" x14ac:dyDescent="0.15">
      <c r="A9" s="26">
        <f t="shared" si="0"/>
        <v>6</v>
      </c>
      <c r="B9" s="27" t="s">
        <v>257</v>
      </c>
      <c r="C9" s="27" t="s">
        <v>258</v>
      </c>
      <c r="D9" s="17" t="s">
        <v>250</v>
      </c>
      <c r="E9" s="17" t="s">
        <v>251</v>
      </c>
      <c r="F9" s="17"/>
      <c r="G9" s="17" t="s">
        <v>247</v>
      </c>
      <c r="H9" s="18"/>
      <c r="I9" s="18"/>
      <c r="J9" s="17" t="s">
        <v>172</v>
      </c>
      <c r="K9" s="17" t="s">
        <v>1020</v>
      </c>
      <c r="L9" s="17" t="s">
        <v>1034</v>
      </c>
      <c r="M9" s="17" t="s">
        <v>1034</v>
      </c>
      <c r="N9" s="17" t="s">
        <v>1034</v>
      </c>
      <c r="O9" s="17" t="s">
        <v>1034</v>
      </c>
      <c r="P9" s="116" t="s">
        <v>1034</v>
      </c>
      <c r="Q9" s="17" t="s">
        <v>1034</v>
      </c>
      <c r="R9" s="116" t="s">
        <v>1034</v>
      </c>
      <c r="S9" s="17" t="s">
        <v>1034</v>
      </c>
      <c r="T9" s="116" t="s">
        <v>1034</v>
      </c>
      <c r="U9" s="17" t="s">
        <v>1034</v>
      </c>
      <c r="V9" s="17" t="s">
        <v>1034</v>
      </c>
      <c r="W9" s="116" t="s">
        <v>1034</v>
      </c>
      <c r="X9" s="17" t="s">
        <v>1034</v>
      </c>
      <c r="Y9" s="223"/>
      <c r="Z9" s="294"/>
    </row>
    <row r="10" spans="1:26" s="5" customFormat="1" ht="112.5" x14ac:dyDescent="0.15">
      <c r="A10" s="26">
        <f t="shared" si="0"/>
        <v>7</v>
      </c>
      <c r="B10" s="27" t="s">
        <v>279</v>
      </c>
      <c r="C10" s="307" t="s">
        <v>462</v>
      </c>
      <c r="D10" s="17" t="s">
        <v>237</v>
      </c>
      <c r="E10" s="17">
        <v>12</v>
      </c>
      <c r="F10" s="17"/>
      <c r="G10" s="17"/>
      <c r="H10" s="18" t="s">
        <v>1035</v>
      </c>
      <c r="I10" s="30" t="s">
        <v>1036</v>
      </c>
      <c r="J10" s="17" t="s">
        <v>172</v>
      </c>
      <c r="K10" s="17" t="s">
        <v>1020</v>
      </c>
      <c r="L10" s="299" t="s">
        <v>1037</v>
      </c>
      <c r="M10" s="299" t="s">
        <v>1038</v>
      </c>
      <c r="N10" s="299" t="s">
        <v>1038</v>
      </c>
      <c r="O10" s="299" t="s">
        <v>1039</v>
      </c>
      <c r="P10" s="316" t="s">
        <v>1039</v>
      </c>
      <c r="Q10" s="299" t="s">
        <v>1039</v>
      </c>
      <c r="R10" s="316" t="s">
        <v>1039</v>
      </c>
      <c r="S10" s="299" t="s">
        <v>1039</v>
      </c>
      <c r="T10" s="316" t="s">
        <v>1039</v>
      </c>
      <c r="U10" s="299" t="s">
        <v>1039</v>
      </c>
      <c r="V10" s="299" t="s">
        <v>1039</v>
      </c>
      <c r="W10" s="316" t="s">
        <v>1039</v>
      </c>
      <c r="X10" s="299" t="s">
        <v>1039</v>
      </c>
      <c r="Y10" s="40"/>
      <c r="Z10" s="294" t="s">
        <v>1040</v>
      </c>
    </row>
    <row r="11" spans="1:26" s="5" customFormat="1" ht="22.5" x14ac:dyDescent="0.15">
      <c r="A11" s="26">
        <f t="shared" si="0"/>
        <v>8</v>
      </c>
      <c r="B11" s="27" t="s">
        <v>287</v>
      </c>
      <c r="C11" s="27" t="s">
        <v>288</v>
      </c>
      <c r="D11" s="17" t="s">
        <v>250</v>
      </c>
      <c r="E11" s="17" t="s">
        <v>251</v>
      </c>
      <c r="F11" s="17"/>
      <c r="G11" s="17"/>
      <c r="H11" s="18" t="s">
        <v>1041</v>
      </c>
      <c r="I11" s="17" t="s">
        <v>211</v>
      </c>
      <c r="J11" s="17" t="s">
        <v>172</v>
      </c>
      <c r="K11" s="17" t="s">
        <v>1020</v>
      </c>
      <c r="L11" s="21" t="s">
        <v>1042</v>
      </c>
      <c r="M11" s="21" t="s">
        <v>1042</v>
      </c>
      <c r="N11" s="21" t="s">
        <v>1042</v>
      </c>
      <c r="O11" s="21" t="s">
        <v>1042</v>
      </c>
      <c r="P11" s="494" t="s">
        <v>1042</v>
      </c>
      <c r="Q11" s="21" t="s">
        <v>1042</v>
      </c>
      <c r="R11" s="494" t="s">
        <v>1042</v>
      </c>
      <c r="S11" s="21" t="s">
        <v>1042</v>
      </c>
      <c r="T11" s="494" t="s">
        <v>1042</v>
      </c>
      <c r="U11" s="21" t="s">
        <v>1042</v>
      </c>
      <c r="V11" s="21" t="s">
        <v>1042</v>
      </c>
      <c r="W11" s="494" t="s">
        <v>1042</v>
      </c>
      <c r="X11" s="21" t="s">
        <v>1042</v>
      </c>
      <c r="Y11" s="224"/>
      <c r="Z11" s="294"/>
    </row>
    <row r="12" spans="1:26" s="5" customFormat="1" ht="33.75" x14ac:dyDescent="0.15">
      <c r="A12" s="115">
        <f t="shared" si="0"/>
        <v>9</v>
      </c>
      <c r="B12" s="121" t="s">
        <v>292</v>
      </c>
      <c r="C12" s="121" t="s">
        <v>1043</v>
      </c>
      <c r="D12" s="116" t="s">
        <v>237</v>
      </c>
      <c r="E12" s="116">
        <v>12</v>
      </c>
      <c r="F12" s="116"/>
      <c r="G12" s="116"/>
      <c r="H12" s="117" t="s">
        <v>1044</v>
      </c>
      <c r="I12" s="116" t="s">
        <v>211</v>
      </c>
      <c r="J12" s="116" t="s">
        <v>200</v>
      </c>
      <c r="K12" s="116" t="s">
        <v>1017</v>
      </c>
      <c r="L12" s="116" t="s">
        <v>1018</v>
      </c>
      <c r="M12" s="116" t="s">
        <v>1018</v>
      </c>
      <c r="N12" s="116" t="s">
        <v>1018</v>
      </c>
      <c r="O12" s="116" t="s">
        <v>1018</v>
      </c>
      <c r="P12" s="116" t="s">
        <v>1018</v>
      </c>
      <c r="Q12" s="116" t="s">
        <v>1018</v>
      </c>
      <c r="R12" s="116" t="s">
        <v>1018</v>
      </c>
      <c r="S12" s="116" t="s">
        <v>1018</v>
      </c>
      <c r="T12" s="116" t="s">
        <v>1018</v>
      </c>
      <c r="U12" s="116" t="s">
        <v>1018</v>
      </c>
      <c r="V12" s="116" t="s">
        <v>1018</v>
      </c>
      <c r="W12" s="116" t="s">
        <v>1018</v>
      </c>
      <c r="X12" s="116" t="s">
        <v>1018</v>
      </c>
      <c r="Y12" s="225"/>
      <c r="Z12" s="294"/>
    </row>
    <row r="13" spans="1:26" s="5" customFormat="1" ht="45" x14ac:dyDescent="0.15">
      <c r="A13" s="26">
        <f t="shared" si="0"/>
        <v>10</v>
      </c>
      <c r="B13" s="27" t="s">
        <v>300</v>
      </c>
      <c r="C13" s="27" t="s">
        <v>1045</v>
      </c>
      <c r="D13" s="17" t="s">
        <v>302</v>
      </c>
      <c r="E13" s="17" t="s">
        <v>251</v>
      </c>
      <c r="F13" s="17"/>
      <c r="G13" s="17"/>
      <c r="H13" s="18" t="s">
        <v>1046</v>
      </c>
      <c r="I13" s="17" t="s">
        <v>211</v>
      </c>
      <c r="J13" s="17" t="s">
        <v>172</v>
      </c>
      <c r="K13" s="17" t="s">
        <v>1020</v>
      </c>
      <c r="L13" s="17" t="s">
        <v>1047</v>
      </c>
      <c r="M13" s="17" t="s">
        <v>1047</v>
      </c>
      <c r="N13" s="17" t="s">
        <v>1047</v>
      </c>
      <c r="O13" s="17" t="s">
        <v>1047</v>
      </c>
      <c r="P13" s="116" t="s">
        <v>1047</v>
      </c>
      <c r="Q13" s="17" t="s">
        <v>1047</v>
      </c>
      <c r="R13" s="116" t="s">
        <v>1047</v>
      </c>
      <c r="S13" s="17" t="s">
        <v>1047</v>
      </c>
      <c r="T13" s="116" t="s">
        <v>1047</v>
      </c>
      <c r="U13" s="17" t="s">
        <v>1047</v>
      </c>
      <c r="V13" s="17" t="s">
        <v>1047</v>
      </c>
      <c r="W13" s="116" t="s">
        <v>1047</v>
      </c>
      <c r="X13" s="17" t="s">
        <v>1047</v>
      </c>
      <c r="Y13" s="223" t="s">
        <v>1048</v>
      </c>
      <c r="Z13" s="294"/>
    </row>
    <row r="14" spans="1:26" s="5" customFormat="1" ht="45" x14ac:dyDescent="0.15">
      <c r="A14" s="26">
        <f t="shared" si="0"/>
        <v>11</v>
      </c>
      <c r="B14" s="27" t="s">
        <v>1049</v>
      </c>
      <c r="C14" s="27" t="s">
        <v>307</v>
      </c>
      <c r="D14" s="17" t="s">
        <v>302</v>
      </c>
      <c r="E14" s="17" t="s">
        <v>251</v>
      </c>
      <c r="F14" s="17"/>
      <c r="G14" s="17"/>
      <c r="H14" s="18"/>
      <c r="I14" s="17" t="s">
        <v>211</v>
      </c>
      <c r="J14" s="17" t="s">
        <v>172</v>
      </c>
      <c r="K14" s="17" t="s">
        <v>1020</v>
      </c>
      <c r="L14" s="17" t="s">
        <v>1050</v>
      </c>
      <c r="M14" s="17" t="s">
        <v>1050</v>
      </c>
      <c r="N14" s="17" t="s">
        <v>1050</v>
      </c>
      <c r="O14" s="17" t="s">
        <v>1050</v>
      </c>
      <c r="P14" s="116" t="s">
        <v>1050</v>
      </c>
      <c r="Q14" s="17" t="s">
        <v>1050</v>
      </c>
      <c r="R14" s="116" t="s">
        <v>1050</v>
      </c>
      <c r="S14" s="17" t="s">
        <v>1050</v>
      </c>
      <c r="T14" s="116" t="s">
        <v>1050</v>
      </c>
      <c r="U14" s="17" t="s">
        <v>1050</v>
      </c>
      <c r="V14" s="17" t="s">
        <v>1050</v>
      </c>
      <c r="W14" s="116" t="s">
        <v>1050</v>
      </c>
      <c r="X14" s="17" t="s">
        <v>1050</v>
      </c>
      <c r="Y14" s="223" t="s">
        <v>1051</v>
      </c>
      <c r="Z14" s="294"/>
    </row>
    <row r="15" spans="1:26" s="5" customFormat="1" ht="45" x14ac:dyDescent="0.15">
      <c r="A15" s="26">
        <f t="shared" si="0"/>
        <v>12</v>
      </c>
      <c r="B15" s="27" t="s">
        <v>311</v>
      </c>
      <c r="C15" s="27" t="s">
        <v>312</v>
      </c>
      <c r="D15" s="17" t="s">
        <v>302</v>
      </c>
      <c r="E15" s="17" t="s">
        <v>251</v>
      </c>
      <c r="F15" s="17" t="s">
        <v>1005</v>
      </c>
      <c r="G15" s="17"/>
      <c r="H15" s="18"/>
      <c r="I15" s="17" t="s">
        <v>211</v>
      </c>
      <c r="J15" s="17" t="s">
        <v>172</v>
      </c>
      <c r="K15" s="17" t="s">
        <v>1020</v>
      </c>
      <c r="L15" s="17" t="s">
        <v>1052</v>
      </c>
      <c r="M15" s="17" t="s">
        <v>1052</v>
      </c>
      <c r="N15" s="17" t="s">
        <v>1052</v>
      </c>
      <c r="O15" s="17" t="s">
        <v>1052</v>
      </c>
      <c r="P15" s="116" t="s">
        <v>1052</v>
      </c>
      <c r="Q15" s="17" t="s">
        <v>1052</v>
      </c>
      <c r="R15" s="116" t="s">
        <v>1052</v>
      </c>
      <c r="S15" s="17" t="s">
        <v>1052</v>
      </c>
      <c r="T15" s="116" t="s">
        <v>1052</v>
      </c>
      <c r="U15" s="17" t="s">
        <v>1052</v>
      </c>
      <c r="V15" s="17" t="s">
        <v>1052</v>
      </c>
      <c r="W15" s="116" t="s">
        <v>1052</v>
      </c>
      <c r="X15" s="17" t="s">
        <v>1052</v>
      </c>
      <c r="Y15" s="223"/>
      <c r="Z15" s="294"/>
    </row>
    <row r="16" spans="1:26" s="5" customFormat="1" ht="33.75" x14ac:dyDescent="0.15">
      <c r="A16" s="115">
        <f t="shared" si="0"/>
        <v>13</v>
      </c>
      <c r="B16" s="121" t="s">
        <v>317</v>
      </c>
      <c r="C16" s="121" t="s">
        <v>1053</v>
      </c>
      <c r="D16" s="116" t="s">
        <v>246</v>
      </c>
      <c r="E16" s="116" t="s">
        <v>251</v>
      </c>
      <c r="F16" s="116"/>
      <c r="G16" s="116"/>
      <c r="H16" s="229" t="s">
        <v>1054</v>
      </c>
      <c r="I16" s="116" t="s">
        <v>211</v>
      </c>
      <c r="J16" s="116" t="s">
        <v>200</v>
      </c>
      <c r="K16" s="116" t="s">
        <v>1017</v>
      </c>
      <c r="L16" s="116" t="s">
        <v>1018</v>
      </c>
      <c r="M16" s="116" t="s">
        <v>1018</v>
      </c>
      <c r="N16" s="116" t="s">
        <v>1018</v>
      </c>
      <c r="O16" s="116" t="s">
        <v>1018</v>
      </c>
      <c r="P16" s="116" t="s">
        <v>1018</v>
      </c>
      <c r="Q16" s="116" t="s">
        <v>1018</v>
      </c>
      <c r="R16" s="116" t="s">
        <v>1018</v>
      </c>
      <c r="S16" s="116" t="s">
        <v>1018</v>
      </c>
      <c r="T16" s="116" t="s">
        <v>1018</v>
      </c>
      <c r="U16" s="116" t="s">
        <v>1018</v>
      </c>
      <c r="V16" s="116" t="s">
        <v>1018</v>
      </c>
      <c r="W16" s="116" t="s">
        <v>1018</v>
      </c>
      <c r="X16" s="116" t="s">
        <v>1018</v>
      </c>
      <c r="Y16" s="225"/>
      <c r="Z16" s="294"/>
    </row>
    <row r="17" spans="1:26" s="5" customFormat="1" ht="33.75" x14ac:dyDescent="0.15">
      <c r="A17" s="115">
        <f t="shared" si="0"/>
        <v>14</v>
      </c>
      <c r="B17" s="121" t="s">
        <v>322</v>
      </c>
      <c r="C17" s="121" t="s">
        <v>323</v>
      </c>
      <c r="D17" s="116" t="s">
        <v>246</v>
      </c>
      <c r="E17" s="116" t="s">
        <v>251</v>
      </c>
      <c r="F17" s="116"/>
      <c r="G17" s="116"/>
      <c r="H17" s="230" t="s">
        <v>1055</v>
      </c>
      <c r="I17" s="116" t="s">
        <v>211</v>
      </c>
      <c r="J17" s="116" t="s">
        <v>200</v>
      </c>
      <c r="K17" s="116" t="s">
        <v>1017</v>
      </c>
      <c r="L17" s="116" t="s">
        <v>1018</v>
      </c>
      <c r="M17" s="116" t="s">
        <v>1018</v>
      </c>
      <c r="N17" s="116" t="s">
        <v>1018</v>
      </c>
      <c r="O17" s="116" t="s">
        <v>1018</v>
      </c>
      <c r="P17" s="116" t="s">
        <v>1018</v>
      </c>
      <c r="Q17" s="116" t="s">
        <v>1018</v>
      </c>
      <c r="R17" s="116" t="s">
        <v>1018</v>
      </c>
      <c r="S17" s="116" t="s">
        <v>1018</v>
      </c>
      <c r="T17" s="116" t="s">
        <v>1018</v>
      </c>
      <c r="U17" s="116" t="s">
        <v>1018</v>
      </c>
      <c r="V17" s="116" t="s">
        <v>1018</v>
      </c>
      <c r="W17" s="116" t="s">
        <v>1018</v>
      </c>
      <c r="X17" s="116" t="s">
        <v>1018</v>
      </c>
      <c r="Y17" s="221" t="s">
        <v>1056</v>
      </c>
      <c r="Z17" s="294"/>
    </row>
    <row r="18" spans="1:26" s="5" customFormat="1" ht="33.75" x14ac:dyDescent="0.15">
      <c r="A18" s="115">
        <f t="shared" si="0"/>
        <v>15</v>
      </c>
      <c r="B18" s="121" t="s">
        <v>327</v>
      </c>
      <c r="C18" s="121" t="s">
        <v>1057</v>
      </c>
      <c r="D18" s="116" t="s">
        <v>246</v>
      </c>
      <c r="E18" s="116" t="s">
        <v>251</v>
      </c>
      <c r="F18" s="116"/>
      <c r="G18" s="116"/>
      <c r="H18" s="117" t="s">
        <v>1058</v>
      </c>
      <c r="I18" s="116" t="s">
        <v>211</v>
      </c>
      <c r="J18" s="116" t="s">
        <v>200</v>
      </c>
      <c r="K18" s="116" t="s">
        <v>1017</v>
      </c>
      <c r="L18" s="116" t="s">
        <v>1018</v>
      </c>
      <c r="M18" s="116" t="s">
        <v>1018</v>
      </c>
      <c r="N18" s="116" t="s">
        <v>1018</v>
      </c>
      <c r="O18" s="116" t="s">
        <v>1018</v>
      </c>
      <c r="P18" s="116" t="s">
        <v>1018</v>
      </c>
      <c r="Q18" s="116" t="s">
        <v>1018</v>
      </c>
      <c r="R18" s="116" t="s">
        <v>1018</v>
      </c>
      <c r="S18" s="116" t="s">
        <v>1018</v>
      </c>
      <c r="T18" s="116" t="s">
        <v>1018</v>
      </c>
      <c r="U18" s="116" t="s">
        <v>1018</v>
      </c>
      <c r="V18" s="116" t="s">
        <v>1018</v>
      </c>
      <c r="W18" s="116" t="s">
        <v>1018</v>
      </c>
      <c r="X18" s="116" t="s">
        <v>1018</v>
      </c>
      <c r="Y18" s="225"/>
      <c r="Z18" s="294"/>
    </row>
    <row r="19" spans="1:26" s="5" customFormat="1" ht="46.9" customHeight="1" x14ac:dyDescent="0.15">
      <c r="A19" s="26">
        <f t="shared" si="0"/>
        <v>16</v>
      </c>
      <c r="B19" s="27" t="s">
        <v>290</v>
      </c>
      <c r="C19" s="27" t="s">
        <v>291</v>
      </c>
      <c r="D19" s="17" t="s">
        <v>246</v>
      </c>
      <c r="E19" s="17" t="s">
        <v>251</v>
      </c>
      <c r="F19" s="17"/>
      <c r="G19" s="17"/>
      <c r="H19" s="18" t="s">
        <v>1059</v>
      </c>
      <c r="I19" s="17" t="s">
        <v>211</v>
      </c>
      <c r="J19" s="17" t="s">
        <v>172</v>
      </c>
      <c r="K19" s="17" t="s">
        <v>1020</v>
      </c>
      <c r="L19" s="17" t="s">
        <v>1060</v>
      </c>
      <c r="M19" s="17" t="s">
        <v>1060</v>
      </c>
      <c r="N19" s="17" t="s">
        <v>1061</v>
      </c>
      <c r="O19" s="17" t="s">
        <v>1060</v>
      </c>
      <c r="P19" s="116" t="s">
        <v>1061</v>
      </c>
      <c r="Q19" s="17" t="s">
        <v>1062</v>
      </c>
      <c r="R19" s="116" t="s">
        <v>1061</v>
      </c>
      <c r="S19" s="17" t="s">
        <v>1060</v>
      </c>
      <c r="T19" s="116" t="s">
        <v>1061</v>
      </c>
      <c r="U19" s="17" t="s">
        <v>1060</v>
      </c>
      <c r="V19" s="17" t="s">
        <v>1060</v>
      </c>
      <c r="W19" s="116" t="s">
        <v>1061</v>
      </c>
      <c r="X19" s="17" t="s">
        <v>1060</v>
      </c>
      <c r="Y19" s="40"/>
      <c r="Z19" s="294"/>
    </row>
    <row r="20" spans="1:26" s="5" customFormat="1" ht="132" customHeight="1" x14ac:dyDescent="0.15">
      <c r="A20" s="26">
        <f t="shared" si="0"/>
        <v>17</v>
      </c>
      <c r="B20" s="27" t="s">
        <v>339</v>
      </c>
      <c r="C20" s="27" t="s">
        <v>1063</v>
      </c>
      <c r="D20" s="17" t="s">
        <v>237</v>
      </c>
      <c r="E20" s="17">
        <v>24</v>
      </c>
      <c r="F20" s="17" t="s">
        <v>1005</v>
      </c>
      <c r="G20" s="17"/>
      <c r="H20" s="18" t="s">
        <v>1064</v>
      </c>
      <c r="I20" s="17" t="s">
        <v>211</v>
      </c>
      <c r="J20" s="17" t="s">
        <v>172</v>
      </c>
      <c r="K20" s="17" t="s">
        <v>1020</v>
      </c>
      <c r="L20" s="17" t="s">
        <v>1065</v>
      </c>
      <c r="M20" s="17" t="s">
        <v>1066</v>
      </c>
      <c r="N20" s="17" t="s">
        <v>1066</v>
      </c>
      <c r="O20" s="17" t="s">
        <v>1065</v>
      </c>
      <c r="P20" s="116" t="s">
        <v>1065</v>
      </c>
      <c r="Q20" s="17" t="s">
        <v>1065</v>
      </c>
      <c r="R20" s="116" t="s">
        <v>1065</v>
      </c>
      <c r="S20" s="17" t="s">
        <v>1065</v>
      </c>
      <c r="T20" s="116" t="s">
        <v>1065</v>
      </c>
      <c r="U20" s="17" t="s">
        <v>1065</v>
      </c>
      <c r="V20" s="17" t="s">
        <v>1065</v>
      </c>
      <c r="W20" s="116" t="s">
        <v>1065</v>
      </c>
      <c r="X20" s="17" t="s">
        <v>1065</v>
      </c>
      <c r="Y20" s="40"/>
      <c r="Z20" s="294"/>
    </row>
    <row r="21" spans="1:26" s="5" customFormat="1" ht="22.5" x14ac:dyDescent="0.15">
      <c r="A21" s="115">
        <f t="shared" si="0"/>
        <v>18</v>
      </c>
      <c r="B21" s="121" t="s">
        <v>343</v>
      </c>
      <c r="C21" s="121" t="s">
        <v>1067</v>
      </c>
      <c r="D21" s="116" t="s">
        <v>237</v>
      </c>
      <c r="E21" s="116">
        <v>24</v>
      </c>
      <c r="F21" s="116" t="s">
        <v>1005</v>
      </c>
      <c r="G21" s="116"/>
      <c r="H21" s="117" t="s">
        <v>1068</v>
      </c>
      <c r="I21" s="116" t="s">
        <v>211</v>
      </c>
      <c r="J21" s="116" t="s">
        <v>200</v>
      </c>
      <c r="K21" s="116" t="s">
        <v>1017</v>
      </c>
      <c r="L21" s="116" t="s">
        <v>1069</v>
      </c>
      <c r="M21" s="116" t="s">
        <v>1069</v>
      </c>
      <c r="N21" s="116" t="s">
        <v>1069</v>
      </c>
      <c r="O21" s="116" t="s">
        <v>1069</v>
      </c>
      <c r="P21" s="116" t="s">
        <v>1069</v>
      </c>
      <c r="Q21" s="116" t="s">
        <v>1069</v>
      </c>
      <c r="R21" s="116" t="s">
        <v>1069</v>
      </c>
      <c r="S21" s="116" t="s">
        <v>1069</v>
      </c>
      <c r="T21" s="116" t="s">
        <v>1069</v>
      </c>
      <c r="U21" s="116" t="s">
        <v>1069</v>
      </c>
      <c r="V21" s="116" t="s">
        <v>1069</v>
      </c>
      <c r="W21" s="116" t="s">
        <v>1069</v>
      </c>
      <c r="X21" s="116" t="s">
        <v>1069</v>
      </c>
      <c r="Y21" s="225" t="s">
        <v>1070</v>
      </c>
      <c r="Z21" s="294"/>
    </row>
    <row r="22" spans="1:26" s="5" customFormat="1" ht="22.5" x14ac:dyDescent="0.15">
      <c r="A22" s="115">
        <f t="shared" si="0"/>
        <v>19</v>
      </c>
      <c r="B22" s="121" t="s">
        <v>348</v>
      </c>
      <c r="C22" s="121" t="s">
        <v>1071</v>
      </c>
      <c r="D22" s="116" t="s">
        <v>246</v>
      </c>
      <c r="E22" s="116" t="s">
        <v>251</v>
      </c>
      <c r="F22" s="116"/>
      <c r="G22" s="116"/>
      <c r="H22" s="117" t="s">
        <v>1072</v>
      </c>
      <c r="I22" s="116" t="s">
        <v>211</v>
      </c>
      <c r="J22" s="116" t="s">
        <v>200</v>
      </c>
      <c r="K22" s="116" t="s">
        <v>1017</v>
      </c>
      <c r="L22" s="116" t="s">
        <v>1069</v>
      </c>
      <c r="M22" s="116" t="s">
        <v>1069</v>
      </c>
      <c r="N22" s="116" t="s">
        <v>1069</v>
      </c>
      <c r="O22" s="116" t="s">
        <v>1069</v>
      </c>
      <c r="P22" s="116" t="s">
        <v>1069</v>
      </c>
      <c r="Q22" s="116" t="s">
        <v>1069</v>
      </c>
      <c r="R22" s="116" t="s">
        <v>1069</v>
      </c>
      <c r="S22" s="116" t="s">
        <v>1069</v>
      </c>
      <c r="T22" s="116" t="s">
        <v>1069</v>
      </c>
      <c r="U22" s="116" t="s">
        <v>1069</v>
      </c>
      <c r="V22" s="116" t="s">
        <v>1069</v>
      </c>
      <c r="W22" s="116" t="s">
        <v>1069</v>
      </c>
      <c r="X22" s="116" t="s">
        <v>1069</v>
      </c>
      <c r="Y22" s="225"/>
      <c r="Z22" s="294"/>
    </row>
    <row r="23" spans="1:26" s="5" customFormat="1" ht="33.75" x14ac:dyDescent="0.15">
      <c r="A23" s="26">
        <f t="shared" si="0"/>
        <v>20</v>
      </c>
      <c r="B23" s="27" t="s">
        <v>353</v>
      </c>
      <c r="C23" s="27" t="s">
        <v>1073</v>
      </c>
      <c r="D23" s="17" t="s">
        <v>355</v>
      </c>
      <c r="E23" s="17" t="s">
        <v>251</v>
      </c>
      <c r="F23" s="17" t="s">
        <v>1005</v>
      </c>
      <c r="G23" s="17"/>
      <c r="H23" s="22" t="s">
        <v>1074</v>
      </c>
      <c r="I23" s="17" t="s">
        <v>211</v>
      </c>
      <c r="J23" s="17" t="s">
        <v>172</v>
      </c>
      <c r="K23" s="17" t="s">
        <v>1020</v>
      </c>
      <c r="L23" s="17" t="s">
        <v>1075</v>
      </c>
      <c r="M23" s="17" t="s">
        <v>1076</v>
      </c>
      <c r="N23" s="17" t="s">
        <v>1076</v>
      </c>
      <c r="O23" s="299" t="s">
        <v>1076</v>
      </c>
      <c r="P23" s="316" t="s">
        <v>1076</v>
      </c>
      <c r="Q23" s="299" t="s">
        <v>1076</v>
      </c>
      <c r="R23" s="316" t="s">
        <v>1076</v>
      </c>
      <c r="S23" s="17" t="s">
        <v>1075</v>
      </c>
      <c r="T23" s="116" t="s">
        <v>1075</v>
      </c>
      <c r="U23" s="17" t="s">
        <v>1075</v>
      </c>
      <c r="V23" s="17" t="s">
        <v>1075</v>
      </c>
      <c r="W23" s="116" t="s">
        <v>1075</v>
      </c>
      <c r="X23" s="17" t="s">
        <v>1075</v>
      </c>
      <c r="Y23" s="223"/>
      <c r="Z23" s="294" t="s">
        <v>1040</v>
      </c>
    </row>
    <row r="24" spans="1:26" s="5" customFormat="1" ht="22.5" customHeight="1" x14ac:dyDescent="0.15">
      <c r="A24" s="115">
        <f t="shared" si="0"/>
        <v>21</v>
      </c>
      <c r="B24" s="121" t="s">
        <v>1077</v>
      </c>
      <c r="C24" s="121" t="s">
        <v>1078</v>
      </c>
      <c r="D24" s="116" t="s">
        <v>237</v>
      </c>
      <c r="E24" s="116">
        <v>12</v>
      </c>
      <c r="F24" s="116" t="s">
        <v>1005</v>
      </c>
      <c r="G24" s="116"/>
      <c r="H24" s="117" t="s">
        <v>1079</v>
      </c>
      <c r="I24" s="116" t="s">
        <v>211</v>
      </c>
      <c r="J24" s="116" t="s">
        <v>200</v>
      </c>
      <c r="K24" s="116" t="s">
        <v>1017</v>
      </c>
      <c r="L24" s="116" t="s">
        <v>1080</v>
      </c>
      <c r="M24" s="116" t="s">
        <v>1080</v>
      </c>
      <c r="N24" s="116" t="s">
        <v>1080</v>
      </c>
      <c r="O24" s="116" t="s">
        <v>1080</v>
      </c>
      <c r="P24" s="116" t="s">
        <v>1080</v>
      </c>
      <c r="Q24" s="116" t="s">
        <v>1080</v>
      </c>
      <c r="R24" s="116" t="s">
        <v>1080</v>
      </c>
      <c r="S24" s="116" t="s">
        <v>1080</v>
      </c>
      <c r="T24" s="116" t="s">
        <v>1080</v>
      </c>
      <c r="U24" s="116" t="s">
        <v>1080</v>
      </c>
      <c r="V24" s="116" t="s">
        <v>1080</v>
      </c>
      <c r="W24" s="116" t="s">
        <v>1080</v>
      </c>
      <c r="X24" s="116" t="s">
        <v>1080</v>
      </c>
      <c r="Y24" s="225" t="s">
        <v>1070</v>
      </c>
      <c r="Z24" s="294"/>
    </row>
    <row r="25" spans="1:26" s="5" customFormat="1" ht="22.5" x14ac:dyDescent="0.15">
      <c r="A25" s="115">
        <f t="shared" si="0"/>
        <v>22</v>
      </c>
      <c r="B25" s="121" t="s">
        <v>1081</v>
      </c>
      <c r="C25" s="121" t="s">
        <v>1082</v>
      </c>
      <c r="D25" s="116" t="s">
        <v>237</v>
      </c>
      <c r="E25" s="116">
        <v>12</v>
      </c>
      <c r="F25" s="116"/>
      <c r="G25" s="116"/>
      <c r="H25" s="117" t="s">
        <v>1083</v>
      </c>
      <c r="I25" s="116" t="s">
        <v>211</v>
      </c>
      <c r="J25" s="116" t="s">
        <v>200</v>
      </c>
      <c r="K25" s="116" t="s">
        <v>1017</v>
      </c>
      <c r="L25" s="116" t="s">
        <v>1080</v>
      </c>
      <c r="M25" s="116" t="s">
        <v>1080</v>
      </c>
      <c r="N25" s="116" t="s">
        <v>1080</v>
      </c>
      <c r="O25" s="116" t="s">
        <v>1080</v>
      </c>
      <c r="P25" s="116" t="s">
        <v>1080</v>
      </c>
      <c r="Q25" s="116" t="s">
        <v>1080</v>
      </c>
      <c r="R25" s="116" t="s">
        <v>1080</v>
      </c>
      <c r="S25" s="116" t="s">
        <v>1080</v>
      </c>
      <c r="T25" s="116" t="s">
        <v>1080</v>
      </c>
      <c r="U25" s="116" t="s">
        <v>1080</v>
      </c>
      <c r="V25" s="116" t="s">
        <v>1080</v>
      </c>
      <c r="W25" s="116" t="s">
        <v>1080</v>
      </c>
      <c r="X25" s="116" t="s">
        <v>1080</v>
      </c>
      <c r="Y25" s="225"/>
      <c r="Z25" s="294"/>
    </row>
    <row r="26" spans="1:26" s="5" customFormat="1" ht="22.5" customHeight="1" x14ac:dyDescent="0.15">
      <c r="A26" s="115">
        <f t="shared" si="0"/>
        <v>23</v>
      </c>
      <c r="B26" s="121" t="s">
        <v>1084</v>
      </c>
      <c r="C26" s="121" t="s">
        <v>448</v>
      </c>
      <c r="D26" s="116" t="s">
        <v>246</v>
      </c>
      <c r="E26" s="116" t="s">
        <v>251</v>
      </c>
      <c r="F26" s="116" t="s">
        <v>1005</v>
      </c>
      <c r="G26" s="116"/>
      <c r="H26" s="117" t="s">
        <v>1085</v>
      </c>
      <c r="I26" s="116" t="s">
        <v>211</v>
      </c>
      <c r="J26" s="116" t="s">
        <v>200</v>
      </c>
      <c r="K26" s="116" t="s">
        <v>1017</v>
      </c>
      <c r="L26" s="116" t="s">
        <v>1080</v>
      </c>
      <c r="M26" s="116" t="s">
        <v>1080</v>
      </c>
      <c r="N26" s="116" t="s">
        <v>1080</v>
      </c>
      <c r="O26" s="116" t="s">
        <v>1080</v>
      </c>
      <c r="P26" s="116" t="s">
        <v>1080</v>
      </c>
      <c r="Q26" s="116" t="s">
        <v>1080</v>
      </c>
      <c r="R26" s="116" t="s">
        <v>1080</v>
      </c>
      <c r="S26" s="116" t="s">
        <v>1080</v>
      </c>
      <c r="T26" s="116" t="s">
        <v>1080</v>
      </c>
      <c r="U26" s="116" t="s">
        <v>1080</v>
      </c>
      <c r="V26" s="116" t="s">
        <v>1080</v>
      </c>
      <c r="W26" s="116" t="s">
        <v>1080</v>
      </c>
      <c r="X26" s="116" t="s">
        <v>1080</v>
      </c>
      <c r="Y26" s="225" t="s">
        <v>1070</v>
      </c>
      <c r="Z26" s="294"/>
    </row>
    <row r="27" spans="1:26" s="5" customFormat="1" ht="22.5" customHeight="1" x14ac:dyDescent="0.15">
      <c r="A27" s="115">
        <f t="shared" si="0"/>
        <v>24</v>
      </c>
      <c r="B27" s="121" t="s">
        <v>1086</v>
      </c>
      <c r="C27" s="121" t="s">
        <v>1087</v>
      </c>
      <c r="D27" s="116" t="s">
        <v>237</v>
      </c>
      <c r="E27" s="118">
        <v>12</v>
      </c>
      <c r="F27" s="116" t="s">
        <v>1005</v>
      </c>
      <c r="G27" s="118"/>
      <c r="H27" s="117" t="s">
        <v>1088</v>
      </c>
      <c r="I27" s="116" t="s">
        <v>211</v>
      </c>
      <c r="J27" s="116" t="s">
        <v>200</v>
      </c>
      <c r="K27" s="116" t="s">
        <v>1017</v>
      </c>
      <c r="L27" s="116" t="s">
        <v>1080</v>
      </c>
      <c r="M27" s="116" t="s">
        <v>1080</v>
      </c>
      <c r="N27" s="116" t="s">
        <v>1080</v>
      </c>
      <c r="O27" s="116" t="s">
        <v>1080</v>
      </c>
      <c r="P27" s="116" t="s">
        <v>1080</v>
      </c>
      <c r="Q27" s="116" t="s">
        <v>1080</v>
      </c>
      <c r="R27" s="116" t="s">
        <v>1080</v>
      </c>
      <c r="S27" s="116" t="s">
        <v>1080</v>
      </c>
      <c r="T27" s="116" t="s">
        <v>1080</v>
      </c>
      <c r="U27" s="116" t="s">
        <v>1080</v>
      </c>
      <c r="V27" s="116" t="s">
        <v>1080</v>
      </c>
      <c r="W27" s="116" t="s">
        <v>1080</v>
      </c>
      <c r="X27" s="116" t="s">
        <v>1080</v>
      </c>
      <c r="Y27" s="225" t="s">
        <v>1070</v>
      </c>
      <c r="Z27" s="294"/>
    </row>
    <row r="28" spans="1:26" s="6" customFormat="1" ht="22.5" customHeight="1" x14ac:dyDescent="0.15">
      <c r="A28" s="115">
        <f t="shared" si="0"/>
        <v>25</v>
      </c>
      <c r="B28" s="121" t="s">
        <v>1089</v>
      </c>
      <c r="C28" s="121" t="s">
        <v>1090</v>
      </c>
      <c r="D28" s="118" t="s">
        <v>250</v>
      </c>
      <c r="E28" s="118"/>
      <c r="F28" s="116" t="s">
        <v>1005</v>
      </c>
      <c r="G28" s="118"/>
      <c r="H28" s="117" t="s">
        <v>1091</v>
      </c>
      <c r="I28" s="116" t="s">
        <v>211</v>
      </c>
      <c r="J28" s="116" t="s">
        <v>200</v>
      </c>
      <c r="K28" s="116" t="s">
        <v>1017</v>
      </c>
      <c r="L28" s="116" t="s">
        <v>1080</v>
      </c>
      <c r="M28" s="116" t="s">
        <v>1080</v>
      </c>
      <c r="N28" s="116" t="s">
        <v>1080</v>
      </c>
      <c r="O28" s="116" t="s">
        <v>1080</v>
      </c>
      <c r="P28" s="116" t="s">
        <v>1080</v>
      </c>
      <c r="Q28" s="116" t="s">
        <v>1080</v>
      </c>
      <c r="R28" s="116" t="s">
        <v>1080</v>
      </c>
      <c r="S28" s="116" t="s">
        <v>1080</v>
      </c>
      <c r="T28" s="116" t="s">
        <v>1080</v>
      </c>
      <c r="U28" s="116" t="s">
        <v>1080</v>
      </c>
      <c r="V28" s="116" t="s">
        <v>1080</v>
      </c>
      <c r="W28" s="116" t="s">
        <v>1080</v>
      </c>
      <c r="X28" s="116" t="s">
        <v>1080</v>
      </c>
      <c r="Y28" s="225" t="s">
        <v>1070</v>
      </c>
      <c r="Z28" s="293"/>
    </row>
    <row r="29" spans="1:26" s="5" customFormat="1" ht="27" x14ac:dyDescent="0.15">
      <c r="A29" s="115">
        <f t="shared" si="0"/>
        <v>26</v>
      </c>
      <c r="B29" s="121" t="s">
        <v>1092</v>
      </c>
      <c r="C29" s="121" t="s">
        <v>1093</v>
      </c>
      <c r="D29" s="116" t="s">
        <v>246</v>
      </c>
      <c r="E29" s="116"/>
      <c r="F29" s="116" t="s">
        <v>1005</v>
      </c>
      <c r="G29" s="116"/>
      <c r="H29" s="117"/>
      <c r="I29" s="116" t="s">
        <v>211</v>
      </c>
      <c r="J29" s="116" t="s">
        <v>200</v>
      </c>
      <c r="K29" s="116" t="s">
        <v>1017</v>
      </c>
      <c r="L29" s="116" t="s">
        <v>1080</v>
      </c>
      <c r="M29" s="116" t="s">
        <v>1080</v>
      </c>
      <c r="N29" s="116" t="s">
        <v>1080</v>
      </c>
      <c r="O29" s="116" t="s">
        <v>1080</v>
      </c>
      <c r="P29" s="116" t="s">
        <v>1080</v>
      </c>
      <c r="Q29" s="116" t="s">
        <v>1080</v>
      </c>
      <c r="R29" s="116" t="s">
        <v>1080</v>
      </c>
      <c r="S29" s="116" t="s">
        <v>1080</v>
      </c>
      <c r="T29" s="116" t="s">
        <v>1080</v>
      </c>
      <c r="U29" s="116" t="s">
        <v>1080</v>
      </c>
      <c r="V29" s="116" t="s">
        <v>1080</v>
      </c>
      <c r="W29" s="116" t="s">
        <v>1080</v>
      </c>
      <c r="X29" s="116" t="s">
        <v>1080</v>
      </c>
      <c r="Y29" s="221" t="s">
        <v>1094</v>
      </c>
      <c r="Z29" s="294"/>
    </row>
    <row r="30" spans="1:26" s="5" customFormat="1" ht="27" x14ac:dyDescent="0.15">
      <c r="A30" s="115">
        <f t="shared" si="0"/>
        <v>27</v>
      </c>
      <c r="B30" s="121" t="s">
        <v>1095</v>
      </c>
      <c r="C30" s="121" t="s">
        <v>1096</v>
      </c>
      <c r="D30" s="116" t="s">
        <v>246</v>
      </c>
      <c r="E30" s="116"/>
      <c r="F30" s="116" t="s">
        <v>1005</v>
      </c>
      <c r="G30" s="116"/>
      <c r="H30" s="117"/>
      <c r="I30" s="116" t="s">
        <v>211</v>
      </c>
      <c r="J30" s="116" t="s">
        <v>200</v>
      </c>
      <c r="K30" s="116" t="s">
        <v>1017</v>
      </c>
      <c r="L30" s="116" t="s">
        <v>1080</v>
      </c>
      <c r="M30" s="116" t="s">
        <v>1080</v>
      </c>
      <c r="N30" s="116" t="s">
        <v>1080</v>
      </c>
      <c r="O30" s="116" t="s">
        <v>1080</v>
      </c>
      <c r="P30" s="116" t="s">
        <v>1080</v>
      </c>
      <c r="Q30" s="116" t="s">
        <v>1080</v>
      </c>
      <c r="R30" s="116" t="s">
        <v>1080</v>
      </c>
      <c r="S30" s="116" t="s">
        <v>1080</v>
      </c>
      <c r="T30" s="116" t="s">
        <v>1080</v>
      </c>
      <c r="U30" s="116" t="s">
        <v>1080</v>
      </c>
      <c r="V30" s="116" t="s">
        <v>1080</v>
      </c>
      <c r="W30" s="116" t="s">
        <v>1080</v>
      </c>
      <c r="X30" s="116" t="s">
        <v>1080</v>
      </c>
      <c r="Y30" s="221" t="s">
        <v>1097</v>
      </c>
      <c r="Z30" s="294"/>
    </row>
    <row r="31" spans="1:26" s="5" customFormat="1" ht="22.5" customHeight="1" x14ac:dyDescent="0.15">
      <c r="A31" s="115">
        <f t="shared" si="0"/>
        <v>28</v>
      </c>
      <c r="B31" s="121" t="s">
        <v>1098</v>
      </c>
      <c r="C31" s="121" t="s">
        <v>1099</v>
      </c>
      <c r="D31" s="116" t="s">
        <v>246</v>
      </c>
      <c r="E31" s="116"/>
      <c r="F31" s="116" t="s">
        <v>1005</v>
      </c>
      <c r="G31" s="116"/>
      <c r="H31" s="117"/>
      <c r="I31" s="116" t="s">
        <v>211</v>
      </c>
      <c r="J31" s="116" t="s">
        <v>200</v>
      </c>
      <c r="K31" s="116" t="s">
        <v>1017</v>
      </c>
      <c r="L31" s="116" t="s">
        <v>1080</v>
      </c>
      <c r="M31" s="116" t="s">
        <v>1080</v>
      </c>
      <c r="N31" s="116" t="s">
        <v>1080</v>
      </c>
      <c r="O31" s="116" t="s">
        <v>1080</v>
      </c>
      <c r="P31" s="116" t="s">
        <v>1080</v>
      </c>
      <c r="Q31" s="116" t="s">
        <v>1080</v>
      </c>
      <c r="R31" s="116" t="s">
        <v>1080</v>
      </c>
      <c r="S31" s="116" t="s">
        <v>1080</v>
      </c>
      <c r="T31" s="116" t="s">
        <v>1080</v>
      </c>
      <c r="U31" s="116" t="s">
        <v>1080</v>
      </c>
      <c r="V31" s="116" t="s">
        <v>1080</v>
      </c>
      <c r="W31" s="116" t="s">
        <v>1080</v>
      </c>
      <c r="X31" s="116" t="s">
        <v>1080</v>
      </c>
      <c r="Y31" s="225" t="s">
        <v>1070</v>
      </c>
      <c r="Z31" s="294"/>
    </row>
    <row r="32" spans="1:26" s="5" customFormat="1" ht="22.5" customHeight="1" x14ac:dyDescent="0.15">
      <c r="A32" s="115">
        <f t="shared" si="0"/>
        <v>29</v>
      </c>
      <c r="B32" s="121" t="s">
        <v>1100</v>
      </c>
      <c r="C32" s="121" t="s">
        <v>1101</v>
      </c>
      <c r="D32" s="116" t="s">
        <v>246</v>
      </c>
      <c r="E32" s="116"/>
      <c r="F32" s="116" t="s">
        <v>1005</v>
      </c>
      <c r="G32" s="116"/>
      <c r="H32" s="117"/>
      <c r="I32" s="116" t="s">
        <v>211</v>
      </c>
      <c r="J32" s="116" t="s">
        <v>200</v>
      </c>
      <c r="K32" s="116" t="s">
        <v>1017</v>
      </c>
      <c r="L32" s="116" t="s">
        <v>1080</v>
      </c>
      <c r="M32" s="116" t="s">
        <v>1080</v>
      </c>
      <c r="N32" s="116" t="s">
        <v>1080</v>
      </c>
      <c r="O32" s="116" t="s">
        <v>1080</v>
      </c>
      <c r="P32" s="116" t="s">
        <v>1080</v>
      </c>
      <c r="Q32" s="116" t="s">
        <v>1080</v>
      </c>
      <c r="R32" s="116" t="s">
        <v>1080</v>
      </c>
      <c r="S32" s="116" t="s">
        <v>1080</v>
      </c>
      <c r="T32" s="116" t="s">
        <v>1080</v>
      </c>
      <c r="U32" s="116" t="s">
        <v>1080</v>
      </c>
      <c r="V32" s="116" t="s">
        <v>1080</v>
      </c>
      <c r="W32" s="116" t="s">
        <v>1080</v>
      </c>
      <c r="X32" s="116" t="s">
        <v>1080</v>
      </c>
      <c r="Y32" s="225" t="s">
        <v>1070</v>
      </c>
      <c r="Z32" s="294"/>
    </row>
    <row r="33" spans="1:26" s="5" customFormat="1" ht="27" x14ac:dyDescent="0.15">
      <c r="A33" s="115">
        <f t="shared" si="0"/>
        <v>30</v>
      </c>
      <c r="B33" s="121" t="s">
        <v>1102</v>
      </c>
      <c r="C33" s="121" t="s">
        <v>1103</v>
      </c>
      <c r="D33" s="116" t="s">
        <v>246</v>
      </c>
      <c r="E33" s="116"/>
      <c r="F33" s="116" t="s">
        <v>1005</v>
      </c>
      <c r="G33" s="116"/>
      <c r="H33" s="229" t="s">
        <v>1104</v>
      </c>
      <c r="I33" s="116" t="s">
        <v>211</v>
      </c>
      <c r="J33" s="116" t="s">
        <v>200</v>
      </c>
      <c r="K33" s="116" t="s">
        <v>1017</v>
      </c>
      <c r="L33" s="116" t="s">
        <v>1080</v>
      </c>
      <c r="M33" s="116" t="s">
        <v>1080</v>
      </c>
      <c r="N33" s="116" t="s">
        <v>1080</v>
      </c>
      <c r="O33" s="116" t="s">
        <v>1080</v>
      </c>
      <c r="P33" s="116" t="s">
        <v>1080</v>
      </c>
      <c r="Q33" s="116" t="s">
        <v>1080</v>
      </c>
      <c r="R33" s="116" t="s">
        <v>1080</v>
      </c>
      <c r="S33" s="116" t="s">
        <v>1080</v>
      </c>
      <c r="T33" s="116" t="s">
        <v>1080</v>
      </c>
      <c r="U33" s="116" t="s">
        <v>1080</v>
      </c>
      <c r="V33" s="116" t="s">
        <v>1080</v>
      </c>
      <c r="W33" s="116" t="s">
        <v>1080</v>
      </c>
      <c r="X33" s="116" t="s">
        <v>1080</v>
      </c>
      <c r="Y33" s="221" t="s">
        <v>1105</v>
      </c>
      <c r="Z33" s="294"/>
    </row>
    <row r="34" spans="1:26" s="5" customFormat="1" ht="27" x14ac:dyDescent="0.15">
      <c r="A34" s="115">
        <f t="shared" si="0"/>
        <v>31</v>
      </c>
      <c r="B34" s="121" t="s">
        <v>1106</v>
      </c>
      <c r="C34" s="121" t="s">
        <v>1107</v>
      </c>
      <c r="D34" s="116" t="s">
        <v>246</v>
      </c>
      <c r="E34" s="116"/>
      <c r="F34" s="116" t="s">
        <v>1005</v>
      </c>
      <c r="G34" s="116"/>
      <c r="H34" s="117" t="s">
        <v>1108</v>
      </c>
      <c r="I34" s="116" t="s">
        <v>211</v>
      </c>
      <c r="J34" s="116" t="s">
        <v>200</v>
      </c>
      <c r="K34" s="116" t="s">
        <v>1017</v>
      </c>
      <c r="L34" s="116" t="s">
        <v>1080</v>
      </c>
      <c r="M34" s="116" t="s">
        <v>1080</v>
      </c>
      <c r="N34" s="116" t="s">
        <v>1080</v>
      </c>
      <c r="O34" s="116" t="s">
        <v>1080</v>
      </c>
      <c r="P34" s="116" t="s">
        <v>1080</v>
      </c>
      <c r="Q34" s="116" t="s">
        <v>1080</v>
      </c>
      <c r="R34" s="116" t="s">
        <v>1080</v>
      </c>
      <c r="S34" s="116" t="s">
        <v>1080</v>
      </c>
      <c r="T34" s="116" t="s">
        <v>1080</v>
      </c>
      <c r="U34" s="116" t="s">
        <v>1080</v>
      </c>
      <c r="V34" s="116" t="s">
        <v>1080</v>
      </c>
      <c r="W34" s="116" t="s">
        <v>1080</v>
      </c>
      <c r="X34" s="116" t="s">
        <v>1080</v>
      </c>
      <c r="Y34" s="221" t="s">
        <v>1105</v>
      </c>
      <c r="Z34" s="294"/>
    </row>
    <row r="35" spans="1:26" s="5" customFormat="1" ht="27" x14ac:dyDescent="0.15">
      <c r="A35" s="115">
        <f t="shared" si="0"/>
        <v>32</v>
      </c>
      <c r="B35" s="121" t="s">
        <v>1109</v>
      </c>
      <c r="C35" s="121" t="s">
        <v>1110</v>
      </c>
      <c r="D35" s="116" t="s">
        <v>246</v>
      </c>
      <c r="E35" s="116"/>
      <c r="F35" s="116" t="s">
        <v>1005</v>
      </c>
      <c r="G35" s="116"/>
      <c r="H35" s="231" t="s">
        <v>1111</v>
      </c>
      <c r="I35" s="116" t="s">
        <v>211</v>
      </c>
      <c r="J35" s="116" t="s">
        <v>200</v>
      </c>
      <c r="K35" s="116" t="s">
        <v>1017</v>
      </c>
      <c r="L35" s="116" t="s">
        <v>1080</v>
      </c>
      <c r="M35" s="116" t="s">
        <v>1080</v>
      </c>
      <c r="N35" s="116" t="s">
        <v>1080</v>
      </c>
      <c r="O35" s="116" t="s">
        <v>1080</v>
      </c>
      <c r="P35" s="116" t="s">
        <v>1080</v>
      </c>
      <c r="Q35" s="116" t="s">
        <v>1080</v>
      </c>
      <c r="R35" s="116" t="s">
        <v>1080</v>
      </c>
      <c r="S35" s="116" t="s">
        <v>1080</v>
      </c>
      <c r="T35" s="116" t="s">
        <v>1080</v>
      </c>
      <c r="U35" s="116" t="s">
        <v>1080</v>
      </c>
      <c r="V35" s="116" t="s">
        <v>1080</v>
      </c>
      <c r="W35" s="116" t="s">
        <v>1080</v>
      </c>
      <c r="X35" s="116" t="s">
        <v>1080</v>
      </c>
      <c r="Y35" s="221" t="s">
        <v>1105</v>
      </c>
      <c r="Z35" s="294"/>
    </row>
    <row r="36" spans="1:26" s="5" customFormat="1" ht="27" x14ac:dyDescent="0.15">
      <c r="A36" s="115">
        <f t="shared" si="0"/>
        <v>33</v>
      </c>
      <c r="B36" s="121" t="s">
        <v>1112</v>
      </c>
      <c r="C36" s="121" t="s">
        <v>1113</v>
      </c>
      <c r="D36" s="116" t="s">
        <v>250</v>
      </c>
      <c r="E36" s="116"/>
      <c r="F36" s="116" t="s">
        <v>1005</v>
      </c>
      <c r="G36" s="116"/>
      <c r="H36" s="229" t="s">
        <v>1114</v>
      </c>
      <c r="I36" s="116" t="s">
        <v>211</v>
      </c>
      <c r="J36" s="116" t="s">
        <v>200</v>
      </c>
      <c r="K36" s="116" t="s">
        <v>1017</v>
      </c>
      <c r="L36" s="116" t="s">
        <v>1080</v>
      </c>
      <c r="M36" s="116" t="s">
        <v>1080</v>
      </c>
      <c r="N36" s="116" t="s">
        <v>1080</v>
      </c>
      <c r="O36" s="116" t="s">
        <v>1080</v>
      </c>
      <c r="P36" s="116" t="s">
        <v>1080</v>
      </c>
      <c r="Q36" s="116" t="s">
        <v>1080</v>
      </c>
      <c r="R36" s="116" t="s">
        <v>1080</v>
      </c>
      <c r="S36" s="116" t="s">
        <v>1080</v>
      </c>
      <c r="T36" s="116" t="s">
        <v>1080</v>
      </c>
      <c r="U36" s="116" t="s">
        <v>1080</v>
      </c>
      <c r="V36" s="116" t="s">
        <v>1080</v>
      </c>
      <c r="W36" s="116" t="s">
        <v>1080</v>
      </c>
      <c r="X36" s="116" t="s">
        <v>1080</v>
      </c>
      <c r="Y36" s="221" t="s">
        <v>1105</v>
      </c>
      <c r="Z36" s="294"/>
    </row>
    <row r="37" spans="1:26" s="5" customFormat="1" ht="27" x14ac:dyDescent="0.15">
      <c r="A37" s="115">
        <f t="shared" si="0"/>
        <v>34</v>
      </c>
      <c r="B37" s="121" t="s">
        <v>1115</v>
      </c>
      <c r="C37" s="121" t="s">
        <v>1116</v>
      </c>
      <c r="D37" s="116" t="s">
        <v>355</v>
      </c>
      <c r="E37" s="116"/>
      <c r="F37" s="116" t="s">
        <v>1005</v>
      </c>
      <c r="G37" s="116"/>
      <c r="H37" s="117" t="s">
        <v>1117</v>
      </c>
      <c r="I37" s="116" t="s">
        <v>211</v>
      </c>
      <c r="J37" s="116" t="s">
        <v>200</v>
      </c>
      <c r="K37" s="116" t="s">
        <v>1017</v>
      </c>
      <c r="L37" s="116" t="s">
        <v>1080</v>
      </c>
      <c r="M37" s="116" t="s">
        <v>1080</v>
      </c>
      <c r="N37" s="116" t="s">
        <v>1080</v>
      </c>
      <c r="O37" s="116" t="s">
        <v>1080</v>
      </c>
      <c r="P37" s="116" t="s">
        <v>1080</v>
      </c>
      <c r="Q37" s="116" t="s">
        <v>1080</v>
      </c>
      <c r="R37" s="116" t="s">
        <v>1080</v>
      </c>
      <c r="S37" s="116" t="s">
        <v>1080</v>
      </c>
      <c r="T37" s="116" t="s">
        <v>1080</v>
      </c>
      <c r="U37" s="116" t="s">
        <v>1080</v>
      </c>
      <c r="V37" s="116" t="s">
        <v>1080</v>
      </c>
      <c r="W37" s="116" t="s">
        <v>1080</v>
      </c>
      <c r="X37" s="116" t="s">
        <v>1080</v>
      </c>
      <c r="Y37" s="221" t="s">
        <v>1105</v>
      </c>
      <c r="Z37" s="294"/>
    </row>
    <row r="38" spans="1:26" s="5" customFormat="1" ht="76.150000000000006" customHeight="1" x14ac:dyDescent="0.15">
      <c r="A38" s="26">
        <f t="shared" si="0"/>
        <v>35</v>
      </c>
      <c r="B38" s="27" t="s">
        <v>1118</v>
      </c>
      <c r="C38" s="27" t="s">
        <v>1119</v>
      </c>
      <c r="D38" s="17" t="s">
        <v>302</v>
      </c>
      <c r="E38" s="17"/>
      <c r="F38" s="17" t="s">
        <v>1005</v>
      </c>
      <c r="G38" s="17"/>
      <c r="H38" s="18"/>
      <c r="I38" s="17" t="s">
        <v>211</v>
      </c>
      <c r="J38" s="17" t="s">
        <v>172</v>
      </c>
      <c r="K38" s="17" t="s">
        <v>1020</v>
      </c>
      <c r="L38" s="17" t="s">
        <v>1120</v>
      </c>
      <c r="M38" s="17" t="s">
        <v>1121</v>
      </c>
      <c r="N38" s="299" t="s">
        <v>1120</v>
      </c>
      <c r="O38" s="17" t="s">
        <v>1120</v>
      </c>
      <c r="P38" s="116" t="s">
        <v>1120</v>
      </c>
      <c r="Q38" s="17" t="s">
        <v>1120</v>
      </c>
      <c r="R38" s="116" t="s">
        <v>1120</v>
      </c>
      <c r="S38" s="17" t="s">
        <v>1120</v>
      </c>
      <c r="T38" s="116" t="s">
        <v>1120</v>
      </c>
      <c r="U38" s="17" t="s">
        <v>1120</v>
      </c>
      <c r="V38" s="17" t="s">
        <v>1120</v>
      </c>
      <c r="W38" s="116" t="s">
        <v>1120</v>
      </c>
      <c r="X38" s="17" t="s">
        <v>1120</v>
      </c>
      <c r="Y38" s="40" t="s">
        <v>1122</v>
      </c>
      <c r="Z38" s="294" t="s">
        <v>1123</v>
      </c>
    </row>
    <row r="39" spans="1:26" s="5" customFormat="1" ht="22.5" customHeight="1" x14ac:dyDescent="0.15">
      <c r="A39" s="26">
        <f t="shared" si="0"/>
        <v>36</v>
      </c>
      <c r="B39" s="27" t="s">
        <v>1124</v>
      </c>
      <c r="C39" s="27" t="s">
        <v>1125</v>
      </c>
      <c r="D39" s="23" t="s">
        <v>250</v>
      </c>
      <c r="E39" s="23"/>
      <c r="F39" s="17" t="s">
        <v>1005</v>
      </c>
      <c r="G39" s="23"/>
      <c r="H39" s="18"/>
      <c r="I39" s="17" t="s">
        <v>211</v>
      </c>
      <c r="J39" s="17" t="s">
        <v>172</v>
      </c>
      <c r="K39" s="17" t="s">
        <v>1020</v>
      </c>
      <c r="L39" s="17" t="s">
        <v>1126</v>
      </c>
      <c r="M39" s="17" t="s">
        <v>1127</v>
      </c>
      <c r="N39" s="17" t="s">
        <v>1127</v>
      </c>
      <c r="O39" s="17" t="s">
        <v>1127</v>
      </c>
      <c r="P39" s="116" t="s">
        <v>1127</v>
      </c>
      <c r="Q39" s="17" t="s">
        <v>1127</v>
      </c>
      <c r="R39" s="116" t="s">
        <v>1127</v>
      </c>
      <c r="S39" s="17" t="s">
        <v>1127</v>
      </c>
      <c r="T39" s="116" t="s">
        <v>1127</v>
      </c>
      <c r="U39" s="17" t="s">
        <v>1127</v>
      </c>
      <c r="V39" s="17" t="s">
        <v>1127</v>
      </c>
      <c r="W39" s="116" t="s">
        <v>1127</v>
      </c>
      <c r="X39" s="17" t="s">
        <v>1080</v>
      </c>
      <c r="Y39" s="223"/>
      <c r="Z39" s="294"/>
    </row>
    <row r="40" spans="1:26" s="6" customFormat="1" ht="33" customHeight="1" x14ac:dyDescent="0.15">
      <c r="A40" s="115">
        <f t="shared" si="0"/>
        <v>37</v>
      </c>
      <c r="B40" s="121" t="s">
        <v>1128</v>
      </c>
      <c r="C40" s="121" t="s">
        <v>1129</v>
      </c>
      <c r="D40" s="118" t="s">
        <v>246</v>
      </c>
      <c r="E40" s="118"/>
      <c r="F40" s="116" t="s">
        <v>1005</v>
      </c>
      <c r="G40" s="118"/>
      <c r="H40" s="117"/>
      <c r="I40" s="116" t="s">
        <v>211</v>
      </c>
      <c r="J40" s="116" t="s">
        <v>200</v>
      </c>
      <c r="K40" s="116" t="s">
        <v>1017</v>
      </c>
      <c r="L40" s="116" t="s">
        <v>1080</v>
      </c>
      <c r="M40" s="116" t="s">
        <v>1080</v>
      </c>
      <c r="N40" s="116" t="s">
        <v>1080</v>
      </c>
      <c r="O40" s="116" t="s">
        <v>1080</v>
      </c>
      <c r="P40" s="116" t="s">
        <v>1080</v>
      </c>
      <c r="Q40" s="116" t="s">
        <v>1080</v>
      </c>
      <c r="R40" s="116" t="s">
        <v>1080</v>
      </c>
      <c r="S40" s="116" t="s">
        <v>1080</v>
      </c>
      <c r="T40" s="116" t="s">
        <v>1080</v>
      </c>
      <c r="U40" s="116" t="s">
        <v>1080</v>
      </c>
      <c r="V40" s="116" t="s">
        <v>1080</v>
      </c>
      <c r="W40" s="116" t="s">
        <v>1080</v>
      </c>
      <c r="X40" s="116" t="s">
        <v>1080</v>
      </c>
      <c r="Y40" s="221" t="s">
        <v>1130</v>
      </c>
      <c r="Z40" s="293"/>
    </row>
    <row r="41" spans="1:26" s="6" customFormat="1" ht="22.15" customHeight="1" x14ac:dyDescent="0.15">
      <c r="A41" s="115">
        <f t="shared" si="0"/>
        <v>38</v>
      </c>
      <c r="B41" s="121" t="s">
        <v>1131</v>
      </c>
      <c r="C41" s="121" t="s">
        <v>1132</v>
      </c>
      <c r="D41" s="118" t="s">
        <v>246</v>
      </c>
      <c r="E41" s="118"/>
      <c r="F41" s="116" t="s">
        <v>1005</v>
      </c>
      <c r="G41" s="118"/>
      <c r="H41" s="117"/>
      <c r="I41" s="116" t="s">
        <v>211</v>
      </c>
      <c r="J41" s="116" t="s">
        <v>200</v>
      </c>
      <c r="K41" s="116" t="s">
        <v>1017</v>
      </c>
      <c r="L41" s="116" t="s">
        <v>1080</v>
      </c>
      <c r="M41" s="116" t="s">
        <v>1080</v>
      </c>
      <c r="N41" s="116" t="s">
        <v>1080</v>
      </c>
      <c r="O41" s="116" t="s">
        <v>1080</v>
      </c>
      <c r="P41" s="116" t="s">
        <v>1080</v>
      </c>
      <c r="Q41" s="116" t="s">
        <v>1080</v>
      </c>
      <c r="R41" s="116" t="s">
        <v>1080</v>
      </c>
      <c r="S41" s="116" t="s">
        <v>1080</v>
      </c>
      <c r="T41" s="116" t="s">
        <v>1080</v>
      </c>
      <c r="U41" s="116" t="s">
        <v>1080</v>
      </c>
      <c r="V41" s="116" t="s">
        <v>1080</v>
      </c>
      <c r="W41" s="116" t="s">
        <v>1080</v>
      </c>
      <c r="X41" s="116" t="s">
        <v>1080</v>
      </c>
      <c r="Y41" s="222" t="s">
        <v>1133</v>
      </c>
      <c r="Z41" s="293"/>
    </row>
    <row r="42" spans="1:26" s="5" customFormat="1" ht="22.9" customHeight="1" x14ac:dyDescent="0.15">
      <c r="A42" s="26">
        <f t="shared" si="0"/>
        <v>39</v>
      </c>
      <c r="B42" s="27" t="s">
        <v>1134</v>
      </c>
      <c r="C42" s="27" t="s">
        <v>1135</v>
      </c>
      <c r="D42" s="23" t="s">
        <v>246</v>
      </c>
      <c r="E42" s="17"/>
      <c r="F42" s="17" t="s">
        <v>1005</v>
      </c>
      <c r="G42" s="17"/>
      <c r="H42" s="353" t="s">
        <v>1136</v>
      </c>
      <c r="I42" s="17" t="s">
        <v>211</v>
      </c>
      <c r="J42" s="17" t="s">
        <v>172</v>
      </c>
      <c r="K42" s="17" t="s">
        <v>1020</v>
      </c>
      <c r="L42" s="17" t="s">
        <v>1137</v>
      </c>
      <c r="M42" s="299" t="s">
        <v>1138</v>
      </c>
      <c r="N42" s="299" t="s">
        <v>1138</v>
      </c>
      <c r="O42" s="299" t="s">
        <v>1138</v>
      </c>
      <c r="P42" s="316" t="s">
        <v>1138</v>
      </c>
      <c r="Q42" s="299" t="s">
        <v>1138</v>
      </c>
      <c r="R42" s="316" t="s">
        <v>1138</v>
      </c>
      <c r="S42" s="299" t="s">
        <v>1138</v>
      </c>
      <c r="T42" s="316" t="s">
        <v>1138</v>
      </c>
      <c r="U42" s="299" t="s">
        <v>1138</v>
      </c>
      <c r="V42" s="299" t="s">
        <v>1138</v>
      </c>
      <c r="W42" s="316" t="s">
        <v>1138</v>
      </c>
      <c r="X42" s="17" t="s">
        <v>1137</v>
      </c>
      <c r="Y42" s="40"/>
      <c r="Z42" s="294" t="s">
        <v>1139</v>
      </c>
    </row>
    <row r="43" spans="1:26" s="5" customFormat="1" ht="22.9" customHeight="1" x14ac:dyDescent="0.15">
      <c r="A43" s="26">
        <f t="shared" si="0"/>
        <v>40</v>
      </c>
      <c r="B43" s="27" t="s">
        <v>1140</v>
      </c>
      <c r="C43" s="27" t="s">
        <v>1141</v>
      </c>
      <c r="D43" s="23" t="s">
        <v>246</v>
      </c>
      <c r="E43" s="17"/>
      <c r="F43" s="17" t="s">
        <v>1005</v>
      </c>
      <c r="G43" s="17"/>
      <c r="H43" s="353" t="s">
        <v>1136</v>
      </c>
      <c r="I43" s="17" t="s">
        <v>211</v>
      </c>
      <c r="J43" s="17" t="s">
        <v>172</v>
      </c>
      <c r="K43" s="17" t="s">
        <v>1020</v>
      </c>
      <c r="L43" s="17" t="s">
        <v>1142</v>
      </c>
      <c r="M43" s="299" t="s">
        <v>1138</v>
      </c>
      <c r="N43" s="299" t="s">
        <v>1138</v>
      </c>
      <c r="O43" s="299" t="s">
        <v>1138</v>
      </c>
      <c r="P43" s="316" t="s">
        <v>1138</v>
      </c>
      <c r="Q43" s="299" t="s">
        <v>1138</v>
      </c>
      <c r="R43" s="316" t="s">
        <v>1138</v>
      </c>
      <c r="S43" s="299" t="s">
        <v>1138</v>
      </c>
      <c r="T43" s="316" t="s">
        <v>1138</v>
      </c>
      <c r="U43" s="299" t="s">
        <v>1138</v>
      </c>
      <c r="V43" s="299" t="s">
        <v>1138</v>
      </c>
      <c r="W43" s="316" t="s">
        <v>1138</v>
      </c>
      <c r="X43" s="17" t="s">
        <v>1142</v>
      </c>
      <c r="Y43" s="40"/>
      <c r="Z43" s="294" t="s">
        <v>1139</v>
      </c>
    </row>
    <row r="44" spans="1:26" s="5" customFormat="1" ht="27" x14ac:dyDescent="0.15">
      <c r="A44" s="115">
        <f t="shared" si="0"/>
        <v>41</v>
      </c>
      <c r="B44" s="121" t="s">
        <v>1143</v>
      </c>
      <c r="C44" s="121" t="s">
        <v>1144</v>
      </c>
      <c r="D44" s="118" t="s">
        <v>246</v>
      </c>
      <c r="E44" s="116"/>
      <c r="F44" s="116" t="s">
        <v>1005</v>
      </c>
      <c r="G44" s="116"/>
      <c r="H44" s="117"/>
      <c r="I44" s="116" t="s">
        <v>211</v>
      </c>
      <c r="J44" s="116" t="s">
        <v>200</v>
      </c>
      <c r="K44" s="116" t="s">
        <v>1017</v>
      </c>
      <c r="L44" s="116" t="s">
        <v>1080</v>
      </c>
      <c r="M44" s="116" t="s">
        <v>1080</v>
      </c>
      <c r="N44" s="116" t="s">
        <v>1080</v>
      </c>
      <c r="O44" s="116" t="s">
        <v>1080</v>
      </c>
      <c r="P44" s="116" t="s">
        <v>1080</v>
      </c>
      <c r="Q44" s="116" t="s">
        <v>1080</v>
      </c>
      <c r="R44" s="116" t="s">
        <v>1080</v>
      </c>
      <c r="S44" s="116" t="s">
        <v>1080</v>
      </c>
      <c r="T44" s="116" t="s">
        <v>1080</v>
      </c>
      <c r="U44" s="116" t="s">
        <v>1080</v>
      </c>
      <c r="V44" s="116" t="s">
        <v>1080</v>
      </c>
      <c r="W44" s="116" t="s">
        <v>1080</v>
      </c>
      <c r="X44" s="116" t="s">
        <v>1080</v>
      </c>
      <c r="Y44" s="221" t="s">
        <v>1145</v>
      </c>
      <c r="Z44" s="294"/>
    </row>
    <row r="45" spans="1:26" s="5" customFormat="1" ht="27" x14ac:dyDescent="0.15">
      <c r="A45" s="115">
        <f t="shared" si="0"/>
        <v>42</v>
      </c>
      <c r="B45" s="121" t="s">
        <v>1146</v>
      </c>
      <c r="C45" s="121" t="s">
        <v>1147</v>
      </c>
      <c r="D45" s="118" t="s">
        <v>246</v>
      </c>
      <c r="E45" s="116"/>
      <c r="F45" s="116" t="s">
        <v>1005</v>
      </c>
      <c r="G45" s="116"/>
      <c r="H45" s="117"/>
      <c r="I45" s="116" t="s">
        <v>211</v>
      </c>
      <c r="J45" s="116" t="s">
        <v>200</v>
      </c>
      <c r="K45" s="116" t="s">
        <v>1017</v>
      </c>
      <c r="L45" s="116" t="s">
        <v>1080</v>
      </c>
      <c r="M45" s="116" t="s">
        <v>1080</v>
      </c>
      <c r="N45" s="116" t="s">
        <v>1080</v>
      </c>
      <c r="O45" s="116" t="s">
        <v>1080</v>
      </c>
      <c r="P45" s="116" t="s">
        <v>1080</v>
      </c>
      <c r="Q45" s="116" t="s">
        <v>1080</v>
      </c>
      <c r="R45" s="116" t="s">
        <v>1080</v>
      </c>
      <c r="S45" s="116" t="s">
        <v>1080</v>
      </c>
      <c r="T45" s="116" t="s">
        <v>1080</v>
      </c>
      <c r="U45" s="116" t="s">
        <v>1080</v>
      </c>
      <c r="V45" s="116" t="s">
        <v>1080</v>
      </c>
      <c r="W45" s="116" t="s">
        <v>1080</v>
      </c>
      <c r="X45" s="116" t="s">
        <v>1080</v>
      </c>
      <c r="Y45" s="221" t="s">
        <v>1145</v>
      </c>
      <c r="Z45" s="294"/>
    </row>
    <row r="46" spans="1:26" s="5" customFormat="1" ht="101.25" x14ac:dyDescent="0.15">
      <c r="A46" s="26">
        <f t="shared" si="0"/>
        <v>43</v>
      </c>
      <c r="B46" s="27" t="s">
        <v>1148</v>
      </c>
      <c r="C46" s="27" t="s">
        <v>1149</v>
      </c>
      <c r="D46" s="23" t="s">
        <v>246</v>
      </c>
      <c r="E46" s="17"/>
      <c r="F46" s="17" t="s">
        <v>1005</v>
      </c>
      <c r="G46" s="17"/>
      <c r="H46" s="18"/>
      <c r="I46" s="17" t="s">
        <v>211</v>
      </c>
      <c r="J46" s="17" t="s">
        <v>172</v>
      </c>
      <c r="K46" s="17" t="s">
        <v>1020</v>
      </c>
      <c r="L46" s="17" t="s">
        <v>1080</v>
      </c>
      <c r="M46" s="17" t="s">
        <v>1150</v>
      </c>
      <c r="N46" s="17" t="s">
        <v>1150</v>
      </c>
      <c r="O46" s="17" t="s">
        <v>1080</v>
      </c>
      <c r="P46" s="116" t="s">
        <v>1080</v>
      </c>
      <c r="Q46" s="17" t="s">
        <v>1080</v>
      </c>
      <c r="R46" s="116" t="s">
        <v>1080</v>
      </c>
      <c r="S46" s="17" t="s">
        <v>1080</v>
      </c>
      <c r="T46" s="116" t="s">
        <v>1080</v>
      </c>
      <c r="U46" s="17" t="s">
        <v>1080</v>
      </c>
      <c r="V46" s="17" t="s">
        <v>1080</v>
      </c>
      <c r="W46" s="116" t="s">
        <v>1080</v>
      </c>
      <c r="X46" s="17" t="s">
        <v>1080</v>
      </c>
      <c r="Y46" s="40"/>
      <c r="Z46" s="294"/>
    </row>
    <row r="47" spans="1:26" s="5" customFormat="1" ht="45" customHeight="1" x14ac:dyDescent="0.15">
      <c r="A47" s="26">
        <f t="shared" si="0"/>
        <v>44</v>
      </c>
      <c r="B47" s="27" t="s">
        <v>1151</v>
      </c>
      <c r="C47" s="27" t="s">
        <v>1152</v>
      </c>
      <c r="D47" s="23" t="s">
        <v>246</v>
      </c>
      <c r="E47" s="17"/>
      <c r="F47" s="17" t="s">
        <v>1005</v>
      </c>
      <c r="G47" s="17"/>
      <c r="H47" s="18" t="s">
        <v>1153</v>
      </c>
      <c r="I47" s="17" t="s">
        <v>211</v>
      </c>
      <c r="J47" s="17" t="s">
        <v>172</v>
      </c>
      <c r="K47" s="17" t="s">
        <v>1020</v>
      </c>
      <c r="L47" s="17" t="s">
        <v>1154</v>
      </c>
      <c r="M47" s="17" t="s">
        <v>1154</v>
      </c>
      <c r="N47" s="17" t="s">
        <v>1154</v>
      </c>
      <c r="O47" s="17" t="s">
        <v>1154</v>
      </c>
      <c r="P47" s="116" t="s">
        <v>1154</v>
      </c>
      <c r="Q47" s="17" t="s">
        <v>1154</v>
      </c>
      <c r="R47" s="116" t="s">
        <v>1154</v>
      </c>
      <c r="S47" s="17" t="s">
        <v>1154</v>
      </c>
      <c r="T47" s="116" t="s">
        <v>1154</v>
      </c>
      <c r="U47" s="17" t="s">
        <v>1154</v>
      </c>
      <c r="V47" s="17" t="s">
        <v>1154</v>
      </c>
      <c r="W47" s="116" t="s">
        <v>1154</v>
      </c>
      <c r="X47" s="17" t="s">
        <v>1154</v>
      </c>
      <c r="Y47" s="223"/>
      <c r="Z47" s="294"/>
    </row>
    <row r="48" spans="1:26" s="5" customFormat="1" ht="22.5" customHeight="1" x14ac:dyDescent="0.15">
      <c r="A48" s="115">
        <f t="shared" si="0"/>
        <v>45</v>
      </c>
      <c r="B48" s="121" t="s">
        <v>1155</v>
      </c>
      <c r="C48" s="121" t="s">
        <v>1156</v>
      </c>
      <c r="D48" s="118" t="s">
        <v>237</v>
      </c>
      <c r="E48" s="118">
        <v>12</v>
      </c>
      <c r="F48" s="116" t="s">
        <v>1005</v>
      </c>
      <c r="G48" s="118"/>
      <c r="H48" s="117"/>
      <c r="I48" s="116" t="s">
        <v>211</v>
      </c>
      <c r="J48" s="116" t="s">
        <v>200</v>
      </c>
      <c r="K48" s="116" t="s">
        <v>1017</v>
      </c>
      <c r="L48" s="116" t="s">
        <v>1080</v>
      </c>
      <c r="M48" s="116" t="s">
        <v>1080</v>
      </c>
      <c r="N48" s="116" t="s">
        <v>1080</v>
      </c>
      <c r="O48" s="116" t="s">
        <v>1080</v>
      </c>
      <c r="P48" s="116" t="s">
        <v>1080</v>
      </c>
      <c r="Q48" s="116" t="s">
        <v>1080</v>
      </c>
      <c r="R48" s="116" t="s">
        <v>1080</v>
      </c>
      <c r="S48" s="116" t="s">
        <v>1080</v>
      </c>
      <c r="T48" s="116" t="s">
        <v>1080</v>
      </c>
      <c r="U48" s="116" t="s">
        <v>1080</v>
      </c>
      <c r="V48" s="116" t="s">
        <v>1080</v>
      </c>
      <c r="W48" s="116" t="s">
        <v>1080</v>
      </c>
      <c r="X48" s="116" t="s">
        <v>1080</v>
      </c>
      <c r="Y48" s="225"/>
      <c r="Z48" s="294"/>
    </row>
    <row r="49" spans="1:26" s="5" customFormat="1" ht="67.150000000000006" customHeight="1" x14ac:dyDescent="0.15">
      <c r="A49" s="115">
        <f t="shared" si="0"/>
        <v>46</v>
      </c>
      <c r="B49" s="121" t="s">
        <v>1157</v>
      </c>
      <c r="C49" s="121" t="s">
        <v>1158</v>
      </c>
      <c r="D49" s="116" t="s">
        <v>302</v>
      </c>
      <c r="E49" s="116"/>
      <c r="F49" s="116" t="s">
        <v>1005</v>
      </c>
      <c r="G49" s="116"/>
      <c r="H49" s="117"/>
      <c r="I49" s="116" t="s">
        <v>211</v>
      </c>
      <c r="J49" s="116" t="s">
        <v>200</v>
      </c>
      <c r="K49" s="116" t="s">
        <v>1017</v>
      </c>
      <c r="L49" s="116" t="s">
        <v>1159</v>
      </c>
      <c r="M49" s="116" t="s">
        <v>1159</v>
      </c>
      <c r="N49" s="116" t="s">
        <v>1159</v>
      </c>
      <c r="O49" s="116" t="s">
        <v>1159</v>
      </c>
      <c r="P49" s="116" t="s">
        <v>1159</v>
      </c>
      <c r="Q49" s="116" t="s">
        <v>1159</v>
      </c>
      <c r="R49" s="116" t="s">
        <v>1159</v>
      </c>
      <c r="S49" s="116" t="s">
        <v>1159</v>
      </c>
      <c r="T49" s="116" t="s">
        <v>1159</v>
      </c>
      <c r="U49" s="116" t="s">
        <v>1159</v>
      </c>
      <c r="V49" s="116" t="s">
        <v>1159</v>
      </c>
      <c r="W49" s="116" t="s">
        <v>1159</v>
      </c>
      <c r="X49" s="116" t="s">
        <v>1159</v>
      </c>
      <c r="Y49" s="221" t="s">
        <v>1160</v>
      </c>
      <c r="Z49" s="294"/>
    </row>
    <row r="50" spans="1:26" s="5" customFormat="1" ht="71.45" customHeight="1" x14ac:dyDescent="0.15">
      <c r="A50" s="115">
        <f t="shared" si="0"/>
        <v>47</v>
      </c>
      <c r="B50" s="121" t="s">
        <v>1161</v>
      </c>
      <c r="C50" s="121" t="s">
        <v>1162</v>
      </c>
      <c r="D50" s="116" t="s">
        <v>302</v>
      </c>
      <c r="E50" s="116"/>
      <c r="F50" s="116" t="s">
        <v>1005</v>
      </c>
      <c r="G50" s="116"/>
      <c r="H50" s="117"/>
      <c r="I50" s="116" t="s">
        <v>211</v>
      </c>
      <c r="J50" s="116" t="s">
        <v>200</v>
      </c>
      <c r="K50" s="116" t="s">
        <v>1017</v>
      </c>
      <c r="L50" s="116" t="s">
        <v>1159</v>
      </c>
      <c r="M50" s="116" t="s">
        <v>1159</v>
      </c>
      <c r="N50" s="116" t="s">
        <v>1159</v>
      </c>
      <c r="O50" s="116" t="s">
        <v>1159</v>
      </c>
      <c r="P50" s="116" t="s">
        <v>1159</v>
      </c>
      <c r="Q50" s="116" t="s">
        <v>1159</v>
      </c>
      <c r="R50" s="116" t="s">
        <v>1159</v>
      </c>
      <c r="S50" s="116" t="s">
        <v>1159</v>
      </c>
      <c r="T50" s="116" t="s">
        <v>1159</v>
      </c>
      <c r="U50" s="116" t="s">
        <v>1159</v>
      </c>
      <c r="V50" s="116" t="s">
        <v>1159</v>
      </c>
      <c r="W50" s="116" t="s">
        <v>1159</v>
      </c>
      <c r="X50" s="116" t="s">
        <v>1159</v>
      </c>
      <c r="Y50" s="221" t="s">
        <v>1160</v>
      </c>
      <c r="Z50" s="294"/>
    </row>
    <row r="51" spans="1:26" s="5" customFormat="1" ht="22.5" x14ac:dyDescent="0.15">
      <c r="A51" s="115">
        <f t="shared" si="0"/>
        <v>48</v>
      </c>
      <c r="B51" s="121" t="s">
        <v>1163</v>
      </c>
      <c r="C51" s="121" t="s">
        <v>1164</v>
      </c>
      <c r="D51" s="116" t="s">
        <v>246</v>
      </c>
      <c r="E51" s="116"/>
      <c r="F51" s="116" t="s">
        <v>1005</v>
      </c>
      <c r="G51" s="116"/>
      <c r="H51" s="229" t="s">
        <v>1165</v>
      </c>
      <c r="I51" s="116" t="s">
        <v>211</v>
      </c>
      <c r="J51" s="116" t="s">
        <v>200</v>
      </c>
      <c r="K51" s="116" t="s">
        <v>1017</v>
      </c>
      <c r="L51" s="116" t="s">
        <v>1080</v>
      </c>
      <c r="M51" s="116" t="s">
        <v>1080</v>
      </c>
      <c r="N51" s="116" t="s">
        <v>1080</v>
      </c>
      <c r="O51" s="116" t="s">
        <v>1080</v>
      </c>
      <c r="P51" s="116" t="s">
        <v>1080</v>
      </c>
      <c r="Q51" s="116" t="s">
        <v>1080</v>
      </c>
      <c r="R51" s="116" t="s">
        <v>1080</v>
      </c>
      <c r="S51" s="116" t="s">
        <v>1080</v>
      </c>
      <c r="T51" s="116" t="s">
        <v>1080</v>
      </c>
      <c r="U51" s="116" t="s">
        <v>1080</v>
      </c>
      <c r="V51" s="116" t="s">
        <v>1080</v>
      </c>
      <c r="W51" s="116" t="s">
        <v>1080</v>
      </c>
      <c r="X51" s="116" t="s">
        <v>1080</v>
      </c>
      <c r="Y51" s="221"/>
      <c r="Z51" s="294"/>
    </row>
    <row r="52" spans="1:26" s="5" customFormat="1" ht="22.5" customHeight="1" x14ac:dyDescent="0.15">
      <c r="A52" s="115">
        <f t="shared" si="0"/>
        <v>49</v>
      </c>
      <c r="B52" s="121" t="s">
        <v>1166</v>
      </c>
      <c r="C52" s="121" t="s">
        <v>1167</v>
      </c>
      <c r="D52" s="116" t="s">
        <v>250</v>
      </c>
      <c r="E52" s="116"/>
      <c r="F52" s="116" t="s">
        <v>1005</v>
      </c>
      <c r="G52" s="116"/>
      <c r="H52" s="117"/>
      <c r="I52" s="116" t="s">
        <v>211</v>
      </c>
      <c r="J52" s="116" t="s">
        <v>200</v>
      </c>
      <c r="K52" s="116" t="s">
        <v>1017</v>
      </c>
      <c r="L52" s="116" t="s">
        <v>1080</v>
      </c>
      <c r="M52" s="116" t="s">
        <v>1080</v>
      </c>
      <c r="N52" s="116" t="s">
        <v>1080</v>
      </c>
      <c r="O52" s="116" t="s">
        <v>1080</v>
      </c>
      <c r="P52" s="116" t="s">
        <v>1080</v>
      </c>
      <c r="Q52" s="116" t="s">
        <v>1080</v>
      </c>
      <c r="R52" s="116" t="s">
        <v>1080</v>
      </c>
      <c r="S52" s="116" t="s">
        <v>1080</v>
      </c>
      <c r="T52" s="116" t="s">
        <v>1080</v>
      </c>
      <c r="U52" s="116" t="s">
        <v>1080</v>
      </c>
      <c r="V52" s="116" t="s">
        <v>1080</v>
      </c>
      <c r="W52" s="116" t="s">
        <v>1080</v>
      </c>
      <c r="X52" s="116" t="s">
        <v>1080</v>
      </c>
      <c r="Y52" s="225" t="s">
        <v>1070</v>
      </c>
      <c r="Z52" s="294"/>
    </row>
    <row r="53" spans="1:26" s="5" customFormat="1" ht="82.15" customHeight="1" x14ac:dyDescent="0.15">
      <c r="A53" s="26">
        <f t="shared" si="0"/>
        <v>50</v>
      </c>
      <c r="B53" s="27" t="s">
        <v>1168</v>
      </c>
      <c r="C53" s="27" t="s">
        <v>1169</v>
      </c>
      <c r="D53" s="17" t="s">
        <v>250</v>
      </c>
      <c r="E53" s="17"/>
      <c r="F53" s="17" t="s">
        <v>1005</v>
      </c>
      <c r="G53" s="17"/>
      <c r="H53" s="30"/>
      <c r="I53" s="30" t="s">
        <v>1170</v>
      </c>
      <c r="J53" s="17" t="s">
        <v>172</v>
      </c>
      <c r="K53" s="17" t="s">
        <v>1020</v>
      </c>
      <c r="L53" s="17" t="s">
        <v>1154</v>
      </c>
      <c r="M53" s="17" t="s">
        <v>1171</v>
      </c>
      <c r="N53" s="299" t="s">
        <v>1065</v>
      </c>
      <c r="O53" s="17" t="s">
        <v>1154</v>
      </c>
      <c r="P53" s="116" t="s">
        <v>1154</v>
      </c>
      <c r="Q53" s="17" t="s">
        <v>1154</v>
      </c>
      <c r="R53" s="116" t="s">
        <v>1154</v>
      </c>
      <c r="S53" s="17" t="s">
        <v>1154</v>
      </c>
      <c r="T53" s="116" t="s">
        <v>1154</v>
      </c>
      <c r="U53" s="17" t="s">
        <v>1154</v>
      </c>
      <c r="V53" s="17" t="s">
        <v>1154</v>
      </c>
      <c r="W53" s="116" t="s">
        <v>1154</v>
      </c>
      <c r="X53" s="17" t="s">
        <v>1154</v>
      </c>
      <c r="Y53" s="40"/>
      <c r="Z53" s="294" t="s">
        <v>1123</v>
      </c>
    </row>
    <row r="54" spans="1:26" s="5" customFormat="1" ht="43.9" customHeight="1" x14ac:dyDescent="0.15">
      <c r="A54" s="26">
        <f t="shared" si="0"/>
        <v>51</v>
      </c>
      <c r="B54" s="27" t="s">
        <v>1172</v>
      </c>
      <c r="C54" s="27" t="s">
        <v>1173</v>
      </c>
      <c r="D54" s="17" t="s">
        <v>250</v>
      </c>
      <c r="E54" s="17"/>
      <c r="F54" s="17" t="s">
        <v>1005</v>
      </c>
      <c r="G54" s="17"/>
      <c r="H54" s="18"/>
      <c r="I54" s="30" t="s">
        <v>1174</v>
      </c>
      <c r="J54" s="17" t="s">
        <v>172</v>
      </c>
      <c r="K54" s="17" t="s">
        <v>1020</v>
      </c>
      <c r="L54" s="17" t="s">
        <v>1154</v>
      </c>
      <c r="M54" s="21" t="s">
        <v>1175</v>
      </c>
      <c r="N54" s="21" t="s">
        <v>1175</v>
      </c>
      <c r="O54" s="17" t="s">
        <v>1154</v>
      </c>
      <c r="P54" s="116" t="s">
        <v>1154</v>
      </c>
      <c r="Q54" s="17" t="s">
        <v>1154</v>
      </c>
      <c r="R54" s="116" t="s">
        <v>1154</v>
      </c>
      <c r="S54" s="17" t="s">
        <v>1154</v>
      </c>
      <c r="T54" s="116" t="s">
        <v>1154</v>
      </c>
      <c r="U54" s="17" t="s">
        <v>1154</v>
      </c>
      <c r="V54" s="17" t="s">
        <v>1154</v>
      </c>
      <c r="W54" s="116" t="s">
        <v>1154</v>
      </c>
      <c r="X54" s="17" t="s">
        <v>1154</v>
      </c>
      <c r="Y54" s="40" t="s">
        <v>1176</v>
      </c>
      <c r="Z54" s="294"/>
    </row>
    <row r="55" spans="1:26" s="5" customFormat="1" ht="40.15" customHeight="1" x14ac:dyDescent="0.15">
      <c r="A55" s="115">
        <f t="shared" si="0"/>
        <v>52</v>
      </c>
      <c r="B55" s="121" t="s">
        <v>1177</v>
      </c>
      <c r="C55" s="121" t="s">
        <v>1178</v>
      </c>
      <c r="D55" s="116" t="s">
        <v>250</v>
      </c>
      <c r="E55" s="118"/>
      <c r="F55" s="116" t="s">
        <v>1005</v>
      </c>
      <c r="G55" s="118"/>
      <c r="H55" s="117"/>
      <c r="I55" s="116" t="s">
        <v>211</v>
      </c>
      <c r="J55" s="116" t="s">
        <v>200</v>
      </c>
      <c r="K55" s="116" t="s">
        <v>1017</v>
      </c>
      <c r="L55" s="116" t="s">
        <v>1080</v>
      </c>
      <c r="M55" s="116" t="s">
        <v>1080</v>
      </c>
      <c r="N55" s="116" t="s">
        <v>1080</v>
      </c>
      <c r="O55" s="116" t="s">
        <v>1080</v>
      </c>
      <c r="P55" s="116" t="s">
        <v>1080</v>
      </c>
      <c r="Q55" s="116" t="s">
        <v>1080</v>
      </c>
      <c r="R55" s="116" t="s">
        <v>1080</v>
      </c>
      <c r="S55" s="116" t="s">
        <v>1080</v>
      </c>
      <c r="T55" s="116" t="s">
        <v>1080</v>
      </c>
      <c r="U55" s="116" t="s">
        <v>1080</v>
      </c>
      <c r="V55" s="116" t="s">
        <v>1080</v>
      </c>
      <c r="W55" s="116" t="s">
        <v>1080</v>
      </c>
      <c r="X55" s="116" t="s">
        <v>1080</v>
      </c>
      <c r="Y55" s="221"/>
      <c r="Z55" s="294"/>
    </row>
    <row r="56" spans="1:26" s="6" customFormat="1" ht="48" customHeight="1" x14ac:dyDescent="0.15">
      <c r="A56" s="115">
        <f t="shared" si="0"/>
        <v>53</v>
      </c>
      <c r="B56" s="121" t="s">
        <v>1179</v>
      </c>
      <c r="C56" s="121" t="s">
        <v>1180</v>
      </c>
      <c r="D56" s="116" t="s">
        <v>250</v>
      </c>
      <c r="E56" s="118"/>
      <c r="F56" s="116" t="s">
        <v>1005</v>
      </c>
      <c r="G56" s="118"/>
      <c r="H56" s="117"/>
      <c r="I56" s="116" t="s">
        <v>211</v>
      </c>
      <c r="J56" s="116" t="s">
        <v>200</v>
      </c>
      <c r="K56" s="116" t="s">
        <v>1017</v>
      </c>
      <c r="L56" s="116" t="s">
        <v>1080</v>
      </c>
      <c r="M56" s="116" t="s">
        <v>1080</v>
      </c>
      <c r="N56" s="116" t="s">
        <v>1080</v>
      </c>
      <c r="O56" s="116" t="s">
        <v>1080</v>
      </c>
      <c r="P56" s="116" t="s">
        <v>1080</v>
      </c>
      <c r="Q56" s="116" t="s">
        <v>1080</v>
      </c>
      <c r="R56" s="116" t="s">
        <v>1080</v>
      </c>
      <c r="S56" s="116" t="s">
        <v>1080</v>
      </c>
      <c r="T56" s="116" t="s">
        <v>1080</v>
      </c>
      <c r="U56" s="116" t="s">
        <v>1080</v>
      </c>
      <c r="V56" s="116" t="s">
        <v>1080</v>
      </c>
      <c r="W56" s="116" t="s">
        <v>1080</v>
      </c>
      <c r="X56" s="116" t="s">
        <v>1080</v>
      </c>
      <c r="Y56" s="221"/>
      <c r="Z56" s="293"/>
    </row>
    <row r="57" spans="1:26" s="6" customFormat="1" ht="42.6" customHeight="1" x14ac:dyDescent="0.15">
      <c r="A57" s="26">
        <f t="shared" si="0"/>
        <v>54</v>
      </c>
      <c r="B57" s="27" t="s">
        <v>1181</v>
      </c>
      <c r="C57" s="27" t="s">
        <v>1182</v>
      </c>
      <c r="D57" s="23" t="s">
        <v>355</v>
      </c>
      <c r="E57" s="23"/>
      <c r="F57" s="17" t="s">
        <v>1005</v>
      </c>
      <c r="G57" s="23"/>
      <c r="H57" s="18"/>
      <c r="I57" s="228" t="s">
        <v>1183</v>
      </c>
      <c r="J57" s="17" t="s">
        <v>172</v>
      </c>
      <c r="K57" s="17" t="s">
        <v>1020</v>
      </c>
      <c r="L57" s="17" t="s">
        <v>1154</v>
      </c>
      <c r="M57" s="299" t="s">
        <v>1184</v>
      </c>
      <c r="N57" s="299" t="s">
        <v>1065</v>
      </c>
      <c r="O57" s="17" t="s">
        <v>1154</v>
      </c>
      <c r="P57" s="116" t="s">
        <v>1154</v>
      </c>
      <c r="Q57" s="17" t="s">
        <v>1154</v>
      </c>
      <c r="R57" s="116" t="s">
        <v>1154</v>
      </c>
      <c r="S57" s="17" t="s">
        <v>1154</v>
      </c>
      <c r="T57" s="116" t="s">
        <v>1154</v>
      </c>
      <c r="U57" s="17" t="s">
        <v>1154</v>
      </c>
      <c r="V57" s="17" t="s">
        <v>1154</v>
      </c>
      <c r="W57" s="116" t="s">
        <v>1154</v>
      </c>
      <c r="X57" s="17" t="s">
        <v>1154</v>
      </c>
      <c r="Y57" s="40" t="s">
        <v>1185</v>
      </c>
      <c r="Z57" s="294" t="s">
        <v>1186</v>
      </c>
    </row>
    <row r="58" spans="1:26" s="5" customFormat="1" ht="43.9" customHeight="1" x14ac:dyDescent="0.15">
      <c r="A58" s="115">
        <f t="shared" si="0"/>
        <v>55</v>
      </c>
      <c r="B58" s="121" t="s">
        <v>1187</v>
      </c>
      <c r="C58" s="121" t="s">
        <v>1188</v>
      </c>
      <c r="D58" s="116" t="s">
        <v>355</v>
      </c>
      <c r="E58" s="116"/>
      <c r="F58" s="116" t="s">
        <v>1005</v>
      </c>
      <c r="G58" s="116"/>
      <c r="H58" s="117"/>
      <c r="I58" s="116" t="s">
        <v>211</v>
      </c>
      <c r="J58" s="116" t="s">
        <v>200</v>
      </c>
      <c r="K58" s="116" t="s">
        <v>1017</v>
      </c>
      <c r="L58" s="116" t="s">
        <v>1080</v>
      </c>
      <c r="M58" s="116" t="s">
        <v>1080</v>
      </c>
      <c r="N58" s="116" t="s">
        <v>1080</v>
      </c>
      <c r="O58" s="116" t="s">
        <v>1080</v>
      </c>
      <c r="P58" s="116" t="s">
        <v>1080</v>
      </c>
      <c r="Q58" s="116" t="s">
        <v>1080</v>
      </c>
      <c r="R58" s="116" t="s">
        <v>1080</v>
      </c>
      <c r="S58" s="116" t="s">
        <v>1080</v>
      </c>
      <c r="T58" s="116" t="s">
        <v>1080</v>
      </c>
      <c r="U58" s="116" t="s">
        <v>1080</v>
      </c>
      <c r="V58" s="116" t="s">
        <v>1080</v>
      </c>
      <c r="W58" s="116" t="s">
        <v>1080</v>
      </c>
      <c r="X58" s="116" t="s">
        <v>1080</v>
      </c>
      <c r="Y58" s="221"/>
      <c r="Z58" s="294"/>
    </row>
    <row r="59" spans="1:26" s="5" customFormat="1" ht="55.15" customHeight="1" x14ac:dyDescent="0.15">
      <c r="A59" s="115">
        <f t="shared" si="0"/>
        <v>56</v>
      </c>
      <c r="B59" s="121" t="s">
        <v>1189</v>
      </c>
      <c r="C59" s="121" t="s">
        <v>1190</v>
      </c>
      <c r="D59" s="116" t="s">
        <v>246</v>
      </c>
      <c r="E59" s="116"/>
      <c r="F59" s="116" t="s">
        <v>1005</v>
      </c>
      <c r="G59" s="116"/>
      <c r="H59" s="117" t="s">
        <v>1191</v>
      </c>
      <c r="I59" s="116" t="s">
        <v>211</v>
      </c>
      <c r="J59" s="116" t="s">
        <v>200</v>
      </c>
      <c r="K59" s="116" t="s">
        <v>1017</v>
      </c>
      <c r="L59" s="116" t="s">
        <v>1080</v>
      </c>
      <c r="M59" s="116" t="s">
        <v>1080</v>
      </c>
      <c r="N59" s="116" t="s">
        <v>1080</v>
      </c>
      <c r="O59" s="116" t="s">
        <v>1080</v>
      </c>
      <c r="P59" s="116" t="s">
        <v>1080</v>
      </c>
      <c r="Q59" s="116" t="s">
        <v>1080</v>
      </c>
      <c r="R59" s="116" t="s">
        <v>1080</v>
      </c>
      <c r="S59" s="116" t="s">
        <v>1080</v>
      </c>
      <c r="T59" s="116" t="s">
        <v>1080</v>
      </c>
      <c r="U59" s="116" t="s">
        <v>1080</v>
      </c>
      <c r="V59" s="116" t="s">
        <v>1080</v>
      </c>
      <c r="W59" s="116" t="s">
        <v>1080</v>
      </c>
      <c r="X59" s="116" t="s">
        <v>1080</v>
      </c>
      <c r="Y59" s="221"/>
      <c r="Z59" s="294"/>
    </row>
    <row r="60" spans="1:26" s="5" customFormat="1" ht="81.599999999999994" customHeight="1" x14ac:dyDescent="0.15">
      <c r="A60" s="115">
        <f t="shared" si="0"/>
        <v>57</v>
      </c>
      <c r="B60" s="121" t="s">
        <v>1192</v>
      </c>
      <c r="C60" s="121" t="s">
        <v>1193</v>
      </c>
      <c r="D60" s="116" t="s">
        <v>246</v>
      </c>
      <c r="E60" s="116"/>
      <c r="F60" s="116" t="s">
        <v>1005</v>
      </c>
      <c r="G60" s="116"/>
      <c r="H60" s="117" t="s">
        <v>1194</v>
      </c>
      <c r="I60" s="116" t="s">
        <v>211</v>
      </c>
      <c r="J60" s="116" t="s">
        <v>200</v>
      </c>
      <c r="K60" s="116" t="s">
        <v>1017</v>
      </c>
      <c r="L60" s="116" t="s">
        <v>1080</v>
      </c>
      <c r="M60" s="116" t="s">
        <v>1080</v>
      </c>
      <c r="N60" s="116" t="s">
        <v>1080</v>
      </c>
      <c r="O60" s="116" t="s">
        <v>1080</v>
      </c>
      <c r="P60" s="116" t="s">
        <v>1080</v>
      </c>
      <c r="Q60" s="116" t="s">
        <v>1080</v>
      </c>
      <c r="R60" s="116" t="s">
        <v>1080</v>
      </c>
      <c r="S60" s="116" t="s">
        <v>1080</v>
      </c>
      <c r="T60" s="116" t="s">
        <v>1080</v>
      </c>
      <c r="U60" s="116" t="s">
        <v>1080</v>
      </c>
      <c r="V60" s="116" t="s">
        <v>1080</v>
      </c>
      <c r="W60" s="116" t="s">
        <v>1080</v>
      </c>
      <c r="X60" s="116" t="s">
        <v>1080</v>
      </c>
      <c r="Y60" s="221"/>
      <c r="Z60" s="294"/>
    </row>
    <row r="61" spans="1:26" s="5" customFormat="1" ht="73.150000000000006" customHeight="1" x14ac:dyDescent="0.15">
      <c r="A61" s="115">
        <f t="shared" si="0"/>
        <v>58</v>
      </c>
      <c r="B61" s="121" t="s">
        <v>1195</v>
      </c>
      <c r="C61" s="121" t="s">
        <v>1196</v>
      </c>
      <c r="D61" s="116" t="s">
        <v>246</v>
      </c>
      <c r="E61" s="116"/>
      <c r="F61" s="116" t="s">
        <v>1005</v>
      </c>
      <c r="G61" s="116"/>
      <c r="H61" s="117" t="s">
        <v>1197</v>
      </c>
      <c r="I61" s="116" t="s">
        <v>211</v>
      </c>
      <c r="J61" s="116" t="s">
        <v>200</v>
      </c>
      <c r="K61" s="116" t="s">
        <v>1017</v>
      </c>
      <c r="L61" s="116" t="s">
        <v>1080</v>
      </c>
      <c r="M61" s="116" t="s">
        <v>1080</v>
      </c>
      <c r="N61" s="116" t="s">
        <v>1080</v>
      </c>
      <c r="O61" s="116" t="s">
        <v>1080</v>
      </c>
      <c r="P61" s="116" t="s">
        <v>1080</v>
      </c>
      <c r="Q61" s="116" t="s">
        <v>1080</v>
      </c>
      <c r="R61" s="116" t="s">
        <v>1080</v>
      </c>
      <c r="S61" s="116" t="s">
        <v>1080</v>
      </c>
      <c r="T61" s="116" t="s">
        <v>1080</v>
      </c>
      <c r="U61" s="116" t="s">
        <v>1080</v>
      </c>
      <c r="V61" s="116" t="s">
        <v>1080</v>
      </c>
      <c r="W61" s="116" t="s">
        <v>1080</v>
      </c>
      <c r="X61" s="116" t="s">
        <v>1080</v>
      </c>
      <c r="Y61" s="221"/>
      <c r="Z61" s="294"/>
    </row>
    <row r="62" spans="1:26" s="5" customFormat="1" ht="69.599999999999994" customHeight="1" x14ac:dyDescent="0.15">
      <c r="A62" s="115">
        <f t="shared" si="0"/>
        <v>59</v>
      </c>
      <c r="B62" s="121" t="s">
        <v>1198</v>
      </c>
      <c r="C62" s="121" t="s">
        <v>1199</v>
      </c>
      <c r="D62" s="116" t="s">
        <v>246</v>
      </c>
      <c r="E62" s="116"/>
      <c r="F62" s="116" t="s">
        <v>1005</v>
      </c>
      <c r="G62" s="116"/>
      <c r="H62" s="117" t="s">
        <v>1200</v>
      </c>
      <c r="I62" s="116" t="s">
        <v>211</v>
      </c>
      <c r="J62" s="116" t="s">
        <v>200</v>
      </c>
      <c r="K62" s="116" t="s">
        <v>1017</v>
      </c>
      <c r="L62" s="116" t="s">
        <v>1080</v>
      </c>
      <c r="M62" s="116" t="s">
        <v>1080</v>
      </c>
      <c r="N62" s="116" t="s">
        <v>1080</v>
      </c>
      <c r="O62" s="116" t="s">
        <v>1080</v>
      </c>
      <c r="P62" s="116" t="s">
        <v>1080</v>
      </c>
      <c r="Q62" s="116" t="s">
        <v>1080</v>
      </c>
      <c r="R62" s="116" t="s">
        <v>1080</v>
      </c>
      <c r="S62" s="116" t="s">
        <v>1080</v>
      </c>
      <c r="T62" s="116" t="s">
        <v>1080</v>
      </c>
      <c r="U62" s="116" t="s">
        <v>1080</v>
      </c>
      <c r="V62" s="116" t="s">
        <v>1080</v>
      </c>
      <c r="W62" s="116" t="s">
        <v>1080</v>
      </c>
      <c r="X62" s="116" t="s">
        <v>1080</v>
      </c>
      <c r="Y62" s="221"/>
      <c r="Z62" s="294"/>
    </row>
    <row r="63" spans="1:26" s="5" customFormat="1" ht="66" customHeight="1" x14ac:dyDescent="0.15">
      <c r="A63" s="115">
        <f t="shared" si="0"/>
        <v>60</v>
      </c>
      <c r="B63" s="121" t="s">
        <v>1201</v>
      </c>
      <c r="C63" s="121" t="s">
        <v>1202</v>
      </c>
      <c r="D63" s="116" t="s">
        <v>246</v>
      </c>
      <c r="E63" s="116"/>
      <c r="F63" s="116" t="s">
        <v>1005</v>
      </c>
      <c r="G63" s="116"/>
      <c r="H63" s="117" t="s">
        <v>1203</v>
      </c>
      <c r="I63" s="116" t="s">
        <v>211</v>
      </c>
      <c r="J63" s="116" t="s">
        <v>200</v>
      </c>
      <c r="K63" s="116" t="s">
        <v>1017</v>
      </c>
      <c r="L63" s="116" t="s">
        <v>1080</v>
      </c>
      <c r="M63" s="116" t="s">
        <v>1080</v>
      </c>
      <c r="N63" s="116" t="s">
        <v>1080</v>
      </c>
      <c r="O63" s="116" t="s">
        <v>1080</v>
      </c>
      <c r="P63" s="116" t="s">
        <v>1080</v>
      </c>
      <c r="Q63" s="116" t="s">
        <v>1080</v>
      </c>
      <c r="R63" s="116" t="s">
        <v>1080</v>
      </c>
      <c r="S63" s="116" t="s">
        <v>1080</v>
      </c>
      <c r="T63" s="116" t="s">
        <v>1080</v>
      </c>
      <c r="U63" s="116" t="s">
        <v>1080</v>
      </c>
      <c r="V63" s="116" t="s">
        <v>1080</v>
      </c>
      <c r="W63" s="116" t="s">
        <v>1080</v>
      </c>
      <c r="X63" s="116" t="s">
        <v>1080</v>
      </c>
      <c r="Y63" s="221"/>
      <c r="Z63" s="294"/>
    </row>
    <row r="64" spans="1:26" s="5" customFormat="1" ht="35.450000000000003" customHeight="1" x14ac:dyDescent="0.15">
      <c r="A64" s="26">
        <f t="shared" si="0"/>
        <v>61</v>
      </c>
      <c r="B64" s="27" t="s">
        <v>1204</v>
      </c>
      <c r="C64" s="27" t="s">
        <v>1205</v>
      </c>
      <c r="D64" s="17" t="s">
        <v>246</v>
      </c>
      <c r="E64" s="23"/>
      <c r="F64" s="17" t="s">
        <v>1005</v>
      </c>
      <c r="G64" s="23"/>
      <c r="H64" s="18" t="s">
        <v>1206</v>
      </c>
      <c r="I64" s="17" t="s">
        <v>211</v>
      </c>
      <c r="J64" s="17" t="s">
        <v>172</v>
      </c>
      <c r="K64" s="17" t="s">
        <v>1020</v>
      </c>
      <c r="L64" s="17" t="s">
        <v>1154</v>
      </c>
      <c r="M64" s="299" t="s">
        <v>1154</v>
      </c>
      <c r="N64" s="299" t="s">
        <v>1154</v>
      </c>
      <c r="O64" s="17" t="s">
        <v>1154</v>
      </c>
      <c r="P64" s="116" t="s">
        <v>1154</v>
      </c>
      <c r="Q64" s="17" t="s">
        <v>1154</v>
      </c>
      <c r="R64" s="116" t="s">
        <v>1154</v>
      </c>
      <c r="S64" s="17" t="s">
        <v>1154</v>
      </c>
      <c r="T64" s="116" t="s">
        <v>1154</v>
      </c>
      <c r="U64" s="17" t="s">
        <v>1154</v>
      </c>
      <c r="V64" s="17" t="s">
        <v>1154</v>
      </c>
      <c r="W64" s="116" t="s">
        <v>1154</v>
      </c>
      <c r="X64" s="17" t="s">
        <v>1154</v>
      </c>
      <c r="Y64" s="40"/>
      <c r="Z64" s="294" t="s">
        <v>1139</v>
      </c>
    </row>
    <row r="65" spans="1:26" s="6" customFormat="1" ht="81.599999999999994" customHeight="1" x14ac:dyDescent="0.15">
      <c r="A65" s="26">
        <f t="shared" si="0"/>
        <v>62</v>
      </c>
      <c r="B65" s="27" t="s">
        <v>1207</v>
      </c>
      <c r="C65" s="27" t="s">
        <v>1208</v>
      </c>
      <c r="D65" s="17" t="s">
        <v>246</v>
      </c>
      <c r="E65" s="23"/>
      <c r="F65" s="17" t="s">
        <v>1005</v>
      </c>
      <c r="G65" s="23"/>
      <c r="H65" s="18" t="s">
        <v>1209</v>
      </c>
      <c r="I65" s="30" t="s">
        <v>1210</v>
      </c>
      <c r="J65" s="17" t="s">
        <v>172</v>
      </c>
      <c r="K65" s="17" t="s">
        <v>1020</v>
      </c>
      <c r="L65" s="17" t="s">
        <v>1154</v>
      </c>
      <c r="M65" s="17" t="s">
        <v>1211</v>
      </c>
      <c r="N65" s="17" t="s">
        <v>1211</v>
      </c>
      <c r="O65" s="17" t="s">
        <v>1154</v>
      </c>
      <c r="P65" s="116" t="s">
        <v>1154</v>
      </c>
      <c r="Q65" s="17" t="s">
        <v>1154</v>
      </c>
      <c r="R65" s="116" t="s">
        <v>1154</v>
      </c>
      <c r="S65" s="17" t="s">
        <v>1154</v>
      </c>
      <c r="T65" s="116" t="s">
        <v>1154</v>
      </c>
      <c r="U65" s="17" t="s">
        <v>1154</v>
      </c>
      <c r="V65" s="17" t="s">
        <v>1154</v>
      </c>
      <c r="W65" s="116" t="s">
        <v>1154</v>
      </c>
      <c r="X65" s="17" t="s">
        <v>1154</v>
      </c>
      <c r="Y65" s="40" t="s">
        <v>1212</v>
      </c>
      <c r="Z65" s="293"/>
    </row>
    <row r="66" spans="1:26" s="6" customFormat="1" ht="42" customHeight="1" x14ac:dyDescent="0.15">
      <c r="A66" s="115">
        <f t="shared" si="0"/>
        <v>63</v>
      </c>
      <c r="B66" s="121" t="s">
        <v>1213</v>
      </c>
      <c r="C66" s="121" t="s">
        <v>1214</v>
      </c>
      <c r="D66" s="118" t="s">
        <v>1215</v>
      </c>
      <c r="E66" s="118">
        <v>1</v>
      </c>
      <c r="F66" s="116" t="s">
        <v>1005</v>
      </c>
      <c r="G66" s="118"/>
      <c r="H66" s="117"/>
      <c r="I66" s="116" t="s">
        <v>211</v>
      </c>
      <c r="J66" s="116" t="s">
        <v>200</v>
      </c>
      <c r="K66" s="116" t="s">
        <v>1017</v>
      </c>
      <c r="L66" s="116" t="s">
        <v>1080</v>
      </c>
      <c r="M66" s="116" t="s">
        <v>1216</v>
      </c>
      <c r="N66" s="116" t="s">
        <v>1216</v>
      </c>
      <c r="O66" s="116" t="s">
        <v>1080</v>
      </c>
      <c r="P66" s="116" t="s">
        <v>1080</v>
      </c>
      <c r="Q66" s="116" t="s">
        <v>1080</v>
      </c>
      <c r="R66" s="116" t="s">
        <v>1080</v>
      </c>
      <c r="S66" s="116" t="s">
        <v>1080</v>
      </c>
      <c r="T66" s="116" t="s">
        <v>1080</v>
      </c>
      <c r="U66" s="116" t="s">
        <v>1080</v>
      </c>
      <c r="V66" s="116" t="s">
        <v>1080</v>
      </c>
      <c r="W66" s="116" t="s">
        <v>1080</v>
      </c>
      <c r="X66" s="116" t="s">
        <v>1080</v>
      </c>
      <c r="Y66" s="221" t="s">
        <v>1217</v>
      </c>
      <c r="Z66" s="293"/>
    </row>
    <row r="67" spans="1:26" s="5" customFormat="1" ht="90" x14ac:dyDescent="0.15">
      <c r="A67" s="115">
        <f t="shared" si="0"/>
        <v>64</v>
      </c>
      <c r="B67" s="121" t="s">
        <v>1218</v>
      </c>
      <c r="C67" s="121" t="s">
        <v>1219</v>
      </c>
      <c r="D67" s="118" t="s">
        <v>1215</v>
      </c>
      <c r="E67" s="116">
        <v>69</v>
      </c>
      <c r="F67" s="116" t="s">
        <v>1005</v>
      </c>
      <c r="G67" s="116"/>
      <c r="H67" s="117" t="s">
        <v>1220</v>
      </c>
      <c r="I67" s="116" t="s">
        <v>211</v>
      </c>
      <c r="J67" s="116" t="s">
        <v>200</v>
      </c>
      <c r="K67" s="116" t="s">
        <v>1017</v>
      </c>
      <c r="L67" s="116" t="s">
        <v>1080</v>
      </c>
      <c r="M67" s="116" t="s">
        <v>1080</v>
      </c>
      <c r="N67" s="116" t="s">
        <v>1080</v>
      </c>
      <c r="O67" s="116" t="s">
        <v>1080</v>
      </c>
      <c r="P67" s="116" t="s">
        <v>1080</v>
      </c>
      <c r="Q67" s="116" t="s">
        <v>1080</v>
      </c>
      <c r="R67" s="116" t="s">
        <v>1080</v>
      </c>
      <c r="S67" s="116" t="s">
        <v>1080</v>
      </c>
      <c r="T67" s="116" t="s">
        <v>1080</v>
      </c>
      <c r="U67" s="116" t="s">
        <v>1080</v>
      </c>
      <c r="V67" s="116" t="s">
        <v>1080</v>
      </c>
      <c r="W67" s="116" t="s">
        <v>1080</v>
      </c>
      <c r="X67" s="116" t="s">
        <v>1080</v>
      </c>
      <c r="Y67" s="221"/>
      <c r="Z67" s="294"/>
    </row>
    <row r="68" spans="1:26" s="5" customFormat="1" ht="37.15" customHeight="1" x14ac:dyDescent="0.15">
      <c r="A68" s="115">
        <f t="shared" si="0"/>
        <v>65</v>
      </c>
      <c r="B68" s="121" t="s">
        <v>1221</v>
      </c>
      <c r="C68" s="121" t="s">
        <v>1222</v>
      </c>
      <c r="D68" s="116" t="s">
        <v>246</v>
      </c>
      <c r="E68" s="116"/>
      <c r="F68" s="116" t="s">
        <v>1005</v>
      </c>
      <c r="G68" s="116"/>
      <c r="H68" s="117" t="s">
        <v>1223</v>
      </c>
      <c r="I68" s="116" t="s">
        <v>211</v>
      </c>
      <c r="J68" s="116" t="s">
        <v>200</v>
      </c>
      <c r="K68" s="116" t="s">
        <v>1017</v>
      </c>
      <c r="L68" s="116" t="s">
        <v>1080</v>
      </c>
      <c r="M68" s="116" t="s">
        <v>1080</v>
      </c>
      <c r="N68" s="116" t="s">
        <v>1080</v>
      </c>
      <c r="O68" s="116" t="s">
        <v>1080</v>
      </c>
      <c r="P68" s="116" t="s">
        <v>1080</v>
      </c>
      <c r="Q68" s="116" t="s">
        <v>1080</v>
      </c>
      <c r="R68" s="116" t="s">
        <v>1080</v>
      </c>
      <c r="S68" s="116" t="s">
        <v>1080</v>
      </c>
      <c r="T68" s="116" t="s">
        <v>1080</v>
      </c>
      <c r="U68" s="116" t="s">
        <v>1080</v>
      </c>
      <c r="V68" s="116" t="s">
        <v>1080</v>
      </c>
      <c r="W68" s="116" t="s">
        <v>1080</v>
      </c>
      <c r="X68" s="116" t="s">
        <v>1080</v>
      </c>
      <c r="Y68" s="221" t="s">
        <v>1224</v>
      </c>
      <c r="Z68" s="294"/>
    </row>
    <row r="69" spans="1:26" s="5" customFormat="1" ht="56.25" x14ac:dyDescent="0.15">
      <c r="A69" s="26">
        <f t="shared" si="0"/>
        <v>66</v>
      </c>
      <c r="B69" s="27" t="s">
        <v>1225</v>
      </c>
      <c r="C69" s="27" t="s">
        <v>1226</v>
      </c>
      <c r="D69" s="17" t="s">
        <v>355</v>
      </c>
      <c r="E69" s="17"/>
      <c r="F69" s="17" t="s">
        <v>1005</v>
      </c>
      <c r="G69" s="17"/>
      <c r="H69" s="18"/>
      <c r="I69" s="17" t="s">
        <v>211</v>
      </c>
      <c r="J69" s="17" t="s">
        <v>172</v>
      </c>
      <c r="K69" s="17" t="s">
        <v>1020</v>
      </c>
      <c r="L69" s="17" t="s">
        <v>1154</v>
      </c>
      <c r="M69" s="17" t="s">
        <v>1227</v>
      </c>
      <c r="N69" s="17" t="s">
        <v>1154</v>
      </c>
      <c r="O69" s="17" t="s">
        <v>1154</v>
      </c>
      <c r="P69" s="116" t="s">
        <v>1154</v>
      </c>
      <c r="Q69" s="17" t="s">
        <v>1154</v>
      </c>
      <c r="R69" s="116" t="s">
        <v>1154</v>
      </c>
      <c r="S69" s="17" t="s">
        <v>1154</v>
      </c>
      <c r="T69" s="116" t="s">
        <v>1154</v>
      </c>
      <c r="U69" s="17" t="s">
        <v>1154</v>
      </c>
      <c r="V69" s="17" t="s">
        <v>1154</v>
      </c>
      <c r="W69" s="116" t="s">
        <v>1154</v>
      </c>
      <c r="X69" s="17" t="s">
        <v>1154</v>
      </c>
      <c r="Y69" s="40"/>
      <c r="Z69" s="294"/>
    </row>
    <row r="70" spans="1:26" s="5" customFormat="1" ht="46.9" customHeight="1" x14ac:dyDescent="0.15">
      <c r="A70" s="115">
        <f t="shared" si="0"/>
        <v>67</v>
      </c>
      <c r="B70" s="121" t="s">
        <v>1228</v>
      </c>
      <c r="C70" s="121" t="s">
        <v>1229</v>
      </c>
      <c r="D70" s="116" t="s">
        <v>246</v>
      </c>
      <c r="E70" s="116"/>
      <c r="F70" s="116" t="s">
        <v>1005</v>
      </c>
      <c r="G70" s="116"/>
      <c r="H70" s="117"/>
      <c r="I70" s="116" t="s">
        <v>211</v>
      </c>
      <c r="J70" s="116" t="s">
        <v>200</v>
      </c>
      <c r="K70" s="116" t="s">
        <v>1017</v>
      </c>
      <c r="L70" s="116" t="s">
        <v>1080</v>
      </c>
      <c r="M70" s="116" t="s">
        <v>1080</v>
      </c>
      <c r="N70" s="116" t="s">
        <v>1080</v>
      </c>
      <c r="O70" s="116" t="s">
        <v>1080</v>
      </c>
      <c r="P70" s="116" t="s">
        <v>1080</v>
      </c>
      <c r="Q70" s="116" t="s">
        <v>1080</v>
      </c>
      <c r="R70" s="116" t="s">
        <v>1080</v>
      </c>
      <c r="S70" s="116" t="s">
        <v>1080</v>
      </c>
      <c r="T70" s="116" t="s">
        <v>1080</v>
      </c>
      <c r="U70" s="116" t="s">
        <v>1080</v>
      </c>
      <c r="V70" s="116" t="s">
        <v>1080</v>
      </c>
      <c r="W70" s="116" t="s">
        <v>1080</v>
      </c>
      <c r="X70" s="116" t="s">
        <v>1080</v>
      </c>
      <c r="Y70" s="221" t="s">
        <v>1230</v>
      </c>
      <c r="Z70" s="294"/>
    </row>
    <row r="71" spans="1:26" s="5" customFormat="1" ht="45" customHeight="1" x14ac:dyDescent="0.15">
      <c r="A71" s="115">
        <f t="shared" ref="A71:A134" si="1">A70+1</f>
        <v>68</v>
      </c>
      <c r="B71" s="121" t="s">
        <v>1231</v>
      </c>
      <c r="C71" s="121" t="s">
        <v>1232</v>
      </c>
      <c r="D71" s="116" t="s">
        <v>1215</v>
      </c>
      <c r="E71" s="116">
        <v>24</v>
      </c>
      <c r="F71" s="116" t="s">
        <v>1005</v>
      </c>
      <c r="G71" s="116"/>
      <c r="H71" s="117" t="s">
        <v>1233</v>
      </c>
      <c r="I71" s="116" t="s">
        <v>211</v>
      </c>
      <c r="J71" s="116" t="s">
        <v>200</v>
      </c>
      <c r="K71" s="116" t="s">
        <v>1017</v>
      </c>
      <c r="L71" s="116" t="s">
        <v>1080</v>
      </c>
      <c r="M71" s="116" t="s">
        <v>1080</v>
      </c>
      <c r="N71" s="116" t="s">
        <v>1080</v>
      </c>
      <c r="O71" s="116" t="s">
        <v>1080</v>
      </c>
      <c r="P71" s="116" t="s">
        <v>1080</v>
      </c>
      <c r="Q71" s="116" t="s">
        <v>1080</v>
      </c>
      <c r="R71" s="116" t="s">
        <v>1080</v>
      </c>
      <c r="S71" s="116" t="s">
        <v>1080</v>
      </c>
      <c r="T71" s="116" t="s">
        <v>1080</v>
      </c>
      <c r="U71" s="116" t="s">
        <v>1080</v>
      </c>
      <c r="V71" s="116" t="s">
        <v>1080</v>
      </c>
      <c r="W71" s="116" t="s">
        <v>1080</v>
      </c>
      <c r="X71" s="116" t="s">
        <v>1080</v>
      </c>
      <c r="Y71" s="221" t="s">
        <v>1230</v>
      </c>
      <c r="Z71" s="294"/>
    </row>
    <row r="72" spans="1:26" s="5" customFormat="1" ht="22.5" customHeight="1" x14ac:dyDescent="0.15">
      <c r="A72" s="115">
        <f t="shared" si="1"/>
        <v>69</v>
      </c>
      <c r="B72" s="121" t="s">
        <v>1234</v>
      </c>
      <c r="C72" s="121" t="s">
        <v>1235</v>
      </c>
      <c r="D72" s="116" t="s">
        <v>246</v>
      </c>
      <c r="E72" s="116"/>
      <c r="F72" s="116" t="s">
        <v>1005</v>
      </c>
      <c r="G72" s="116"/>
      <c r="H72" s="117"/>
      <c r="I72" s="116" t="s">
        <v>211</v>
      </c>
      <c r="J72" s="116" t="s">
        <v>200</v>
      </c>
      <c r="K72" s="116" t="s">
        <v>1017</v>
      </c>
      <c r="L72" s="116" t="s">
        <v>1080</v>
      </c>
      <c r="M72" s="116" t="s">
        <v>1080</v>
      </c>
      <c r="N72" s="116" t="s">
        <v>1080</v>
      </c>
      <c r="O72" s="116" t="s">
        <v>1080</v>
      </c>
      <c r="P72" s="116" t="s">
        <v>1080</v>
      </c>
      <c r="Q72" s="116" t="s">
        <v>1080</v>
      </c>
      <c r="R72" s="116" t="s">
        <v>1080</v>
      </c>
      <c r="S72" s="116" t="s">
        <v>1080</v>
      </c>
      <c r="T72" s="116" t="s">
        <v>1080</v>
      </c>
      <c r="U72" s="116" t="s">
        <v>1080</v>
      </c>
      <c r="V72" s="116" t="s">
        <v>1080</v>
      </c>
      <c r="W72" s="116" t="s">
        <v>1080</v>
      </c>
      <c r="X72" s="116" t="s">
        <v>1080</v>
      </c>
      <c r="Y72" s="225"/>
      <c r="Z72" s="294"/>
    </row>
    <row r="73" spans="1:26" s="5" customFormat="1" ht="22.5" customHeight="1" x14ac:dyDescent="0.15">
      <c r="A73" s="115">
        <f t="shared" si="1"/>
        <v>70</v>
      </c>
      <c r="B73" s="121" t="s">
        <v>1236</v>
      </c>
      <c r="C73" s="121" t="s">
        <v>1237</v>
      </c>
      <c r="D73" s="116" t="s">
        <v>246</v>
      </c>
      <c r="E73" s="118"/>
      <c r="F73" s="116" t="s">
        <v>1005</v>
      </c>
      <c r="G73" s="118"/>
      <c r="H73" s="117"/>
      <c r="I73" s="116" t="s">
        <v>211</v>
      </c>
      <c r="J73" s="116" t="s">
        <v>200</v>
      </c>
      <c r="K73" s="116" t="s">
        <v>1017</v>
      </c>
      <c r="L73" s="116" t="s">
        <v>1080</v>
      </c>
      <c r="M73" s="116" t="s">
        <v>1080</v>
      </c>
      <c r="N73" s="116" t="s">
        <v>1080</v>
      </c>
      <c r="O73" s="116" t="s">
        <v>1080</v>
      </c>
      <c r="P73" s="116" t="s">
        <v>1080</v>
      </c>
      <c r="Q73" s="116" t="s">
        <v>1080</v>
      </c>
      <c r="R73" s="116" t="s">
        <v>1080</v>
      </c>
      <c r="S73" s="116" t="s">
        <v>1080</v>
      </c>
      <c r="T73" s="116" t="s">
        <v>1080</v>
      </c>
      <c r="U73" s="116" t="s">
        <v>1080</v>
      </c>
      <c r="V73" s="116" t="s">
        <v>1080</v>
      </c>
      <c r="W73" s="116" t="s">
        <v>1080</v>
      </c>
      <c r="X73" s="116" t="s">
        <v>1080</v>
      </c>
      <c r="Y73" s="225"/>
      <c r="Z73" s="294"/>
    </row>
    <row r="74" spans="1:26" s="6" customFormat="1" ht="22.5" customHeight="1" x14ac:dyDescent="0.15">
      <c r="A74" s="115">
        <f t="shared" si="1"/>
        <v>71</v>
      </c>
      <c r="B74" s="121" t="s">
        <v>1238</v>
      </c>
      <c r="C74" s="121" t="s">
        <v>1239</v>
      </c>
      <c r="D74" s="116" t="s">
        <v>246</v>
      </c>
      <c r="E74" s="118"/>
      <c r="F74" s="116" t="s">
        <v>1005</v>
      </c>
      <c r="G74" s="118"/>
      <c r="H74" s="117"/>
      <c r="I74" s="116" t="s">
        <v>211</v>
      </c>
      <c r="J74" s="116" t="s">
        <v>200</v>
      </c>
      <c r="K74" s="116" t="s">
        <v>1017</v>
      </c>
      <c r="L74" s="116" t="s">
        <v>1080</v>
      </c>
      <c r="M74" s="116" t="s">
        <v>1080</v>
      </c>
      <c r="N74" s="116" t="s">
        <v>1080</v>
      </c>
      <c r="O74" s="116" t="s">
        <v>1080</v>
      </c>
      <c r="P74" s="116" t="s">
        <v>1080</v>
      </c>
      <c r="Q74" s="116" t="s">
        <v>1080</v>
      </c>
      <c r="R74" s="116" t="s">
        <v>1080</v>
      </c>
      <c r="S74" s="116" t="s">
        <v>1080</v>
      </c>
      <c r="T74" s="116" t="s">
        <v>1080</v>
      </c>
      <c r="U74" s="116" t="s">
        <v>1080</v>
      </c>
      <c r="V74" s="116" t="s">
        <v>1080</v>
      </c>
      <c r="W74" s="116" t="s">
        <v>1080</v>
      </c>
      <c r="X74" s="116" t="s">
        <v>1080</v>
      </c>
      <c r="Y74" s="226"/>
      <c r="Z74" s="293"/>
    </row>
    <row r="75" spans="1:26" s="6" customFormat="1" ht="33.6" customHeight="1" x14ac:dyDescent="0.15">
      <c r="A75" s="115">
        <f t="shared" si="1"/>
        <v>72</v>
      </c>
      <c r="B75" s="121" t="s">
        <v>1240</v>
      </c>
      <c r="C75" s="121" t="s">
        <v>1241</v>
      </c>
      <c r="D75" s="116" t="s">
        <v>246</v>
      </c>
      <c r="E75" s="118"/>
      <c r="F75" s="116" t="s">
        <v>1005</v>
      </c>
      <c r="G75" s="118"/>
      <c r="H75" s="117"/>
      <c r="I75" s="116" t="s">
        <v>211</v>
      </c>
      <c r="J75" s="116" t="s">
        <v>200</v>
      </c>
      <c r="K75" s="116" t="s">
        <v>1017</v>
      </c>
      <c r="L75" s="116" t="s">
        <v>1080</v>
      </c>
      <c r="M75" s="116" t="s">
        <v>1080</v>
      </c>
      <c r="N75" s="116" t="s">
        <v>1080</v>
      </c>
      <c r="O75" s="116" t="s">
        <v>1080</v>
      </c>
      <c r="P75" s="116" t="s">
        <v>1080</v>
      </c>
      <c r="Q75" s="116" t="s">
        <v>1080</v>
      </c>
      <c r="R75" s="116" t="s">
        <v>1080</v>
      </c>
      <c r="S75" s="116" t="s">
        <v>1080</v>
      </c>
      <c r="T75" s="116" t="s">
        <v>1080</v>
      </c>
      <c r="U75" s="116" t="s">
        <v>1080</v>
      </c>
      <c r="V75" s="116" t="s">
        <v>1080</v>
      </c>
      <c r="W75" s="116" t="s">
        <v>1080</v>
      </c>
      <c r="X75" s="116" t="s">
        <v>1080</v>
      </c>
      <c r="Y75" s="226"/>
      <c r="Z75" s="293"/>
    </row>
    <row r="76" spans="1:26" s="5" customFormat="1" ht="139.15" customHeight="1" x14ac:dyDescent="0.15">
      <c r="A76" s="26">
        <f t="shared" si="1"/>
        <v>73</v>
      </c>
      <c r="B76" s="27" t="s">
        <v>1242</v>
      </c>
      <c r="C76" s="27" t="s">
        <v>1243</v>
      </c>
      <c r="D76" s="17" t="s">
        <v>1244</v>
      </c>
      <c r="E76" s="17"/>
      <c r="F76" s="17" t="s">
        <v>1005</v>
      </c>
      <c r="G76" s="17"/>
      <c r="H76" s="18" t="s">
        <v>1245</v>
      </c>
      <c r="I76" s="17" t="s">
        <v>211</v>
      </c>
      <c r="J76" s="17" t="s">
        <v>172</v>
      </c>
      <c r="K76" s="17" t="s">
        <v>1020</v>
      </c>
      <c r="L76" s="17" t="s">
        <v>1138</v>
      </c>
      <c r="M76" s="17" t="s">
        <v>1246</v>
      </c>
      <c r="N76" s="17" t="s">
        <v>1247</v>
      </c>
      <c r="O76" s="17" t="s">
        <v>1138</v>
      </c>
      <c r="P76" s="116" t="s">
        <v>1138</v>
      </c>
      <c r="Q76" s="17" t="s">
        <v>1138</v>
      </c>
      <c r="R76" s="116" t="s">
        <v>1138</v>
      </c>
      <c r="S76" s="17" t="s">
        <v>1138</v>
      </c>
      <c r="T76" s="116" t="s">
        <v>1138</v>
      </c>
      <c r="U76" s="17" t="s">
        <v>1138</v>
      </c>
      <c r="V76" s="17" t="s">
        <v>1138</v>
      </c>
      <c r="W76" s="116" t="s">
        <v>1138</v>
      </c>
      <c r="X76" s="17" t="s">
        <v>1138</v>
      </c>
      <c r="Y76" s="40"/>
      <c r="Z76" s="294"/>
    </row>
    <row r="77" spans="1:26" s="5" customFormat="1" ht="22.5" x14ac:dyDescent="0.15">
      <c r="A77" s="115">
        <f t="shared" si="1"/>
        <v>74</v>
      </c>
      <c r="B77" s="121" t="s">
        <v>1248</v>
      </c>
      <c r="C77" s="121" t="s">
        <v>1249</v>
      </c>
      <c r="D77" s="116" t="s">
        <v>250</v>
      </c>
      <c r="E77" s="116"/>
      <c r="F77" s="116" t="s">
        <v>1005</v>
      </c>
      <c r="G77" s="116"/>
      <c r="H77" s="117"/>
      <c r="I77" s="116" t="s">
        <v>211</v>
      </c>
      <c r="J77" s="116" t="s">
        <v>200</v>
      </c>
      <c r="K77" s="116" t="s">
        <v>1017</v>
      </c>
      <c r="L77" s="116" t="s">
        <v>1080</v>
      </c>
      <c r="M77" s="116" t="s">
        <v>1080</v>
      </c>
      <c r="N77" s="116" t="s">
        <v>1080</v>
      </c>
      <c r="O77" s="116" t="s">
        <v>1080</v>
      </c>
      <c r="P77" s="116" t="s">
        <v>1080</v>
      </c>
      <c r="Q77" s="116" t="s">
        <v>1080</v>
      </c>
      <c r="R77" s="116" t="s">
        <v>1080</v>
      </c>
      <c r="S77" s="116" t="s">
        <v>1080</v>
      </c>
      <c r="T77" s="116" t="s">
        <v>1080</v>
      </c>
      <c r="U77" s="116" t="s">
        <v>1080</v>
      </c>
      <c r="V77" s="116" t="s">
        <v>1080</v>
      </c>
      <c r="W77" s="116" t="s">
        <v>1080</v>
      </c>
      <c r="X77" s="116" t="s">
        <v>1080</v>
      </c>
      <c r="Y77" s="221"/>
      <c r="Z77" s="294"/>
    </row>
    <row r="78" spans="1:26" s="5" customFormat="1" ht="40.15" customHeight="1" x14ac:dyDescent="0.15">
      <c r="A78" s="115">
        <f t="shared" si="1"/>
        <v>75</v>
      </c>
      <c r="B78" s="121" t="s">
        <v>1250</v>
      </c>
      <c r="C78" s="121" t="s">
        <v>1251</v>
      </c>
      <c r="D78" s="116" t="s">
        <v>246</v>
      </c>
      <c r="E78" s="116"/>
      <c r="F78" s="116" t="s">
        <v>1005</v>
      </c>
      <c r="G78" s="116"/>
      <c r="H78" s="117"/>
      <c r="I78" s="116" t="s">
        <v>211</v>
      </c>
      <c r="J78" s="116" t="s">
        <v>200</v>
      </c>
      <c r="K78" s="116" t="s">
        <v>1017</v>
      </c>
      <c r="L78" s="116" t="s">
        <v>1080</v>
      </c>
      <c r="M78" s="116" t="s">
        <v>1080</v>
      </c>
      <c r="N78" s="116" t="s">
        <v>1080</v>
      </c>
      <c r="O78" s="116" t="s">
        <v>1080</v>
      </c>
      <c r="P78" s="116" t="s">
        <v>1080</v>
      </c>
      <c r="Q78" s="116" t="s">
        <v>1080</v>
      </c>
      <c r="R78" s="116" t="s">
        <v>1080</v>
      </c>
      <c r="S78" s="116" t="s">
        <v>1080</v>
      </c>
      <c r="T78" s="116" t="s">
        <v>1080</v>
      </c>
      <c r="U78" s="116" t="s">
        <v>1080</v>
      </c>
      <c r="V78" s="116" t="s">
        <v>1080</v>
      </c>
      <c r="W78" s="116" t="s">
        <v>1080</v>
      </c>
      <c r="X78" s="116" t="s">
        <v>1080</v>
      </c>
      <c r="Y78" s="221" t="s">
        <v>1252</v>
      </c>
      <c r="Z78" s="294"/>
    </row>
    <row r="79" spans="1:26" s="5" customFormat="1" ht="45" customHeight="1" x14ac:dyDescent="0.15">
      <c r="A79" s="115">
        <f t="shared" si="1"/>
        <v>76</v>
      </c>
      <c r="B79" s="121" t="s">
        <v>1253</v>
      </c>
      <c r="C79" s="234" t="s">
        <v>1254</v>
      </c>
      <c r="D79" s="116" t="s">
        <v>246</v>
      </c>
      <c r="E79" s="116"/>
      <c r="F79" s="116" t="s">
        <v>1005</v>
      </c>
      <c r="G79" s="116"/>
      <c r="H79" s="117"/>
      <c r="I79" s="116" t="s">
        <v>211</v>
      </c>
      <c r="J79" s="116" t="s">
        <v>200</v>
      </c>
      <c r="K79" s="116" t="s">
        <v>1017</v>
      </c>
      <c r="L79" s="116" t="s">
        <v>1080</v>
      </c>
      <c r="M79" s="116" t="s">
        <v>1080</v>
      </c>
      <c r="N79" s="116" t="s">
        <v>1080</v>
      </c>
      <c r="O79" s="116" t="s">
        <v>1080</v>
      </c>
      <c r="P79" s="116" t="s">
        <v>1080</v>
      </c>
      <c r="Q79" s="116" t="s">
        <v>1080</v>
      </c>
      <c r="R79" s="116" t="s">
        <v>1080</v>
      </c>
      <c r="S79" s="116" t="s">
        <v>1080</v>
      </c>
      <c r="T79" s="116" t="s">
        <v>1080</v>
      </c>
      <c r="U79" s="116" t="s">
        <v>1080</v>
      </c>
      <c r="V79" s="116" t="s">
        <v>1080</v>
      </c>
      <c r="W79" s="116" t="s">
        <v>1080</v>
      </c>
      <c r="X79" s="116" t="s">
        <v>1080</v>
      </c>
      <c r="Y79" s="221" t="s">
        <v>1255</v>
      </c>
      <c r="Z79" s="294"/>
    </row>
    <row r="80" spans="1:26" s="5" customFormat="1" ht="87.6" customHeight="1" x14ac:dyDescent="0.15">
      <c r="A80" s="115">
        <f t="shared" si="1"/>
        <v>77</v>
      </c>
      <c r="B80" s="121" t="s">
        <v>1256</v>
      </c>
      <c r="C80" s="121" t="s">
        <v>1257</v>
      </c>
      <c r="D80" s="116" t="s">
        <v>1215</v>
      </c>
      <c r="E80" s="116">
        <v>240</v>
      </c>
      <c r="F80" s="116" t="s">
        <v>1005</v>
      </c>
      <c r="G80" s="116"/>
      <c r="H80" s="117"/>
      <c r="I80" s="116" t="s">
        <v>211</v>
      </c>
      <c r="J80" s="116" t="s">
        <v>200</v>
      </c>
      <c r="K80" s="116" t="s">
        <v>1017</v>
      </c>
      <c r="L80" s="116" t="s">
        <v>1080</v>
      </c>
      <c r="M80" s="116" t="s">
        <v>1080</v>
      </c>
      <c r="N80" s="116" t="s">
        <v>1080</v>
      </c>
      <c r="O80" s="116" t="s">
        <v>1080</v>
      </c>
      <c r="P80" s="116" t="s">
        <v>1080</v>
      </c>
      <c r="Q80" s="116" t="s">
        <v>1080</v>
      </c>
      <c r="R80" s="116" t="s">
        <v>1080</v>
      </c>
      <c r="S80" s="116" t="s">
        <v>1080</v>
      </c>
      <c r="T80" s="116" t="s">
        <v>1080</v>
      </c>
      <c r="U80" s="116" t="s">
        <v>1080</v>
      </c>
      <c r="V80" s="116" t="s">
        <v>1080</v>
      </c>
      <c r="W80" s="116" t="s">
        <v>1080</v>
      </c>
      <c r="X80" s="116" t="s">
        <v>1080</v>
      </c>
      <c r="Y80" s="221"/>
      <c r="Z80" s="294"/>
    </row>
    <row r="81" spans="1:26" s="5" customFormat="1" ht="40.5" x14ac:dyDescent="0.15">
      <c r="A81" s="26">
        <f t="shared" si="1"/>
        <v>78</v>
      </c>
      <c r="B81" s="27" t="s">
        <v>1258</v>
      </c>
      <c r="C81" s="27" t="s">
        <v>1259</v>
      </c>
      <c r="D81" s="17" t="s">
        <v>250</v>
      </c>
      <c r="E81" s="17"/>
      <c r="F81" s="17" t="s">
        <v>1005</v>
      </c>
      <c r="G81" s="17"/>
      <c r="H81" s="18"/>
      <c r="I81" s="228" t="s">
        <v>1260</v>
      </c>
      <c r="J81" s="17" t="s">
        <v>172</v>
      </c>
      <c r="K81" s="17" t="s">
        <v>1007</v>
      </c>
      <c r="L81" s="17" t="s">
        <v>1154</v>
      </c>
      <c r="M81" s="17" t="s">
        <v>1261</v>
      </c>
      <c r="N81" s="299" t="s">
        <v>1065</v>
      </c>
      <c r="O81" s="17" t="s">
        <v>1262</v>
      </c>
      <c r="P81" s="116" t="s">
        <v>1262</v>
      </c>
      <c r="Q81" s="17" t="s">
        <v>1262</v>
      </c>
      <c r="R81" s="116" t="s">
        <v>1262</v>
      </c>
      <c r="S81" s="17" t="s">
        <v>1262</v>
      </c>
      <c r="T81" s="116" t="s">
        <v>1262</v>
      </c>
      <c r="U81" s="17" t="s">
        <v>1262</v>
      </c>
      <c r="V81" s="17" t="s">
        <v>1262</v>
      </c>
      <c r="W81" s="116" t="s">
        <v>1262</v>
      </c>
      <c r="X81" s="17" t="s">
        <v>1262</v>
      </c>
      <c r="Y81" s="40" t="s">
        <v>1263</v>
      </c>
      <c r="Z81" s="294" t="s">
        <v>1123</v>
      </c>
    </row>
    <row r="82" spans="1:26" s="5" customFormat="1" ht="82.9" customHeight="1" x14ac:dyDescent="0.15">
      <c r="A82" s="115">
        <f t="shared" si="1"/>
        <v>79</v>
      </c>
      <c r="B82" s="121" t="s">
        <v>1264</v>
      </c>
      <c r="C82" s="121" t="s">
        <v>1265</v>
      </c>
      <c r="D82" s="116" t="s">
        <v>237</v>
      </c>
      <c r="E82" s="116">
        <v>255</v>
      </c>
      <c r="F82" s="116" t="s">
        <v>1005</v>
      </c>
      <c r="G82" s="116"/>
      <c r="H82" s="117"/>
      <c r="I82" s="116" t="s">
        <v>211</v>
      </c>
      <c r="J82" s="116" t="s">
        <v>200</v>
      </c>
      <c r="K82" s="116" t="s">
        <v>1017</v>
      </c>
      <c r="L82" s="116" t="s">
        <v>1080</v>
      </c>
      <c r="M82" s="116" t="s">
        <v>1080</v>
      </c>
      <c r="N82" s="116" t="s">
        <v>1080</v>
      </c>
      <c r="O82" s="116" t="s">
        <v>1080</v>
      </c>
      <c r="P82" s="116" t="s">
        <v>1080</v>
      </c>
      <c r="Q82" s="116" t="s">
        <v>1080</v>
      </c>
      <c r="R82" s="116" t="s">
        <v>1080</v>
      </c>
      <c r="S82" s="116" t="s">
        <v>1080</v>
      </c>
      <c r="T82" s="116" t="s">
        <v>1080</v>
      </c>
      <c r="U82" s="116" t="s">
        <v>1080</v>
      </c>
      <c r="V82" s="116" t="s">
        <v>1080</v>
      </c>
      <c r="W82" s="116" t="s">
        <v>1080</v>
      </c>
      <c r="X82" s="116" t="s">
        <v>1080</v>
      </c>
      <c r="Y82" s="221"/>
      <c r="Z82" s="294"/>
    </row>
    <row r="83" spans="1:26" s="5" customFormat="1" ht="63" customHeight="1" x14ac:dyDescent="0.15">
      <c r="A83" s="115">
        <f t="shared" si="1"/>
        <v>80</v>
      </c>
      <c r="B83" s="121" t="s">
        <v>1266</v>
      </c>
      <c r="C83" s="121" t="s">
        <v>1267</v>
      </c>
      <c r="D83" s="116" t="s">
        <v>250</v>
      </c>
      <c r="E83" s="116"/>
      <c r="F83" s="116" t="s">
        <v>1005</v>
      </c>
      <c r="G83" s="116"/>
      <c r="H83" s="117"/>
      <c r="I83" s="116" t="s">
        <v>211</v>
      </c>
      <c r="J83" s="116" t="s">
        <v>200</v>
      </c>
      <c r="K83" s="116" t="s">
        <v>1017</v>
      </c>
      <c r="L83" s="116" t="s">
        <v>1080</v>
      </c>
      <c r="M83" s="116" t="s">
        <v>1080</v>
      </c>
      <c r="N83" s="116" t="s">
        <v>1080</v>
      </c>
      <c r="O83" s="116" t="s">
        <v>1080</v>
      </c>
      <c r="P83" s="116" t="s">
        <v>1080</v>
      </c>
      <c r="Q83" s="116" t="s">
        <v>1080</v>
      </c>
      <c r="R83" s="116" t="s">
        <v>1080</v>
      </c>
      <c r="S83" s="116" t="s">
        <v>1080</v>
      </c>
      <c r="T83" s="116" t="s">
        <v>1080</v>
      </c>
      <c r="U83" s="116" t="s">
        <v>1080</v>
      </c>
      <c r="V83" s="116" t="s">
        <v>1080</v>
      </c>
      <c r="W83" s="116" t="s">
        <v>1080</v>
      </c>
      <c r="X83" s="116" t="s">
        <v>1080</v>
      </c>
      <c r="Y83" s="221"/>
      <c r="Z83" s="294"/>
    </row>
    <row r="84" spans="1:26" s="5" customFormat="1" ht="37.15" customHeight="1" x14ac:dyDescent="0.15">
      <c r="A84" s="115">
        <f t="shared" si="1"/>
        <v>81</v>
      </c>
      <c r="B84" s="121" t="s">
        <v>1268</v>
      </c>
      <c r="C84" s="121" t="s">
        <v>1269</v>
      </c>
      <c r="D84" s="116" t="s">
        <v>355</v>
      </c>
      <c r="E84" s="116"/>
      <c r="F84" s="116" t="s">
        <v>1005</v>
      </c>
      <c r="G84" s="116"/>
      <c r="H84" s="117"/>
      <c r="I84" s="116" t="s">
        <v>211</v>
      </c>
      <c r="J84" s="116" t="s">
        <v>200</v>
      </c>
      <c r="K84" s="116" t="s">
        <v>1017</v>
      </c>
      <c r="L84" s="116" t="s">
        <v>1080</v>
      </c>
      <c r="M84" s="116" t="s">
        <v>1080</v>
      </c>
      <c r="N84" s="116" t="s">
        <v>1080</v>
      </c>
      <c r="O84" s="116" t="s">
        <v>1080</v>
      </c>
      <c r="P84" s="116" t="s">
        <v>1080</v>
      </c>
      <c r="Q84" s="116" t="s">
        <v>1080</v>
      </c>
      <c r="R84" s="116" t="s">
        <v>1080</v>
      </c>
      <c r="S84" s="116" t="s">
        <v>1080</v>
      </c>
      <c r="T84" s="116" t="s">
        <v>1080</v>
      </c>
      <c r="U84" s="116" t="s">
        <v>1080</v>
      </c>
      <c r="V84" s="116" t="s">
        <v>1080</v>
      </c>
      <c r="W84" s="116" t="s">
        <v>1080</v>
      </c>
      <c r="X84" s="116" t="s">
        <v>1080</v>
      </c>
      <c r="Y84" s="221" t="s">
        <v>1252</v>
      </c>
      <c r="Z84" s="294"/>
    </row>
    <row r="85" spans="1:26" s="5" customFormat="1" ht="92.45" customHeight="1" x14ac:dyDescent="0.15">
      <c r="A85" s="26">
        <f t="shared" si="1"/>
        <v>82</v>
      </c>
      <c r="B85" s="27" t="s">
        <v>1270</v>
      </c>
      <c r="C85" s="27" t="s">
        <v>1271</v>
      </c>
      <c r="D85" s="17" t="s">
        <v>246</v>
      </c>
      <c r="E85" s="17"/>
      <c r="F85" s="17" t="s">
        <v>1005</v>
      </c>
      <c r="G85" s="17"/>
      <c r="H85" s="18"/>
      <c r="I85" s="17" t="s">
        <v>211</v>
      </c>
      <c r="J85" s="17" t="s">
        <v>172</v>
      </c>
      <c r="K85" s="17" t="s">
        <v>1007</v>
      </c>
      <c r="L85" s="17" t="s">
        <v>1272</v>
      </c>
      <c r="M85" s="17" t="s">
        <v>1273</v>
      </c>
      <c r="N85" s="17" t="s">
        <v>1274</v>
      </c>
      <c r="O85" s="17" t="s">
        <v>1272</v>
      </c>
      <c r="P85" s="116" t="s">
        <v>1272</v>
      </c>
      <c r="Q85" s="17" t="s">
        <v>1272</v>
      </c>
      <c r="R85" s="116" t="s">
        <v>1272</v>
      </c>
      <c r="S85" s="17" t="s">
        <v>1272</v>
      </c>
      <c r="T85" s="116" t="s">
        <v>1272</v>
      </c>
      <c r="U85" s="17" t="s">
        <v>1272</v>
      </c>
      <c r="V85" s="17" t="s">
        <v>1272</v>
      </c>
      <c r="W85" s="116" t="s">
        <v>1272</v>
      </c>
      <c r="X85" s="17" t="s">
        <v>1272</v>
      </c>
      <c r="Y85" s="40"/>
      <c r="Z85" s="294" t="s">
        <v>1139</v>
      </c>
    </row>
    <row r="86" spans="1:26" s="5" customFormat="1" ht="22.5" customHeight="1" x14ac:dyDescent="0.15">
      <c r="A86" s="115">
        <f t="shared" si="1"/>
        <v>83</v>
      </c>
      <c r="B86" s="121" t="s">
        <v>1275</v>
      </c>
      <c r="C86" s="121" t="s">
        <v>1276</v>
      </c>
      <c r="D86" s="116" t="s">
        <v>246</v>
      </c>
      <c r="E86" s="116"/>
      <c r="F86" s="116" t="s">
        <v>1005</v>
      </c>
      <c r="G86" s="116"/>
      <c r="H86" s="117"/>
      <c r="I86" s="116" t="s">
        <v>211</v>
      </c>
      <c r="J86" s="116" t="s">
        <v>200</v>
      </c>
      <c r="K86" s="116" t="s">
        <v>1017</v>
      </c>
      <c r="L86" s="116" t="s">
        <v>1080</v>
      </c>
      <c r="M86" s="116" t="s">
        <v>1080</v>
      </c>
      <c r="N86" s="116" t="s">
        <v>1080</v>
      </c>
      <c r="O86" s="116" t="s">
        <v>1080</v>
      </c>
      <c r="P86" s="116" t="s">
        <v>1080</v>
      </c>
      <c r="Q86" s="116" t="s">
        <v>1080</v>
      </c>
      <c r="R86" s="116" t="s">
        <v>1080</v>
      </c>
      <c r="S86" s="116" t="s">
        <v>1080</v>
      </c>
      <c r="T86" s="116" t="s">
        <v>1080</v>
      </c>
      <c r="U86" s="116" t="s">
        <v>1080</v>
      </c>
      <c r="V86" s="116" t="s">
        <v>1080</v>
      </c>
      <c r="W86" s="116" t="s">
        <v>1080</v>
      </c>
      <c r="X86" s="116" t="s">
        <v>1080</v>
      </c>
      <c r="Y86" s="221"/>
      <c r="Z86" s="294"/>
    </row>
    <row r="87" spans="1:26" s="5" customFormat="1" ht="90" customHeight="1" x14ac:dyDescent="0.15">
      <c r="A87" s="26">
        <f t="shared" si="1"/>
        <v>84</v>
      </c>
      <c r="B87" s="27" t="s">
        <v>1277</v>
      </c>
      <c r="C87" s="27" t="s">
        <v>1278</v>
      </c>
      <c r="D87" s="17" t="s">
        <v>246</v>
      </c>
      <c r="E87" s="17"/>
      <c r="F87" s="17" t="s">
        <v>1005</v>
      </c>
      <c r="G87" s="17"/>
      <c r="H87" s="18"/>
      <c r="I87" s="17" t="s">
        <v>211</v>
      </c>
      <c r="J87" s="17" t="s">
        <v>172</v>
      </c>
      <c r="K87" s="17" t="s">
        <v>1020</v>
      </c>
      <c r="L87" s="17" t="s">
        <v>1272</v>
      </c>
      <c r="M87" s="17" t="s">
        <v>1279</v>
      </c>
      <c r="N87" s="17" t="s">
        <v>1279</v>
      </c>
      <c r="O87" s="17" t="s">
        <v>1272</v>
      </c>
      <c r="P87" s="116" t="s">
        <v>1272</v>
      </c>
      <c r="Q87" s="17" t="s">
        <v>1272</v>
      </c>
      <c r="R87" s="116" t="s">
        <v>1272</v>
      </c>
      <c r="S87" s="17" t="s">
        <v>1272</v>
      </c>
      <c r="T87" s="116" t="s">
        <v>1272</v>
      </c>
      <c r="U87" s="17" t="s">
        <v>1272</v>
      </c>
      <c r="V87" s="17" t="s">
        <v>1272</v>
      </c>
      <c r="W87" s="116" t="s">
        <v>1272</v>
      </c>
      <c r="X87" s="17" t="s">
        <v>1272</v>
      </c>
      <c r="Y87" s="40"/>
      <c r="Z87" s="294"/>
    </row>
    <row r="88" spans="1:26" s="5" customFormat="1" ht="22.5" customHeight="1" x14ac:dyDescent="0.15">
      <c r="A88" s="115">
        <f t="shared" si="1"/>
        <v>85</v>
      </c>
      <c r="B88" s="121" t="s">
        <v>1280</v>
      </c>
      <c r="C88" s="121" t="s">
        <v>1281</v>
      </c>
      <c r="D88" s="116" t="s">
        <v>250</v>
      </c>
      <c r="E88" s="116"/>
      <c r="F88" s="116" t="s">
        <v>1005</v>
      </c>
      <c r="G88" s="116"/>
      <c r="H88" s="117"/>
      <c r="I88" s="116" t="s">
        <v>211</v>
      </c>
      <c r="J88" s="116" t="s">
        <v>200</v>
      </c>
      <c r="K88" s="116" t="s">
        <v>1017</v>
      </c>
      <c r="L88" s="116" t="s">
        <v>1080</v>
      </c>
      <c r="M88" s="116" t="s">
        <v>1080</v>
      </c>
      <c r="N88" s="116" t="s">
        <v>1080</v>
      </c>
      <c r="O88" s="116" t="s">
        <v>1080</v>
      </c>
      <c r="P88" s="116" t="s">
        <v>1080</v>
      </c>
      <c r="Q88" s="116" t="s">
        <v>1080</v>
      </c>
      <c r="R88" s="116" t="s">
        <v>1080</v>
      </c>
      <c r="S88" s="116" t="s">
        <v>1080</v>
      </c>
      <c r="T88" s="116" t="s">
        <v>1080</v>
      </c>
      <c r="U88" s="116" t="s">
        <v>1080</v>
      </c>
      <c r="V88" s="116" t="s">
        <v>1080</v>
      </c>
      <c r="W88" s="116" t="s">
        <v>1080</v>
      </c>
      <c r="X88" s="116" t="s">
        <v>1080</v>
      </c>
      <c r="Y88" s="225"/>
      <c r="Z88" s="294"/>
    </row>
    <row r="89" spans="1:26" s="5" customFormat="1" ht="22.5" customHeight="1" x14ac:dyDescent="0.15">
      <c r="A89" s="115">
        <f t="shared" si="1"/>
        <v>86</v>
      </c>
      <c r="B89" s="121" t="s">
        <v>1282</v>
      </c>
      <c r="C89" s="121" t="s">
        <v>1283</v>
      </c>
      <c r="D89" s="116" t="s">
        <v>250</v>
      </c>
      <c r="E89" s="116"/>
      <c r="F89" s="116" t="s">
        <v>1005</v>
      </c>
      <c r="G89" s="116"/>
      <c r="H89" s="117"/>
      <c r="I89" s="116" t="s">
        <v>211</v>
      </c>
      <c r="J89" s="116" t="s">
        <v>200</v>
      </c>
      <c r="K89" s="116" t="s">
        <v>1017</v>
      </c>
      <c r="L89" s="116" t="s">
        <v>1080</v>
      </c>
      <c r="M89" s="116" t="s">
        <v>1080</v>
      </c>
      <c r="N89" s="116" t="s">
        <v>1080</v>
      </c>
      <c r="O89" s="116" t="s">
        <v>1080</v>
      </c>
      <c r="P89" s="116" t="s">
        <v>1080</v>
      </c>
      <c r="Q89" s="116" t="s">
        <v>1080</v>
      </c>
      <c r="R89" s="116" t="s">
        <v>1080</v>
      </c>
      <c r="S89" s="116" t="s">
        <v>1080</v>
      </c>
      <c r="T89" s="116" t="s">
        <v>1080</v>
      </c>
      <c r="U89" s="116" t="s">
        <v>1080</v>
      </c>
      <c r="V89" s="116" t="s">
        <v>1080</v>
      </c>
      <c r="W89" s="116" t="s">
        <v>1080</v>
      </c>
      <c r="X89" s="116" t="s">
        <v>1080</v>
      </c>
      <c r="Y89" s="225"/>
      <c r="Z89" s="294"/>
    </row>
    <row r="90" spans="1:26" s="5" customFormat="1" ht="22.5" customHeight="1" x14ac:dyDescent="0.15">
      <c r="A90" s="115">
        <f t="shared" si="1"/>
        <v>87</v>
      </c>
      <c r="B90" s="121" t="s">
        <v>1284</v>
      </c>
      <c r="C90" s="121" t="s">
        <v>1285</v>
      </c>
      <c r="D90" s="116" t="s">
        <v>355</v>
      </c>
      <c r="E90" s="116"/>
      <c r="F90" s="116" t="s">
        <v>1005</v>
      </c>
      <c r="G90" s="116"/>
      <c r="H90" s="117"/>
      <c r="I90" s="116" t="s">
        <v>211</v>
      </c>
      <c r="J90" s="116" t="s">
        <v>200</v>
      </c>
      <c r="K90" s="116" t="s">
        <v>1017</v>
      </c>
      <c r="L90" s="116" t="s">
        <v>1080</v>
      </c>
      <c r="M90" s="116" t="s">
        <v>1080</v>
      </c>
      <c r="N90" s="116" t="s">
        <v>1080</v>
      </c>
      <c r="O90" s="116" t="s">
        <v>1080</v>
      </c>
      <c r="P90" s="116" t="s">
        <v>1080</v>
      </c>
      <c r="Q90" s="116" t="s">
        <v>1080</v>
      </c>
      <c r="R90" s="116" t="s">
        <v>1080</v>
      </c>
      <c r="S90" s="116" t="s">
        <v>1080</v>
      </c>
      <c r="T90" s="116" t="s">
        <v>1080</v>
      </c>
      <c r="U90" s="116" t="s">
        <v>1080</v>
      </c>
      <c r="V90" s="116" t="s">
        <v>1080</v>
      </c>
      <c r="W90" s="116" t="s">
        <v>1080</v>
      </c>
      <c r="X90" s="116" t="s">
        <v>1080</v>
      </c>
      <c r="Y90" s="225"/>
      <c r="Z90" s="294"/>
    </row>
    <row r="91" spans="1:26" s="5" customFormat="1" ht="334.15" customHeight="1" x14ac:dyDescent="0.15">
      <c r="A91" s="26">
        <f t="shared" si="1"/>
        <v>88</v>
      </c>
      <c r="B91" s="27" t="s">
        <v>1286</v>
      </c>
      <c r="C91" s="27" t="s">
        <v>1287</v>
      </c>
      <c r="D91" s="17" t="s">
        <v>237</v>
      </c>
      <c r="E91" s="17">
        <v>255</v>
      </c>
      <c r="F91" s="17" t="s">
        <v>1005</v>
      </c>
      <c r="G91" s="17"/>
      <c r="H91" s="18" t="s">
        <v>1288</v>
      </c>
      <c r="I91" s="17" t="s">
        <v>211</v>
      </c>
      <c r="J91" s="17" t="s">
        <v>172</v>
      </c>
      <c r="K91" s="17" t="s">
        <v>1020</v>
      </c>
      <c r="L91" s="17" t="s">
        <v>1289</v>
      </c>
      <c r="M91" s="17" t="s">
        <v>1290</v>
      </c>
      <c r="N91" s="17" t="s">
        <v>1290</v>
      </c>
      <c r="O91" s="17" t="s">
        <v>1290</v>
      </c>
      <c r="P91" s="116" t="s">
        <v>1291</v>
      </c>
      <c r="Q91" s="17" t="s">
        <v>1290</v>
      </c>
      <c r="R91" s="116" t="s">
        <v>1291</v>
      </c>
      <c r="S91" s="17" t="s">
        <v>1290</v>
      </c>
      <c r="T91" s="116" t="s">
        <v>1291</v>
      </c>
      <c r="U91" s="17" t="s">
        <v>1289</v>
      </c>
      <c r="V91" s="17" t="s">
        <v>1290</v>
      </c>
      <c r="W91" s="116" t="s">
        <v>1291</v>
      </c>
      <c r="X91" s="17" t="s">
        <v>1290</v>
      </c>
      <c r="Y91" s="223"/>
      <c r="Z91" s="294" t="s">
        <v>1292</v>
      </c>
    </row>
    <row r="92" spans="1:26" s="5" customFormat="1" ht="111" customHeight="1" x14ac:dyDescent="0.15">
      <c r="A92" s="26">
        <f t="shared" si="1"/>
        <v>89</v>
      </c>
      <c r="B92" s="27" t="s">
        <v>1293</v>
      </c>
      <c r="C92" s="27" t="s">
        <v>1294</v>
      </c>
      <c r="D92" s="17" t="s">
        <v>237</v>
      </c>
      <c r="E92" s="17">
        <v>255</v>
      </c>
      <c r="F92" s="17" t="s">
        <v>1005</v>
      </c>
      <c r="G92" s="17"/>
      <c r="H92" s="18" t="s">
        <v>1295</v>
      </c>
      <c r="I92" s="17" t="s">
        <v>211</v>
      </c>
      <c r="J92" s="17" t="s">
        <v>172</v>
      </c>
      <c r="K92" s="17" t="s">
        <v>1020</v>
      </c>
      <c r="L92" s="17" t="s">
        <v>1296</v>
      </c>
      <c r="M92" s="17" t="s">
        <v>1080</v>
      </c>
      <c r="N92" s="17" t="s">
        <v>1080</v>
      </c>
      <c r="O92" s="17" t="s">
        <v>1080</v>
      </c>
      <c r="P92" s="116" t="s">
        <v>1080</v>
      </c>
      <c r="Q92" s="17" t="s">
        <v>1080</v>
      </c>
      <c r="R92" s="116" t="s">
        <v>1080</v>
      </c>
      <c r="S92" s="17" t="s">
        <v>1080</v>
      </c>
      <c r="T92" s="116" t="s">
        <v>1080</v>
      </c>
      <c r="U92" s="17" t="s">
        <v>1080</v>
      </c>
      <c r="V92" s="17" t="s">
        <v>1080</v>
      </c>
      <c r="W92" s="116" t="s">
        <v>1080</v>
      </c>
      <c r="X92" s="17" t="s">
        <v>1297</v>
      </c>
      <c r="Y92" s="223"/>
      <c r="Z92" s="294" t="s">
        <v>598</v>
      </c>
    </row>
    <row r="93" spans="1:26" s="5" customFormat="1" ht="214.15" customHeight="1" x14ac:dyDescent="0.15">
      <c r="A93" s="26">
        <f t="shared" si="1"/>
        <v>90</v>
      </c>
      <c r="B93" s="27" t="s">
        <v>1298</v>
      </c>
      <c r="C93" s="27" t="s">
        <v>1299</v>
      </c>
      <c r="D93" s="17" t="s">
        <v>237</v>
      </c>
      <c r="E93" s="17">
        <v>255</v>
      </c>
      <c r="F93" s="17" t="s">
        <v>1005</v>
      </c>
      <c r="G93" s="17"/>
      <c r="H93" s="18" t="s">
        <v>1300</v>
      </c>
      <c r="I93" s="17" t="s">
        <v>211</v>
      </c>
      <c r="J93" s="17" t="s">
        <v>172</v>
      </c>
      <c r="K93" s="17" t="s">
        <v>1020</v>
      </c>
      <c r="L93" s="17" t="s">
        <v>1138</v>
      </c>
      <c r="M93" s="17" t="s">
        <v>1138</v>
      </c>
      <c r="N93" s="17" t="s">
        <v>1138</v>
      </c>
      <c r="O93" s="17" t="s">
        <v>1301</v>
      </c>
      <c r="P93" s="116" t="s">
        <v>1138</v>
      </c>
      <c r="Q93" s="17" t="s">
        <v>1301</v>
      </c>
      <c r="R93" s="116" t="s">
        <v>1138</v>
      </c>
      <c r="S93" s="299" t="s">
        <v>1138</v>
      </c>
      <c r="T93" s="116" t="s">
        <v>1138</v>
      </c>
      <c r="U93" s="299" t="s">
        <v>1138</v>
      </c>
      <c r="V93" s="299" t="s">
        <v>1301</v>
      </c>
      <c r="W93" s="116" t="s">
        <v>1138</v>
      </c>
      <c r="X93" s="17" t="s">
        <v>1138</v>
      </c>
      <c r="Y93" s="40"/>
      <c r="Z93" s="294" t="s">
        <v>1302</v>
      </c>
    </row>
    <row r="94" spans="1:26" s="5" customFormat="1" ht="22.15" customHeight="1" x14ac:dyDescent="0.15">
      <c r="A94" s="115">
        <f>A93+1</f>
        <v>91</v>
      </c>
      <c r="B94" s="121" t="s">
        <v>816</v>
      </c>
      <c r="C94" s="121" t="s">
        <v>1303</v>
      </c>
      <c r="D94" s="116" t="s">
        <v>237</v>
      </c>
      <c r="E94" s="116">
        <v>30</v>
      </c>
      <c r="F94" s="116" t="s">
        <v>1005</v>
      </c>
      <c r="G94" s="116"/>
      <c r="H94" s="117"/>
      <c r="I94" s="116" t="s">
        <v>211</v>
      </c>
      <c r="J94" s="116" t="s">
        <v>200</v>
      </c>
      <c r="K94" s="116" t="s">
        <v>1017</v>
      </c>
      <c r="L94" s="116" t="s">
        <v>1080</v>
      </c>
      <c r="M94" s="116" t="s">
        <v>1080</v>
      </c>
      <c r="N94" s="116" t="s">
        <v>1080</v>
      </c>
      <c r="O94" s="116" t="s">
        <v>1080</v>
      </c>
      <c r="P94" s="116" t="s">
        <v>1080</v>
      </c>
      <c r="Q94" s="116" t="s">
        <v>1080</v>
      </c>
      <c r="R94" s="116" t="s">
        <v>1080</v>
      </c>
      <c r="S94" s="116" t="s">
        <v>1080</v>
      </c>
      <c r="T94" s="116" t="s">
        <v>1080</v>
      </c>
      <c r="U94" s="116" t="s">
        <v>1080</v>
      </c>
      <c r="V94" s="116" t="s">
        <v>1080</v>
      </c>
      <c r="W94" s="116" t="s">
        <v>1080</v>
      </c>
      <c r="X94" s="116" t="s">
        <v>1080</v>
      </c>
      <c r="Y94" s="221"/>
      <c r="Z94" s="294"/>
    </row>
    <row r="95" spans="1:26" s="5" customFormat="1" ht="22.15" customHeight="1" x14ac:dyDescent="0.15">
      <c r="A95" s="115">
        <f t="shared" si="1"/>
        <v>92</v>
      </c>
      <c r="B95" s="121" t="s">
        <v>1304</v>
      </c>
      <c r="C95" s="121" t="s">
        <v>1305</v>
      </c>
      <c r="D95" s="116" t="s">
        <v>237</v>
      </c>
      <c r="E95" s="116">
        <v>20</v>
      </c>
      <c r="F95" s="116" t="s">
        <v>1005</v>
      </c>
      <c r="G95" s="116"/>
      <c r="H95" s="117"/>
      <c r="I95" s="116" t="s">
        <v>211</v>
      </c>
      <c r="J95" s="116" t="s">
        <v>200</v>
      </c>
      <c r="K95" s="116" t="s">
        <v>1017</v>
      </c>
      <c r="L95" s="116" t="s">
        <v>1080</v>
      </c>
      <c r="M95" s="116" t="s">
        <v>1080</v>
      </c>
      <c r="N95" s="116" t="s">
        <v>1080</v>
      </c>
      <c r="O95" s="116" t="s">
        <v>1080</v>
      </c>
      <c r="P95" s="116" t="s">
        <v>1080</v>
      </c>
      <c r="Q95" s="116" t="s">
        <v>1080</v>
      </c>
      <c r="R95" s="116" t="s">
        <v>1080</v>
      </c>
      <c r="S95" s="116" t="s">
        <v>1080</v>
      </c>
      <c r="T95" s="116" t="s">
        <v>1080</v>
      </c>
      <c r="U95" s="116" t="s">
        <v>1080</v>
      </c>
      <c r="V95" s="116" t="s">
        <v>1080</v>
      </c>
      <c r="W95" s="116" t="s">
        <v>1080</v>
      </c>
      <c r="X95" s="116" t="s">
        <v>1080</v>
      </c>
      <c r="Y95" s="225" t="s">
        <v>1306</v>
      </c>
      <c r="Z95" s="294"/>
    </row>
    <row r="96" spans="1:26" s="5" customFormat="1" ht="22.5" customHeight="1" x14ac:dyDescent="0.15">
      <c r="A96" s="115">
        <f t="shared" si="1"/>
        <v>93</v>
      </c>
      <c r="B96" s="121" t="s">
        <v>1307</v>
      </c>
      <c r="C96" s="121" t="s">
        <v>1308</v>
      </c>
      <c r="D96" s="116" t="s">
        <v>1215</v>
      </c>
      <c r="E96" s="116">
        <v>7</v>
      </c>
      <c r="F96" s="116" t="s">
        <v>1005</v>
      </c>
      <c r="G96" s="116"/>
      <c r="H96" s="117"/>
      <c r="I96" s="116" t="s">
        <v>211</v>
      </c>
      <c r="J96" s="116" t="s">
        <v>200</v>
      </c>
      <c r="K96" s="116" t="s">
        <v>1017</v>
      </c>
      <c r="L96" s="116" t="s">
        <v>1080</v>
      </c>
      <c r="M96" s="116" t="s">
        <v>1080</v>
      </c>
      <c r="N96" s="116" t="s">
        <v>1080</v>
      </c>
      <c r="O96" s="116" t="s">
        <v>1080</v>
      </c>
      <c r="P96" s="116" t="s">
        <v>1080</v>
      </c>
      <c r="Q96" s="116" t="s">
        <v>1080</v>
      </c>
      <c r="R96" s="116" t="s">
        <v>1080</v>
      </c>
      <c r="S96" s="116" t="s">
        <v>1080</v>
      </c>
      <c r="T96" s="116" t="s">
        <v>1080</v>
      </c>
      <c r="U96" s="116" t="s">
        <v>1080</v>
      </c>
      <c r="V96" s="116" t="s">
        <v>1080</v>
      </c>
      <c r="W96" s="116" t="s">
        <v>1080</v>
      </c>
      <c r="X96" s="116" t="s">
        <v>1080</v>
      </c>
      <c r="Y96" s="225"/>
      <c r="Z96" s="294"/>
    </row>
    <row r="97" spans="1:26" s="5" customFormat="1" ht="22.5" customHeight="1" x14ac:dyDescent="0.15">
      <c r="A97" s="115">
        <f t="shared" si="1"/>
        <v>94</v>
      </c>
      <c r="B97" s="121" t="s">
        <v>1309</v>
      </c>
      <c r="C97" s="121" t="s">
        <v>1310</v>
      </c>
      <c r="D97" s="116" t="s">
        <v>246</v>
      </c>
      <c r="E97" s="116"/>
      <c r="F97" s="116" t="s">
        <v>1005</v>
      </c>
      <c r="G97" s="116"/>
      <c r="H97" s="117" t="s">
        <v>1311</v>
      </c>
      <c r="I97" s="116" t="s">
        <v>211</v>
      </c>
      <c r="J97" s="116" t="s">
        <v>200</v>
      </c>
      <c r="K97" s="116" t="s">
        <v>1017</v>
      </c>
      <c r="L97" s="116" t="s">
        <v>1080</v>
      </c>
      <c r="M97" s="116" t="s">
        <v>1080</v>
      </c>
      <c r="N97" s="116" t="s">
        <v>1080</v>
      </c>
      <c r="O97" s="116" t="s">
        <v>1080</v>
      </c>
      <c r="P97" s="116" t="s">
        <v>1080</v>
      </c>
      <c r="Q97" s="116" t="s">
        <v>1080</v>
      </c>
      <c r="R97" s="116" t="s">
        <v>1080</v>
      </c>
      <c r="S97" s="116" t="s">
        <v>1080</v>
      </c>
      <c r="T97" s="116" t="s">
        <v>1080</v>
      </c>
      <c r="U97" s="116" t="s">
        <v>1080</v>
      </c>
      <c r="V97" s="116" t="s">
        <v>1080</v>
      </c>
      <c r="W97" s="116" t="s">
        <v>1080</v>
      </c>
      <c r="X97" s="116" t="s">
        <v>1080</v>
      </c>
      <c r="Y97" s="225" t="s">
        <v>1312</v>
      </c>
      <c r="Z97" s="294"/>
    </row>
    <row r="98" spans="1:26" s="5" customFormat="1" ht="92.45" customHeight="1" x14ac:dyDescent="0.15">
      <c r="A98" s="26">
        <f t="shared" si="1"/>
        <v>95</v>
      </c>
      <c r="B98" s="27" t="s">
        <v>1313</v>
      </c>
      <c r="C98" s="27" t="s">
        <v>1314</v>
      </c>
      <c r="D98" s="17" t="s">
        <v>237</v>
      </c>
      <c r="E98" s="17">
        <v>20</v>
      </c>
      <c r="F98" s="17" t="s">
        <v>1005</v>
      </c>
      <c r="G98" s="17"/>
      <c r="H98" s="18"/>
      <c r="I98" s="17" t="s">
        <v>211</v>
      </c>
      <c r="J98" s="17" t="s">
        <v>172</v>
      </c>
      <c r="K98" s="17" t="s">
        <v>1020</v>
      </c>
      <c r="L98" s="17" t="s">
        <v>1315</v>
      </c>
      <c r="M98" s="21" t="s">
        <v>1316</v>
      </c>
      <c r="N98" s="21" t="s">
        <v>1316</v>
      </c>
      <c r="O98" s="17" t="s">
        <v>1317</v>
      </c>
      <c r="P98" s="116" t="s">
        <v>1315</v>
      </c>
      <c r="Q98" s="17" t="s">
        <v>1317</v>
      </c>
      <c r="R98" s="116" t="s">
        <v>1315</v>
      </c>
      <c r="S98" s="17" t="s">
        <v>1315</v>
      </c>
      <c r="T98" s="116" t="s">
        <v>1315</v>
      </c>
      <c r="U98" s="17" t="s">
        <v>1315</v>
      </c>
      <c r="V98" s="17" t="s">
        <v>1315</v>
      </c>
      <c r="W98" s="116" t="s">
        <v>1315</v>
      </c>
      <c r="X98" s="17" t="s">
        <v>1315</v>
      </c>
      <c r="Y98" s="40"/>
      <c r="Z98" s="294" t="s">
        <v>1023</v>
      </c>
    </row>
    <row r="99" spans="1:26" s="5" customFormat="1" ht="22.5" x14ac:dyDescent="0.15">
      <c r="A99" s="115">
        <f t="shared" si="1"/>
        <v>96</v>
      </c>
      <c r="B99" s="121" t="s">
        <v>1318</v>
      </c>
      <c r="C99" s="121" t="s">
        <v>1319</v>
      </c>
      <c r="D99" s="116" t="s">
        <v>237</v>
      </c>
      <c r="E99" s="116">
        <v>5</v>
      </c>
      <c r="F99" s="116" t="s">
        <v>1005</v>
      </c>
      <c r="G99" s="116"/>
      <c r="H99" s="117"/>
      <c r="I99" s="116" t="s">
        <v>211</v>
      </c>
      <c r="J99" s="116" t="s">
        <v>200</v>
      </c>
      <c r="K99" s="116" t="s">
        <v>1017</v>
      </c>
      <c r="L99" s="116" t="s">
        <v>1080</v>
      </c>
      <c r="M99" s="116" t="s">
        <v>1080</v>
      </c>
      <c r="N99" s="116" t="s">
        <v>1080</v>
      </c>
      <c r="O99" s="116" t="s">
        <v>1080</v>
      </c>
      <c r="P99" s="116" t="s">
        <v>1080</v>
      </c>
      <c r="Q99" s="116" t="s">
        <v>1080</v>
      </c>
      <c r="R99" s="116" t="s">
        <v>1080</v>
      </c>
      <c r="S99" s="116" t="s">
        <v>1080</v>
      </c>
      <c r="T99" s="116" t="s">
        <v>1080</v>
      </c>
      <c r="U99" s="116" t="s">
        <v>1080</v>
      </c>
      <c r="V99" s="116" t="s">
        <v>1080</v>
      </c>
      <c r="W99" s="116" t="s">
        <v>1080</v>
      </c>
      <c r="X99" s="116" t="s">
        <v>1080</v>
      </c>
      <c r="Y99" s="225"/>
      <c r="Z99" s="294"/>
    </row>
    <row r="100" spans="1:26" s="5" customFormat="1" ht="22.5" customHeight="1" x14ac:dyDescent="0.15">
      <c r="A100" s="115">
        <f t="shared" si="1"/>
        <v>97</v>
      </c>
      <c r="B100" s="121" t="s">
        <v>1320</v>
      </c>
      <c r="C100" s="121" t="s">
        <v>1321</v>
      </c>
      <c r="D100" s="116" t="s">
        <v>237</v>
      </c>
      <c r="E100" s="116">
        <v>10</v>
      </c>
      <c r="F100" s="116" t="s">
        <v>1005</v>
      </c>
      <c r="G100" s="116"/>
      <c r="H100" s="117"/>
      <c r="I100" s="116" t="s">
        <v>211</v>
      </c>
      <c r="J100" s="116" t="s">
        <v>200</v>
      </c>
      <c r="K100" s="116" t="s">
        <v>1017</v>
      </c>
      <c r="L100" s="116" t="s">
        <v>1080</v>
      </c>
      <c r="M100" s="116" t="s">
        <v>1080</v>
      </c>
      <c r="N100" s="116" t="s">
        <v>1080</v>
      </c>
      <c r="O100" s="116" t="s">
        <v>1080</v>
      </c>
      <c r="P100" s="116" t="s">
        <v>1080</v>
      </c>
      <c r="Q100" s="116" t="s">
        <v>1080</v>
      </c>
      <c r="R100" s="116" t="s">
        <v>1080</v>
      </c>
      <c r="S100" s="116" t="s">
        <v>1080</v>
      </c>
      <c r="T100" s="116" t="s">
        <v>1080</v>
      </c>
      <c r="U100" s="116" t="s">
        <v>1080</v>
      </c>
      <c r="V100" s="116" t="s">
        <v>1080</v>
      </c>
      <c r="W100" s="116" t="s">
        <v>1080</v>
      </c>
      <c r="X100" s="116" t="s">
        <v>1080</v>
      </c>
      <c r="Y100" s="225"/>
      <c r="Z100" s="294"/>
    </row>
    <row r="101" spans="1:26" s="5" customFormat="1" ht="22.5" customHeight="1" x14ac:dyDescent="0.15">
      <c r="A101" s="115">
        <f t="shared" si="1"/>
        <v>98</v>
      </c>
      <c r="B101" s="121" t="s">
        <v>1322</v>
      </c>
      <c r="C101" s="121" t="s">
        <v>1323</v>
      </c>
      <c r="D101" s="116" t="s">
        <v>237</v>
      </c>
      <c r="E101" s="116">
        <v>5</v>
      </c>
      <c r="F101" s="116" t="s">
        <v>1005</v>
      </c>
      <c r="G101" s="116"/>
      <c r="H101" s="117"/>
      <c r="I101" s="116" t="s">
        <v>211</v>
      </c>
      <c r="J101" s="116" t="s">
        <v>200</v>
      </c>
      <c r="K101" s="116" t="s">
        <v>1017</v>
      </c>
      <c r="L101" s="116" t="s">
        <v>1080</v>
      </c>
      <c r="M101" s="116" t="s">
        <v>1080</v>
      </c>
      <c r="N101" s="116" t="s">
        <v>1080</v>
      </c>
      <c r="O101" s="116" t="s">
        <v>1080</v>
      </c>
      <c r="P101" s="116" t="s">
        <v>1080</v>
      </c>
      <c r="Q101" s="116" t="s">
        <v>1080</v>
      </c>
      <c r="R101" s="116" t="s">
        <v>1080</v>
      </c>
      <c r="S101" s="116" t="s">
        <v>1080</v>
      </c>
      <c r="T101" s="116" t="s">
        <v>1080</v>
      </c>
      <c r="U101" s="116" t="s">
        <v>1080</v>
      </c>
      <c r="V101" s="116" t="s">
        <v>1080</v>
      </c>
      <c r="W101" s="116" t="s">
        <v>1080</v>
      </c>
      <c r="X101" s="116" t="s">
        <v>1080</v>
      </c>
      <c r="Y101" s="225"/>
      <c r="Z101" s="294"/>
    </row>
    <row r="102" spans="1:26" s="5" customFormat="1" ht="22.5" customHeight="1" x14ac:dyDescent="0.15">
      <c r="A102" s="115">
        <f t="shared" si="1"/>
        <v>99</v>
      </c>
      <c r="B102" s="121" t="s">
        <v>1324</v>
      </c>
      <c r="C102" s="121" t="s">
        <v>1325</v>
      </c>
      <c r="D102" s="116" t="s">
        <v>237</v>
      </c>
      <c r="E102" s="116">
        <v>10</v>
      </c>
      <c r="F102" s="116" t="s">
        <v>1005</v>
      </c>
      <c r="G102" s="116"/>
      <c r="H102" s="117"/>
      <c r="I102" s="116" t="s">
        <v>211</v>
      </c>
      <c r="J102" s="116" t="s">
        <v>200</v>
      </c>
      <c r="K102" s="116" t="s">
        <v>1017</v>
      </c>
      <c r="L102" s="116" t="s">
        <v>1080</v>
      </c>
      <c r="M102" s="116" t="s">
        <v>1080</v>
      </c>
      <c r="N102" s="116" t="s">
        <v>1080</v>
      </c>
      <c r="O102" s="116" t="s">
        <v>1080</v>
      </c>
      <c r="P102" s="116" t="s">
        <v>1080</v>
      </c>
      <c r="Q102" s="116" t="s">
        <v>1080</v>
      </c>
      <c r="R102" s="116" t="s">
        <v>1080</v>
      </c>
      <c r="S102" s="116" t="s">
        <v>1080</v>
      </c>
      <c r="T102" s="116" t="s">
        <v>1080</v>
      </c>
      <c r="U102" s="116" t="s">
        <v>1080</v>
      </c>
      <c r="V102" s="116" t="s">
        <v>1080</v>
      </c>
      <c r="W102" s="116" t="s">
        <v>1080</v>
      </c>
      <c r="X102" s="116" t="s">
        <v>1080</v>
      </c>
      <c r="Y102" s="225"/>
      <c r="Z102" s="294"/>
    </row>
    <row r="103" spans="1:26" s="5" customFormat="1" ht="22.5" customHeight="1" x14ac:dyDescent="0.15">
      <c r="A103" s="115">
        <f t="shared" si="1"/>
        <v>100</v>
      </c>
      <c r="B103" s="121" t="s">
        <v>1326</v>
      </c>
      <c r="C103" s="121" t="s">
        <v>1327</v>
      </c>
      <c r="D103" s="116" t="s">
        <v>237</v>
      </c>
      <c r="E103" s="116">
        <v>5</v>
      </c>
      <c r="F103" s="116" t="s">
        <v>1005</v>
      </c>
      <c r="G103" s="116"/>
      <c r="H103" s="117"/>
      <c r="I103" s="116" t="s">
        <v>211</v>
      </c>
      <c r="J103" s="116" t="s">
        <v>200</v>
      </c>
      <c r="K103" s="116" t="s">
        <v>1017</v>
      </c>
      <c r="L103" s="116" t="s">
        <v>1080</v>
      </c>
      <c r="M103" s="116" t="s">
        <v>1080</v>
      </c>
      <c r="N103" s="116" t="s">
        <v>1080</v>
      </c>
      <c r="O103" s="116" t="s">
        <v>1080</v>
      </c>
      <c r="P103" s="116" t="s">
        <v>1080</v>
      </c>
      <c r="Q103" s="116" t="s">
        <v>1080</v>
      </c>
      <c r="R103" s="116" t="s">
        <v>1080</v>
      </c>
      <c r="S103" s="116" t="s">
        <v>1080</v>
      </c>
      <c r="T103" s="116" t="s">
        <v>1080</v>
      </c>
      <c r="U103" s="116" t="s">
        <v>1080</v>
      </c>
      <c r="V103" s="116" t="s">
        <v>1080</v>
      </c>
      <c r="W103" s="116" t="s">
        <v>1080</v>
      </c>
      <c r="X103" s="116" t="s">
        <v>1080</v>
      </c>
      <c r="Y103" s="225"/>
      <c r="Z103" s="294"/>
    </row>
    <row r="104" spans="1:26" s="5" customFormat="1" ht="22.5" x14ac:dyDescent="0.15">
      <c r="A104" s="314">
        <f t="shared" si="1"/>
        <v>101</v>
      </c>
      <c r="B104" s="315" t="s">
        <v>1328</v>
      </c>
      <c r="C104" s="315" t="s">
        <v>1329</v>
      </c>
      <c r="D104" s="316" t="s">
        <v>237</v>
      </c>
      <c r="E104" s="316">
        <v>255</v>
      </c>
      <c r="F104" s="316" t="s">
        <v>1005</v>
      </c>
      <c r="G104" s="316"/>
      <c r="H104" s="317"/>
      <c r="I104" s="316" t="s">
        <v>211</v>
      </c>
      <c r="J104" s="316" t="s">
        <v>200</v>
      </c>
      <c r="K104" s="316" t="s">
        <v>1017</v>
      </c>
      <c r="L104" s="316" t="s">
        <v>1080</v>
      </c>
      <c r="M104" s="316" t="s">
        <v>1080</v>
      </c>
      <c r="N104" s="316" t="s">
        <v>1080</v>
      </c>
      <c r="O104" s="316" t="s">
        <v>1080</v>
      </c>
      <c r="P104" s="316" t="s">
        <v>1080</v>
      </c>
      <c r="Q104" s="316" t="s">
        <v>1080</v>
      </c>
      <c r="R104" s="316" t="s">
        <v>1080</v>
      </c>
      <c r="S104" s="316" t="s">
        <v>1080</v>
      </c>
      <c r="T104" s="316" t="s">
        <v>1080</v>
      </c>
      <c r="U104" s="316" t="s">
        <v>1080</v>
      </c>
      <c r="V104" s="316" t="s">
        <v>1080</v>
      </c>
      <c r="W104" s="316" t="s">
        <v>1080</v>
      </c>
      <c r="X104" s="316" t="s">
        <v>1080</v>
      </c>
      <c r="Y104" s="318"/>
      <c r="Z104" s="294" t="s">
        <v>1040</v>
      </c>
    </row>
    <row r="105" spans="1:26" s="5" customFormat="1" ht="93.6" customHeight="1" x14ac:dyDescent="0.15">
      <c r="A105" s="26">
        <f t="shared" si="1"/>
        <v>102</v>
      </c>
      <c r="B105" s="27" t="s">
        <v>1330</v>
      </c>
      <c r="C105" s="27" t="s">
        <v>1331</v>
      </c>
      <c r="D105" s="17" t="s">
        <v>237</v>
      </c>
      <c r="E105" s="17">
        <v>255</v>
      </c>
      <c r="F105" s="17" t="s">
        <v>1005</v>
      </c>
      <c r="G105" s="17"/>
      <c r="H105" s="18"/>
      <c r="I105" s="17" t="s">
        <v>211</v>
      </c>
      <c r="J105" s="17" t="s">
        <v>172</v>
      </c>
      <c r="K105" s="17" t="s">
        <v>1020</v>
      </c>
      <c r="L105" s="21" t="s">
        <v>1332</v>
      </c>
      <c r="M105" s="17" t="s">
        <v>1333</v>
      </c>
      <c r="N105" s="17" t="s">
        <v>1333</v>
      </c>
      <c r="O105" s="17" t="s">
        <v>1333</v>
      </c>
      <c r="P105" s="116" t="s">
        <v>1333</v>
      </c>
      <c r="Q105" s="17" t="s">
        <v>1333</v>
      </c>
      <c r="R105" s="116" t="s">
        <v>1333</v>
      </c>
      <c r="S105" s="17" t="s">
        <v>1333</v>
      </c>
      <c r="T105" s="116" t="s">
        <v>1333</v>
      </c>
      <c r="U105" s="17" t="s">
        <v>1333</v>
      </c>
      <c r="V105" s="17" t="s">
        <v>1333</v>
      </c>
      <c r="W105" s="116" t="s">
        <v>1333</v>
      </c>
      <c r="X105" s="17" t="s">
        <v>1333</v>
      </c>
      <c r="Y105" s="40"/>
      <c r="Z105" s="294"/>
    </row>
    <row r="106" spans="1:26" s="5" customFormat="1" ht="22.5" x14ac:dyDescent="0.15">
      <c r="A106" s="115">
        <f t="shared" si="1"/>
        <v>103</v>
      </c>
      <c r="B106" s="121" t="s">
        <v>1334</v>
      </c>
      <c r="C106" s="121" t="s">
        <v>1335</v>
      </c>
      <c r="D106" s="116" t="s">
        <v>237</v>
      </c>
      <c r="E106" s="116">
        <v>255</v>
      </c>
      <c r="F106" s="116" t="s">
        <v>1005</v>
      </c>
      <c r="G106" s="116"/>
      <c r="H106" s="117"/>
      <c r="I106" s="116" t="s">
        <v>211</v>
      </c>
      <c r="J106" s="116" t="s">
        <v>200</v>
      </c>
      <c r="K106" s="116" t="s">
        <v>1017</v>
      </c>
      <c r="L106" s="116" t="s">
        <v>1080</v>
      </c>
      <c r="M106" s="116" t="s">
        <v>1080</v>
      </c>
      <c r="N106" s="116" t="s">
        <v>1080</v>
      </c>
      <c r="O106" s="116" t="s">
        <v>1080</v>
      </c>
      <c r="P106" s="116" t="s">
        <v>1080</v>
      </c>
      <c r="Q106" s="116" t="s">
        <v>1080</v>
      </c>
      <c r="R106" s="116" t="s">
        <v>1080</v>
      </c>
      <c r="S106" s="116" t="s">
        <v>1080</v>
      </c>
      <c r="T106" s="116" t="s">
        <v>1080</v>
      </c>
      <c r="U106" s="116" t="s">
        <v>1080</v>
      </c>
      <c r="V106" s="116" t="s">
        <v>1080</v>
      </c>
      <c r="W106" s="116" t="s">
        <v>1080</v>
      </c>
      <c r="X106" s="116" t="s">
        <v>1080</v>
      </c>
      <c r="Y106" s="221"/>
      <c r="Z106" s="294"/>
    </row>
    <row r="107" spans="1:26" s="5" customFormat="1" ht="22.5" x14ac:dyDescent="0.15">
      <c r="A107" s="115">
        <f t="shared" si="1"/>
        <v>104</v>
      </c>
      <c r="B107" s="121" t="s">
        <v>1336</v>
      </c>
      <c r="C107" s="121" t="s">
        <v>1337</v>
      </c>
      <c r="D107" s="116" t="s">
        <v>250</v>
      </c>
      <c r="E107" s="116"/>
      <c r="F107" s="116" t="s">
        <v>1005</v>
      </c>
      <c r="G107" s="116"/>
      <c r="H107" s="117"/>
      <c r="I107" s="116" t="s">
        <v>211</v>
      </c>
      <c r="J107" s="116" t="s">
        <v>200</v>
      </c>
      <c r="K107" s="116" t="s">
        <v>1017</v>
      </c>
      <c r="L107" s="116" t="s">
        <v>1080</v>
      </c>
      <c r="M107" s="116" t="s">
        <v>1080</v>
      </c>
      <c r="N107" s="116" t="s">
        <v>1080</v>
      </c>
      <c r="O107" s="116" t="s">
        <v>1080</v>
      </c>
      <c r="P107" s="116" t="s">
        <v>1080</v>
      </c>
      <c r="Q107" s="116" t="s">
        <v>1080</v>
      </c>
      <c r="R107" s="116" t="s">
        <v>1080</v>
      </c>
      <c r="S107" s="116" t="s">
        <v>1080</v>
      </c>
      <c r="T107" s="116" t="s">
        <v>1080</v>
      </c>
      <c r="U107" s="116" t="s">
        <v>1080</v>
      </c>
      <c r="V107" s="116" t="s">
        <v>1080</v>
      </c>
      <c r="W107" s="116" t="s">
        <v>1080</v>
      </c>
      <c r="X107" s="116" t="s">
        <v>1080</v>
      </c>
      <c r="Y107" s="225"/>
      <c r="Z107" s="294"/>
    </row>
    <row r="108" spans="1:26" s="5" customFormat="1" ht="22.5" x14ac:dyDescent="0.15">
      <c r="A108" s="115">
        <f t="shared" si="1"/>
        <v>105</v>
      </c>
      <c r="B108" s="121" t="s">
        <v>1338</v>
      </c>
      <c r="C108" s="121" t="s">
        <v>1339</v>
      </c>
      <c r="D108" s="116" t="s">
        <v>246</v>
      </c>
      <c r="E108" s="116"/>
      <c r="F108" s="116" t="s">
        <v>1005</v>
      </c>
      <c r="G108" s="116"/>
      <c r="H108" s="117"/>
      <c r="I108" s="116" t="s">
        <v>211</v>
      </c>
      <c r="J108" s="116" t="s">
        <v>200</v>
      </c>
      <c r="K108" s="116" t="s">
        <v>1017</v>
      </c>
      <c r="L108" s="116" t="s">
        <v>1080</v>
      </c>
      <c r="M108" s="116" t="s">
        <v>1080</v>
      </c>
      <c r="N108" s="116" t="s">
        <v>1080</v>
      </c>
      <c r="O108" s="116" t="s">
        <v>1080</v>
      </c>
      <c r="P108" s="116" t="s">
        <v>1080</v>
      </c>
      <c r="Q108" s="116" t="s">
        <v>1080</v>
      </c>
      <c r="R108" s="116" t="s">
        <v>1080</v>
      </c>
      <c r="S108" s="116" t="s">
        <v>1080</v>
      </c>
      <c r="T108" s="116" t="s">
        <v>1080</v>
      </c>
      <c r="U108" s="116" t="s">
        <v>1080</v>
      </c>
      <c r="V108" s="116" t="s">
        <v>1080</v>
      </c>
      <c r="W108" s="116" t="s">
        <v>1080</v>
      </c>
      <c r="X108" s="116" t="s">
        <v>1080</v>
      </c>
      <c r="Y108" s="221"/>
      <c r="Z108" s="294"/>
    </row>
    <row r="109" spans="1:26" s="5" customFormat="1" ht="22.5" x14ac:dyDescent="0.15">
      <c r="A109" s="115">
        <f t="shared" si="1"/>
        <v>106</v>
      </c>
      <c r="B109" s="121" t="s">
        <v>1340</v>
      </c>
      <c r="C109" s="121" t="s">
        <v>1341</v>
      </c>
      <c r="D109" s="116" t="s">
        <v>250</v>
      </c>
      <c r="E109" s="116"/>
      <c r="F109" s="116" t="s">
        <v>1005</v>
      </c>
      <c r="G109" s="116"/>
      <c r="H109" s="117"/>
      <c r="I109" s="116" t="s">
        <v>211</v>
      </c>
      <c r="J109" s="116" t="s">
        <v>200</v>
      </c>
      <c r="K109" s="116" t="s">
        <v>1017</v>
      </c>
      <c r="L109" s="116" t="s">
        <v>1080</v>
      </c>
      <c r="M109" s="116" t="s">
        <v>1080</v>
      </c>
      <c r="N109" s="116" t="s">
        <v>1080</v>
      </c>
      <c r="O109" s="116" t="s">
        <v>1080</v>
      </c>
      <c r="P109" s="116" t="s">
        <v>1080</v>
      </c>
      <c r="Q109" s="116" t="s">
        <v>1080</v>
      </c>
      <c r="R109" s="116" t="s">
        <v>1080</v>
      </c>
      <c r="S109" s="116" t="s">
        <v>1080</v>
      </c>
      <c r="T109" s="116" t="s">
        <v>1080</v>
      </c>
      <c r="U109" s="116" t="s">
        <v>1080</v>
      </c>
      <c r="V109" s="116" t="s">
        <v>1080</v>
      </c>
      <c r="W109" s="116" t="s">
        <v>1080</v>
      </c>
      <c r="X109" s="116" t="s">
        <v>1080</v>
      </c>
      <c r="Y109" s="225"/>
      <c r="Z109" s="294"/>
    </row>
    <row r="110" spans="1:26" s="5" customFormat="1" ht="22.5" x14ac:dyDescent="0.15">
      <c r="A110" s="115">
        <f t="shared" si="1"/>
        <v>107</v>
      </c>
      <c r="B110" s="121" t="s">
        <v>1342</v>
      </c>
      <c r="C110" s="121" t="s">
        <v>1343</v>
      </c>
      <c r="D110" s="116" t="s">
        <v>237</v>
      </c>
      <c r="E110" s="116">
        <v>255</v>
      </c>
      <c r="F110" s="116" t="s">
        <v>1005</v>
      </c>
      <c r="G110" s="116"/>
      <c r="H110" s="117"/>
      <c r="I110" s="116" t="s">
        <v>211</v>
      </c>
      <c r="J110" s="116" t="s">
        <v>200</v>
      </c>
      <c r="K110" s="116" t="s">
        <v>1017</v>
      </c>
      <c r="L110" s="116" t="s">
        <v>1080</v>
      </c>
      <c r="M110" s="116" t="s">
        <v>1080</v>
      </c>
      <c r="N110" s="116" t="s">
        <v>1080</v>
      </c>
      <c r="O110" s="116" t="s">
        <v>1080</v>
      </c>
      <c r="P110" s="116" t="s">
        <v>1080</v>
      </c>
      <c r="Q110" s="116" t="s">
        <v>1080</v>
      </c>
      <c r="R110" s="116" t="s">
        <v>1080</v>
      </c>
      <c r="S110" s="116" t="s">
        <v>1080</v>
      </c>
      <c r="T110" s="116" t="s">
        <v>1080</v>
      </c>
      <c r="U110" s="116" t="s">
        <v>1080</v>
      </c>
      <c r="V110" s="116" t="s">
        <v>1080</v>
      </c>
      <c r="W110" s="116" t="s">
        <v>1080</v>
      </c>
      <c r="X110" s="116" t="s">
        <v>1080</v>
      </c>
      <c r="Y110" s="225"/>
      <c r="Z110" s="294"/>
    </row>
    <row r="111" spans="1:26" s="5" customFormat="1" ht="22.5" x14ac:dyDescent="0.15">
      <c r="A111" s="115">
        <f t="shared" si="1"/>
        <v>108</v>
      </c>
      <c r="B111" s="121" t="s">
        <v>1344</v>
      </c>
      <c r="C111" s="121" t="s">
        <v>1345</v>
      </c>
      <c r="D111" s="116" t="s">
        <v>237</v>
      </c>
      <c r="E111" s="116">
        <v>2500</v>
      </c>
      <c r="F111" s="116" t="s">
        <v>1005</v>
      </c>
      <c r="G111" s="116"/>
      <c r="H111" s="117"/>
      <c r="I111" s="116" t="s">
        <v>211</v>
      </c>
      <c r="J111" s="116" t="s">
        <v>200</v>
      </c>
      <c r="K111" s="116" t="s">
        <v>1017</v>
      </c>
      <c r="L111" s="116" t="s">
        <v>1080</v>
      </c>
      <c r="M111" s="116" t="s">
        <v>1080</v>
      </c>
      <c r="N111" s="116" t="s">
        <v>1080</v>
      </c>
      <c r="O111" s="116" t="s">
        <v>1080</v>
      </c>
      <c r="P111" s="116" t="s">
        <v>1080</v>
      </c>
      <c r="Q111" s="116" t="s">
        <v>1080</v>
      </c>
      <c r="R111" s="116" t="s">
        <v>1080</v>
      </c>
      <c r="S111" s="116" t="s">
        <v>1080</v>
      </c>
      <c r="T111" s="116" t="s">
        <v>1080</v>
      </c>
      <c r="U111" s="116" t="s">
        <v>1080</v>
      </c>
      <c r="V111" s="116" t="s">
        <v>1080</v>
      </c>
      <c r="W111" s="116" t="s">
        <v>1080</v>
      </c>
      <c r="X111" s="116" t="s">
        <v>1080</v>
      </c>
      <c r="Y111" s="225"/>
      <c r="Z111" s="294"/>
    </row>
    <row r="112" spans="1:26" s="5" customFormat="1" ht="22.5" x14ac:dyDescent="0.15">
      <c r="A112" s="115">
        <f t="shared" si="1"/>
        <v>109</v>
      </c>
      <c r="B112" s="121" t="s">
        <v>1346</v>
      </c>
      <c r="C112" s="121" t="s">
        <v>1347</v>
      </c>
      <c r="D112" s="116" t="s">
        <v>355</v>
      </c>
      <c r="E112" s="116"/>
      <c r="F112" s="116" t="s">
        <v>1005</v>
      </c>
      <c r="G112" s="116"/>
      <c r="H112" s="117"/>
      <c r="I112" s="116" t="s">
        <v>211</v>
      </c>
      <c r="J112" s="116" t="s">
        <v>200</v>
      </c>
      <c r="K112" s="116" t="s">
        <v>1017</v>
      </c>
      <c r="L112" s="116" t="s">
        <v>1080</v>
      </c>
      <c r="M112" s="116" t="s">
        <v>1080</v>
      </c>
      <c r="N112" s="116" t="s">
        <v>1080</v>
      </c>
      <c r="O112" s="116" t="s">
        <v>1080</v>
      </c>
      <c r="P112" s="116" t="s">
        <v>1080</v>
      </c>
      <c r="Q112" s="116" t="s">
        <v>1080</v>
      </c>
      <c r="R112" s="116" t="s">
        <v>1080</v>
      </c>
      <c r="S112" s="116" t="s">
        <v>1080</v>
      </c>
      <c r="T112" s="116" t="s">
        <v>1080</v>
      </c>
      <c r="U112" s="116" t="s">
        <v>1080</v>
      </c>
      <c r="V112" s="116" t="s">
        <v>1080</v>
      </c>
      <c r="W112" s="116" t="s">
        <v>1080</v>
      </c>
      <c r="X112" s="116" t="s">
        <v>1080</v>
      </c>
      <c r="Y112" s="225"/>
      <c r="Z112" s="294"/>
    </row>
    <row r="113" spans="1:26" s="5" customFormat="1" ht="123.75" x14ac:dyDescent="0.15">
      <c r="A113" s="115">
        <f t="shared" si="1"/>
        <v>110</v>
      </c>
      <c r="B113" s="121" t="s">
        <v>1348</v>
      </c>
      <c r="C113" s="121" t="s">
        <v>1349</v>
      </c>
      <c r="D113" s="116" t="s">
        <v>246</v>
      </c>
      <c r="E113" s="116"/>
      <c r="F113" s="116" t="s">
        <v>1005</v>
      </c>
      <c r="G113" s="116"/>
      <c r="H113" s="117" t="s">
        <v>1350</v>
      </c>
      <c r="I113" s="116" t="s">
        <v>211</v>
      </c>
      <c r="J113" s="116" t="s">
        <v>200</v>
      </c>
      <c r="K113" s="116" t="s">
        <v>1017</v>
      </c>
      <c r="L113" s="116" t="s">
        <v>1080</v>
      </c>
      <c r="M113" s="116" t="s">
        <v>1080</v>
      </c>
      <c r="N113" s="116" t="s">
        <v>1080</v>
      </c>
      <c r="O113" s="116" t="s">
        <v>1080</v>
      </c>
      <c r="P113" s="116" t="s">
        <v>1080</v>
      </c>
      <c r="Q113" s="116" t="s">
        <v>1080</v>
      </c>
      <c r="R113" s="116" t="s">
        <v>1080</v>
      </c>
      <c r="S113" s="116" t="s">
        <v>1080</v>
      </c>
      <c r="T113" s="116" t="s">
        <v>1080</v>
      </c>
      <c r="U113" s="116" t="s">
        <v>1080</v>
      </c>
      <c r="V113" s="116" t="s">
        <v>1080</v>
      </c>
      <c r="W113" s="116" t="s">
        <v>1080</v>
      </c>
      <c r="X113" s="116" t="s">
        <v>1080</v>
      </c>
      <c r="Y113" s="225"/>
      <c r="Z113" s="294"/>
    </row>
    <row r="114" spans="1:26" s="5" customFormat="1" ht="168.75" x14ac:dyDescent="0.15">
      <c r="A114" s="115">
        <f t="shared" si="1"/>
        <v>111</v>
      </c>
      <c r="B114" s="121" t="s">
        <v>1351</v>
      </c>
      <c r="C114" s="121" t="s">
        <v>1352</v>
      </c>
      <c r="D114" s="116" t="s">
        <v>246</v>
      </c>
      <c r="E114" s="116"/>
      <c r="F114" s="116" t="s">
        <v>1005</v>
      </c>
      <c r="G114" s="116"/>
      <c r="H114" s="117" t="s">
        <v>1353</v>
      </c>
      <c r="I114" s="116" t="s">
        <v>211</v>
      </c>
      <c r="J114" s="116" t="s">
        <v>200</v>
      </c>
      <c r="K114" s="116" t="s">
        <v>1017</v>
      </c>
      <c r="L114" s="116" t="s">
        <v>1080</v>
      </c>
      <c r="M114" s="116" t="s">
        <v>1080</v>
      </c>
      <c r="N114" s="116" t="s">
        <v>1080</v>
      </c>
      <c r="O114" s="116" t="s">
        <v>1080</v>
      </c>
      <c r="P114" s="116" t="s">
        <v>1080</v>
      </c>
      <c r="Q114" s="116" t="s">
        <v>1080</v>
      </c>
      <c r="R114" s="116" t="s">
        <v>1080</v>
      </c>
      <c r="S114" s="116" t="s">
        <v>1080</v>
      </c>
      <c r="T114" s="116" t="s">
        <v>1080</v>
      </c>
      <c r="U114" s="116" t="s">
        <v>1080</v>
      </c>
      <c r="V114" s="116" t="s">
        <v>1080</v>
      </c>
      <c r="W114" s="116" t="s">
        <v>1080</v>
      </c>
      <c r="X114" s="116" t="s">
        <v>1080</v>
      </c>
      <c r="Y114" s="225"/>
      <c r="Z114" s="294"/>
    </row>
    <row r="115" spans="1:26" s="5" customFormat="1" ht="33.75" x14ac:dyDescent="0.15">
      <c r="A115" s="115">
        <f t="shared" si="1"/>
        <v>112</v>
      </c>
      <c r="B115" s="121" t="s">
        <v>1354</v>
      </c>
      <c r="C115" s="121" t="s">
        <v>1355</v>
      </c>
      <c r="D115" s="116" t="s">
        <v>237</v>
      </c>
      <c r="E115" s="116">
        <v>20</v>
      </c>
      <c r="F115" s="116" t="s">
        <v>1005</v>
      </c>
      <c r="G115" s="116"/>
      <c r="H115" s="117" t="s">
        <v>1356</v>
      </c>
      <c r="I115" s="116" t="s">
        <v>211</v>
      </c>
      <c r="J115" s="116" t="s">
        <v>200</v>
      </c>
      <c r="K115" s="116" t="s">
        <v>1017</v>
      </c>
      <c r="L115" s="116" t="s">
        <v>1080</v>
      </c>
      <c r="M115" s="116" t="s">
        <v>1080</v>
      </c>
      <c r="N115" s="116" t="s">
        <v>1080</v>
      </c>
      <c r="O115" s="116" t="s">
        <v>1080</v>
      </c>
      <c r="P115" s="116" t="s">
        <v>1080</v>
      </c>
      <c r="Q115" s="116" t="s">
        <v>1080</v>
      </c>
      <c r="R115" s="116" t="s">
        <v>1080</v>
      </c>
      <c r="S115" s="116" t="s">
        <v>1080</v>
      </c>
      <c r="T115" s="116" t="s">
        <v>1080</v>
      </c>
      <c r="U115" s="116" t="s">
        <v>1080</v>
      </c>
      <c r="V115" s="116" t="s">
        <v>1080</v>
      </c>
      <c r="W115" s="116" t="s">
        <v>1080</v>
      </c>
      <c r="X115" s="116" t="s">
        <v>1080</v>
      </c>
      <c r="Y115" s="225"/>
      <c r="Z115" s="294"/>
    </row>
    <row r="116" spans="1:26" s="5" customFormat="1" ht="56.25" x14ac:dyDescent="0.15">
      <c r="A116" s="115">
        <f t="shared" si="1"/>
        <v>113</v>
      </c>
      <c r="B116" s="121" t="s">
        <v>1357</v>
      </c>
      <c r="C116" s="121" t="s">
        <v>1358</v>
      </c>
      <c r="D116" s="116" t="s">
        <v>302</v>
      </c>
      <c r="E116" s="116"/>
      <c r="F116" s="116" t="s">
        <v>1005</v>
      </c>
      <c r="G116" s="116"/>
      <c r="H116" s="117" t="s">
        <v>1359</v>
      </c>
      <c r="I116" s="116" t="s">
        <v>211</v>
      </c>
      <c r="J116" s="116" t="s">
        <v>200</v>
      </c>
      <c r="K116" s="116" t="s">
        <v>1017</v>
      </c>
      <c r="L116" s="116" t="s">
        <v>1080</v>
      </c>
      <c r="M116" s="116" t="s">
        <v>1080</v>
      </c>
      <c r="N116" s="116" t="s">
        <v>1080</v>
      </c>
      <c r="O116" s="116" t="s">
        <v>1080</v>
      </c>
      <c r="P116" s="116" t="s">
        <v>1080</v>
      </c>
      <c r="Q116" s="116" t="s">
        <v>1080</v>
      </c>
      <c r="R116" s="116" t="s">
        <v>1080</v>
      </c>
      <c r="S116" s="116" t="s">
        <v>1080</v>
      </c>
      <c r="T116" s="116" t="s">
        <v>1080</v>
      </c>
      <c r="U116" s="116" t="s">
        <v>1080</v>
      </c>
      <c r="V116" s="116" t="s">
        <v>1080</v>
      </c>
      <c r="W116" s="116" t="s">
        <v>1080</v>
      </c>
      <c r="X116" s="116" t="s">
        <v>1080</v>
      </c>
      <c r="Y116" s="225"/>
      <c r="Z116" s="294"/>
    </row>
    <row r="117" spans="1:26" s="5" customFormat="1" ht="22.5" x14ac:dyDescent="0.15">
      <c r="A117" s="115">
        <f t="shared" si="1"/>
        <v>114</v>
      </c>
      <c r="B117" s="121" t="s">
        <v>1360</v>
      </c>
      <c r="C117" s="121" t="s">
        <v>1361</v>
      </c>
      <c r="D117" s="116" t="s">
        <v>246</v>
      </c>
      <c r="E117" s="116"/>
      <c r="F117" s="116" t="s">
        <v>1005</v>
      </c>
      <c r="G117" s="116"/>
      <c r="H117" s="117"/>
      <c r="I117" s="116" t="s">
        <v>211</v>
      </c>
      <c r="J117" s="116" t="s">
        <v>200</v>
      </c>
      <c r="K117" s="116" t="s">
        <v>1017</v>
      </c>
      <c r="L117" s="116" t="s">
        <v>1080</v>
      </c>
      <c r="M117" s="116" t="s">
        <v>1080</v>
      </c>
      <c r="N117" s="116" t="s">
        <v>1080</v>
      </c>
      <c r="O117" s="116" t="s">
        <v>1080</v>
      </c>
      <c r="P117" s="116" t="s">
        <v>1080</v>
      </c>
      <c r="Q117" s="116" t="s">
        <v>1080</v>
      </c>
      <c r="R117" s="116" t="s">
        <v>1080</v>
      </c>
      <c r="S117" s="116" t="s">
        <v>1080</v>
      </c>
      <c r="T117" s="116" t="s">
        <v>1080</v>
      </c>
      <c r="U117" s="116" t="s">
        <v>1080</v>
      </c>
      <c r="V117" s="116" t="s">
        <v>1080</v>
      </c>
      <c r="W117" s="116" t="s">
        <v>1080</v>
      </c>
      <c r="X117" s="116" t="s">
        <v>1080</v>
      </c>
      <c r="Y117" s="225"/>
      <c r="Z117" s="294"/>
    </row>
    <row r="118" spans="1:26" s="5" customFormat="1" ht="22.5" x14ac:dyDescent="0.15">
      <c r="A118" s="115">
        <f t="shared" si="1"/>
        <v>115</v>
      </c>
      <c r="B118" s="121" t="s">
        <v>1362</v>
      </c>
      <c r="C118" s="121" t="s">
        <v>1363</v>
      </c>
      <c r="D118" s="116" t="s">
        <v>246</v>
      </c>
      <c r="E118" s="116"/>
      <c r="F118" s="116" t="s">
        <v>1005</v>
      </c>
      <c r="G118" s="116"/>
      <c r="H118" s="117"/>
      <c r="I118" s="116" t="s">
        <v>211</v>
      </c>
      <c r="J118" s="116" t="s">
        <v>200</v>
      </c>
      <c r="K118" s="116" t="s">
        <v>1017</v>
      </c>
      <c r="L118" s="116" t="s">
        <v>1080</v>
      </c>
      <c r="M118" s="116" t="s">
        <v>1080</v>
      </c>
      <c r="N118" s="116" t="s">
        <v>1080</v>
      </c>
      <c r="O118" s="116" t="s">
        <v>1080</v>
      </c>
      <c r="P118" s="116" t="s">
        <v>1080</v>
      </c>
      <c r="Q118" s="116" t="s">
        <v>1080</v>
      </c>
      <c r="R118" s="116" t="s">
        <v>1080</v>
      </c>
      <c r="S118" s="116" t="s">
        <v>1080</v>
      </c>
      <c r="T118" s="116" t="s">
        <v>1080</v>
      </c>
      <c r="U118" s="116" t="s">
        <v>1080</v>
      </c>
      <c r="V118" s="116" t="s">
        <v>1080</v>
      </c>
      <c r="W118" s="116" t="s">
        <v>1080</v>
      </c>
      <c r="X118" s="116" t="s">
        <v>1080</v>
      </c>
      <c r="Y118" s="225"/>
      <c r="Z118" s="294"/>
    </row>
    <row r="119" spans="1:26" s="5" customFormat="1" ht="22.5" x14ac:dyDescent="0.15">
      <c r="A119" s="115">
        <f t="shared" si="1"/>
        <v>116</v>
      </c>
      <c r="B119" s="121" t="s">
        <v>1364</v>
      </c>
      <c r="C119" s="121" t="s">
        <v>1365</v>
      </c>
      <c r="D119" s="116" t="s">
        <v>246</v>
      </c>
      <c r="E119" s="116"/>
      <c r="F119" s="116"/>
      <c r="G119" s="116"/>
      <c r="H119" s="117"/>
      <c r="I119" s="116" t="s">
        <v>211</v>
      </c>
      <c r="J119" s="116" t="s">
        <v>200</v>
      </c>
      <c r="K119" s="116" t="s">
        <v>1017</v>
      </c>
      <c r="L119" s="116" t="s">
        <v>1080</v>
      </c>
      <c r="M119" s="116" t="s">
        <v>1080</v>
      </c>
      <c r="N119" s="116" t="s">
        <v>1080</v>
      </c>
      <c r="O119" s="116" t="s">
        <v>1080</v>
      </c>
      <c r="P119" s="116" t="s">
        <v>1080</v>
      </c>
      <c r="Q119" s="116" t="s">
        <v>1080</v>
      </c>
      <c r="R119" s="116" t="s">
        <v>1080</v>
      </c>
      <c r="S119" s="116" t="s">
        <v>1080</v>
      </c>
      <c r="T119" s="116" t="s">
        <v>1080</v>
      </c>
      <c r="U119" s="116" t="s">
        <v>1080</v>
      </c>
      <c r="V119" s="116" t="s">
        <v>1080</v>
      </c>
      <c r="W119" s="116" t="s">
        <v>1080</v>
      </c>
      <c r="X119" s="116" t="s">
        <v>1080</v>
      </c>
      <c r="Y119" s="221"/>
      <c r="Z119" s="294"/>
    </row>
    <row r="120" spans="1:26" s="5" customFormat="1" ht="22.5" x14ac:dyDescent="0.15">
      <c r="A120" s="115">
        <f t="shared" si="1"/>
        <v>117</v>
      </c>
      <c r="B120" s="121" t="s">
        <v>1366</v>
      </c>
      <c r="C120" s="121" t="s">
        <v>1367</v>
      </c>
      <c r="D120" s="116" t="s">
        <v>237</v>
      </c>
      <c r="E120" s="116">
        <v>72</v>
      </c>
      <c r="F120" s="116" t="s">
        <v>1005</v>
      </c>
      <c r="G120" s="116"/>
      <c r="H120" s="117"/>
      <c r="I120" s="116" t="s">
        <v>211</v>
      </c>
      <c r="J120" s="116" t="s">
        <v>200</v>
      </c>
      <c r="K120" s="116" t="s">
        <v>1017</v>
      </c>
      <c r="L120" s="116" t="s">
        <v>1080</v>
      </c>
      <c r="M120" s="116" t="s">
        <v>1080</v>
      </c>
      <c r="N120" s="116" t="s">
        <v>1080</v>
      </c>
      <c r="O120" s="116" t="s">
        <v>1080</v>
      </c>
      <c r="P120" s="116" t="s">
        <v>1080</v>
      </c>
      <c r="Q120" s="116" t="s">
        <v>1080</v>
      </c>
      <c r="R120" s="116" t="s">
        <v>1080</v>
      </c>
      <c r="S120" s="116" t="s">
        <v>1080</v>
      </c>
      <c r="T120" s="116" t="s">
        <v>1080</v>
      </c>
      <c r="U120" s="116" t="s">
        <v>1080</v>
      </c>
      <c r="V120" s="116" t="s">
        <v>1080</v>
      </c>
      <c r="W120" s="116" t="s">
        <v>1080</v>
      </c>
      <c r="X120" s="116" t="s">
        <v>1080</v>
      </c>
      <c r="Y120" s="221"/>
      <c r="Z120" s="294"/>
    </row>
    <row r="121" spans="1:26" s="5" customFormat="1" ht="22.5" x14ac:dyDescent="0.15">
      <c r="A121" s="115">
        <f t="shared" si="1"/>
        <v>118</v>
      </c>
      <c r="B121" s="121" t="s">
        <v>1368</v>
      </c>
      <c r="C121" s="121" t="s">
        <v>1369</v>
      </c>
      <c r="D121" s="116" t="s">
        <v>237</v>
      </c>
      <c r="E121" s="116">
        <v>72</v>
      </c>
      <c r="F121" s="116" t="s">
        <v>1005</v>
      </c>
      <c r="G121" s="116"/>
      <c r="H121" s="117"/>
      <c r="I121" s="116" t="s">
        <v>211</v>
      </c>
      <c r="J121" s="116" t="s">
        <v>200</v>
      </c>
      <c r="K121" s="116" t="s">
        <v>1017</v>
      </c>
      <c r="L121" s="116" t="s">
        <v>1080</v>
      </c>
      <c r="M121" s="116" t="s">
        <v>1080</v>
      </c>
      <c r="N121" s="116" t="s">
        <v>1080</v>
      </c>
      <c r="O121" s="116" t="s">
        <v>1080</v>
      </c>
      <c r="P121" s="116" t="s">
        <v>1080</v>
      </c>
      <c r="Q121" s="116" t="s">
        <v>1080</v>
      </c>
      <c r="R121" s="116" t="s">
        <v>1080</v>
      </c>
      <c r="S121" s="116" t="s">
        <v>1080</v>
      </c>
      <c r="T121" s="116" t="s">
        <v>1080</v>
      </c>
      <c r="U121" s="116" t="s">
        <v>1080</v>
      </c>
      <c r="V121" s="116" t="s">
        <v>1080</v>
      </c>
      <c r="W121" s="116" t="s">
        <v>1080</v>
      </c>
      <c r="X121" s="116" t="s">
        <v>1080</v>
      </c>
      <c r="Y121" s="221"/>
      <c r="Z121" s="294"/>
    </row>
    <row r="122" spans="1:26" s="5" customFormat="1" ht="22.5" x14ac:dyDescent="0.15">
      <c r="A122" s="115">
        <f t="shared" si="1"/>
        <v>119</v>
      </c>
      <c r="B122" s="121" t="s">
        <v>1370</v>
      </c>
      <c r="C122" s="121" t="s">
        <v>1371</v>
      </c>
      <c r="D122" s="116" t="s">
        <v>237</v>
      </c>
      <c r="E122" s="116">
        <v>72</v>
      </c>
      <c r="F122" s="116" t="s">
        <v>1005</v>
      </c>
      <c r="G122" s="116"/>
      <c r="H122" s="117"/>
      <c r="I122" s="116" t="s">
        <v>211</v>
      </c>
      <c r="J122" s="116" t="s">
        <v>200</v>
      </c>
      <c r="K122" s="116" t="s">
        <v>1017</v>
      </c>
      <c r="L122" s="116" t="s">
        <v>1080</v>
      </c>
      <c r="M122" s="116" t="s">
        <v>1080</v>
      </c>
      <c r="N122" s="116" t="s">
        <v>1080</v>
      </c>
      <c r="O122" s="116" t="s">
        <v>1080</v>
      </c>
      <c r="P122" s="116" t="s">
        <v>1080</v>
      </c>
      <c r="Q122" s="116" t="s">
        <v>1080</v>
      </c>
      <c r="R122" s="116" t="s">
        <v>1080</v>
      </c>
      <c r="S122" s="116" t="s">
        <v>1080</v>
      </c>
      <c r="T122" s="116" t="s">
        <v>1080</v>
      </c>
      <c r="U122" s="116" t="s">
        <v>1080</v>
      </c>
      <c r="V122" s="116" t="s">
        <v>1080</v>
      </c>
      <c r="W122" s="116" t="s">
        <v>1080</v>
      </c>
      <c r="X122" s="116" t="s">
        <v>1080</v>
      </c>
      <c r="Y122" s="221"/>
      <c r="Z122" s="294"/>
    </row>
    <row r="123" spans="1:26" s="5" customFormat="1" ht="22.5" x14ac:dyDescent="0.15">
      <c r="A123" s="115">
        <f t="shared" si="1"/>
        <v>120</v>
      </c>
      <c r="B123" s="121" t="s">
        <v>1372</v>
      </c>
      <c r="C123" s="121" t="s">
        <v>1373</v>
      </c>
      <c r="D123" s="116" t="s">
        <v>237</v>
      </c>
      <c r="E123" s="116">
        <v>24</v>
      </c>
      <c r="F123" s="116" t="s">
        <v>1005</v>
      </c>
      <c r="G123" s="116"/>
      <c r="H123" s="117"/>
      <c r="I123" s="116" t="s">
        <v>211</v>
      </c>
      <c r="J123" s="116" t="s">
        <v>200</v>
      </c>
      <c r="K123" s="116" t="s">
        <v>1017</v>
      </c>
      <c r="L123" s="116" t="s">
        <v>1080</v>
      </c>
      <c r="M123" s="116" t="s">
        <v>1080</v>
      </c>
      <c r="N123" s="116" t="s">
        <v>1080</v>
      </c>
      <c r="O123" s="116" t="s">
        <v>1080</v>
      </c>
      <c r="P123" s="116" t="s">
        <v>1080</v>
      </c>
      <c r="Q123" s="116" t="s">
        <v>1080</v>
      </c>
      <c r="R123" s="116" t="s">
        <v>1080</v>
      </c>
      <c r="S123" s="116" t="s">
        <v>1080</v>
      </c>
      <c r="T123" s="116" t="s">
        <v>1080</v>
      </c>
      <c r="U123" s="116" t="s">
        <v>1080</v>
      </c>
      <c r="V123" s="116" t="s">
        <v>1080</v>
      </c>
      <c r="W123" s="116" t="s">
        <v>1080</v>
      </c>
      <c r="X123" s="116" t="s">
        <v>1080</v>
      </c>
      <c r="Y123" s="225"/>
      <c r="Z123" s="294"/>
    </row>
    <row r="124" spans="1:26" s="5" customFormat="1" ht="22.5" x14ac:dyDescent="0.15">
      <c r="A124" s="115">
        <f t="shared" si="1"/>
        <v>121</v>
      </c>
      <c r="B124" s="121" t="s">
        <v>1374</v>
      </c>
      <c r="C124" s="121" t="s">
        <v>1375</v>
      </c>
      <c r="D124" s="116" t="s">
        <v>250</v>
      </c>
      <c r="E124" s="116"/>
      <c r="F124" s="116"/>
      <c r="G124" s="116"/>
      <c r="H124" s="117"/>
      <c r="I124" s="116" t="s">
        <v>211</v>
      </c>
      <c r="J124" s="116" t="s">
        <v>200</v>
      </c>
      <c r="K124" s="116" t="s">
        <v>1017</v>
      </c>
      <c r="L124" s="116" t="s">
        <v>1080</v>
      </c>
      <c r="M124" s="116" t="s">
        <v>1080</v>
      </c>
      <c r="N124" s="116" t="s">
        <v>1080</v>
      </c>
      <c r="O124" s="116" t="s">
        <v>1080</v>
      </c>
      <c r="P124" s="116" t="s">
        <v>1080</v>
      </c>
      <c r="Q124" s="116" t="s">
        <v>1080</v>
      </c>
      <c r="R124" s="116" t="s">
        <v>1080</v>
      </c>
      <c r="S124" s="116" t="s">
        <v>1080</v>
      </c>
      <c r="T124" s="116" t="s">
        <v>1080</v>
      </c>
      <c r="U124" s="116" t="s">
        <v>1080</v>
      </c>
      <c r="V124" s="116" t="s">
        <v>1080</v>
      </c>
      <c r="W124" s="116" t="s">
        <v>1080</v>
      </c>
      <c r="X124" s="116" t="s">
        <v>1080</v>
      </c>
      <c r="Y124" s="225" t="s">
        <v>1376</v>
      </c>
      <c r="Z124" s="294"/>
    </row>
    <row r="125" spans="1:26" s="5" customFormat="1" ht="22.5" x14ac:dyDescent="0.15">
      <c r="A125" s="115">
        <f t="shared" si="1"/>
        <v>122</v>
      </c>
      <c r="B125" s="121" t="s">
        <v>1377</v>
      </c>
      <c r="C125" s="121" t="s">
        <v>1378</v>
      </c>
      <c r="D125" s="116" t="s">
        <v>355</v>
      </c>
      <c r="E125" s="116"/>
      <c r="F125" s="116"/>
      <c r="G125" s="116"/>
      <c r="H125" s="117"/>
      <c r="I125" s="116" t="s">
        <v>211</v>
      </c>
      <c r="J125" s="116" t="s">
        <v>200</v>
      </c>
      <c r="K125" s="116" t="s">
        <v>1017</v>
      </c>
      <c r="L125" s="116" t="s">
        <v>1080</v>
      </c>
      <c r="M125" s="116" t="s">
        <v>1080</v>
      </c>
      <c r="N125" s="116" t="s">
        <v>1080</v>
      </c>
      <c r="O125" s="116" t="s">
        <v>1080</v>
      </c>
      <c r="P125" s="116" t="s">
        <v>1080</v>
      </c>
      <c r="Q125" s="116" t="s">
        <v>1080</v>
      </c>
      <c r="R125" s="116" t="s">
        <v>1080</v>
      </c>
      <c r="S125" s="116" t="s">
        <v>1080</v>
      </c>
      <c r="T125" s="116" t="s">
        <v>1080</v>
      </c>
      <c r="U125" s="116" t="s">
        <v>1080</v>
      </c>
      <c r="V125" s="116" t="s">
        <v>1080</v>
      </c>
      <c r="W125" s="116" t="s">
        <v>1080</v>
      </c>
      <c r="X125" s="116" t="s">
        <v>1080</v>
      </c>
      <c r="Y125" s="225" t="s">
        <v>1376</v>
      </c>
      <c r="Z125" s="294"/>
    </row>
    <row r="126" spans="1:26" s="5" customFormat="1" ht="22.5" x14ac:dyDescent="0.15">
      <c r="A126" s="115">
        <f t="shared" si="1"/>
        <v>123</v>
      </c>
      <c r="B126" s="121" t="s">
        <v>1379</v>
      </c>
      <c r="C126" s="121" t="s">
        <v>1380</v>
      </c>
      <c r="D126" s="118" t="s">
        <v>278</v>
      </c>
      <c r="E126" s="116"/>
      <c r="F126" s="116"/>
      <c r="G126" s="116"/>
      <c r="H126" s="117"/>
      <c r="I126" s="116" t="s">
        <v>211</v>
      </c>
      <c r="J126" s="116" t="s">
        <v>1381</v>
      </c>
      <c r="K126" s="116" t="s">
        <v>1017</v>
      </c>
      <c r="L126" s="116" t="s">
        <v>1080</v>
      </c>
      <c r="M126" s="116" t="s">
        <v>1080</v>
      </c>
      <c r="N126" s="116" t="s">
        <v>1080</v>
      </c>
      <c r="O126" s="116" t="s">
        <v>1080</v>
      </c>
      <c r="P126" s="116" t="s">
        <v>1080</v>
      </c>
      <c r="Q126" s="116" t="s">
        <v>1080</v>
      </c>
      <c r="R126" s="116" t="s">
        <v>1080</v>
      </c>
      <c r="S126" s="116" t="s">
        <v>1080</v>
      </c>
      <c r="T126" s="116" t="s">
        <v>1080</v>
      </c>
      <c r="U126" s="116" t="s">
        <v>1080</v>
      </c>
      <c r="V126" s="116" t="s">
        <v>1080</v>
      </c>
      <c r="W126" s="116" t="s">
        <v>1080</v>
      </c>
      <c r="X126" s="116" t="s">
        <v>1080</v>
      </c>
      <c r="Y126" s="225" t="s">
        <v>1376</v>
      </c>
      <c r="Z126" s="294"/>
    </row>
    <row r="127" spans="1:26" s="5" customFormat="1" ht="22.5" x14ac:dyDescent="0.15">
      <c r="A127" s="115">
        <f t="shared" si="1"/>
        <v>124</v>
      </c>
      <c r="B127" s="121" t="s">
        <v>1382</v>
      </c>
      <c r="C127" s="121" t="s">
        <v>1383</v>
      </c>
      <c r="D127" s="116" t="s">
        <v>355</v>
      </c>
      <c r="E127" s="116"/>
      <c r="F127" s="116"/>
      <c r="G127" s="116"/>
      <c r="H127" s="117"/>
      <c r="I127" s="116" t="s">
        <v>211</v>
      </c>
      <c r="J127" s="116" t="s">
        <v>1381</v>
      </c>
      <c r="K127" s="116" t="s">
        <v>1017</v>
      </c>
      <c r="L127" s="116" t="s">
        <v>1080</v>
      </c>
      <c r="M127" s="116" t="s">
        <v>1080</v>
      </c>
      <c r="N127" s="116" t="s">
        <v>1080</v>
      </c>
      <c r="O127" s="116" t="s">
        <v>1080</v>
      </c>
      <c r="P127" s="116" t="s">
        <v>1080</v>
      </c>
      <c r="Q127" s="116" t="s">
        <v>1080</v>
      </c>
      <c r="R127" s="116" t="s">
        <v>1080</v>
      </c>
      <c r="S127" s="116" t="s">
        <v>1080</v>
      </c>
      <c r="T127" s="116" t="s">
        <v>1080</v>
      </c>
      <c r="U127" s="116" t="s">
        <v>1080</v>
      </c>
      <c r="V127" s="116" t="s">
        <v>1080</v>
      </c>
      <c r="W127" s="116" t="s">
        <v>1080</v>
      </c>
      <c r="X127" s="116" t="s">
        <v>1080</v>
      </c>
      <c r="Y127" s="225" t="s">
        <v>1376</v>
      </c>
      <c r="Z127" s="294"/>
    </row>
    <row r="128" spans="1:26" s="5" customFormat="1" ht="22.5" x14ac:dyDescent="0.15">
      <c r="A128" s="115">
        <f t="shared" si="1"/>
        <v>125</v>
      </c>
      <c r="B128" s="121" t="s">
        <v>1384</v>
      </c>
      <c r="C128" s="121" t="s">
        <v>1385</v>
      </c>
      <c r="D128" s="118" t="s">
        <v>278</v>
      </c>
      <c r="E128" s="116"/>
      <c r="F128" s="116"/>
      <c r="G128" s="116"/>
      <c r="H128" s="117"/>
      <c r="I128" s="116" t="s">
        <v>211</v>
      </c>
      <c r="J128" s="116" t="s">
        <v>1381</v>
      </c>
      <c r="K128" s="116" t="s">
        <v>1017</v>
      </c>
      <c r="L128" s="116" t="s">
        <v>1080</v>
      </c>
      <c r="M128" s="116" t="s">
        <v>1080</v>
      </c>
      <c r="N128" s="116" t="s">
        <v>1080</v>
      </c>
      <c r="O128" s="116" t="s">
        <v>1080</v>
      </c>
      <c r="P128" s="116" t="s">
        <v>1080</v>
      </c>
      <c r="Q128" s="116" t="s">
        <v>1080</v>
      </c>
      <c r="R128" s="116" t="s">
        <v>1080</v>
      </c>
      <c r="S128" s="116" t="s">
        <v>1080</v>
      </c>
      <c r="T128" s="116" t="s">
        <v>1080</v>
      </c>
      <c r="U128" s="116" t="s">
        <v>1080</v>
      </c>
      <c r="V128" s="116" t="s">
        <v>1080</v>
      </c>
      <c r="W128" s="116" t="s">
        <v>1080</v>
      </c>
      <c r="X128" s="116" t="s">
        <v>1080</v>
      </c>
      <c r="Y128" s="225" t="s">
        <v>1376</v>
      </c>
      <c r="Z128" s="294"/>
    </row>
    <row r="129" spans="1:26" s="5" customFormat="1" ht="22.5" x14ac:dyDescent="0.15">
      <c r="A129" s="115">
        <f t="shared" si="1"/>
        <v>126</v>
      </c>
      <c r="B129" s="235" t="s">
        <v>1386</v>
      </c>
      <c r="C129" s="121" t="s">
        <v>1387</v>
      </c>
      <c r="D129" s="118" t="s">
        <v>237</v>
      </c>
      <c r="E129" s="119">
        <v>13</v>
      </c>
      <c r="F129" s="119" t="s">
        <v>1005</v>
      </c>
      <c r="G129" s="119"/>
      <c r="H129" s="120"/>
      <c r="I129" s="116" t="s">
        <v>211</v>
      </c>
      <c r="J129" s="116" t="s">
        <v>1381</v>
      </c>
      <c r="K129" s="116" t="s">
        <v>1017</v>
      </c>
      <c r="L129" s="116" t="s">
        <v>1080</v>
      </c>
      <c r="M129" s="116" t="s">
        <v>1080</v>
      </c>
      <c r="N129" s="116" t="s">
        <v>1080</v>
      </c>
      <c r="O129" s="116" t="s">
        <v>1080</v>
      </c>
      <c r="P129" s="116" t="s">
        <v>1080</v>
      </c>
      <c r="Q129" s="116" t="s">
        <v>1080</v>
      </c>
      <c r="R129" s="116" t="s">
        <v>1080</v>
      </c>
      <c r="S129" s="116" t="s">
        <v>1080</v>
      </c>
      <c r="T129" s="116" t="s">
        <v>1080</v>
      </c>
      <c r="U129" s="116" t="s">
        <v>1080</v>
      </c>
      <c r="V129" s="116" t="s">
        <v>1080</v>
      </c>
      <c r="W129" s="116" t="s">
        <v>1080</v>
      </c>
      <c r="X129" s="116" t="s">
        <v>1080</v>
      </c>
      <c r="Y129" s="225" t="s">
        <v>1376</v>
      </c>
      <c r="Z129" s="294"/>
    </row>
    <row r="130" spans="1:26" s="5" customFormat="1" ht="22.5" x14ac:dyDescent="0.15">
      <c r="A130" s="115">
        <f t="shared" si="1"/>
        <v>127</v>
      </c>
      <c r="B130" s="235" t="s">
        <v>1388</v>
      </c>
      <c r="C130" s="121" t="s">
        <v>1389</v>
      </c>
      <c r="D130" s="118" t="s">
        <v>1390</v>
      </c>
      <c r="E130" s="119"/>
      <c r="F130" s="119" t="s">
        <v>1005</v>
      </c>
      <c r="G130" s="119"/>
      <c r="H130" s="120"/>
      <c r="I130" s="116" t="s">
        <v>211</v>
      </c>
      <c r="J130" s="116" t="s">
        <v>1381</v>
      </c>
      <c r="K130" s="116" t="s">
        <v>1017</v>
      </c>
      <c r="L130" s="116" t="s">
        <v>1080</v>
      </c>
      <c r="M130" s="116" t="s">
        <v>1080</v>
      </c>
      <c r="N130" s="116" t="s">
        <v>1080</v>
      </c>
      <c r="O130" s="116" t="s">
        <v>1080</v>
      </c>
      <c r="P130" s="116" t="s">
        <v>1080</v>
      </c>
      <c r="Q130" s="116" t="s">
        <v>1080</v>
      </c>
      <c r="R130" s="116" t="s">
        <v>1080</v>
      </c>
      <c r="S130" s="116" t="s">
        <v>1080</v>
      </c>
      <c r="T130" s="116" t="s">
        <v>1080</v>
      </c>
      <c r="U130" s="116" t="s">
        <v>1080</v>
      </c>
      <c r="V130" s="116" t="s">
        <v>1080</v>
      </c>
      <c r="W130" s="116" t="s">
        <v>1080</v>
      </c>
      <c r="X130" s="116" t="s">
        <v>1080</v>
      </c>
      <c r="Y130" s="225"/>
      <c r="Z130" s="294"/>
    </row>
    <row r="131" spans="1:26" s="5" customFormat="1" ht="33.75" x14ac:dyDescent="0.15">
      <c r="A131" s="26">
        <f t="shared" si="1"/>
        <v>128</v>
      </c>
      <c r="B131" s="236" t="s">
        <v>1391</v>
      </c>
      <c r="C131" s="27" t="s">
        <v>1392</v>
      </c>
      <c r="D131" s="23" t="s">
        <v>355</v>
      </c>
      <c r="E131" s="24"/>
      <c r="F131" s="24"/>
      <c r="G131" s="24"/>
      <c r="H131" s="25"/>
      <c r="I131" s="17" t="s">
        <v>211</v>
      </c>
      <c r="J131" s="17" t="s">
        <v>172</v>
      </c>
      <c r="K131" s="17" t="s">
        <v>1020</v>
      </c>
      <c r="L131" s="17" t="s">
        <v>1393</v>
      </c>
      <c r="M131" s="17" t="s">
        <v>1394</v>
      </c>
      <c r="N131" s="17" t="s">
        <v>1394</v>
      </c>
      <c r="O131" s="299" t="s">
        <v>1394</v>
      </c>
      <c r="P131" s="316" t="s">
        <v>1394</v>
      </c>
      <c r="Q131" s="17" t="s">
        <v>1393</v>
      </c>
      <c r="R131" s="116" t="s">
        <v>1393</v>
      </c>
      <c r="S131" s="17" t="s">
        <v>1393</v>
      </c>
      <c r="T131" s="116" t="s">
        <v>1393</v>
      </c>
      <c r="U131" s="17" t="s">
        <v>1393</v>
      </c>
      <c r="V131" s="17" t="s">
        <v>1393</v>
      </c>
      <c r="W131" s="116" t="s">
        <v>1393</v>
      </c>
      <c r="X131" s="17" t="s">
        <v>1393</v>
      </c>
      <c r="Y131" s="223" t="s">
        <v>1395</v>
      </c>
      <c r="Z131" s="294" t="s">
        <v>1396</v>
      </c>
    </row>
    <row r="132" spans="1:26" s="5" customFormat="1" ht="33.75" x14ac:dyDescent="0.15">
      <c r="A132" s="26">
        <f t="shared" si="1"/>
        <v>129</v>
      </c>
      <c r="B132" s="236" t="s">
        <v>1397</v>
      </c>
      <c r="C132" s="27" t="s">
        <v>1398</v>
      </c>
      <c r="D132" s="23" t="s">
        <v>1399</v>
      </c>
      <c r="E132" s="24"/>
      <c r="F132" s="24"/>
      <c r="G132" s="24"/>
      <c r="H132" s="25"/>
      <c r="I132" s="17" t="s">
        <v>211</v>
      </c>
      <c r="J132" s="17" t="s">
        <v>172</v>
      </c>
      <c r="K132" s="17" t="s">
        <v>1020</v>
      </c>
      <c r="L132" s="17" t="s">
        <v>1393</v>
      </c>
      <c r="M132" s="299" t="s">
        <v>1400</v>
      </c>
      <c r="N132" s="299" t="s">
        <v>1400</v>
      </c>
      <c r="O132" s="17" t="s">
        <v>1393</v>
      </c>
      <c r="P132" s="116" t="s">
        <v>1393</v>
      </c>
      <c r="Q132" s="17" t="s">
        <v>1393</v>
      </c>
      <c r="R132" s="116" t="s">
        <v>1393</v>
      </c>
      <c r="S132" s="17" t="s">
        <v>1393</v>
      </c>
      <c r="T132" s="116" t="s">
        <v>1393</v>
      </c>
      <c r="U132" s="17" t="s">
        <v>1393</v>
      </c>
      <c r="V132" s="17" t="s">
        <v>1393</v>
      </c>
      <c r="W132" s="116" t="s">
        <v>1393</v>
      </c>
      <c r="X132" s="17" t="s">
        <v>1393</v>
      </c>
      <c r="Y132" s="223" t="s">
        <v>1395</v>
      </c>
      <c r="Z132" s="294" t="s">
        <v>1139</v>
      </c>
    </row>
    <row r="133" spans="1:26" s="127" customFormat="1" ht="22.5" x14ac:dyDescent="0.15">
      <c r="A133" s="115">
        <f t="shared" si="1"/>
        <v>130</v>
      </c>
      <c r="B133" s="235" t="s">
        <v>1401</v>
      </c>
      <c r="C133" s="121" t="s">
        <v>1402</v>
      </c>
      <c r="D133" s="118" t="s">
        <v>1004</v>
      </c>
      <c r="E133" s="119">
        <v>4</v>
      </c>
      <c r="F133" s="119" t="s">
        <v>1005</v>
      </c>
      <c r="G133" s="119"/>
      <c r="H133" s="120"/>
      <c r="I133" s="116" t="s">
        <v>211</v>
      </c>
      <c r="J133" s="116" t="s">
        <v>200</v>
      </c>
      <c r="K133" s="116" t="s">
        <v>1017</v>
      </c>
      <c r="L133" s="116" t="s">
        <v>1080</v>
      </c>
      <c r="M133" s="116" t="s">
        <v>1080</v>
      </c>
      <c r="N133" s="116" t="s">
        <v>1080</v>
      </c>
      <c r="O133" s="116" t="s">
        <v>1080</v>
      </c>
      <c r="P133" s="116" t="s">
        <v>1080</v>
      </c>
      <c r="Q133" s="116" t="s">
        <v>1080</v>
      </c>
      <c r="R133" s="116" t="s">
        <v>1080</v>
      </c>
      <c r="S133" s="116" t="s">
        <v>1080</v>
      </c>
      <c r="T133" s="116" t="s">
        <v>1080</v>
      </c>
      <c r="U133" s="116" t="s">
        <v>1080</v>
      </c>
      <c r="V133" s="116" t="s">
        <v>1080</v>
      </c>
      <c r="W133" s="116" t="s">
        <v>1080</v>
      </c>
      <c r="X133" s="116" t="s">
        <v>1080</v>
      </c>
      <c r="Y133" s="221"/>
      <c r="Z133" s="298"/>
    </row>
    <row r="134" spans="1:26" s="5" customFormat="1" ht="22.5" x14ac:dyDescent="0.15">
      <c r="A134" s="115">
        <f t="shared" si="1"/>
        <v>131</v>
      </c>
      <c r="B134" s="235" t="s">
        <v>1403</v>
      </c>
      <c r="C134" s="121" t="s">
        <v>1404</v>
      </c>
      <c r="D134" s="118" t="s">
        <v>1004</v>
      </c>
      <c r="E134" s="119">
        <v>255</v>
      </c>
      <c r="F134" s="119" t="s">
        <v>1005</v>
      </c>
      <c r="G134" s="119"/>
      <c r="H134" s="120"/>
      <c r="I134" s="116" t="s">
        <v>211</v>
      </c>
      <c r="J134" s="116" t="s">
        <v>200</v>
      </c>
      <c r="K134" s="116" t="s">
        <v>1017</v>
      </c>
      <c r="L134" s="116" t="s">
        <v>1080</v>
      </c>
      <c r="M134" s="116" t="s">
        <v>1080</v>
      </c>
      <c r="N134" s="116" t="s">
        <v>1080</v>
      </c>
      <c r="O134" s="116" t="s">
        <v>1080</v>
      </c>
      <c r="P134" s="116" t="s">
        <v>1080</v>
      </c>
      <c r="Q134" s="116" t="s">
        <v>1080</v>
      </c>
      <c r="R134" s="116" t="s">
        <v>1080</v>
      </c>
      <c r="S134" s="116" t="s">
        <v>1080</v>
      </c>
      <c r="T134" s="116" t="s">
        <v>1080</v>
      </c>
      <c r="U134" s="116" t="s">
        <v>1080</v>
      </c>
      <c r="V134" s="116" t="s">
        <v>1080</v>
      </c>
      <c r="W134" s="116" t="s">
        <v>1080</v>
      </c>
      <c r="X134" s="116" t="s">
        <v>1080</v>
      </c>
      <c r="Y134" s="221"/>
      <c r="Z134" s="294"/>
    </row>
    <row r="135" spans="1:26" s="5" customFormat="1" ht="22.5" x14ac:dyDescent="0.15">
      <c r="A135" s="115">
        <f t="shared" ref="A135:A198" si="2">A134+1</f>
        <v>132</v>
      </c>
      <c r="B135" s="121" t="s">
        <v>1405</v>
      </c>
      <c r="C135" s="121" t="s">
        <v>1406</v>
      </c>
      <c r="D135" s="116" t="s">
        <v>1004</v>
      </c>
      <c r="E135" s="116">
        <v>512</v>
      </c>
      <c r="F135" s="116" t="s">
        <v>1005</v>
      </c>
      <c r="G135" s="116"/>
      <c r="H135" s="117"/>
      <c r="I135" s="116" t="s">
        <v>211</v>
      </c>
      <c r="J135" s="116" t="s">
        <v>200</v>
      </c>
      <c r="K135" s="116" t="s">
        <v>1017</v>
      </c>
      <c r="L135" s="116" t="s">
        <v>1080</v>
      </c>
      <c r="M135" s="116" t="s">
        <v>1080</v>
      </c>
      <c r="N135" s="116" t="s">
        <v>1080</v>
      </c>
      <c r="O135" s="116" t="s">
        <v>1080</v>
      </c>
      <c r="P135" s="116" t="s">
        <v>1080</v>
      </c>
      <c r="Q135" s="116" t="s">
        <v>1080</v>
      </c>
      <c r="R135" s="116" t="s">
        <v>1080</v>
      </c>
      <c r="S135" s="116" t="s">
        <v>1080</v>
      </c>
      <c r="T135" s="116" t="s">
        <v>1080</v>
      </c>
      <c r="U135" s="116" t="s">
        <v>1080</v>
      </c>
      <c r="V135" s="116" t="s">
        <v>1080</v>
      </c>
      <c r="W135" s="116" t="s">
        <v>1080</v>
      </c>
      <c r="X135" s="116" t="s">
        <v>1080</v>
      </c>
      <c r="Y135" s="221"/>
      <c r="Z135" s="294"/>
    </row>
    <row r="136" spans="1:26" s="5" customFormat="1" ht="22.5" x14ac:dyDescent="0.15">
      <c r="A136" s="115">
        <f t="shared" si="2"/>
        <v>133</v>
      </c>
      <c r="B136" s="121" t="s">
        <v>1407</v>
      </c>
      <c r="C136" s="121" t="s">
        <v>1408</v>
      </c>
      <c r="D136" s="116" t="s">
        <v>1390</v>
      </c>
      <c r="E136" s="116"/>
      <c r="F136" s="116" t="s">
        <v>1005</v>
      </c>
      <c r="G136" s="116"/>
      <c r="H136" s="117"/>
      <c r="I136" s="116" t="s">
        <v>211</v>
      </c>
      <c r="J136" s="116" t="s">
        <v>200</v>
      </c>
      <c r="K136" s="116" t="s">
        <v>1017</v>
      </c>
      <c r="L136" s="116" t="s">
        <v>1080</v>
      </c>
      <c r="M136" s="116" t="s">
        <v>1080</v>
      </c>
      <c r="N136" s="116" t="s">
        <v>1080</v>
      </c>
      <c r="O136" s="116" t="s">
        <v>1080</v>
      </c>
      <c r="P136" s="116" t="s">
        <v>1080</v>
      </c>
      <c r="Q136" s="116" t="s">
        <v>1080</v>
      </c>
      <c r="R136" s="116" t="s">
        <v>1080</v>
      </c>
      <c r="S136" s="116" t="s">
        <v>1080</v>
      </c>
      <c r="T136" s="116" t="s">
        <v>1080</v>
      </c>
      <c r="U136" s="116" t="s">
        <v>1080</v>
      </c>
      <c r="V136" s="116" t="s">
        <v>1080</v>
      </c>
      <c r="W136" s="116" t="s">
        <v>1080</v>
      </c>
      <c r="X136" s="116" t="s">
        <v>1080</v>
      </c>
      <c r="Y136" s="221"/>
      <c r="Z136" s="294"/>
    </row>
    <row r="137" spans="1:26" s="5" customFormat="1" ht="22.5" x14ac:dyDescent="0.15">
      <c r="A137" s="115">
        <f t="shared" si="2"/>
        <v>134</v>
      </c>
      <c r="B137" s="121" t="s">
        <v>1409</v>
      </c>
      <c r="C137" s="121" t="s">
        <v>1410</v>
      </c>
      <c r="D137" s="116" t="s">
        <v>1411</v>
      </c>
      <c r="E137" s="116"/>
      <c r="F137" s="116" t="s">
        <v>1005</v>
      </c>
      <c r="G137" s="116"/>
      <c r="H137" s="117"/>
      <c r="I137" s="116" t="s">
        <v>211</v>
      </c>
      <c r="J137" s="116" t="s">
        <v>200</v>
      </c>
      <c r="K137" s="116" t="s">
        <v>1017</v>
      </c>
      <c r="L137" s="116" t="s">
        <v>1080</v>
      </c>
      <c r="M137" s="116" t="s">
        <v>1080</v>
      </c>
      <c r="N137" s="116" t="s">
        <v>1080</v>
      </c>
      <c r="O137" s="116" t="s">
        <v>1080</v>
      </c>
      <c r="P137" s="116" t="s">
        <v>1080</v>
      </c>
      <c r="Q137" s="116" t="s">
        <v>1080</v>
      </c>
      <c r="R137" s="116" t="s">
        <v>1080</v>
      </c>
      <c r="S137" s="116" t="s">
        <v>1080</v>
      </c>
      <c r="T137" s="116" t="s">
        <v>1080</v>
      </c>
      <c r="U137" s="116" t="s">
        <v>1080</v>
      </c>
      <c r="V137" s="116" t="s">
        <v>1080</v>
      </c>
      <c r="W137" s="116" t="s">
        <v>1080</v>
      </c>
      <c r="X137" s="116" t="s">
        <v>1080</v>
      </c>
      <c r="Y137" s="221"/>
      <c r="Z137" s="294"/>
    </row>
    <row r="138" spans="1:26" s="5" customFormat="1" ht="22.5" x14ac:dyDescent="0.15">
      <c r="A138" s="115">
        <f t="shared" si="2"/>
        <v>135</v>
      </c>
      <c r="B138" s="121" t="s">
        <v>1412</v>
      </c>
      <c r="C138" s="121" t="s">
        <v>1413</v>
      </c>
      <c r="D138" s="116" t="s">
        <v>1390</v>
      </c>
      <c r="E138" s="116"/>
      <c r="F138" s="116" t="s">
        <v>1005</v>
      </c>
      <c r="G138" s="116"/>
      <c r="H138" s="117"/>
      <c r="I138" s="116" t="s">
        <v>211</v>
      </c>
      <c r="J138" s="116" t="s">
        <v>200</v>
      </c>
      <c r="K138" s="116" t="s">
        <v>1017</v>
      </c>
      <c r="L138" s="116" t="s">
        <v>1080</v>
      </c>
      <c r="M138" s="116" t="s">
        <v>1080</v>
      </c>
      <c r="N138" s="116" t="s">
        <v>1080</v>
      </c>
      <c r="O138" s="116" t="s">
        <v>1080</v>
      </c>
      <c r="P138" s="116" t="s">
        <v>1080</v>
      </c>
      <c r="Q138" s="116" t="s">
        <v>1080</v>
      </c>
      <c r="R138" s="116" t="s">
        <v>1080</v>
      </c>
      <c r="S138" s="116" t="s">
        <v>1080</v>
      </c>
      <c r="T138" s="116" t="s">
        <v>1080</v>
      </c>
      <c r="U138" s="116" t="s">
        <v>1080</v>
      </c>
      <c r="V138" s="116" t="s">
        <v>1080</v>
      </c>
      <c r="W138" s="116" t="s">
        <v>1080</v>
      </c>
      <c r="X138" s="116" t="s">
        <v>1080</v>
      </c>
      <c r="Y138" s="221"/>
      <c r="Z138" s="294"/>
    </row>
    <row r="139" spans="1:26" s="5" customFormat="1" ht="22.5" x14ac:dyDescent="0.15">
      <c r="A139" s="115">
        <f t="shared" si="2"/>
        <v>136</v>
      </c>
      <c r="B139" s="121" t="s">
        <v>1414</v>
      </c>
      <c r="C139" s="121" t="s">
        <v>1415</v>
      </c>
      <c r="D139" s="118" t="s">
        <v>1411</v>
      </c>
      <c r="E139" s="116"/>
      <c r="F139" s="116" t="s">
        <v>1005</v>
      </c>
      <c r="G139" s="116"/>
      <c r="H139" s="117"/>
      <c r="I139" s="116" t="s">
        <v>211</v>
      </c>
      <c r="J139" s="116" t="s">
        <v>200</v>
      </c>
      <c r="K139" s="116" t="s">
        <v>1017</v>
      </c>
      <c r="L139" s="116" t="s">
        <v>1080</v>
      </c>
      <c r="M139" s="116" t="s">
        <v>1080</v>
      </c>
      <c r="N139" s="116" t="s">
        <v>1080</v>
      </c>
      <c r="O139" s="116" t="s">
        <v>1080</v>
      </c>
      <c r="P139" s="116" t="s">
        <v>1080</v>
      </c>
      <c r="Q139" s="116" t="s">
        <v>1080</v>
      </c>
      <c r="R139" s="116" t="s">
        <v>1080</v>
      </c>
      <c r="S139" s="116" t="s">
        <v>1080</v>
      </c>
      <c r="T139" s="116" t="s">
        <v>1080</v>
      </c>
      <c r="U139" s="116" t="s">
        <v>1080</v>
      </c>
      <c r="V139" s="116" t="s">
        <v>1080</v>
      </c>
      <c r="W139" s="116" t="s">
        <v>1080</v>
      </c>
      <c r="X139" s="116" t="s">
        <v>1080</v>
      </c>
      <c r="Y139" s="221"/>
      <c r="Z139" s="294"/>
    </row>
    <row r="140" spans="1:26" s="5" customFormat="1" ht="22.5" x14ac:dyDescent="0.15">
      <c r="A140" s="115">
        <f t="shared" si="2"/>
        <v>137</v>
      </c>
      <c r="B140" s="121" t="s">
        <v>1416</v>
      </c>
      <c r="C140" s="121" t="s">
        <v>1417</v>
      </c>
      <c r="D140" s="116" t="s">
        <v>1004</v>
      </c>
      <c r="E140" s="116">
        <v>100</v>
      </c>
      <c r="F140" s="116" t="s">
        <v>1005</v>
      </c>
      <c r="G140" s="116"/>
      <c r="H140" s="117"/>
      <c r="I140" s="116" t="s">
        <v>211</v>
      </c>
      <c r="J140" s="116" t="s">
        <v>200</v>
      </c>
      <c r="K140" s="116" t="s">
        <v>1017</v>
      </c>
      <c r="L140" s="116" t="s">
        <v>1080</v>
      </c>
      <c r="M140" s="116" t="s">
        <v>1080</v>
      </c>
      <c r="N140" s="116" t="s">
        <v>1080</v>
      </c>
      <c r="O140" s="116" t="s">
        <v>1080</v>
      </c>
      <c r="P140" s="116" t="s">
        <v>1080</v>
      </c>
      <c r="Q140" s="116" t="s">
        <v>1080</v>
      </c>
      <c r="R140" s="116" t="s">
        <v>1080</v>
      </c>
      <c r="S140" s="116" t="s">
        <v>1080</v>
      </c>
      <c r="T140" s="116" t="s">
        <v>1080</v>
      </c>
      <c r="U140" s="116" t="s">
        <v>1080</v>
      </c>
      <c r="V140" s="116" t="s">
        <v>1080</v>
      </c>
      <c r="W140" s="116" t="s">
        <v>1080</v>
      </c>
      <c r="X140" s="116" t="s">
        <v>1080</v>
      </c>
      <c r="Y140" s="225"/>
      <c r="Z140" s="294"/>
    </row>
    <row r="141" spans="1:26" s="5" customFormat="1" ht="22.5" x14ac:dyDescent="0.15">
      <c r="A141" s="115">
        <f t="shared" si="2"/>
        <v>138</v>
      </c>
      <c r="B141" s="121" t="s">
        <v>1418</v>
      </c>
      <c r="C141" s="121" t="s">
        <v>1419</v>
      </c>
      <c r="D141" s="116" t="s">
        <v>1420</v>
      </c>
      <c r="E141" s="116"/>
      <c r="F141" s="116" t="s">
        <v>1005</v>
      </c>
      <c r="G141" s="116"/>
      <c r="H141" s="117"/>
      <c r="I141" s="116" t="s">
        <v>211</v>
      </c>
      <c r="J141" s="116" t="s">
        <v>200</v>
      </c>
      <c r="K141" s="116" t="s">
        <v>1017</v>
      </c>
      <c r="L141" s="116" t="s">
        <v>1080</v>
      </c>
      <c r="M141" s="116" t="s">
        <v>1080</v>
      </c>
      <c r="N141" s="116" t="s">
        <v>1080</v>
      </c>
      <c r="O141" s="116" t="s">
        <v>1080</v>
      </c>
      <c r="P141" s="116" t="s">
        <v>1080</v>
      </c>
      <c r="Q141" s="116" t="s">
        <v>1080</v>
      </c>
      <c r="R141" s="116" t="s">
        <v>1080</v>
      </c>
      <c r="S141" s="116" t="s">
        <v>1080</v>
      </c>
      <c r="T141" s="116" t="s">
        <v>1080</v>
      </c>
      <c r="U141" s="116" t="s">
        <v>1080</v>
      </c>
      <c r="V141" s="116" t="s">
        <v>1080</v>
      </c>
      <c r="W141" s="116" t="s">
        <v>1080</v>
      </c>
      <c r="X141" s="116" t="s">
        <v>1080</v>
      </c>
      <c r="Y141" s="225"/>
      <c r="Z141" s="294"/>
    </row>
    <row r="142" spans="1:26" s="5" customFormat="1" ht="22.5" x14ac:dyDescent="0.15">
      <c r="A142" s="115">
        <f t="shared" si="2"/>
        <v>139</v>
      </c>
      <c r="B142" s="121" t="s">
        <v>1421</v>
      </c>
      <c r="C142" s="121" t="s">
        <v>1422</v>
      </c>
      <c r="D142" s="116" t="s">
        <v>1004</v>
      </c>
      <c r="E142" s="116">
        <v>13</v>
      </c>
      <c r="F142" s="116" t="s">
        <v>1005</v>
      </c>
      <c r="G142" s="116"/>
      <c r="H142" s="117"/>
      <c r="I142" s="116" t="s">
        <v>211</v>
      </c>
      <c r="J142" s="116" t="s">
        <v>200</v>
      </c>
      <c r="K142" s="116" t="s">
        <v>1017</v>
      </c>
      <c r="L142" s="116" t="s">
        <v>1080</v>
      </c>
      <c r="M142" s="116" t="s">
        <v>1080</v>
      </c>
      <c r="N142" s="116" t="s">
        <v>1080</v>
      </c>
      <c r="O142" s="116" t="s">
        <v>1080</v>
      </c>
      <c r="P142" s="116" t="s">
        <v>1080</v>
      </c>
      <c r="Q142" s="116" t="s">
        <v>1080</v>
      </c>
      <c r="R142" s="116" t="s">
        <v>1080</v>
      </c>
      <c r="S142" s="116" t="s">
        <v>1080</v>
      </c>
      <c r="T142" s="116" t="s">
        <v>1080</v>
      </c>
      <c r="U142" s="116" t="s">
        <v>1080</v>
      </c>
      <c r="V142" s="116" t="s">
        <v>1080</v>
      </c>
      <c r="W142" s="116" t="s">
        <v>1080</v>
      </c>
      <c r="X142" s="116" t="s">
        <v>1080</v>
      </c>
      <c r="Y142" s="225"/>
      <c r="Z142" s="294"/>
    </row>
    <row r="143" spans="1:26" s="5" customFormat="1" ht="22.5" x14ac:dyDescent="0.15">
      <c r="A143" s="115">
        <f t="shared" si="2"/>
        <v>140</v>
      </c>
      <c r="B143" s="121" t="s">
        <v>1423</v>
      </c>
      <c r="C143" s="121" t="s">
        <v>1424</v>
      </c>
      <c r="D143" s="116" t="s">
        <v>1004</v>
      </c>
      <c r="E143" s="116">
        <v>13</v>
      </c>
      <c r="F143" s="116" t="s">
        <v>1005</v>
      </c>
      <c r="G143" s="116"/>
      <c r="H143" s="117"/>
      <c r="I143" s="116" t="s">
        <v>211</v>
      </c>
      <c r="J143" s="116" t="s">
        <v>200</v>
      </c>
      <c r="K143" s="116" t="s">
        <v>1017</v>
      </c>
      <c r="L143" s="116" t="s">
        <v>1080</v>
      </c>
      <c r="M143" s="116" t="s">
        <v>1080</v>
      </c>
      <c r="N143" s="116" t="s">
        <v>1080</v>
      </c>
      <c r="O143" s="116" t="s">
        <v>1080</v>
      </c>
      <c r="P143" s="116" t="s">
        <v>1080</v>
      </c>
      <c r="Q143" s="116" t="s">
        <v>1080</v>
      </c>
      <c r="R143" s="116" t="s">
        <v>1080</v>
      </c>
      <c r="S143" s="116" t="s">
        <v>1080</v>
      </c>
      <c r="T143" s="116" t="s">
        <v>1080</v>
      </c>
      <c r="U143" s="116" t="s">
        <v>1080</v>
      </c>
      <c r="V143" s="116" t="s">
        <v>1080</v>
      </c>
      <c r="W143" s="116" t="s">
        <v>1080</v>
      </c>
      <c r="X143" s="116" t="s">
        <v>1080</v>
      </c>
      <c r="Y143" s="225"/>
      <c r="Z143" s="294"/>
    </row>
    <row r="144" spans="1:26" s="5" customFormat="1" ht="22.5" x14ac:dyDescent="0.15">
      <c r="A144" s="115">
        <f t="shared" si="2"/>
        <v>141</v>
      </c>
      <c r="B144" s="121" t="s">
        <v>1425</v>
      </c>
      <c r="C144" s="121" t="s">
        <v>1426</v>
      </c>
      <c r="D144" s="118" t="s">
        <v>1004</v>
      </c>
      <c r="E144" s="116">
        <v>10</v>
      </c>
      <c r="F144" s="116" t="s">
        <v>1005</v>
      </c>
      <c r="G144" s="116"/>
      <c r="H144" s="117"/>
      <c r="I144" s="116" t="s">
        <v>211</v>
      </c>
      <c r="J144" s="116" t="s">
        <v>200</v>
      </c>
      <c r="K144" s="116" t="s">
        <v>1017</v>
      </c>
      <c r="L144" s="116" t="s">
        <v>1080</v>
      </c>
      <c r="M144" s="116" t="s">
        <v>1080</v>
      </c>
      <c r="N144" s="116" t="s">
        <v>1080</v>
      </c>
      <c r="O144" s="116" t="s">
        <v>1080</v>
      </c>
      <c r="P144" s="116" t="s">
        <v>1080</v>
      </c>
      <c r="Q144" s="116" t="s">
        <v>1080</v>
      </c>
      <c r="R144" s="116" t="s">
        <v>1080</v>
      </c>
      <c r="S144" s="116" t="s">
        <v>1080</v>
      </c>
      <c r="T144" s="116" t="s">
        <v>1080</v>
      </c>
      <c r="U144" s="116" t="s">
        <v>1080</v>
      </c>
      <c r="V144" s="116" t="s">
        <v>1080</v>
      </c>
      <c r="W144" s="116" t="s">
        <v>1080</v>
      </c>
      <c r="X144" s="116" t="s">
        <v>1080</v>
      </c>
      <c r="Y144" s="225"/>
      <c r="Z144" s="294"/>
    </row>
    <row r="145" spans="1:26" s="127" customFormat="1" ht="37.9" customHeight="1" x14ac:dyDescent="0.15">
      <c r="A145" s="115">
        <f t="shared" si="2"/>
        <v>142</v>
      </c>
      <c r="B145" s="121" t="s">
        <v>1427</v>
      </c>
      <c r="C145" s="121" t="s">
        <v>1428</v>
      </c>
      <c r="D145" s="116" t="s">
        <v>1411</v>
      </c>
      <c r="E145" s="116"/>
      <c r="F145" s="116" t="s">
        <v>1005</v>
      </c>
      <c r="G145" s="116"/>
      <c r="H145" s="117"/>
      <c r="I145" s="116" t="s">
        <v>211</v>
      </c>
      <c r="J145" s="116" t="s">
        <v>200</v>
      </c>
      <c r="K145" s="116" t="s">
        <v>1017</v>
      </c>
      <c r="L145" s="116" t="s">
        <v>1080</v>
      </c>
      <c r="M145" s="116" t="s">
        <v>1080</v>
      </c>
      <c r="N145" s="116" t="s">
        <v>1080</v>
      </c>
      <c r="O145" s="116" t="s">
        <v>1080</v>
      </c>
      <c r="P145" s="116" t="s">
        <v>1080</v>
      </c>
      <c r="Q145" s="116" t="s">
        <v>1080</v>
      </c>
      <c r="R145" s="116" t="s">
        <v>1080</v>
      </c>
      <c r="S145" s="116" t="s">
        <v>1080</v>
      </c>
      <c r="T145" s="116" t="s">
        <v>1080</v>
      </c>
      <c r="U145" s="116" t="s">
        <v>1080</v>
      </c>
      <c r="V145" s="116" t="s">
        <v>1080</v>
      </c>
      <c r="W145" s="116" t="s">
        <v>1080</v>
      </c>
      <c r="X145" s="116" t="s">
        <v>1080</v>
      </c>
      <c r="Y145" s="225"/>
      <c r="Z145" s="298"/>
    </row>
    <row r="146" spans="1:26" s="5" customFormat="1" ht="22.5" customHeight="1" x14ac:dyDescent="0.15">
      <c r="A146" s="115">
        <f t="shared" si="2"/>
        <v>143</v>
      </c>
      <c r="B146" s="121" t="s">
        <v>1429</v>
      </c>
      <c r="C146" s="121" t="s">
        <v>1430</v>
      </c>
      <c r="D146" s="116" t="s">
        <v>237</v>
      </c>
      <c r="E146" s="116">
        <v>255</v>
      </c>
      <c r="F146" s="116" t="s">
        <v>1005</v>
      </c>
      <c r="G146" s="116"/>
      <c r="H146" s="117"/>
      <c r="I146" s="116" t="s">
        <v>211</v>
      </c>
      <c r="J146" s="116" t="s">
        <v>200</v>
      </c>
      <c r="K146" s="116" t="s">
        <v>1017</v>
      </c>
      <c r="L146" s="116" t="s">
        <v>1080</v>
      </c>
      <c r="M146" s="116" t="s">
        <v>1080</v>
      </c>
      <c r="N146" s="116" t="s">
        <v>1080</v>
      </c>
      <c r="O146" s="116" t="s">
        <v>1080</v>
      </c>
      <c r="P146" s="116" t="s">
        <v>1080</v>
      </c>
      <c r="Q146" s="116" t="s">
        <v>1080</v>
      </c>
      <c r="R146" s="116" t="s">
        <v>1080</v>
      </c>
      <c r="S146" s="116" t="s">
        <v>1080</v>
      </c>
      <c r="T146" s="116" t="s">
        <v>1080</v>
      </c>
      <c r="U146" s="116" t="s">
        <v>1080</v>
      </c>
      <c r="V146" s="116" t="s">
        <v>1080</v>
      </c>
      <c r="W146" s="116" t="s">
        <v>1080</v>
      </c>
      <c r="X146" s="116" t="s">
        <v>1080</v>
      </c>
      <c r="Y146" s="225"/>
      <c r="Z146" s="294"/>
    </row>
    <row r="147" spans="1:26" s="5" customFormat="1" ht="22.5" customHeight="1" x14ac:dyDescent="0.15">
      <c r="A147" s="115">
        <f t="shared" si="2"/>
        <v>144</v>
      </c>
      <c r="B147" s="121" t="s">
        <v>1431</v>
      </c>
      <c r="C147" s="121" t="s">
        <v>1432</v>
      </c>
      <c r="D147" s="116" t="s">
        <v>250</v>
      </c>
      <c r="E147" s="116"/>
      <c r="F147" s="116" t="s">
        <v>1005</v>
      </c>
      <c r="G147" s="116"/>
      <c r="H147" s="117"/>
      <c r="I147" s="116" t="s">
        <v>211</v>
      </c>
      <c r="J147" s="116" t="s">
        <v>200</v>
      </c>
      <c r="K147" s="116" t="s">
        <v>1017</v>
      </c>
      <c r="L147" s="116" t="s">
        <v>1080</v>
      </c>
      <c r="M147" s="116" t="s">
        <v>1080</v>
      </c>
      <c r="N147" s="116" t="s">
        <v>1080</v>
      </c>
      <c r="O147" s="116" t="s">
        <v>1080</v>
      </c>
      <c r="P147" s="116" t="s">
        <v>1080</v>
      </c>
      <c r="Q147" s="116" t="s">
        <v>1080</v>
      </c>
      <c r="R147" s="116" t="s">
        <v>1080</v>
      </c>
      <c r="S147" s="116" t="s">
        <v>1080</v>
      </c>
      <c r="T147" s="116" t="s">
        <v>1080</v>
      </c>
      <c r="U147" s="116" t="s">
        <v>1080</v>
      </c>
      <c r="V147" s="116" t="s">
        <v>1080</v>
      </c>
      <c r="W147" s="116" t="s">
        <v>1080</v>
      </c>
      <c r="X147" s="116" t="s">
        <v>1080</v>
      </c>
      <c r="Y147" s="225"/>
      <c r="Z147" s="294"/>
    </row>
    <row r="148" spans="1:26" s="5" customFormat="1" ht="22.5" customHeight="1" x14ac:dyDescent="0.15">
      <c r="A148" s="115">
        <f t="shared" si="2"/>
        <v>145</v>
      </c>
      <c r="B148" s="121" t="s">
        <v>1433</v>
      </c>
      <c r="C148" s="121" t="s">
        <v>1434</v>
      </c>
      <c r="D148" s="116" t="s">
        <v>250</v>
      </c>
      <c r="E148" s="116"/>
      <c r="F148" s="116" t="s">
        <v>1005</v>
      </c>
      <c r="G148" s="116"/>
      <c r="H148" s="117"/>
      <c r="I148" s="116" t="s">
        <v>211</v>
      </c>
      <c r="J148" s="116" t="s">
        <v>200</v>
      </c>
      <c r="K148" s="116" t="s">
        <v>1017</v>
      </c>
      <c r="L148" s="116" t="s">
        <v>1080</v>
      </c>
      <c r="M148" s="116" t="s">
        <v>1080</v>
      </c>
      <c r="N148" s="116" t="s">
        <v>1080</v>
      </c>
      <c r="O148" s="116" t="s">
        <v>1080</v>
      </c>
      <c r="P148" s="116" t="s">
        <v>1080</v>
      </c>
      <c r="Q148" s="116" t="s">
        <v>1080</v>
      </c>
      <c r="R148" s="116" t="s">
        <v>1080</v>
      </c>
      <c r="S148" s="116" t="s">
        <v>1080</v>
      </c>
      <c r="T148" s="116" t="s">
        <v>1080</v>
      </c>
      <c r="U148" s="116" t="s">
        <v>1080</v>
      </c>
      <c r="V148" s="116" t="s">
        <v>1080</v>
      </c>
      <c r="W148" s="116" t="s">
        <v>1080</v>
      </c>
      <c r="X148" s="116" t="s">
        <v>1080</v>
      </c>
      <c r="Y148" s="225"/>
      <c r="Z148" s="294"/>
    </row>
    <row r="149" spans="1:26" s="5" customFormat="1" ht="22.5" x14ac:dyDescent="0.15">
      <c r="A149" s="115">
        <f t="shared" si="2"/>
        <v>146</v>
      </c>
      <c r="B149" s="121" t="s">
        <v>1435</v>
      </c>
      <c r="C149" s="121" t="s">
        <v>1436</v>
      </c>
      <c r="D149" s="116" t="s">
        <v>246</v>
      </c>
      <c r="E149" s="116"/>
      <c r="F149" s="116" t="s">
        <v>1005</v>
      </c>
      <c r="G149" s="116"/>
      <c r="H149" s="117"/>
      <c r="I149" s="116" t="s">
        <v>211</v>
      </c>
      <c r="J149" s="116" t="s">
        <v>200</v>
      </c>
      <c r="K149" s="116" t="s">
        <v>1017</v>
      </c>
      <c r="L149" s="116" t="s">
        <v>1080</v>
      </c>
      <c r="M149" s="116" t="s">
        <v>1080</v>
      </c>
      <c r="N149" s="116" t="s">
        <v>1080</v>
      </c>
      <c r="O149" s="116" t="s">
        <v>1080</v>
      </c>
      <c r="P149" s="116" t="s">
        <v>1080</v>
      </c>
      <c r="Q149" s="116" t="s">
        <v>1080</v>
      </c>
      <c r="R149" s="116" t="s">
        <v>1080</v>
      </c>
      <c r="S149" s="116" t="s">
        <v>1080</v>
      </c>
      <c r="T149" s="116" t="s">
        <v>1080</v>
      </c>
      <c r="U149" s="116" t="s">
        <v>1080</v>
      </c>
      <c r="V149" s="116" t="s">
        <v>1080</v>
      </c>
      <c r="W149" s="116" t="s">
        <v>1080</v>
      </c>
      <c r="X149" s="116" t="s">
        <v>1080</v>
      </c>
      <c r="Y149" s="221" t="s">
        <v>1437</v>
      </c>
      <c r="Z149" s="294"/>
    </row>
    <row r="150" spans="1:26" s="5" customFormat="1" ht="22.5" customHeight="1" x14ac:dyDescent="0.15">
      <c r="A150" s="115">
        <f t="shared" si="2"/>
        <v>147</v>
      </c>
      <c r="B150" s="121" t="s">
        <v>1438</v>
      </c>
      <c r="C150" s="121" t="s">
        <v>1439</v>
      </c>
      <c r="D150" s="116" t="s">
        <v>1244</v>
      </c>
      <c r="E150" s="116"/>
      <c r="F150" s="116" t="s">
        <v>1005</v>
      </c>
      <c r="G150" s="116"/>
      <c r="H150" s="117"/>
      <c r="I150" s="116" t="s">
        <v>211</v>
      </c>
      <c r="J150" s="116" t="s">
        <v>1381</v>
      </c>
      <c r="K150" s="116" t="s">
        <v>1017</v>
      </c>
      <c r="L150" s="116" t="s">
        <v>1080</v>
      </c>
      <c r="M150" s="116" t="s">
        <v>1080</v>
      </c>
      <c r="N150" s="116" t="s">
        <v>1080</v>
      </c>
      <c r="O150" s="116" t="s">
        <v>1080</v>
      </c>
      <c r="P150" s="116" t="s">
        <v>1080</v>
      </c>
      <c r="Q150" s="116" t="s">
        <v>1080</v>
      </c>
      <c r="R150" s="116" t="s">
        <v>1080</v>
      </c>
      <c r="S150" s="116" t="s">
        <v>1080</v>
      </c>
      <c r="T150" s="116" t="s">
        <v>1080</v>
      </c>
      <c r="U150" s="116" t="s">
        <v>1080</v>
      </c>
      <c r="V150" s="116" t="s">
        <v>1080</v>
      </c>
      <c r="W150" s="116" t="s">
        <v>1080</v>
      </c>
      <c r="X150" s="116" t="s">
        <v>1080</v>
      </c>
      <c r="Y150" s="225"/>
      <c r="Z150" s="294"/>
    </row>
    <row r="151" spans="1:26" s="127" customFormat="1" ht="22.5" customHeight="1" x14ac:dyDescent="0.15">
      <c r="A151" s="314">
        <f t="shared" si="2"/>
        <v>148</v>
      </c>
      <c r="B151" s="315" t="s">
        <v>1440</v>
      </c>
      <c r="C151" s="315" t="s">
        <v>1441</v>
      </c>
      <c r="D151" s="316" t="s">
        <v>1244</v>
      </c>
      <c r="E151" s="316"/>
      <c r="F151" s="316" t="s">
        <v>1005</v>
      </c>
      <c r="G151" s="316"/>
      <c r="H151" s="317"/>
      <c r="I151" s="316" t="s">
        <v>211</v>
      </c>
      <c r="J151" s="316" t="s">
        <v>1381</v>
      </c>
      <c r="K151" s="316" t="s">
        <v>1017</v>
      </c>
      <c r="L151" s="316" t="s">
        <v>1126</v>
      </c>
      <c r="M151" s="316" t="s">
        <v>1126</v>
      </c>
      <c r="N151" s="316" t="s">
        <v>1126</v>
      </c>
      <c r="O151" s="316" t="s">
        <v>1126</v>
      </c>
      <c r="P151" s="316" t="s">
        <v>1126</v>
      </c>
      <c r="Q151" s="316" t="s">
        <v>1126</v>
      </c>
      <c r="R151" s="316" t="s">
        <v>1126</v>
      </c>
      <c r="S151" s="316" t="s">
        <v>1126</v>
      </c>
      <c r="T151" s="316" t="s">
        <v>1126</v>
      </c>
      <c r="U151" s="316" t="s">
        <v>1126</v>
      </c>
      <c r="V151" s="316" t="s">
        <v>1126</v>
      </c>
      <c r="W151" s="316" t="s">
        <v>1126</v>
      </c>
      <c r="X151" s="316" t="s">
        <v>1126</v>
      </c>
      <c r="Y151" s="318" t="s">
        <v>1442</v>
      </c>
      <c r="Z151" s="298" t="s">
        <v>1040</v>
      </c>
    </row>
    <row r="152" spans="1:26" s="5" customFormat="1" ht="45" x14ac:dyDescent="0.15">
      <c r="A152" s="26">
        <f t="shared" si="2"/>
        <v>149</v>
      </c>
      <c r="B152" s="27" t="s">
        <v>1443</v>
      </c>
      <c r="C152" s="27" t="s">
        <v>1444</v>
      </c>
      <c r="D152" s="17" t="s">
        <v>246</v>
      </c>
      <c r="E152" s="17"/>
      <c r="F152" s="17" t="s">
        <v>1005</v>
      </c>
      <c r="G152" s="17"/>
      <c r="H152" s="18"/>
      <c r="I152" s="17" t="s">
        <v>211</v>
      </c>
      <c r="J152" s="17" t="s">
        <v>172</v>
      </c>
      <c r="K152" s="17" t="s">
        <v>1007</v>
      </c>
      <c r="L152" s="17" t="s">
        <v>1154</v>
      </c>
      <c r="M152" s="17" t="s">
        <v>1154</v>
      </c>
      <c r="N152" s="21" t="s">
        <v>1445</v>
      </c>
      <c r="O152" s="17" t="s">
        <v>1154</v>
      </c>
      <c r="P152" s="116" t="s">
        <v>1154</v>
      </c>
      <c r="Q152" s="17" t="s">
        <v>1154</v>
      </c>
      <c r="R152" s="116" t="s">
        <v>1154</v>
      </c>
      <c r="S152" s="17" t="s">
        <v>1154</v>
      </c>
      <c r="T152" s="116" t="s">
        <v>1154</v>
      </c>
      <c r="U152" s="17" t="s">
        <v>1154</v>
      </c>
      <c r="V152" s="17" t="s">
        <v>1154</v>
      </c>
      <c r="W152" s="116" t="s">
        <v>1154</v>
      </c>
      <c r="X152" s="17" t="s">
        <v>1154</v>
      </c>
      <c r="Y152" s="40" t="s">
        <v>1446</v>
      </c>
      <c r="Z152" s="294"/>
    </row>
    <row r="153" spans="1:26" s="5" customFormat="1" ht="40.5" x14ac:dyDescent="0.15">
      <c r="A153" s="26">
        <f t="shared" si="2"/>
        <v>150</v>
      </c>
      <c r="B153" s="27" t="s">
        <v>1447</v>
      </c>
      <c r="C153" s="27" t="s">
        <v>1448</v>
      </c>
      <c r="D153" s="17" t="s">
        <v>250</v>
      </c>
      <c r="E153" s="17"/>
      <c r="F153" s="17" t="s">
        <v>1005</v>
      </c>
      <c r="G153" s="17"/>
      <c r="H153" s="18"/>
      <c r="I153" s="228" t="s">
        <v>1449</v>
      </c>
      <c r="J153" s="39" t="s">
        <v>172</v>
      </c>
      <c r="K153" s="17" t="s">
        <v>1007</v>
      </c>
      <c r="L153" s="17" t="s">
        <v>1450</v>
      </c>
      <c r="M153" s="21" t="s">
        <v>1451</v>
      </c>
      <c r="N153" s="352" t="s">
        <v>1065</v>
      </c>
      <c r="O153" s="17" t="s">
        <v>1450</v>
      </c>
      <c r="P153" s="116" t="s">
        <v>1450</v>
      </c>
      <c r="Q153" s="17" t="s">
        <v>1450</v>
      </c>
      <c r="R153" s="116" t="s">
        <v>1450</v>
      </c>
      <c r="S153" s="17" t="s">
        <v>1450</v>
      </c>
      <c r="T153" s="116" t="s">
        <v>1450</v>
      </c>
      <c r="U153" s="17" t="s">
        <v>1450</v>
      </c>
      <c r="V153" s="17" t="s">
        <v>1450</v>
      </c>
      <c r="W153" s="116" t="s">
        <v>1450</v>
      </c>
      <c r="X153" s="17" t="s">
        <v>1450</v>
      </c>
      <c r="Y153" s="40" t="s">
        <v>1452</v>
      </c>
      <c r="Z153" s="294" t="s">
        <v>1123</v>
      </c>
    </row>
    <row r="154" spans="1:26" s="5" customFormat="1" ht="46.15" customHeight="1" x14ac:dyDescent="0.15">
      <c r="A154" s="26">
        <f t="shared" si="2"/>
        <v>151</v>
      </c>
      <c r="B154" s="27" t="s">
        <v>1453</v>
      </c>
      <c r="C154" s="27" t="s">
        <v>1454</v>
      </c>
      <c r="D154" s="17" t="s">
        <v>250</v>
      </c>
      <c r="E154" s="17"/>
      <c r="F154" s="17" t="s">
        <v>1005</v>
      </c>
      <c r="G154" s="17"/>
      <c r="H154" s="18"/>
      <c r="I154" s="228" t="s">
        <v>1455</v>
      </c>
      <c r="J154" s="39" t="s">
        <v>172</v>
      </c>
      <c r="K154" s="17" t="s">
        <v>1007</v>
      </c>
      <c r="L154" s="17" t="s">
        <v>1450</v>
      </c>
      <c r="M154" s="21" t="s">
        <v>1456</v>
      </c>
      <c r="N154" s="352" t="s">
        <v>1065</v>
      </c>
      <c r="O154" s="17" t="s">
        <v>1450</v>
      </c>
      <c r="P154" s="116" t="s">
        <v>1450</v>
      </c>
      <c r="Q154" s="17" t="s">
        <v>1450</v>
      </c>
      <c r="R154" s="116" t="s">
        <v>1450</v>
      </c>
      <c r="S154" s="17" t="s">
        <v>1450</v>
      </c>
      <c r="T154" s="116" t="s">
        <v>1450</v>
      </c>
      <c r="U154" s="17" t="s">
        <v>1450</v>
      </c>
      <c r="V154" s="17" t="s">
        <v>1450</v>
      </c>
      <c r="W154" s="116" t="s">
        <v>1450</v>
      </c>
      <c r="X154" s="17" t="s">
        <v>1450</v>
      </c>
      <c r="Y154" s="40" t="s">
        <v>1457</v>
      </c>
      <c r="Z154" s="294" t="s">
        <v>1123</v>
      </c>
    </row>
    <row r="155" spans="1:26" s="5" customFormat="1" ht="34.9" customHeight="1" x14ac:dyDescent="0.15">
      <c r="A155" s="115">
        <f t="shared" si="2"/>
        <v>152</v>
      </c>
      <c r="B155" s="121" t="s">
        <v>1458</v>
      </c>
      <c r="C155" s="121" t="s">
        <v>1459</v>
      </c>
      <c r="D155" s="116" t="s">
        <v>250</v>
      </c>
      <c r="E155" s="116"/>
      <c r="F155" s="116" t="s">
        <v>1005</v>
      </c>
      <c r="G155" s="116"/>
      <c r="H155" s="117"/>
      <c r="I155" s="116" t="s">
        <v>211</v>
      </c>
      <c r="J155" s="116" t="s">
        <v>1381</v>
      </c>
      <c r="K155" s="116" t="s">
        <v>1017</v>
      </c>
      <c r="L155" s="116" t="s">
        <v>1080</v>
      </c>
      <c r="M155" s="116" t="s">
        <v>1080</v>
      </c>
      <c r="N155" s="116" t="s">
        <v>1080</v>
      </c>
      <c r="O155" s="116" t="s">
        <v>1080</v>
      </c>
      <c r="P155" s="116" t="s">
        <v>1080</v>
      </c>
      <c r="Q155" s="116" t="s">
        <v>1080</v>
      </c>
      <c r="R155" s="116" t="s">
        <v>1080</v>
      </c>
      <c r="S155" s="116" t="s">
        <v>1080</v>
      </c>
      <c r="T155" s="116" t="s">
        <v>1080</v>
      </c>
      <c r="U155" s="116" t="s">
        <v>1080</v>
      </c>
      <c r="V155" s="116" t="s">
        <v>1080</v>
      </c>
      <c r="W155" s="116" t="s">
        <v>1080</v>
      </c>
      <c r="X155" s="116" t="s">
        <v>1080</v>
      </c>
      <c r="Y155" s="221"/>
      <c r="Z155" s="294"/>
    </row>
    <row r="156" spans="1:26" s="5" customFormat="1" ht="34.9" customHeight="1" x14ac:dyDescent="0.15">
      <c r="A156" s="115">
        <f t="shared" si="2"/>
        <v>153</v>
      </c>
      <c r="B156" s="121" t="s">
        <v>1460</v>
      </c>
      <c r="C156" s="121" t="s">
        <v>1461</v>
      </c>
      <c r="D156" s="116" t="s">
        <v>250</v>
      </c>
      <c r="E156" s="116"/>
      <c r="F156" s="116" t="s">
        <v>1005</v>
      </c>
      <c r="G156" s="116"/>
      <c r="H156" s="117"/>
      <c r="I156" s="116" t="s">
        <v>211</v>
      </c>
      <c r="J156" s="116" t="s">
        <v>1381</v>
      </c>
      <c r="K156" s="116" t="s">
        <v>1017</v>
      </c>
      <c r="L156" s="116" t="s">
        <v>1080</v>
      </c>
      <c r="M156" s="116" t="s">
        <v>1080</v>
      </c>
      <c r="N156" s="116" t="s">
        <v>1080</v>
      </c>
      <c r="O156" s="116" t="s">
        <v>1080</v>
      </c>
      <c r="P156" s="116" t="s">
        <v>1080</v>
      </c>
      <c r="Q156" s="116" t="s">
        <v>1080</v>
      </c>
      <c r="R156" s="116" t="s">
        <v>1080</v>
      </c>
      <c r="S156" s="116" t="s">
        <v>1080</v>
      </c>
      <c r="T156" s="116" t="s">
        <v>1080</v>
      </c>
      <c r="U156" s="116" t="s">
        <v>1080</v>
      </c>
      <c r="V156" s="116" t="s">
        <v>1080</v>
      </c>
      <c r="W156" s="116" t="s">
        <v>1080</v>
      </c>
      <c r="X156" s="116" t="s">
        <v>1080</v>
      </c>
      <c r="Y156" s="221"/>
      <c r="Z156" s="294"/>
    </row>
    <row r="157" spans="1:26" s="5" customFormat="1" ht="49.9" customHeight="1" x14ac:dyDescent="0.15">
      <c r="A157" s="26">
        <f t="shared" si="2"/>
        <v>154</v>
      </c>
      <c r="B157" s="27" t="s">
        <v>1462</v>
      </c>
      <c r="C157" s="27" t="s">
        <v>1463</v>
      </c>
      <c r="D157" s="17" t="s">
        <v>355</v>
      </c>
      <c r="E157" s="17"/>
      <c r="F157" s="17" t="s">
        <v>1005</v>
      </c>
      <c r="G157" s="17"/>
      <c r="H157" s="18"/>
      <c r="I157" s="228" t="s">
        <v>1464</v>
      </c>
      <c r="J157" s="39" t="s">
        <v>172</v>
      </c>
      <c r="K157" s="17" t="s">
        <v>1007</v>
      </c>
      <c r="L157" s="17" t="s">
        <v>1450</v>
      </c>
      <c r="M157" s="21" t="s">
        <v>1465</v>
      </c>
      <c r="N157" s="352" t="s">
        <v>1065</v>
      </c>
      <c r="O157" s="17" t="s">
        <v>1450</v>
      </c>
      <c r="P157" s="116" t="s">
        <v>1450</v>
      </c>
      <c r="Q157" s="17" t="s">
        <v>1450</v>
      </c>
      <c r="R157" s="116" t="s">
        <v>1450</v>
      </c>
      <c r="S157" s="17" t="s">
        <v>1450</v>
      </c>
      <c r="T157" s="116" t="s">
        <v>1450</v>
      </c>
      <c r="U157" s="17" t="s">
        <v>1450</v>
      </c>
      <c r="V157" s="17" t="s">
        <v>1450</v>
      </c>
      <c r="W157" s="116" t="s">
        <v>1450</v>
      </c>
      <c r="X157" s="17" t="s">
        <v>1450</v>
      </c>
      <c r="Y157" s="40" t="s">
        <v>1466</v>
      </c>
      <c r="Z157" s="294" t="s">
        <v>1123</v>
      </c>
    </row>
    <row r="158" spans="1:26" s="5" customFormat="1" ht="54" customHeight="1" x14ac:dyDescent="0.15">
      <c r="A158" s="26">
        <f t="shared" si="2"/>
        <v>155</v>
      </c>
      <c r="B158" s="27" t="s">
        <v>1467</v>
      </c>
      <c r="C158" s="27" t="s">
        <v>1468</v>
      </c>
      <c r="D158" s="17" t="s">
        <v>355</v>
      </c>
      <c r="E158" s="17"/>
      <c r="F158" s="17" t="s">
        <v>1005</v>
      </c>
      <c r="G158" s="17"/>
      <c r="H158" s="18"/>
      <c r="I158" s="228" t="s">
        <v>1183</v>
      </c>
      <c r="J158" s="39" t="s">
        <v>172</v>
      </c>
      <c r="K158" s="17" t="s">
        <v>1007</v>
      </c>
      <c r="L158" s="17" t="s">
        <v>1450</v>
      </c>
      <c r="M158" s="21" t="s">
        <v>1469</v>
      </c>
      <c r="N158" s="352" t="s">
        <v>1065</v>
      </c>
      <c r="O158" s="17" t="s">
        <v>1450</v>
      </c>
      <c r="P158" s="116" t="s">
        <v>1450</v>
      </c>
      <c r="Q158" s="17" t="s">
        <v>1450</v>
      </c>
      <c r="R158" s="116" t="s">
        <v>1450</v>
      </c>
      <c r="S158" s="17" t="s">
        <v>1450</v>
      </c>
      <c r="T158" s="116" t="s">
        <v>1450</v>
      </c>
      <c r="U158" s="17" t="s">
        <v>1450</v>
      </c>
      <c r="V158" s="17" t="s">
        <v>1450</v>
      </c>
      <c r="W158" s="116" t="s">
        <v>1450</v>
      </c>
      <c r="X158" s="17" t="s">
        <v>1450</v>
      </c>
      <c r="Y158" s="40" t="s">
        <v>1185</v>
      </c>
      <c r="Z158" s="294" t="s">
        <v>1123</v>
      </c>
    </row>
    <row r="159" spans="1:26" s="5" customFormat="1" ht="34.9" customHeight="1" x14ac:dyDescent="0.15">
      <c r="A159" s="115">
        <f t="shared" si="2"/>
        <v>156</v>
      </c>
      <c r="B159" s="121" t="s">
        <v>1470</v>
      </c>
      <c r="C159" s="121" t="s">
        <v>1471</v>
      </c>
      <c r="D159" s="116" t="s">
        <v>355</v>
      </c>
      <c r="E159" s="116"/>
      <c r="F159" s="116" t="s">
        <v>1005</v>
      </c>
      <c r="G159" s="116"/>
      <c r="H159" s="117"/>
      <c r="I159" s="116" t="s">
        <v>211</v>
      </c>
      <c r="J159" s="116" t="s">
        <v>1381</v>
      </c>
      <c r="K159" s="116" t="s">
        <v>1017</v>
      </c>
      <c r="L159" s="116" t="s">
        <v>1080</v>
      </c>
      <c r="M159" s="116" t="s">
        <v>1080</v>
      </c>
      <c r="N159" s="116" t="s">
        <v>1080</v>
      </c>
      <c r="O159" s="116" t="s">
        <v>1080</v>
      </c>
      <c r="P159" s="116" t="s">
        <v>1080</v>
      </c>
      <c r="Q159" s="116" t="s">
        <v>1080</v>
      </c>
      <c r="R159" s="116" t="s">
        <v>1080</v>
      </c>
      <c r="S159" s="116" t="s">
        <v>1080</v>
      </c>
      <c r="T159" s="116" t="s">
        <v>1080</v>
      </c>
      <c r="U159" s="116" t="s">
        <v>1080</v>
      </c>
      <c r="V159" s="116" t="s">
        <v>1080</v>
      </c>
      <c r="W159" s="116" t="s">
        <v>1080</v>
      </c>
      <c r="X159" s="116" t="s">
        <v>1080</v>
      </c>
      <c r="Y159" s="221"/>
      <c r="Z159" s="294"/>
    </row>
    <row r="160" spans="1:26" s="5" customFormat="1" ht="34.9" customHeight="1" x14ac:dyDescent="0.15">
      <c r="A160" s="115">
        <f t="shared" si="2"/>
        <v>157</v>
      </c>
      <c r="B160" s="121" t="s">
        <v>1472</v>
      </c>
      <c r="C160" s="121" t="s">
        <v>1473</v>
      </c>
      <c r="D160" s="116" t="s">
        <v>355</v>
      </c>
      <c r="E160" s="116"/>
      <c r="F160" s="116" t="s">
        <v>1005</v>
      </c>
      <c r="G160" s="116"/>
      <c r="H160" s="117"/>
      <c r="I160" s="116" t="s">
        <v>211</v>
      </c>
      <c r="J160" s="116" t="s">
        <v>1381</v>
      </c>
      <c r="K160" s="116" t="s">
        <v>1017</v>
      </c>
      <c r="L160" s="116" t="s">
        <v>1080</v>
      </c>
      <c r="M160" s="116" t="s">
        <v>1080</v>
      </c>
      <c r="N160" s="116" t="s">
        <v>1080</v>
      </c>
      <c r="O160" s="116" t="s">
        <v>1080</v>
      </c>
      <c r="P160" s="116" t="s">
        <v>1080</v>
      </c>
      <c r="Q160" s="116" t="s">
        <v>1080</v>
      </c>
      <c r="R160" s="116" t="s">
        <v>1080</v>
      </c>
      <c r="S160" s="116" t="s">
        <v>1080</v>
      </c>
      <c r="T160" s="116" t="s">
        <v>1080</v>
      </c>
      <c r="U160" s="116" t="s">
        <v>1080</v>
      </c>
      <c r="V160" s="116" t="s">
        <v>1080</v>
      </c>
      <c r="W160" s="116" t="s">
        <v>1080</v>
      </c>
      <c r="X160" s="116" t="s">
        <v>1080</v>
      </c>
      <c r="Y160" s="221"/>
      <c r="Z160" s="294"/>
    </row>
    <row r="161" spans="1:26" s="5" customFormat="1" ht="22.5" customHeight="1" x14ac:dyDescent="0.15">
      <c r="A161" s="115">
        <f t="shared" si="2"/>
        <v>158</v>
      </c>
      <c r="B161" s="121" t="s">
        <v>1474</v>
      </c>
      <c r="C161" s="121" t="s">
        <v>1475</v>
      </c>
      <c r="D161" s="116" t="s">
        <v>1390</v>
      </c>
      <c r="E161" s="116"/>
      <c r="F161" s="116" t="s">
        <v>1005</v>
      </c>
      <c r="G161" s="116"/>
      <c r="H161" s="117"/>
      <c r="I161" s="116" t="s">
        <v>211</v>
      </c>
      <c r="J161" s="116" t="s">
        <v>1381</v>
      </c>
      <c r="K161" s="116" t="s">
        <v>1017</v>
      </c>
      <c r="L161" s="116" t="s">
        <v>1080</v>
      </c>
      <c r="M161" s="116" t="s">
        <v>1080</v>
      </c>
      <c r="N161" s="116" t="s">
        <v>1080</v>
      </c>
      <c r="O161" s="116" t="s">
        <v>1080</v>
      </c>
      <c r="P161" s="116" t="s">
        <v>1080</v>
      </c>
      <c r="Q161" s="116" t="s">
        <v>1080</v>
      </c>
      <c r="R161" s="116" t="s">
        <v>1080</v>
      </c>
      <c r="S161" s="116" t="s">
        <v>1080</v>
      </c>
      <c r="T161" s="116" t="s">
        <v>1080</v>
      </c>
      <c r="U161" s="116" t="s">
        <v>1080</v>
      </c>
      <c r="V161" s="116" t="s">
        <v>1080</v>
      </c>
      <c r="W161" s="116" t="s">
        <v>1080</v>
      </c>
      <c r="X161" s="116" t="s">
        <v>1080</v>
      </c>
      <c r="Y161" s="225"/>
      <c r="Z161" s="294"/>
    </row>
    <row r="162" spans="1:26" s="5" customFormat="1" ht="22.5" customHeight="1" x14ac:dyDescent="0.15">
      <c r="A162" s="115">
        <f t="shared" si="2"/>
        <v>159</v>
      </c>
      <c r="B162" s="121" t="s">
        <v>1476</v>
      </c>
      <c r="C162" s="121" t="s">
        <v>1477</v>
      </c>
      <c r="D162" s="116" t="s">
        <v>1411</v>
      </c>
      <c r="E162" s="116"/>
      <c r="F162" s="116" t="s">
        <v>1005</v>
      </c>
      <c r="G162" s="116"/>
      <c r="H162" s="117"/>
      <c r="I162" s="116" t="s">
        <v>211</v>
      </c>
      <c r="J162" s="116" t="s">
        <v>1381</v>
      </c>
      <c r="K162" s="116" t="s">
        <v>1017</v>
      </c>
      <c r="L162" s="116" t="s">
        <v>1080</v>
      </c>
      <c r="M162" s="116" t="s">
        <v>1080</v>
      </c>
      <c r="N162" s="116" t="s">
        <v>1080</v>
      </c>
      <c r="O162" s="116" t="s">
        <v>1080</v>
      </c>
      <c r="P162" s="116" t="s">
        <v>1080</v>
      </c>
      <c r="Q162" s="116" t="s">
        <v>1080</v>
      </c>
      <c r="R162" s="116" t="s">
        <v>1080</v>
      </c>
      <c r="S162" s="116" t="s">
        <v>1080</v>
      </c>
      <c r="T162" s="116" t="s">
        <v>1080</v>
      </c>
      <c r="U162" s="116" t="s">
        <v>1080</v>
      </c>
      <c r="V162" s="116" t="s">
        <v>1080</v>
      </c>
      <c r="W162" s="116" t="s">
        <v>1080</v>
      </c>
      <c r="X162" s="116" t="s">
        <v>1080</v>
      </c>
      <c r="Y162" s="225"/>
      <c r="Z162" s="294"/>
    </row>
    <row r="163" spans="1:26" s="5" customFormat="1" ht="22.5" customHeight="1" x14ac:dyDescent="0.15">
      <c r="A163" s="115">
        <f t="shared" si="2"/>
        <v>160</v>
      </c>
      <c r="B163" s="121" t="s">
        <v>1478</v>
      </c>
      <c r="C163" s="121" t="s">
        <v>1479</v>
      </c>
      <c r="D163" s="116" t="s">
        <v>1390</v>
      </c>
      <c r="E163" s="116"/>
      <c r="F163" s="116" t="s">
        <v>1005</v>
      </c>
      <c r="G163" s="116"/>
      <c r="H163" s="117"/>
      <c r="I163" s="116" t="s">
        <v>211</v>
      </c>
      <c r="J163" s="116" t="s">
        <v>1381</v>
      </c>
      <c r="K163" s="116" t="s">
        <v>1017</v>
      </c>
      <c r="L163" s="116" t="s">
        <v>1080</v>
      </c>
      <c r="M163" s="116" t="s">
        <v>1080</v>
      </c>
      <c r="N163" s="116" t="s">
        <v>1080</v>
      </c>
      <c r="O163" s="116" t="s">
        <v>1080</v>
      </c>
      <c r="P163" s="116" t="s">
        <v>1080</v>
      </c>
      <c r="Q163" s="116" t="s">
        <v>1080</v>
      </c>
      <c r="R163" s="116" t="s">
        <v>1080</v>
      </c>
      <c r="S163" s="116" t="s">
        <v>1080</v>
      </c>
      <c r="T163" s="116" t="s">
        <v>1080</v>
      </c>
      <c r="U163" s="116" t="s">
        <v>1080</v>
      </c>
      <c r="V163" s="116" t="s">
        <v>1080</v>
      </c>
      <c r="W163" s="116" t="s">
        <v>1080</v>
      </c>
      <c r="X163" s="116" t="s">
        <v>1080</v>
      </c>
      <c r="Y163" s="225"/>
      <c r="Z163" s="294"/>
    </row>
    <row r="164" spans="1:26" s="5" customFormat="1" ht="22.5" customHeight="1" x14ac:dyDescent="0.15">
      <c r="A164" s="115">
        <f t="shared" si="2"/>
        <v>161</v>
      </c>
      <c r="B164" s="121" t="s">
        <v>1480</v>
      </c>
      <c r="C164" s="121" t="s">
        <v>1481</v>
      </c>
      <c r="D164" s="118" t="s">
        <v>1411</v>
      </c>
      <c r="E164" s="116"/>
      <c r="F164" s="116" t="s">
        <v>1005</v>
      </c>
      <c r="G164" s="116"/>
      <c r="H164" s="117"/>
      <c r="I164" s="116" t="s">
        <v>211</v>
      </c>
      <c r="J164" s="116" t="s">
        <v>1381</v>
      </c>
      <c r="K164" s="116" t="s">
        <v>1017</v>
      </c>
      <c r="L164" s="116" t="s">
        <v>1080</v>
      </c>
      <c r="M164" s="116" t="s">
        <v>1080</v>
      </c>
      <c r="N164" s="116" t="s">
        <v>1080</v>
      </c>
      <c r="O164" s="116" t="s">
        <v>1080</v>
      </c>
      <c r="P164" s="116" t="s">
        <v>1080</v>
      </c>
      <c r="Q164" s="116" t="s">
        <v>1080</v>
      </c>
      <c r="R164" s="116" t="s">
        <v>1080</v>
      </c>
      <c r="S164" s="116" t="s">
        <v>1080</v>
      </c>
      <c r="T164" s="116" t="s">
        <v>1080</v>
      </c>
      <c r="U164" s="116" t="s">
        <v>1080</v>
      </c>
      <c r="V164" s="116" t="s">
        <v>1080</v>
      </c>
      <c r="W164" s="116" t="s">
        <v>1080</v>
      </c>
      <c r="X164" s="116" t="s">
        <v>1080</v>
      </c>
      <c r="Y164" s="225"/>
      <c r="Z164" s="294"/>
    </row>
    <row r="165" spans="1:26" s="5" customFormat="1" ht="22.5" customHeight="1" x14ac:dyDescent="0.15">
      <c r="A165" s="115">
        <f t="shared" si="2"/>
        <v>162</v>
      </c>
      <c r="B165" s="121" t="s">
        <v>1482</v>
      </c>
      <c r="C165" s="121" t="s">
        <v>1483</v>
      </c>
      <c r="D165" s="116" t="s">
        <v>237</v>
      </c>
      <c r="E165" s="116">
        <v>255</v>
      </c>
      <c r="F165" s="116" t="s">
        <v>1005</v>
      </c>
      <c r="G165" s="116"/>
      <c r="H165" s="117"/>
      <c r="I165" s="116" t="s">
        <v>211</v>
      </c>
      <c r="J165" s="116" t="s">
        <v>1381</v>
      </c>
      <c r="K165" s="116" t="s">
        <v>1017</v>
      </c>
      <c r="L165" s="116" t="s">
        <v>1080</v>
      </c>
      <c r="M165" s="116" t="s">
        <v>1080</v>
      </c>
      <c r="N165" s="116" t="s">
        <v>1080</v>
      </c>
      <c r="O165" s="116" t="s">
        <v>1080</v>
      </c>
      <c r="P165" s="116" t="s">
        <v>1080</v>
      </c>
      <c r="Q165" s="116" t="s">
        <v>1080</v>
      </c>
      <c r="R165" s="116" t="s">
        <v>1080</v>
      </c>
      <c r="S165" s="116" t="s">
        <v>1080</v>
      </c>
      <c r="T165" s="116" t="s">
        <v>1080</v>
      </c>
      <c r="U165" s="116" t="s">
        <v>1080</v>
      </c>
      <c r="V165" s="116" t="s">
        <v>1080</v>
      </c>
      <c r="W165" s="116" t="s">
        <v>1080</v>
      </c>
      <c r="X165" s="116" t="s">
        <v>1080</v>
      </c>
      <c r="Y165" s="225"/>
      <c r="Z165" s="294"/>
    </row>
    <row r="166" spans="1:26" s="5" customFormat="1" ht="22.5" customHeight="1" x14ac:dyDescent="0.15">
      <c r="A166" s="115">
        <f t="shared" si="2"/>
        <v>163</v>
      </c>
      <c r="B166" s="121" t="s">
        <v>1484</v>
      </c>
      <c r="C166" s="121" t="s">
        <v>1485</v>
      </c>
      <c r="D166" s="116" t="s">
        <v>237</v>
      </c>
      <c r="E166" s="116">
        <v>13</v>
      </c>
      <c r="F166" s="116" t="s">
        <v>1005</v>
      </c>
      <c r="G166" s="116"/>
      <c r="H166" s="117"/>
      <c r="I166" s="116" t="s">
        <v>211</v>
      </c>
      <c r="J166" s="116" t="s">
        <v>1381</v>
      </c>
      <c r="K166" s="116" t="s">
        <v>1017</v>
      </c>
      <c r="L166" s="116" t="s">
        <v>1080</v>
      </c>
      <c r="M166" s="116" t="s">
        <v>1080</v>
      </c>
      <c r="N166" s="116" t="s">
        <v>1080</v>
      </c>
      <c r="O166" s="116" t="s">
        <v>1080</v>
      </c>
      <c r="P166" s="116" t="s">
        <v>1080</v>
      </c>
      <c r="Q166" s="116" t="s">
        <v>1080</v>
      </c>
      <c r="R166" s="116" t="s">
        <v>1080</v>
      </c>
      <c r="S166" s="116" t="s">
        <v>1080</v>
      </c>
      <c r="T166" s="116" t="s">
        <v>1080</v>
      </c>
      <c r="U166" s="116" t="s">
        <v>1080</v>
      </c>
      <c r="V166" s="116" t="s">
        <v>1080</v>
      </c>
      <c r="W166" s="116" t="s">
        <v>1080</v>
      </c>
      <c r="X166" s="116" t="s">
        <v>1080</v>
      </c>
      <c r="Y166" s="225"/>
      <c r="Z166" s="294"/>
    </row>
    <row r="167" spans="1:26" s="5" customFormat="1" ht="22.5" customHeight="1" x14ac:dyDescent="0.15">
      <c r="A167" s="115">
        <f t="shared" si="2"/>
        <v>164</v>
      </c>
      <c r="B167" s="121" t="s">
        <v>1486</v>
      </c>
      <c r="C167" s="121" t="s">
        <v>1487</v>
      </c>
      <c r="D167" s="116" t="s">
        <v>246</v>
      </c>
      <c r="E167" s="116"/>
      <c r="F167" s="116" t="s">
        <v>1005</v>
      </c>
      <c r="G167" s="116"/>
      <c r="H167" s="117"/>
      <c r="I167" s="116" t="s">
        <v>211</v>
      </c>
      <c r="J167" s="116" t="s">
        <v>1381</v>
      </c>
      <c r="K167" s="116" t="s">
        <v>1017</v>
      </c>
      <c r="L167" s="116" t="s">
        <v>1080</v>
      </c>
      <c r="M167" s="116" t="s">
        <v>1080</v>
      </c>
      <c r="N167" s="116" t="s">
        <v>1080</v>
      </c>
      <c r="O167" s="116" t="s">
        <v>1080</v>
      </c>
      <c r="P167" s="116" t="s">
        <v>1080</v>
      </c>
      <c r="Q167" s="116" t="s">
        <v>1080</v>
      </c>
      <c r="R167" s="116" t="s">
        <v>1080</v>
      </c>
      <c r="S167" s="116" t="s">
        <v>1080</v>
      </c>
      <c r="T167" s="116" t="s">
        <v>1080</v>
      </c>
      <c r="U167" s="116" t="s">
        <v>1080</v>
      </c>
      <c r="V167" s="116" t="s">
        <v>1080</v>
      </c>
      <c r="W167" s="116" t="s">
        <v>1080</v>
      </c>
      <c r="X167" s="116" t="s">
        <v>1080</v>
      </c>
      <c r="Y167" s="225"/>
      <c r="Z167" s="294"/>
    </row>
    <row r="168" spans="1:26" s="5" customFormat="1" ht="22.5" customHeight="1" x14ac:dyDescent="0.15">
      <c r="A168" s="115">
        <f t="shared" si="2"/>
        <v>165</v>
      </c>
      <c r="B168" s="121" t="s">
        <v>1488</v>
      </c>
      <c r="C168" s="121" t="s">
        <v>1489</v>
      </c>
      <c r="D168" s="116" t="s">
        <v>246</v>
      </c>
      <c r="E168" s="116"/>
      <c r="F168" s="116" t="s">
        <v>1005</v>
      </c>
      <c r="G168" s="116"/>
      <c r="H168" s="117" t="s">
        <v>1490</v>
      </c>
      <c r="I168" s="116" t="s">
        <v>211</v>
      </c>
      <c r="J168" s="116" t="s">
        <v>1381</v>
      </c>
      <c r="K168" s="116" t="s">
        <v>1017</v>
      </c>
      <c r="L168" s="116" t="s">
        <v>1080</v>
      </c>
      <c r="M168" s="116" t="s">
        <v>1080</v>
      </c>
      <c r="N168" s="116" t="s">
        <v>1080</v>
      </c>
      <c r="O168" s="116" t="s">
        <v>1080</v>
      </c>
      <c r="P168" s="116" t="s">
        <v>1080</v>
      </c>
      <c r="Q168" s="116" t="s">
        <v>1080</v>
      </c>
      <c r="R168" s="116" t="s">
        <v>1080</v>
      </c>
      <c r="S168" s="116" t="s">
        <v>1080</v>
      </c>
      <c r="T168" s="116" t="s">
        <v>1080</v>
      </c>
      <c r="U168" s="116" t="s">
        <v>1080</v>
      </c>
      <c r="V168" s="116" t="s">
        <v>1080</v>
      </c>
      <c r="W168" s="116" t="s">
        <v>1080</v>
      </c>
      <c r="X168" s="116" t="s">
        <v>1080</v>
      </c>
      <c r="Y168" s="225"/>
      <c r="Z168" s="294"/>
    </row>
    <row r="169" spans="1:26" s="5" customFormat="1" ht="22.5" customHeight="1" x14ac:dyDescent="0.15">
      <c r="A169" s="115">
        <f t="shared" si="2"/>
        <v>166</v>
      </c>
      <c r="B169" s="121" t="s">
        <v>1491</v>
      </c>
      <c r="C169" s="121" t="s">
        <v>1492</v>
      </c>
      <c r="D169" s="116" t="s">
        <v>250</v>
      </c>
      <c r="E169" s="116"/>
      <c r="F169" s="116" t="s">
        <v>1005</v>
      </c>
      <c r="G169" s="116"/>
      <c r="H169" s="117"/>
      <c r="I169" s="116" t="s">
        <v>211</v>
      </c>
      <c r="J169" s="116" t="s">
        <v>1381</v>
      </c>
      <c r="K169" s="116" t="s">
        <v>1017</v>
      </c>
      <c r="L169" s="116" t="s">
        <v>1080</v>
      </c>
      <c r="M169" s="116" t="s">
        <v>1080</v>
      </c>
      <c r="N169" s="116" t="s">
        <v>1080</v>
      </c>
      <c r="O169" s="116" t="s">
        <v>1080</v>
      </c>
      <c r="P169" s="116" t="s">
        <v>1080</v>
      </c>
      <c r="Q169" s="116" t="s">
        <v>1080</v>
      </c>
      <c r="R169" s="116" t="s">
        <v>1080</v>
      </c>
      <c r="S169" s="116" t="s">
        <v>1080</v>
      </c>
      <c r="T169" s="116" t="s">
        <v>1080</v>
      </c>
      <c r="U169" s="116" t="s">
        <v>1080</v>
      </c>
      <c r="V169" s="116" t="s">
        <v>1080</v>
      </c>
      <c r="W169" s="116" t="s">
        <v>1080</v>
      </c>
      <c r="X169" s="116" t="s">
        <v>1080</v>
      </c>
      <c r="Y169" s="225"/>
      <c r="Z169" s="294"/>
    </row>
    <row r="170" spans="1:26" s="5" customFormat="1" ht="22.5" customHeight="1" x14ac:dyDescent="0.15">
      <c r="A170" s="115">
        <f t="shared" si="2"/>
        <v>167</v>
      </c>
      <c r="B170" s="121" t="s">
        <v>1493</v>
      </c>
      <c r="C170" s="121" t="s">
        <v>1494</v>
      </c>
      <c r="D170" s="116" t="s">
        <v>237</v>
      </c>
      <c r="E170" s="116">
        <v>24</v>
      </c>
      <c r="F170" s="116" t="s">
        <v>1005</v>
      </c>
      <c r="G170" s="116"/>
      <c r="H170" s="117"/>
      <c r="I170" s="116" t="s">
        <v>211</v>
      </c>
      <c r="J170" s="116" t="s">
        <v>1381</v>
      </c>
      <c r="K170" s="116" t="s">
        <v>1017</v>
      </c>
      <c r="L170" s="116" t="s">
        <v>1080</v>
      </c>
      <c r="M170" s="116" t="s">
        <v>1080</v>
      </c>
      <c r="N170" s="116" t="s">
        <v>1080</v>
      </c>
      <c r="O170" s="116" t="s">
        <v>1080</v>
      </c>
      <c r="P170" s="116" t="s">
        <v>1080</v>
      </c>
      <c r="Q170" s="116" t="s">
        <v>1080</v>
      </c>
      <c r="R170" s="116" t="s">
        <v>1080</v>
      </c>
      <c r="S170" s="116" t="s">
        <v>1080</v>
      </c>
      <c r="T170" s="116" t="s">
        <v>1080</v>
      </c>
      <c r="U170" s="116" t="s">
        <v>1080</v>
      </c>
      <c r="V170" s="116" t="s">
        <v>1080</v>
      </c>
      <c r="W170" s="116" t="s">
        <v>1080</v>
      </c>
      <c r="X170" s="116" t="s">
        <v>1080</v>
      </c>
      <c r="Y170" s="225"/>
      <c r="Z170" s="294"/>
    </row>
    <row r="171" spans="1:26" s="5" customFormat="1" ht="22.5" customHeight="1" x14ac:dyDescent="0.15">
      <c r="A171" s="115">
        <f t="shared" si="2"/>
        <v>168</v>
      </c>
      <c r="B171" s="121" t="s">
        <v>1495</v>
      </c>
      <c r="C171" s="121" t="s">
        <v>1496</v>
      </c>
      <c r="D171" s="116" t="s">
        <v>1244</v>
      </c>
      <c r="E171" s="116"/>
      <c r="F171" s="116" t="s">
        <v>1005</v>
      </c>
      <c r="G171" s="116"/>
      <c r="H171" s="117"/>
      <c r="I171" s="116" t="s">
        <v>211</v>
      </c>
      <c r="J171" s="116" t="s">
        <v>1381</v>
      </c>
      <c r="K171" s="116" t="s">
        <v>1017</v>
      </c>
      <c r="L171" s="116" t="s">
        <v>1080</v>
      </c>
      <c r="M171" s="116" t="s">
        <v>1080</v>
      </c>
      <c r="N171" s="116" t="s">
        <v>1080</v>
      </c>
      <c r="O171" s="116" t="s">
        <v>1080</v>
      </c>
      <c r="P171" s="116" t="s">
        <v>1080</v>
      </c>
      <c r="Q171" s="116" t="s">
        <v>1080</v>
      </c>
      <c r="R171" s="116" t="s">
        <v>1080</v>
      </c>
      <c r="S171" s="116" t="s">
        <v>1080</v>
      </c>
      <c r="T171" s="116" t="s">
        <v>1080</v>
      </c>
      <c r="U171" s="116" t="s">
        <v>1080</v>
      </c>
      <c r="V171" s="116" t="s">
        <v>1080</v>
      </c>
      <c r="W171" s="116" t="s">
        <v>1080</v>
      </c>
      <c r="X171" s="116" t="s">
        <v>1080</v>
      </c>
      <c r="Y171" s="225"/>
      <c r="Z171" s="294"/>
    </row>
    <row r="172" spans="1:26" s="5" customFormat="1" ht="22.5" customHeight="1" x14ac:dyDescent="0.15">
      <c r="A172" s="115">
        <f t="shared" si="2"/>
        <v>169</v>
      </c>
      <c r="B172" s="121" t="s">
        <v>1497</v>
      </c>
      <c r="C172" s="121" t="s">
        <v>1498</v>
      </c>
      <c r="D172" s="116" t="s">
        <v>237</v>
      </c>
      <c r="E172" s="116">
        <v>11</v>
      </c>
      <c r="F172" s="116" t="s">
        <v>1005</v>
      </c>
      <c r="G172" s="116"/>
      <c r="H172" s="117"/>
      <c r="I172" s="116" t="s">
        <v>211</v>
      </c>
      <c r="J172" s="116" t="s">
        <v>1381</v>
      </c>
      <c r="K172" s="116" t="s">
        <v>1017</v>
      </c>
      <c r="L172" s="116" t="s">
        <v>1080</v>
      </c>
      <c r="M172" s="116" t="s">
        <v>1080</v>
      </c>
      <c r="N172" s="116" t="s">
        <v>1080</v>
      </c>
      <c r="O172" s="116" t="s">
        <v>1080</v>
      </c>
      <c r="P172" s="116" t="s">
        <v>1080</v>
      </c>
      <c r="Q172" s="116" t="s">
        <v>1080</v>
      </c>
      <c r="R172" s="116" t="s">
        <v>1080</v>
      </c>
      <c r="S172" s="116" t="s">
        <v>1080</v>
      </c>
      <c r="T172" s="116" t="s">
        <v>1080</v>
      </c>
      <c r="U172" s="116" t="s">
        <v>1080</v>
      </c>
      <c r="V172" s="116" t="s">
        <v>1080</v>
      </c>
      <c r="W172" s="116" t="s">
        <v>1080</v>
      </c>
      <c r="X172" s="116" t="s">
        <v>1080</v>
      </c>
      <c r="Y172" s="225"/>
      <c r="Z172" s="294"/>
    </row>
    <row r="173" spans="1:26" s="5" customFormat="1" ht="22.5" customHeight="1" x14ac:dyDescent="0.15">
      <c r="A173" s="115">
        <f t="shared" si="2"/>
        <v>170</v>
      </c>
      <c r="B173" s="121" t="s">
        <v>1499</v>
      </c>
      <c r="C173" s="121" t="s">
        <v>1500</v>
      </c>
      <c r="D173" s="116" t="s">
        <v>237</v>
      </c>
      <c r="E173" s="116">
        <v>24</v>
      </c>
      <c r="F173" s="116" t="s">
        <v>1005</v>
      </c>
      <c r="G173" s="116"/>
      <c r="H173" s="117"/>
      <c r="I173" s="116" t="s">
        <v>211</v>
      </c>
      <c r="J173" s="116" t="s">
        <v>1381</v>
      </c>
      <c r="K173" s="116" t="s">
        <v>1017</v>
      </c>
      <c r="L173" s="116" t="s">
        <v>1080</v>
      </c>
      <c r="M173" s="116" t="s">
        <v>1080</v>
      </c>
      <c r="N173" s="116" t="s">
        <v>1080</v>
      </c>
      <c r="O173" s="116" t="s">
        <v>1080</v>
      </c>
      <c r="P173" s="116" t="s">
        <v>1080</v>
      </c>
      <c r="Q173" s="116" t="s">
        <v>1080</v>
      </c>
      <c r="R173" s="116" t="s">
        <v>1080</v>
      </c>
      <c r="S173" s="116" t="s">
        <v>1080</v>
      </c>
      <c r="T173" s="116" t="s">
        <v>1080</v>
      </c>
      <c r="U173" s="116" t="s">
        <v>1080</v>
      </c>
      <c r="V173" s="116" t="s">
        <v>1080</v>
      </c>
      <c r="W173" s="116" t="s">
        <v>1080</v>
      </c>
      <c r="X173" s="116" t="s">
        <v>1080</v>
      </c>
      <c r="Y173" s="225"/>
      <c r="Z173" s="294"/>
    </row>
    <row r="174" spans="1:26" s="5" customFormat="1" ht="56.25" x14ac:dyDescent="0.15">
      <c r="A174" s="26">
        <f t="shared" si="2"/>
        <v>171</v>
      </c>
      <c r="B174" s="27" t="s">
        <v>1501</v>
      </c>
      <c r="C174" s="27" t="s">
        <v>1502</v>
      </c>
      <c r="D174" s="17" t="s">
        <v>246</v>
      </c>
      <c r="E174" s="17"/>
      <c r="F174" s="17" t="s">
        <v>1005</v>
      </c>
      <c r="G174" s="17"/>
      <c r="H174" s="18" t="s">
        <v>1503</v>
      </c>
      <c r="I174" s="17" t="s">
        <v>211</v>
      </c>
      <c r="J174" s="17" t="s">
        <v>172</v>
      </c>
      <c r="K174" s="17" t="s">
        <v>1007</v>
      </c>
      <c r="L174" s="17" t="s">
        <v>1154</v>
      </c>
      <c r="M174" s="17" t="s">
        <v>1504</v>
      </c>
      <c r="N174" s="17" t="s">
        <v>1504</v>
      </c>
      <c r="O174" s="17" t="s">
        <v>1154</v>
      </c>
      <c r="P174" s="116" t="s">
        <v>1154</v>
      </c>
      <c r="Q174" s="17" t="s">
        <v>1154</v>
      </c>
      <c r="R174" s="116" t="s">
        <v>1154</v>
      </c>
      <c r="S174" s="17" t="s">
        <v>1154</v>
      </c>
      <c r="T174" s="116" t="s">
        <v>1154</v>
      </c>
      <c r="U174" s="17" t="s">
        <v>1154</v>
      </c>
      <c r="V174" s="17" t="s">
        <v>1154</v>
      </c>
      <c r="W174" s="116" t="s">
        <v>1154</v>
      </c>
      <c r="X174" s="17" t="s">
        <v>1154</v>
      </c>
      <c r="Y174" s="223" t="s">
        <v>1505</v>
      </c>
      <c r="Z174" s="294" t="s">
        <v>1506</v>
      </c>
    </row>
    <row r="175" spans="1:26" s="5" customFormat="1" ht="22.15" customHeight="1" x14ac:dyDescent="0.15">
      <c r="A175" s="115">
        <f t="shared" si="2"/>
        <v>172</v>
      </c>
      <c r="B175" s="121" t="s">
        <v>1507</v>
      </c>
      <c r="C175" s="121" t="s">
        <v>1508</v>
      </c>
      <c r="D175" s="116" t="s">
        <v>246</v>
      </c>
      <c r="E175" s="116"/>
      <c r="F175" s="116" t="s">
        <v>1005</v>
      </c>
      <c r="G175" s="116"/>
      <c r="H175" s="117"/>
      <c r="I175" s="116" t="s">
        <v>211</v>
      </c>
      <c r="J175" s="116" t="s">
        <v>200</v>
      </c>
      <c r="K175" s="116" t="s">
        <v>1017</v>
      </c>
      <c r="L175" s="116" t="s">
        <v>1080</v>
      </c>
      <c r="M175" s="116" t="s">
        <v>1080</v>
      </c>
      <c r="N175" s="116" t="s">
        <v>1080</v>
      </c>
      <c r="O175" s="116" t="s">
        <v>1080</v>
      </c>
      <c r="P175" s="116" t="s">
        <v>1080</v>
      </c>
      <c r="Q175" s="116" t="s">
        <v>1080</v>
      </c>
      <c r="R175" s="116" t="s">
        <v>1080</v>
      </c>
      <c r="S175" s="116" t="s">
        <v>1080</v>
      </c>
      <c r="T175" s="116" t="s">
        <v>1080</v>
      </c>
      <c r="U175" s="116" t="s">
        <v>1080</v>
      </c>
      <c r="V175" s="116" t="s">
        <v>1080</v>
      </c>
      <c r="W175" s="116" t="s">
        <v>1080</v>
      </c>
      <c r="X175" s="116" t="s">
        <v>1080</v>
      </c>
      <c r="Y175" s="225"/>
      <c r="Z175" s="294"/>
    </row>
    <row r="176" spans="1:26" s="5" customFormat="1" ht="22.5" customHeight="1" x14ac:dyDescent="0.15">
      <c r="A176" s="115">
        <f t="shared" si="2"/>
        <v>173</v>
      </c>
      <c r="B176" s="121" t="s">
        <v>1509</v>
      </c>
      <c r="C176" s="121" t="s">
        <v>1510</v>
      </c>
      <c r="D176" s="116" t="s">
        <v>246</v>
      </c>
      <c r="E176" s="116"/>
      <c r="F176" s="116" t="s">
        <v>1005</v>
      </c>
      <c r="G176" s="116"/>
      <c r="H176" s="117"/>
      <c r="I176" s="116" t="s">
        <v>211</v>
      </c>
      <c r="J176" s="116" t="s">
        <v>1381</v>
      </c>
      <c r="K176" s="116" t="s">
        <v>1017</v>
      </c>
      <c r="L176" s="116" t="s">
        <v>1080</v>
      </c>
      <c r="M176" s="116" t="s">
        <v>1080</v>
      </c>
      <c r="N176" s="116" t="s">
        <v>1080</v>
      </c>
      <c r="O176" s="116" t="s">
        <v>1080</v>
      </c>
      <c r="P176" s="116" t="s">
        <v>1080</v>
      </c>
      <c r="Q176" s="116" t="s">
        <v>1080</v>
      </c>
      <c r="R176" s="116" t="s">
        <v>1080</v>
      </c>
      <c r="S176" s="116" t="s">
        <v>1080</v>
      </c>
      <c r="T176" s="116" t="s">
        <v>1080</v>
      </c>
      <c r="U176" s="116" t="s">
        <v>1080</v>
      </c>
      <c r="V176" s="116" t="s">
        <v>1080</v>
      </c>
      <c r="W176" s="116" t="s">
        <v>1080</v>
      </c>
      <c r="X176" s="116" t="s">
        <v>1080</v>
      </c>
      <c r="Y176" s="225"/>
      <c r="Z176" s="294"/>
    </row>
    <row r="177" spans="1:26" s="5" customFormat="1" ht="22.5" customHeight="1" x14ac:dyDescent="0.15">
      <c r="A177" s="115">
        <f t="shared" si="2"/>
        <v>174</v>
      </c>
      <c r="B177" s="121" t="s">
        <v>1511</v>
      </c>
      <c r="C177" s="121" t="s">
        <v>1512</v>
      </c>
      <c r="D177" s="116" t="s">
        <v>1420</v>
      </c>
      <c r="E177" s="116"/>
      <c r="F177" s="116" t="s">
        <v>1005</v>
      </c>
      <c r="G177" s="116"/>
      <c r="H177" s="117"/>
      <c r="I177" s="116" t="s">
        <v>211</v>
      </c>
      <c r="J177" s="116" t="s">
        <v>1381</v>
      </c>
      <c r="K177" s="116" t="s">
        <v>1017</v>
      </c>
      <c r="L177" s="116" t="s">
        <v>1080</v>
      </c>
      <c r="M177" s="116" t="s">
        <v>1080</v>
      </c>
      <c r="N177" s="116" t="s">
        <v>1080</v>
      </c>
      <c r="O177" s="116" t="s">
        <v>1080</v>
      </c>
      <c r="P177" s="116" t="s">
        <v>1080</v>
      </c>
      <c r="Q177" s="116" t="s">
        <v>1080</v>
      </c>
      <c r="R177" s="116" t="s">
        <v>1080</v>
      </c>
      <c r="S177" s="116" t="s">
        <v>1080</v>
      </c>
      <c r="T177" s="116" t="s">
        <v>1080</v>
      </c>
      <c r="U177" s="116" t="s">
        <v>1080</v>
      </c>
      <c r="V177" s="116" t="s">
        <v>1080</v>
      </c>
      <c r="W177" s="116" t="s">
        <v>1080</v>
      </c>
      <c r="X177" s="116" t="s">
        <v>1080</v>
      </c>
      <c r="Y177" s="225"/>
      <c r="Z177" s="294"/>
    </row>
    <row r="178" spans="1:26" s="5" customFormat="1" ht="22.5" customHeight="1" x14ac:dyDescent="0.15">
      <c r="A178" s="115">
        <f t="shared" si="2"/>
        <v>175</v>
      </c>
      <c r="B178" s="121" t="s">
        <v>1513</v>
      </c>
      <c r="C178" s="121" t="s">
        <v>1514</v>
      </c>
      <c r="D178" s="116" t="s">
        <v>1420</v>
      </c>
      <c r="E178" s="116"/>
      <c r="F178" s="116" t="s">
        <v>1005</v>
      </c>
      <c r="G178" s="116"/>
      <c r="H178" s="117"/>
      <c r="I178" s="116" t="s">
        <v>211</v>
      </c>
      <c r="J178" s="116" t="s">
        <v>1381</v>
      </c>
      <c r="K178" s="116" t="s">
        <v>1017</v>
      </c>
      <c r="L178" s="116" t="s">
        <v>1080</v>
      </c>
      <c r="M178" s="116" t="s">
        <v>1080</v>
      </c>
      <c r="N178" s="116" t="s">
        <v>1080</v>
      </c>
      <c r="O178" s="116" t="s">
        <v>1080</v>
      </c>
      <c r="P178" s="116" t="s">
        <v>1080</v>
      </c>
      <c r="Q178" s="116" t="s">
        <v>1080</v>
      </c>
      <c r="R178" s="116" t="s">
        <v>1080</v>
      </c>
      <c r="S178" s="116" t="s">
        <v>1080</v>
      </c>
      <c r="T178" s="116" t="s">
        <v>1080</v>
      </c>
      <c r="U178" s="116" t="s">
        <v>1080</v>
      </c>
      <c r="V178" s="116" t="s">
        <v>1080</v>
      </c>
      <c r="W178" s="116" t="s">
        <v>1080</v>
      </c>
      <c r="X178" s="116" t="s">
        <v>1080</v>
      </c>
      <c r="Y178" s="225"/>
      <c r="Z178" s="294"/>
    </row>
    <row r="179" spans="1:26" s="5" customFormat="1" ht="22.5" customHeight="1" x14ac:dyDescent="0.15">
      <c r="A179" s="115">
        <f t="shared" si="2"/>
        <v>176</v>
      </c>
      <c r="B179" s="121" t="s">
        <v>1515</v>
      </c>
      <c r="C179" s="121" t="s">
        <v>1516</v>
      </c>
      <c r="D179" s="116" t="s">
        <v>1420</v>
      </c>
      <c r="E179" s="116"/>
      <c r="F179" s="116" t="s">
        <v>1005</v>
      </c>
      <c r="G179" s="116"/>
      <c r="H179" s="117"/>
      <c r="I179" s="116" t="s">
        <v>211</v>
      </c>
      <c r="J179" s="116" t="s">
        <v>1381</v>
      </c>
      <c r="K179" s="116" t="s">
        <v>1017</v>
      </c>
      <c r="L179" s="116" t="s">
        <v>1080</v>
      </c>
      <c r="M179" s="116" t="s">
        <v>1080</v>
      </c>
      <c r="N179" s="116" t="s">
        <v>1080</v>
      </c>
      <c r="O179" s="116" t="s">
        <v>1080</v>
      </c>
      <c r="P179" s="116" t="s">
        <v>1080</v>
      </c>
      <c r="Q179" s="116" t="s">
        <v>1080</v>
      </c>
      <c r="R179" s="116" t="s">
        <v>1080</v>
      </c>
      <c r="S179" s="116" t="s">
        <v>1080</v>
      </c>
      <c r="T179" s="116" t="s">
        <v>1080</v>
      </c>
      <c r="U179" s="116" t="s">
        <v>1080</v>
      </c>
      <c r="V179" s="116" t="s">
        <v>1080</v>
      </c>
      <c r="W179" s="116" t="s">
        <v>1080</v>
      </c>
      <c r="X179" s="116" t="s">
        <v>1080</v>
      </c>
      <c r="Y179" s="225"/>
      <c r="Z179" s="294"/>
    </row>
    <row r="180" spans="1:26" s="5" customFormat="1" ht="22.5" customHeight="1" x14ac:dyDescent="0.15">
      <c r="A180" s="115">
        <f t="shared" si="2"/>
        <v>177</v>
      </c>
      <c r="B180" s="121" t="s">
        <v>1517</v>
      </c>
      <c r="C180" s="121" t="s">
        <v>1518</v>
      </c>
      <c r="D180" s="116" t="s">
        <v>1420</v>
      </c>
      <c r="E180" s="116"/>
      <c r="F180" s="116" t="s">
        <v>1005</v>
      </c>
      <c r="G180" s="116"/>
      <c r="H180" s="117"/>
      <c r="I180" s="116" t="s">
        <v>211</v>
      </c>
      <c r="J180" s="116" t="s">
        <v>1381</v>
      </c>
      <c r="K180" s="116" t="s">
        <v>1017</v>
      </c>
      <c r="L180" s="116" t="s">
        <v>1080</v>
      </c>
      <c r="M180" s="116" t="s">
        <v>1080</v>
      </c>
      <c r="N180" s="116" t="s">
        <v>1080</v>
      </c>
      <c r="O180" s="116" t="s">
        <v>1080</v>
      </c>
      <c r="P180" s="116" t="s">
        <v>1080</v>
      </c>
      <c r="Q180" s="116" t="s">
        <v>1080</v>
      </c>
      <c r="R180" s="116" t="s">
        <v>1080</v>
      </c>
      <c r="S180" s="116" t="s">
        <v>1080</v>
      </c>
      <c r="T180" s="116" t="s">
        <v>1080</v>
      </c>
      <c r="U180" s="116" t="s">
        <v>1080</v>
      </c>
      <c r="V180" s="116" t="s">
        <v>1080</v>
      </c>
      <c r="W180" s="116" t="s">
        <v>1080</v>
      </c>
      <c r="X180" s="116" t="s">
        <v>1080</v>
      </c>
      <c r="Y180" s="225"/>
      <c r="Z180" s="294"/>
    </row>
    <row r="181" spans="1:26" s="5" customFormat="1" ht="22.5" customHeight="1" x14ac:dyDescent="0.15">
      <c r="A181" s="115">
        <f t="shared" si="2"/>
        <v>178</v>
      </c>
      <c r="B181" s="121" t="s">
        <v>1519</v>
      </c>
      <c r="C181" s="121" t="s">
        <v>1520</v>
      </c>
      <c r="D181" s="116" t="s">
        <v>1420</v>
      </c>
      <c r="E181" s="116"/>
      <c r="F181" s="116" t="s">
        <v>1005</v>
      </c>
      <c r="G181" s="116"/>
      <c r="H181" s="117"/>
      <c r="I181" s="116" t="s">
        <v>211</v>
      </c>
      <c r="J181" s="116" t="s">
        <v>1381</v>
      </c>
      <c r="K181" s="116" t="s">
        <v>1017</v>
      </c>
      <c r="L181" s="116" t="s">
        <v>1080</v>
      </c>
      <c r="M181" s="116" t="s">
        <v>1080</v>
      </c>
      <c r="N181" s="116" t="s">
        <v>1080</v>
      </c>
      <c r="O181" s="116" t="s">
        <v>1080</v>
      </c>
      <c r="P181" s="116" t="s">
        <v>1080</v>
      </c>
      <c r="Q181" s="116" t="s">
        <v>1080</v>
      </c>
      <c r="R181" s="116" t="s">
        <v>1080</v>
      </c>
      <c r="S181" s="116" t="s">
        <v>1080</v>
      </c>
      <c r="T181" s="116" t="s">
        <v>1080</v>
      </c>
      <c r="U181" s="116" t="s">
        <v>1080</v>
      </c>
      <c r="V181" s="116" t="s">
        <v>1080</v>
      </c>
      <c r="W181" s="116" t="s">
        <v>1080</v>
      </c>
      <c r="X181" s="116" t="s">
        <v>1080</v>
      </c>
      <c r="Y181" s="225"/>
      <c r="Z181" s="294"/>
    </row>
    <row r="182" spans="1:26" s="5" customFormat="1" ht="22.5" customHeight="1" x14ac:dyDescent="0.15">
      <c r="A182" s="115">
        <f t="shared" si="2"/>
        <v>179</v>
      </c>
      <c r="B182" s="121" t="s">
        <v>1521</v>
      </c>
      <c r="C182" s="121" t="s">
        <v>1522</v>
      </c>
      <c r="D182" s="116" t="s">
        <v>1420</v>
      </c>
      <c r="E182" s="116"/>
      <c r="F182" s="116" t="s">
        <v>1005</v>
      </c>
      <c r="G182" s="116"/>
      <c r="H182" s="117"/>
      <c r="I182" s="116" t="s">
        <v>211</v>
      </c>
      <c r="J182" s="116" t="s">
        <v>1381</v>
      </c>
      <c r="K182" s="116" t="s">
        <v>1017</v>
      </c>
      <c r="L182" s="116" t="s">
        <v>1080</v>
      </c>
      <c r="M182" s="116" t="s">
        <v>1080</v>
      </c>
      <c r="N182" s="116" t="s">
        <v>1080</v>
      </c>
      <c r="O182" s="116" t="s">
        <v>1080</v>
      </c>
      <c r="P182" s="116" t="s">
        <v>1080</v>
      </c>
      <c r="Q182" s="116" t="s">
        <v>1080</v>
      </c>
      <c r="R182" s="116" t="s">
        <v>1080</v>
      </c>
      <c r="S182" s="116" t="s">
        <v>1080</v>
      </c>
      <c r="T182" s="116" t="s">
        <v>1080</v>
      </c>
      <c r="U182" s="116" t="s">
        <v>1080</v>
      </c>
      <c r="V182" s="116" t="s">
        <v>1080</v>
      </c>
      <c r="W182" s="116" t="s">
        <v>1080</v>
      </c>
      <c r="X182" s="116" t="s">
        <v>1080</v>
      </c>
      <c r="Y182" s="225"/>
      <c r="Z182" s="294"/>
    </row>
    <row r="183" spans="1:26" s="5" customFormat="1" ht="22.5" customHeight="1" x14ac:dyDescent="0.15">
      <c r="A183" s="115">
        <f t="shared" si="2"/>
        <v>180</v>
      </c>
      <c r="B183" s="121" t="s">
        <v>1523</v>
      </c>
      <c r="C183" s="121" t="s">
        <v>1524</v>
      </c>
      <c r="D183" s="116" t="s">
        <v>1420</v>
      </c>
      <c r="E183" s="116"/>
      <c r="F183" s="116" t="s">
        <v>1005</v>
      </c>
      <c r="G183" s="116"/>
      <c r="H183" s="117"/>
      <c r="I183" s="116" t="s">
        <v>211</v>
      </c>
      <c r="J183" s="116" t="s">
        <v>1381</v>
      </c>
      <c r="K183" s="116" t="s">
        <v>1017</v>
      </c>
      <c r="L183" s="116" t="s">
        <v>1080</v>
      </c>
      <c r="M183" s="116" t="s">
        <v>1080</v>
      </c>
      <c r="N183" s="116" t="s">
        <v>1080</v>
      </c>
      <c r="O183" s="116" t="s">
        <v>1080</v>
      </c>
      <c r="P183" s="116" t="s">
        <v>1080</v>
      </c>
      <c r="Q183" s="116" t="s">
        <v>1080</v>
      </c>
      <c r="R183" s="116" t="s">
        <v>1080</v>
      </c>
      <c r="S183" s="116" t="s">
        <v>1080</v>
      </c>
      <c r="T183" s="116" t="s">
        <v>1080</v>
      </c>
      <c r="U183" s="116" t="s">
        <v>1080</v>
      </c>
      <c r="V183" s="116" t="s">
        <v>1080</v>
      </c>
      <c r="W183" s="116" t="s">
        <v>1080</v>
      </c>
      <c r="X183" s="116" t="s">
        <v>1080</v>
      </c>
      <c r="Y183" s="225"/>
      <c r="Z183" s="294"/>
    </row>
    <row r="184" spans="1:26" s="5" customFormat="1" ht="22.15" customHeight="1" x14ac:dyDescent="0.15">
      <c r="A184" s="115">
        <f t="shared" si="2"/>
        <v>181</v>
      </c>
      <c r="B184" s="121" t="s">
        <v>1525</v>
      </c>
      <c r="C184" s="121" t="s">
        <v>1526</v>
      </c>
      <c r="D184" s="116" t="s">
        <v>1420</v>
      </c>
      <c r="E184" s="116"/>
      <c r="F184" s="116" t="s">
        <v>1005</v>
      </c>
      <c r="G184" s="116"/>
      <c r="H184" s="117"/>
      <c r="I184" s="116" t="s">
        <v>211</v>
      </c>
      <c r="J184" s="116" t="s">
        <v>1381</v>
      </c>
      <c r="K184" s="116" t="s">
        <v>1017</v>
      </c>
      <c r="L184" s="116" t="s">
        <v>1080</v>
      </c>
      <c r="M184" s="116" t="s">
        <v>1080</v>
      </c>
      <c r="N184" s="116" t="s">
        <v>1080</v>
      </c>
      <c r="O184" s="116" t="s">
        <v>1080</v>
      </c>
      <c r="P184" s="116" t="s">
        <v>1080</v>
      </c>
      <c r="Q184" s="116" t="s">
        <v>1080</v>
      </c>
      <c r="R184" s="116" t="s">
        <v>1080</v>
      </c>
      <c r="S184" s="116" t="s">
        <v>1080</v>
      </c>
      <c r="T184" s="116" t="s">
        <v>1080</v>
      </c>
      <c r="U184" s="116" t="s">
        <v>1080</v>
      </c>
      <c r="V184" s="116" t="s">
        <v>1080</v>
      </c>
      <c r="W184" s="116" t="s">
        <v>1080</v>
      </c>
      <c r="X184" s="116" t="s">
        <v>1080</v>
      </c>
      <c r="Y184" s="225"/>
      <c r="Z184" s="294"/>
    </row>
    <row r="185" spans="1:26" s="5" customFormat="1" ht="22.5" customHeight="1" x14ac:dyDescent="0.15">
      <c r="A185" s="115">
        <f t="shared" si="2"/>
        <v>182</v>
      </c>
      <c r="B185" s="121" t="s">
        <v>1527</v>
      </c>
      <c r="C185" s="121" t="s">
        <v>1528</v>
      </c>
      <c r="D185" s="116" t="s">
        <v>1411</v>
      </c>
      <c r="E185" s="116"/>
      <c r="F185" s="116"/>
      <c r="G185" s="116"/>
      <c r="H185" s="117"/>
      <c r="I185" s="116" t="s">
        <v>211</v>
      </c>
      <c r="J185" s="116" t="s">
        <v>1381</v>
      </c>
      <c r="K185" s="116" t="s">
        <v>1017</v>
      </c>
      <c r="L185" s="116" t="s">
        <v>1080</v>
      </c>
      <c r="M185" s="116" t="s">
        <v>1080</v>
      </c>
      <c r="N185" s="116" t="s">
        <v>1080</v>
      </c>
      <c r="O185" s="116" t="s">
        <v>1080</v>
      </c>
      <c r="P185" s="116" t="s">
        <v>1080</v>
      </c>
      <c r="Q185" s="116" t="s">
        <v>1080</v>
      </c>
      <c r="R185" s="116" t="s">
        <v>1080</v>
      </c>
      <c r="S185" s="116" t="s">
        <v>1080</v>
      </c>
      <c r="T185" s="116" t="s">
        <v>1080</v>
      </c>
      <c r="U185" s="116" t="s">
        <v>1080</v>
      </c>
      <c r="V185" s="116" t="s">
        <v>1080</v>
      </c>
      <c r="W185" s="116" t="s">
        <v>1080</v>
      </c>
      <c r="X185" s="116" t="s">
        <v>1080</v>
      </c>
      <c r="Y185" s="225"/>
      <c r="Z185" s="294"/>
    </row>
    <row r="186" spans="1:26" s="5" customFormat="1" ht="22.5" customHeight="1" x14ac:dyDescent="0.15">
      <c r="A186" s="115">
        <f t="shared" si="2"/>
        <v>183</v>
      </c>
      <c r="B186" s="121" t="s">
        <v>1529</v>
      </c>
      <c r="C186" s="121" t="s">
        <v>1530</v>
      </c>
      <c r="D186" s="116" t="s">
        <v>1531</v>
      </c>
      <c r="E186" s="116"/>
      <c r="F186" s="116" t="s">
        <v>1005</v>
      </c>
      <c r="G186" s="116"/>
      <c r="H186" s="117"/>
      <c r="I186" s="116" t="s">
        <v>211</v>
      </c>
      <c r="J186" s="116" t="s">
        <v>1381</v>
      </c>
      <c r="K186" s="116" t="s">
        <v>1017</v>
      </c>
      <c r="L186" s="116" t="s">
        <v>1080</v>
      </c>
      <c r="M186" s="116" t="s">
        <v>1080</v>
      </c>
      <c r="N186" s="116" t="s">
        <v>1080</v>
      </c>
      <c r="O186" s="116" t="s">
        <v>1080</v>
      </c>
      <c r="P186" s="116" t="s">
        <v>1080</v>
      </c>
      <c r="Q186" s="116" t="s">
        <v>1080</v>
      </c>
      <c r="R186" s="116" t="s">
        <v>1080</v>
      </c>
      <c r="S186" s="116" t="s">
        <v>1080</v>
      </c>
      <c r="T186" s="116" t="s">
        <v>1080</v>
      </c>
      <c r="U186" s="116" t="s">
        <v>1080</v>
      </c>
      <c r="V186" s="116" t="s">
        <v>1080</v>
      </c>
      <c r="W186" s="116" t="s">
        <v>1080</v>
      </c>
      <c r="X186" s="116" t="s">
        <v>1080</v>
      </c>
      <c r="Y186" s="225"/>
      <c r="Z186" s="294"/>
    </row>
    <row r="187" spans="1:26" s="5" customFormat="1" ht="22.5" x14ac:dyDescent="0.15">
      <c r="A187" s="26">
        <f t="shared" si="2"/>
        <v>184</v>
      </c>
      <c r="B187" s="27" t="s">
        <v>1532</v>
      </c>
      <c r="C187" s="27" t="s">
        <v>1533</v>
      </c>
      <c r="D187" s="17" t="s">
        <v>246</v>
      </c>
      <c r="E187" s="17"/>
      <c r="F187" s="17"/>
      <c r="G187" s="17"/>
      <c r="H187" s="18"/>
      <c r="I187" s="17" t="s">
        <v>211</v>
      </c>
      <c r="J187" s="17" t="s">
        <v>172</v>
      </c>
      <c r="K187" s="17" t="s">
        <v>1020</v>
      </c>
      <c r="L187" s="17" t="s">
        <v>1154</v>
      </c>
      <c r="M187" s="17" t="s">
        <v>1154</v>
      </c>
      <c r="N187" s="17" t="s">
        <v>1154</v>
      </c>
      <c r="O187" s="17" t="s">
        <v>1154</v>
      </c>
      <c r="P187" s="116" t="s">
        <v>1154</v>
      </c>
      <c r="Q187" s="17" t="s">
        <v>1154</v>
      </c>
      <c r="R187" s="116" t="s">
        <v>1154</v>
      </c>
      <c r="S187" s="17" t="s">
        <v>1154</v>
      </c>
      <c r="T187" s="116" t="s">
        <v>1154</v>
      </c>
      <c r="U187" s="17" t="s">
        <v>1154</v>
      </c>
      <c r="V187" s="299" t="s">
        <v>1154</v>
      </c>
      <c r="W187" s="316" t="s">
        <v>1154</v>
      </c>
      <c r="X187" s="17" t="s">
        <v>1154</v>
      </c>
      <c r="Y187" s="223"/>
      <c r="Z187" s="294" t="s">
        <v>1139</v>
      </c>
    </row>
    <row r="188" spans="1:26" s="5" customFormat="1" ht="27" customHeight="1" x14ac:dyDescent="0.15">
      <c r="A188" s="115">
        <f t="shared" si="2"/>
        <v>185</v>
      </c>
      <c r="B188" s="121" t="s">
        <v>1534</v>
      </c>
      <c r="C188" s="121" t="s">
        <v>1535</v>
      </c>
      <c r="D188" s="116" t="s">
        <v>246</v>
      </c>
      <c r="E188" s="116"/>
      <c r="F188" s="116"/>
      <c r="G188" s="116"/>
      <c r="H188" s="117" t="s">
        <v>1536</v>
      </c>
      <c r="I188" s="116" t="s">
        <v>211</v>
      </c>
      <c r="J188" s="116" t="s">
        <v>1381</v>
      </c>
      <c r="K188" s="116" t="s">
        <v>1017</v>
      </c>
      <c r="L188" s="116" t="s">
        <v>1080</v>
      </c>
      <c r="M188" s="116" t="s">
        <v>1080</v>
      </c>
      <c r="N188" s="116" t="s">
        <v>1080</v>
      </c>
      <c r="O188" s="116" t="s">
        <v>1080</v>
      </c>
      <c r="P188" s="116" t="s">
        <v>1080</v>
      </c>
      <c r="Q188" s="116" t="s">
        <v>1080</v>
      </c>
      <c r="R188" s="116" t="s">
        <v>1080</v>
      </c>
      <c r="S188" s="116" t="s">
        <v>1080</v>
      </c>
      <c r="T188" s="116" t="s">
        <v>1080</v>
      </c>
      <c r="U188" s="116" t="s">
        <v>1080</v>
      </c>
      <c r="V188" s="116" t="s">
        <v>1080</v>
      </c>
      <c r="W188" s="116" t="s">
        <v>1080</v>
      </c>
      <c r="X188" s="116" t="s">
        <v>1080</v>
      </c>
      <c r="Y188" s="225"/>
      <c r="Z188" s="294"/>
    </row>
    <row r="189" spans="1:26" s="5" customFormat="1" ht="22.5" customHeight="1" x14ac:dyDescent="0.15">
      <c r="A189" s="115">
        <f t="shared" si="2"/>
        <v>186</v>
      </c>
      <c r="B189" s="121" t="s">
        <v>1537</v>
      </c>
      <c r="C189" s="121" t="s">
        <v>1538</v>
      </c>
      <c r="D189" s="116" t="s">
        <v>246</v>
      </c>
      <c r="E189" s="116"/>
      <c r="F189" s="116"/>
      <c r="G189" s="116"/>
      <c r="H189" s="117" t="s">
        <v>1539</v>
      </c>
      <c r="I189" s="116" t="s">
        <v>211</v>
      </c>
      <c r="J189" s="116" t="s">
        <v>1381</v>
      </c>
      <c r="K189" s="116" t="s">
        <v>1017</v>
      </c>
      <c r="L189" s="116" t="s">
        <v>1080</v>
      </c>
      <c r="M189" s="116" t="s">
        <v>1080</v>
      </c>
      <c r="N189" s="116" t="s">
        <v>1080</v>
      </c>
      <c r="O189" s="116" t="s">
        <v>1080</v>
      </c>
      <c r="P189" s="116" t="s">
        <v>1080</v>
      </c>
      <c r="Q189" s="116" t="s">
        <v>1080</v>
      </c>
      <c r="R189" s="116" t="s">
        <v>1080</v>
      </c>
      <c r="S189" s="116" t="s">
        <v>1080</v>
      </c>
      <c r="T189" s="116" t="s">
        <v>1080</v>
      </c>
      <c r="U189" s="116" t="s">
        <v>1080</v>
      </c>
      <c r="V189" s="116" t="s">
        <v>1080</v>
      </c>
      <c r="W189" s="116" t="s">
        <v>1080</v>
      </c>
      <c r="X189" s="116" t="s">
        <v>1080</v>
      </c>
      <c r="Y189" s="225"/>
      <c r="Z189" s="294"/>
    </row>
    <row r="190" spans="1:26" s="5" customFormat="1" ht="22.5" customHeight="1" x14ac:dyDescent="0.15">
      <c r="A190" s="115">
        <f t="shared" si="2"/>
        <v>187</v>
      </c>
      <c r="B190" s="121" t="s">
        <v>1540</v>
      </c>
      <c r="C190" s="121" t="s">
        <v>1541</v>
      </c>
      <c r="D190" s="116" t="s">
        <v>1542</v>
      </c>
      <c r="E190" s="116"/>
      <c r="F190" s="116" t="s">
        <v>1005</v>
      </c>
      <c r="G190" s="116"/>
      <c r="H190" s="117"/>
      <c r="I190" s="116" t="s">
        <v>211</v>
      </c>
      <c r="J190" s="116" t="s">
        <v>1381</v>
      </c>
      <c r="K190" s="116" t="s">
        <v>1017</v>
      </c>
      <c r="L190" s="116" t="s">
        <v>1080</v>
      </c>
      <c r="M190" s="116" t="s">
        <v>1080</v>
      </c>
      <c r="N190" s="116" t="s">
        <v>1080</v>
      </c>
      <c r="O190" s="116" t="s">
        <v>1080</v>
      </c>
      <c r="P190" s="116" t="s">
        <v>1080</v>
      </c>
      <c r="Q190" s="116" t="s">
        <v>1080</v>
      </c>
      <c r="R190" s="116" t="s">
        <v>1080</v>
      </c>
      <c r="S190" s="116" t="s">
        <v>1080</v>
      </c>
      <c r="T190" s="116" t="s">
        <v>1080</v>
      </c>
      <c r="U190" s="116" t="s">
        <v>1080</v>
      </c>
      <c r="V190" s="116" t="s">
        <v>1080</v>
      </c>
      <c r="W190" s="116" t="s">
        <v>1080</v>
      </c>
      <c r="X190" s="116" t="s">
        <v>1080</v>
      </c>
      <c r="Y190" s="225"/>
      <c r="Z190" s="294"/>
    </row>
    <row r="191" spans="1:26" s="5" customFormat="1" ht="22.5" customHeight="1" x14ac:dyDescent="0.15">
      <c r="A191" s="115">
        <f t="shared" si="2"/>
        <v>188</v>
      </c>
      <c r="B191" s="121" t="s">
        <v>1543</v>
      </c>
      <c r="C191" s="121" t="s">
        <v>1544</v>
      </c>
      <c r="D191" s="116" t="s">
        <v>246</v>
      </c>
      <c r="E191" s="116"/>
      <c r="F191" s="116"/>
      <c r="G191" s="116"/>
      <c r="H191" s="117" t="s">
        <v>1545</v>
      </c>
      <c r="I191" s="116" t="s">
        <v>211</v>
      </c>
      <c r="J191" s="116" t="s">
        <v>1381</v>
      </c>
      <c r="K191" s="116" t="s">
        <v>1017</v>
      </c>
      <c r="L191" s="116" t="s">
        <v>1080</v>
      </c>
      <c r="M191" s="116" t="s">
        <v>1080</v>
      </c>
      <c r="N191" s="116" t="s">
        <v>1080</v>
      </c>
      <c r="O191" s="116" t="s">
        <v>1080</v>
      </c>
      <c r="P191" s="116" t="s">
        <v>1080</v>
      </c>
      <c r="Q191" s="116" t="s">
        <v>1080</v>
      </c>
      <c r="R191" s="116" t="s">
        <v>1080</v>
      </c>
      <c r="S191" s="116" t="s">
        <v>1080</v>
      </c>
      <c r="T191" s="116" t="s">
        <v>1080</v>
      </c>
      <c r="U191" s="116" t="s">
        <v>1080</v>
      </c>
      <c r="V191" s="116" t="s">
        <v>1080</v>
      </c>
      <c r="W191" s="116" t="s">
        <v>1080</v>
      </c>
      <c r="X191" s="116" t="s">
        <v>1080</v>
      </c>
      <c r="Y191" s="225"/>
      <c r="Z191" s="294"/>
    </row>
    <row r="192" spans="1:26" s="5" customFormat="1" ht="22.5" customHeight="1" x14ac:dyDescent="0.15">
      <c r="A192" s="115">
        <f t="shared" si="2"/>
        <v>189</v>
      </c>
      <c r="B192" s="121" t="s">
        <v>1546</v>
      </c>
      <c r="C192" s="121" t="s">
        <v>1547</v>
      </c>
      <c r="D192" s="116" t="s">
        <v>1548</v>
      </c>
      <c r="E192" s="116"/>
      <c r="F192" s="116" t="s">
        <v>1005</v>
      </c>
      <c r="G192" s="116"/>
      <c r="H192" s="117"/>
      <c r="I192" s="116" t="s">
        <v>211</v>
      </c>
      <c r="J192" s="116" t="s">
        <v>1381</v>
      </c>
      <c r="K192" s="116" t="s">
        <v>1017</v>
      </c>
      <c r="L192" s="116" t="s">
        <v>1080</v>
      </c>
      <c r="M192" s="116" t="s">
        <v>1080</v>
      </c>
      <c r="N192" s="116" t="s">
        <v>1080</v>
      </c>
      <c r="O192" s="116" t="s">
        <v>1080</v>
      </c>
      <c r="P192" s="116" t="s">
        <v>1080</v>
      </c>
      <c r="Q192" s="116" t="s">
        <v>1080</v>
      </c>
      <c r="R192" s="116" t="s">
        <v>1080</v>
      </c>
      <c r="S192" s="116" t="s">
        <v>1080</v>
      </c>
      <c r="T192" s="116" t="s">
        <v>1080</v>
      </c>
      <c r="U192" s="116" t="s">
        <v>1080</v>
      </c>
      <c r="V192" s="116" t="s">
        <v>1080</v>
      </c>
      <c r="W192" s="116" t="s">
        <v>1080</v>
      </c>
      <c r="X192" s="116" t="s">
        <v>1080</v>
      </c>
      <c r="Y192" s="225"/>
      <c r="Z192" s="294"/>
    </row>
    <row r="193" spans="1:26" s="5" customFormat="1" ht="22.5" customHeight="1" x14ac:dyDescent="0.15">
      <c r="A193" s="115">
        <f t="shared" si="2"/>
        <v>190</v>
      </c>
      <c r="B193" s="121" t="s">
        <v>1549</v>
      </c>
      <c r="C193" s="121" t="s">
        <v>1550</v>
      </c>
      <c r="D193" s="116" t="s">
        <v>1551</v>
      </c>
      <c r="E193" s="116"/>
      <c r="F193" s="116" t="s">
        <v>1005</v>
      </c>
      <c r="G193" s="116"/>
      <c r="H193" s="117"/>
      <c r="I193" s="116" t="s">
        <v>211</v>
      </c>
      <c r="J193" s="116" t="s">
        <v>1381</v>
      </c>
      <c r="K193" s="116" t="s">
        <v>1017</v>
      </c>
      <c r="L193" s="116" t="s">
        <v>1080</v>
      </c>
      <c r="M193" s="116" t="s">
        <v>1080</v>
      </c>
      <c r="N193" s="116" t="s">
        <v>1080</v>
      </c>
      <c r="O193" s="116" t="s">
        <v>1080</v>
      </c>
      <c r="P193" s="116" t="s">
        <v>1080</v>
      </c>
      <c r="Q193" s="116" t="s">
        <v>1080</v>
      </c>
      <c r="R193" s="116" t="s">
        <v>1080</v>
      </c>
      <c r="S193" s="116" t="s">
        <v>1080</v>
      </c>
      <c r="T193" s="116" t="s">
        <v>1080</v>
      </c>
      <c r="U193" s="116" t="s">
        <v>1080</v>
      </c>
      <c r="V193" s="116" t="s">
        <v>1080</v>
      </c>
      <c r="W193" s="116" t="s">
        <v>1080</v>
      </c>
      <c r="X193" s="116" t="s">
        <v>1080</v>
      </c>
      <c r="Y193" s="225"/>
      <c r="Z193" s="294"/>
    </row>
    <row r="194" spans="1:26" s="5" customFormat="1" ht="22.5" customHeight="1" x14ac:dyDescent="0.15">
      <c r="A194" s="115">
        <f t="shared" si="2"/>
        <v>191</v>
      </c>
      <c r="B194" s="121" t="s">
        <v>1552</v>
      </c>
      <c r="C194" s="121" t="s">
        <v>1553</v>
      </c>
      <c r="D194" s="116" t="s">
        <v>246</v>
      </c>
      <c r="E194" s="116"/>
      <c r="F194" s="116"/>
      <c r="G194" s="116"/>
      <c r="H194" s="117" t="s">
        <v>1554</v>
      </c>
      <c r="I194" s="116" t="s">
        <v>211</v>
      </c>
      <c r="J194" s="116" t="s">
        <v>1381</v>
      </c>
      <c r="K194" s="116" t="s">
        <v>1017</v>
      </c>
      <c r="L194" s="116" t="s">
        <v>1080</v>
      </c>
      <c r="M194" s="116" t="s">
        <v>1080</v>
      </c>
      <c r="N194" s="116" t="s">
        <v>1080</v>
      </c>
      <c r="O194" s="116" t="s">
        <v>1080</v>
      </c>
      <c r="P194" s="116" t="s">
        <v>1080</v>
      </c>
      <c r="Q194" s="116" t="s">
        <v>1080</v>
      </c>
      <c r="R194" s="116" t="s">
        <v>1080</v>
      </c>
      <c r="S194" s="116" t="s">
        <v>1080</v>
      </c>
      <c r="T194" s="116" t="s">
        <v>1080</v>
      </c>
      <c r="U194" s="116" t="s">
        <v>1080</v>
      </c>
      <c r="V194" s="116" t="s">
        <v>1080</v>
      </c>
      <c r="W194" s="116" t="s">
        <v>1080</v>
      </c>
      <c r="X194" s="116" t="s">
        <v>1080</v>
      </c>
      <c r="Y194" s="225"/>
      <c r="Z194" s="294"/>
    </row>
    <row r="195" spans="1:26" s="5" customFormat="1" ht="48" customHeight="1" x14ac:dyDescent="0.15">
      <c r="A195" s="115">
        <f t="shared" si="2"/>
        <v>192</v>
      </c>
      <c r="B195" s="121" t="s">
        <v>1555</v>
      </c>
      <c r="C195" s="121" t="s">
        <v>1556</v>
      </c>
      <c r="D195" s="116" t="s">
        <v>1557</v>
      </c>
      <c r="E195" s="116"/>
      <c r="F195" s="116" t="s">
        <v>1005</v>
      </c>
      <c r="G195" s="116"/>
      <c r="H195" s="117" t="s">
        <v>1558</v>
      </c>
      <c r="I195" s="116" t="s">
        <v>211</v>
      </c>
      <c r="J195" s="116" t="s">
        <v>1381</v>
      </c>
      <c r="K195" s="116" t="s">
        <v>1017</v>
      </c>
      <c r="L195" s="116" t="s">
        <v>1080</v>
      </c>
      <c r="M195" s="116" t="s">
        <v>1080</v>
      </c>
      <c r="N195" s="116" t="s">
        <v>1080</v>
      </c>
      <c r="O195" s="116" t="s">
        <v>1080</v>
      </c>
      <c r="P195" s="116" t="s">
        <v>1080</v>
      </c>
      <c r="Q195" s="116" t="s">
        <v>1080</v>
      </c>
      <c r="R195" s="116" t="s">
        <v>1080</v>
      </c>
      <c r="S195" s="116" t="s">
        <v>1080</v>
      </c>
      <c r="T195" s="116" t="s">
        <v>1080</v>
      </c>
      <c r="U195" s="116" t="s">
        <v>1080</v>
      </c>
      <c r="V195" s="116" t="s">
        <v>1080</v>
      </c>
      <c r="W195" s="116" t="s">
        <v>1080</v>
      </c>
      <c r="X195" s="116" t="s">
        <v>1080</v>
      </c>
      <c r="Y195" s="225"/>
      <c r="Z195" s="294"/>
    </row>
    <row r="196" spans="1:26" s="5" customFormat="1" ht="22.5" customHeight="1" x14ac:dyDescent="0.15">
      <c r="A196" s="115">
        <f t="shared" si="2"/>
        <v>193</v>
      </c>
      <c r="B196" s="121" t="s">
        <v>1559</v>
      </c>
      <c r="C196" s="121" t="s">
        <v>1560</v>
      </c>
      <c r="D196" s="116" t="s">
        <v>246</v>
      </c>
      <c r="E196" s="116"/>
      <c r="F196" s="116"/>
      <c r="G196" s="116"/>
      <c r="H196" s="117"/>
      <c r="I196" s="116" t="s">
        <v>211</v>
      </c>
      <c r="J196" s="116" t="s">
        <v>1381</v>
      </c>
      <c r="K196" s="116" t="s">
        <v>1017</v>
      </c>
      <c r="L196" s="116" t="s">
        <v>1080</v>
      </c>
      <c r="M196" s="116" t="s">
        <v>1080</v>
      </c>
      <c r="N196" s="116" t="s">
        <v>1080</v>
      </c>
      <c r="O196" s="116" t="s">
        <v>1080</v>
      </c>
      <c r="P196" s="116" t="s">
        <v>1080</v>
      </c>
      <c r="Q196" s="116" t="s">
        <v>1080</v>
      </c>
      <c r="R196" s="116" t="s">
        <v>1080</v>
      </c>
      <c r="S196" s="116" t="s">
        <v>1080</v>
      </c>
      <c r="T196" s="116" t="s">
        <v>1080</v>
      </c>
      <c r="U196" s="116" t="s">
        <v>1080</v>
      </c>
      <c r="V196" s="116" t="s">
        <v>1080</v>
      </c>
      <c r="W196" s="116" t="s">
        <v>1080</v>
      </c>
      <c r="X196" s="116" t="s">
        <v>1080</v>
      </c>
      <c r="Y196" s="225"/>
      <c r="Z196" s="294"/>
    </row>
    <row r="197" spans="1:26" s="5" customFormat="1" ht="22.5" customHeight="1" x14ac:dyDescent="0.15">
      <c r="A197" s="115">
        <f t="shared" si="2"/>
        <v>194</v>
      </c>
      <c r="B197" s="121" t="s">
        <v>1561</v>
      </c>
      <c r="C197" s="121" t="s">
        <v>1562</v>
      </c>
      <c r="D197" s="116" t="s">
        <v>246</v>
      </c>
      <c r="E197" s="116"/>
      <c r="F197" s="116"/>
      <c r="G197" s="116"/>
      <c r="H197" s="117" t="s">
        <v>1563</v>
      </c>
      <c r="I197" s="116" t="s">
        <v>211</v>
      </c>
      <c r="J197" s="116" t="s">
        <v>1381</v>
      </c>
      <c r="K197" s="116" t="s">
        <v>1017</v>
      </c>
      <c r="L197" s="116" t="s">
        <v>1080</v>
      </c>
      <c r="M197" s="116" t="s">
        <v>1080</v>
      </c>
      <c r="N197" s="116" t="s">
        <v>1080</v>
      </c>
      <c r="O197" s="116" t="s">
        <v>1080</v>
      </c>
      <c r="P197" s="116" t="s">
        <v>1080</v>
      </c>
      <c r="Q197" s="116" t="s">
        <v>1080</v>
      </c>
      <c r="R197" s="116" t="s">
        <v>1080</v>
      </c>
      <c r="S197" s="116" t="s">
        <v>1080</v>
      </c>
      <c r="T197" s="116" t="s">
        <v>1080</v>
      </c>
      <c r="U197" s="116" t="s">
        <v>1080</v>
      </c>
      <c r="V197" s="116" t="s">
        <v>1080</v>
      </c>
      <c r="W197" s="116" t="s">
        <v>1080</v>
      </c>
      <c r="X197" s="116" t="s">
        <v>1080</v>
      </c>
      <c r="Y197" s="225"/>
      <c r="Z197" s="294"/>
    </row>
    <row r="198" spans="1:26" s="5" customFormat="1" ht="22.5" customHeight="1" x14ac:dyDescent="0.15">
      <c r="A198" s="115">
        <f t="shared" si="2"/>
        <v>195</v>
      </c>
      <c r="B198" s="121" t="s">
        <v>1564</v>
      </c>
      <c r="C198" s="121" t="s">
        <v>1565</v>
      </c>
      <c r="D198" s="116" t="s">
        <v>1566</v>
      </c>
      <c r="E198" s="116"/>
      <c r="F198" s="116" t="s">
        <v>1005</v>
      </c>
      <c r="G198" s="116"/>
      <c r="H198" s="117"/>
      <c r="I198" s="116" t="s">
        <v>211</v>
      </c>
      <c r="J198" s="116" t="s">
        <v>1381</v>
      </c>
      <c r="K198" s="116" t="s">
        <v>1017</v>
      </c>
      <c r="L198" s="116" t="s">
        <v>1080</v>
      </c>
      <c r="M198" s="116" t="s">
        <v>1080</v>
      </c>
      <c r="N198" s="116" t="s">
        <v>1080</v>
      </c>
      <c r="O198" s="116" t="s">
        <v>1080</v>
      </c>
      <c r="P198" s="116" t="s">
        <v>1080</v>
      </c>
      <c r="Q198" s="116" t="s">
        <v>1080</v>
      </c>
      <c r="R198" s="116" t="s">
        <v>1080</v>
      </c>
      <c r="S198" s="116" t="s">
        <v>1080</v>
      </c>
      <c r="T198" s="116" t="s">
        <v>1080</v>
      </c>
      <c r="U198" s="116" t="s">
        <v>1080</v>
      </c>
      <c r="V198" s="116" t="s">
        <v>1080</v>
      </c>
      <c r="W198" s="116" t="s">
        <v>1080</v>
      </c>
      <c r="X198" s="116" t="s">
        <v>1080</v>
      </c>
      <c r="Y198" s="225"/>
      <c r="Z198" s="294"/>
    </row>
    <row r="199" spans="1:26" s="5" customFormat="1" ht="22.5" customHeight="1" x14ac:dyDescent="0.15">
      <c r="A199" s="115">
        <f t="shared" ref="A199:A232" si="3">A198+1</f>
        <v>196</v>
      </c>
      <c r="B199" s="121" t="s">
        <v>1567</v>
      </c>
      <c r="C199" s="121" t="s">
        <v>1568</v>
      </c>
      <c r="D199" s="116" t="s">
        <v>1411</v>
      </c>
      <c r="E199" s="116"/>
      <c r="F199" s="116" t="s">
        <v>1005</v>
      </c>
      <c r="G199" s="116"/>
      <c r="H199" s="117"/>
      <c r="I199" s="116" t="s">
        <v>211</v>
      </c>
      <c r="J199" s="116" t="s">
        <v>1381</v>
      </c>
      <c r="K199" s="116" t="s">
        <v>1017</v>
      </c>
      <c r="L199" s="116" t="s">
        <v>1080</v>
      </c>
      <c r="M199" s="116" t="s">
        <v>1080</v>
      </c>
      <c r="N199" s="116" t="s">
        <v>1080</v>
      </c>
      <c r="O199" s="116" t="s">
        <v>1080</v>
      </c>
      <c r="P199" s="116" t="s">
        <v>1080</v>
      </c>
      <c r="Q199" s="116" t="s">
        <v>1080</v>
      </c>
      <c r="R199" s="116" t="s">
        <v>1080</v>
      </c>
      <c r="S199" s="116" t="s">
        <v>1080</v>
      </c>
      <c r="T199" s="116" t="s">
        <v>1080</v>
      </c>
      <c r="U199" s="116" t="s">
        <v>1080</v>
      </c>
      <c r="V199" s="116" t="s">
        <v>1080</v>
      </c>
      <c r="W199" s="116" t="s">
        <v>1080</v>
      </c>
      <c r="X199" s="116" t="s">
        <v>1080</v>
      </c>
      <c r="Y199" s="225"/>
      <c r="Z199" s="294"/>
    </row>
    <row r="200" spans="1:26" s="5" customFormat="1" ht="22.5" customHeight="1" x14ac:dyDescent="0.15">
      <c r="A200" s="115">
        <f t="shared" si="3"/>
        <v>197</v>
      </c>
      <c r="B200" s="121" t="s">
        <v>1569</v>
      </c>
      <c r="C200" s="121" t="s">
        <v>1570</v>
      </c>
      <c r="D200" s="116" t="s">
        <v>1571</v>
      </c>
      <c r="E200" s="116"/>
      <c r="F200" s="116" t="s">
        <v>1005</v>
      </c>
      <c r="G200" s="116"/>
      <c r="H200" s="117"/>
      <c r="I200" s="116" t="s">
        <v>211</v>
      </c>
      <c r="J200" s="116" t="s">
        <v>1381</v>
      </c>
      <c r="K200" s="116" t="s">
        <v>1017</v>
      </c>
      <c r="L200" s="116" t="s">
        <v>1080</v>
      </c>
      <c r="M200" s="116" t="s">
        <v>1080</v>
      </c>
      <c r="N200" s="116" t="s">
        <v>1080</v>
      </c>
      <c r="O200" s="116" t="s">
        <v>1080</v>
      </c>
      <c r="P200" s="116" t="s">
        <v>1080</v>
      </c>
      <c r="Q200" s="116" t="s">
        <v>1080</v>
      </c>
      <c r="R200" s="116" t="s">
        <v>1080</v>
      </c>
      <c r="S200" s="116" t="s">
        <v>1080</v>
      </c>
      <c r="T200" s="116" t="s">
        <v>1080</v>
      </c>
      <c r="U200" s="116" t="s">
        <v>1080</v>
      </c>
      <c r="V200" s="116" t="s">
        <v>1080</v>
      </c>
      <c r="W200" s="116" t="s">
        <v>1080</v>
      </c>
      <c r="X200" s="116" t="s">
        <v>1080</v>
      </c>
      <c r="Y200" s="225"/>
      <c r="Z200" s="294"/>
    </row>
    <row r="201" spans="1:26" s="5" customFormat="1" ht="22.15" customHeight="1" x14ac:dyDescent="0.15">
      <c r="A201" s="115">
        <f t="shared" si="3"/>
        <v>198</v>
      </c>
      <c r="B201" s="121" t="s">
        <v>1572</v>
      </c>
      <c r="C201" s="121" t="s">
        <v>1573</v>
      </c>
      <c r="D201" s="116" t="s">
        <v>1574</v>
      </c>
      <c r="E201" s="116"/>
      <c r="F201" s="116" t="s">
        <v>1005</v>
      </c>
      <c r="G201" s="116"/>
      <c r="H201" s="117"/>
      <c r="I201" s="116" t="s">
        <v>211</v>
      </c>
      <c r="J201" s="116" t="s">
        <v>1381</v>
      </c>
      <c r="K201" s="116" t="s">
        <v>1017</v>
      </c>
      <c r="L201" s="116" t="s">
        <v>1080</v>
      </c>
      <c r="M201" s="116" t="s">
        <v>1080</v>
      </c>
      <c r="N201" s="116" t="s">
        <v>1080</v>
      </c>
      <c r="O201" s="116" t="s">
        <v>1080</v>
      </c>
      <c r="P201" s="116" t="s">
        <v>1080</v>
      </c>
      <c r="Q201" s="116" t="s">
        <v>1080</v>
      </c>
      <c r="R201" s="116" t="s">
        <v>1080</v>
      </c>
      <c r="S201" s="116" t="s">
        <v>1080</v>
      </c>
      <c r="T201" s="116" t="s">
        <v>1080</v>
      </c>
      <c r="U201" s="116" t="s">
        <v>1080</v>
      </c>
      <c r="V201" s="116" t="s">
        <v>1080</v>
      </c>
      <c r="W201" s="116" t="s">
        <v>1080</v>
      </c>
      <c r="X201" s="116" t="s">
        <v>1080</v>
      </c>
      <c r="Y201" s="225"/>
      <c r="Z201" s="294"/>
    </row>
    <row r="202" spans="1:26" s="5" customFormat="1" ht="22.5" x14ac:dyDescent="0.15">
      <c r="A202" s="115">
        <f t="shared" si="3"/>
        <v>199</v>
      </c>
      <c r="B202" s="121" t="s">
        <v>1575</v>
      </c>
      <c r="C202" s="121" t="s">
        <v>1576</v>
      </c>
      <c r="D202" s="116" t="s">
        <v>1244</v>
      </c>
      <c r="E202" s="116"/>
      <c r="F202" s="116" t="s">
        <v>1005</v>
      </c>
      <c r="G202" s="116"/>
      <c r="H202" s="117" t="s">
        <v>1577</v>
      </c>
      <c r="I202" s="116" t="s">
        <v>211</v>
      </c>
      <c r="J202" s="116" t="s">
        <v>1381</v>
      </c>
      <c r="K202" s="116" t="s">
        <v>1017</v>
      </c>
      <c r="L202" s="116" t="s">
        <v>1080</v>
      </c>
      <c r="M202" s="116" t="s">
        <v>1080</v>
      </c>
      <c r="N202" s="116" t="s">
        <v>1080</v>
      </c>
      <c r="O202" s="116" t="s">
        <v>1080</v>
      </c>
      <c r="P202" s="116" t="s">
        <v>1080</v>
      </c>
      <c r="Q202" s="116" t="s">
        <v>1080</v>
      </c>
      <c r="R202" s="116" t="s">
        <v>1080</v>
      </c>
      <c r="S202" s="116" t="s">
        <v>1080</v>
      </c>
      <c r="T202" s="116" t="s">
        <v>1080</v>
      </c>
      <c r="U202" s="116" t="s">
        <v>1080</v>
      </c>
      <c r="V202" s="116" t="s">
        <v>1080</v>
      </c>
      <c r="W202" s="116" t="s">
        <v>1080</v>
      </c>
      <c r="X202" s="116" t="s">
        <v>1080</v>
      </c>
      <c r="Y202" s="225"/>
      <c r="Z202" s="294"/>
    </row>
    <row r="203" spans="1:26" s="5" customFormat="1" ht="22.5" x14ac:dyDescent="0.15">
      <c r="A203" s="115">
        <f t="shared" si="3"/>
        <v>200</v>
      </c>
      <c r="B203" s="121" t="s">
        <v>1578</v>
      </c>
      <c r="C203" s="121" t="s">
        <v>1579</v>
      </c>
      <c r="D203" s="116" t="s">
        <v>1244</v>
      </c>
      <c r="E203" s="116"/>
      <c r="F203" s="116" t="s">
        <v>1005</v>
      </c>
      <c r="G203" s="116"/>
      <c r="H203" s="117" t="s">
        <v>1577</v>
      </c>
      <c r="I203" s="116" t="s">
        <v>211</v>
      </c>
      <c r="J203" s="116" t="s">
        <v>1381</v>
      </c>
      <c r="K203" s="116" t="s">
        <v>1017</v>
      </c>
      <c r="L203" s="116" t="s">
        <v>1080</v>
      </c>
      <c r="M203" s="116" t="s">
        <v>1080</v>
      </c>
      <c r="N203" s="116" t="s">
        <v>1080</v>
      </c>
      <c r="O203" s="116" t="s">
        <v>1080</v>
      </c>
      <c r="P203" s="116" t="s">
        <v>1080</v>
      </c>
      <c r="Q203" s="116" t="s">
        <v>1080</v>
      </c>
      <c r="R203" s="116" t="s">
        <v>1080</v>
      </c>
      <c r="S203" s="116" t="s">
        <v>1080</v>
      </c>
      <c r="T203" s="116" t="s">
        <v>1080</v>
      </c>
      <c r="U203" s="116" t="s">
        <v>1080</v>
      </c>
      <c r="V203" s="116" t="s">
        <v>1080</v>
      </c>
      <c r="W203" s="116" t="s">
        <v>1080</v>
      </c>
      <c r="X203" s="116" t="s">
        <v>1080</v>
      </c>
      <c r="Y203" s="225"/>
      <c r="Z203" s="294"/>
    </row>
    <row r="204" spans="1:26" s="5" customFormat="1" ht="22.5" x14ac:dyDescent="0.15">
      <c r="A204" s="115">
        <f t="shared" si="3"/>
        <v>201</v>
      </c>
      <c r="B204" s="121" t="s">
        <v>1580</v>
      </c>
      <c r="C204" s="121" t="s">
        <v>1581</v>
      </c>
      <c r="D204" s="116" t="s">
        <v>1244</v>
      </c>
      <c r="E204" s="116"/>
      <c r="F204" s="116" t="s">
        <v>1005</v>
      </c>
      <c r="G204" s="116"/>
      <c r="H204" s="117" t="s">
        <v>1582</v>
      </c>
      <c r="I204" s="116" t="s">
        <v>211</v>
      </c>
      <c r="J204" s="116" t="s">
        <v>1381</v>
      </c>
      <c r="K204" s="116" t="s">
        <v>1017</v>
      </c>
      <c r="L204" s="116" t="s">
        <v>1080</v>
      </c>
      <c r="M204" s="116" t="s">
        <v>1080</v>
      </c>
      <c r="N204" s="116" t="s">
        <v>1080</v>
      </c>
      <c r="O204" s="116" t="s">
        <v>1080</v>
      </c>
      <c r="P204" s="116" t="s">
        <v>1080</v>
      </c>
      <c r="Q204" s="116" t="s">
        <v>1080</v>
      </c>
      <c r="R204" s="116" t="s">
        <v>1080</v>
      </c>
      <c r="S204" s="116" t="s">
        <v>1080</v>
      </c>
      <c r="T204" s="116" t="s">
        <v>1080</v>
      </c>
      <c r="U204" s="116" t="s">
        <v>1080</v>
      </c>
      <c r="V204" s="116" t="s">
        <v>1080</v>
      </c>
      <c r="W204" s="116" t="s">
        <v>1080</v>
      </c>
      <c r="X204" s="116" t="s">
        <v>1080</v>
      </c>
      <c r="Y204" s="225"/>
      <c r="Z204" s="294"/>
    </row>
    <row r="205" spans="1:26" s="5" customFormat="1" ht="22.5" x14ac:dyDescent="0.15">
      <c r="A205" s="115">
        <f t="shared" si="3"/>
        <v>202</v>
      </c>
      <c r="B205" s="121" t="s">
        <v>1583</v>
      </c>
      <c r="C205" s="121" t="s">
        <v>1584</v>
      </c>
      <c r="D205" s="116" t="s">
        <v>1244</v>
      </c>
      <c r="E205" s="116"/>
      <c r="F205" s="116" t="s">
        <v>1005</v>
      </c>
      <c r="G205" s="116"/>
      <c r="H205" s="117" t="s">
        <v>1577</v>
      </c>
      <c r="I205" s="116" t="s">
        <v>211</v>
      </c>
      <c r="J205" s="116" t="s">
        <v>1381</v>
      </c>
      <c r="K205" s="116" t="s">
        <v>1017</v>
      </c>
      <c r="L205" s="116" t="s">
        <v>1080</v>
      </c>
      <c r="M205" s="116" t="s">
        <v>1080</v>
      </c>
      <c r="N205" s="116" t="s">
        <v>1080</v>
      </c>
      <c r="O205" s="116" t="s">
        <v>1080</v>
      </c>
      <c r="P205" s="116" t="s">
        <v>1080</v>
      </c>
      <c r="Q205" s="116" t="s">
        <v>1080</v>
      </c>
      <c r="R205" s="116" t="s">
        <v>1080</v>
      </c>
      <c r="S205" s="116" t="s">
        <v>1080</v>
      </c>
      <c r="T205" s="116" t="s">
        <v>1080</v>
      </c>
      <c r="U205" s="116" t="s">
        <v>1080</v>
      </c>
      <c r="V205" s="116" t="s">
        <v>1080</v>
      </c>
      <c r="W205" s="116" t="s">
        <v>1080</v>
      </c>
      <c r="X205" s="116" t="s">
        <v>1080</v>
      </c>
      <c r="Y205" s="225"/>
      <c r="Z205" s="294"/>
    </row>
    <row r="206" spans="1:26" s="5" customFormat="1" ht="22.5" x14ac:dyDescent="0.15">
      <c r="A206" s="115">
        <f t="shared" si="3"/>
        <v>203</v>
      </c>
      <c r="B206" s="121" t="s">
        <v>1585</v>
      </c>
      <c r="C206" s="121" t="s">
        <v>1586</v>
      </c>
      <c r="D206" s="116" t="s">
        <v>1244</v>
      </c>
      <c r="E206" s="116"/>
      <c r="F206" s="116" t="s">
        <v>1005</v>
      </c>
      <c r="G206" s="116"/>
      <c r="H206" s="117" t="s">
        <v>1582</v>
      </c>
      <c r="I206" s="116" t="s">
        <v>211</v>
      </c>
      <c r="J206" s="116" t="s">
        <v>1381</v>
      </c>
      <c r="K206" s="116" t="s">
        <v>1017</v>
      </c>
      <c r="L206" s="116" t="s">
        <v>1080</v>
      </c>
      <c r="M206" s="116" t="s">
        <v>1080</v>
      </c>
      <c r="N206" s="116" t="s">
        <v>1080</v>
      </c>
      <c r="O206" s="116" t="s">
        <v>1080</v>
      </c>
      <c r="P206" s="116" t="s">
        <v>1080</v>
      </c>
      <c r="Q206" s="116" t="s">
        <v>1080</v>
      </c>
      <c r="R206" s="116" t="s">
        <v>1080</v>
      </c>
      <c r="S206" s="116" t="s">
        <v>1080</v>
      </c>
      <c r="T206" s="116" t="s">
        <v>1080</v>
      </c>
      <c r="U206" s="116" t="s">
        <v>1080</v>
      </c>
      <c r="V206" s="116" t="s">
        <v>1080</v>
      </c>
      <c r="W206" s="116" t="s">
        <v>1080</v>
      </c>
      <c r="X206" s="116" t="s">
        <v>1080</v>
      </c>
      <c r="Y206" s="225"/>
      <c r="Z206" s="294"/>
    </row>
    <row r="207" spans="1:26" s="5" customFormat="1" ht="22.5" x14ac:dyDescent="0.15">
      <c r="A207" s="115">
        <f t="shared" si="3"/>
        <v>204</v>
      </c>
      <c r="B207" s="121" t="s">
        <v>1587</v>
      </c>
      <c r="C207" s="121" t="s">
        <v>1588</v>
      </c>
      <c r="D207" s="116" t="s">
        <v>1244</v>
      </c>
      <c r="E207" s="116"/>
      <c r="F207" s="116" t="s">
        <v>1005</v>
      </c>
      <c r="G207" s="116"/>
      <c r="H207" s="117" t="s">
        <v>1582</v>
      </c>
      <c r="I207" s="116" t="s">
        <v>211</v>
      </c>
      <c r="J207" s="116" t="s">
        <v>1381</v>
      </c>
      <c r="K207" s="116" t="s">
        <v>1017</v>
      </c>
      <c r="L207" s="116" t="s">
        <v>1080</v>
      </c>
      <c r="M207" s="116" t="s">
        <v>1080</v>
      </c>
      <c r="N207" s="116" t="s">
        <v>1080</v>
      </c>
      <c r="O207" s="116" t="s">
        <v>1080</v>
      </c>
      <c r="P207" s="116" t="s">
        <v>1080</v>
      </c>
      <c r="Q207" s="116" t="s">
        <v>1080</v>
      </c>
      <c r="R207" s="116" t="s">
        <v>1080</v>
      </c>
      <c r="S207" s="116" t="s">
        <v>1080</v>
      </c>
      <c r="T207" s="116" t="s">
        <v>1080</v>
      </c>
      <c r="U207" s="116" t="s">
        <v>1080</v>
      </c>
      <c r="V207" s="116" t="s">
        <v>1080</v>
      </c>
      <c r="W207" s="116" t="s">
        <v>1080</v>
      </c>
      <c r="X207" s="116" t="s">
        <v>1080</v>
      </c>
      <c r="Y207" s="225"/>
      <c r="Z207" s="294"/>
    </row>
    <row r="208" spans="1:26" s="5" customFormat="1" ht="22.5" customHeight="1" x14ac:dyDescent="0.15">
      <c r="A208" s="115">
        <f t="shared" si="3"/>
        <v>205</v>
      </c>
      <c r="B208" s="121" t="s">
        <v>1589</v>
      </c>
      <c r="C208" s="121" t="s">
        <v>1590</v>
      </c>
      <c r="D208" s="116" t="s">
        <v>1244</v>
      </c>
      <c r="E208" s="116"/>
      <c r="F208" s="116" t="s">
        <v>1005</v>
      </c>
      <c r="G208" s="116"/>
      <c r="H208" s="117" t="s">
        <v>1582</v>
      </c>
      <c r="I208" s="116" t="s">
        <v>211</v>
      </c>
      <c r="J208" s="116" t="s">
        <v>1381</v>
      </c>
      <c r="K208" s="116" t="s">
        <v>1017</v>
      </c>
      <c r="L208" s="116" t="s">
        <v>1080</v>
      </c>
      <c r="M208" s="116" t="s">
        <v>1080</v>
      </c>
      <c r="N208" s="116" t="s">
        <v>1080</v>
      </c>
      <c r="O208" s="116" t="s">
        <v>1080</v>
      </c>
      <c r="P208" s="116" t="s">
        <v>1080</v>
      </c>
      <c r="Q208" s="116" t="s">
        <v>1080</v>
      </c>
      <c r="R208" s="116" t="s">
        <v>1080</v>
      </c>
      <c r="S208" s="116" t="s">
        <v>1080</v>
      </c>
      <c r="T208" s="116" t="s">
        <v>1080</v>
      </c>
      <c r="U208" s="116" t="s">
        <v>1080</v>
      </c>
      <c r="V208" s="116" t="s">
        <v>1080</v>
      </c>
      <c r="W208" s="116" t="s">
        <v>1080</v>
      </c>
      <c r="X208" s="116" t="s">
        <v>1080</v>
      </c>
      <c r="Y208" s="225"/>
      <c r="Z208" s="294"/>
    </row>
    <row r="209" spans="1:26" s="5" customFormat="1" ht="22.5" customHeight="1" x14ac:dyDescent="0.15">
      <c r="A209" s="115">
        <f t="shared" si="3"/>
        <v>206</v>
      </c>
      <c r="B209" s="121" t="s">
        <v>1591</v>
      </c>
      <c r="C209" s="121" t="s">
        <v>1592</v>
      </c>
      <c r="D209" s="116" t="s">
        <v>1244</v>
      </c>
      <c r="E209" s="116"/>
      <c r="F209" s="116" t="s">
        <v>1005</v>
      </c>
      <c r="G209" s="116"/>
      <c r="H209" s="117" t="s">
        <v>1582</v>
      </c>
      <c r="I209" s="116" t="s">
        <v>211</v>
      </c>
      <c r="J209" s="116" t="s">
        <v>1381</v>
      </c>
      <c r="K209" s="116" t="s">
        <v>1017</v>
      </c>
      <c r="L209" s="116" t="s">
        <v>1080</v>
      </c>
      <c r="M209" s="116" t="s">
        <v>1080</v>
      </c>
      <c r="N209" s="116" t="s">
        <v>1080</v>
      </c>
      <c r="O209" s="116" t="s">
        <v>1080</v>
      </c>
      <c r="P209" s="116" t="s">
        <v>1080</v>
      </c>
      <c r="Q209" s="116" t="s">
        <v>1080</v>
      </c>
      <c r="R209" s="116" t="s">
        <v>1080</v>
      </c>
      <c r="S209" s="116" t="s">
        <v>1080</v>
      </c>
      <c r="T209" s="116" t="s">
        <v>1080</v>
      </c>
      <c r="U209" s="116" t="s">
        <v>1080</v>
      </c>
      <c r="V209" s="116" t="s">
        <v>1080</v>
      </c>
      <c r="W209" s="116" t="s">
        <v>1080</v>
      </c>
      <c r="X209" s="116" t="s">
        <v>1080</v>
      </c>
      <c r="Y209" s="225"/>
      <c r="Z209" s="294"/>
    </row>
    <row r="210" spans="1:26" s="5" customFormat="1" ht="22.5" customHeight="1" x14ac:dyDescent="0.15">
      <c r="A210" s="115">
        <f t="shared" si="3"/>
        <v>207</v>
      </c>
      <c r="B210" s="121" t="s">
        <v>1593</v>
      </c>
      <c r="C210" s="121" t="s">
        <v>1594</v>
      </c>
      <c r="D210" s="116" t="s">
        <v>272</v>
      </c>
      <c r="E210" s="116"/>
      <c r="F210" s="116" t="s">
        <v>1005</v>
      </c>
      <c r="G210" s="116"/>
      <c r="H210" s="117"/>
      <c r="I210" s="116" t="s">
        <v>211</v>
      </c>
      <c r="J210" s="116" t="s">
        <v>1381</v>
      </c>
      <c r="K210" s="116" t="s">
        <v>1017</v>
      </c>
      <c r="L210" s="116" t="s">
        <v>1080</v>
      </c>
      <c r="M210" s="116" t="s">
        <v>1080</v>
      </c>
      <c r="N210" s="116" t="s">
        <v>1080</v>
      </c>
      <c r="O210" s="116" t="s">
        <v>1080</v>
      </c>
      <c r="P210" s="116" t="s">
        <v>1080</v>
      </c>
      <c r="Q210" s="116" t="s">
        <v>1080</v>
      </c>
      <c r="R210" s="116" t="s">
        <v>1080</v>
      </c>
      <c r="S210" s="116" t="s">
        <v>1080</v>
      </c>
      <c r="T210" s="116" t="s">
        <v>1080</v>
      </c>
      <c r="U210" s="116" t="s">
        <v>1080</v>
      </c>
      <c r="V210" s="116" t="s">
        <v>1080</v>
      </c>
      <c r="W210" s="116" t="s">
        <v>1080</v>
      </c>
      <c r="X210" s="116" t="s">
        <v>1080</v>
      </c>
      <c r="Y210" s="225"/>
      <c r="Z210" s="294"/>
    </row>
    <row r="211" spans="1:26" s="6" customFormat="1" ht="22.5" customHeight="1" x14ac:dyDescent="0.15">
      <c r="A211" s="115">
        <f t="shared" si="3"/>
        <v>208</v>
      </c>
      <c r="B211" s="121" t="s">
        <v>1595</v>
      </c>
      <c r="C211" s="121" t="s">
        <v>1596</v>
      </c>
      <c r="D211" s="116" t="s">
        <v>1390</v>
      </c>
      <c r="E211" s="116"/>
      <c r="F211" s="116"/>
      <c r="G211" s="116"/>
      <c r="H211" s="117"/>
      <c r="I211" s="116" t="s">
        <v>211</v>
      </c>
      <c r="J211" s="116" t="s">
        <v>1381</v>
      </c>
      <c r="K211" s="116" t="s">
        <v>1017</v>
      </c>
      <c r="L211" s="116" t="s">
        <v>1080</v>
      </c>
      <c r="M211" s="116" t="s">
        <v>1080</v>
      </c>
      <c r="N211" s="116" t="s">
        <v>1080</v>
      </c>
      <c r="O211" s="116" t="s">
        <v>1080</v>
      </c>
      <c r="P211" s="116" t="s">
        <v>1080</v>
      </c>
      <c r="Q211" s="116" t="s">
        <v>1080</v>
      </c>
      <c r="R211" s="116" t="s">
        <v>1080</v>
      </c>
      <c r="S211" s="116" t="s">
        <v>1080</v>
      </c>
      <c r="T211" s="116" t="s">
        <v>1080</v>
      </c>
      <c r="U211" s="116" t="s">
        <v>1080</v>
      </c>
      <c r="V211" s="116" t="s">
        <v>1080</v>
      </c>
      <c r="W211" s="116" t="s">
        <v>1080</v>
      </c>
      <c r="X211" s="116" t="s">
        <v>1080</v>
      </c>
      <c r="Y211" s="225"/>
      <c r="Z211" s="293"/>
    </row>
    <row r="212" spans="1:26" s="106" customFormat="1" ht="22.5" customHeight="1" x14ac:dyDescent="0.15">
      <c r="A212" s="115">
        <f t="shared" si="3"/>
        <v>209</v>
      </c>
      <c r="B212" s="122" t="s">
        <v>1597</v>
      </c>
      <c r="C212" s="121" t="s">
        <v>1598</v>
      </c>
      <c r="D212" s="116" t="s">
        <v>1399</v>
      </c>
      <c r="E212" s="116"/>
      <c r="F212" s="116"/>
      <c r="G212" s="121"/>
      <c r="H212" s="232"/>
      <c r="I212" s="116" t="s">
        <v>211</v>
      </c>
      <c r="J212" s="116" t="s">
        <v>200</v>
      </c>
      <c r="K212" s="116" t="s">
        <v>1017</v>
      </c>
      <c r="L212" s="116" t="s">
        <v>1599</v>
      </c>
      <c r="M212" s="116" t="s">
        <v>1599</v>
      </c>
      <c r="N212" s="116" t="s">
        <v>1599</v>
      </c>
      <c r="O212" s="116" t="s">
        <v>1599</v>
      </c>
      <c r="P212" s="116" t="s">
        <v>1599</v>
      </c>
      <c r="Q212" s="116" t="s">
        <v>1599</v>
      </c>
      <c r="R212" s="116" t="s">
        <v>1599</v>
      </c>
      <c r="S212" s="116" t="s">
        <v>1599</v>
      </c>
      <c r="T212" s="116" t="s">
        <v>1599</v>
      </c>
      <c r="U212" s="116" t="s">
        <v>1599</v>
      </c>
      <c r="V212" s="116" t="s">
        <v>1599</v>
      </c>
      <c r="W212" s="116" t="s">
        <v>1599</v>
      </c>
      <c r="X212" s="116" t="s">
        <v>1599</v>
      </c>
      <c r="Y212" s="222"/>
      <c r="Z212" s="293"/>
    </row>
    <row r="213" spans="1:26" s="106" customFormat="1" ht="22.5" customHeight="1" x14ac:dyDescent="0.15">
      <c r="A213" s="115">
        <f t="shared" si="3"/>
        <v>210</v>
      </c>
      <c r="B213" s="121" t="s">
        <v>1600</v>
      </c>
      <c r="C213" s="121" t="s">
        <v>1601</v>
      </c>
      <c r="D213" s="116" t="s">
        <v>1390</v>
      </c>
      <c r="E213" s="116"/>
      <c r="F213" s="116"/>
      <c r="G213" s="121"/>
      <c r="H213" s="232"/>
      <c r="I213" s="116" t="s">
        <v>211</v>
      </c>
      <c r="J213" s="116" t="s">
        <v>200</v>
      </c>
      <c r="K213" s="116" t="s">
        <v>1017</v>
      </c>
      <c r="L213" s="116" t="s">
        <v>1599</v>
      </c>
      <c r="M213" s="116" t="s">
        <v>1599</v>
      </c>
      <c r="N213" s="116" t="s">
        <v>1599</v>
      </c>
      <c r="O213" s="116" t="s">
        <v>1599</v>
      </c>
      <c r="P213" s="116" t="s">
        <v>1599</v>
      </c>
      <c r="Q213" s="116" t="s">
        <v>1599</v>
      </c>
      <c r="R213" s="116" t="s">
        <v>1599</v>
      </c>
      <c r="S213" s="116" t="s">
        <v>1599</v>
      </c>
      <c r="T213" s="116" t="s">
        <v>1599</v>
      </c>
      <c r="U213" s="116" t="s">
        <v>1599</v>
      </c>
      <c r="V213" s="116" t="s">
        <v>1599</v>
      </c>
      <c r="W213" s="116" t="s">
        <v>1599</v>
      </c>
      <c r="X213" s="116" t="s">
        <v>1599</v>
      </c>
      <c r="Y213" s="222"/>
      <c r="Z213" s="293"/>
    </row>
    <row r="214" spans="1:26" s="106" customFormat="1" ht="22.5" customHeight="1" x14ac:dyDescent="0.15">
      <c r="A214" s="115">
        <f t="shared" si="3"/>
        <v>211</v>
      </c>
      <c r="B214" s="121" t="s">
        <v>1602</v>
      </c>
      <c r="C214" s="121" t="s">
        <v>1603</v>
      </c>
      <c r="D214" s="116" t="s">
        <v>1004</v>
      </c>
      <c r="E214" s="116">
        <v>512</v>
      </c>
      <c r="F214" s="116" t="s">
        <v>1005</v>
      </c>
      <c r="G214" s="121"/>
      <c r="H214" s="232"/>
      <c r="I214" s="116" t="s">
        <v>211</v>
      </c>
      <c r="J214" s="116" t="s">
        <v>200</v>
      </c>
      <c r="K214" s="116" t="s">
        <v>1017</v>
      </c>
      <c r="L214" s="116" t="s">
        <v>1599</v>
      </c>
      <c r="M214" s="116" t="s">
        <v>1599</v>
      </c>
      <c r="N214" s="116" t="s">
        <v>1599</v>
      </c>
      <c r="O214" s="116" t="s">
        <v>1599</v>
      </c>
      <c r="P214" s="116" t="s">
        <v>1599</v>
      </c>
      <c r="Q214" s="116" t="s">
        <v>1599</v>
      </c>
      <c r="R214" s="116" t="s">
        <v>1599</v>
      </c>
      <c r="S214" s="116" t="s">
        <v>1599</v>
      </c>
      <c r="T214" s="116" t="s">
        <v>1599</v>
      </c>
      <c r="U214" s="116" t="s">
        <v>1599</v>
      </c>
      <c r="V214" s="116" t="s">
        <v>1599</v>
      </c>
      <c r="W214" s="116" t="s">
        <v>1599</v>
      </c>
      <c r="X214" s="116" t="s">
        <v>1599</v>
      </c>
      <c r="Y214" s="222"/>
      <c r="Z214" s="293"/>
    </row>
    <row r="215" spans="1:26" s="106" customFormat="1" ht="22.5" customHeight="1" x14ac:dyDescent="0.15">
      <c r="A215" s="115">
        <f t="shared" si="3"/>
        <v>212</v>
      </c>
      <c r="B215" s="121" t="s">
        <v>1604</v>
      </c>
      <c r="C215" s="121" t="s">
        <v>1605</v>
      </c>
      <c r="D215" s="116" t="s">
        <v>1390</v>
      </c>
      <c r="E215" s="116"/>
      <c r="F215" s="116" t="s">
        <v>1005</v>
      </c>
      <c r="G215" s="121"/>
      <c r="H215" s="232"/>
      <c r="I215" s="116" t="s">
        <v>211</v>
      </c>
      <c r="J215" s="116" t="s">
        <v>200</v>
      </c>
      <c r="K215" s="116" t="s">
        <v>1017</v>
      </c>
      <c r="L215" s="116" t="s">
        <v>1599</v>
      </c>
      <c r="M215" s="116" t="s">
        <v>1599</v>
      </c>
      <c r="N215" s="116" t="s">
        <v>1599</v>
      </c>
      <c r="O215" s="116" t="s">
        <v>1599</v>
      </c>
      <c r="P215" s="116" t="s">
        <v>1599</v>
      </c>
      <c r="Q215" s="116" t="s">
        <v>1599</v>
      </c>
      <c r="R215" s="116" t="s">
        <v>1599</v>
      </c>
      <c r="S215" s="116" t="s">
        <v>1599</v>
      </c>
      <c r="T215" s="116" t="s">
        <v>1599</v>
      </c>
      <c r="U215" s="116" t="s">
        <v>1599</v>
      </c>
      <c r="V215" s="116" t="s">
        <v>1599</v>
      </c>
      <c r="W215" s="116" t="s">
        <v>1599</v>
      </c>
      <c r="X215" s="116" t="s">
        <v>1599</v>
      </c>
      <c r="Y215" s="222"/>
      <c r="Z215" s="293"/>
    </row>
    <row r="216" spans="1:26" s="106" customFormat="1" ht="22.5" customHeight="1" x14ac:dyDescent="0.15">
      <c r="A216" s="115">
        <f t="shared" si="3"/>
        <v>213</v>
      </c>
      <c r="B216" s="121" t="s">
        <v>1606</v>
      </c>
      <c r="C216" s="121" t="s">
        <v>1607</v>
      </c>
      <c r="D216" s="116" t="s">
        <v>1411</v>
      </c>
      <c r="E216" s="116"/>
      <c r="F216" s="116" t="s">
        <v>1005</v>
      </c>
      <c r="G216" s="121"/>
      <c r="H216" s="232"/>
      <c r="I216" s="116" t="s">
        <v>211</v>
      </c>
      <c r="J216" s="116" t="s">
        <v>200</v>
      </c>
      <c r="K216" s="116" t="s">
        <v>1017</v>
      </c>
      <c r="L216" s="116" t="s">
        <v>1599</v>
      </c>
      <c r="M216" s="116" t="s">
        <v>1599</v>
      </c>
      <c r="N216" s="116" t="s">
        <v>1599</v>
      </c>
      <c r="O216" s="116" t="s">
        <v>1599</v>
      </c>
      <c r="P216" s="116" t="s">
        <v>1599</v>
      </c>
      <c r="Q216" s="116" t="s">
        <v>1599</v>
      </c>
      <c r="R216" s="116" t="s">
        <v>1599</v>
      </c>
      <c r="S216" s="116" t="s">
        <v>1599</v>
      </c>
      <c r="T216" s="116" t="s">
        <v>1599</v>
      </c>
      <c r="U216" s="116" t="s">
        <v>1599</v>
      </c>
      <c r="V216" s="116" t="s">
        <v>1599</v>
      </c>
      <c r="W216" s="116" t="s">
        <v>1599</v>
      </c>
      <c r="X216" s="116" t="s">
        <v>1599</v>
      </c>
      <c r="Y216" s="222"/>
      <c r="Z216" s="293"/>
    </row>
    <row r="217" spans="1:26" s="106" customFormat="1" ht="22.5" customHeight="1" x14ac:dyDescent="0.15">
      <c r="A217" s="115">
        <f t="shared" si="3"/>
        <v>214</v>
      </c>
      <c r="B217" s="121" t="s">
        <v>1608</v>
      </c>
      <c r="C217" s="121" t="s">
        <v>1609</v>
      </c>
      <c r="D217" s="116" t="s">
        <v>1390</v>
      </c>
      <c r="E217" s="116"/>
      <c r="F217" s="116"/>
      <c r="G217" s="121"/>
      <c r="H217" s="232"/>
      <c r="I217" s="116" t="s">
        <v>211</v>
      </c>
      <c r="J217" s="116" t="s">
        <v>200</v>
      </c>
      <c r="K217" s="116" t="s">
        <v>1017</v>
      </c>
      <c r="L217" s="116" t="s">
        <v>1599</v>
      </c>
      <c r="M217" s="116" t="s">
        <v>1599</v>
      </c>
      <c r="N217" s="116" t="s">
        <v>1599</v>
      </c>
      <c r="O217" s="116" t="s">
        <v>1599</v>
      </c>
      <c r="P217" s="116" t="s">
        <v>1599</v>
      </c>
      <c r="Q217" s="116" t="s">
        <v>1599</v>
      </c>
      <c r="R217" s="116" t="s">
        <v>1599</v>
      </c>
      <c r="S217" s="116" t="s">
        <v>1599</v>
      </c>
      <c r="T217" s="116" t="s">
        <v>1599</v>
      </c>
      <c r="U217" s="116" t="s">
        <v>1599</v>
      </c>
      <c r="V217" s="116" t="s">
        <v>1599</v>
      </c>
      <c r="W217" s="116" t="s">
        <v>1599</v>
      </c>
      <c r="X217" s="116" t="s">
        <v>1599</v>
      </c>
      <c r="Y217" s="222"/>
      <c r="Z217" s="293"/>
    </row>
    <row r="218" spans="1:26" s="106" customFormat="1" ht="22.5" customHeight="1" x14ac:dyDescent="0.15">
      <c r="A218" s="115">
        <f t="shared" si="3"/>
        <v>215</v>
      </c>
      <c r="B218" s="121" t="s">
        <v>1610</v>
      </c>
      <c r="C218" s="121" t="s">
        <v>1611</v>
      </c>
      <c r="D218" s="116" t="s">
        <v>1411</v>
      </c>
      <c r="E218" s="116"/>
      <c r="F218" s="116"/>
      <c r="G218" s="121"/>
      <c r="H218" s="232"/>
      <c r="I218" s="116" t="s">
        <v>211</v>
      </c>
      <c r="J218" s="116" t="s">
        <v>200</v>
      </c>
      <c r="K218" s="116" t="s">
        <v>1017</v>
      </c>
      <c r="L218" s="116" t="s">
        <v>1599</v>
      </c>
      <c r="M218" s="116" t="s">
        <v>1599</v>
      </c>
      <c r="N218" s="116" t="s">
        <v>1599</v>
      </c>
      <c r="O218" s="116" t="s">
        <v>1599</v>
      </c>
      <c r="P218" s="116" t="s">
        <v>1599</v>
      </c>
      <c r="Q218" s="116" t="s">
        <v>1599</v>
      </c>
      <c r="R218" s="116" t="s">
        <v>1599</v>
      </c>
      <c r="S218" s="116" t="s">
        <v>1599</v>
      </c>
      <c r="T218" s="116" t="s">
        <v>1599</v>
      </c>
      <c r="U218" s="116" t="s">
        <v>1599</v>
      </c>
      <c r="V218" s="116" t="s">
        <v>1599</v>
      </c>
      <c r="W218" s="116" t="s">
        <v>1599</v>
      </c>
      <c r="X218" s="116" t="s">
        <v>1599</v>
      </c>
      <c r="Y218" s="222"/>
      <c r="Z218" s="293"/>
    </row>
    <row r="219" spans="1:26" s="106" customFormat="1" ht="22.5" customHeight="1" x14ac:dyDescent="0.15">
      <c r="A219" s="115">
        <f t="shared" si="3"/>
        <v>216</v>
      </c>
      <c r="B219" s="121" t="s">
        <v>1612</v>
      </c>
      <c r="C219" s="121" t="s">
        <v>1613</v>
      </c>
      <c r="D219" s="116" t="s">
        <v>1004</v>
      </c>
      <c r="E219" s="116">
        <v>255</v>
      </c>
      <c r="F219" s="116" t="s">
        <v>1005</v>
      </c>
      <c r="G219" s="121"/>
      <c r="H219" s="232"/>
      <c r="I219" s="116" t="s">
        <v>211</v>
      </c>
      <c r="J219" s="116" t="s">
        <v>200</v>
      </c>
      <c r="K219" s="116" t="s">
        <v>1017</v>
      </c>
      <c r="L219" s="116" t="s">
        <v>1599</v>
      </c>
      <c r="M219" s="116" t="s">
        <v>1599</v>
      </c>
      <c r="N219" s="116" t="s">
        <v>1599</v>
      </c>
      <c r="O219" s="116" t="s">
        <v>1599</v>
      </c>
      <c r="P219" s="116" t="s">
        <v>1599</v>
      </c>
      <c r="Q219" s="116" t="s">
        <v>1599</v>
      </c>
      <c r="R219" s="116" t="s">
        <v>1599</v>
      </c>
      <c r="S219" s="116" t="s">
        <v>1599</v>
      </c>
      <c r="T219" s="116" t="s">
        <v>1599</v>
      </c>
      <c r="U219" s="116" t="s">
        <v>1599</v>
      </c>
      <c r="V219" s="116" t="s">
        <v>1599</v>
      </c>
      <c r="W219" s="116" t="s">
        <v>1599</v>
      </c>
      <c r="X219" s="116" t="s">
        <v>1599</v>
      </c>
      <c r="Y219" s="222"/>
      <c r="Z219" s="293"/>
    </row>
    <row r="220" spans="1:26" s="106" customFormat="1" ht="22.5" customHeight="1" x14ac:dyDescent="0.15">
      <c r="A220" s="115">
        <f t="shared" si="3"/>
        <v>217</v>
      </c>
      <c r="B220" s="121" t="s">
        <v>1614</v>
      </c>
      <c r="C220" s="121" t="s">
        <v>1615</v>
      </c>
      <c r="D220" s="116" t="s">
        <v>1004</v>
      </c>
      <c r="E220" s="116">
        <v>512</v>
      </c>
      <c r="F220" s="116" t="s">
        <v>1005</v>
      </c>
      <c r="G220" s="121"/>
      <c r="H220" s="232"/>
      <c r="I220" s="116" t="s">
        <v>211</v>
      </c>
      <c r="J220" s="116" t="s">
        <v>200</v>
      </c>
      <c r="K220" s="116" t="s">
        <v>1017</v>
      </c>
      <c r="L220" s="116" t="s">
        <v>1599</v>
      </c>
      <c r="M220" s="116" t="s">
        <v>1599</v>
      </c>
      <c r="N220" s="116" t="s">
        <v>1599</v>
      </c>
      <c r="O220" s="116" t="s">
        <v>1599</v>
      </c>
      <c r="P220" s="116" t="s">
        <v>1599</v>
      </c>
      <c r="Q220" s="116" t="s">
        <v>1599</v>
      </c>
      <c r="R220" s="116" t="s">
        <v>1599</v>
      </c>
      <c r="S220" s="116" t="s">
        <v>1599</v>
      </c>
      <c r="T220" s="116" t="s">
        <v>1599</v>
      </c>
      <c r="U220" s="116" t="s">
        <v>1599</v>
      </c>
      <c r="V220" s="116" t="s">
        <v>1599</v>
      </c>
      <c r="W220" s="116" t="s">
        <v>1599</v>
      </c>
      <c r="X220" s="116" t="s">
        <v>1599</v>
      </c>
      <c r="Y220" s="222"/>
      <c r="Z220" s="293"/>
    </row>
    <row r="221" spans="1:26" s="106" customFormat="1" ht="22.5" customHeight="1" x14ac:dyDescent="0.15">
      <c r="A221" s="115">
        <f t="shared" si="3"/>
        <v>218</v>
      </c>
      <c r="B221" s="121" t="s">
        <v>1616</v>
      </c>
      <c r="C221" s="121" t="s">
        <v>1617</v>
      </c>
      <c r="D221" s="116" t="s">
        <v>1004</v>
      </c>
      <c r="E221" s="116">
        <v>13</v>
      </c>
      <c r="F221" s="116" t="s">
        <v>1005</v>
      </c>
      <c r="G221" s="121"/>
      <c r="H221" s="232"/>
      <c r="I221" s="116" t="s">
        <v>211</v>
      </c>
      <c r="J221" s="116" t="s">
        <v>200</v>
      </c>
      <c r="K221" s="116" t="s">
        <v>1017</v>
      </c>
      <c r="L221" s="116" t="s">
        <v>1599</v>
      </c>
      <c r="M221" s="116" t="s">
        <v>1599</v>
      </c>
      <c r="N221" s="116" t="s">
        <v>1599</v>
      </c>
      <c r="O221" s="116" t="s">
        <v>1599</v>
      </c>
      <c r="P221" s="116" t="s">
        <v>1599</v>
      </c>
      <c r="Q221" s="116" t="s">
        <v>1599</v>
      </c>
      <c r="R221" s="116" t="s">
        <v>1599</v>
      </c>
      <c r="S221" s="116" t="s">
        <v>1599</v>
      </c>
      <c r="T221" s="116" t="s">
        <v>1599</v>
      </c>
      <c r="U221" s="116" t="s">
        <v>1599</v>
      </c>
      <c r="V221" s="116" t="s">
        <v>1599</v>
      </c>
      <c r="W221" s="116" t="s">
        <v>1599</v>
      </c>
      <c r="X221" s="116" t="s">
        <v>1599</v>
      </c>
      <c r="Y221" s="222"/>
      <c r="Z221" s="293"/>
    </row>
    <row r="222" spans="1:26" s="106" customFormat="1" ht="22.5" customHeight="1" x14ac:dyDescent="0.15">
      <c r="A222" s="115">
        <f t="shared" si="3"/>
        <v>219</v>
      </c>
      <c r="B222" s="121" t="s">
        <v>1618</v>
      </c>
      <c r="C222" s="121" t="s">
        <v>1619</v>
      </c>
      <c r="D222" s="116" t="s">
        <v>1420</v>
      </c>
      <c r="E222" s="116"/>
      <c r="F222" s="116" t="s">
        <v>1005</v>
      </c>
      <c r="G222" s="121"/>
      <c r="H222" s="232"/>
      <c r="I222" s="116" t="s">
        <v>211</v>
      </c>
      <c r="J222" s="116" t="s">
        <v>200</v>
      </c>
      <c r="K222" s="116" t="s">
        <v>1017</v>
      </c>
      <c r="L222" s="116" t="s">
        <v>1599</v>
      </c>
      <c r="M222" s="116" t="s">
        <v>1599</v>
      </c>
      <c r="N222" s="116" t="s">
        <v>1599</v>
      </c>
      <c r="O222" s="116" t="s">
        <v>1599</v>
      </c>
      <c r="P222" s="116" t="s">
        <v>1599</v>
      </c>
      <c r="Q222" s="116" t="s">
        <v>1599</v>
      </c>
      <c r="R222" s="116" t="s">
        <v>1599</v>
      </c>
      <c r="S222" s="116" t="s">
        <v>1599</v>
      </c>
      <c r="T222" s="116" t="s">
        <v>1599</v>
      </c>
      <c r="U222" s="116" t="s">
        <v>1599</v>
      </c>
      <c r="V222" s="116" t="s">
        <v>1599</v>
      </c>
      <c r="W222" s="116" t="s">
        <v>1599</v>
      </c>
      <c r="X222" s="116" t="s">
        <v>1599</v>
      </c>
      <c r="Y222" s="222"/>
      <c r="Z222" s="293"/>
    </row>
    <row r="223" spans="1:26" s="106" customFormat="1" ht="22.5" customHeight="1" x14ac:dyDescent="0.15">
      <c r="A223" s="115">
        <f t="shared" si="3"/>
        <v>220</v>
      </c>
      <c r="B223" s="121" t="s">
        <v>1620</v>
      </c>
      <c r="C223" s="121" t="s">
        <v>1621</v>
      </c>
      <c r="D223" s="116" t="s">
        <v>1420</v>
      </c>
      <c r="E223" s="116"/>
      <c r="F223" s="116" t="s">
        <v>1005</v>
      </c>
      <c r="G223" s="121"/>
      <c r="H223" s="232"/>
      <c r="I223" s="116" t="s">
        <v>211</v>
      </c>
      <c r="J223" s="116" t="s">
        <v>200</v>
      </c>
      <c r="K223" s="116" t="s">
        <v>1017</v>
      </c>
      <c r="L223" s="116" t="s">
        <v>1599</v>
      </c>
      <c r="M223" s="116" t="s">
        <v>1599</v>
      </c>
      <c r="N223" s="116" t="s">
        <v>1599</v>
      </c>
      <c r="O223" s="116" t="s">
        <v>1599</v>
      </c>
      <c r="P223" s="116" t="s">
        <v>1599</v>
      </c>
      <c r="Q223" s="116" t="s">
        <v>1599</v>
      </c>
      <c r="R223" s="116" t="s">
        <v>1599</v>
      </c>
      <c r="S223" s="116" t="s">
        <v>1599</v>
      </c>
      <c r="T223" s="116" t="s">
        <v>1599</v>
      </c>
      <c r="U223" s="116" t="s">
        <v>1599</v>
      </c>
      <c r="V223" s="116" t="s">
        <v>1599</v>
      </c>
      <c r="W223" s="116" t="s">
        <v>1599</v>
      </c>
      <c r="X223" s="116" t="s">
        <v>1599</v>
      </c>
      <c r="Y223" s="222"/>
      <c r="Z223" s="293"/>
    </row>
    <row r="224" spans="1:26" s="106" customFormat="1" ht="22.5" customHeight="1" x14ac:dyDescent="0.15">
      <c r="A224" s="115">
        <f t="shared" si="3"/>
        <v>221</v>
      </c>
      <c r="B224" s="121" t="s">
        <v>1622</v>
      </c>
      <c r="C224" s="121" t="s">
        <v>1623</v>
      </c>
      <c r="D224" s="116" t="s">
        <v>1004</v>
      </c>
      <c r="E224" s="116">
        <v>8</v>
      </c>
      <c r="F224" s="116" t="s">
        <v>1005</v>
      </c>
      <c r="G224" s="121"/>
      <c r="H224" s="232"/>
      <c r="I224" s="116" t="s">
        <v>211</v>
      </c>
      <c r="J224" s="116" t="s">
        <v>200</v>
      </c>
      <c r="K224" s="116" t="s">
        <v>1017</v>
      </c>
      <c r="L224" s="116" t="s">
        <v>1599</v>
      </c>
      <c r="M224" s="116" t="s">
        <v>1599</v>
      </c>
      <c r="N224" s="116" t="s">
        <v>1599</v>
      </c>
      <c r="O224" s="116" t="s">
        <v>1599</v>
      </c>
      <c r="P224" s="116" t="s">
        <v>1599</v>
      </c>
      <c r="Q224" s="116" t="s">
        <v>1599</v>
      </c>
      <c r="R224" s="116" t="s">
        <v>1599</v>
      </c>
      <c r="S224" s="116" t="s">
        <v>1599</v>
      </c>
      <c r="T224" s="116" t="s">
        <v>1599</v>
      </c>
      <c r="U224" s="116" t="s">
        <v>1599</v>
      </c>
      <c r="V224" s="116" t="s">
        <v>1599</v>
      </c>
      <c r="W224" s="116" t="s">
        <v>1599</v>
      </c>
      <c r="X224" s="116" t="s">
        <v>1599</v>
      </c>
      <c r="Y224" s="222"/>
      <c r="Z224" s="293"/>
    </row>
    <row r="225" spans="1:26" s="106" customFormat="1" ht="22.5" customHeight="1" x14ac:dyDescent="0.15">
      <c r="A225" s="115">
        <f t="shared" si="3"/>
        <v>222</v>
      </c>
      <c r="B225" s="121" t="s">
        <v>1624</v>
      </c>
      <c r="C225" s="121" t="s">
        <v>1625</v>
      </c>
      <c r="D225" s="116" t="s">
        <v>1004</v>
      </c>
      <c r="E225" s="116">
        <v>200</v>
      </c>
      <c r="F225" s="116" t="s">
        <v>1005</v>
      </c>
      <c r="G225" s="121"/>
      <c r="H225" s="232"/>
      <c r="I225" s="116" t="s">
        <v>211</v>
      </c>
      <c r="J225" s="116" t="s">
        <v>200</v>
      </c>
      <c r="K225" s="116" t="s">
        <v>1017</v>
      </c>
      <c r="L225" s="116" t="s">
        <v>1599</v>
      </c>
      <c r="M225" s="116" t="s">
        <v>1599</v>
      </c>
      <c r="N225" s="116" t="s">
        <v>1599</v>
      </c>
      <c r="O225" s="116" t="s">
        <v>1599</v>
      </c>
      <c r="P225" s="116" t="s">
        <v>1599</v>
      </c>
      <c r="Q225" s="116" t="s">
        <v>1599</v>
      </c>
      <c r="R225" s="116" t="s">
        <v>1599</v>
      </c>
      <c r="S225" s="116" t="s">
        <v>1599</v>
      </c>
      <c r="T225" s="116" t="s">
        <v>1599</v>
      </c>
      <c r="U225" s="116" t="s">
        <v>1599</v>
      </c>
      <c r="V225" s="116" t="s">
        <v>1599</v>
      </c>
      <c r="W225" s="116" t="s">
        <v>1599</v>
      </c>
      <c r="X225" s="116" t="s">
        <v>1599</v>
      </c>
      <c r="Y225" s="222"/>
      <c r="Z225" s="293"/>
    </row>
    <row r="226" spans="1:26" s="5" customFormat="1" ht="46.9" customHeight="1" x14ac:dyDescent="0.15">
      <c r="A226" s="26">
        <f t="shared" si="3"/>
        <v>223</v>
      </c>
      <c r="B226" s="27" t="s">
        <v>1626</v>
      </c>
      <c r="C226" s="27" t="s">
        <v>1627</v>
      </c>
      <c r="D226" s="17" t="s">
        <v>250</v>
      </c>
      <c r="E226" s="17"/>
      <c r="F226" s="17" t="s">
        <v>1005</v>
      </c>
      <c r="G226" s="17"/>
      <c r="H226" s="18"/>
      <c r="I226" s="228" t="s">
        <v>1628</v>
      </c>
      <c r="J226" s="17" t="s">
        <v>172</v>
      </c>
      <c r="K226" s="17" t="s">
        <v>1007</v>
      </c>
      <c r="L226" s="17" t="s">
        <v>1629</v>
      </c>
      <c r="M226" s="21" t="s">
        <v>1630</v>
      </c>
      <c r="N226" s="352" t="s">
        <v>1065</v>
      </c>
      <c r="O226" s="17" t="s">
        <v>1629</v>
      </c>
      <c r="P226" s="116" t="s">
        <v>1629</v>
      </c>
      <c r="Q226" s="17" t="s">
        <v>1629</v>
      </c>
      <c r="R226" s="116" t="s">
        <v>1629</v>
      </c>
      <c r="S226" s="17" t="s">
        <v>1629</v>
      </c>
      <c r="T226" s="116" t="s">
        <v>1629</v>
      </c>
      <c r="U226" s="17" t="s">
        <v>1629</v>
      </c>
      <c r="V226" s="17" t="s">
        <v>1629</v>
      </c>
      <c r="W226" s="116" t="s">
        <v>1629</v>
      </c>
      <c r="X226" s="17" t="s">
        <v>1629</v>
      </c>
      <c r="Y226" s="40" t="s">
        <v>1631</v>
      </c>
      <c r="Z226" s="294" t="s">
        <v>1123</v>
      </c>
    </row>
    <row r="227" spans="1:26" s="5" customFormat="1" ht="46.9" customHeight="1" x14ac:dyDescent="0.15">
      <c r="A227" s="26">
        <f t="shared" si="3"/>
        <v>224</v>
      </c>
      <c r="B227" s="27" t="s">
        <v>1632</v>
      </c>
      <c r="C227" s="27" t="s">
        <v>1633</v>
      </c>
      <c r="D227" s="17" t="s">
        <v>250</v>
      </c>
      <c r="E227" s="17"/>
      <c r="F227" s="17" t="s">
        <v>1005</v>
      </c>
      <c r="G227" s="17"/>
      <c r="H227" s="18"/>
      <c r="I227" s="228" t="s">
        <v>1634</v>
      </c>
      <c r="J227" s="17" t="s">
        <v>172</v>
      </c>
      <c r="K227" s="17" t="s">
        <v>1007</v>
      </c>
      <c r="L227" s="17" t="s">
        <v>1629</v>
      </c>
      <c r="M227" s="352" t="s">
        <v>1629</v>
      </c>
      <c r="N227" s="352" t="s">
        <v>1065</v>
      </c>
      <c r="O227" s="17" t="s">
        <v>1629</v>
      </c>
      <c r="P227" s="116" t="s">
        <v>1629</v>
      </c>
      <c r="Q227" s="17" t="s">
        <v>1629</v>
      </c>
      <c r="R227" s="116" t="s">
        <v>1629</v>
      </c>
      <c r="S227" s="17" t="s">
        <v>1629</v>
      </c>
      <c r="T227" s="116" t="s">
        <v>1629</v>
      </c>
      <c r="U227" s="17" t="s">
        <v>1629</v>
      </c>
      <c r="V227" s="17" t="s">
        <v>1629</v>
      </c>
      <c r="W227" s="116" t="s">
        <v>1629</v>
      </c>
      <c r="X227" s="17" t="s">
        <v>1629</v>
      </c>
      <c r="Y227" s="40" t="s">
        <v>1635</v>
      </c>
      <c r="Z227" s="294" t="s">
        <v>1636</v>
      </c>
    </row>
    <row r="228" spans="1:26" s="5" customFormat="1" ht="46.9" customHeight="1" x14ac:dyDescent="0.15">
      <c r="A228" s="26">
        <f t="shared" si="3"/>
        <v>225</v>
      </c>
      <c r="B228" s="27" t="s">
        <v>1637</v>
      </c>
      <c r="C228" s="27" t="s">
        <v>1638</v>
      </c>
      <c r="D228" s="17" t="s">
        <v>250</v>
      </c>
      <c r="E228" s="17"/>
      <c r="F228" s="17" t="s">
        <v>1005</v>
      </c>
      <c r="G228" s="17"/>
      <c r="H228" s="18"/>
      <c r="I228" s="228" t="s">
        <v>1639</v>
      </c>
      <c r="J228" s="17" t="s">
        <v>172</v>
      </c>
      <c r="K228" s="17" t="s">
        <v>1007</v>
      </c>
      <c r="L228" s="17" t="s">
        <v>1629</v>
      </c>
      <c r="M228" s="21" t="s">
        <v>1640</v>
      </c>
      <c r="N228" s="352" t="s">
        <v>1065</v>
      </c>
      <c r="O228" s="17" t="s">
        <v>1629</v>
      </c>
      <c r="P228" s="116" t="s">
        <v>1629</v>
      </c>
      <c r="Q228" s="17" t="s">
        <v>1629</v>
      </c>
      <c r="R228" s="116" t="s">
        <v>1629</v>
      </c>
      <c r="S228" s="17" t="s">
        <v>1629</v>
      </c>
      <c r="T228" s="116" t="s">
        <v>1629</v>
      </c>
      <c r="U228" s="17" t="s">
        <v>1629</v>
      </c>
      <c r="V228" s="17" t="s">
        <v>1629</v>
      </c>
      <c r="W228" s="116" t="s">
        <v>1629</v>
      </c>
      <c r="X228" s="17" t="s">
        <v>1629</v>
      </c>
      <c r="Y228" s="40" t="s">
        <v>1641</v>
      </c>
      <c r="Z228" s="294" t="s">
        <v>1123</v>
      </c>
    </row>
    <row r="229" spans="1:26" s="5" customFormat="1" ht="46.9" customHeight="1" x14ac:dyDescent="0.15">
      <c r="A229" s="26">
        <f t="shared" si="3"/>
        <v>226</v>
      </c>
      <c r="B229" s="27" t="s">
        <v>1642</v>
      </c>
      <c r="C229" s="27" t="s">
        <v>1643</v>
      </c>
      <c r="D229" s="17" t="s">
        <v>250</v>
      </c>
      <c r="E229" s="17"/>
      <c r="F229" s="17" t="s">
        <v>1005</v>
      </c>
      <c r="G229" s="17"/>
      <c r="H229" s="18"/>
      <c r="I229" s="228" t="s">
        <v>1644</v>
      </c>
      <c r="J229" s="17" t="s">
        <v>172</v>
      </c>
      <c r="K229" s="17" t="s">
        <v>1007</v>
      </c>
      <c r="L229" s="17" t="s">
        <v>1629</v>
      </c>
      <c r="M229" s="21" t="s">
        <v>1645</v>
      </c>
      <c r="N229" s="352" t="s">
        <v>1065</v>
      </c>
      <c r="O229" s="17" t="s">
        <v>1629</v>
      </c>
      <c r="P229" s="116" t="s">
        <v>1629</v>
      </c>
      <c r="Q229" s="17" t="s">
        <v>1629</v>
      </c>
      <c r="R229" s="116" t="s">
        <v>1629</v>
      </c>
      <c r="S229" s="17" t="s">
        <v>1629</v>
      </c>
      <c r="T229" s="116" t="s">
        <v>1629</v>
      </c>
      <c r="U229" s="17" t="s">
        <v>1629</v>
      </c>
      <c r="V229" s="17" t="s">
        <v>1629</v>
      </c>
      <c r="W229" s="116" t="s">
        <v>1629</v>
      </c>
      <c r="X229" s="17" t="s">
        <v>1629</v>
      </c>
      <c r="Y229" s="40" t="s">
        <v>1646</v>
      </c>
      <c r="Z229" s="294" t="s">
        <v>1123</v>
      </c>
    </row>
    <row r="230" spans="1:26" s="106" customFormat="1" ht="67.900000000000006" customHeight="1" x14ac:dyDescent="0.15">
      <c r="A230" s="26">
        <f t="shared" si="3"/>
        <v>227</v>
      </c>
      <c r="B230" s="27" t="s">
        <v>1647</v>
      </c>
      <c r="C230" s="27" t="s">
        <v>1648</v>
      </c>
      <c r="D230" s="17" t="s">
        <v>1004</v>
      </c>
      <c r="E230" s="17">
        <v>22</v>
      </c>
      <c r="F230" s="17" t="s">
        <v>1005</v>
      </c>
      <c r="G230" s="27"/>
      <c r="H230" s="30"/>
      <c r="I230" s="17" t="s">
        <v>211</v>
      </c>
      <c r="J230" s="17" t="s">
        <v>172</v>
      </c>
      <c r="K230" s="17" t="s">
        <v>1007</v>
      </c>
      <c r="L230" s="17" t="s">
        <v>1291</v>
      </c>
      <c r="M230" s="21" t="s">
        <v>1649</v>
      </c>
      <c r="N230" s="17" t="s">
        <v>1291</v>
      </c>
      <c r="O230" s="17" t="s">
        <v>1291</v>
      </c>
      <c r="P230" s="116" t="s">
        <v>1291</v>
      </c>
      <c r="Q230" s="17" t="s">
        <v>1291</v>
      </c>
      <c r="R230" s="116" t="s">
        <v>1291</v>
      </c>
      <c r="S230" s="17" t="s">
        <v>1291</v>
      </c>
      <c r="T230" s="116" t="s">
        <v>1291</v>
      </c>
      <c r="U230" s="17" t="s">
        <v>1291</v>
      </c>
      <c r="V230" s="17" t="s">
        <v>1291</v>
      </c>
      <c r="W230" s="116" t="s">
        <v>1291</v>
      </c>
      <c r="X230" s="17" t="s">
        <v>1291</v>
      </c>
      <c r="Y230" s="40"/>
      <c r="Z230" s="293" t="s">
        <v>1650</v>
      </c>
    </row>
    <row r="231" spans="1:26" s="5" customFormat="1" ht="34.9" customHeight="1" x14ac:dyDescent="0.15">
      <c r="A231" s="26">
        <f t="shared" si="3"/>
        <v>228</v>
      </c>
      <c r="B231" s="27" t="s">
        <v>1651</v>
      </c>
      <c r="C231" s="27" t="s">
        <v>1652</v>
      </c>
      <c r="D231" s="17" t="s">
        <v>250</v>
      </c>
      <c r="E231" s="17"/>
      <c r="F231" s="17" t="s">
        <v>1005</v>
      </c>
      <c r="G231" s="17"/>
      <c r="H231" s="18"/>
      <c r="I231" s="17" t="s">
        <v>211</v>
      </c>
      <c r="J231" s="17" t="s">
        <v>172</v>
      </c>
      <c r="K231" s="17" t="s">
        <v>1007</v>
      </c>
      <c r="L231" s="17" t="s">
        <v>1629</v>
      </c>
      <c r="M231" s="21" t="s">
        <v>1653</v>
      </c>
      <c r="N231" s="21" t="s">
        <v>1653</v>
      </c>
      <c r="O231" s="17" t="s">
        <v>1629</v>
      </c>
      <c r="P231" s="116" t="s">
        <v>1629</v>
      </c>
      <c r="Q231" s="17" t="s">
        <v>1629</v>
      </c>
      <c r="R231" s="116" t="s">
        <v>1629</v>
      </c>
      <c r="S231" s="17" t="s">
        <v>1629</v>
      </c>
      <c r="T231" s="116" t="s">
        <v>1629</v>
      </c>
      <c r="U231" s="17" t="s">
        <v>1629</v>
      </c>
      <c r="V231" s="17" t="s">
        <v>1629</v>
      </c>
      <c r="W231" s="116" t="s">
        <v>1629</v>
      </c>
      <c r="X231" s="17" t="s">
        <v>1629</v>
      </c>
      <c r="Y231" s="223"/>
      <c r="Z231" s="294"/>
    </row>
    <row r="232" spans="1:26" s="5" customFormat="1" ht="60.6" customHeight="1" x14ac:dyDescent="0.15">
      <c r="A232" s="110">
        <f t="shared" si="3"/>
        <v>229</v>
      </c>
      <c r="B232" s="237" t="s">
        <v>1654</v>
      </c>
      <c r="C232" s="237" t="s">
        <v>1655</v>
      </c>
      <c r="D232" s="35" t="s">
        <v>250</v>
      </c>
      <c r="E232" s="35"/>
      <c r="F232" s="35" t="s">
        <v>1005</v>
      </c>
      <c r="G232" s="35"/>
      <c r="H232" s="233"/>
      <c r="I232" s="35" t="s">
        <v>211</v>
      </c>
      <c r="J232" s="35" t="s">
        <v>172</v>
      </c>
      <c r="K232" s="35" t="s">
        <v>1007</v>
      </c>
      <c r="L232" s="35" t="s">
        <v>1291</v>
      </c>
      <c r="M232" s="36" t="s">
        <v>1656</v>
      </c>
      <c r="N232" s="36" t="s">
        <v>1656</v>
      </c>
      <c r="O232" s="35" t="s">
        <v>1291</v>
      </c>
      <c r="P232" s="495" t="s">
        <v>1291</v>
      </c>
      <c r="Q232" s="35" t="s">
        <v>1291</v>
      </c>
      <c r="R232" s="495" t="s">
        <v>1291</v>
      </c>
      <c r="S232" s="35" t="s">
        <v>1291</v>
      </c>
      <c r="T232" s="495" t="s">
        <v>1291</v>
      </c>
      <c r="U232" s="35" t="s">
        <v>1291</v>
      </c>
      <c r="V232" s="35" t="s">
        <v>1291</v>
      </c>
      <c r="W232" s="495" t="s">
        <v>1291</v>
      </c>
      <c r="X232" s="35" t="s">
        <v>1291</v>
      </c>
      <c r="Y232" s="227"/>
      <c r="Z232" s="294"/>
    </row>
    <row r="233" spans="1:26" s="107" customFormat="1" ht="22.15" customHeight="1" x14ac:dyDescent="0.15">
      <c r="A233" s="29"/>
      <c r="B233" s="29"/>
      <c r="C233" s="29"/>
      <c r="D233" s="29"/>
      <c r="E233" s="29"/>
      <c r="F233" s="29"/>
      <c r="G233" s="29"/>
      <c r="H233" s="29"/>
      <c r="I233" s="29"/>
      <c r="J233" s="29"/>
      <c r="K233" s="114"/>
      <c r="L233" s="29"/>
      <c r="M233" s="29"/>
      <c r="N233" s="29"/>
      <c r="O233" s="29"/>
      <c r="P233" s="29"/>
      <c r="Q233" s="29"/>
      <c r="R233" s="29"/>
      <c r="S233" s="29"/>
      <c r="T233" s="29"/>
      <c r="U233" s="29"/>
      <c r="V233" s="29"/>
      <c r="W233" s="29"/>
      <c r="X233" s="29"/>
      <c r="Z233" s="294"/>
    </row>
    <row r="234" spans="1:26" s="10" customFormat="1" x14ac:dyDescent="0.15">
      <c r="A234" s="11"/>
      <c r="B234" s="8"/>
      <c r="C234" s="8"/>
      <c r="D234" s="7"/>
      <c r="E234" s="7"/>
      <c r="F234" s="7"/>
      <c r="G234" s="7"/>
      <c r="H234" s="9"/>
      <c r="I234" s="9"/>
      <c r="J234" s="9"/>
      <c r="K234" s="1"/>
      <c r="L234" s="9"/>
      <c r="M234" s="9"/>
      <c r="N234" s="9"/>
      <c r="O234" s="9"/>
      <c r="P234" s="9"/>
      <c r="Q234" s="9"/>
      <c r="R234" s="9"/>
      <c r="S234" s="9"/>
      <c r="T234" s="9"/>
      <c r="U234" s="9"/>
      <c r="V234" s="9"/>
      <c r="W234" s="9"/>
      <c r="X234" s="9"/>
      <c r="Y234" s="14"/>
      <c r="Z234" s="294"/>
    </row>
    <row r="235" spans="1:26" s="10" customFormat="1" x14ac:dyDescent="0.15">
      <c r="A235" s="11"/>
      <c r="B235" s="8"/>
      <c r="C235" s="8"/>
      <c r="D235" s="7"/>
      <c r="E235" s="7"/>
      <c r="F235" s="7"/>
      <c r="G235" s="7"/>
      <c r="H235" s="9"/>
      <c r="I235" s="9"/>
      <c r="J235" s="9"/>
      <c r="K235" s="1"/>
      <c r="L235" s="9"/>
      <c r="M235" s="9"/>
      <c r="N235" s="9"/>
      <c r="O235" s="9"/>
      <c r="P235" s="9"/>
      <c r="Q235" s="9"/>
      <c r="R235" s="9"/>
      <c r="S235" s="9"/>
      <c r="T235" s="9"/>
      <c r="U235" s="9"/>
      <c r="V235" s="9"/>
      <c r="W235" s="9"/>
      <c r="X235" s="9"/>
      <c r="Y235" s="14"/>
      <c r="Z235" s="294"/>
    </row>
    <row r="236" spans="1:26" s="10" customFormat="1" x14ac:dyDescent="0.15">
      <c r="A236" s="11"/>
      <c r="B236" s="8"/>
      <c r="C236" s="8"/>
      <c r="D236" s="7"/>
      <c r="E236" s="7"/>
      <c r="F236" s="7"/>
      <c r="G236" s="7"/>
      <c r="H236" s="9"/>
      <c r="I236" s="9"/>
      <c r="J236" s="9"/>
      <c r="K236" s="1"/>
      <c r="L236" s="9"/>
      <c r="M236" s="9"/>
      <c r="N236" s="9"/>
      <c r="O236" s="9"/>
      <c r="P236" s="9"/>
      <c r="Q236" s="9"/>
      <c r="R236" s="9"/>
      <c r="S236" s="9"/>
      <c r="T236" s="9"/>
      <c r="U236" s="9"/>
      <c r="V236" s="9"/>
      <c r="W236" s="9"/>
      <c r="X236" s="9"/>
      <c r="Y236" s="14"/>
      <c r="Z236" s="294"/>
    </row>
    <row r="237" spans="1:26" s="10" customFormat="1" x14ac:dyDescent="0.15">
      <c r="A237" s="11"/>
      <c r="B237" s="8"/>
      <c r="C237" s="8"/>
      <c r="D237" s="7"/>
      <c r="E237" s="7"/>
      <c r="F237" s="7"/>
      <c r="G237" s="7"/>
      <c r="H237" s="9"/>
      <c r="I237" s="9"/>
      <c r="J237" s="9"/>
      <c r="K237" s="1"/>
      <c r="L237" s="9"/>
      <c r="M237" s="9"/>
      <c r="N237" s="9"/>
      <c r="O237" s="9"/>
      <c r="P237" s="9"/>
      <c r="Q237" s="9"/>
      <c r="R237" s="9"/>
      <c r="S237" s="9"/>
      <c r="T237" s="9"/>
      <c r="U237" s="9"/>
      <c r="V237" s="9"/>
      <c r="W237" s="9"/>
      <c r="X237" s="9"/>
      <c r="Y237" s="14"/>
      <c r="Z237" s="294"/>
    </row>
  </sheetData>
  <autoFilter ref="A3:Z232" xr:uid="{98A8769B-A44F-43EB-B203-0EBD3334AE1B}"/>
  <mergeCells count="8">
    <mergeCell ref="A2:A3"/>
    <mergeCell ref="L2:X2"/>
    <mergeCell ref="B2:G2"/>
    <mergeCell ref="Y2:Y3"/>
    <mergeCell ref="J2:J3"/>
    <mergeCell ref="I2:I3"/>
    <mergeCell ref="K2:K3"/>
    <mergeCell ref="H2:H3"/>
  </mergeCells>
  <phoneticPr fontId="4"/>
  <pageMargins left="0.19685039370078741" right="0.19685039370078741" top="0.78740157480314965" bottom="0.31496062992125984" header="0.47244094488188981" footer="0.15748031496062992"/>
  <pageSetup paperSize="9" scale="23" fitToHeight="0" orientation="landscape" horizontalDpi="4294967292" verticalDpi="300" r:id="rId1"/>
  <headerFooter alignWithMargins="0">
    <oddHeader>&amp;C&amp;A
（取引情報）&amp;RFUJITSU CONFIDENTIAL</oddHeader>
    <oddFooter>&amp;C－&amp;P－&amp;RAll Rights Reserved, Copyright(c) Fujitsu  Limited 2024</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DAAC3-21F5-4ECD-8671-90895C0E8AEC}">
  <sheetPr>
    <pageSetUpPr fitToPage="1"/>
  </sheetPr>
  <dimension ref="A1:O10"/>
  <sheetViews>
    <sheetView showGridLines="0" zoomScaleNormal="100" zoomScaleSheetLayoutView="100" workbookViewId="0">
      <pane xSplit="3" ySplit="3" topLeftCell="M8" activePane="bottomRight" state="frozen"/>
      <selection pane="topRight" activeCell="F1" sqref="F1"/>
      <selection pane="bottomLeft" activeCell="A4" sqref="A4"/>
      <selection pane="bottomRight" activeCell="M8" sqref="M8"/>
    </sheetView>
  </sheetViews>
  <sheetFormatPr defaultRowHeight="13.5" x14ac:dyDescent="0.15"/>
  <cols>
    <col min="1" max="1" width="6.375" style="2" customWidth="1"/>
    <col min="2" max="2" width="24.375" style="3" customWidth="1"/>
    <col min="3" max="3" width="27.375" style="3" customWidth="1"/>
    <col min="4" max="4" width="6.375" style="4" customWidth="1"/>
    <col min="5" max="5" width="10.375" style="4" customWidth="1"/>
    <col min="6" max="6" width="8" style="4" customWidth="1"/>
    <col min="7" max="7" width="6.375" style="4" customWidth="1"/>
    <col min="8" max="8" width="30.375" style="1" customWidth="1"/>
    <col min="9" max="9" width="31" style="1" customWidth="1"/>
    <col min="10" max="10" width="11.375" style="1" bestFit="1" customWidth="1"/>
    <col min="11" max="11" width="8.875" style="1" bestFit="1" customWidth="1"/>
    <col min="12" max="12" width="25.375" style="1" customWidth="1"/>
    <col min="13" max="13" width="27.375" style="1" customWidth="1"/>
    <col min="14" max="14" width="59.375" customWidth="1"/>
  </cols>
  <sheetData>
    <row r="1" spans="1:15" ht="47.45" customHeight="1" x14ac:dyDescent="0.15">
      <c r="A1" s="1082" t="s">
        <v>976</v>
      </c>
      <c r="B1" s="1083"/>
      <c r="C1" s="1084" t="s">
        <v>1657</v>
      </c>
      <c r="D1" s="1085"/>
      <c r="E1" s="1085"/>
      <c r="F1" s="1085"/>
      <c r="G1" s="1085"/>
      <c r="I1" s="15"/>
      <c r="J1" s="1085"/>
      <c r="K1" s="1088"/>
      <c r="L1" s="1089"/>
      <c r="M1" s="1101"/>
    </row>
    <row r="2" spans="1:15" x14ac:dyDescent="0.15">
      <c r="A2" s="1319" t="s">
        <v>982</v>
      </c>
      <c r="B2" s="1323" t="s">
        <v>983</v>
      </c>
      <c r="C2" s="1312"/>
      <c r="D2" s="1312"/>
      <c r="E2" s="1312"/>
      <c r="F2" s="1312"/>
      <c r="G2" s="1313"/>
      <c r="H2" s="1331" t="s">
        <v>984</v>
      </c>
      <c r="I2" s="1328" t="s">
        <v>985</v>
      </c>
      <c r="J2" s="1326" t="s">
        <v>986</v>
      </c>
      <c r="K2" s="1321" t="s">
        <v>987</v>
      </c>
      <c r="L2" s="1321" t="s">
        <v>1658</v>
      </c>
      <c r="M2" s="1335"/>
      <c r="N2" s="1333" t="s">
        <v>711</v>
      </c>
    </row>
    <row r="3" spans="1:15" ht="22.5" x14ac:dyDescent="0.15">
      <c r="A3" s="1320"/>
      <c r="B3" s="1093" t="s">
        <v>226</v>
      </c>
      <c r="C3" s="1093" t="s">
        <v>989</v>
      </c>
      <c r="D3" s="1092" t="s">
        <v>228</v>
      </c>
      <c r="E3" s="1092" t="s">
        <v>229</v>
      </c>
      <c r="F3" s="1093" t="s">
        <v>990</v>
      </c>
      <c r="G3" s="1092" t="s">
        <v>230</v>
      </c>
      <c r="H3" s="1332"/>
      <c r="I3" s="1329"/>
      <c r="J3" s="1327"/>
      <c r="K3" s="1330"/>
      <c r="L3" s="108" t="s">
        <v>1659</v>
      </c>
      <c r="M3" s="108" t="s">
        <v>1660</v>
      </c>
      <c r="N3" s="1334"/>
    </row>
    <row r="4" spans="1:15" ht="33.75" x14ac:dyDescent="0.15">
      <c r="A4" s="238">
        <v>1</v>
      </c>
      <c r="B4" s="248" t="s">
        <v>248</v>
      </c>
      <c r="C4" s="248" t="s">
        <v>253</v>
      </c>
      <c r="D4" s="239" t="s">
        <v>250</v>
      </c>
      <c r="E4" s="239" t="s">
        <v>251</v>
      </c>
      <c r="F4" s="239"/>
      <c r="G4" s="239" t="s">
        <v>247</v>
      </c>
      <c r="H4" s="240" t="s">
        <v>1016</v>
      </c>
      <c r="I4" s="241"/>
      <c r="J4" s="125" t="s">
        <v>200</v>
      </c>
      <c r="K4" s="125" t="s">
        <v>1017</v>
      </c>
      <c r="L4" s="125" t="s">
        <v>1018</v>
      </c>
      <c r="M4" s="125" t="s">
        <v>1018</v>
      </c>
      <c r="N4" s="126"/>
    </row>
    <row r="5" spans="1:15" ht="33.75" x14ac:dyDescent="0.15">
      <c r="A5" s="242">
        <v>2</v>
      </c>
      <c r="B5" s="249" t="s">
        <v>244</v>
      </c>
      <c r="C5" s="249" t="s">
        <v>245</v>
      </c>
      <c r="D5" s="112" t="s">
        <v>246</v>
      </c>
      <c r="E5" s="112" t="s">
        <v>251</v>
      </c>
      <c r="F5" s="112"/>
      <c r="G5" s="112" t="s">
        <v>247</v>
      </c>
      <c r="H5" s="246" t="s">
        <v>1661</v>
      </c>
      <c r="I5" s="112" t="s">
        <v>211</v>
      </c>
      <c r="J5" s="17" t="s">
        <v>172</v>
      </c>
      <c r="K5" s="112" t="s">
        <v>1020</v>
      </c>
      <c r="L5" s="17" t="s">
        <v>1662</v>
      </c>
      <c r="M5" s="17" t="s">
        <v>1663</v>
      </c>
      <c r="N5" s="20"/>
    </row>
    <row r="6" spans="1:15" ht="67.5" x14ac:dyDescent="0.15">
      <c r="A6" s="242">
        <v>3</v>
      </c>
      <c r="B6" s="249" t="s">
        <v>261</v>
      </c>
      <c r="C6" s="249" t="s">
        <v>262</v>
      </c>
      <c r="D6" s="112" t="s">
        <v>246</v>
      </c>
      <c r="E6" s="112" t="s">
        <v>251</v>
      </c>
      <c r="F6" s="112"/>
      <c r="G6" s="112" t="s">
        <v>247</v>
      </c>
      <c r="H6" s="324" t="s">
        <v>1664</v>
      </c>
      <c r="I6" s="112" t="s">
        <v>211</v>
      </c>
      <c r="J6" s="17" t="s">
        <v>172</v>
      </c>
      <c r="K6" s="165" t="s">
        <v>1020</v>
      </c>
      <c r="L6" s="17" t="s">
        <v>1665</v>
      </c>
      <c r="M6" s="17" t="s">
        <v>1665</v>
      </c>
      <c r="N6" s="20"/>
      <c r="O6" s="294" t="s">
        <v>1040</v>
      </c>
    </row>
    <row r="7" spans="1:15" ht="56.25" x14ac:dyDescent="0.15">
      <c r="A7" s="242">
        <v>4</v>
      </c>
      <c r="B7" s="249" t="s">
        <v>560</v>
      </c>
      <c r="C7" s="249" t="s">
        <v>1666</v>
      </c>
      <c r="D7" s="112" t="s">
        <v>246</v>
      </c>
      <c r="E7" s="112" t="s">
        <v>251</v>
      </c>
      <c r="F7" s="112"/>
      <c r="G7" s="112" t="s">
        <v>247</v>
      </c>
      <c r="H7" s="30" t="s">
        <v>1667</v>
      </c>
      <c r="I7" s="112" t="s">
        <v>211</v>
      </c>
      <c r="J7" s="17" t="s">
        <v>172</v>
      </c>
      <c r="K7" s="165" t="s">
        <v>1020</v>
      </c>
      <c r="L7" s="17" t="s">
        <v>1668</v>
      </c>
      <c r="M7" s="17" t="s">
        <v>1668</v>
      </c>
      <c r="N7" s="37" t="s">
        <v>1669</v>
      </c>
      <c r="O7" s="294" t="s">
        <v>1040</v>
      </c>
    </row>
    <row r="8" spans="1:15" ht="157.5" x14ac:dyDescent="0.15">
      <c r="A8" s="242">
        <v>5</v>
      </c>
      <c r="B8" s="249" t="s">
        <v>282</v>
      </c>
      <c r="C8" s="249" t="s">
        <v>283</v>
      </c>
      <c r="D8" s="112" t="s">
        <v>355</v>
      </c>
      <c r="E8" s="112" t="s">
        <v>251</v>
      </c>
      <c r="F8" s="112" t="s">
        <v>1005</v>
      </c>
      <c r="G8" s="112" t="s">
        <v>251</v>
      </c>
      <c r="H8" s="246" t="s">
        <v>1670</v>
      </c>
      <c r="I8" s="112" t="s">
        <v>211</v>
      </c>
      <c r="J8" s="17" t="s">
        <v>172</v>
      </c>
      <c r="K8" s="165" t="s">
        <v>1020</v>
      </c>
      <c r="L8" s="497" t="s">
        <v>1671</v>
      </c>
      <c r="M8" s="497" t="s">
        <v>1672</v>
      </c>
      <c r="N8" s="37" t="s">
        <v>1669</v>
      </c>
      <c r="O8" s="496" t="s">
        <v>1673</v>
      </c>
    </row>
    <row r="9" spans="1:15" ht="22.5" x14ac:dyDescent="0.15">
      <c r="A9" s="242">
        <v>6</v>
      </c>
      <c r="B9" s="249" t="s">
        <v>257</v>
      </c>
      <c r="C9" s="249" t="s">
        <v>258</v>
      </c>
      <c r="D9" s="112" t="s">
        <v>250</v>
      </c>
      <c r="E9" s="112" t="s">
        <v>251</v>
      </c>
      <c r="F9" s="112"/>
      <c r="G9" s="112" t="s">
        <v>247</v>
      </c>
      <c r="H9" s="246" t="s">
        <v>258</v>
      </c>
      <c r="I9" s="31" t="s">
        <v>458</v>
      </c>
      <c r="J9" s="17" t="s">
        <v>172</v>
      </c>
      <c r="K9" s="165" t="s">
        <v>1020</v>
      </c>
      <c r="L9" s="17" t="s">
        <v>1674</v>
      </c>
      <c r="M9" s="17" t="s">
        <v>1674</v>
      </c>
      <c r="N9" s="19"/>
    </row>
    <row r="10" spans="1:15" ht="33.75" x14ac:dyDescent="0.15">
      <c r="A10" s="243">
        <v>7</v>
      </c>
      <c r="B10" s="250" t="s">
        <v>295</v>
      </c>
      <c r="C10" s="250" t="s">
        <v>1675</v>
      </c>
      <c r="D10" s="244" t="s">
        <v>278</v>
      </c>
      <c r="E10" s="244"/>
      <c r="F10" s="244" t="s">
        <v>1005</v>
      </c>
      <c r="G10" s="244"/>
      <c r="H10" s="247" t="s">
        <v>1676</v>
      </c>
      <c r="I10" s="245" t="s">
        <v>211</v>
      </c>
      <c r="J10" s="34" t="s">
        <v>172</v>
      </c>
      <c r="K10" s="1102" t="s">
        <v>1020</v>
      </c>
      <c r="L10" s="34" t="s">
        <v>1677</v>
      </c>
      <c r="M10" s="34" t="s">
        <v>1677</v>
      </c>
      <c r="N10" s="111" t="s">
        <v>1669</v>
      </c>
      <c r="O10" s="492" t="s">
        <v>1678</v>
      </c>
    </row>
  </sheetData>
  <autoFilter ref="A3:O10" xr:uid="{A5383424-9776-4215-BC92-6E16C96DCB76}"/>
  <mergeCells count="8">
    <mergeCell ref="N2:N3"/>
    <mergeCell ref="A2:A3"/>
    <mergeCell ref="H2:H3"/>
    <mergeCell ref="I2:I3"/>
    <mergeCell ref="J2:J3"/>
    <mergeCell ref="K2:K3"/>
    <mergeCell ref="L2:M2"/>
    <mergeCell ref="B2:G2"/>
  </mergeCells>
  <phoneticPr fontId="4"/>
  <printOptions horizontalCentered="1"/>
  <pageMargins left="0.19685039370078741" right="0.19685039370078741" top="1.1811023622047245" bottom="0.78740157480314965" header="0.51181102362204722" footer="0.51181102362204722"/>
  <pageSetup paperSize="9" scale="52" fitToHeight="0" orientation="landscape" horizontalDpi="4294967292" verticalDpi="300" r:id="rId1"/>
  <headerFooter alignWithMargins="0">
    <oddHeader>&amp;C&amp;A
（単品リンク情報）&amp;R&amp;UFUJITSU CONFIDENTIAL</oddHeader>
    <oddFooter>&amp;C－&amp;P－&amp;RAll Rights Reserved, Copyright(c) Fujitsu  Limited 2024</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126F2E-A609-471D-85FC-41F775DE6A5D}">
  <sheetPr>
    <pageSetUpPr fitToPage="1"/>
  </sheetPr>
  <dimension ref="A1:O133"/>
  <sheetViews>
    <sheetView showGridLines="0" zoomScaleNormal="100" zoomScaleSheetLayoutView="100" workbookViewId="0">
      <pane xSplit="3" ySplit="3" topLeftCell="D8" activePane="bottomRight" state="frozen"/>
      <selection pane="topRight" activeCell="F1" sqref="F1"/>
      <selection pane="bottomLeft" activeCell="A4" sqref="A4"/>
      <selection pane="bottomRight" activeCell="H10" sqref="H10"/>
    </sheetView>
  </sheetViews>
  <sheetFormatPr defaultRowHeight="13.5" x14ac:dyDescent="0.15"/>
  <cols>
    <col min="1" max="1" width="5.875" style="2" customWidth="1"/>
    <col min="2" max="2" width="28.375" style="3" bestFit="1" customWidth="1"/>
    <col min="3" max="3" width="23.375" style="3" customWidth="1"/>
    <col min="4" max="4" width="7.375" style="4" bestFit="1" customWidth="1"/>
    <col min="5" max="5" width="10.375" style="4" bestFit="1" customWidth="1"/>
    <col min="6" max="6" width="10" style="4" bestFit="1" customWidth="1"/>
    <col min="7" max="7" width="9" style="4" bestFit="1" customWidth="1"/>
    <col min="8" max="8" width="54.375" style="1" customWidth="1"/>
    <col min="9" max="9" width="43.125" style="1" customWidth="1"/>
    <col min="10" max="10" width="11.375" style="1" bestFit="1" customWidth="1"/>
    <col min="11" max="11" width="14.375" style="1" customWidth="1"/>
    <col min="12" max="13" width="27.375" style="1" customWidth="1"/>
    <col min="14" max="14" width="59.375" customWidth="1"/>
    <col min="15" max="15" width="8.875" style="300"/>
  </cols>
  <sheetData>
    <row r="1" spans="1:15" ht="50.45" customHeight="1" x14ac:dyDescent="0.15">
      <c r="A1" s="1103" t="s">
        <v>976</v>
      </c>
      <c r="B1" s="1104"/>
      <c r="C1" s="1105" t="s">
        <v>1679</v>
      </c>
      <c r="D1" s="1106"/>
      <c r="E1" s="1106"/>
      <c r="F1" s="1106"/>
      <c r="G1" s="1106"/>
      <c r="I1" s="15"/>
      <c r="J1" s="1106"/>
      <c r="K1" s="1107"/>
      <c r="L1" s="1108"/>
      <c r="M1" s="1109"/>
    </row>
    <row r="2" spans="1:15" x14ac:dyDescent="0.15">
      <c r="A2" s="1319" t="s">
        <v>982</v>
      </c>
      <c r="B2" s="1323" t="s">
        <v>983</v>
      </c>
      <c r="C2" s="1312"/>
      <c r="D2" s="1312"/>
      <c r="E2" s="1312"/>
      <c r="F2" s="1312"/>
      <c r="G2" s="1313"/>
      <c r="H2" s="1331" t="s">
        <v>984</v>
      </c>
      <c r="I2" s="1328" t="s">
        <v>985</v>
      </c>
      <c r="J2" s="1326" t="s">
        <v>986</v>
      </c>
      <c r="K2" s="1321" t="s">
        <v>987</v>
      </c>
      <c r="L2" s="1336" t="s">
        <v>1658</v>
      </c>
      <c r="M2" s="1337"/>
      <c r="N2" s="1333" t="s">
        <v>711</v>
      </c>
    </row>
    <row r="3" spans="1:15" ht="22.5" x14ac:dyDescent="0.15">
      <c r="A3" s="1320"/>
      <c r="B3" s="1093" t="s">
        <v>226</v>
      </c>
      <c r="C3" s="1093" t="s">
        <v>989</v>
      </c>
      <c r="D3" s="1092" t="s">
        <v>228</v>
      </c>
      <c r="E3" s="1092" t="s">
        <v>229</v>
      </c>
      <c r="F3" s="1093" t="s">
        <v>990</v>
      </c>
      <c r="G3" s="1092" t="s">
        <v>230</v>
      </c>
      <c r="H3" s="1332"/>
      <c r="I3" s="1329"/>
      <c r="J3" s="1327"/>
      <c r="K3" s="1330"/>
      <c r="L3" s="109" t="s">
        <v>1659</v>
      </c>
      <c r="M3" s="109" t="s">
        <v>992</v>
      </c>
      <c r="N3" s="1334"/>
    </row>
    <row r="4" spans="1:15" s="145" customFormat="1" ht="33.75" x14ac:dyDescent="0.15">
      <c r="A4" s="1110">
        <v>1</v>
      </c>
      <c r="B4" s="1111" t="s">
        <v>248</v>
      </c>
      <c r="C4" s="1112" t="s">
        <v>249</v>
      </c>
      <c r="D4" s="1113" t="s">
        <v>250</v>
      </c>
      <c r="E4" s="1113" t="s">
        <v>251</v>
      </c>
      <c r="F4" s="1113"/>
      <c r="G4" s="1113" t="s">
        <v>247</v>
      </c>
      <c r="H4" s="1114" t="s">
        <v>1016</v>
      </c>
      <c r="I4" s="129" t="s">
        <v>211</v>
      </c>
      <c r="J4" s="1113" t="s">
        <v>200</v>
      </c>
      <c r="K4" s="1115" t="s">
        <v>1017</v>
      </c>
      <c r="L4" s="129" t="s">
        <v>1018</v>
      </c>
      <c r="M4" s="129" t="s">
        <v>1018</v>
      </c>
      <c r="N4" s="1116"/>
      <c r="O4" s="301"/>
    </row>
    <row r="5" spans="1:15" s="16" customFormat="1" ht="90" x14ac:dyDescent="0.15">
      <c r="A5" s="166">
        <f>A4+1</f>
        <v>2</v>
      </c>
      <c r="B5" s="167" t="s">
        <v>244</v>
      </c>
      <c r="C5" s="168" t="s">
        <v>256</v>
      </c>
      <c r="D5" s="169" t="s">
        <v>246</v>
      </c>
      <c r="E5" s="169" t="s">
        <v>251</v>
      </c>
      <c r="F5" s="169"/>
      <c r="G5" s="169" t="s">
        <v>252</v>
      </c>
      <c r="H5" s="170" t="s">
        <v>1661</v>
      </c>
      <c r="I5" s="169" t="s">
        <v>211</v>
      </c>
      <c r="J5" s="169" t="s">
        <v>172</v>
      </c>
      <c r="K5" s="134" t="s">
        <v>1020</v>
      </c>
      <c r="L5" s="169" t="s">
        <v>1680</v>
      </c>
      <c r="M5" s="169" t="s">
        <v>1680</v>
      </c>
      <c r="N5" s="180"/>
      <c r="O5" s="302"/>
    </row>
    <row r="6" spans="1:15" s="16" customFormat="1" ht="22.5" x14ac:dyDescent="0.15">
      <c r="A6" s="171">
        <f t="shared" ref="A6:A69" si="0">A5+1</f>
        <v>3</v>
      </c>
      <c r="B6" s="253" t="s">
        <v>257</v>
      </c>
      <c r="C6" s="253" t="s">
        <v>258</v>
      </c>
      <c r="D6" s="174" t="s">
        <v>250</v>
      </c>
      <c r="E6" s="174" t="s">
        <v>251</v>
      </c>
      <c r="F6" s="174"/>
      <c r="G6" s="174" t="s">
        <v>252</v>
      </c>
      <c r="H6" s="173" t="s">
        <v>258</v>
      </c>
      <c r="I6" s="173" t="s">
        <v>1681</v>
      </c>
      <c r="J6" s="174" t="s">
        <v>172</v>
      </c>
      <c r="K6" s="134" t="s">
        <v>1020</v>
      </c>
      <c r="L6" s="174" t="s">
        <v>1674</v>
      </c>
      <c r="M6" s="174" t="s">
        <v>1674</v>
      </c>
      <c r="N6" s="181"/>
      <c r="O6" s="302"/>
    </row>
    <row r="7" spans="1:15" s="145" customFormat="1" ht="32.450000000000003" customHeight="1" x14ac:dyDescent="0.15">
      <c r="A7" s="146">
        <f t="shared" si="0"/>
        <v>4</v>
      </c>
      <c r="B7" s="147" t="s">
        <v>266</v>
      </c>
      <c r="C7" s="186" t="s">
        <v>267</v>
      </c>
      <c r="D7" s="132" t="s">
        <v>237</v>
      </c>
      <c r="E7" s="132">
        <v>12</v>
      </c>
      <c r="F7" s="132" t="s">
        <v>1005</v>
      </c>
      <c r="G7" s="132"/>
      <c r="H7" s="148" t="s">
        <v>1682</v>
      </c>
      <c r="I7" s="132" t="s">
        <v>211</v>
      </c>
      <c r="J7" s="132" t="s">
        <v>1381</v>
      </c>
      <c r="K7" s="132" t="s">
        <v>1017</v>
      </c>
      <c r="L7" s="132" t="s">
        <v>1069</v>
      </c>
      <c r="M7" s="132" t="s">
        <v>1069</v>
      </c>
      <c r="N7" s="187"/>
      <c r="O7" s="301"/>
    </row>
    <row r="8" spans="1:15" s="16" customFormat="1" ht="198.75" customHeight="1" x14ac:dyDescent="0.15">
      <c r="A8" s="171">
        <f t="shared" si="0"/>
        <v>5</v>
      </c>
      <c r="B8" s="253" t="s">
        <v>273</v>
      </c>
      <c r="C8" s="253" t="s">
        <v>274</v>
      </c>
      <c r="D8" s="174" t="s">
        <v>246</v>
      </c>
      <c r="E8" s="174" t="s">
        <v>251</v>
      </c>
      <c r="F8" s="174"/>
      <c r="G8" s="174"/>
      <c r="H8" s="173" t="s">
        <v>1683</v>
      </c>
      <c r="I8" s="173" t="s">
        <v>1684</v>
      </c>
      <c r="J8" s="174" t="s">
        <v>172</v>
      </c>
      <c r="K8" s="134" t="s">
        <v>1020</v>
      </c>
      <c r="L8" s="174" t="s">
        <v>1685</v>
      </c>
      <c r="M8" s="174" t="s">
        <v>1685</v>
      </c>
      <c r="N8" s="182"/>
      <c r="O8" s="302"/>
    </row>
    <row r="9" spans="1:15" s="16" customFormat="1" ht="33.75" x14ac:dyDescent="0.15">
      <c r="A9" s="171">
        <f t="shared" si="0"/>
        <v>6</v>
      </c>
      <c r="B9" s="254" t="s">
        <v>1686</v>
      </c>
      <c r="C9" s="254" t="s">
        <v>1687</v>
      </c>
      <c r="D9" s="174" t="s">
        <v>237</v>
      </c>
      <c r="E9" s="174">
        <v>24</v>
      </c>
      <c r="F9" s="174"/>
      <c r="G9" s="174"/>
      <c r="H9" s="173" t="s">
        <v>1688</v>
      </c>
      <c r="I9" s="173" t="s">
        <v>1689</v>
      </c>
      <c r="J9" s="174" t="s">
        <v>172</v>
      </c>
      <c r="K9" s="134" t="s">
        <v>1020</v>
      </c>
      <c r="L9" s="174" t="s">
        <v>1685</v>
      </c>
      <c r="M9" s="174" t="s">
        <v>1685</v>
      </c>
      <c r="N9" s="182"/>
      <c r="O9" s="302"/>
    </row>
    <row r="10" spans="1:15" s="16" customFormat="1" ht="33.75" x14ac:dyDescent="0.15">
      <c r="A10" s="171">
        <f t="shared" si="0"/>
        <v>7</v>
      </c>
      <c r="B10" s="695" t="s">
        <v>319</v>
      </c>
      <c r="C10" s="695" t="s">
        <v>1690</v>
      </c>
      <c r="D10" s="174" t="s">
        <v>237</v>
      </c>
      <c r="E10" s="174">
        <v>24</v>
      </c>
      <c r="F10" s="174" t="s">
        <v>1005</v>
      </c>
      <c r="G10" s="174"/>
      <c r="H10" s="173" t="s">
        <v>1691</v>
      </c>
      <c r="I10" s="173" t="s">
        <v>1692</v>
      </c>
      <c r="J10" s="174" t="s">
        <v>172</v>
      </c>
      <c r="K10" s="134" t="s">
        <v>1020</v>
      </c>
      <c r="L10" s="174" t="s">
        <v>1685</v>
      </c>
      <c r="M10" s="174" t="s">
        <v>1685</v>
      </c>
      <c r="N10" s="183"/>
      <c r="O10" s="302"/>
    </row>
    <row r="11" spans="1:15" s="16" customFormat="1" ht="276" customHeight="1" x14ac:dyDescent="0.15">
      <c r="A11" s="171">
        <f t="shared" si="0"/>
        <v>8</v>
      </c>
      <c r="B11" s="253" t="s">
        <v>324</v>
      </c>
      <c r="C11" s="253" t="s">
        <v>325</v>
      </c>
      <c r="D11" s="174" t="s">
        <v>246</v>
      </c>
      <c r="E11" s="174" t="s">
        <v>251</v>
      </c>
      <c r="F11" s="174"/>
      <c r="G11" s="174"/>
      <c r="H11" s="173" t="s">
        <v>1693</v>
      </c>
      <c r="I11" s="219" t="s">
        <v>1694</v>
      </c>
      <c r="J11" s="174" t="s">
        <v>172</v>
      </c>
      <c r="K11" s="134" t="s">
        <v>1020</v>
      </c>
      <c r="L11" s="174" t="s">
        <v>1695</v>
      </c>
      <c r="M11" s="174" t="s">
        <v>1695</v>
      </c>
      <c r="N11" s="183"/>
      <c r="O11" s="302"/>
    </row>
    <row r="12" spans="1:15" s="16" customFormat="1" ht="33.75" x14ac:dyDescent="0.15">
      <c r="A12" s="171">
        <f t="shared" si="0"/>
        <v>9</v>
      </c>
      <c r="B12" s="253" t="s">
        <v>329</v>
      </c>
      <c r="C12" s="253" t="s">
        <v>330</v>
      </c>
      <c r="D12" s="174" t="s">
        <v>250</v>
      </c>
      <c r="E12" s="174" t="s">
        <v>251</v>
      </c>
      <c r="F12" s="174" t="s">
        <v>1005</v>
      </c>
      <c r="G12" s="174"/>
      <c r="H12" s="173" t="s">
        <v>1696</v>
      </c>
      <c r="I12" s="173" t="s">
        <v>1697</v>
      </c>
      <c r="J12" s="174" t="s">
        <v>172</v>
      </c>
      <c r="K12" s="134" t="s">
        <v>1020</v>
      </c>
      <c r="L12" s="174" t="s">
        <v>1685</v>
      </c>
      <c r="M12" s="174" t="s">
        <v>1685</v>
      </c>
      <c r="N12" s="182"/>
      <c r="O12" s="302"/>
    </row>
    <row r="13" spans="1:15" s="145" customFormat="1" ht="22.5" x14ac:dyDescent="0.15">
      <c r="A13" s="146">
        <f t="shared" si="0"/>
        <v>10</v>
      </c>
      <c r="B13" s="186" t="s">
        <v>333</v>
      </c>
      <c r="C13" s="186" t="s">
        <v>334</v>
      </c>
      <c r="D13" s="132" t="s">
        <v>250</v>
      </c>
      <c r="E13" s="132" t="s">
        <v>251</v>
      </c>
      <c r="F13" s="132" t="s">
        <v>1005</v>
      </c>
      <c r="G13" s="132"/>
      <c r="H13" s="148" t="s">
        <v>1698</v>
      </c>
      <c r="I13" s="132" t="s">
        <v>211</v>
      </c>
      <c r="J13" s="132" t="s">
        <v>1381</v>
      </c>
      <c r="K13" s="132" t="s">
        <v>1017</v>
      </c>
      <c r="L13" s="132" t="s">
        <v>1080</v>
      </c>
      <c r="M13" s="132" t="s">
        <v>1080</v>
      </c>
      <c r="N13" s="149" t="s">
        <v>1699</v>
      </c>
      <c r="O13" s="301"/>
    </row>
    <row r="14" spans="1:15" s="16" customFormat="1" x14ac:dyDescent="0.15">
      <c r="A14" s="171">
        <f t="shared" si="0"/>
        <v>11</v>
      </c>
      <c r="B14" s="173" t="s">
        <v>337</v>
      </c>
      <c r="C14" s="173" t="s">
        <v>338</v>
      </c>
      <c r="D14" s="174" t="s">
        <v>278</v>
      </c>
      <c r="E14" s="174" t="s">
        <v>251</v>
      </c>
      <c r="F14" s="174"/>
      <c r="G14" s="174"/>
      <c r="H14" s="175" t="s">
        <v>1700</v>
      </c>
      <c r="I14" s="174" t="s">
        <v>211</v>
      </c>
      <c r="J14" s="174" t="s">
        <v>172</v>
      </c>
      <c r="K14" s="134" t="s">
        <v>1020</v>
      </c>
      <c r="L14" s="174" t="s">
        <v>1701</v>
      </c>
      <c r="M14" s="174" t="s">
        <v>1701</v>
      </c>
      <c r="N14" s="183"/>
      <c r="O14" s="302"/>
    </row>
    <row r="15" spans="1:15" s="145" customFormat="1" ht="22.5" x14ac:dyDescent="0.15">
      <c r="A15" s="146">
        <f t="shared" si="0"/>
        <v>12</v>
      </c>
      <c r="B15" s="186" t="s">
        <v>341</v>
      </c>
      <c r="C15" s="186" t="s">
        <v>342</v>
      </c>
      <c r="D15" s="132" t="s">
        <v>237</v>
      </c>
      <c r="E15" s="132">
        <v>4</v>
      </c>
      <c r="F15" s="132" t="s">
        <v>1005</v>
      </c>
      <c r="G15" s="132"/>
      <c r="H15" s="148" t="s">
        <v>1702</v>
      </c>
      <c r="I15" s="132" t="s">
        <v>211</v>
      </c>
      <c r="J15" s="132" t="s">
        <v>1381</v>
      </c>
      <c r="K15" s="132" t="s">
        <v>1017</v>
      </c>
      <c r="L15" s="132" t="s">
        <v>1080</v>
      </c>
      <c r="M15" s="132" t="s">
        <v>1080</v>
      </c>
      <c r="N15" s="149" t="s">
        <v>1699</v>
      </c>
      <c r="O15" s="301"/>
    </row>
    <row r="16" spans="1:15" s="145" customFormat="1" ht="22.5" x14ac:dyDescent="0.15">
      <c r="A16" s="146">
        <f t="shared" si="0"/>
        <v>13</v>
      </c>
      <c r="B16" s="186" t="s">
        <v>345</v>
      </c>
      <c r="C16" s="186" t="s">
        <v>346</v>
      </c>
      <c r="D16" s="132" t="s">
        <v>246</v>
      </c>
      <c r="E16" s="132" t="s">
        <v>251</v>
      </c>
      <c r="F16" s="132"/>
      <c r="G16" s="132"/>
      <c r="H16" s="148" t="s">
        <v>1703</v>
      </c>
      <c r="I16" s="132" t="s">
        <v>211</v>
      </c>
      <c r="J16" s="132" t="s">
        <v>1381</v>
      </c>
      <c r="K16" s="132" t="s">
        <v>1017</v>
      </c>
      <c r="L16" s="132" t="s">
        <v>1080</v>
      </c>
      <c r="M16" s="132" t="s">
        <v>1080</v>
      </c>
      <c r="N16" s="149" t="s">
        <v>1699</v>
      </c>
      <c r="O16" s="301"/>
    </row>
    <row r="17" spans="1:15" s="16" customFormat="1" ht="33.75" x14ac:dyDescent="0.15">
      <c r="A17" s="171">
        <f t="shared" si="0"/>
        <v>14</v>
      </c>
      <c r="B17" s="253" t="s">
        <v>350</v>
      </c>
      <c r="C17" s="253" t="s">
        <v>351</v>
      </c>
      <c r="D17" s="174" t="s">
        <v>355</v>
      </c>
      <c r="E17" s="174" t="s">
        <v>251</v>
      </c>
      <c r="F17" s="174"/>
      <c r="G17" s="174"/>
      <c r="H17" s="173" t="s">
        <v>1704</v>
      </c>
      <c r="I17" s="179" t="s">
        <v>1705</v>
      </c>
      <c r="J17" s="174" t="s">
        <v>172</v>
      </c>
      <c r="K17" s="134" t="s">
        <v>1020</v>
      </c>
      <c r="L17" s="174" t="s">
        <v>1706</v>
      </c>
      <c r="M17" s="174" t="s">
        <v>1706</v>
      </c>
      <c r="N17" s="183"/>
      <c r="O17" s="302"/>
    </row>
    <row r="18" spans="1:15" s="16" customFormat="1" ht="45" x14ac:dyDescent="0.15">
      <c r="A18" s="171">
        <f t="shared" si="0"/>
        <v>15</v>
      </c>
      <c r="B18" s="253" t="s">
        <v>356</v>
      </c>
      <c r="C18" s="253" t="s">
        <v>357</v>
      </c>
      <c r="D18" s="174" t="s">
        <v>355</v>
      </c>
      <c r="E18" s="174" t="s">
        <v>251</v>
      </c>
      <c r="F18" s="174" t="s">
        <v>1005</v>
      </c>
      <c r="G18" s="174"/>
      <c r="H18" s="173" t="s">
        <v>1707</v>
      </c>
      <c r="I18" s="173" t="s">
        <v>1708</v>
      </c>
      <c r="J18" s="174" t="s">
        <v>172</v>
      </c>
      <c r="K18" s="134" t="s">
        <v>1020</v>
      </c>
      <c r="L18" s="337" t="s">
        <v>1709</v>
      </c>
      <c r="M18" s="337" t="s">
        <v>1709</v>
      </c>
      <c r="N18" s="182"/>
      <c r="O18" s="297" t="s">
        <v>1040</v>
      </c>
    </row>
    <row r="19" spans="1:15" s="16" customFormat="1" ht="50.45" customHeight="1" x14ac:dyDescent="0.15">
      <c r="A19" s="171">
        <f t="shared" si="0"/>
        <v>16</v>
      </c>
      <c r="B19" s="253" t="s">
        <v>358</v>
      </c>
      <c r="C19" s="253" t="s">
        <v>1710</v>
      </c>
      <c r="D19" s="174" t="s">
        <v>355</v>
      </c>
      <c r="E19" s="174" t="s">
        <v>251</v>
      </c>
      <c r="F19" s="174"/>
      <c r="G19" s="174"/>
      <c r="H19" s="173"/>
      <c r="I19" s="179" t="s">
        <v>1711</v>
      </c>
      <c r="J19" s="174" t="s">
        <v>172</v>
      </c>
      <c r="K19" s="134" t="s">
        <v>1020</v>
      </c>
      <c r="L19" s="174" t="s">
        <v>1712</v>
      </c>
      <c r="M19" s="174" t="s">
        <v>1712</v>
      </c>
      <c r="N19" s="183"/>
      <c r="O19" s="302"/>
    </row>
    <row r="20" spans="1:15" s="16" customFormat="1" ht="56.25" x14ac:dyDescent="0.15">
      <c r="A20" s="171">
        <f t="shared" si="0"/>
        <v>17</v>
      </c>
      <c r="B20" s="173" t="s">
        <v>361</v>
      </c>
      <c r="C20" s="173" t="s">
        <v>362</v>
      </c>
      <c r="D20" s="174" t="s">
        <v>246</v>
      </c>
      <c r="E20" s="174" t="s">
        <v>251</v>
      </c>
      <c r="F20" s="174"/>
      <c r="G20" s="174"/>
      <c r="H20" s="175" t="s">
        <v>1713</v>
      </c>
      <c r="I20" s="174" t="s">
        <v>211</v>
      </c>
      <c r="J20" s="174" t="s">
        <v>172</v>
      </c>
      <c r="K20" s="134" t="s">
        <v>1020</v>
      </c>
      <c r="L20" s="174" t="s">
        <v>1714</v>
      </c>
      <c r="M20" s="174" t="s">
        <v>1714</v>
      </c>
      <c r="N20" s="183"/>
      <c r="O20" s="302"/>
    </row>
    <row r="21" spans="1:15" s="145" customFormat="1" ht="22.5" x14ac:dyDescent="0.15">
      <c r="A21" s="146">
        <f t="shared" si="0"/>
        <v>18</v>
      </c>
      <c r="B21" s="186" t="s">
        <v>365</v>
      </c>
      <c r="C21" s="186" t="s">
        <v>366</v>
      </c>
      <c r="D21" s="132" t="s">
        <v>237</v>
      </c>
      <c r="E21" s="132">
        <v>12</v>
      </c>
      <c r="F21" s="132" t="s">
        <v>1005</v>
      </c>
      <c r="G21" s="132"/>
      <c r="H21" s="148" t="s">
        <v>1715</v>
      </c>
      <c r="I21" s="132" t="s">
        <v>211</v>
      </c>
      <c r="J21" s="132" t="s">
        <v>1381</v>
      </c>
      <c r="K21" s="132" t="s">
        <v>1017</v>
      </c>
      <c r="L21" s="132" t="s">
        <v>1080</v>
      </c>
      <c r="M21" s="132" t="s">
        <v>1080</v>
      </c>
      <c r="N21" s="149" t="s">
        <v>1699</v>
      </c>
      <c r="O21" s="301"/>
    </row>
    <row r="22" spans="1:15" s="145" customFormat="1" ht="22.5" x14ac:dyDescent="0.15">
      <c r="A22" s="146">
        <f t="shared" si="0"/>
        <v>19</v>
      </c>
      <c r="B22" s="186" t="s">
        <v>1716</v>
      </c>
      <c r="C22" s="186" t="s">
        <v>1717</v>
      </c>
      <c r="D22" s="132" t="s">
        <v>246</v>
      </c>
      <c r="E22" s="132" t="s">
        <v>251</v>
      </c>
      <c r="F22" s="132"/>
      <c r="G22" s="132"/>
      <c r="H22" s="148" t="s">
        <v>1718</v>
      </c>
      <c r="I22" s="132" t="s">
        <v>211</v>
      </c>
      <c r="J22" s="132" t="s">
        <v>1381</v>
      </c>
      <c r="K22" s="132" t="s">
        <v>1017</v>
      </c>
      <c r="L22" s="132" t="s">
        <v>1080</v>
      </c>
      <c r="M22" s="132" t="s">
        <v>1080</v>
      </c>
      <c r="N22" s="149" t="s">
        <v>1699</v>
      </c>
      <c r="O22" s="301"/>
    </row>
    <row r="23" spans="1:15" s="145" customFormat="1" ht="22.5" x14ac:dyDescent="0.15">
      <c r="A23" s="146">
        <f t="shared" si="0"/>
        <v>20</v>
      </c>
      <c r="B23" s="186" t="s">
        <v>290</v>
      </c>
      <c r="C23" s="186" t="s">
        <v>291</v>
      </c>
      <c r="D23" s="132" t="s">
        <v>246</v>
      </c>
      <c r="E23" s="132" t="s">
        <v>251</v>
      </c>
      <c r="F23" s="132"/>
      <c r="G23" s="132"/>
      <c r="H23" s="148" t="s">
        <v>1719</v>
      </c>
      <c r="I23" s="132" t="s">
        <v>211</v>
      </c>
      <c r="J23" s="132" t="s">
        <v>1381</v>
      </c>
      <c r="K23" s="132" t="s">
        <v>1017</v>
      </c>
      <c r="L23" s="132" t="s">
        <v>1080</v>
      </c>
      <c r="M23" s="132" t="s">
        <v>1080</v>
      </c>
      <c r="N23" s="188" t="s">
        <v>1720</v>
      </c>
      <c r="O23" s="301"/>
    </row>
    <row r="24" spans="1:15" s="145" customFormat="1" ht="22.5" x14ac:dyDescent="0.15">
      <c r="A24" s="146">
        <f t="shared" si="0"/>
        <v>21</v>
      </c>
      <c r="B24" s="186" t="s">
        <v>309</v>
      </c>
      <c r="C24" s="186" t="s">
        <v>1721</v>
      </c>
      <c r="D24" s="132" t="s">
        <v>237</v>
      </c>
      <c r="E24" s="132">
        <v>6</v>
      </c>
      <c r="F24" s="132"/>
      <c r="G24" s="132"/>
      <c r="H24" s="148" t="s">
        <v>1722</v>
      </c>
      <c r="I24" s="132" t="s">
        <v>211</v>
      </c>
      <c r="J24" s="132" t="s">
        <v>1381</v>
      </c>
      <c r="K24" s="132" t="s">
        <v>1017</v>
      </c>
      <c r="L24" s="132" t="s">
        <v>1080</v>
      </c>
      <c r="M24" s="132" t="s">
        <v>1080</v>
      </c>
      <c r="N24" s="149" t="s">
        <v>1699</v>
      </c>
      <c r="O24" s="301"/>
    </row>
    <row r="25" spans="1:15" s="145" customFormat="1" ht="67.900000000000006" customHeight="1" x14ac:dyDescent="0.15">
      <c r="A25" s="146">
        <f t="shared" si="0"/>
        <v>22</v>
      </c>
      <c r="B25" s="186" t="s">
        <v>1723</v>
      </c>
      <c r="C25" s="186" t="s">
        <v>1724</v>
      </c>
      <c r="D25" s="132" t="s">
        <v>246</v>
      </c>
      <c r="E25" s="132" t="s">
        <v>251</v>
      </c>
      <c r="F25" s="132"/>
      <c r="G25" s="132"/>
      <c r="H25" s="148" t="s">
        <v>1725</v>
      </c>
      <c r="I25" s="132" t="s">
        <v>211</v>
      </c>
      <c r="J25" s="132" t="s">
        <v>1381</v>
      </c>
      <c r="K25" s="132" t="s">
        <v>1017</v>
      </c>
      <c r="L25" s="132" t="s">
        <v>1080</v>
      </c>
      <c r="M25" s="132" t="s">
        <v>1080</v>
      </c>
      <c r="N25" s="149" t="s">
        <v>1726</v>
      </c>
      <c r="O25" s="301"/>
    </row>
    <row r="26" spans="1:15" s="145" customFormat="1" ht="22.5" x14ac:dyDescent="0.15">
      <c r="A26" s="146">
        <f t="shared" si="0"/>
        <v>23</v>
      </c>
      <c r="B26" s="186" t="s">
        <v>1727</v>
      </c>
      <c r="C26" s="186" t="s">
        <v>1728</v>
      </c>
      <c r="D26" s="132" t="s">
        <v>246</v>
      </c>
      <c r="E26" s="132" t="s">
        <v>251</v>
      </c>
      <c r="F26" s="132"/>
      <c r="G26" s="132"/>
      <c r="H26" s="148" t="s">
        <v>1729</v>
      </c>
      <c r="I26" s="132" t="s">
        <v>211</v>
      </c>
      <c r="J26" s="132" t="s">
        <v>1381</v>
      </c>
      <c r="K26" s="132" t="s">
        <v>1017</v>
      </c>
      <c r="L26" s="132" t="s">
        <v>1080</v>
      </c>
      <c r="M26" s="132" t="s">
        <v>1080</v>
      </c>
      <c r="N26" s="149" t="s">
        <v>1699</v>
      </c>
      <c r="O26" s="301"/>
    </row>
    <row r="27" spans="1:15" s="145" customFormat="1" ht="22.5" x14ac:dyDescent="0.15">
      <c r="A27" s="146">
        <f t="shared" si="0"/>
        <v>24</v>
      </c>
      <c r="B27" s="186" t="s">
        <v>1730</v>
      </c>
      <c r="C27" s="186" t="s">
        <v>1731</v>
      </c>
      <c r="D27" s="132" t="s">
        <v>246</v>
      </c>
      <c r="E27" s="132" t="s">
        <v>251</v>
      </c>
      <c r="F27" s="132"/>
      <c r="G27" s="132"/>
      <c r="H27" s="148" t="s">
        <v>1732</v>
      </c>
      <c r="I27" s="132" t="s">
        <v>211</v>
      </c>
      <c r="J27" s="132" t="s">
        <v>1381</v>
      </c>
      <c r="K27" s="132" t="s">
        <v>1017</v>
      </c>
      <c r="L27" s="132" t="s">
        <v>1080</v>
      </c>
      <c r="M27" s="132" t="s">
        <v>1080</v>
      </c>
      <c r="N27" s="149" t="s">
        <v>1699</v>
      </c>
      <c r="O27" s="301"/>
    </row>
    <row r="28" spans="1:15" s="16" customFormat="1" ht="45" x14ac:dyDescent="0.15">
      <c r="A28" s="171">
        <f t="shared" si="0"/>
        <v>25</v>
      </c>
      <c r="B28" s="173" t="s">
        <v>1733</v>
      </c>
      <c r="C28" s="173" t="s">
        <v>1734</v>
      </c>
      <c r="D28" s="174" t="s">
        <v>302</v>
      </c>
      <c r="E28" s="174" t="s">
        <v>251</v>
      </c>
      <c r="F28" s="174"/>
      <c r="G28" s="174"/>
      <c r="H28" s="175" t="s">
        <v>1735</v>
      </c>
      <c r="I28" s="174" t="s">
        <v>211</v>
      </c>
      <c r="J28" s="174" t="s">
        <v>172</v>
      </c>
      <c r="K28" s="134" t="s">
        <v>1007</v>
      </c>
      <c r="L28" s="174" t="s">
        <v>1050</v>
      </c>
      <c r="M28" s="174" t="s">
        <v>1050</v>
      </c>
      <c r="N28" s="251" t="s">
        <v>1051</v>
      </c>
      <c r="O28" s="302"/>
    </row>
    <row r="29" spans="1:15" s="145" customFormat="1" ht="33.75" x14ac:dyDescent="0.15">
      <c r="A29" s="146">
        <f t="shared" si="0"/>
        <v>26</v>
      </c>
      <c r="B29" s="186" t="s">
        <v>1736</v>
      </c>
      <c r="C29" s="186" t="s">
        <v>1737</v>
      </c>
      <c r="D29" s="132" t="s">
        <v>246</v>
      </c>
      <c r="E29" s="132" t="s">
        <v>251</v>
      </c>
      <c r="F29" s="132" t="s">
        <v>1005</v>
      </c>
      <c r="G29" s="132"/>
      <c r="H29" s="148" t="s">
        <v>1738</v>
      </c>
      <c r="I29" s="132" t="s">
        <v>211</v>
      </c>
      <c r="J29" s="132" t="s">
        <v>1381</v>
      </c>
      <c r="K29" s="132" t="s">
        <v>1017</v>
      </c>
      <c r="L29" s="132" t="s">
        <v>1018</v>
      </c>
      <c r="M29" s="132" t="s">
        <v>1018</v>
      </c>
      <c r="N29" s="189"/>
      <c r="O29" s="301"/>
    </row>
    <row r="30" spans="1:15" s="145" customFormat="1" ht="22.5" x14ac:dyDescent="0.15">
      <c r="A30" s="146">
        <f t="shared" si="0"/>
        <v>27</v>
      </c>
      <c r="B30" s="186" t="s">
        <v>1739</v>
      </c>
      <c r="C30" s="186" t="s">
        <v>1740</v>
      </c>
      <c r="D30" s="132" t="s">
        <v>246</v>
      </c>
      <c r="E30" s="152"/>
      <c r="F30" s="132" t="s">
        <v>1005</v>
      </c>
      <c r="G30" s="152"/>
      <c r="H30" s="148" t="s">
        <v>1741</v>
      </c>
      <c r="I30" s="132" t="s">
        <v>211</v>
      </c>
      <c r="J30" s="132" t="s">
        <v>1381</v>
      </c>
      <c r="K30" s="132" t="s">
        <v>1017</v>
      </c>
      <c r="L30" s="132" t="s">
        <v>1080</v>
      </c>
      <c r="M30" s="132" t="s">
        <v>1080</v>
      </c>
      <c r="N30" s="149" t="s">
        <v>1699</v>
      </c>
      <c r="O30" s="301"/>
    </row>
    <row r="31" spans="1:15" s="145" customFormat="1" ht="56.25" x14ac:dyDescent="0.15">
      <c r="A31" s="146">
        <f t="shared" si="0"/>
        <v>28</v>
      </c>
      <c r="B31" s="186" t="s">
        <v>1742</v>
      </c>
      <c r="C31" s="186" t="s">
        <v>1743</v>
      </c>
      <c r="D31" s="132" t="s">
        <v>246</v>
      </c>
      <c r="E31" s="152"/>
      <c r="F31" s="132" t="s">
        <v>1005</v>
      </c>
      <c r="G31" s="152"/>
      <c r="H31" s="148" t="s">
        <v>1744</v>
      </c>
      <c r="I31" s="132" t="s">
        <v>211</v>
      </c>
      <c r="J31" s="132" t="s">
        <v>1381</v>
      </c>
      <c r="K31" s="132" t="s">
        <v>1017</v>
      </c>
      <c r="L31" s="132" t="s">
        <v>1080</v>
      </c>
      <c r="M31" s="132" t="s">
        <v>1080</v>
      </c>
      <c r="N31" s="149" t="s">
        <v>1699</v>
      </c>
      <c r="O31" s="301"/>
    </row>
    <row r="32" spans="1:15" s="145" customFormat="1" ht="22.5" x14ac:dyDescent="0.15">
      <c r="A32" s="146">
        <f t="shared" si="0"/>
        <v>29</v>
      </c>
      <c r="B32" s="186" t="s">
        <v>1745</v>
      </c>
      <c r="C32" s="186" t="s">
        <v>1746</v>
      </c>
      <c r="D32" s="132" t="s">
        <v>250</v>
      </c>
      <c r="E32" s="132"/>
      <c r="F32" s="132" t="s">
        <v>1005</v>
      </c>
      <c r="G32" s="132"/>
      <c r="H32" s="147" t="s">
        <v>1746</v>
      </c>
      <c r="I32" s="132" t="s">
        <v>211</v>
      </c>
      <c r="J32" s="132" t="s">
        <v>1381</v>
      </c>
      <c r="K32" s="132" t="s">
        <v>1017</v>
      </c>
      <c r="L32" s="132" t="s">
        <v>1080</v>
      </c>
      <c r="M32" s="132" t="s">
        <v>1080</v>
      </c>
      <c r="N32" s="149" t="s">
        <v>1699</v>
      </c>
      <c r="O32" s="301"/>
    </row>
    <row r="33" spans="1:15" s="16" customFormat="1" ht="22.5" x14ac:dyDescent="0.15">
      <c r="A33" s="171">
        <f t="shared" si="0"/>
        <v>30</v>
      </c>
      <c r="B33" s="253" t="s">
        <v>1747</v>
      </c>
      <c r="C33" s="253" t="s">
        <v>1748</v>
      </c>
      <c r="D33" s="174" t="s">
        <v>250</v>
      </c>
      <c r="E33" s="174"/>
      <c r="F33" s="174" t="s">
        <v>1005</v>
      </c>
      <c r="G33" s="174"/>
      <c r="H33" s="173" t="s">
        <v>1749</v>
      </c>
      <c r="I33" s="173" t="s">
        <v>458</v>
      </c>
      <c r="J33" s="174" t="s">
        <v>172</v>
      </c>
      <c r="K33" s="134" t="s">
        <v>1750</v>
      </c>
      <c r="L33" s="174" t="s">
        <v>1674</v>
      </c>
      <c r="M33" s="174" t="s">
        <v>1674</v>
      </c>
      <c r="N33" s="184"/>
      <c r="O33" s="302"/>
    </row>
    <row r="34" spans="1:15" s="16" customFormat="1" ht="79.900000000000006" customHeight="1" x14ac:dyDescent="0.15">
      <c r="A34" s="171">
        <f t="shared" si="0"/>
        <v>31</v>
      </c>
      <c r="B34" s="253" t="s">
        <v>1751</v>
      </c>
      <c r="C34" s="253" t="s">
        <v>1752</v>
      </c>
      <c r="D34" s="174" t="s">
        <v>355</v>
      </c>
      <c r="E34" s="174"/>
      <c r="F34" s="174" t="s">
        <v>1005</v>
      </c>
      <c r="G34" s="174"/>
      <c r="H34" s="173" t="s">
        <v>1753</v>
      </c>
      <c r="I34" s="219" t="s">
        <v>1754</v>
      </c>
      <c r="J34" s="174" t="s">
        <v>172</v>
      </c>
      <c r="K34" s="134" t="s">
        <v>1020</v>
      </c>
      <c r="L34" s="174" t="s">
        <v>1755</v>
      </c>
      <c r="M34" s="174" t="s">
        <v>1755</v>
      </c>
      <c r="N34" s="183"/>
      <c r="O34" s="302"/>
    </row>
    <row r="35" spans="1:15" s="16" customFormat="1" ht="97.9" customHeight="1" x14ac:dyDescent="0.15">
      <c r="A35" s="171">
        <f t="shared" si="0"/>
        <v>32</v>
      </c>
      <c r="B35" s="694" t="s">
        <v>370</v>
      </c>
      <c r="C35" s="694" t="s">
        <v>371</v>
      </c>
      <c r="D35" s="174" t="s">
        <v>237</v>
      </c>
      <c r="E35" s="174">
        <v>75</v>
      </c>
      <c r="F35" s="174" t="s">
        <v>1005</v>
      </c>
      <c r="G35" s="174"/>
      <c r="H35" s="175" t="s">
        <v>1756</v>
      </c>
      <c r="I35" s="174" t="s">
        <v>211</v>
      </c>
      <c r="J35" s="174" t="s">
        <v>172</v>
      </c>
      <c r="K35" s="134" t="s">
        <v>1020</v>
      </c>
      <c r="L35" s="174" t="s">
        <v>1757</v>
      </c>
      <c r="M35" s="174" t="s">
        <v>1757</v>
      </c>
      <c r="N35" s="183"/>
      <c r="O35" s="297" t="s">
        <v>1758</v>
      </c>
    </row>
    <row r="36" spans="1:15" s="145" customFormat="1" ht="22.5" x14ac:dyDescent="0.15">
      <c r="A36" s="146">
        <f t="shared" si="0"/>
        <v>33</v>
      </c>
      <c r="B36" s="186" t="s">
        <v>1759</v>
      </c>
      <c r="C36" s="186" t="s">
        <v>1760</v>
      </c>
      <c r="D36" s="132" t="s">
        <v>355</v>
      </c>
      <c r="E36" s="132"/>
      <c r="F36" s="132" t="s">
        <v>1005</v>
      </c>
      <c r="G36" s="132"/>
      <c r="H36" s="148" t="s">
        <v>1761</v>
      </c>
      <c r="I36" s="132" t="s">
        <v>211</v>
      </c>
      <c r="J36" s="132" t="s">
        <v>1381</v>
      </c>
      <c r="K36" s="132" t="s">
        <v>1017</v>
      </c>
      <c r="L36" s="132" t="s">
        <v>1080</v>
      </c>
      <c r="M36" s="132" t="s">
        <v>1080</v>
      </c>
      <c r="N36" s="149" t="s">
        <v>1762</v>
      </c>
      <c r="O36" s="301"/>
    </row>
    <row r="37" spans="1:15" s="16" customFormat="1" ht="33.75" x14ac:dyDescent="0.15">
      <c r="A37" s="171">
        <f t="shared" si="0"/>
        <v>34</v>
      </c>
      <c r="B37" s="253" t="s">
        <v>1763</v>
      </c>
      <c r="C37" s="253" t="s">
        <v>1764</v>
      </c>
      <c r="D37" s="174" t="s">
        <v>237</v>
      </c>
      <c r="E37" s="174">
        <v>12</v>
      </c>
      <c r="F37" s="174" t="s">
        <v>1005</v>
      </c>
      <c r="G37" s="174"/>
      <c r="H37" s="173"/>
      <c r="I37" s="173" t="s">
        <v>1765</v>
      </c>
      <c r="J37" s="174" t="s">
        <v>172</v>
      </c>
      <c r="K37" s="134" t="s">
        <v>1020</v>
      </c>
      <c r="L37" s="174" t="s">
        <v>1766</v>
      </c>
      <c r="M37" s="174" t="s">
        <v>1766</v>
      </c>
      <c r="N37" s="183"/>
      <c r="O37" s="302"/>
    </row>
    <row r="38" spans="1:15" s="145" customFormat="1" ht="22.5" x14ac:dyDescent="0.15">
      <c r="A38" s="146">
        <f t="shared" si="0"/>
        <v>35</v>
      </c>
      <c r="B38" s="186" t="s">
        <v>1767</v>
      </c>
      <c r="C38" s="186"/>
      <c r="D38" s="132" t="s">
        <v>246</v>
      </c>
      <c r="E38" s="132"/>
      <c r="F38" s="132" t="s">
        <v>1005</v>
      </c>
      <c r="G38" s="132"/>
      <c r="H38" s="148" t="s">
        <v>1768</v>
      </c>
      <c r="I38" s="132" t="s">
        <v>211</v>
      </c>
      <c r="J38" s="132" t="s">
        <v>1381</v>
      </c>
      <c r="K38" s="132" t="s">
        <v>1017</v>
      </c>
      <c r="L38" s="132" t="s">
        <v>1080</v>
      </c>
      <c r="M38" s="132" t="s">
        <v>1080</v>
      </c>
      <c r="N38" s="149" t="s">
        <v>1699</v>
      </c>
      <c r="O38" s="301"/>
    </row>
    <row r="39" spans="1:15" s="145" customFormat="1" ht="22.5" x14ac:dyDescent="0.15">
      <c r="A39" s="146">
        <f t="shared" si="0"/>
        <v>36</v>
      </c>
      <c r="B39" s="186" t="s">
        <v>1769</v>
      </c>
      <c r="C39" s="186"/>
      <c r="D39" s="132" t="s">
        <v>355</v>
      </c>
      <c r="E39" s="132"/>
      <c r="F39" s="132" t="s">
        <v>1005</v>
      </c>
      <c r="G39" s="132"/>
      <c r="H39" s="148" t="s">
        <v>1770</v>
      </c>
      <c r="I39" s="132" t="s">
        <v>211</v>
      </c>
      <c r="J39" s="132" t="s">
        <v>1381</v>
      </c>
      <c r="K39" s="132" t="s">
        <v>1017</v>
      </c>
      <c r="L39" s="132" t="s">
        <v>1080</v>
      </c>
      <c r="M39" s="132" t="s">
        <v>1080</v>
      </c>
      <c r="N39" s="149" t="s">
        <v>1699</v>
      </c>
      <c r="O39" s="301"/>
    </row>
    <row r="40" spans="1:15" s="145" customFormat="1" ht="22.5" x14ac:dyDescent="0.15">
      <c r="A40" s="146">
        <f t="shared" si="0"/>
        <v>37</v>
      </c>
      <c r="B40" s="186" t="s">
        <v>1771</v>
      </c>
      <c r="C40" s="186"/>
      <c r="D40" s="132" t="s">
        <v>246</v>
      </c>
      <c r="E40" s="132"/>
      <c r="F40" s="132" t="s">
        <v>1005</v>
      </c>
      <c r="G40" s="132"/>
      <c r="H40" s="148" t="s">
        <v>1772</v>
      </c>
      <c r="I40" s="132" t="s">
        <v>211</v>
      </c>
      <c r="J40" s="132" t="s">
        <v>1381</v>
      </c>
      <c r="K40" s="132" t="s">
        <v>1017</v>
      </c>
      <c r="L40" s="132" t="s">
        <v>1080</v>
      </c>
      <c r="M40" s="132" t="s">
        <v>1080</v>
      </c>
      <c r="N40" s="149" t="s">
        <v>1699</v>
      </c>
      <c r="O40" s="301"/>
    </row>
    <row r="41" spans="1:15" s="16" customFormat="1" ht="33.75" x14ac:dyDescent="0.15">
      <c r="A41" s="171">
        <f t="shared" si="0"/>
        <v>38</v>
      </c>
      <c r="B41" s="253" t="s">
        <v>1773</v>
      </c>
      <c r="C41" s="253" t="s">
        <v>1774</v>
      </c>
      <c r="D41" s="174" t="s">
        <v>246</v>
      </c>
      <c r="E41" s="174"/>
      <c r="F41" s="174" t="s">
        <v>1005</v>
      </c>
      <c r="G41" s="174"/>
      <c r="H41" s="356" t="s">
        <v>1775</v>
      </c>
      <c r="I41" s="356" t="s">
        <v>1776</v>
      </c>
      <c r="J41" s="174" t="s">
        <v>172</v>
      </c>
      <c r="K41" s="134" t="s">
        <v>1007</v>
      </c>
      <c r="L41" s="174" t="s">
        <v>1777</v>
      </c>
      <c r="M41" s="174" t="s">
        <v>1777</v>
      </c>
      <c r="N41" s="183" t="s">
        <v>1778</v>
      </c>
      <c r="O41" s="297" t="s">
        <v>1139</v>
      </c>
    </row>
    <row r="42" spans="1:15" s="145" customFormat="1" ht="22.5" x14ac:dyDescent="0.15">
      <c r="A42" s="146">
        <f t="shared" si="0"/>
        <v>39</v>
      </c>
      <c r="B42" s="186" t="s">
        <v>1779</v>
      </c>
      <c r="C42" s="186"/>
      <c r="D42" s="132" t="s">
        <v>246</v>
      </c>
      <c r="E42" s="132"/>
      <c r="F42" s="132" t="s">
        <v>1005</v>
      </c>
      <c r="G42" s="132"/>
      <c r="H42" s="148" t="s">
        <v>1780</v>
      </c>
      <c r="I42" s="132" t="s">
        <v>211</v>
      </c>
      <c r="J42" s="132" t="s">
        <v>1381</v>
      </c>
      <c r="K42" s="132" t="s">
        <v>1017</v>
      </c>
      <c r="L42" s="132" t="s">
        <v>1080</v>
      </c>
      <c r="M42" s="132" t="s">
        <v>1080</v>
      </c>
      <c r="N42" s="149" t="s">
        <v>1699</v>
      </c>
      <c r="O42" s="301"/>
    </row>
    <row r="43" spans="1:15" s="145" customFormat="1" ht="22.5" x14ac:dyDescent="0.15">
      <c r="A43" s="309">
        <f t="shared" si="0"/>
        <v>40</v>
      </c>
      <c r="B43" s="311" t="s">
        <v>1781</v>
      </c>
      <c r="C43" s="312" t="s">
        <v>1782</v>
      </c>
      <c r="D43" s="310" t="s">
        <v>278</v>
      </c>
      <c r="E43" s="310"/>
      <c r="F43" s="310" t="s">
        <v>1005</v>
      </c>
      <c r="G43" s="310"/>
      <c r="H43" s="308" t="s">
        <v>1783</v>
      </c>
      <c r="I43" s="310" t="s">
        <v>211</v>
      </c>
      <c r="J43" s="310" t="s">
        <v>1381</v>
      </c>
      <c r="K43" s="310" t="s">
        <v>1017</v>
      </c>
      <c r="L43" s="310" t="s">
        <v>1080</v>
      </c>
      <c r="M43" s="310" t="s">
        <v>1080</v>
      </c>
      <c r="N43" s="313" t="s">
        <v>1699</v>
      </c>
      <c r="O43" s="303" t="s">
        <v>1040</v>
      </c>
    </row>
    <row r="44" spans="1:15" s="16" customFormat="1" ht="22.5" x14ac:dyDescent="0.15">
      <c r="A44" s="171">
        <f t="shared" si="0"/>
        <v>41</v>
      </c>
      <c r="B44" s="173" t="s">
        <v>377</v>
      </c>
      <c r="C44" s="176" t="s">
        <v>1784</v>
      </c>
      <c r="D44" s="177" t="s">
        <v>246</v>
      </c>
      <c r="E44" s="177"/>
      <c r="F44" s="174" t="s">
        <v>1005</v>
      </c>
      <c r="G44" s="177"/>
      <c r="H44" s="175" t="s">
        <v>1785</v>
      </c>
      <c r="I44" s="174" t="s">
        <v>211</v>
      </c>
      <c r="J44" s="174" t="s">
        <v>172</v>
      </c>
      <c r="K44" s="134" t="s">
        <v>1020</v>
      </c>
      <c r="L44" s="174" t="s">
        <v>1786</v>
      </c>
      <c r="M44" s="174" t="s">
        <v>1786</v>
      </c>
      <c r="N44" s="183" t="s">
        <v>1787</v>
      </c>
      <c r="O44" s="302"/>
    </row>
    <row r="45" spans="1:15" s="16" customFormat="1" ht="56.25" x14ac:dyDescent="0.15">
      <c r="A45" s="171">
        <f t="shared" si="0"/>
        <v>42</v>
      </c>
      <c r="B45" s="173" t="s">
        <v>739</v>
      </c>
      <c r="C45" s="178" t="s">
        <v>1788</v>
      </c>
      <c r="D45" s="177" t="s">
        <v>355</v>
      </c>
      <c r="E45" s="177"/>
      <c r="F45" s="174" t="s">
        <v>1005</v>
      </c>
      <c r="G45" s="177"/>
      <c r="H45" s="175" t="s">
        <v>1789</v>
      </c>
      <c r="I45" s="174" t="s">
        <v>211</v>
      </c>
      <c r="J45" s="174" t="s">
        <v>172</v>
      </c>
      <c r="K45" s="134" t="s">
        <v>1020</v>
      </c>
      <c r="L45" s="174" t="s">
        <v>1790</v>
      </c>
      <c r="M45" s="174" t="s">
        <v>1790</v>
      </c>
      <c r="N45" s="183"/>
      <c r="O45" s="302"/>
    </row>
    <row r="46" spans="1:15" s="145" customFormat="1" ht="40.5" x14ac:dyDescent="0.15">
      <c r="A46" s="146">
        <f t="shared" si="0"/>
        <v>43</v>
      </c>
      <c r="B46" s="186" t="s">
        <v>1791</v>
      </c>
      <c r="C46" s="190" t="s">
        <v>1792</v>
      </c>
      <c r="D46" s="132" t="s">
        <v>246</v>
      </c>
      <c r="E46" s="132"/>
      <c r="F46" s="132" t="s">
        <v>1005</v>
      </c>
      <c r="G46" s="132"/>
      <c r="H46" s="147" t="s">
        <v>1793</v>
      </c>
      <c r="I46" s="132" t="s">
        <v>211</v>
      </c>
      <c r="J46" s="132" t="s">
        <v>200</v>
      </c>
      <c r="K46" s="132" t="s">
        <v>1017</v>
      </c>
      <c r="L46" s="132" t="s">
        <v>1080</v>
      </c>
      <c r="M46" s="132" t="s">
        <v>1080</v>
      </c>
      <c r="N46" s="149" t="s">
        <v>1794</v>
      </c>
      <c r="O46" s="301"/>
    </row>
    <row r="47" spans="1:15" s="145" customFormat="1" ht="31.15" customHeight="1" x14ac:dyDescent="0.15">
      <c r="A47" s="146">
        <f t="shared" si="0"/>
        <v>44</v>
      </c>
      <c r="B47" s="186" t="s">
        <v>1795</v>
      </c>
      <c r="C47" s="191" t="s">
        <v>1796</v>
      </c>
      <c r="D47" s="132" t="s">
        <v>246</v>
      </c>
      <c r="E47" s="132"/>
      <c r="F47" s="132" t="s">
        <v>1005</v>
      </c>
      <c r="G47" s="132"/>
      <c r="H47" s="148" t="s">
        <v>1797</v>
      </c>
      <c r="I47" s="132" t="s">
        <v>211</v>
      </c>
      <c r="J47" s="132" t="s">
        <v>200</v>
      </c>
      <c r="K47" s="132" t="s">
        <v>1017</v>
      </c>
      <c r="L47" s="132" t="s">
        <v>1080</v>
      </c>
      <c r="M47" s="132" t="s">
        <v>1080</v>
      </c>
      <c r="N47" s="149" t="s">
        <v>1798</v>
      </c>
      <c r="O47" s="301"/>
    </row>
    <row r="48" spans="1:15" s="145" customFormat="1" ht="45" x14ac:dyDescent="0.15">
      <c r="A48" s="146">
        <f t="shared" si="0"/>
        <v>45</v>
      </c>
      <c r="B48" s="186" t="s">
        <v>1799</v>
      </c>
      <c r="C48" s="190" t="s">
        <v>1800</v>
      </c>
      <c r="D48" s="132" t="s">
        <v>237</v>
      </c>
      <c r="E48" s="132">
        <v>24</v>
      </c>
      <c r="F48" s="132" t="s">
        <v>1005</v>
      </c>
      <c r="G48" s="132"/>
      <c r="H48" s="148" t="s">
        <v>1801</v>
      </c>
      <c r="I48" s="132" t="s">
        <v>211</v>
      </c>
      <c r="J48" s="132" t="s">
        <v>200</v>
      </c>
      <c r="K48" s="132" t="s">
        <v>1017</v>
      </c>
      <c r="L48" s="132" t="s">
        <v>1080</v>
      </c>
      <c r="M48" s="132" t="s">
        <v>1080</v>
      </c>
      <c r="N48" s="149"/>
      <c r="O48" s="301"/>
    </row>
    <row r="49" spans="1:15" s="145" customFormat="1" ht="106.9" customHeight="1" x14ac:dyDescent="0.15">
      <c r="A49" s="146">
        <f t="shared" si="0"/>
        <v>46</v>
      </c>
      <c r="B49" s="186" t="s">
        <v>1802</v>
      </c>
      <c r="C49" s="186"/>
      <c r="D49" s="132" t="s">
        <v>237</v>
      </c>
      <c r="E49" s="132">
        <v>256</v>
      </c>
      <c r="F49" s="132" t="s">
        <v>1005</v>
      </c>
      <c r="G49" s="132"/>
      <c r="H49" s="148"/>
      <c r="I49" s="132" t="s">
        <v>211</v>
      </c>
      <c r="J49" s="132" t="s">
        <v>1381</v>
      </c>
      <c r="K49" s="132" t="s">
        <v>1017</v>
      </c>
      <c r="L49" s="132" t="s">
        <v>1080</v>
      </c>
      <c r="M49" s="132" t="s">
        <v>1080</v>
      </c>
      <c r="N49" s="149" t="s">
        <v>1803</v>
      </c>
      <c r="O49" s="301"/>
    </row>
    <row r="50" spans="1:15" s="5" customFormat="1" ht="83.45" customHeight="1" x14ac:dyDescent="0.15">
      <c r="A50" s="171">
        <f>A49+1</f>
        <v>47</v>
      </c>
      <c r="B50" s="173" t="s">
        <v>611</v>
      </c>
      <c r="C50" s="178" t="s">
        <v>1804</v>
      </c>
      <c r="D50" s="174" t="s">
        <v>355</v>
      </c>
      <c r="E50" s="174"/>
      <c r="F50" s="174" t="s">
        <v>1005</v>
      </c>
      <c r="G50" s="174"/>
      <c r="H50" s="252" t="s">
        <v>1805</v>
      </c>
      <c r="I50" s="175"/>
      <c r="J50" s="174" t="s">
        <v>172</v>
      </c>
      <c r="K50" s="174" t="s">
        <v>1020</v>
      </c>
      <c r="L50" s="174" t="s">
        <v>1806</v>
      </c>
      <c r="M50" s="174" t="s">
        <v>1806</v>
      </c>
      <c r="N50" s="183"/>
      <c r="O50" s="107"/>
    </row>
    <row r="51" spans="1:15" s="145" customFormat="1" ht="58.9" customHeight="1" x14ac:dyDescent="0.15">
      <c r="A51" s="146">
        <f t="shared" si="0"/>
        <v>48</v>
      </c>
      <c r="B51" s="186" t="s">
        <v>1309</v>
      </c>
      <c r="C51" s="186" t="s">
        <v>1807</v>
      </c>
      <c r="D51" s="132" t="s">
        <v>246</v>
      </c>
      <c r="E51" s="132"/>
      <c r="F51" s="132" t="s">
        <v>1005</v>
      </c>
      <c r="G51" s="132"/>
      <c r="H51" s="148" t="s">
        <v>1808</v>
      </c>
      <c r="I51" s="132" t="s">
        <v>211</v>
      </c>
      <c r="J51" s="132" t="s">
        <v>200</v>
      </c>
      <c r="K51" s="132" t="s">
        <v>1017</v>
      </c>
      <c r="L51" s="132" t="s">
        <v>1080</v>
      </c>
      <c r="M51" s="132" t="s">
        <v>1080</v>
      </c>
      <c r="N51" s="149"/>
      <c r="O51" s="301"/>
    </row>
    <row r="52" spans="1:15" s="145" customFormat="1" ht="22.5" customHeight="1" x14ac:dyDescent="0.15">
      <c r="A52" s="146">
        <f t="shared" si="0"/>
        <v>49</v>
      </c>
      <c r="B52" s="186" t="s">
        <v>1809</v>
      </c>
      <c r="C52" s="186"/>
      <c r="D52" s="132" t="s">
        <v>246</v>
      </c>
      <c r="E52" s="132"/>
      <c r="F52" s="132" t="s">
        <v>1005</v>
      </c>
      <c r="G52" s="132"/>
      <c r="H52" s="148"/>
      <c r="I52" s="132" t="s">
        <v>211</v>
      </c>
      <c r="J52" s="132" t="s">
        <v>200</v>
      </c>
      <c r="K52" s="132" t="s">
        <v>1017</v>
      </c>
      <c r="L52" s="132" t="s">
        <v>1080</v>
      </c>
      <c r="M52" s="132" t="s">
        <v>1080</v>
      </c>
      <c r="N52" s="149"/>
      <c r="O52" s="301"/>
    </row>
    <row r="53" spans="1:15" s="145" customFormat="1" ht="22.5" customHeight="1" x14ac:dyDescent="0.15">
      <c r="A53" s="146">
        <f t="shared" si="0"/>
        <v>50</v>
      </c>
      <c r="B53" s="186" t="s">
        <v>1810</v>
      </c>
      <c r="C53" s="186"/>
      <c r="D53" s="132" t="s">
        <v>237</v>
      </c>
      <c r="E53" s="132">
        <v>255</v>
      </c>
      <c r="F53" s="132" t="s">
        <v>1005</v>
      </c>
      <c r="G53" s="132"/>
      <c r="H53" s="148"/>
      <c r="I53" s="132" t="s">
        <v>211</v>
      </c>
      <c r="J53" s="132" t="s">
        <v>1381</v>
      </c>
      <c r="K53" s="132" t="s">
        <v>1017</v>
      </c>
      <c r="L53" s="132" t="s">
        <v>1080</v>
      </c>
      <c r="M53" s="132" t="s">
        <v>1080</v>
      </c>
      <c r="N53" s="149" t="s">
        <v>1811</v>
      </c>
      <c r="O53" s="301"/>
    </row>
    <row r="54" spans="1:15" s="145" customFormat="1" ht="22.5" customHeight="1" x14ac:dyDescent="0.15">
      <c r="A54" s="146">
        <f t="shared" si="0"/>
        <v>51</v>
      </c>
      <c r="B54" s="186" t="s">
        <v>1812</v>
      </c>
      <c r="C54" s="186"/>
      <c r="D54" s="132" t="s">
        <v>246</v>
      </c>
      <c r="E54" s="132"/>
      <c r="F54" s="132" t="s">
        <v>1005</v>
      </c>
      <c r="G54" s="132"/>
      <c r="H54" s="148"/>
      <c r="I54" s="132" t="s">
        <v>211</v>
      </c>
      <c r="J54" s="132" t="s">
        <v>200</v>
      </c>
      <c r="K54" s="132" t="s">
        <v>1017</v>
      </c>
      <c r="L54" s="132" t="s">
        <v>1080</v>
      </c>
      <c r="M54" s="132" t="s">
        <v>1080</v>
      </c>
      <c r="N54" s="149"/>
      <c r="O54" s="301"/>
    </row>
    <row r="55" spans="1:15" s="145" customFormat="1" ht="22.5" customHeight="1" x14ac:dyDescent="0.15">
      <c r="A55" s="146">
        <f t="shared" si="0"/>
        <v>52</v>
      </c>
      <c r="B55" s="186" t="s">
        <v>1813</v>
      </c>
      <c r="C55" s="186" t="s">
        <v>1814</v>
      </c>
      <c r="D55" s="132" t="s">
        <v>237</v>
      </c>
      <c r="E55" s="132">
        <v>20</v>
      </c>
      <c r="F55" s="132" t="s">
        <v>1005</v>
      </c>
      <c r="G55" s="132"/>
      <c r="H55" s="148"/>
      <c r="I55" s="132" t="s">
        <v>211</v>
      </c>
      <c r="J55" s="132" t="s">
        <v>200</v>
      </c>
      <c r="K55" s="132" t="s">
        <v>1017</v>
      </c>
      <c r="L55" s="132" t="s">
        <v>1815</v>
      </c>
      <c r="M55" s="132" t="s">
        <v>1815</v>
      </c>
      <c r="N55" s="149"/>
      <c r="O55" s="301"/>
    </row>
    <row r="56" spans="1:15" s="145" customFormat="1" ht="22.5" x14ac:dyDescent="0.15">
      <c r="A56" s="146">
        <f t="shared" si="0"/>
        <v>53</v>
      </c>
      <c r="B56" s="186" t="s">
        <v>1816</v>
      </c>
      <c r="C56" s="186" t="s">
        <v>1817</v>
      </c>
      <c r="D56" s="132" t="s">
        <v>237</v>
      </c>
      <c r="E56" s="132">
        <v>12</v>
      </c>
      <c r="F56" s="132" t="s">
        <v>1005</v>
      </c>
      <c r="G56" s="132"/>
      <c r="H56" s="148"/>
      <c r="I56" s="132" t="s">
        <v>211</v>
      </c>
      <c r="J56" s="132" t="s">
        <v>200</v>
      </c>
      <c r="K56" s="132" t="s">
        <v>1017</v>
      </c>
      <c r="L56" s="132" t="s">
        <v>1815</v>
      </c>
      <c r="M56" s="132" t="s">
        <v>1815</v>
      </c>
      <c r="N56" s="149" t="s">
        <v>1699</v>
      </c>
      <c r="O56" s="301"/>
    </row>
    <row r="57" spans="1:15" s="145" customFormat="1" ht="22.5" x14ac:dyDescent="0.15">
      <c r="A57" s="146">
        <f t="shared" si="0"/>
        <v>54</v>
      </c>
      <c r="B57" s="186" t="s">
        <v>1818</v>
      </c>
      <c r="C57" s="186" t="s">
        <v>1819</v>
      </c>
      <c r="D57" s="132" t="s">
        <v>237</v>
      </c>
      <c r="E57" s="132">
        <v>60</v>
      </c>
      <c r="F57" s="132" t="s">
        <v>1005</v>
      </c>
      <c r="G57" s="132"/>
      <c r="H57" s="148"/>
      <c r="I57" s="132" t="s">
        <v>211</v>
      </c>
      <c r="J57" s="132" t="s">
        <v>200</v>
      </c>
      <c r="K57" s="132" t="s">
        <v>1017</v>
      </c>
      <c r="L57" s="132" t="s">
        <v>1815</v>
      </c>
      <c r="M57" s="132" t="s">
        <v>1815</v>
      </c>
      <c r="N57" s="149" t="s">
        <v>1699</v>
      </c>
      <c r="O57" s="301"/>
    </row>
    <row r="58" spans="1:15" s="145" customFormat="1" ht="22.5" x14ac:dyDescent="0.15">
      <c r="A58" s="146">
        <f t="shared" si="0"/>
        <v>55</v>
      </c>
      <c r="B58" s="186" t="s">
        <v>1820</v>
      </c>
      <c r="C58" s="186" t="s">
        <v>1821</v>
      </c>
      <c r="D58" s="132" t="s">
        <v>237</v>
      </c>
      <c r="E58" s="132">
        <v>12</v>
      </c>
      <c r="F58" s="132" t="s">
        <v>1005</v>
      </c>
      <c r="G58" s="132"/>
      <c r="H58" s="148"/>
      <c r="I58" s="132" t="s">
        <v>211</v>
      </c>
      <c r="J58" s="132" t="s">
        <v>200</v>
      </c>
      <c r="K58" s="132" t="s">
        <v>1017</v>
      </c>
      <c r="L58" s="132" t="s">
        <v>1815</v>
      </c>
      <c r="M58" s="132" t="s">
        <v>1815</v>
      </c>
      <c r="N58" s="149" t="s">
        <v>1699</v>
      </c>
      <c r="O58" s="301"/>
    </row>
    <row r="59" spans="1:15" s="145" customFormat="1" ht="22.5" x14ac:dyDescent="0.15">
      <c r="A59" s="146">
        <f t="shared" si="0"/>
        <v>56</v>
      </c>
      <c r="B59" s="186" t="s">
        <v>1822</v>
      </c>
      <c r="C59" s="186" t="s">
        <v>1823</v>
      </c>
      <c r="D59" s="132" t="s">
        <v>237</v>
      </c>
      <c r="E59" s="132">
        <v>60</v>
      </c>
      <c r="F59" s="132" t="s">
        <v>1005</v>
      </c>
      <c r="G59" s="132"/>
      <c r="H59" s="148"/>
      <c r="I59" s="132" t="s">
        <v>211</v>
      </c>
      <c r="J59" s="132" t="s">
        <v>200</v>
      </c>
      <c r="K59" s="132" t="s">
        <v>1017</v>
      </c>
      <c r="L59" s="132" t="s">
        <v>1815</v>
      </c>
      <c r="M59" s="132" t="s">
        <v>1815</v>
      </c>
      <c r="N59" s="149" t="s">
        <v>1699</v>
      </c>
      <c r="O59" s="301"/>
    </row>
    <row r="60" spans="1:15" s="145" customFormat="1" ht="22.5" x14ac:dyDescent="0.15">
      <c r="A60" s="146">
        <f t="shared" si="0"/>
        <v>57</v>
      </c>
      <c r="B60" s="186" t="s">
        <v>1824</v>
      </c>
      <c r="C60" s="186" t="s">
        <v>1825</v>
      </c>
      <c r="D60" s="132" t="s">
        <v>237</v>
      </c>
      <c r="E60" s="132">
        <v>12</v>
      </c>
      <c r="F60" s="132" t="s">
        <v>1005</v>
      </c>
      <c r="G60" s="132"/>
      <c r="H60" s="148"/>
      <c r="I60" s="132" t="s">
        <v>211</v>
      </c>
      <c r="J60" s="132" t="s">
        <v>200</v>
      </c>
      <c r="K60" s="132" t="s">
        <v>1017</v>
      </c>
      <c r="L60" s="132" t="s">
        <v>1815</v>
      </c>
      <c r="M60" s="132" t="s">
        <v>1815</v>
      </c>
      <c r="N60" s="149" t="s">
        <v>1699</v>
      </c>
      <c r="O60" s="301"/>
    </row>
    <row r="61" spans="1:15" s="145" customFormat="1" ht="22.5" x14ac:dyDescent="0.15">
      <c r="A61" s="146">
        <f t="shared" si="0"/>
        <v>58</v>
      </c>
      <c r="B61" s="186" t="s">
        <v>1826</v>
      </c>
      <c r="C61" s="186" t="s">
        <v>1827</v>
      </c>
      <c r="D61" s="132" t="s">
        <v>237</v>
      </c>
      <c r="E61" s="132">
        <v>60</v>
      </c>
      <c r="F61" s="132" t="s">
        <v>1005</v>
      </c>
      <c r="G61" s="132"/>
      <c r="H61" s="148"/>
      <c r="I61" s="132" t="s">
        <v>211</v>
      </c>
      <c r="J61" s="132" t="s">
        <v>200</v>
      </c>
      <c r="K61" s="132" t="s">
        <v>1017</v>
      </c>
      <c r="L61" s="132" t="s">
        <v>1815</v>
      </c>
      <c r="M61" s="132" t="s">
        <v>1815</v>
      </c>
      <c r="N61" s="149" t="s">
        <v>1699</v>
      </c>
      <c r="O61" s="301"/>
    </row>
    <row r="62" spans="1:15" s="145" customFormat="1" ht="22.5" x14ac:dyDescent="0.15">
      <c r="A62" s="146">
        <f t="shared" si="0"/>
        <v>59</v>
      </c>
      <c r="B62" s="186" t="s">
        <v>1828</v>
      </c>
      <c r="C62" s="186" t="s">
        <v>1829</v>
      </c>
      <c r="D62" s="132" t="s">
        <v>237</v>
      </c>
      <c r="E62" s="132">
        <v>12</v>
      </c>
      <c r="F62" s="132" t="s">
        <v>1005</v>
      </c>
      <c r="G62" s="132"/>
      <c r="H62" s="148"/>
      <c r="I62" s="132" t="s">
        <v>211</v>
      </c>
      <c r="J62" s="132" t="s">
        <v>200</v>
      </c>
      <c r="K62" s="132" t="s">
        <v>1017</v>
      </c>
      <c r="L62" s="132" t="s">
        <v>1815</v>
      </c>
      <c r="M62" s="132" t="s">
        <v>1815</v>
      </c>
      <c r="N62" s="149" t="s">
        <v>1699</v>
      </c>
      <c r="O62" s="301"/>
    </row>
    <row r="63" spans="1:15" s="145" customFormat="1" ht="22.5" x14ac:dyDescent="0.15">
      <c r="A63" s="146">
        <f t="shared" si="0"/>
        <v>60</v>
      </c>
      <c r="B63" s="186" t="s">
        <v>1830</v>
      </c>
      <c r="C63" s="186" t="s">
        <v>1831</v>
      </c>
      <c r="D63" s="132" t="s">
        <v>237</v>
      </c>
      <c r="E63" s="132">
        <v>60</v>
      </c>
      <c r="F63" s="132" t="s">
        <v>1005</v>
      </c>
      <c r="G63" s="132"/>
      <c r="H63" s="148"/>
      <c r="I63" s="132" t="s">
        <v>211</v>
      </c>
      <c r="J63" s="132" t="s">
        <v>200</v>
      </c>
      <c r="K63" s="132" t="s">
        <v>1017</v>
      </c>
      <c r="L63" s="132" t="s">
        <v>1815</v>
      </c>
      <c r="M63" s="132" t="s">
        <v>1815</v>
      </c>
      <c r="N63" s="149" t="s">
        <v>1699</v>
      </c>
      <c r="O63" s="301"/>
    </row>
    <row r="64" spans="1:15" s="145" customFormat="1" ht="22.5" x14ac:dyDescent="0.15">
      <c r="A64" s="146">
        <f t="shared" si="0"/>
        <v>61</v>
      </c>
      <c r="B64" s="186" t="s">
        <v>1832</v>
      </c>
      <c r="C64" s="186" t="s">
        <v>1833</v>
      </c>
      <c r="D64" s="132" t="s">
        <v>237</v>
      </c>
      <c r="E64" s="132">
        <v>12</v>
      </c>
      <c r="F64" s="132" t="s">
        <v>1005</v>
      </c>
      <c r="G64" s="132"/>
      <c r="H64" s="148"/>
      <c r="I64" s="132" t="s">
        <v>211</v>
      </c>
      <c r="J64" s="132" t="s">
        <v>200</v>
      </c>
      <c r="K64" s="132" t="s">
        <v>1017</v>
      </c>
      <c r="L64" s="132" t="s">
        <v>1815</v>
      </c>
      <c r="M64" s="132" t="s">
        <v>1815</v>
      </c>
      <c r="N64" s="149" t="s">
        <v>1699</v>
      </c>
      <c r="O64" s="301"/>
    </row>
    <row r="65" spans="1:15" s="145" customFormat="1" ht="22.5" x14ac:dyDescent="0.15">
      <c r="A65" s="146">
        <f t="shared" si="0"/>
        <v>62</v>
      </c>
      <c r="B65" s="186" t="s">
        <v>1834</v>
      </c>
      <c r="C65" s="186" t="s">
        <v>1835</v>
      </c>
      <c r="D65" s="132" t="s">
        <v>237</v>
      </c>
      <c r="E65" s="132">
        <v>60</v>
      </c>
      <c r="F65" s="132" t="s">
        <v>1005</v>
      </c>
      <c r="G65" s="132"/>
      <c r="H65" s="148"/>
      <c r="I65" s="132" t="s">
        <v>211</v>
      </c>
      <c r="J65" s="132" t="s">
        <v>200</v>
      </c>
      <c r="K65" s="132" t="s">
        <v>1017</v>
      </c>
      <c r="L65" s="132" t="s">
        <v>1815</v>
      </c>
      <c r="M65" s="132" t="s">
        <v>1815</v>
      </c>
      <c r="N65" s="149" t="s">
        <v>1699</v>
      </c>
      <c r="O65" s="301"/>
    </row>
    <row r="66" spans="1:15" s="145" customFormat="1" ht="22.5" x14ac:dyDescent="0.15">
      <c r="A66" s="146">
        <f t="shared" si="0"/>
        <v>63</v>
      </c>
      <c r="B66" s="186" t="s">
        <v>1836</v>
      </c>
      <c r="C66" s="186" t="s">
        <v>1837</v>
      </c>
      <c r="D66" s="132" t="s">
        <v>237</v>
      </c>
      <c r="E66" s="132">
        <v>12</v>
      </c>
      <c r="F66" s="132" t="s">
        <v>1005</v>
      </c>
      <c r="G66" s="132"/>
      <c r="H66" s="148"/>
      <c r="I66" s="132" t="s">
        <v>211</v>
      </c>
      <c r="J66" s="132" t="s">
        <v>200</v>
      </c>
      <c r="K66" s="132" t="s">
        <v>1017</v>
      </c>
      <c r="L66" s="132" t="s">
        <v>1815</v>
      </c>
      <c r="M66" s="132" t="s">
        <v>1815</v>
      </c>
      <c r="N66" s="149" t="s">
        <v>1699</v>
      </c>
      <c r="O66" s="301"/>
    </row>
    <row r="67" spans="1:15" s="145" customFormat="1" ht="22.5" x14ac:dyDescent="0.15">
      <c r="A67" s="146">
        <f t="shared" si="0"/>
        <v>64</v>
      </c>
      <c r="B67" s="186" t="s">
        <v>1838</v>
      </c>
      <c r="C67" s="186" t="s">
        <v>1839</v>
      </c>
      <c r="D67" s="132" t="s">
        <v>237</v>
      </c>
      <c r="E67" s="132">
        <v>60</v>
      </c>
      <c r="F67" s="132" t="s">
        <v>1005</v>
      </c>
      <c r="G67" s="132"/>
      <c r="H67" s="148"/>
      <c r="I67" s="132" t="s">
        <v>211</v>
      </c>
      <c r="J67" s="132" t="s">
        <v>200</v>
      </c>
      <c r="K67" s="132" t="s">
        <v>1017</v>
      </c>
      <c r="L67" s="132" t="s">
        <v>1815</v>
      </c>
      <c r="M67" s="132" t="s">
        <v>1815</v>
      </c>
      <c r="N67" s="149" t="s">
        <v>1699</v>
      </c>
      <c r="O67" s="301"/>
    </row>
    <row r="68" spans="1:15" s="145" customFormat="1" ht="22.5" x14ac:dyDescent="0.15">
      <c r="A68" s="146">
        <f t="shared" si="0"/>
        <v>65</v>
      </c>
      <c r="B68" s="186" t="s">
        <v>1840</v>
      </c>
      <c r="C68" s="186" t="s">
        <v>1841</v>
      </c>
      <c r="D68" s="132" t="s">
        <v>237</v>
      </c>
      <c r="E68" s="132">
        <v>12</v>
      </c>
      <c r="F68" s="132" t="s">
        <v>1005</v>
      </c>
      <c r="G68" s="132"/>
      <c r="H68" s="148"/>
      <c r="I68" s="132" t="s">
        <v>211</v>
      </c>
      <c r="J68" s="132" t="s">
        <v>200</v>
      </c>
      <c r="K68" s="132" t="s">
        <v>1017</v>
      </c>
      <c r="L68" s="132" t="s">
        <v>1815</v>
      </c>
      <c r="M68" s="132" t="s">
        <v>1815</v>
      </c>
      <c r="N68" s="149" t="s">
        <v>1699</v>
      </c>
      <c r="O68" s="301"/>
    </row>
    <row r="69" spans="1:15" s="145" customFormat="1" ht="22.5" x14ac:dyDescent="0.15">
      <c r="A69" s="146">
        <f t="shared" si="0"/>
        <v>66</v>
      </c>
      <c r="B69" s="186" t="s">
        <v>1842</v>
      </c>
      <c r="C69" s="186" t="s">
        <v>1843</v>
      </c>
      <c r="D69" s="132" t="s">
        <v>237</v>
      </c>
      <c r="E69" s="132">
        <v>60</v>
      </c>
      <c r="F69" s="132" t="s">
        <v>1005</v>
      </c>
      <c r="G69" s="132"/>
      <c r="H69" s="148"/>
      <c r="I69" s="132" t="s">
        <v>211</v>
      </c>
      <c r="J69" s="132" t="s">
        <v>200</v>
      </c>
      <c r="K69" s="132" t="s">
        <v>1017</v>
      </c>
      <c r="L69" s="132" t="s">
        <v>1815</v>
      </c>
      <c r="M69" s="132" t="s">
        <v>1815</v>
      </c>
      <c r="N69" s="149" t="s">
        <v>1699</v>
      </c>
      <c r="O69" s="301"/>
    </row>
    <row r="70" spans="1:15" s="145" customFormat="1" ht="22.5" x14ac:dyDescent="0.15">
      <c r="A70" s="146">
        <f t="shared" ref="A70:A101" si="1">A69+1</f>
        <v>67</v>
      </c>
      <c r="B70" s="186" t="s">
        <v>1844</v>
      </c>
      <c r="C70" s="186" t="s">
        <v>1845</v>
      </c>
      <c r="D70" s="132" t="s">
        <v>237</v>
      </c>
      <c r="E70" s="132">
        <v>12</v>
      </c>
      <c r="F70" s="132" t="s">
        <v>1005</v>
      </c>
      <c r="G70" s="132"/>
      <c r="H70" s="148"/>
      <c r="I70" s="132" t="s">
        <v>211</v>
      </c>
      <c r="J70" s="132" t="s">
        <v>200</v>
      </c>
      <c r="K70" s="132" t="s">
        <v>1017</v>
      </c>
      <c r="L70" s="132" t="s">
        <v>1815</v>
      </c>
      <c r="M70" s="132" t="s">
        <v>1815</v>
      </c>
      <c r="N70" s="149" t="s">
        <v>1699</v>
      </c>
      <c r="O70" s="301"/>
    </row>
    <row r="71" spans="1:15" s="145" customFormat="1" ht="22.5" x14ac:dyDescent="0.15">
      <c r="A71" s="146">
        <f t="shared" si="1"/>
        <v>68</v>
      </c>
      <c r="B71" s="186" t="s">
        <v>1846</v>
      </c>
      <c r="C71" s="186" t="s">
        <v>1847</v>
      </c>
      <c r="D71" s="132" t="s">
        <v>237</v>
      </c>
      <c r="E71" s="132">
        <v>60</v>
      </c>
      <c r="F71" s="132" t="s">
        <v>1005</v>
      </c>
      <c r="G71" s="132"/>
      <c r="H71" s="148"/>
      <c r="I71" s="132" t="s">
        <v>211</v>
      </c>
      <c r="J71" s="132" t="s">
        <v>200</v>
      </c>
      <c r="K71" s="132" t="s">
        <v>1017</v>
      </c>
      <c r="L71" s="132" t="s">
        <v>1815</v>
      </c>
      <c r="M71" s="132" t="s">
        <v>1815</v>
      </c>
      <c r="N71" s="149" t="s">
        <v>1699</v>
      </c>
      <c r="O71" s="301"/>
    </row>
    <row r="72" spans="1:15" s="145" customFormat="1" ht="22.5" x14ac:dyDescent="0.15">
      <c r="A72" s="146">
        <f t="shared" si="1"/>
        <v>69</v>
      </c>
      <c r="B72" s="186" t="s">
        <v>1848</v>
      </c>
      <c r="C72" s="186" t="s">
        <v>1849</v>
      </c>
      <c r="D72" s="132" t="s">
        <v>237</v>
      </c>
      <c r="E72" s="132">
        <v>12</v>
      </c>
      <c r="F72" s="132" t="s">
        <v>1005</v>
      </c>
      <c r="G72" s="132"/>
      <c r="H72" s="148"/>
      <c r="I72" s="132" t="s">
        <v>211</v>
      </c>
      <c r="J72" s="132" t="s">
        <v>200</v>
      </c>
      <c r="K72" s="132" t="s">
        <v>1017</v>
      </c>
      <c r="L72" s="132" t="s">
        <v>1815</v>
      </c>
      <c r="M72" s="132" t="s">
        <v>1815</v>
      </c>
      <c r="N72" s="149" t="s">
        <v>1699</v>
      </c>
      <c r="O72" s="301"/>
    </row>
    <row r="73" spans="1:15" s="145" customFormat="1" ht="22.5" x14ac:dyDescent="0.15">
      <c r="A73" s="146">
        <f t="shared" si="1"/>
        <v>70</v>
      </c>
      <c r="B73" s="186" t="s">
        <v>1850</v>
      </c>
      <c r="C73" s="186" t="s">
        <v>1851</v>
      </c>
      <c r="D73" s="132" t="s">
        <v>237</v>
      </c>
      <c r="E73" s="132">
        <v>60</v>
      </c>
      <c r="F73" s="132" t="s">
        <v>1005</v>
      </c>
      <c r="G73" s="132"/>
      <c r="H73" s="148"/>
      <c r="I73" s="132" t="s">
        <v>211</v>
      </c>
      <c r="J73" s="132" t="s">
        <v>200</v>
      </c>
      <c r="K73" s="132" t="s">
        <v>1017</v>
      </c>
      <c r="L73" s="132" t="s">
        <v>1815</v>
      </c>
      <c r="M73" s="132" t="s">
        <v>1815</v>
      </c>
      <c r="N73" s="149" t="s">
        <v>1699</v>
      </c>
      <c r="O73" s="301"/>
    </row>
    <row r="74" spans="1:15" s="16" customFormat="1" ht="33.75" x14ac:dyDescent="0.15">
      <c r="A74" s="171">
        <f t="shared" si="1"/>
        <v>71</v>
      </c>
      <c r="B74" s="254" t="s">
        <v>1852</v>
      </c>
      <c r="C74" s="254" t="s">
        <v>1853</v>
      </c>
      <c r="D74" s="134" t="s">
        <v>237</v>
      </c>
      <c r="E74" s="134">
        <v>80</v>
      </c>
      <c r="F74" s="134" t="s">
        <v>1005</v>
      </c>
      <c r="G74" s="134"/>
      <c r="H74" s="179"/>
      <c r="I74" s="179" t="s">
        <v>1854</v>
      </c>
      <c r="J74" s="134" t="s">
        <v>172</v>
      </c>
      <c r="K74" s="134" t="s">
        <v>1007</v>
      </c>
      <c r="L74" s="134" t="s">
        <v>1855</v>
      </c>
      <c r="M74" s="134" t="s">
        <v>1855</v>
      </c>
      <c r="N74" s="151" t="s">
        <v>1856</v>
      </c>
      <c r="O74" s="302"/>
    </row>
    <row r="75" spans="1:15" s="16" customFormat="1" ht="33.75" x14ac:dyDescent="0.15">
      <c r="A75" s="171">
        <f t="shared" si="1"/>
        <v>72</v>
      </c>
      <c r="B75" s="254" t="s">
        <v>385</v>
      </c>
      <c r="C75" s="179" t="s">
        <v>386</v>
      </c>
      <c r="D75" s="134" t="s">
        <v>246</v>
      </c>
      <c r="E75" s="134"/>
      <c r="F75" s="134" t="s">
        <v>1005</v>
      </c>
      <c r="G75" s="134"/>
      <c r="H75" s="179" t="s">
        <v>386</v>
      </c>
      <c r="I75" s="179" t="s">
        <v>1857</v>
      </c>
      <c r="J75" s="134" t="s">
        <v>172</v>
      </c>
      <c r="K75" s="134" t="s">
        <v>1007</v>
      </c>
      <c r="L75" s="134" t="s">
        <v>1855</v>
      </c>
      <c r="M75" s="134" t="s">
        <v>1855</v>
      </c>
      <c r="N75" s="151" t="s">
        <v>1856</v>
      </c>
      <c r="O75" s="302"/>
    </row>
    <row r="76" spans="1:15" s="145" customFormat="1" ht="40.5" x14ac:dyDescent="0.15">
      <c r="A76" s="146">
        <f t="shared" si="1"/>
        <v>73</v>
      </c>
      <c r="B76" s="186" t="s">
        <v>1858</v>
      </c>
      <c r="C76" s="186"/>
      <c r="D76" s="132" t="s">
        <v>237</v>
      </c>
      <c r="E76" s="132">
        <v>60</v>
      </c>
      <c r="F76" s="132" t="s">
        <v>1005</v>
      </c>
      <c r="G76" s="132"/>
      <c r="H76" s="148"/>
      <c r="I76" s="132" t="s">
        <v>211</v>
      </c>
      <c r="J76" s="132" t="s">
        <v>200</v>
      </c>
      <c r="K76" s="132" t="s">
        <v>1017</v>
      </c>
      <c r="L76" s="132" t="s">
        <v>1815</v>
      </c>
      <c r="M76" s="132" t="s">
        <v>1815</v>
      </c>
      <c r="N76" s="149" t="s">
        <v>1859</v>
      </c>
      <c r="O76" s="301"/>
    </row>
    <row r="77" spans="1:15" s="145" customFormat="1" ht="22.5" customHeight="1" x14ac:dyDescent="0.15">
      <c r="A77" s="146">
        <f t="shared" si="1"/>
        <v>74</v>
      </c>
      <c r="B77" s="186" t="s">
        <v>1860</v>
      </c>
      <c r="C77" s="186"/>
      <c r="D77" s="132" t="s">
        <v>246</v>
      </c>
      <c r="E77" s="132"/>
      <c r="F77" s="132" t="s">
        <v>1005</v>
      </c>
      <c r="G77" s="132"/>
      <c r="H77" s="148"/>
      <c r="I77" s="132" t="s">
        <v>211</v>
      </c>
      <c r="J77" s="132" t="s">
        <v>200</v>
      </c>
      <c r="K77" s="132" t="s">
        <v>1017</v>
      </c>
      <c r="L77" s="132" t="s">
        <v>1080</v>
      </c>
      <c r="M77" s="132" t="s">
        <v>1080</v>
      </c>
      <c r="N77" s="149"/>
      <c r="O77" s="301"/>
    </row>
    <row r="78" spans="1:15" s="145" customFormat="1" ht="22.5" customHeight="1" x14ac:dyDescent="0.15">
      <c r="A78" s="146">
        <f t="shared" si="1"/>
        <v>75</v>
      </c>
      <c r="B78" s="186" t="s">
        <v>1861</v>
      </c>
      <c r="C78" s="186"/>
      <c r="D78" s="132" t="s">
        <v>237</v>
      </c>
      <c r="E78" s="132">
        <v>20</v>
      </c>
      <c r="F78" s="132" t="s">
        <v>1005</v>
      </c>
      <c r="G78" s="132"/>
      <c r="H78" s="148"/>
      <c r="I78" s="132" t="s">
        <v>211</v>
      </c>
      <c r="J78" s="132" t="s">
        <v>1381</v>
      </c>
      <c r="K78" s="132" t="s">
        <v>1017</v>
      </c>
      <c r="L78" s="132" t="s">
        <v>1080</v>
      </c>
      <c r="M78" s="132" t="s">
        <v>1080</v>
      </c>
      <c r="N78" s="149" t="s">
        <v>1862</v>
      </c>
      <c r="O78" s="301"/>
    </row>
    <row r="79" spans="1:15" s="145" customFormat="1" ht="22.5" customHeight="1" x14ac:dyDescent="0.15">
      <c r="A79" s="146">
        <f t="shared" si="1"/>
        <v>76</v>
      </c>
      <c r="B79" s="186" t="s">
        <v>1863</v>
      </c>
      <c r="C79" s="186"/>
      <c r="D79" s="132" t="s">
        <v>237</v>
      </c>
      <c r="E79" s="132">
        <v>20</v>
      </c>
      <c r="F79" s="132" t="s">
        <v>1005</v>
      </c>
      <c r="G79" s="132"/>
      <c r="H79" s="148"/>
      <c r="I79" s="132" t="s">
        <v>211</v>
      </c>
      <c r="J79" s="132" t="s">
        <v>1381</v>
      </c>
      <c r="K79" s="132" t="s">
        <v>1017</v>
      </c>
      <c r="L79" s="132" t="s">
        <v>1080</v>
      </c>
      <c r="M79" s="132" t="s">
        <v>1080</v>
      </c>
      <c r="N79" s="149" t="s">
        <v>1862</v>
      </c>
      <c r="O79" s="301"/>
    </row>
    <row r="80" spans="1:15" s="16" customFormat="1" ht="22.5" x14ac:dyDescent="0.15">
      <c r="A80" s="171">
        <f t="shared" si="1"/>
        <v>77</v>
      </c>
      <c r="B80" s="254" t="s">
        <v>1248</v>
      </c>
      <c r="C80" s="254" t="s">
        <v>1864</v>
      </c>
      <c r="D80" s="134" t="s">
        <v>250</v>
      </c>
      <c r="E80" s="134"/>
      <c r="F80" s="134" t="s">
        <v>1005</v>
      </c>
      <c r="G80" s="134"/>
      <c r="H80" s="179"/>
      <c r="I80" s="173" t="s">
        <v>1865</v>
      </c>
      <c r="J80" s="134" t="s">
        <v>172</v>
      </c>
      <c r="K80" s="134" t="s">
        <v>1007</v>
      </c>
      <c r="L80" s="134" t="s">
        <v>1866</v>
      </c>
      <c r="M80" s="134" t="s">
        <v>1866</v>
      </c>
      <c r="N80" s="185" t="s">
        <v>1867</v>
      </c>
      <c r="O80" s="302"/>
    </row>
    <row r="81" spans="1:15" s="145" customFormat="1" ht="22.5" customHeight="1" x14ac:dyDescent="0.15">
      <c r="A81" s="146">
        <f t="shared" si="1"/>
        <v>78</v>
      </c>
      <c r="B81" s="186" t="s">
        <v>1868</v>
      </c>
      <c r="C81" s="186"/>
      <c r="D81" s="132" t="s">
        <v>246</v>
      </c>
      <c r="E81" s="132"/>
      <c r="F81" s="132" t="s">
        <v>1005</v>
      </c>
      <c r="G81" s="132"/>
      <c r="H81" s="148"/>
      <c r="I81" s="132" t="s">
        <v>211</v>
      </c>
      <c r="J81" s="132" t="s">
        <v>1381</v>
      </c>
      <c r="K81" s="132" t="s">
        <v>1017</v>
      </c>
      <c r="L81" s="132" t="s">
        <v>1080</v>
      </c>
      <c r="M81" s="132" t="s">
        <v>1080</v>
      </c>
      <c r="N81" s="149" t="s">
        <v>1869</v>
      </c>
      <c r="O81" s="301"/>
    </row>
    <row r="82" spans="1:15" s="145" customFormat="1" ht="22.5" customHeight="1" x14ac:dyDescent="0.15">
      <c r="A82" s="146">
        <f t="shared" si="1"/>
        <v>79</v>
      </c>
      <c r="B82" s="186" t="s">
        <v>1870</v>
      </c>
      <c r="C82" s="186"/>
      <c r="D82" s="132" t="s">
        <v>237</v>
      </c>
      <c r="E82" s="132">
        <v>128</v>
      </c>
      <c r="F82" s="132" t="s">
        <v>1005</v>
      </c>
      <c r="G82" s="132"/>
      <c r="H82" s="148"/>
      <c r="I82" s="132" t="s">
        <v>211</v>
      </c>
      <c r="J82" s="132" t="s">
        <v>1381</v>
      </c>
      <c r="K82" s="132" t="s">
        <v>1017</v>
      </c>
      <c r="L82" s="132" t="s">
        <v>1080</v>
      </c>
      <c r="M82" s="132" t="s">
        <v>1080</v>
      </c>
      <c r="N82" s="149" t="s">
        <v>1803</v>
      </c>
      <c r="O82" s="301"/>
    </row>
    <row r="83" spans="1:15" s="145" customFormat="1" ht="22.5" customHeight="1" x14ac:dyDescent="0.15">
      <c r="A83" s="146">
        <f t="shared" si="1"/>
        <v>80</v>
      </c>
      <c r="B83" s="186" t="s">
        <v>1871</v>
      </c>
      <c r="C83" s="186"/>
      <c r="D83" s="132" t="s">
        <v>237</v>
      </c>
      <c r="E83" s="132">
        <v>240</v>
      </c>
      <c r="F83" s="132" t="s">
        <v>1005</v>
      </c>
      <c r="G83" s="132"/>
      <c r="H83" s="148"/>
      <c r="I83" s="132" t="s">
        <v>211</v>
      </c>
      <c r="J83" s="132" t="s">
        <v>200</v>
      </c>
      <c r="K83" s="132" t="s">
        <v>1017</v>
      </c>
      <c r="L83" s="132" t="s">
        <v>1080</v>
      </c>
      <c r="M83" s="132" t="s">
        <v>1080</v>
      </c>
      <c r="N83" s="149"/>
      <c r="O83" s="301"/>
    </row>
    <row r="84" spans="1:15" s="145" customFormat="1" ht="22.5" customHeight="1" x14ac:dyDescent="0.15">
      <c r="A84" s="146">
        <f t="shared" si="1"/>
        <v>81</v>
      </c>
      <c r="B84" s="186" t="s">
        <v>1872</v>
      </c>
      <c r="C84" s="186"/>
      <c r="D84" s="132" t="s">
        <v>237</v>
      </c>
      <c r="E84" s="132">
        <v>240</v>
      </c>
      <c r="F84" s="132" t="s">
        <v>1005</v>
      </c>
      <c r="G84" s="132"/>
      <c r="H84" s="148"/>
      <c r="I84" s="132" t="s">
        <v>211</v>
      </c>
      <c r="J84" s="132" t="s">
        <v>200</v>
      </c>
      <c r="K84" s="132" t="s">
        <v>1017</v>
      </c>
      <c r="L84" s="132" t="s">
        <v>1080</v>
      </c>
      <c r="M84" s="132" t="s">
        <v>1080</v>
      </c>
      <c r="N84" s="149"/>
      <c r="O84" s="301"/>
    </row>
    <row r="85" spans="1:15" s="145" customFormat="1" ht="22.5" customHeight="1" x14ac:dyDescent="0.15">
      <c r="A85" s="146">
        <f t="shared" si="1"/>
        <v>82</v>
      </c>
      <c r="B85" s="186" t="s">
        <v>1873</v>
      </c>
      <c r="C85" s="186"/>
      <c r="D85" s="132" t="s">
        <v>237</v>
      </c>
      <c r="E85" s="132">
        <v>32</v>
      </c>
      <c r="F85" s="132" t="s">
        <v>1005</v>
      </c>
      <c r="G85" s="132"/>
      <c r="H85" s="148"/>
      <c r="I85" s="132" t="s">
        <v>211</v>
      </c>
      <c r="J85" s="132" t="s">
        <v>200</v>
      </c>
      <c r="K85" s="132" t="s">
        <v>1017</v>
      </c>
      <c r="L85" s="132" t="s">
        <v>1080</v>
      </c>
      <c r="M85" s="132" t="s">
        <v>1080</v>
      </c>
      <c r="N85" s="149"/>
      <c r="O85" s="301"/>
    </row>
    <row r="86" spans="1:15" s="145" customFormat="1" ht="22.5" customHeight="1" x14ac:dyDescent="0.15">
      <c r="A86" s="146">
        <f t="shared" si="1"/>
        <v>83</v>
      </c>
      <c r="B86" s="186" t="s">
        <v>1874</v>
      </c>
      <c r="C86" s="186"/>
      <c r="D86" s="132" t="s">
        <v>278</v>
      </c>
      <c r="E86" s="132"/>
      <c r="F86" s="132" t="s">
        <v>1005</v>
      </c>
      <c r="G86" s="132"/>
      <c r="H86" s="148"/>
      <c r="I86" s="132" t="s">
        <v>211</v>
      </c>
      <c r="J86" s="132" t="s">
        <v>200</v>
      </c>
      <c r="K86" s="132" t="s">
        <v>1017</v>
      </c>
      <c r="L86" s="132" t="s">
        <v>1080</v>
      </c>
      <c r="M86" s="132" t="s">
        <v>1080</v>
      </c>
      <c r="N86" s="149"/>
      <c r="O86" s="301"/>
    </row>
    <row r="87" spans="1:15" s="145" customFormat="1" ht="22.5" customHeight="1" x14ac:dyDescent="0.15">
      <c r="A87" s="146">
        <f t="shared" si="1"/>
        <v>84</v>
      </c>
      <c r="B87" s="186" t="s">
        <v>1875</v>
      </c>
      <c r="C87" s="186"/>
      <c r="D87" s="132" t="s">
        <v>355</v>
      </c>
      <c r="E87" s="132"/>
      <c r="F87" s="132" t="s">
        <v>1005</v>
      </c>
      <c r="G87" s="132"/>
      <c r="H87" s="148"/>
      <c r="I87" s="132" t="s">
        <v>211</v>
      </c>
      <c r="J87" s="132" t="s">
        <v>200</v>
      </c>
      <c r="K87" s="132" t="s">
        <v>1017</v>
      </c>
      <c r="L87" s="132" t="s">
        <v>1080</v>
      </c>
      <c r="M87" s="132" t="s">
        <v>1080</v>
      </c>
      <c r="N87" s="149"/>
      <c r="O87" s="301"/>
    </row>
    <row r="88" spans="1:15" s="145" customFormat="1" ht="22.5" customHeight="1" x14ac:dyDescent="0.15">
      <c r="A88" s="146">
        <f t="shared" si="1"/>
        <v>85</v>
      </c>
      <c r="B88" s="186" t="s">
        <v>1876</v>
      </c>
      <c r="C88" s="186"/>
      <c r="D88" s="132" t="s">
        <v>355</v>
      </c>
      <c r="E88" s="132"/>
      <c r="F88" s="132" t="s">
        <v>1005</v>
      </c>
      <c r="G88" s="132"/>
      <c r="H88" s="148"/>
      <c r="I88" s="132" t="s">
        <v>211</v>
      </c>
      <c r="J88" s="132" t="s">
        <v>200</v>
      </c>
      <c r="K88" s="132" t="s">
        <v>1017</v>
      </c>
      <c r="L88" s="132" t="s">
        <v>1080</v>
      </c>
      <c r="M88" s="132" t="s">
        <v>1080</v>
      </c>
      <c r="N88" s="149"/>
      <c r="O88" s="301"/>
    </row>
    <row r="89" spans="1:15" s="16" customFormat="1" ht="31.15" customHeight="1" x14ac:dyDescent="0.15">
      <c r="A89" s="171">
        <f t="shared" si="1"/>
        <v>86</v>
      </c>
      <c r="B89" s="254" t="s">
        <v>1877</v>
      </c>
      <c r="C89" s="254" t="s">
        <v>1878</v>
      </c>
      <c r="D89" s="134" t="s">
        <v>355</v>
      </c>
      <c r="E89" s="134"/>
      <c r="F89" s="134"/>
      <c r="G89" s="134"/>
      <c r="H89" s="179"/>
      <c r="I89" s="179" t="s">
        <v>1879</v>
      </c>
      <c r="J89" s="134" t="s">
        <v>172</v>
      </c>
      <c r="K89" s="134" t="s">
        <v>1750</v>
      </c>
      <c r="L89" s="174" t="s">
        <v>1880</v>
      </c>
      <c r="M89" s="174" t="s">
        <v>1880</v>
      </c>
      <c r="N89" s="151" t="s">
        <v>1881</v>
      </c>
      <c r="O89" s="302"/>
    </row>
    <row r="90" spans="1:15" s="145" customFormat="1" ht="22.5" customHeight="1" x14ac:dyDescent="0.15">
      <c r="A90" s="146">
        <f t="shared" si="1"/>
        <v>87</v>
      </c>
      <c r="B90" s="186" t="s">
        <v>1882</v>
      </c>
      <c r="C90" s="186"/>
      <c r="D90" s="132" t="s">
        <v>246</v>
      </c>
      <c r="E90" s="132"/>
      <c r="F90" s="132"/>
      <c r="G90" s="132"/>
      <c r="H90" s="148"/>
      <c r="I90" s="132" t="s">
        <v>211</v>
      </c>
      <c r="J90" s="132" t="s">
        <v>1381</v>
      </c>
      <c r="K90" s="132" t="s">
        <v>1017</v>
      </c>
      <c r="L90" s="132" t="s">
        <v>1080</v>
      </c>
      <c r="M90" s="132" t="s">
        <v>1080</v>
      </c>
      <c r="N90" s="149" t="s">
        <v>1883</v>
      </c>
      <c r="O90" s="301"/>
    </row>
    <row r="91" spans="1:15" s="145" customFormat="1" ht="22.5" customHeight="1" x14ac:dyDescent="0.15">
      <c r="A91" s="146">
        <f t="shared" si="1"/>
        <v>88</v>
      </c>
      <c r="B91" s="186" t="s">
        <v>1884</v>
      </c>
      <c r="C91" s="186"/>
      <c r="D91" s="132" t="s">
        <v>355</v>
      </c>
      <c r="E91" s="132"/>
      <c r="F91" s="132"/>
      <c r="G91" s="132"/>
      <c r="H91" s="148"/>
      <c r="I91" s="132" t="s">
        <v>211</v>
      </c>
      <c r="J91" s="132" t="s">
        <v>1381</v>
      </c>
      <c r="K91" s="132" t="s">
        <v>1017</v>
      </c>
      <c r="L91" s="132" t="s">
        <v>1080</v>
      </c>
      <c r="M91" s="132" t="s">
        <v>1080</v>
      </c>
      <c r="N91" s="149" t="s">
        <v>1883</v>
      </c>
      <c r="O91" s="301"/>
    </row>
    <row r="92" spans="1:15" s="145" customFormat="1" ht="22.5" customHeight="1" x14ac:dyDescent="0.15">
      <c r="A92" s="146">
        <f t="shared" si="1"/>
        <v>89</v>
      </c>
      <c r="B92" s="186" t="s">
        <v>1885</v>
      </c>
      <c r="C92" s="186" t="s">
        <v>1886</v>
      </c>
      <c r="D92" s="132" t="s">
        <v>246</v>
      </c>
      <c r="E92" s="132"/>
      <c r="F92" s="132" t="s">
        <v>1005</v>
      </c>
      <c r="G92" s="132"/>
      <c r="H92" s="148"/>
      <c r="I92" s="132" t="s">
        <v>211</v>
      </c>
      <c r="J92" s="132" t="s">
        <v>1381</v>
      </c>
      <c r="K92" s="132" t="s">
        <v>1017</v>
      </c>
      <c r="L92" s="132" t="s">
        <v>1080</v>
      </c>
      <c r="M92" s="132" t="s">
        <v>1080</v>
      </c>
      <c r="N92" s="149" t="s">
        <v>1887</v>
      </c>
      <c r="O92" s="301"/>
    </row>
    <row r="93" spans="1:15" s="145" customFormat="1" ht="22.5" x14ac:dyDescent="0.15">
      <c r="A93" s="146">
        <f t="shared" si="1"/>
        <v>90</v>
      </c>
      <c r="B93" s="186" t="s">
        <v>1888</v>
      </c>
      <c r="C93" s="186" t="s">
        <v>1889</v>
      </c>
      <c r="D93" s="132" t="s">
        <v>246</v>
      </c>
      <c r="E93" s="132"/>
      <c r="F93" s="132" t="s">
        <v>1005</v>
      </c>
      <c r="G93" s="132"/>
      <c r="H93" s="148"/>
      <c r="I93" s="132" t="s">
        <v>211</v>
      </c>
      <c r="J93" s="132" t="s">
        <v>1381</v>
      </c>
      <c r="K93" s="132" t="s">
        <v>1017</v>
      </c>
      <c r="L93" s="132" t="s">
        <v>1080</v>
      </c>
      <c r="M93" s="132" t="s">
        <v>1080</v>
      </c>
      <c r="N93" s="149" t="s">
        <v>1887</v>
      </c>
      <c r="O93" s="301"/>
    </row>
    <row r="94" spans="1:15" s="145" customFormat="1" ht="22.5" customHeight="1" x14ac:dyDescent="0.15">
      <c r="A94" s="146">
        <f t="shared" si="1"/>
        <v>91</v>
      </c>
      <c r="B94" s="186" t="s">
        <v>1890</v>
      </c>
      <c r="C94" s="186" t="s">
        <v>1891</v>
      </c>
      <c r="D94" s="132" t="s">
        <v>297</v>
      </c>
      <c r="E94" s="132"/>
      <c r="F94" s="132" t="s">
        <v>1005</v>
      </c>
      <c r="G94" s="132"/>
      <c r="H94" s="148" t="s">
        <v>1892</v>
      </c>
      <c r="I94" s="132" t="s">
        <v>211</v>
      </c>
      <c r="J94" s="132" t="s">
        <v>200</v>
      </c>
      <c r="K94" s="132" t="s">
        <v>1017</v>
      </c>
      <c r="L94" s="132" t="s">
        <v>1080</v>
      </c>
      <c r="M94" s="132" t="s">
        <v>1080</v>
      </c>
      <c r="N94" s="149"/>
      <c r="O94" s="301"/>
    </row>
    <row r="95" spans="1:15" s="145" customFormat="1" ht="22.5" customHeight="1" x14ac:dyDescent="0.15">
      <c r="A95" s="146">
        <f t="shared" si="1"/>
        <v>92</v>
      </c>
      <c r="B95" s="186" t="s">
        <v>1893</v>
      </c>
      <c r="C95" s="186"/>
      <c r="D95" s="132" t="s">
        <v>1894</v>
      </c>
      <c r="E95" s="132">
        <v>4</v>
      </c>
      <c r="F95" s="132" t="s">
        <v>1005</v>
      </c>
      <c r="G95" s="132"/>
      <c r="H95" s="148"/>
      <c r="I95" s="132" t="s">
        <v>211</v>
      </c>
      <c r="J95" s="132" t="s">
        <v>200</v>
      </c>
      <c r="K95" s="132" t="s">
        <v>1017</v>
      </c>
      <c r="L95" s="132" t="s">
        <v>1080</v>
      </c>
      <c r="M95" s="132" t="s">
        <v>1080</v>
      </c>
      <c r="N95" s="149"/>
      <c r="O95" s="301"/>
    </row>
    <row r="96" spans="1:15" s="145" customFormat="1" ht="22.5" customHeight="1" x14ac:dyDescent="0.15">
      <c r="A96" s="146">
        <f t="shared" si="1"/>
        <v>93</v>
      </c>
      <c r="B96" s="186" t="s">
        <v>1895</v>
      </c>
      <c r="C96" s="186"/>
      <c r="D96" s="132" t="s">
        <v>278</v>
      </c>
      <c r="E96" s="132"/>
      <c r="F96" s="132"/>
      <c r="G96" s="132"/>
      <c r="H96" s="148"/>
      <c r="I96" s="132" t="s">
        <v>211</v>
      </c>
      <c r="J96" s="132" t="s">
        <v>200</v>
      </c>
      <c r="K96" s="132" t="s">
        <v>1017</v>
      </c>
      <c r="L96" s="132" t="s">
        <v>1080</v>
      </c>
      <c r="M96" s="132" t="s">
        <v>1080</v>
      </c>
      <c r="N96" s="149"/>
      <c r="O96" s="301"/>
    </row>
    <row r="97" spans="1:15" s="145" customFormat="1" ht="22.5" customHeight="1" x14ac:dyDescent="0.15">
      <c r="A97" s="146">
        <f t="shared" si="1"/>
        <v>94</v>
      </c>
      <c r="B97" s="186" t="s">
        <v>1896</v>
      </c>
      <c r="C97" s="186"/>
      <c r="D97" s="132" t="s">
        <v>1897</v>
      </c>
      <c r="E97" s="132"/>
      <c r="F97" s="132" t="s">
        <v>1005</v>
      </c>
      <c r="G97" s="132"/>
      <c r="H97" s="148"/>
      <c r="I97" s="132" t="s">
        <v>211</v>
      </c>
      <c r="J97" s="132" t="s">
        <v>200</v>
      </c>
      <c r="K97" s="132" t="s">
        <v>1017</v>
      </c>
      <c r="L97" s="132" t="s">
        <v>1080</v>
      </c>
      <c r="M97" s="132" t="s">
        <v>1080</v>
      </c>
      <c r="N97" s="149"/>
      <c r="O97" s="301"/>
    </row>
    <row r="98" spans="1:15" s="145" customFormat="1" ht="22.5" customHeight="1" x14ac:dyDescent="0.15">
      <c r="A98" s="146">
        <f t="shared" si="1"/>
        <v>95</v>
      </c>
      <c r="B98" s="186" t="s">
        <v>1898</v>
      </c>
      <c r="C98" s="186"/>
      <c r="D98" s="132" t="s">
        <v>355</v>
      </c>
      <c r="E98" s="132"/>
      <c r="F98" s="132"/>
      <c r="G98" s="132"/>
      <c r="H98" s="148"/>
      <c r="I98" s="132" t="s">
        <v>211</v>
      </c>
      <c r="J98" s="132" t="s">
        <v>1381</v>
      </c>
      <c r="K98" s="132" t="s">
        <v>1017</v>
      </c>
      <c r="L98" s="132" t="s">
        <v>1080</v>
      </c>
      <c r="M98" s="132" t="s">
        <v>1080</v>
      </c>
      <c r="N98" s="149" t="s">
        <v>1899</v>
      </c>
      <c r="O98" s="301"/>
    </row>
    <row r="99" spans="1:15" s="145" customFormat="1" ht="22.5" customHeight="1" x14ac:dyDescent="0.15">
      <c r="A99" s="146">
        <f t="shared" si="1"/>
        <v>96</v>
      </c>
      <c r="B99" s="186" t="s">
        <v>1900</v>
      </c>
      <c r="C99" s="186"/>
      <c r="D99" s="132" t="s">
        <v>355</v>
      </c>
      <c r="E99" s="132"/>
      <c r="F99" s="132"/>
      <c r="G99" s="132"/>
      <c r="H99" s="148"/>
      <c r="I99" s="132" t="s">
        <v>211</v>
      </c>
      <c r="J99" s="132" t="s">
        <v>1381</v>
      </c>
      <c r="K99" s="132" t="s">
        <v>1017</v>
      </c>
      <c r="L99" s="132" t="s">
        <v>1080</v>
      </c>
      <c r="M99" s="132" t="s">
        <v>1080</v>
      </c>
      <c r="N99" s="149" t="s">
        <v>1899</v>
      </c>
      <c r="O99" s="301"/>
    </row>
    <row r="100" spans="1:15" s="145" customFormat="1" ht="22.5" customHeight="1" x14ac:dyDescent="0.15">
      <c r="A100" s="146">
        <f t="shared" si="1"/>
        <v>97</v>
      </c>
      <c r="B100" s="186" t="s">
        <v>1901</v>
      </c>
      <c r="C100" s="186" t="s">
        <v>1902</v>
      </c>
      <c r="D100" s="132" t="s">
        <v>1004</v>
      </c>
      <c r="E100" s="132">
        <v>240</v>
      </c>
      <c r="F100" s="132" t="s">
        <v>1005</v>
      </c>
      <c r="G100" s="132"/>
      <c r="H100" s="148"/>
      <c r="I100" s="132" t="s">
        <v>211</v>
      </c>
      <c r="J100" s="132" t="s">
        <v>1381</v>
      </c>
      <c r="K100" s="132" t="s">
        <v>1017</v>
      </c>
      <c r="L100" s="132" t="s">
        <v>1080</v>
      </c>
      <c r="M100" s="132" t="s">
        <v>1080</v>
      </c>
      <c r="N100" s="149"/>
      <c r="O100" s="301"/>
    </row>
    <row r="101" spans="1:15" s="145" customFormat="1" ht="22.5" customHeight="1" x14ac:dyDescent="0.15">
      <c r="A101" s="157">
        <f t="shared" si="1"/>
        <v>98</v>
      </c>
      <c r="B101" s="194" t="s">
        <v>814</v>
      </c>
      <c r="C101" s="194"/>
      <c r="D101" s="159" t="s">
        <v>1390</v>
      </c>
      <c r="E101" s="159"/>
      <c r="F101" s="159"/>
      <c r="G101" s="159"/>
      <c r="H101" s="195"/>
      <c r="I101" s="159" t="s">
        <v>211</v>
      </c>
      <c r="J101" s="159" t="s">
        <v>1381</v>
      </c>
      <c r="K101" s="159" t="s">
        <v>1017</v>
      </c>
      <c r="L101" s="159" t="s">
        <v>1080</v>
      </c>
      <c r="M101" s="159" t="s">
        <v>1080</v>
      </c>
      <c r="N101" s="196"/>
      <c r="O101" s="301"/>
    </row>
    <row r="102" spans="1:15" x14ac:dyDescent="0.15">
      <c r="I102" s="255"/>
    </row>
    <row r="103" spans="1:15" x14ac:dyDescent="0.15">
      <c r="I103" s="255"/>
    </row>
    <row r="104" spans="1:15" x14ac:dyDescent="0.15">
      <c r="I104" s="255"/>
    </row>
    <row r="105" spans="1:15" x14ac:dyDescent="0.15">
      <c r="I105" s="255"/>
    </row>
    <row r="106" spans="1:15" x14ac:dyDescent="0.15">
      <c r="I106" s="255"/>
    </row>
    <row r="107" spans="1:15" x14ac:dyDescent="0.15">
      <c r="I107" s="255"/>
    </row>
    <row r="108" spans="1:15" x14ac:dyDescent="0.15">
      <c r="I108" s="255"/>
    </row>
    <row r="109" spans="1:15" x14ac:dyDescent="0.15">
      <c r="I109" s="255"/>
    </row>
    <row r="110" spans="1:15" x14ac:dyDescent="0.15">
      <c r="I110" s="255"/>
    </row>
    <row r="111" spans="1:15" x14ac:dyDescent="0.15">
      <c r="I111" s="255"/>
    </row>
    <row r="112" spans="1:15" x14ac:dyDescent="0.15">
      <c r="I112" s="255"/>
    </row>
    <row r="113" spans="9:9" x14ac:dyDescent="0.15">
      <c r="I113" s="255"/>
    </row>
    <row r="114" spans="9:9" x14ac:dyDescent="0.15">
      <c r="I114" s="255"/>
    </row>
    <row r="115" spans="9:9" x14ac:dyDescent="0.15">
      <c r="I115" s="255"/>
    </row>
    <row r="116" spans="9:9" x14ac:dyDescent="0.15">
      <c r="I116" s="255"/>
    </row>
    <row r="117" spans="9:9" x14ac:dyDescent="0.15">
      <c r="I117" s="255"/>
    </row>
    <row r="118" spans="9:9" x14ac:dyDescent="0.15">
      <c r="I118" s="255"/>
    </row>
    <row r="119" spans="9:9" x14ac:dyDescent="0.15">
      <c r="I119" s="255"/>
    </row>
    <row r="120" spans="9:9" x14ac:dyDescent="0.15">
      <c r="I120" s="255"/>
    </row>
    <row r="121" spans="9:9" x14ac:dyDescent="0.15">
      <c r="I121" s="255"/>
    </row>
    <row r="122" spans="9:9" x14ac:dyDescent="0.15">
      <c r="I122" s="255"/>
    </row>
    <row r="123" spans="9:9" x14ac:dyDescent="0.15">
      <c r="I123" s="255"/>
    </row>
    <row r="124" spans="9:9" x14ac:dyDescent="0.15">
      <c r="I124" s="255"/>
    </row>
    <row r="125" spans="9:9" x14ac:dyDescent="0.15">
      <c r="I125" s="255"/>
    </row>
    <row r="126" spans="9:9" x14ac:dyDescent="0.15">
      <c r="I126" s="255"/>
    </row>
    <row r="127" spans="9:9" x14ac:dyDescent="0.15">
      <c r="I127" s="255"/>
    </row>
    <row r="128" spans="9:9" x14ac:dyDescent="0.15">
      <c r="I128" s="255"/>
    </row>
    <row r="129" spans="9:9" x14ac:dyDescent="0.15">
      <c r="I129" s="255"/>
    </row>
    <row r="130" spans="9:9" x14ac:dyDescent="0.15">
      <c r="I130" s="255"/>
    </row>
    <row r="131" spans="9:9" x14ac:dyDescent="0.15">
      <c r="I131" s="255"/>
    </row>
    <row r="132" spans="9:9" x14ac:dyDescent="0.15">
      <c r="I132" s="255"/>
    </row>
    <row r="133" spans="9:9" x14ac:dyDescent="0.15">
      <c r="I133" s="255"/>
    </row>
  </sheetData>
  <autoFilter ref="A3:O101" xr:uid="{270312C5-0E9B-4BBD-92C4-AF84CE642E01}"/>
  <mergeCells count="8">
    <mergeCell ref="K2:K3"/>
    <mergeCell ref="L2:M2"/>
    <mergeCell ref="N2:N3"/>
    <mergeCell ref="J2:J3"/>
    <mergeCell ref="A2:A3"/>
    <mergeCell ref="H2:H3"/>
    <mergeCell ref="I2:I3"/>
    <mergeCell ref="B2:G2"/>
  </mergeCells>
  <phoneticPr fontId="4"/>
  <pageMargins left="0.19685039370078741" right="0.19685039370078741" top="0.78740157480314965" bottom="0.31496062992125984" header="0.47244094488188981" footer="0.15748031496062992"/>
  <pageSetup paperSize="9" scale="44" fitToHeight="0" orientation="landscape" horizontalDpi="4294967292" verticalDpi="300" r:id="rId1"/>
  <headerFooter alignWithMargins="0">
    <oddHeader>&amp;C&amp;A
（単品販売詳細）&amp;R&amp;UFUJITSU CONFIDENTIAL</oddHeader>
    <oddFooter>&amp;C－&amp;P－&amp;RAll Rights Reserved, Copyright(c) Fujitsu  Limited 2024</oddFooter>
  </headerFooter>
  <rowBreaks count="1" manualBreakCount="1">
    <brk id="66" max="23" man="1"/>
  </rowBreaks>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1127B6-2653-4E32-AAA0-12C0561C7CD8}">
  <sheetPr>
    <pageSetUpPr fitToPage="1"/>
  </sheetPr>
  <dimension ref="A1:O55"/>
  <sheetViews>
    <sheetView showGridLines="0" zoomScaleNormal="100" zoomScaleSheetLayoutView="100" workbookViewId="0">
      <pane xSplit="3" ySplit="3" topLeftCell="H15" activePane="bottomRight" state="frozen"/>
      <selection pane="topRight" activeCell="F1" sqref="F1"/>
      <selection pane="bottomLeft" activeCell="A4" sqref="A4"/>
      <selection pane="bottomRight" activeCell="I14" sqref="I14"/>
    </sheetView>
  </sheetViews>
  <sheetFormatPr defaultColWidth="9" defaultRowHeight="13.5" x14ac:dyDescent="0.15"/>
  <cols>
    <col min="1" max="1" width="12.375" style="4" customWidth="1"/>
    <col min="2" max="2" width="24.375" style="3" customWidth="1"/>
    <col min="3" max="3" width="27.375" style="3" customWidth="1"/>
    <col min="4" max="4" width="10" style="4" customWidth="1"/>
    <col min="5" max="5" width="8.375" style="4" customWidth="1"/>
    <col min="6" max="6" width="7.125" style="4" customWidth="1"/>
    <col min="7" max="7" width="9" style="4" customWidth="1"/>
    <col min="8" max="8" width="33.375" style="13" customWidth="1"/>
    <col min="9" max="9" width="53" style="13" customWidth="1"/>
    <col min="10" max="10" width="11.375" style="1" customWidth="1"/>
    <col min="11" max="11" width="8.875" style="28" customWidth="1"/>
    <col min="12" max="13" width="24.375" style="1" customWidth="1"/>
    <col min="14" max="14" width="59.375" customWidth="1"/>
    <col min="15" max="15" width="9" style="304" customWidth="1"/>
    <col min="16" max="16384" width="9" style="12"/>
  </cols>
  <sheetData>
    <row r="1" spans="1:15" ht="52.9" customHeight="1" x14ac:dyDescent="0.15">
      <c r="A1" s="1103" t="s">
        <v>976</v>
      </c>
      <c r="B1" s="1104"/>
      <c r="C1" s="1105" t="s">
        <v>1903</v>
      </c>
      <c r="D1" s="1106"/>
      <c r="E1" s="1106"/>
      <c r="F1" s="1106"/>
      <c r="G1" s="1106"/>
      <c r="H1" s="1117"/>
      <c r="I1" s="1118"/>
      <c r="J1" s="1106"/>
      <c r="K1" s="1107"/>
      <c r="L1" s="1108"/>
      <c r="M1" s="1117"/>
      <c r="N1" s="1117"/>
    </row>
    <row r="2" spans="1:15" x14ac:dyDescent="0.15">
      <c r="A2" s="1319" t="s">
        <v>982</v>
      </c>
      <c r="B2" s="1323" t="s">
        <v>983</v>
      </c>
      <c r="C2" s="1312"/>
      <c r="D2" s="1312"/>
      <c r="E2" s="1312"/>
      <c r="F2" s="1312"/>
      <c r="G2" s="1313"/>
      <c r="H2" s="1331" t="s">
        <v>984</v>
      </c>
      <c r="I2" s="1328" t="s">
        <v>985</v>
      </c>
      <c r="J2" s="1326" t="s">
        <v>986</v>
      </c>
      <c r="K2" s="1321" t="s">
        <v>987</v>
      </c>
      <c r="L2" s="1321" t="s">
        <v>1658</v>
      </c>
      <c r="M2" s="1335"/>
      <c r="N2" s="1338" t="s">
        <v>711</v>
      </c>
    </row>
    <row r="3" spans="1:15" ht="22.5" x14ac:dyDescent="0.15">
      <c r="A3" s="1320"/>
      <c r="B3" s="1093" t="s">
        <v>226</v>
      </c>
      <c r="C3" s="1093" t="s">
        <v>989</v>
      </c>
      <c r="D3" s="1092" t="s">
        <v>228</v>
      </c>
      <c r="E3" s="1092" t="s">
        <v>229</v>
      </c>
      <c r="F3" s="1093" t="s">
        <v>990</v>
      </c>
      <c r="G3" s="1092" t="s">
        <v>230</v>
      </c>
      <c r="H3" s="1332"/>
      <c r="I3" s="1329"/>
      <c r="J3" s="1327"/>
      <c r="K3" s="1330"/>
      <c r="L3" s="108" t="s">
        <v>1659</v>
      </c>
      <c r="M3" s="108" t="s">
        <v>1660</v>
      </c>
      <c r="N3" s="1339"/>
    </row>
    <row r="4" spans="1:15" ht="101.25" x14ac:dyDescent="0.15">
      <c r="A4" s="648">
        <v>1</v>
      </c>
      <c r="B4" s="649" t="s">
        <v>244</v>
      </c>
      <c r="C4" s="649" t="s">
        <v>245</v>
      </c>
      <c r="D4" s="650" t="s">
        <v>246</v>
      </c>
      <c r="E4" s="650"/>
      <c r="F4" s="650"/>
      <c r="G4" s="650" t="s">
        <v>247</v>
      </c>
      <c r="H4" s="651" t="s">
        <v>1661</v>
      </c>
      <c r="I4" s="650" t="s">
        <v>211</v>
      </c>
      <c r="J4" s="650" t="s">
        <v>172</v>
      </c>
      <c r="K4" s="652" t="s">
        <v>1020</v>
      </c>
      <c r="L4" s="650" t="s">
        <v>1904</v>
      </c>
      <c r="M4" s="650" t="s">
        <v>1904</v>
      </c>
      <c r="N4" s="653"/>
    </row>
    <row r="5" spans="1:15" s="205" customFormat="1" ht="33.75" x14ac:dyDescent="0.15">
      <c r="A5" s="146">
        <f>A4+1</f>
        <v>2</v>
      </c>
      <c r="B5" s="193" t="s">
        <v>248</v>
      </c>
      <c r="C5" s="193" t="s">
        <v>249</v>
      </c>
      <c r="D5" s="132" t="s">
        <v>250</v>
      </c>
      <c r="E5" s="132"/>
      <c r="F5" s="132"/>
      <c r="G5" s="132" t="s">
        <v>247</v>
      </c>
      <c r="H5" s="186" t="s">
        <v>1016</v>
      </c>
      <c r="I5" s="153" t="s">
        <v>211</v>
      </c>
      <c r="J5" s="132" t="s">
        <v>200</v>
      </c>
      <c r="K5" s="203" t="s">
        <v>1017</v>
      </c>
      <c r="L5" s="132" t="s">
        <v>1018</v>
      </c>
      <c r="M5" s="132" t="s">
        <v>1018</v>
      </c>
      <c r="N5" s="204"/>
      <c r="O5" s="305"/>
    </row>
    <row r="6" spans="1:15" ht="33.75" x14ac:dyDescent="0.15">
      <c r="A6" s="138">
        <f t="shared" ref="A6:A30" si="0">A5+1</f>
        <v>3</v>
      </c>
      <c r="B6" s="254" t="s">
        <v>257</v>
      </c>
      <c r="C6" s="254" t="s">
        <v>258</v>
      </c>
      <c r="D6" s="134" t="s">
        <v>250</v>
      </c>
      <c r="E6" s="134"/>
      <c r="F6" s="134"/>
      <c r="G6" s="134" t="s">
        <v>247</v>
      </c>
      <c r="H6" s="179"/>
      <c r="I6" s="179" t="s">
        <v>458</v>
      </c>
      <c r="J6" s="134" t="s">
        <v>172</v>
      </c>
      <c r="K6" s="197" t="s">
        <v>1020</v>
      </c>
      <c r="L6" s="134" t="s">
        <v>1034</v>
      </c>
      <c r="M6" s="134" t="s">
        <v>1034</v>
      </c>
      <c r="N6" s="198"/>
    </row>
    <row r="7" spans="1:15" ht="94.15" customHeight="1" x14ac:dyDescent="0.15">
      <c r="A7" s="138">
        <f t="shared" si="0"/>
        <v>4</v>
      </c>
      <c r="B7" s="254" t="s">
        <v>263</v>
      </c>
      <c r="C7" s="254" t="s">
        <v>264</v>
      </c>
      <c r="D7" s="134" t="s">
        <v>246</v>
      </c>
      <c r="E7" s="134"/>
      <c r="F7" s="134"/>
      <c r="G7" s="134"/>
      <c r="H7" s="179" t="s">
        <v>1905</v>
      </c>
      <c r="I7" s="175"/>
      <c r="J7" s="134" t="s">
        <v>172</v>
      </c>
      <c r="K7" s="197" t="s">
        <v>1020</v>
      </c>
      <c r="L7" s="134" t="s">
        <v>1906</v>
      </c>
      <c r="M7" s="134" t="s">
        <v>1906</v>
      </c>
      <c r="N7" s="198"/>
      <c r="O7" s="304" t="s">
        <v>1023</v>
      </c>
    </row>
    <row r="8" spans="1:15" ht="143.44999999999999" customHeight="1" x14ac:dyDescent="0.15">
      <c r="A8" s="138">
        <f t="shared" si="0"/>
        <v>5</v>
      </c>
      <c r="B8" s="254" t="s">
        <v>270</v>
      </c>
      <c r="C8" s="254" t="s">
        <v>271</v>
      </c>
      <c r="D8" s="134" t="s">
        <v>355</v>
      </c>
      <c r="E8" s="134"/>
      <c r="F8" s="134" t="s">
        <v>1005</v>
      </c>
      <c r="G8" s="134"/>
      <c r="H8" s="179"/>
      <c r="I8" s="155" t="s">
        <v>211</v>
      </c>
      <c r="J8" s="134" t="s">
        <v>172</v>
      </c>
      <c r="K8" s="197" t="s">
        <v>1020</v>
      </c>
      <c r="L8" s="174" t="s">
        <v>1907</v>
      </c>
      <c r="M8" s="174" t="s">
        <v>1907</v>
      </c>
      <c r="N8" s="179"/>
    </row>
    <row r="9" spans="1:15" ht="223.9" customHeight="1" x14ac:dyDescent="0.15">
      <c r="A9" s="138">
        <f t="shared" si="0"/>
        <v>6</v>
      </c>
      <c r="B9" s="254" t="s">
        <v>276</v>
      </c>
      <c r="C9" s="254" t="s">
        <v>277</v>
      </c>
      <c r="D9" s="134" t="s">
        <v>278</v>
      </c>
      <c r="E9" s="134"/>
      <c r="F9" s="134" t="s">
        <v>1005</v>
      </c>
      <c r="G9" s="134"/>
      <c r="H9" s="173" t="s">
        <v>1908</v>
      </c>
      <c r="I9" s="173" t="s">
        <v>1909</v>
      </c>
      <c r="J9" s="134" t="s">
        <v>172</v>
      </c>
      <c r="K9" s="197" t="s">
        <v>1020</v>
      </c>
      <c r="L9" s="134" t="s">
        <v>1910</v>
      </c>
      <c r="M9" s="134" t="s">
        <v>1910</v>
      </c>
      <c r="N9" s="179"/>
    </row>
    <row r="10" spans="1:15" ht="360" x14ac:dyDescent="0.15">
      <c r="A10" s="138">
        <f t="shared" si="0"/>
        <v>7</v>
      </c>
      <c r="B10" s="254" t="s">
        <v>285</v>
      </c>
      <c r="C10" s="254" t="s">
        <v>286</v>
      </c>
      <c r="D10" s="134" t="s">
        <v>250</v>
      </c>
      <c r="E10" s="134"/>
      <c r="F10" s="134" t="s">
        <v>1005</v>
      </c>
      <c r="G10" s="134" t="s">
        <v>1911</v>
      </c>
      <c r="H10" s="173" t="s">
        <v>1912</v>
      </c>
      <c r="I10" s="173" t="s">
        <v>1913</v>
      </c>
      <c r="J10" s="134" t="s">
        <v>172</v>
      </c>
      <c r="K10" s="197" t="s">
        <v>1020</v>
      </c>
      <c r="L10" s="134" t="s">
        <v>1914</v>
      </c>
      <c r="M10" s="134" t="s">
        <v>1914</v>
      </c>
      <c r="N10" s="179"/>
      <c r="O10" s="304" t="s">
        <v>1915</v>
      </c>
    </row>
    <row r="11" spans="1:15" s="205" customFormat="1" ht="22.5" x14ac:dyDescent="0.15">
      <c r="A11" s="146">
        <f t="shared" si="0"/>
        <v>8</v>
      </c>
      <c r="B11" s="193" t="s">
        <v>290</v>
      </c>
      <c r="C11" s="193" t="s">
        <v>291</v>
      </c>
      <c r="D11" s="152" t="s">
        <v>246</v>
      </c>
      <c r="E11" s="152"/>
      <c r="F11" s="152"/>
      <c r="G11" s="152"/>
      <c r="H11" s="186" t="s">
        <v>1916</v>
      </c>
      <c r="I11" s="132" t="s">
        <v>211</v>
      </c>
      <c r="J11" s="132" t="s">
        <v>200</v>
      </c>
      <c r="K11" s="203" t="s">
        <v>1017</v>
      </c>
      <c r="L11" s="132" t="s">
        <v>1069</v>
      </c>
      <c r="M11" s="132" t="s">
        <v>1069</v>
      </c>
      <c r="N11" s="186" t="s">
        <v>1917</v>
      </c>
      <c r="O11" s="305"/>
    </row>
    <row r="12" spans="1:15" s="205" customFormat="1" ht="22.5" x14ac:dyDescent="0.15">
      <c r="A12" s="146">
        <f t="shared" si="0"/>
        <v>9</v>
      </c>
      <c r="B12" s="193" t="s">
        <v>298</v>
      </c>
      <c r="C12" s="193" t="s">
        <v>299</v>
      </c>
      <c r="D12" s="152" t="s">
        <v>237</v>
      </c>
      <c r="E12" s="152">
        <v>24</v>
      </c>
      <c r="F12" s="132" t="s">
        <v>1005</v>
      </c>
      <c r="G12" s="152" t="s">
        <v>1911</v>
      </c>
      <c r="H12" s="186" t="s">
        <v>1918</v>
      </c>
      <c r="I12" s="152" t="s">
        <v>211</v>
      </c>
      <c r="J12" s="132" t="s">
        <v>200</v>
      </c>
      <c r="K12" s="203" t="s">
        <v>1017</v>
      </c>
      <c r="L12" s="132" t="s">
        <v>1069</v>
      </c>
      <c r="M12" s="132" t="s">
        <v>1069</v>
      </c>
      <c r="N12" s="207"/>
      <c r="O12" s="305"/>
    </row>
    <row r="13" spans="1:15" ht="33.75" x14ac:dyDescent="0.15">
      <c r="A13" s="138">
        <f t="shared" si="0"/>
        <v>10</v>
      </c>
      <c r="B13" s="254" t="s">
        <v>304</v>
      </c>
      <c r="C13" s="254" t="s">
        <v>305</v>
      </c>
      <c r="D13" s="154" t="s">
        <v>237</v>
      </c>
      <c r="E13" s="154">
        <v>12</v>
      </c>
      <c r="F13" s="134" t="s">
        <v>1005</v>
      </c>
      <c r="G13" s="154" t="s">
        <v>1911</v>
      </c>
      <c r="H13" s="179" t="s">
        <v>1919</v>
      </c>
      <c r="I13" s="154" t="s">
        <v>211</v>
      </c>
      <c r="J13" s="134" t="s">
        <v>172</v>
      </c>
      <c r="K13" s="197" t="s">
        <v>1020</v>
      </c>
      <c r="L13" s="134" t="s">
        <v>1920</v>
      </c>
      <c r="M13" s="134" t="s">
        <v>1920</v>
      </c>
      <c r="N13" s="179" t="s">
        <v>1921</v>
      </c>
    </row>
    <row r="14" spans="1:15" ht="148.9" customHeight="1" x14ac:dyDescent="0.15">
      <c r="A14" s="138">
        <f t="shared" si="0"/>
        <v>11</v>
      </c>
      <c r="B14" s="254" t="s">
        <v>309</v>
      </c>
      <c r="C14" s="254" t="s">
        <v>310</v>
      </c>
      <c r="D14" s="154" t="s">
        <v>237</v>
      </c>
      <c r="E14" s="154">
        <v>6</v>
      </c>
      <c r="F14" s="134" t="s">
        <v>1005</v>
      </c>
      <c r="G14" s="154" t="s">
        <v>1911</v>
      </c>
      <c r="H14" s="179" t="s">
        <v>1922</v>
      </c>
      <c r="I14" s="173" t="s">
        <v>1923</v>
      </c>
      <c r="J14" s="134" t="s">
        <v>172</v>
      </c>
      <c r="K14" s="197" t="s">
        <v>1020</v>
      </c>
      <c r="L14" s="174" t="s">
        <v>1924</v>
      </c>
      <c r="M14" s="174" t="s">
        <v>1924</v>
      </c>
      <c r="N14" s="179"/>
      <c r="O14" s="304" t="s">
        <v>1292</v>
      </c>
    </row>
    <row r="15" spans="1:15" ht="204.6" customHeight="1" x14ac:dyDescent="0.15">
      <c r="A15" s="138">
        <f t="shared" si="0"/>
        <v>12</v>
      </c>
      <c r="B15" s="254" t="s">
        <v>315</v>
      </c>
      <c r="C15" s="254" t="s">
        <v>316</v>
      </c>
      <c r="D15" s="154" t="s">
        <v>250</v>
      </c>
      <c r="E15" s="154"/>
      <c r="F15" s="134" t="s">
        <v>1005</v>
      </c>
      <c r="G15" s="154" t="s">
        <v>1911</v>
      </c>
      <c r="H15" s="179" t="s">
        <v>1925</v>
      </c>
      <c r="I15" s="173" t="s">
        <v>1926</v>
      </c>
      <c r="J15" s="134" t="s">
        <v>172</v>
      </c>
      <c r="K15" s="197" t="s">
        <v>1020</v>
      </c>
      <c r="L15" s="174" t="s">
        <v>1927</v>
      </c>
      <c r="M15" s="174" t="s">
        <v>1927</v>
      </c>
      <c r="N15" s="179"/>
      <c r="O15" s="304" t="s">
        <v>1023</v>
      </c>
    </row>
    <row r="16" spans="1:15" s="205" customFormat="1" ht="22.5" x14ac:dyDescent="0.15">
      <c r="A16" s="146">
        <f t="shared" si="0"/>
        <v>13</v>
      </c>
      <c r="B16" s="193" t="s">
        <v>1928</v>
      </c>
      <c r="C16" s="193" t="s">
        <v>1929</v>
      </c>
      <c r="D16" s="152" t="s">
        <v>246</v>
      </c>
      <c r="E16" s="152"/>
      <c r="F16" s="132" t="s">
        <v>1005</v>
      </c>
      <c r="G16" s="152"/>
      <c r="H16" s="186" t="s">
        <v>1930</v>
      </c>
      <c r="I16" s="148"/>
      <c r="J16" s="132" t="s">
        <v>200</v>
      </c>
      <c r="K16" s="203" t="s">
        <v>1017</v>
      </c>
      <c r="L16" s="132" t="s">
        <v>1069</v>
      </c>
      <c r="M16" s="132" t="s">
        <v>1069</v>
      </c>
      <c r="N16" s="186" t="s">
        <v>1699</v>
      </c>
      <c r="O16" s="305"/>
    </row>
    <row r="17" spans="1:15" s="205" customFormat="1" ht="22.5" x14ac:dyDescent="0.15">
      <c r="A17" s="146">
        <f t="shared" si="0"/>
        <v>14</v>
      </c>
      <c r="B17" s="193" t="s">
        <v>1931</v>
      </c>
      <c r="C17" s="193" t="s">
        <v>1932</v>
      </c>
      <c r="D17" s="152" t="s">
        <v>246</v>
      </c>
      <c r="E17" s="152"/>
      <c r="F17" s="132" t="s">
        <v>1005</v>
      </c>
      <c r="G17" s="152"/>
      <c r="H17" s="186" t="s">
        <v>1933</v>
      </c>
      <c r="I17" s="148"/>
      <c r="J17" s="132" t="s">
        <v>200</v>
      </c>
      <c r="K17" s="203" t="s">
        <v>1017</v>
      </c>
      <c r="L17" s="132" t="s">
        <v>1069</v>
      </c>
      <c r="M17" s="132" t="s">
        <v>1069</v>
      </c>
      <c r="N17" s="186" t="s">
        <v>1934</v>
      </c>
      <c r="O17" s="305"/>
    </row>
    <row r="18" spans="1:15" ht="163.15" customHeight="1" x14ac:dyDescent="0.15">
      <c r="A18" s="138">
        <f t="shared" si="0"/>
        <v>15</v>
      </c>
      <c r="B18" s="254" t="s">
        <v>331</v>
      </c>
      <c r="C18" s="254" t="s">
        <v>1935</v>
      </c>
      <c r="D18" s="154" t="s">
        <v>237</v>
      </c>
      <c r="E18" s="154">
        <v>7</v>
      </c>
      <c r="F18" s="134" t="s">
        <v>1005</v>
      </c>
      <c r="G18" s="154"/>
      <c r="H18" s="179"/>
      <c r="I18" s="173" t="s">
        <v>1936</v>
      </c>
      <c r="J18" s="134" t="s">
        <v>172</v>
      </c>
      <c r="K18" s="197" t="s">
        <v>1020</v>
      </c>
      <c r="L18" s="174" t="s">
        <v>1937</v>
      </c>
      <c r="M18" s="174" t="s">
        <v>1937</v>
      </c>
      <c r="N18" s="179"/>
      <c r="O18" s="304" t="s">
        <v>1040</v>
      </c>
    </row>
    <row r="19" spans="1:15" s="205" customFormat="1" ht="13.5" customHeight="1" x14ac:dyDescent="0.15">
      <c r="A19" s="146">
        <f t="shared" si="0"/>
        <v>16</v>
      </c>
      <c r="B19" s="193" t="s">
        <v>1938</v>
      </c>
      <c r="C19" s="193"/>
      <c r="D19" s="152" t="s">
        <v>237</v>
      </c>
      <c r="E19" s="152">
        <v>60</v>
      </c>
      <c r="F19" s="132" t="s">
        <v>1005</v>
      </c>
      <c r="G19" s="152"/>
      <c r="H19" s="186"/>
      <c r="I19" s="148"/>
      <c r="J19" s="132" t="s">
        <v>200</v>
      </c>
      <c r="K19" s="203" t="s">
        <v>1017</v>
      </c>
      <c r="L19" s="132" t="s">
        <v>1939</v>
      </c>
      <c r="M19" s="132" t="s">
        <v>1939</v>
      </c>
      <c r="N19" s="186" t="s">
        <v>1699</v>
      </c>
      <c r="O19" s="305"/>
    </row>
    <row r="20" spans="1:15" s="205" customFormat="1" ht="33.75" x14ac:dyDescent="0.15">
      <c r="A20" s="146">
        <f t="shared" si="0"/>
        <v>17</v>
      </c>
      <c r="B20" s="193" t="s">
        <v>1940</v>
      </c>
      <c r="C20" s="193"/>
      <c r="D20" s="152" t="s">
        <v>278</v>
      </c>
      <c r="E20" s="152"/>
      <c r="F20" s="132"/>
      <c r="G20" s="152"/>
      <c r="H20" s="186"/>
      <c r="I20" s="186" t="s">
        <v>1941</v>
      </c>
      <c r="J20" s="132" t="s">
        <v>200</v>
      </c>
      <c r="K20" s="203" t="s">
        <v>1017</v>
      </c>
      <c r="L20" s="132" t="s">
        <v>1018</v>
      </c>
      <c r="M20" s="132" t="s">
        <v>1018</v>
      </c>
      <c r="N20" s="186" t="s">
        <v>1942</v>
      </c>
      <c r="O20" s="305"/>
    </row>
    <row r="21" spans="1:15" s="205" customFormat="1" ht="33.75" x14ac:dyDescent="0.15">
      <c r="A21" s="146">
        <f t="shared" si="0"/>
        <v>18</v>
      </c>
      <c r="B21" s="193" t="s">
        <v>1943</v>
      </c>
      <c r="C21" s="193"/>
      <c r="D21" s="152" t="s">
        <v>278</v>
      </c>
      <c r="E21" s="152"/>
      <c r="F21" s="132"/>
      <c r="G21" s="152"/>
      <c r="H21" s="186"/>
      <c r="I21" s="186" t="s">
        <v>1941</v>
      </c>
      <c r="J21" s="132" t="s">
        <v>200</v>
      </c>
      <c r="K21" s="203" t="s">
        <v>1017</v>
      </c>
      <c r="L21" s="132" t="s">
        <v>1018</v>
      </c>
      <c r="M21" s="132" t="s">
        <v>1018</v>
      </c>
      <c r="N21" s="186" t="s">
        <v>1942</v>
      </c>
      <c r="O21" s="305"/>
    </row>
    <row r="22" spans="1:15" s="205" customFormat="1" ht="22.5" x14ac:dyDescent="0.15">
      <c r="A22" s="146">
        <f t="shared" si="0"/>
        <v>19</v>
      </c>
      <c r="B22" s="193" t="s">
        <v>1944</v>
      </c>
      <c r="C22" s="193"/>
      <c r="D22" s="152" t="s">
        <v>250</v>
      </c>
      <c r="E22" s="152"/>
      <c r="F22" s="132" t="s">
        <v>1017</v>
      </c>
      <c r="G22" s="152"/>
      <c r="H22" s="186"/>
      <c r="I22" s="186" t="s">
        <v>1945</v>
      </c>
      <c r="J22" s="132" t="s">
        <v>200</v>
      </c>
      <c r="K22" s="203" t="s">
        <v>1017</v>
      </c>
      <c r="L22" s="132" t="s">
        <v>1069</v>
      </c>
      <c r="M22" s="132" t="s">
        <v>1069</v>
      </c>
      <c r="N22" s="186" t="s">
        <v>1946</v>
      </c>
      <c r="O22" s="305"/>
    </row>
    <row r="23" spans="1:15" s="205" customFormat="1" ht="30.6" customHeight="1" x14ac:dyDescent="0.15">
      <c r="A23" s="146">
        <f t="shared" si="0"/>
        <v>20</v>
      </c>
      <c r="B23" s="193" t="s">
        <v>1947</v>
      </c>
      <c r="C23" s="193"/>
      <c r="D23" s="152" t="s">
        <v>278</v>
      </c>
      <c r="E23" s="152"/>
      <c r="F23" s="132"/>
      <c r="G23" s="152"/>
      <c r="H23" s="186"/>
      <c r="I23" s="186" t="s">
        <v>1945</v>
      </c>
      <c r="J23" s="132" t="s">
        <v>200</v>
      </c>
      <c r="K23" s="203" t="s">
        <v>1017</v>
      </c>
      <c r="L23" s="132" t="s">
        <v>1069</v>
      </c>
      <c r="M23" s="132" t="s">
        <v>1069</v>
      </c>
      <c r="N23" s="186" t="s">
        <v>1948</v>
      </c>
      <c r="O23" s="305"/>
    </row>
    <row r="24" spans="1:15" s="205" customFormat="1" ht="22.5" x14ac:dyDescent="0.15">
      <c r="A24" s="146">
        <f t="shared" si="0"/>
        <v>21</v>
      </c>
      <c r="B24" s="193" t="s">
        <v>1949</v>
      </c>
      <c r="C24" s="193"/>
      <c r="D24" s="152" t="s">
        <v>237</v>
      </c>
      <c r="E24" s="152">
        <v>26</v>
      </c>
      <c r="F24" s="132" t="s">
        <v>1017</v>
      </c>
      <c r="G24" s="152"/>
      <c r="H24" s="186"/>
      <c r="I24" s="186" t="s">
        <v>1950</v>
      </c>
      <c r="J24" s="132" t="s">
        <v>200</v>
      </c>
      <c r="K24" s="203" t="s">
        <v>1017</v>
      </c>
      <c r="L24" s="132" t="s">
        <v>1069</v>
      </c>
      <c r="M24" s="132" t="s">
        <v>1069</v>
      </c>
      <c r="N24" s="186"/>
      <c r="O24" s="305"/>
    </row>
    <row r="25" spans="1:15" s="205" customFormat="1" ht="22.5" x14ac:dyDescent="0.15">
      <c r="A25" s="146">
        <f t="shared" si="0"/>
        <v>22</v>
      </c>
      <c r="B25" s="193" t="s">
        <v>1951</v>
      </c>
      <c r="C25" s="193"/>
      <c r="D25" s="152" t="s">
        <v>237</v>
      </c>
      <c r="E25" s="152">
        <v>15</v>
      </c>
      <c r="F25" s="132" t="s">
        <v>1017</v>
      </c>
      <c r="G25" s="152"/>
      <c r="H25" s="186"/>
      <c r="I25" s="186" t="s">
        <v>1950</v>
      </c>
      <c r="J25" s="132" t="s">
        <v>200</v>
      </c>
      <c r="K25" s="203" t="s">
        <v>1017</v>
      </c>
      <c r="L25" s="132" t="s">
        <v>1069</v>
      </c>
      <c r="M25" s="132" t="s">
        <v>1069</v>
      </c>
      <c r="N25" s="186"/>
      <c r="O25" s="305"/>
    </row>
    <row r="26" spans="1:15" s="205" customFormat="1" ht="22.5" x14ac:dyDescent="0.15">
      <c r="A26" s="146">
        <f t="shared" si="0"/>
        <v>23</v>
      </c>
      <c r="B26" s="193" t="s">
        <v>1952</v>
      </c>
      <c r="C26" s="193"/>
      <c r="D26" s="152" t="s">
        <v>355</v>
      </c>
      <c r="E26" s="152"/>
      <c r="F26" s="132"/>
      <c r="G26" s="152"/>
      <c r="H26" s="186"/>
      <c r="I26" s="186" t="s">
        <v>1945</v>
      </c>
      <c r="J26" s="132" t="s">
        <v>200</v>
      </c>
      <c r="K26" s="203" t="s">
        <v>1017</v>
      </c>
      <c r="L26" s="132" t="s">
        <v>1069</v>
      </c>
      <c r="M26" s="132" t="s">
        <v>1069</v>
      </c>
      <c r="N26" s="186"/>
      <c r="O26" s="305"/>
    </row>
    <row r="27" spans="1:15" s="205" customFormat="1" ht="22.5" x14ac:dyDescent="0.15">
      <c r="A27" s="146">
        <f t="shared" si="0"/>
        <v>24</v>
      </c>
      <c r="B27" s="193" t="s">
        <v>1953</v>
      </c>
      <c r="C27" s="193"/>
      <c r="D27" s="152" t="s">
        <v>246</v>
      </c>
      <c r="E27" s="152"/>
      <c r="F27" s="132" t="s">
        <v>1017</v>
      </c>
      <c r="G27" s="152"/>
      <c r="H27" s="186"/>
      <c r="I27" s="186" t="s">
        <v>872</v>
      </c>
      <c r="J27" s="132" t="s">
        <v>200</v>
      </c>
      <c r="K27" s="203" t="s">
        <v>1017</v>
      </c>
      <c r="L27" s="132" t="s">
        <v>1069</v>
      </c>
      <c r="M27" s="132" t="s">
        <v>1069</v>
      </c>
      <c r="N27" s="186"/>
      <c r="O27" s="305"/>
    </row>
    <row r="28" spans="1:15" s="205" customFormat="1" ht="22.5" x14ac:dyDescent="0.15">
      <c r="A28" s="146">
        <f t="shared" si="0"/>
        <v>25</v>
      </c>
      <c r="B28" s="193" t="s">
        <v>1954</v>
      </c>
      <c r="C28" s="193"/>
      <c r="D28" s="152" t="s">
        <v>237</v>
      </c>
      <c r="E28" s="152">
        <v>26</v>
      </c>
      <c r="F28" s="132" t="s">
        <v>1017</v>
      </c>
      <c r="G28" s="152"/>
      <c r="H28" s="186"/>
      <c r="I28" s="186" t="s">
        <v>1950</v>
      </c>
      <c r="J28" s="132" t="s">
        <v>200</v>
      </c>
      <c r="K28" s="203" t="s">
        <v>1017</v>
      </c>
      <c r="L28" s="132" t="s">
        <v>1069</v>
      </c>
      <c r="M28" s="132" t="s">
        <v>1069</v>
      </c>
      <c r="N28" s="186"/>
      <c r="O28" s="305"/>
    </row>
    <row r="29" spans="1:15" s="124" customFormat="1" ht="22.5" x14ac:dyDescent="0.15">
      <c r="A29" s="138">
        <f t="shared" si="0"/>
        <v>26</v>
      </c>
      <c r="B29" s="254" t="s">
        <v>853</v>
      </c>
      <c r="C29" s="254" t="s">
        <v>1955</v>
      </c>
      <c r="D29" s="134" t="s">
        <v>278</v>
      </c>
      <c r="E29" s="134"/>
      <c r="F29" s="134" t="s">
        <v>1005</v>
      </c>
      <c r="G29" s="134"/>
      <c r="H29" s="179" t="s">
        <v>1956</v>
      </c>
      <c r="I29" s="179" t="s">
        <v>1957</v>
      </c>
      <c r="J29" s="134" t="s">
        <v>172</v>
      </c>
      <c r="K29" s="197" t="s">
        <v>1020</v>
      </c>
      <c r="L29" s="174" t="s">
        <v>1958</v>
      </c>
      <c r="M29" s="174" t="s">
        <v>1958</v>
      </c>
      <c r="N29" s="179"/>
      <c r="O29" s="304"/>
    </row>
    <row r="30" spans="1:15" s="124" customFormat="1" ht="303.75" x14ac:dyDescent="0.15">
      <c r="A30" s="141">
        <f t="shared" si="0"/>
        <v>27</v>
      </c>
      <c r="B30" s="257" t="s">
        <v>1959</v>
      </c>
      <c r="C30" s="257" t="s">
        <v>1960</v>
      </c>
      <c r="D30" s="199" t="s">
        <v>237</v>
      </c>
      <c r="E30" s="143">
        <v>18</v>
      </c>
      <c r="F30" s="143" t="s">
        <v>1005</v>
      </c>
      <c r="G30" s="143"/>
      <c r="H30" s="202" t="s">
        <v>1961</v>
      </c>
      <c r="I30" s="200"/>
      <c r="J30" s="143" t="s">
        <v>172</v>
      </c>
      <c r="K30" s="201" t="s">
        <v>1007</v>
      </c>
      <c r="L30" s="143" t="s">
        <v>1962</v>
      </c>
      <c r="M30" s="143" t="s">
        <v>1962</v>
      </c>
      <c r="N30" s="202"/>
      <c r="O30" s="304" t="s">
        <v>598</v>
      </c>
    </row>
    <row r="31" spans="1:15" x14ac:dyDescent="0.15">
      <c r="I31" s="256"/>
    </row>
    <row r="32" spans="1:15" x14ac:dyDescent="0.15">
      <c r="I32" s="256"/>
    </row>
    <row r="33" spans="9:9" x14ac:dyDescent="0.15">
      <c r="I33" s="256"/>
    </row>
    <row r="34" spans="9:9" x14ac:dyDescent="0.15">
      <c r="I34" s="256"/>
    </row>
    <row r="35" spans="9:9" x14ac:dyDescent="0.15">
      <c r="I35" s="256"/>
    </row>
    <row r="36" spans="9:9" x14ac:dyDescent="0.15">
      <c r="I36" s="256"/>
    </row>
    <row r="37" spans="9:9" x14ac:dyDescent="0.15">
      <c r="I37" s="256"/>
    </row>
    <row r="38" spans="9:9" x14ac:dyDescent="0.15">
      <c r="I38" s="256"/>
    </row>
    <row r="39" spans="9:9" x14ac:dyDescent="0.15">
      <c r="I39" s="256"/>
    </row>
    <row r="40" spans="9:9" x14ac:dyDescent="0.15">
      <c r="I40" s="256"/>
    </row>
    <row r="41" spans="9:9" x14ac:dyDescent="0.15">
      <c r="I41" s="256"/>
    </row>
    <row r="42" spans="9:9" x14ac:dyDescent="0.15">
      <c r="I42" s="256"/>
    </row>
    <row r="43" spans="9:9" x14ac:dyDescent="0.15">
      <c r="I43" s="256"/>
    </row>
    <row r="44" spans="9:9" x14ac:dyDescent="0.15">
      <c r="I44" s="256"/>
    </row>
    <row r="45" spans="9:9" x14ac:dyDescent="0.15">
      <c r="I45" s="256"/>
    </row>
    <row r="46" spans="9:9" x14ac:dyDescent="0.15">
      <c r="I46" s="256"/>
    </row>
    <row r="47" spans="9:9" x14ac:dyDescent="0.15">
      <c r="I47" s="256"/>
    </row>
    <row r="48" spans="9:9" x14ac:dyDescent="0.15">
      <c r="I48" s="256"/>
    </row>
    <row r="49" spans="9:9" x14ac:dyDescent="0.15">
      <c r="I49" s="256"/>
    </row>
    <row r="50" spans="9:9" x14ac:dyDescent="0.15">
      <c r="I50" s="256"/>
    </row>
    <row r="51" spans="9:9" x14ac:dyDescent="0.15">
      <c r="I51" s="256"/>
    </row>
    <row r="52" spans="9:9" x14ac:dyDescent="0.15">
      <c r="I52" s="256"/>
    </row>
    <row r="53" spans="9:9" x14ac:dyDescent="0.15">
      <c r="I53" s="256"/>
    </row>
    <row r="54" spans="9:9" x14ac:dyDescent="0.15">
      <c r="I54" s="256"/>
    </row>
    <row r="55" spans="9:9" x14ac:dyDescent="0.15">
      <c r="I55" s="256"/>
    </row>
  </sheetData>
  <autoFilter ref="A3:O30" xr:uid="{066B4A3C-2272-4675-8351-8EC0356B8331}"/>
  <mergeCells count="8">
    <mergeCell ref="K2:K3"/>
    <mergeCell ref="L2:M2"/>
    <mergeCell ref="N2:N3"/>
    <mergeCell ref="J2:J3"/>
    <mergeCell ref="A2:A3"/>
    <mergeCell ref="H2:H3"/>
    <mergeCell ref="I2:I3"/>
    <mergeCell ref="B2:G2"/>
  </mergeCells>
  <phoneticPr fontId="4"/>
  <printOptions horizontalCentered="1"/>
  <pageMargins left="0.19685039370078741" right="0.19685039370078741" top="1.1811023622047245" bottom="0.78740157480314965" header="0.51181102362204722" footer="0.51181102362204722"/>
  <pageSetup paperSize="9" scale="46" fitToHeight="0" orientation="landscape" r:id="rId1"/>
  <headerFooter alignWithMargins="0">
    <oddHeader>&amp;C&amp;A
（単品のディスカウント情報）&amp;R&amp;UFUJITSU CONFIDENTIAL</oddHeader>
    <oddFooter>&amp;C－&amp;P－&amp;RAll Rights Reserved, Copyright(c) Fujitsu  Limited 2024</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CCE83-CEC1-4417-BD7A-1A55756C2453}">
  <sheetPr>
    <pageSetUpPr fitToPage="1"/>
  </sheetPr>
  <dimension ref="A1:N15"/>
  <sheetViews>
    <sheetView showGridLines="0" zoomScaleNormal="100" zoomScaleSheetLayoutView="100" workbookViewId="0">
      <pane xSplit="3" ySplit="3" topLeftCell="D4" activePane="bottomRight" state="frozen"/>
      <selection pane="topRight" activeCell="F1" sqref="F1"/>
      <selection pane="bottomLeft" activeCell="A4" sqref="A4"/>
      <selection pane="bottomRight"/>
    </sheetView>
  </sheetViews>
  <sheetFormatPr defaultColWidth="9" defaultRowHeight="13.5" x14ac:dyDescent="0.15"/>
  <cols>
    <col min="1" max="1" width="7.375" style="4" customWidth="1"/>
    <col min="2" max="2" width="19.375" style="3" customWidth="1"/>
    <col min="3" max="3" width="28.375" style="3" bestFit="1" customWidth="1"/>
    <col min="4" max="4" width="7.375" style="4" bestFit="1" customWidth="1"/>
    <col min="5" max="5" width="9.375" style="4" bestFit="1" customWidth="1"/>
    <col min="6" max="6" width="10" style="4" bestFit="1" customWidth="1"/>
    <col min="7" max="7" width="9" style="4" bestFit="1" customWidth="1"/>
    <col min="8" max="8" width="42.125" style="1" customWidth="1"/>
    <col min="9" max="9" width="36.125" style="1" customWidth="1"/>
    <col min="10" max="10" width="11.375" style="1" bestFit="1" customWidth="1"/>
    <col min="11" max="11" width="8.375" style="1" customWidth="1"/>
    <col min="12" max="12" width="24.375" style="1" bestFit="1" customWidth="1"/>
    <col min="13" max="13" width="24.375" style="1" customWidth="1"/>
    <col min="14" max="14" width="59.375" customWidth="1"/>
    <col min="15" max="16384" width="9" style="12"/>
  </cols>
  <sheetData>
    <row r="1" spans="1:14" ht="53.45" customHeight="1" x14ac:dyDescent="0.15">
      <c r="A1" s="1103" t="s">
        <v>976</v>
      </c>
      <c r="B1" s="1104"/>
      <c r="C1" s="1119" t="s">
        <v>1963</v>
      </c>
      <c r="D1" s="1106"/>
      <c r="E1" s="1106"/>
      <c r="F1" s="1106"/>
      <c r="G1" s="1106"/>
      <c r="I1" s="15"/>
      <c r="J1" s="1106"/>
      <c r="K1" s="1107"/>
      <c r="L1" s="1108"/>
      <c r="M1" s="1120"/>
    </row>
    <row r="2" spans="1:14" ht="13.15" customHeight="1" x14ac:dyDescent="0.15">
      <c r="A2" s="1319" t="s">
        <v>982</v>
      </c>
      <c r="B2" s="1323" t="s">
        <v>983</v>
      </c>
      <c r="C2" s="1312"/>
      <c r="D2" s="1312"/>
      <c r="E2" s="1312"/>
      <c r="F2" s="1312"/>
      <c r="G2" s="1313"/>
      <c r="H2" s="1331" t="s">
        <v>984</v>
      </c>
      <c r="I2" s="1328" t="s">
        <v>985</v>
      </c>
      <c r="J2" s="1326" t="s">
        <v>986</v>
      </c>
      <c r="K2" s="1321" t="s">
        <v>987</v>
      </c>
      <c r="L2" s="1321" t="s">
        <v>1658</v>
      </c>
      <c r="M2" s="1335"/>
      <c r="N2" s="1333" t="s">
        <v>711</v>
      </c>
    </row>
    <row r="3" spans="1:14" ht="22.5" x14ac:dyDescent="0.15">
      <c r="A3" s="1320"/>
      <c r="B3" s="1093" t="s">
        <v>226</v>
      </c>
      <c r="C3" s="1093" t="s">
        <v>989</v>
      </c>
      <c r="D3" s="1092" t="s">
        <v>228</v>
      </c>
      <c r="E3" s="1092" t="s">
        <v>229</v>
      </c>
      <c r="F3" s="1093" t="s">
        <v>990</v>
      </c>
      <c r="G3" s="1092" t="s">
        <v>230</v>
      </c>
      <c r="H3" s="1332"/>
      <c r="I3" s="1329"/>
      <c r="J3" s="1327"/>
      <c r="K3" s="1330"/>
      <c r="L3" s="108" t="s">
        <v>1659</v>
      </c>
      <c r="M3" s="108" t="s">
        <v>1660</v>
      </c>
      <c r="N3" s="1334"/>
    </row>
    <row r="4" spans="1:14" s="205" customFormat="1" ht="33.75" x14ac:dyDescent="0.15">
      <c r="A4" s="654">
        <v>1</v>
      </c>
      <c r="B4" s="655" t="s">
        <v>248</v>
      </c>
      <c r="C4" s="655" t="s">
        <v>249</v>
      </c>
      <c r="D4" s="656" t="s">
        <v>250</v>
      </c>
      <c r="E4" s="656" t="s">
        <v>251</v>
      </c>
      <c r="F4" s="656"/>
      <c r="G4" s="656" t="s">
        <v>247</v>
      </c>
      <c r="H4" s="657" t="s">
        <v>1016</v>
      </c>
      <c r="I4" s="658" t="s">
        <v>211</v>
      </c>
      <c r="J4" s="656" t="s">
        <v>200</v>
      </c>
      <c r="K4" s="659" t="s">
        <v>1017</v>
      </c>
      <c r="L4" s="656" t="s">
        <v>1018</v>
      </c>
      <c r="M4" s="656" t="s">
        <v>1018</v>
      </c>
      <c r="N4" s="660"/>
    </row>
    <row r="5" spans="1:14" ht="101.25" x14ac:dyDescent="0.15">
      <c r="A5" s="138">
        <f>A4+1</f>
        <v>2</v>
      </c>
      <c r="B5" s="139" t="s">
        <v>244</v>
      </c>
      <c r="C5" s="139" t="s">
        <v>245</v>
      </c>
      <c r="D5" s="134" t="s">
        <v>246</v>
      </c>
      <c r="E5" s="134" t="s">
        <v>251</v>
      </c>
      <c r="F5" s="134"/>
      <c r="G5" s="134" t="s">
        <v>252</v>
      </c>
      <c r="H5" s="133" t="s">
        <v>1661</v>
      </c>
      <c r="I5" s="134" t="s">
        <v>211</v>
      </c>
      <c r="J5" s="134" t="s">
        <v>172</v>
      </c>
      <c r="K5" s="197" t="s">
        <v>1020</v>
      </c>
      <c r="L5" s="134" t="s">
        <v>1904</v>
      </c>
      <c r="M5" s="134" t="s">
        <v>1904</v>
      </c>
      <c r="N5" s="208"/>
    </row>
    <row r="6" spans="1:14" ht="33.75" x14ac:dyDescent="0.15">
      <c r="A6" s="138">
        <f t="shared" ref="A6:A14" si="0">A5+1</f>
        <v>3</v>
      </c>
      <c r="B6" s="139" t="s">
        <v>257</v>
      </c>
      <c r="C6" s="139" t="s">
        <v>258</v>
      </c>
      <c r="D6" s="134" t="s">
        <v>250</v>
      </c>
      <c r="E6" s="134" t="s">
        <v>251</v>
      </c>
      <c r="F6" s="134"/>
      <c r="G6" s="134" t="s">
        <v>247</v>
      </c>
      <c r="H6" s="133"/>
      <c r="I6" s="179" t="s">
        <v>458</v>
      </c>
      <c r="J6" s="134" t="s">
        <v>172</v>
      </c>
      <c r="K6" s="197" t="s">
        <v>1020</v>
      </c>
      <c r="L6" s="134" t="s">
        <v>1034</v>
      </c>
      <c r="M6" s="134" t="s">
        <v>1034</v>
      </c>
      <c r="N6" s="208"/>
    </row>
    <row r="7" spans="1:14" ht="40.15" customHeight="1" x14ac:dyDescent="0.15">
      <c r="A7" s="138">
        <f t="shared" si="0"/>
        <v>4</v>
      </c>
      <c r="B7" s="139" t="s">
        <v>398</v>
      </c>
      <c r="C7" s="139" t="s">
        <v>1964</v>
      </c>
      <c r="D7" s="134" t="s">
        <v>246</v>
      </c>
      <c r="E7" s="134" t="s">
        <v>251</v>
      </c>
      <c r="F7" s="134" t="s">
        <v>1017</v>
      </c>
      <c r="G7" s="134"/>
      <c r="H7" s="133"/>
      <c r="I7" s="179" t="s">
        <v>1965</v>
      </c>
      <c r="J7" s="134" t="s">
        <v>172</v>
      </c>
      <c r="K7" s="197" t="s">
        <v>1020</v>
      </c>
      <c r="L7" s="174" t="s">
        <v>1966</v>
      </c>
      <c r="M7" s="174" t="s">
        <v>1966</v>
      </c>
      <c r="N7" s="208"/>
    </row>
    <row r="8" spans="1:14" ht="67.5" x14ac:dyDescent="0.15">
      <c r="A8" s="138">
        <f t="shared" si="0"/>
        <v>5</v>
      </c>
      <c r="B8" s="139" t="s">
        <v>402</v>
      </c>
      <c r="C8" s="139" t="s">
        <v>403</v>
      </c>
      <c r="D8" s="134" t="s">
        <v>246</v>
      </c>
      <c r="E8" s="134" t="s">
        <v>251</v>
      </c>
      <c r="F8" s="134" t="s">
        <v>1017</v>
      </c>
      <c r="G8" s="134" t="s">
        <v>251</v>
      </c>
      <c r="H8" s="133" t="s">
        <v>1967</v>
      </c>
      <c r="I8" s="134" t="s">
        <v>211</v>
      </c>
      <c r="J8" s="134" t="s">
        <v>172</v>
      </c>
      <c r="K8" s="197" t="s">
        <v>1750</v>
      </c>
      <c r="L8" s="134" t="s">
        <v>1968</v>
      </c>
      <c r="M8" s="134" t="s">
        <v>1968</v>
      </c>
      <c r="N8" s="209"/>
    </row>
    <row r="9" spans="1:14" ht="22.5" x14ac:dyDescent="0.15">
      <c r="A9" s="138">
        <f t="shared" si="0"/>
        <v>6</v>
      </c>
      <c r="B9" s="139" t="s">
        <v>404</v>
      </c>
      <c r="C9" s="139" t="s">
        <v>405</v>
      </c>
      <c r="D9" s="134" t="s">
        <v>355</v>
      </c>
      <c r="E9" s="134" t="s">
        <v>251</v>
      </c>
      <c r="F9" s="134"/>
      <c r="G9" s="134" t="s">
        <v>251</v>
      </c>
      <c r="H9" s="133"/>
      <c r="I9" s="134" t="s">
        <v>211</v>
      </c>
      <c r="J9" s="134" t="s">
        <v>172</v>
      </c>
      <c r="K9" s="197" t="s">
        <v>1020</v>
      </c>
      <c r="L9" s="134" t="s">
        <v>1969</v>
      </c>
      <c r="M9" s="134" t="s">
        <v>1969</v>
      </c>
      <c r="N9" s="209"/>
    </row>
    <row r="10" spans="1:14" s="205" customFormat="1" ht="22.5" x14ac:dyDescent="0.15">
      <c r="A10" s="146">
        <f t="shared" si="0"/>
        <v>7</v>
      </c>
      <c r="B10" s="147" t="s">
        <v>290</v>
      </c>
      <c r="C10" s="147" t="s">
        <v>291</v>
      </c>
      <c r="D10" s="132" t="s">
        <v>246</v>
      </c>
      <c r="E10" s="132" t="s">
        <v>251</v>
      </c>
      <c r="F10" s="132"/>
      <c r="G10" s="132" t="s">
        <v>251</v>
      </c>
      <c r="H10" s="148" t="s">
        <v>1970</v>
      </c>
      <c r="I10" s="132" t="s">
        <v>211</v>
      </c>
      <c r="J10" s="132" t="s">
        <v>200</v>
      </c>
      <c r="K10" s="203" t="s">
        <v>1017</v>
      </c>
      <c r="L10" s="132" t="s">
        <v>1069</v>
      </c>
      <c r="M10" s="132" t="s">
        <v>1069</v>
      </c>
      <c r="N10" s="206" t="s">
        <v>1971</v>
      </c>
    </row>
    <row r="11" spans="1:14" ht="33.75" x14ac:dyDescent="0.15">
      <c r="A11" s="138">
        <f t="shared" si="0"/>
        <v>8</v>
      </c>
      <c r="B11" s="139" t="s">
        <v>406</v>
      </c>
      <c r="C11" s="139" t="s">
        <v>407</v>
      </c>
      <c r="D11" s="134" t="s">
        <v>355</v>
      </c>
      <c r="E11" s="134" t="s">
        <v>251</v>
      </c>
      <c r="F11" s="134" t="s">
        <v>1017</v>
      </c>
      <c r="G11" s="134" t="s">
        <v>251</v>
      </c>
      <c r="H11" s="133" t="s">
        <v>1972</v>
      </c>
      <c r="I11" s="134" t="s">
        <v>211</v>
      </c>
      <c r="J11" s="134" t="s">
        <v>172</v>
      </c>
      <c r="K11" s="197" t="s">
        <v>1020</v>
      </c>
      <c r="L11" s="134" t="s">
        <v>1973</v>
      </c>
      <c r="M11" s="134" t="s">
        <v>1973</v>
      </c>
      <c r="N11" s="209"/>
    </row>
    <row r="12" spans="1:14" ht="45" x14ac:dyDescent="0.15">
      <c r="A12" s="138">
        <f t="shared" si="0"/>
        <v>9</v>
      </c>
      <c r="B12" s="139" t="s">
        <v>410</v>
      </c>
      <c r="C12" s="139" t="s">
        <v>411</v>
      </c>
      <c r="D12" s="134" t="s">
        <v>355</v>
      </c>
      <c r="E12" s="154"/>
      <c r="F12" s="154" t="s">
        <v>1017</v>
      </c>
      <c r="G12" s="154"/>
      <c r="H12" s="133" t="s">
        <v>1974</v>
      </c>
      <c r="I12" s="134" t="s">
        <v>211</v>
      </c>
      <c r="J12" s="134" t="s">
        <v>172</v>
      </c>
      <c r="K12" s="197" t="s">
        <v>1020</v>
      </c>
      <c r="L12" s="134" t="s">
        <v>1975</v>
      </c>
      <c r="M12" s="134" t="s">
        <v>1975</v>
      </c>
      <c r="N12" s="209"/>
    </row>
    <row r="13" spans="1:14" ht="62.45" customHeight="1" x14ac:dyDescent="0.15">
      <c r="A13" s="138">
        <f t="shared" si="0"/>
        <v>10</v>
      </c>
      <c r="B13" s="139" t="s">
        <v>563</v>
      </c>
      <c r="C13" s="139" t="s">
        <v>415</v>
      </c>
      <c r="D13" s="134" t="s">
        <v>355</v>
      </c>
      <c r="E13" s="154"/>
      <c r="F13" s="154"/>
      <c r="G13" s="154"/>
      <c r="H13" s="133" t="s">
        <v>1976</v>
      </c>
      <c r="I13" s="134" t="s">
        <v>211</v>
      </c>
      <c r="J13" s="134" t="s">
        <v>172</v>
      </c>
      <c r="K13" s="197" t="s">
        <v>1020</v>
      </c>
      <c r="L13" s="134" t="s">
        <v>1977</v>
      </c>
      <c r="M13" s="134" t="s">
        <v>1978</v>
      </c>
      <c r="N13" s="209"/>
    </row>
    <row r="14" spans="1:14" s="205" customFormat="1" ht="22.5" x14ac:dyDescent="0.15">
      <c r="A14" s="146">
        <f t="shared" si="0"/>
        <v>11</v>
      </c>
      <c r="B14" s="147" t="s">
        <v>1979</v>
      </c>
      <c r="C14" s="147" t="s">
        <v>1980</v>
      </c>
      <c r="D14" s="132" t="s">
        <v>355</v>
      </c>
      <c r="E14" s="152"/>
      <c r="F14" s="152"/>
      <c r="G14" s="152"/>
      <c r="H14" s="148" t="s">
        <v>1981</v>
      </c>
      <c r="I14" s="132" t="s">
        <v>211</v>
      </c>
      <c r="J14" s="132" t="s">
        <v>200</v>
      </c>
      <c r="K14" s="203" t="s">
        <v>1017</v>
      </c>
      <c r="L14" s="132" t="s">
        <v>1069</v>
      </c>
      <c r="M14" s="132" t="s">
        <v>1069</v>
      </c>
      <c r="N14" s="206" t="s">
        <v>1982</v>
      </c>
    </row>
    <row r="15" spans="1:14" s="205" customFormat="1" ht="22.5" x14ac:dyDescent="0.15">
      <c r="A15" s="157">
        <f>A14+1</f>
        <v>12</v>
      </c>
      <c r="B15" s="259" t="s">
        <v>1983</v>
      </c>
      <c r="C15" s="259" t="s">
        <v>1984</v>
      </c>
      <c r="D15" s="159" t="s">
        <v>355</v>
      </c>
      <c r="E15" s="258"/>
      <c r="F15" s="258" t="s">
        <v>1017</v>
      </c>
      <c r="G15" s="258"/>
      <c r="H15" s="195" t="s">
        <v>1985</v>
      </c>
      <c r="I15" s="159" t="s">
        <v>211</v>
      </c>
      <c r="J15" s="159" t="s">
        <v>200</v>
      </c>
      <c r="K15" s="210" t="s">
        <v>1017</v>
      </c>
      <c r="L15" s="159" t="s">
        <v>1069</v>
      </c>
      <c r="M15" s="159" t="s">
        <v>1069</v>
      </c>
      <c r="N15" s="211" t="s">
        <v>1982</v>
      </c>
    </row>
  </sheetData>
  <autoFilter ref="A3:O15" xr:uid="{D9A49AA8-B91A-4CE7-9373-EE46E240A37E}"/>
  <mergeCells count="8">
    <mergeCell ref="N2:N3"/>
    <mergeCell ref="A2:A3"/>
    <mergeCell ref="H2:H3"/>
    <mergeCell ref="I2:I3"/>
    <mergeCell ref="J2:J3"/>
    <mergeCell ref="K2:K3"/>
    <mergeCell ref="L2:M2"/>
    <mergeCell ref="B2:G2"/>
  </mergeCells>
  <phoneticPr fontId="4"/>
  <printOptions horizontalCentered="1"/>
  <pageMargins left="0.19685039370078741" right="0.19685039370078741" top="1.1811023622047245" bottom="0.78740157480314965" header="0.51181102362204722" footer="0.51181102362204722"/>
  <pageSetup paperSize="9" scale="49" fitToHeight="0" orientation="landscape" horizontalDpi="4294967292" verticalDpi="300" r:id="rId1"/>
  <headerFooter alignWithMargins="0">
    <oddHeader>&amp;C&amp;A
（取引の税情報）&amp;R&amp;UFUJITSU CONFIDENTIAL</oddHeader>
    <oddFooter>&amp;C－&amp;P－&amp;RAll Rights Reserved, Copyright(c) Fujitsu  Limited 2024</oddFooter>
  </headerFooter>
  <rowBreaks count="1" manualBreakCount="1">
    <brk id="3" max="28" man="1"/>
  </rowBreaks>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7AF6FA-D0D3-4763-B5EE-E7B7E1A57FDE}">
  <sheetPr>
    <pageSetUpPr fitToPage="1"/>
  </sheetPr>
  <dimension ref="A1:Q76"/>
  <sheetViews>
    <sheetView showGridLines="0" zoomScaleNormal="100" zoomScaleSheetLayoutView="85" workbookViewId="0">
      <pane xSplit="3" ySplit="3" topLeftCell="E4" activePane="bottomRight" state="frozen"/>
      <selection pane="topRight" activeCell="F1" sqref="F1"/>
      <selection pane="bottomLeft" activeCell="A4" sqref="A4"/>
      <selection pane="bottomRight"/>
    </sheetView>
  </sheetViews>
  <sheetFormatPr defaultRowHeight="13.5" x14ac:dyDescent="0.15"/>
  <cols>
    <col min="1" max="1" width="4.375" style="2" customWidth="1"/>
    <col min="2" max="2" width="29.375" style="3" bestFit="1" customWidth="1"/>
    <col min="3" max="3" width="32.375" style="3" bestFit="1" customWidth="1"/>
    <col min="4" max="4" width="7.375" style="4" bestFit="1" customWidth="1"/>
    <col min="5" max="5" width="10.375" style="4" bestFit="1" customWidth="1"/>
    <col min="6" max="6" width="10" style="4" bestFit="1" customWidth="1"/>
    <col min="7" max="7" width="9" style="4" bestFit="1" customWidth="1"/>
    <col min="8" max="8" width="41.875" style="1" bestFit="1" customWidth="1"/>
    <col min="9" max="9" width="32.875" style="1" bestFit="1" customWidth="1"/>
    <col min="10" max="10" width="11.375" style="1" bestFit="1" customWidth="1"/>
    <col min="11" max="11" width="13.125" style="1" bestFit="1" customWidth="1"/>
    <col min="12" max="15" width="24.375" style="1" bestFit="1" customWidth="1"/>
    <col min="16" max="16" width="59.875" bestFit="1" customWidth="1"/>
  </cols>
  <sheetData>
    <row r="1" spans="1:17" ht="50.45" customHeight="1" x14ac:dyDescent="0.15">
      <c r="A1" s="1103" t="s">
        <v>976</v>
      </c>
      <c r="B1" s="1104"/>
      <c r="C1" s="1119" t="s">
        <v>1986</v>
      </c>
      <c r="D1" s="1106"/>
      <c r="E1" s="1106"/>
      <c r="F1" s="1106"/>
      <c r="G1" s="1106"/>
      <c r="I1" s="15"/>
      <c r="J1" s="1106"/>
      <c r="K1" s="1107"/>
      <c r="L1" s="1108"/>
      <c r="M1" s="1121" t="s">
        <v>1987</v>
      </c>
      <c r="N1" s="1122"/>
      <c r="O1" s="1122"/>
      <c r="Q1" s="492" t="s">
        <v>1396</v>
      </c>
    </row>
    <row r="2" spans="1:17" x14ac:dyDescent="0.15">
      <c r="A2" s="1319" t="s">
        <v>982</v>
      </c>
      <c r="B2" s="1323" t="s">
        <v>983</v>
      </c>
      <c r="C2" s="1312"/>
      <c r="D2" s="1312"/>
      <c r="E2" s="1312"/>
      <c r="F2" s="1312"/>
      <c r="G2" s="1313"/>
      <c r="H2" s="1331" t="s">
        <v>984</v>
      </c>
      <c r="I2" s="1328" t="s">
        <v>985</v>
      </c>
      <c r="J2" s="1326" t="s">
        <v>986</v>
      </c>
      <c r="K2" s="1321" t="s">
        <v>987</v>
      </c>
      <c r="L2" s="1321" t="s">
        <v>1658</v>
      </c>
      <c r="M2" s="1321"/>
      <c r="N2" s="1335"/>
      <c r="O2" s="1335"/>
      <c r="P2" s="1333" t="s">
        <v>711</v>
      </c>
    </row>
    <row r="3" spans="1:17" ht="22.5" x14ac:dyDescent="0.15">
      <c r="A3" s="1320"/>
      <c r="B3" s="1093" t="s">
        <v>226</v>
      </c>
      <c r="C3" s="1093" t="s">
        <v>989</v>
      </c>
      <c r="D3" s="1092" t="s">
        <v>228</v>
      </c>
      <c r="E3" s="1092" t="s">
        <v>229</v>
      </c>
      <c r="F3" s="1093" t="s">
        <v>990</v>
      </c>
      <c r="G3" s="1092" t="s">
        <v>230</v>
      </c>
      <c r="H3" s="1332"/>
      <c r="I3" s="1329"/>
      <c r="J3" s="1327"/>
      <c r="K3" s="1330"/>
      <c r="L3" s="108" t="s">
        <v>1659</v>
      </c>
      <c r="M3" s="108" t="s">
        <v>1660</v>
      </c>
      <c r="N3" s="108" t="s">
        <v>993</v>
      </c>
      <c r="O3" s="108" t="s">
        <v>995</v>
      </c>
      <c r="P3" s="1334"/>
    </row>
    <row r="4" spans="1:17" ht="101.25" x14ac:dyDescent="0.15">
      <c r="A4" s="648">
        <v>1</v>
      </c>
      <c r="B4" s="661" t="s">
        <v>244</v>
      </c>
      <c r="C4" s="661" t="s">
        <v>245</v>
      </c>
      <c r="D4" s="650" t="s">
        <v>246</v>
      </c>
      <c r="E4" s="650"/>
      <c r="F4" s="650"/>
      <c r="G4" s="650" t="s">
        <v>247</v>
      </c>
      <c r="H4" s="662" t="s">
        <v>1661</v>
      </c>
      <c r="I4" s="663" t="s">
        <v>211</v>
      </c>
      <c r="J4" s="650" t="s">
        <v>172</v>
      </c>
      <c r="K4" s="650" t="s">
        <v>1020</v>
      </c>
      <c r="L4" s="650" t="s">
        <v>1904</v>
      </c>
      <c r="M4" s="650" t="s">
        <v>1904</v>
      </c>
      <c r="N4" s="650" t="s">
        <v>1988</v>
      </c>
      <c r="O4" s="650" t="s">
        <v>1988</v>
      </c>
      <c r="P4" s="664"/>
    </row>
    <row r="5" spans="1:17" s="130" customFormat="1" ht="33.75" x14ac:dyDescent="0.15">
      <c r="A5" s="146">
        <f>A4+1</f>
        <v>2</v>
      </c>
      <c r="B5" s="147" t="s">
        <v>248</v>
      </c>
      <c r="C5" s="147" t="s">
        <v>249</v>
      </c>
      <c r="D5" s="132" t="s">
        <v>250</v>
      </c>
      <c r="E5" s="152"/>
      <c r="F5" s="132"/>
      <c r="G5" s="132" t="s">
        <v>247</v>
      </c>
      <c r="H5" s="148" t="s">
        <v>1016</v>
      </c>
      <c r="I5" s="153" t="s">
        <v>211</v>
      </c>
      <c r="J5" s="132" t="s">
        <v>200</v>
      </c>
      <c r="K5" s="132" t="s">
        <v>1017</v>
      </c>
      <c r="L5" s="132" t="s">
        <v>1018</v>
      </c>
      <c r="M5" s="132" t="s">
        <v>1018</v>
      </c>
      <c r="N5" s="132" t="s">
        <v>1018</v>
      </c>
      <c r="O5" s="132" t="s">
        <v>1018</v>
      </c>
      <c r="P5" s="135"/>
    </row>
    <row r="6" spans="1:17" ht="33.75" x14ac:dyDescent="0.15">
      <c r="A6" s="138">
        <f t="shared" ref="A6:A50" si="0">A5+1</f>
        <v>3</v>
      </c>
      <c r="B6" s="139" t="s">
        <v>257</v>
      </c>
      <c r="C6" s="139" t="s">
        <v>258</v>
      </c>
      <c r="D6" s="134" t="s">
        <v>250</v>
      </c>
      <c r="E6" s="154"/>
      <c r="F6" s="134"/>
      <c r="G6" s="134" t="s">
        <v>247</v>
      </c>
      <c r="H6" s="133" t="s">
        <v>258</v>
      </c>
      <c r="I6" s="179" t="s">
        <v>458</v>
      </c>
      <c r="J6" s="134" t="s">
        <v>172</v>
      </c>
      <c r="K6" s="134" t="s">
        <v>1750</v>
      </c>
      <c r="L6" s="134" t="s">
        <v>1034</v>
      </c>
      <c r="M6" s="134" t="s">
        <v>1034</v>
      </c>
      <c r="N6" s="134" t="s">
        <v>1034</v>
      </c>
      <c r="O6" s="134" t="s">
        <v>1034</v>
      </c>
      <c r="P6" s="161"/>
    </row>
    <row r="7" spans="1:17" ht="56.45" customHeight="1" x14ac:dyDescent="0.15">
      <c r="A7" s="138">
        <f t="shared" si="0"/>
        <v>4</v>
      </c>
      <c r="B7" s="139" t="s">
        <v>408</v>
      </c>
      <c r="C7" s="139" t="s">
        <v>1989</v>
      </c>
      <c r="D7" s="134" t="s">
        <v>246</v>
      </c>
      <c r="E7" s="154"/>
      <c r="F7" s="134" t="s">
        <v>1005</v>
      </c>
      <c r="G7" s="134"/>
      <c r="H7" s="133" t="s">
        <v>1990</v>
      </c>
      <c r="I7" s="260" t="s">
        <v>1991</v>
      </c>
      <c r="J7" s="134" t="s">
        <v>172</v>
      </c>
      <c r="K7" s="134" t="s">
        <v>1020</v>
      </c>
      <c r="L7" s="174" t="s">
        <v>1992</v>
      </c>
      <c r="M7" s="174" t="s">
        <v>1992</v>
      </c>
      <c r="N7" s="134" t="s">
        <v>1993</v>
      </c>
      <c r="O7" s="134" t="s">
        <v>1993</v>
      </c>
      <c r="P7" s="161"/>
    </row>
    <row r="8" spans="1:17" ht="67.5" x14ac:dyDescent="0.15">
      <c r="A8" s="138">
        <f t="shared" si="0"/>
        <v>5</v>
      </c>
      <c r="B8" s="139" t="s">
        <v>412</v>
      </c>
      <c r="C8" s="139" t="s">
        <v>413</v>
      </c>
      <c r="D8" s="134" t="s">
        <v>302</v>
      </c>
      <c r="E8" s="154"/>
      <c r="F8" s="134"/>
      <c r="G8" s="134"/>
      <c r="H8" s="133" t="s">
        <v>1994</v>
      </c>
      <c r="I8" s="155" t="s">
        <v>211</v>
      </c>
      <c r="J8" s="134" t="s">
        <v>172</v>
      </c>
      <c r="K8" s="134" t="s">
        <v>1020</v>
      </c>
      <c r="L8" s="134" t="s">
        <v>1995</v>
      </c>
      <c r="M8" s="134" t="s">
        <v>1995</v>
      </c>
      <c r="N8" s="134" t="s">
        <v>1995</v>
      </c>
      <c r="O8" s="134" t="s">
        <v>1995</v>
      </c>
      <c r="P8" s="161" t="s">
        <v>1996</v>
      </c>
    </row>
    <row r="9" spans="1:17" ht="71.45" customHeight="1" x14ac:dyDescent="0.15">
      <c r="A9" s="138">
        <f t="shared" si="0"/>
        <v>6</v>
      </c>
      <c r="B9" s="139" t="s">
        <v>416</v>
      </c>
      <c r="C9" s="139" t="s">
        <v>417</v>
      </c>
      <c r="D9" s="134" t="s">
        <v>355</v>
      </c>
      <c r="E9" s="154"/>
      <c r="F9" s="134"/>
      <c r="G9" s="134"/>
      <c r="H9" s="133" t="s">
        <v>1997</v>
      </c>
      <c r="I9" s="155" t="s">
        <v>211</v>
      </c>
      <c r="J9" s="134" t="s">
        <v>172</v>
      </c>
      <c r="K9" s="134" t="s">
        <v>1020</v>
      </c>
      <c r="L9" s="134" t="s">
        <v>1998</v>
      </c>
      <c r="M9" s="134" t="s">
        <v>1998</v>
      </c>
      <c r="N9" s="134" t="s">
        <v>1998</v>
      </c>
      <c r="O9" s="134" t="s">
        <v>1999</v>
      </c>
      <c r="P9" s="162"/>
    </row>
    <row r="10" spans="1:17" s="130" customFormat="1" ht="48.6" customHeight="1" x14ac:dyDescent="0.15">
      <c r="A10" s="146">
        <f t="shared" si="0"/>
        <v>7</v>
      </c>
      <c r="B10" s="147" t="s">
        <v>361</v>
      </c>
      <c r="C10" s="147" t="s">
        <v>418</v>
      </c>
      <c r="D10" s="132" t="s">
        <v>246</v>
      </c>
      <c r="E10" s="152"/>
      <c r="F10" s="132"/>
      <c r="G10" s="132"/>
      <c r="H10" s="148" t="s">
        <v>2000</v>
      </c>
      <c r="I10" s="153" t="s">
        <v>211</v>
      </c>
      <c r="J10" s="132" t="s">
        <v>1381</v>
      </c>
      <c r="K10" s="132" t="s">
        <v>1017</v>
      </c>
      <c r="L10" s="132" t="s">
        <v>1080</v>
      </c>
      <c r="M10" s="132" t="s">
        <v>1080</v>
      </c>
      <c r="N10" s="132" t="s">
        <v>1080</v>
      </c>
      <c r="O10" s="132" t="s">
        <v>1080</v>
      </c>
      <c r="P10" s="135"/>
    </row>
    <row r="11" spans="1:17" ht="56.25" x14ac:dyDescent="0.15">
      <c r="A11" s="138">
        <f t="shared" si="0"/>
        <v>8</v>
      </c>
      <c r="B11" s="139" t="s">
        <v>419</v>
      </c>
      <c r="C11" s="139" t="s">
        <v>420</v>
      </c>
      <c r="D11" s="134" t="s">
        <v>355</v>
      </c>
      <c r="E11" s="154"/>
      <c r="F11" s="134"/>
      <c r="G11" s="134"/>
      <c r="H11" s="133" t="s">
        <v>2001</v>
      </c>
      <c r="I11" s="155" t="s">
        <v>211</v>
      </c>
      <c r="J11" s="134" t="s">
        <v>172</v>
      </c>
      <c r="K11" s="134" t="s">
        <v>1020</v>
      </c>
      <c r="L11" s="174" t="s">
        <v>2002</v>
      </c>
      <c r="M11" s="174" t="s">
        <v>2002</v>
      </c>
      <c r="N11" s="174" t="s">
        <v>2002</v>
      </c>
      <c r="O11" s="174" t="s">
        <v>2003</v>
      </c>
      <c r="P11" s="163"/>
    </row>
    <row r="12" spans="1:17" ht="101.25" x14ac:dyDescent="0.15">
      <c r="A12" s="138">
        <f t="shared" si="0"/>
        <v>9</v>
      </c>
      <c r="B12" s="139" t="s">
        <v>290</v>
      </c>
      <c r="C12" s="139" t="s">
        <v>291</v>
      </c>
      <c r="D12" s="134" t="s">
        <v>246</v>
      </c>
      <c r="E12" s="134" t="s">
        <v>251</v>
      </c>
      <c r="F12" s="134" t="s">
        <v>1005</v>
      </c>
      <c r="G12" s="134"/>
      <c r="H12" s="133" t="s">
        <v>2004</v>
      </c>
      <c r="I12" s="155" t="s">
        <v>211</v>
      </c>
      <c r="J12" s="134" t="s">
        <v>172</v>
      </c>
      <c r="K12" s="134" t="s">
        <v>1020</v>
      </c>
      <c r="L12" s="134" t="s">
        <v>2005</v>
      </c>
      <c r="M12" s="134" t="s">
        <v>2005</v>
      </c>
      <c r="N12" s="134" t="s">
        <v>2006</v>
      </c>
      <c r="O12" s="134" t="s">
        <v>2006</v>
      </c>
      <c r="P12" s="218" t="s">
        <v>2007</v>
      </c>
    </row>
    <row r="13" spans="1:17" s="130" customFormat="1" ht="22.5" x14ac:dyDescent="0.15">
      <c r="A13" s="146">
        <f t="shared" si="0"/>
        <v>10</v>
      </c>
      <c r="B13" s="147" t="s">
        <v>2008</v>
      </c>
      <c r="C13" s="147" t="s">
        <v>2009</v>
      </c>
      <c r="D13" s="132" t="s">
        <v>246</v>
      </c>
      <c r="E13" s="132" t="s">
        <v>251</v>
      </c>
      <c r="F13" s="132" t="s">
        <v>1005</v>
      </c>
      <c r="G13" s="132"/>
      <c r="H13" s="148" t="s">
        <v>2010</v>
      </c>
      <c r="I13" s="153" t="s">
        <v>211</v>
      </c>
      <c r="J13" s="132" t="s">
        <v>1381</v>
      </c>
      <c r="K13" s="132" t="s">
        <v>1017</v>
      </c>
      <c r="L13" s="132" t="s">
        <v>1080</v>
      </c>
      <c r="M13" s="132" t="s">
        <v>1080</v>
      </c>
      <c r="N13" s="132" t="s">
        <v>1080</v>
      </c>
      <c r="O13" s="132" t="s">
        <v>1080</v>
      </c>
      <c r="P13" s="156" t="s">
        <v>2011</v>
      </c>
    </row>
    <row r="14" spans="1:17" s="130" customFormat="1" ht="22.5" x14ac:dyDescent="0.15">
      <c r="A14" s="146">
        <f t="shared" si="0"/>
        <v>11</v>
      </c>
      <c r="B14" s="147" t="s">
        <v>2012</v>
      </c>
      <c r="C14" s="147"/>
      <c r="D14" s="132" t="s">
        <v>246</v>
      </c>
      <c r="E14" s="132">
        <v>2</v>
      </c>
      <c r="F14" s="132" t="s">
        <v>1005</v>
      </c>
      <c r="G14" s="132"/>
      <c r="H14" s="148"/>
      <c r="I14" s="153" t="s">
        <v>211</v>
      </c>
      <c r="J14" s="132" t="s">
        <v>1381</v>
      </c>
      <c r="K14" s="132" t="s">
        <v>1017</v>
      </c>
      <c r="L14" s="132" t="s">
        <v>1080</v>
      </c>
      <c r="M14" s="132" t="s">
        <v>1080</v>
      </c>
      <c r="N14" s="132" t="s">
        <v>1080</v>
      </c>
      <c r="O14" s="132" t="s">
        <v>1080</v>
      </c>
      <c r="P14" s="156" t="s">
        <v>2011</v>
      </c>
    </row>
    <row r="15" spans="1:17" s="130" customFormat="1" ht="22.5" x14ac:dyDescent="0.15">
      <c r="A15" s="146">
        <f t="shared" si="0"/>
        <v>12</v>
      </c>
      <c r="B15" s="147" t="s">
        <v>2013</v>
      </c>
      <c r="C15" s="147"/>
      <c r="D15" s="132" t="s">
        <v>246</v>
      </c>
      <c r="E15" s="132">
        <v>2</v>
      </c>
      <c r="F15" s="132" t="s">
        <v>1005</v>
      </c>
      <c r="G15" s="132"/>
      <c r="H15" s="148"/>
      <c r="I15" s="153" t="s">
        <v>211</v>
      </c>
      <c r="J15" s="132" t="s">
        <v>1381</v>
      </c>
      <c r="K15" s="132" t="s">
        <v>1017</v>
      </c>
      <c r="L15" s="132" t="s">
        <v>1080</v>
      </c>
      <c r="M15" s="132" t="s">
        <v>1080</v>
      </c>
      <c r="N15" s="132" t="s">
        <v>1080</v>
      </c>
      <c r="O15" s="132" t="s">
        <v>1080</v>
      </c>
      <c r="P15" s="156" t="s">
        <v>2011</v>
      </c>
    </row>
    <row r="16" spans="1:17" ht="100.15" customHeight="1" x14ac:dyDescent="0.15">
      <c r="A16" s="138">
        <f t="shared" si="0"/>
        <v>13</v>
      </c>
      <c r="B16" s="139" t="s">
        <v>813</v>
      </c>
      <c r="C16" s="139" t="s">
        <v>2014</v>
      </c>
      <c r="D16" s="134" t="s">
        <v>355</v>
      </c>
      <c r="E16" s="154"/>
      <c r="F16" s="134" t="s">
        <v>1005</v>
      </c>
      <c r="G16" s="134"/>
      <c r="H16" s="133" t="s">
        <v>2015</v>
      </c>
      <c r="I16" s="155" t="s">
        <v>211</v>
      </c>
      <c r="J16" s="134" t="s">
        <v>172</v>
      </c>
      <c r="K16" s="134" t="s">
        <v>1020</v>
      </c>
      <c r="L16" s="134" t="s">
        <v>2016</v>
      </c>
      <c r="M16" s="134" t="s">
        <v>2016</v>
      </c>
      <c r="N16" s="134" t="s">
        <v>2017</v>
      </c>
      <c r="O16" s="134" t="s">
        <v>2017</v>
      </c>
      <c r="P16" s="217"/>
    </row>
    <row r="17" spans="1:16" s="130" customFormat="1" ht="61.15" customHeight="1" x14ac:dyDescent="0.15">
      <c r="A17" s="146">
        <f t="shared" si="0"/>
        <v>14</v>
      </c>
      <c r="B17" s="147" t="s">
        <v>2018</v>
      </c>
      <c r="C17" s="147" t="s">
        <v>2019</v>
      </c>
      <c r="D17" s="132" t="s">
        <v>355</v>
      </c>
      <c r="E17" s="152"/>
      <c r="F17" s="132" t="s">
        <v>1005</v>
      </c>
      <c r="G17" s="132"/>
      <c r="H17" s="148" t="s">
        <v>2020</v>
      </c>
      <c r="I17" s="153" t="s">
        <v>211</v>
      </c>
      <c r="J17" s="132" t="s">
        <v>1381</v>
      </c>
      <c r="K17" s="132" t="s">
        <v>1017</v>
      </c>
      <c r="L17" s="132" t="s">
        <v>1080</v>
      </c>
      <c r="M17" s="132" t="s">
        <v>1080</v>
      </c>
      <c r="N17" s="132" t="s">
        <v>1080</v>
      </c>
      <c r="O17" s="132" t="s">
        <v>1080</v>
      </c>
      <c r="P17" s="135" t="s">
        <v>2021</v>
      </c>
    </row>
    <row r="18" spans="1:16" ht="56.25" x14ac:dyDescent="0.15">
      <c r="A18" s="138">
        <f t="shared" si="0"/>
        <v>15</v>
      </c>
      <c r="B18" s="139" t="s">
        <v>814</v>
      </c>
      <c r="C18" s="139" t="s">
        <v>2022</v>
      </c>
      <c r="D18" s="134" t="s">
        <v>246</v>
      </c>
      <c r="E18" s="154"/>
      <c r="F18" s="134" t="s">
        <v>1005</v>
      </c>
      <c r="G18" s="134"/>
      <c r="H18" s="133"/>
      <c r="I18" s="155" t="s">
        <v>211</v>
      </c>
      <c r="J18" s="134" t="s">
        <v>172</v>
      </c>
      <c r="K18" s="134" t="s">
        <v>1020</v>
      </c>
      <c r="L18" s="174" t="s">
        <v>2023</v>
      </c>
      <c r="M18" s="174" t="s">
        <v>2023</v>
      </c>
      <c r="N18" s="134" t="s">
        <v>2017</v>
      </c>
      <c r="O18" s="134" t="s">
        <v>2017</v>
      </c>
      <c r="P18" s="164" t="s">
        <v>2024</v>
      </c>
    </row>
    <row r="19" spans="1:16" s="130" customFormat="1" ht="22.5" x14ac:dyDescent="0.15">
      <c r="A19" s="146">
        <f t="shared" si="0"/>
        <v>16</v>
      </c>
      <c r="B19" s="147" t="s">
        <v>2025</v>
      </c>
      <c r="C19" s="147" t="s">
        <v>2026</v>
      </c>
      <c r="D19" s="132" t="s">
        <v>237</v>
      </c>
      <c r="E19" s="132">
        <v>20</v>
      </c>
      <c r="F19" s="132" t="s">
        <v>1005</v>
      </c>
      <c r="G19" s="132"/>
      <c r="H19" s="148" t="s">
        <v>2027</v>
      </c>
      <c r="I19" s="153" t="s">
        <v>211</v>
      </c>
      <c r="J19" s="132" t="s">
        <v>1381</v>
      </c>
      <c r="K19" s="132" t="s">
        <v>1017</v>
      </c>
      <c r="L19" s="132" t="s">
        <v>1080</v>
      </c>
      <c r="M19" s="132" t="s">
        <v>1080</v>
      </c>
      <c r="N19" s="132" t="s">
        <v>1080</v>
      </c>
      <c r="O19" s="132" t="s">
        <v>1080</v>
      </c>
      <c r="P19" s="135" t="s">
        <v>2028</v>
      </c>
    </row>
    <row r="20" spans="1:16" s="130" customFormat="1" ht="22.5" x14ac:dyDescent="0.15">
      <c r="A20" s="146">
        <f t="shared" si="0"/>
        <v>17</v>
      </c>
      <c r="B20" s="147" t="s">
        <v>1124</v>
      </c>
      <c r="C20" s="147" t="s">
        <v>2029</v>
      </c>
      <c r="D20" s="132" t="s">
        <v>250</v>
      </c>
      <c r="E20" s="132"/>
      <c r="F20" s="132" t="s">
        <v>1005</v>
      </c>
      <c r="G20" s="132"/>
      <c r="H20" s="148" t="s">
        <v>2030</v>
      </c>
      <c r="I20" s="153" t="s">
        <v>211</v>
      </c>
      <c r="J20" s="132" t="s">
        <v>1381</v>
      </c>
      <c r="K20" s="132" t="s">
        <v>1017</v>
      </c>
      <c r="L20" s="132" t="s">
        <v>2031</v>
      </c>
      <c r="M20" s="132" t="s">
        <v>2031</v>
      </c>
      <c r="N20" s="132" t="s">
        <v>2031</v>
      </c>
      <c r="O20" s="132" t="s">
        <v>2031</v>
      </c>
      <c r="P20" s="135"/>
    </row>
    <row r="21" spans="1:16" s="130" customFormat="1" ht="22.5" x14ac:dyDescent="0.15">
      <c r="A21" s="146">
        <f t="shared" si="0"/>
        <v>18</v>
      </c>
      <c r="B21" s="147" t="s">
        <v>2032</v>
      </c>
      <c r="C21" s="147" t="s">
        <v>2033</v>
      </c>
      <c r="D21" s="132" t="s">
        <v>246</v>
      </c>
      <c r="E21" s="132"/>
      <c r="F21" s="132" t="s">
        <v>1005</v>
      </c>
      <c r="G21" s="132"/>
      <c r="H21" s="148"/>
      <c r="I21" s="153" t="s">
        <v>211</v>
      </c>
      <c r="J21" s="132" t="s">
        <v>1381</v>
      </c>
      <c r="K21" s="132" t="s">
        <v>1017</v>
      </c>
      <c r="L21" s="132" t="s">
        <v>1080</v>
      </c>
      <c r="M21" s="132" t="s">
        <v>1080</v>
      </c>
      <c r="N21" s="132" t="s">
        <v>1080</v>
      </c>
      <c r="O21" s="132" t="s">
        <v>1080</v>
      </c>
      <c r="P21" s="137" t="s">
        <v>2034</v>
      </c>
    </row>
    <row r="22" spans="1:16" s="130" customFormat="1" ht="22.5" x14ac:dyDescent="0.15">
      <c r="A22" s="146">
        <f t="shared" si="0"/>
        <v>19</v>
      </c>
      <c r="B22" s="147" t="s">
        <v>2035</v>
      </c>
      <c r="C22" s="147" t="s">
        <v>2033</v>
      </c>
      <c r="D22" s="132" t="s">
        <v>237</v>
      </c>
      <c r="E22" s="132">
        <v>100</v>
      </c>
      <c r="F22" s="132" t="s">
        <v>1005</v>
      </c>
      <c r="G22" s="132"/>
      <c r="H22" s="148"/>
      <c r="I22" s="153" t="s">
        <v>211</v>
      </c>
      <c r="J22" s="132" t="s">
        <v>1381</v>
      </c>
      <c r="K22" s="132" t="s">
        <v>1017</v>
      </c>
      <c r="L22" s="132" t="s">
        <v>1080</v>
      </c>
      <c r="M22" s="132" t="s">
        <v>1080</v>
      </c>
      <c r="N22" s="132" t="s">
        <v>1080</v>
      </c>
      <c r="O22" s="132" t="s">
        <v>1080</v>
      </c>
      <c r="P22" s="137" t="s">
        <v>2034</v>
      </c>
    </row>
    <row r="23" spans="1:16" s="130" customFormat="1" ht="22.5" x14ac:dyDescent="0.15">
      <c r="A23" s="146">
        <f t="shared" si="0"/>
        <v>20</v>
      </c>
      <c r="B23" s="147" t="s">
        <v>2036</v>
      </c>
      <c r="C23" s="147" t="s">
        <v>2033</v>
      </c>
      <c r="D23" s="132" t="s">
        <v>237</v>
      </c>
      <c r="E23" s="152">
        <v>3</v>
      </c>
      <c r="F23" s="132" t="s">
        <v>1005</v>
      </c>
      <c r="G23" s="132"/>
      <c r="H23" s="148"/>
      <c r="I23" s="153" t="s">
        <v>211</v>
      </c>
      <c r="J23" s="132" t="s">
        <v>1381</v>
      </c>
      <c r="K23" s="132" t="s">
        <v>1017</v>
      </c>
      <c r="L23" s="132" t="s">
        <v>1080</v>
      </c>
      <c r="M23" s="132" t="s">
        <v>1080</v>
      </c>
      <c r="N23" s="132" t="s">
        <v>1080</v>
      </c>
      <c r="O23" s="132" t="s">
        <v>1080</v>
      </c>
      <c r="P23" s="137" t="s">
        <v>2034</v>
      </c>
    </row>
    <row r="24" spans="1:16" s="130" customFormat="1" ht="22.5" x14ac:dyDescent="0.15">
      <c r="A24" s="146">
        <f t="shared" si="0"/>
        <v>21</v>
      </c>
      <c r="B24" s="147" t="s">
        <v>2037</v>
      </c>
      <c r="C24" s="147" t="s">
        <v>2033</v>
      </c>
      <c r="D24" s="132" t="s">
        <v>237</v>
      </c>
      <c r="E24" s="132">
        <v>10</v>
      </c>
      <c r="F24" s="132" t="s">
        <v>1005</v>
      </c>
      <c r="G24" s="132"/>
      <c r="H24" s="148"/>
      <c r="I24" s="153" t="s">
        <v>211</v>
      </c>
      <c r="J24" s="132" t="s">
        <v>1381</v>
      </c>
      <c r="K24" s="132" t="s">
        <v>1017</v>
      </c>
      <c r="L24" s="132" t="s">
        <v>1080</v>
      </c>
      <c r="M24" s="132" t="s">
        <v>1080</v>
      </c>
      <c r="N24" s="132" t="s">
        <v>1080</v>
      </c>
      <c r="O24" s="132" t="s">
        <v>1080</v>
      </c>
      <c r="P24" s="137" t="s">
        <v>2034</v>
      </c>
    </row>
    <row r="25" spans="1:16" s="130" customFormat="1" ht="22.5" x14ac:dyDescent="0.15">
      <c r="A25" s="146">
        <f t="shared" si="0"/>
        <v>22</v>
      </c>
      <c r="B25" s="147" t="s">
        <v>2038</v>
      </c>
      <c r="C25" s="147" t="s">
        <v>2033</v>
      </c>
      <c r="D25" s="132" t="s">
        <v>237</v>
      </c>
      <c r="E25" s="132">
        <v>20</v>
      </c>
      <c r="F25" s="132" t="s">
        <v>1005</v>
      </c>
      <c r="G25" s="132"/>
      <c r="H25" s="148"/>
      <c r="I25" s="153" t="s">
        <v>211</v>
      </c>
      <c r="J25" s="132" t="s">
        <v>1381</v>
      </c>
      <c r="K25" s="132" t="s">
        <v>1017</v>
      </c>
      <c r="L25" s="132" t="s">
        <v>1080</v>
      </c>
      <c r="M25" s="132" t="s">
        <v>1080</v>
      </c>
      <c r="N25" s="132" t="s">
        <v>1080</v>
      </c>
      <c r="O25" s="132" t="s">
        <v>1080</v>
      </c>
      <c r="P25" s="137" t="s">
        <v>2034</v>
      </c>
    </row>
    <row r="26" spans="1:16" s="130" customFormat="1" ht="22.5" x14ac:dyDescent="0.15">
      <c r="A26" s="146">
        <f t="shared" si="0"/>
        <v>23</v>
      </c>
      <c r="B26" s="147" t="s">
        <v>2039</v>
      </c>
      <c r="C26" s="147" t="s">
        <v>2033</v>
      </c>
      <c r="D26" s="132" t="s">
        <v>237</v>
      </c>
      <c r="E26" s="132">
        <v>20</v>
      </c>
      <c r="F26" s="132" t="s">
        <v>1005</v>
      </c>
      <c r="G26" s="132"/>
      <c r="H26" s="148"/>
      <c r="I26" s="153" t="s">
        <v>211</v>
      </c>
      <c r="J26" s="132" t="s">
        <v>1381</v>
      </c>
      <c r="K26" s="132" t="s">
        <v>1017</v>
      </c>
      <c r="L26" s="132" t="s">
        <v>1080</v>
      </c>
      <c r="M26" s="132" t="s">
        <v>1080</v>
      </c>
      <c r="N26" s="132" t="s">
        <v>1080</v>
      </c>
      <c r="O26" s="132" t="s">
        <v>1080</v>
      </c>
      <c r="P26" s="137" t="s">
        <v>2034</v>
      </c>
    </row>
    <row r="27" spans="1:16" ht="56.25" x14ac:dyDescent="0.15">
      <c r="A27" s="138">
        <f t="shared" si="0"/>
        <v>24</v>
      </c>
      <c r="B27" s="139" t="s">
        <v>816</v>
      </c>
      <c r="C27" s="139" t="s">
        <v>2040</v>
      </c>
      <c r="D27" s="134" t="s">
        <v>237</v>
      </c>
      <c r="E27" s="134">
        <v>75</v>
      </c>
      <c r="F27" s="134" t="s">
        <v>1005</v>
      </c>
      <c r="G27" s="134"/>
      <c r="H27" s="133" t="s">
        <v>2041</v>
      </c>
      <c r="I27" s="261" t="s">
        <v>2042</v>
      </c>
      <c r="J27" s="134" t="s">
        <v>172</v>
      </c>
      <c r="K27" s="134" t="s">
        <v>1750</v>
      </c>
      <c r="L27" s="174" t="s">
        <v>2043</v>
      </c>
      <c r="M27" s="174" t="s">
        <v>2043</v>
      </c>
      <c r="N27" s="134" t="s">
        <v>2044</v>
      </c>
      <c r="O27" s="134" t="s">
        <v>2044</v>
      </c>
      <c r="P27" s="164" t="s">
        <v>2045</v>
      </c>
    </row>
    <row r="28" spans="1:16" s="130" customFormat="1" ht="27" x14ac:dyDescent="0.15">
      <c r="A28" s="146">
        <f t="shared" si="0"/>
        <v>25</v>
      </c>
      <c r="B28" s="147" t="s">
        <v>2046</v>
      </c>
      <c r="C28" s="147"/>
      <c r="D28" s="132" t="s">
        <v>246</v>
      </c>
      <c r="E28" s="132"/>
      <c r="F28" s="132" t="s">
        <v>1005</v>
      </c>
      <c r="G28" s="132"/>
      <c r="H28" s="148"/>
      <c r="I28" s="153" t="s">
        <v>211</v>
      </c>
      <c r="J28" s="132" t="s">
        <v>1381</v>
      </c>
      <c r="K28" s="132" t="s">
        <v>1017</v>
      </c>
      <c r="L28" s="132" t="s">
        <v>1080</v>
      </c>
      <c r="M28" s="132" t="s">
        <v>1080</v>
      </c>
      <c r="N28" s="132" t="s">
        <v>1080</v>
      </c>
      <c r="O28" s="132" t="s">
        <v>1080</v>
      </c>
      <c r="P28" s="137" t="s">
        <v>2047</v>
      </c>
    </row>
    <row r="29" spans="1:16" s="130" customFormat="1" ht="78.75" x14ac:dyDescent="0.15">
      <c r="A29" s="146">
        <f t="shared" si="0"/>
        <v>26</v>
      </c>
      <c r="B29" s="147" t="s">
        <v>2048</v>
      </c>
      <c r="C29" s="147" t="s">
        <v>2049</v>
      </c>
      <c r="D29" s="132" t="s">
        <v>237</v>
      </c>
      <c r="E29" s="132">
        <v>120</v>
      </c>
      <c r="F29" s="132" t="s">
        <v>1005</v>
      </c>
      <c r="G29" s="132"/>
      <c r="H29" s="148" t="s">
        <v>2050</v>
      </c>
      <c r="I29" s="153" t="s">
        <v>211</v>
      </c>
      <c r="J29" s="132" t="s">
        <v>1381</v>
      </c>
      <c r="K29" s="132" t="s">
        <v>1017</v>
      </c>
      <c r="L29" s="132" t="s">
        <v>1080</v>
      </c>
      <c r="M29" s="132" t="s">
        <v>1080</v>
      </c>
      <c r="N29" s="132" t="s">
        <v>1080</v>
      </c>
      <c r="O29" s="132" t="s">
        <v>1080</v>
      </c>
      <c r="P29" s="149" t="s">
        <v>2051</v>
      </c>
    </row>
    <row r="30" spans="1:16" s="130" customFormat="1" ht="22.5" x14ac:dyDescent="0.15">
      <c r="A30" s="146">
        <f t="shared" si="0"/>
        <v>27</v>
      </c>
      <c r="B30" s="147" t="s">
        <v>2052</v>
      </c>
      <c r="C30" s="147"/>
      <c r="D30" s="132" t="s">
        <v>237</v>
      </c>
      <c r="E30" s="132">
        <v>100</v>
      </c>
      <c r="F30" s="132" t="s">
        <v>1005</v>
      </c>
      <c r="G30" s="132"/>
      <c r="H30" s="148"/>
      <c r="I30" s="153" t="s">
        <v>211</v>
      </c>
      <c r="J30" s="132" t="s">
        <v>1381</v>
      </c>
      <c r="K30" s="132" t="s">
        <v>1017</v>
      </c>
      <c r="L30" s="132" t="s">
        <v>1080</v>
      </c>
      <c r="M30" s="132" t="s">
        <v>1080</v>
      </c>
      <c r="N30" s="132" t="s">
        <v>1080</v>
      </c>
      <c r="O30" s="132" t="s">
        <v>1080</v>
      </c>
      <c r="P30" s="149" t="s">
        <v>2053</v>
      </c>
    </row>
    <row r="31" spans="1:16" s="130" customFormat="1" ht="56.25" x14ac:dyDescent="0.15">
      <c r="A31" s="146">
        <f t="shared" si="0"/>
        <v>28</v>
      </c>
      <c r="B31" s="147" t="s">
        <v>1354</v>
      </c>
      <c r="C31" s="147" t="s">
        <v>1355</v>
      </c>
      <c r="D31" s="132" t="s">
        <v>237</v>
      </c>
      <c r="E31" s="132">
        <v>20</v>
      </c>
      <c r="F31" s="132" t="s">
        <v>1005</v>
      </c>
      <c r="G31" s="132"/>
      <c r="H31" s="148" t="s">
        <v>2054</v>
      </c>
      <c r="I31" s="153" t="s">
        <v>211</v>
      </c>
      <c r="J31" s="132" t="s">
        <v>1381</v>
      </c>
      <c r="K31" s="132" t="s">
        <v>1017</v>
      </c>
      <c r="L31" s="132" t="s">
        <v>1080</v>
      </c>
      <c r="M31" s="132" t="s">
        <v>1080</v>
      </c>
      <c r="N31" s="132" t="s">
        <v>1080</v>
      </c>
      <c r="O31" s="132" t="s">
        <v>1080</v>
      </c>
      <c r="P31" s="135" t="s">
        <v>2055</v>
      </c>
    </row>
    <row r="32" spans="1:16" s="130" customFormat="1" ht="67.5" x14ac:dyDescent="0.15">
      <c r="A32" s="146">
        <f t="shared" si="0"/>
        <v>29</v>
      </c>
      <c r="B32" s="147" t="s">
        <v>2056</v>
      </c>
      <c r="C32" s="147" t="s">
        <v>2057</v>
      </c>
      <c r="D32" s="132" t="s">
        <v>246</v>
      </c>
      <c r="E32" s="132">
        <v>2</v>
      </c>
      <c r="F32" s="132" t="s">
        <v>1005</v>
      </c>
      <c r="G32" s="132"/>
      <c r="H32" s="148" t="s">
        <v>2058</v>
      </c>
      <c r="I32" s="153" t="s">
        <v>211</v>
      </c>
      <c r="J32" s="132" t="s">
        <v>1381</v>
      </c>
      <c r="K32" s="132" t="s">
        <v>1017</v>
      </c>
      <c r="L32" s="132" t="s">
        <v>1080</v>
      </c>
      <c r="M32" s="132" t="s">
        <v>1080</v>
      </c>
      <c r="N32" s="132" t="s">
        <v>1080</v>
      </c>
      <c r="O32" s="132" t="s">
        <v>1080</v>
      </c>
      <c r="P32" s="135" t="s">
        <v>2059</v>
      </c>
    </row>
    <row r="33" spans="1:17" s="130" customFormat="1" ht="22.5" x14ac:dyDescent="0.15">
      <c r="A33" s="146">
        <f t="shared" si="0"/>
        <v>30</v>
      </c>
      <c r="B33" s="147" t="s">
        <v>2060</v>
      </c>
      <c r="C33" s="147"/>
      <c r="D33" s="132" t="s">
        <v>246</v>
      </c>
      <c r="E33" s="132"/>
      <c r="F33" s="132"/>
      <c r="G33" s="132"/>
      <c r="H33" s="148"/>
      <c r="I33" s="153" t="s">
        <v>211</v>
      </c>
      <c r="J33" s="132" t="s">
        <v>1381</v>
      </c>
      <c r="K33" s="132" t="s">
        <v>1017</v>
      </c>
      <c r="L33" s="132" t="s">
        <v>1080</v>
      </c>
      <c r="M33" s="132" t="s">
        <v>1080</v>
      </c>
      <c r="N33" s="132" t="s">
        <v>1080</v>
      </c>
      <c r="O33" s="132" t="s">
        <v>1080</v>
      </c>
      <c r="P33" s="137"/>
    </row>
    <row r="34" spans="1:17" s="130" customFormat="1" ht="22.5" x14ac:dyDescent="0.15">
      <c r="A34" s="146">
        <f t="shared" si="0"/>
        <v>31</v>
      </c>
      <c r="B34" s="147" t="s">
        <v>2061</v>
      </c>
      <c r="C34" s="147"/>
      <c r="D34" s="132" t="s">
        <v>237</v>
      </c>
      <c r="E34" s="132">
        <v>40</v>
      </c>
      <c r="F34" s="132" t="s">
        <v>1005</v>
      </c>
      <c r="G34" s="132"/>
      <c r="H34" s="148"/>
      <c r="I34" s="153" t="s">
        <v>211</v>
      </c>
      <c r="J34" s="132" t="s">
        <v>1381</v>
      </c>
      <c r="K34" s="132" t="s">
        <v>1017</v>
      </c>
      <c r="L34" s="132" t="s">
        <v>1080</v>
      </c>
      <c r="M34" s="132" t="s">
        <v>1080</v>
      </c>
      <c r="N34" s="132" t="s">
        <v>1080</v>
      </c>
      <c r="O34" s="132" t="s">
        <v>1080</v>
      </c>
      <c r="P34" s="137"/>
    </row>
    <row r="35" spans="1:17" s="130" customFormat="1" ht="22.5" x14ac:dyDescent="0.15">
      <c r="A35" s="146">
        <f t="shared" si="0"/>
        <v>32</v>
      </c>
      <c r="B35" s="147" t="s">
        <v>2062</v>
      </c>
      <c r="C35" s="147"/>
      <c r="D35" s="132" t="s">
        <v>246</v>
      </c>
      <c r="E35" s="132"/>
      <c r="F35" s="132"/>
      <c r="G35" s="132"/>
      <c r="H35" s="148"/>
      <c r="I35" s="153" t="s">
        <v>211</v>
      </c>
      <c r="J35" s="132" t="s">
        <v>1381</v>
      </c>
      <c r="K35" s="132" t="s">
        <v>1017</v>
      </c>
      <c r="L35" s="132" t="s">
        <v>1080</v>
      </c>
      <c r="M35" s="132" t="s">
        <v>1080</v>
      </c>
      <c r="N35" s="132" t="s">
        <v>1080</v>
      </c>
      <c r="O35" s="132" t="s">
        <v>1080</v>
      </c>
      <c r="P35" s="137"/>
    </row>
    <row r="36" spans="1:17" s="130" customFormat="1" ht="22.5" x14ac:dyDescent="0.15">
      <c r="A36" s="146">
        <f t="shared" si="0"/>
        <v>33</v>
      </c>
      <c r="B36" s="147" t="s">
        <v>2063</v>
      </c>
      <c r="C36" s="147"/>
      <c r="D36" s="132" t="s">
        <v>355</v>
      </c>
      <c r="E36" s="132"/>
      <c r="F36" s="132" t="s">
        <v>1005</v>
      </c>
      <c r="G36" s="132"/>
      <c r="H36" s="148"/>
      <c r="I36" s="153" t="s">
        <v>211</v>
      </c>
      <c r="J36" s="132" t="s">
        <v>1381</v>
      </c>
      <c r="K36" s="132" t="s">
        <v>1017</v>
      </c>
      <c r="L36" s="132" t="s">
        <v>1080</v>
      </c>
      <c r="M36" s="132" t="s">
        <v>1080</v>
      </c>
      <c r="N36" s="132" t="s">
        <v>1080</v>
      </c>
      <c r="O36" s="132" t="s">
        <v>1080</v>
      </c>
      <c r="P36" s="137" t="s">
        <v>2051</v>
      </c>
    </row>
    <row r="37" spans="1:17" s="130" customFormat="1" ht="22.5" x14ac:dyDescent="0.15">
      <c r="A37" s="146">
        <f t="shared" si="0"/>
        <v>34</v>
      </c>
      <c r="B37" s="147" t="s">
        <v>2064</v>
      </c>
      <c r="C37" s="147"/>
      <c r="D37" s="132" t="s">
        <v>237</v>
      </c>
      <c r="E37" s="132">
        <v>16</v>
      </c>
      <c r="F37" s="132" t="s">
        <v>1005</v>
      </c>
      <c r="G37" s="132"/>
      <c r="H37" s="148"/>
      <c r="I37" s="153" t="s">
        <v>211</v>
      </c>
      <c r="J37" s="132" t="s">
        <v>1381</v>
      </c>
      <c r="K37" s="132" t="s">
        <v>1017</v>
      </c>
      <c r="L37" s="132" t="s">
        <v>1080</v>
      </c>
      <c r="M37" s="132" t="s">
        <v>1080</v>
      </c>
      <c r="N37" s="132" t="s">
        <v>1080</v>
      </c>
      <c r="O37" s="132" t="s">
        <v>1080</v>
      </c>
      <c r="P37" s="137" t="s">
        <v>2051</v>
      </c>
    </row>
    <row r="38" spans="1:17" s="130" customFormat="1" ht="22.5" x14ac:dyDescent="0.15">
      <c r="A38" s="146">
        <f t="shared" si="0"/>
        <v>35</v>
      </c>
      <c r="B38" s="147" t="s">
        <v>2065</v>
      </c>
      <c r="C38" s="147"/>
      <c r="D38" s="132" t="s">
        <v>355</v>
      </c>
      <c r="E38" s="132"/>
      <c r="F38" s="132" t="s">
        <v>1005</v>
      </c>
      <c r="G38" s="132"/>
      <c r="H38" s="148"/>
      <c r="I38" s="153" t="s">
        <v>211</v>
      </c>
      <c r="J38" s="132" t="s">
        <v>1381</v>
      </c>
      <c r="K38" s="132" t="s">
        <v>1017</v>
      </c>
      <c r="L38" s="132" t="s">
        <v>1080</v>
      </c>
      <c r="M38" s="132" t="s">
        <v>1080</v>
      </c>
      <c r="N38" s="132" t="s">
        <v>1080</v>
      </c>
      <c r="O38" s="132" t="s">
        <v>1080</v>
      </c>
      <c r="P38" s="137" t="s">
        <v>2051</v>
      </c>
    </row>
    <row r="39" spans="1:17" s="130" customFormat="1" ht="22.5" x14ac:dyDescent="0.15">
      <c r="A39" s="146">
        <f t="shared" si="0"/>
        <v>36</v>
      </c>
      <c r="B39" s="147" t="s">
        <v>2066</v>
      </c>
      <c r="C39" s="147"/>
      <c r="D39" s="132" t="s">
        <v>355</v>
      </c>
      <c r="E39" s="132"/>
      <c r="F39" s="132" t="s">
        <v>1005</v>
      </c>
      <c r="G39" s="132"/>
      <c r="H39" s="148"/>
      <c r="I39" s="153" t="s">
        <v>211</v>
      </c>
      <c r="J39" s="132" t="s">
        <v>1381</v>
      </c>
      <c r="K39" s="132" t="s">
        <v>1017</v>
      </c>
      <c r="L39" s="132" t="s">
        <v>1080</v>
      </c>
      <c r="M39" s="132" t="s">
        <v>1080</v>
      </c>
      <c r="N39" s="132" t="s">
        <v>1080</v>
      </c>
      <c r="O39" s="132" t="s">
        <v>1080</v>
      </c>
      <c r="P39" s="137" t="s">
        <v>2051</v>
      </c>
    </row>
    <row r="40" spans="1:17" s="130" customFormat="1" ht="22.5" x14ac:dyDescent="0.15">
      <c r="A40" s="146">
        <f t="shared" si="0"/>
        <v>37</v>
      </c>
      <c r="B40" s="147" t="s">
        <v>2067</v>
      </c>
      <c r="C40" s="147"/>
      <c r="D40" s="132" t="s">
        <v>237</v>
      </c>
      <c r="E40" s="132">
        <v>16</v>
      </c>
      <c r="F40" s="132" t="s">
        <v>1005</v>
      </c>
      <c r="G40" s="132"/>
      <c r="H40" s="148"/>
      <c r="I40" s="153" t="s">
        <v>211</v>
      </c>
      <c r="J40" s="132" t="s">
        <v>1381</v>
      </c>
      <c r="K40" s="132" t="s">
        <v>1017</v>
      </c>
      <c r="L40" s="132" t="s">
        <v>1080</v>
      </c>
      <c r="M40" s="132" t="s">
        <v>1080</v>
      </c>
      <c r="N40" s="132" t="s">
        <v>1080</v>
      </c>
      <c r="O40" s="132" t="s">
        <v>1080</v>
      </c>
      <c r="P40" s="137" t="s">
        <v>2051</v>
      </c>
    </row>
    <row r="41" spans="1:17" s="130" customFormat="1" ht="22.5" x14ac:dyDescent="0.15">
      <c r="A41" s="146">
        <f t="shared" si="0"/>
        <v>38</v>
      </c>
      <c r="B41" s="147" t="s">
        <v>2068</v>
      </c>
      <c r="C41" s="147"/>
      <c r="D41" s="132" t="s">
        <v>237</v>
      </c>
      <c r="E41" s="132">
        <v>50</v>
      </c>
      <c r="F41" s="132" t="s">
        <v>1005</v>
      </c>
      <c r="G41" s="132"/>
      <c r="H41" s="148"/>
      <c r="I41" s="153" t="s">
        <v>211</v>
      </c>
      <c r="J41" s="132" t="s">
        <v>1381</v>
      </c>
      <c r="K41" s="132" t="s">
        <v>1017</v>
      </c>
      <c r="L41" s="132" t="s">
        <v>1080</v>
      </c>
      <c r="M41" s="132" t="s">
        <v>1080</v>
      </c>
      <c r="N41" s="132" t="s">
        <v>1080</v>
      </c>
      <c r="O41" s="132" t="s">
        <v>1080</v>
      </c>
      <c r="P41" s="137"/>
    </row>
    <row r="42" spans="1:17" s="130" customFormat="1" ht="22.5" x14ac:dyDescent="0.15">
      <c r="A42" s="146">
        <f t="shared" si="0"/>
        <v>39</v>
      </c>
      <c r="B42" s="147" t="s">
        <v>2069</v>
      </c>
      <c r="C42" s="147"/>
      <c r="D42" s="132" t="s">
        <v>237</v>
      </c>
      <c r="E42" s="132">
        <v>1</v>
      </c>
      <c r="F42" s="132" t="s">
        <v>1005</v>
      </c>
      <c r="G42" s="132"/>
      <c r="H42" s="148"/>
      <c r="I42" s="153" t="s">
        <v>211</v>
      </c>
      <c r="J42" s="132" t="s">
        <v>1381</v>
      </c>
      <c r="K42" s="132" t="s">
        <v>1017</v>
      </c>
      <c r="L42" s="132" t="s">
        <v>1080</v>
      </c>
      <c r="M42" s="132" t="s">
        <v>1080</v>
      </c>
      <c r="N42" s="132" t="s">
        <v>1080</v>
      </c>
      <c r="O42" s="132" t="s">
        <v>1080</v>
      </c>
      <c r="P42" s="137" t="s">
        <v>2070</v>
      </c>
    </row>
    <row r="43" spans="1:17" s="130" customFormat="1" ht="22.5" x14ac:dyDescent="0.15">
      <c r="A43" s="146">
        <f t="shared" si="0"/>
        <v>40</v>
      </c>
      <c r="B43" s="147" t="s">
        <v>2071</v>
      </c>
      <c r="C43" s="147"/>
      <c r="D43" s="132" t="s">
        <v>237</v>
      </c>
      <c r="E43" s="132">
        <v>100</v>
      </c>
      <c r="F43" s="132" t="s">
        <v>1005</v>
      </c>
      <c r="G43" s="132"/>
      <c r="H43" s="148"/>
      <c r="I43" s="153" t="s">
        <v>211</v>
      </c>
      <c r="J43" s="132" t="s">
        <v>1381</v>
      </c>
      <c r="K43" s="132" t="s">
        <v>1017</v>
      </c>
      <c r="L43" s="132" t="s">
        <v>1080</v>
      </c>
      <c r="M43" s="132" t="s">
        <v>1080</v>
      </c>
      <c r="N43" s="132" t="s">
        <v>1080</v>
      </c>
      <c r="O43" s="132" t="s">
        <v>1080</v>
      </c>
      <c r="P43" s="137" t="s">
        <v>2072</v>
      </c>
    </row>
    <row r="44" spans="1:17" s="130" customFormat="1" ht="22.5" x14ac:dyDescent="0.15">
      <c r="A44" s="146">
        <f t="shared" si="0"/>
        <v>41</v>
      </c>
      <c r="B44" s="147" t="s">
        <v>1517</v>
      </c>
      <c r="C44" s="147"/>
      <c r="D44" s="132" t="s">
        <v>1244</v>
      </c>
      <c r="E44" s="132"/>
      <c r="F44" s="132" t="s">
        <v>1005</v>
      </c>
      <c r="G44" s="132"/>
      <c r="H44" s="148"/>
      <c r="I44" s="153" t="s">
        <v>211</v>
      </c>
      <c r="J44" s="132" t="s">
        <v>1381</v>
      </c>
      <c r="K44" s="132" t="s">
        <v>1017</v>
      </c>
      <c r="L44" s="132" t="s">
        <v>1080</v>
      </c>
      <c r="M44" s="132" t="s">
        <v>1080</v>
      </c>
      <c r="N44" s="132" t="s">
        <v>1080</v>
      </c>
      <c r="O44" s="132" t="s">
        <v>1080</v>
      </c>
      <c r="P44" s="137"/>
    </row>
    <row r="45" spans="1:17" s="10" customFormat="1" ht="27" x14ac:dyDescent="0.15">
      <c r="A45" s="171">
        <f t="shared" si="0"/>
        <v>42</v>
      </c>
      <c r="B45" s="172" t="s">
        <v>1440</v>
      </c>
      <c r="C45" s="172" t="s">
        <v>2073</v>
      </c>
      <c r="D45" s="174" t="s">
        <v>1244</v>
      </c>
      <c r="E45" s="174"/>
      <c r="F45" s="174" t="s">
        <v>1005</v>
      </c>
      <c r="G45" s="174"/>
      <c r="H45" s="175"/>
      <c r="I45" s="220" t="s">
        <v>211</v>
      </c>
      <c r="J45" s="134" t="s">
        <v>172</v>
      </c>
      <c r="K45" s="174" t="s">
        <v>1020</v>
      </c>
      <c r="L45" s="17" t="s">
        <v>2074</v>
      </c>
      <c r="M45" s="17" t="s">
        <v>2074</v>
      </c>
      <c r="N45" s="306" t="s">
        <v>2075</v>
      </c>
      <c r="O45" s="306" t="s">
        <v>2075</v>
      </c>
      <c r="P45" s="365" t="s">
        <v>2076</v>
      </c>
      <c r="Q45" s="304" t="s">
        <v>1139</v>
      </c>
    </row>
    <row r="46" spans="1:17" s="130" customFormat="1" ht="22.5" x14ac:dyDescent="0.15">
      <c r="A46" s="146">
        <f t="shared" si="0"/>
        <v>43</v>
      </c>
      <c r="B46" s="147" t="s">
        <v>2077</v>
      </c>
      <c r="C46" s="147"/>
      <c r="D46" s="132" t="s">
        <v>237</v>
      </c>
      <c r="E46" s="132">
        <v>50</v>
      </c>
      <c r="F46" s="132" t="s">
        <v>1005</v>
      </c>
      <c r="G46" s="132"/>
      <c r="H46" s="148"/>
      <c r="I46" s="153" t="s">
        <v>211</v>
      </c>
      <c r="J46" s="132" t="s">
        <v>1381</v>
      </c>
      <c r="K46" s="132" t="s">
        <v>1017</v>
      </c>
      <c r="L46" s="132" t="s">
        <v>1080</v>
      </c>
      <c r="M46" s="132" t="s">
        <v>1080</v>
      </c>
      <c r="N46" s="132" t="s">
        <v>1080</v>
      </c>
      <c r="O46" s="132" t="s">
        <v>1080</v>
      </c>
      <c r="P46" s="137"/>
    </row>
    <row r="47" spans="1:17" s="130" customFormat="1" ht="22.5" x14ac:dyDescent="0.15">
      <c r="A47" s="146">
        <f t="shared" si="0"/>
        <v>44</v>
      </c>
      <c r="B47" s="147" t="s">
        <v>2078</v>
      </c>
      <c r="C47" s="147" t="s">
        <v>2079</v>
      </c>
      <c r="D47" s="132" t="s">
        <v>237</v>
      </c>
      <c r="E47" s="132">
        <v>26</v>
      </c>
      <c r="F47" s="132" t="s">
        <v>1005</v>
      </c>
      <c r="G47" s="132"/>
      <c r="H47" s="148"/>
      <c r="I47" s="153" t="s">
        <v>211</v>
      </c>
      <c r="J47" s="132" t="s">
        <v>1381</v>
      </c>
      <c r="K47" s="132" t="s">
        <v>1017</v>
      </c>
      <c r="L47" s="132" t="s">
        <v>1080</v>
      </c>
      <c r="M47" s="132" t="s">
        <v>1080</v>
      </c>
      <c r="N47" s="132" t="s">
        <v>1080</v>
      </c>
      <c r="O47" s="132" t="s">
        <v>1080</v>
      </c>
      <c r="P47" s="137"/>
    </row>
    <row r="48" spans="1:17" s="130" customFormat="1" ht="22.5" x14ac:dyDescent="0.15">
      <c r="A48" s="146">
        <f t="shared" si="0"/>
        <v>45</v>
      </c>
      <c r="B48" s="147" t="s">
        <v>2080</v>
      </c>
      <c r="C48" s="147" t="s">
        <v>2081</v>
      </c>
      <c r="D48" s="132" t="s">
        <v>1004</v>
      </c>
      <c r="E48" s="132">
        <v>100</v>
      </c>
      <c r="F48" s="132" t="s">
        <v>1017</v>
      </c>
      <c r="G48" s="132"/>
      <c r="H48" s="148"/>
      <c r="I48" s="153" t="s">
        <v>211</v>
      </c>
      <c r="J48" s="132" t="s">
        <v>200</v>
      </c>
      <c r="K48" s="132" t="s">
        <v>1017</v>
      </c>
      <c r="L48" s="132" t="s">
        <v>1080</v>
      </c>
      <c r="M48" s="132" t="s">
        <v>1080</v>
      </c>
      <c r="N48" s="132" t="s">
        <v>1080</v>
      </c>
      <c r="O48" s="132" t="s">
        <v>1080</v>
      </c>
      <c r="P48" s="137"/>
    </row>
    <row r="49" spans="1:16" s="130" customFormat="1" ht="22.5" x14ac:dyDescent="0.15">
      <c r="A49" s="146">
        <f t="shared" si="0"/>
        <v>46</v>
      </c>
      <c r="B49" s="147" t="s">
        <v>1901</v>
      </c>
      <c r="C49" s="147" t="s">
        <v>2082</v>
      </c>
      <c r="D49" s="132" t="s">
        <v>1004</v>
      </c>
      <c r="E49" s="132">
        <v>240</v>
      </c>
      <c r="F49" s="132" t="s">
        <v>1017</v>
      </c>
      <c r="G49" s="132"/>
      <c r="H49" s="148"/>
      <c r="I49" s="153" t="s">
        <v>211</v>
      </c>
      <c r="J49" s="132" t="s">
        <v>200</v>
      </c>
      <c r="K49" s="132" t="s">
        <v>1017</v>
      </c>
      <c r="L49" s="132" t="s">
        <v>1080</v>
      </c>
      <c r="M49" s="132" t="s">
        <v>1080</v>
      </c>
      <c r="N49" s="132" t="s">
        <v>1080</v>
      </c>
      <c r="O49" s="132" t="s">
        <v>1080</v>
      </c>
      <c r="P49" s="137"/>
    </row>
    <row r="50" spans="1:16" s="130" customFormat="1" ht="22.5" x14ac:dyDescent="0.15">
      <c r="A50" s="157">
        <f t="shared" si="0"/>
        <v>47</v>
      </c>
      <c r="B50" s="259" t="s">
        <v>1624</v>
      </c>
      <c r="C50" s="259" t="s">
        <v>2083</v>
      </c>
      <c r="D50" s="159" t="s">
        <v>1004</v>
      </c>
      <c r="E50" s="159">
        <v>200</v>
      </c>
      <c r="F50" s="159" t="s">
        <v>1017</v>
      </c>
      <c r="G50" s="159"/>
      <c r="H50" s="195"/>
      <c r="I50" s="158" t="s">
        <v>211</v>
      </c>
      <c r="J50" s="159" t="s">
        <v>200</v>
      </c>
      <c r="K50" s="159" t="s">
        <v>1017</v>
      </c>
      <c r="L50" s="159" t="s">
        <v>1080</v>
      </c>
      <c r="M50" s="159" t="s">
        <v>1080</v>
      </c>
      <c r="N50" s="159" t="s">
        <v>1080</v>
      </c>
      <c r="O50" s="159" t="s">
        <v>1080</v>
      </c>
      <c r="P50" s="160"/>
    </row>
    <row r="51" spans="1:16" x14ac:dyDescent="0.15">
      <c r="A51" s="262"/>
      <c r="B51" s="263"/>
      <c r="C51" s="263"/>
      <c r="D51" s="264"/>
      <c r="E51" s="264"/>
      <c r="F51" s="264"/>
      <c r="G51" s="264"/>
      <c r="H51" s="265"/>
      <c r="I51" s="265"/>
      <c r="J51" s="265"/>
      <c r="K51" s="265"/>
      <c r="L51" s="265"/>
      <c r="M51" s="15" t="s">
        <v>1396</v>
      </c>
      <c r="N51" s="265"/>
      <c r="O51" s="265"/>
      <c r="P51" s="16"/>
    </row>
    <row r="52" spans="1:16" x14ac:dyDescent="0.15">
      <c r="A52" s="262"/>
      <c r="B52" s="263"/>
      <c r="C52" s="263"/>
      <c r="D52" s="264"/>
      <c r="E52" s="264"/>
      <c r="F52" s="264"/>
      <c r="G52" s="264"/>
      <c r="H52" s="265"/>
      <c r="I52" s="265"/>
      <c r="J52" s="265"/>
      <c r="K52" s="265"/>
      <c r="L52" s="265"/>
      <c r="M52" s="265"/>
      <c r="N52" s="265"/>
      <c r="O52" s="265"/>
      <c r="P52" s="16"/>
    </row>
    <row r="53" spans="1:16" x14ac:dyDescent="0.15">
      <c r="A53" s="262"/>
      <c r="B53" s="263"/>
      <c r="C53" s="263"/>
      <c r="D53" s="264"/>
      <c r="E53" s="264"/>
      <c r="F53" s="264"/>
      <c r="G53" s="264"/>
      <c r="H53" s="265"/>
      <c r="I53" s="265"/>
      <c r="J53" s="265"/>
      <c r="K53" s="265"/>
      <c r="L53" s="265"/>
      <c r="M53" s="265"/>
      <c r="N53" s="265"/>
      <c r="O53" s="265"/>
      <c r="P53" s="16"/>
    </row>
    <row r="54" spans="1:16" x14ac:dyDescent="0.15">
      <c r="A54" s="262"/>
      <c r="B54" s="263"/>
      <c r="C54" s="263"/>
      <c r="D54" s="264"/>
      <c r="E54" s="264"/>
      <c r="F54" s="264"/>
      <c r="G54" s="264"/>
      <c r="H54" s="265"/>
      <c r="I54" s="265"/>
      <c r="J54" s="265"/>
      <c r="K54" s="265"/>
      <c r="L54" s="265"/>
      <c r="M54" s="265"/>
      <c r="N54" s="265"/>
      <c r="O54" s="265"/>
      <c r="P54" s="16"/>
    </row>
    <row r="55" spans="1:16" x14ac:dyDescent="0.15">
      <c r="A55" s="262"/>
      <c r="B55" s="263"/>
      <c r="C55" s="263"/>
      <c r="D55" s="264"/>
      <c r="E55" s="264"/>
      <c r="F55" s="264"/>
      <c r="G55" s="264"/>
      <c r="H55" s="265"/>
      <c r="I55" s="265"/>
      <c r="J55" s="265"/>
      <c r="K55" s="265"/>
      <c r="L55" s="265"/>
      <c r="M55" s="265"/>
      <c r="N55" s="265"/>
      <c r="O55" s="265"/>
      <c r="P55" s="16"/>
    </row>
    <row r="56" spans="1:16" x14ac:dyDescent="0.15">
      <c r="A56" s="262"/>
      <c r="B56" s="263"/>
      <c r="C56" s="263"/>
      <c r="D56" s="264"/>
      <c r="E56" s="264"/>
      <c r="F56" s="264"/>
      <c r="G56" s="264"/>
      <c r="H56" s="265"/>
      <c r="I56" s="265"/>
      <c r="J56" s="265"/>
      <c r="K56" s="265"/>
      <c r="L56" s="265"/>
      <c r="M56" s="265"/>
      <c r="N56" s="265"/>
      <c r="O56" s="265"/>
      <c r="P56" s="16"/>
    </row>
    <row r="57" spans="1:16" x14ac:dyDescent="0.15">
      <c r="A57" s="262"/>
      <c r="B57" s="263"/>
      <c r="C57" s="263"/>
      <c r="D57" s="264"/>
      <c r="E57" s="264"/>
      <c r="F57" s="264"/>
      <c r="G57" s="264"/>
      <c r="H57" s="265"/>
      <c r="I57" s="265"/>
      <c r="J57" s="265"/>
      <c r="K57" s="265"/>
      <c r="L57" s="265"/>
      <c r="M57" s="265"/>
      <c r="N57" s="265"/>
      <c r="O57" s="265"/>
      <c r="P57" s="16"/>
    </row>
    <row r="58" spans="1:16" x14ac:dyDescent="0.15">
      <c r="A58" s="262"/>
      <c r="B58" s="263"/>
      <c r="C58" s="263"/>
      <c r="D58" s="264"/>
      <c r="E58" s="264"/>
      <c r="F58" s="264"/>
      <c r="G58" s="264"/>
      <c r="H58" s="265"/>
      <c r="I58" s="265"/>
      <c r="J58" s="265"/>
      <c r="K58" s="265"/>
      <c r="L58" s="265"/>
      <c r="M58" s="265"/>
      <c r="N58" s="265"/>
      <c r="O58" s="265"/>
      <c r="P58" s="16"/>
    </row>
    <row r="59" spans="1:16" x14ac:dyDescent="0.15">
      <c r="A59" s="262"/>
      <c r="B59" s="263"/>
      <c r="C59" s="263"/>
      <c r="D59" s="264"/>
      <c r="E59" s="264"/>
      <c r="F59" s="264"/>
      <c r="G59" s="264"/>
      <c r="H59" s="265"/>
      <c r="I59" s="265"/>
      <c r="J59" s="265"/>
      <c r="K59" s="265"/>
      <c r="L59" s="265"/>
      <c r="M59" s="265"/>
      <c r="N59" s="265"/>
      <c r="O59" s="265"/>
      <c r="P59" s="16"/>
    </row>
    <row r="60" spans="1:16" x14ac:dyDescent="0.15">
      <c r="A60" s="262"/>
      <c r="B60" s="263"/>
      <c r="C60" s="263"/>
      <c r="D60" s="264"/>
      <c r="E60" s="264"/>
      <c r="F60" s="264"/>
      <c r="G60" s="264"/>
      <c r="H60" s="265"/>
      <c r="I60" s="265"/>
      <c r="J60" s="265"/>
      <c r="K60" s="265"/>
      <c r="L60" s="265"/>
      <c r="M60" s="265"/>
      <c r="N60" s="265"/>
      <c r="O60" s="265"/>
      <c r="P60" s="16"/>
    </row>
    <row r="61" spans="1:16" x14ac:dyDescent="0.15">
      <c r="A61" s="262"/>
      <c r="B61" s="263"/>
      <c r="C61" s="263"/>
      <c r="D61" s="264"/>
      <c r="E61" s="264"/>
      <c r="F61" s="264"/>
      <c r="G61" s="264"/>
      <c r="H61" s="265"/>
      <c r="I61" s="265"/>
      <c r="J61" s="265"/>
      <c r="K61" s="265"/>
      <c r="L61" s="265"/>
      <c r="M61" s="265"/>
      <c r="N61" s="265"/>
      <c r="O61" s="265"/>
      <c r="P61" s="16"/>
    </row>
    <row r="62" spans="1:16" x14ac:dyDescent="0.15">
      <c r="A62" s="262"/>
      <c r="B62" s="263"/>
      <c r="C62" s="263"/>
      <c r="D62" s="264"/>
      <c r="E62" s="264"/>
      <c r="F62" s="264"/>
      <c r="G62" s="264"/>
      <c r="H62" s="265"/>
      <c r="I62" s="265"/>
      <c r="J62" s="265"/>
      <c r="K62" s="265"/>
      <c r="L62" s="265"/>
      <c r="M62" s="265"/>
      <c r="N62" s="265"/>
      <c r="O62" s="265"/>
      <c r="P62" s="16"/>
    </row>
    <row r="63" spans="1:16" x14ac:dyDescent="0.15">
      <c r="A63" s="262"/>
      <c r="B63" s="263"/>
      <c r="C63" s="263"/>
      <c r="D63" s="264"/>
      <c r="E63" s="264"/>
      <c r="F63" s="264"/>
      <c r="G63" s="264"/>
      <c r="H63" s="265"/>
      <c r="I63" s="265"/>
      <c r="J63" s="265"/>
      <c r="K63" s="265"/>
      <c r="L63" s="265"/>
      <c r="M63" s="265"/>
      <c r="N63" s="265"/>
      <c r="O63" s="265"/>
      <c r="P63" s="16"/>
    </row>
    <row r="64" spans="1:16" x14ac:dyDescent="0.15">
      <c r="A64" s="262"/>
      <c r="B64" s="263"/>
      <c r="C64" s="263"/>
      <c r="D64" s="264"/>
      <c r="E64" s="264"/>
      <c r="F64" s="264"/>
      <c r="G64" s="264"/>
      <c r="H64" s="265"/>
      <c r="I64" s="265"/>
      <c r="J64" s="265"/>
      <c r="K64" s="265"/>
      <c r="L64" s="265"/>
      <c r="M64" s="265"/>
      <c r="N64" s="265"/>
      <c r="O64" s="265"/>
      <c r="P64" s="16"/>
    </row>
    <row r="65" spans="1:16" x14ac:dyDescent="0.15">
      <c r="A65" s="262"/>
      <c r="B65" s="263"/>
      <c r="C65" s="263"/>
      <c r="D65" s="264"/>
      <c r="E65" s="264"/>
      <c r="F65" s="264"/>
      <c r="G65" s="264"/>
      <c r="H65" s="265"/>
      <c r="I65" s="265"/>
      <c r="J65" s="265"/>
      <c r="K65" s="265"/>
      <c r="L65" s="265"/>
      <c r="M65" s="265"/>
      <c r="N65" s="265"/>
      <c r="O65" s="265"/>
      <c r="P65" s="16"/>
    </row>
    <row r="66" spans="1:16" x14ac:dyDescent="0.15">
      <c r="A66" s="262"/>
      <c r="B66" s="263"/>
      <c r="C66" s="263"/>
      <c r="D66" s="264"/>
      <c r="E66" s="264"/>
      <c r="F66" s="264"/>
      <c r="G66" s="264"/>
      <c r="H66" s="265"/>
      <c r="I66" s="265"/>
      <c r="J66" s="265"/>
      <c r="K66" s="265"/>
      <c r="L66" s="265"/>
      <c r="M66" s="265"/>
      <c r="N66" s="265"/>
      <c r="O66" s="265"/>
      <c r="P66" s="16"/>
    </row>
    <row r="67" spans="1:16" x14ac:dyDescent="0.15">
      <c r="A67" s="262"/>
      <c r="B67" s="263"/>
      <c r="C67" s="263"/>
      <c r="D67" s="264"/>
      <c r="E67" s="264"/>
      <c r="F67" s="264"/>
      <c r="G67" s="264"/>
      <c r="H67" s="265"/>
      <c r="I67" s="265"/>
      <c r="J67" s="265"/>
      <c r="K67" s="265"/>
      <c r="L67" s="265"/>
      <c r="M67" s="265"/>
      <c r="N67" s="265"/>
      <c r="O67" s="265"/>
      <c r="P67" s="16"/>
    </row>
    <row r="68" spans="1:16" x14ac:dyDescent="0.15">
      <c r="A68" s="262"/>
      <c r="B68" s="263"/>
      <c r="C68" s="263"/>
      <c r="D68" s="264"/>
      <c r="E68" s="264"/>
      <c r="F68" s="264"/>
      <c r="G68" s="264"/>
      <c r="H68" s="265"/>
      <c r="I68" s="265"/>
      <c r="J68" s="265"/>
      <c r="K68" s="265"/>
      <c r="L68" s="265"/>
      <c r="M68" s="265"/>
      <c r="N68" s="265"/>
      <c r="O68" s="265"/>
      <c r="P68" s="16"/>
    </row>
    <row r="69" spans="1:16" x14ac:dyDescent="0.15">
      <c r="A69" s="262"/>
      <c r="B69" s="263"/>
      <c r="C69" s="263"/>
      <c r="D69" s="264"/>
      <c r="E69" s="264"/>
      <c r="F69" s="264"/>
      <c r="G69" s="264"/>
      <c r="H69" s="265"/>
      <c r="I69" s="265"/>
      <c r="J69" s="265"/>
      <c r="K69" s="265"/>
      <c r="L69" s="265"/>
      <c r="M69" s="265"/>
      <c r="N69" s="265"/>
      <c r="O69" s="265"/>
      <c r="P69" s="16"/>
    </row>
    <row r="70" spans="1:16" x14ac:dyDescent="0.15">
      <c r="A70" s="262"/>
      <c r="B70" s="263"/>
      <c r="C70" s="263"/>
      <c r="D70" s="264"/>
      <c r="E70" s="264"/>
      <c r="F70" s="264"/>
      <c r="G70" s="264"/>
      <c r="H70" s="265"/>
      <c r="I70" s="265"/>
      <c r="J70" s="265"/>
      <c r="K70" s="265"/>
      <c r="L70" s="265"/>
      <c r="M70" s="265"/>
      <c r="N70" s="265"/>
      <c r="O70" s="265"/>
      <c r="P70" s="16"/>
    </row>
    <row r="71" spans="1:16" x14ac:dyDescent="0.15">
      <c r="A71" s="262"/>
      <c r="B71" s="263"/>
      <c r="C71" s="263"/>
      <c r="D71" s="264"/>
      <c r="E71" s="264"/>
      <c r="F71" s="264"/>
      <c r="G71" s="264"/>
      <c r="H71" s="265"/>
      <c r="I71" s="265"/>
      <c r="J71" s="265"/>
      <c r="K71" s="265"/>
      <c r="L71" s="265"/>
      <c r="M71" s="265"/>
      <c r="N71" s="265"/>
      <c r="O71" s="265"/>
      <c r="P71" s="16"/>
    </row>
    <row r="72" spans="1:16" x14ac:dyDescent="0.15">
      <c r="A72" s="262"/>
      <c r="B72" s="263"/>
      <c r="C72" s="263"/>
      <c r="D72" s="264"/>
      <c r="E72" s="264"/>
      <c r="F72" s="264"/>
      <c r="G72" s="264"/>
      <c r="H72" s="265"/>
      <c r="I72" s="265"/>
      <c r="J72" s="265"/>
      <c r="K72" s="265"/>
      <c r="L72" s="265"/>
      <c r="M72" s="265"/>
      <c r="N72" s="265"/>
      <c r="O72" s="265"/>
      <c r="P72" s="16"/>
    </row>
    <row r="73" spans="1:16" x14ac:dyDescent="0.15">
      <c r="A73" s="262"/>
      <c r="B73" s="263"/>
      <c r="C73" s="263"/>
      <c r="D73" s="264"/>
      <c r="E73" s="264"/>
      <c r="F73" s="264"/>
      <c r="G73" s="264"/>
      <c r="H73" s="265"/>
      <c r="I73" s="265"/>
      <c r="J73" s="265"/>
      <c r="K73" s="265"/>
      <c r="L73" s="265"/>
      <c r="M73" s="265"/>
      <c r="N73" s="265"/>
      <c r="O73" s="265"/>
      <c r="P73" s="16"/>
    </row>
    <row r="74" spans="1:16" x14ac:dyDescent="0.15">
      <c r="A74" s="262"/>
      <c r="B74" s="263"/>
      <c r="C74" s="263"/>
      <c r="D74" s="264"/>
      <c r="E74" s="264"/>
      <c r="F74" s="264"/>
      <c r="G74" s="264"/>
      <c r="H74" s="265"/>
      <c r="I74" s="265"/>
      <c r="J74" s="265"/>
      <c r="K74" s="265"/>
      <c r="L74" s="265"/>
      <c r="M74" s="265"/>
      <c r="N74" s="265"/>
      <c r="O74" s="265"/>
      <c r="P74" s="16"/>
    </row>
    <row r="75" spans="1:16" x14ac:dyDescent="0.15">
      <c r="A75" s="262"/>
      <c r="B75" s="263"/>
      <c r="C75" s="263"/>
      <c r="D75" s="264"/>
      <c r="E75" s="264"/>
      <c r="F75" s="264"/>
      <c r="G75" s="264"/>
      <c r="H75" s="265"/>
      <c r="I75" s="265"/>
      <c r="J75" s="265"/>
      <c r="K75" s="265"/>
      <c r="L75" s="265"/>
      <c r="M75" s="265"/>
      <c r="N75" s="265"/>
      <c r="O75" s="265"/>
      <c r="P75" s="16"/>
    </row>
    <row r="76" spans="1:16" x14ac:dyDescent="0.15">
      <c r="A76" s="262"/>
      <c r="B76" s="263"/>
      <c r="C76" s="263"/>
      <c r="D76" s="264"/>
      <c r="E76" s="264"/>
      <c r="F76" s="264"/>
      <c r="G76" s="264"/>
      <c r="H76" s="265"/>
      <c r="I76" s="265"/>
      <c r="J76" s="265"/>
      <c r="K76" s="265"/>
      <c r="L76" s="265"/>
      <c r="M76" s="265"/>
      <c r="N76" s="265"/>
      <c r="O76" s="265"/>
      <c r="P76" s="16"/>
    </row>
  </sheetData>
  <autoFilter ref="A3:Q50" xr:uid="{8AA5EE84-5A60-4A1C-9DBD-3362AEBD3D1A}"/>
  <mergeCells count="8">
    <mergeCell ref="K2:K3"/>
    <mergeCell ref="L2:O2"/>
    <mergeCell ref="P2:P3"/>
    <mergeCell ref="J2:J3"/>
    <mergeCell ref="A2:A3"/>
    <mergeCell ref="H2:H3"/>
    <mergeCell ref="I2:I3"/>
    <mergeCell ref="B2:G2"/>
  </mergeCells>
  <phoneticPr fontId="4"/>
  <printOptions horizontalCentered="1"/>
  <pageMargins left="0.19685039370078741" right="0.19685039370078741" top="1.1811023622047245" bottom="0.78740157480314965" header="0.51181102362204722" footer="0.51181102362204722"/>
  <pageSetup paperSize="9" scale="40" fitToHeight="0" orientation="landscape" horizontalDpi="4294967292" verticalDpi="300" r:id="rId1"/>
  <headerFooter alignWithMargins="0">
    <oddHeader>&amp;C&amp;A
（取引の支払情報）&amp;R&amp;UFUJITSU CONFIDENTIAL</oddHeader>
    <oddFooter>&amp;C－&amp;P－&amp;RAll Rights Reserved, Copyright(c) Fujitsu  Limited 2024</oddFooter>
  </headerFooter>
  <rowBreaks count="1" manualBreakCount="1">
    <brk id="47" max="24" man="1"/>
  </rowBreaks>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E7D8D6-DED1-4840-8CD6-30079BE5ACD8}">
  <sheetPr>
    <pageSetUpPr fitToPage="1"/>
  </sheetPr>
  <dimension ref="A1:O11"/>
  <sheetViews>
    <sheetView showGridLines="0" zoomScaleNormal="100" zoomScaleSheetLayoutView="100" workbookViewId="0">
      <pane xSplit="3" ySplit="3" topLeftCell="D4" activePane="bottomRight" state="frozen"/>
      <selection pane="topRight" activeCell="F1" sqref="F1"/>
      <selection pane="bottomLeft" activeCell="A4" sqref="A4"/>
      <selection pane="bottomRight"/>
    </sheetView>
  </sheetViews>
  <sheetFormatPr defaultRowHeight="13.5" x14ac:dyDescent="0.15"/>
  <cols>
    <col min="1" max="1" width="5.375" style="2" customWidth="1"/>
    <col min="2" max="2" width="25.375" style="3" customWidth="1"/>
    <col min="3" max="3" width="27.375" style="3" customWidth="1"/>
    <col min="4" max="4" width="7.375" style="4" bestFit="1" customWidth="1"/>
    <col min="5" max="5" width="10.375" style="4" customWidth="1"/>
    <col min="6" max="6" width="10" style="4" bestFit="1" customWidth="1"/>
    <col min="7" max="7" width="9" style="4" bestFit="1" customWidth="1"/>
    <col min="8" max="8" width="31.375" style="1" bestFit="1" customWidth="1"/>
    <col min="9" max="9" width="20.375" style="1" bestFit="1" customWidth="1"/>
    <col min="10" max="10" width="11.375" style="1" bestFit="1" customWidth="1"/>
    <col min="11" max="11" width="13.375" style="1" customWidth="1"/>
    <col min="12" max="13" width="24.125" style="1" customWidth="1"/>
    <col min="14" max="14" width="34" bestFit="1" customWidth="1"/>
  </cols>
  <sheetData>
    <row r="1" spans="1:15" ht="48" customHeight="1" x14ac:dyDescent="0.15">
      <c r="A1" s="1103" t="s">
        <v>976</v>
      </c>
      <c r="B1" s="1104"/>
      <c r="C1" s="1119" t="s">
        <v>2084</v>
      </c>
      <c r="D1" s="1106"/>
      <c r="E1" s="1106"/>
      <c r="F1" s="1106"/>
      <c r="G1" s="1106"/>
      <c r="I1" s="15"/>
      <c r="J1" s="1106"/>
      <c r="K1" s="1107"/>
      <c r="L1" s="1108"/>
      <c r="M1" s="1121" t="s">
        <v>1987</v>
      </c>
      <c r="O1" s="492" t="s">
        <v>1396</v>
      </c>
    </row>
    <row r="2" spans="1:15" x14ac:dyDescent="0.15">
      <c r="A2" s="1319" t="s">
        <v>982</v>
      </c>
      <c r="B2" s="1323" t="s">
        <v>983</v>
      </c>
      <c r="C2" s="1312"/>
      <c r="D2" s="1312"/>
      <c r="E2" s="1312"/>
      <c r="F2" s="1312"/>
      <c r="G2" s="1313"/>
      <c r="H2" s="1331" t="s">
        <v>984</v>
      </c>
      <c r="I2" s="1328" t="s">
        <v>985</v>
      </c>
      <c r="J2" s="1326" t="s">
        <v>986</v>
      </c>
      <c r="K2" s="1321" t="s">
        <v>987</v>
      </c>
      <c r="L2" s="1338" t="s">
        <v>1658</v>
      </c>
      <c r="M2" s="1340"/>
      <c r="N2" s="1333" t="s">
        <v>711</v>
      </c>
    </row>
    <row r="3" spans="1:15" ht="22.5" x14ac:dyDescent="0.15">
      <c r="A3" s="1320"/>
      <c r="B3" s="1093" t="s">
        <v>226</v>
      </c>
      <c r="C3" s="1093" t="s">
        <v>989</v>
      </c>
      <c r="D3" s="1092" t="s">
        <v>228</v>
      </c>
      <c r="E3" s="1092" t="s">
        <v>229</v>
      </c>
      <c r="F3" s="1093" t="s">
        <v>990</v>
      </c>
      <c r="G3" s="1092" t="s">
        <v>230</v>
      </c>
      <c r="H3" s="1332"/>
      <c r="I3" s="1329"/>
      <c r="J3" s="1327"/>
      <c r="K3" s="1330"/>
      <c r="L3" s="108" t="s">
        <v>1659</v>
      </c>
      <c r="M3" s="108" t="s">
        <v>1660</v>
      </c>
      <c r="N3" s="1334"/>
    </row>
    <row r="4" spans="1:15" s="128" customFormat="1" ht="22.5" x14ac:dyDescent="0.15">
      <c r="A4" s="654">
        <v>1</v>
      </c>
      <c r="B4" s="655" t="s">
        <v>2085</v>
      </c>
      <c r="C4" s="655" t="s">
        <v>2086</v>
      </c>
      <c r="D4" s="656" t="s">
        <v>250</v>
      </c>
      <c r="E4" s="656"/>
      <c r="F4" s="656"/>
      <c r="G4" s="656"/>
      <c r="H4" s="657"/>
      <c r="I4" s="658" t="s">
        <v>211</v>
      </c>
      <c r="J4" s="656" t="s">
        <v>200</v>
      </c>
      <c r="K4" s="656" t="s">
        <v>1017</v>
      </c>
      <c r="L4" s="656" t="s">
        <v>1080</v>
      </c>
      <c r="M4" s="656" t="s">
        <v>1080</v>
      </c>
      <c r="N4" s="660"/>
      <c r="O4" s="127"/>
    </row>
    <row r="5" spans="1:15" s="128" customFormat="1" ht="22.5" x14ac:dyDescent="0.15">
      <c r="A5" s="146">
        <f>A4+1</f>
        <v>2</v>
      </c>
      <c r="B5" s="147" t="s">
        <v>2087</v>
      </c>
      <c r="C5" s="147" t="s">
        <v>2088</v>
      </c>
      <c r="D5" s="132" t="s">
        <v>237</v>
      </c>
      <c r="E5" s="132">
        <v>24</v>
      </c>
      <c r="F5" s="132"/>
      <c r="G5" s="132"/>
      <c r="H5" s="148"/>
      <c r="I5" s="153" t="s">
        <v>211</v>
      </c>
      <c r="J5" s="132" t="s">
        <v>200</v>
      </c>
      <c r="K5" s="132" t="s">
        <v>1017</v>
      </c>
      <c r="L5" s="132" t="s">
        <v>1080</v>
      </c>
      <c r="M5" s="132" t="s">
        <v>1080</v>
      </c>
      <c r="N5" s="187"/>
      <c r="O5" s="127"/>
    </row>
    <row r="6" spans="1:15" ht="33.75" x14ac:dyDescent="0.15">
      <c r="A6" s="138">
        <f>A5+1</f>
        <v>3</v>
      </c>
      <c r="B6" s="139" t="s">
        <v>257</v>
      </c>
      <c r="C6" s="139" t="s">
        <v>258</v>
      </c>
      <c r="D6" s="134" t="s">
        <v>250</v>
      </c>
      <c r="E6" s="134"/>
      <c r="F6" s="134"/>
      <c r="G6" s="134" t="s">
        <v>247</v>
      </c>
      <c r="H6" s="133"/>
      <c r="I6" s="18" t="s">
        <v>2089</v>
      </c>
      <c r="J6" s="134" t="s">
        <v>172</v>
      </c>
      <c r="K6" s="174" t="s">
        <v>1750</v>
      </c>
      <c r="L6" s="134" t="s">
        <v>1034</v>
      </c>
      <c r="M6" s="134" t="s">
        <v>1034</v>
      </c>
      <c r="N6" s="150" t="s">
        <v>2090</v>
      </c>
      <c r="O6" s="16"/>
    </row>
    <row r="7" spans="1:15" ht="108.6" customHeight="1" x14ac:dyDescent="0.15">
      <c r="A7" s="138">
        <f>A6+1</f>
        <v>4</v>
      </c>
      <c r="B7" s="139" t="s">
        <v>244</v>
      </c>
      <c r="C7" s="139" t="s">
        <v>245</v>
      </c>
      <c r="D7" s="134" t="s">
        <v>246</v>
      </c>
      <c r="E7" s="134"/>
      <c r="F7" s="134"/>
      <c r="G7" s="134" t="s">
        <v>247</v>
      </c>
      <c r="H7" s="133" t="s">
        <v>2091</v>
      </c>
      <c r="I7" s="155" t="s">
        <v>211</v>
      </c>
      <c r="J7" s="134" t="s">
        <v>172</v>
      </c>
      <c r="K7" s="174" t="s">
        <v>1750</v>
      </c>
      <c r="L7" s="134" t="s">
        <v>2092</v>
      </c>
      <c r="M7" s="134" t="s">
        <v>2092</v>
      </c>
      <c r="N7" s="150"/>
      <c r="O7" s="16"/>
    </row>
    <row r="8" spans="1:15" s="128" customFormat="1" ht="33.75" x14ac:dyDescent="0.15">
      <c r="A8" s="146">
        <f>A7+1</f>
        <v>5</v>
      </c>
      <c r="B8" s="147" t="s">
        <v>248</v>
      </c>
      <c r="C8" s="147" t="s">
        <v>427</v>
      </c>
      <c r="D8" s="132" t="s">
        <v>250</v>
      </c>
      <c r="E8" s="132"/>
      <c r="F8" s="132"/>
      <c r="G8" s="132" t="s">
        <v>247</v>
      </c>
      <c r="H8" s="148" t="s">
        <v>2093</v>
      </c>
      <c r="I8" s="153" t="s">
        <v>211</v>
      </c>
      <c r="J8" s="132" t="s">
        <v>200</v>
      </c>
      <c r="K8" s="132" t="s">
        <v>1017</v>
      </c>
      <c r="L8" s="132" t="s">
        <v>1018</v>
      </c>
      <c r="M8" s="132" t="s">
        <v>1018</v>
      </c>
      <c r="N8" s="135"/>
      <c r="O8" s="127"/>
    </row>
    <row r="9" spans="1:15" ht="33.75" x14ac:dyDescent="0.15">
      <c r="A9" s="138">
        <f>A8+1</f>
        <v>6</v>
      </c>
      <c r="B9" s="139" t="s">
        <v>2094</v>
      </c>
      <c r="C9" s="139" t="s">
        <v>2095</v>
      </c>
      <c r="D9" s="134" t="s">
        <v>355</v>
      </c>
      <c r="E9" s="134"/>
      <c r="F9" s="134"/>
      <c r="G9" s="134"/>
      <c r="H9" s="133" t="s">
        <v>2096</v>
      </c>
      <c r="I9" s="155" t="s">
        <v>211</v>
      </c>
      <c r="J9" s="134" t="s">
        <v>172</v>
      </c>
      <c r="K9" s="174" t="s">
        <v>1750</v>
      </c>
      <c r="L9" s="174" t="s">
        <v>2097</v>
      </c>
      <c r="M9" s="174" t="s">
        <v>2097</v>
      </c>
      <c r="N9" s="162"/>
      <c r="O9" s="16"/>
    </row>
    <row r="10" spans="1:15" s="128" customFormat="1" ht="33.75" x14ac:dyDescent="0.15">
      <c r="A10" s="157">
        <v>7</v>
      </c>
      <c r="B10" s="259" t="s">
        <v>2098</v>
      </c>
      <c r="C10" s="259" t="s">
        <v>2099</v>
      </c>
      <c r="D10" s="159" t="s">
        <v>355</v>
      </c>
      <c r="E10" s="159"/>
      <c r="F10" s="159"/>
      <c r="G10" s="159"/>
      <c r="H10" s="195"/>
      <c r="I10" s="158" t="s">
        <v>211</v>
      </c>
      <c r="J10" s="159" t="s">
        <v>200</v>
      </c>
      <c r="K10" s="159" t="s">
        <v>1017</v>
      </c>
      <c r="L10" s="159" t="s">
        <v>1018</v>
      </c>
      <c r="M10" s="159" t="s">
        <v>1018</v>
      </c>
      <c r="N10" s="196" t="s">
        <v>2100</v>
      </c>
      <c r="O10" s="127"/>
    </row>
    <row r="11" spans="1:15" x14ac:dyDescent="0.15">
      <c r="M11" s="15" t="s">
        <v>1396</v>
      </c>
    </row>
  </sheetData>
  <autoFilter ref="A3:O10" xr:uid="{61D650A5-F200-4A77-B952-68A0250B4240}"/>
  <mergeCells count="8">
    <mergeCell ref="N2:N3"/>
    <mergeCell ref="A2:A3"/>
    <mergeCell ref="H2:H3"/>
    <mergeCell ref="I2:I3"/>
    <mergeCell ref="J2:J3"/>
    <mergeCell ref="K2:K3"/>
    <mergeCell ref="B2:G2"/>
    <mergeCell ref="L2:M2"/>
  </mergeCells>
  <phoneticPr fontId="4"/>
  <printOptions horizontalCentered="1"/>
  <pageMargins left="0.19685039370078741" right="0.19685039370078741" top="1.1811023622047245" bottom="0.78740157480314965" header="0.51181102362204722" footer="0.51181102362204722"/>
  <pageSetup paperSize="9" scale="58" fitToHeight="0" orientation="landscape" horizontalDpi="4294967292" verticalDpi="300" r:id="rId1"/>
  <headerFooter alignWithMargins="0">
    <oddHeader>&amp;C&amp;A
（商品券支払情報）&amp;R&amp;UFUJITSU CONFIDENTIAL</oddHeader>
    <oddFooter>&amp;C－&amp;P－&amp;RAll Rights Reserved, Copyright(c) Fujitsu  Limited 2024</oddFoot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1C2D38-DA91-4274-B503-A1DCFA93B831}">
  <sheetPr>
    <pageSetUpPr fitToPage="1"/>
  </sheetPr>
  <dimension ref="A1:N30"/>
  <sheetViews>
    <sheetView showGridLines="0" zoomScaleNormal="100" zoomScaleSheetLayoutView="100" workbookViewId="0">
      <pane xSplit="3" ySplit="3" topLeftCell="D4" activePane="bottomRight" state="frozen"/>
      <selection pane="topRight" activeCell="FG349" sqref="FG349:FH349"/>
      <selection pane="bottomLeft" activeCell="FG349" sqref="FG349:FH349"/>
      <selection pane="bottomRight"/>
    </sheetView>
  </sheetViews>
  <sheetFormatPr defaultRowHeight="13.5" x14ac:dyDescent="0.15"/>
  <cols>
    <col min="1" max="1" width="6.375" style="2" customWidth="1"/>
    <col min="2" max="2" width="27.375" style="3" customWidth="1"/>
    <col min="3" max="3" width="33.375" style="3" customWidth="1"/>
    <col min="4" max="4" width="7.375" style="4" bestFit="1" customWidth="1"/>
    <col min="5" max="5" width="10.375" style="4" bestFit="1" customWidth="1"/>
    <col min="6" max="6" width="10" style="4" bestFit="1" customWidth="1"/>
    <col min="7" max="7" width="9" style="4" bestFit="1" customWidth="1"/>
    <col min="8" max="8" width="34.875" style="1" bestFit="1" customWidth="1"/>
    <col min="9" max="9" width="31.125" style="1" bestFit="1" customWidth="1"/>
    <col min="10" max="10" width="11.375" style="1" bestFit="1" customWidth="1"/>
    <col min="11" max="11" width="13.375" style="1" customWidth="1"/>
    <col min="12" max="12" width="24.375" style="1" bestFit="1" customWidth="1"/>
    <col min="13" max="13" width="59.875" customWidth="1"/>
    <col min="14" max="14" width="8.875" style="300"/>
  </cols>
  <sheetData>
    <row r="1" spans="1:14" ht="55.15" customHeight="1" x14ac:dyDescent="0.15">
      <c r="A1" s="1103" t="s">
        <v>976</v>
      </c>
      <c r="B1" s="1104"/>
      <c r="C1" s="1119" t="s">
        <v>2101</v>
      </c>
      <c r="D1" s="1106"/>
      <c r="E1" s="1106"/>
      <c r="F1" s="1106"/>
      <c r="G1" s="1106"/>
      <c r="J1" s="1106"/>
      <c r="K1" s="1107"/>
      <c r="L1" s="1108"/>
    </row>
    <row r="2" spans="1:14" x14ac:dyDescent="0.15">
      <c r="A2" s="1319" t="s">
        <v>982</v>
      </c>
      <c r="B2" s="1323" t="s">
        <v>983</v>
      </c>
      <c r="C2" s="1312"/>
      <c r="D2" s="1312"/>
      <c r="E2" s="1312"/>
      <c r="F2" s="1312"/>
      <c r="G2" s="1313"/>
      <c r="H2" s="1331" t="s">
        <v>984</v>
      </c>
      <c r="I2" s="1328" t="s">
        <v>985</v>
      </c>
      <c r="J2" s="1326" t="s">
        <v>986</v>
      </c>
      <c r="K2" s="1321" t="s">
        <v>987</v>
      </c>
      <c r="L2" s="1094" t="s">
        <v>1658</v>
      </c>
      <c r="M2" s="1333" t="s">
        <v>711</v>
      </c>
    </row>
    <row r="3" spans="1:14" ht="22.5" x14ac:dyDescent="0.15">
      <c r="A3" s="1320"/>
      <c r="B3" s="1093" t="s">
        <v>226</v>
      </c>
      <c r="C3" s="1093" t="s">
        <v>989</v>
      </c>
      <c r="D3" s="1092" t="s">
        <v>228</v>
      </c>
      <c r="E3" s="1092" t="s">
        <v>229</v>
      </c>
      <c r="F3" s="1093" t="s">
        <v>990</v>
      </c>
      <c r="G3" s="1092" t="s">
        <v>230</v>
      </c>
      <c r="H3" s="1332"/>
      <c r="I3" s="1329"/>
      <c r="J3" s="1327"/>
      <c r="K3" s="1330"/>
      <c r="L3" s="108" t="s">
        <v>1659</v>
      </c>
      <c r="M3" s="1334"/>
    </row>
    <row r="4" spans="1:14" s="145" customFormat="1" ht="33.75" x14ac:dyDescent="0.15">
      <c r="A4" s="654">
        <v>1</v>
      </c>
      <c r="B4" s="655" t="s">
        <v>376</v>
      </c>
      <c r="C4" s="655" t="s">
        <v>2102</v>
      </c>
      <c r="D4" s="656" t="s">
        <v>250</v>
      </c>
      <c r="E4" s="656"/>
      <c r="F4" s="656"/>
      <c r="G4" s="656" t="s">
        <v>252</v>
      </c>
      <c r="H4" s="655"/>
      <c r="I4" s="658" t="s">
        <v>211</v>
      </c>
      <c r="J4" s="656" t="s">
        <v>200</v>
      </c>
      <c r="K4" s="656" t="s">
        <v>1017</v>
      </c>
      <c r="L4" s="656" t="s">
        <v>1018</v>
      </c>
      <c r="M4" s="665" t="s">
        <v>2103</v>
      </c>
      <c r="N4" s="301"/>
    </row>
    <row r="5" spans="1:14" s="16" customFormat="1" ht="33.75" x14ac:dyDescent="0.15">
      <c r="A5" s="138">
        <f>A4+1</f>
        <v>2</v>
      </c>
      <c r="B5" s="139" t="s">
        <v>368</v>
      </c>
      <c r="C5" s="139" t="s">
        <v>2104</v>
      </c>
      <c r="D5" s="134" t="s">
        <v>250</v>
      </c>
      <c r="E5" s="134"/>
      <c r="F5" s="134"/>
      <c r="G5" s="134" t="s">
        <v>252</v>
      </c>
      <c r="H5" s="133"/>
      <c r="I5" s="133" t="s">
        <v>458</v>
      </c>
      <c r="J5" s="134" t="s">
        <v>172</v>
      </c>
      <c r="K5" s="174" t="s">
        <v>1750</v>
      </c>
      <c r="L5" s="134" t="s">
        <v>1034</v>
      </c>
      <c r="M5" s="266" t="s">
        <v>2090</v>
      </c>
      <c r="N5" s="302"/>
    </row>
    <row r="6" spans="1:14" s="16" customFormat="1" ht="33.75" x14ac:dyDescent="0.15">
      <c r="A6" s="138">
        <f t="shared" ref="A6:A30" si="0">A5+1</f>
        <v>3</v>
      </c>
      <c r="B6" s="139" t="s">
        <v>381</v>
      </c>
      <c r="C6" s="139" t="s">
        <v>2105</v>
      </c>
      <c r="D6" s="134" t="s">
        <v>246</v>
      </c>
      <c r="E6" s="134"/>
      <c r="F6" s="134"/>
      <c r="G6" s="134"/>
      <c r="H6" s="139"/>
      <c r="I6" s="136" t="s">
        <v>211</v>
      </c>
      <c r="J6" s="134" t="s">
        <v>172</v>
      </c>
      <c r="K6" s="174" t="s">
        <v>1020</v>
      </c>
      <c r="L6" s="134" t="s">
        <v>2106</v>
      </c>
      <c r="M6" s="266" t="s">
        <v>2107</v>
      </c>
      <c r="N6" s="302"/>
    </row>
    <row r="7" spans="1:14" s="16" customFormat="1" ht="33.75" x14ac:dyDescent="0.15">
      <c r="A7" s="138">
        <f t="shared" si="0"/>
        <v>4</v>
      </c>
      <c r="B7" s="139" t="s">
        <v>383</v>
      </c>
      <c r="C7" s="133" t="s">
        <v>384</v>
      </c>
      <c r="D7" s="134" t="s">
        <v>250</v>
      </c>
      <c r="E7" s="134"/>
      <c r="F7" s="134"/>
      <c r="G7" s="134"/>
      <c r="H7" s="133"/>
      <c r="I7" s="136" t="s">
        <v>211</v>
      </c>
      <c r="J7" s="134" t="s">
        <v>172</v>
      </c>
      <c r="K7" s="174" t="s">
        <v>1020</v>
      </c>
      <c r="L7" s="140" t="s">
        <v>2108</v>
      </c>
      <c r="M7" s="266" t="s">
        <v>2107</v>
      </c>
      <c r="N7" s="302"/>
    </row>
    <row r="8" spans="1:14" s="16" customFormat="1" ht="56.25" x14ac:dyDescent="0.15">
      <c r="A8" s="138">
        <f t="shared" si="0"/>
        <v>5</v>
      </c>
      <c r="B8" s="139" t="s">
        <v>388</v>
      </c>
      <c r="C8" s="133" t="s">
        <v>389</v>
      </c>
      <c r="D8" s="134" t="s">
        <v>302</v>
      </c>
      <c r="E8" s="134"/>
      <c r="F8" s="134"/>
      <c r="G8" s="134"/>
      <c r="H8" s="133"/>
      <c r="I8" s="136" t="s">
        <v>211</v>
      </c>
      <c r="J8" s="134" t="s">
        <v>172</v>
      </c>
      <c r="K8" s="174" t="s">
        <v>1750</v>
      </c>
      <c r="L8" s="134" t="s">
        <v>2109</v>
      </c>
      <c r="M8" s="266" t="s">
        <v>2107</v>
      </c>
      <c r="N8" s="302"/>
    </row>
    <row r="9" spans="1:14" s="16" customFormat="1" ht="58.15" customHeight="1" x14ac:dyDescent="0.15">
      <c r="A9" s="138">
        <f t="shared" si="0"/>
        <v>6</v>
      </c>
      <c r="B9" s="139" t="s">
        <v>392</v>
      </c>
      <c r="C9" s="133" t="s">
        <v>393</v>
      </c>
      <c r="D9" s="134" t="s">
        <v>237</v>
      </c>
      <c r="E9" s="134">
        <v>24</v>
      </c>
      <c r="F9" s="134" t="s">
        <v>2110</v>
      </c>
      <c r="G9" s="134"/>
      <c r="H9" s="133"/>
      <c r="I9" s="136" t="s">
        <v>211</v>
      </c>
      <c r="J9" s="134" t="s">
        <v>172</v>
      </c>
      <c r="K9" s="174" t="s">
        <v>1020</v>
      </c>
      <c r="L9" s="134" t="s">
        <v>2111</v>
      </c>
      <c r="M9" s="266" t="s">
        <v>2107</v>
      </c>
      <c r="N9" s="302"/>
    </row>
    <row r="10" spans="1:14" s="145" customFormat="1" ht="40.5" x14ac:dyDescent="0.15">
      <c r="A10" s="309">
        <f t="shared" si="0"/>
        <v>7</v>
      </c>
      <c r="B10" s="319" t="s">
        <v>2112</v>
      </c>
      <c r="C10" s="308" t="s">
        <v>2113</v>
      </c>
      <c r="D10" s="310" t="s">
        <v>278</v>
      </c>
      <c r="E10" s="310"/>
      <c r="F10" s="310" t="s">
        <v>2110</v>
      </c>
      <c r="G10" s="310"/>
      <c r="H10" s="308" t="s">
        <v>2114</v>
      </c>
      <c r="I10" s="320" t="s">
        <v>211</v>
      </c>
      <c r="J10" s="310" t="s">
        <v>1381</v>
      </c>
      <c r="K10" s="310" t="s">
        <v>1017</v>
      </c>
      <c r="L10" s="310" t="s">
        <v>1080</v>
      </c>
      <c r="M10" s="321" t="s">
        <v>2115</v>
      </c>
      <c r="N10" s="303" t="s">
        <v>1040</v>
      </c>
    </row>
    <row r="11" spans="1:14" s="145" customFormat="1" ht="22.5" x14ac:dyDescent="0.15">
      <c r="A11" s="146">
        <f t="shared" si="0"/>
        <v>8</v>
      </c>
      <c r="B11" s="147" t="s">
        <v>2116</v>
      </c>
      <c r="C11" s="148" t="s">
        <v>2117</v>
      </c>
      <c r="D11" s="132" t="s">
        <v>237</v>
      </c>
      <c r="E11" s="132">
        <v>10</v>
      </c>
      <c r="F11" s="132" t="s">
        <v>2110</v>
      </c>
      <c r="G11" s="132"/>
      <c r="H11" s="148"/>
      <c r="I11" s="131" t="s">
        <v>211</v>
      </c>
      <c r="J11" s="132" t="s">
        <v>1381</v>
      </c>
      <c r="K11" s="132" t="s">
        <v>1017</v>
      </c>
      <c r="L11" s="132" t="s">
        <v>1080</v>
      </c>
      <c r="M11" s="192" t="s">
        <v>2118</v>
      </c>
      <c r="N11" s="301"/>
    </row>
    <row r="12" spans="1:14" s="145" customFormat="1" ht="22.5" x14ac:dyDescent="0.15">
      <c r="A12" s="146">
        <f t="shared" si="0"/>
        <v>9</v>
      </c>
      <c r="B12" s="147" t="s">
        <v>2119</v>
      </c>
      <c r="C12" s="148" t="s">
        <v>2120</v>
      </c>
      <c r="D12" s="132" t="s">
        <v>237</v>
      </c>
      <c r="E12" s="132">
        <v>10</v>
      </c>
      <c r="F12" s="132" t="s">
        <v>2110</v>
      </c>
      <c r="G12" s="132"/>
      <c r="H12" s="148"/>
      <c r="I12" s="131" t="s">
        <v>211</v>
      </c>
      <c r="J12" s="132" t="s">
        <v>1381</v>
      </c>
      <c r="K12" s="132" t="s">
        <v>1017</v>
      </c>
      <c r="L12" s="132" t="s">
        <v>1080</v>
      </c>
      <c r="M12" s="192" t="s">
        <v>2118</v>
      </c>
      <c r="N12" s="301"/>
    </row>
    <row r="13" spans="1:14" s="145" customFormat="1" ht="22.5" x14ac:dyDescent="0.15">
      <c r="A13" s="146">
        <f t="shared" si="0"/>
        <v>10</v>
      </c>
      <c r="B13" s="147" t="s">
        <v>2121</v>
      </c>
      <c r="C13" s="148" t="s">
        <v>2122</v>
      </c>
      <c r="D13" s="132" t="s">
        <v>237</v>
      </c>
      <c r="E13" s="132">
        <v>10</v>
      </c>
      <c r="F13" s="132" t="s">
        <v>2110</v>
      </c>
      <c r="G13" s="132"/>
      <c r="H13" s="148"/>
      <c r="I13" s="131" t="s">
        <v>211</v>
      </c>
      <c r="J13" s="132" t="s">
        <v>1381</v>
      </c>
      <c r="K13" s="132" t="s">
        <v>1017</v>
      </c>
      <c r="L13" s="132" t="s">
        <v>1080</v>
      </c>
      <c r="M13" s="192" t="s">
        <v>2118</v>
      </c>
      <c r="N13" s="301"/>
    </row>
    <row r="14" spans="1:14" s="145" customFormat="1" ht="22.5" x14ac:dyDescent="0.15">
      <c r="A14" s="146">
        <f t="shared" si="0"/>
        <v>11</v>
      </c>
      <c r="B14" s="147" t="s">
        <v>2123</v>
      </c>
      <c r="C14" s="148" t="s">
        <v>2124</v>
      </c>
      <c r="D14" s="132" t="s">
        <v>237</v>
      </c>
      <c r="E14" s="132">
        <v>10</v>
      </c>
      <c r="F14" s="132" t="s">
        <v>2110</v>
      </c>
      <c r="G14" s="132"/>
      <c r="H14" s="148"/>
      <c r="I14" s="131" t="s">
        <v>211</v>
      </c>
      <c r="J14" s="132" t="s">
        <v>1381</v>
      </c>
      <c r="K14" s="132" t="s">
        <v>1017</v>
      </c>
      <c r="L14" s="132" t="s">
        <v>1080</v>
      </c>
      <c r="M14" s="192" t="s">
        <v>2118</v>
      </c>
      <c r="N14" s="301"/>
    </row>
    <row r="15" spans="1:14" s="145" customFormat="1" ht="22.5" x14ac:dyDescent="0.15">
      <c r="A15" s="146">
        <f t="shared" si="0"/>
        <v>12</v>
      </c>
      <c r="B15" s="147" t="s">
        <v>2125</v>
      </c>
      <c r="C15" s="148" t="s">
        <v>2126</v>
      </c>
      <c r="D15" s="132" t="s">
        <v>237</v>
      </c>
      <c r="E15" s="132">
        <v>10</v>
      </c>
      <c r="F15" s="132" t="s">
        <v>2110</v>
      </c>
      <c r="G15" s="132"/>
      <c r="H15" s="148"/>
      <c r="I15" s="131" t="s">
        <v>211</v>
      </c>
      <c r="J15" s="132" t="s">
        <v>1381</v>
      </c>
      <c r="K15" s="132" t="s">
        <v>1017</v>
      </c>
      <c r="L15" s="132" t="s">
        <v>1080</v>
      </c>
      <c r="M15" s="192" t="s">
        <v>2118</v>
      </c>
      <c r="N15" s="301"/>
    </row>
    <row r="16" spans="1:14" s="145" customFormat="1" ht="22.5" x14ac:dyDescent="0.15">
      <c r="A16" s="146">
        <f t="shared" si="0"/>
        <v>13</v>
      </c>
      <c r="B16" s="147" t="s">
        <v>2127</v>
      </c>
      <c r="C16" s="148" t="s">
        <v>2128</v>
      </c>
      <c r="D16" s="132" t="s">
        <v>237</v>
      </c>
      <c r="E16" s="132">
        <v>10</v>
      </c>
      <c r="F16" s="132" t="s">
        <v>2110</v>
      </c>
      <c r="G16" s="132"/>
      <c r="H16" s="148"/>
      <c r="I16" s="131" t="s">
        <v>211</v>
      </c>
      <c r="J16" s="132" t="s">
        <v>1381</v>
      </c>
      <c r="K16" s="132" t="s">
        <v>1017</v>
      </c>
      <c r="L16" s="132" t="s">
        <v>1080</v>
      </c>
      <c r="M16" s="192" t="s">
        <v>2118</v>
      </c>
      <c r="N16" s="301"/>
    </row>
    <row r="17" spans="1:14" s="145" customFormat="1" ht="22.5" x14ac:dyDescent="0.15">
      <c r="A17" s="146">
        <f t="shared" si="0"/>
        <v>14</v>
      </c>
      <c r="B17" s="147" t="s">
        <v>2129</v>
      </c>
      <c r="C17" s="148" t="s">
        <v>2130</v>
      </c>
      <c r="D17" s="132" t="s">
        <v>237</v>
      </c>
      <c r="E17" s="132">
        <v>10</v>
      </c>
      <c r="F17" s="132" t="s">
        <v>2110</v>
      </c>
      <c r="G17" s="132"/>
      <c r="H17" s="148"/>
      <c r="I17" s="131" t="s">
        <v>211</v>
      </c>
      <c r="J17" s="132" t="s">
        <v>1381</v>
      </c>
      <c r="K17" s="132" t="s">
        <v>1017</v>
      </c>
      <c r="L17" s="132" t="s">
        <v>1080</v>
      </c>
      <c r="M17" s="192" t="s">
        <v>2118</v>
      </c>
      <c r="N17" s="301"/>
    </row>
    <row r="18" spans="1:14" s="145" customFormat="1" ht="22.5" x14ac:dyDescent="0.15">
      <c r="A18" s="146">
        <f t="shared" si="0"/>
        <v>15</v>
      </c>
      <c r="B18" s="147" t="s">
        <v>2131</v>
      </c>
      <c r="C18" s="148" t="s">
        <v>2132</v>
      </c>
      <c r="D18" s="132" t="s">
        <v>237</v>
      </c>
      <c r="E18" s="132">
        <v>10</v>
      </c>
      <c r="F18" s="132" t="s">
        <v>2110</v>
      </c>
      <c r="G18" s="132"/>
      <c r="H18" s="148"/>
      <c r="I18" s="131" t="s">
        <v>211</v>
      </c>
      <c r="J18" s="132" t="s">
        <v>1381</v>
      </c>
      <c r="K18" s="132" t="s">
        <v>1017</v>
      </c>
      <c r="L18" s="132" t="s">
        <v>1080</v>
      </c>
      <c r="M18" s="192" t="s">
        <v>2118</v>
      </c>
      <c r="N18" s="301"/>
    </row>
    <row r="19" spans="1:14" s="145" customFormat="1" ht="22.5" x14ac:dyDescent="0.15">
      <c r="A19" s="146">
        <f t="shared" si="0"/>
        <v>16</v>
      </c>
      <c r="B19" s="147" t="s">
        <v>2133</v>
      </c>
      <c r="C19" s="148" t="s">
        <v>2134</v>
      </c>
      <c r="D19" s="132" t="s">
        <v>237</v>
      </c>
      <c r="E19" s="132">
        <v>10</v>
      </c>
      <c r="F19" s="132" t="s">
        <v>2110</v>
      </c>
      <c r="G19" s="132"/>
      <c r="H19" s="148"/>
      <c r="I19" s="131" t="s">
        <v>211</v>
      </c>
      <c r="J19" s="132" t="s">
        <v>1381</v>
      </c>
      <c r="K19" s="132" t="s">
        <v>1017</v>
      </c>
      <c r="L19" s="132" t="s">
        <v>1080</v>
      </c>
      <c r="M19" s="192" t="s">
        <v>2118</v>
      </c>
      <c r="N19" s="301"/>
    </row>
    <row r="20" spans="1:14" s="145" customFormat="1" ht="22.5" x14ac:dyDescent="0.15">
      <c r="A20" s="146">
        <f t="shared" si="0"/>
        <v>17</v>
      </c>
      <c r="B20" s="147" t="s">
        <v>2135</v>
      </c>
      <c r="C20" s="148" t="s">
        <v>2136</v>
      </c>
      <c r="D20" s="132" t="s">
        <v>237</v>
      </c>
      <c r="E20" s="132">
        <v>10</v>
      </c>
      <c r="F20" s="132" t="s">
        <v>2110</v>
      </c>
      <c r="G20" s="132"/>
      <c r="H20" s="148"/>
      <c r="I20" s="131" t="s">
        <v>211</v>
      </c>
      <c r="J20" s="132" t="s">
        <v>1381</v>
      </c>
      <c r="K20" s="132" t="s">
        <v>1017</v>
      </c>
      <c r="L20" s="132" t="s">
        <v>1080</v>
      </c>
      <c r="M20" s="192" t="s">
        <v>2118</v>
      </c>
      <c r="N20" s="301"/>
    </row>
    <row r="21" spans="1:14" s="145" customFormat="1" ht="22.5" x14ac:dyDescent="0.15">
      <c r="A21" s="146">
        <f t="shared" si="0"/>
        <v>18</v>
      </c>
      <c r="B21" s="147" t="s">
        <v>2137</v>
      </c>
      <c r="C21" s="148" t="s">
        <v>2138</v>
      </c>
      <c r="D21" s="132" t="s">
        <v>237</v>
      </c>
      <c r="E21" s="132">
        <v>20</v>
      </c>
      <c r="F21" s="132" t="s">
        <v>2110</v>
      </c>
      <c r="G21" s="132"/>
      <c r="H21" s="148"/>
      <c r="I21" s="131" t="s">
        <v>211</v>
      </c>
      <c r="J21" s="132" t="s">
        <v>1381</v>
      </c>
      <c r="K21" s="132" t="s">
        <v>1017</v>
      </c>
      <c r="L21" s="132" t="s">
        <v>1080</v>
      </c>
      <c r="M21" s="192" t="s">
        <v>2118</v>
      </c>
      <c r="N21" s="301"/>
    </row>
    <row r="22" spans="1:14" s="145" customFormat="1" ht="22.5" x14ac:dyDescent="0.15">
      <c r="A22" s="146">
        <f t="shared" si="0"/>
        <v>19</v>
      </c>
      <c r="B22" s="147" t="s">
        <v>2139</v>
      </c>
      <c r="C22" s="148" t="s">
        <v>2140</v>
      </c>
      <c r="D22" s="132" t="s">
        <v>237</v>
      </c>
      <c r="E22" s="132">
        <v>20</v>
      </c>
      <c r="F22" s="132" t="s">
        <v>2110</v>
      </c>
      <c r="G22" s="132"/>
      <c r="H22" s="148"/>
      <c r="I22" s="131" t="s">
        <v>211</v>
      </c>
      <c r="J22" s="132" t="s">
        <v>1381</v>
      </c>
      <c r="K22" s="132" t="s">
        <v>1017</v>
      </c>
      <c r="L22" s="132" t="s">
        <v>1080</v>
      </c>
      <c r="M22" s="192" t="s">
        <v>2118</v>
      </c>
      <c r="N22" s="301"/>
    </row>
    <row r="23" spans="1:14" s="145" customFormat="1" ht="22.5" x14ac:dyDescent="0.15">
      <c r="A23" s="146">
        <f t="shared" si="0"/>
        <v>20</v>
      </c>
      <c r="B23" s="147" t="s">
        <v>2141</v>
      </c>
      <c r="C23" s="147" t="s">
        <v>2142</v>
      </c>
      <c r="D23" s="132" t="s">
        <v>250</v>
      </c>
      <c r="E23" s="132"/>
      <c r="F23" s="132" t="s">
        <v>2110</v>
      </c>
      <c r="G23" s="132"/>
      <c r="H23" s="147"/>
      <c r="I23" s="131" t="s">
        <v>211</v>
      </c>
      <c r="J23" s="132" t="s">
        <v>1381</v>
      </c>
      <c r="K23" s="132" t="s">
        <v>1017</v>
      </c>
      <c r="L23" s="132" t="s">
        <v>1080</v>
      </c>
      <c r="M23" s="192" t="s">
        <v>2143</v>
      </c>
      <c r="N23" s="301"/>
    </row>
    <row r="24" spans="1:14" s="145" customFormat="1" ht="22.5" x14ac:dyDescent="0.15">
      <c r="A24" s="146">
        <f t="shared" si="0"/>
        <v>21</v>
      </c>
      <c r="B24" s="147" t="s">
        <v>2144</v>
      </c>
      <c r="C24" s="147" t="s">
        <v>2145</v>
      </c>
      <c r="D24" s="132" t="s">
        <v>250</v>
      </c>
      <c r="E24" s="132"/>
      <c r="F24" s="132" t="s">
        <v>2110</v>
      </c>
      <c r="G24" s="132"/>
      <c r="H24" s="147"/>
      <c r="I24" s="131" t="s">
        <v>211</v>
      </c>
      <c r="J24" s="132" t="s">
        <v>1381</v>
      </c>
      <c r="K24" s="132" t="s">
        <v>1017</v>
      </c>
      <c r="L24" s="132" t="s">
        <v>1080</v>
      </c>
      <c r="M24" s="192" t="s">
        <v>2146</v>
      </c>
      <c r="N24" s="301"/>
    </row>
    <row r="25" spans="1:14" s="145" customFormat="1" ht="22.5" x14ac:dyDescent="0.15">
      <c r="A25" s="146">
        <f t="shared" si="0"/>
        <v>22</v>
      </c>
      <c r="B25" s="147" t="s">
        <v>2147</v>
      </c>
      <c r="C25" s="147" t="s">
        <v>2148</v>
      </c>
      <c r="D25" s="132" t="s">
        <v>278</v>
      </c>
      <c r="E25" s="132"/>
      <c r="F25" s="132" t="s">
        <v>2110</v>
      </c>
      <c r="G25" s="132"/>
      <c r="H25" s="147"/>
      <c r="I25" s="131" t="s">
        <v>211</v>
      </c>
      <c r="J25" s="132" t="s">
        <v>1381</v>
      </c>
      <c r="K25" s="132" t="s">
        <v>1017</v>
      </c>
      <c r="L25" s="132" t="s">
        <v>1080</v>
      </c>
      <c r="M25" s="192" t="s">
        <v>2146</v>
      </c>
      <c r="N25" s="301"/>
    </row>
    <row r="26" spans="1:14" s="145" customFormat="1" ht="22.5" x14ac:dyDescent="0.15">
      <c r="A26" s="146">
        <f t="shared" si="0"/>
        <v>23</v>
      </c>
      <c r="B26" s="147" t="s">
        <v>2149</v>
      </c>
      <c r="C26" s="147" t="s">
        <v>2150</v>
      </c>
      <c r="D26" s="132" t="s">
        <v>355</v>
      </c>
      <c r="E26" s="132"/>
      <c r="F26" s="132" t="s">
        <v>2110</v>
      </c>
      <c r="G26" s="132"/>
      <c r="H26" s="147"/>
      <c r="I26" s="131" t="s">
        <v>211</v>
      </c>
      <c r="J26" s="132" t="s">
        <v>1381</v>
      </c>
      <c r="K26" s="132" t="s">
        <v>1017</v>
      </c>
      <c r="L26" s="132" t="s">
        <v>1080</v>
      </c>
      <c r="M26" s="192"/>
      <c r="N26" s="301"/>
    </row>
    <row r="27" spans="1:14" s="145" customFormat="1" ht="22.5" x14ac:dyDescent="0.15">
      <c r="A27" s="146">
        <f t="shared" si="0"/>
        <v>24</v>
      </c>
      <c r="B27" s="147" t="s">
        <v>2151</v>
      </c>
      <c r="C27" s="147" t="s">
        <v>2152</v>
      </c>
      <c r="D27" s="132" t="s">
        <v>1244</v>
      </c>
      <c r="E27" s="132"/>
      <c r="F27" s="132" t="s">
        <v>2110</v>
      </c>
      <c r="G27" s="132"/>
      <c r="H27" s="147"/>
      <c r="I27" s="131" t="s">
        <v>211</v>
      </c>
      <c r="J27" s="132" t="s">
        <v>1381</v>
      </c>
      <c r="K27" s="132" t="s">
        <v>1017</v>
      </c>
      <c r="L27" s="132" t="s">
        <v>1080</v>
      </c>
      <c r="M27" s="192"/>
      <c r="N27" s="301"/>
    </row>
    <row r="28" spans="1:14" s="145" customFormat="1" ht="22.5" x14ac:dyDescent="0.15">
      <c r="A28" s="146">
        <f t="shared" si="0"/>
        <v>25</v>
      </c>
      <c r="B28" s="147" t="s">
        <v>2153</v>
      </c>
      <c r="C28" s="147" t="s">
        <v>2154</v>
      </c>
      <c r="D28" s="132" t="s">
        <v>1244</v>
      </c>
      <c r="E28" s="132"/>
      <c r="F28" s="132" t="s">
        <v>2110</v>
      </c>
      <c r="G28" s="132"/>
      <c r="H28" s="147"/>
      <c r="I28" s="131" t="s">
        <v>211</v>
      </c>
      <c r="J28" s="132" t="s">
        <v>1381</v>
      </c>
      <c r="K28" s="132" t="s">
        <v>1017</v>
      </c>
      <c r="L28" s="132" t="s">
        <v>1080</v>
      </c>
      <c r="M28" s="192"/>
      <c r="N28" s="301"/>
    </row>
    <row r="29" spans="1:14" s="145" customFormat="1" ht="22.5" x14ac:dyDescent="0.15">
      <c r="A29" s="146">
        <f t="shared" si="0"/>
        <v>26</v>
      </c>
      <c r="B29" s="147" t="s">
        <v>2155</v>
      </c>
      <c r="C29" s="147" t="s">
        <v>2156</v>
      </c>
      <c r="D29" s="132" t="s">
        <v>355</v>
      </c>
      <c r="E29" s="132"/>
      <c r="F29" s="132" t="s">
        <v>2110</v>
      </c>
      <c r="G29" s="132"/>
      <c r="H29" s="147"/>
      <c r="I29" s="131" t="s">
        <v>211</v>
      </c>
      <c r="J29" s="132" t="s">
        <v>1381</v>
      </c>
      <c r="K29" s="132" t="s">
        <v>1017</v>
      </c>
      <c r="L29" s="132" t="s">
        <v>1080</v>
      </c>
      <c r="M29" s="192"/>
      <c r="N29" s="301"/>
    </row>
    <row r="30" spans="1:14" s="16" customFormat="1" ht="78.599999999999994" customHeight="1" x14ac:dyDescent="0.15">
      <c r="A30" s="141">
        <f t="shared" si="0"/>
        <v>27</v>
      </c>
      <c r="B30" s="142" t="s">
        <v>2157</v>
      </c>
      <c r="C30" s="142" t="s">
        <v>2158</v>
      </c>
      <c r="D30" s="143" t="s">
        <v>355</v>
      </c>
      <c r="E30" s="143"/>
      <c r="F30" s="143" t="s">
        <v>2110</v>
      </c>
      <c r="G30" s="143"/>
      <c r="H30" s="142"/>
      <c r="I30" s="144" t="s">
        <v>211</v>
      </c>
      <c r="J30" s="143" t="s">
        <v>172</v>
      </c>
      <c r="K30" s="212" t="s">
        <v>1750</v>
      </c>
      <c r="L30" s="212" t="s">
        <v>2159</v>
      </c>
      <c r="M30" s="338" t="s">
        <v>2160</v>
      </c>
      <c r="N30" s="302"/>
    </row>
  </sheetData>
  <autoFilter ref="A3:M30" xr:uid="{F02A32CB-AB26-457B-9626-DA3FA3236F27}"/>
  <mergeCells count="7">
    <mergeCell ref="K2:K3"/>
    <mergeCell ref="M2:M3"/>
    <mergeCell ref="J2:J3"/>
    <mergeCell ref="A2:A3"/>
    <mergeCell ref="H2:H3"/>
    <mergeCell ref="I2:I3"/>
    <mergeCell ref="B2:G2"/>
  </mergeCells>
  <phoneticPr fontId="4"/>
  <printOptions horizontalCentered="1"/>
  <pageMargins left="0.19685039370078741" right="0.19685039370078741" top="1.1811023622047245" bottom="0.78740157480314965" header="0.51181102362204722" footer="0.51181102362204722"/>
  <pageSetup paperSize="9" scale="52" fitToHeight="0" orientation="landscape" horizontalDpi="4294967292" verticalDpi="300" r:id="rId1"/>
  <headerFooter alignWithMargins="0">
    <oddHeader>&amp;C&amp;A
（ポイント情報）&amp;R&amp;UFUJITSU CONFIDENTIAL</oddHeader>
    <oddFooter>&amp;C－&amp;P－&amp;RAll Rights Reserved, Copyright(c) Fujitsu  Limited 2024</oddFoot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E8DF39-8117-419D-9698-C9001ACA4F64}">
  <sheetPr>
    <pageSetUpPr fitToPage="1"/>
  </sheetPr>
  <dimension ref="A1:O11"/>
  <sheetViews>
    <sheetView showGridLines="0" zoomScaleNormal="100" zoomScaleSheetLayoutView="100" workbookViewId="0">
      <pane xSplit="3" ySplit="3" topLeftCell="D4" activePane="bottomRight" state="frozen"/>
      <selection pane="topRight" activeCell="FG349" sqref="FG349:FH349"/>
      <selection pane="bottomLeft" activeCell="FG349" sqref="FG349:FH349"/>
      <selection pane="bottomRight" activeCell="L5" sqref="L5"/>
    </sheetView>
  </sheetViews>
  <sheetFormatPr defaultColWidth="9" defaultRowHeight="13.5" x14ac:dyDescent="0.15"/>
  <cols>
    <col min="1" max="1" width="3.375" style="4" customWidth="1"/>
    <col min="2" max="2" width="22.375" style="3" customWidth="1"/>
    <col min="3" max="3" width="25.375" style="3" customWidth="1"/>
    <col min="4" max="4" width="7.375" style="4" bestFit="1" customWidth="1"/>
    <col min="5" max="5" width="10.375" style="4" bestFit="1" customWidth="1"/>
    <col min="6" max="6" width="10" style="4" bestFit="1" customWidth="1"/>
    <col min="7" max="7" width="9" style="4" bestFit="1" customWidth="1"/>
    <col min="8" max="8" width="32.375" style="13" customWidth="1"/>
    <col min="9" max="9" width="29.875" style="1" customWidth="1"/>
    <col min="10" max="10" width="8.375" style="1" customWidth="1"/>
    <col min="11" max="11" width="14.375" style="1" customWidth="1"/>
    <col min="12" max="13" width="24.375" style="1" customWidth="1"/>
    <col min="14" max="14" width="59.375" customWidth="1"/>
    <col min="15" max="16384" width="9" style="12"/>
  </cols>
  <sheetData>
    <row r="1" spans="1:15" ht="48.6" customHeight="1" x14ac:dyDescent="0.15">
      <c r="A1" s="1123" t="s">
        <v>976</v>
      </c>
      <c r="B1" s="1124"/>
      <c r="C1" s="1125" t="s">
        <v>2161</v>
      </c>
      <c r="D1" s="1126"/>
      <c r="E1" s="1126"/>
      <c r="F1" s="1126"/>
      <c r="G1" s="1126"/>
      <c r="H1" s="267"/>
      <c r="I1" s="268"/>
      <c r="J1" s="1126"/>
      <c r="K1" s="1127"/>
      <c r="L1" s="1128"/>
      <c r="M1" s="1129"/>
      <c r="N1" s="5"/>
      <c r="O1" s="33"/>
    </row>
    <row r="2" spans="1:15" x14ac:dyDescent="0.15">
      <c r="A2" s="1342" t="s">
        <v>982</v>
      </c>
      <c r="B2" s="1347" t="s">
        <v>2162</v>
      </c>
      <c r="C2" s="1348"/>
      <c r="D2" s="1348"/>
      <c r="E2" s="1348"/>
      <c r="F2" s="1348"/>
      <c r="G2" s="1349"/>
      <c r="H2" s="1344" t="s">
        <v>984</v>
      </c>
      <c r="I2" s="1328" t="s">
        <v>985</v>
      </c>
      <c r="J2" s="1326" t="s">
        <v>986</v>
      </c>
      <c r="K2" s="1321" t="s">
        <v>987</v>
      </c>
      <c r="L2" s="1321" t="s">
        <v>1658</v>
      </c>
      <c r="M2" s="1346"/>
      <c r="N2" s="1333" t="s">
        <v>711</v>
      </c>
    </row>
    <row r="3" spans="1:15" ht="22.5" x14ac:dyDescent="0.15">
      <c r="A3" s="1343"/>
      <c r="B3" s="1131" t="s">
        <v>226</v>
      </c>
      <c r="C3" s="1131" t="s">
        <v>989</v>
      </c>
      <c r="D3" s="1130" t="s">
        <v>228</v>
      </c>
      <c r="E3" s="1130" t="s">
        <v>229</v>
      </c>
      <c r="F3" s="1131" t="s">
        <v>990</v>
      </c>
      <c r="G3" s="1130" t="s">
        <v>230</v>
      </c>
      <c r="H3" s="1345"/>
      <c r="I3" s="1329"/>
      <c r="J3" s="1327"/>
      <c r="K3" s="1330"/>
      <c r="L3" s="108" t="s">
        <v>1659</v>
      </c>
      <c r="M3" s="108" t="s">
        <v>992</v>
      </c>
      <c r="N3" s="1341"/>
    </row>
    <row r="4" spans="1:15" ht="33.75" x14ac:dyDescent="0.15">
      <c r="A4" s="1132">
        <v>1</v>
      </c>
      <c r="B4" s="666" t="s">
        <v>244</v>
      </c>
      <c r="C4" s="666" t="s">
        <v>460</v>
      </c>
      <c r="D4" s="667" t="s">
        <v>246</v>
      </c>
      <c r="E4" s="667"/>
      <c r="F4" s="668"/>
      <c r="G4" s="667" t="s">
        <v>247</v>
      </c>
      <c r="H4" s="669" t="s">
        <v>2091</v>
      </c>
      <c r="I4" s="1133" t="s">
        <v>2163</v>
      </c>
      <c r="J4" s="1134" t="s">
        <v>172</v>
      </c>
      <c r="K4" s="1135" t="s">
        <v>1020</v>
      </c>
      <c r="L4" s="123" t="s">
        <v>2164</v>
      </c>
      <c r="M4" s="123" t="s">
        <v>2164</v>
      </c>
      <c r="N4" s="670"/>
    </row>
    <row r="5" spans="1:15" ht="45" x14ac:dyDescent="0.15">
      <c r="A5" s="1136">
        <f t="shared" ref="A5:A11" si="0">A4+1</f>
        <v>2</v>
      </c>
      <c r="B5" s="1137" t="s">
        <v>641</v>
      </c>
      <c r="C5" s="1137" t="s">
        <v>2165</v>
      </c>
      <c r="D5" s="1134" t="s">
        <v>355</v>
      </c>
      <c r="E5" s="1134"/>
      <c r="F5" s="1138"/>
      <c r="G5" s="1134" t="s">
        <v>247</v>
      </c>
      <c r="H5" s="1139" t="s">
        <v>2166</v>
      </c>
      <c r="I5" s="1140" t="s">
        <v>1705</v>
      </c>
      <c r="J5" s="1134" t="s">
        <v>172</v>
      </c>
      <c r="K5" s="1134" t="s">
        <v>1750</v>
      </c>
      <c r="L5" s="1141" t="s">
        <v>2167</v>
      </c>
      <c r="M5" s="1134" t="s">
        <v>2168</v>
      </c>
      <c r="N5" s="1142"/>
      <c r="O5" s="498" t="s">
        <v>598</v>
      </c>
    </row>
    <row r="6" spans="1:15" ht="51" customHeight="1" x14ac:dyDescent="0.15">
      <c r="A6" s="1143">
        <f t="shared" si="0"/>
        <v>3</v>
      </c>
      <c r="B6" s="1144" t="s">
        <v>2169</v>
      </c>
      <c r="C6" s="1144" t="s">
        <v>249</v>
      </c>
      <c r="D6" s="1145" t="s">
        <v>250</v>
      </c>
      <c r="E6" s="1145"/>
      <c r="F6" s="1146"/>
      <c r="G6" s="1145" t="s">
        <v>247</v>
      </c>
      <c r="H6" s="1147" t="s">
        <v>2170</v>
      </c>
      <c r="I6" s="1148" t="s">
        <v>211</v>
      </c>
      <c r="J6" s="1145" t="s">
        <v>1381</v>
      </c>
      <c r="K6" s="1145" t="s">
        <v>1017</v>
      </c>
      <c r="L6" s="129" t="s">
        <v>1018</v>
      </c>
      <c r="M6" s="129" t="s">
        <v>1018</v>
      </c>
      <c r="N6" s="269"/>
    </row>
    <row r="7" spans="1:15" ht="22.5" x14ac:dyDescent="0.15">
      <c r="A7" s="1136">
        <f t="shared" si="0"/>
        <v>4</v>
      </c>
      <c r="B7" s="1137" t="s">
        <v>257</v>
      </c>
      <c r="C7" s="1137" t="s">
        <v>258</v>
      </c>
      <c r="D7" s="1134" t="s">
        <v>250</v>
      </c>
      <c r="E7" s="1134"/>
      <c r="F7" s="1138"/>
      <c r="G7" s="1134" t="s">
        <v>247</v>
      </c>
      <c r="H7" s="1139"/>
      <c r="I7" s="246" t="s">
        <v>458</v>
      </c>
      <c r="J7" s="1134" t="s">
        <v>172</v>
      </c>
      <c r="K7" s="1134" t="s">
        <v>1750</v>
      </c>
      <c r="L7" s="112" t="s">
        <v>1674</v>
      </c>
      <c r="M7" s="112" t="s">
        <v>1674</v>
      </c>
      <c r="N7" s="1142"/>
      <c r="O7" s="124"/>
    </row>
    <row r="8" spans="1:15" ht="33.75" x14ac:dyDescent="0.15">
      <c r="A8" s="1136">
        <f t="shared" si="0"/>
        <v>5</v>
      </c>
      <c r="B8" s="1137" t="s">
        <v>2171</v>
      </c>
      <c r="C8" s="1137" t="s">
        <v>2172</v>
      </c>
      <c r="D8" s="1134" t="s">
        <v>237</v>
      </c>
      <c r="E8" s="1134">
        <v>12</v>
      </c>
      <c r="F8" s="1138"/>
      <c r="G8" s="1134"/>
      <c r="H8" s="1139" t="s">
        <v>2173</v>
      </c>
      <c r="I8" s="1149" t="s">
        <v>2174</v>
      </c>
      <c r="J8" s="1134" t="s">
        <v>172</v>
      </c>
      <c r="K8" s="1134" t="s">
        <v>1750</v>
      </c>
      <c r="L8" s="17" t="s">
        <v>2175</v>
      </c>
      <c r="M8" s="17" t="s">
        <v>2175</v>
      </c>
      <c r="N8" s="1150"/>
    </row>
    <row r="9" spans="1:15" ht="41.45" customHeight="1" x14ac:dyDescent="0.15">
      <c r="A9" s="1136">
        <f t="shared" si="0"/>
        <v>6</v>
      </c>
      <c r="B9" s="1137" t="s">
        <v>643</v>
      </c>
      <c r="C9" s="1137" t="s">
        <v>2176</v>
      </c>
      <c r="D9" s="1134" t="s">
        <v>355</v>
      </c>
      <c r="E9" s="1134"/>
      <c r="F9" s="1134"/>
      <c r="G9" s="1134"/>
      <c r="H9" s="1139" t="s">
        <v>2177</v>
      </c>
      <c r="I9" s="1151" t="s">
        <v>211</v>
      </c>
      <c r="J9" s="1134" t="s">
        <v>172</v>
      </c>
      <c r="K9" s="1134" t="s">
        <v>1020</v>
      </c>
      <c r="L9" s="1152" t="s">
        <v>2178</v>
      </c>
      <c r="M9" s="1152" t="s">
        <v>2178</v>
      </c>
      <c r="N9" s="1150"/>
    </row>
    <row r="10" spans="1:15" ht="57" customHeight="1" x14ac:dyDescent="0.15">
      <c r="A10" s="1136">
        <f t="shared" si="0"/>
        <v>7</v>
      </c>
      <c r="B10" s="1137" t="s">
        <v>957</v>
      </c>
      <c r="C10" s="1137" t="s">
        <v>448</v>
      </c>
      <c r="D10" s="1134" t="s">
        <v>246</v>
      </c>
      <c r="E10" s="1134"/>
      <c r="F10" s="1134"/>
      <c r="G10" s="1134"/>
      <c r="H10" s="1139" t="s">
        <v>2179</v>
      </c>
      <c r="I10" s="1151" t="s">
        <v>211</v>
      </c>
      <c r="J10" s="1134" t="s">
        <v>172</v>
      </c>
      <c r="K10" s="1134" t="s">
        <v>1750</v>
      </c>
      <c r="L10" s="1152" t="s">
        <v>2180</v>
      </c>
      <c r="M10" s="1152" t="s">
        <v>2180</v>
      </c>
      <c r="N10" s="1153"/>
    </row>
    <row r="11" spans="1:15" ht="45" x14ac:dyDescent="0.15">
      <c r="A11" s="1154">
        <f t="shared" si="0"/>
        <v>8</v>
      </c>
      <c r="B11" s="1155" t="s">
        <v>2181</v>
      </c>
      <c r="C11" s="1155" t="s">
        <v>2182</v>
      </c>
      <c r="D11" s="1156" t="s">
        <v>302</v>
      </c>
      <c r="E11" s="1156"/>
      <c r="F11" s="1156"/>
      <c r="G11" s="1156"/>
      <c r="H11" s="1157" t="s">
        <v>2183</v>
      </c>
      <c r="I11" s="1158" t="s">
        <v>211</v>
      </c>
      <c r="J11" s="1156" t="s">
        <v>172</v>
      </c>
      <c r="K11" s="1134" t="s">
        <v>1750</v>
      </c>
      <c r="L11" s="113" t="s">
        <v>1050</v>
      </c>
      <c r="M11" s="113" t="s">
        <v>1050</v>
      </c>
      <c r="N11" s="38" t="s">
        <v>1051</v>
      </c>
    </row>
  </sheetData>
  <autoFilter ref="A3:O3" xr:uid="{1AE8DF39-8117-419D-9698-C9001ACA4F64}"/>
  <mergeCells count="8">
    <mergeCell ref="N2:N3"/>
    <mergeCell ref="A2:A3"/>
    <mergeCell ref="H2:H3"/>
    <mergeCell ref="I2:I3"/>
    <mergeCell ref="J2:J3"/>
    <mergeCell ref="K2:K3"/>
    <mergeCell ref="L2:M2"/>
    <mergeCell ref="B2:G2"/>
  </mergeCells>
  <phoneticPr fontId="4"/>
  <printOptions horizontalCentered="1"/>
  <pageMargins left="0.19685039370078741" right="0.19685039370078741" top="1.1811023622047245" bottom="0.78740157480314965" header="0.51181102362204722" footer="0.51181102362204722"/>
  <pageSetup paperSize="9" scale="52" fitToHeight="0" orientation="landscape" horizontalDpi="4294967292" verticalDpi="300" r:id="rId1"/>
  <headerFooter alignWithMargins="0">
    <oddHeader>&amp;C&amp;A
（価格変更情報）&amp;R&amp;UFUJITSU CONFIDENTIAL</oddHeader>
    <oddFooter>&amp;C－&amp;P－&amp;RAll Rights Reserved, Copyright(c) Fujitsu  Limited 2024</oddFoot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3A2E79-AEAC-4BD8-A092-F81FC8B5D5F8}">
  <sheetPr>
    <pageSetUpPr fitToPage="1"/>
  </sheetPr>
  <dimension ref="A1:Q14"/>
  <sheetViews>
    <sheetView showGridLines="0" zoomScaleNormal="100" zoomScaleSheetLayoutView="100" workbookViewId="0">
      <pane xSplit="3" ySplit="3" topLeftCell="D4" activePane="bottomRight" state="frozen"/>
      <selection pane="topRight" activeCell="E1" sqref="E1"/>
      <selection pane="bottomLeft" activeCell="A4" sqref="A4"/>
      <selection pane="bottomRight"/>
    </sheetView>
  </sheetViews>
  <sheetFormatPr defaultRowHeight="13.5" x14ac:dyDescent="0.15"/>
  <cols>
    <col min="1" max="1" width="4.375" style="2" customWidth="1"/>
    <col min="2" max="2" width="20.375" style="3" customWidth="1"/>
    <col min="3" max="3" width="17.875" style="3" bestFit="1" customWidth="1"/>
    <col min="4" max="4" width="7" style="4" bestFit="1" customWidth="1"/>
    <col min="5" max="5" width="9.375" style="4" customWidth="1"/>
    <col min="6" max="6" width="10" style="4" bestFit="1" customWidth="1"/>
    <col min="7" max="7" width="9" style="4" bestFit="1" customWidth="1"/>
    <col min="8" max="8" width="32.375" style="1" bestFit="1" customWidth="1"/>
    <col min="9" max="9" width="25.375" style="1" bestFit="1" customWidth="1"/>
    <col min="10" max="10" width="8.875" style="1" bestFit="1" customWidth="1"/>
    <col min="11" max="11" width="14.375" style="1" customWidth="1"/>
    <col min="12" max="15" width="24.375" style="1" bestFit="1" customWidth="1"/>
    <col min="16" max="16" width="37.375" customWidth="1"/>
  </cols>
  <sheetData>
    <row r="1" spans="1:17" ht="45.6" customHeight="1" x14ac:dyDescent="0.15">
      <c r="A1" s="1103" t="s">
        <v>976</v>
      </c>
      <c r="B1" s="1104"/>
      <c r="C1" s="1119" t="s">
        <v>2184</v>
      </c>
      <c r="D1" s="1119"/>
      <c r="E1" s="1106"/>
      <c r="F1" s="1106"/>
      <c r="G1" s="1106"/>
      <c r="H1" s="1106"/>
      <c r="I1" s="32"/>
      <c r="J1" s="1106"/>
      <c r="K1" s="1107"/>
      <c r="L1" s="1108"/>
      <c r="M1" s="1159" t="s">
        <v>978</v>
      </c>
      <c r="N1" s="1122"/>
      <c r="O1" s="1159" t="s">
        <v>979</v>
      </c>
      <c r="P1" s="10"/>
    </row>
    <row r="2" spans="1:17" x14ac:dyDescent="0.15">
      <c r="A2" s="1350" t="s">
        <v>982</v>
      </c>
      <c r="B2" s="1352" t="s">
        <v>983</v>
      </c>
      <c r="C2" s="1353"/>
      <c r="D2" s="1353"/>
      <c r="E2" s="1353"/>
      <c r="F2" s="1353"/>
      <c r="G2" s="1354"/>
      <c r="H2" s="1331" t="s">
        <v>984</v>
      </c>
      <c r="I2" s="1328" t="s">
        <v>985</v>
      </c>
      <c r="J2" s="1326" t="s">
        <v>986</v>
      </c>
      <c r="K2" s="1321" t="s">
        <v>987</v>
      </c>
      <c r="L2" s="1321" t="s">
        <v>1658</v>
      </c>
      <c r="M2" s="1335"/>
      <c r="N2" s="1335"/>
      <c r="O2" s="1335"/>
      <c r="P2" s="1333" t="s">
        <v>711</v>
      </c>
    </row>
    <row r="3" spans="1:17" ht="22.5" x14ac:dyDescent="0.15">
      <c r="A3" s="1351"/>
      <c r="B3" s="1093" t="s">
        <v>226</v>
      </c>
      <c r="C3" s="1093" t="s">
        <v>989</v>
      </c>
      <c r="D3" s="1092" t="s">
        <v>228</v>
      </c>
      <c r="E3" s="1092" t="s">
        <v>229</v>
      </c>
      <c r="F3" s="1093" t="s">
        <v>990</v>
      </c>
      <c r="G3" s="1092" t="s">
        <v>230</v>
      </c>
      <c r="H3" s="1332"/>
      <c r="I3" s="1329"/>
      <c r="J3" s="1327"/>
      <c r="K3" s="1330"/>
      <c r="L3" s="108" t="s">
        <v>993</v>
      </c>
      <c r="M3" s="108" t="s">
        <v>2185</v>
      </c>
      <c r="N3" s="108" t="s">
        <v>995</v>
      </c>
      <c r="O3" s="108" t="s">
        <v>996</v>
      </c>
      <c r="P3" s="1334"/>
    </row>
    <row r="4" spans="1:17" s="130" customFormat="1" ht="33.75" x14ac:dyDescent="0.15">
      <c r="A4" s="654">
        <v>1</v>
      </c>
      <c r="B4" s="655" t="s">
        <v>248</v>
      </c>
      <c r="C4" s="655" t="s">
        <v>249</v>
      </c>
      <c r="D4" s="656" t="s">
        <v>250</v>
      </c>
      <c r="E4" s="656" t="s">
        <v>251</v>
      </c>
      <c r="F4" s="656"/>
      <c r="G4" s="656" t="s">
        <v>247</v>
      </c>
      <c r="H4" s="657" t="s">
        <v>2186</v>
      </c>
      <c r="I4" s="671" t="s">
        <v>211</v>
      </c>
      <c r="J4" s="656" t="s">
        <v>200</v>
      </c>
      <c r="K4" s="656" t="str">
        <f>IF(J4="ignicaPOS",IF(#REF!&lt;&gt;"〇",IF(#REF!&lt;&gt;"〇","〇","◎"),"◎"),"●")</f>
        <v>●</v>
      </c>
      <c r="L4" s="656" t="s">
        <v>1018</v>
      </c>
      <c r="M4" s="656" t="s">
        <v>1018</v>
      </c>
      <c r="N4" s="656" t="s">
        <v>1018</v>
      </c>
      <c r="O4" s="656" t="s">
        <v>1018</v>
      </c>
      <c r="P4" s="660"/>
    </row>
    <row r="5" spans="1:17" ht="71.45" customHeight="1" x14ac:dyDescent="0.15">
      <c r="A5" s="138">
        <f>A4+1</f>
        <v>2</v>
      </c>
      <c r="B5" s="139" t="s">
        <v>244</v>
      </c>
      <c r="C5" s="139" t="s">
        <v>245</v>
      </c>
      <c r="D5" s="134" t="s">
        <v>246</v>
      </c>
      <c r="E5" s="134" t="s">
        <v>251</v>
      </c>
      <c r="F5" s="134"/>
      <c r="G5" s="134" t="s">
        <v>252</v>
      </c>
      <c r="H5" s="133" t="s">
        <v>2187</v>
      </c>
      <c r="I5" s="179" t="s">
        <v>2188</v>
      </c>
      <c r="J5" s="134" t="s">
        <v>172</v>
      </c>
      <c r="K5" s="134" t="e">
        <f>IF(J5="ignicaPOS",IF(#REF!&lt;&gt;"〇",IF(#REF!&lt;&gt;"〇","〇","◎"),"◎"),"●")</f>
        <v>#REF!</v>
      </c>
      <c r="L5" s="134" t="s">
        <v>2189</v>
      </c>
      <c r="M5" s="132" t="s">
        <v>2189</v>
      </c>
      <c r="N5" s="134" t="s">
        <v>2189</v>
      </c>
      <c r="O5" s="132" t="s">
        <v>2189</v>
      </c>
      <c r="P5" s="150"/>
    </row>
    <row r="6" spans="1:17" ht="81.599999999999994" customHeight="1" x14ac:dyDescent="0.15">
      <c r="A6" s="138">
        <f t="shared" ref="A6:A14" si="0">A5+1</f>
        <v>3</v>
      </c>
      <c r="B6" s="139" t="s">
        <v>2190</v>
      </c>
      <c r="C6" s="139" t="s">
        <v>436</v>
      </c>
      <c r="D6" s="134" t="s">
        <v>302</v>
      </c>
      <c r="E6" s="134" t="s">
        <v>251</v>
      </c>
      <c r="F6" s="134"/>
      <c r="G6" s="134" t="s">
        <v>251</v>
      </c>
      <c r="H6" s="133" t="s">
        <v>2191</v>
      </c>
      <c r="I6" s="136" t="s">
        <v>211</v>
      </c>
      <c r="J6" s="134" t="s">
        <v>172</v>
      </c>
      <c r="K6" s="134" t="s">
        <v>1750</v>
      </c>
      <c r="L6" s="134" t="s">
        <v>2109</v>
      </c>
      <c r="M6" s="132" t="s">
        <v>2109</v>
      </c>
      <c r="N6" s="134" t="s">
        <v>2109</v>
      </c>
      <c r="O6" s="132" t="s">
        <v>2109</v>
      </c>
      <c r="P6" s="150"/>
    </row>
    <row r="7" spans="1:17" s="10" customFormat="1" ht="80.45" customHeight="1" x14ac:dyDescent="0.15">
      <c r="A7" s="171">
        <f t="shared" si="0"/>
        <v>4</v>
      </c>
      <c r="B7" s="172" t="s">
        <v>290</v>
      </c>
      <c r="C7" s="172" t="s">
        <v>439</v>
      </c>
      <c r="D7" s="174" t="s">
        <v>246</v>
      </c>
      <c r="E7" s="174" t="s">
        <v>251</v>
      </c>
      <c r="F7" s="174"/>
      <c r="G7" s="174" t="s">
        <v>251</v>
      </c>
      <c r="H7" s="175" t="s">
        <v>2192</v>
      </c>
      <c r="I7" s="213" t="s">
        <v>211</v>
      </c>
      <c r="J7" s="134" t="s">
        <v>172</v>
      </c>
      <c r="K7" s="134" t="s">
        <v>1020</v>
      </c>
      <c r="L7" s="174" t="s">
        <v>2193</v>
      </c>
      <c r="M7" s="132" t="s">
        <v>2194</v>
      </c>
      <c r="N7" s="174" t="s">
        <v>2193</v>
      </c>
      <c r="O7" s="132" t="s">
        <v>2194</v>
      </c>
      <c r="P7" s="214" t="s">
        <v>1917</v>
      </c>
    </row>
    <row r="8" spans="1:17" s="130" customFormat="1" ht="103.15" customHeight="1" x14ac:dyDescent="0.15">
      <c r="A8" s="146">
        <f t="shared" si="0"/>
        <v>5</v>
      </c>
      <c r="B8" s="147" t="s">
        <v>408</v>
      </c>
      <c r="C8" s="147" t="s">
        <v>441</v>
      </c>
      <c r="D8" s="132" t="s">
        <v>246</v>
      </c>
      <c r="E8" s="132" t="s">
        <v>251</v>
      </c>
      <c r="F8" s="132"/>
      <c r="G8" s="132"/>
      <c r="H8" s="148" t="s">
        <v>2195</v>
      </c>
      <c r="I8" s="131" t="s">
        <v>211</v>
      </c>
      <c r="J8" s="132" t="s">
        <v>200</v>
      </c>
      <c r="K8" s="132" t="s">
        <v>1017</v>
      </c>
      <c r="L8" s="132" t="s">
        <v>2196</v>
      </c>
      <c r="M8" s="132" t="s">
        <v>2196</v>
      </c>
      <c r="N8" s="132" t="s">
        <v>2196</v>
      </c>
      <c r="O8" s="132" t="s">
        <v>2196</v>
      </c>
      <c r="P8" s="137"/>
    </row>
    <row r="9" spans="1:17" s="130" customFormat="1" ht="46.9" customHeight="1" x14ac:dyDescent="0.15">
      <c r="A9" s="146">
        <f t="shared" si="0"/>
        <v>6</v>
      </c>
      <c r="B9" s="147" t="s">
        <v>348</v>
      </c>
      <c r="C9" s="147" t="s">
        <v>349</v>
      </c>
      <c r="D9" s="132" t="s">
        <v>246</v>
      </c>
      <c r="E9" s="132"/>
      <c r="F9" s="132"/>
      <c r="G9" s="132" t="s">
        <v>251</v>
      </c>
      <c r="H9" s="148" t="s">
        <v>2197</v>
      </c>
      <c r="I9" s="131" t="s">
        <v>211</v>
      </c>
      <c r="J9" s="132" t="s">
        <v>200</v>
      </c>
      <c r="K9" s="132" t="s">
        <v>1017</v>
      </c>
      <c r="L9" s="132" t="s">
        <v>2196</v>
      </c>
      <c r="M9" s="132" t="s">
        <v>2196</v>
      </c>
      <c r="N9" s="132" t="s">
        <v>2196</v>
      </c>
      <c r="O9" s="132" t="s">
        <v>2196</v>
      </c>
      <c r="P9" s="137"/>
    </row>
    <row r="10" spans="1:17" s="130" customFormat="1" ht="42" customHeight="1" x14ac:dyDescent="0.15">
      <c r="A10" s="146">
        <f t="shared" si="0"/>
        <v>7</v>
      </c>
      <c r="B10" s="147" t="s">
        <v>2198</v>
      </c>
      <c r="C10" s="147" t="s">
        <v>2199</v>
      </c>
      <c r="D10" s="132" t="s">
        <v>237</v>
      </c>
      <c r="E10" s="132">
        <v>20</v>
      </c>
      <c r="F10" s="132"/>
      <c r="G10" s="132"/>
      <c r="H10" s="148" t="s">
        <v>2200</v>
      </c>
      <c r="I10" s="131" t="s">
        <v>211</v>
      </c>
      <c r="J10" s="132" t="s">
        <v>200</v>
      </c>
      <c r="K10" s="132" t="s">
        <v>1017</v>
      </c>
      <c r="L10" s="132" t="s">
        <v>2196</v>
      </c>
      <c r="M10" s="132" t="s">
        <v>2196</v>
      </c>
      <c r="N10" s="132" t="s">
        <v>2196</v>
      </c>
      <c r="O10" s="132" t="s">
        <v>2196</v>
      </c>
      <c r="P10" s="137"/>
    </row>
    <row r="11" spans="1:17" ht="69.599999999999994" customHeight="1" x14ac:dyDescent="0.15">
      <c r="A11" s="138">
        <f t="shared" si="0"/>
        <v>8</v>
      </c>
      <c r="B11" s="139" t="s">
        <v>2201</v>
      </c>
      <c r="C11" s="139" t="s">
        <v>446</v>
      </c>
      <c r="D11" s="134" t="s">
        <v>355</v>
      </c>
      <c r="E11" s="134" t="s">
        <v>251</v>
      </c>
      <c r="F11" s="134"/>
      <c r="G11" s="134" t="s">
        <v>251</v>
      </c>
      <c r="H11" s="133" t="s">
        <v>2202</v>
      </c>
      <c r="I11" s="136" t="s">
        <v>211</v>
      </c>
      <c r="J11" s="134" t="s">
        <v>172</v>
      </c>
      <c r="K11" s="134" t="s">
        <v>1020</v>
      </c>
      <c r="L11" s="134" t="s">
        <v>2203</v>
      </c>
      <c r="M11" s="132" t="s">
        <v>2203</v>
      </c>
      <c r="N11" s="134" t="s">
        <v>2204</v>
      </c>
      <c r="O11" s="132" t="s">
        <v>2204</v>
      </c>
      <c r="P11" s="151"/>
    </row>
    <row r="12" spans="1:17" ht="57" customHeight="1" x14ac:dyDescent="0.15">
      <c r="A12" s="138">
        <f t="shared" si="0"/>
        <v>9</v>
      </c>
      <c r="B12" s="139" t="s">
        <v>1084</v>
      </c>
      <c r="C12" s="139" t="s">
        <v>2205</v>
      </c>
      <c r="D12" s="134" t="s">
        <v>246</v>
      </c>
      <c r="E12" s="134" t="s">
        <v>251</v>
      </c>
      <c r="F12" s="134" t="s">
        <v>1005</v>
      </c>
      <c r="G12" s="134" t="s">
        <v>251</v>
      </c>
      <c r="H12" s="133" t="s">
        <v>2206</v>
      </c>
      <c r="I12" s="173" t="s">
        <v>2207</v>
      </c>
      <c r="J12" s="134" t="s">
        <v>172</v>
      </c>
      <c r="K12" s="134" t="s">
        <v>1020</v>
      </c>
      <c r="L12" s="134" t="s">
        <v>2208</v>
      </c>
      <c r="M12" s="132" t="s">
        <v>2208</v>
      </c>
      <c r="N12" s="134" t="s">
        <v>2208</v>
      </c>
      <c r="O12" s="132" t="s">
        <v>2208</v>
      </c>
      <c r="P12" s="151"/>
      <c r="Q12" s="297" t="s">
        <v>1040</v>
      </c>
    </row>
    <row r="13" spans="1:17" ht="54.6" customHeight="1" x14ac:dyDescent="0.15">
      <c r="A13" s="138">
        <f t="shared" si="0"/>
        <v>10</v>
      </c>
      <c r="B13" s="139" t="s">
        <v>2209</v>
      </c>
      <c r="C13" s="139" t="s">
        <v>450</v>
      </c>
      <c r="D13" s="134" t="s">
        <v>237</v>
      </c>
      <c r="E13" s="134">
        <v>20</v>
      </c>
      <c r="F13" s="134" t="s">
        <v>2110</v>
      </c>
      <c r="G13" s="134" t="s">
        <v>251</v>
      </c>
      <c r="H13" s="133" t="s">
        <v>2210</v>
      </c>
      <c r="I13" s="173" t="s">
        <v>2211</v>
      </c>
      <c r="J13" s="134" t="s">
        <v>172</v>
      </c>
      <c r="K13" s="134" t="s">
        <v>1750</v>
      </c>
      <c r="L13" s="134" t="s">
        <v>2212</v>
      </c>
      <c r="M13" s="132" t="s">
        <v>2212</v>
      </c>
      <c r="N13" s="134" t="s">
        <v>2212</v>
      </c>
      <c r="O13" s="132" t="s">
        <v>2212</v>
      </c>
      <c r="P13" s="151"/>
    </row>
    <row r="14" spans="1:17" ht="58.9" customHeight="1" x14ac:dyDescent="0.15">
      <c r="A14" s="141">
        <f t="shared" si="0"/>
        <v>11</v>
      </c>
      <c r="B14" s="142" t="s">
        <v>257</v>
      </c>
      <c r="C14" s="142" t="s">
        <v>258</v>
      </c>
      <c r="D14" s="143" t="s">
        <v>250</v>
      </c>
      <c r="E14" s="143" t="s">
        <v>251</v>
      </c>
      <c r="F14" s="143"/>
      <c r="G14" s="143" t="s">
        <v>252</v>
      </c>
      <c r="H14" s="200"/>
      <c r="I14" s="202" t="s">
        <v>458</v>
      </c>
      <c r="J14" s="143" t="s">
        <v>172</v>
      </c>
      <c r="K14" s="143" t="s">
        <v>1020</v>
      </c>
      <c r="L14" s="143" t="s">
        <v>1034</v>
      </c>
      <c r="M14" s="159" t="s">
        <v>1034</v>
      </c>
      <c r="N14" s="143" t="s">
        <v>1034</v>
      </c>
      <c r="O14" s="159" t="s">
        <v>1034</v>
      </c>
      <c r="P14" s="215"/>
    </row>
  </sheetData>
  <autoFilter ref="A3:P14" xr:uid="{143A2E79-AEAC-4BD8-A092-F81FC8B5D5F8}"/>
  <mergeCells count="8">
    <mergeCell ref="P2:P3"/>
    <mergeCell ref="K2:K3"/>
    <mergeCell ref="L2:O2"/>
    <mergeCell ref="A2:A3"/>
    <mergeCell ref="I2:I3"/>
    <mergeCell ref="J2:J3"/>
    <mergeCell ref="H2:H3"/>
    <mergeCell ref="B2:G2"/>
  </mergeCells>
  <phoneticPr fontId="4"/>
  <printOptions horizontalCentered="1"/>
  <pageMargins left="0.19685039370078741" right="0.19685039370078741" top="1.1811023622047245" bottom="0.78740157480314965" header="0.51181102362204722" footer="0.51181102362204722"/>
  <pageSetup paperSize="9" scale="50" fitToHeight="0" orientation="landscape" horizontalDpi="4294967292" verticalDpi="300" r:id="rId1"/>
  <headerFooter alignWithMargins="0">
    <oddHeader>&amp;C&amp;A
（支払情報）&amp;R&amp;UFUJITSU CONFIDENTIAL</oddHeader>
    <oddFooter>&amp;C－&amp;P－&amp;RAll Rights Reserved, Copyright(c) Fujitsu  Limited 2024</oddFooter>
  </headerFooter>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3FD74-87D3-4229-A452-F98F81F0D2E1}">
  <sheetPr>
    <pageSetUpPr fitToPage="1"/>
  </sheetPr>
  <dimension ref="A1:P18"/>
  <sheetViews>
    <sheetView showGridLines="0" zoomScaleNormal="100" zoomScaleSheetLayoutView="100" workbookViewId="0">
      <pane xSplit="3" ySplit="3" topLeftCell="F9" activePane="bottomRight" state="frozen"/>
      <selection pane="topRight" activeCell="E1" sqref="E1"/>
      <selection pane="bottomLeft" activeCell="A4" sqref="A4"/>
      <selection pane="bottomRight"/>
    </sheetView>
  </sheetViews>
  <sheetFormatPr defaultRowHeight="13.5" x14ac:dyDescent="0.15"/>
  <cols>
    <col min="1" max="1" width="3.375" style="4" customWidth="1"/>
    <col min="2" max="2" width="23.375" style="3" customWidth="1"/>
    <col min="3" max="3" width="21.375" style="3" bestFit="1" customWidth="1"/>
    <col min="4" max="4" width="7" style="4" bestFit="1" customWidth="1"/>
    <col min="5" max="5" width="10.375" style="4" bestFit="1" customWidth="1"/>
    <col min="6" max="6" width="10" style="4" bestFit="1" customWidth="1"/>
    <col min="7" max="7" width="9" style="4" bestFit="1" customWidth="1"/>
    <col min="8" max="8" width="46.375" style="13" customWidth="1"/>
    <col min="9" max="9" width="23.875" style="1" customWidth="1"/>
    <col min="10" max="10" width="10.375" style="1" customWidth="1"/>
    <col min="11" max="11" width="14.375" style="1" customWidth="1"/>
    <col min="12" max="14" width="24.375" style="1" customWidth="1"/>
    <col min="15" max="15" width="24.375" style="1" bestFit="1" customWidth="1"/>
    <col min="16" max="16" width="59.375" customWidth="1"/>
  </cols>
  <sheetData>
    <row r="1" spans="1:16" ht="48.6" customHeight="1" x14ac:dyDescent="0.15">
      <c r="A1" s="1103" t="s">
        <v>976</v>
      </c>
      <c r="B1" s="1104"/>
      <c r="C1" s="1119" t="s">
        <v>2213</v>
      </c>
      <c r="D1" s="1119"/>
      <c r="E1" s="1106"/>
      <c r="F1" s="1106"/>
      <c r="G1" s="1106"/>
      <c r="H1" s="1160"/>
      <c r="I1" s="1161"/>
      <c r="J1" s="1106"/>
      <c r="K1" s="1107"/>
      <c r="L1" s="1108"/>
      <c r="M1" s="1159" t="s">
        <v>980</v>
      </c>
      <c r="N1" s="1109"/>
      <c r="O1" s="1159" t="s">
        <v>981</v>
      </c>
      <c r="P1" s="1162"/>
    </row>
    <row r="2" spans="1:16" x14ac:dyDescent="0.15">
      <c r="A2" s="1350" t="s">
        <v>982</v>
      </c>
      <c r="B2" s="1352" t="s">
        <v>983</v>
      </c>
      <c r="C2" s="1353"/>
      <c r="D2" s="1353"/>
      <c r="E2" s="1353"/>
      <c r="F2" s="1353"/>
      <c r="G2" s="1354"/>
      <c r="H2" s="1331" t="s">
        <v>984</v>
      </c>
      <c r="I2" s="1328" t="s">
        <v>985</v>
      </c>
      <c r="J2" s="1326" t="s">
        <v>986</v>
      </c>
      <c r="K2" s="1321" t="s">
        <v>987</v>
      </c>
      <c r="L2" s="1321" t="s">
        <v>1658</v>
      </c>
      <c r="M2" s="1335"/>
      <c r="N2" s="1335"/>
      <c r="O2" s="1335"/>
      <c r="P2" s="1333" t="s">
        <v>711</v>
      </c>
    </row>
    <row r="3" spans="1:16" ht="22.5" x14ac:dyDescent="0.15">
      <c r="A3" s="1351"/>
      <c r="B3" s="1093" t="s">
        <v>226</v>
      </c>
      <c r="C3" s="1093" t="s">
        <v>989</v>
      </c>
      <c r="D3" s="1092" t="s">
        <v>228</v>
      </c>
      <c r="E3" s="1092" t="s">
        <v>229</v>
      </c>
      <c r="F3" s="1093" t="s">
        <v>990</v>
      </c>
      <c r="G3" s="1092" t="s">
        <v>230</v>
      </c>
      <c r="H3" s="1332"/>
      <c r="I3" s="1329"/>
      <c r="J3" s="1327"/>
      <c r="K3" s="1330"/>
      <c r="L3" s="108" t="s">
        <v>2214</v>
      </c>
      <c r="M3" s="108" t="s">
        <v>2215</v>
      </c>
      <c r="N3" s="108" t="s">
        <v>1000</v>
      </c>
      <c r="O3" s="108" t="s">
        <v>1001</v>
      </c>
      <c r="P3" s="1334"/>
    </row>
    <row r="4" spans="1:16" ht="56.25" x14ac:dyDescent="0.15">
      <c r="A4" s="648">
        <v>1</v>
      </c>
      <c r="B4" s="661" t="s">
        <v>2216</v>
      </c>
      <c r="C4" s="661" t="s">
        <v>454</v>
      </c>
      <c r="D4" s="650" t="s">
        <v>302</v>
      </c>
      <c r="E4" s="650"/>
      <c r="F4" s="650"/>
      <c r="G4" s="650" t="s">
        <v>247</v>
      </c>
      <c r="H4" s="662" t="s">
        <v>2217</v>
      </c>
      <c r="I4" s="672" t="s">
        <v>211</v>
      </c>
      <c r="J4" s="650" t="s">
        <v>172</v>
      </c>
      <c r="K4" s="650" t="s">
        <v>1007</v>
      </c>
      <c r="L4" s="650" t="s">
        <v>2109</v>
      </c>
      <c r="M4" s="656" t="s">
        <v>2109</v>
      </c>
      <c r="N4" s="650" t="s">
        <v>2109</v>
      </c>
      <c r="O4" s="656" t="s">
        <v>2109</v>
      </c>
      <c r="P4" s="664" t="s">
        <v>1996</v>
      </c>
    </row>
    <row r="5" spans="1:16" s="130" customFormat="1" ht="33.75" x14ac:dyDescent="0.15">
      <c r="A5" s="146">
        <f>A4+1</f>
        <v>2</v>
      </c>
      <c r="B5" s="147" t="s">
        <v>292</v>
      </c>
      <c r="C5" s="147" t="s">
        <v>456</v>
      </c>
      <c r="D5" s="132" t="s">
        <v>237</v>
      </c>
      <c r="E5" s="132">
        <v>12</v>
      </c>
      <c r="F5" s="132"/>
      <c r="G5" s="132" t="s">
        <v>247</v>
      </c>
      <c r="H5" s="148"/>
      <c r="I5" s="131" t="s">
        <v>211</v>
      </c>
      <c r="J5" s="132" t="s">
        <v>200</v>
      </c>
      <c r="K5" s="132" t="s">
        <v>1017</v>
      </c>
      <c r="L5" s="132" t="s">
        <v>1018</v>
      </c>
      <c r="M5" s="132" t="s">
        <v>1018</v>
      </c>
      <c r="N5" s="132" t="s">
        <v>1018</v>
      </c>
      <c r="O5" s="132" t="s">
        <v>1018</v>
      </c>
      <c r="P5" s="187"/>
    </row>
    <row r="6" spans="1:16" ht="33.75" x14ac:dyDescent="0.15">
      <c r="A6" s="138">
        <f t="shared" ref="A6:A17" si="0">A5+1</f>
        <v>3</v>
      </c>
      <c r="B6" s="139" t="s">
        <v>257</v>
      </c>
      <c r="C6" s="139" t="s">
        <v>258</v>
      </c>
      <c r="D6" s="134" t="s">
        <v>250</v>
      </c>
      <c r="E6" s="134"/>
      <c r="F6" s="134"/>
      <c r="G6" s="134" t="s">
        <v>247</v>
      </c>
      <c r="H6" s="133" t="s">
        <v>258</v>
      </c>
      <c r="I6" s="133" t="s">
        <v>458</v>
      </c>
      <c r="J6" s="134" t="s">
        <v>172</v>
      </c>
      <c r="K6" s="134" t="s">
        <v>1007</v>
      </c>
      <c r="L6" s="134" t="s">
        <v>1034</v>
      </c>
      <c r="M6" s="132" t="s">
        <v>1034</v>
      </c>
      <c r="N6" s="134" t="s">
        <v>1034</v>
      </c>
      <c r="O6" s="132" t="s">
        <v>1034</v>
      </c>
      <c r="P6" s="150"/>
    </row>
    <row r="7" spans="1:16" s="130" customFormat="1" ht="101.25" x14ac:dyDescent="0.15">
      <c r="A7" s="146">
        <f t="shared" si="0"/>
        <v>4</v>
      </c>
      <c r="B7" s="147" t="s">
        <v>408</v>
      </c>
      <c r="C7" s="147" t="s">
        <v>2218</v>
      </c>
      <c r="D7" s="132" t="s">
        <v>246</v>
      </c>
      <c r="E7" s="132"/>
      <c r="F7" s="132"/>
      <c r="G7" s="132" t="s">
        <v>247</v>
      </c>
      <c r="H7" s="148" t="s">
        <v>2219</v>
      </c>
      <c r="I7" s="131" t="s">
        <v>211</v>
      </c>
      <c r="J7" s="132" t="s">
        <v>200</v>
      </c>
      <c r="K7" s="132" t="s">
        <v>1017</v>
      </c>
      <c r="L7" s="132" t="s">
        <v>1018</v>
      </c>
      <c r="M7" s="132" t="s">
        <v>1018</v>
      </c>
      <c r="N7" s="132" t="s">
        <v>1018</v>
      </c>
      <c r="O7" s="132" t="s">
        <v>1018</v>
      </c>
      <c r="P7" s="187"/>
    </row>
    <row r="8" spans="1:16" s="130" customFormat="1" ht="33.75" x14ac:dyDescent="0.15">
      <c r="A8" s="146">
        <f t="shared" si="0"/>
        <v>5</v>
      </c>
      <c r="B8" s="147" t="s">
        <v>248</v>
      </c>
      <c r="C8" s="147" t="s">
        <v>249</v>
      </c>
      <c r="D8" s="132" t="s">
        <v>250</v>
      </c>
      <c r="E8" s="132"/>
      <c r="F8" s="132" t="s">
        <v>1005</v>
      </c>
      <c r="G8" s="132"/>
      <c r="H8" s="148" t="s">
        <v>2220</v>
      </c>
      <c r="I8" s="131" t="s">
        <v>211</v>
      </c>
      <c r="J8" s="132" t="s">
        <v>200</v>
      </c>
      <c r="K8" s="132" t="s">
        <v>1017</v>
      </c>
      <c r="L8" s="132" t="s">
        <v>1018</v>
      </c>
      <c r="M8" s="132" t="s">
        <v>1018</v>
      </c>
      <c r="N8" s="132" t="s">
        <v>1018</v>
      </c>
      <c r="O8" s="132" t="s">
        <v>1018</v>
      </c>
      <c r="P8" s="135"/>
    </row>
    <row r="9" spans="1:16" ht="96" customHeight="1" x14ac:dyDescent="0.15">
      <c r="A9" s="138">
        <f t="shared" si="0"/>
        <v>6</v>
      </c>
      <c r="B9" s="139" t="s">
        <v>244</v>
      </c>
      <c r="C9" s="139" t="s">
        <v>245</v>
      </c>
      <c r="D9" s="134" t="s">
        <v>246</v>
      </c>
      <c r="E9" s="134"/>
      <c r="F9" s="134" t="s">
        <v>1005</v>
      </c>
      <c r="G9" s="134"/>
      <c r="H9" s="133" t="s">
        <v>2221</v>
      </c>
      <c r="I9" s="136" t="s">
        <v>211</v>
      </c>
      <c r="J9" s="134" t="s">
        <v>172</v>
      </c>
      <c r="K9" s="134" t="s">
        <v>1750</v>
      </c>
      <c r="L9" s="134" t="s">
        <v>2222</v>
      </c>
      <c r="M9" s="132" t="s">
        <v>2222</v>
      </c>
      <c r="N9" s="134" t="s">
        <v>2222</v>
      </c>
      <c r="O9" s="132" t="s">
        <v>2222</v>
      </c>
      <c r="P9" s="162"/>
    </row>
    <row r="10" spans="1:16" ht="33.75" x14ac:dyDescent="0.15">
      <c r="A10" s="138">
        <f t="shared" si="0"/>
        <v>7</v>
      </c>
      <c r="B10" s="139" t="s">
        <v>279</v>
      </c>
      <c r="C10" s="139" t="s">
        <v>462</v>
      </c>
      <c r="D10" s="134" t="s">
        <v>237</v>
      </c>
      <c r="E10" s="134">
        <v>12</v>
      </c>
      <c r="F10" s="134"/>
      <c r="G10" s="134"/>
      <c r="H10" s="133" t="s">
        <v>2223</v>
      </c>
      <c r="I10" s="1163" t="s">
        <v>2174</v>
      </c>
      <c r="J10" s="134" t="s">
        <v>172</v>
      </c>
      <c r="K10" s="134" t="s">
        <v>1750</v>
      </c>
      <c r="L10" s="17" t="s">
        <v>2175</v>
      </c>
      <c r="M10" s="129" t="s">
        <v>2175</v>
      </c>
      <c r="N10" s="17" t="s">
        <v>2175</v>
      </c>
      <c r="O10" s="129" t="s">
        <v>2175</v>
      </c>
      <c r="P10" s="162"/>
    </row>
    <row r="11" spans="1:16" s="130" customFormat="1" ht="39" customHeight="1" x14ac:dyDescent="0.15">
      <c r="A11" s="146">
        <f t="shared" si="0"/>
        <v>8</v>
      </c>
      <c r="B11" s="147" t="s">
        <v>2224</v>
      </c>
      <c r="C11" s="147" t="s">
        <v>464</v>
      </c>
      <c r="D11" s="132" t="s">
        <v>237</v>
      </c>
      <c r="E11" s="152">
        <v>12</v>
      </c>
      <c r="F11" s="152"/>
      <c r="G11" s="152"/>
      <c r="H11" s="148" t="s">
        <v>2225</v>
      </c>
      <c r="I11" s="131" t="s">
        <v>211</v>
      </c>
      <c r="J11" s="132" t="s">
        <v>200</v>
      </c>
      <c r="K11" s="132" t="s">
        <v>1017</v>
      </c>
      <c r="L11" s="132" t="s">
        <v>1080</v>
      </c>
      <c r="M11" s="132" t="s">
        <v>1080</v>
      </c>
      <c r="N11" s="132" t="s">
        <v>1080</v>
      </c>
      <c r="O11" s="132" t="s">
        <v>1080</v>
      </c>
      <c r="P11" s="137"/>
    </row>
    <row r="12" spans="1:16" s="130" customFormat="1" ht="34.15" customHeight="1" x14ac:dyDescent="0.15">
      <c r="A12" s="146">
        <f t="shared" si="0"/>
        <v>9</v>
      </c>
      <c r="B12" s="147" t="s">
        <v>2226</v>
      </c>
      <c r="C12" s="147" t="s">
        <v>466</v>
      </c>
      <c r="D12" s="132" t="s">
        <v>237</v>
      </c>
      <c r="E12" s="152">
        <v>12</v>
      </c>
      <c r="F12" s="152" t="s">
        <v>1005</v>
      </c>
      <c r="G12" s="152"/>
      <c r="H12" s="148" t="s">
        <v>2227</v>
      </c>
      <c r="I12" s="131" t="s">
        <v>211</v>
      </c>
      <c r="J12" s="132" t="s">
        <v>200</v>
      </c>
      <c r="K12" s="132" t="s">
        <v>1017</v>
      </c>
      <c r="L12" s="132" t="s">
        <v>1080</v>
      </c>
      <c r="M12" s="132" t="s">
        <v>1080</v>
      </c>
      <c r="N12" s="132" t="s">
        <v>1080</v>
      </c>
      <c r="O12" s="132" t="s">
        <v>1080</v>
      </c>
      <c r="P12" s="137"/>
    </row>
    <row r="13" spans="1:16" ht="58.15" customHeight="1" x14ac:dyDescent="0.15">
      <c r="A13" s="138">
        <f t="shared" si="0"/>
        <v>10</v>
      </c>
      <c r="B13" s="139" t="s">
        <v>416</v>
      </c>
      <c r="C13" s="139" t="s">
        <v>468</v>
      </c>
      <c r="D13" s="154" t="s">
        <v>355</v>
      </c>
      <c r="E13" s="154"/>
      <c r="F13" s="154"/>
      <c r="G13" s="154"/>
      <c r="H13" s="133" t="s">
        <v>2228</v>
      </c>
      <c r="I13" s="136" t="s">
        <v>211</v>
      </c>
      <c r="J13" s="134" t="s">
        <v>172</v>
      </c>
      <c r="K13" s="134" t="s">
        <v>1020</v>
      </c>
      <c r="L13" s="134" t="s">
        <v>2229</v>
      </c>
      <c r="M13" s="132" t="s">
        <v>2230</v>
      </c>
      <c r="N13" s="134" t="s">
        <v>2231</v>
      </c>
      <c r="O13" s="132" t="s">
        <v>2230</v>
      </c>
      <c r="P13" s="162"/>
    </row>
    <row r="14" spans="1:16" s="130" customFormat="1" ht="55.15" customHeight="1" x14ac:dyDescent="0.15">
      <c r="A14" s="146">
        <f t="shared" si="0"/>
        <v>11</v>
      </c>
      <c r="B14" s="147" t="s">
        <v>2232</v>
      </c>
      <c r="C14" s="147" t="s">
        <v>470</v>
      </c>
      <c r="D14" s="152" t="s">
        <v>250</v>
      </c>
      <c r="E14" s="152"/>
      <c r="F14" s="152" t="s">
        <v>1005</v>
      </c>
      <c r="G14" s="152"/>
      <c r="H14" s="148" t="s">
        <v>2233</v>
      </c>
      <c r="I14" s="131" t="s">
        <v>211</v>
      </c>
      <c r="J14" s="132" t="s">
        <v>200</v>
      </c>
      <c r="K14" s="132" t="s">
        <v>1017</v>
      </c>
      <c r="L14" s="132" t="s">
        <v>2234</v>
      </c>
      <c r="M14" s="132" t="s">
        <v>2234</v>
      </c>
      <c r="N14" s="132" t="s">
        <v>2234</v>
      </c>
      <c r="O14" s="132" t="s">
        <v>2234</v>
      </c>
      <c r="P14" s="137"/>
    </row>
    <row r="15" spans="1:16" ht="45" x14ac:dyDescent="0.15">
      <c r="A15" s="138">
        <f t="shared" si="0"/>
        <v>12</v>
      </c>
      <c r="B15" s="139" t="s">
        <v>2235</v>
      </c>
      <c r="C15" s="139" t="s">
        <v>472</v>
      </c>
      <c r="D15" s="154" t="s">
        <v>246</v>
      </c>
      <c r="E15" s="154"/>
      <c r="F15" s="154"/>
      <c r="G15" s="154"/>
      <c r="H15" s="133" t="s">
        <v>2236</v>
      </c>
      <c r="I15" s="136" t="s">
        <v>211</v>
      </c>
      <c r="J15" s="134" t="s">
        <v>172</v>
      </c>
      <c r="K15" s="134" t="s">
        <v>1750</v>
      </c>
      <c r="L15" s="134" t="s">
        <v>2237</v>
      </c>
      <c r="M15" s="132" t="s">
        <v>2237</v>
      </c>
      <c r="N15" s="134" t="s">
        <v>2238</v>
      </c>
      <c r="O15" s="132" t="s">
        <v>2238</v>
      </c>
      <c r="P15" s="162"/>
    </row>
    <row r="16" spans="1:16" s="130" customFormat="1" ht="33.75" x14ac:dyDescent="0.15">
      <c r="A16" s="146">
        <f t="shared" si="0"/>
        <v>13</v>
      </c>
      <c r="B16" s="147" t="s">
        <v>1084</v>
      </c>
      <c r="C16" s="147" t="s">
        <v>473</v>
      </c>
      <c r="D16" s="152" t="s">
        <v>246</v>
      </c>
      <c r="E16" s="152"/>
      <c r="F16" s="152"/>
      <c r="G16" s="152"/>
      <c r="H16" s="148" t="s">
        <v>2239</v>
      </c>
      <c r="I16" s="131" t="s">
        <v>211</v>
      </c>
      <c r="J16" s="132" t="s">
        <v>200</v>
      </c>
      <c r="K16" s="132" t="s">
        <v>1017</v>
      </c>
      <c r="L16" s="132" t="s">
        <v>1080</v>
      </c>
      <c r="M16" s="132" t="s">
        <v>1080</v>
      </c>
      <c r="N16" s="132" t="s">
        <v>1080</v>
      </c>
      <c r="O16" s="132" t="s">
        <v>1080</v>
      </c>
      <c r="P16" s="137"/>
    </row>
    <row r="17" spans="1:16" ht="90" x14ac:dyDescent="0.15">
      <c r="A17" s="138">
        <f t="shared" si="0"/>
        <v>14</v>
      </c>
      <c r="B17" s="139" t="s">
        <v>290</v>
      </c>
      <c r="C17" s="139" t="s">
        <v>291</v>
      </c>
      <c r="D17" s="154" t="s">
        <v>246</v>
      </c>
      <c r="E17" s="154"/>
      <c r="F17" s="154"/>
      <c r="G17" s="154"/>
      <c r="H17" s="133" t="s">
        <v>2240</v>
      </c>
      <c r="I17" s="136" t="s">
        <v>211</v>
      </c>
      <c r="J17" s="134" t="s">
        <v>172</v>
      </c>
      <c r="K17" s="134" t="s">
        <v>1020</v>
      </c>
      <c r="L17" s="134" t="s">
        <v>2241</v>
      </c>
      <c r="M17" s="132" t="s">
        <v>2242</v>
      </c>
      <c r="N17" s="134" t="s">
        <v>2241</v>
      </c>
      <c r="O17" s="132" t="s">
        <v>2242</v>
      </c>
      <c r="P17" s="162"/>
    </row>
    <row r="18" spans="1:16" ht="45" x14ac:dyDescent="0.15">
      <c r="A18" s="141">
        <f>A17+1</f>
        <v>15</v>
      </c>
      <c r="B18" s="142" t="s">
        <v>2243</v>
      </c>
      <c r="C18" s="142" t="s">
        <v>476</v>
      </c>
      <c r="D18" s="199" t="s">
        <v>246</v>
      </c>
      <c r="E18" s="199"/>
      <c r="F18" s="199" t="s">
        <v>1005</v>
      </c>
      <c r="G18" s="199"/>
      <c r="H18" s="200" t="s">
        <v>2244</v>
      </c>
      <c r="I18" s="144" t="s">
        <v>211</v>
      </c>
      <c r="J18" s="143" t="s">
        <v>172</v>
      </c>
      <c r="K18" s="143" t="s">
        <v>1750</v>
      </c>
      <c r="L18" s="143" t="s">
        <v>2245</v>
      </c>
      <c r="M18" s="159" t="s">
        <v>2245</v>
      </c>
      <c r="N18" s="143" t="s">
        <v>2245</v>
      </c>
      <c r="O18" s="159" t="s">
        <v>2245</v>
      </c>
      <c r="P18" s="216"/>
    </row>
  </sheetData>
  <autoFilter ref="A3:P18" xr:uid="{65E3FD74-87D3-4229-A452-F98F81F0D2E1}"/>
  <mergeCells count="8">
    <mergeCell ref="P2:P3"/>
    <mergeCell ref="A2:A3"/>
    <mergeCell ref="B2:G2"/>
    <mergeCell ref="H2:H3"/>
    <mergeCell ref="I2:I3"/>
    <mergeCell ref="J2:J3"/>
    <mergeCell ref="K2:K3"/>
    <mergeCell ref="L2:O2"/>
  </mergeCells>
  <phoneticPr fontId="4"/>
  <printOptions horizontalCentered="1"/>
  <pageMargins left="0.19685039370078741" right="0.19685039370078741" top="1.1811023622047245" bottom="0.78740157480314965" header="0.51181102362204722" footer="0.51181102362204722"/>
  <pageSetup paperSize="9" scale="43" fitToHeight="0" orientation="landscape" r:id="rId1"/>
  <headerFooter alignWithMargins="0">
    <oddHeader>&amp;C&amp;A
（入金出金情報）&amp;R&amp;UFUJITSU CONFIDENTIAL</oddHeader>
    <oddFooter>&amp;C－&amp;P－&amp;RAll Rights Reserved, Copyright(c) Fujitsu  Limited 2024</oddFooter>
  </headerFooter>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CD6D43-2C37-44D3-8676-116A221D34F3}">
  <sheetPr>
    <tabColor theme="0"/>
  </sheetPr>
  <dimension ref="A1:EP156"/>
  <sheetViews>
    <sheetView showGridLines="0" topLeftCell="A63" zoomScale="115" zoomScaleNormal="115" zoomScaleSheetLayoutView="100" workbookViewId="0">
      <selection activeCell="BI22" sqref="BI22"/>
    </sheetView>
  </sheetViews>
  <sheetFormatPr defaultColWidth="2.375" defaultRowHeight="13.5" x14ac:dyDescent="0.15"/>
  <cols>
    <col min="1" max="3" width="2.375" style="274"/>
    <col min="4" max="6" width="2.375" style="274" customWidth="1"/>
    <col min="7" max="8" width="2.375" style="274"/>
    <col min="9" max="11" width="2.375" style="274" customWidth="1"/>
    <col min="12" max="12" width="2.375" style="274"/>
    <col min="13" max="34" width="2.375" style="274" customWidth="1"/>
    <col min="35" max="35" width="2.375" style="274"/>
    <col min="36" max="40" width="2.375" style="274" customWidth="1"/>
    <col min="41" max="42" width="2.375" style="274"/>
    <col min="43" max="46" width="2.375" style="274" customWidth="1"/>
    <col min="47" max="48" width="2.375" style="274"/>
    <col min="49" max="49" width="2.375" style="274" customWidth="1"/>
    <col min="50" max="16384" width="2.375" style="274"/>
  </cols>
  <sheetData>
    <row r="1" spans="2:71" x14ac:dyDescent="0.15">
      <c r="B1" s="366"/>
      <c r="C1" s="366"/>
      <c r="D1" s="366"/>
      <c r="E1" s="366"/>
      <c r="F1" s="366"/>
      <c r="G1" s="366"/>
      <c r="H1" s="366"/>
      <c r="I1" s="366"/>
      <c r="J1" s="366"/>
      <c r="K1" s="366"/>
      <c r="L1" s="366"/>
      <c r="M1" s="366"/>
      <c r="N1" s="366"/>
      <c r="O1" s="366"/>
      <c r="P1" s="366"/>
      <c r="Q1" s="366"/>
      <c r="R1" s="366"/>
      <c r="S1" s="366"/>
      <c r="T1" s="366"/>
      <c r="U1" s="366"/>
      <c r="V1" s="366"/>
      <c r="W1" s="366"/>
      <c r="X1" s="366"/>
      <c r="Y1" s="366"/>
      <c r="Z1" s="366"/>
      <c r="AA1" s="366"/>
      <c r="AB1" s="366"/>
      <c r="AC1" s="366"/>
      <c r="AD1" s="366"/>
      <c r="AE1" s="366"/>
      <c r="AF1" s="366"/>
      <c r="AG1" s="366"/>
      <c r="AH1" s="366"/>
      <c r="AI1" s="366"/>
      <c r="AJ1" s="366"/>
      <c r="AK1" s="366"/>
      <c r="AL1" s="366"/>
      <c r="AM1" s="366"/>
      <c r="AN1" s="366"/>
      <c r="AO1" s="366"/>
      <c r="AP1" s="366"/>
      <c r="AQ1" s="366"/>
      <c r="AR1" s="366"/>
      <c r="AS1" s="366"/>
      <c r="AT1" s="366"/>
      <c r="AU1" s="366"/>
      <c r="AV1" s="366"/>
      <c r="AW1" s="366"/>
      <c r="AX1" s="366"/>
      <c r="AY1" s="366"/>
      <c r="AZ1" s="366"/>
      <c r="BA1" s="366"/>
      <c r="BB1" s="366"/>
      <c r="BC1" s="366"/>
      <c r="BD1" s="366"/>
      <c r="BE1" s="366"/>
      <c r="BF1" s="366"/>
      <c r="BG1" s="366"/>
      <c r="BH1" s="366"/>
      <c r="BI1" s="366"/>
      <c r="BJ1" s="366"/>
      <c r="BK1" s="366"/>
      <c r="BL1" s="366"/>
      <c r="BM1" s="366"/>
      <c r="BN1" s="366"/>
      <c r="BO1" s="366"/>
      <c r="BP1" s="366"/>
      <c r="BQ1" s="366"/>
      <c r="BR1" s="366"/>
    </row>
    <row r="2" spans="2:71" x14ac:dyDescent="0.15">
      <c r="B2" s="1164"/>
      <c r="C2" s="1165"/>
      <c r="D2" s="1166"/>
      <c r="E2" s="1166"/>
      <c r="F2" s="1167"/>
      <c r="G2" s="1167"/>
      <c r="H2" s="1167"/>
      <c r="I2" s="1167"/>
      <c r="J2" s="1167"/>
      <c r="K2" s="1167"/>
      <c r="L2" s="1167"/>
      <c r="M2" s="1167"/>
      <c r="N2" s="1166"/>
      <c r="O2" s="1166"/>
      <c r="P2" s="1166"/>
      <c r="Q2" s="1166"/>
      <c r="R2" s="1167"/>
      <c r="S2" s="1167"/>
      <c r="T2" s="1167"/>
      <c r="U2" s="1167"/>
      <c r="V2" s="1167"/>
      <c r="W2" s="1167"/>
      <c r="X2" s="1167"/>
      <c r="Y2" s="1167"/>
      <c r="Z2" s="1167"/>
      <c r="AA2" s="1167"/>
      <c r="AB2" s="1167"/>
      <c r="AC2" s="1167"/>
      <c r="AD2" s="1167"/>
      <c r="AE2" s="1167"/>
      <c r="AF2" s="1167"/>
      <c r="AG2" s="1167"/>
      <c r="AH2" s="1167"/>
      <c r="AI2" s="1167"/>
      <c r="AJ2" s="1167"/>
      <c r="AK2" s="1167"/>
      <c r="AL2" s="1166"/>
      <c r="AM2" s="1166"/>
      <c r="AN2" s="1166"/>
      <c r="AO2" s="1166"/>
      <c r="AP2" s="1166"/>
      <c r="AQ2" s="1166"/>
      <c r="AR2" s="1166"/>
      <c r="AS2" s="1166"/>
      <c r="AT2" s="1166"/>
      <c r="AU2" s="1166"/>
      <c r="AV2" s="1166"/>
      <c r="AW2" s="1166"/>
      <c r="AX2" s="1166"/>
      <c r="AY2" s="1166"/>
      <c r="AZ2" s="1166"/>
      <c r="BA2" s="1166"/>
      <c r="BB2" s="1166"/>
      <c r="BC2" s="1166"/>
      <c r="BD2" s="1166"/>
      <c r="BE2" s="1166"/>
      <c r="BF2" s="1166"/>
      <c r="BG2" s="1166"/>
      <c r="BH2" s="1166"/>
      <c r="BI2" s="1166"/>
      <c r="BJ2" s="1166"/>
      <c r="BK2" s="1166"/>
      <c r="BL2" s="1166"/>
      <c r="BM2" s="1167"/>
      <c r="BN2" s="1167"/>
      <c r="BO2" s="1167"/>
      <c r="BP2" s="1167"/>
      <c r="BQ2" s="1167"/>
      <c r="BR2" s="1167"/>
      <c r="BS2" s="1168"/>
    </row>
    <row r="3" spans="2:71" x14ac:dyDescent="0.15">
      <c r="B3" s="609"/>
      <c r="C3" s="367" t="s">
        <v>2246</v>
      </c>
      <c r="D3" s="368"/>
      <c r="E3" s="368"/>
      <c r="F3" s="369"/>
      <c r="G3" s="369"/>
      <c r="H3" s="369"/>
      <c r="I3" s="369"/>
      <c r="J3" s="369"/>
      <c r="K3" s="369"/>
      <c r="L3" s="369"/>
      <c r="M3" s="369"/>
      <c r="N3" s="368"/>
      <c r="O3" s="368"/>
      <c r="P3" s="368"/>
      <c r="Q3" s="368"/>
      <c r="R3" s="369"/>
      <c r="S3" s="369"/>
      <c r="T3" s="369"/>
      <c r="U3" s="369"/>
      <c r="V3" s="369"/>
      <c r="W3" s="369"/>
      <c r="X3" s="369"/>
      <c r="Y3" s="369"/>
      <c r="Z3" s="369"/>
      <c r="AA3" s="369"/>
      <c r="AB3" s="369"/>
      <c r="AC3" s="369"/>
      <c r="AD3" s="369"/>
      <c r="AE3" s="369"/>
      <c r="AF3" s="369"/>
      <c r="AG3" s="369"/>
      <c r="AH3" s="369"/>
      <c r="AI3" s="369"/>
      <c r="AJ3" s="369"/>
      <c r="AK3" s="369"/>
      <c r="AL3" s="368"/>
      <c r="AM3" s="368"/>
      <c r="AN3" s="368"/>
      <c r="AO3" s="368"/>
      <c r="AP3" s="368"/>
      <c r="AQ3" s="368"/>
      <c r="AR3" s="368"/>
      <c r="AS3" s="368"/>
      <c r="AT3" s="368"/>
      <c r="AU3" s="368"/>
      <c r="AV3" s="368"/>
      <c r="AW3" s="368"/>
      <c r="AX3" s="368"/>
      <c r="AY3" s="368"/>
      <c r="AZ3" s="368"/>
      <c r="BA3" s="368"/>
      <c r="BB3" s="368"/>
      <c r="BC3" s="368"/>
      <c r="BD3" s="368"/>
      <c r="BE3" s="368"/>
      <c r="BF3" s="368"/>
      <c r="BG3" s="368"/>
      <c r="BH3" s="368"/>
      <c r="BI3" s="368"/>
      <c r="BJ3" s="368"/>
      <c r="BK3" s="368"/>
      <c r="BL3" s="368"/>
      <c r="BM3" s="369"/>
      <c r="BN3" s="369"/>
      <c r="BO3" s="369"/>
      <c r="BP3" s="369"/>
      <c r="BQ3" s="369"/>
      <c r="BR3" s="369"/>
      <c r="BS3" s="370"/>
    </row>
    <row r="4" spans="2:71" x14ac:dyDescent="0.15">
      <c r="B4" s="609"/>
      <c r="C4" s="369"/>
      <c r="D4" s="368"/>
      <c r="E4" s="368"/>
      <c r="F4" s="369"/>
      <c r="G4" s="369"/>
      <c r="H4" s="369"/>
      <c r="I4" s="369"/>
      <c r="J4" s="369"/>
      <c r="K4" s="369"/>
      <c r="L4" s="369"/>
      <c r="M4" s="369"/>
      <c r="N4" s="368"/>
      <c r="O4" s="368"/>
      <c r="P4" s="368"/>
      <c r="Q4" s="368"/>
      <c r="R4" s="369"/>
      <c r="S4" s="369"/>
      <c r="T4" s="369"/>
      <c r="U4" s="369"/>
      <c r="V4" s="369"/>
      <c r="W4" s="369"/>
      <c r="X4" s="369"/>
      <c r="Y4" s="369"/>
      <c r="Z4" s="369"/>
      <c r="AA4" s="369"/>
      <c r="AB4" s="369"/>
      <c r="AC4" s="369"/>
      <c r="AD4" s="369"/>
      <c r="AE4" s="369"/>
      <c r="AF4" s="369"/>
      <c r="AG4" s="369"/>
      <c r="AH4" s="369"/>
      <c r="AI4" s="369"/>
      <c r="AJ4" s="369"/>
      <c r="AK4" s="369"/>
      <c r="AL4" s="368"/>
      <c r="AM4" s="368"/>
      <c r="AN4" s="368"/>
      <c r="AO4" s="368"/>
      <c r="AP4" s="368"/>
      <c r="AQ4" s="368"/>
      <c r="AR4" s="368"/>
      <c r="AS4" s="368"/>
      <c r="AT4" s="368"/>
      <c r="AU4" s="368"/>
      <c r="AV4" s="368"/>
      <c r="AW4" s="368"/>
      <c r="AX4" s="368"/>
      <c r="AY4" s="368"/>
      <c r="AZ4" s="368"/>
      <c r="BA4" s="368"/>
      <c r="BB4" s="368"/>
      <c r="BC4" s="368"/>
      <c r="BD4" s="368"/>
      <c r="BE4" s="368"/>
      <c r="BF4" s="368"/>
      <c r="BG4" s="368"/>
      <c r="BH4" s="368"/>
      <c r="BI4" s="368"/>
      <c r="BJ4" s="368"/>
      <c r="BK4" s="368"/>
      <c r="BL4" s="368"/>
      <c r="BM4" s="369"/>
      <c r="BN4" s="369"/>
      <c r="BO4" s="369"/>
      <c r="BP4" s="369"/>
      <c r="BQ4" s="369"/>
      <c r="BR4" s="369"/>
      <c r="BS4" s="370"/>
    </row>
    <row r="5" spans="2:71" x14ac:dyDescent="0.15">
      <c r="B5" s="609"/>
      <c r="C5" s="371"/>
      <c r="D5" s="372" t="s">
        <v>2247</v>
      </c>
      <c r="E5" s="372"/>
      <c r="F5" s="372"/>
      <c r="G5" s="372"/>
      <c r="I5" s="372"/>
      <c r="J5" s="373"/>
      <c r="K5" s="373"/>
      <c r="L5" s="373"/>
      <c r="M5" s="373"/>
      <c r="N5" s="373"/>
      <c r="O5" s="373"/>
      <c r="P5" s="373"/>
      <c r="Q5" s="373"/>
      <c r="R5" s="368"/>
      <c r="S5" s="368"/>
      <c r="T5" s="368"/>
      <c r="U5" s="368"/>
      <c r="V5" s="374"/>
      <c r="W5" s="368"/>
      <c r="X5" s="368"/>
      <c r="Y5" s="368"/>
      <c r="Z5" s="368"/>
      <c r="AA5" s="368"/>
      <c r="AB5" s="368"/>
      <c r="AC5" s="368"/>
      <c r="AD5" s="368"/>
      <c r="AE5" s="368"/>
      <c r="AF5" s="368"/>
      <c r="AG5" s="368"/>
      <c r="AH5" s="368"/>
      <c r="AI5" s="368"/>
      <c r="AJ5" s="368"/>
      <c r="AK5" s="368"/>
      <c r="AL5" s="375"/>
      <c r="AM5" s="375"/>
      <c r="AN5" s="375"/>
      <c r="AO5" s="375"/>
      <c r="AP5" s="375"/>
      <c r="AQ5" s="369"/>
      <c r="AR5" s="369"/>
      <c r="AS5" s="369"/>
      <c r="AT5" s="369"/>
      <c r="AU5" s="369"/>
      <c r="AV5" s="369"/>
      <c r="AW5" s="369"/>
      <c r="AX5" s="369"/>
      <c r="AY5" s="369"/>
      <c r="AZ5" s="369"/>
      <c r="BA5" s="369"/>
      <c r="BB5" s="369"/>
      <c r="BC5" s="369"/>
      <c r="BD5" s="369"/>
      <c r="BE5" s="369"/>
      <c r="BF5" s="369"/>
      <c r="BG5" s="369"/>
      <c r="BH5" s="369"/>
      <c r="BI5" s="369"/>
      <c r="BJ5" s="369"/>
      <c r="BK5" s="369"/>
      <c r="BL5" s="369"/>
      <c r="BM5" s="369"/>
      <c r="BN5" s="369"/>
      <c r="BO5" s="369"/>
      <c r="BP5" s="369"/>
      <c r="BQ5" s="369"/>
      <c r="BR5" s="369"/>
      <c r="BS5" s="370"/>
    </row>
    <row r="6" spans="2:71" ht="13.5" customHeight="1" x14ac:dyDescent="0.15">
      <c r="B6" s="609"/>
      <c r="C6" s="371"/>
      <c r="D6" s="372"/>
      <c r="E6" s="475" t="s">
        <v>2248</v>
      </c>
      <c r="F6" s="372"/>
      <c r="G6" s="372"/>
      <c r="H6" s="289"/>
      <c r="I6" s="372"/>
      <c r="J6" s="289"/>
      <c r="K6" s="475" t="s">
        <v>2249</v>
      </c>
      <c r="L6" s="372"/>
      <c r="M6" s="372"/>
      <c r="N6" s="372"/>
      <c r="O6" s="372"/>
      <c r="P6" s="372"/>
      <c r="Q6" s="372"/>
      <c r="R6" s="368"/>
      <c r="S6" s="368"/>
      <c r="T6" s="368"/>
      <c r="U6" s="368"/>
      <c r="V6" s="374"/>
      <c r="W6" s="368"/>
      <c r="X6" s="368"/>
      <c r="Y6" s="368"/>
      <c r="Z6" s="368"/>
      <c r="AA6" s="368"/>
      <c r="AB6" s="368"/>
      <c r="AC6" s="368"/>
      <c r="AD6" s="368"/>
      <c r="AE6" s="368"/>
      <c r="AF6" s="368"/>
      <c r="AG6" s="368"/>
      <c r="AH6" s="368"/>
      <c r="AI6" s="368"/>
      <c r="AJ6" s="368"/>
      <c r="AK6" s="368"/>
      <c r="AL6" s="375"/>
      <c r="AM6" s="375"/>
      <c r="AN6" s="375"/>
      <c r="AO6" s="375"/>
      <c r="AP6" s="375"/>
      <c r="AQ6" s="369"/>
      <c r="AR6" s="369"/>
      <c r="AS6" s="369"/>
      <c r="AT6" s="369"/>
      <c r="AU6" s="369"/>
      <c r="AV6" s="369"/>
      <c r="AW6" s="369"/>
      <c r="AX6" s="369"/>
      <c r="AY6" s="369"/>
      <c r="AZ6" s="369"/>
      <c r="BA6" s="369"/>
      <c r="BB6" s="369"/>
      <c r="BC6" s="369"/>
      <c r="BD6" s="369"/>
      <c r="BE6" s="369"/>
      <c r="BF6" s="369"/>
      <c r="BG6" s="369"/>
      <c r="BH6" s="369"/>
      <c r="BI6" s="369"/>
      <c r="BJ6" s="369"/>
      <c r="BK6" s="369"/>
      <c r="BL6" s="369"/>
      <c r="BM6" s="369"/>
      <c r="BN6" s="369"/>
      <c r="BO6" s="369"/>
      <c r="BP6" s="369"/>
      <c r="BQ6" s="369"/>
      <c r="BR6" s="369"/>
      <c r="BS6" s="370"/>
    </row>
    <row r="7" spans="2:71" x14ac:dyDescent="0.15">
      <c r="B7" s="609"/>
      <c r="C7" s="371"/>
      <c r="D7" s="372"/>
      <c r="E7" s="475" t="s">
        <v>2250</v>
      </c>
      <c r="F7" s="372"/>
      <c r="G7" s="372"/>
      <c r="H7" s="289"/>
      <c r="I7" s="372"/>
      <c r="J7" s="289"/>
      <c r="K7" s="475" t="s">
        <v>2249</v>
      </c>
      <c r="L7" s="372"/>
      <c r="M7" s="372"/>
      <c r="N7" s="372"/>
      <c r="O7" s="372"/>
      <c r="P7" s="372"/>
      <c r="Q7" s="372"/>
      <c r="R7" s="368"/>
      <c r="S7" s="368"/>
      <c r="T7" s="368"/>
      <c r="U7" s="368"/>
      <c r="V7" s="374"/>
      <c r="W7" s="368"/>
      <c r="X7" s="368"/>
      <c r="Y7" s="368"/>
      <c r="Z7" s="368"/>
      <c r="AA7" s="368"/>
      <c r="AB7" s="368"/>
      <c r="AC7" s="368"/>
      <c r="AD7" s="368"/>
      <c r="AE7" s="368"/>
      <c r="AF7" s="368"/>
      <c r="AG7" s="368"/>
      <c r="AH7" s="368"/>
      <c r="AI7" s="368"/>
      <c r="AJ7" s="368"/>
      <c r="AK7" s="368"/>
      <c r="AL7" s="375"/>
      <c r="AM7" s="375"/>
      <c r="AN7" s="375"/>
      <c r="AO7" s="375"/>
      <c r="AP7" s="375"/>
      <c r="AQ7" s="368"/>
      <c r="AR7" s="368"/>
      <c r="AS7" s="368"/>
      <c r="AT7" s="368"/>
      <c r="AU7" s="376"/>
      <c r="AV7" s="376"/>
      <c r="AW7" s="376"/>
      <c r="AX7" s="369"/>
      <c r="AY7" s="369"/>
      <c r="AZ7" s="369"/>
      <c r="BA7" s="369"/>
      <c r="BB7" s="369"/>
      <c r="BC7" s="369"/>
      <c r="BD7" s="369"/>
      <c r="BE7" s="369"/>
      <c r="BF7" s="369"/>
      <c r="BG7" s="369"/>
      <c r="BH7" s="369"/>
      <c r="BI7" s="369"/>
      <c r="BJ7" s="369"/>
      <c r="BK7" s="369"/>
      <c r="BL7" s="369"/>
      <c r="BM7" s="369"/>
      <c r="BN7" s="369"/>
      <c r="BO7" s="369"/>
      <c r="BP7" s="369"/>
      <c r="BQ7" s="369"/>
      <c r="BR7" s="369"/>
      <c r="BS7" s="370"/>
    </row>
    <row r="8" spans="2:71" x14ac:dyDescent="0.15">
      <c r="B8" s="609"/>
      <c r="C8" s="377"/>
      <c r="D8" s="369"/>
      <c r="F8" s="369"/>
      <c r="G8" s="369"/>
      <c r="H8" s="369"/>
      <c r="I8" s="369"/>
      <c r="J8" s="369"/>
      <c r="K8" s="369"/>
      <c r="L8" s="369"/>
      <c r="M8" s="369"/>
      <c r="N8" s="369"/>
      <c r="O8" s="369"/>
      <c r="P8" s="369"/>
      <c r="Q8" s="369"/>
      <c r="R8" s="369"/>
      <c r="S8" s="369"/>
      <c r="T8" s="369"/>
      <c r="U8" s="369"/>
      <c r="V8" s="369"/>
      <c r="W8" s="369"/>
      <c r="X8" s="369"/>
      <c r="Y8" s="369"/>
      <c r="Z8" s="369"/>
      <c r="AA8" s="369"/>
      <c r="AB8" s="369"/>
      <c r="AC8" s="369"/>
      <c r="AD8" s="369"/>
      <c r="AE8" s="369"/>
      <c r="AF8" s="369"/>
      <c r="AG8" s="369"/>
      <c r="AH8" s="369"/>
      <c r="AI8" s="369"/>
      <c r="AJ8" s="369"/>
      <c r="AK8" s="369"/>
      <c r="AL8" s="369"/>
      <c r="AM8" s="369"/>
      <c r="AN8" s="369"/>
      <c r="AO8" s="369"/>
      <c r="AP8" s="369"/>
      <c r="AQ8" s="369"/>
      <c r="AR8" s="369"/>
      <c r="AS8" s="369"/>
      <c r="AT8" s="369"/>
      <c r="AU8" s="369"/>
      <c r="AV8" s="369"/>
      <c r="AW8" s="369"/>
      <c r="AX8" s="369"/>
      <c r="AY8" s="369"/>
      <c r="AZ8" s="369"/>
      <c r="BA8" s="369"/>
      <c r="BB8" s="369"/>
      <c r="BC8" s="369"/>
      <c r="BD8" s="369"/>
      <c r="BE8" s="369"/>
      <c r="BF8" s="369"/>
      <c r="BG8" s="369"/>
      <c r="BH8" s="369"/>
      <c r="BI8" s="369"/>
      <c r="BJ8" s="369"/>
      <c r="BK8" s="369"/>
      <c r="BL8" s="369"/>
      <c r="BM8" s="369"/>
      <c r="BN8" s="369"/>
      <c r="BO8" s="369"/>
      <c r="BP8" s="369"/>
      <c r="BQ8" s="369"/>
      <c r="BR8" s="369"/>
      <c r="BS8" s="370"/>
    </row>
    <row r="9" spans="2:71" ht="13.5" hidden="1" customHeight="1" x14ac:dyDescent="0.15">
      <c r="B9" s="609"/>
      <c r="C9" s="377"/>
      <c r="D9" s="371"/>
      <c r="E9" s="369"/>
      <c r="F9" s="369"/>
      <c r="G9" s="369"/>
      <c r="H9" s="369"/>
      <c r="I9" s="369"/>
      <c r="J9" s="369"/>
      <c r="K9" s="369"/>
      <c r="L9" s="369"/>
      <c r="M9" s="369"/>
      <c r="N9" s="369"/>
      <c r="O9" s="369"/>
      <c r="P9" s="369"/>
      <c r="Q9" s="369"/>
      <c r="R9" s="369"/>
      <c r="S9" s="369"/>
      <c r="T9" s="369"/>
      <c r="U9" s="369"/>
      <c r="V9" s="369"/>
      <c r="W9" s="369"/>
      <c r="X9" s="369"/>
      <c r="Y9" s="369"/>
      <c r="Z9" s="369"/>
      <c r="AA9" s="369"/>
      <c r="AB9" s="369"/>
      <c r="AC9" s="369"/>
      <c r="AD9" s="369"/>
      <c r="AE9" s="369"/>
      <c r="AF9" s="369"/>
      <c r="AG9" s="369"/>
      <c r="AH9" s="369"/>
      <c r="AI9" s="369"/>
      <c r="AJ9" s="369"/>
      <c r="AK9" s="369"/>
      <c r="AL9" s="369"/>
      <c r="AM9" s="369"/>
      <c r="AN9" s="369"/>
      <c r="AO9" s="369"/>
      <c r="AP9" s="369"/>
      <c r="AQ9" s="369"/>
      <c r="AR9" s="369"/>
      <c r="AS9" s="369"/>
      <c r="AT9" s="369"/>
      <c r="AU9" s="369"/>
      <c r="AV9" s="369"/>
      <c r="AW9" s="369"/>
      <c r="AX9" s="369"/>
      <c r="AY9" s="369"/>
      <c r="AZ9" s="369"/>
      <c r="BA9" s="369"/>
      <c r="BB9" s="369"/>
      <c r="BC9" s="369"/>
      <c r="BD9" s="369"/>
      <c r="BE9" s="369"/>
      <c r="BF9" s="369"/>
      <c r="BG9" s="369"/>
      <c r="BH9" s="369"/>
      <c r="BI9" s="369"/>
      <c r="BJ9" s="369"/>
      <c r="BK9" s="369"/>
      <c r="BL9" s="369"/>
      <c r="BM9" s="369"/>
      <c r="BN9" s="369"/>
      <c r="BO9" s="369"/>
      <c r="BP9" s="369"/>
      <c r="BQ9" s="369"/>
      <c r="BR9" s="369"/>
      <c r="BS9" s="370"/>
    </row>
    <row r="10" spans="2:71" hidden="1" x14ac:dyDescent="0.15">
      <c r="B10" s="609"/>
      <c r="C10" s="377"/>
      <c r="D10" s="371"/>
      <c r="E10" s="369"/>
      <c r="F10" s="369"/>
      <c r="G10" s="369"/>
      <c r="H10" s="369"/>
      <c r="I10" s="369"/>
      <c r="J10" s="369"/>
      <c r="K10" s="369"/>
      <c r="L10" s="369"/>
      <c r="M10" s="369"/>
      <c r="N10" s="369"/>
      <c r="O10" s="369"/>
      <c r="P10" s="369"/>
      <c r="Q10" s="369"/>
      <c r="R10" s="369"/>
      <c r="S10" s="369"/>
      <c r="T10" s="369"/>
      <c r="U10" s="369"/>
      <c r="V10" s="369"/>
      <c r="W10" s="369"/>
      <c r="X10" s="369"/>
      <c r="Y10" s="369"/>
      <c r="Z10" s="369"/>
      <c r="AA10" s="369"/>
      <c r="AB10" s="369"/>
      <c r="AC10" s="369"/>
      <c r="AD10" s="369"/>
      <c r="AE10" s="369"/>
      <c r="AF10" s="369"/>
      <c r="AG10" s="369"/>
      <c r="AH10" s="369"/>
      <c r="AI10" s="369"/>
      <c r="AJ10" s="369"/>
      <c r="AK10" s="369"/>
      <c r="AL10" s="369"/>
      <c r="AM10" s="369"/>
      <c r="AN10" s="369"/>
      <c r="AO10" s="369"/>
      <c r="AP10" s="369"/>
      <c r="AQ10" s="369"/>
      <c r="AR10" s="369"/>
      <c r="AS10" s="369"/>
      <c r="AT10" s="369"/>
      <c r="AU10" s="369"/>
      <c r="AV10" s="369"/>
      <c r="AW10" s="369"/>
      <c r="AX10" s="369"/>
      <c r="AY10" s="369"/>
      <c r="AZ10" s="369"/>
      <c r="BA10" s="369"/>
      <c r="BB10" s="369"/>
      <c r="BC10" s="369"/>
      <c r="BD10" s="369"/>
      <c r="BE10" s="369"/>
      <c r="BF10" s="369"/>
      <c r="BG10" s="369"/>
      <c r="BH10" s="369"/>
      <c r="BI10" s="369"/>
      <c r="BJ10" s="369"/>
      <c r="BK10" s="369"/>
      <c r="BL10" s="369"/>
      <c r="BM10" s="369"/>
      <c r="BN10" s="369"/>
      <c r="BO10" s="369"/>
      <c r="BP10" s="369"/>
      <c r="BQ10" s="369"/>
      <c r="BR10" s="369"/>
      <c r="BS10" s="370"/>
    </row>
    <row r="11" spans="2:71" hidden="1" x14ac:dyDescent="0.15">
      <c r="B11" s="609"/>
      <c r="C11" s="377"/>
      <c r="D11" s="371"/>
      <c r="E11" s="369"/>
      <c r="F11" s="369"/>
      <c r="G11" s="369"/>
      <c r="H11" s="369"/>
      <c r="I11" s="369"/>
      <c r="J11" s="369"/>
      <c r="K11" s="369"/>
      <c r="L11" s="369"/>
      <c r="M11" s="369"/>
      <c r="N11" s="369"/>
      <c r="O11" s="369"/>
      <c r="P11" s="369"/>
      <c r="Q11" s="369"/>
      <c r="R11" s="369"/>
      <c r="S11" s="369"/>
      <c r="T11" s="369"/>
      <c r="U11" s="369"/>
      <c r="V11" s="369"/>
      <c r="W11" s="369"/>
      <c r="X11" s="369"/>
      <c r="Y11" s="369"/>
      <c r="Z11" s="369"/>
      <c r="AA11" s="369"/>
      <c r="AB11" s="369"/>
      <c r="AC11" s="369"/>
      <c r="AD11" s="369"/>
      <c r="AE11" s="369"/>
      <c r="AF11" s="369"/>
      <c r="AG11" s="369"/>
      <c r="AH11" s="369"/>
      <c r="AI11" s="369"/>
      <c r="AJ11" s="369"/>
      <c r="AK11" s="369"/>
      <c r="AL11" s="369"/>
      <c r="AM11" s="369"/>
      <c r="AN11" s="369"/>
      <c r="AO11" s="369"/>
      <c r="AP11" s="369"/>
      <c r="AQ11" s="369"/>
      <c r="AR11" s="369"/>
      <c r="AS11" s="369"/>
      <c r="AT11" s="369"/>
      <c r="AU11" s="369"/>
      <c r="AV11" s="369"/>
      <c r="AW11" s="369"/>
      <c r="AX11" s="369"/>
      <c r="AY11" s="369"/>
      <c r="AZ11" s="369"/>
      <c r="BA11" s="369"/>
      <c r="BB11" s="369"/>
      <c r="BC11" s="369"/>
      <c r="BD11" s="369"/>
      <c r="BE11" s="369"/>
      <c r="BF11" s="369"/>
      <c r="BG11" s="369"/>
      <c r="BH11" s="369"/>
      <c r="BI11" s="369"/>
      <c r="BJ11" s="369"/>
      <c r="BK11" s="369"/>
      <c r="BL11" s="369"/>
      <c r="BM11" s="369"/>
      <c r="BN11" s="369"/>
      <c r="BO11" s="369"/>
      <c r="BP11" s="369"/>
      <c r="BQ11" s="369"/>
      <c r="BR11" s="369"/>
      <c r="BS11" s="370"/>
    </row>
    <row r="12" spans="2:71" hidden="1" x14ac:dyDescent="0.15">
      <c r="B12" s="609"/>
      <c r="C12" s="377"/>
      <c r="D12" s="371"/>
      <c r="E12" s="369"/>
      <c r="F12" s="369"/>
      <c r="G12" s="369"/>
      <c r="H12" s="369"/>
      <c r="I12" s="369"/>
      <c r="J12" s="369"/>
      <c r="K12" s="369"/>
      <c r="L12" s="369"/>
      <c r="M12" s="369"/>
      <c r="N12" s="369"/>
      <c r="O12" s="369"/>
      <c r="P12" s="369"/>
      <c r="Q12" s="369"/>
      <c r="R12" s="369"/>
      <c r="S12" s="369"/>
      <c r="T12" s="369"/>
      <c r="U12" s="369"/>
      <c r="V12" s="369"/>
      <c r="W12" s="369"/>
      <c r="X12" s="369"/>
      <c r="Y12" s="369"/>
      <c r="Z12" s="369"/>
      <c r="AA12" s="369"/>
      <c r="AB12" s="369"/>
      <c r="AC12" s="369"/>
      <c r="AD12" s="369"/>
      <c r="AE12" s="369"/>
      <c r="AF12" s="369"/>
      <c r="AG12" s="369"/>
      <c r="AH12" s="369"/>
      <c r="AI12" s="369"/>
      <c r="AJ12" s="369"/>
      <c r="AK12" s="369"/>
      <c r="AL12" s="369"/>
      <c r="AM12" s="369"/>
      <c r="AN12" s="369"/>
      <c r="AO12" s="369"/>
      <c r="AP12" s="369"/>
      <c r="AQ12" s="369"/>
      <c r="AR12" s="369"/>
      <c r="AS12" s="369"/>
      <c r="AT12" s="369"/>
      <c r="AU12" s="369"/>
      <c r="AV12" s="369"/>
      <c r="AW12" s="369"/>
      <c r="AX12" s="369"/>
      <c r="AY12" s="369"/>
      <c r="AZ12" s="369"/>
      <c r="BA12" s="369"/>
      <c r="BB12" s="369"/>
      <c r="BC12" s="369"/>
      <c r="BD12" s="369"/>
      <c r="BE12" s="369"/>
      <c r="BF12" s="369"/>
      <c r="BG12" s="369"/>
      <c r="BH12" s="369"/>
      <c r="BI12" s="369"/>
      <c r="BJ12" s="369"/>
      <c r="BK12" s="369"/>
      <c r="BL12" s="369"/>
      <c r="BM12" s="369"/>
      <c r="BN12" s="369"/>
      <c r="BO12" s="369"/>
      <c r="BP12" s="369"/>
      <c r="BQ12" s="369"/>
      <c r="BR12" s="369"/>
      <c r="BS12" s="370"/>
    </row>
    <row r="13" spans="2:71" hidden="1" x14ac:dyDescent="0.15">
      <c r="B13" s="609"/>
      <c r="C13" s="377"/>
      <c r="D13" s="369"/>
      <c r="E13" s="369"/>
      <c r="F13" s="369"/>
      <c r="G13" s="369"/>
      <c r="H13" s="369"/>
      <c r="I13" s="369"/>
      <c r="J13" s="369"/>
      <c r="K13" s="369"/>
      <c r="L13" s="369"/>
      <c r="M13" s="369"/>
      <c r="N13" s="369"/>
      <c r="O13" s="369"/>
      <c r="P13" s="369"/>
      <c r="Q13" s="369"/>
      <c r="R13" s="369"/>
      <c r="S13" s="369"/>
      <c r="T13" s="369"/>
      <c r="U13" s="369"/>
      <c r="V13" s="369"/>
      <c r="W13" s="369"/>
      <c r="X13" s="369"/>
      <c r="Y13" s="369"/>
      <c r="Z13" s="369"/>
      <c r="AA13" s="369"/>
      <c r="AB13" s="369"/>
      <c r="AC13" s="369"/>
      <c r="AD13" s="369"/>
      <c r="AE13" s="369"/>
      <c r="AF13" s="369"/>
      <c r="AG13" s="369"/>
      <c r="AH13" s="369"/>
      <c r="AI13" s="369"/>
      <c r="AJ13" s="369"/>
      <c r="AK13" s="369"/>
      <c r="AL13" s="369"/>
      <c r="AM13" s="369"/>
      <c r="AN13" s="369"/>
      <c r="AO13" s="369"/>
      <c r="AP13" s="369"/>
      <c r="AQ13" s="369"/>
      <c r="AR13" s="369"/>
      <c r="AS13" s="369"/>
      <c r="AT13" s="369"/>
      <c r="AU13" s="369"/>
      <c r="AV13" s="369"/>
      <c r="AW13" s="369"/>
      <c r="AX13" s="369"/>
      <c r="AY13" s="369"/>
      <c r="AZ13" s="369"/>
      <c r="BA13" s="369"/>
      <c r="BB13" s="369"/>
      <c r="BC13" s="369"/>
      <c r="BD13" s="369"/>
      <c r="BE13" s="369"/>
      <c r="BF13" s="369"/>
      <c r="BG13" s="369"/>
      <c r="BH13" s="369"/>
      <c r="BI13" s="369"/>
      <c r="BJ13" s="369"/>
      <c r="BK13" s="369"/>
      <c r="BL13" s="369"/>
      <c r="BM13" s="369"/>
      <c r="BN13" s="369"/>
      <c r="BO13" s="369"/>
      <c r="BP13" s="369"/>
      <c r="BQ13" s="369"/>
      <c r="BR13" s="369"/>
      <c r="BS13" s="370"/>
    </row>
    <row r="14" spans="2:71" x14ac:dyDescent="0.15">
      <c r="B14" s="609"/>
      <c r="C14" s="377" t="s">
        <v>2251</v>
      </c>
      <c r="D14" s="369"/>
      <c r="E14" s="369"/>
      <c r="F14" s="369"/>
      <c r="G14" s="369"/>
      <c r="H14" s="369"/>
      <c r="I14" s="369"/>
      <c r="J14" s="369"/>
      <c r="K14" s="369"/>
      <c r="L14" s="369"/>
      <c r="M14" s="369"/>
      <c r="N14" s="369"/>
      <c r="O14" s="369"/>
      <c r="P14" s="369"/>
      <c r="Q14" s="369"/>
      <c r="R14" s="369"/>
      <c r="S14" s="369"/>
      <c r="T14" s="369"/>
      <c r="U14" s="369"/>
      <c r="V14" s="369"/>
      <c r="W14" s="369"/>
      <c r="X14" s="369"/>
      <c r="Y14" s="369"/>
      <c r="Z14" s="369"/>
      <c r="AA14" s="369"/>
      <c r="AB14" s="369"/>
      <c r="AC14" s="369"/>
      <c r="AD14" s="369"/>
      <c r="AE14" s="369"/>
      <c r="AF14" s="369"/>
      <c r="AG14" s="369"/>
      <c r="AH14" s="369"/>
      <c r="AI14" s="369"/>
      <c r="AJ14" s="369"/>
      <c r="AK14" s="369"/>
      <c r="AL14" s="377" t="s">
        <v>2252</v>
      </c>
      <c r="AN14" s="369"/>
      <c r="AO14" s="369"/>
      <c r="AP14" s="369"/>
      <c r="AQ14" s="369"/>
      <c r="AR14" s="369"/>
      <c r="AS14" s="369"/>
      <c r="AT14" s="369"/>
      <c r="AU14" s="369"/>
      <c r="AV14" s="369"/>
      <c r="AW14" s="369"/>
      <c r="AX14" s="369"/>
      <c r="AY14" s="369"/>
      <c r="AZ14" s="369"/>
      <c r="BA14" s="377"/>
      <c r="BB14" s="369"/>
      <c r="BC14" s="369"/>
      <c r="BD14" s="369"/>
      <c r="BE14" s="369"/>
      <c r="BF14" s="369"/>
      <c r="BH14" s="369"/>
      <c r="BI14" s="369"/>
      <c r="BJ14" s="369"/>
      <c r="BK14" s="369"/>
      <c r="BL14" s="369"/>
      <c r="BM14" s="369"/>
      <c r="BN14" s="369"/>
      <c r="BO14" s="369"/>
      <c r="BP14" s="369"/>
      <c r="BQ14" s="369"/>
      <c r="BR14" s="369"/>
      <c r="BS14" s="370"/>
    </row>
    <row r="15" spans="2:71" ht="13.5" customHeight="1" x14ac:dyDescent="0.15">
      <c r="B15" s="610"/>
      <c r="C15" s="1471"/>
      <c r="D15" s="1433" t="s">
        <v>2253</v>
      </c>
      <c r="E15" s="1504"/>
      <c r="F15" s="1507" t="s">
        <v>2254</v>
      </c>
      <c r="G15" s="1478"/>
      <c r="H15" s="1478"/>
      <c r="I15" s="1478"/>
      <c r="J15" s="1478"/>
      <c r="K15" s="1478"/>
      <c r="L15" s="1478"/>
      <c r="M15" s="1479"/>
      <c r="N15" s="1508" t="s">
        <v>2255</v>
      </c>
      <c r="O15" s="1509"/>
      <c r="P15" s="1508" t="s">
        <v>2256</v>
      </c>
      <c r="Q15" s="1514"/>
      <c r="R15" s="1508" t="s">
        <v>2257</v>
      </c>
      <c r="S15" s="1514"/>
      <c r="T15" s="1514"/>
      <c r="U15" s="1514"/>
      <c r="V15" s="1514"/>
      <c r="W15" s="1514"/>
      <c r="X15" s="1514"/>
      <c r="Y15" s="1514"/>
      <c r="Z15" s="1514"/>
      <c r="AA15" s="1514"/>
      <c r="AB15" s="1514"/>
      <c r="AC15" s="1514"/>
      <c r="AD15" s="1514"/>
      <c r="AE15" s="1514"/>
      <c r="AF15" s="1514"/>
      <c r="AG15" s="1514"/>
      <c r="AH15" s="1514"/>
      <c r="AI15" s="1514"/>
      <c r="AJ15" s="1514"/>
      <c r="AK15" s="1517"/>
      <c r="AL15" s="1493" t="s">
        <v>2258</v>
      </c>
      <c r="AM15" s="1437"/>
      <c r="AN15" s="1437"/>
      <c r="AO15" s="1494" t="s">
        <v>2259</v>
      </c>
      <c r="AP15" s="1494"/>
      <c r="AQ15" s="1437"/>
      <c r="AR15" s="1451" t="s">
        <v>711</v>
      </c>
      <c r="AS15" s="1452"/>
      <c r="AT15" s="1452"/>
      <c r="AU15" s="1452"/>
      <c r="AV15" s="1452"/>
      <c r="AW15" s="1452"/>
      <c r="AX15" s="1452"/>
      <c r="AY15" s="1452"/>
      <c r="AZ15" s="1452"/>
      <c r="BA15" s="1452"/>
      <c r="BB15" s="1452"/>
      <c r="BC15" s="1453"/>
      <c r="BD15" s="1496" t="s">
        <v>2260</v>
      </c>
      <c r="BE15" s="1497"/>
      <c r="BS15" s="370"/>
    </row>
    <row r="16" spans="2:71" ht="13.5" customHeight="1" x14ac:dyDescent="0.15">
      <c r="B16" s="610"/>
      <c r="C16" s="1472"/>
      <c r="D16" s="1434"/>
      <c r="E16" s="1505"/>
      <c r="F16" s="1480"/>
      <c r="G16" s="1481"/>
      <c r="H16" s="1481"/>
      <c r="I16" s="1481"/>
      <c r="J16" s="1481"/>
      <c r="K16" s="1481"/>
      <c r="L16" s="1481"/>
      <c r="M16" s="1482"/>
      <c r="N16" s="1510"/>
      <c r="O16" s="1511"/>
      <c r="P16" s="1510"/>
      <c r="Q16" s="1515"/>
      <c r="R16" s="1510"/>
      <c r="S16" s="1515"/>
      <c r="T16" s="1515"/>
      <c r="U16" s="1515"/>
      <c r="V16" s="1515"/>
      <c r="W16" s="1515"/>
      <c r="X16" s="1515"/>
      <c r="Y16" s="1515"/>
      <c r="Z16" s="1515"/>
      <c r="AA16" s="1515"/>
      <c r="AB16" s="1515"/>
      <c r="AC16" s="1515"/>
      <c r="AD16" s="1515"/>
      <c r="AE16" s="1515"/>
      <c r="AF16" s="1515"/>
      <c r="AG16" s="1515"/>
      <c r="AH16" s="1515"/>
      <c r="AI16" s="1515"/>
      <c r="AJ16" s="1515"/>
      <c r="AK16" s="1518"/>
      <c r="AL16" s="1438"/>
      <c r="AM16" s="1439"/>
      <c r="AN16" s="1439"/>
      <c r="AO16" s="1495"/>
      <c r="AP16" s="1495"/>
      <c r="AQ16" s="1439"/>
      <c r="AR16" s="1454"/>
      <c r="AS16" s="1455"/>
      <c r="AT16" s="1455"/>
      <c r="AU16" s="1455"/>
      <c r="AV16" s="1455"/>
      <c r="AW16" s="1455"/>
      <c r="AX16" s="1455"/>
      <c r="AY16" s="1455"/>
      <c r="AZ16" s="1455"/>
      <c r="BA16" s="1455"/>
      <c r="BB16" s="1455"/>
      <c r="BC16" s="1456"/>
      <c r="BD16" s="1498"/>
      <c r="BE16" s="1499"/>
      <c r="BS16" s="370"/>
    </row>
    <row r="17" spans="2:71" ht="13.5" customHeight="1" x14ac:dyDescent="0.15">
      <c r="B17" s="610"/>
      <c r="C17" s="1473"/>
      <c r="D17" s="1435"/>
      <c r="E17" s="1506"/>
      <c r="F17" s="1483"/>
      <c r="G17" s="1484"/>
      <c r="H17" s="1484"/>
      <c r="I17" s="1484"/>
      <c r="J17" s="1484"/>
      <c r="K17" s="1484"/>
      <c r="L17" s="1484"/>
      <c r="M17" s="1485"/>
      <c r="N17" s="1512"/>
      <c r="O17" s="1513"/>
      <c r="P17" s="1512"/>
      <c r="Q17" s="1516"/>
      <c r="R17" s="1512"/>
      <c r="S17" s="1516"/>
      <c r="T17" s="1516"/>
      <c r="U17" s="1516"/>
      <c r="V17" s="1516"/>
      <c r="W17" s="1516"/>
      <c r="X17" s="1516"/>
      <c r="Y17" s="1516"/>
      <c r="Z17" s="1516"/>
      <c r="AA17" s="1516"/>
      <c r="AB17" s="1516"/>
      <c r="AC17" s="1516"/>
      <c r="AD17" s="1516"/>
      <c r="AE17" s="1516"/>
      <c r="AF17" s="1516"/>
      <c r="AG17" s="1516"/>
      <c r="AH17" s="1516"/>
      <c r="AI17" s="1516"/>
      <c r="AJ17" s="1516"/>
      <c r="AK17" s="1519"/>
      <c r="AL17" s="1440"/>
      <c r="AM17" s="1441"/>
      <c r="AN17" s="1441"/>
      <c r="AO17" s="1441"/>
      <c r="AP17" s="1441"/>
      <c r="AQ17" s="1441"/>
      <c r="AR17" s="1457"/>
      <c r="AS17" s="1458"/>
      <c r="AT17" s="1458"/>
      <c r="AU17" s="1458"/>
      <c r="AV17" s="1458"/>
      <c r="AW17" s="1458"/>
      <c r="AX17" s="1458"/>
      <c r="AY17" s="1458"/>
      <c r="AZ17" s="1458"/>
      <c r="BA17" s="1458"/>
      <c r="BB17" s="1458"/>
      <c r="BC17" s="1459"/>
      <c r="BD17" s="1500"/>
      <c r="BE17" s="1501"/>
      <c r="BS17" s="370"/>
    </row>
    <row r="18" spans="2:71" x14ac:dyDescent="0.15">
      <c r="B18" s="609"/>
      <c r="C18" s="1410" t="s">
        <v>2261</v>
      </c>
      <c r="D18" s="1502">
        <v>1</v>
      </c>
      <c r="E18" s="1503"/>
      <c r="F18" s="680" t="s">
        <v>2262</v>
      </c>
      <c r="G18" s="681"/>
      <c r="H18" s="681"/>
      <c r="I18" s="681"/>
      <c r="J18" s="681"/>
      <c r="K18" s="681"/>
      <c r="L18" s="681"/>
      <c r="M18" s="682"/>
      <c r="N18" s="1363">
        <v>6</v>
      </c>
      <c r="O18" s="1365"/>
      <c r="P18" s="1363">
        <v>9</v>
      </c>
      <c r="Q18" s="1365"/>
      <c r="R18" s="680" t="s">
        <v>2263</v>
      </c>
      <c r="S18" s="681"/>
      <c r="T18" s="681"/>
      <c r="U18" s="681"/>
      <c r="V18" s="681"/>
      <c r="W18" s="681"/>
      <c r="X18" s="681"/>
      <c r="Y18" s="681"/>
      <c r="Z18" s="681"/>
      <c r="AA18" s="681"/>
      <c r="AB18" s="681"/>
      <c r="AC18" s="681"/>
      <c r="AD18" s="681"/>
      <c r="AE18" s="681"/>
      <c r="AF18" s="681"/>
      <c r="AG18" s="681"/>
      <c r="AH18" s="681"/>
      <c r="AI18" s="681"/>
      <c r="AJ18" s="681"/>
      <c r="AK18" s="681"/>
      <c r="AL18" s="1466" t="s">
        <v>1017</v>
      </c>
      <c r="AM18" s="1364"/>
      <c r="AN18" s="1364"/>
      <c r="AO18" s="1364"/>
      <c r="AP18" s="1364"/>
      <c r="AQ18" s="1467"/>
      <c r="AR18" s="378"/>
      <c r="AS18" s="685"/>
      <c r="AT18" s="685"/>
      <c r="AU18" s="685"/>
      <c r="AV18" s="685"/>
      <c r="AW18" s="685"/>
      <c r="AX18" s="685"/>
      <c r="AY18" s="685"/>
      <c r="AZ18" s="685"/>
      <c r="BA18" s="685"/>
      <c r="BB18" s="685"/>
      <c r="BC18" s="686"/>
      <c r="BD18" s="1363" t="s">
        <v>2264</v>
      </c>
      <c r="BE18" s="1365"/>
      <c r="BS18" s="370"/>
    </row>
    <row r="19" spans="2:71" x14ac:dyDescent="0.15">
      <c r="B19" s="609"/>
      <c r="C19" s="1411"/>
      <c r="D19" s="1491">
        <f t="shared" ref="D19:D26" si="0">D18+1</f>
        <v>2</v>
      </c>
      <c r="E19" s="1492"/>
      <c r="F19" s="379" t="s">
        <v>2265</v>
      </c>
      <c r="G19" s="380"/>
      <c r="H19" s="380"/>
      <c r="I19" s="380"/>
      <c r="J19" s="380"/>
      <c r="K19" s="380"/>
      <c r="L19" s="380"/>
      <c r="M19" s="381"/>
      <c r="N19" s="1412">
        <v>4</v>
      </c>
      <c r="O19" s="1413"/>
      <c r="P19" s="1412" t="s">
        <v>2266</v>
      </c>
      <c r="Q19" s="1413"/>
      <c r="R19" s="379" t="s">
        <v>2267</v>
      </c>
      <c r="S19" s="380"/>
      <c r="T19" s="380"/>
      <c r="U19" s="380"/>
      <c r="V19" s="380"/>
      <c r="W19" s="380"/>
      <c r="X19" s="380"/>
      <c r="Y19" s="380"/>
      <c r="Z19" s="380"/>
      <c r="AA19" s="380"/>
      <c r="AB19" s="380"/>
      <c r="AC19" s="380"/>
      <c r="AD19" s="380"/>
      <c r="AE19" s="380"/>
      <c r="AF19" s="380"/>
      <c r="AG19" s="380"/>
      <c r="AH19" s="380"/>
      <c r="AI19" s="380"/>
      <c r="AJ19" s="380"/>
      <c r="AK19" s="380"/>
      <c r="AL19" s="1468" t="s">
        <v>2268</v>
      </c>
      <c r="AM19" s="1469"/>
      <c r="AN19" s="1469"/>
      <c r="AO19" s="1469"/>
      <c r="AP19" s="1469"/>
      <c r="AQ19" s="1470"/>
      <c r="AR19" s="382"/>
      <c r="AS19" s="383"/>
      <c r="AT19" s="383"/>
      <c r="AU19" s="383"/>
      <c r="AV19" s="383"/>
      <c r="AW19" s="383"/>
      <c r="AX19" s="383"/>
      <c r="AY19" s="383"/>
      <c r="AZ19" s="383"/>
      <c r="BA19" s="383"/>
      <c r="BB19" s="383"/>
      <c r="BC19" s="384"/>
      <c r="BD19" s="1412" t="s">
        <v>2264</v>
      </c>
      <c r="BE19" s="1413"/>
      <c r="BS19" s="370"/>
    </row>
    <row r="20" spans="2:71" x14ac:dyDescent="0.15">
      <c r="B20" s="609"/>
      <c r="C20" s="1411"/>
      <c r="D20" s="1491">
        <f t="shared" si="0"/>
        <v>3</v>
      </c>
      <c r="E20" s="1492"/>
      <c r="F20" s="379" t="s">
        <v>2269</v>
      </c>
      <c r="G20" s="380"/>
      <c r="H20" s="380"/>
      <c r="I20" s="380"/>
      <c r="J20" s="380"/>
      <c r="K20" s="380"/>
      <c r="L20" s="380"/>
      <c r="M20" s="381"/>
      <c r="N20" s="1412">
        <v>2</v>
      </c>
      <c r="O20" s="1413"/>
      <c r="P20" s="1412" t="s">
        <v>2266</v>
      </c>
      <c r="Q20" s="1413"/>
      <c r="R20" s="379" t="s">
        <v>2270</v>
      </c>
      <c r="S20" s="380"/>
      <c r="T20" s="380"/>
      <c r="U20" s="380"/>
      <c r="V20" s="380"/>
      <c r="W20" s="380"/>
      <c r="X20" s="380"/>
      <c r="Y20" s="380"/>
      <c r="Z20" s="380"/>
      <c r="AA20" s="380"/>
      <c r="AB20" s="380"/>
      <c r="AC20" s="380"/>
      <c r="AD20" s="380"/>
      <c r="AE20" s="380"/>
      <c r="AF20" s="380"/>
      <c r="AG20" s="380"/>
      <c r="AH20" s="380"/>
      <c r="AI20" s="380"/>
      <c r="AJ20" s="380"/>
      <c r="AK20" s="380"/>
      <c r="AL20" s="1468" t="s">
        <v>2268</v>
      </c>
      <c r="AM20" s="1469"/>
      <c r="AN20" s="1469"/>
      <c r="AO20" s="1469"/>
      <c r="AP20" s="1469"/>
      <c r="AQ20" s="1470"/>
      <c r="AR20" s="382"/>
      <c r="AS20" s="383"/>
      <c r="AT20" s="383"/>
      <c r="AU20" s="383"/>
      <c r="AV20" s="383"/>
      <c r="AW20" s="383"/>
      <c r="AX20" s="383"/>
      <c r="AY20" s="383"/>
      <c r="AZ20" s="383"/>
      <c r="BA20" s="383"/>
      <c r="BB20" s="383"/>
      <c r="BC20" s="384"/>
      <c r="BD20" s="1412" t="s">
        <v>2264</v>
      </c>
      <c r="BE20" s="1413"/>
      <c r="BS20" s="370"/>
    </row>
    <row r="21" spans="2:71" x14ac:dyDescent="0.15">
      <c r="B21" s="609"/>
      <c r="C21" s="1411"/>
      <c r="D21" s="1491">
        <f t="shared" si="0"/>
        <v>4</v>
      </c>
      <c r="E21" s="1492"/>
      <c r="F21" s="379" t="s">
        <v>2265</v>
      </c>
      <c r="G21" s="380"/>
      <c r="H21" s="380"/>
      <c r="I21" s="380"/>
      <c r="J21" s="380"/>
      <c r="K21" s="380"/>
      <c r="L21" s="380"/>
      <c r="M21" s="381"/>
      <c r="N21" s="1412">
        <v>9</v>
      </c>
      <c r="O21" s="1413"/>
      <c r="P21" s="1412">
        <v>9</v>
      </c>
      <c r="Q21" s="1413"/>
      <c r="R21" s="379" t="s">
        <v>2271</v>
      </c>
      <c r="S21" s="380"/>
      <c r="T21" s="380"/>
      <c r="U21" s="380"/>
      <c r="V21" s="380"/>
      <c r="W21" s="380"/>
      <c r="X21" s="380"/>
      <c r="Y21" s="380"/>
      <c r="Z21" s="380"/>
      <c r="AA21" s="380"/>
      <c r="AB21" s="380"/>
      <c r="AC21" s="380"/>
      <c r="AD21" s="380"/>
      <c r="AE21" s="380"/>
      <c r="AF21" s="380"/>
      <c r="AG21" s="380"/>
      <c r="AH21" s="380"/>
      <c r="AI21" s="380"/>
      <c r="AJ21" s="380"/>
      <c r="AK21" s="380"/>
      <c r="AL21" s="1468" t="s">
        <v>2268</v>
      </c>
      <c r="AM21" s="1469"/>
      <c r="AN21" s="1469"/>
      <c r="AO21" s="1469"/>
      <c r="AP21" s="1469"/>
      <c r="AQ21" s="1470"/>
      <c r="AR21" s="382"/>
      <c r="AS21" s="383"/>
      <c r="AT21" s="383"/>
      <c r="AU21" s="383"/>
      <c r="AV21" s="383"/>
      <c r="AW21" s="383"/>
      <c r="AX21" s="383"/>
      <c r="AY21" s="383"/>
      <c r="AZ21" s="383"/>
      <c r="BA21" s="383"/>
      <c r="BB21" s="383"/>
      <c r="BC21" s="384"/>
      <c r="BD21" s="1412" t="s">
        <v>2264</v>
      </c>
      <c r="BE21" s="1413"/>
      <c r="BS21" s="370"/>
    </row>
    <row r="22" spans="2:71" x14ac:dyDescent="0.15">
      <c r="B22" s="609"/>
      <c r="C22" s="1411"/>
      <c r="D22" s="1491">
        <f t="shared" si="0"/>
        <v>5</v>
      </c>
      <c r="E22" s="1492"/>
      <c r="F22" s="385" t="s">
        <v>2265</v>
      </c>
      <c r="G22" s="386"/>
      <c r="H22" s="386"/>
      <c r="I22" s="386"/>
      <c r="J22" s="386"/>
      <c r="K22" s="386"/>
      <c r="L22" s="386"/>
      <c r="M22" s="387"/>
      <c r="N22" s="1412">
        <v>4</v>
      </c>
      <c r="O22" s="1413"/>
      <c r="P22" s="1412">
        <v>9</v>
      </c>
      <c r="Q22" s="1413"/>
      <c r="R22" s="385" t="s">
        <v>2272</v>
      </c>
      <c r="S22" s="386"/>
      <c r="T22" s="386"/>
      <c r="U22" s="386"/>
      <c r="V22" s="386"/>
      <c r="W22" s="386"/>
      <c r="X22" s="386"/>
      <c r="Y22" s="386"/>
      <c r="Z22" s="386"/>
      <c r="AA22" s="386"/>
      <c r="AB22" s="386"/>
      <c r="AC22" s="386"/>
      <c r="AD22" s="386"/>
      <c r="AE22" s="386"/>
      <c r="AF22" s="386"/>
      <c r="AG22" s="386"/>
      <c r="AH22" s="386"/>
      <c r="AI22" s="386"/>
      <c r="AJ22" s="386"/>
      <c r="AK22" s="386"/>
      <c r="AL22" s="1468" t="s">
        <v>2268</v>
      </c>
      <c r="AM22" s="1469"/>
      <c r="AN22" s="1469"/>
      <c r="AO22" s="1469"/>
      <c r="AP22" s="1469"/>
      <c r="AQ22" s="1470"/>
      <c r="AR22" s="382"/>
      <c r="AS22" s="383"/>
      <c r="AT22" s="383"/>
      <c r="AU22" s="383"/>
      <c r="AV22" s="383"/>
      <c r="AW22" s="383"/>
      <c r="AX22" s="383"/>
      <c r="AY22" s="383"/>
      <c r="AZ22" s="383"/>
      <c r="BA22" s="383"/>
      <c r="BB22" s="383"/>
      <c r="BC22" s="384"/>
      <c r="BD22" s="1412" t="s">
        <v>2264</v>
      </c>
      <c r="BE22" s="1413"/>
      <c r="BS22" s="370"/>
    </row>
    <row r="23" spans="2:71" x14ac:dyDescent="0.15">
      <c r="B23" s="609"/>
      <c r="C23" s="1411"/>
      <c r="D23" s="1491">
        <f t="shared" si="0"/>
        <v>6</v>
      </c>
      <c r="E23" s="1492"/>
      <c r="F23" s="385" t="s">
        <v>2273</v>
      </c>
      <c r="G23" s="386"/>
      <c r="H23" s="386"/>
      <c r="I23" s="386"/>
      <c r="J23" s="386"/>
      <c r="K23" s="386"/>
      <c r="L23" s="386"/>
      <c r="M23" s="387"/>
      <c r="N23" s="1412">
        <v>1</v>
      </c>
      <c r="O23" s="1413"/>
      <c r="P23" s="1412">
        <v>9</v>
      </c>
      <c r="Q23" s="1413"/>
      <c r="R23" s="385" t="s">
        <v>2274</v>
      </c>
      <c r="S23" s="386"/>
      <c r="T23" s="386"/>
      <c r="U23" s="386"/>
      <c r="V23" s="386"/>
      <c r="W23" s="386"/>
      <c r="X23" s="386"/>
      <c r="Y23" s="386"/>
      <c r="Z23" s="386"/>
      <c r="AA23" s="386"/>
      <c r="AB23" s="386"/>
      <c r="AC23" s="386"/>
      <c r="AD23" s="386"/>
      <c r="AE23" s="386"/>
      <c r="AF23" s="386"/>
      <c r="AG23" s="386"/>
      <c r="AH23" s="386"/>
      <c r="AI23" s="386"/>
      <c r="AJ23" s="386"/>
      <c r="AK23" s="386"/>
      <c r="AL23" s="1468" t="s">
        <v>2268</v>
      </c>
      <c r="AM23" s="1469"/>
      <c r="AN23" s="1469"/>
      <c r="AO23" s="1469"/>
      <c r="AP23" s="1469"/>
      <c r="AQ23" s="1470"/>
      <c r="AR23" s="382"/>
      <c r="AS23" s="383"/>
      <c r="AT23" s="383"/>
      <c r="AU23" s="383"/>
      <c r="AV23" s="383"/>
      <c r="AW23" s="383"/>
      <c r="AX23" s="383"/>
      <c r="AY23" s="383"/>
      <c r="AZ23" s="383"/>
      <c r="BA23" s="383"/>
      <c r="BB23" s="383"/>
      <c r="BC23" s="384"/>
      <c r="BD23" s="1412" t="s">
        <v>2264</v>
      </c>
      <c r="BE23" s="1413"/>
      <c r="BS23" s="370"/>
    </row>
    <row r="24" spans="2:71" x14ac:dyDescent="0.15">
      <c r="B24" s="609"/>
      <c r="C24" s="1411"/>
      <c r="D24" s="1491">
        <f t="shared" si="0"/>
        <v>7</v>
      </c>
      <c r="E24" s="1492"/>
      <c r="F24" s="385" t="s">
        <v>2265</v>
      </c>
      <c r="G24" s="386"/>
      <c r="H24" s="386"/>
      <c r="I24" s="386"/>
      <c r="J24" s="386"/>
      <c r="K24" s="386"/>
      <c r="L24" s="386"/>
      <c r="M24" s="387"/>
      <c r="N24" s="1412">
        <v>3</v>
      </c>
      <c r="O24" s="1413"/>
      <c r="P24" s="1412">
        <v>9</v>
      </c>
      <c r="Q24" s="1413"/>
      <c r="R24" s="385" t="s">
        <v>2275</v>
      </c>
      <c r="S24" s="386"/>
      <c r="T24" s="386"/>
      <c r="U24" s="386"/>
      <c r="V24" s="386"/>
      <c r="W24" s="386"/>
      <c r="X24" s="386"/>
      <c r="Y24" s="386"/>
      <c r="Z24" s="386"/>
      <c r="AA24" s="386"/>
      <c r="AB24" s="386"/>
      <c r="AC24" s="386"/>
      <c r="AD24" s="386"/>
      <c r="AE24" s="386"/>
      <c r="AF24" s="386"/>
      <c r="AG24" s="386"/>
      <c r="AH24" s="386"/>
      <c r="AI24" s="386"/>
      <c r="AJ24" s="386"/>
      <c r="AK24" s="386"/>
      <c r="AL24" s="1468" t="s">
        <v>2268</v>
      </c>
      <c r="AM24" s="1469"/>
      <c r="AN24" s="1469"/>
      <c r="AO24" s="1469"/>
      <c r="AP24" s="1469"/>
      <c r="AQ24" s="1470"/>
      <c r="AR24" s="382"/>
      <c r="AS24" s="383"/>
      <c r="AT24" s="383"/>
      <c r="AU24" s="383"/>
      <c r="AV24" s="383"/>
      <c r="AW24" s="383"/>
      <c r="AX24" s="383"/>
      <c r="AY24" s="383"/>
      <c r="AZ24" s="383"/>
      <c r="BA24" s="383"/>
      <c r="BB24" s="383"/>
      <c r="BC24" s="384"/>
      <c r="BD24" s="1412" t="s">
        <v>2264</v>
      </c>
      <c r="BE24" s="1413"/>
      <c r="BS24" s="370"/>
    </row>
    <row r="25" spans="2:71" x14ac:dyDescent="0.15">
      <c r="B25" s="609"/>
      <c r="C25" s="1411"/>
      <c r="D25" s="1491">
        <f t="shared" si="0"/>
        <v>8</v>
      </c>
      <c r="E25" s="1492"/>
      <c r="F25" s="385" t="s">
        <v>2276</v>
      </c>
      <c r="G25" s="386"/>
      <c r="H25" s="386"/>
      <c r="I25" s="386"/>
      <c r="J25" s="386"/>
      <c r="K25" s="386"/>
      <c r="L25" s="386"/>
      <c r="M25" s="387"/>
      <c r="N25" s="1412">
        <v>1</v>
      </c>
      <c r="O25" s="1413"/>
      <c r="P25" s="1412">
        <v>9</v>
      </c>
      <c r="Q25" s="1413"/>
      <c r="R25" s="385" t="s">
        <v>2277</v>
      </c>
      <c r="S25" s="386"/>
      <c r="T25" s="386"/>
      <c r="U25" s="386"/>
      <c r="V25" s="386"/>
      <c r="W25" s="386"/>
      <c r="X25" s="386"/>
      <c r="Y25" s="386"/>
      <c r="Z25" s="386"/>
      <c r="AA25" s="386"/>
      <c r="AB25" s="386"/>
      <c r="AC25" s="386"/>
      <c r="AD25" s="386"/>
      <c r="AE25" s="386"/>
      <c r="AF25" s="386"/>
      <c r="AG25" s="386"/>
      <c r="AH25" s="386"/>
      <c r="AI25" s="386"/>
      <c r="AJ25" s="386"/>
      <c r="AK25" s="386"/>
      <c r="AL25" s="1468" t="s">
        <v>2268</v>
      </c>
      <c r="AM25" s="1469"/>
      <c r="AN25" s="1469"/>
      <c r="AO25" s="1469"/>
      <c r="AP25" s="1469"/>
      <c r="AQ25" s="1470"/>
      <c r="AR25" s="382"/>
      <c r="AS25" s="383"/>
      <c r="AT25" s="383"/>
      <c r="AU25" s="383"/>
      <c r="AV25" s="383"/>
      <c r="AW25" s="383"/>
      <c r="AX25" s="383"/>
      <c r="AY25" s="383"/>
      <c r="AZ25" s="383"/>
      <c r="BA25" s="383"/>
      <c r="BB25" s="383"/>
      <c r="BC25" s="384"/>
      <c r="BD25" s="1412" t="s">
        <v>2264</v>
      </c>
      <c r="BE25" s="1413"/>
      <c r="BS25" s="370"/>
    </row>
    <row r="26" spans="2:71" x14ac:dyDescent="0.15">
      <c r="B26" s="609"/>
      <c r="C26" s="1411"/>
      <c r="D26" s="1491">
        <f t="shared" si="0"/>
        <v>9</v>
      </c>
      <c r="E26" s="1492"/>
      <c r="F26" s="385" t="s">
        <v>2278</v>
      </c>
      <c r="G26" s="386"/>
      <c r="H26" s="386"/>
      <c r="I26" s="386"/>
      <c r="J26" s="386"/>
      <c r="K26" s="386"/>
      <c r="L26" s="386"/>
      <c r="M26" s="387"/>
      <c r="N26" s="1412">
        <v>1</v>
      </c>
      <c r="O26" s="1413"/>
      <c r="P26" s="1412">
        <v>9</v>
      </c>
      <c r="Q26" s="1413"/>
      <c r="R26" s="385" t="s">
        <v>2279</v>
      </c>
      <c r="S26" s="386"/>
      <c r="T26" s="386"/>
      <c r="U26" s="386"/>
      <c r="V26" s="386"/>
      <c r="W26" s="386"/>
      <c r="X26" s="386"/>
      <c r="Y26" s="386"/>
      <c r="Z26" s="386"/>
      <c r="AA26" s="386"/>
      <c r="AB26" s="386"/>
      <c r="AC26" s="386"/>
      <c r="AD26" s="386"/>
      <c r="AE26" s="386"/>
      <c r="AF26" s="386"/>
      <c r="AG26" s="386"/>
      <c r="AH26" s="386"/>
      <c r="AI26" s="386"/>
      <c r="AJ26" s="386"/>
      <c r="AK26" s="386"/>
      <c r="AL26" s="1468" t="s">
        <v>2268</v>
      </c>
      <c r="AM26" s="1469"/>
      <c r="AN26" s="1469"/>
      <c r="AO26" s="1469"/>
      <c r="AP26" s="1469"/>
      <c r="AQ26" s="1470"/>
      <c r="AR26" s="382"/>
      <c r="AS26" s="383"/>
      <c r="AT26" s="383"/>
      <c r="AU26" s="383"/>
      <c r="AV26" s="383"/>
      <c r="AW26" s="383"/>
      <c r="AX26" s="383"/>
      <c r="AY26" s="383"/>
      <c r="AZ26" s="383"/>
      <c r="BA26" s="383"/>
      <c r="BB26" s="383"/>
      <c r="BC26" s="384"/>
      <c r="BD26" s="1412" t="s">
        <v>2264</v>
      </c>
      <c r="BE26" s="1413"/>
      <c r="BS26" s="370"/>
    </row>
    <row r="27" spans="2:71" x14ac:dyDescent="0.15">
      <c r="B27" s="609"/>
      <c r="C27" s="1411"/>
      <c r="D27" s="1491">
        <v>10</v>
      </c>
      <c r="E27" s="1492"/>
      <c r="F27" s="385" t="s">
        <v>2280</v>
      </c>
      <c r="G27" s="386"/>
      <c r="H27" s="386"/>
      <c r="I27" s="386"/>
      <c r="J27" s="386"/>
      <c r="K27" s="386"/>
      <c r="L27" s="386"/>
      <c r="M27" s="387"/>
      <c r="N27" s="1412">
        <v>1</v>
      </c>
      <c r="O27" s="1413"/>
      <c r="P27" s="1412" t="s">
        <v>2266</v>
      </c>
      <c r="Q27" s="1413"/>
      <c r="R27" s="385" t="s">
        <v>2281</v>
      </c>
      <c r="S27" s="386"/>
      <c r="T27" s="386"/>
      <c r="U27" s="386"/>
      <c r="V27" s="386"/>
      <c r="W27" s="386"/>
      <c r="X27" s="386"/>
      <c r="Y27" s="386"/>
      <c r="Z27" s="386"/>
      <c r="AA27" s="386"/>
      <c r="AB27" s="386"/>
      <c r="AC27" s="386"/>
      <c r="AD27" s="386"/>
      <c r="AE27" s="386"/>
      <c r="AF27" s="386"/>
      <c r="AG27" s="386"/>
      <c r="AH27" s="386"/>
      <c r="AI27" s="386"/>
      <c r="AJ27" s="386"/>
      <c r="AK27" s="386"/>
      <c r="AL27" s="1468" t="s">
        <v>2268</v>
      </c>
      <c r="AM27" s="1469"/>
      <c r="AN27" s="1469"/>
      <c r="AO27" s="1469"/>
      <c r="AP27" s="1469"/>
      <c r="AQ27" s="1470"/>
      <c r="AR27" s="382"/>
      <c r="AS27" s="383"/>
      <c r="AT27" s="383"/>
      <c r="AU27" s="383"/>
      <c r="AV27" s="383"/>
      <c r="AW27" s="383"/>
      <c r="AX27" s="383"/>
      <c r="AY27" s="383"/>
      <c r="AZ27" s="383"/>
      <c r="BA27" s="383"/>
      <c r="BB27" s="383"/>
      <c r="BC27" s="384"/>
      <c r="BD27" s="1412" t="s">
        <v>2264</v>
      </c>
      <c r="BE27" s="1413"/>
      <c r="BS27" s="370"/>
    </row>
    <row r="28" spans="2:71" x14ac:dyDescent="0.15">
      <c r="B28" s="609"/>
      <c r="C28" s="1411"/>
      <c r="D28" s="1491">
        <v>11</v>
      </c>
      <c r="E28" s="1492"/>
      <c r="F28" s="385" t="s">
        <v>2282</v>
      </c>
      <c r="G28" s="386"/>
      <c r="H28" s="386"/>
      <c r="I28" s="386"/>
      <c r="J28" s="386"/>
      <c r="K28" s="386"/>
      <c r="L28" s="386"/>
      <c r="M28" s="387"/>
      <c r="N28" s="1412">
        <v>1</v>
      </c>
      <c r="O28" s="1413"/>
      <c r="P28" s="1412" t="s">
        <v>2266</v>
      </c>
      <c r="Q28" s="1413"/>
      <c r="R28" s="385" t="s">
        <v>2281</v>
      </c>
      <c r="S28" s="386"/>
      <c r="T28" s="386"/>
      <c r="U28" s="386"/>
      <c r="V28" s="386"/>
      <c r="W28" s="386"/>
      <c r="X28" s="386"/>
      <c r="Y28" s="386"/>
      <c r="Z28" s="386"/>
      <c r="AA28" s="386"/>
      <c r="AB28" s="386"/>
      <c r="AC28" s="386"/>
      <c r="AD28" s="386"/>
      <c r="AE28" s="386"/>
      <c r="AF28" s="386"/>
      <c r="AG28" s="386"/>
      <c r="AH28" s="386"/>
      <c r="AI28" s="386"/>
      <c r="AJ28" s="386"/>
      <c r="AK28" s="386"/>
      <c r="AL28" s="1468" t="s">
        <v>2268</v>
      </c>
      <c r="AM28" s="1469"/>
      <c r="AN28" s="1469"/>
      <c r="AO28" s="1469"/>
      <c r="AP28" s="1469"/>
      <c r="AQ28" s="1470"/>
      <c r="AR28" s="382"/>
      <c r="AS28" s="383"/>
      <c r="AT28" s="383"/>
      <c r="AU28" s="383"/>
      <c r="AV28" s="383"/>
      <c r="AW28" s="383"/>
      <c r="AX28" s="383"/>
      <c r="AY28" s="383"/>
      <c r="AZ28" s="383"/>
      <c r="BA28" s="383"/>
      <c r="BB28" s="383"/>
      <c r="BC28" s="384"/>
      <c r="BD28" s="1412" t="s">
        <v>2264</v>
      </c>
      <c r="BE28" s="1413"/>
      <c r="BS28" s="370"/>
    </row>
    <row r="29" spans="2:71" x14ac:dyDescent="0.15">
      <c r="B29" s="609"/>
      <c r="C29" s="1411"/>
      <c r="D29" s="1491">
        <v>12</v>
      </c>
      <c r="E29" s="1492"/>
      <c r="F29" s="385" t="s">
        <v>2283</v>
      </c>
      <c r="G29" s="386"/>
      <c r="H29" s="386"/>
      <c r="I29" s="386"/>
      <c r="J29" s="386"/>
      <c r="K29" s="386"/>
      <c r="L29" s="386"/>
      <c r="M29" s="387"/>
      <c r="N29" s="1412">
        <v>10</v>
      </c>
      <c r="O29" s="1413"/>
      <c r="P29" s="1412">
        <v>9</v>
      </c>
      <c r="Q29" s="1413"/>
      <c r="R29" s="385" t="s">
        <v>2284</v>
      </c>
      <c r="S29" s="386"/>
      <c r="T29" s="386"/>
      <c r="U29" s="386"/>
      <c r="V29" s="386"/>
      <c r="W29" s="386"/>
      <c r="X29" s="386"/>
      <c r="Y29" s="386"/>
      <c r="Z29" s="386"/>
      <c r="AA29" s="386"/>
      <c r="AB29" s="386"/>
      <c r="AC29" s="386"/>
      <c r="AD29" s="386"/>
      <c r="AE29" s="386"/>
      <c r="AF29" s="386"/>
      <c r="AG29" s="386"/>
      <c r="AH29" s="386"/>
      <c r="AI29" s="386"/>
      <c r="AJ29" s="386"/>
      <c r="AK29" s="386"/>
      <c r="AL29" s="1468" t="s">
        <v>2268</v>
      </c>
      <c r="AM29" s="1469"/>
      <c r="AN29" s="1469"/>
      <c r="AO29" s="1469"/>
      <c r="AP29" s="1469"/>
      <c r="AQ29" s="1470"/>
      <c r="AR29" s="382"/>
      <c r="AS29" s="383"/>
      <c r="AT29" s="383"/>
      <c r="AU29" s="383"/>
      <c r="AV29" s="383"/>
      <c r="AW29" s="383"/>
      <c r="AX29" s="383"/>
      <c r="AY29" s="383"/>
      <c r="AZ29" s="383"/>
      <c r="BA29" s="383"/>
      <c r="BB29" s="383"/>
      <c r="BC29" s="384"/>
      <c r="BD29" s="1412" t="s">
        <v>2264</v>
      </c>
      <c r="BE29" s="1413"/>
      <c r="BS29" s="370"/>
    </row>
    <row r="30" spans="2:71" x14ac:dyDescent="0.15">
      <c r="B30" s="609"/>
      <c r="C30" s="1411"/>
      <c r="D30" s="1491">
        <v>13</v>
      </c>
      <c r="E30" s="1492"/>
      <c r="F30" s="385" t="s">
        <v>2265</v>
      </c>
      <c r="G30" s="386"/>
      <c r="H30" s="386"/>
      <c r="I30" s="386"/>
      <c r="J30" s="386"/>
      <c r="K30" s="386"/>
      <c r="L30" s="386"/>
      <c r="M30" s="387"/>
      <c r="N30" s="1412">
        <v>4</v>
      </c>
      <c r="O30" s="1413"/>
      <c r="P30" s="1412">
        <v>9</v>
      </c>
      <c r="Q30" s="1413"/>
      <c r="R30" s="385" t="s">
        <v>2272</v>
      </c>
      <c r="S30" s="386"/>
      <c r="T30" s="386"/>
      <c r="U30" s="386"/>
      <c r="V30" s="386"/>
      <c r="W30" s="386"/>
      <c r="X30" s="386"/>
      <c r="Y30" s="386"/>
      <c r="Z30" s="386"/>
      <c r="AA30" s="386"/>
      <c r="AB30" s="386"/>
      <c r="AC30" s="386"/>
      <c r="AD30" s="386"/>
      <c r="AE30" s="386"/>
      <c r="AF30" s="386"/>
      <c r="AG30" s="386"/>
      <c r="AH30" s="386"/>
      <c r="AI30" s="386"/>
      <c r="AJ30" s="386"/>
      <c r="AK30" s="386"/>
      <c r="AL30" s="1468" t="s">
        <v>2268</v>
      </c>
      <c r="AM30" s="1469"/>
      <c r="AN30" s="1469"/>
      <c r="AO30" s="1469"/>
      <c r="AP30" s="1469"/>
      <c r="AQ30" s="1470"/>
      <c r="AR30" s="382"/>
      <c r="AS30" s="383"/>
      <c r="AT30" s="383"/>
      <c r="AU30" s="383"/>
      <c r="AV30" s="383"/>
      <c r="AW30" s="383"/>
      <c r="AX30" s="383"/>
      <c r="AY30" s="383"/>
      <c r="AZ30" s="383"/>
      <c r="BA30" s="383"/>
      <c r="BB30" s="383"/>
      <c r="BC30" s="384"/>
      <c r="BD30" s="1412" t="s">
        <v>2264</v>
      </c>
      <c r="BE30" s="1413"/>
      <c r="BS30" s="370"/>
    </row>
    <row r="31" spans="2:71" x14ac:dyDescent="0.15">
      <c r="B31" s="609"/>
      <c r="C31" s="1411"/>
      <c r="D31" s="1491">
        <v>14</v>
      </c>
      <c r="E31" s="1492"/>
      <c r="F31" s="385" t="s">
        <v>2285</v>
      </c>
      <c r="G31" s="386"/>
      <c r="H31" s="386"/>
      <c r="I31" s="386"/>
      <c r="J31" s="386"/>
      <c r="K31" s="386"/>
      <c r="L31" s="386"/>
      <c r="M31" s="387"/>
      <c r="N31" s="1412">
        <v>1</v>
      </c>
      <c r="O31" s="1413"/>
      <c r="P31" s="1412">
        <v>9</v>
      </c>
      <c r="Q31" s="1413"/>
      <c r="R31" s="385" t="s">
        <v>2281</v>
      </c>
      <c r="S31" s="386"/>
      <c r="T31" s="386"/>
      <c r="U31" s="386"/>
      <c r="V31" s="386"/>
      <c r="W31" s="386"/>
      <c r="X31" s="386"/>
      <c r="Y31" s="386"/>
      <c r="Z31" s="386"/>
      <c r="AA31" s="386"/>
      <c r="AB31" s="386"/>
      <c r="AC31" s="386"/>
      <c r="AD31" s="386"/>
      <c r="AE31" s="386"/>
      <c r="AF31" s="386"/>
      <c r="AG31" s="386"/>
      <c r="AH31" s="386"/>
      <c r="AI31" s="386"/>
      <c r="AJ31" s="386"/>
      <c r="AK31" s="386"/>
      <c r="AL31" s="1468" t="s">
        <v>2268</v>
      </c>
      <c r="AM31" s="1469"/>
      <c r="AN31" s="1469"/>
      <c r="AO31" s="1469"/>
      <c r="AP31" s="1469"/>
      <c r="AQ31" s="1470"/>
      <c r="AR31" s="382"/>
      <c r="AS31" s="383"/>
      <c r="AT31" s="383"/>
      <c r="AU31" s="383"/>
      <c r="AV31" s="383"/>
      <c r="AW31" s="383"/>
      <c r="AX31" s="383"/>
      <c r="AY31" s="383"/>
      <c r="AZ31" s="383"/>
      <c r="BA31" s="383"/>
      <c r="BB31" s="383"/>
      <c r="BC31" s="384"/>
      <c r="BD31" s="1412" t="s">
        <v>2264</v>
      </c>
      <c r="BE31" s="1413"/>
      <c r="BS31" s="370"/>
    </row>
    <row r="32" spans="2:71" x14ac:dyDescent="0.15">
      <c r="B32" s="609"/>
      <c r="C32" s="1411"/>
      <c r="D32" s="1491">
        <v>15</v>
      </c>
      <c r="E32" s="1492"/>
      <c r="F32" s="385" t="s">
        <v>2286</v>
      </c>
      <c r="G32" s="386"/>
      <c r="H32" s="386"/>
      <c r="I32" s="386"/>
      <c r="J32" s="386"/>
      <c r="K32" s="386"/>
      <c r="L32" s="386"/>
      <c r="M32" s="387"/>
      <c r="N32" s="1412">
        <v>4</v>
      </c>
      <c r="O32" s="1413"/>
      <c r="P32" s="1412">
        <v>9</v>
      </c>
      <c r="Q32" s="1413"/>
      <c r="R32" s="379" t="s">
        <v>2286</v>
      </c>
      <c r="S32" s="386"/>
      <c r="T32" s="386"/>
      <c r="U32" s="386"/>
      <c r="V32" s="386"/>
      <c r="W32" s="386"/>
      <c r="X32" s="386"/>
      <c r="Y32" s="386"/>
      <c r="Z32" s="386"/>
      <c r="AA32" s="386"/>
      <c r="AB32" s="386"/>
      <c r="AC32" s="386"/>
      <c r="AD32" s="386"/>
      <c r="AE32" s="386"/>
      <c r="AF32" s="386"/>
      <c r="AG32" s="386"/>
      <c r="AH32" s="386"/>
      <c r="AI32" s="386"/>
      <c r="AJ32" s="386"/>
      <c r="AK32" s="386"/>
      <c r="AL32" s="1468" t="s">
        <v>1005</v>
      </c>
      <c r="AM32" s="1469"/>
      <c r="AN32" s="1469"/>
      <c r="AO32" s="1469"/>
      <c r="AP32" s="1469"/>
      <c r="AQ32" s="1470"/>
      <c r="AR32" s="382"/>
      <c r="AS32" s="383"/>
      <c r="AT32" s="383"/>
      <c r="AU32" s="383"/>
      <c r="AV32" s="383"/>
      <c r="AW32" s="383"/>
      <c r="AX32" s="383"/>
      <c r="AY32" s="383"/>
      <c r="AZ32" s="383"/>
      <c r="BA32" s="383"/>
      <c r="BB32" s="383"/>
      <c r="BC32" s="384"/>
      <c r="BD32" s="1412" t="s">
        <v>2264</v>
      </c>
      <c r="BE32" s="1413"/>
      <c r="BS32" s="370"/>
    </row>
    <row r="33" spans="1:71" x14ac:dyDescent="0.15">
      <c r="B33" s="609"/>
      <c r="C33" s="1411"/>
      <c r="D33" s="1491">
        <v>16</v>
      </c>
      <c r="E33" s="1492"/>
      <c r="F33" s="385" t="s">
        <v>2287</v>
      </c>
      <c r="G33" s="386"/>
      <c r="H33" s="386"/>
      <c r="I33" s="386"/>
      <c r="J33" s="386"/>
      <c r="K33" s="386"/>
      <c r="L33" s="386"/>
      <c r="M33" s="387"/>
      <c r="N33" s="1412">
        <v>4</v>
      </c>
      <c r="O33" s="1413"/>
      <c r="P33" s="1412">
        <v>9</v>
      </c>
      <c r="Q33" s="1413"/>
      <c r="R33" s="385" t="s">
        <v>2288</v>
      </c>
      <c r="S33" s="386"/>
      <c r="T33" s="386"/>
      <c r="U33" s="386"/>
      <c r="V33" s="386"/>
      <c r="W33" s="386"/>
      <c r="X33" s="386"/>
      <c r="Y33" s="386"/>
      <c r="Z33" s="386"/>
      <c r="AA33" s="386"/>
      <c r="AB33" s="386"/>
      <c r="AC33" s="386"/>
      <c r="AD33" s="386"/>
      <c r="AE33" s="386"/>
      <c r="AF33" s="386"/>
      <c r="AG33" s="386"/>
      <c r="AH33" s="386"/>
      <c r="AI33" s="386"/>
      <c r="AJ33" s="386"/>
      <c r="AK33" s="386"/>
      <c r="AL33" s="1468" t="s">
        <v>1005</v>
      </c>
      <c r="AM33" s="1469"/>
      <c r="AN33" s="1469"/>
      <c r="AO33" s="1469"/>
      <c r="AP33" s="1469"/>
      <c r="AQ33" s="1470"/>
      <c r="AR33" s="382"/>
      <c r="AS33" s="383"/>
      <c r="AT33" s="383"/>
      <c r="AU33" s="383"/>
      <c r="AV33" s="383"/>
      <c r="AW33" s="383"/>
      <c r="AX33" s="383"/>
      <c r="AY33" s="383"/>
      <c r="AZ33" s="383"/>
      <c r="BA33" s="383"/>
      <c r="BB33" s="383"/>
      <c r="BC33" s="384"/>
      <c r="BD33" s="1412" t="s">
        <v>2264</v>
      </c>
      <c r="BE33" s="1413"/>
      <c r="BS33" s="370"/>
    </row>
    <row r="34" spans="1:71" x14ac:dyDescent="0.15">
      <c r="B34" s="609"/>
      <c r="C34" s="1411"/>
      <c r="D34" s="1491">
        <v>17</v>
      </c>
      <c r="E34" s="1492"/>
      <c r="F34" s="385" t="s">
        <v>2289</v>
      </c>
      <c r="G34" s="386"/>
      <c r="H34" s="386"/>
      <c r="I34" s="386"/>
      <c r="J34" s="386"/>
      <c r="K34" s="386"/>
      <c r="L34" s="386"/>
      <c r="M34" s="387"/>
      <c r="N34" s="1412">
        <v>4</v>
      </c>
      <c r="O34" s="1413"/>
      <c r="P34" s="1412">
        <v>9</v>
      </c>
      <c r="Q34" s="1413"/>
      <c r="R34" s="385" t="s">
        <v>2290</v>
      </c>
      <c r="S34" s="386"/>
      <c r="T34" s="386"/>
      <c r="U34" s="386"/>
      <c r="V34" s="386"/>
      <c r="W34" s="386"/>
      <c r="X34" s="386"/>
      <c r="Y34" s="386"/>
      <c r="Z34" s="386"/>
      <c r="AA34" s="386"/>
      <c r="AB34" s="386"/>
      <c r="AC34" s="386"/>
      <c r="AD34" s="386"/>
      <c r="AE34" s="386"/>
      <c r="AF34" s="386"/>
      <c r="AG34" s="386"/>
      <c r="AH34" s="386"/>
      <c r="AI34" s="386"/>
      <c r="AJ34" s="386"/>
      <c r="AK34" s="386"/>
      <c r="AL34" s="1468" t="s">
        <v>1005</v>
      </c>
      <c r="AM34" s="1469"/>
      <c r="AN34" s="1469"/>
      <c r="AO34" s="1469"/>
      <c r="AP34" s="1469"/>
      <c r="AQ34" s="1470"/>
      <c r="AR34" s="382"/>
      <c r="AS34" s="383"/>
      <c r="AT34" s="383"/>
      <c r="AU34" s="383"/>
      <c r="AV34" s="383"/>
      <c r="AW34" s="383"/>
      <c r="AX34" s="383"/>
      <c r="AY34" s="383"/>
      <c r="AZ34" s="383"/>
      <c r="BA34" s="383"/>
      <c r="BB34" s="383"/>
      <c r="BC34" s="384"/>
      <c r="BD34" s="1412" t="s">
        <v>2264</v>
      </c>
      <c r="BE34" s="1413"/>
      <c r="BS34" s="370"/>
    </row>
    <row r="35" spans="1:71" x14ac:dyDescent="0.15">
      <c r="B35" s="609"/>
      <c r="C35" s="1411"/>
      <c r="D35" s="1486">
        <v>18</v>
      </c>
      <c r="E35" s="1487"/>
      <c r="F35" s="385" t="s">
        <v>2291</v>
      </c>
      <c r="G35" s="386"/>
      <c r="H35" s="386"/>
      <c r="I35" s="386"/>
      <c r="J35" s="386"/>
      <c r="K35" s="386"/>
      <c r="L35" s="386"/>
      <c r="M35" s="387"/>
      <c r="N35" s="1389">
        <v>14</v>
      </c>
      <c r="O35" s="1390"/>
      <c r="P35" s="1389">
        <v>9</v>
      </c>
      <c r="Q35" s="1390"/>
      <c r="R35" s="379" t="s">
        <v>2292</v>
      </c>
      <c r="S35" s="386"/>
      <c r="T35" s="386"/>
      <c r="U35" s="386"/>
      <c r="V35" s="386"/>
      <c r="W35" s="386"/>
      <c r="X35" s="386"/>
      <c r="Y35" s="386"/>
      <c r="Z35" s="386"/>
      <c r="AA35" s="386"/>
      <c r="AB35" s="386"/>
      <c r="AC35" s="386"/>
      <c r="AD35" s="386"/>
      <c r="AE35" s="386"/>
      <c r="AF35" s="386"/>
      <c r="AG35" s="386"/>
      <c r="AH35" s="386"/>
      <c r="AI35" s="386"/>
      <c r="AJ35" s="386"/>
      <c r="AK35" s="386"/>
      <c r="AL35" s="1468" t="s">
        <v>1005</v>
      </c>
      <c r="AM35" s="1469"/>
      <c r="AN35" s="1469"/>
      <c r="AO35" s="1469"/>
      <c r="AP35" s="1469"/>
      <c r="AQ35" s="1470"/>
      <c r="AR35" s="382"/>
      <c r="AS35" s="388"/>
      <c r="AT35" s="388"/>
      <c r="AU35" s="388"/>
      <c r="AV35" s="388"/>
      <c r="AW35" s="388"/>
      <c r="AX35" s="388"/>
      <c r="AY35" s="383"/>
      <c r="AZ35" s="383"/>
      <c r="BA35" s="383"/>
      <c r="BB35" s="383"/>
      <c r="BC35" s="384"/>
      <c r="BD35" s="1412" t="s">
        <v>2264</v>
      </c>
      <c r="BE35" s="1413"/>
      <c r="BS35" s="370"/>
    </row>
    <row r="36" spans="1:71" x14ac:dyDescent="0.15">
      <c r="A36" s="389"/>
      <c r="B36" s="609"/>
      <c r="C36" s="1411"/>
      <c r="D36" s="1486">
        <v>19</v>
      </c>
      <c r="E36" s="1487"/>
      <c r="F36" s="379" t="s">
        <v>2265</v>
      </c>
      <c r="G36" s="380"/>
      <c r="H36" s="380"/>
      <c r="I36" s="380"/>
      <c r="J36" s="380"/>
      <c r="K36" s="380"/>
      <c r="L36" s="380"/>
      <c r="M36" s="381"/>
      <c r="N36" s="1412">
        <v>3</v>
      </c>
      <c r="O36" s="1413"/>
      <c r="P36" s="1412" t="s">
        <v>2266</v>
      </c>
      <c r="Q36" s="1413"/>
      <c r="R36" s="379" t="s">
        <v>2293</v>
      </c>
      <c r="S36" s="380"/>
      <c r="T36" s="380"/>
      <c r="U36" s="380"/>
      <c r="V36" s="380"/>
      <c r="W36" s="380"/>
      <c r="X36" s="380"/>
      <c r="Y36" s="380"/>
      <c r="Z36" s="380"/>
      <c r="AA36" s="380"/>
      <c r="AB36" s="380"/>
      <c r="AC36" s="380"/>
      <c r="AD36" s="380"/>
      <c r="AE36" s="380"/>
      <c r="AF36" s="380"/>
      <c r="AG36" s="380"/>
      <c r="AH36" s="380"/>
      <c r="AI36" s="380"/>
      <c r="AJ36" s="380"/>
      <c r="AK36" s="380"/>
      <c r="AL36" s="1468" t="s">
        <v>2268</v>
      </c>
      <c r="AM36" s="1469"/>
      <c r="AN36" s="1469"/>
      <c r="AO36" s="1469"/>
      <c r="AP36" s="1469"/>
      <c r="AQ36" s="1470"/>
      <c r="AR36" s="382"/>
      <c r="AS36" s="383"/>
      <c r="AT36" s="383"/>
      <c r="AU36" s="383"/>
      <c r="AV36" s="383"/>
      <c r="AW36" s="383"/>
      <c r="AX36" s="383"/>
      <c r="AY36" s="383"/>
      <c r="AZ36" s="383"/>
      <c r="BA36" s="383"/>
      <c r="BB36" s="383"/>
      <c r="BC36" s="384"/>
      <c r="BD36" s="1412" t="s">
        <v>2264</v>
      </c>
      <c r="BE36" s="1413"/>
      <c r="BS36" s="370"/>
    </row>
    <row r="37" spans="1:71" x14ac:dyDescent="0.15">
      <c r="B37" s="609"/>
      <c r="C37" s="1411"/>
      <c r="D37" s="1486">
        <v>20</v>
      </c>
      <c r="E37" s="1487"/>
      <c r="F37" s="385" t="s">
        <v>2294</v>
      </c>
      <c r="G37" s="386"/>
      <c r="H37" s="386"/>
      <c r="I37" s="386"/>
      <c r="J37" s="386"/>
      <c r="K37" s="386"/>
      <c r="L37" s="386"/>
      <c r="M37" s="387"/>
      <c r="N37" s="1389">
        <v>3</v>
      </c>
      <c r="O37" s="1390"/>
      <c r="P37" s="1389" t="s">
        <v>2266</v>
      </c>
      <c r="Q37" s="1390"/>
      <c r="R37" s="385" t="s">
        <v>2295</v>
      </c>
      <c r="S37" s="386"/>
      <c r="T37" s="386"/>
      <c r="U37" s="386"/>
      <c r="V37" s="386"/>
      <c r="W37" s="386"/>
      <c r="X37" s="386"/>
      <c r="Y37" s="386"/>
      <c r="Z37" s="386"/>
      <c r="AA37" s="386"/>
      <c r="AB37" s="386"/>
      <c r="AC37" s="386"/>
      <c r="AD37" s="386"/>
      <c r="AE37" s="386"/>
      <c r="AF37" s="386"/>
      <c r="AG37" s="386"/>
      <c r="AH37" s="386"/>
      <c r="AI37" s="386"/>
      <c r="AJ37" s="386"/>
      <c r="AK37" s="386"/>
      <c r="AL37" s="1488" t="s">
        <v>2268</v>
      </c>
      <c r="AM37" s="1367"/>
      <c r="AN37" s="1367"/>
      <c r="AO37" s="1367"/>
      <c r="AP37" s="1367"/>
      <c r="AQ37" s="1489"/>
      <c r="AR37" s="390"/>
      <c r="AS37" s="391"/>
      <c r="AT37" s="391"/>
      <c r="AU37" s="391"/>
      <c r="AV37" s="391"/>
      <c r="AW37" s="391"/>
      <c r="AX37" s="391"/>
      <c r="AY37" s="391"/>
      <c r="AZ37" s="391"/>
      <c r="BA37" s="391"/>
      <c r="BB37" s="391"/>
      <c r="BC37" s="636"/>
      <c r="BD37" s="1366" t="s">
        <v>2264</v>
      </c>
      <c r="BE37" s="1368"/>
      <c r="BS37" s="370"/>
    </row>
    <row r="38" spans="1:71" x14ac:dyDescent="0.15">
      <c r="B38" s="609"/>
      <c r="C38" s="1165"/>
      <c r="D38" s="1166"/>
      <c r="E38" s="1166"/>
      <c r="F38" s="1167"/>
      <c r="G38" s="1167"/>
      <c r="H38" s="1167"/>
      <c r="I38" s="1167"/>
      <c r="J38" s="1167"/>
      <c r="K38" s="1167"/>
      <c r="L38" s="1167"/>
      <c r="M38" s="1167"/>
      <c r="N38" s="1166"/>
      <c r="O38" s="1166"/>
      <c r="P38" s="1166"/>
      <c r="Q38" s="1166"/>
      <c r="R38" s="1167"/>
      <c r="S38" s="1167"/>
      <c r="T38" s="1167"/>
      <c r="U38" s="1167"/>
      <c r="V38" s="1167"/>
      <c r="W38" s="1167"/>
      <c r="X38" s="1167"/>
      <c r="Y38" s="1167"/>
      <c r="Z38" s="1167"/>
      <c r="AA38" s="1167"/>
      <c r="AB38" s="1167"/>
      <c r="AC38" s="1167"/>
      <c r="AD38" s="1167"/>
      <c r="AE38" s="1167"/>
      <c r="AF38" s="1167"/>
      <c r="AG38" s="1167"/>
      <c r="AH38" s="1167"/>
      <c r="AI38" s="1167"/>
      <c r="AJ38" s="1167"/>
      <c r="AK38" s="1167"/>
      <c r="AL38" s="369" t="s">
        <v>2296</v>
      </c>
      <c r="AM38" s="369"/>
      <c r="AN38" s="368"/>
      <c r="AO38" s="368"/>
      <c r="AP38" s="368"/>
      <c r="AQ38" s="368"/>
      <c r="AR38" s="368"/>
      <c r="AS38" s="368"/>
      <c r="AT38" s="368"/>
      <c r="AU38" s="368"/>
      <c r="AV38" s="368"/>
      <c r="AW38" s="368"/>
      <c r="AX38" s="369"/>
      <c r="AY38" s="369"/>
      <c r="AZ38" s="368"/>
      <c r="BA38" s="1167"/>
      <c r="BB38" s="1166"/>
      <c r="BC38" s="1166"/>
      <c r="BD38" s="368"/>
      <c r="BE38" s="369"/>
      <c r="BF38" s="369"/>
      <c r="BG38" s="369"/>
      <c r="BH38" s="369"/>
      <c r="BI38" s="369"/>
      <c r="BJ38" s="369"/>
      <c r="BK38" s="369"/>
      <c r="BL38" s="369"/>
      <c r="BS38" s="370"/>
    </row>
    <row r="39" spans="1:71" x14ac:dyDescent="0.15">
      <c r="B39" s="609"/>
      <c r="C39" s="1393" t="s">
        <v>2297</v>
      </c>
      <c r="D39" s="1394"/>
      <c r="E39" s="1393" t="s">
        <v>2298</v>
      </c>
      <c r="F39" s="1395"/>
      <c r="G39" s="1395"/>
      <c r="H39" s="1394"/>
      <c r="I39" s="1393" t="s">
        <v>2299</v>
      </c>
      <c r="J39" s="1395"/>
      <c r="K39" s="1395"/>
      <c r="L39" s="1395"/>
      <c r="M39" s="1395"/>
      <c r="N39" s="1395"/>
      <c r="O39" s="1395"/>
      <c r="P39" s="1395"/>
      <c r="Q39" s="1395"/>
      <c r="R39" s="1395"/>
      <c r="S39" s="1394"/>
      <c r="T39" s="369"/>
      <c r="U39" s="369"/>
      <c r="V39" s="1490"/>
      <c r="W39" s="1490"/>
      <c r="X39" s="369"/>
      <c r="Y39" s="369"/>
      <c r="Z39" s="369"/>
      <c r="AA39" s="369"/>
      <c r="AB39" s="369"/>
      <c r="AC39" s="369"/>
      <c r="AD39" s="369"/>
      <c r="AE39" s="369"/>
      <c r="AF39" s="369"/>
      <c r="AG39" s="369"/>
      <c r="AH39" s="369"/>
      <c r="AI39" s="369"/>
      <c r="AJ39" s="369"/>
      <c r="AK39" s="369"/>
      <c r="AL39" s="368"/>
      <c r="AM39" s="368"/>
      <c r="AN39" s="368"/>
      <c r="AO39" s="368"/>
      <c r="AP39" s="368"/>
      <c r="AQ39" s="368"/>
      <c r="AR39" s="368"/>
      <c r="AS39" s="368"/>
      <c r="AT39" s="368"/>
      <c r="AU39" s="368"/>
      <c r="AV39" s="368"/>
      <c r="AW39" s="368"/>
      <c r="AX39" s="371"/>
      <c r="AY39" s="371"/>
      <c r="AZ39" s="368"/>
      <c r="BA39" s="371"/>
      <c r="BB39" s="368"/>
      <c r="BC39" s="368"/>
      <c r="BD39" s="368"/>
      <c r="BE39" s="369"/>
      <c r="BF39" s="369"/>
      <c r="BG39" s="369"/>
      <c r="BH39" s="369"/>
      <c r="BI39" s="369"/>
      <c r="BJ39" s="369"/>
      <c r="BK39" s="369"/>
      <c r="BL39" s="369"/>
      <c r="BS39" s="370"/>
    </row>
    <row r="40" spans="1:71" x14ac:dyDescent="0.15">
      <c r="B40" s="609"/>
      <c r="C40" s="1363">
        <v>9</v>
      </c>
      <c r="D40" s="1365"/>
      <c r="E40" s="687" t="s">
        <v>2300</v>
      </c>
      <c r="F40" s="681"/>
      <c r="G40" s="681"/>
      <c r="H40" s="682"/>
      <c r="I40" s="681" t="s">
        <v>2301</v>
      </c>
      <c r="J40" s="681"/>
      <c r="K40" s="684"/>
      <c r="L40" s="684"/>
      <c r="M40" s="684"/>
      <c r="N40" s="681"/>
      <c r="O40" s="681"/>
      <c r="P40" s="681"/>
      <c r="Q40" s="681"/>
      <c r="R40" s="681"/>
      <c r="S40" s="682"/>
      <c r="T40" s="369"/>
      <c r="U40" s="369"/>
      <c r="V40" s="369"/>
      <c r="W40" s="369"/>
      <c r="X40" s="369"/>
      <c r="Y40" s="369"/>
      <c r="Z40" s="369"/>
      <c r="AA40" s="369"/>
      <c r="AB40" s="369"/>
      <c r="AC40" s="369"/>
      <c r="AD40" s="369"/>
      <c r="AE40" s="369"/>
      <c r="AF40" s="369"/>
      <c r="AG40" s="369"/>
      <c r="AH40" s="369"/>
      <c r="AI40" s="369"/>
      <c r="AJ40" s="369"/>
      <c r="AK40" s="369"/>
      <c r="AL40" s="368"/>
      <c r="AM40" s="368"/>
      <c r="AN40" s="368"/>
      <c r="AO40" s="368"/>
      <c r="AP40" s="368"/>
      <c r="AQ40" s="368"/>
      <c r="AR40" s="368"/>
      <c r="AS40" s="368"/>
      <c r="AT40" s="368"/>
      <c r="AU40" s="368"/>
      <c r="AV40" s="368"/>
      <c r="AW40" s="368"/>
      <c r="AX40" s="368"/>
      <c r="AY40" s="368"/>
      <c r="AZ40" s="368"/>
      <c r="BA40" s="368"/>
      <c r="BB40" s="368"/>
      <c r="BC40" s="368"/>
      <c r="BD40" s="368"/>
      <c r="BE40" s="368"/>
      <c r="BF40" s="368"/>
      <c r="BG40" s="368"/>
      <c r="BH40" s="368"/>
      <c r="BI40" s="368"/>
      <c r="BJ40" s="368"/>
      <c r="BK40" s="368"/>
      <c r="BL40" s="368"/>
      <c r="BM40" s="369"/>
      <c r="BN40" s="369"/>
      <c r="BO40" s="369"/>
      <c r="BP40" s="369"/>
      <c r="BQ40" s="369"/>
      <c r="BR40" s="369"/>
      <c r="BS40" s="370"/>
    </row>
    <row r="41" spans="1:71" x14ac:dyDescent="0.15">
      <c r="B41" s="609"/>
      <c r="C41" s="1366" t="s">
        <v>2302</v>
      </c>
      <c r="D41" s="1368"/>
      <c r="E41" s="637" t="s">
        <v>2303</v>
      </c>
      <c r="F41" s="392"/>
      <c r="G41" s="392"/>
      <c r="H41" s="638"/>
      <c r="I41" s="392" t="s">
        <v>2304</v>
      </c>
      <c r="J41" s="392"/>
      <c r="K41" s="393"/>
      <c r="L41" s="393"/>
      <c r="M41" s="393"/>
      <c r="N41" s="392"/>
      <c r="O41" s="392"/>
      <c r="P41" s="392"/>
      <c r="Q41" s="392"/>
      <c r="R41" s="392"/>
      <c r="S41" s="638"/>
      <c r="T41" s="369"/>
      <c r="U41" s="369"/>
      <c r="V41" s="369"/>
      <c r="W41" s="369"/>
      <c r="X41" s="369"/>
      <c r="Y41" s="369"/>
      <c r="Z41" s="369"/>
      <c r="AA41" s="369"/>
      <c r="AB41" s="369"/>
      <c r="AC41" s="369"/>
      <c r="AD41" s="369"/>
      <c r="AE41" s="369"/>
      <c r="AF41" s="369"/>
      <c r="AG41" s="369"/>
      <c r="AH41" s="369"/>
      <c r="AI41" s="369"/>
      <c r="AJ41" s="369"/>
      <c r="AK41" s="369"/>
      <c r="AL41" s="368"/>
      <c r="AM41" s="368"/>
      <c r="AN41" s="368"/>
      <c r="AO41" s="368"/>
      <c r="AP41" s="368"/>
      <c r="AQ41" s="368"/>
      <c r="AR41" s="368"/>
      <c r="AS41" s="368"/>
      <c r="AT41" s="368"/>
      <c r="AU41" s="368"/>
      <c r="AV41" s="368"/>
      <c r="AW41" s="368"/>
      <c r="AX41" s="368"/>
      <c r="AY41" s="368"/>
      <c r="AZ41" s="368"/>
      <c r="BA41" s="368"/>
      <c r="BB41" s="368"/>
      <c r="BC41" s="368"/>
      <c r="BD41" s="368"/>
      <c r="BE41" s="368"/>
      <c r="BF41" s="368"/>
      <c r="BG41" s="368"/>
      <c r="BH41" s="368"/>
      <c r="BI41" s="368"/>
      <c r="BJ41" s="368"/>
      <c r="BK41" s="368"/>
      <c r="BL41" s="368"/>
      <c r="BM41" s="369"/>
      <c r="BN41" s="369"/>
      <c r="BO41" s="369"/>
      <c r="BP41" s="369"/>
      <c r="BQ41" s="369"/>
      <c r="BR41" s="369"/>
      <c r="BS41" s="370"/>
    </row>
    <row r="42" spans="1:71" x14ac:dyDescent="0.15">
      <c r="B42" s="609"/>
      <c r="C42" s="394"/>
      <c r="D42" s="368"/>
      <c r="E42" s="368"/>
      <c r="F42" s="369"/>
      <c r="G42" s="369"/>
      <c r="H42" s="369"/>
      <c r="I42" s="369"/>
      <c r="J42" s="369"/>
      <c r="K42" s="369"/>
      <c r="L42" s="369"/>
      <c r="M42" s="369"/>
      <c r="N42" s="368"/>
      <c r="O42" s="368"/>
      <c r="P42" s="368"/>
      <c r="Q42" s="368"/>
      <c r="R42" s="369"/>
      <c r="S42" s="369"/>
      <c r="T42" s="369"/>
      <c r="U42" s="369"/>
      <c r="V42" s="369"/>
      <c r="W42" s="369"/>
      <c r="X42" s="369"/>
      <c r="Y42" s="369"/>
      <c r="Z42" s="369"/>
      <c r="AA42" s="369"/>
      <c r="AB42" s="369"/>
      <c r="AC42" s="369"/>
      <c r="AD42" s="369"/>
      <c r="AE42" s="369"/>
      <c r="AF42" s="369"/>
      <c r="AG42" s="369"/>
      <c r="AH42" s="369"/>
      <c r="AI42" s="369"/>
      <c r="AJ42" s="369"/>
      <c r="AK42" s="369"/>
      <c r="AL42" s="368"/>
      <c r="AM42" s="368"/>
      <c r="AN42" s="368"/>
      <c r="AO42" s="368"/>
      <c r="AP42" s="368"/>
      <c r="AQ42" s="368"/>
      <c r="AR42" s="368"/>
      <c r="AS42" s="368"/>
      <c r="AT42" s="368"/>
      <c r="AU42" s="368"/>
      <c r="AV42" s="368"/>
      <c r="AW42" s="368"/>
      <c r="AX42" s="368"/>
      <c r="AY42" s="368"/>
      <c r="AZ42" s="368"/>
      <c r="BA42" s="368"/>
      <c r="BB42" s="368"/>
      <c r="BC42" s="368"/>
      <c r="BD42" s="368"/>
      <c r="BE42" s="368"/>
      <c r="BF42" s="368"/>
      <c r="BG42" s="368"/>
      <c r="BH42" s="368"/>
      <c r="BI42" s="368"/>
      <c r="BJ42" s="368"/>
      <c r="BK42" s="368"/>
      <c r="BL42" s="368"/>
      <c r="BM42" s="369"/>
      <c r="BN42" s="369"/>
      <c r="BO42" s="369"/>
      <c r="BP42" s="369"/>
      <c r="BQ42" s="369"/>
      <c r="BR42" s="369"/>
      <c r="BS42" s="370"/>
    </row>
    <row r="43" spans="1:71" x14ac:dyDescent="0.15">
      <c r="B43" s="609"/>
      <c r="C43" s="371"/>
      <c r="D43" s="368"/>
      <c r="E43" s="368"/>
      <c r="F43" s="369"/>
      <c r="G43" s="369"/>
      <c r="H43" s="369"/>
      <c r="I43" s="369"/>
      <c r="J43" s="369"/>
      <c r="K43" s="369"/>
      <c r="L43" s="369"/>
      <c r="M43" s="369"/>
      <c r="N43" s="368"/>
      <c r="O43" s="368"/>
      <c r="P43" s="368"/>
      <c r="Q43" s="368"/>
      <c r="R43" s="369"/>
      <c r="S43" s="369"/>
      <c r="T43" s="369"/>
      <c r="U43" s="369"/>
      <c r="V43" s="369"/>
      <c r="W43" s="369"/>
      <c r="X43" s="369"/>
      <c r="Y43" s="369"/>
      <c r="Z43" s="369"/>
      <c r="AA43" s="369"/>
      <c r="AB43" s="369"/>
      <c r="AC43" s="369"/>
      <c r="AD43" s="369"/>
      <c r="AE43" s="369"/>
      <c r="AF43" s="369"/>
      <c r="AG43" s="369"/>
      <c r="AH43" s="369"/>
      <c r="AI43" s="369"/>
      <c r="AJ43" s="369"/>
      <c r="AK43" s="369"/>
      <c r="AL43" s="368"/>
      <c r="AM43" s="368"/>
      <c r="AN43" s="368"/>
      <c r="AO43" s="368"/>
      <c r="AP43" s="368"/>
      <c r="AQ43" s="368"/>
      <c r="AR43" s="368"/>
      <c r="AS43" s="368"/>
      <c r="AT43" s="368"/>
      <c r="AU43" s="368"/>
      <c r="AV43" s="368"/>
      <c r="AW43" s="368"/>
      <c r="AX43" s="368"/>
      <c r="AY43" s="368"/>
      <c r="AZ43" s="368"/>
      <c r="BA43" s="368"/>
      <c r="BB43" s="368"/>
      <c r="BC43" s="368"/>
      <c r="BD43" s="368"/>
      <c r="BE43" s="368"/>
      <c r="BF43" s="368"/>
      <c r="BG43" s="368"/>
      <c r="BH43" s="368"/>
      <c r="BI43" s="368"/>
      <c r="BJ43" s="368"/>
      <c r="BK43" s="368"/>
      <c r="BL43" s="368"/>
      <c r="BM43" s="369"/>
      <c r="BN43" s="369"/>
      <c r="BO43" s="369"/>
      <c r="BP43" s="369"/>
      <c r="BQ43" s="369"/>
      <c r="BR43" s="369"/>
      <c r="BS43" s="370"/>
    </row>
    <row r="44" spans="1:71" x14ac:dyDescent="0.15">
      <c r="B44" s="609"/>
      <c r="C44" s="371"/>
      <c r="D44" s="368"/>
      <c r="E44" s="368"/>
      <c r="F44" s="369"/>
      <c r="G44" s="369"/>
      <c r="H44" s="369"/>
      <c r="I44" s="369"/>
      <c r="J44" s="369"/>
      <c r="K44" s="369"/>
      <c r="L44" s="369"/>
      <c r="M44" s="369"/>
      <c r="N44" s="368"/>
      <c r="O44" s="368"/>
      <c r="P44" s="368"/>
      <c r="Q44" s="368"/>
      <c r="R44" s="369"/>
      <c r="S44" s="369"/>
      <c r="T44" s="369"/>
      <c r="U44" s="369"/>
      <c r="V44" s="369"/>
      <c r="W44" s="369"/>
      <c r="X44" s="369"/>
      <c r="Y44" s="369"/>
      <c r="Z44" s="369"/>
      <c r="AA44" s="369"/>
      <c r="AB44" s="369"/>
      <c r="AC44" s="369"/>
      <c r="AD44" s="369"/>
      <c r="AE44" s="369"/>
      <c r="AF44" s="369"/>
      <c r="AG44" s="369"/>
      <c r="AH44" s="369"/>
      <c r="AI44" s="369"/>
      <c r="AJ44" s="369"/>
      <c r="AK44" s="369"/>
      <c r="AL44" s="368"/>
      <c r="AM44" s="368"/>
      <c r="AN44" s="368"/>
      <c r="AO44" s="368"/>
      <c r="AP44" s="368"/>
      <c r="AQ44" s="368"/>
      <c r="AR44" s="368"/>
      <c r="AS44" s="368"/>
      <c r="AT44" s="368"/>
      <c r="AU44" s="368"/>
      <c r="AV44" s="368"/>
      <c r="AW44" s="368"/>
      <c r="AX44" s="368"/>
      <c r="AY44" s="368"/>
      <c r="AZ44" s="368"/>
      <c r="BA44" s="368"/>
      <c r="BB44" s="368"/>
      <c r="BC44" s="368"/>
      <c r="BD44" s="368"/>
      <c r="BE44" s="368"/>
      <c r="BF44" s="368"/>
      <c r="BG44" s="368"/>
      <c r="BH44" s="368"/>
      <c r="BI44" s="368"/>
      <c r="BJ44" s="368"/>
      <c r="BK44" s="368"/>
      <c r="BL44" s="368"/>
      <c r="BM44" s="369"/>
      <c r="BN44" s="369"/>
      <c r="BO44" s="369"/>
      <c r="BP44" s="369"/>
      <c r="BQ44" s="369"/>
      <c r="BR44" s="369"/>
      <c r="BS44" s="370"/>
    </row>
    <row r="45" spans="1:71" x14ac:dyDescent="0.15">
      <c r="B45" s="609"/>
      <c r="C45" s="371"/>
      <c r="D45" s="368"/>
      <c r="E45" s="368"/>
      <c r="F45" s="369"/>
      <c r="G45" s="369"/>
      <c r="H45" s="369"/>
      <c r="I45" s="369"/>
      <c r="J45" s="369"/>
      <c r="K45" s="369"/>
      <c r="L45" s="369"/>
      <c r="M45" s="369"/>
      <c r="N45" s="368"/>
      <c r="O45" s="368"/>
      <c r="P45" s="368"/>
      <c r="Q45" s="368"/>
      <c r="R45" s="369"/>
      <c r="S45" s="369"/>
      <c r="T45" s="369"/>
      <c r="U45" s="369"/>
      <c r="V45" s="369"/>
      <c r="W45" s="369"/>
      <c r="X45" s="369"/>
      <c r="Y45" s="369"/>
      <c r="Z45" s="369"/>
      <c r="AA45" s="369"/>
      <c r="AB45" s="369"/>
      <c r="AC45" s="369"/>
      <c r="AD45" s="369"/>
      <c r="AE45" s="369"/>
      <c r="AF45" s="369"/>
      <c r="AG45" s="369"/>
      <c r="AH45" s="369"/>
      <c r="AI45" s="369"/>
      <c r="AJ45" s="369"/>
      <c r="AK45" s="369"/>
      <c r="AL45" s="368"/>
      <c r="AM45" s="368"/>
      <c r="AN45" s="368"/>
      <c r="AO45" s="368"/>
      <c r="AP45" s="368"/>
      <c r="AQ45" s="368"/>
      <c r="AR45" s="368"/>
      <c r="AS45" s="368"/>
      <c r="AT45" s="368"/>
      <c r="AU45" s="368"/>
      <c r="AV45" s="368"/>
      <c r="AW45" s="368"/>
      <c r="AX45" s="368"/>
      <c r="AY45" s="368"/>
      <c r="AZ45" s="368"/>
      <c r="BA45" s="368"/>
      <c r="BB45" s="368"/>
      <c r="BC45" s="368"/>
      <c r="BD45" s="368"/>
      <c r="BE45" s="368"/>
      <c r="BF45" s="368"/>
      <c r="BG45" s="368"/>
      <c r="BH45" s="368"/>
      <c r="BI45" s="368"/>
      <c r="BJ45" s="368"/>
      <c r="BK45" s="368"/>
      <c r="BL45" s="368"/>
      <c r="BM45" s="369"/>
      <c r="BN45" s="369"/>
      <c r="BO45" s="369"/>
      <c r="BP45" s="369"/>
      <c r="BQ45" s="369"/>
      <c r="BR45" s="369"/>
      <c r="BS45" s="370"/>
    </row>
    <row r="46" spans="1:71" x14ac:dyDescent="0.15">
      <c r="B46" s="609"/>
      <c r="C46" s="394"/>
      <c r="D46" s="368"/>
      <c r="E46" s="368"/>
      <c r="F46" s="369"/>
      <c r="G46" s="369"/>
      <c r="H46" s="369"/>
      <c r="I46" s="369"/>
      <c r="J46" s="369"/>
      <c r="K46" s="369"/>
      <c r="L46" s="369"/>
      <c r="M46" s="369"/>
      <c r="N46" s="368"/>
      <c r="O46" s="368"/>
      <c r="P46" s="368"/>
      <c r="Q46" s="368"/>
      <c r="R46" s="369"/>
      <c r="S46" s="369"/>
      <c r="T46" s="369"/>
      <c r="U46" s="369"/>
      <c r="V46" s="369"/>
      <c r="W46" s="369"/>
      <c r="X46" s="369"/>
      <c r="Y46" s="369"/>
      <c r="Z46" s="369"/>
      <c r="AA46" s="369"/>
      <c r="AB46" s="369"/>
      <c r="AC46" s="369"/>
      <c r="AD46" s="369"/>
      <c r="AE46" s="369"/>
      <c r="AF46" s="369"/>
      <c r="AG46" s="369"/>
      <c r="AH46" s="369"/>
      <c r="AI46" s="369"/>
      <c r="AJ46" s="369"/>
      <c r="AK46" s="369"/>
      <c r="AL46" s="368"/>
      <c r="AM46" s="368"/>
      <c r="AN46" s="368"/>
      <c r="AO46" s="368"/>
      <c r="AP46" s="368"/>
      <c r="AQ46" s="368"/>
      <c r="AR46" s="368"/>
      <c r="AS46" s="368"/>
      <c r="AT46" s="368"/>
      <c r="AU46" s="368"/>
      <c r="AV46" s="368"/>
      <c r="AW46" s="368"/>
      <c r="AX46" s="368"/>
      <c r="AY46" s="368"/>
      <c r="AZ46" s="368"/>
      <c r="BA46" s="368"/>
      <c r="BB46" s="368"/>
      <c r="BC46" s="368"/>
      <c r="BD46" s="368"/>
      <c r="BE46" s="368"/>
      <c r="BF46" s="368"/>
      <c r="BG46" s="368"/>
      <c r="BH46" s="368"/>
      <c r="BI46" s="368"/>
      <c r="BJ46" s="368"/>
      <c r="BK46" s="368"/>
      <c r="BL46" s="368"/>
      <c r="BM46" s="369"/>
      <c r="BN46" s="369"/>
      <c r="BO46" s="369"/>
      <c r="BP46" s="369"/>
      <c r="BQ46" s="369"/>
      <c r="BR46" s="369"/>
      <c r="BS46" s="370"/>
    </row>
    <row r="47" spans="1:71" x14ac:dyDescent="0.15">
      <c r="B47" s="609"/>
      <c r="C47" s="394"/>
      <c r="D47" s="368"/>
      <c r="E47" s="368"/>
      <c r="F47" s="369"/>
      <c r="G47" s="369"/>
      <c r="H47" s="369"/>
      <c r="I47" s="369"/>
      <c r="J47" s="369"/>
      <c r="K47" s="369"/>
      <c r="L47" s="369"/>
      <c r="M47" s="369"/>
      <c r="N47" s="368"/>
      <c r="O47" s="368"/>
      <c r="P47" s="368"/>
      <c r="Q47" s="368"/>
      <c r="R47" s="369"/>
      <c r="S47" s="369"/>
      <c r="T47" s="369"/>
      <c r="U47" s="369"/>
      <c r="V47" s="369"/>
      <c r="W47" s="369"/>
      <c r="X47" s="369"/>
      <c r="Y47" s="369"/>
      <c r="Z47" s="369"/>
      <c r="AA47" s="369"/>
      <c r="AB47" s="369"/>
      <c r="AC47" s="369"/>
      <c r="AD47" s="369"/>
      <c r="AE47" s="369"/>
      <c r="AF47" s="369"/>
      <c r="AG47" s="369"/>
      <c r="AH47" s="369"/>
      <c r="AI47" s="369"/>
      <c r="AJ47" s="369"/>
      <c r="AK47" s="369"/>
      <c r="AL47" s="368"/>
      <c r="AM47" s="368"/>
      <c r="AN47" s="368"/>
      <c r="AO47" s="368"/>
      <c r="AP47" s="368"/>
      <c r="AQ47" s="368"/>
      <c r="AR47" s="368"/>
      <c r="AS47" s="368"/>
      <c r="AT47" s="368"/>
      <c r="AU47" s="368"/>
      <c r="AV47" s="368"/>
      <c r="AW47" s="368"/>
      <c r="AX47" s="368"/>
      <c r="AY47" s="368"/>
      <c r="AZ47" s="368"/>
      <c r="BA47" s="368"/>
      <c r="BB47" s="368"/>
      <c r="BC47" s="368"/>
      <c r="BD47" s="368"/>
      <c r="BE47" s="368"/>
      <c r="BF47" s="368"/>
      <c r="BG47" s="368"/>
      <c r="BH47" s="368"/>
      <c r="BI47" s="368"/>
      <c r="BJ47" s="368"/>
      <c r="BK47" s="368"/>
      <c r="BL47" s="368"/>
      <c r="BM47" s="369"/>
      <c r="BN47" s="369"/>
      <c r="BO47" s="369"/>
      <c r="BP47" s="369"/>
      <c r="BQ47" s="369"/>
      <c r="BR47" s="369"/>
      <c r="BS47" s="370"/>
    </row>
    <row r="48" spans="1:71" x14ac:dyDescent="0.15">
      <c r="B48" s="609"/>
      <c r="C48" s="394"/>
      <c r="D48" s="368"/>
      <c r="E48" s="368"/>
      <c r="F48" s="369"/>
      <c r="G48" s="369"/>
      <c r="H48" s="369"/>
      <c r="I48" s="369"/>
      <c r="J48" s="369"/>
      <c r="K48" s="369"/>
      <c r="L48" s="369"/>
      <c r="M48" s="369"/>
      <c r="N48" s="368"/>
      <c r="O48" s="368"/>
      <c r="P48" s="368"/>
      <c r="Q48" s="368"/>
      <c r="R48" s="369"/>
      <c r="S48" s="369"/>
      <c r="T48" s="369"/>
      <c r="U48" s="369"/>
      <c r="V48" s="369"/>
      <c r="W48" s="369"/>
      <c r="X48" s="369"/>
      <c r="Y48" s="369"/>
      <c r="Z48" s="369"/>
      <c r="AA48" s="369"/>
      <c r="AB48" s="369"/>
      <c r="AC48" s="369"/>
      <c r="AD48" s="369"/>
      <c r="AE48" s="369"/>
      <c r="AF48" s="369"/>
      <c r="AG48" s="369"/>
      <c r="AH48" s="369"/>
      <c r="AI48" s="369"/>
      <c r="AJ48" s="369"/>
      <c r="AK48" s="369"/>
      <c r="AL48" s="368"/>
      <c r="AM48" s="368"/>
      <c r="AN48" s="368"/>
      <c r="AO48" s="368"/>
      <c r="AP48" s="368"/>
      <c r="AQ48" s="368"/>
      <c r="AR48" s="368"/>
      <c r="AS48" s="368"/>
      <c r="AT48" s="368"/>
      <c r="AU48" s="368"/>
      <c r="AV48" s="368"/>
      <c r="AW48" s="368"/>
      <c r="AX48" s="368"/>
      <c r="AY48" s="368"/>
      <c r="AZ48" s="368"/>
      <c r="BA48" s="368"/>
      <c r="BB48" s="368"/>
      <c r="BC48" s="368"/>
      <c r="BD48" s="368"/>
      <c r="BE48" s="368"/>
      <c r="BF48" s="368"/>
      <c r="BG48" s="368"/>
      <c r="BH48" s="368"/>
      <c r="BI48" s="368"/>
      <c r="BJ48" s="368"/>
      <c r="BK48" s="368"/>
      <c r="BL48" s="368"/>
      <c r="BM48" s="369"/>
      <c r="BN48" s="369"/>
      <c r="BO48" s="369"/>
      <c r="BP48" s="369"/>
      <c r="BQ48" s="369"/>
      <c r="BR48" s="369"/>
      <c r="BS48" s="370"/>
    </row>
    <row r="49" spans="1:71" x14ac:dyDescent="0.15">
      <c r="B49" s="609"/>
      <c r="C49" s="394"/>
      <c r="D49" s="368"/>
      <c r="E49" s="368"/>
      <c r="F49" s="369"/>
      <c r="G49" s="369"/>
      <c r="H49" s="369"/>
      <c r="I49" s="369"/>
      <c r="J49" s="369"/>
      <c r="K49" s="369"/>
      <c r="L49" s="369"/>
      <c r="M49" s="369"/>
      <c r="N49" s="368"/>
      <c r="O49" s="368"/>
      <c r="P49" s="368"/>
      <c r="Q49" s="368"/>
      <c r="R49" s="369"/>
      <c r="S49" s="369"/>
      <c r="T49" s="369"/>
      <c r="U49" s="369"/>
      <c r="V49" s="369"/>
      <c r="W49" s="369"/>
      <c r="X49" s="369"/>
      <c r="Y49" s="369"/>
      <c r="Z49" s="369"/>
      <c r="AA49" s="369"/>
      <c r="AB49" s="369"/>
      <c r="AC49" s="369"/>
      <c r="AD49" s="369"/>
      <c r="AE49" s="369"/>
      <c r="AF49" s="369"/>
      <c r="AG49" s="369"/>
      <c r="AH49" s="369"/>
      <c r="AI49" s="369"/>
      <c r="AJ49" s="369"/>
      <c r="AK49" s="369"/>
      <c r="AL49" s="368"/>
      <c r="AM49" s="368"/>
      <c r="AN49" s="368"/>
      <c r="AO49" s="368"/>
      <c r="AP49" s="368"/>
      <c r="AQ49" s="368"/>
      <c r="AR49" s="368"/>
      <c r="AS49" s="368"/>
      <c r="AT49" s="368"/>
      <c r="AU49" s="368"/>
      <c r="AV49" s="368"/>
      <c r="AW49" s="368"/>
      <c r="AX49" s="368"/>
      <c r="AY49" s="368"/>
      <c r="AZ49" s="368"/>
      <c r="BA49" s="368"/>
      <c r="BB49" s="368"/>
      <c r="BC49" s="368"/>
      <c r="BD49" s="368"/>
      <c r="BE49" s="368"/>
      <c r="BF49" s="368"/>
      <c r="BG49" s="368"/>
      <c r="BH49" s="368"/>
      <c r="BI49" s="368"/>
      <c r="BJ49" s="368"/>
      <c r="BK49" s="368"/>
      <c r="BL49" s="368"/>
      <c r="BM49" s="369"/>
      <c r="BN49" s="369"/>
      <c r="BO49" s="369"/>
      <c r="BP49" s="369"/>
      <c r="BQ49" s="369"/>
      <c r="BR49" s="369"/>
      <c r="BS49" s="370"/>
    </row>
    <row r="50" spans="1:71" x14ac:dyDescent="0.15">
      <c r="B50" s="1169"/>
      <c r="C50" s="1170"/>
      <c r="D50" s="1171"/>
      <c r="E50" s="1171"/>
      <c r="F50" s="1172"/>
      <c r="G50" s="1172"/>
      <c r="H50" s="1172"/>
      <c r="I50" s="1172"/>
      <c r="J50" s="1172"/>
      <c r="K50" s="1172"/>
      <c r="L50" s="1172"/>
      <c r="M50" s="1172"/>
      <c r="N50" s="1171"/>
      <c r="O50" s="1171"/>
      <c r="P50" s="1171"/>
      <c r="Q50" s="1171"/>
      <c r="R50" s="1172"/>
      <c r="S50" s="1172"/>
      <c r="T50" s="1172"/>
      <c r="U50" s="1172"/>
      <c r="V50" s="1172"/>
      <c r="W50" s="1172"/>
      <c r="X50" s="1172"/>
      <c r="Y50" s="1172"/>
      <c r="Z50" s="1172"/>
      <c r="AA50" s="1172"/>
      <c r="AB50" s="1172"/>
      <c r="AC50" s="1172"/>
      <c r="AD50" s="1172"/>
      <c r="AE50" s="1172"/>
      <c r="AF50" s="1172"/>
      <c r="AG50" s="1172"/>
      <c r="AH50" s="1172"/>
      <c r="AI50" s="1172"/>
      <c r="AJ50" s="1172"/>
      <c r="AK50" s="1172"/>
      <c r="AL50" s="1171"/>
      <c r="AM50" s="1171"/>
      <c r="AN50" s="1171"/>
      <c r="AO50" s="1171"/>
      <c r="AP50" s="1171"/>
      <c r="AQ50" s="1171"/>
      <c r="AR50" s="1171"/>
      <c r="AS50" s="1171"/>
      <c r="AT50" s="1171"/>
      <c r="AU50" s="1171"/>
      <c r="AV50" s="1171"/>
      <c r="AW50" s="1171"/>
      <c r="AX50" s="1171"/>
      <c r="AY50" s="1171"/>
      <c r="AZ50" s="1171"/>
      <c r="BA50" s="1171"/>
      <c r="BB50" s="1171"/>
      <c r="BC50" s="1171"/>
      <c r="BD50" s="1171"/>
      <c r="BE50" s="1171"/>
      <c r="BF50" s="1171"/>
      <c r="BG50" s="1171"/>
      <c r="BH50" s="1171"/>
      <c r="BI50" s="1171"/>
      <c r="BJ50" s="1171"/>
      <c r="BK50" s="1171"/>
      <c r="BL50" s="1171"/>
      <c r="BM50" s="1172"/>
      <c r="BN50" s="1172"/>
      <c r="BO50" s="1172"/>
      <c r="BP50" s="1172"/>
      <c r="BQ50" s="1172"/>
      <c r="BR50" s="1172"/>
      <c r="BS50" s="1173"/>
    </row>
    <row r="51" spans="1:71" x14ac:dyDescent="0.15">
      <c r="B51" s="366"/>
      <c r="C51" s="394"/>
      <c r="D51" s="368"/>
      <c r="E51" s="368"/>
      <c r="F51" s="369"/>
      <c r="G51" s="369"/>
      <c r="H51" s="369"/>
      <c r="I51" s="369"/>
      <c r="J51" s="369"/>
      <c r="K51" s="369"/>
      <c r="L51" s="369"/>
      <c r="M51" s="369"/>
      <c r="N51" s="368"/>
      <c r="O51" s="368"/>
      <c r="P51" s="368"/>
      <c r="Q51" s="368"/>
      <c r="R51" s="369"/>
      <c r="S51" s="369"/>
      <c r="T51" s="369"/>
      <c r="U51" s="369"/>
      <c r="V51" s="369"/>
      <c r="W51" s="369"/>
      <c r="X51" s="369"/>
      <c r="Y51" s="369"/>
      <c r="Z51" s="369"/>
      <c r="AA51" s="369"/>
      <c r="AB51" s="369"/>
      <c r="AC51" s="369"/>
      <c r="AD51" s="369"/>
      <c r="AE51" s="369"/>
      <c r="AF51" s="369"/>
      <c r="AG51" s="369"/>
      <c r="AH51" s="369"/>
      <c r="AI51" s="369"/>
      <c r="AJ51" s="369"/>
      <c r="AK51" s="369"/>
      <c r="AL51" s="368"/>
      <c r="AM51" s="368"/>
      <c r="AN51" s="368"/>
      <c r="AO51" s="368"/>
      <c r="AP51" s="368"/>
      <c r="AQ51" s="368"/>
      <c r="AR51" s="368"/>
      <c r="AS51" s="368"/>
      <c r="AT51" s="368"/>
      <c r="AU51" s="368"/>
      <c r="AV51" s="368"/>
      <c r="AW51" s="368"/>
      <c r="AX51" s="368"/>
      <c r="AY51" s="368"/>
      <c r="AZ51" s="368"/>
      <c r="BA51" s="368"/>
      <c r="BB51" s="368"/>
      <c r="BC51" s="368"/>
      <c r="BD51" s="368"/>
      <c r="BE51" s="368"/>
      <c r="BF51" s="368"/>
      <c r="BG51" s="368"/>
      <c r="BH51" s="368"/>
      <c r="BI51" s="368"/>
      <c r="BJ51" s="368"/>
      <c r="BK51" s="368"/>
      <c r="BL51" s="368"/>
      <c r="BM51" s="369"/>
      <c r="BN51" s="369"/>
      <c r="BO51" s="369"/>
      <c r="BP51" s="369"/>
      <c r="BQ51" s="369"/>
      <c r="BR51" s="369"/>
    </row>
    <row r="52" spans="1:71" x14ac:dyDescent="0.15">
      <c r="B52" s="366"/>
      <c r="C52" s="394"/>
      <c r="D52" s="368"/>
      <c r="E52" s="368"/>
      <c r="F52" s="369"/>
      <c r="G52" s="369"/>
      <c r="H52" s="369"/>
      <c r="I52" s="369"/>
      <c r="J52" s="369"/>
      <c r="K52" s="369"/>
      <c r="L52" s="369"/>
      <c r="M52" s="369"/>
      <c r="N52" s="368"/>
      <c r="O52" s="368"/>
      <c r="P52" s="368"/>
      <c r="Q52" s="368"/>
      <c r="R52" s="369"/>
      <c r="S52" s="369"/>
      <c r="T52" s="369"/>
      <c r="U52" s="369"/>
      <c r="V52" s="369"/>
      <c r="W52" s="369"/>
      <c r="X52" s="369"/>
      <c r="Y52" s="369"/>
      <c r="Z52" s="369"/>
      <c r="AA52" s="369"/>
      <c r="AB52" s="369"/>
      <c r="AC52" s="369"/>
      <c r="AD52" s="369"/>
      <c r="AE52" s="369"/>
      <c r="AF52" s="369"/>
      <c r="AG52" s="369"/>
      <c r="AH52" s="369"/>
      <c r="AI52" s="369"/>
      <c r="AJ52" s="369"/>
      <c r="AK52" s="369"/>
      <c r="AL52" s="368"/>
      <c r="AM52" s="368"/>
      <c r="AN52" s="368"/>
      <c r="AO52" s="368"/>
      <c r="AP52" s="368"/>
      <c r="AQ52" s="368"/>
      <c r="AR52" s="368"/>
      <c r="AS52" s="368"/>
      <c r="AT52" s="368"/>
      <c r="AU52" s="368"/>
      <c r="AV52" s="368"/>
      <c r="AW52" s="368"/>
      <c r="AX52" s="368"/>
      <c r="AY52" s="368"/>
      <c r="AZ52" s="368"/>
      <c r="BA52" s="368"/>
      <c r="BB52" s="368"/>
      <c r="BC52" s="368"/>
      <c r="BD52" s="368"/>
      <c r="BE52" s="368"/>
      <c r="BF52" s="368"/>
      <c r="BG52" s="368"/>
      <c r="BH52" s="368"/>
      <c r="BI52" s="368"/>
      <c r="BJ52" s="368"/>
      <c r="BK52" s="368"/>
      <c r="BL52" s="368"/>
      <c r="BM52" s="369"/>
      <c r="BN52" s="369"/>
      <c r="BO52" s="369"/>
      <c r="BP52" s="369"/>
      <c r="BQ52" s="369"/>
      <c r="BR52" s="369"/>
    </row>
    <row r="53" spans="1:71" x14ac:dyDescent="0.15">
      <c r="B53" s="1174"/>
      <c r="C53" s="1175"/>
      <c r="D53" s="1175"/>
      <c r="E53" s="1175"/>
      <c r="F53" s="1175"/>
      <c r="G53" s="1175"/>
      <c r="H53" s="1175"/>
      <c r="I53" s="1175"/>
      <c r="J53" s="1175"/>
      <c r="K53" s="1175"/>
      <c r="L53" s="1175"/>
      <c r="M53" s="1175"/>
      <c r="N53" s="1175"/>
      <c r="O53" s="1175"/>
      <c r="P53" s="1175"/>
      <c r="Q53" s="1175"/>
      <c r="R53" s="1175"/>
      <c r="S53" s="1175"/>
      <c r="T53" s="1175"/>
      <c r="U53" s="1175"/>
      <c r="V53" s="1175"/>
      <c r="W53" s="1175"/>
      <c r="X53" s="1175"/>
      <c r="Y53" s="1175"/>
      <c r="Z53" s="1175"/>
      <c r="AA53" s="1175"/>
      <c r="AB53" s="1175"/>
      <c r="AC53" s="1175"/>
      <c r="AD53" s="1175"/>
      <c r="AE53" s="1175"/>
      <c r="AF53" s="1175"/>
      <c r="AG53" s="1175"/>
      <c r="AH53" s="1175"/>
      <c r="AI53" s="1175"/>
      <c r="AJ53" s="1175"/>
      <c r="AK53" s="1175"/>
      <c r="AL53" s="1175"/>
      <c r="AM53" s="1175"/>
      <c r="AN53" s="1175"/>
      <c r="AO53" s="1175"/>
      <c r="AP53" s="1175"/>
      <c r="AQ53" s="1175"/>
      <c r="AR53" s="1175"/>
      <c r="AS53" s="1175"/>
      <c r="AT53" s="1175"/>
      <c r="AU53" s="1175"/>
      <c r="AV53" s="1175"/>
      <c r="AW53" s="1175"/>
      <c r="AX53" s="1175"/>
      <c r="AY53" s="1175"/>
      <c r="AZ53" s="1175"/>
      <c r="BA53" s="1175"/>
      <c r="BB53" s="1175"/>
      <c r="BC53" s="1175"/>
      <c r="BD53" s="1175"/>
      <c r="BE53" s="1175"/>
      <c r="BF53" s="1175"/>
      <c r="BG53" s="1175"/>
      <c r="BH53" s="1175"/>
      <c r="BI53" s="1175"/>
      <c r="BJ53" s="1175"/>
      <c r="BK53" s="1175"/>
      <c r="BL53" s="1175"/>
      <c r="BM53" s="1175"/>
      <c r="BN53" s="1175"/>
      <c r="BO53" s="1175"/>
      <c r="BP53" s="1175"/>
      <c r="BQ53" s="1175"/>
      <c r="BR53" s="1175"/>
      <c r="BS53" s="1168"/>
    </row>
    <row r="54" spans="1:71" x14ac:dyDescent="0.15">
      <c r="B54" s="612"/>
      <c r="C54" s="395" t="s">
        <v>2305</v>
      </c>
      <c r="D54" s="396"/>
      <c r="E54" s="283"/>
      <c r="F54" s="283"/>
      <c r="G54" s="283"/>
      <c r="H54" s="283"/>
      <c r="I54" s="283"/>
      <c r="J54" s="283"/>
      <c r="K54" s="283"/>
      <c r="L54" s="283"/>
      <c r="M54" s="283"/>
      <c r="N54" s="397"/>
      <c r="O54" s="397"/>
      <c r="P54" s="283"/>
      <c r="Q54" s="283"/>
      <c r="R54" s="283"/>
      <c r="S54" s="283"/>
      <c r="T54" s="283"/>
      <c r="U54" s="283"/>
      <c r="V54" s="283"/>
      <c r="W54" s="283"/>
      <c r="X54" s="283"/>
      <c r="Y54" s="283"/>
      <c r="Z54" s="283"/>
      <c r="AA54" s="283"/>
      <c r="AB54" s="283"/>
      <c r="AC54" s="283"/>
      <c r="AD54" s="283"/>
      <c r="AE54" s="283"/>
      <c r="AF54" s="283"/>
      <c r="AG54" s="398"/>
      <c r="AH54" s="398"/>
      <c r="AI54" s="283"/>
      <c r="AJ54" s="283"/>
      <c r="AK54" s="283"/>
      <c r="AL54" s="395"/>
      <c r="AM54" s="270"/>
      <c r="AN54" s="270"/>
      <c r="AO54" s="270"/>
      <c r="AP54" s="395"/>
      <c r="AQ54" s="270"/>
      <c r="AR54" s="270"/>
      <c r="AS54" s="270"/>
      <c r="AT54" s="270"/>
      <c r="AU54" s="270"/>
      <c r="AV54" s="270"/>
      <c r="AW54" s="270"/>
      <c r="AX54" s="270"/>
      <c r="AY54" s="270"/>
      <c r="AZ54" s="270"/>
      <c r="BA54" s="270"/>
      <c r="BB54" s="270"/>
      <c r="BC54" s="270"/>
      <c r="BD54" s="270"/>
      <c r="BE54" s="270"/>
      <c r="BF54" s="270"/>
      <c r="BG54" s="395"/>
      <c r="BH54" s="270"/>
      <c r="BI54" s="270"/>
      <c r="BJ54" s="283"/>
      <c r="BK54" s="398"/>
      <c r="BL54" s="398"/>
      <c r="BM54" s="283"/>
      <c r="BN54" s="283"/>
      <c r="BO54" s="283"/>
      <c r="BP54" s="283"/>
      <c r="BQ54" s="283"/>
      <c r="BR54" s="283"/>
      <c r="BS54" s="370"/>
    </row>
    <row r="55" spans="1:71" ht="13.5" customHeight="1" x14ac:dyDescent="0.15">
      <c r="B55" s="612"/>
      <c r="C55" s="1471"/>
      <c r="D55" s="1474" t="s">
        <v>2253</v>
      </c>
      <c r="E55" s="1477" t="s">
        <v>2254</v>
      </c>
      <c r="F55" s="1478"/>
      <c r="G55" s="1478"/>
      <c r="H55" s="1478"/>
      <c r="I55" s="1478"/>
      <c r="J55" s="1478"/>
      <c r="K55" s="1478"/>
      <c r="L55" s="1478"/>
      <c r="M55" s="1479"/>
      <c r="N55" s="1433" t="s">
        <v>2255</v>
      </c>
      <c r="O55" s="1433" t="s">
        <v>2256</v>
      </c>
      <c r="P55" s="1176" t="s">
        <v>2257</v>
      </c>
      <c r="Q55" s="1177"/>
      <c r="R55" s="1177"/>
      <c r="S55" s="1177"/>
      <c r="T55" s="1177"/>
      <c r="U55" s="1177"/>
      <c r="V55" s="1177"/>
      <c r="W55" s="1177"/>
      <c r="X55" s="1177"/>
      <c r="Y55" s="1177"/>
      <c r="Z55" s="1177"/>
      <c r="AA55" s="1177"/>
      <c r="AB55" s="1177"/>
      <c r="AC55" s="1177"/>
      <c r="AD55" s="1177"/>
      <c r="AE55" s="1177"/>
      <c r="AF55" s="1177"/>
      <c r="AG55" s="1177"/>
      <c r="AH55" s="1177"/>
      <c r="AI55" s="1177"/>
      <c r="AJ55" s="1177"/>
      <c r="AK55" s="1177"/>
      <c r="AL55" s="1436" t="s">
        <v>2258</v>
      </c>
      <c r="AM55" s="1437"/>
      <c r="AN55" s="1437"/>
      <c r="AO55" s="1442" t="s">
        <v>2306</v>
      </c>
      <c r="AP55" s="1443"/>
      <c r="AQ55" s="1444"/>
      <c r="AR55" s="1451" t="s">
        <v>711</v>
      </c>
      <c r="AS55" s="1452"/>
      <c r="AT55" s="1452"/>
      <c r="AU55" s="1452"/>
      <c r="AV55" s="1452"/>
      <c r="AW55" s="1452"/>
      <c r="AX55" s="1452"/>
      <c r="AY55" s="1452"/>
      <c r="AZ55" s="1452"/>
      <c r="BA55" s="1452"/>
      <c r="BB55" s="1452"/>
      <c r="BC55" s="1453"/>
      <c r="BD55" s="1460" t="s">
        <v>2260</v>
      </c>
      <c r="BE55" s="1461"/>
      <c r="BS55" s="370"/>
    </row>
    <row r="56" spans="1:71" x14ac:dyDescent="0.15">
      <c r="B56" s="612"/>
      <c r="C56" s="1472"/>
      <c r="D56" s="1475"/>
      <c r="E56" s="1480"/>
      <c r="F56" s="1481"/>
      <c r="G56" s="1481"/>
      <c r="H56" s="1481"/>
      <c r="I56" s="1481"/>
      <c r="J56" s="1481"/>
      <c r="K56" s="1481"/>
      <c r="L56" s="1481"/>
      <c r="M56" s="1482"/>
      <c r="N56" s="1434"/>
      <c r="O56" s="1434"/>
      <c r="P56" s="613"/>
      <c r="Q56" s="399"/>
      <c r="R56" s="399"/>
      <c r="S56" s="399"/>
      <c r="T56" s="399"/>
      <c r="U56" s="399"/>
      <c r="V56" s="399"/>
      <c r="W56" s="399"/>
      <c r="X56" s="399"/>
      <c r="Y56" s="399"/>
      <c r="Z56" s="399"/>
      <c r="AA56" s="399"/>
      <c r="AB56" s="399"/>
      <c r="AC56" s="399"/>
      <c r="AD56" s="399"/>
      <c r="AE56" s="399"/>
      <c r="AF56" s="399"/>
      <c r="AG56" s="399"/>
      <c r="AH56" s="399"/>
      <c r="AI56" s="399"/>
      <c r="AJ56" s="399"/>
      <c r="AK56" s="399"/>
      <c r="AL56" s="1438"/>
      <c r="AM56" s="1439"/>
      <c r="AN56" s="1439"/>
      <c r="AO56" s="1445"/>
      <c r="AP56" s="1446"/>
      <c r="AQ56" s="1447"/>
      <c r="AR56" s="1454"/>
      <c r="AS56" s="1455"/>
      <c r="AT56" s="1455"/>
      <c r="AU56" s="1455"/>
      <c r="AV56" s="1455"/>
      <c r="AW56" s="1455"/>
      <c r="AX56" s="1455"/>
      <c r="AY56" s="1455"/>
      <c r="AZ56" s="1455"/>
      <c r="BA56" s="1455"/>
      <c r="BB56" s="1455"/>
      <c r="BC56" s="1456"/>
      <c r="BD56" s="1462"/>
      <c r="BE56" s="1463"/>
      <c r="BS56" s="370"/>
    </row>
    <row r="57" spans="1:71" x14ac:dyDescent="0.15">
      <c r="B57" s="612"/>
      <c r="C57" s="1473"/>
      <c r="D57" s="1476"/>
      <c r="E57" s="1483"/>
      <c r="F57" s="1484"/>
      <c r="G57" s="1484"/>
      <c r="H57" s="1484"/>
      <c r="I57" s="1484"/>
      <c r="J57" s="1484"/>
      <c r="K57" s="1484"/>
      <c r="L57" s="1484"/>
      <c r="M57" s="1485"/>
      <c r="N57" s="1435"/>
      <c r="O57" s="1435"/>
      <c r="P57" s="1178"/>
      <c r="Q57" s="1179"/>
      <c r="R57" s="1179"/>
      <c r="S57" s="1179"/>
      <c r="T57" s="1179"/>
      <c r="U57" s="1179"/>
      <c r="V57" s="1179"/>
      <c r="W57" s="1179"/>
      <c r="X57" s="1179"/>
      <c r="Y57" s="1179"/>
      <c r="Z57" s="1179"/>
      <c r="AA57" s="1179"/>
      <c r="AB57" s="1179"/>
      <c r="AC57" s="1179"/>
      <c r="AD57" s="1179"/>
      <c r="AE57" s="1179"/>
      <c r="AF57" s="1179"/>
      <c r="AG57" s="1179"/>
      <c r="AH57" s="1179"/>
      <c r="AI57" s="1179"/>
      <c r="AJ57" s="1179"/>
      <c r="AK57" s="1179"/>
      <c r="AL57" s="1440"/>
      <c r="AM57" s="1441"/>
      <c r="AN57" s="1441"/>
      <c r="AO57" s="1448"/>
      <c r="AP57" s="1449"/>
      <c r="AQ57" s="1450"/>
      <c r="AR57" s="1457"/>
      <c r="AS57" s="1458"/>
      <c r="AT57" s="1458"/>
      <c r="AU57" s="1458"/>
      <c r="AV57" s="1458"/>
      <c r="AW57" s="1458"/>
      <c r="AX57" s="1458"/>
      <c r="AY57" s="1458"/>
      <c r="AZ57" s="1458"/>
      <c r="BA57" s="1458"/>
      <c r="BB57" s="1458"/>
      <c r="BC57" s="1459"/>
      <c r="BD57" s="1464"/>
      <c r="BE57" s="1465"/>
      <c r="BS57" s="370"/>
    </row>
    <row r="58" spans="1:71" ht="13.5" customHeight="1" x14ac:dyDescent="0.15">
      <c r="A58" s="389"/>
      <c r="B58" s="612"/>
      <c r="C58" s="1410" t="s">
        <v>2307</v>
      </c>
      <c r="D58" s="679">
        <v>1</v>
      </c>
      <c r="E58" s="680" t="s">
        <v>2308</v>
      </c>
      <c r="F58" s="681"/>
      <c r="G58" s="681"/>
      <c r="H58" s="681"/>
      <c r="I58" s="681"/>
      <c r="J58" s="681"/>
      <c r="K58" s="681"/>
      <c r="L58" s="681"/>
      <c r="M58" s="682"/>
      <c r="N58" s="683">
        <v>4</v>
      </c>
      <c r="O58" s="645">
        <v>9</v>
      </c>
      <c r="P58" s="681" t="s">
        <v>2309</v>
      </c>
      <c r="Q58" s="681"/>
      <c r="R58" s="681"/>
      <c r="S58" s="681"/>
      <c r="T58" s="681"/>
      <c r="U58" s="681"/>
      <c r="V58" s="681"/>
      <c r="W58" s="681"/>
      <c r="X58" s="681"/>
      <c r="Y58" s="681"/>
      <c r="Z58" s="681"/>
      <c r="AA58" s="681"/>
      <c r="AB58" s="681"/>
      <c r="AC58" s="681"/>
      <c r="AD58" s="681"/>
      <c r="AE58" s="681"/>
      <c r="AF58" s="681"/>
      <c r="AH58" s="681"/>
      <c r="AI58" s="681"/>
      <c r="AJ58" s="681"/>
      <c r="AK58" s="681"/>
      <c r="AL58" s="1466" t="s">
        <v>2268</v>
      </c>
      <c r="AM58" s="1364"/>
      <c r="AN58" s="1364"/>
      <c r="AO58" s="1364"/>
      <c r="AP58" s="1364"/>
      <c r="AQ58" s="1467"/>
      <c r="AR58" s="1466"/>
      <c r="AS58" s="1364"/>
      <c r="AT58" s="1364"/>
      <c r="AU58" s="681"/>
      <c r="AV58" s="688"/>
      <c r="AW58" s="688"/>
      <c r="AX58" s="688"/>
      <c r="AY58" s="688"/>
      <c r="AZ58" s="688"/>
      <c r="BA58" s="688"/>
      <c r="BB58" s="689"/>
      <c r="BC58" s="690"/>
      <c r="BD58" s="1363" t="s">
        <v>2310</v>
      </c>
      <c r="BE58" s="1365"/>
      <c r="BF58" s="400"/>
      <c r="BG58" s="400"/>
      <c r="BH58" s="400"/>
      <c r="BI58" s="400"/>
      <c r="BS58" s="370"/>
    </row>
    <row r="59" spans="1:71" x14ac:dyDescent="0.15">
      <c r="B59" s="612"/>
      <c r="C59" s="1411"/>
      <c r="D59" s="401">
        <f>D58+1</f>
        <v>2</v>
      </c>
      <c r="E59" s="385" t="s">
        <v>2269</v>
      </c>
      <c r="F59" s="386"/>
      <c r="G59" s="386"/>
      <c r="H59" s="386"/>
      <c r="I59" s="386"/>
      <c r="J59" s="386"/>
      <c r="K59" s="386"/>
      <c r="L59" s="386"/>
      <c r="M59" s="387"/>
      <c r="N59" s="402">
        <v>2</v>
      </c>
      <c r="O59" s="403" t="s">
        <v>2311</v>
      </c>
      <c r="P59" s="386" t="s">
        <v>2312</v>
      </c>
      <c r="Q59" s="386"/>
      <c r="R59" s="386"/>
      <c r="S59" s="386"/>
      <c r="T59" s="386"/>
      <c r="U59" s="386"/>
      <c r="V59" s="386"/>
      <c r="W59" s="386"/>
      <c r="X59" s="386"/>
      <c r="Y59" s="386"/>
      <c r="Z59" s="386"/>
      <c r="AA59" s="386"/>
      <c r="AB59" s="386"/>
      <c r="AC59" s="386"/>
      <c r="AD59" s="386"/>
      <c r="AE59" s="386"/>
      <c r="AF59" s="386"/>
      <c r="AG59" s="404"/>
      <c r="AH59" s="386"/>
      <c r="AI59" s="386"/>
      <c r="AJ59" s="386"/>
      <c r="AK59" s="386"/>
      <c r="AL59" s="1468" t="s">
        <v>2268</v>
      </c>
      <c r="AM59" s="1469"/>
      <c r="AN59" s="1469"/>
      <c r="AO59" s="1469"/>
      <c r="AP59" s="1469"/>
      <c r="AQ59" s="1470"/>
      <c r="AR59" s="405"/>
      <c r="AS59" s="386"/>
      <c r="AT59" s="386"/>
      <c r="AU59" s="406"/>
      <c r="AV59" s="406"/>
      <c r="AW59" s="406"/>
      <c r="AX59" s="407"/>
      <c r="AY59" s="407"/>
      <c r="AZ59" s="407"/>
      <c r="BA59" s="407"/>
      <c r="BB59" s="408"/>
      <c r="BC59" s="409"/>
      <c r="BD59" s="1412" t="s">
        <v>2313</v>
      </c>
      <c r="BE59" s="1413"/>
      <c r="BF59" s="400"/>
      <c r="BG59" s="400"/>
      <c r="BH59" s="400"/>
      <c r="BI59" s="400"/>
      <c r="BS59" s="370"/>
    </row>
    <row r="60" spans="1:71" x14ac:dyDescent="0.15">
      <c r="A60" s="389"/>
      <c r="B60" s="612"/>
      <c r="C60" s="1411"/>
      <c r="D60" s="410">
        <v>3</v>
      </c>
      <c r="E60" s="379" t="s">
        <v>2314</v>
      </c>
      <c r="F60" s="380"/>
      <c r="G60" s="380"/>
      <c r="H60" s="380"/>
      <c r="I60" s="380"/>
      <c r="J60" s="380"/>
      <c r="K60" s="380"/>
      <c r="L60" s="380"/>
      <c r="M60" s="381"/>
      <c r="N60" s="411">
        <v>4</v>
      </c>
      <c r="O60" s="411" t="s">
        <v>2266</v>
      </c>
      <c r="P60" s="379" t="s">
        <v>2315</v>
      </c>
      <c r="Q60" s="412"/>
      <c r="R60" s="412"/>
      <c r="S60" s="412"/>
      <c r="T60" s="412"/>
      <c r="U60" s="412"/>
      <c r="V60" s="412"/>
      <c r="W60" s="412"/>
      <c r="X60" s="412"/>
      <c r="Y60" s="412"/>
      <c r="Z60" s="412"/>
      <c r="AA60" s="412"/>
      <c r="AB60" s="412"/>
      <c r="AC60" s="412"/>
      <c r="AD60" s="412"/>
      <c r="AE60" s="412"/>
      <c r="AF60" s="412"/>
      <c r="AG60" s="412"/>
      <c r="AH60" s="412"/>
      <c r="AI60" s="412"/>
      <c r="AJ60" s="412"/>
      <c r="AK60" s="412"/>
      <c r="AL60" s="1423">
        <v>2003</v>
      </c>
      <c r="AM60" s="1424"/>
      <c r="AN60" s="1425"/>
      <c r="AO60" s="1426">
        <v>2005</v>
      </c>
      <c r="AP60" s="1424"/>
      <c r="AQ60" s="1427"/>
      <c r="AR60" s="1428"/>
      <c r="AS60" s="1429"/>
      <c r="AT60" s="1429"/>
      <c r="AU60" s="1429"/>
      <c r="AV60" s="1429"/>
      <c r="AW60" s="1429"/>
      <c r="AX60" s="1429"/>
      <c r="AY60" s="1429"/>
      <c r="AZ60" s="1429"/>
      <c r="BA60" s="1429"/>
      <c r="BB60" s="1429"/>
      <c r="BC60" s="1430"/>
      <c r="BD60" s="1412" t="s">
        <v>2313</v>
      </c>
      <c r="BE60" s="1413"/>
      <c r="BS60" s="370"/>
    </row>
    <row r="61" spans="1:71" x14ac:dyDescent="0.15">
      <c r="B61" s="612"/>
      <c r="C61" s="1411"/>
      <c r="D61" s="401">
        <v>4</v>
      </c>
      <c r="E61" s="385" t="s">
        <v>2316</v>
      </c>
      <c r="F61" s="386"/>
      <c r="G61" s="386"/>
      <c r="H61" s="386"/>
      <c r="I61" s="386"/>
      <c r="J61" s="386"/>
      <c r="K61" s="386"/>
      <c r="L61" s="386"/>
      <c r="M61" s="387"/>
      <c r="N61" s="402">
        <v>1</v>
      </c>
      <c r="O61" s="402">
        <v>9</v>
      </c>
      <c r="P61" s="385" t="s">
        <v>2281</v>
      </c>
      <c r="Q61" s="413"/>
      <c r="R61" s="413"/>
      <c r="S61" s="413"/>
      <c r="T61" s="413"/>
      <c r="U61" s="413"/>
      <c r="V61" s="413"/>
      <c r="W61" s="413"/>
      <c r="X61" s="413"/>
      <c r="Y61" s="413"/>
      <c r="Z61" s="413"/>
      <c r="AA61" s="413"/>
      <c r="AB61" s="413"/>
      <c r="AC61" s="413"/>
      <c r="AD61" s="413"/>
      <c r="AE61" s="413"/>
      <c r="AF61" s="413"/>
      <c r="AG61" s="413"/>
      <c r="AH61" s="413"/>
      <c r="AI61" s="413"/>
      <c r="AJ61" s="413"/>
      <c r="AK61" s="413"/>
      <c r="AL61" s="1383" t="s">
        <v>2268</v>
      </c>
      <c r="AM61" s="1384"/>
      <c r="AN61" s="1384"/>
      <c r="AO61" s="1384"/>
      <c r="AP61" s="1384"/>
      <c r="AQ61" s="1385"/>
      <c r="AR61" s="405"/>
      <c r="AS61" s="386"/>
      <c r="AT61" s="386"/>
      <c r="AU61" s="414"/>
      <c r="AV61" s="414"/>
      <c r="AW61" s="414"/>
      <c r="AX61" s="407"/>
      <c r="AY61" s="407"/>
      <c r="AZ61" s="407"/>
      <c r="BA61" s="407"/>
      <c r="BB61" s="408"/>
      <c r="BC61" s="409"/>
      <c r="BD61" s="1431" t="s">
        <v>2317</v>
      </c>
      <c r="BE61" s="1432"/>
      <c r="BS61" s="370"/>
    </row>
    <row r="62" spans="1:71" x14ac:dyDescent="0.15">
      <c r="A62" s="389"/>
      <c r="B62" s="612"/>
      <c r="C62" s="1411"/>
      <c r="D62" s="401">
        <v>5</v>
      </c>
      <c r="E62" s="385" t="s">
        <v>2318</v>
      </c>
      <c r="F62" s="386"/>
      <c r="G62" s="386"/>
      <c r="H62" s="386"/>
      <c r="I62" s="386"/>
      <c r="J62" s="386"/>
      <c r="K62" s="386"/>
      <c r="L62" s="386"/>
      <c r="M62" s="387"/>
      <c r="N62" s="402">
        <v>11</v>
      </c>
      <c r="O62" s="403" t="s">
        <v>2266</v>
      </c>
      <c r="P62" s="385" t="s">
        <v>2319</v>
      </c>
      <c r="Q62" s="386"/>
      <c r="R62" s="386"/>
      <c r="S62" s="386"/>
      <c r="T62" s="386"/>
      <c r="U62" s="386"/>
      <c r="V62" s="386"/>
      <c r="W62" s="386"/>
      <c r="X62" s="386"/>
      <c r="Y62" s="386"/>
      <c r="Z62" s="386"/>
      <c r="AA62" s="386"/>
      <c r="AB62" s="386"/>
      <c r="AC62" s="386"/>
      <c r="AD62" s="386"/>
      <c r="AE62" s="386"/>
      <c r="AF62" s="386"/>
      <c r="AG62" s="386"/>
      <c r="AH62" s="386"/>
      <c r="AI62" s="386"/>
      <c r="AJ62" s="386"/>
      <c r="AK62" s="386"/>
      <c r="AL62" s="1383" t="s">
        <v>2268</v>
      </c>
      <c r="AM62" s="1384"/>
      <c r="AN62" s="1384"/>
      <c r="AO62" s="1384"/>
      <c r="AP62" s="1384"/>
      <c r="AQ62" s="1385"/>
      <c r="AR62" s="405"/>
      <c r="AS62" s="386"/>
      <c r="AT62" s="386"/>
      <c r="AU62" s="414"/>
      <c r="AV62" s="414"/>
      <c r="AW62" s="414"/>
      <c r="AX62" s="407"/>
      <c r="AY62" s="407"/>
      <c r="AZ62" s="407"/>
      <c r="BA62" s="407"/>
      <c r="BB62" s="408"/>
      <c r="BC62" s="409"/>
      <c r="BD62" s="1389" t="s">
        <v>2313</v>
      </c>
      <c r="BE62" s="1390"/>
      <c r="BI62" s="415"/>
      <c r="BS62" s="370"/>
    </row>
    <row r="63" spans="1:71" x14ac:dyDescent="0.15">
      <c r="B63" s="612"/>
      <c r="C63" s="1411"/>
      <c r="D63" s="401">
        <v>6</v>
      </c>
      <c r="E63" s="385" t="s">
        <v>2320</v>
      </c>
      <c r="F63" s="386"/>
      <c r="G63" s="386"/>
      <c r="H63" s="386"/>
      <c r="I63" s="386"/>
      <c r="J63" s="386"/>
      <c r="K63" s="386"/>
      <c r="L63" s="386"/>
      <c r="M63" s="387"/>
      <c r="N63" s="402">
        <v>30</v>
      </c>
      <c r="O63" s="402" t="s">
        <v>2266</v>
      </c>
      <c r="P63" s="385" t="s">
        <v>2321</v>
      </c>
      <c r="Q63" s="386"/>
      <c r="R63" s="386"/>
      <c r="S63" s="386"/>
      <c r="T63" s="386"/>
      <c r="U63" s="386"/>
      <c r="V63" s="386"/>
      <c r="W63" s="386"/>
      <c r="X63" s="386"/>
      <c r="Y63" s="386"/>
      <c r="Z63" s="386"/>
      <c r="AA63" s="386"/>
      <c r="AB63" s="386"/>
      <c r="AC63" s="386"/>
      <c r="AD63" s="386"/>
      <c r="AE63" s="386"/>
      <c r="AF63" s="386"/>
      <c r="AG63" s="386"/>
      <c r="AH63" s="386"/>
      <c r="AI63" s="386"/>
      <c r="AJ63" s="386"/>
      <c r="AK63" s="386"/>
      <c r="AL63" s="1383" t="s">
        <v>1005</v>
      </c>
      <c r="AM63" s="1384"/>
      <c r="AN63" s="1384"/>
      <c r="AO63" s="1384"/>
      <c r="AP63" s="1384"/>
      <c r="AQ63" s="1385"/>
      <c r="AR63" s="405"/>
      <c r="AS63" s="386"/>
      <c r="AT63" s="386"/>
      <c r="AU63" s="414"/>
      <c r="AV63" s="414"/>
      <c r="AW63" s="414"/>
      <c r="AX63" s="407"/>
      <c r="AY63" s="407"/>
      <c r="AZ63" s="407"/>
      <c r="BA63" s="407"/>
      <c r="BB63" s="408"/>
      <c r="BC63" s="409"/>
      <c r="BD63" s="1389" t="s">
        <v>2313</v>
      </c>
      <c r="BE63" s="1390"/>
      <c r="BS63" s="370"/>
    </row>
    <row r="64" spans="1:71" x14ac:dyDescent="0.15">
      <c r="A64" s="389"/>
      <c r="B64" s="612"/>
      <c r="C64" s="1411"/>
      <c r="D64" s="614"/>
      <c r="E64" s="610"/>
      <c r="F64" s="369"/>
      <c r="G64" s="369"/>
      <c r="H64" s="369"/>
      <c r="I64" s="369"/>
      <c r="J64" s="369"/>
      <c r="K64" s="369"/>
      <c r="L64" s="369"/>
      <c r="M64" s="416"/>
      <c r="N64" s="615"/>
      <c r="O64" s="615"/>
      <c r="P64" s="610" t="s">
        <v>2322</v>
      </c>
      <c r="Q64" s="369"/>
      <c r="R64" s="369"/>
      <c r="S64" s="369"/>
      <c r="T64" s="369"/>
      <c r="U64" s="369"/>
      <c r="V64" s="369"/>
      <c r="W64" s="369"/>
      <c r="X64" s="369"/>
      <c r="Y64" s="369"/>
      <c r="Z64" s="369"/>
      <c r="AA64" s="369"/>
      <c r="AB64" s="369"/>
      <c r="AC64" s="369"/>
      <c r="AD64" s="369"/>
      <c r="AE64" s="369"/>
      <c r="AF64" s="369"/>
      <c r="AG64" s="369"/>
      <c r="AH64" s="369"/>
      <c r="AI64" s="369"/>
      <c r="AJ64" s="369"/>
      <c r="AK64" s="369"/>
      <c r="AL64" s="1408"/>
      <c r="AM64" s="1355"/>
      <c r="AN64" s="1355"/>
      <c r="AO64" s="1355"/>
      <c r="AP64" s="1355"/>
      <c r="AQ64" s="1409"/>
      <c r="AR64" s="417"/>
      <c r="AS64" s="369"/>
      <c r="AT64" s="369"/>
      <c r="AU64" s="368"/>
      <c r="AV64" s="368"/>
      <c r="AW64" s="368"/>
      <c r="AX64" s="418"/>
      <c r="AY64" s="418"/>
      <c r="AZ64" s="418"/>
      <c r="BA64" s="418"/>
      <c r="BB64" s="400"/>
      <c r="BC64" s="419"/>
      <c r="BD64" s="1417"/>
      <c r="BE64" s="1418"/>
      <c r="BI64" s="415"/>
      <c r="BS64" s="370"/>
    </row>
    <row r="65" spans="1:71" x14ac:dyDescent="0.15">
      <c r="A65" s="389"/>
      <c r="B65" s="612"/>
      <c r="C65" s="1411"/>
      <c r="D65" s="614"/>
      <c r="E65" s="610"/>
      <c r="F65" s="369"/>
      <c r="G65" s="369"/>
      <c r="H65" s="369"/>
      <c r="I65" s="369"/>
      <c r="J65" s="369"/>
      <c r="K65" s="369"/>
      <c r="L65" s="369"/>
      <c r="M65" s="416"/>
      <c r="N65" s="615"/>
      <c r="O65" s="615"/>
      <c r="P65" s="616"/>
      <c r="Q65" s="369" t="s">
        <v>2323</v>
      </c>
      <c r="R65" s="369"/>
      <c r="S65" s="369"/>
      <c r="T65" s="420"/>
      <c r="U65" s="369"/>
      <c r="V65" s="369"/>
      <c r="W65" s="369"/>
      <c r="X65" s="369"/>
      <c r="Y65" s="369"/>
      <c r="Z65" s="369"/>
      <c r="AA65" s="369"/>
      <c r="AB65" s="369"/>
      <c r="AC65" s="369"/>
      <c r="AD65" s="369"/>
      <c r="AE65" s="369"/>
      <c r="AF65" s="369"/>
      <c r="AG65" s="369"/>
      <c r="AH65" s="369"/>
      <c r="AI65" s="369"/>
      <c r="AJ65" s="369"/>
      <c r="AK65" s="369"/>
      <c r="AL65" s="1408"/>
      <c r="AM65" s="1355"/>
      <c r="AN65" s="1355"/>
      <c r="AO65" s="1355"/>
      <c r="AP65" s="1355"/>
      <c r="AQ65" s="1409"/>
      <c r="AR65" s="417"/>
      <c r="AS65" s="369"/>
      <c r="AT65" s="369"/>
      <c r="AU65" s="368"/>
      <c r="AV65" s="368"/>
      <c r="AW65" s="368"/>
      <c r="AX65" s="418"/>
      <c r="AY65" s="418"/>
      <c r="AZ65" s="418"/>
      <c r="BA65" s="418"/>
      <c r="BB65" s="400"/>
      <c r="BC65" s="419"/>
      <c r="BD65" s="1417"/>
      <c r="BE65" s="1418"/>
      <c r="BS65" s="370"/>
    </row>
    <row r="66" spans="1:71" x14ac:dyDescent="0.15">
      <c r="A66" s="389"/>
      <c r="B66" s="612"/>
      <c r="C66" s="1411"/>
      <c r="D66" s="614"/>
      <c r="E66" s="610"/>
      <c r="F66" s="369"/>
      <c r="G66" s="369"/>
      <c r="H66" s="369"/>
      <c r="I66" s="369"/>
      <c r="J66" s="369"/>
      <c r="K66" s="369"/>
      <c r="L66" s="369"/>
      <c r="M66" s="416"/>
      <c r="N66" s="615"/>
      <c r="O66" s="615"/>
      <c r="P66" s="610"/>
      <c r="Q66" s="369" t="s">
        <v>2324</v>
      </c>
      <c r="R66" s="369"/>
      <c r="S66" s="369"/>
      <c r="T66" s="369"/>
      <c r="U66" s="369"/>
      <c r="V66" s="369"/>
      <c r="W66" s="369"/>
      <c r="X66" s="369"/>
      <c r="Y66" s="369"/>
      <c r="Z66" s="369"/>
      <c r="AA66" s="369"/>
      <c r="AB66" s="369"/>
      <c r="AC66" s="369"/>
      <c r="AD66" s="369"/>
      <c r="AE66" s="369"/>
      <c r="AF66" s="369"/>
      <c r="AG66" s="369"/>
      <c r="AH66" s="369"/>
      <c r="AI66" s="369"/>
      <c r="AJ66" s="369"/>
      <c r="AK66" s="369"/>
      <c r="AL66" s="1408"/>
      <c r="AM66" s="1355"/>
      <c r="AN66" s="1355"/>
      <c r="AO66" s="1355"/>
      <c r="AP66" s="1355"/>
      <c r="AQ66" s="1409"/>
      <c r="AR66" s="417"/>
      <c r="AS66" s="369"/>
      <c r="AT66" s="369"/>
      <c r="AU66" s="368"/>
      <c r="AV66" s="368"/>
      <c r="AW66" s="368"/>
      <c r="AX66" s="418"/>
      <c r="AY66" s="418"/>
      <c r="AZ66" s="418"/>
      <c r="BA66" s="418"/>
      <c r="BB66" s="400"/>
      <c r="BC66" s="419"/>
      <c r="BD66" s="1417"/>
      <c r="BE66" s="1418"/>
      <c r="BS66" s="370"/>
    </row>
    <row r="67" spans="1:71" x14ac:dyDescent="0.15">
      <c r="A67" s="389"/>
      <c r="B67" s="612"/>
      <c r="C67" s="1411"/>
      <c r="D67" s="614"/>
      <c r="E67" s="610"/>
      <c r="F67" s="369"/>
      <c r="G67" s="369"/>
      <c r="H67" s="369"/>
      <c r="I67" s="369"/>
      <c r="J67" s="369"/>
      <c r="K67" s="369"/>
      <c r="L67" s="369"/>
      <c r="M67" s="416"/>
      <c r="N67" s="615"/>
      <c r="O67" s="615"/>
      <c r="P67" s="610"/>
      <c r="Q67" s="421" t="s">
        <v>2325</v>
      </c>
      <c r="R67" s="369"/>
      <c r="S67" s="369"/>
      <c r="T67" s="369"/>
      <c r="U67" s="369"/>
      <c r="V67" s="369"/>
      <c r="W67" s="369"/>
      <c r="X67" s="369"/>
      <c r="Y67" s="369"/>
      <c r="Z67" s="369"/>
      <c r="AA67" s="369"/>
      <c r="AB67" s="369"/>
      <c r="AC67" s="369"/>
      <c r="AD67" s="369"/>
      <c r="AE67" s="369"/>
      <c r="AF67" s="369"/>
      <c r="AG67" s="369"/>
      <c r="AH67" s="369"/>
      <c r="AI67" s="369"/>
      <c r="AJ67" s="369"/>
      <c r="AK67" s="369"/>
      <c r="AL67" s="1408"/>
      <c r="AM67" s="1355"/>
      <c r="AN67" s="1355"/>
      <c r="AO67" s="1355"/>
      <c r="AP67" s="1355"/>
      <c r="AQ67" s="1409"/>
      <c r="AR67" s="417"/>
      <c r="AS67" s="369"/>
      <c r="AT67" s="369"/>
      <c r="AU67" s="368"/>
      <c r="AV67" s="368"/>
      <c r="AW67" s="368"/>
      <c r="AX67" s="418"/>
      <c r="AY67" s="418"/>
      <c r="AZ67" s="418"/>
      <c r="BA67" s="418"/>
      <c r="BB67" s="400"/>
      <c r="BC67" s="419"/>
      <c r="BD67" s="1417"/>
      <c r="BE67" s="1418"/>
      <c r="BS67" s="370"/>
    </row>
    <row r="68" spans="1:71" x14ac:dyDescent="0.15">
      <c r="A68" s="389"/>
      <c r="B68" s="612"/>
      <c r="C68" s="1411"/>
      <c r="D68" s="422"/>
      <c r="E68" s="423"/>
      <c r="F68" s="424"/>
      <c r="G68" s="424"/>
      <c r="H68" s="424"/>
      <c r="I68" s="424"/>
      <c r="J68" s="424"/>
      <c r="K68" s="424"/>
      <c r="L68" s="424"/>
      <c r="M68" s="425"/>
      <c r="N68" s="426"/>
      <c r="O68" s="426"/>
      <c r="P68" s="427"/>
      <c r="Q68" s="428"/>
      <c r="R68" s="424"/>
      <c r="S68" s="424"/>
      <c r="T68" s="424"/>
      <c r="U68" s="424"/>
      <c r="V68" s="424"/>
      <c r="W68" s="424"/>
      <c r="X68" s="424"/>
      <c r="Y68" s="424"/>
      <c r="Z68" s="424"/>
      <c r="AA68" s="424"/>
      <c r="AB68" s="424"/>
      <c r="AC68" s="424"/>
      <c r="AD68" s="424"/>
      <c r="AE68" s="424"/>
      <c r="AF68" s="424"/>
      <c r="AG68" s="424"/>
      <c r="AH68" s="424"/>
      <c r="AI68" s="424"/>
      <c r="AJ68" s="424"/>
      <c r="AK68" s="424"/>
      <c r="AL68" s="1416"/>
      <c r="AM68" s="1404"/>
      <c r="AN68" s="1404"/>
      <c r="AO68" s="1404"/>
      <c r="AP68" s="1404"/>
      <c r="AQ68" s="1405"/>
      <c r="AR68" s="429"/>
      <c r="AS68" s="424"/>
      <c r="AT68" s="424"/>
      <c r="AU68" s="430"/>
      <c r="AV68" s="430"/>
      <c r="AW68" s="430"/>
      <c r="AX68" s="431"/>
      <c r="AY68" s="431"/>
      <c r="AZ68" s="431"/>
      <c r="BA68" s="431"/>
      <c r="BB68" s="432"/>
      <c r="BC68" s="433"/>
      <c r="BD68" s="1406"/>
      <c r="BE68" s="1407"/>
      <c r="BS68" s="370"/>
    </row>
    <row r="69" spans="1:71" ht="14.25" x14ac:dyDescent="0.2">
      <c r="A69" s="484" t="s">
        <v>598</v>
      </c>
      <c r="B69" s="612"/>
      <c r="C69" s="1411"/>
      <c r="D69" s="401">
        <v>7</v>
      </c>
      <c r="E69" s="385" t="s">
        <v>2326</v>
      </c>
      <c r="F69" s="386"/>
      <c r="G69" s="386"/>
      <c r="H69" s="386"/>
      <c r="I69" s="386"/>
      <c r="J69" s="386"/>
      <c r="K69" s="386"/>
      <c r="L69" s="386"/>
      <c r="M69" s="387"/>
      <c r="N69" s="402">
        <v>20</v>
      </c>
      <c r="O69" s="402" t="s">
        <v>2266</v>
      </c>
      <c r="P69" s="617" t="s">
        <v>2327</v>
      </c>
      <c r="Q69" s="434"/>
      <c r="R69" s="434"/>
      <c r="S69" s="434"/>
      <c r="T69" s="434"/>
      <c r="U69" s="434"/>
      <c r="V69" s="421"/>
      <c r="W69" s="421"/>
      <c r="X69" s="421"/>
      <c r="Y69" s="435"/>
      <c r="Z69" s="435"/>
      <c r="AA69" s="435"/>
      <c r="AB69" s="435"/>
      <c r="AC69" s="436"/>
      <c r="AD69" s="436"/>
      <c r="AE69" s="436"/>
      <c r="AF69" s="436"/>
      <c r="AG69" s="436"/>
      <c r="AH69" s="436"/>
      <c r="AI69" s="436"/>
      <c r="AJ69" s="436"/>
      <c r="AK69" s="437"/>
      <c r="AL69" s="1383" t="s">
        <v>1005</v>
      </c>
      <c r="AM69" s="1384"/>
      <c r="AN69" s="1384"/>
      <c r="AO69" s="1384"/>
      <c r="AP69" s="1384"/>
      <c r="AQ69" s="1385"/>
      <c r="AR69" s="481" t="s">
        <v>2328</v>
      </c>
      <c r="AS69" s="369"/>
      <c r="AT69" s="369"/>
      <c r="AU69" s="368"/>
      <c r="AV69" s="368"/>
      <c r="AW69" s="368"/>
      <c r="AX69" s="418"/>
      <c r="AY69" s="418"/>
      <c r="AZ69" s="418"/>
      <c r="BA69" s="418"/>
      <c r="BB69" s="400"/>
      <c r="BC69" s="419"/>
      <c r="BD69" s="1389" t="s">
        <v>2313</v>
      </c>
      <c r="BE69" s="1390"/>
      <c r="BS69" s="370"/>
    </row>
    <row r="70" spans="1:71" ht="14.25" x14ac:dyDescent="0.2">
      <c r="A70" s="484" t="s">
        <v>598</v>
      </c>
      <c r="B70" s="612"/>
      <c r="C70" s="1411"/>
      <c r="D70" s="614"/>
      <c r="E70" s="610"/>
      <c r="F70" s="369"/>
      <c r="G70" s="369"/>
      <c r="H70" s="369"/>
      <c r="I70" s="369"/>
      <c r="J70" s="369"/>
      <c r="K70" s="369"/>
      <c r="L70" s="369"/>
      <c r="M70" s="416"/>
      <c r="N70" s="615"/>
      <c r="O70" s="615"/>
      <c r="P70" s="618"/>
      <c r="Q70" s="421" t="s">
        <v>2329</v>
      </c>
      <c r="R70" s="434"/>
      <c r="S70" s="434"/>
      <c r="T70" s="434"/>
      <c r="U70" s="434"/>
      <c r="V70" s="421"/>
      <c r="W70" s="421"/>
      <c r="X70" s="421"/>
      <c r="Y70" s="435"/>
      <c r="Z70" s="435"/>
      <c r="AA70" s="435"/>
      <c r="AB70" s="435"/>
      <c r="AC70" s="436"/>
      <c r="AD70" s="436"/>
      <c r="AE70" s="436"/>
      <c r="AF70" s="436"/>
      <c r="AG70" s="436"/>
      <c r="AH70" s="436"/>
      <c r="AI70" s="436"/>
      <c r="AJ70" s="436"/>
      <c r="AK70" s="437"/>
      <c r="AL70" s="1408"/>
      <c r="AM70" s="1355"/>
      <c r="AN70" s="1355"/>
      <c r="AO70" s="1355"/>
      <c r="AP70" s="1355"/>
      <c r="AQ70" s="1409"/>
      <c r="AR70" s="481" t="s">
        <v>2330</v>
      </c>
      <c r="AS70" s="369"/>
      <c r="AT70" s="369"/>
      <c r="AU70" s="368"/>
      <c r="AV70" s="368"/>
      <c r="AW70" s="368"/>
      <c r="AX70" s="418"/>
      <c r="AY70" s="418"/>
      <c r="AZ70" s="418"/>
      <c r="BA70" s="418"/>
      <c r="BB70" s="400"/>
      <c r="BC70" s="419"/>
      <c r="BD70" s="1417"/>
      <c r="BE70" s="1418"/>
      <c r="BS70" s="370"/>
    </row>
    <row r="71" spans="1:71" ht="14.25" x14ac:dyDescent="0.2">
      <c r="A71" s="484" t="s">
        <v>598</v>
      </c>
      <c r="B71" s="612"/>
      <c r="C71" s="1411"/>
      <c r="D71" s="614"/>
      <c r="E71" s="610"/>
      <c r="F71" s="369"/>
      <c r="G71" s="369"/>
      <c r="H71" s="369"/>
      <c r="I71" s="369"/>
      <c r="J71" s="369"/>
      <c r="K71" s="369"/>
      <c r="L71" s="369"/>
      <c r="M71" s="416"/>
      <c r="N71" s="615"/>
      <c r="O71" s="615"/>
      <c r="P71" s="618"/>
      <c r="Q71" s="421" t="s">
        <v>2331</v>
      </c>
      <c r="R71" s="434"/>
      <c r="S71" s="434"/>
      <c r="T71" s="434"/>
      <c r="U71" s="434"/>
      <c r="V71" s="421"/>
      <c r="W71" s="421"/>
      <c r="X71" s="421"/>
      <c r="Y71" s="435"/>
      <c r="Z71" s="435"/>
      <c r="AA71" s="435"/>
      <c r="AB71" s="435"/>
      <c r="AC71" s="436"/>
      <c r="AD71" s="436"/>
      <c r="AE71" s="436"/>
      <c r="AF71" s="436"/>
      <c r="AG71" s="436"/>
      <c r="AH71" s="436"/>
      <c r="AI71" s="436"/>
      <c r="AJ71" s="436"/>
      <c r="AK71" s="437"/>
      <c r="AL71" s="1408"/>
      <c r="AM71" s="1355"/>
      <c r="AN71" s="1355"/>
      <c r="AO71" s="1355"/>
      <c r="AP71" s="1355"/>
      <c r="AQ71" s="1409"/>
      <c r="AR71" s="493" t="s">
        <v>2332</v>
      </c>
      <c r="AS71" s="369"/>
      <c r="AT71" s="369"/>
      <c r="AU71" s="368"/>
      <c r="AV71" s="368"/>
      <c r="AW71" s="368"/>
      <c r="AX71" s="418"/>
      <c r="AY71" s="418"/>
      <c r="AZ71" s="418"/>
      <c r="BA71" s="418"/>
      <c r="BB71" s="400"/>
      <c r="BC71" s="419"/>
      <c r="BD71" s="1417"/>
      <c r="BE71" s="1418"/>
      <c r="BS71" s="370"/>
    </row>
    <row r="72" spans="1:71" ht="14.25" x14ac:dyDescent="0.2">
      <c r="A72" s="484" t="s">
        <v>598</v>
      </c>
      <c r="B72" s="612"/>
      <c r="C72" s="1411"/>
      <c r="D72" s="614"/>
      <c r="E72" s="610"/>
      <c r="F72" s="369"/>
      <c r="G72" s="369"/>
      <c r="H72" s="369"/>
      <c r="I72" s="369"/>
      <c r="J72" s="369"/>
      <c r="K72" s="369"/>
      <c r="L72" s="369"/>
      <c r="M72" s="416"/>
      <c r="N72" s="615"/>
      <c r="O72" s="615"/>
      <c r="P72" s="618"/>
      <c r="Q72" s="421" t="s">
        <v>2333</v>
      </c>
      <c r="R72" s="434"/>
      <c r="S72" s="434"/>
      <c r="T72" s="434"/>
      <c r="U72" s="434"/>
      <c r="V72" s="421"/>
      <c r="W72" s="421"/>
      <c r="X72" s="421"/>
      <c r="Y72" s="435"/>
      <c r="Z72" s="435"/>
      <c r="AA72" s="435"/>
      <c r="AB72" s="435"/>
      <c r="AC72" s="436"/>
      <c r="AD72" s="436"/>
      <c r="AE72" s="436"/>
      <c r="AF72" s="436"/>
      <c r="AG72" s="436"/>
      <c r="AH72" s="436"/>
      <c r="AI72" s="436"/>
      <c r="AJ72" s="436"/>
      <c r="AK72" s="437"/>
      <c r="AL72" s="1408"/>
      <c r="AM72" s="1355"/>
      <c r="AN72" s="1355"/>
      <c r="AO72" s="1355"/>
      <c r="AP72" s="1355"/>
      <c r="AQ72" s="1409"/>
      <c r="AR72" s="481" t="s">
        <v>2334</v>
      </c>
      <c r="AS72" s="369"/>
      <c r="AT72" s="369"/>
      <c r="AU72" s="368"/>
      <c r="AV72" s="368"/>
      <c r="AW72" s="368"/>
      <c r="AX72" s="418"/>
      <c r="AY72" s="418"/>
      <c r="AZ72" s="418"/>
      <c r="BA72" s="418"/>
      <c r="BB72" s="400"/>
      <c r="BC72" s="419"/>
      <c r="BD72" s="1417"/>
      <c r="BE72" s="1418"/>
      <c r="BS72" s="370"/>
    </row>
    <row r="73" spans="1:71" x14ac:dyDescent="0.15">
      <c r="A73" s="389"/>
      <c r="B73" s="612"/>
      <c r="C73" s="1411"/>
      <c r="D73" s="614"/>
      <c r="E73" s="610"/>
      <c r="F73" s="369"/>
      <c r="G73" s="369"/>
      <c r="H73" s="369"/>
      <c r="I73" s="369"/>
      <c r="J73" s="369"/>
      <c r="K73" s="369"/>
      <c r="L73" s="369"/>
      <c r="M73" s="416"/>
      <c r="N73" s="615"/>
      <c r="O73" s="615"/>
      <c r="P73" s="618"/>
      <c r="Q73" s="421" t="s">
        <v>2335</v>
      </c>
      <c r="R73" s="434"/>
      <c r="S73" s="434"/>
      <c r="T73" s="434"/>
      <c r="U73" s="434"/>
      <c r="V73" s="421"/>
      <c r="W73" s="421"/>
      <c r="X73" s="421"/>
      <c r="Y73" s="435"/>
      <c r="Z73" s="435"/>
      <c r="AA73" s="435"/>
      <c r="AB73" s="435"/>
      <c r="AC73" s="436"/>
      <c r="AD73" s="436"/>
      <c r="AE73" s="436"/>
      <c r="AF73" s="436"/>
      <c r="AG73" s="436"/>
      <c r="AH73" s="436"/>
      <c r="AI73" s="436"/>
      <c r="AJ73" s="436"/>
      <c r="AK73" s="437"/>
      <c r="AL73" s="1408"/>
      <c r="AM73" s="1355"/>
      <c r="AN73" s="1355"/>
      <c r="AO73" s="1355"/>
      <c r="AP73" s="1355"/>
      <c r="AQ73" s="1409"/>
      <c r="AR73" s="417"/>
      <c r="AS73" s="369"/>
      <c r="AT73" s="369"/>
      <c r="AU73" s="368"/>
      <c r="AV73" s="368"/>
      <c r="AW73" s="368"/>
      <c r="AX73" s="418"/>
      <c r="AY73" s="418"/>
      <c r="AZ73" s="418"/>
      <c r="BA73" s="418"/>
      <c r="BB73" s="400"/>
      <c r="BC73" s="419"/>
      <c r="BD73" s="1417"/>
      <c r="BE73" s="1418"/>
      <c r="BS73" s="370"/>
    </row>
    <row r="74" spans="1:71" x14ac:dyDescent="0.15">
      <c r="A74" s="389"/>
      <c r="B74" s="612"/>
      <c r="C74" s="1411"/>
      <c r="D74" s="422"/>
      <c r="E74" s="423"/>
      <c r="F74" s="424"/>
      <c r="G74" s="424"/>
      <c r="H74" s="424"/>
      <c r="I74" s="424"/>
      <c r="J74" s="424"/>
      <c r="K74" s="424"/>
      <c r="L74" s="424"/>
      <c r="M74" s="425"/>
      <c r="N74" s="426"/>
      <c r="O74" s="426"/>
      <c r="P74" s="618"/>
      <c r="Q74" s="421" t="s">
        <v>2336</v>
      </c>
      <c r="R74" s="434"/>
      <c r="S74" s="434"/>
      <c r="T74" s="434"/>
      <c r="U74" s="434"/>
      <c r="V74" s="438"/>
      <c r="W74" s="438"/>
      <c r="X74" s="438"/>
      <c r="Y74" s="439"/>
      <c r="Z74" s="439"/>
      <c r="AA74" s="439"/>
      <c r="AB74" s="439"/>
      <c r="AC74" s="440"/>
      <c r="AD74" s="440"/>
      <c r="AE74" s="440"/>
      <c r="AF74" s="440"/>
      <c r="AG74" s="440"/>
      <c r="AH74" s="440"/>
      <c r="AI74" s="440"/>
      <c r="AJ74" s="440"/>
      <c r="AK74" s="441"/>
      <c r="AL74" s="1416"/>
      <c r="AM74" s="1404"/>
      <c r="AN74" s="1404"/>
      <c r="AO74" s="1404"/>
      <c r="AP74" s="1404"/>
      <c r="AQ74" s="1405"/>
      <c r="AR74" s="417"/>
      <c r="AS74" s="369"/>
      <c r="AT74" s="369"/>
      <c r="AU74" s="430"/>
      <c r="AV74" s="430"/>
      <c r="AW74" s="430"/>
      <c r="AX74" s="418"/>
      <c r="AY74" s="418"/>
      <c r="AZ74" s="418"/>
      <c r="BA74" s="418"/>
      <c r="BB74" s="400"/>
      <c r="BC74" s="419"/>
      <c r="BD74" s="1406"/>
      <c r="BE74" s="1407"/>
      <c r="BS74" s="370"/>
    </row>
    <row r="75" spans="1:71" x14ac:dyDescent="0.15">
      <c r="A75" s="389"/>
      <c r="B75" s="612"/>
      <c r="C75" s="1411"/>
      <c r="D75" s="442">
        <v>8</v>
      </c>
      <c r="E75" s="379" t="s">
        <v>2337</v>
      </c>
      <c r="F75" s="380"/>
      <c r="G75" s="380"/>
      <c r="H75" s="380"/>
      <c r="I75" s="380"/>
      <c r="J75" s="380"/>
      <c r="K75" s="380"/>
      <c r="L75" s="380"/>
      <c r="M75" s="381"/>
      <c r="N75" s="443">
        <v>1</v>
      </c>
      <c r="O75" s="411">
        <v>9</v>
      </c>
      <c r="P75" s="380" t="s">
        <v>2338</v>
      </c>
      <c r="Q75" s="380"/>
      <c r="R75" s="380"/>
      <c r="S75" s="380"/>
      <c r="T75" s="380"/>
      <c r="U75" s="380"/>
      <c r="V75" s="380"/>
      <c r="W75" s="380"/>
      <c r="X75" s="380"/>
      <c r="Y75" s="380"/>
      <c r="Z75" s="380"/>
      <c r="AA75" s="380"/>
      <c r="AB75" s="380"/>
      <c r="AC75" s="380"/>
      <c r="AD75" s="380"/>
      <c r="AE75" s="380"/>
      <c r="AF75" s="380"/>
      <c r="AG75" s="380"/>
      <c r="AH75" s="380"/>
      <c r="AI75" s="380"/>
      <c r="AJ75" s="380"/>
      <c r="AK75" s="380"/>
      <c r="AL75" s="1383" t="s">
        <v>2268</v>
      </c>
      <c r="AM75" s="1384"/>
      <c r="AN75" s="1384"/>
      <c r="AO75" s="1384"/>
      <c r="AP75" s="1384"/>
      <c r="AQ75" s="1385"/>
      <c r="AR75" s="405"/>
      <c r="AS75" s="386"/>
      <c r="AT75" s="386"/>
      <c r="AU75" s="406"/>
      <c r="AV75" s="406"/>
      <c r="AW75" s="406"/>
      <c r="AX75" s="407"/>
      <c r="AY75" s="407"/>
      <c r="AZ75" s="407"/>
      <c r="BA75" s="407"/>
      <c r="BB75" s="408"/>
      <c r="BC75" s="409"/>
      <c r="BD75" s="1412" t="s">
        <v>2310</v>
      </c>
      <c r="BE75" s="1413"/>
      <c r="BH75" s="400"/>
      <c r="BS75" s="370"/>
    </row>
    <row r="76" spans="1:71" ht="13.5" customHeight="1" x14ac:dyDescent="0.15">
      <c r="B76" s="612"/>
      <c r="C76" s="1411"/>
      <c r="D76" s="401">
        <v>9</v>
      </c>
      <c r="E76" s="385" t="s">
        <v>2339</v>
      </c>
      <c r="F76" s="386"/>
      <c r="G76" s="386"/>
      <c r="H76" s="386"/>
      <c r="I76" s="386"/>
      <c r="J76" s="386"/>
      <c r="K76" s="386"/>
      <c r="L76" s="386"/>
      <c r="M76" s="387"/>
      <c r="N76" s="1414">
        <v>80</v>
      </c>
      <c r="O76" s="1414" t="s">
        <v>2266</v>
      </c>
      <c r="P76" s="385" t="s">
        <v>2340</v>
      </c>
      <c r="Q76" s="413"/>
      <c r="R76" s="413"/>
      <c r="S76" s="413"/>
      <c r="T76" s="413"/>
      <c r="U76" s="413"/>
      <c r="V76" s="413"/>
      <c r="W76" s="413"/>
      <c r="X76" s="413"/>
      <c r="Y76" s="413"/>
      <c r="Z76" s="413"/>
      <c r="AA76" s="413"/>
      <c r="AB76" s="413"/>
      <c r="AC76" s="413"/>
      <c r="AD76" s="386"/>
      <c r="AE76" s="386"/>
      <c r="AF76" s="386"/>
      <c r="AG76" s="386"/>
      <c r="AH76" s="386"/>
      <c r="AI76" s="386"/>
      <c r="AJ76" s="386"/>
      <c r="AK76" s="386"/>
      <c r="AL76" s="1383" t="s">
        <v>1005</v>
      </c>
      <c r="AM76" s="1384"/>
      <c r="AN76" s="1384"/>
      <c r="AO76" s="1384"/>
      <c r="AP76" s="1384"/>
      <c r="AQ76" s="1385"/>
      <c r="AR76" s="405"/>
      <c r="AS76" s="386"/>
      <c r="AT76" s="386"/>
      <c r="AU76" s="414"/>
      <c r="AV76" s="414"/>
      <c r="AW76" s="414"/>
      <c r="AX76" s="407"/>
      <c r="AY76" s="407"/>
      <c r="AZ76" s="407"/>
      <c r="BA76" s="407"/>
      <c r="BB76" s="408"/>
      <c r="BC76" s="409"/>
      <c r="BD76" s="1389" t="s">
        <v>2341</v>
      </c>
      <c r="BE76" s="1390"/>
      <c r="BH76" s="400"/>
      <c r="BS76" s="370"/>
    </row>
    <row r="77" spans="1:71" ht="13.5" customHeight="1" x14ac:dyDescent="0.15">
      <c r="B77" s="612"/>
      <c r="C77" s="1411"/>
      <c r="D77" s="614"/>
      <c r="E77" s="610"/>
      <c r="F77" s="369"/>
      <c r="G77" s="369"/>
      <c r="H77" s="369"/>
      <c r="I77" s="369"/>
      <c r="J77" s="369"/>
      <c r="K77" s="369"/>
      <c r="L77" s="369"/>
      <c r="M77" s="416"/>
      <c r="N77" s="1415"/>
      <c r="O77" s="1415"/>
      <c r="P77" s="610" t="s">
        <v>2342</v>
      </c>
      <c r="Q77" s="444"/>
      <c r="R77" s="444"/>
      <c r="S77" s="444"/>
      <c r="T77" s="444"/>
      <c r="U77" s="444"/>
      <c r="V77" s="444"/>
      <c r="W77" s="444"/>
      <c r="X77" s="444"/>
      <c r="Y77" s="444"/>
      <c r="Z77" s="444"/>
      <c r="AA77" s="444"/>
      <c r="AB77" s="444"/>
      <c r="AC77" s="444"/>
      <c r="AD77" s="369"/>
      <c r="AE77" s="369"/>
      <c r="AF77" s="369"/>
      <c r="AG77" s="369"/>
      <c r="AH77" s="369"/>
      <c r="AI77" s="369"/>
      <c r="AJ77" s="369"/>
      <c r="AK77" s="369"/>
      <c r="AL77" s="1408"/>
      <c r="AM77" s="1355"/>
      <c r="AN77" s="1355"/>
      <c r="AO77" s="1355"/>
      <c r="AP77" s="1355"/>
      <c r="AQ77" s="1409"/>
      <c r="AR77" s="417"/>
      <c r="AS77" s="369"/>
      <c r="AT77" s="369"/>
      <c r="AU77" s="368"/>
      <c r="AV77" s="368"/>
      <c r="AW77" s="368"/>
      <c r="AX77" s="418"/>
      <c r="AY77" s="418"/>
      <c r="AZ77" s="418"/>
      <c r="BA77" s="418"/>
      <c r="BB77" s="400"/>
      <c r="BC77" s="419"/>
      <c r="BD77" s="1417"/>
      <c r="BE77" s="1418"/>
      <c r="BH77" s="400"/>
      <c r="BS77" s="370"/>
    </row>
    <row r="78" spans="1:71" ht="13.5" customHeight="1" x14ac:dyDescent="0.15">
      <c r="A78" s="389"/>
      <c r="B78" s="612"/>
      <c r="C78" s="1411"/>
      <c r="D78" s="614"/>
      <c r="E78" s="610"/>
      <c r="F78" s="369"/>
      <c r="G78" s="369"/>
      <c r="H78" s="369"/>
      <c r="I78" s="369"/>
      <c r="J78" s="369"/>
      <c r="K78" s="369"/>
      <c r="L78" s="369"/>
      <c r="M78" s="416"/>
      <c r="N78" s="1415"/>
      <c r="O78" s="1415"/>
      <c r="P78" s="616"/>
      <c r="Q78" s="444"/>
      <c r="R78" s="444"/>
      <c r="S78" s="444"/>
      <c r="T78" s="444"/>
      <c r="U78" s="444"/>
      <c r="V78" s="444"/>
      <c r="W78" s="444"/>
      <c r="X78" s="444"/>
      <c r="Y78" s="444"/>
      <c r="Z78" s="444"/>
      <c r="AA78" s="444"/>
      <c r="AB78" s="444"/>
      <c r="AC78" s="444"/>
      <c r="AD78" s="369"/>
      <c r="AE78" s="369"/>
      <c r="AF78" s="369"/>
      <c r="AG78" s="369"/>
      <c r="AH78" s="369"/>
      <c r="AI78" s="369"/>
      <c r="AJ78" s="369"/>
      <c r="AK78" s="369"/>
      <c r="AL78" s="1416"/>
      <c r="AM78" s="1404"/>
      <c r="AN78" s="1404"/>
      <c r="AO78" s="1404"/>
      <c r="AP78" s="1404"/>
      <c r="AQ78" s="1405"/>
      <c r="AR78" s="429"/>
      <c r="AS78" s="424"/>
      <c r="AT78" s="424"/>
      <c r="AU78" s="430"/>
      <c r="AV78" s="430"/>
      <c r="AW78" s="430"/>
      <c r="AX78" s="431"/>
      <c r="AY78" s="431"/>
      <c r="AZ78" s="431"/>
      <c r="BA78" s="431"/>
      <c r="BB78" s="432"/>
      <c r="BC78" s="433"/>
      <c r="BD78" s="1406"/>
      <c r="BE78" s="1407"/>
      <c r="BH78" s="400"/>
      <c r="BS78" s="370"/>
    </row>
    <row r="79" spans="1:71" ht="14.25" x14ac:dyDescent="0.2">
      <c r="A79" s="484" t="s">
        <v>2343</v>
      </c>
      <c r="B79" s="612"/>
      <c r="C79" s="1411"/>
      <c r="D79" s="401">
        <v>10</v>
      </c>
      <c r="E79" s="385" t="s">
        <v>2344</v>
      </c>
      <c r="F79" s="386"/>
      <c r="G79" s="386"/>
      <c r="H79" s="386"/>
      <c r="I79" s="386"/>
      <c r="J79" s="386"/>
      <c r="K79" s="386"/>
      <c r="L79" s="386"/>
      <c r="M79" s="387"/>
      <c r="N79" s="402">
        <v>16</v>
      </c>
      <c r="O79" s="403" t="s">
        <v>2266</v>
      </c>
      <c r="P79" s="385" t="s">
        <v>2345</v>
      </c>
      <c r="Q79" s="413"/>
      <c r="R79" s="413"/>
      <c r="S79" s="413"/>
      <c r="T79" s="413"/>
      <c r="U79" s="413"/>
      <c r="V79" s="413"/>
      <c r="W79" s="413"/>
      <c r="X79" s="413"/>
      <c r="Y79" s="413"/>
      <c r="Z79" s="413"/>
      <c r="AA79" s="413"/>
      <c r="AB79" s="413"/>
      <c r="AC79" s="413"/>
      <c r="AD79" s="386"/>
      <c r="AE79" s="386"/>
      <c r="AF79" s="386"/>
      <c r="AG79" s="386"/>
      <c r="AH79" s="386"/>
      <c r="AI79" s="386"/>
      <c r="AJ79" s="386"/>
      <c r="AK79" s="386"/>
      <c r="AL79" s="1383" t="s">
        <v>1005</v>
      </c>
      <c r="AM79" s="1384"/>
      <c r="AN79" s="1384"/>
      <c r="AO79" s="1384"/>
      <c r="AP79" s="1384"/>
      <c r="AQ79" s="1385"/>
      <c r="AR79" s="480" t="s">
        <v>2346</v>
      </c>
      <c r="AS79" s="386"/>
      <c r="AT79" s="386"/>
      <c r="AU79" s="414"/>
      <c r="AV79" s="414"/>
      <c r="AW79" s="414"/>
      <c r="AX79" s="483" t="s">
        <v>2347</v>
      </c>
      <c r="AY79" s="407"/>
      <c r="AZ79" s="407"/>
      <c r="BA79" s="407"/>
      <c r="BB79" s="408"/>
      <c r="BC79" s="409"/>
      <c r="BD79" s="1389" t="s">
        <v>2313</v>
      </c>
      <c r="BE79" s="1390"/>
      <c r="BS79" s="370"/>
    </row>
    <row r="80" spans="1:71" ht="14.25" x14ac:dyDescent="0.2">
      <c r="A80" s="484" t="s">
        <v>2343</v>
      </c>
      <c r="B80" s="612"/>
      <c r="C80" s="1411"/>
      <c r="D80" s="614"/>
      <c r="E80" s="610" t="s">
        <v>2348</v>
      </c>
      <c r="F80" s="369"/>
      <c r="G80" s="369"/>
      <c r="H80" s="369"/>
      <c r="I80" s="369"/>
      <c r="J80" s="369"/>
      <c r="K80" s="369"/>
      <c r="L80" s="369"/>
      <c r="M80" s="416"/>
      <c r="N80" s="615"/>
      <c r="O80" s="619"/>
      <c r="P80" s="610" t="s">
        <v>2349</v>
      </c>
      <c r="Q80" s="444"/>
      <c r="R80" s="444"/>
      <c r="S80" s="444"/>
      <c r="T80" s="444"/>
      <c r="U80" s="444"/>
      <c r="V80" s="444"/>
      <c r="W80" s="444"/>
      <c r="X80" s="444"/>
      <c r="Y80" s="444"/>
      <c r="Z80" s="444"/>
      <c r="AA80" s="444"/>
      <c r="AB80" s="444"/>
      <c r="AC80" s="444"/>
      <c r="AD80" s="369"/>
      <c r="AE80" s="369"/>
      <c r="AF80" s="369"/>
      <c r="AG80" s="369"/>
      <c r="AH80" s="369"/>
      <c r="AI80" s="369"/>
      <c r="AJ80" s="369"/>
      <c r="AK80" s="369"/>
      <c r="AL80" s="1408"/>
      <c r="AM80" s="1355"/>
      <c r="AN80" s="1355"/>
      <c r="AO80" s="1355"/>
      <c r="AP80" s="1355"/>
      <c r="AQ80" s="1409"/>
      <c r="AR80" s="481" t="s">
        <v>2350</v>
      </c>
      <c r="AS80" s="369"/>
      <c r="AT80" s="369"/>
      <c r="AU80" s="368"/>
      <c r="AV80" s="368"/>
      <c r="AW80" s="368"/>
      <c r="AX80" s="472" t="s">
        <v>2351</v>
      </c>
      <c r="AY80" s="418"/>
      <c r="AZ80" s="418"/>
      <c r="BA80" s="418"/>
      <c r="BB80" s="400"/>
      <c r="BC80" s="419"/>
      <c r="BD80" s="1417"/>
      <c r="BE80" s="1418"/>
      <c r="BS80" s="370"/>
    </row>
    <row r="81" spans="1:71" ht="13.5" customHeight="1" x14ac:dyDescent="0.2">
      <c r="A81" s="484" t="s">
        <v>2343</v>
      </c>
      <c r="B81" s="612"/>
      <c r="C81" s="1411"/>
      <c r="D81" s="422"/>
      <c r="E81" s="423"/>
      <c r="F81" s="424"/>
      <c r="G81" s="424"/>
      <c r="H81" s="424"/>
      <c r="I81" s="424"/>
      <c r="J81" s="424"/>
      <c r="K81" s="424"/>
      <c r="L81" s="424"/>
      <c r="M81" s="425"/>
      <c r="N81" s="426"/>
      <c r="O81" s="445"/>
      <c r="P81" s="620" t="s">
        <v>2352</v>
      </c>
      <c r="Q81" s="446"/>
      <c r="R81" s="447"/>
      <c r="S81" s="447"/>
      <c r="T81" s="447"/>
      <c r="U81" s="447"/>
      <c r="V81" s="447"/>
      <c r="W81" s="447"/>
      <c r="X81" s="447"/>
      <c r="Y81" s="447"/>
      <c r="Z81" s="447"/>
      <c r="AA81" s="447"/>
      <c r="AB81" s="447"/>
      <c r="AC81" s="447"/>
      <c r="AD81" s="424"/>
      <c r="AE81" s="424"/>
      <c r="AF81" s="424"/>
      <c r="AG81" s="424"/>
      <c r="AH81" s="424"/>
      <c r="AI81" s="424"/>
      <c r="AJ81" s="424"/>
      <c r="AK81" s="424"/>
      <c r="AL81" s="1416"/>
      <c r="AM81" s="1404"/>
      <c r="AN81" s="1404"/>
      <c r="AO81" s="1404"/>
      <c r="AP81" s="1404"/>
      <c r="AQ81" s="1405"/>
      <c r="AR81" s="482" t="s">
        <v>2353</v>
      </c>
      <c r="AS81" s="424"/>
      <c r="AT81" s="424"/>
      <c r="AU81" s="430"/>
      <c r="AV81" s="430"/>
      <c r="AW81" s="430"/>
      <c r="AX81" s="472" t="s">
        <v>2354</v>
      </c>
      <c r="AY81" s="431"/>
      <c r="AZ81" s="431"/>
      <c r="BA81" s="431"/>
      <c r="BB81" s="432"/>
      <c r="BC81" s="433"/>
      <c r="BD81" s="1406"/>
      <c r="BE81" s="1407"/>
      <c r="BS81" s="370"/>
    </row>
    <row r="82" spans="1:71" x14ac:dyDescent="0.15">
      <c r="A82" s="389"/>
      <c r="B82" s="612"/>
      <c r="C82" s="1411"/>
      <c r="D82" s="442">
        <v>11</v>
      </c>
      <c r="E82" s="379" t="s">
        <v>2355</v>
      </c>
      <c r="F82" s="380"/>
      <c r="G82" s="380"/>
      <c r="H82" s="380"/>
      <c r="I82" s="380"/>
      <c r="J82" s="380"/>
      <c r="K82" s="380"/>
      <c r="L82" s="380"/>
      <c r="M82" s="381"/>
      <c r="N82" s="443">
        <v>7</v>
      </c>
      <c r="O82" s="411" t="s">
        <v>2266</v>
      </c>
      <c r="P82" s="379" t="s">
        <v>2319</v>
      </c>
      <c r="Q82" s="412"/>
      <c r="R82" s="412"/>
      <c r="S82" s="412"/>
      <c r="T82" s="412"/>
      <c r="U82" s="412"/>
      <c r="V82" s="412"/>
      <c r="W82" s="412"/>
      <c r="X82" s="412"/>
      <c r="Y82" s="412"/>
      <c r="Z82" s="412"/>
      <c r="AA82" s="412"/>
      <c r="AB82" s="412"/>
      <c r="AC82" s="412"/>
      <c r="AD82" s="380"/>
      <c r="AE82" s="380"/>
      <c r="AF82" s="380"/>
      <c r="AG82" s="380"/>
      <c r="AH82" s="380"/>
      <c r="AI82" s="380"/>
      <c r="AJ82" s="380"/>
      <c r="AK82" s="380"/>
      <c r="AL82" s="1420" t="s">
        <v>2356</v>
      </c>
      <c r="AM82" s="1421"/>
      <c r="AN82" s="1421"/>
      <c r="AO82" s="1421"/>
      <c r="AP82" s="1421"/>
      <c r="AQ82" s="1422"/>
      <c r="AR82" s="405"/>
      <c r="AS82" s="386"/>
      <c r="AT82" s="386"/>
      <c r="AU82" s="406"/>
      <c r="AV82" s="406"/>
      <c r="AW82" s="406"/>
      <c r="AX82" s="407"/>
      <c r="AY82" s="407"/>
      <c r="AZ82" s="407"/>
      <c r="BA82" s="407"/>
      <c r="BB82" s="408"/>
      <c r="BC82" s="409"/>
      <c r="BD82" s="1412" t="s">
        <v>2313</v>
      </c>
      <c r="BE82" s="1413"/>
      <c r="BS82" s="370"/>
    </row>
    <row r="83" spans="1:71" x14ac:dyDescent="0.15">
      <c r="B83" s="612"/>
      <c r="C83" s="1411"/>
      <c r="D83" s="401">
        <v>12</v>
      </c>
      <c r="E83" s="385" t="s">
        <v>2357</v>
      </c>
      <c r="F83" s="386"/>
      <c r="G83" s="386"/>
      <c r="H83" s="386"/>
      <c r="I83" s="386"/>
      <c r="J83" s="386"/>
      <c r="K83" s="386"/>
      <c r="L83" s="386"/>
      <c r="M83" s="387"/>
      <c r="N83" s="402">
        <v>8</v>
      </c>
      <c r="O83" s="403">
        <v>9</v>
      </c>
      <c r="P83" s="385" t="s">
        <v>2358</v>
      </c>
      <c r="Q83" s="413"/>
      <c r="R83" s="413"/>
      <c r="S83" s="413"/>
      <c r="T83" s="413"/>
      <c r="U83" s="413"/>
      <c r="V83" s="413"/>
      <c r="W83" s="413"/>
      <c r="X83" s="413"/>
      <c r="Y83" s="413"/>
      <c r="Z83" s="413"/>
      <c r="AA83" s="413"/>
      <c r="AB83" s="413"/>
      <c r="AC83" s="413"/>
      <c r="AD83" s="386"/>
      <c r="AE83" s="386"/>
      <c r="AF83" s="386"/>
      <c r="AG83" s="386"/>
      <c r="AH83" s="386"/>
      <c r="AI83" s="386"/>
      <c r="AJ83" s="386"/>
      <c r="AK83" s="386"/>
      <c r="AL83" s="1383" t="s">
        <v>1017</v>
      </c>
      <c r="AM83" s="1384"/>
      <c r="AN83" s="1384"/>
      <c r="AO83" s="1384"/>
      <c r="AP83" s="1384"/>
      <c r="AQ83" s="1385"/>
      <c r="AR83" s="405"/>
      <c r="AS83" s="386"/>
      <c r="AT83" s="386"/>
      <c r="AU83" s="414"/>
      <c r="AV83" s="414"/>
      <c r="AW83" s="414"/>
      <c r="AX83" s="407"/>
      <c r="AY83" s="407"/>
      <c r="AZ83" s="407"/>
      <c r="BA83" s="407"/>
      <c r="BB83" s="408"/>
      <c r="BC83" s="409"/>
      <c r="BD83" s="1389" t="s">
        <v>2359</v>
      </c>
      <c r="BE83" s="1390"/>
      <c r="BF83" s="1419"/>
      <c r="BG83" s="1419"/>
      <c r="BS83" s="370"/>
    </row>
    <row r="84" spans="1:71" x14ac:dyDescent="0.15">
      <c r="A84" s="389"/>
      <c r="B84" s="612"/>
      <c r="C84" s="1411"/>
      <c r="D84" s="614"/>
      <c r="E84" s="610"/>
      <c r="F84" s="369"/>
      <c r="G84" s="369"/>
      <c r="H84" s="369"/>
      <c r="I84" s="369"/>
      <c r="J84" s="369"/>
      <c r="K84" s="369"/>
      <c r="L84" s="369"/>
      <c r="M84" s="416"/>
      <c r="N84" s="615"/>
      <c r="O84" s="619"/>
      <c r="P84" s="610" t="s">
        <v>2360</v>
      </c>
      <c r="Q84" s="444"/>
      <c r="R84" s="444"/>
      <c r="S84" s="444"/>
      <c r="T84" s="444"/>
      <c r="U84" s="444"/>
      <c r="V84" s="444"/>
      <c r="W84" s="444"/>
      <c r="X84" s="444"/>
      <c r="Y84" s="444"/>
      <c r="Z84" s="444"/>
      <c r="AA84" s="444"/>
      <c r="AB84" s="444"/>
      <c r="AC84" s="444"/>
      <c r="AD84" s="369"/>
      <c r="AE84" s="369"/>
      <c r="AF84" s="369"/>
      <c r="AG84" s="369"/>
      <c r="AH84" s="369"/>
      <c r="AI84" s="369"/>
      <c r="AJ84" s="369"/>
      <c r="AK84" s="369"/>
      <c r="AL84" s="1408"/>
      <c r="AM84" s="1355"/>
      <c r="AN84" s="1355"/>
      <c r="AO84" s="1355"/>
      <c r="AP84" s="1355"/>
      <c r="AQ84" s="1409"/>
      <c r="AR84" s="417"/>
      <c r="AS84" s="369"/>
      <c r="AT84" s="369"/>
      <c r="AU84" s="368"/>
      <c r="AV84" s="368"/>
      <c r="AW84" s="368"/>
      <c r="AX84" s="418"/>
      <c r="AY84" s="418"/>
      <c r="AZ84" s="418"/>
      <c r="BA84" s="418"/>
      <c r="BB84" s="400"/>
      <c r="BC84" s="419"/>
      <c r="BD84" s="1406"/>
      <c r="BE84" s="1407"/>
      <c r="BF84" s="1419"/>
      <c r="BG84" s="1419"/>
      <c r="BS84" s="370"/>
    </row>
    <row r="85" spans="1:71" x14ac:dyDescent="0.15">
      <c r="A85" s="389"/>
      <c r="B85" s="612"/>
      <c r="C85" s="1411"/>
      <c r="D85" s="401">
        <v>13</v>
      </c>
      <c r="E85" s="385" t="s">
        <v>2361</v>
      </c>
      <c r="F85" s="386"/>
      <c r="G85" s="386"/>
      <c r="H85" s="386"/>
      <c r="I85" s="386"/>
      <c r="J85" s="386"/>
      <c r="K85" s="386"/>
      <c r="L85" s="386"/>
      <c r="M85" s="387"/>
      <c r="N85" s="402">
        <v>32</v>
      </c>
      <c r="O85" s="403" t="s">
        <v>2266</v>
      </c>
      <c r="P85" s="448" t="s">
        <v>2362</v>
      </c>
      <c r="Q85" s="413"/>
      <c r="R85" s="413"/>
      <c r="S85" s="413"/>
      <c r="T85" s="413"/>
      <c r="U85" s="413"/>
      <c r="V85" s="413"/>
      <c r="W85" s="413"/>
      <c r="X85" s="413"/>
      <c r="Y85" s="413"/>
      <c r="Z85" s="413"/>
      <c r="AA85" s="413"/>
      <c r="AB85" s="413"/>
      <c r="AC85" s="413"/>
      <c r="AD85" s="386"/>
      <c r="AE85" s="386"/>
      <c r="AF85" s="386"/>
      <c r="AG85" s="386"/>
      <c r="AH85" s="386"/>
      <c r="AI85" s="386"/>
      <c r="AJ85" s="386"/>
      <c r="AK85" s="386"/>
      <c r="AL85" s="1383" t="s">
        <v>1005</v>
      </c>
      <c r="AM85" s="1384"/>
      <c r="AN85" s="1384"/>
      <c r="AO85" s="1384"/>
      <c r="AP85" s="1384"/>
      <c r="AQ85" s="1385"/>
      <c r="AR85" s="405"/>
      <c r="AS85" s="386"/>
      <c r="AT85" s="386"/>
      <c r="AU85" s="414"/>
      <c r="AV85" s="414"/>
      <c r="AW85" s="414"/>
      <c r="AX85" s="407"/>
      <c r="AY85" s="407"/>
      <c r="AZ85" s="407"/>
      <c r="BA85" s="407"/>
      <c r="BB85" s="408"/>
      <c r="BC85" s="409"/>
      <c r="BD85" s="1389" t="s">
        <v>2313</v>
      </c>
      <c r="BE85" s="1390"/>
      <c r="BS85" s="370"/>
    </row>
    <row r="86" spans="1:71" x14ac:dyDescent="0.15">
      <c r="A86" s="389"/>
      <c r="B86" s="612"/>
      <c r="C86" s="1411"/>
      <c r="D86" s="614"/>
      <c r="E86" s="616"/>
      <c r="F86" s="369"/>
      <c r="G86" s="369"/>
      <c r="H86" s="369"/>
      <c r="I86" s="369"/>
      <c r="J86" s="369"/>
      <c r="K86" s="369"/>
      <c r="L86" s="369"/>
      <c r="M86" s="416"/>
      <c r="N86" s="615"/>
      <c r="O86" s="619"/>
      <c r="P86" s="621" t="s">
        <v>2363</v>
      </c>
      <c r="Q86" s="444"/>
      <c r="R86" s="444"/>
      <c r="S86" s="444"/>
      <c r="T86" s="444"/>
      <c r="U86" s="444"/>
      <c r="V86" s="444"/>
      <c r="W86" s="444"/>
      <c r="X86" s="444"/>
      <c r="Y86" s="444"/>
      <c r="Z86" s="444"/>
      <c r="AA86" s="444"/>
      <c r="AB86" s="444"/>
      <c r="AC86" s="444"/>
      <c r="AD86" s="369"/>
      <c r="AE86" s="369"/>
      <c r="AF86" s="369"/>
      <c r="AG86" s="369"/>
      <c r="AH86" s="369"/>
      <c r="AI86" s="369"/>
      <c r="AJ86" s="369"/>
      <c r="AK86" s="369"/>
      <c r="AL86" s="1408"/>
      <c r="AM86" s="1355"/>
      <c r="AN86" s="1355"/>
      <c r="AO86" s="1355"/>
      <c r="AP86" s="1355"/>
      <c r="AQ86" s="1409"/>
      <c r="AR86" s="417"/>
      <c r="AS86" s="369"/>
      <c r="AT86" s="369"/>
      <c r="AU86" s="368"/>
      <c r="AV86" s="368"/>
      <c r="AW86" s="368"/>
      <c r="AX86" s="418"/>
      <c r="AY86" s="418"/>
      <c r="AZ86" s="418"/>
      <c r="BA86" s="418"/>
      <c r="BB86" s="400"/>
      <c r="BC86" s="419"/>
      <c r="BD86" s="1417"/>
      <c r="BE86" s="1418"/>
      <c r="BS86" s="370"/>
    </row>
    <row r="87" spans="1:71" ht="13.5" customHeight="1" x14ac:dyDescent="0.15">
      <c r="A87" s="389"/>
      <c r="B87" s="612"/>
      <c r="C87" s="1411"/>
      <c r="D87" s="614"/>
      <c r="E87" s="610"/>
      <c r="F87" s="369"/>
      <c r="G87" s="369"/>
      <c r="H87" s="369"/>
      <c r="I87" s="369"/>
      <c r="J87" s="369"/>
      <c r="K87" s="369"/>
      <c r="L87" s="369"/>
      <c r="M87" s="416"/>
      <c r="N87" s="615"/>
      <c r="O87" s="619"/>
      <c r="P87" s="621" t="s">
        <v>2364</v>
      </c>
      <c r="Q87" s="444"/>
      <c r="R87" s="444"/>
      <c r="S87" s="444"/>
      <c r="T87" s="444"/>
      <c r="U87" s="444"/>
      <c r="V87" s="444"/>
      <c r="W87" s="444"/>
      <c r="X87" s="444"/>
      <c r="Y87" s="444"/>
      <c r="Z87" s="444"/>
      <c r="AA87" s="444"/>
      <c r="AB87" s="444"/>
      <c r="AC87" s="444"/>
      <c r="AD87" s="369"/>
      <c r="AE87" s="369"/>
      <c r="AF87" s="369"/>
      <c r="AG87" s="369"/>
      <c r="AH87" s="369"/>
      <c r="AI87" s="369"/>
      <c r="AJ87" s="369"/>
      <c r="AK87" s="369"/>
      <c r="AL87" s="1408"/>
      <c r="AM87" s="1355"/>
      <c r="AN87" s="1355"/>
      <c r="AO87" s="1355"/>
      <c r="AP87" s="1355"/>
      <c r="AQ87" s="1409"/>
      <c r="AR87" s="417"/>
      <c r="AS87" s="369"/>
      <c r="AT87" s="369"/>
      <c r="AU87" s="368"/>
      <c r="AV87" s="368"/>
      <c r="AW87" s="368"/>
      <c r="AX87" s="418"/>
      <c r="AY87" s="418"/>
      <c r="AZ87" s="418"/>
      <c r="BA87" s="418"/>
      <c r="BB87" s="400"/>
      <c r="BC87" s="419"/>
      <c r="BD87" s="1417"/>
      <c r="BE87" s="1418"/>
      <c r="BS87" s="370"/>
    </row>
    <row r="88" spans="1:71" ht="13.5" customHeight="1" x14ac:dyDescent="0.15">
      <c r="A88" s="389"/>
      <c r="B88" s="612"/>
      <c r="C88" s="1411"/>
      <c r="D88" s="422"/>
      <c r="E88" s="423"/>
      <c r="F88" s="424"/>
      <c r="G88" s="424"/>
      <c r="H88" s="424"/>
      <c r="I88" s="424"/>
      <c r="J88" s="424"/>
      <c r="K88" s="424"/>
      <c r="L88" s="424"/>
      <c r="M88" s="425"/>
      <c r="N88" s="426"/>
      <c r="O88" s="445"/>
      <c r="P88" s="449" t="s">
        <v>2365</v>
      </c>
      <c r="Q88" s="447"/>
      <c r="R88" s="447"/>
      <c r="S88" s="447"/>
      <c r="T88" s="447"/>
      <c r="U88" s="447"/>
      <c r="V88" s="447"/>
      <c r="W88" s="447"/>
      <c r="X88" s="447"/>
      <c r="Y88" s="447"/>
      <c r="Z88" s="447"/>
      <c r="AA88" s="447"/>
      <c r="AB88" s="447"/>
      <c r="AC88" s="447"/>
      <c r="AD88" s="424"/>
      <c r="AE88" s="424"/>
      <c r="AF88" s="424"/>
      <c r="AG88" s="424"/>
      <c r="AH88" s="424"/>
      <c r="AI88" s="424"/>
      <c r="AJ88" s="424"/>
      <c r="AK88" s="424"/>
      <c r="AL88" s="1416"/>
      <c r="AM88" s="1404"/>
      <c r="AN88" s="1404"/>
      <c r="AO88" s="1404"/>
      <c r="AP88" s="1404"/>
      <c r="AQ88" s="1405"/>
      <c r="AR88" s="429"/>
      <c r="AS88" s="424"/>
      <c r="AT88" s="424"/>
      <c r="AU88" s="430"/>
      <c r="AV88" s="430"/>
      <c r="AW88" s="430"/>
      <c r="AX88" s="431"/>
      <c r="AY88" s="431"/>
      <c r="AZ88" s="431"/>
      <c r="BA88" s="431"/>
      <c r="BB88" s="432"/>
      <c r="BC88" s="433"/>
      <c r="BD88" s="1406"/>
      <c r="BE88" s="1407"/>
      <c r="BS88" s="370"/>
    </row>
    <row r="89" spans="1:71" ht="13.5" customHeight="1" x14ac:dyDescent="0.15">
      <c r="B89" s="612"/>
      <c r="C89" s="1411"/>
      <c r="D89" s="401">
        <v>14</v>
      </c>
      <c r="E89" s="385" t="s">
        <v>2366</v>
      </c>
      <c r="F89" s="386"/>
      <c r="G89" s="386"/>
      <c r="H89" s="386"/>
      <c r="I89" s="386"/>
      <c r="J89" s="386"/>
      <c r="K89" s="386"/>
      <c r="L89" s="386"/>
      <c r="M89" s="387"/>
      <c r="N89" s="402">
        <v>20</v>
      </c>
      <c r="O89" s="402" t="s">
        <v>2266</v>
      </c>
      <c r="P89" s="385" t="s">
        <v>2367</v>
      </c>
      <c r="Q89" s="386"/>
      <c r="R89" s="386"/>
      <c r="S89" s="386"/>
      <c r="T89" s="386"/>
      <c r="U89" s="386"/>
      <c r="V89" s="386"/>
      <c r="W89" s="386"/>
      <c r="X89" s="386"/>
      <c r="Y89" s="386"/>
      <c r="Z89" s="386"/>
      <c r="AA89" s="386"/>
      <c r="AB89" s="386"/>
      <c r="AC89" s="386"/>
      <c r="AD89" s="386"/>
      <c r="AE89" s="386"/>
      <c r="AF89" s="386"/>
      <c r="AG89" s="386"/>
      <c r="AH89" s="386"/>
      <c r="AI89" s="386"/>
      <c r="AJ89" s="386"/>
      <c r="AK89" s="386"/>
      <c r="AL89" s="1396" t="s">
        <v>2368</v>
      </c>
      <c r="AM89" s="1397"/>
      <c r="AN89" s="1398"/>
      <c r="AO89" s="1402" t="s">
        <v>1005</v>
      </c>
      <c r="AP89" s="1384"/>
      <c r="AQ89" s="1385"/>
      <c r="AR89" s="405"/>
      <c r="AS89" s="386"/>
      <c r="AT89" s="386"/>
      <c r="AU89" s="414"/>
      <c r="AV89" s="414"/>
      <c r="AW89" s="414"/>
      <c r="AX89" s="407"/>
      <c r="AY89" s="407"/>
      <c r="AZ89" s="407"/>
      <c r="BA89" s="407"/>
      <c r="BB89" s="408"/>
      <c r="BC89" s="409"/>
      <c r="BD89" s="1389" t="s">
        <v>2341</v>
      </c>
      <c r="BE89" s="1390"/>
      <c r="BS89" s="370"/>
    </row>
    <row r="90" spans="1:71" x14ac:dyDescent="0.15">
      <c r="B90" s="612"/>
      <c r="C90" s="1411"/>
      <c r="D90" s="422"/>
      <c r="E90" s="423"/>
      <c r="F90" s="424"/>
      <c r="G90" s="424"/>
      <c r="H90" s="424"/>
      <c r="I90" s="424"/>
      <c r="J90" s="424"/>
      <c r="K90" s="424"/>
      <c r="L90" s="424"/>
      <c r="M90" s="425"/>
      <c r="N90" s="426"/>
      <c r="O90" s="445"/>
      <c r="P90" s="423" t="s">
        <v>2369</v>
      </c>
      <c r="Q90" s="424"/>
      <c r="R90" s="424"/>
      <c r="S90" s="424"/>
      <c r="T90" s="424"/>
      <c r="U90" s="424"/>
      <c r="V90" s="424"/>
      <c r="W90" s="424"/>
      <c r="X90" s="424"/>
      <c r="Y90" s="424"/>
      <c r="Z90" s="424"/>
      <c r="AA90" s="424"/>
      <c r="AB90" s="424"/>
      <c r="AC90" s="424"/>
      <c r="AD90" s="424"/>
      <c r="AE90" s="424"/>
      <c r="AF90" s="424"/>
      <c r="AG90" s="424"/>
      <c r="AH90" s="424"/>
      <c r="AI90" s="424"/>
      <c r="AJ90" s="424"/>
      <c r="AK90" s="424"/>
      <c r="AL90" s="1399"/>
      <c r="AM90" s="1400"/>
      <c r="AN90" s="1401"/>
      <c r="AO90" s="1403"/>
      <c r="AP90" s="1404"/>
      <c r="AQ90" s="1405"/>
      <c r="AR90" s="429"/>
      <c r="AS90" s="424"/>
      <c r="AT90" s="424"/>
      <c r="AU90" s="430"/>
      <c r="AV90" s="430"/>
      <c r="AW90" s="430"/>
      <c r="AX90" s="431"/>
      <c r="AY90" s="431"/>
      <c r="AZ90" s="431"/>
      <c r="BA90" s="431"/>
      <c r="BB90" s="432"/>
      <c r="BC90" s="433"/>
      <c r="BD90" s="1406"/>
      <c r="BE90" s="1407"/>
      <c r="BS90" s="370"/>
    </row>
    <row r="91" spans="1:71" x14ac:dyDescent="0.15">
      <c r="A91" s="389"/>
      <c r="B91" s="612"/>
      <c r="C91" s="1411"/>
      <c r="D91" s="401">
        <v>15</v>
      </c>
      <c r="E91" s="385" t="s">
        <v>2370</v>
      </c>
      <c r="F91" s="386"/>
      <c r="G91" s="386"/>
      <c r="H91" s="386"/>
      <c r="I91" s="386"/>
      <c r="J91" s="386"/>
      <c r="K91" s="386"/>
      <c r="L91" s="386"/>
      <c r="M91" s="387"/>
      <c r="N91" s="402">
        <v>1</v>
      </c>
      <c r="O91" s="402" t="s">
        <v>2266</v>
      </c>
      <c r="P91" s="385" t="s">
        <v>2371</v>
      </c>
      <c r="Q91" s="386"/>
      <c r="R91" s="386"/>
      <c r="S91" s="386"/>
      <c r="T91" s="386"/>
      <c r="U91" s="386"/>
      <c r="V91" s="386"/>
      <c r="W91" s="386"/>
      <c r="X91" s="386"/>
      <c r="Y91" s="386"/>
      <c r="Z91" s="386"/>
      <c r="AA91" s="386"/>
      <c r="AB91" s="386"/>
      <c r="AC91" s="386"/>
      <c r="AD91" s="386"/>
      <c r="AE91" s="386"/>
      <c r="AF91" s="386"/>
      <c r="AG91" s="386"/>
      <c r="AH91" s="386"/>
      <c r="AI91" s="386"/>
      <c r="AJ91" s="386"/>
      <c r="AK91" s="386"/>
      <c r="AL91" s="1383" t="s">
        <v>2268</v>
      </c>
      <c r="AM91" s="1384"/>
      <c r="AN91" s="1384"/>
      <c r="AO91" s="1384"/>
      <c r="AP91" s="1384"/>
      <c r="AQ91" s="1385"/>
      <c r="AR91" s="405"/>
      <c r="AS91" s="386"/>
      <c r="AT91" s="386"/>
      <c r="AU91" s="414"/>
      <c r="AV91" s="414"/>
      <c r="AW91" s="414"/>
      <c r="AX91" s="407"/>
      <c r="AY91" s="407"/>
      <c r="AZ91" s="407"/>
      <c r="BA91" s="407"/>
      <c r="BB91" s="408"/>
      <c r="BC91" s="409"/>
      <c r="BD91" s="1389" t="s">
        <v>2341</v>
      </c>
      <c r="BE91" s="1390"/>
      <c r="BS91" s="370"/>
    </row>
    <row r="92" spans="1:71" x14ac:dyDescent="0.15">
      <c r="B92" s="612"/>
      <c r="C92" s="1411"/>
      <c r="D92" s="614"/>
      <c r="E92" s="610"/>
      <c r="F92" s="369"/>
      <c r="G92" s="369"/>
      <c r="H92" s="369"/>
      <c r="I92" s="369"/>
      <c r="J92" s="369"/>
      <c r="K92" s="369"/>
      <c r="L92" s="369"/>
      <c r="M92" s="416"/>
      <c r="N92" s="615"/>
      <c r="O92" s="615"/>
      <c r="P92" s="610"/>
      <c r="Q92" s="369"/>
      <c r="R92" s="369"/>
      <c r="S92" s="369"/>
      <c r="T92" s="369"/>
      <c r="U92" s="369"/>
      <c r="V92" s="369"/>
      <c r="W92" s="369"/>
      <c r="X92" s="369"/>
      <c r="Y92" s="369"/>
      <c r="Z92" s="369"/>
      <c r="AA92" s="369"/>
      <c r="AB92" s="369"/>
      <c r="AC92" s="369"/>
      <c r="AD92" s="369"/>
      <c r="AE92" s="369"/>
      <c r="AF92" s="369"/>
      <c r="AG92" s="369"/>
      <c r="AH92" s="369"/>
      <c r="AI92" s="369"/>
      <c r="AJ92" s="369"/>
      <c r="AK92" s="369"/>
      <c r="AL92" s="1408"/>
      <c r="AM92" s="1355"/>
      <c r="AN92" s="1355"/>
      <c r="AO92" s="1355"/>
      <c r="AP92" s="1355"/>
      <c r="AQ92" s="1409"/>
      <c r="AR92" s="417"/>
      <c r="AS92" s="369"/>
      <c r="AT92" s="369"/>
      <c r="AU92" s="368"/>
      <c r="AV92" s="368"/>
      <c r="AW92" s="368"/>
      <c r="AX92" s="418"/>
      <c r="AY92" s="418"/>
      <c r="AZ92" s="418"/>
      <c r="BA92" s="418"/>
      <c r="BB92" s="400"/>
      <c r="BC92" s="419"/>
      <c r="BD92" s="1406"/>
      <c r="BE92" s="1407"/>
      <c r="BS92" s="370"/>
    </row>
    <row r="93" spans="1:71" ht="13.5" customHeight="1" x14ac:dyDescent="0.15">
      <c r="B93" s="612"/>
      <c r="C93" s="611"/>
      <c r="D93" s="401">
        <v>16</v>
      </c>
      <c r="E93" s="385" t="s">
        <v>2372</v>
      </c>
      <c r="F93" s="386"/>
      <c r="G93" s="386"/>
      <c r="H93" s="386"/>
      <c r="I93" s="386"/>
      <c r="J93" s="386"/>
      <c r="K93" s="386"/>
      <c r="L93" s="386"/>
      <c r="M93" s="387"/>
      <c r="N93" s="402">
        <v>12</v>
      </c>
      <c r="O93" s="402">
        <v>9</v>
      </c>
      <c r="P93" s="1377" t="s">
        <v>2373</v>
      </c>
      <c r="Q93" s="1378"/>
      <c r="R93" s="1378"/>
      <c r="S93" s="1378"/>
      <c r="T93" s="1378"/>
      <c r="U93" s="1378"/>
      <c r="V93" s="1378"/>
      <c r="W93" s="1378"/>
      <c r="X93" s="1378"/>
      <c r="Y93" s="1378"/>
      <c r="Z93" s="1378"/>
      <c r="AA93" s="1378"/>
      <c r="AB93" s="1378"/>
      <c r="AC93" s="1378"/>
      <c r="AD93" s="1378"/>
      <c r="AE93" s="1378"/>
      <c r="AF93" s="1378"/>
      <c r="AG93" s="1378"/>
      <c r="AH93" s="1378"/>
      <c r="AI93" s="1378"/>
      <c r="AJ93" s="1378"/>
      <c r="AK93" s="1379"/>
      <c r="AL93" s="1383" t="s">
        <v>2356</v>
      </c>
      <c r="AM93" s="1384"/>
      <c r="AN93" s="1384"/>
      <c r="AO93" s="1384"/>
      <c r="AP93" s="1384"/>
      <c r="AQ93" s="1385"/>
      <c r="AR93" s="405"/>
      <c r="AS93" s="386"/>
      <c r="AT93" s="386"/>
      <c r="AU93" s="414"/>
      <c r="AV93" s="414"/>
      <c r="AW93" s="414"/>
      <c r="AX93" s="407"/>
      <c r="AY93" s="407"/>
      <c r="AZ93" s="407"/>
      <c r="BA93" s="407"/>
      <c r="BB93" s="408"/>
      <c r="BC93" s="409"/>
      <c r="BD93" s="1389" t="s">
        <v>2359</v>
      </c>
      <c r="BE93" s="1390"/>
      <c r="BS93" s="370"/>
    </row>
    <row r="94" spans="1:71" ht="13.5" customHeight="1" x14ac:dyDescent="0.15">
      <c r="A94" s="389"/>
      <c r="B94" s="612"/>
      <c r="C94" s="1180"/>
      <c r="D94" s="1181"/>
      <c r="E94" s="1182"/>
      <c r="F94" s="1172"/>
      <c r="G94" s="1172"/>
      <c r="H94" s="1172"/>
      <c r="I94" s="1172"/>
      <c r="J94" s="1172"/>
      <c r="K94" s="1172"/>
      <c r="L94" s="1172"/>
      <c r="M94" s="1183"/>
      <c r="N94" s="1184"/>
      <c r="O94" s="1184"/>
      <c r="P94" s="1380"/>
      <c r="Q94" s="1381"/>
      <c r="R94" s="1381"/>
      <c r="S94" s="1381"/>
      <c r="T94" s="1381"/>
      <c r="U94" s="1381"/>
      <c r="V94" s="1381"/>
      <c r="W94" s="1381"/>
      <c r="X94" s="1381"/>
      <c r="Y94" s="1381"/>
      <c r="Z94" s="1381"/>
      <c r="AA94" s="1381"/>
      <c r="AB94" s="1381"/>
      <c r="AC94" s="1381"/>
      <c r="AD94" s="1381"/>
      <c r="AE94" s="1381"/>
      <c r="AF94" s="1381"/>
      <c r="AG94" s="1381"/>
      <c r="AH94" s="1381"/>
      <c r="AI94" s="1381"/>
      <c r="AJ94" s="1381"/>
      <c r="AK94" s="1382"/>
      <c r="AL94" s="1386"/>
      <c r="AM94" s="1387"/>
      <c r="AN94" s="1387"/>
      <c r="AO94" s="1387"/>
      <c r="AP94" s="1387"/>
      <c r="AQ94" s="1388"/>
      <c r="AR94" s="1185"/>
      <c r="AS94" s="1172"/>
      <c r="AT94" s="1172"/>
      <c r="AU94" s="1171"/>
      <c r="AV94" s="1171"/>
      <c r="AW94" s="1171"/>
      <c r="AX94" s="1186"/>
      <c r="AY94" s="1186"/>
      <c r="AZ94" s="1186"/>
      <c r="BA94" s="1186"/>
      <c r="BB94" s="1187"/>
      <c r="BC94" s="1188"/>
      <c r="BD94" s="1391"/>
      <c r="BE94" s="1392"/>
      <c r="BS94" s="370"/>
    </row>
    <row r="95" spans="1:71" x14ac:dyDescent="0.15">
      <c r="A95" s="389"/>
      <c r="B95" s="603"/>
      <c r="C95" s="450"/>
      <c r="D95" s="451"/>
      <c r="E95" s="369"/>
      <c r="N95" s="369" t="s">
        <v>2374</v>
      </c>
      <c r="Q95" s="289"/>
      <c r="R95" s="289"/>
      <c r="S95" s="289"/>
      <c r="T95" s="289"/>
      <c r="U95" s="289"/>
      <c r="V95" s="289"/>
      <c r="W95" s="289"/>
      <c r="X95" s="289"/>
      <c r="Y95" s="289"/>
      <c r="Z95" s="289"/>
      <c r="AA95" s="289"/>
      <c r="AB95" s="289"/>
      <c r="AC95" s="289"/>
      <c r="AD95" s="289"/>
      <c r="AE95" s="289"/>
      <c r="AF95" s="289"/>
      <c r="AG95" s="451"/>
      <c r="AH95" s="451"/>
      <c r="AI95" s="451"/>
      <c r="AJ95" s="451"/>
      <c r="AK95" s="451"/>
      <c r="AL95" s="369" t="s">
        <v>2375</v>
      </c>
      <c r="AM95" s="452"/>
      <c r="AN95" s="369"/>
      <c r="AO95" s="368"/>
      <c r="AP95" s="368"/>
      <c r="AQ95" s="368"/>
      <c r="AR95" s="368"/>
      <c r="AS95" s="368"/>
      <c r="AT95" s="368"/>
      <c r="AU95" s="369"/>
      <c r="AV95" s="369"/>
      <c r="AW95" s="369"/>
      <c r="AX95" s="369"/>
      <c r="AY95" s="369"/>
      <c r="AZ95" s="369"/>
      <c r="BA95" s="1167"/>
      <c r="BB95" s="1167"/>
      <c r="BC95" s="1167"/>
      <c r="BD95" s="451"/>
      <c r="BE95" s="451"/>
      <c r="BF95" s="451"/>
      <c r="BG95" s="451"/>
      <c r="BH95" s="451"/>
      <c r="BI95" s="451"/>
      <c r="BJ95" s="451"/>
      <c r="BK95" s="451"/>
      <c r="BL95" s="451"/>
      <c r="BM95" s="270"/>
      <c r="BS95" s="370"/>
    </row>
    <row r="96" spans="1:71" x14ac:dyDescent="0.15">
      <c r="B96" s="609"/>
      <c r="C96" s="1393" t="s">
        <v>2297</v>
      </c>
      <c r="D96" s="1394"/>
      <c r="E96" s="1393" t="s">
        <v>2298</v>
      </c>
      <c r="F96" s="1395"/>
      <c r="G96" s="1395"/>
      <c r="H96" s="1394"/>
      <c r="I96" s="1393" t="s">
        <v>2299</v>
      </c>
      <c r="J96" s="1395"/>
      <c r="K96" s="1395"/>
      <c r="L96" s="1395"/>
      <c r="M96" s="1395"/>
      <c r="N96" s="1395"/>
      <c r="O96" s="1395"/>
      <c r="P96" s="1395"/>
      <c r="Q96" s="1395"/>
      <c r="R96" s="1395"/>
      <c r="S96" s="1394"/>
      <c r="T96" s="369"/>
      <c r="U96" s="369"/>
      <c r="V96" s="369"/>
      <c r="W96" s="369"/>
      <c r="X96" s="369"/>
      <c r="Y96" s="369"/>
      <c r="Z96" s="369"/>
      <c r="AA96" s="369"/>
      <c r="AB96" s="369"/>
      <c r="AC96" s="369"/>
      <c r="AD96" s="369"/>
      <c r="AE96" s="369"/>
      <c r="AF96" s="369"/>
      <c r="AG96" s="369"/>
      <c r="AH96" s="369"/>
      <c r="AI96" s="369"/>
      <c r="AJ96" s="369"/>
      <c r="AK96" s="369"/>
      <c r="AL96" s="369"/>
      <c r="AM96" s="369"/>
      <c r="AN96" s="369"/>
      <c r="AO96" s="368"/>
      <c r="AP96" s="368"/>
      <c r="AQ96" s="368"/>
      <c r="AR96" s="368"/>
      <c r="AS96" s="368"/>
      <c r="AT96" s="368"/>
      <c r="AU96" s="368"/>
      <c r="AV96" s="368"/>
      <c r="AW96" s="368"/>
      <c r="AX96" s="368"/>
      <c r="AY96" s="368"/>
      <c r="AZ96" s="368"/>
      <c r="BA96" s="371"/>
      <c r="BB96" s="369"/>
      <c r="BC96" s="371"/>
      <c r="BD96" s="369"/>
      <c r="BE96" s="369"/>
      <c r="BF96" s="369"/>
      <c r="BG96" s="369"/>
      <c r="BH96" s="369"/>
      <c r="BI96" s="369"/>
      <c r="BJ96" s="369"/>
      <c r="BK96" s="369"/>
      <c r="BL96" s="369"/>
      <c r="BS96" s="370"/>
    </row>
    <row r="97" spans="1:146" x14ac:dyDescent="0.15">
      <c r="B97" s="609"/>
      <c r="C97" s="1363">
        <v>9</v>
      </c>
      <c r="D97" s="1365"/>
      <c r="E97" s="687" t="s">
        <v>2300</v>
      </c>
      <c r="F97" s="681"/>
      <c r="G97" s="681"/>
      <c r="H97" s="682"/>
      <c r="I97" s="681" t="s">
        <v>2301</v>
      </c>
      <c r="J97" s="681"/>
      <c r="K97" s="684"/>
      <c r="L97" s="684"/>
      <c r="M97" s="684"/>
      <c r="N97" s="681"/>
      <c r="O97" s="681"/>
      <c r="P97" s="681"/>
      <c r="Q97" s="681"/>
      <c r="R97" s="681"/>
      <c r="S97" s="682"/>
      <c r="T97" s="369"/>
      <c r="U97" s="369"/>
      <c r="V97" s="369"/>
      <c r="W97" s="369"/>
      <c r="X97" s="369"/>
      <c r="Y97" s="369"/>
      <c r="Z97" s="369"/>
      <c r="AA97" s="369"/>
      <c r="AB97" s="369"/>
      <c r="AC97" s="369"/>
      <c r="AD97" s="369"/>
      <c r="AE97" s="369"/>
      <c r="AF97" s="369"/>
      <c r="AG97" s="369"/>
      <c r="AH97" s="369"/>
      <c r="AI97" s="369"/>
      <c r="AJ97" s="369"/>
      <c r="AK97" s="369"/>
      <c r="AL97" s="452"/>
      <c r="AM97" s="452"/>
      <c r="AN97" s="369"/>
      <c r="AO97" s="368"/>
      <c r="AP97" s="368"/>
      <c r="AQ97" s="368"/>
      <c r="AR97" s="368"/>
      <c r="AS97" s="368"/>
      <c r="AT97" s="368"/>
      <c r="AU97" s="368"/>
      <c r="AV97" s="368"/>
      <c r="AW97" s="368"/>
      <c r="AX97" s="369"/>
      <c r="AY97" s="369"/>
      <c r="AZ97" s="369"/>
      <c r="BA97" s="369"/>
      <c r="BB97" s="369"/>
      <c r="BC97" s="369"/>
      <c r="BD97" s="369"/>
      <c r="BE97" s="369"/>
      <c r="BF97" s="369"/>
      <c r="BG97" s="369"/>
      <c r="BH97" s="369"/>
      <c r="BI97" s="369"/>
      <c r="BJ97" s="369"/>
      <c r="BK97" s="369"/>
      <c r="BL97" s="369"/>
      <c r="BS97" s="370"/>
    </row>
    <row r="98" spans="1:146" x14ac:dyDescent="0.15">
      <c r="B98" s="609"/>
      <c r="C98" s="1366" t="s">
        <v>2302</v>
      </c>
      <c r="D98" s="1368"/>
      <c r="E98" s="637" t="s">
        <v>2303</v>
      </c>
      <c r="F98" s="392"/>
      <c r="G98" s="392"/>
      <c r="H98" s="638"/>
      <c r="I98" s="392" t="s">
        <v>2304</v>
      </c>
      <c r="J98" s="392"/>
      <c r="K98" s="393"/>
      <c r="L98" s="393"/>
      <c r="M98" s="393"/>
      <c r="N98" s="392"/>
      <c r="O98" s="392"/>
      <c r="P98" s="392"/>
      <c r="Q98" s="392"/>
      <c r="R98" s="392"/>
      <c r="S98" s="638"/>
      <c r="T98" s="369"/>
      <c r="U98" s="369"/>
      <c r="V98" s="369"/>
      <c r="W98" s="369"/>
      <c r="X98" s="369"/>
      <c r="Y98" s="369"/>
      <c r="Z98" s="369"/>
      <c r="AA98" s="369"/>
      <c r="AB98" s="369"/>
      <c r="AC98" s="369"/>
      <c r="AD98" s="369"/>
      <c r="AE98" s="369"/>
      <c r="AF98" s="369"/>
      <c r="AG98" s="369"/>
      <c r="AH98" s="369"/>
      <c r="AI98" s="369"/>
      <c r="AJ98" s="369"/>
      <c r="AK98" s="369"/>
      <c r="AL98" s="369"/>
      <c r="AM98" s="369"/>
      <c r="AN98" s="369"/>
      <c r="AO98" s="368"/>
      <c r="AP98" s="368"/>
      <c r="AQ98" s="368"/>
      <c r="AR98" s="368"/>
      <c r="AS98" s="368"/>
      <c r="AT98" s="368"/>
      <c r="AU98" s="368"/>
      <c r="AV98" s="368"/>
      <c r="AW98" s="368"/>
      <c r="AX98" s="369"/>
      <c r="AY98" s="369"/>
      <c r="AZ98" s="369"/>
      <c r="BA98" s="369"/>
      <c r="BB98" s="369"/>
      <c r="BC98" s="369"/>
      <c r="BD98" s="369"/>
      <c r="BE98" s="369"/>
      <c r="BF98" s="369"/>
      <c r="BG98" s="369"/>
      <c r="BH98" s="369"/>
      <c r="BI98" s="369"/>
      <c r="BJ98" s="369"/>
      <c r="BK98" s="369"/>
      <c r="BL98" s="369"/>
      <c r="BM98" s="369"/>
      <c r="BN98" s="369"/>
      <c r="BO98" s="369"/>
      <c r="BP98" s="369"/>
      <c r="BQ98" s="369"/>
      <c r="BR98" s="369"/>
      <c r="BS98" s="370"/>
    </row>
    <row r="99" spans="1:146" x14ac:dyDescent="0.15">
      <c r="B99" s="622"/>
      <c r="C99" s="450"/>
      <c r="D99" s="451"/>
      <c r="E99" s="453"/>
      <c r="F99" s="289"/>
      <c r="G99" s="289"/>
      <c r="H99" s="289"/>
      <c r="I99" s="289"/>
      <c r="J99" s="289"/>
      <c r="K99" s="289"/>
      <c r="L99" s="289"/>
      <c r="M99" s="289"/>
      <c r="N99" s="451"/>
      <c r="O99" s="451"/>
      <c r="P99" s="289"/>
      <c r="Q99" s="289"/>
      <c r="R99" s="289"/>
      <c r="S99" s="289"/>
      <c r="T99" s="289"/>
      <c r="U99" s="289"/>
      <c r="V99" s="289"/>
      <c r="W99" s="289"/>
      <c r="X99" s="289"/>
      <c r="Y99" s="289"/>
      <c r="Z99" s="289"/>
      <c r="AA99" s="289"/>
      <c r="AB99" s="289"/>
      <c r="AC99" s="289"/>
      <c r="AD99" s="289"/>
      <c r="AE99" s="289"/>
      <c r="AF99" s="289"/>
      <c r="AG99" s="451"/>
      <c r="AH99" s="451"/>
      <c r="AI99" s="451"/>
      <c r="AJ99" s="451"/>
      <c r="AK99" s="451"/>
      <c r="AL99" s="369"/>
      <c r="AM99" s="366"/>
      <c r="AN99" s="366"/>
      <c r="AO99" s="366"/>
      <c r="AP99" s="366"/>
      <c r="AQ99" s="366"/>
      <c r="AR99" s="366"/>
      <c r="AS99" s="366"/>
      <c r="AT99" s="366"/>
      <c r="AU99" s="366"/>
      <c r="AV99" s="366"/>
      <c r="AW99" s="366"/>
      <c r="AX99" s="366"/>
      <c r="AY99" s="366"/>
      <c r="AZ99" s="366"/>
      <c r="BA99" s="454"/>
      <c r="BB99" s="366"/>
      <c r="BC99" s="366"/>
      <c r="BD99" s="451"/>
      <c r="BE99" s="289"/>
      <c r="BF99" s="289"/>
      <c r="BG99" s="289"/>
      <c r="BH99" s="289"/>
      <c r="BI99" s="289"/>
      <c r="BJ99" s="289"/>
      <c r="BK99" s="289"/>
      <c r="BL99" s="289"/>
      <c r="BM99" s="289"/>
      <c r="BS99" s="370"/>
    </row>
    <row r="100" spans="1:146" x14ac:dyDescent="0.15">
      <c r="B100" s="1175"/>
      <c r="C100" s="1189"/>
      <c r="D100" s="1190"/>
      <c r="E100" s="1191"/>
      <c r="F100" s="1191"/>
      <c r="G100" s="1191"/>
      <c r="H100" s="1191"/>
      <c r="I100" s="1191"/>
      <c r="J100" s="1191"/>
      <c r="K100" s="1191"/>
      <c r="L100" s="1191"/>
      <c r="M100" s="1191"/>
      <c r="N100" s="1190"/>
      <c r="O100" s="1190"/>
      <c r="P100" s="1192"/>
      <c r="Q100" s="1192"/>
      <c r="R100" s="1192"/>
      <c r="S100" s="1192"/>
      <c r="T100" s="1192"/>
      <c r="U100" s="1192"/>
      <c r="V100" s="1192"/>
      <c r="W100" s="1192"/>
      <c r="X100" s="1192"/>
      <c r="Y100" s="1192"/>
      <c r="Z100" s="1192"/>
      <c r="AA100" s="1192"/>
      <c r="AB100" s="1192"/>
      <c r="AC100" s="1192"/>
      <c r="AD100" s="1192"/>
      <c r="AE100" s="1192"/>
      <c r="AF100" s="1192"/>
      <c r="AG100" s="1193"/>
      <c r="AH100" s="1193"/>
      <c r="AI100" s="1193"/>
      <c r="AJ100" s="1193"/>
      <c r="AK100" s="1193"/>
      <c r="AL100" s="1193"/>
      <c r="AM100" s="1193"/>
      <c r="AN100" s="1193"/>
      <c r="AO100" s="1193"/>
      <c r="AP100" s="1193"/>
      <c r="AQ100" s="1193"/>
      <c r="AR100" s="1193"/>
      <c r="AS100" s="1193"/>
      <c r="AT100" s="1193"/>
      <c r="AU100" s="1193"/>
      <c r="AV100" s="1193"/>
      <c r="AW100" s="1193"/>
      <c r="AX100" s="1193"/>
      <c r="AY100" s="1193"/>
      <c r="AZ100" s="1193"/>
      <c r="BA100" s="1193"/>
      <c r="BB100" s="1193"/>
      <c r="BC100" s="1193"/>
      <c r="BD100" s="1193"/>
      <c r="BE100" s="1193"/>
      <c r="BF100" s="1193"/>
      <c r="BG100" s="1193"/>
      <c r="BH100" s="1193"/>
      <c r="BI100" s="1193"/>
      <c r="BJ100" s="1193"/>
      <c r="BK100" s="1193"/>
      <c r="BL100" s="1193"/>
      <c r="BM100" s="1193"/>
      <c r="BN100" s="1193"/>
      <c r="BO100" s="1166"/>
      <c r="BP100" s="1166"/>
      <c r="BQ100" s="1193"/>
      <c r="BR100" s="1193"/>
      <c r="BS100" s="1175"/>
    </row>
    <row r="101" spans="1:146" x14ac:dyDescent="0.15">
      <c r="B101" s="366"/>
      <c r="C101" s="366"/>
      <c r="D101" s="366"/>
      <c r="E101" s="366"/>
      <c r="F101" s="366"/>
      <c r="G101" s="366"/>
      <c r="H101" s="366"/>
      <c r="I101" s="366"/>
      <c r="J101" s="366"/>
      <c r="K101" s="366"/>
      <c r="L101" s="366"/>
      <c r="M101" s="366"/>
      <c r="N101" s="366"/>
      <c r="O101" s="366"/>
      <c r="P101" s="366"/>
      <c r="Q101" s="366"/>
      <c r="R101" s="366"/>
      <c r="S101" s="366"/>
      <c r="T101" s="366"/>
      <c r="U101" s="366"/>
      <c r="V101" s="366"/>
      <c r="W101" s="366"/>
      <c r="X101" s="366"/>
      <c r="Y101" s="366"/>
      <c r="Z101" s="366"/>
      <c r="AA101" s="366"/>
      <c r="AB101" s="366"/>
      <c r="AC101" s="366"/>
      <c r="AD101" s="366"/>
      <c r="AE101" s="366"/>
      <c r="AF101" s="366"/>
      <c r="AG101" s="366"/>
      <c r="AH101" s="366"/>
      <c r="AI101" s="366"/>
      <c r="AJ101" s="366"/>
      <c r="AK101" s="366"/>
      <c r="AL101" s="366"/>
      <c r="AM101" s="366"/>
      <c r="AN101" s="366"/>
      <c r="AO101" s="366"/>
      <c r="AP101" s="366"/>
      <c r="AQ101" s="366"/>
      <c r="AR101" s="366"/>
      <c r="AS101" s="366"/>
      <c r="AT101" s="366"/>
      <c r="AU101" s="366"/>
      <c r="AV101" s="366"/>
      <c r="AW101" s="366"/>
      <c r="AX101" s="366"/>
      <c r="AY101" s="366"/>
      <c r="AZ101" s="366"/>
      <c r="BA101" s="366"/>
      <c r="BB101" s="366"/>
      <c r="BC101" s="366"/>
      <c r="BD101" s="366"/>
      <c r="BE101" s="366"/>
      <c r="BF101" s="366"/>
      <c r="BG101" s="366"/>
      <c r="BH101" s="366"/>
      <c r="BI101" s="366"/>
      <c r="BJ101" s="366"/>
      <c r="BK101" s="366"/>
      <c r="BL101" s="366"/>
      <c r="BM101" s="366"/>
      <c r="BN101" s="366"/>
      <c r="BO101" s="366"/>
      <c r="BP101" s="366"/>
      <c r="BQ101" s="366"/>
      <c r="BR101" s="366"/>
      <c r="BU101" s="371"/>
      <c r="BV101" s="396"/>
      <c r="BW101" s="455"/>
      <c r="BX101" s="270"/>
      <c r="BY101" s="270"/>
      <c r="BZ101" s="270"/>
      <c r="CA101" s="270"/>
      <c r="CB101" s="270"/>
      <c r="CC101" s="396"/>
      <c r="CD101" s="396"/>
      <c r="CE101" s="396"/>
      <c r="CF101" s="396"/>
      <c r="CG101" s="396"/>
      <c r="CH101" s="270"/>
      <c r="CI101" s="270"/>
      <c r="CJ101" s="270"/>
      <c r="CK101" s="270"/>
      <c r="CL101" s="270"/>
      <c r="CM101" s="270"/>
      <c r="CN101" s="270"/>
      <c r="CO101" s="270"/>
      <c r="CP101" s="270"/>
      <c r="CQ101" s="270"/>
      <c r="CR101" s="270"/>
      <c r="CS101" s="270"/>
      <c r="CT101" s="270"/>
      <c r="CU101" s="270"/>
      <c r="CV101" s="270"/>
      <c r="CW101" s="270"/>
      <c r="CX101" s="270"/>
      <c r="CY101" s="270"/>
      <c r="CZ101" s="270"/>
      <c r="DA101" s="270"/>
      <c r="DB101" s="270"/>
      <c r="DC101" s="270"/>
      <c r="DD101" s="270"/>
      <c r="DE101" s="270"/>
      <c r="DF101" s="456"/>
      <c r="DG101" s="456"/>
      <c r="DH101" s="456"/>
      <c r="DI101" s="270"/>
      <c r="DJ101" s="396"/>
      <c r="DK101" s="396"/>
      <c r="DL101" s="396"/>
      <c r="DM101" s="396"/>
      <c r="DN101" s="396"/>
      <c r="DO101" s="396"/>
      <c r="DP101" s="396"/>
      <c r="DQ101" s="396"/>
      <c r="DR101" s="396"/>
      <c r="DS101" s="270"/>
      <c r="DT101" s="270"/>
      <c r="DU101" s="270"/>
      <c r="DV101" s="270"/>
      <c r="DW101" s="270"/>
      <c r="DX101" s="270"/>
      <c r="DY101" s="270"/>
      <c r="DZ101" s="270"/>
      <c r="EA101" s="270"/>
      <c r="EB101" s="270"/>
      <c r="EC101" s="270"/>
      <c r="ED101" s="270"/>
      <c r="EE101" s="270"/>
      <c r="EF101" s="270"/>
      <c r="EG101" s="270"/>
      <c r="EH101" s="270"/>
      <c r="EI101" s="270"/>
      <c r="EJ101" s="270"/>
      <c r="EK101" s="270"/>
      <c r="EL101" s="270"/>
      <c r="EM101" s="270"/>
      <c r="EN101" s="270"/>
      <c r="EO101" s="270"/>
      <c r="EP101" s="270"/>
    </row>
    <row r="102" spans="1:146" x14ac:dyDescent="0.15">
      <c r="B102" s="1164"/>
      <c r="C102" s="1194"/>
      <c r="D102" s="1194"/>
      <c r="E102" s="1194"/>
      <c r="F102" s="1194"/>
      <c r="G102" s="1194"/>
      <c r="H102" s="1194"/>
      <c r="I102" s="1194"/>
      <c r="J102" s="1194"/>
      <c r="K102" s="1194"/>
      <c r="L102" s="1194"/>
      <c r="M102" s="1194"/>
      <c r="N102" s="1194"/>
      <c r="O102" s="1194"/>
      <c r="P102" s="1194"/>
      <c r="Q102" s="1194"/>
      <c r="R102" s="1194"/>
      <c r="S102" s="1194"/>
      <c r="T102" s="1194"/>
      <c r="U102" s="1194"/>
      <c r="V102" s="1194"/>
      <c r="W102" s="1194"/>
      <c r="X102" s="1194"/>
      <c r="Y102" s="1194"/>
      <c r="Z102" s="1194"/>
      <c r="AA102" s="1194"/>
      <c r="AB102" s="1194"/>
      <c r="AC102" s="1194"/>
      <c r="AD102" s="1194"/>
      <c r="AE102" s="1194"/>
      <c r="AF102" s="1194"/>
      <c r="AG102" s="1194"/>
      <c r="AH102" s="1194"/>
      <c r="AI102" s="1194"/>
      <c r="AJ102" s="1194"/>
      <c r="AK102" s="1194"/>
      <c r="AL102" s="1194"/>
      <c r="AM102" s="1194"/>
      <c r="AN102" s="1194"/>
      <c r="AO102" s="1194"/>
      <c r="AP102" s="1194"/>
      <c r="AQ102" s="1194"/>
      <c r="AR102" s="1194"/>
      <c r="AS102" s="1194"/>
      <c r="AT102" s="1194"/>
      <c r="AU102" s="1194"/>
      <c r="AV102" s="1194"/>
      <c r="AW102" s="1194"/>
      <c r="AX102" s="1194"/>
      <c r="AY102" s="1194"/>
      <c r="AZ102" s="1194"/>
      <c r="BA102" s="1194"/>
      <c r="BB102" s="1194"/>
      <c r="BC102" s="1194"/>
      <c r="BD102" s="1194"/>
      <c r="BE102" s="1194"/>
      <c r="BF102" s="1194"/>
      <c r="BG102" s="1194"/>
      <c r="BH102" s="1194"/>
      <c r="BI102" s="1194"/>
      <c r="BJ102" s="1194"/>
      <c r="BK102" s="1194"/>
      <c r="BL102" s="1194"/>
      <c r="BM102" s="1194"/>
      <c r="BN102" s="1194"/>
      <c r="BO102" s="1194"/>
      <c r="BP102" s="1194"/>
      <c r="BQ102" s="1194"/>
      <c r="BR102" s="1194"/>
      <c r="BS102" s="1168"/>
      <c r="BU102" s="371"/>
      <c r="BV102" s="396"/>
      <c r="BW102" s="455"/>
      <c r="BX102" s="270"/>
      <c r="BY102" s="270"/>
      <c r="BZ102" s="270"/>
      <c r="CA102" s="270"/>
      <c r="CB102" s="270"/>
      <c r="CC102" s="396"/>
      <c r="CD102" s="396"/>
      <c r="CE102" s="396"/>
      <c r="CF102" s="396"/>
      <c r="CG102" s="396"/>
      <c r="CH102" s="270"/>
      <c r="CI102" s="270"/>
      <c r="CJ102" s="270"/>
      <c r="CK102" s="270"/>
      <c r="CL102" s="270"/>
      <c r="CM102" s="270"/>
      <c r="CN102" s="270"/>
      <c r="CO102" s="270"/>
      <c r="CP102" s="270"/>
      <c r="CQ102" s="270"/>
      <c r="CR102" s="270"/>
      <c r="CS102" s="270"/>
      <c r="CT102" s="270"/>
      <c r="CU102" s="270"/>
      <c r="CV102" s="270"/>
      <c r="CW102" s="270"/>
      <c r="CX102" s="270"/>
      <c r="CY102" s="270"/>
      <c r="CZ102" s="270"/>
      <c r="DA102" s="270"/>
      <c r="DB102" s="270"/>
      <c r="DC102" s="270"/>
      <c r="DD102" s="270"/>
      <c r="DE102" s="270"/>
      <c r="DF102" s="456"/>
      <c r="DG102" s="456"/>
      <c r="DH102" s="456"/>
      <c r="DI102" s="270"/>
      <c r="DJ102" s="396"/>
      <c r="DK102" s="396"/>
      <c r="DL102" s="396"/>
      <c r="DM102" s="396"/>
      <c r="DN102" s="396"/>
      <c r="DO102" s="396"/>
      <c r="DP102" s="396"/>
      <c r="DQ102" s="396"/>
      <c r="DR102" s="396"/>
      <c r="DS102" s="270"/>
      <c r="DT102" s="270"/>
      <c r="DU102" s="270"/>
      <c r="DV102" s="270"/>
      <c r="DW102" s="270"/>
      <c r="DX102" s="270"/>
      <c r="DY102" s="270"/>
      <c r="DZ102" s="270"/>
      <c r="EA102" s="270"/>
      <c r="EB102" s="270"/>
      <c r="EC102" s="270"/>
      <c r="ED102" s="270"/>
      <c r="EE102" s="270"/>
      <c r="EF102" s="270"/>
      <c r="EG102" s="270"/>
      <c r="EH102" s="270"/>
      <c r="EI102" s="270"/>
      <c r="EJ102" s="270"/>
      <c r="EK102" s="270"/>
      <c r="EL102" s="270"/>
      <c r="EM102" s="270"/>
      <c r="EN102" s="270"/>
      <c r="EO102" s="270"/>
      <c r="EP102" s="270"/>
    </row>
    <row r="103" spans="1:146" x14ac:dyDescent="0.15">
      <c r="A103" s="389"/>
      <c r="B103" s="609"/>
      <c r="C103" s="270" t="s">
        <v>2376</v>
      </c>
      <c r="D103" s="270"/>
      <c r="V103" s="369"/>
      <c r="W103" s="369"/>
      <c r="X103" s="369"/>
      <c r="Y103" s="369"/>
      <c r="Z103" s="369"/>
      <c r="AA103" s="369"/>
      <c r="AB103" s="369"/>
      <c r="AC103" s="369"/>
      <c r="AD103" s="369"/>
      <c r="AE103" s="369"/>
      <c r="AF103" s="369"/>
      <c r="AG103" s="369"/>
      <c r="AH103" s="369"/>
      <c r="AI103" s="369"/>
      <c r="AJ103" s="369"/>
      <c r="AK103" s="369"/>
      <c r="AL103" s="369"/>
      <c r="AM103" s="452"/>
      <c r="AN103" s="457" t="s">
        <v>2377</v>
      </c>
      <c r="AO103" s="45"/>
      <c r="AP103" s="45"/>
      <c r="AQ103" s="421"/>
      <c r="AR103" s="421"/>
      <c r="AS103" s="421"/>
      <c r="AT103" s="421"/>
      <c r="AU103" s="421"/>
      <c r="AV103" s="421"/>
      <c r="AW103" s="458"/>
      <c r="AX103" s="458"/>
      <c r="AY103" s="458"/>
      <c r="AZ103" s="458"/>
      <c r="BA103" s="458"/>
      <c r="BB103" s="458"/>
      <c r="BC103" s="458"/>
      <c r="BD103" s="458"/>
      <c r="BE103" s="458"/>
      <c r="BF103" s="41"/>
      <c r="BG103" s="369"/>
      <c r="BH103" s="369"/>
      <c r="BI103" s="369"/>
      <c r="BJ103" s="369"/>
      <c r="BK103" s="369"/>
      <c r="BL103" s="369"/>
      <c r="BM103" s="366"/>
      <c r="BN103" s="366"/>
      <c r="BO103" s="366"/>
      <c r="BP103" s="366"/>
      <c r="BQ103" s="366"/>
      <c r="BR103" s="366"/>
      <c r="BS103" s="370"/>
    </row>
    <row r="104" spans="1:146" x14ac:dyDescent="0.15">
      <c r="A104" s="389"/>
      <c r="B104" s="609"/>
      <c r="D104" s="1195" t="s">
        <v>2378</v>
      </c>
      <c r="E104" s="1196"/>
      <c r="F104" s="1196"/>
      <c r="G104" s="1196"/>
      <c r="H104" s="1196"/>
      <c r="I104" s="1196"/>
      <c r="J104" s="1197"/>
      <c r="K104" s="1373" t="s">
        <v>2255</v>
      </c>
      <c r="L104" s="1374"/>
      <c r="M104" s="1375"/>
      <c r="N104" s="1198" t="s">
        <v>984</v>
      </c>
      <c r="O104" s="1199"/>
      <c r="P104" s="1199"/>
      <c r="Q104" s="1199"/>
      <c r="R104" s="1199"/>
      <c r="S104" s="1199"/>
      <c r="T104" s="1199"/>
      <c r="U104" s="1199"/>
      <c r="V104" s="1199"/>
      <c r="W104" s="1199"/>
      <c r="X104" s="1198"/>
      <c r="Y104" s="1199"/>
      <c r="Z104" s="1199"/>
      <c r="AA104" s="1199"/>
      <c r="AB104" s="1199"/>
      <c r="AC104" s="1199"/>
      <c r="AD104" s="1199"/>
      <c r="AE104" s="1199"/>
      <c r="AF104" s="1199"/>
      <c r="AG104" s="1199"/>
      <c r="AH104" s="1199"/>
      <c r="AI104" s="1199"/>
      <c r="AJ104" s="1199"/>
      <c r="AK104" s="1200"/>
      <c r="AL104" s="369"/>
      <c r="AM104" s="452"/>
      <c r="AN104" s="457" t="s">
        <v>2379</v>
      </c>
      <c r="AO104" s="45"/>
      <c r="AP104" s="45"/>
      <c r="AQ104" s="421"/>
      <c r="AR104" s="421"/>
      <c r="AS104" s="421"/>
      <c r="AT104" s="421"/>
      <c r="AU104" s="421"/>
      <c r="AV104" s="421"/>
      <c r="AW104" s="458"/>
      <c r="AX104" s="458"/>
      <c r="AY104" s="458"/>
      <c r="AZ104" s="458"/>
      <c r="BA104" s="458"/>
      <c r="BB104" s="458"/>
      <c r="BC104" s="458"/>
      <c r="BD104" s="458"/>
      <c r="BE104" s="458"/>
      <c r="BF104" s="459"/>
      <c r="BG104" s="369"/>
      <c r="BH104" s="369"/>
      <c r="BI104" s="369"/>
      <c r="BJ104" s="369"/>
      <c r="BK104" s="369"/>
      <c r="BL104" s="369"/>
      <c r="BM104" s="366"/>
      <c r="BN104" s="366"/>
      <c r="BO104" s="366"/>
      <c r="BP104" s="366"/>
      <c r="BQ104" s="366"/>
      <c r="BR104" s="366"/>
      <c r="BS104" s="370"/>
    </row>
    <row r="105" spans="1:146" x14ac:dyDescent="0.15">
      <c r="A105" s="389"/>
      <c r="B105" s="609"/>
      <c r="C105" s="371"/>
      <c r="D105" s="1201" t="s">
        <v>2380</v>
      </c>
      <c r="E105" s="1167"/>
      <c r="F105" s="1167"/>
      <c r="G105" s="1167"/>
      <c r="H105" s="1167"/>
      <c r="I105" s="1167"/>
      <c r="J105" s="1202"/>
      <c r="K105" s="1363">
        <v>39</v>
      </c>
      <c r="L105" s="1364"/>
      <c r="M105" s="1365"/>
      <c r="N105" s="692" t="s">
        <v>2381</v>
      </c>
      <c r="O105" s="693"/>
      <c r="P105" s="693"/>
      <c r="Q105" s="693"/>
      <c r="R105" s="693"/>
      <c r="S105" s="693"/>
      <c r="T105" s="693"/>
      <c r="U105" s="693"/>
      <c r="V105" s="693"/>
      <c r="W105" s="693"/>
      <c r="X105" s="693"/>
      <c r="Y105" s="681"/>
      <c r="Z105" s="681"/>
      <c r="AA105" s="681"/>
      <c r="AB105" s="681"/>
      <c r="AC105" s="681"/>
      <c r="AD105" s="681"/>
      <c r="AE105" s="681"/>
      <c r="AF105" s="681"/>
      <c r="AG105" s="681"/>
      <c r="AH105" s="681"/>
      <c r="AI105" s="681"/>
      <c r="AJ105" s="681"/>
      <c r="AK105" s="682"/>
      <c r="AL105" s="369"/>
      <c r="AM105" s="369"/>
      <c r="AN105" s="1376" t="s">
        <v>2382</v>
      </c>
      <c r="AO105" s="1376"/>
      <c r="AP105" s="1372" t="s">
        <v>2383</v>
      </c>
      <c r="AQ105" s="1369"/>
      <c r="AR105" s="1369"/>
      <c r="AS105" s="1369"/>
      <c r="AT105" s="1203" t="s">
        <v>2384</v>
      </c>
      <c r="AU105" s="1369" t="s">
        <v>2385</v>
      </c>
      <c r="AV105" s="1369"/>
      <c r="AW105" s="1370" t="s">
        <v>2386</v>
      </c>
      <c r="AX105" s="1371"/>
      <c r="AY105" s="1371"/>
      <c r="AZ105" s="1371"/>
      <c r="BA105" s="1371"/>
      <c r="BB105" s="1371"/>
      <c r="BC105" s="1371"/>
      <c r="BD105" s="1371"/>
      <c r="BE105" s="1371"/>
      <c r="BF105" s="1372"/>
      <c r="BG105" s="369"/>
      <c r="BS105" s="370"/>
    </row>
    <row r="106" spans="1:146" ht="13.15" customHeight="1" x14ac:dyDescent="0.15">
      <c r="A106" s="389"/>
      <c r="B106" s="609"/>
      <c r="C106" s="371"/>
      <c r="D106" s="1204"/>
      <c r="E106" s="1172"/>
      <c r="F106" s="1172"/>
      <c r="G106" s="1172"/>
      <c r="H106" s="1172"/>
      <c r="I106" s="1172"/>
      <c r="J106" s="1183"/>
      <c r="K106" s="1366">
        <v>41</v>
      </c>
      <c r="L106" s="1367"/>
      <c r="M106" s="1368"/>
      <c r="N106" s="639" t="s">
        <v>2387</v>
      </c>
      <c r="O106" s="460"/>
      <c r="P106" s="460"/>
      <c r="Q106" s="460"/>
      <c r="R106" s="460"/>
      <c r="S106" s="460"/>
      <c r="T106" s="460"/>
      <c r="U106" s="460"/>
      <c r="V106" s="460"/>
      <c r="W106" s="460"/>
      <c r="X106" s="460"/>
      <c r="Y106" s="392"/>
      <c r="Z106" s="392"/>
      <c r="AA106" s="392"/>
      <c r="AB106" s="392"/>
      <c r="AC106" s="392"/>
      <c r="AD106" s="392"/>
      <c r="AE106" s="392"/>
      <c r="AF106" s="392"/>
      <c r="AG106" s="392"/>
      <c r="AH106" s="392"/>
      <c r="AI106" s="392"/>
      <c r="AJ106" s="392"/>
      <c r="AK106" s="638"/>
      <c r="AL106" s="369"/>
      <c r="AM106" s="369"/>
      <c r="AN106" s="1360">
        <v>1</v>
      </c>
      <c r="AO106" s="1360"/>
      <c r="AP106" s="1361" t="s">
        <v>2388</v>
      </c>
      <c r="AQ106" s="1361"/>
      <c r="AR106" s="1361"/>
      <c r="AS106" s="1361"/>
      <c r="AT106" s="1205">
        <v>1</v>
      </c>
      <c r="AU106" s="1361" t="s">
        <v>2389</v>
      </c>
      <c r="AV106" s="1361"/>
      <c r="AW106" s="1362" t="s">
        <v>2390</v>
      </c>
      <c r="AX106" s="1362"/>
      <c r="AY106" s="1362"/>
      <c r="AZ106" s="1362"/>
      <c r="BA106" s="1362"/>
      <c r="BB106" s="1362"/>
      <c r="BC106" s="1362"/>
      <c r="BD106" s="1362"/>
      <c r="BE106" s="1362"/>
      <c r="BF106" s="1362"/>
      <c r="BG106" s="369"/>
      <c r="BS106" s="370"/>
    </row>
    <row r="107" spans="1:146" ht="13.15" customHeight="1" x14ac:dyDescent="0.15">
      <c r="A107" s="389"/>
      <c r="B107" s="609"/>
      <c r="C107" s="371"/>
      <c r="D107" s="610" t="s">
        <v>2391</v>
      </c>
      <c r="E107" s="369"/>
      <c r="F107" s="369"/>
      <c r="G107" s="369"/>
      <c r="H107" s="369"/>
      <c r="I107" s="369"/>
      <c r="J107" s="416"/>
      <c r="K107" s="1363">
        <v>71</v>
      </c>
      <c r="L107" s="1364"/>
      <c r="M107" s="1365"/>
      <c r="N107" s="449" t="s">
        <v>2392</v>
      </c>
      <c r="O107" s="447"/>
      <c r="P107" s="447"/>
      <c r="Q107" s="447"/>
      <c r="R107" s="447"/>
      <c r="S107" s="447"/>
      <c r="T107" s="447"/>
      <c r="U107" s="447"/>
      <c r="V107" s="447"/>
      <c r="W107" s="447"/>
      <c r="X107" s="447"/>
      <c r="Y107" s="424"/>
      <c r="Z107" s="424"/>
      <c r="AA107" s="424"/>
      <c r="AB107" s="424"/>
      <c r="AC107" s="424"/>
      <c r="AD107" s="424"/>
      <c r="AE107" s="424"/>
      <c r="AF107" s="424"/>
      <c r="AG107" s="424"/>
      <c r="AH107" s="424"/>
      <c r="AI107" s="424"/>
      <c r="AJ107" s="424"/>
      <c r="AK107" s="425"/>
      <c r="AL107" s="369"/>
      <c r="AM107" s="369"/>
      <c r="AN107" s="1360">
        <v>2</v>
      </c>
      <c r="AO107" s="1360"/>
      <c r="AP107" s="1361" t="s">
        <v>2393</v>
      </c>
      <c r="AQ107" s="1361"/>
      <c r="AR107" s="1361"/>
      <c r="AS107" s="1361"/>
      <c r="AT107" s="1361">
        <v>16</v>
      </c>
      <c r="AU107" s="1361" t="s">
        <v>2394</v>
      </c>
      <c r="AV107" s="1361"/>
      <c r="AW107" s="1359" t="s">
        <v>2395</v>
      </c>
      <c r="AX107" s="1359"/>
      <c r="AY107" s="1359"/>
      <c r="AZ107" s="1359"/>
      <c r="BA107" s="1359"/>
      <c r="BB107" s="1359"/>
      <c r="BC107" s="1359"/>
      <c r="BD107" s="1359"/>
      <c r="BE107" s="1359"/>
      <c r="BF107" s="1359"/>
      <c r="BS107" s="370"/>
    </row>
    <row r="108" spans="1:146" x14ac:dyDescent="0.15">
      <c r="A108" s="389"/>
      <c r="B108" s="609"/>
      <c r="C108" s="371"/>
      <c r="D108" s="1204"/>
      <c r="E108" s="1172"/>
      <c r="F108" s="1172"/>
      <c r="G108" s="1172"/>
      <c r="H108" s="1172"/>
      <c r="I108" s="1172"/>
      <c r="J108" s="1183"/>
      <c r="K108" s="1366">
        <v>9</v>
      </c>
      <c r="L108" s="1367"/>
      <c r="M108" s="1368"/>
      <c r="N108" s="639" t="s">
        <v>2387</v>
      </c>
      <c r="O108" s="460"/>
      <c r="P108" s="460"/>
      <c r="Q108" s="460"/>
      <c r="R108" s="460"/>
      <c r="S108" s="460"/>
      <c r="T108" s="460"/>
      <c r="U108" s="460"/>
      <c r="V108" s="460"/>
      <c r="W108" s="460"/>
      <c r="X108" s="460"/>
      <c r="Y108" s="392"/>
      <c r="Z108" s="392"/>
      <c r="AA108" s="392"/>
      <c r="AB108" s="392"/>
      <c r="AC108" s="392"/>
      <c r="AD108" s="392"/>
      <c r="AE108" s="392"/>
      <c r="AF108" s="392"/>
      <c r="AG108" s="392"/>
      <c r="AH108" s="392"/>
      <c r="AI108" s="392"/>
      <c r="AJ108" s="392"/>
      <c r="AK108" s="638"/>
      <c r="AL108" s="369"/>
      <c r="AM108" s="369"/>
      <c r="AN108" s="1360"/>
      <c r="AO108" s="1360"/>
      <c r="AP108" s="1361"/>
      <c r="AQ108" s="1361"/>
      <c r="AR108" s="1361"/>
      <c r="AS108" s="1361"/>
      <c r="AT108" s="1361"/>
      <c r="AU108" s="1361"/>
      <c r="AV108" s="1361"/>
      <c r="AW108" s="1359"/>
      <c r="AX108" s="1359"/>
      <c r="AY108" s="1359"/>
      <c r="AZ108" s="1359"/>
      <c r="BA108" s="1359"/>
      <c r="BB108" s="1359"/>
      <c r="BC108" s="1359"/>
      <c r="BD108" s="1359"/>
      <c r="BE108" s="1359"/>
      <c r="BF108" s="1359"/>
      <c r="BS108" s="370"/>
    </row>
    <row r="109" spans="1:146" x14ac:dyDescent="0.15">
      <c r="A109" s="389"/>
      <c r="B109" s="609"/>
      <c r="AL109" s="369"/>
      <c r="AM109" s="452"/>
      <c r="AN109" s="1360"/>
      <c r="AO109" s="1360"/>
      <c r="AP109" s="1361"/>
      <c r="AQ109" s="1361"/>
      <c r="AR109" s="1361"/>
      <c r="AS109" s="1361"/>
      <c r="AT109" s="1361"/>
      <c r="AU109" s="1361"/>
      <c r="AV109" s="1361"/>
      <c r="AW109" s="1359"/>
      <c r="AX109" s="1359"/>
      <c r="AY109" s="1359"/>
      <c r="AZ109" s="1359"/>
      <c r="BA109" s="1359"/>
      <c r="BB109" s="1359"/>
      <c r="BC109" s="1359"/>
      <c r="BD109" s="1359"/>
      <c r="BE109" s="1359"/>
      <c r="BF109" s="1359"/>
      <c r="BG109" s="369"/>
      <c r="BH109" s="369"/>
      <c r="BI109" s="369"/>
      <c r="BJ109" s="369"/>
      <c r="BK109" s="369"/>
      <c r="BL109" s="369"/>
      <c r="BM109" s="366"/>
      <c r="BN109" s="366"/>
      <c r="BO109" s="366"/>
      <c r="BP109" s="366"/>
      <c r="BQ109" s="366"/>
      <c r="BR109" s="366"/>
      <c r="BS109" s="370"/>
    </row>
    <row r="110" spans="1:146" x14ac:dyDescent="0.15">
      <c r="A110" s="389"/>
      <c r="B110" s="609"/>
      <c r="C110" s="369"/>
      <c r="D110" s="369"/>
      <c r="E110" s="369"/>
      <c r="F110" s="369"/>
      <c r="G110" s="369"/>
      <c r="H110" s="369"/>
      <c r="I110" s="369"/>
      <c r="J110" s="369"/>
      <c r="K110" s="369"/>
      <c r="L110" s="369"/>
      <c r="M110" s="369"/>
      <c r="N110" s="369"/>
      <c r="O110" s="369"/>
      <c r="P110" s="369"/>
      <c r="Q110" s="369"/>
      <c r="R110" s="369"/>
      <c r="S110" s="369"/>
      <c r="T110" s="369"/>
      <c r="U110" s="369"/>
      <c r="V110" s="369"/>
      <c r="W110" s="369"/>
      <c r="X110" s="369"/>
      <c r="Y110" s="369"/>
      <c r="Z110" s="369"/>
      <c r="AA110" s="369"/>
      <c r="AB110" s="369"/>
      <c r="AC110" s="369"/>
      <c r="AD110" s="369"/>
      <c r="AE110" s="369"/>
      <c r="AF110" s="369"/>
      <c r="AG110" s="369"/>
      <c r="AH110" s="369"/>
      <c r="AI110" s="369"/>
      <c r="AJ110" s="369"/>
      <c r="AK110" s="369"/>
      <c r="AL110" s="369"/>
      <c r="AM110" s="369"/>
      <c r="AN110" s="1360"/>
      <c r="AO110" s="1360"/>
      <c r="AP110" s="1361"/>
      <c r="AQ110" s="1361"/>
      <c r="AR110" s="1361"/>
      <c r="AS110" s="1361"/>
      <c r="AT110" s="1361"/>
      <c r="AU110" s="1361"/>
      <c r="AV110" s="1361"/>
      <c r="AW110" s="1359"/>
      <c r="AX110" s="1359"/>
      <c r="AY110" s="1359"/>
      <c r="AZ110" s="1359"/>
      <c r="BA110" s="1359"/>
      <c r="BB110" s="1359"/>
      <c r="BC110" s="1359"/>
      <c r="BD110" s="1359"/>
      <c r="BE110" s="1359"/>
      <c r="BF110" s="1359"/>
      <c r="BG110" s="369"/>
      <c r="BH110" s="369"/>
      <c r="BI110" s="369"/>
      <c r="BJ110" s="369"/>
      <c r="BK110" s="369"/>
      <c r="BL110" s="369"/>
      <c r="BM110" s="366"/>
      <c r="BN110" s="366"/>
      <c r="BO110" s="366"/>
      <c r="BP110" s="366"/>
      <c r="BQ110" s="366"/>
      <c r="BR110" s="366"/>
      <c r="BS110" s="370"/>
    </row>
    <row r="111" spans="1:146" ht="13.15" customHeight="1" x14ac:dyDescent="0.15">
      <c r="A111" s="389"/>
      <c r="B111" s="609"/>
      <c r="C111" s="369"/>
      <c r="D111" s="369"/>
      <c r="E111" s="369"/>
      <c r="F111" s="369"/>
      <c r="G111" s="369"/>
      <c r="H111" s="369"/>
      <c r="I111" s="369"/>
      <c r="J111" s="369"/>
      <c r="K111" s="369"/>
      <c r="L111" s="369"/>
      <c r="M111" s="369"/>
      <c r="N111" s="369"/>
      <c r="O111" s="369"/>
      <c r="P111" s="369"/>
      <c r="Q111" s="369"/>
      <c r="R111" s="369"/>
      <c r="S111" s="369"/>
      <c r="T111" s="369"/>
      <c r="U111" s="369"/>
      <c r="V111" s="369"/>
      <c r="W111" s="369"/>
      <c r="X111" s="369"/>
      <c r="Y111" s="369"/>
      <c r="Z111" s="369"/>
      <c r="AA111" s="369"/>
      <c r="AB111" s="369"/>
      <c r="AC111" s="369"/>
      <c r="AD111" s="369"/>
      <c r="AE111" s="369"/>
      <c r="AF111" s="369"/>
      <c r="AG111" s="369"/>
      <c r="AH111" s="369"/>
      <c r="AI111" s="369"/>
      <c r="AJ111" s="369"/>
      <c r="AK111" s="369"/>
      <c r="AL111" s="369"/>
      <c r="AM111" s="369"/>
      <c r="AN111" s="1360">
        <v>3</v>
      </c>
      <c r="AO111" s="1360"/>
      <c r="AP111" s="1361" t="s">
        <v>2396</v>
      </c>
      <c r="AQ111" s="1361"/>
      <c r="AR111" s="1361"/>
      <c r="AS111" s="1361"/>
      <c r="AT111" s="1205">
        <v>1</v>
      </c>
      <c r="AU111" s="1361" t="s">
        <v>2389</v>
      </c>
      <c r="AV111" s="1361"/>
      <c r="AW111" s="1362" t="s">
        <v>2397</v>
      </c>
      <c r="AX111" s="1362"/>
      <c r="AY111" s="1362"/>
      <c r="AZ111" s="1362"/>
      <c r="BA111" s="1362"/>
      <c r="BB111" s="1362"/>
      <c r="BC111" s="1362"/>
      <c r="BD111" s="1362"/>
      <c r="BE111" s="1362"/>
      <c r="BF111" s="1362"/>
      <c r="BG111" s="369"/>
      <c r="BH111" s="369"/>
      <c r="BI111" s="369"/>
      <c r="BJ111" s="369"/>
      <c r="BK111" s="369"/>
      <c r="BL111" s="369"/>
      <c r="BM111" s="366"/>
      <c r="BN111" s="366"/>
      <c r="BO111" s="366"/>
      <c r="BP111" s="366"/>
      <c r="BQ111" s="366"/>
      <c r="BR111" s="366"/>
      <c r="BS111" s="370"/>
    </row>
    <row r="112" spans="1:146" ht="13.15" customHeight="1" x14ac:dyDescent="0.15">
      <c r="A112" s="389"/>
      <c r="B112" s="609"/>
      <c r="C112" s="369"/>
      <c r="D112" s="369"/>
      <c r="E112" s="369"/>
      <c r="F112" s="369"/>
      <c r="G112" s="369"/>
      <c r="H112" s="369"/>
      <c r="I112" s="369"/>
      <c r="J112" s="369"/>
      <c r="K112" s="369"/>
      <c r="L112" s="369"/>
      <c r="M112" s="369"/>
      <c r="N112" s="369"/>
      <c r="O112" s="369"/>
      <c r="P112" s="369"/>
      <c r="Q112" s="369"/>
      <c r="R112" s="369"/>
      <c r="S112" s="369"/>
      <c r="T112" s="369"/>
      <c r="U112" s="369"/>
      <c r="V112" s="369"/>
      <c r="W112" s="369"/>
      <c r="X112" s="369"/>
      <c r="Y112" s="369"/>
      <c r="Z112" s="369"/>
      <c r="AA112" s="369"/>
      <c r="AB112" s="369"/>
      <c r="AC112" s="369"/>
      <c r="AD112" s="369"/>
      <c r="AE112" s="369"/>
      <c r="AF112" s="369"/>
      <c r="AG112" s="369"/>
      <c r="AH112" s="369"/>
      <c r="AI112" s="369"/>
      <c r="AJ112" s="369"/>
      <c r="AK112" s="369"/>
      <c r="AL112" s="369"/>
      <c r="AM112" s="369"/>
      <c r="AN112" s="1360">
        <v>4</v>
      </c>
      <c r="AO112" s="1360"/>
      <c r="AP112" s="1361" t="s">
        <v>2398</v>
      </c>
      <c r="AQ112" s="1361"/>
      <c r="AR112" s="1361"/>
      <c r="AS112" s="1361"/>
      <c r="AT112" s="1205">
        <v>4</v>
      </c>
      <c r="AU112" s="1361" t="s">
        <v>2394</v>
      </c>
      <c r="AV112" s="1361"/>
      <c r="AW112" s="1362" t="s">
        <v>2399</v>
      </c>
      <c r="AX112" s="1362"/>
      <c r="AY112" s="1362"/>
      <c r="AZ112" s="1362"/>
      <c r="BA112" s="1362"/>
      <c r="BB112" s="1362"/>
      <c r="BC112" s="1362"/>
      <c r="BD112" s="1362"/>
      <c r="BE112" s="1362"/>
      <c r="BF112" s="1362"/>
      <c r="BG112" s="369"/>
      <c r="BH112" s="369"/>
      <c r="BI112" s="369"/>
      <c r="BJ112" s="369"/>
      <c r="BK112" s="369"/>
      <c r="BL112" s="369"/>
      <c r="BM112" s="366"/>
      <c r="BN112" s="366"/>
      <c r="BO112" s="366"/>
      <c r="BP112" s="366"/>
      <c r="BQ112" s="366"/>
      <c r="BR112" s="366"/>
      <c r="BS112" s="370"/>
    </row>
    <row r="113" spans="1:146" ht="13.15" customHeight="1" x14ac:dyDescent="0.15">
      <c r="A113" s="389"/>
      <c r="B113" s="609"/>
      <c r="C113" s="369"/>
      <c r="D113" s="369"/>
      <c r="E113" s="369"/>
      <c r="F113" s="369"/>
      <c r="G113" s="369"/>
      <c r="H113" s="369"/>
      <c r="I113" s="369"/>
      <c r="J113" s="369"/>
      <c r="K113" s="369"/>
      <c r="L113" s="369"/>
      <c r="M113" s="369"/>
      <c r="N113" s="369"/>
      <c r="O113" s="369"/>
      <c r="P113" s="369"/>
      <c r="Q113" s="369"/>
      <c r="R113" s="369"/>
      <c r="S113" s="369"/>
      <c r="T113" s="369"/>
      <c r="U113" s="369"/>
      <c r="V113" s="369"/>
      <c r="W113" s="369"/>
      <c r="X113" s="369"/>
      <c r="Y113" s="369"/>
      <c r="Z113" s="369"/>
      <c r="AA113" s="369"/>
      <c r="AB113" s="369"/>
      <c r="AC113" s="369"/>
      <c r="AD113" s="369"/>
      <c r="AE113" s="369"/>
      <c r="AF113" s="369"/>
      <c r="AG113" s="369"/>
      <c r="AH113" s="369"/>
      <c r="AI113" s="369"/>
      <c r="AJ113" s="369"/>
      <c r="AK113" s="369"/>
      <c r="AL113" s="369"/>
      <c r="AM113" s="369"/>
      <c r="AN113" s="1360">
        <v>5</v>
      </c>
      <c r="AO113" s="1360"/>
      <c r="AP113" s="1361" t="s">
        <v>2400</v>
      </c>
      <c r="AQ113" s="1361"/>
      <c r="AR113" s="1361"/>
      <c r="AS113" s="1361"/>
      <c r="AT113" s="1361">
        <v>16</v>
      </c>
      <c r="AU113" s="1361" t="s">
        <v>2394</v>
      </c>
      <c r="AV113" s="1361"/>
      <c r="AW113" s="1359" t="s">
        <v>2401</v>
      </c>
      <c r="AX113" s="1359"/>
      <c r="AY113" s="1359"/>
      <c r="AZ113" s="1359"/>
      <c r="BA113" s="1359"/>
      <c r="BB113" s="1359"/>
      <c r="BC113" s="1359"/>
      <c r="BD113" s="1359"/>
      <c r="BE113" s="1359"/>
      <c r="BF113" s="1359"/>
      <c r="BG113" s="369"/>
      <c r="BH113" s="369"/>
      <c r="BI113" s="369"/>
      <c r="BJ113" s="369"/>
      <c r="BK113" s="369"/>
      <c r="BL113" s="369"/>
      <c r="BM113" s="366"/>
      <c r="BN113" s="366"/>
      <c r="BO113" s="366"/>
      <c r="BP113" s="366"/>
      <c r="BQ113" s="366"/>
      <c r="BR113" s="366"/>
      <c r="BS113" s="370"/>
    </row>
    <row r="114" spans="1:146" x14ac:dyDescent="0.15">
      <c r="A114" s="389"/>
      <c r="B114" s="609"/>
      <c r="C114" s="369"/>
      <c r="D114" s="369"/>
      <c r="E114" s="369"/>
      <c r="F114" s="369"/>
      <c r="G114" s="369"/>
      <c r="H114" s="369"/>
      <c r="I114" s="369"/>
      <c r="J114" s="369"/>
      <c r="K114" s="369"/>
      <c r="L114" s="369"/>
      <c r="M114" s="369"/>
      <c r="N114" s="369"/>
      <c r="O114" s="369"/>
      <c r="P114" s="369"/>
      <c r="Q114" s="369"/>
      <c r="R114" s="369"/>
      <c r="S114" s="369"/>
      <c r="T114" s="369"/>
      <c r="U114" s="369"/>
      <c r="V114" s="369"/>
      <c r="W114" s="369"/>
      <c r="X114" s="369"/>
      <c r="Y114" s="369"/>
      <c r="Z114" s="369"/>
      <c r="AA114" s="369"/>
      <c r="AB114" s="369"/>
      <c r="AC114" s="369"/>
      <c r="AD114" s="369"/>
      <c r="AE114" s="369"/>
      <c r="AF114" s="369"/>
      <c r="AG114" s="369"/>
      <c r="AH114" s="369"/>
      <c r="AI114" s="369"/>
      <c r="AJ114" s="369"/>
      <c r="AK114" s="369"/>
      <c r="AL114" s="369"/>
      <c r="AM114" s="369"/>
      <c r="AN114" s="1360"/>
      <c r="AO114" s="1360"/>
      <c r="AP114" s="1361"/>
      <c r="AQ114" s="1361"/>
      <c r="AR114" s="1361"/>
      <c r="AS114" s="1361"/>
      <c r="AT114" s="1361"/>
      <c r="AU114" s="1361"/>
      <c r="AV114" s="1361"/>
      <c r="AW114" s="1359"/>
      <c r="AX114" s="1359"/>
      <c r="AY114" s="1359"/>
      <c r="AZ114" s="1359"/>
      <c r="BA114" s="1359"/>
      <c r="BB114" s="1359"/>
      <c r="BC114" s="1359"/>
      <c r="BD114" s="1359"/>
      <c r="BE114" s="1359"/>
      <c r="BF114" s="1359"/>
      <c r="BG114" s="369"/>
      <c r="BH114" s="369"/>
      <c r="BI114" s="369"/>
      <c r="BJ114" s="369"/>
      <c r="BK114" s="369"/>
      <c r="BL114" s="369"/>
      <c r="BM114" s="366"/>
      <c r="BN114" s="366"/>
      <c r="BO114" s="366"/>
      <c r="BP114" s="366"/>
      <c r="BQ114" s="366"/>
      <c r="BR114" s="366"/>
      <c r="BS114" s="370"/>
    </row>
    <row r="115" spans="1:146" x14ac:dyDescent="0.15">
      <c r="A115" s="389"/>
      <c r="B115" s="609"/>
      <c r="C115" s="369"/>
      <c r="D115" s="369"/>
      <c r="E115" s="369"/>
      <c r="F115" s="369"/>
      <c r="G115" s="369"/>
      <c r="H115" s="369"/>
      <c r="I115" s="369"/>
      <c r="J115" s="369"/>
      <c r="K115" s="369"/>
      <c r="L115" s="369"/>
      <c r="M115" s="369"/>
      <c r="N115" s="369"/>
      <c r="O115" s="369"/>
      <c r="P115" s="369"/>
      <c r="Q115" s="369"/>
      <c r="R115" s="369"/>
      <c r="S115" s="369"/>
      <c r="T115" s="369"/>
      <c r="U115" s="369"/>
      <c r="V115" s="369"/>
      <c r="W115" s="369"/>
      <c r="X115" s="369"/>
      <c r="Y115" s="369"/>
      <c r="Z115" s="369"/>
      <c r="AA115" s="369"/>
      <c r="AB115" s="369"/>
      <c r="AC115" s="369"/>
      <c r="AD115" s="369"/>
      <c r="AE115" s="369"/>
      <c r="AF115" s="369"/>
      <c r="AG115" s="369"/>
      <c r="AH115" s="369"/>
      <c r="AI115" s="369"/>
      <c r="AJ115" s="369"/>
      <c r="AK115" s="369"/>
      <c r="AL115" s="369"/>
      <c r="AM115" s="369"/>
      <c r="AN115" s="1360"/>
      <c r="AO115" s="1360"/>
      <c r="AP115" s="1361"/>
      <c r="AQ115" s="1361"/>
      <c r="AR115" s="1361"/>
      <c r="AS115" s="1361"/>
      <c r="AT115" s="1361"/>
      <c r="AU115" s="1361"/>
      <c r="AV115" s="1361"/>
      <c r="AW115" s="1359"/>
      <c r="AX115" s="1359"/>
      <c r="AY115" s="1359"/>
      <c r="AZ115" s="1359"/>
      <c r="BA115" s="1359"/>
      <c r="BB115" s="1359"/>
      <c r="BC115" s="1359"/>
      <c r="BD115" s="1359"/>
      <c r="BE115" s="1359"/>
      <c r="BF115" s="1359"/>
      <c r="BG115" s="369"/>
      <c r="BH115" s="369"/>
      <c r="BI115" s="369"/>
      <c r="BJ115" s="369"/>
      <c r="BK115" s="369"/>
      <c r="BL115" s="369"/>
      <c r="BM115" s="366"/>
      <c r="BN115" s="366"/>
      <c r="BO115" s="366"/>
      <c r="BP115" s="366"/>
      <c r="BQ115" s="366"/>
      <c r="BR115" s="366"/>
      <c r="BS115" s="370"/>
    </row>
    <row r="116" spans="1:146" x14ac:dyDescent="0.15">
      <c r="A116" s="389"/>
      <c r="B116" s="609"/>
      <c r="C116" s="369"/>
      <c r="D116" s="369"/>
      <c r="E116" s="369"/>
      <c r="F116" s="369"/>
      <c r="G116" s="369"/>
      <c r="H116" s="369"/>
      <c r="I116" s="369"/>
      <c r="J116" s="369"/>
      <c r="K116" s="369"/>
      <c r="L116" s="369"/>
      <c r="M116" s="369"/>
      <c r="N116" s="369"/>
      <c r="O116" s="369"/>
      <c r="P116" s="369"/>
      <c r="Q116" s="369"/>
      <c r="R116" s="369"/>
      <c r="S116" s="369"/>
      <c r="T116" s="369"/>
      <c r="U116" s="369"/>
      <c r="V116" s="369"/>
      <c r="W116" s="369"/>
      <c r="X116" s="369"/>
      <c r="Y116" s="369"/>
      <c r="Z116" s="369"/>
      <c r="AA116" s="369"/>
      <c r="AB116" s="369"/>
      <c r="AC116" s="369"/>
      <c r="AD116" s="369"/>
      <c r="AE116" s="369"/>
      <c r="AF116" s="369"/>
      <c r="AG116" s="369"/>
      <c r="AH116" s="369"/>
      <c r="AI116" s="369"/>
      <c r="AJ116" s="369"/>
      <c r="AK116" s="369"/>
      <c r="AL116" s="369"/>
      <c r="AM116" s="369"/>
      <c r="AN116" s="1360"/>
      <c r="AO116" s="1360"/>
      <c r="AP116" s="1361"/>
      <c r="AQ116" s="1361"/>
      <c r="AR116" s="1361"/>
      <c r="AS116" s="1361"/>
      <c r="AT116" s="1361"/>
      <c r="AU116" s="1361"/>
      <c r="AV116" s="1361"/>
      <c r="AW116" s="1359"/>
      <c r="AX116" s="1359"/>
      <c r="AY116" s="1359"/>
      <c r="AZ116" s="1359"/>
      <c r="BA116" s="1359"/>
      <c r="BB116" s="1359"/>
      <c r="BC116" s="1359"/>
      <c r="BD116" s="1359"/>
      <c r="BE116" s="1359"/>
      <c r="BF116" s="1359"/>
      <c r="BG116" s="369"/>
      <c r="BH116" s="369"/>
      <c r="BI116" s="369"/>
      <c r="BJ116" s="369"/>
      <c r="BK116" s="369"/>
      <c r="BL116" s="369"/>
      <c r="BM116" s="366"/>
      <c r="BN116" s="366"/>
      <c r="BO116" s="366"/>
      <c r="BP116" s="366"/>
      <c r="BQ116" s="366"/>
      <c r="BR116" s="366"/>
      <c r="BS116" s="370"/>
    </row>
    <row r="117" spans="1:146" ht="13.15" customHeight="1" x14ac:dyDescent="0.15">
      <c r="A117" s="389"/>
      <c r="B117" s="609"/>
      <c r="C117" s="369"/>
      <c r="D117" s="369"/>
      <c r="E117" s="369"/>
      <c r="F117" s="369"/>
      <c r="G117" s="369"/>
      <c r="H117" s="369"/>
      <c r="I117" s="369"/>
      <c r="J117" s="369"/>
      <c r="K117" s="369"/>
      <c r="L117" s="369"/>
      <c r="M117" s="369"/>
      <c r="N117" s="369"/>
      <c r="O117" s="369"/>
      <c r="P117" s="369"/>
      <c r="Q117" s="369"/>
      <c r="R117" s="369"/>
      <c r="S117" s="369"/>
      <c r="T117" s="369"/>
      <c r="U117" s="369"/>
      <c r="V117" s="369"/>
      <c r="W117" s="369"/>
      <c r="X117" s="369"/>
      <c r="Y117" s="369"/>
      <c r="Z117" s="369"/>
      <c r="AA117" s="369"/>
      <c r="AB117" s="369"/>
      <c r="AC117" s="369"/>
      <c r="AD117" s="369"/>
      <c r="AE117" s="369"/>
      <c r="AF117" s="369"/>
      <c r="AG117" s="369"/>
      <c r="AH117" s="369"/>
      <c r="AI117" s="369"/>
      <c r="AJ117" s="369"/>
      <c r="AK117" s="369"/>
      <c r="AL117" s="369"/>
      <c r="AM117" s="369"/>
      <c r="AN117" s="1360">
        <v>6</v>
      </c>
      <c r="AO117" s="1360"/>
      <c r="AP117" s="1361" t="s">
        <v>2402</v>
      </c>
      <c r="AQ117" s="1361"/>
      <c r="AR117" s="1361"/>
      <c r="AS117" s="1361"/>
      <c r="AT117" s="1205">
        <v>1</v>
      </c>
      <c r="AU117" s="1361" t="s">
        <v>2389</v>
      </c>
      <c r="AV117" s="1361"/>
      <c r="AW117" s="1362" t="s">
        <v>2403</v>
      </c>
      <c r="AX117" s="1362"/>
      <c r="AY117" s="1362"/>
      <c r="AZ117" s="1362"/>
      <c r="BA117" s="1362"/>
      <c r="BB117" s="1362"/>
      <c r="BC117" s="1362"/>
      <c r="BD117" s="1362"/>
      <c r="BE117" s="1362"/>
      <c r="BF117" s="1362"/>
      <c r="BG117" s="369"/>
      <c r="BH117" s="369"/>
      <c r="BI117" s="369"/>
      <c r="BJ117" s="369"/>
      <c r="BK117" s="369"/>
      <c r="BL117" s="369"/>
      <c r="BM117" s="366"/>
      <c r="BN117" s="366"/>
      <c r="BO117" s="366"/>
      <c r="BP117" s="366"/>
      <c r="BQ117" s="366"/>
      <c r="BR117" s="366"/>
      <c r="BS117" s="370"/>
    </row>
    <row r="118" spans="1:146" ht="13.15" customHeight="1" x14ac:dyDescent="0.15">
      <c r="A118" s="389"/>
      <c r="B118" s="609"/>
      <c r="C118" s="369"/>
      <c r="D118" s="369"/>
      <c r="E118" s="369"/>
      <c r="F118" s="369"/>
      <c r="G118" s="369"/>
      <c r="H118" s="369"/>
      <c r="I118" s="369"/>
      <c r="J118" s="369"/>
      <c r="K118" s="369"/>
      <c r="L118" s="369"/>
      <c r="M118" s="369"/>
      <c r="N118" s="369"/>
      <c r="O118" s="369"/>
      <c r="P118" s="369"/>
      <c r="Q118" s="369"/>
      <c r="R118" s="369"/>
      <c r="S118" s="369"/>
      <c r="T118" s="369"/>
      <c r="U118" s="369"/>
      <c r="V118" s="369"/>
      <c r="W118" s="452"/>
      <c r="X118" s="369"/>
      <c r="Y118" s="368"/>
      <c r="Z118" s="368"/>
      <c r="AA118" s="368"/>
      <c r="AB118" s="368"/>
      <c r="AC118" s="368"/>
      <c r="AD118" s="368"/>
      <c r="AE118" s="369"/>
      <c r="AF118" s="369"/>
      <c r="AG118" s="369"/>
      <c r="AH118" s="369"/>
      <c r="AI118" s="369"/>
      <c r="AJ118" s="369"/>
      <c r="AK118" s="369"/>
      <c r="AL118" s="369"/>
      <c r="AM118" s="369"/>
      <c r="AN118" s="1357">
        <v>7</v>
      </c>
      <c r="AO118" s="1357"/>
      <c r="AP118" s="1358" t="s">
        <v>2404</v>
      </c>
      <c r="AQ118" s="1358"/>
      <c r="AR118" s="1358"/>
      <c r="AS118" s="1358"/>
      <c r="AT118" s="1358">
        <v>41</v>
      </c>
      <c r="AU118" s="1358" t="s">
        <v>2405</v>
      </c>
      <c r="AV118" s="1358"/>
      <c r="AW118" s="1359" t="s">
        <v>2406</v>
      </c>
      <c r="AX118" s="1359"/>
      <c r="AY118" s="1359"/>
      <c r="AZ118" s="1359"/>
      <c r="BA118" s="1359"/>
      <c r="BB118" s="1359"/>
      <c r="BC118" s="1359"/>
      <c r="BD118" s="1359"/>
      <c r="BE118" s="1359"/>
      <c r="BF118" s="1359"/>
      <c r="BH118" s="461" t="s">
        <v>2407</v>
      </c>
      <c r="BI118" s="41"/>
      <c r="BS118" s="370"/>
    </row>
    <row r="119" spans="1:146" x14ac:dyDescent="0.15">
      <c r="A119" s="389"/>
      <c r="B119" s="609"/>
      <c r="AL119" s="369"/>
      <c r="AM119" s="452"/>
      <c r="AN119" s="1357"/>
      <c r="AO119" s="1357"/>
      <c r="AP119" s="1358"/>
      <c r="AQ119" s="1358"/>
      <c r="AR119" s="1358"/>
      <c r="AS119" s="1358"/>
      <c r="AT119" s="1358"/>
      <c r="AU119" s="1358"/>
      <c r="AV119" s="1358"/>
      <c r="AW119" s="1359"/>
      <c r="AX119" s="1359"/>
      <c r="AY119" s="1359"/>
      <c r="AZ119" s="1359"/>
      <c r="BA119" s="1359"/>
      <c r="BB119" s="1359"/>
      <c r="BC119" s="1359"/>
      <c r="BD119" s="1359"/>
      <c r="BE119" s="1359"/>
      <c r="BF119" s="1359"/>
      <c r="BG119" s="369"/>
      <c r="BH119" s="461" t="s">
        <v>2408</v>
      </c>
      <c r="BI119" s="369"/>
      <c r="BJ119" s="369"/>
      <c r="BK119" s="369"/>
      <c r="BL119" s="369"/>
      <c r="BM119" s="366"/>
      <c r="BN119" s="366"/>
      <c r="BO119" s="366"/>
      <c r="BP119" s="366"/>
      <c r="BQ119" s="366"/>
      <c r="BR119" s="366"/>
      <c r="BS119" s="370"/>
    </row>
    <row r="120" spans="1:146" x14ac:dyDescent="0.15">
      <c r="A120" s="389"/>
      <c r="B120" s="609"/>
      <c r="C120" s="462" t="s">
        <v>2409</v>
      </c>
      <c r="D120" s="366"/>
      <c r="E120" s="366"/>
      <c r="F120" s="366"/>
      <c r="G120" s="366"/>
      <c r="H120" s="366"/>
      <c r="I120" s="366"/>
      <c r="J120" s="366"/>
      <c r="K120" s="366"/>
      <c r="L120" s="366"/>
      <c r="M120" s="366"/>
      <c r="N120" s="366"/>
      <c r="O120" s="366"/>
      <c r="P120" s="366"/>
      <c r="Q120" s="366"/>
      <c r="R120" s="366"/>
      <c r="S120" s="366"/>
      <c r="T120" s="366"/>
      <c r="U120" s="366"/>
      <c r="V120" s="366"/>
      <c r="W120" s="366"/>
      <c r="X120" s="366"/>
      <c r="Y120" s="366"/>
      <c r="Z120" s="366"/>
      <c r="AA120" s="366"/>
      <c r="AB120" s="366"/>
      <c r="AC120" s="366"/>
      <c r="AD120" s="366"/>
      <c r="AE120" s="366"/>
      <c r="AF120" s="366"/>
      <c r="AG120" s="366"/>
      <c r="AH120" s="366"/>
      <c r="AI120" s="366"/>
      <c r="AJ120" s="366"/>
      <c r="AK120" s="366"/>
      <c r="AL120" s="366"/>
      <c r="AM120" s="366"/>
      <c r="AN120" s="1357"/>
      <c r="AO120" s="1357"/>
      <c r="AP120" s="1358"/>
      <c r="AQ120" s="1358"/>
      <c r="AR120" s="1358"/>
      <c r="AS120" s="1358"/>
      <c r="AT120" s="1358"/>
      <c r="AU120" s="1358"/>
      <c r="AV120" s="1358"/>
      <c r="AW120" s="1359"/>
      <c r="AX120" s="1359"/>
      <c r="AY120" s="1359"/>
      <c r="AZ120" s="1359"/>
      <c r="BA120" s="1359"/>
      <c r="BB120" s="1359"/>
      <c r="BC120" s="1359"/>
      <c r="BD120" s="1359"/>
      <c r="BE120" s="1359"/>
      <c r="BF120" s="1359"/>
      <c r="BG120" s="366"/>
      <c r="BH120" s="366"/>
      <c r="BI120" s="366"/>
      <c r="BJ120" s="366"/>
      <c r="BK120" s="366"/>
      <c r="BL120" s="366"/>
      <c r="BM120" s="366"/>
      <c r="BN120" s="366"/>
      <c r="BO120" s="366"/>
      <c r="BP120" s="366"/>
      <c r="BQ120" s="366"/>
      <c r="BR120" s="366"/>
      <c r="BS120" s="370"/>
      <c r="BU120" s="371"/>
      <c r="BV120" s="396"/>
      <c r="BW120" s="455"/>
      <c r="BX120" s="270"/>
      <c r="BY120" s="270"/>
      <c r="BZ120" s="270"/>
      <c r="CA120" s="270"/>
      <c r="CB120" s="270"/>
      <c r="CC120" s="396"/>
      <c r="CD120" s="396"/>
      <c r="CE120" s="396"/>
      <c r="CF120" s="396"/>
      <c r="CG120" s="396"/>
      <c r="CH120" s="270"/>
      <c r="CI120" s="270"/>
      <c r="CJ120" s="270"/>
      <c r="CK120" s="270"/>
      <c r="CL120" s="270"/>
      <c r="CM120" s="270"/>
      <c r="CN120" s="270"/>
      <c r="CO120" s="270"/>
      <c r="CP120" s="270"/>
      <c r="CQ120" s="270"/>
      <c r="CR120" s="270"/>
      <c r="CS120" s="270"/>
      <c r="CT120" s="270"/>
      <c r="CU120" s="270"/>
      <c r="CV120" s="270"/>
      <c r="CW120" s="270"/>
      <c r="CX120" s="270"/>
      <c r="CY120" s="270"/>
      <c r="CZ120" s="270"/>
      <c r="DA120" s="270"/>
      <c r="DB120" s="270"/>
      <c r="DC120" s="270"/>
      <c r="DD120" s="270"/>
      <c r="DE120" s="270"/>
      <c r="DF120" s="456"/>
      <c r="DG120" s="456"/>
      <c r="DH120" s="456"/>
      <c r="DI120" s="270"/>
      <c r="DJ120" s="396"/>
      <c r="DK120" s="396"/>
      <c r="DL120" s="396"/>
      <c r="DM120" s="396"/>
      <c r="DN120" s="396"/>
      <c r="DO120" s="396"/>
      <c r="DP120" s="396"/>
      <c r="DQ120" s="396"/>
      <c r="DR120" s="396"/>
      <c r="DS120" s="270"/>
      <c r="DT120" s="270"/>
      <c r="DU120" s="270"/>
      <c r="DV120" s="270"/>
      <c r="DW120" s="270"/>
      <c r="DX120" s="270"/>
      <c r="DY120" s="270"/>
      <c r="DZ120" s="270"/>
      <c r="EA120" s="270"/>
      <c r="EB120" s="270"/>
      <c r="EC120" s="270"/>
      <c r="ED120" s="270"/>
      <c r="EE120" s="270"/>
      <c r="EF120" s="270"/>
      <c r="EG120" s="270"/>
      <c r="EH120" s="270"/>
      <c r="EI120" s="270"/>
      <c r="EJ120" s="270"/>
      <c r="EK120" s="270"/>
      <c r="EL120" s="270"/>
      <c r="EM120" s="270"/>
      <c r="EN120" s="270"/>
      <c r="EO120" s="270"/>
      <c r="EP120" s="270"/>
    </row>
    <row r="121" spans="1:146" x14ac:dyDescent="0.15">
      <c r="A121" s="389"/>
      <c r="B121" s="609"/>
      <c r="C121" s="371"/>
      <c r="D121" s="368"/>
      <c r="E121" s="368"/>
      <c r="F121" s="369"/>
      <c r="G121" s="369"/>
      <c r="H121" s="369"/>
      <c r="I121" s="369"/>
      <c r="J121" s="369"/>
      <c r="K121" s="369"/>
      <c r="L121" s="369"/>
      <c r="M121" s="369"/>
      <c r="N121" s="368"/>
      <c r="O121" s="368"/>
      <c r="P121" s="368"/>
      <c r="Q121" s="368"/>
      <c r="R121" s="369"/>
      <c r="S121" s="369"/>
      <c r="T121" s="369"/>
      <c r="U121" s="369"/>
      <c r="V121" s="369"/>
      <c r="W121" s="369"/>
      <c r="X121" s="369"/>
      <c r="Y121" s="369"/>
      <c r="Z121" s="369"/>
      <c r="AA121" s="369"/>
      <c r="AB121" s="369"/>
      <c r="AC121" s="369"/>
      <c r="AD121" s="369"/>
      <c r="AE121" s="369"/>
      <c r="AF121" s="369"/>
      <c r="AG121" s="369"/>
      <c r="AH121" s="369"/>
      <c r="AI121" s="369"/>
      <c r="AJ121" s="369"/>
      <c r="AK121" s="369"/>
      <c r="AL121" s="369"/>
      <c r="AM121" s="377"/>
      <c r="AN121" s="377"/>
      <c r="AO121" s="369"/>
      <c r="AP121" s="369"/>
      <c r="AQ121" s="369"/>
      <c r="AR121" s="369"/>
      <c r="AS121" s="369"/>
      <c r="AT121" s="369"/>
      <c r="AU121" s="369"/>
      <c r="AV121" s="369"/>
      <c r="AW121" s="369"/>
      <c r="AX121" s="369"/>
      <c r="AY121" s="369"/>
      <c r="AZ121" s="369"/>
      <c r="BA121" s="369"/>
      <c r="BB121" s="369"/>
      <c r="BC121" s="369"/>
      <c r="BD121" s="369"/>
      <c r="BE121" s="369"/>
      <c r="BF121" s="369"/>
      <c r="BG121" s="377"/>
      <c r="BH121" s="369"/>
      <c r="BI121" s="369"/>
      <c r="BJ121" s="369"/>
      <c r="BK121" s="369"/>
      <c r="BL121" s="369"/>
      <c r="BM121" s="369"/>
      <c r="BN121" s="369"/>
      <c r="BO121" s="369"/>
      <c r="BP121" s="369"/>
      <c r="BQ121" s="369"/>
      <c r="BR121" s="369"/>
      <c r="BS121" s="370"/>
    </row>
    <row r="122" spans="1:146" ht="13.5" customHeight="1" x14ac:dyDescent="0.15">
      <c r="A122" s="389"/>
      <c r="B122" s="609"/>
      <c r="C122" s="371"/>
      <c r="I122" s="369"/>
      <c r="J122" s="369"/>
      <c r="K122" s="369"/>
      <c r="L122" s="369"/>
      <c r="M122" s="369"/>
      <c r="N122" s="369"/>
      <c r="O122" s="369"/>
      <c r="P122" s="369"/>
      <c r="Q122" s="369"/>
      <c r="R122" s="369"/>
      <c r="S122" s="369"/>
      <c r="T122" s="369"/>
      <c r="U122" s="369"/>
      <c r="V122" s="369"/>
      <c r="W122" s="369"/>
      <c r="X122" s="369"/>
      <c r="Y122" s="369"/>
      <c r="Z122" s="369"/>
      <c r="AA122" s="369"/>
      <c r="AB122" s="369"/>
      <c r="AC122" s="369"/>
      <c r="AD122" s="369"/>
      <c r="AE122" s="369"/>
      <c r="AF122" s="369"/>
      <c r="AG122" s="369"/>
      <c r="AH122" s="369"/>
      <c r="AI122" s="369"/>
      <c r="AJ122" s="369"/>
      <c r="AK122" s="369"/>
      <c r="AL122" s="369"/>
      <c r="AM122" s="444"/>
      <c r="AN122" s="444"/>
      <c r="AO122" s="444"/>
      <c r="AP122" s="444"/>
      <c r="AQ122" s="444"/>
      <c r="AR122" s="444"/>
      <c r="AS122" s="444"/>
      <c r="AT122" s="444"/>
      <c r="AU122" s="444"/>
      <c r="AV122" s="444"/>
      <c r="AW122" s="444"/>
      <c r="AX122" s="444"/>
      <c r="AY122" s="444"/>
      <c r="AZ122" s="444"/>
      <c r="BA122" s="444"/>
      <c r="BB122" s="444"/>
      <c r="BC122" s="444"/>
      <c r="BD122" s="444"/>
      <c r="BE122" s="444"/>
      <c r="BF122" s="444"/>
      <c r="BG122" s="1356"/>
      <c r="BH122" s="1355"/>
      <c r="BI122" s="1355"/>
      <c r="BJ122" s="1356"/>
      <c r="BK122" s="1355"/>
      <c r="BL122" s="1355"/>
      <c r="BM122" s="1356"/>
      <c r="BN122" s="1355"/>
      <c r="BO122" s="1355"/>
      <c r="BP122" s="1356"/>
      <c r="BQ122" s="1355"/>
      <c r="BR122" s="1355"/>
      <c r="BS122" s="370"/>
    </row>
    <row r="123" spans="1:146" x14ac:dyDescent="0.15">
      <c r="A123" s="389"/>
      <c r="B123" s="609"/>
      <c r="D123" s="463" t="s">
        <v>2410</v>
      </c>
      <c r="G123" s="289"/>
      <c r="H123" s="369"/>
      <c r="I123" s="369"/>
      <c r="J123" s="369"/>
      <c r="K123" s="369"/>
      <c r="L123" s="369"/>
      <c r="M123" s="369"/>
      <c r="N123" s="369"/>
      <c r="O123" s="369"/>
      <c r="P123" s="369"/>
      <c r="Q123" s="369"/>
      <c r="R123" s="369"/>
      <c r="S123" s="369"/>
      <c r="T123" s="369"/>
      <c r="U123" s="369"/>
      <c r="V123" s="369"/>
      <c r="W123" s="369"/>
      <c r="X123" s="369"/>
      <c r="Y123" s="369"/>
      <c r="Z123" s="369"/>
      <c r="AA123" s="369"/>
      <c r="AB123" s="369"/>
      <c r="AC123" s="369"/>
      <c r="AD123" s="369"/>
      <c r="AE123" s="369"/>
      <c r="AF123" s="369"/>
      <c r="AG123" s="369"/>
      <c r="AH123" s="369"/>
      <c r="AI123" s="369"/>
      <c r="AJ123" s="369"/>
      <c r="AK123" s="369"/>
      <c r="AL123" s="369"/>
      <c r="AM123" s="369"/>
      <c r="AN123" s="369"/>
      <c r="AO123" s="369"/>
      <c r="AP123" s="369"/>
      <c r="AQ123" s="369"/>
      <c r="AR123" s="369"/>
      <c r="AS123" s="369"/>
      <c r="AT123" s="369"/>
      <c r="AU123" s="369"/>
      <c r="AV123" s="369"/>
      <c r="AW123" s="369"/>
      <c r="AX123" s="369"/>
      <c r="AY123" s="369"/>
      <c r="AZ123" s="369"/>
      <c r="BA123" s="369"/>
      <c r="BB123" s="369"/>
      <c r="BC123" s="369"/>
      <c r="BD123" s="369"/>
      <c r="BE123" s="369"/>
      <c r="BF123" s="369"/>
      <c r="BG123" s="1355"/>
      <c r="BH123" s="1355"/>
      <c r="BI123" s="1355"/>
      <c r="BJ123" s="1355"/>
      <c r="BK123" s="1355"/>
      <c r="BL123" s="1355"/>
      <c r="BM123" s="1355"/>
      <c r="BN123" s="1355"/>
      <c r="BO123" s="1355"/>
      <c r="BP123" s="1355"/>
      <c r="BQ123" s="1355"/>
      <c r="BR123" s="1355"/>
      <c r="BS123" s="370"/>
    </row>
    <row r="124" spans="1:146" ht="17.25" x14ac:dyDescent="0.2">
      <c r="A124" s="389"/>
      <c r="B124" s="609"/>
      <c r="C124" s="371"/>
      <c r="E124" s="464"/>
      <c r="F124" s="464"/>
      <c r="G124" s="464"/>
      <c r="I124" s="369"/>
      <c r="J124" s="369"/>
      <c r="K124" s="369"/>
      <c r="L124" s="369"/>
      <c r="M124" s="369"/>
      <c r="N124" s="369"/>
      <c r="O124" s="369"/>
      <c r="P124" s="369"/>
      <c r="Q124" s="369"/>
      <c r="R124" s="369"/>
      <c r="S124" s="369"/>
      <c r="T124" s="369"/>
      <c r="U124" s="369"/>
      <c r="V124" s="369"/>
      <c r="W124" s="369"/>
      <c r="X124" s="369"/>
      <c r="Y124" s="369"/>
      <c r="Z124" s="369"/>
      <c r="AA124" s="369"/>
      <c r="AB124" s="369"/>
      <c r="AC124" s="369"/>
      <c r="AD124" s="369"/>
      <c r="AE124" s="369"/>
      <c r="AF124" s="369"/>
      <c r="AG124" s="369"/>
      <c r="AH124" s="369"/>
      <c r="AI124" s="369"/>
      <c r="AJ124" s="369"/>
      <c r="AK124" s="369"/>
      <c r="AL124" s="369"/>
      <c r="AM124" s="369"/>
      <c r="AN124" s="369"/>
      <c r="AO124" s="369"/>
      <c r="AP124" s="369"/>
      <c r="AQ124" s="369"/>
      <c r="AR124" s="369"/>
      <c r="AS124" s="369"/>
      <c r="AT124" s="369"/>
      <c r="AU124" s="369"/>
      <c r="AV124" s="369"/>
      <c r="AW124" s="369"/>
      <c r="AX124" s="369"/>
      <c r="AY124" s="369"/>
      <c r="AZ124" s="369"/>
      <c r="BA124" s="369"/>
      <c r="BB124" s="369"/>
      <c r="BC124" s="369"/>
      <c r="BD124" s="369"/>
      <c r="BE124" s="369"/>
      <c r="BF124" s="369"/>
      <c r="BG124" s="369"/>
      <c r="BH124" s="369"/>
      <c r="BI124" s="369"/>
      <c r="BJ124" s="369"/>
      <c r="BK124" s="369"/>
      <c r="BL124" s="369"/>
      <c r="BM124" s="369"/>
      <c r="BN124" s="369"/>
      <c r="BO124" s="369"/>
      <c r="BP124" s="1355"/>
      <c r="BQ124" s="1355"/>
      <c r="BR124" s="1355"/>
      <c r="BS124" s="370"/>
    </row>
    <row r="125" spans="1:146" x14ac:dyDescent="0.15">
      <c r="A125" s="389"/>
      <c r="B125" s="609"/>
      <c r="D125" s="270"/>
      <c r="F125" s="369"/>
      <c r="G125" s="369"/>
      <c r="H125" s="369"/>
      <c r="I125" s="369"/>
      <c r="J125" s="369"/>
      <c r="K125" s="369"/>
      <c r="L125" s="369"/>
      <c r="M125" s="369"/>
      <c r="N125" s="369"/>
      <c r="O125" s="369"/>
      <c r="P125" s="369"/>
      <c r="Q125" s="369"/>
      <c r="R125" s="369"/>
      <c r="S125" s="369"/>
      <c r="T125" s="369"/>
      <c r="U125" s="369"/>
      <c r="V125" s="369"/>
      <c r="W125" s="369"/>
      <c r="X125" s="369"/>
      <c r="Y125" s="369"/>
      <c r="Z125" s="369"/>
      <c r="AA125" s="369"/>
      <c r="AB125" s="369"/>
      <c r="AC125" s="369"/>
      <c r="AD125" s="369"/>
      <c r="AE125" s="369"/>
      <c r="AF125" s="369"/>
      <c r="AG125" s="369"/>
      <c r="AH125" s="369"/>
      <c r="AI125" s="369"/>
      <c r="AJ125" s="369"/>
      <c r="AK125" s="369"/>
      <c r="AL125" s="369"/>
      <c r="AM125" s="369"/>
      <c r="AN125" s="369"/>
      <c r="AO125" s="369"/>
      <c r="AP125" s="369"/>
      <c r="AQ125" s="369"/>
      <c r="AR125" s="369"/>
      <c r="AS125" s="369"/>
      <c r="AT125" s="369"/>
      <c r="AU125" s="369"/>
      <c r="AV125" s="369"/>
      <c r="AW125" s="369"/>
      <c r="AX125" s="369"/>
      <c r="AY125" s="369"/>
      <c r="AZ125" s="369"/>
      <c r="BA125" s="369"/>
      <c r="BB125" s="369"/>
      <c r="BC125" s="369"/>
      <c r="BD125" s="369"/>
      <c r="BE125" s="369"/>
      <c r="BF125" s="369"/>
      <c r="BG125" s="369"/>
      <c r="BH125" s="369"/>
      <c r="BI125" s="369"/>
      <c r="BJ125" s="369"/>
      <c r="BK125" s="369"/>
      <c r="BL125" s="369"/>
      <c r="BM125" s="369"/>
      <c r="BN125" s="369"/>
      <c r="BO125" s="369"/>
      <c r="BP125" s="1355"/>
      <c r="BQ125" s="1355"/>
      <c r="BR125" s="1355"/>
      <c r="BS125" s="370"/>
    </row>
    <row r="126" spans="1:146" x14ac:dyDescent="0.15">
      <c r="A126" s="389"/>
      <c r="B126" s="609"/>
      <c r="E126" s="289" t="s">
        <v>2411</v>
      </c>
      <c r="F126" s="369"/>
      <c r="G126" s="369"/>
      <c r="H126" s="369"/>
      <c r="I126" s="369"/>
      <c r="J126" s="369"/>
      <c r="K126" s="369"/>
      <c r="L126" s="369"/>
      <c r="M126" s="369"/>
      <c r="N126" s="369"/>
      <c r="O126" s="369"/>
      <c r="P126" s="369"/>
      <c r="Q126" s="369"/>
      <c r="R126" s="369"/>
      <c r="S126" s="369"/>
      <c r="T126" s="369"/>
      <c r="U126" s="369"/>
      <c r="V126" s="369"/>
      <c r="W126" s="369"/>
      <c r="X126" s="369"/>
      <c r="Y126" s="369"/>
      <c r="Z126" s="369"/>
      <c r="AA126" s="369"/>
      <c r="AB126" s="369"/>
      <c r="AC126" s="369"/>
      <c r="AD126" s="369"/>
      <c r="AE126" s="369"/>
      <c r="AF126" s="369"/>
      <c r="AG126" s="369"/>
      <c r="AH126" s="369"/>
      <c r="AI126" s="369"/>
      <c r="AJ126" s="369"/>
      <c r="AK126" s="369"/>
      <c r="AL126" s="369"/>
      <c r="AM126" s="369"/>
      <c r="AN126" s="369"/>
      <c r="AO126" s="369"/>
      <c r="AP126" s="369"/>
      <c r="AQ126" s="369"/>
      <c r="AR126" s="369"/>
      <c r="AS126" s="369"/>
      <c r="AT126" s="369"/>
      <c r="AU126" s="369"/>
      <c r="AV126" s="369"/>
      <c r="AW126" s="369"/>
      <c r="AX126" s="369"/>
      <c r="AY126" s="369"/>
      <c r="AZ126" s="369"/>
      <c r="BA126" s="369"/>
      <c r="BB126" s="369"/>
      <c r="BC126" s="369"/>
      <c r="BD126" s="369"/>
      <c r="BE126" s="369"/>
      <c r="BF126" s="369"/>
      <c r="BG126" s="369"/>
      <c r="BH126" s="369"/>
      <c r="BI126" s="369"/>
      <c r="BJ126" s="369"/>
      <c r="BK126" s="369"/>
      <c r="BL126" s="369"/>
      <c r="BM126" s="369"/>
      <c r="BN126" s="369"/>
      <c r="BO126" s="369"/>
      <c r="BP126" s="368"/>
      <c r="BQ126" s="368"/>
      <c r="BR126" s="368"/>
      <c r="BS126" s="370"/>
    </row>
    <row r="127" spans="1:146" x14ac:dyDescent="0.15">
      <c r="A127" s="389"/>
      <c r="B127" s="609"/>
      <c r="E127" s="289" t="s">
        <v>2412</v>
      </c>
      <c r="F127" s="369"/>
      <c r="G127" s="369"/>
      <c r="H127" s="369"/>
      <c r="I127" s="369"/>
      <c r="J127" s="369"/>
      <c r="K127" s="369"/>
      <c r="L127" s="369"/>
      <c r="M127" s="369"/>
      <c r="N127" s="369"/>
      <c r="O127" s="369"/>
      <c r="P127" s="369"/>
      <c r="Q127" s="369"/>
      <c r="R127" s="369"/>
      <c r="S127" s="369"/>
      <c r="T127" s="369"/>
      <c r="U127" s="369"/>
      <c r="V127" s="369"/>
      <c r="W127" s="369"/>
      <c r="X127" s="369"/>
      <c r="Y127" s="369"/>
      <c r="Z127" s="369"/>
      <c r="AA127" s="369"/>
      <c r="AB127" s="369"/>
      <c r="AC127" s="369"/>
      <c r="AD127" s="369"/>
      <c r="AE127" s="369"/>
      <c r="AF127" s="369"/>
      <c r="AG127" s="369"/>
      <c r="AH127" s="369"/>
      <c r="AI127" s="369"/>
      <c r="AJ127" s="369"/>
      <c r="AK127" s="369"/>
      <c r="AL127" s="369"/>
      <c r="AM127" s="369"/>
      <c r="AN127" s="369"/>
      <c r="AO127" s="369"/>
      <c r="AP127" s="369"/>
      <c r="AQ127" s="369"/>
      <c r="AR127" s="369"/>
      <c r="AS127" s="369"/>
      <c r="AT127" s="369"/>
      <c r="AU127" s="369"/>
      <c r="AV127" s="369"/>
      <c r="AW127" s="369"/>
      <c r="AX127" s="369"/>
      <c r="AY127" s="369"/>
      <c r="AZ127" s="369"/>
      <c r="BA127" s="369"/>
      <c r="BB127" s="369"/>
      <c r="BC127" s="369"/>
      <c r="BD127" s="369"/>
      <c r="BE127" s="369"/>
      <c r="BF127" s="369"/>
      <c r="BG127" s="369"/>
      <c r="BH127" s="369"/>
      <c r="BI127" s="369"/>
      <c r="BJ127" s="369"/>
      <c r="BK127" s="369"/>
      <c r="BL127" s="369"/>
      <c r="BM127" s="369"/>
      <c r="BN127" s="369"/>
      <c r="BO127" s="369"/>
      <c r="BP127" s="368"/>
      <c r="BQ127" s="368"/>
      <c r="BR127" s="368"/>
      <c r="BS127" s="370"/>
    </row>
    <row r="128" spans="1:146" x14ac:dyDescent="0.15">
      <c r="A128" s="389"/>
      <c r="B128" s="609"/>
      <c r="AL128" s="369"/>
      <c r="AM128" s="369"/>
      <c r="AN128" s="369"/>
      <c r="AO128" s="369"/>
      <c r="AP128" s="369"/>
      <c r="AQ128" s="369"/>
      <c r="AR128" s="369"/>
      <c r="AS128" s="369"/>
      <c r="AT128" s="369"/>
      <c r="AU128" s="369"/>
      <c r="AV128" s="369"/>
      <c r="AW128" s="369"/>
      <c r="AX128" s="369"/>
      <c r="AY128" s="369"/>
      <c r="AZ128" s="369"/>
      <c r="BA128" s="369"/>
      <c r="BB128" s="369"/>
      <c r="BC128" s="369"/>
      <c r="BD128" s="369"/>
      <c r="BE128" s="369"/>
      <c r="BF128" s="369"/>
      <c r="BG128" s="369"/>
      <c r="BH128" s="369"/>
      <c r="BI128" s="369"/>
      <c r="BJ128" s="369"/>
      <c r="BK128" s="369"/>
      <c r="BL128" s="369"/>
      <c r="BM128" s="366"/>
      <c r="BN128" s="366"/>
      <c r="BO128" s="366"/>
      <c r="BP128" s="366"/>
      <c r="BQ128" s="366"/>
      <c r="BR128" s="366"/>
      <c r="BS128" s="370"/>
    </row>
    <row r="129" spans="1:71" x14ac:dyDescent="0.15">
      <c r="A129" s="389"/>
      <c r="B129" s="609"/>
      <c r="C129" s="371"/>
      <c r="D129" s="465" t="s">
        <v>2413</v>
      </c>
      <c r="H129" s="369"/>
      <c r="I129" s="369"/>
      <c r="J129" s="369"/>
      <c r="K129" s="369"/>
      <c r="L129" s="369"/>
      <c r="M129" s="369"/>
      <c r="N129" s="369"/>
      <c r="O129" s="369"/>
      <c r="P129" s="369"/>
      <c r="Q129" s="369"/>
      <c r="R129" s="369"/>
      <c r="S129" s="369"/>
      <c r="T129" s="369"/>
      <c r="U129" s="369"/>
      <c r="V129" s="369"/>
      <c r="W129" s="369"/>
      <c r="X129" s="369"/>
      <c r="Y129" s="369"/>
      <c r="Z129" s="369"/>
      <c r="AA129" s="369"/>
      <c r="AB129" s="369"/>
      <c r="AC129" s="371"/>
      <c r="AD129" s="369"/>
      <c r="AE129" s="369"/>
      <c r="AF129" s="369"/>
      <c r="AG129" s="369"/>
      <c r="AH129" s="369"/>
      <c r="AI129" s="369"/>
      <c r="AJ129" s="369"/>
      <c r="AK129" s="369"/>
      <c r="AL129" s="369"/>
      <c r="AM129" s="369"/>
      <c r="AN129" s="369"/>
      <c r="AO129" s="369"/>
      <c r="AP129" s="369"/>
      <c r="AQ129" s="369"/>
      <c r="AR129" s="369"/>
      <c r="AS129" s="369"/>
      <c r="AT129" s="369"/>
      <c r="AU129" s="369"/>
      <c r="AV129" s="369"/>
      <c r="AW129" s="369"/>
      <c r="AX129" s="369"/>
      <c r="AY129" s="369"/>
      <c r="AZ129" s="369"/>
      <c r="BA129" s="369"/>
      <c r="BB129" s="369"/>
      <c r="BC129" s="369"/>
      <c r="BD129" s="369"/>
      <c r="BE129" s="369"/>
      <c r="BF129" s="369"/>
      <c r="BG129" s="369"/>
      <c r="BH129" s="369"/>
      <c r="BI129" s="369"/>
      <c r="BJ129" s="369"/>
      <c r="BK129" s="369"/>
      <c r="BL129" s="369"/>
      <c r="BM129" s="366"/>
      <c r="BN129" s="366"/>
      <c r="BO129" s="366"/>
      <c r="BP129" s="366"/>
      <c r="BQ129" s="366"/>
      <c r="BR129" s="366"/>
      <c r="BS129" s="370"/>
    </row>
    <row r="130" spans="1:71" x14ac:dyDescent="0.15">
      <c r="A130" s="389"/>
      <c r="B130" s="609"/>
      <c r="E130" s="466"/>
      <c r="AL130" s="369"/>
      <c r="AM130" s="369"/>
      <c r="AN130" s="369"/>
      <c r="AO130" s="369"/>
      <c r="AP130" s="369"/>
      <c r="AQ130" s="369"/>
      <c r="AR130" s="369"/>
      <c r="AS130" s="369"/>
      <c r="AT130" s="369"/>
      <c r="AU130" s="369"/>
      <c r="AV130" s="369"/>
      <c r="AW130" s="369"/>
      <c r="AX130" s="369"/>
      <c r="AY130" s="369"/>
      <c r="AZ130" s="369"/>
      <c r="BA130" s="369"/>
      <c r="BB130" s="369"/>
      <c r="BC130" s="369"/>
      <c r="BD130" s="369"/>
      <c r="BE130" s="369"/>
      <c r="BF130" s="369"/>
      <c r="BG130" s="369"/>
      <c r="BH130" s="369"/>
      <c r="BI130" s="369"/>
      <c r="BJ130" s="369"/>
      <c r="BK130" s="369"/>
      <c r="BL130" s="369"/>
      <c r="BM130" s="366"/>
      <c r="BN130" s="366"/>
      <c r="BO130" s="366"/>
      <c r="BP130" s="366"/>
      <c r="BQ130" s="366"/>
      <c r="BR130" s="366"/>
      <c r="BS130" s="370"/>
    </row>
    <row r="131" spans="1:71" x14ac:dyDescent="0.15">
      <c r="A131" s="389"/>
      <c r="B131" s="609"/>
      <c r="AL131" s="369"/>
      <c r="AM131" s="369"/>
      <c r="AN131" s="369"/>
      <c r="AO131" s="369"/>
      <c r="AP131" s="369"/>
      <c r="AQ131" s="369"/>
      <c r="AR131" s="369"/>
      <c r="AS131" s="369"/>
      <c r="AT131" s="369"/>
      <c r="AU131" s="369"/>
      <c r="AV131" s="369"/>
      <c r="AW131" s="369"/>
      <c r="AX131" s="369"/>
      <c r="AY131" s="369"/>
      <c r="AZ131" s="369"/>
      <c r="BA131" s="369"/>
      <c r="BB131" s="369"/>
      <c r="BC131" s="369"/>
      <c r="BD131" s="369"/>
      <c r="BE131" s="369"/>
      <c r="BF131" s="369"/>
      <c r="BG131" s="369"/>
      <c r="BH131" s="369"/>
      <c r="BI131" s="369"/>
      <c r="BJ131" s="369"/>
      <c r="BK131" s="369"/>
      <c r="BL131" s="369"/>
      <c r="BM131" s="366"/>
      <c r="BN131" s="366"/>
      <c r="BO131" s="366"/>
      <c r="BP131" s="366"/>
      <c r="BQ131" s="366"/>
      <c r="BR131" s="366"/>
      <c r="BS131" s="370"/>
    </row>
    <row r="132" spans="1:71" x14ac:dyDescent="0.15">
      <c r="A132" s="389"/>
      <c r="B132" s="609"/>
      <c r="AL132" s="369"/>
      <c r="AM132" s="369"/>
      <c r="AN132" s="369"/>
      <c r="AO132" s="369"/>
      <c r="AP132" s="369"/>
      <c r="AQ132" s="369"/>
      <c r="AR132" s="369"/>
      <c r="AS132" s="369"/>
      <c r="AT132" s="369"/>
      <c r="AU132" s="369"/>
      <c r="AV132" s="369"/>
      <c r="AW132" s="366"/>
      <c r="AX132" s="366"/>
      <c r="AY132" s="366"/>
      <c r="AZ132" s="366"/>
      <c r="BA132" s="366"/>
      <c r="BB132" s="366"/>
      <c r="BS132" s="370"/>
    </row>
    <row r="133" spans="1:71" x14ac:dyDescent="0.15">
      <c r="A133" s="389"/>
      <c r="B133" s="609"/>
      <c r="C133" s="467"/>
      <c r="D133" s="468"/>
      <c r="AA133" s="369"/>
      <c r="AB133" s="369"/>
      <c r="AC133" s="369"/>
      <c r="AD133" s="369"/>
      <c r="AE133" s="369"/>
      <c r="AF133" s="369"/>
      <c r="AG133" s="369"/>
      <c r="AH133" s="369"/>
      <c r="AI133" s="369"/>
      <c r="AJ133" s="369"/>
      <c r="AK133" s="369"/>
      <c r="AL133" s="369"/>
      <c r="AM133" s="369"/>
      <c r="AN133" s="369"/>
      <c r="AO133" s="369"/>
      <c r="AP133" s="369"/>
      <c r="AQ133" s="369"/>
      <c r="AR133" s="369"/>
      <c r="AS133" s="369"/>
      <c r="AT133" s="369"/>
      <c r="AU133" s="369"/>
      <c r="AV133" s="369"/>
      <c r="AW133" s="369"/>
      <c r="AX133" s="369"/>
      <c r="AY133" s="369"/>
      <c r="AZ133" s="369"/>
      <c r="BA133" s="369"/>
      <c r="BB133" s="369"/>
      <c r="BC133" s="369"/>
      <c r="BD133" s="369"/>
      <c r="BE133" s="369"/>
      <c r="BF133" s="369"/>
      <c r="BG133" s="369"/>
      <c r="BH133" s="369"/>
      <c r="BI133" s="369"/>
      <c r="BJ133" s="369"/>
      <c r="BK133" s="369"/>
      <c r="BL133" s="369"/>
      <c r="BM133" s="369"/>
      <c r="BN133" s="369"/>
      <c r="BS133" s="370"/>
    </row>
    <row r="134" spans="1:71" ht="14.25" x14ac:dyDescent="0.15">
      <c r="A134" s="389"/>
      <c r="B134" s="609"/>
      <c r="D134" s="369"/>
      <c r="E134" s="469"/>
      <c r="F134" s="369"/>
      <c r="G134" s="369"/>
      <c r="AL134" s="369"/>
      <c r="AM134" s="369"/>
      <c r="AN134" s="369"/>
      <c r="AO134" s="369"/>
      <c r="AP134" s="369"/>
      <c r="AQ134" s="369"/>
      <c r="AR134" s="369"/>
      <c r="AS134" s="369"/>
      <c r="AT134" s="369"/>
      <c r="AU134" s="369"/>
      <c r="AV134" s="369"/>
      <c r="AW134" s="369"/>
      <c r="AX134" s="369"/>
      <c r="AY134" s="369"/>
      <c r="AZ134" s="369"/>
      <c r="BA134" s="369"/>
      <c r="BB134" s="369"/>
      <c r="BC134" s="369"/>
      <c r="BD134" s="369"/>
      <c r="BE134" s="369"/>
      <c r="BF134" s="369"/>
      <c r="BG134" s="369"/>
      <c r="BH134" s="369"/>
      <c r="BI134" s="369"/>
      <c r="BJ134" s="369"/>
      <c r="BK134" s="369"/>
      <c r="BL134" s="369"/>
      <c r="BM134" s="366"/>
      <c r="BN134" s="366"/>
      <c r="BO134" s="366"/>
      <c r="BP134" s="366"/>
      <c r="BQ134" s="366"/>
      <c r="BR134" s="366"/>
      <c r="BS134" s="370"/>
    </row>
    <row r="135" spans="1:71" x14ac:dyDescent="0.15">
      <c r="A135" s="389"/>
      <c r="B135" s="609"/>
      <c r="E135" s="289" t="s">
        <v>2414</v>
      </c>
      <c r="F135" s="369"/>
      <c r="G135" s="369"/>
      <c r="AL135" s="369"/>
      <c r="AM135" s="369"/>
      <c r="AN135" s="369"/>
      <c r="AO135" s="369"/>
      <c r="AP135" s="369"/>
      <c r="AQ135" s="369"/>
      <c r="AR135" s="369"/>
      <c r="AS135" s="369"/>
      <c r="AT135" s="369"/>
      <c r="AU135" s="369"/>
      <c r="AV135" s="369"/>
      <c r="AW135" s="369"/>
      <c r="AX135" s="369"/>
      <c r="AY135" s="369"/>
      <c r="AZ135" s="369"/>
      <c r="BA135" s="369"/>
      <c r="BB135" s="369"/>
      <c r="BC135" s="369"/>
      <c r="BD135" s="369"/>
      <c r="BE135" s="369"/>
      <c r="BF135" s="369"/>
      <c r="BG135" s="369"/>
      <c r="BH135" s="369"/>
      <c r="BI135" s="369"/>
      <c r="BJ135" s="369"/>
      <c r="BK135" s="369"/>
      <c r="BL135" s="369"/>
      <c r="BM135" s="366"/>
      <c r="BN135" s="366"/>
      <c r="BO135" s="366"/>
      <c r="BP135" s="366"/>
      <c r="BQ135" s="366"/>
      <c r="BR135" s="366"/>
      <c r="BS135" s="370"/>
    </row>
    <row r="136" spans="1:71" x14ac:dyDescent="0.15">
      <c r="A136" s="389"/>
      <c r="B136" s="609"/>
      <c r="E136" s="289" t="s">
        <v>2415</v>
      </c>
      <c r="AL136" s="369"/>
      <c r="AM136" s="369"/>
      <c r="AN136" s="369"/>
      <c r="AO136" s="369"/>
      <c r="AP136" s="369"/>
      <c r="AQ136" s="369"/>
      <c r="AR136" s="369"/>
      <c r="AS136" s="369"/>
      <c r="AT136" s="369"/>
      <c r="AU136" s="369"/>
      <c r="AV136" s="369"/>
      <c r="AW136" s="369"/>
      <c r="AX136" s="369"/>
      <c r="AY136" s="369"/>
      <c r="AZ136" s="369"/>
      <c r="BA136" s="369"/>
      <c r="BB136" s="369"/>
      <c r="BC136" s="369"/>
      <c r="BD136" s="369"/>
      <c r="BE136" s="369"/>
      <c r="BF136" s="369"/>
      <c r="BG136" s="369"/>
      <c r="BH136" s="369"/>
      <c r="BI136" s="369"/>
      <c r="BJ136" s="369"/>
      <c r="BK136" s="369"/>
      <c r="BL136" s="369"/>
      <c r="BM136" s="366"/>
      <c r="BN136" s="366"/>
      <c r="BO136" s="366"/>
      <c r="BP136" s="366"/>
      <c r="BQ136" s="366"/>
      <c r="BR136" s="366"/>
      <c r="BS136" s="370"/>
    </row>
    <row r="137" spans="1:71" x14ac:dyDescent="0.15">
      <c r="A137" s="389"/>
      <c r="B137" s="609"/>
      <c r="C137" s="470"/>
      <c r="D137" s="471"/>
      <c r="E137" s="472"/>
      <c r="F137" s="472"/>
      <c r="G137" s="472"/>
      <c r="H137" s="472"/>
      <c r="I137" s="472"/>
      <c r="J137" s="472"/>
      <c r="K137" s="472"/>
      <c r="L137" s="472"/>
      <c r="M137" s="472"/>
      <c r="N137" s="472"/>
      <c r="O137" s="472"/>
      <c r="P137" s="472"/>
      <c r="Q137" s="472"/>
      <c r="R137" s="472"/>
      <c r="S137" s="472"/>
      <c r="T137" s="472"/>
      <c r="U137" s="472"/>
      <c r="V137" s="472"/>
      <c r="W137" s="472"/>
      <c r="X137" s="472"/>
      <c r="Y137" s="472"/>
      <c r="Z137" s="369"/>
      <c r="AA137" s="369"/>
      <c r="AB137" s="369"/>
      <c r="AC137" s="369"/>
      <c r="AD137" s="369"/>
      <c r="AE137" s="369"/>
      <c r="AF137" s="369"/>
      <c r="AG137" s="369"/>
      <c r="AH137" s="369"/>
      <c r="AI137" s="369"/>
      <c r="AJ137" s="369"/>
      <c r="AK137" s="369"/>
      <c r="AL137" s="369"/>
      <c r="AM137" s="452"/>
      <c r="AN137" s="369"/>
      <c r="AO137" s="368"/>
      <c r="AP137" s="368"/>
      <c r="AQ137" s="368"/>
      <c r="AR137" s="368"/>
      <c r="AS137" s="368"/>
      <c r="AT137" s="368"/>
      <c r="AU137" s="369"/>
      <c r="AV137" s="369"/>
      <c r="AW137" s="369"/>
      <c r="AX137" s="369"/>
      <c r="AY137" s="369"/>
      <c r="AZ137" s="369"/>
      <c r="BA137" s="369"/>
      <c r="BB137" s="369"/>
      <c r="BC137" s="369"/>
      <c r="BD137" s="369"/>
      <c r="BE137" s="369"/>
      <c r="BF137" s="369"/>
      <c r="BG137" s="369"/>
      <c r="BH137" s="369"/>
      <c r="BI137" s="369"/>
      <c r="BJ137" s="369"/>
      <c r="BK137" s="369"/>
      <c r="BL137" s="369"/>
      <c r="BM137" s="366"/>
      <c r="BN137" s="366"/>
      <c r="BO137" s="366"/>
      <c r="BP137" s="366"/>
      <c r="BQ137" s="366"/>
      <c r="BR137" s="366"/>
      <c r="BS137" s="370"/>
    </row>
    <row r="138" spans="1:71" x14ac:dyDescent="0.15">
      <c r="A138" s="389"/>
      <c r="B138" s="609"/>
      <c r="C138" s="462" t="s">
        <v>2416</v>
      </c>
      <c r="D138" s="473"/>
      <c r="E138" s="473"/>
      <c r="F138" s="472"/>
      <c r="G138" s="472"/>
      <c r="H138" s="472"/>
      <c r="I138" s="472"/>
      <c r="J138" s="472"/>
      <c r="K138" s="474"/>
      <c r="L138" s="474"/>
      <c r="M138" s="474"/>
      <c r="N138" s="474"/>
      <c r="O138" s="472"/>
      <c r="P138" s="472"/>
      <c r="Q138" s="472"/>
      <c r="R138" s="472"/>
      <c r="S138" s="472"/>
      <c r="T138" s="472"/>
      <c r="U138" s="472"/>
      <c r="V138" s="472"/>
      <c r="W138" s="472"/>
      <c r="X138" s="472"/>
      <c r="Y138" s="472"/>
      <c r="Z138" s="369"/>
      <c r="AA138" s="369"/>
      <c r="AB138" s="369"/>
      <c r="AC138" s="369"/>
      <c r="AD138" s="369"/>
      <c r="AE138" s="369"/>
      <c r="AF138" s="369"/>
      <c r="AG138" s="369"/>
      <c r="AH138" s="369"/>
      <c r="AI138" s="369"/>
      <c r="AJ138" s="369"/>
      <c r="AK138" s="369"/>
      <c r="AL138" s="369"/>
      <c r="AM138" s="452"/>
      <c r="AN138" s="369"/>
      <c r="AO138" s="368"/>
      <c r="AP138" s="368"/>
      <c r="AQ138" s="368"/>
      <c r="AR138" s="368"/>
      <c r="AS138" s="368"/>
      <c r="AT138" s="368"/>
      <c r="AU138" s="369"/>
      <c r="AV138" s="369"/>
      <c r="AW138" s="369"/>
      <c r="AX138" s="369"/>
      <c r="AY138" s="369"/>
      <c r="AZ138" s="369"/>
      <c r="BA138" s="369"/>
      <c r="BB138" s="369"/>
      <c r="BC138" s="369"/>
      <c r="BD138" s="369"/>
      <c r="BE138" s="369"/>
      <c r="BF138" s="369"/>
      <c r="BG138" s="369"/>
      <c r="BH138" s="369"/>
      <c r="BI138" s="369"/>
      <c r="BJ138" s="369"/>
      <c r="BK138" s="369"/>
      <c r="BL138" s="369"/>
      <c r="BM138" s="366"/>
      <c r="BN138" s="366"/>
      <c r="BO138" s="366"/>
      <c r="BP138" s="366"/>
      <c r="BQ138" s="366"/>
      <c r="BR138" s="366"/>
      <c r="BS138" s="370"/>
    </row>
    <row r="139" spans="1:71" x14ac:dyDescent="0.15">
      <c r="A139" s="389"/>
      <c r="B139" s="609"/>
      <c r="C139" s="371"/>
      <c r="D139" s="368"/>
      <c r="E139" s="371"/>
      <c r="F139" s="369"/>
      <c r="G139" s="369"/>
      <c r="H139" s="369"/>
      <c r="I139" s="369"/>
      <c r="J139" s="369"/>
      <c r="K139" s="368"/>
      <c r="L139" s="368"/>
      <c r="M139" s="368"/>
      <c r="N139" s="368"/>
      <c r="O139" s="369"/>
      <c r="P139" s="369"/>
      <c r="Q139" s="369"/>
      <c r="R139" s="369"/>
      <c r="S139" s="369"/>
      <c r="T139" s="369"/>
      <c r="U139" s="369"/>
      <c r="V139" s="369"/>
      <c r="W139" s="369"/>
      <c r="X139" s="369"/>
      <c r="Y139" s="369"/>
      <c r="Z139" s="369"/>
      <c r="AA139" s="369"/>
      <c r="AB139" s="369"/>
      <c r="AC139" s="369"/>
      <c r="AD139" s="369"/>
      <c r="AE139" s="369"/>
      <c r="AF139" s="369"/>
      <c r="AG139" s="369"/>
      <c r="AH139" s="369"/>
      <c r="AI139" s="369"/>
      <c r="AJ139" s="369"/>
      <c r="AK139" s="369"/>
      <c r="AL139" s="369"/>
      <c r="AM139" s="452"/>
      <c r="AN139" s="369"/>
      <c r="AO139" s="368"/>
      <c r="AP139" s="368"/>
      <c r="AQ139" s="368"/>
      <c r="AR139" s="368"/>
      <c r="AS139" s="368"/>
      <c r="AT139" s="368"/>
      <c r="AU139" s="369"/>
      <c r="AV139" s="369"/>
      <c r="AW139" s="369"/>
      <c r="AX139" s="369"/>
      <c r="AY139" s="369"/>
      <c r="AZ139" s="369"/>
      <c r="BA139" s="369"/>
      <c r="BB139" s="369"/>
      <c r="BC139" s="369"/>
      <c r="BD139" s="369"/>
      <c r="BE139" s="369"/>
      <c r="BF139" s="369"/>
      <c r="BG139" s="369"/>
      <c r="BH139" s="369"/>
      <c r="BI139" s="369"/>
      <c r="BJ139" s="369"/>
      <c r="BK139" s="369"/>
      <c r="BL139" s="369"/>
      <c r="BM139" s="366"/>
      <c r="BN139" s="366"/>
      <c r="BO139" s="366"/>
      <c r="BP139" s="366"/>
      <c r="BQ139" s="366"/>
      <c r="BR139" s="366"/>
      <c r="BS139" s="370"/>
    </row>
    <row r="140" spans="1:71" x14ac:dyDescent="0.15">
      <c r="A140" s="389"/>
      <c r="B140" s="609"/>
      <c r="C140" s="371"/>
      <c r="D140" s="368"/>
      <c r="E140" s="371"/>
      <c r="F140" s="369"/>
      <c r="G140" s="369"/>
      <c r="H140" s="369"/>
      <c r="I140" s="369"/>
      <c r="J140" s="369"/>
      <c r="K140" s="368"/>
      <c r="L140" s="368"/>
      <c r="M140" s="368"/>
      <c r="N140" s="368"/>
      <c r="O140" s="369"/>
      <c r="P140" s="369"/>
      <c r="Q140" s="369"/>
      <c r="R140" s="369"/>
      <c r="S140" s="369"/>
      <c r="T140" s="369"/>
      <c r="U140" s="369"/>
      <c r="V140" s="369"/>
      <c r="W140" s="369"/>
      <c r="X140" s="369"/>
      <c r="Y140" s="369"/>
      <c r="Z140" s="369"/>
      <c r="AA140" s="369"/>
      <c r="AB140" s="369"/>
      <c r="AC140" s="369"/>
      <c r="AD140" s="369"/>
      <c r="AE140" s="369"/>
      <c r="AF140" s="369"/>
      <c r="AG140" s="369"/>
      <c r="AH140" s="369"/>
      <c r="AI140" s="369"/>
      <c r="AJ140" s="369"/>
      <c r="AK140" s="369"/>
      <c r="AL140" s="369"/>
      <c r="AM140" s="369"/>
      <c r="AN140" s="369"/>
      <c r="AO140" s="369"/>
      <c r="AP140" s="369"/>
      <c r="AQ140" s="369"/>
      <c r="AR140" s="369"/>
      <c r="AS140" s="369"/>
      <c r="AT140" s="369"/>
      <c r="AU140" s="369"/>
      <c r="AV140" s="369"/>
      <c r="AW140" s="369"/>
      <c r="AX140" s="369"/>
      <c r="AY140" s="369"/>
      <c r="AZ140" s="369"/>
      <c r="BA140" s="369"/>
      <c r="BB140" s="369"/>
      <c r="BC140" s="369"/>
      <c r="BD140" s="369"/>
      <c r="BE140" s="369"/>
      <c r="BF140" s="369"/>
      <c r="BG140" s="369"/>
      <c r="BH140" s="369"/>
      <c r="BI140" s="369"/>
      <c r="BJ140" s="369"/>
      <c r="BK140" s="369"/>
      <c r="BL140" s="369"/>
      <c r="BM140" s="366"/>
      <c r="BN140" s="366"/>
      <c r="BO140" s="366"/>
      <c r="BP140" s="366"/>
      <c r="BQ140" s="366"/>
      <c r="BR140" s="366"/>
      <c r="BS140" s="370"/>
    </row>
    <row r="141" spans="1:71" x14ac:dyDescent="0.15">
      <c r="A141" s="389"/>
      <c r="B141" s="609"/>
      <c r="C141" s="371"/>
      <c r="D141" s="463" t="s">
        <v>2410</v>
      </c>
      <c r="G141" s="289"/>
      <c r="H141" s="369"/>
      <c r="I141" s="369"/>
      <c r="J141" s="369"/>
      <c r="K141" s="368"/>
      <c r="L141" s="368"/>
      <c r="M141" s="368"/>
      <c r="N141" s="368"/>
      <c r="O141" s="369"/>
      <c r="P141" s="369"/>
      <c r="Q141" s="369"/>
      <c r="R141" s="369"/>
      <c r="S141" s="369"/>
      <c r="T141" s="369"/>
      <c r="U141" s="369"/>
      <c r="V141" s="369"/>
      <c r="W141" s="369"/>
      <c r="X141" s="369"/>
      <c r="Y141" s="369"/>
      <c r="Z141" s="369"/>
      <c r="AA141" s="369"/>
      <c r="AB141" s="369"/>
      <c r="AC141" s="369"/>
      <c r="AD141" s="369"/>
      <c r="AE141" s="369"/>
      <c r="AF141" s="369"/>
      <c r="AG141" s="369"/>
      <c r="AH141" s="369"/>
      <c r="AI141" s="369"/>
      <c r="AJ141" s="369"/>
      <c r="AK141" s="369"/>
      <c r="AL141" s="369"/>
      <c r="AM141" s="369"/>
      <c r="AN141" s="369"/>
      <c r="AO141" s="369"/>
      <c r="AP141" s="369"/>
      <c r="AQ141" s="369"/>
      <c r="AR141" s="369"/>
      <c r="AS141" s="369"/>
      <c r="AT141" s="369"/>
      <c r="AU141" s="369"/>
      <c r="AV141" s="369"/>
      <c r="AW141" s="369"/>
      <c r="AX141" s="369"/>
      <c r="AY141" s="369"/>
      <c r="AZ141" s="369"/>
      <c r="BA141" s="369"/>
      <c r="BB141" s="369"/>
      <c r="BC141" s="369"/>
      <c r="BD141" s="369"/>
      <c r="BE141" s="369"/>
      <c r="BF141" s="369"/>
      <c r="BG141" s="369"/>
      <c r="BH141" s="369"/>
      <c r="BI141" s="369"/>
      <c r="BJ141" s="369"/>
      <c r="BK141" s="369"/>
      <c r="BL141" s="369"/>
      <c r="BM141" s="366"/>
      <c r="BN141" s="366"/>
      <c r="BO141" s="366"/>
      <c r="BP141" s="366"/>
      <c r="BQ141" s="366"/>
      <c r="BR141" s="366"/>
      <c r="BS141" s="370"/>
    </row>
    <row r="142" spans="1:71" ht="17.25" x14ac:dyDescent="0.2">
      <c r="A142" s="389"/>
      <c r="B142" s="609"/>
      <c r="C142" s="371"/>
      <c r="E142" s="464"/>
      <c r="F142" s="464"/>
      <c r="G142" s="464"/>
      <c r="I142" s="369"/>
      <c r="J142" s="369"/>
      <c r="K142" s="368"/>
      <c r="L142" s="368"/>
      <c r="M142" s="368"/>
      <c r="N142" s="368"/>
      <c r="O142" s="369"/>
      <c r="P142" s="369"/>
      <c r="Q142" s="369"/>
      <c r="R142" s="369"/>
      <c r="S142" s="369"/>
      <c r="T142" s="369"/>
      <c r="U142" s="369"/>
      <c r="V142" s="369"/>
      <c r="W142" s="369"/>
      <c r="X142" s="369"/>
      <c r="Y142" s="369"/>
      <c r="Z142" s="369"/>
      <c r="AA142" s="369"/>
      <c r="AB142" s="369"/>
      <c r="AC142" s="369"/>
      <c r="AD142" s="369"/>
      <c r="AE142" s="369"/>
      <c r="AF142" s="369"/>
      <c r="AG142" s="369"/>
      <c r="AH142" s="369"/>
      <c r="AI142" s="369"/>
      <c r="AJ142" s="369"/>
      <c r="AK142" s="369"/>
      <c r="AL142" s="369"/>
      <c r="AM142" s="369"/>
      <c r="AN142" s="369"/>
      <c r="AO142" s="369"/>
      <c r="AP142" s="369"/>
      <c r="AQ142" s="369"/>
      <c r="AR142" s="369"/>
      <c r="AS142" s="369"/>
      <c r="AT142" s="369"/>
      <c r="AU142" s="369"/>
      <c r="AV142" s="369"/>
      <c r="AW142" s="369"/>
      <c r="AX142" s="369"/>
      <c r="AY142" s="369"/>
      <c r="AZ142" s="369"/>
      <c r="BA142" s="369"/>
      <c r="BB142" s="369"/>
      <c r="BC142" s="369"/>
      <c r="BD142" s="369"/>
      <c r="BE142" s="369"/>
      <c r="BF142" s="369"/>
      <c r="BG142" s="369"/>
      <c r="BH142" s="369"/>
      <c r="BI142" s="369"/>
      <c r="BJ142" s="369"/>
      <c r="BK142" s="369"/>
      <c r="BL142" s="369"/>
      <c r="BM142" s="366"/>
      <c r="BN142" s="366"/>
      <c r="BO142" s="366"/>
      <c r="BP142" s="366"/>
      <c r="BQ142" s="366"/>
      <c r="BR142" s="366"/>
      <c r="BS142" s="370"/>
    </row>
    <row r="143" spans="1:71" x14ac:dyDescent="0.15">
      <c r="A143" s="389"/>
      <c r="B143" s="609"/>
      <c r="C143" s="371"/>
      <c r="D143" s="270"/>
      <c r="F143" s="369"/>
      <c r="G143" s="369"/>
      <c r="H143" s="369"/>
      <c r="I143" s="369"/>
      <c r="J143" s="369"/>
      <c r="K143" s="368"/>
      <c r="L143" s="368"/>
      <c r="M143" s="368"/>
      <c r="N143" s="368"/>
      <c r="O143" s="369"/>
      <c r="P143" s="369"/>
      <c r="Q143" s="369"/>
      <c r="R143" s="369"/>
      <c r="S143" s="369"/>
      <c r="T143" s="369"/>
      <c r="U143" s="369"/>
      <c r="V143" s="369"/>
      <c r="W143" s="369"/>
      <c r="X143" s="369"/>
      <c r="Y143" s="369"/>
      <c r="Z143" s="369"/>
      <c r="AA143" s="369"/>
      <c r="AB143" s="369"/>
      <c r="AC143" s="369"/>
      <c r="AD143" s="369"/>
      <c r="AE143" s="369"/>
      <c r="AF143" s="369"/>
      <c r="AG143" s="369"/>
      <c r="AH143" s="369"/>
      <c r="AI143" s="369"/>
      <c r="AJ143" s="369"/>
      <c r="AK143" s="369"/>
      <c r="AL143" s="369"/>
      <c r="AM143" s="369"/>
      <c r="AN143" s="369"/>
      <c r="AO143" s="369"/>
      <c r="AP143" s="369"/>
      <c r="AQ143" s="369"/>
      <c r="AR143" s="369"/>
      <c r="AS143" s="369"/>
      <c r="AT143" s="369"/>
      <c r="AU143" s="369"/>
      <c r="AV143" s="369"/>
      <c r="AW143" s="369"/>
      <c r="AX143" s="369"/>
      <c r="AY143" s="369"/>
      <c r="AZ143" s="369"/>
      <c r="BA143" s="369"/>
      <c r="BB143" s="369"/>
      <c r="BC143" s="369"/>
      <c r="BD143" s="369"/>
      <c r="BE143" s="369"/>
      <c r="BF143" s="369"/>
      <c r="BG143" s="369"/>
      <c r="BH143" s="369"/>
      <c r="BI143" s="369"/>
      <c r="BJ143" s="369"/>
      <c r="BK143" s="369"/>
      <c r="BL143" s="369"/>
      <c r="BM143" s="366"/>
      <c r="BN143" s="366"/>
      <c r="BO143" s="366"/>
      <c r="BP143" s="366"/>
      <c r="BQ143" s="366"/>
      <c r="BR143" s="366"/>
      <c r="BS143" s="370"/>
    </row>
    <row r="144" spans="1:71" x14ac:dyDescent="0.15">
      <c r="A144" s="389"/>
      <c r="B144" s="609"/>
      <c r="C144" s="371"/>
      <c r="E144" s="289" t="s">
        <v>2411</v>
      </c>
      <c r="F144" s="369"/>
      <c r="G144" s="369"/>
      <c r="H144" s="369"/>
      <c r="I144" s="369"/>
      <c r="J144" s="369"/>
      <c r="K144" s="368"/>
      <c r="L144" s="368"/>
      <c r="M144" s="368"/>
      <c r="N144" s="368"/>
      <c r="O144" s="369"/>
      <c r="P144" s="369"/>
      <c r="Q144" s="369"/>
      <c r="R144" s="369"/>
      <c r="S144" s="369"/>
      <c r="T144" s="369"/>
      <c r="U144" s="369"/>
      <c r="V144" s="369"/>
      <c r="W144" s="369"/>
      <c r="X144" s="369"/>
      <c r="Y144" s="369"/>
      <c r="Z144" s="369"/>
      <c r="AA144" s="369"/>
      <c r="AB144" s="369"/>
      <c r="AC144" s="369"/>
      <c r="AD144" s="369"/>
      <c r="AE144" s="369"/>
      <c r="AF144" s="369"/>
      <c r="AG144" s="369"/>
      <c r="AH144" s="369"/>
      <c r="AI144" s="369"/>
      <c r="AJ144" s="369"/>
      <c r="AK144" s="369"/>
      <c r="AL144" s="369"/>
      <c r="AM144" s="369"/>
      <c r="AN144" s="369"/>
      <c r="AO144" s="369"/>
      <c r="AP144" s="369"/>
      <c r="AQ144" s="369"/>
      <c r="AR144" s="369"/>
      <c r="AS144" s="369"/>
      <c r="AT144" s="369"/>
      <c r="AU144" s="369"/>
      <c r="AV144" s="369"/>
      <c r="AW144" s="369"/>
      <c r="AX144" s="369"/>
      <c r="AY144" s="369"/>
      <c r="AZ144" s="369"/>
      <c r="BA144" s="369"/>
      <c r="BB144" s="369"/>
      <c r="BC144" s="369"/>
      <c r="BD144" s="369"/>
      <c r="BE144" s="369"/>
      <c r="BF144" s="369"/>
      <c r="BG144" s="369"/>
      <c r="BH144" s="369"/>
      <c r="BI144" s="369"/>
      <c r="BJ144" s="369"/>
      <c r="BK144" s="369"/>
      <c r="BL144" s="369"/>
      <c r="BM144" s="366"/>
      <c r="BN144" s="366"/>
      <c r="BO144" s="366"/>
      <c r="BP144" s="366"/>
      <c r="BQ144" s="366"/>
      <c r="BR144" s="366"/>
      <c r="BS144" s="370"/>
    </row>
    <row r="145" spans="1:71" x14ac:dyDescent="0.15">
      <c r="A145" s="389"/>
      <c r="B145" s="609"/>
      <c r="C145" s="371"/>
      <c r="E145" s="289" t="s">
        <v>2412</v>
      </c>
      <c r="F145" s="369"/>
      <c r="G145" s="369"/>
      <c r="H145" s="369"/>
      <c r="I145" s="369"/>
      <c r="J145" s="369"/>
      <c r="K145" s="368"/>
      <c r="L145" s="368"/>
      <c r="M145" s="368"/>
      <c r="N145" s="368"/>
      <c r="O145" s="369"/>
      <c r="P145" s="369"/>
      <c r="Q145" s="369"/>
      <c r="R145" s="369"/>
      <c r="S145" s="369"/>
      <c r="T145" s="369"/>
      <c r="U145" s="369"/>
      <c r="V145" s="369"/>
      <c r="W145" s="369"/>
      <c r="X145" s="369"/>
      <c r="Y145" s="369"/>
      <c r="Z145" s="369"/>
      <c r="AA145" s="369"/>
      <c r="AB145" s="369"/>
      <c r="AC145" s="369"/>
      <c r="AD145" s="369"/>
      <c r="AE145" s="369"/>
      <c r="AF145" s="369"/>
      <c r="AG145" s="369"/>
      <c r="AH145" s="369"/>
      <c r="AI145" s="369"/>
      <c r="AJ145" s="369"/>
      <c r="AK145" s="369"/>
      <c r="AL145" s="369"/>
      <c r="AM145" s="369"/>
      <c r="AN145" s="369"/>
      <c r="AO145" s="369"/>
      <c r="AP145" s="369"/>
      <c r="AQ145" s="369"/>
      <c r="AR145" s="369"/>
      <c r="AS145" s="369"/>
      <c r="AT145" s="369"/>
      <c r="AU145" s="369"/>
      <c r="AV145" s="369"/>
      <c r="AW145" s="369"/>
      <c r="AX145" s="369"/>
      <c r="AY145" s="369"/>
      <c r="AZ145" s="369"/>
      <c r="BA145" s="369"/>
      <c r="BB145" s="369"/>
      <c r="BC145" s="369"/>
      <c r="BD145" s="369"/>
      <c r="BE145" s="369"/>
      <c r="BF145" s="369"/>
      <c r="BG145" s="369"/>
      <c r="BH145" s="369"/>
      <c r="BI145" s="369"/>
      <c r="BJ145" s="369"/>
      <c r="BK145" s="369"/>
      <c r="BL145" s="369"/>
      <c r="BM145" s="366"/>
      <c r="BN145" s="366"/>
      <c r="BO145" s="366"/>
      <c r="BP145" s="366"/>
      <c r="BQ145" s="366"/>
      <c r="BR145" s="366"/>
      <c r="BS145" s="370"/>
    </row>
    <row r="146" spans="1:71" x14ac:dyDescent="0.15">
      <c r="A146" s="389"/>
      <c r="B146" s="609"/>
      <c r="C146" s="371"/>
      <c r="I146" s="369"/>
      <c r="J146" s="369"/>
      <c r="K146" s="368"/>
      <c r="L146" s="368"/>
      <c r="M146" s="368"/>
      <c r="N146" s="368"/>
      <c r="O146" s="369"/>
      <c r="P146" s="369"/>
      <c r="Q146" s="369"/>
      <c r="R146" s="369"/>
      <c r="S146" s="369"/>
      <c r="T146" s="369"/>
      <c r="U146" s="369"/>
      <c r="V146" s="369"/>
      <c r="W146" s="369"/>
      <c r="X146" s="369"/>
      <c r="Y146" s="369"/>
      <c r="Z146" s="369"/>
      <c r="AA146" s="369"/>
      <c r="AB146" s="369"/>
      <c r="AC146" s="369"/>
      <c r="AD146" s="369"/>
      <c r="AE146" s="369"/>
      <c r="AF146" s="369"/>
      <c r="AG146" s="369"/>
      <c r="AH146" s="369"/>
      <c r="AI146" s="369"/>
      <c r="AJ146" s="369"/>
      <c r="AK146" s="369"/>
      <c r="AL146" s="369"/>
      <c r="AM146" s="369"/>
      <c r="AN146" s="369"/>
      <c r="AO146" s="369"/>
      <c r="AP146" s="369"/>
      <c r="AQ146" s="369"/>
      <c r="AR146" s="369"/>
      <c r="AS146" s="369"/>
      <c r="AT146" s="369"/>
      <c r="AU146" s="369"/>
      <c r="AV146" s="369"/>
      <c r="AW146" s="369"/>
      <c r="AX146" s="369"/>
      <c r="AY146" s="369"/>
      <c r="AZ146" s="369"/>
      <c r="BA146" s="369"/>
      <c r="BB146" s="369"/>
      <c r="BC146" s="369"/>
      <c r="BD146" s="369"/>
      <c r="BE146" s="369"/>
      <c r="BF146" s="369"/>
      <c r="BG146" s="369"/>
      <c r="BH146" s="369"/>
      <c r="BI146" s="369"/>
      <c r="BJ146" s="369"/>
      <c r="BK146" s="369"/>
      <c r="BL146" s="369"/>
      <c r="BM146" s="366"/>
      <c r="BN146" s="366"/>
      <c r="BO146" s="366"/>
      <c r="BP146" s="366"/>
      <c r="BQ146" s="366"/>
      <c r="BR146" s="366"/>
      <c r="BS146" s="370"/>
    </row>
    <row r="147" spans="1:71" x14ac:dyDescent="0.15">
      <c r="A147" s="389"/>
      <c r="B147" s="609"/>
      <c r="C147" s="371"/>
      <c r="D147" s="465" t="s">
        <v>2413</v>
      </c>
      <c r="H147" s="369"/>
      <c r="I147" s="369"/>
      <c r="J147" s="369"/>
      <c r="K147" s="368"/>
      <c r="L147" s="368"/>
      <c r="M147" s="368"/>
      <c r="N147" s="368"/>
      <c r="O147" s="369"/>
      <c r="P147" s="369"/>
      <c r="Q147" s="369"/>
      <c r="R147" s="369"/>
      <c r="S147" s="369"/>
      <c r="T147" s="369"/>
      <c r="U147" s="369"/>
      <c r="V147" s="369"/>
      <c r="W147" s="369"/>
      <c r="X147" s="369"/>
      <c r="Y147" s="369"/>
      <c r="Z147" s="369"/>
      <c r="AA147" s="369"/>
      <c r="AB147" s="369"/>
      <c r="AC147" s="369"/>
      <c r="AD147" s="369"/>
      <c r="AE147" s="369"/>
      <c r="AF147" s="369"/>
      <c r="AG147" s="369"/>
      <c r="AH147" s="369"/>
      <c r="AI147" s="369"/>
      <c r="AJ147" s="369"/>
      <c r="AK147" s="369"/>
      <c r="AL147" s="369"/>
      <c r="AM147" s="369"/>
      <c r="AN147" s="369"/>
      <c r="AO147" s="369"/>
      <c r="AP147" s="369"/>
      <c r="AQ147" s="369"/>
      <c r="AR147" s="369"/>
      <c r="AS147" s="369"/>
      <c r="AT147" s="369"/>
      <c r="AU147" s="369"/>
      <c r="AV147" s="369"/>
      <c r="AW147" s="369"/>
      <c r="AX147" s="369"/>
      <c r="AY147" s="369"/>
      <c r="AZ147" s="369"/>
      <c r="BA147" s="369"/>
      <c r="BB147" s="369"/>
      <c r="BC147" s="369"/>
      <c r="BD147" s="369"/>
      <c r="BE147" s="369"/>
      <c r="BF147" s="369"/>
      <c r="BG147" s="369"/>
      <c r="BH147" s="369"/>
      <c r="BI147" s="369"/>
      <c r="BJ147" s="369"/>
      <c r="BK147" s="369"/>
      <c r="BL147" s="369"/>
      <c r="BM147" s="366"/>
      <c r="BN147" s="366"/>
      <c r="BO147" s="366"/>
      <c r="BP147" s="366"/>
      <c r="BQ147" s="366"/>
      <c r="BR147" s="366"/>
      <c r="BS147" s="370"/>
    </row>
    <row r="148" spans="1:71" x14ac:dyDescent="0.15">
      <c r="A148" s="389"/>
      <c r="B148" s="609"/>
      <c r="C148" s="371"/>
      <c r="E148" s="466"/>
      <c r="I148" s="369"/>
      <c r="J148" s="369"/>
      <c r="K148" s="368"/>
      <c r="L148" s="368"/>
      <c r="M148" s="368"/>
      <c r="N148" s="368"/>
      <c r="O148" s="369"/>
      <c r="P148" s="369"/>
      <c r="Q148" s="369"/>
      <c r="R148" s="369"/>
      <c r="S148" s="369"/>
      <c r="T148" s="369"/>
      <c r="U148" s="369"/>
      <c r="V148" s="369"/>
      <c r="W148" s="369"/>
      <c r="X148" s="369"/>
      <c r="Y148" s="369"/>
      <c r="Z148" s="369"/>
      <c r="AA148" s="369"/>
      <c r="AB148" s="369"/>
      <c r="AC148" s="369"/>
      <c r="AD148" s="369"/>
      <c r="AE148" s="369"/>
      <c r="AF148" s="369"/>
      <c r="AG148" s="369"/>
      <c r="AH148" s="369"/>
      <c r="AI148" s="369"/>
      <c r="AJ148" s="369"/>
      <c r="AK148" s="369"/>
      <c r="AL148" s="369"/>
      <c r="AM148" s="369"/>
      <c r="AN148" s="369"/>
      <c r="AO148" s="369"/>
      <c r="AP148" s="369"/>
      <c r="AQ148" s="369"/>
      <c r="AR148" s="369"/>
      <c r="AS148" s="369"/>
      <c r="AT148" s="369"/>
      <c r="AU148" s="369"/>
      <c r="AV148" s="369"/>
      <c r="AW148" s="369"/>
      <c r="AX148" s="369"/>
      <c r="AY148" s="369"/>
      <c r="AZ148" s="369"/>
      <c r="BA148" s="369"/>
      <c r="BB148" s="369"/>
      <c r="BC148" s="369"/>
      <c r="BD148" s="369"/>
      <c r="BE148" s="369"/>
      <c r="BF148" s="369"/>
      <c r="BG148" s="369"/>
      <c r="BH148" s="369"/>
      <c r="BI148" s="369"/>
      <c r="BJ148" s="369"/>
      <c r="BK148" s="369"/>
      <c r="BL148" s="369"/>
      <c r="BM148" s="366"/>
      <c r="BN148" s="366"/>
      <c r="BO148" s="366"/>
      <c r="BP148" s="366"/>
      <c r="BQ148" s="366"/>
      <c r="BR148" s="366"/>
      <c r="BS148" s="370"/>
    </row>
    <row r="149" spans="1:71" x14ac:dyDescent="0.15">
      <c r="A149" s="389"/>
      <c r="B149" s="609"/>
      <c r="C149" s="371"/>
      <c r="I149" s="369"/>
      <c r="J149" s="369"/>
      <c r="K149" s="368"/>
      <c r="L149" s="368"/>
      <c r="M149" s="368"/>
      <c r="N149" s="368"/>
      <c r="O149" s="369"/>
      <c r="P149" s="369"/>
      <c r="Q149" s="369"/>
      <c r="R149" s="369"/>
      <c r="S149" s="369"/>
      <c r="T149" s="369"/>
      <c r="U149" s="369"/>
      <c r="V149" s="369"/>
      <c r="W149" s="369"/>
      <c r="X149" s="369"/>
      <c r="Y149" s="369"/>
      <c r="Z149" s="369"/>
      <c r="AA149" s="369"/>
      <c r="AB149" s="369"/>
      <c r="AC149" s="369"/>
      <c r="AD149" s="369"/>
      <c r="AE149" s="369"/>
      <c r="AF149" s="369"/>
      <c r="AG149" s="369"/>
      <c r="AH149" s="369"/>
      <c r="AI149" s="369"/>
      <c r="AJ149" s="369"/>
      <c r="AK149" s="369"/>
      <c r="AL149" s="369"/>
      <c r="AM149" s="369"/>
      <c r="AN149" s="369"/>
      <c r="AO149" s="369"/>
      <c r="AP149" s="369"/>
      <c r="AQ149" s="369"/>
      <c r="AR149" s="369"/>
      <c r="AS149" s="369"/>
      <c r="AT149" s="369"/>
      <c r="AU149" s="369"/>
      <c r="AV149" s="369"/>
      <c r="AW149" s="369"/>
      <c r="AX149" s="369"/>
      <c r="AY149" s="369"/>
      <c r="AZ149" s="369"/>
      <c r="BA149" s="369"/>
      <c r="BB149" s="369"/>
      <c r="BC149" s="369"/>
      <c r="BD149" s="369"/>
      <c r="BE149" s="369"/>
      <c r="BF149" s="369"/>
      <c r="BG149" s="369"/>
      <c r="BH149" s="369"/>
      <c r="BI149" s="369"/>
      <c r="BJ149" s="369"/>
      <c r="BK149" s="369"/>
      <c r="BL149" s="369"/>
      <c r="BM149" s="366"/>
      <c r="BN149" s="366"/>
      <c r="BO149" s="366"/>
      <c r="BP149" s="366"/>
      <c r="BQ149" s="366"/>
      <c r="BR149" s="366"/>
      <c r="BS149" s="370"/>
    </row>
    <row r="150" spans="1:71" x14ac:dyDescent="0.15">
      <c r="A150" s="389"/>
      <c r="B150" s="609"/>
      <c r="C150" s="371"/>
      <c r="I150" s="369"/>
      <c r="J150" s="369"/>
      <c r="K150" s="368"/>
      <c r="L150" s="368"/>
      <c r="M150" s="368"/>
      <c r="N150" s="368"/>
      <c r="O150" s="369"/>
      <c r="P150" s="369"/>
      <c r="Q150" s="369"/>
      <c r="R150" s="369"/>
      <c r="S150" s="369"/>
      <c r="T150" s="369"/>
      <c r="U150" s="369"/>
      <c r="V150" s="369"/>
      <c r="W150" s="369"/>
      <c r="X150" s="369"/>
      <c r="Y150" s="369"/>
      <c r="Z150" s="369"/>
      <c r="AA150" s="369"/>
      <c r="AB150" s="369"/>
      <c r="AC150" s="369"/>
      <c r="AD150" s="369"/>
      <c r="AE150" s="369"/>
      <c r="AF150" s="369"/>
      <c r="AG150" s="369"/>
      <c r="AH150" s="369"/>
      <c r="AI150" s="369"/>
      <c r="AJ150" s="369"/>
      <c r="AK150" s="369"/>
      <c r="AL150" s="369"/>
      <c r="AM150" s="369"/>
      <c r="AN150" s="369"/>
      <c r="AO150" s="369"/>
      <c r="AP150" s="369"/>
      <c r="AQ150" s="369"/>
      <c r="AR150" s="369"/>
      <c r="AS150" s="369"/>
      <c r="AT150" s="369"/>
      <c r="AU150" s="369"/>
      <c r="AV150" s="369"/>
      <c r="AW150" s="369"/>
      <c r="AX150" s="369"/>
      <c r="AY150" s="369"/>
      <c r="AZ150" s="369"/>
      <c r="BA150" s="369"/>
      <c r="BB150" s="369"/>
      <c r="BC150" s="369"/>
      <c r="BD150" s="369"/>
      <c r="BE150" s="369"/>
      <c r="BF150" s="369"/>
      <c r="BG150" s="369"/>
      <c r="BH150" s="369"/>
      <c r="BI150" s="369"/>
      <c r="BJ150" s="369"/>
      <c r="BK150" s="369"/>
      <c r="BL150" s="369"/>
      <c r="BM150" s="366"/>
      <c r="BN150" s="366"/>
      <c r="BO150" s="366"/>
      <c r="BP150" s="366"/>
      <c r="BQ150" s="366"/>
      <c r="BR150" s="366"/>
      <c r="BS150" s="370"/>
    </row>
    <row r="151" spans="1:71" x14ac:dyDescent="0.15">
      <c r="A151" s="389"/>
      <c r="B151" s="609"/>
      <c r="C151" s="371"/>
      <c r="D151" s="468"/>
      <c r="I151" s="369"/>
      <c r="J151" s="369"/>
      <c r="K151" s="368"/>
      <c r="L151" s="368"/>
      <c r="M151" s="368"/>
      <c r="N151" s="368"/>
      <c r="O151" s="369"/>
      <c r="P151" s="369"/>
      <c r="Q151" s="369"/>
      <c r="R151" s="369"/>
      <c r="S151" s="369"/>
      <c r="T151" s="369"/>
      <c r="U151" s="369"/>
      <c r="V151" s="369"/>
      <c r="W151" s="369"/>
      <c r="X151" s="369"/>
      <c r="Y151" s="369"/>
      <c r="Z151" s="369"/>
      <c r="AA151" s="369"/>
      <c r="AB151" s="369"/>
      <c r="AC151" s="369"/>
      <c r="AD151" s="369"/>
      <c r="AE151" s="369"/>
      <c r="AF151" s="369"/>
      <c r="AG151" s="369"/>
      <c r="AH151" s="369"/>
      <c r="AI151" s="369"/>
      <c r="AJ151" s="369"/>
      <c r="AK151" s="369"/>
      <c r="AL151" s="369"/>
      <c r="AM151" s="369"/>
      <c r="AN151" s="369"/>
      <c r="AO151" s="369"/>
      <c r="AP151" s="369"/>
      <c r="AQ151" s="369"/>
      <c r="AR151" s="369"/>
      <c r="AS151" s="369"/>
      <c r="AT151" s="369"/>
      <c r="AU151" s="369"/>
      <c r="AV151" s="369"/>
      <c r="AW151" s="369"/>
      <c r="AX151" s="369"/>
      <c r="AY151" s="369"/>
      <c r="AZ151" s="369"/>
      <c r="BA151" s="369"/>
      <c r="BB151" s="369"/>
      <c r="BC151" s="369"/>
      <c r="BD151" s="369"/>
      <c r="BE151" s="369"/>
      <c r="BF151" s="369"/>
      <c r="BG151" s="369"/>
      <c r="BH151" s="369"/>
      <c r="BI151" s="369"/>
      <c r="BJ151" s="369"/>
      <c r="BK151" s="369"/>
      <c r="BL151" s="369"/>
      <c r="BM151" s="366"/>
      <c r="BN151" s="366"/>
      <c r="BO151" s="366"/>
      <c r="BP151" s="366"/>
      <c r="BQ151" s="366"/>
      <c r="BR151" s="366"/>
      <c r="BS151" s="370"/>
    </row>
    <row r="152" spans="1:71" ht="14.25" x14ac:dyDescent="0.15">
      <c r="A152" s="389"/>
      <c r="B152" s="609"/>
      <c r="C152" s="369"/>
      <c r="D152" s="369"/>
      <c r="E152" s="469"/>
      <c r="F152" s="369"/>
      <c r="G152" s="369"/>
      <c r="I152" s="369"/>
      <c r="J152" s="369"/>
      <c r="K152" s="369"/>
      <c r="L152" s="369"/>
      <c r="M152" s="369"/>
      <c r="N152" s="369"/>
      <c r="O152" s="369"/>
      <c r="P152" s="369"/>
      <c r="Q152" s="369"/>
      <c r="R152" s="369"/>
      <c r="S152" s="369"/>
      <c r="T152" s="369"/>
      <c r="U152" s="369"/>
      <c r="V152" s="369"/>
      <c r="W152" s="369"/>
      <c r="X152" s="369"/>
      <c r="Y152" s="369"/>
      <c r="Z152" s="369"/>
      <c r="AA152" s="369"/>
      <c r="AB152" s="369"/>
      <c r="AC152" s="369"/>
      <c r="AD152" s="369"/>
      <c r="AE152" s="369"/>
      <c r="AF152" s="369"/>
      <c r="AG152" s="369"/>
      <c r="AH152" s="369"/>
      <c r="AI152" s="369"/>
      <c r="AJ152" s="369"/>
      <c r="AK152" s="369"/>
      <c r="AL152" s="369"/>
      <c r="AM152" s="369"/>
      <c r="AN152" s="369"/>
      <c r="AO152" s="369"/>
      <c r="AP152" s="369"/>
      <c r="AQ152" s="369"/>
      <c r="AR152" s="369"/>
      <c r="AS152" s="369"/>
      <c r="AT152" s="369"/>
      <c r="AU152" s="369"/>
      <c r="AV152" s="369"/>
      <c r="AW152" s="369"/>
      <c r="AX152" s="369"/>
      <c r="AY152" s="369"/>
      <c r="AZ152" s="369"/>
      <c r="BA152" s="369"/>
      <c r="BB152" s="369"/>
      <c r="BC152" s="369"/>
      <c r="BD152" s="369"/>
      <c r="BE152" s="369"/>
      <c r="BF152" s="369"/>
      <c r="BG152" s="369"/>
      <c r="BH152" s="369"/>
      <c r="BI152" s="369"/>
      <c r="BJ152" s="369"/>
      <c r="BK152" s="369"/>
      <c r="BL152" s="369"/>
      <c r="BM152" s="366"/>
      <c r="BN152" s="366"/>
      <c r="BO152" s="366"/>
      <c r="BP152" s="366"/>
      <c r="BQ152" s="366"/>
      <c r="BR152" s="366"/>
      <c r="BS152" s="370"/>
    </row>
    <row r="153" spans="1:71" x14ac:dyDescent="0.15">
      <c r="A153" s="389"/>
      <c r="B153" s="609"/>
      <c r="C153" s="369"/>
      <c r="E153" s="289" t="s">
        <v>2414</v>
      </c>
      <c r="F153" s="369"/>
      <c r="G153" s="369"/>
      <c r="I153" s="369"/>
      <c r="J153" s="369"/>
      <c r="K153" s="369"/>
      <c r="L153" s="369"/>
      <c r="M153" s="369"/>
      <c r="N153" s="369"/>
      <c r="O153" s="369"/>
      <c r="P153" s="369"/>
      <c r="Q153" s="369"/>
      <c r="R153" s="369"/>
      <c r="S153" s="369"/>
      <c r="T153" s="369"/>
      <c r="U153" s="369"/>
      <c r="V153" s="369"/>
      <c r="W153" s="369"/>
      <c r="X153" s="369"/>
      <c r="Y153" s="369"/>
      <c r="Z153" s="369"/>
      <c r="AA153" s="369"/>
      <c r="AB153" s="369"/>
      <c r="AC153" s="369"/>
      <c r="AD153" s="369"/>
      <c r="AE153" s="369"/>
      <c r="AF153" s="369"/>
      <c r="AG153" s="369"/>
      <c r="AH153" s="369"/>
      <c r="AI153" s="369"/>
      <c r="AJ153" s="369"/>
      <c r="AK153" s="369"/>
      <c r="AL153" s="369"/>
      <c r="AM153" s="369"/>
      <c r="AN153" s="369"/>
      <c r="AO153" s="369"/>
      <c r="AP153" s="369"/>
      <c r="AQ153" s="369"/>
      <c r="AR153" s="369"/>
      <c r="AS153" s="369"/>
      <c r="AT153" s="369"/>
      <c r="AU153" s="369"/>
      <c r="AV153" s="369"/>
      <c r="AW153" s="369"/>
      <c r="AX153" s="369"/>
      <c r="AY153" s="369"/>
      <c r="AZ153" s="369"/>
      <c r="BA153" s="369"/>
      <c r="BB153" s="369"/>
      <c r="BC153" s="369"/>
      <c r="BD153" s="369"/>
      <c r="BE153" s="369"/>
      <c r="BF153" s="369"/>
      <c r="BG153" s="369"/>
      <c r="BH153" s="369"/>
      <c r="BI153" s="369"/>
      <c r="BJ153" s="369"/>
      <c r="BK153" s="369"/>
      <c r="BL153" s="369"/>
      <c r="BM153" s="366"/>
      <c r="BN153" s="366"/>
      <c r="BO153" s="366"/>
      <c r="BP153" s="366"/>
      <c r="BQ153" s="366"/>
      <c r="BR153" s="366"/>
      <c r="BS153" s="370"/>
    </row>
    <row r="154" spans="1:71" x14ac:dyDescent="0.15">
      <c r="A154" s="389"/>
      <c r="B154" s="609"/>
      <c r="C154" s="369"/>
      <c r="E154" s="289" t="s">
        <v>2415</v>
      </c>
      <c r="I154" s="369"/>
      <c r="J154" s="369"/>
      <c r="K154" s="369"/>
      <c r="L154" s="369"/>
      <c r="M154" s="369"/>
      <c r="N154" s="369"/>
      <c r="O154" s="369"/>
      <c r="P154" s="369"/>
      <c r="Q154" s="369"/>
      <c r="R154" s="369"/>
      <c r="S154" s="369"/>
      <c r="T154" s="369"/>
      <c r="U154" s="369"/>
      <c r="V154" s="369"/>
      <c r="W154" s="369"/>
      <c r="X154" s="369"/>
      <c r="Y154" s="369"/>
      <c r="Z154" s="369"/>
      <c r="AA154" s="369"/>
      <c r="AB154" s="369"/>
      <c r="AC154" s="369"/>
      <c r="AD154" s="369"/>
      <c r="AE154" s="369"/>
      <c r="AF154" s="369"/>
      <c r="AG154" s="369"/>
      <c r="AH154" s="369"/>
      <c r="AI154" s="369"/>
      <c r="AJ154" s="369"/>
      <c r="AK154" s="369"/>
      <c r="AL154" s="369"/>
      <c r="AM154" s="369"/>
      <c r="AN154" s="369"/>
      <c r="AO154" s="369"/>
      <c r="AP154" s="369"/>
      <c r="AQ154" s="369"/>
      <c r="AR154" s="369"/>
      <c r="AS154" s="369"/>
      <c r="AT154" s="369"/>
      <c r="AU154" s="369"/>
      <c r="AV154" s="369"/>
      <c r="AW154" s="369"/>
      <c r="AX154" s="369"/>
      <c r="AY154" s="369"/>
      <c r="AZ154" s="369"/>
      <c r="BA154" s="369"/>
      <c r="BB154" s="369"/>
      <c r="BC154" s="369"/>
      <c r="BD154" s="369"/>
      <c r="BE154" s="369"/>
      <c r="BF154" s="369"/>
      <c r="BG154" s="369"/>
      <c r="BH154" s="369"/>
      <c r="BI154" s="369"/>
      <c r="BJ154" s="369"/>
      <c r="BK154" s="369"/>
      <c r="BL154" s="369"/>
      <c r="BM154" s="366"/>
      <c r="BN154" s="366"/>
      <c r="BO154" s="366"/>
      <c r="BP154" s="366"/>
      <c r="BQ154" s="366"/>
      <c r="BR154" s="366"/>
      <c r="BS154" s="370"/>
    </row>
    <row r="155" spans="1:71" x14ac:dyDescent="0.15">
      <c r="B155" s="1169"/>
      <c r="C155" s="1206"/>
      <c r="D155" s="1206"/>
      <c r="E155" s="1206"/>
      <c r="F155" s="1206"/>
      <c r="G155" s="1206"/>
      <c r="H155" s="1206"/>
      <c r="I155" s="1206"/>
      <c r="J155" s="1206"/>
      <c r="K155" s="1206"/>
      <c r="L155" s="1206"/>
      <c r="M155" s="1206"/>
      <c r="N155" s="1206"/>
      <c r="O155" s="1206"/>
      <c r="P155" s="1206"/>
      <c r="Q155" s="1206"/>
      <c r="R155" s="1206"/>
      <c r="S155" s="1206"/>
      <c r="T155" s="1206"/>
      <c r="U155" s="1206"/>
      <c r="V155" s="1172"/>
      <c r="W155" s="1172"/>
      <c r="X155" s="1172"/>
      <c r="Y155" s="1172"/>
      <c r="Z155" s="1172"/>
      <c r="AA155" s="1172"/>
      <c r="AB155" s="1172"/>
      <c r="AC155" s="1172"/>
      <c r="AD155" s="1172"/>
      <c r="AE155" s="1172"/>
      <c r="AF155" s="1172"/>
      <c r="AG155" s="1172"/>
      <c r="AH155" s="1172"/>
      <c r="AI155" s="1172"/>
      <c r="AJ155" s="1172"/>
      <c r="AK155" s="1172"/>
      <c r="AL155" s="1172"/>
      <c r="AM155" s="1172"/>
      <c r="AN155" s="1172"/>
      <c r="AO155" s="1172"/>
      <c r="AP155" s="1172"/>
      <c r="AQ155" s="1172"/>
      <c r="AR155" s="1172"/>
      <c r="AS155" s="1172"/>
      <c r="AT155" s="1172"/>
      <c r="AU155" s="1172"/>
      <c r="AV155" s="1172"/>
      <c r="AW155" s="1207"/>
      <c r="AX155" s="1207"/>
      <c r="AY155" s="1207"/>
      <c r="AZ155" s="1207"/>
      <c r="BA155" s="1207"/>
      <c r="BB155" s="1207"/>
      <c r="BC155" s="1206"/>
      <c r="BD155" s="1206"/>
      <c r="BE155" s="1206"/>
      <c r="BF155" s="1206"/>
      <c r="BG155" s="1206"/>
      <c r="BH155" s="1206"/>
      <c r="BI155" s="1206"/>
      <c r="BJ155" s="1206"/>
      <c r="BK155" s="1206"/>
      <c r="BL155" s="1206"/>
      <c r="BM155" s="1206"/>
      <c r="BN155" s="1206"/>
      <c r="BO155" s="1206"/>
      <c r="BP155" s="1206"/>
      <c r="BQ155" s="1206"/>
      <c r="BR155" s="1206"/>
      <c r="BS155" s="1173"/>
    </row>
    <row r="156" spans="1:71" x14ac:dyDescent="0.15">
      <c r="B156" s="366"/>
      <c r="V156" s="369"/>
      <c r="W156" s="369"/>
      <c r="X156" s="369"/>
      <c r="Y156" s="369"/>
      <c r="Z156" s="369"/>
      <c r="AA156" s="369"/>
      <c r="AB156" s="369"/>
      <c r="AC156" s="369"/>
      <c r="AD156" s="369"/>
      <c r="AE156" s="369"/>
      <c r="AF156" s="369"/>
      <c r="AG156" s="369"/>
      <c r="AH156" s="369"/>
      <c r="AI156" s="369"/>
      <c r="AJ156" s="369"/>
      <c r="AK156" s="369"/>
      <c r="AL156" s="369"/>
      <c r="AM156" s="369"/>
      <c r="AN156" s="369"/>
      <c r="AO156" s="369"/>
      <c r="AP156" s="369"/>
      <c r="AQ156" s="369"/>
      <c r="AR156" s="369"/>
      <c r="AS156" s="369"/>
      <c r="AT156" s="369"/>
      <c r="AU156" s="369"/>
      <c r="AV156" s="369"/>
      <c r="AW156" s="366"/>
      <c r="AX156" s="366"/>
      <c r="AY156" s="366"/>
      <c r="AZ156" s="366"/>
      <c r="BA156" s="366"/>
      <c r="BB156" s="366"/>
    </row>
  </sheetData>
  <mergeCells count="243">
    <mergeCell ref="AL15:AN17"/>
    <mergeCell ref="AO15:AQ17"/>
    <mergeCell ref="AR15:BC17"/>
    <mergeCell ref="BD15:BE17"/>
    <mergeCell ref="C18:C37"/>
    <mergeCell ref="D18:E18"/>
    <mergeCell ref="N18:O18"/>
    <mergeCell ref="P18:Q18"/>
    <mergeCell ref="AL18:AQ18"/>
    <mergeCell ref="BD18:BE18"/>
    <mergeCell ref="C15:C17"/>
    <mergeCell ref="D15:E17"/>
    <mergeCell ref="F15:M17"/>
    <mergeCell ref="N15:O17"/>
    <mergeCell ref="P15:Q17"/>
    <mergeCell ref="R15:AK17"/>
    <mergeCell ref="D19:E19"/>
    <mergeCell ref="N19:O19"/>
    <mergeCell ref="P19:Q19"/>
    <mergeCell ref="AL19:AQ19"/>
    <mergeCell ref="BD19:BE19"/>
    <mergeCell ref="D20:E20"/>
    <mergeCell ref="N20:O20"/>
    <mergeCell ref="P20:Q20"/>
    <mergeCell ref="AL20:AQ20"/>
    <mergeCell ref="BD20:BE20"/>
    <mergeCell ref="D21:E21"/>
    <mergeCell ref="N21:O21"/>
    <mergeCell ref="P21:Q21"/>
    <mergeCell ref="AL21:AQ21"/>
    <mergeCell ref="BD21:BE21"/>
    <mergeCell ref="D22:E22"/>
    <mergeCell ref="N22:O22"/>
    <mergeCell ref="P22:Q22"/>
    <mergeCell ref="AL22:AQ22"/>
    <mergeCell ref="BD22:BE22"/>
    <mergeCell ref="D23:E23"/>
    <mergeCell ref="N23:O23"/>
    <mergeCell ref="P23:Q23"/>
    <mergeCell ref="AL23:AQ23"/>
    <mergeCell ref="BD23:BE23"/>
    <mergeCell ref="D24:E24"/>
    <mergeCell ref="N24:O24"/>
    <mergeCell ref="P24:Q24"/>
    <mergeCell ref="AL24:AQ24"/>
    <mergeCell ref="BD24:BE24"/>
    <mergeCell ref="D25:E25"/>
    <mergeCell ref="N25:O25"/>
    <mergeCell ref="P25:Q25"/>
    <mergeCell ref="AL25:AQ25"/>
    <mergeCell ref="BD25:BE25"/>
    <mergeCell ref="D26:E26"/>
    <mergeCell ref="N26:O26"/>
    <mergeCell ref="P26:Q26"/>
    <mergeCell ref="AL26:AQ26"/>
    <mergeCell ref="BD26:BE26"/>
    <mergeCell ref="D27:E27"/>
    <mergeCell ref="N27:O27"/>
    <mergeCell ref="P27:Q27"/>
    <mergeCell ref="AL27:AQ27"/>
    <mergeCell ref="BD27:BE27"/>
    <mergeCell ref="D28:E28"/>
    <mergeCell ref="N28:O28"/>
    <mergeCell ref="P28:Q28"/>
    <mergeCell ref="AL28:AQ28"/>
    <mergeCell ref="BD28:BE28"/>
    <mergeCell ref="D29:E29"/>
    <mergeCell ref="N29:O29"/>
    <mergeCell ref="P29:Q29"/>
    <mergeCell ref="AL29:AQ29"/>
    <mergeCell ref="BD29:BE29"/>
    <mergeCell ref="D30:E30"/>
    <mergeCell ref="N30:O30"/>
    <mergeCell ref="P30:Q30"/>
    <mergeCell ref="AL30:AQ30"/>
    <mergeCell ref="BD30:BE30"/>
    <mergeCell ref="D31:E31"/>
    <mergeCell ref="N31:O31"/>
    <mergeCell ref="P31:Q31"/>
    <mergeCell ref="AL31:AQ31"/>
    <mergeCell ref="BD31:BE31"/>
    <mergeCell ref="D32:E32"/>
    <mergeCell ref="N32:O32"/>
    <mergeCell ref="P32:Q32"/>
    <mergeCell ref="AL32:AQ32"/>
    <mergeCell ref="BD32:BE32"/>
    <mergeCell ref="D33:E33"/>
    <mergeCell ref="N33:O33"/>
    <mergeCell ref="P33:Q33"/>
    <mergeCell ref="AL33:AQ33"/>
    <mergeCell ref="BD33:BE33"/>
    <mergeCell ref="D34:E34"/>
    <mergeCell ref="N34:O34"/>
    <mergeCell ref="P34:Q34"/>
    <mergeCell ref="AL34:AQ34"/>
    <mergeCell ref="BD34:BE34"/>
    <mergeCell ref="AL37:AQ37"/>
    <mergeCell ref="BD37:BE37"/>
    <mergeCell ref="C39:D39"/>
    <mergeCell ref="E39:H39"/>
    <mergeCell ref="I39:S39"/>
    <mergeCell ref="V39:W39"/>
    <mergeCell ref="D35:E35"/>
    <mergeCell ref="N35:O35"/>
    <mergeCell ref="P35:Q35"/>
    <mergeCell ref="AL35:AQ35"/>
    <mergeCell ref="BD35:BE35"/>
    <mergeCell ref="D36:E36"/>
    <mergeCell ref="N36:O36"/>
    <mergeCell ref="P36:Q36"/>
    <mergeCell ref="AL36:AQ36"/>
    <mergeCell ref="BD36:BE36"/>
    <mergeCell ref="C40:D40"/>
    <mergeCell ref="C41:D41"/>
    <mergeCell ref="C55:C57"/>
    <mergeCell ref="D55:D57"/>
    <mergeCell ref="E55:M57"/>
    <mergeCell ref="N55:N57"/>
    <mergeCell ref="D37:E37"/>
    <mergeCell ref="N37:O37"/>
    <mergeCell ref="P37:Q37"/>
    <mergeCell ref="BD59:BE59"/>
    <mergeCell ref="AL60:AN60"/>
    <mergeCell ref="AO60:AQ60"/>
    <mergeCell ref="AR60:BC60"/>
    <mergeCell ref="BD60:BE60"/>
    <mergeCell ref="AL61:AQ61"/>
    <mergeCell ref="BD61:BE61"/>
    <mergeCell ref="O55:O57"/>
    <mergeCell ref="AL55:AN57"/>
    <mergeCell ref="AO55:AQ57"/>
    <mergeCell ref="AR55:BC57"/>
    <mergeCell ref="BD55:BE57"/>
    <mergeCell ref="AL58:AQ58"/>
    <mergeCell ref="AR58:AT58"/>
    <mergeCell ref="BD58:BE58"/>
    <mergeCell ref="AL59:AQ59"/>
    <mergeCell ref="BD78:BE78"/>
    <mergeCell ref="AL69:AQ74"/>
    <mergeCell ref="BD69:BE69"/>
    <mergeCell ref="BD70:BE70"/>
    <mergeCell ref="BD71:BE71"/>
    <mergeCell ref="BD72:BE72"/>
    <mergeCell ref="BD73:BE73"/>
    <mergeCell ref="BD74:BE74"/>
    <mergeCell ref="AL62:AQ62"/>
    <mergeCell ref="BD62:BE62"/>
    <mergeCell ref="AL63:AQ68"/>
    <mergeCell ref="BD63:BE63"/>
    <mergeCell ref="BD64:BE64"/>
    <mergeCell ref="BD65:BE65"/>
    <mergeCell ref="BD66:BE66"/>
    <mergeCell ref="BD67:BE67"/>
    <mergeCell ref="BD68:BE68"/>
    <mergeCell ref="BF83:BG84"/>
    <mergeCell ref="BD84:BE84"/>
    <mergeCell ref="AL85:AQ88"/>
    <mergeCell ref="BD85:BE85"/>
    <mergeCell ref="BD86:BE86"/>
    <mergeCell ref="BD87:BE87"/>
    <mergeCell ref="BD88:BE88"/>
    <mergeCell ref="AL79:AQ81"/>
    <mergeCell ref="BD79:BE79"/>
    <mergeCell ref="BD80:BE80"/>
    <mergeCell ref="BD81:BE81"/>
    <mergeCell ref="AL82:AQ82"/>
    <mergeCell ref="BD82:BE82"/>
    <mergeCell ref="P93:AK94"/>
    <mergeCell ref="AL93:AQ94"/>
    <mergeCell ref="BD93:BE93"/>
    <mergeCell ref="BD94:BE94"/>
    <mergeCell ref="C96:D96"/>
    <mergeCell ref="E96:H96"/>
    <mergeCell ref="I96:S96"/>
    <mergeCell ref="AL89:AN90"/>
    <mergeCell ref="AO89:AQ90"/>
    <mergeCell ref="BD89:BE89"/>
    <mergeCell ref="BD90:BE90"/>
    <mergeCell ref="AL91:AQ92"/>
    <mergeCell ref="BD91:BE91"/>
    <mergeCell ref="BD92:BE92"/>
    <mergeCell ref="C58:C92"/>
    <mergeCell ref="AL83:AQ84"/>
    <mergeCell ref="BD83:BE83"/>
    <mergeCell ref="AL75:AQ75"/>
    <mergeCell ref="BD75:BE75"/>
    <mergeCell ref="N76:N78"/>
    <mergeCell ref="O76:O78"/>
    <mergeCell ref="AL76:AQ78"/>
    <mergeCell ref="BD76:BE76"/>
    <mergeCell ref="BD77:BE77"/>
    <mergeCell ref="AU105:AV105"/>
    <mergeCell ref="AW105:BF105"/>
    <mergeCell ref="K106:M106"/>
    <mergeCell ref="AN106:AO106"/>
    <mergeCell ref="AP106:AS106"/>
    <mergeCell ref="AU106:AV106"/>
    <mergeCell ref="AW106:BF106"/>
    <mergeCell ref="C97:D97"/>
    <mergeCell ref="C98:D98"/>
    <mergeCell ref="K104:M104"/>
    <mergeCell ref="K105:M105"/>
    <mergeCell ref="AN105:AO105"/>
    <mergeCell ref="AP105:AS105"/>
    <mergeCell ref="AN111:AO111"/>
    <mergeCell ref="AP111:AS111"/>
    <mergeCell ref="AU111:AV111"/>
    <mergeCell ref="AW111:BF111"/>
    <mergeCell ref="AN112:AO112"/>
    <mergeCell ref="AP112:AS112"/>
    <mergeCell ref="AU112:AV112"/>
    <mergeCell ref="AW112:BF112"/>
    <mergeCell ref="K107:M107"/>
    <mergeCell ref="AN107:AO110"/>
    <mergeCell ref="AP107:AS110"/>
    <mergeCell ref="AT107:AT110"/>
    <mergeCell ref="AU107:AV110"/>
    <mergeCell ref="AW107:BF110"/>
    <mergeCell ref="K108:M108"/>
    <mergeCell ref="AN118:AO120"/>
    <mergeCell ref="AP118:AS120"/>
    <mergeCell ref="AT118:AT120"/>
    <mergeCell ref="AU118:AV120"/>
    <mergeCell ref="AW118:BF120"/>
    <mergeCell ref="BG122:BI122"/>
    <mergeCell ref="AN113:AO116"/>
    <mergeCell ref="AP113:AS116"/>
    <mergeCell ref="AT113:AT116"/>
    <mergeCell ref="AU113:AV116"/>
    <mergeCell ref="AW113:BF116"/>
    <mergeCell ref="AN117:AO117"/>
    <mergeCell ref="AP117:AS117"/>
    <mergeCell ref="AU117:AV117"/>
    <mergeCell ref="AW117:BF117"/>
    <mergeCell ref="BP124:BR124"/>
    <mergeCell ref="BP125:BR125"/>
    <mergeCell ref="BJ122:BL122"/>
    <mergeCell ref="BM122:BO122"/>
    <mergeCell ref="BP122:BR122"/>
    <mergeCell ref="BG123:BI123"/>
    <mergeCell ref="BJ123:BL123"/>
    <mergeCell ref="BM123:BO123"/>
    <mergeCell ref="BP123:BR123"/>
  </mergeCells>
  <phoneticPr fontId="4"/>
  <pageMargins left="7.874015748031496E-2" right="7.874015748031496E-2" top="0.55118110236220474" bottom="0.55118110236220474" header="0.31496062992125984" footer="0.31496062992125984"/>
  <pageSetup paperSize="9" scale="70" fitToHeight="0" orientation="landscape" useFirstPageNumber="1" r:id="rId1"/>
  <headerFooter alignWithMargins="0">
    <oddHeader>&amp;R&amp;UFUJITSU CONFIDENTIAL</oddHeader>
    <oddFooter>&amp;C&amp;8 &amp;P&amp;R&amp;8All Rights Reserved, Copyright(c) Fujitsu  Limited 2024</oddFooter>
  </headerFooter>
  <rowBreaks count="2" manualBreakCount="2">
    <brk id="51" max="71" man="1"/>
    <brk id="100" max="71" man="1"/>
  </rowBreaks>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0C09D5-21A7-4707-BAF9-9211DF561F22}">
  <sheetPr>
    <pageSetUpPr fitToPage="1"/>
  </sheetPr>
  <dimension ref="B1:R40"/>
  <sheetViews>
    <sheetView showGridLines="0" zoomScaleNormal="100" zoomScaleSheetLayoutView="55" workbookViewId="0">
      <pane xSplit="3" ySplit="4" topLeftCell="D5" activePane="bottomRight" state="frozen"/>
      <selection pane="topRight" activeCell="D168" sqref="D168"/>
      <selection pane="bottomLeft" activeCell="D168" sqref="D168"/>
      <selection pane="bottomRight" activeCell="D168" sqref="D168"/>
    </sheetView>
  </sheetViews>
  <sheetFormatPr defaultColWidth="3.375" defaultRowHeight="13.15" customHeight="1" x14ac:dyDescent="0.15"/>
  <cols>
    <col min="1" max="1" width="1.375" style="569" customWidth="1"/>
    <col min="2" max="2" width="20.375" style="569" customWidth="1"/>
    <col min="3" max="3" width="9" style="569" bestFit="1" customWidth="1"/>
    <col min="4" max="6" width="13.375" style="569" customWidth="1"/>
    <col min="7" max="7" width="16.375" style="569" bestFit="1" customWidth="1"/>
    <col min="8" max="8" width="15.375" style="569" customWidth="1"/>
    <col min="9" max="9" width="13.375" style="569" customWidth="1"/>
    <col min="10" max="12" width="17.375" style="569" customWidth="1"/>
    <col min="13" max="18" width="13.375" style="569" customWidth="1"/>
    <col min="19" max="20" width="2" style="569" customWidth="1"/>
    <col min="21" max="16384" width="3.375" style="569"/>
  </cols>
  <sheetData>
    <row r="1" spans="2:18" ht="9.9499999999999993" customHeight="1" x14ac:dyDescent="0.15"/>
    <row r="2" spans="2:18" ht="36" x14ac:dyDescent="0.15">
      <c r="B2" s="1208"/>
      <c r="C2" s="1209"/>
      <c r="D2" s="1210" t="s">
        <v>2417</v>
      </c>
      <c r="E2" s="1210" t="s">
        <v>2418</v>
      </c>
      <c r="F2" s="1210" t="s">
        <v>2419</v>
      </c>
      <c r="G2" s="1520" t="s">
        <v>2420</v>
      </c>
      <c r="H2" s="1521"/>
      <c r="I2" s="1210" t="s">
        <v>2421</v>
      </c>
      <c r="J2" s="1210" t="s">
        <v>2422</v>
      </c>
      <c r="K2" s="1210" t="s">
        <v>2423</v>
      </c>
      <c r="L2" s="1210" t="s">
        <v>2424</v>
      </c>
      <c r="M2" s="1210" t="s">
        <v>2425</v>
      </c>
      <c r="N2" s="1210" t="s">
        <v>2426</v>
      </c>
      <c r="O2" s="1210" t="s">
        <v>2427</v>
      </c>
      <c r="P2" s="1210" t="s">
        <v>2428</v>
      </c>
      <c r="Q2" s="1210" t="s">
        <v>2429</v>
      </c>
      <c r="R2" s="1210" t="s">
        <v>2430</v>
      </c>
    </row>
    <row r="3" spans="2:18" ht="12" x14ac:dyDescent="0.15">
      <c r="B3" s="623"/>
      <c r="C3" s="572"/>
      <c r="D3" s="624"/>
      <c r="E3" s="624"/>
      <c r="F3" s="624"/>
      <c r="G3" s="1210" t="s">
        <v>2431</v>
      </c>
      <c r="H3" s="1210" t="s">
        <v>2432</v>
      </c>
      <c r="I3" s="624"/>
      <c r="J3" s="624"/>
      <c r="K3" s="624"/>
      <c r="L3" s="624"/>
      <c r="M3" s="624"/>
      <c r="N3" s="624"/>
      <c r="O3" s="624"/>
      <c r="P3" s="624"/>
      <c r="Q3" s="624"/>
      <c r="R3" s="624"/>
    </row>
    <row r="4" spans="2:18" ht="12" x14ac:dyDescent="0.15">
      <c r="B4" s="1211"/>
      <c r="C4" s="1212" t="s">
        <v>2433</v>
      </c>
      <c r="D4" s="640">
        <v>91111</v>
      </c>
      <c r="E4" s="640">
        <v>91121</v>
      </c>
      <c r="F4" s="640">
        <v>91141</v>
      </c>
      <c r="G4" s="640">
        <v>91326</v>
      </c>
      <c r="H4" s="640">
        <v>91324</v>
      </c>
      <c r="I4" s="640">
        <v>91316</v>
      </c>
      <c r="J4" s="640">
        <v>91220</v>
      </c>
      <c r="K4" s="640">
        <v>91220</v>
      </c>
      <c r="L4" s="640">
        <v>91220</v>
      </c>
      <c r="M4" s="640">
        <v>91220</v>
      </c>
      <c r="N4" s="640">
        <v>91220</v>
      </c>
      <c r="O4" s="640">
        <v>91220</v>
      </c>
      <c r="P4" s="640">
        <v>91220</v>
      </c>
      <c r="Q4" s="640">
        <v>91220</v>
      </c>
      <c r="R4" s="640">
        <v>91220</v>
      </c>
    </row>
    <row r="5" spans="2:18" ht="27" customHeight="1" x14ac:dyDescent="0.15">
      <c r="B5" s="1522" t="s">
        <v>2417</v>
      </c>
      <c r="C5" s="590"/>
      <c r="D5" s="625" t="s">
        <v>2434</v>
      </c>
      <c r="E5" s="626"/>
      <c r="F5" s="626"/>
      <c r="G5" s="627"/>
      <c r="H5" s="1213"/>
      <c r="I5" s="626"/>
      <c r="J5" s="626"/>
      <c r="K5" s="626"/>
      <c r="L5" s="626"/>
      <c r="M5" s="626"/>
      <c r="N5" s="626"/>
      <c r="O5" s="626"/>
      <c r="P5" s="626"/>
      <c r="Q5" s="626"/>
      <c r="R5" s="626"/>
    </row>
    <row r="6" spans="2:18" ht="12.75" customHeight="1" x14ac:dyDescent="0.15">
      <c r="B6" s="1523"/>
      <c r="C6" s="576"/>
      <c r="D6" s="625"/>
      <c r="E6" s="626"/>
      <c r="F6" s="573"/>
      <c r="G6" s="594"/>
      <c r="H6" s="582"/>
      <c r="I6" s="573"/>
      <c r="J6" s="573"/>
      <c r="K6" s="573"/>
      <c r="L6" s="573"/>
      <c r="M6" s="573"/>
      <c r="N6" s="573"/>
      <c r="O6" s="573"/>
      <c r="P6" s="573"/>
      <c r="Q6" s="573"/>
      <c r="R6" s="573"/>
    </row>
    <row r="7" spans="2:18" ht="27" customHeight="1" thickBot="1" x14ac:dyDescent="0.2">
      <c r="B7" s="1524" t="s">
        <v>2418</v>
      </c>
      <c r="C7" s="593"/>
      <c r="D7" s="1214" t="s">
        <v>2435</v>
      </c>
      <c r="E7" s="1215" t="s">
        <v>2436</v>
      </c>
      <c r="F7" s="587"/>
      <c r="G7" s="627"/>
      <c r="H7" s="587"/>
      <c r="I7" s="626"/>
      <c r="J7" s="626"/>
      <c r="K7" s="626"/>
      <c r="L7" s="626"/>
      <c r="M7" s="626"/>
      <c r="N7" s="626"/>
      <c r="O7" s="626"/>
      <c r="P7" s="626"/>
      <c r="Q7" s="626"/>
      <c r="R7" s="626"/>
    </row>
    <row r="8" spans="2:18" ht="12.75" customHeight="1" thickTop="1" thickBot="1" x14ac:dyDescent="0.2">
      <c r="B8" s="1522"/>
      <c r="C8" s="576"/>
      <c r="D8" s="592" t="s">
        <v>2437</v>
      </c>
      <c r="E8" s="583" t="s">
        <v>2438</v>
      </c>
      <c r="F8" s="587"/>
      <c r="G8" s="594"/>
      <c r="H8" s="582"/>
      <c r="I8" s="573"/>
      <c r="J8" s="573"/>
      <c r="K8" s="573"/>
      <c r="L8" s="573"/>
      <c r="M8" s="573"/>
      <c r="N8" s="573"/>
      <c r="O8" s="573"/>
      <c r="P8" s="573"/>
      <c r="Q8" s="573"/>
      <c r="R8" s="573"/>
    </row>
    <row r="9" spans="2:18" ht="27" customHeight="1" thickTop="1" thickBot="1" x14ac:dyDescent="0.2">
      <c r="B9" s="1524" t="s">
        <v>2439</v>
      </c>
      <c r="C9" s="593"/>
      <c r="D9" s="628" t="s">
        <v>2435</v>
      </c>
      <c r="E9" s="628" t="s">
        <v>2440</v>
      </c>
      <c r="F9" s="1215" t="s">
        <v>2441</v>
      </c>
      <c r="G9" s="591"/>
      <c r="H9" s="587"/>
      <c r="I9" s="626"/>
      <c r="J9" s="626"/>
      <c r="K9" s="626"/>
      <c r="L9" s="626"/>
      <c r="M9" s="626"/>
      <c r="N9" s="626"/>
      <c r="O9" s="626"/>
      <c r="P9" s="626"/>
      <c r="Q9" s="626"/>
      <c r="R9" s="626"/>
    </row>
    <row r="10" spans="2:18" ht="12.75" customHeight="1" thickTop="1" thickBot="1" x14ac:dyDescent="0.2">
      <c r="B10" s="1523"/>
      <c r="C10" s="576"/>
      <c r="D10" s="580" t="s">
        <v>2442</v>
      </c>
      <c r="E10" s="592" t="s">
        <v>2443</v>
      </c>
      <c r="F10" s="583" t="s">
        <v>2444</v>
      </c>
      <c r="G10" s="591"/>
      <c r="H10" s="587"/>
      <c r="I10" s="573"/>
      <c r="J10" s="573"/>
      <c r="K10" s="573"/>
      <c r="L10" s="573"/>
      <c r="M10" s="573"/>
      <c r="N10" s="573"/>
      <c r="O10" s="573"/>
      <c r="P10" s="573"/>
      <c r="Q10" s="573"/>
      <c r="R10" s="573"/>
    </row>
    <row r="11" spans="2:18" ht="27" customHeight="1" thickTop="1" thickBot="1" x14ac:dyDescent="0.2">
      <c r="B11" s="1524" t="s">
        <v>2420</v>
      </c>
      <c r="C11" s="590"/>
      <c r="D11" s="628" t="s">
        <v>2445</v>
      </c>
      <c r="E11" s="629" t="s">
        <v>2446</v>
      </c>
      <c r="F11" s="630" t="s">
        <v>2447</v>
      </c>
      <c r="G11" s="1525" t="s">
        <v>2448</v>
      </c>
      <c r="H11" s="1526"/>
      <c r="I11" s="587"/>
      <c r="J11" s="626"/>
      <c r="K11" s="626"/>
      <c r="L11" s="626"/>
      <c r="M11" s="626"/>
      <c r="N11" s="626"/>
      <c r="O11" s="626"/>
      <c r="P11" s="626"/>
      <c r="Q11" s="626"/>
      <c r="R11" s="626"/>
    </row>
    <row r="12" spans="2:18" ht="37.5" thickTop="1" thickBot="1" x14ac:dyDescent="0.2">
      <c r="B12" s="1522"/>
      <c r="C12" s="588" t="s">
        <v>2431</v>
      </c>
      <c r="D12" s="1527" t="s">
        <v>2449</v>
      </c>
      <c r="E12" s="1529" t="s">
        <v>2450</v>
      </c>
      <c r="F12" s="1531" t="s">
        <v>2451</v>
      </c>
      <c r="G12" s="583" t="s">
        <v>2452</v>
      </c>
      <c r="H12" s="589" t="s">
        <v>2453</v>
      </c>
      <c r="I12" s="587"/>
      <c r="J12" s="573"/>
      <c r="K12" s="573"/>
      <c r="L12" s="573"/>
      <c r="M12" s="573"/>
      <c r="N12" s="573"/>
      <c r="O12" s="573"/>
      <c r="P12" s="573"/>
      <c r="Q12" s="573"/>
      <c r="R12" s="573"/>
    </row>
    <row r="13" spans="2:18" ht="37.5" thickTop="1" thickBot="1" x14ac:dyDescent="0.2">
      <c r="B13" s="1523"/>
      <c r="C13" s="588" t="s">
        <v>2454</v>
      </c>
      <c r="D13" s="1528"/>
      <c r="E13" s="1530"/>
      <c r="F13" s="1532"/>
      <c r="G13" s="1216" t="s">
        <v>2455</v>
      </c>
      <c r="H13" s="583" t="s">
        <v>2456</v>
      </c>
      <c r="I13" s="587"/>
      <c r="J13" s="573"/>
      <c r="K13" s="573"/>
      <c r="L13" s="573"/>
      <c r="M13" s="573"/>
      <c r="N13" s="573"/>
      <c r="O13" s="573"/>
      <c r="P13" s="573"/>
      <c r="Q13" s="573"/>
      <c r="R13" s="573"/>
    </row>
    <row r="14" spans="2:18" ht="27" customHeight="1" thickTop="1" thickBot="1" x14ac:dyDescent="0.2">
      <c r="B14" s="1524" t="s">
        <v>2421</v>
      </c>
      <c r="C14" s="579"/>
      <c r="D14" s="586" t="s">
        <v>2457</v>
      </c>
      <c r="E14" s="586" t="s">
        <v>2458</v>
      </c>
      <c r="F14" s="586" t="s">
        <v>2459</v>
      </c>
      <c r="G14" s="1533" t="s">
        <v>2460</v>
      </c>
      <c r="H14" s="1534"/>
      <c r="I14" s="1215" t="s">
        <v>2461</v>
      </c>
      <c r="J14" s="585"/>
      <c r="K14" s="577"/>
      <c r="L14" s="577"/>
      <c r="M14" s="577"/>
      <c r="N14" s="577"/>
      <c r="O14" s="577"/>
      <c r="P14" s="577"/>
      <c r="Q14" s="577"/>
      <c r="R14" s="577"/>
    </row>
    <row r="15" spans="2:18" ht="37.5" thickTop="1" thickBot="1" x14ac:dyDescent="0.2">
      <c r="B15" s="1523"/>
      <c r="C15" s="576"/>
      <c r="D15" s="584" t="s">
        <v>2462</v>
      </c>
      <c r="E15" s="584" t="s">
        <v>2463</v>
      </c>
      <c r="F15" s="584" t="s">
        <v>2464</v>
      </c>
      <c r="G15" s="1535" t="s">
        <v>2465</v>
      </c>
      <c r="H15" s="1536"/>
      <c r="I15" s="583" t="s">
        <v>2466</v>
      </c>
      <c r="J15" s="582"/>
      <c r="K15" s="573"/>
      <c r="L15" s="573"/>
      <c r="M15" s="573"/>
      <c r="N15" s="573"/>
      <c r="O15" s="573"/>
      <c r="P15" s="573"/>
      <c r="Q15" s="573"/>
      <c r="R15" s="573"/>
    </row>
    <row r="16" spans="2:18" ht="27" customHeight="1" thickTop="1" x14ac:dyDescent="0.15">
      <c r="B16" s="1524" t="s">
        <v>2467</v>
      </c>
      <c r="C16" s="579"/>
      <c r="D16" s="581" t="s">
        <v>2468</v>
      </c>
      <c r="E16" s="581" t="s">
        <v>2468</v>
      </c>
      <c r="F16" s="581" t="s">
        <v>2468</v>
      </c>
      <c r="G16" s="1538" t="s">
        <v>2468</v>
      </c>
      <c r="H16" s="1539"/>
      <c r="I16" s="628" t="s">
        <v>2468</v>
      </c>
      <c r="J16" s="578" t="s">
        <v>2469</v>
      </c>
      <c r="K16" s="577"/>
      <c r="L16" s="577"/>
      <c r="M16" s="577"/>
      <c r="N16" s="577"/>
      <c r="O16" s="577"/>
      <c r="P16" s="577"/>
      <c r="Q16" s="577"/>
      <c r="R16" s="577"/>
    </row>
    <row r="17" spans="2:18" ht="12.75" customHeight="1" x14ac:dyDescent="0.15">
      <c r="B17" s="1537"/>
      <c r="C17" s="576"/>
      <c r="D17" s="580" t="s">
        <v>2470</v>
      </c>
      <c r="E17" s="580" t="s">
        <v>2471</v>
      </c>
      <c r="F17" s="580" t="s">
        <v>2472</v>
      </c>
      <c r="G17" s="1540" t="s">
        <v>2473</v>
      </c>
      <c r="H17" s="1541"/>
      <c r="I17" s="580" t="s">
        <v>2474</v>
      </c>
      <c r="J17" s="574"/>
      <c r="K17" s="573"/>
      <c r="L17" s="573"/>
      <c r="M17" s="573"/>
      <c r="N17" s="573"/>
      <c r="O17" s="573"/>
      <c r="P17" s="573"/>
      <c r="Q17" s="573"/>
      <c r="R17" s="573"/>
    </row>
    <row r="18" spans="2:18" ht="27" customHeight="1" x14ac:dyDescent="0.15">
      <c r="B18" s="1524" t="s">
        <v>2423</v>
      </c>
      <c r="C18" s="579"/>
      <c r="D18" s="571" t="s">
        <v>2475</v>
      </c>
      <c r="E18" s="571" t="s">
        <v>2476</v>
      </c>
      <c r="F18" s="571" t="s">
        <v>2477</v>
      </c>
      <c r="G18" s="1542" t="s">
        <v>2478</v>
      </c>
      <c r="H18" s="1543"/>
      <c r="I18" s="571" t="s">
        <v>2479</v>
      </c>
      <c r="J18" s="578" t="s">
        <v>2469</v>
      </c>
      <c r="K18" s="578" t="s">
        <v>2480</v>
      </c>
      <c r="L18" s="577"/>
      <c r="M18" s="577"/>
      <c r="N18" s="577"/>
      <c r="O18" s="577"/>
      <c r="P18" s="577"/>
      <c r="Q18" s="577"/>
      <c r="R18" s="577"/>
    </row>
    <row r="19" spans="2:18" ht="12.75" customHeight="1" x14ac:dyDescent="0.15">
      <c r="B19" s="1537"/>
      <c r="C19" s="576"/>
      <c r="D19" s="575" t="s">
        <v>2481</v>
      </c>
      <c r="E19" s="575" t="s">
        <v>2482</v>
      </c>
      <c r="F19" s="575" t="s">
        <v>2483</v>
      </c>
      <c r="G19" s="1532" t="s">
        <v>2484</v>
      </c>
      <c r="H19" s="1544"/>
      <c r="I19" s="575" t="s">
        <v>2485</v>
      </c>
      <c r="J19" s="574"/>
      <c r="K19" s="574"/>
      <c r="L19" s="573"/>
      <c r="M19" s="573"/>
      <c r="N19" s="573"/>
      <c r="O19" s="573"/>
      <c r="P19" s="573"/>
      <c r="Q19" s="573"/>
      <c r="R19" s="573"/>
    </row>
    <row r="20" spans="2:18" ht="27" customHeight="1" x14ac:dyDescent="0.15">
      <c r="B20" s="1524" t="s">
        <v>2424</v>
      </c>
      <c r="C20" s="579"/>
      <c r="D20" s="571" t="s">
        <v>2486</v>
      </c>
      <c r="E20" s="571" t="s">
        <v>2487</v>
      </c>
      <c r="F20" s="571" t="s">
        <v>2488</v>
      </c>
      <c r="G20" s="1542" t="s">
        <v>2489</v>
      </c>
      <c r="H20" s="1543"/>
      <c r="I20" s="571" t="s">
        <v>2490</v>
      </c>
      <c r="J20" s="578" t="s">
        <v>2469</v>
      </c>
      <c r="K20" s="578" t="s">
        <v>2491</v>
      </c>
      <c r="L20" s="578" t="s">
        <v>2492</v>
      </c>
      <c r="M20" s="577"/>
      <c r="N20" s="577"/>
      <c r="O20" s="577"/>
      <c r="P20" s="577"/>
      <c r="Q20" s="577"/>
      <c r="R20" s="577"/>
    </row>
    <row r="21" spans="2:18" ht="12.75" customHeight="1" x14ac:dyDescent="0.15">
      <c r="B21" s="1537"/>
      <c r="C21" s="576"/>
      <c r="D21" s="575" t="s">
        <v>2493</v>
      </c>
      <c r="E21" s="575" t="s">
        <v>2494</v>
      </c>
      <c r="F21" s="575" t="s">
        <v>2495</v>
      </c>
      <c r="G21" s="1532" t="s">
        <v>2496</v>
      </c>
      <c r="H21" s="1544"/>
      <c r="I21" s="575" t="s">
        <v>2497</v>
      </c>
      <c r="J21" s="574"/>
      <c r="K21" s="574"/>
      <c r="L21" s="574"/>
      <c r="M21" s="573"/>
      <c r="N21" s="573"/>
      <c r="O21" s="573"/>
      <c r="P21" s="573"/>
      <c r="Q21" s="573"/>
      <c r="R21" s="573"/>
    </row>
    <row r="22" spans="2:18" ht="36" x14ac:dyDescent="0.15">
      <c r="B22" s="1524" t="s">
        <v>2498</v>
      </c>
      <c r="C22" s="579"/>
      <c r="D22" s="581" t="s">
        <v>2499</v>
      </c>
      <c r="E22" s="581" t="s">
        <v>2499</v>
      </c>
      <c r="F22" s="581" t="s">
        <v>2499</v>
      </c>
      <c r="G22" s="1538" t="s">
        <v>2499</v>
      </c>
      <c r="H22" s="1539"/>
      <c r="I22" s="581" t="s">
        <v>2499</v>
      </c>
      <c r="J22" s="578" t="s">
        <v>2500</v>
      </c>
      <c r="K22" s="578" t="s">
        <v>2500</v>
      </c>
      <c r="L22" s="578" t="s">
        <v>2500</v>
      </c>
      <c r="M22" s="578" t="s">
        <v>2501</v>
      </c>
      <c r="N22" s="577"/>
      <c r="O22" s="577"/>
      <c r="P22" s="577"/>
      <c r="Q22" s="577"/>
      <c r="R22" s="577"/>
    </row>
    <row r="23" spans="2:18" ht="12.75" customHeight="1" x14ac:dyDescent="0.15">
      <c r="B23" s="1537"/>
      <c r="C23" s="576"/>
      <c r="D23" s="580" t="s">
        <v>2502</v>
      </c>
      <c r="E23" s="580" t="s">
        <v>2503</v>
      </c>
      <c r="F23" s="580" t="s">
        <v>2504</v>
      </c>
      <c r="G23" s="1540" t="s">
        <v>2505</v>
      </c>
      <c r="H23" s="1541"/>
      <c r="I23" s="580" t="s">
        <v>2506</v>
      </c>
      <c r="J23" s="574"/>
      <c r="K23" s="574"/>
      <c r="L23" s="574"/>
      <c r="M23" s="574"/>
      <c r="N23" s="573"/>
      <c r="O23" s="573"/>
      <c r="P23" s="573"/>
      <c r="Q23" s="573"/>
      <c r="R23" s="573"/>
    </row>
    <row r="24" spans="2:18" ht="36" x14ac:dyDescent="0.15">
      <c r="B24" s="1524" t="s">
        <v>2507</v>
      </c>
      <c r="C24" s="579"/>
      <c r="D24" s="571" t="s">
        <v>2508</v>
      </c>
      <c r="E24" s="571" t="s">
        <v>2509</v>
      </c>
      <c r="F24" s="571" t="s">
        <v>2510</v>
      </c>
      <c r="G24" s="1542" t="s">
        <v>2511</v>
      </c>
      <c r="H24" s="1543"/>
      <c r="I24" s="571" t="s">
        <v>2512</v>
      </c>
      <c r="J24" s="578" t="s">
        <v>2513</v>
      </c>
      <c r="K24" s="578" t="s">
        <v>2513</v>
      </c>
      <c r="L24" s="578" t="s">
        <v>2513</v>
      </c>
      <c r="M24" s="578" t="s">
        <v>2501</v>
      </c>
      <c r="N24" s="578" t="s">
        <v>2501</v>
      </c>
      <c r="O24" s="577"/>
      <c r="P24" s="577"/>
      <c r="Q24" s="577"/>
      <c r="R24" s="577"/>
    </row>
    <row r="25" spans="2:18" ht="12.75" customHeight="1" x14ac:dyDescent="0.15">
      <c r="B25" s="1537"/>
      <c r="C25" s="576"/>
      <c r="D25" s="575" t="s">
        <v>2514</v>
      </c>
      <c r="E25" s="575" t="s">
        <v>2515</v>
      </c>
      <c r="F25" s="575" t="s">
        <v>2516</v>
      </c>
      <c r="G25" s="1532" t="s">
        <v>2517</v>
      </c>
      <c r="H25" s="1544"/>
      <c r="I25" s="575" t="s">
        <v>2518</v>
      </c>
      <c r="J25" s="574"/>
      <c r="K25" s="574"/>
      <c r="L25" s="574"/>
      <c r="M25" s="574"/>
      <c r="N25" s="574"/>
      <c r="O25" s="573"/>
      <c r="P25" s="573"/>
      <c r="Q25" s="573"/>
      <c r="R25" s="573"/>
    </row>
    <row r="26" spans="2:18" ht="36" x14ac:dyDescent="0.15">
      <c r="B26" s="1524" t="s">
        <v>2427</v>
      </c>
      <c r="C26" s="579"/>
      <c r="D26" s="571" t="s">
        <v>2519</v>
      </c>
      <c r="E26" s="571" t="s">
        <v>2520</v>
      </c>
      <c r="F26" s="571" t="s">
        <v>2521</v>
      </c>
      <c r="G26" s="1542" t="s">
        <v>2522</v>
      </c>
      <c r="H26" s="1543"/>
      <c r="I26" s="571" t="s">
        <v>2523</v>
      </c>
      <c r="J26" s="578" t="s">
        <v>2524</v>
      </c>
      <c r="K26" s="578" t="s">
        <v>2524</v>
      </c>
      <c r="L26" s="578" t="s">
        <v>2524</v>
      </c>
      <c r="M26" s="578" t="s">
        <v>2501</v>
      </c>
      <c r="N26" s="578" t="s">
        <v>2501</v>
      </c>
      <c r="O26" s="578" t="s">
        <v>2501</v>
      </c>
      <c r="P26" s="577"/>
      <c r="Q26" s="577"/>
      <c r="R26" s="577"/>
    </row>
    <row r="27" spans="2:18" ht="12.75" customHeight="1" x14ac:dyDescent="0.15">
      <c r="B27" s="1537"/>
      <c r="C27" s="576"/>
      <c r="D27" s="575" t="s">
        <v>2525</v>
      </c>
      <c r="E27" s="575" t="s">
        <v>2526</v>
      </c>
      <c r="F27" s="575" t="s">
        <v>2527</v>
      </c>
      <c r="G27" s="1532" t="s">
        <v>2528</v>
      </c>
      <c r="H27" s="1544"/>
      <c r="I27" s="575" t="s">
        <v>2529</v>
      </c>
      <c r="J27" s="574"/>
      <c r="K27" s="574"/>
      <c r="L27" s="574"/>
      <c r="M27" s="574"/>
      <c r="N27" s="574"/>
      <c r="O27" s="574"/>
      <c r="P27" s="573"/>
      <c r="Q27" s="573"/>
      <c r="R27" s="573"/>
    </row>
    <row r="28" spans="2:18" ht="36" x14ac:dyDescent="0.15">
      <c r="B28" s="1524" t="s">
        <v>2530</v>
      </c>
      <c r="C28" s="579"/>
      <c r="D28" s="581" t="s">
        <v>2531</v>
      </c>
      <c r="E28" s="581" t="s">
        <v>2531</v>
      </c>
      <c r="F28" s="581" t="s">
        <v>2531</v>
      </c>
      <c r="G28" s="1538" t="s">
        <v>2531</v>
      </c>
      <c r="H28" s="1539"/>
      <c r="I28" s="581" t="s">
        <v>2531</v>
      </c>
      <c r="J28" s="578" t="s">
        <v>2532</v>
      </c>
      <c r="K28" s="578" t="s">
        <v>2532</v>
      </c>
      <c r="L28" s="578" t="s">
        <v>2532</v>
      </c>
      <c r="M28" s="578" t="s">
        <v>2501</v>
      </c>
      <c r="N28" s="578" t="s">
        <v>2501</v>
      </c>
      <c r="O28" s="578" t="s">
        <v>2501</v>
      </c>
      <c r="P28" s="578" t="s">
        <v>2501</v>
      </c>
      <c r="Q28" s="577"/>
      <c r="R28" s="577"/>
    </row>
    <row r="29" spans="2:18" ht="12.75" customHeight="1" x14ac:dyDescent="0.15">
      <c r="B29" s="1537"/>
      <c r="C29" s="576"/>
      <c r="D29" s="580" t="s">
        <v>2533</v>
      </c>
      <c r="E29" s="580" t="s">
        <v>2534</v>
      </c>
      <c r="F29" s="580" t="s">
        <v>2535</v>
      </c>
      <c r="G29" s="1540" t="s">
        <v>2536</v>
      </c>
      <c r="H29" s="1541"/>
      <c r="I29" s="580" t="s">
        <v>2537</v>
      </c>
      <c r="J29" s="574"/>
      <c r="K29" s="574"/>
      <c r="L29" s="574"/>
      <c r="M29" s="574"/>
      <c r="N29" s="574"/>
      <c r="O29" s="574"/>
      <c r="P29" s="574"/>
      <c r="Q29" s="573"/>
      <c r="R29" s="573"/>
    </row>
    <row r="30" spans="2:18" ht="48" x14ac:dyDescent="0.15">
      <c r="B30" s="1524" t="s">
        <v>2538</v>
      </c>
      <c r="C30" s="579"/>
      <c r="D30" s="571" t="s">
        <v>2539</v>
      </c>
      <c r="E30" s="571" t="s">
        <v>2540</v>
      </c>
      <c r="F30" s="571" t="s">
        <v>2541</v>
      </c>
      <c r="G30" s="1542" t="s">
        <v>2542</v>
      </c>
      <c r="H30" s="1543"/>
      <c r="I30" s="571" t="s">
        <v>2543</v>
      </c>
      <c r="J30" s="578" t="s">
        <v>2544</v>
      </c>
      <c r="K30" s="578" t="s">
        <v>2545</v>
      </c>
      <c r="L30" s="578" t="s">
        <v>2546</v>
      </c>
      <c r="M30" s="578" t="s">
        <v>2547</v>
      </c>
      <c r="N30" s="578" t="s">
        <v>2548</v>
      </c>
      <c r="O30" s="578" t="s">
        <v>2549</v>
      </c>
      <c r="P30" s="578" t="s">
        <v>2550</v>
      </c>
      <c r="Q30" s="578" t="s">
        <v>2551</v>
      </c>
      <c r="R30" s="577"/>
    </row>
    <row r="31" spans="2:18" ht="12.75" customHeight="1" x14ac:dyDescent="0.15">
      <c r="B31" s="1537"/>
      <c r="C31" s="576"/>
      <c r="D31" s="575" t="s">
        <v>2552</v>
      </c>
      <c r="E31" s="575" t="s">
        <v>2553</v>
      </c>
      <c r="F31" s="575" t="s">
        <v>2554</v>
      </c>
      <c r="G31" s="1532" t="s">
        <v>2555</v>
      </c>
      <c r="H31" s="1544"/>
      <c r="I31" s="575" t="s">
        <v>2556</v>
      </c>
      <c r="J31" s="574"/>
      <c r="K31" s="574"/>
      <c r="L31" s="574"/>
      <c r="M31" s="574"/>
      <c r="N31" s="574"/>
      <c r="O31" s="574"/>
      <c r="P31" s="574"/>
      <c r="Q31" s="574"/>
      <c r="R31" s="573"/>
    </row>
    <row r="32" spans="2:18" ht="48" x14ac:dyDescent="0.15">
      <c r="B32" s="1522" t="s">
        <v>2557</v>
      </c>
      <c r="C32" s="572"/>
      <c r="D32" s="571" t="s">
        <v>2558</v>
      </c>
      <c r="E32" s="629" t="s">
        <v>2559</v>
      </c>
      <c r="F32" s="629" t="s">
        <v>2560</v>
      </c>
      <c r="G32" s="1542" t="s">
        <v>2561</v>
      </c>
      <c r="H32" s="1543"/>
      <c r="I32" s="629" t="s">
        <v>2562</v>
      </c>
      <c r="J32" s="625" t="s">
        <v>2563</v>
      </c>
      <c r="K32" s="625" t="s">
        <v>2564</v>
      </c>
      <c r="L32" s="625" t="s">
        <v>2565</v>
      </c>
      <c r="M32" s="625" t="s">
        <v>2547</v>
      </c>
      <c r="N32" s="625" t="s">
        <v>2548</v>
      </c>
      <c r="O32" s="625" t="s">
        <v>2549</v>
      </c>
      <c r="P32" s="625" t="s">
        <v>2550</v>
      </c>
      <c r="Q32" s="625" t="s">
        <v>2551</v>
      </c>
      <c r="R32" s="625" t="s">
        <v>2551</v>
      </c>
    </row>
    <row r="33" spans="2:18" ht="12.75" customHeight="1" x14ac:dyDescent="0.15">
      <c r="B33" s="1545"/>
      <c r="C33" s="1217"/>
      <c r="D33" s="1218" t="s">
        <v>2566</v>
      </c>
      <c r="E33" s="1218" t="s">
        <v>2567</v>
      </c>
      <c r="F33" s="1218" t="s">
        <v>2568</v>
      </c>
      <c r="G33" s="1546" t="s">
        <v>2569</v>
      </c>
      <c r="H33" s="1547"/>
      <c r="I33" s="1218" t="s">
        <v>2570</v>
      </c>
      <c r="J33" s="1219"/>
      <c r="K33" s="1219"/>
      <c r="L33" s="1219"/>
      <c r="M33" s="1219"/>
      <c r="N33" s="1219"/>
      <c r="O33" s="1219"/>
      <c r="P33" s="1219"/>
      <c r="Q33" s="1219"/>
      <c r="R33" s="1219"/>
    </row>
    <row r="34" spans="2:18" ht="13.15" customHeight="1" x14ac:dyDescent="0.15">
      <c r="B34" s="47" t="s">
        <v>2571</v>
      </c>
    </row>
    <row r="35" spans="2:18" ht="13.15" customHeight="1" x14ac:dyDescent="0.15">
      <c r="B35" s="47" t="s">
        <v>2572</v>
      </c>
      <c r="D35" s="47"/>
      <c r="E35" s="47"/>
      <c r="F35" s="47"/>
      <c r="G35" s="47"/>
      <c r="H35" s="47"/>
      <c r="I35" s="47"/>
    </row>
    <row r="36" spans="2:18" ht="13.15" customHeight="1" x14ac:dyDescent="0.15">
      <c r="B36" s="47" t="s">
        <v>2573</v>
      </c>
    </row>
    <row r="37" spans="2:18" ht="13.15" customHeight="1" x14ac:dyDescent="0.15">
      <c r="B37" s="47" t="s">
        <v>2574</v>
      </c>
    </row>
    <row r="38" spans="2:18" ht="13.15" customHeight="1" x14ac:dyDescent="0.15">
      <c r="B38" s="570" t="s">
        <v>2575</v>
      </c>
    </row>
    <row r="39" spans="2:18" ht="13.15" customHeight="1" x14ac:dyDescent="0.15">
      <c r="B39" s="570" t="s">
        <v>2576</v>
      </c>
    </row>
    <row r="40" spans="2:18" ht="13.15" customHeight="1" x14ac:dyDescent="0.15">
      <c r="B40" s="47"/>
    </row>
  </sheetData>
  <mergeCells count="39">
    <mergeCell ref="B30:B31"/>
    <mergeCell ref="G30:H30"/>
    <mergeCell ref="G31:H31"/>
    <mergeCell ref="B32:B33"/>
    <mergeCell ref="G32:H32"/>
    <mergeCell ref="G33:H33"/>
    <mergeCell ref="B26:B27"/>
    <mergeCell ref="G26:H26"/>
    <mergeCell ref="G27:H27"/>
    <mergeCell ref="B28:B29"/>
    <mergeCell ref="G28:H28"/>
    <mergeCell ref="G29:H29"/>
    <mergeCell ref="B22:B23"/>
    <mergeCell ref="G22:H22"/>
    <mergeCell ref="G23:H23"/>
    <mergeCell ref="B24:B25"/>
    <mergeCell ref="G24:H24"/>
    <mergeCell ref="G25:H25"/>
    <mergeCell ref="B18:B19"/>
    <mergeCell ref="G18:H18"/>
    <mergeCell ref="G19:H19"/>
    <mergeCell ref="B20:B21"/>
    <mergeCell ref="G20:H20"/>
    <mergeCell ref="G21:H21"/>
    <mergeCell ref="B14:B15"/>
    <mergeCell ref="G14:H14"/>
    <mergeCell ref="G15:H15"/>
    <mergeCell ref="B16:B17"/>
    <mergeCell ref="G16:H16"/>
    <mergeCell ref="G17:H17"/>
    <mergeCell ref="G2:H2"/>
    <mergeCell ref="B5:B6"/>
    <mergeCell ref="B7:B8"/>
    <mergeCell ref="B9:B10"/>
    <mergeCell ref="B11:B13"/>
    <mergeCell ref="G11:H11"/>
    <mergeCell ref="D12:D13"/>
    <mergeCell ref="E12:E13"/>
    <mergeCell ref="F12:F13"/>
  </mergeCells>
  <phoneticPr fontId="4"/>
  <printOptions horizontalCentered="1" verticalCentered="1"/>
  <pageMargins left="0.59055118110236227" right="0.59055118110236227" top="0.39370078740157483" bottom="0.39370078740157483" header="0.31496062992125984" footer="0.31496062992125984"/>
  <pageSetup paperSize="9" scale="54"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4a0992f-8328-4daf-870b-3d2b13d3e940">
      <Terms xmlns="http://schemas.microsoft.com/office/infopath/2007/PartnerControls"/>
    </lcf76f155ced4ddcb4097134ff3c332f>
    <TaxCatchAll xmlns="4a37abda-15dd-4e37-8275-3b7fb2897b65" xsi:nil="true"/>
  </documentManagement>
</p:properties>
</file>

<file path=customXml/itemProps1.xml><?xml version="1.0" encoding="utf-8"?>
<ds:datastoreItem xmlns:ds="http://schemas.openxmlformats.org/officeDocument/2006/customXml" ds:itemID="{1002D587-2398-4734-B6F4-0B53DB12D8BE}">
  <ds:schemaRefs>
    <ds:schemaRef ds:uri="http://schemas.microsoft.com/sharepoint/v3/contenttype/forms"/>
  </ds:schemaRefs>
</ds:datastoreItem>
</file>

<file path=customXml/itemProps2.xml><?xml version="1.0" encoding="utf-8"?>
<ds:datastoreItem xmlns:ds="http://schemas.openxmlformats.org/officeDocument/2006/customXml" ds:itemID="{8B003786-320F-4C7F-A8E9-77D85DA6B4D9}"/>
</file>

<file path=customXml/itemProps3.xml><?xml version="1.0" encoding="utf-8"?>
<ds:datastoreItem xmlns:ds="http://schemas.openxmlformats.org/officeDocument/2006/customXml" ds:itemID="{1A4C6076-8EE1-44DD-8C33-0F61AE213E13}">
  <ds:schemaRefs>
    <ds:schemaRef ds:uri="http://schemas.microsoft.com/office/2006/metadata/properties"/>
    <ds:schemaRef ds:uri="http://schemas.microsoft.com/office/infopath/2007/PartnerControls"/>
    <ds:schemaRef ds:uri="c25985f6-738a-4fbb-ade1-fdbe81c9268b"/>
    <ds:schemaRef ds:uri="2dd5972e-fc8f-47aa-916d-ced3529f73a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22</vt:i4>
      </vt:variant>
      <vt:variant>
        <vt:lpstr>名前付き一覧</vt:lpstr>
      </vt:variant>
      <vt:variant>
        <vt:i4>27</vt:i4>
      </vt:variant>
    </vt:vector>
  </HeadingPairs>
  <TitlesOfParts>
    <vt:vector size="49" baseType="lpstr">
      <vt:lpstr>表紙</vt:lpstr>
      <vt:lpstr>改版履歴</vt:lpstr>
      <vt:lpstr>連携対象取引ログテーブル一覧</vt:lpstr>
      <vt:lpstr>取引ログテーブル関連図</vt:lpstr>
      <vt:lpstr>取引ログテーブル関連図（補足説明）</vt:lpstr>
      <vt:lpstr>取引ログ作成時の注意事項</vt:lpstr>
      <vt:lpstr>取引ログ作成時の注意事項(税情報)</vt:lpstr>
      <vt:lpstr>取引ログ作成時の注意事項(支払情報)</vt:lpstr>
      <vt:lpstr>取引ログ作成時の注意事項(値引併用)</vt:lpstr>
      <vt:lpstr>TRANS_HEADER</vt:lpstr>
      <vt:lpstr>LN_LINK</vt:lpstr>
      <vt:lpstr>LN_DETAIL</vt:lpstr>
      <vt:lpstr>LN_DISCOUNT</vt:lpstr>
      <vt:lpstr>TRANSACTION_TAX</vt:lpstr>
      <vt:lpstr>TRANSACTION_TENDER</vt:lpstr>
      <vt:lpstr>GIFT_CERT_TENDER</vt:lpstr>
      <vt:lpstr>GSFD_PNT_TRANS_HEADER</vt:lpstr>
      <vt:lpstr>MANUAL_PRICE</vt:lpstr>
      <vt:lpstr>GL_TRAN</vt:lpstr>
      <vt:lpstr>LOAN_PICKUP</vt:lpstr>
      <vt:lpstr>コード決済取引明細ログレイアウト</vt:lpstr>
      <vt:lpstr>《貼付元》価格マトリクス</vt:lpstr>
      <vt:lpstr>《貼付元》価格マトリクス!Print_Area</vt:lpstr>
      <vt:lpstr>GIFT_CERT_TENDER!Print_Area</vt:lpstr>
      <vt:lpstr>GL_TRAN!Print_Area</vt:lpstr>
      <vt:lpstr>GSFD_PNT_TRANS_HEADER!Print_Area</vt:lpstr>
      <vt:lpstr>LN_DETAIL!Print_Area</vt:lpstr>
      <vt:lpstr>LN_DISCOUNT!Print_Area</vt:lpstr>
      <vt:lpstr>LN_LINK!Print_Area</vt:lpstr>
      <vt:lpstr>LOAN_PICKUP!Print_Area</vt:lpstr>
      <vt:lpstr>MANUAL_PRICE!Print_Area</vt:lpstr>
      <vt:lpstr>TRANS_HEADER!Print_Area</vt:lpstr>
      <vt:lpstr>TRANSACTION_TAX!Print_Area</vt:lpstr>
      <vt:lpstr>TRANSACTION_TENDER!Print_Area</vt:lpstr>
      <vt:lpstr>コード決済取引明細ログレイアウト!Print_Area</vt:lpstr>
      <vt:lpstr>改版履歴!Print_Area</vt:lpstr>
      <vt:lpstr>取引ログテーブル関連図!Print_Area</vt:lpstr>
      <vt:lpstr>'取引ログテーブル関連図（補足説明）'!Print_Area</vt:lpstr>
      <vt:lpstr>取引ログ作成時の注意事項!Print_Area</vt:lpstr>
      <vt:lpstr>'取引ログ作成時の注意事項(支払情報)'!Print_Area</vt:lpstr>
      <vt:lpstr>'取引ログ作成時の注意事項(税情報)'!Print_Area</vt:lpstr>
      <vt:lpstr>'取引ログ作成時の注意事項(値引併用)'!Print_Area</vt:lpstr>
      <vt:lpstr>表紙!Print_Area</vt:lpstr>
      <vt:lpstr>連携対象取引ログテーブル一覧!Print_Area</vt:lpstr>
      <vt:lpstr>GIFT_CERT_TENDER!Print_Titles</vt:lpstr>
      <vt:lpstr>GL_TRAN!Print_Titles</vt:lpstr>
      <vt:lpstr>LN_DETAIL!Print_Titles</vt:lpstr>
      <vt:lpstr>LOAN_PICKUP!Print_Titles</vt:lpstr>
      <vt:lpstr>TRANS_HEADER!Print_Titles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Owner</dc:creator>
  <cp:keywords/>
  <dc:description/>
  <cp:lastModifiedBy>Thanh Nguyên</cp:lastModifiedBy>
  <cp:revision/>
  <dcterms:created xsi:type="dcterms:W3CDTF">2018-02-16T00:17:54Z</dcterms:created>
  <dcterms:modified xsi:type="dcterms:W3CDTF">2025-04-23T15:44:13Z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7295cc1-d279-42ac-ab4d-3b0f4fece050_Enabled">
    <vt:lpwstr>true</vt:lpwstr>
  </property>
  <property fmtid="{D5CDD505-2E9C-101B-9397-08002B2CF9AE}" pid="3" name="MSIP_Label_a7295cc1-d279-42ac-ab4d-3b0f4fece050_SetDate">
    <vt:lpwstr>2021-06-14T09:57:50Z</vt:lpwstr>
  </property>
  <property fmtid="{D5CDD505-2E9C-101B-9397-08002B2CF9AE}" pid="4" name="MSIP_Label_a7295cc1-d279-42ac-ab4d-3b0f4fece050_Method">
    <vt:lpwstr>Standard</vt:lpwstr>
  </property>
  <property fmtid="{D5CDD505-2E9C-101B-9397-08002B2CF9AE}" pid="5" name="MSIP_Label_a7295cc1-d279-42ac-ab4d-3b0f4fece050_Name">
    <vt:lpwstr>FUJITSU-RESTRICTED​</vt:lpwstr>
  </property>
  <property fmtid="{D5CDD505-2E9C-101B-9397-08002B2CF9AE}" pid="6" name="MSIP_Label_a7295cc1-d279-42ac-ab4d-3b0f4fece050_SiteId">
    <vt:lpwstr>a19f121d-81e1-4858-a9d8-736e267fd4c7</vt:lpwstr>
  </property>
  <property fmtid="{D5CDD505-2E9C-101B-9397-08002B2CF9AE}" pid="7" name="MSIP_Label_a7295cc1-d279-42ac-ab4d-3b0f4fece050_ActionId">
    <vt:lpwstr>18e497af-ce86-4a98-bc75-9d7aab3860cc</vt:lpwstr>
  </property>
  <property fmtid="{D5CDD505-2E9C-101B-9397-08002B2CF9AE}" pid="8" name="MSIP_Label_a7295cc1-d279-42ac-ab4d-3b0f4fece050_ContentBits">
    <vt:lpwstr>0</vt:lpwstr>
  </property>
  <property fmtid="{D5CDD505-2E9C-101B-9397-08002B2CF9AE}" pid="9" name="ContentTypeId">
    <vt:lpwstr>0x0101008AB003DB5A4D644C9FB3BD19B5C7E000</vt:lpwstr>
  </property>
  <property fmtid="{D5CDD505-2E9C-101B-9397-08002B2CF9AE}" pid="10" name="MediaServiceImageTags">
    <vt:lpwstr/>
  </property>
</Properties>
</file>